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8" windowWidth="20112" windowHeight="7236" tabRatio="357"/>
  </bookViews>
  <sheets>
    <sheet name="RPA" sheetId="1" r:id="rId1"/>
    <sheet name="4086 COUNTIES" sheetId="2" r:id="rId2"/>
  </sheets>
  <definedNames>
    <definedName name="_xlnm._FilterDatabase" localSheetId="0" hidden="1">RPA!$A$2:$L$1101</definedName>
    <definedName name="_xlnm.Print_Titles" localSheetId="0">RPA!$1:$2</definedName>
  </definedNames>
  <calcPr calcId="125725"/>
</workbook>
</file>

<file path=xl/calcChain.xml><?xml version="1.0" encoding="utf-8"?>
<calcChain xmlns="http://schemas.openxmlformats.org/spreadsheetml/2006/main">
  <c r="D1" i="1"/>
  <c r="F1" l="1"/>
  <c r="AA2977" l="1"/>
  <c r="AB2977" s="1"/>
  <c r="AA2976"/>
  <c r="AB2976" s="1"/>
  <c r="AA2975"/>
  <c r="AB2975" s="1"/>
  <c r="AA2974"/>
  <c r="AB2974" s="1"/>
  <c r="AA2973"/>
  <c r="AB2973" s="1"/>
  <c r="AA2972"/>
  <c r="AB2972" s="1"/>
  <c r="AA2971"/>
  <c r="AB2971" s="1"/>
  <c r="AA2970"/>
  <c r="AB2970" s="1"/>
  <c r="AA2969"/>
  <c r="AB2969" s="1"/>
  <c r="AA2968"/>
  <c r="AB2968" s="1"/>
  <c r="AA2967"/>
  <c r="AB2967" s="1"/>
  <c r="AA2966"/>
  <c r="AB2966" s="1"/>
  <c r="AA2965"/>
  <c r="AB2965" s="1"/>
  <c r="AA2964"/>
  <c r="AB2964" s="1"/>
  <c r="AA2963"/>
  <c r="AB2963" s="1"/>
  <c r="AA2962"/>
  <c r="AB2962" s="1"/>
  <c r="AA2961"/>
  <c r="AB2961" s="1"/>
  <c r="AA2960"/>
  <c r="AB2960" s="1"/>
  <c r="AA2959"/>
  <c r="AB2959" s="1"/>
  <c r="AA2958"/>
  <c r="AB2958" s="1"/>
  <c r="AA2957"/>
  <c r="AB2957" s="1"/>
  <c r="AA2956"/>
  <c r="AB2956" s="1"/>
  <c r="AA2955"/>
  <c r="AB2955" s="1"/>
  <c r="AA2954"/>
  <c r="AB2954" s="1"/>
  <c r="AA2953"/>
  <c r="AB2953" s="1"/>
  <c r="AA2952"/>
  <c r="AB2952" s="1"/>
  <c r="AA2951"/>
  <c r="AB2951" s="1"/>
  <c r="AA2950"/>
  <c r="AB2950" s="1"/>
  <c r="AA2949"/>
  <c r="AB2949" s="1"/>
  <c r="AA2948"/>
  <c r="AB2948" s="1"/>
  <c r="AA2947"/>
  <c r="AB2947" s="1"/>
  <c r="AA2946"/>
  <c r="AB2946" s="1"/>
  <c r="AA2945"/>
  <c r="AB2945" s="1"/>
  <c r="AA2944"/>
  <c r="AB2944" s="1"/>
  <c r="AA2943"/>
  <c r="AB2943" s="1"/>
  <c r="AA2942"/>
  <c r="AB2942" s="1"/>
  <c r="AA2941"/>
  <c r="AB2941" s="1"/>
  <c r="AA2940"/>
  <c r="AB2940" s="1"/>
  <c r="AA2939"/>
  <c r="AB2939" s="1"/>
  <c r="AA2938"/>
  <c r="AB2938" s="1"/>
  <c r="AA2937"/>
  <c r="AB2937" s="1"/>
  <c r="AA2936"/>
  <c r="AB2936" s="1"/>
  <c r="AA2935"/>
  <c r="AB2935" s="1"/>
  <c r="AA2934"/>
  <c r="AB2934" s="1"/>
  <c r="AA2933"/>
  <c r="AB2933" s="1"/>
  <c r="AA2932"/>
  <c r="AB2932" s="1"/>
  <c r="AA2931"/>
  <c r="AB2931" s="1"/>
  <c r="AA2930"/>
  <c r="AB2930" s="1"/>
  <c r="AA2929"/>
  <c r="AB2929" s="1"/>
  <c r="AA2928"/>
  <c r="AB2928" s="1"/>
  <c r="AA2927"/>
  <c r="AB2927" s="1"/>
  <c r="AA2926"/>
  <c r="AB2926" s="1"/>
  <c r="AA2925"/>
  <c r="AB2925" s="1"/>
  <c r="AA2924"/>
  <c r="AB2924" s="1"/>
  <c r="AA2923"/>
  <c r="AB2923" s="1"/>
  <c r="AA2922"/>
  <c r="AB2922" s="1"/>
  <c r="AA2921"/>
  <c r="AB2921" s="1"/>
  <c r="AA2920"/>
  <c r="AB2920" s="1"/>
  <c r="AA2919"/>
  <c r="AB2919" s="1"/>
  <c r="AA2918"/>
  <c r="AB2918" s="1"/>
  <c r="AA2917"/>
  <c r="AB2917" s="1"/>
  <c r="AA2916"/>
  <c r="AB2916" s="1"/>
  <c r="AA2915"/>
  <c r="AB2915" s="1"/>
  <c r="AA2914"/>
  <c r="AB2914" s="1"/>
  <c r="AA2913"/>
  <c r="AB2913" s="1"/>
  <c r="AA2912"/>
  <c r="AB2912" s="1"/>
  <c r="AA2911"/>
  <c r="AB2911" s="1"/>
  <c r="AA2910"/>
  <c r="AB2910" s="1"/>
  <c r="AA2909"/>
  <c r="AB2909" s="1"/>
  <c r="AA2908"/>
  <c r="AB2908" s="1"/>
  <c r="AA2907"/>
  <c r="AB2907" s="1"/>
  <c r="AA2906"/>
  <c r="AB2906" s="1"/>
  <c r="AA2905"/>
  <c r="AB2905" s="1"/>
  <c r="AA2904"/>
  <c r="AB2904" s="1"/>
  <c r="AA2903"/>
  <c r="AB2903" s="1"/>
  <c r="AA2902"/>
  <c r="AB2902" s="1"/>
  <c r="AA2901"/>
  <c r="AB2901" s="1"/>
  <c r="AA2900"/>
  <c r="AB2900" s="1"/>
  <c r="AA2899"/>
  <c r="AB2899" s="1"/>
  <c r="AA2898"/>
  <c r="AB2898" s="1"/>
  <c r="AA2897"/>
  <c r="AB2897" s="1"/>
  <c r="AA2896"/>
  <c r="AB2896" s="1"/>
  <c r="AA2895"/>
  <c r="AB2895" s="1"/>
  <c r="AA2894"/>
  <c r="AB2894" s="1"/>
  <c r="AA2893"/>
  <c r="AB2893" s="1"/>
  <c r="AA2892"/>
  <c r="AB2892" s="1"/>
  <c r="AA2891"/>
  <c r="AB2891" s="1"/>
  <c r="AA2890"/>
  <c r="AB2890" s="1"/>
  <c r="AA2889"/>
  <c r="AB2889" s="1"/>
  <c r="AA2888"/>
  <c r="AB2888" s="1"/>
  <c r="AA2887"/>
  <c r="AB2887" s="1"/>
  <c r="AA2886"/>
  <c r="AB2886" s="1"/>
  <c r="AA2885"/>
  <c r="AB2885" s="1"/>
  <c r="AA2884"/>
  <c r="AB2884" s="1"/>
  <c r="AA2883"/>
  <c r="AB2883" s="1"/>
  <c r="AA2882"/>
  <c r="AB2882" s="1"/>
  <c r="AA2881"/>
  <c r="AB2881" s="1"/>
  <c r="AA2880"/>
  <c r="AB2880" s="1"/>
  <c r="AA2879"/>
  <c r="AB2879" s="1"/>
  <c r="AA2878"/>
  <c r="AB2878" s="1"/>
  <c r="AA2877"/>
  <c r="AB2877" s="1"/>
  <c r="AA2876"/>
  <c r="AB2876" s="1"/>
  <c r="AA2875"/>
  <c r="AB2875" s="1"/>
  <c r="AA2874"/>
  <c r="AB2874" s="1"/>
  <c r="AA2873"/>
  <c r="AB2873" s="1"/>
  <c r="AA2872"/>
  <c r="AB2872" s="1"/>
  <c r="AA2871"/>
  <c r="AB2871" s="1"/>
  <c r="AA2870"/>
  <c r="AB2870" s="1"/>
  <c r="AA2869"/>
  <c r="AB2869" s="1"/>
  <c r="AA2868"/>
  <c r="AB2868" s="1"/>
  <c r="AA2867"/>
  <c r="AB2867" s="1"/>
  <c r="AA2866"/>
  <c r="AB2866" s="1"/>
  <c r="AA2865"/>
  <c r="AB2865" s="1"/>
  <c r="AA2864"/>
  <c r="AB2864" s="1"/>
  <c r="AA2863"/>
  <c r="AB2863" s="1"/>
  <c r="AA2862"/>
  <c r="AB2862" s="1"/>
  <c r="AA2861"/>
  <c r="AB2861" s="1"/>
  <c r="AA2860"/>
  <c r="AB2860" s="1"/>
  <c r="AA2859"/>
  <c r="AB2859" s="1"/>
  <c r="AA2858"/>
  <c r="AB2858" s="1"/>
  <c r="AA2857"/>
  <c r="AB2857" s="1"/>
  <c r="AA2856"/>
  <c r="AB2856" s="1"/>
  <c r="AA2855"/>
  <c r="AB2855" s="1"/>
  <c r="AA2854"/>
  <c r="AB2854" s="1"/>
  <c r="AA2853"/>
  <c r="AB2853" s="1"/>
  <c r="AA2852"/>
  <c r="AB2852" s="1"/>
  <c r="AA2851"/>
  <c r="AB2851" s="1"/>
  <c r="AA2850"/>
  <c r="AB2850" s="1"/>
  <c r="AA2849"/>
  <c r="AB2849" s="1"/>
  <c r="AA2848"/>
  <c r="AB2848" s="1"/>
  <c r="AA2847"/>
  <c r="AB2847" s="1"/>
  <c r="AA2846"/>
  <c r="AB2846" s="1"/>
  <c r="AA2845"/>
  <c r="AB2845" s="1"/>
  <c r="AA2844"/>
  <c r="AB2844" s="1"/>
  <c r="AA2843"/>
  <c r="AB2843" s="1"/>
  <c r="AA2842"/>
  <c r="AB2842" s="1"/>
  <c r="AA2841"/>
  <c r="AB2841" s="1"/>
  <c r="AA2840"/>
  <c r="AB2840" s="1"/>
  <c r="AA2839"/>
  <c r="AB2839" s="1"/>
  <c r="AA2838"/>
  <c r="AB2838" s="1"/>
  <c r="AA2837"/>
  <c r="AB2837" s="1"/>
  <c r="AA2836"/>
  <c r="AB2836" s="1"/>
  <c r="AA2835"/>
  <c r="AB2835" s="1"/>
  <c r="AA2834"/>
  <c r="AB2834" s="1"/>
  <c r="AA2833"/>
  <c r="AB2833" s="1"/>
  <c r="AA2832"/>
  <c r="AB2832" s="1"/>
  <c r="AA2831"/>
  <c r="AB2831" s="1"/>
  <c r="AA2830"/>
  <c r="AB2830" s="1"/>
  <c r="AA2829"/>
  <c r="AB2829" s="1"/>
  <c r="AA2828"/>
  <c r="AB2828" s="1"/>
  <c r="AA2827"/>
  <c r="AB2827" s="1"/>
  <c r="AA2826"/>
  <c r="AB2826" s="1"/>
  <c r="AA2825"/>
  <c r="AB2825" s="1"/>
  <c r="AA2824"/>
  <c r="AB2824" s="1"/>
  <c r="AA2823"/>
  <c r="AB2823" s="1"/>
  <c r="AA2822"/>
  <c r="AB2822" s="1"/>
  <c r="AA2821"/>
  <c r="AB2821" s="1"/>
  <c r="AA2820"/>
  <c r="AB2820" s="1"/>
  <c r="AA2819"/>
  <c r="AB2819" s="1"/>
  <c r="AA2818"/>
  <c r="AB2818" s="1"/>
  <c r="AA2817"/>
  <c r="AB2817" s="1"/>
  <c r="AA2816"/>
  <c r="AB2816" s="1"/>
  <c r="AA2815"/>
  <c r="AB2815" s="1"/>
  <c r="AA2814"/>
  <c r="AB2814" s="1"/>
  <c r="AA2813"/>
  <c r="AB2813" s="1"/>
  <c r="AA2812"/>
  <c r="AB2812" s="1"/>
  <c r="AA2811"/>
  <c r="AB2811" s="1"/>
  <c r="AA2810"/>
  <c r="AB2810" s="1"/>
  <c r="AA2809"/>
  <c r="AB2809" s="1"/>
  <c r="AA2808"/>
  <c r="AB2808" s="1"/>
  <c r="AA2807"/>
  <c r="AB2807" s="1"/>
  <c r="AA2806"/>
  <c r="AB2806" s="1"/>
  <c r="AA2805"/>
  <c r="AB2805" s="1"/>
  <c r="AA2804"/>
  <c r="AB2804" s="1"/>
  <c r="AA2803"/>
  <c r="AB2803" s="1"/>
  <c r="AA2802"/>
  <c r="AB2802" s="1"/>
  <c r="AA2801"/>
  <c r="AB2801" s="1"/>
  <c r="AA2800"/>
  <c r="AB2800" s="1"/>
  <c r="AA2799"/>
  <c r="AB2799" s="1"/>
  <c r="AA2798"/>
  <c r="AB2798" s="1"/>
  <c r="AA2797"/>
  <c r="AB2797" s="1"/>
  <c r="AA2796"/>
  <c r="AB2796" s="1"/>
  <c r="AA2795"/>
  <c r="AB2795" s="1"/>
  <c r="AA2794"/>
  <c r="AB2794" s="1"/>
  <c r="AA2793"/>
  <c r="AB2793" s="1"/>
  <c r="AA2792"/>
  <c r="AB2792" s="1"/>
  <c r="AA2791"/>
  <c r="AB2791" s="1"/>
  <c r="AA2790"/>
  <c r="AB2790" s="1"/>
  <c r="AA2789"/>
  <c r="AB2789" s="1"/>
  <c r="AA2788"/>
  <c r="AB2788" s="1"/>
  <c r="AA2787"/>
  <c r="AB2787" s="1"/>
  <c r="AA2786"/>
  <c r="AB2786" s="1"/>
  <c r="AA2785"/>
  <c r="AB2785" s="1"/>
  <c r="AA2784"/>
  <c r="AB2784" s="1"/>
  <c r="AA2783"/>
  <c r="AB2783" s="1"/>
  <c r="AA2782"/>
  <c r="AB2782" s="1"/>
  <c r="AA2781"/>
  <c r="AB2781" s="1"/>
  <c r="AA2780"/>
  <c r="AB2780" s="1"/>
  <c r="AA2779"/>
  <c r="AB2779" s="1"/>
  <c r="AA2778"/>
  <c r="AB2778" s="1"/>
  <c r="AA2777"/>
  <c r="AB2777" s="1"/>
  <c r="AA2776"/>
  <c r="AB2776" s="1"/>
  <c r="AA2775"/>
  <c r="AB2775" s="1"/>
  <c r="AA2774"/>
  <c r="AB2774" s="1"/>
  <c r="AA2773"/>
  <c r="AB2773" s="1"/>
  <c r="AA2772"/>
  <c r="AB2772" s="1"/>
  <c r="AA2771"/>
  <c r="AB2771" s="1"/>
  <c r="AA2770"/>
  <c r="AB2770" s="1"/>
  <c r="AA2769"/>
  <c r="AB2769" s="1"/>
  <c r="AA2768"/>
  <c r="AB2768" s="1"/>
  <c r="AA2767"/>
  <c r="AB2767" s="1"/>
  <c r="AA2766"/>
  <c r="AB2766" s="1"/>
  <c r="AA2765"/>
  <c r="AB2765" s="1"/>
  <c r="AA2764"/>
  <c r="AB2764" s="1"/>
  <c r="AA2763"/>
  <c r="AB2763" s="1"/>
  <c r="AA2762"/>
  <c r="AB2762" s="1"/>
  <c r="AA2761"/>
  <c r="AB2761" s="1"/>
  <c r="AA2760"/>
  <c r="AB2760" s="1"/>
  <c r="AA2759"/>
  <c r="AB2759" s="1"/>
  <c r="AA2758"/>
  <c r="AB2758" s="1"/>
  <c r="AA2757"/>
  <c r="AB2757" s="1"/>
  <c r="AA2756"/>
  <c r="AB2756" s="1"/>
  <c r="AA2755"/>
  <c r="AB2755" s="1"/>
  <c r="AA2754"/>
  <c r="AB2754" s="1"/>
  <c r="AA2753"/>
  <c r="AB2753" s="1"/>
  <c r="AA2752"/>
  <c r="AB2752" s="1"/>
  <c r="AA2751"/>
  <c r="AB2751" s="1"/>
  <c r="AA2750"/>
  <c r="AB2750" s="1"/>
  <c r="AA2749"/>
  <c r="AB2749" s="1"/>
  <c r="AA2748"/>
  <c r="AB2748" s="1"/>
  <c r="AA2747"/>
  <c r="AB2747" s="1"/>
  <c r="AA2746"/>
  <c r="AB2746" s="1"/>
  <c r="AA2745"/>
  <c r="AB2745" s="1"/>
  <c r="AA2744"/>
  <c r="AB2744" s="1"/>
  <c r="AA2743"/>
  <c r="AB2743" s="1"/>
  <c r="AA2742"/>
  <c r="AB2742" s="1"/>
  <c r="AA2741"/>
  <c r="AB2741" s="1"/>
  <c r="AA2740"/>
  <c r="AB2740" s="1"/>
  <c r="AA2739"/>
  <c r="AB2739" s="1"/>
  <c r="AA2738"/>
  <c r="AB2738" s="1"/>
  <c r="AA2737"/>
  <c r="AB2737" s="1"/>
  <c r="AA2736"/>
  <c r="AB2736" s="1"/>
  <c r="AA2735"/>
  <c r="AB2735" s="1"/>
  <c r="AA2734"/>
  <c r="AB2734" s="1"/>
  <c r="AA2733"/>
  <c r="AB2733" s="1"/>
  <c r="AA2732"/>
  <c r="AB2732" s="1"/>
  <c r="AA2731"/>
  <c r="AB2731" s="1"/>
  <c r="AA2730"/>
  <c r="AB2730" s="1"/>
  <c r="AA2729"/>
  <c r="AB2729" s="1"/>
  <c r="AA2728"/>
  <c r="AB2728" s="1"/>
  <c r="AA2727"/>
  <c r="AB2727" s="1"/>
  <c r="AA2726"/>
  <c r="AB2726" s="1"/>
  <c r="AA2725"/>
  <c r="AB2725" s="1"/>
  <c r="AA2724"/>
  <c r="AB2724" s="1"/>
  <c r="AA2723"/>
  <c r="AB2723" s="1"/>
  <c r="AA2722"/>
  <c r="AB2722" s="1"/>
  <c r="AA2721"/>
  <c r="AB2721" s="1"/>
  <c r="AA2720"/>
  <c r="AB2720" s="1"/>
  <c r="AA2719"/>
  <c r="AB2719" s="1"/>
  <c r="AA2718"/>
  <c r="AB2718" s="1"/>
  <c r="AA2717"/>
  <c r="AB2717" s="1"/>
  <c r="AA2716"/>
  <c r="AB2716" s="1"/>
  <c r="AA2715"/>
  <c r="AB2715" s="1"/>
  <c r="AA2714"/>
  <c r="AB2714" s="1"/>
  <c r="AA2713"/>
  <c r="AB2713" s="1"/>
  <c r="AA2712"/>
  <c r="AB2712" s="1"/>
  <c r="AA2711"/>
  <c r="AB2711" s="1"/>
  <c r="AA2710"/>
  <c r="AB2710" s="1"/>
  <c r="AA2709"/>
  <c r="AB2709" s="1"/>
  <c r="AA2708"/>
  <c r="AB2708" s="1"/>
  <c r="AA2707"/>
  <c r="AB2707" s="1"/>
  <c r="AA2706"/>
  <c r="AB2706" s="1"/>
  <c r="AA2705"/>
  <c r="AB2705" s="1"/>
  <c r="AA2704"/>
  <c r="AB2704" s="1"/>
  <c r="AA2703"/>
  <c r="AB2703" s="1"/>
  <c r="AA2702"/>
  <c r="AB2702" s="1"/>
  <c r="AA2701"/>
  <c r="AB2701" s="1"/>
  <c r="AA2700"/>
  <c r="AB2700" s="1"/>
  <c r="AA2699"/>
  <c r="AB2699" s="1"/>
  <c r="AA2698"/>
  <c r="AB2698" s="1"/>
  <c r="AA2697"/>
  <c r="AB2697" s="1"/>
  <c r="AA2696"/>
  <c r="AB2696" s="1"/>
  <c r="AA2695"/>
  <c r="AB2695" s="1"/>
  <c r="AA2694"/>
  <c r="AB2694" s="1"/>
  <c r="AA2693"/>
  <c r="AB2693" s="1"/>
  <c r="AA2692"/>
  <c r="AB2692" s="1"/>
  <c r="AA2691"/>
  <c r="AB2691" s="1"/>
  <c r="AA2690"/>
  <c r="AB2690" s="1"/>
  <c r="AA2689"/>
  <c r="AB2689" s="1"/>
  <c r="AA2688"/>
  <c r="AB2688" s="1"/>
  <c r="AA2687"/>
  <c r="AB2687" s="1"/>
  <c r="AA2686"/>
  <c r="AB2686" s="1"/>
  <c r="AA2685"/>
  <c r="AB2685" s="1"/>
  <c r="AA2684"/>
  <c r="AB2684" s="1"/>
  <c r="AA2683"/>
  <c r="AB2683" s="1"/>
  <c r="AA2682"/>
  <c r="AB2682" s="1"/>
  <c r="AA2681"/>
  <c r="AB2681" s="1"/>
  <c r="AA2680"/>
  <c r="AB2680" s="1"/>
  <c r="AA2679"/>
  <c r="AB2679" s="1"/>
  <c r="AA2678"/>
  <c r="AB2678" s="1"/>
  <c r="AA2677"/>
  <c r="AB2677" s="1"/>
  <c r="AA2676"/>
  <c r="AB2676" s="1"/>
  <c r="AA2675"/>
  <c r="AB2675" s="1"/>
  <c r="AA2674"/>
  <c r="AB2674" s="1"/>
  <c r="AA2673"/>
  <c r="AB2673" s="1"/>
  <c r="AA2672"/>
  <c r="AB2672" s="1"/>
  <c r="AA2671"/>
  <c r="AB2671" s="1"/>
  <c r="AA2670"/>
  <c r="AB2670" s="1"/>
  <c r="AA2669"/>
  <c r="AB2669" s="1"/>
  <c r="AA2668"/>
  <c r="AB2668" s="1"/>
  <c r="AA2667"/>
  <c r="AB2667" s="1"/>
  <c r="AA2666"/>
  <c r="AB2666" s="1"/>
  <c r="AA2665"/>
  <c r="AB2665" s="1"/>
  <c r="AA2664"/>
  <c r="AB2664" s="1"/>
  <c r="AA2663"/>
  <c r="AB2663" s="1"/>
  <c r="AA2662"/>
  <c r="AB2662" s="1"/>
  <c r="AA2661"/>
  <c r="AB2661" s="1"/>
  <c r="AA2660"/>
  <c r="AB2660" s="1"/>
  <c r="AA2659"/>
  <c r="AB2659" s="1"/>
  <c r="AA2658"/>
  <c r="AB2658" s="1"/>
  <c r="AA2657"/>
  <c r="AB2657" s="1"/>
  <c r="AA2656"/>
  <c r="AB2656" s="1"/>
  <c r="AA2655"/>
  <c r="AB2655" s="1"/>
  <c r="AA2654"/>
  <c r="AB2654" s="1"/>
  <c r="AA2653"/>
  <c r="AB2653" s="1"/>
  <c r="AA2652"/>
  <c r="AB2652" s="1"/>
  <c r="AA2651"/>
  <c r="AB2651" s="1"/>
  <c r="AA2650"/>
  <c r="AB2650" s="1"/>
  <c r="AA2649"/>
  <c r="AB2649" s="1"/>
  <c r="AA2648"/>
  <c r="AB2648" s="1"/>
  <c r="AA2647"/>
  <c r="AB2647" s="1"/>
  <c r="AA2646"/>
  <c r="AB2646" s="1"/>
  <c r="AA2645"/>
  <c r="AB2645" s="1"/>
  <c r="AA2644"/>
  <c r="AB2644" s="1"/>
  <c r="AA2643"/>
  <c r="AB2643" s="1"/>
  <c r="AA2642"/>
  <c r="AB2642" s="1"/>
  <c r="AA2641"/>
  <c r="AB2641" s="1"/>
  <c r="AA2640"/>
  <c r="AB2640" s="1"/>
  <c r="AA2639"/>
  <c r="AB2639" s="1"/>
  <c r="AA2638"/>
  <c r="AB2638" s="1"/>
  <c r="AA2637"/>
  <c r="AB2637" s="1"/>
  <c r="AA2636"/>
  <c r="AB2636" s="1"/>
  <c r="AA2635"/>
  <c r="AB2635" s="1"/>
  <c r="AA2634"/>
  <c r="AB2634" s="1"/>
  <c r="AA2633"/>
  <c r="AB2633" s="1"/>
  <c r="AA2632"/>
  <c r="AB2632" s="1"/>
  <c r="AA2631"/>
  <c r="AB2631" s="1"/>
  <c r="AA2630"/>
  <c r="AB2630" s="1"/>
  <c r="AA2629"/>
  <c r="AB2629" s="1"/>
  <c r="AA2628"/>
  <c r="AB2628" s="1"/>
  <c r="AA2627"/>
  <c r="AB2627" s="1"/>
  <c r="AA2626"/>
  <c r="AB2626" s="1"/>
  <c r="AA2625"/>
  <c r="AB2625" s="1"/>
  <c r="AA2624"/>
  <c r="AB2624" s="1"/>
  <c r="AA2623"/>
  <c r="AB2623" s="1"/>
  <c r="AA2622"/>
  <c r="AB2622" s="1"/>
  <c r="AA2621"/>
  <c r="AB2621" s="1"/>
  <c r="AA2620"/>
  <c r="AB2620" s="1"/>
  <c r="AA2619"/>
  <c r="AB2619" s="1"/>
  <c r="AA2618"/>
  <c r="AB2618" s="1"/>
  <c r="AA2617"/>
  <c r="AB2617" s="1"/>
  <c r="AA2616"/>
  <c r="AB2616" s="1"/>
  <c r="AA2615"/>
  <c r="AB2615" s="1"/>
  <c r="AA2614"/>
  <c r="AB2614" s="1"/>
  <c r="AA2613"/>
  <c r="AB2613" s="1"/>
  <c r="AA2612"/>
  <c r="AB2612" s="1"/>
  <c r="AA2611"/>
  <c r="AB2611" s="1"/>
  <c r="AA2610"/>
  <c r="AB2610" s="1"/>
  <c r="AA2609"/>
  <c r="AB2609" s="1"/>
  <c r="AA2608"/>
  <c r="AB2608" s="1"/>
  <c r="AA2607"/>
  <c r="AB2607" s="1"/>
  <c r="AA2606"/>
  <c r="AB2606" s="1"/>
  <c r="AA2605"/>
  <c r="AB2605" s="1"/>
  <c r="AA2604"/>
  <c r="AB2604" s="1"/>
  <c r="AA2603"/>
  <c r="AB2603" s="1"/>
  <c r="AA2602"/>
  <c r="AB2602" s="1"/>
  <c r="AA2601"/>
  <c r="AB2601" s="1"/>
  <c r="AA2600"/>
  <c r="AB2600" s="1"/>
  <c r="AA2599"/>
  <c r="AB2599" s="1"/>
  <c r="AA2598"/>
  <c r="AB2598" s="1"/>
  <c r="AA2597"/>
  <c r="AB2597" s="1"/>
  <c r="AA2596"/>
  <c r="AB2596" s="1"/>
  <c r="AA2595"/>
  <c r="AB2595" s="1"/>
  <c r="AA2594"/>
  <c r="AB2594" s="1"/>
  <c r="AA2593"/>
  <c r="AB2593" s="1"/>
  <c r="AA2592"/>
  <c r="AB2592" s="1"/>
  <c r="AA2591"/>
  <c r="AB2591" s="1"/>
  <c r="AA2590"/>
  <c r="AB2590" s="1"/>
  <c r="AA2589"/>
  <c r="AB2589" s="1"/>
  <c r="AA2588"/>
  <c r="AB2588" s="1"/>
  <c r="AA2587"/>
  <c r="AB2587" s="1"/>
  <c r="AA2586"/>
  <c r="AB2586" s="1"/>
  <c r="AA2585"/>
  <c r="AB2585" s="1"/>
  <c r="AA2584"/>
  <c r="AB2584" s="1"/>
  <c r="AA2583"/>
  <c r="AB2583" s="1"/>
  <c r="AA2582"/>
  <c r="AB2582" s="1"/>
  <c r="AA2581"/>
  <c r="AB2581" s="1"/>
  <c r="AA2580"/>
  <c r="AB2580" s="1"/>
  <c r="AA2579"/>
  <c r="AB2579" s="1"/>
  <c r="AA2578"/>
  <c r="AB2578" s="1"/>
  <c r="AA2577"/>
  <c r="AB2577" s="1"/>
  <c r="AA2576"/>
  <c r="AB2576" s="1"/>
  <c r="AA2575"/>
  <c r="AB2575" s="1"/>
  <c r="AA2574"/>
  <c r="AB2574" s="1"/>
  <c r="AA2573"/>
  <c r="AB2573" s="1"/>
  <c r="AA2572"/>
  <c r="AB2572" s="1"/>
  <c r="AA2571"/>
  <c r="AB2571" s="1"/>
  <c r="AA2570"/>
  <c r="AB2570" s="1"/>
  <c r="AA2569"/>
  <c r="AB2569" s="1"/>
  <c r="AA2568"/>
  <c r="AB2568" s="1"/>
  <c r="AA2567"/>
  <c r="AB2567" s="1"/>
  <c r="AA2566"/>
  <c r="AB2566" s="1"/>
  <c r="AA2565"/>
  <c r="AB2565" s="1"/>
  <c r="AA2564"/>
  <c r="AB2564" s="1"/>
  <c r="AA2563"/>
  <c r="AB2563" s="1"/>
  <c r="AA2562"/>
  <c r="AB2562" s="1"/>
  <c r="AA2561"/>
  <c r="AB2561" s="1"/>
  <c r="AA2560"/>
  <c r="AB2560" s="1"/>
  <c r="AA2559"/>
  <c r="AB2559" s="1"/>
  <c r="AA2558"/>
  <c r="AB2558" s="1"/>
  <c r="AA2557"/>
  <c r="AB2557" s="1"/>
  <c r="AA2556"/>
  <c r="AB2556" s="1"/>
  <c r="AA2555"/>
  <c r="AB2555" s="1"/>
  <c r="AA2554"/>
  <c r="AB2554" s="1"/>
  <c r="AA2553"/>
  <c r="AB2553" s="1"/>
  <c r="AA2552"/>
  <c r="AB2552" s="1"/>
  <c r="AA2551"/>
  <c r="AB2551" s="1"/>
  <c r="AA2550"/>
  <c r="AB2550" s="1"/>
  <c r="AA2549"/>
  <c r="AB2549" s="1"/>
  <c r="AA2548"/>
  <c r="AB2548" s="1"/>
  <c r="AA2547"/>
  <c r="AB2547" s="1"/>
  <c r="AA2546"/>
  <c r="AB2546" s="1"/>
  <c r="AA2545"/>
  <c r="AB2545" s="1"/>
  <c r="AA2544"/>
  <c r="AB2544" s="1"/>
  <c r="AA2543"/>
  <c r="AB2543" s="1"/>
  <c r="AA2542"/>
  <c r="AB2542" s="1"/>
  <c r="AA2541"/>
  <c r="AB2541" s="1"/>
  <c r="AA2540"/>
  <c r="AB2540" s="1"/>
  <c r="AA2539"/>
  <c r="AB2539" s="1"/>
  <c r="AA2538"/>
  <c r="AB2538" s="1"/>
  <c r="AA2537"/>
  <c r="AB2537" s="1"/>
  <c r="AA2536"/>
  <c r="AB2536" s="1"/>
  <c r="AA2535"/>
  <c r="AB2535" s="1"/>
  <c r="AA2534"/>
  <c r="AB2534" s="1"/>
  <c r="AA2533"/>
  <c r="AB2533" s="1"/>
  <c r="AA2532"/>
  <c r="AB2532" s="1"/>
  <c r="AA2531"/>
  <c r="AB2531" s="1"/>
  <c r="AA2530"/>
  <c r="AB2530" s="1"/>
  <c r="AA2529"/>
  <c r="AB2529" s="1"/>
  <c r="AA2528"/>
  <c r="AB2528" s="1"/>
  <c r="AA2527"/>
  <c r="AB2527" s="1"/>
  <c r="AA2526"/>
  <c r="AB2526" s="1"/>
  <c r="AA2525"/>
  <c r="AB2525" s="1"/>
  <c r="AA2524"/>
  <c r="AB2524" s="1"/>
  <c r="AA2523"/>
  <c r="AB2523" s="1"/>
  <c r="AA2522"/>
  <c r="AB2522" s="1"/>
  <c r="AA2521"/>
  <c r="AB2521" s="1"/>
  <c r="AA2520"/>
  <c r="AB2520" s="1"/>
  <c r="AA2519"/>
  <c r="AB2519" s="1"/>
  <c r="AA2518"/>
  <c r="AB2518" s="1"/>
  <c r="AA2517"/>
  <c r="AB2517" s="1"/>
  <c r="AA2516"/>
  <c r="AB2516" s="1"/>
  <c r="AA2515"/>
  <c r="AB2515" s="1"/>
  <c r="AA2514"/>
  <c r="AB2514" s="1"/>
  <c r="AA2513"/>
  <c r="AB2513" s="1"/>
  <c r="AA2512"/>
  <c r="AB2512" s="1"/>
  <c r="AA2511"/>
  <c r="AB2511" s="1"/>
  <c r="AA2510"/>
  <c r="AB2510" s="1"/>
  <c r="AA2509"/>
  <c r="AB2509" s="1"/>
  <c r="AA2508"/>
  <c r="AB2508" s="1"/>
  <c r="AA2507"/>
  <c r="AB2507" s="1"/>
  <c r="AA2506"/>
  <c r="AB2506" s="1"/>
  <c r="AA2505"/>
  <c r="AB2505" s="1"/>
  <c r="AA2504"/>
  <c r="AB2504" s="1"/>
  <c r="AA2503"/>
  <c r="AB2503" s="1"/>
  <c r="AA2502"/>
  <c r="AB2502" s="1"/>
  <c r="AA2501"/>
  <c r="AB2501" s="1"/>
  <c r="AA2500"/>
  <c r="AB2500" s="1"/>
  <c r="AA2499"/>
  <c r="AB2499" s="1"/>
  <c r="AA2498"/>
  <c r="AB2498" s="1"/>
  <c r="AA2497"/>
  <c r="AB2497" s="1"/>
  <c r="AA2496"/>
  <c r="AB2496" s="1"/>
  <c r="AA2495"/>
  <c r="AB2495" s="1"/>
  <c r="AA2494"/>
  <c r="AB2494" s="1"/>
  <c r="AA2493"/>
  <c r="AB2493" s="1"/>
  <c r="AA2492"/>
  <c r="AB2492" s="1"/>
  <c r="AA2491"/>
  <c r="AB2491" s="1"/>
  <c r="AA2490"/>
  <c r="AB2490" s="1"/>
  <c r="AA2489"/>
  <c r="AB2489" s="1"/>
  <c r="AA2488"/>
  <c r="AB2488" s="1"/>
  <c r="AA2487"/>
  <c r="AB2487" s="1"/>
  <c r="AA2486"/>
  <c r="AB2486" s="1"/>
  <c r="AA2485"/>
  <c r="AB2485" s="1"/>
  <c r="AA2484"/>
  <c r="AB2484" s="1"/>
  <c r="AA2483"/>
  <c r="AB2483" s="1"/>
  <c r="AA2482"/>
  <c r="AB2482" s="1"/>
  <c r="AA2481"/>
  <c r="AB2481" s="1"/>
  <c r="AA2480"/>
  <c r="AB2480" s="1"/>
  <c r="AA2479"/>
  <c r="AB2479" s="1"/>
  <c r="AA2478"/>
  <c r="AB2478" s="1"/>
  <c r="AA2477"/>
  <c r="AB2477" s="1"/>
  <c r="AA2476"/>
  <c r="AB2476" s="1"/>
  <c r="AA2475"/>
  <c r="AB2475" s="1"/>
  <c r="AA2474"/>
  <c r="AB2474" s="1"/>
  <c r="AA2473"/>
  <c r="AB2473" s="1"/>
  <c r="AA2472"/>
  <c r="AB2472" s="1"/>
  <c r="AA2471"/>
  <c r="AB2471" s="1"/>
  <c r="AA2470"/>
  <c r="AB2470" s="1"/>
  <c r="AA2469"/>
  <c r="AB2469" s="1"/>
  <c r="AA2468"/>
  <c r="AB2468" s="1"/>
  <c r="AA2467"/>
  <c r="AB2467" s="1"/>
  <c r="AA2466"/>
  <c r="AB2466" s="1"/>
  <c r="AA2465"/>
  <c r="AB2465" s="1"/>
  <c r="AA2464"/>
  <c r="AB2464" s="1"/>
  <c r="AA2463"/>
  <c r="AB2463" s="1"/>
  <c r="AA2462"/>
  <c r="AB2462" s="1"/>
  <c r="AA2461"/>
  <c r="AB2461" s="1"/>
  <c r="AA2460"/>
  <c r="AB2460" s="1"/>
  <c r="AA2459"/>
  <c r="AB2459" s="1"/>
  <c r="AA2458"/>
  <c r="AB2458" s="1"/>
  <c r="AA2457"/>
  <c r="AB2457" s="1"/>
  <c r="AA2456"/>
  <c r="AB2456" s="1"/>
  <c r="AA2455"/>
  <c r="AB2455" s="1"/>
  <c r="AA2454"/>
  <c r="AB2454" s="1"/>
  <c r="AA2453"/>
  <c r="AB2453" s="1"/>
  <c r="AA2452"/>
  <c r="AB2452" s="1"/>
  <c r="AA2451"/>
  <c r="AB2451" s="1"/>
  <c r="AA2450"/>
  <c r="AB2450" s="1"/>
  <c r="AA2449"/>
  <c r="AB2449" s="1"/>
  <c r="AA2448"/>
  <c r="AB2448" s="1"/>
  <c r="AA2447"/>
  <c r="AB2447" s="1"/>
  <c r="AA2446"/>
  <c r="AB2446" s="1"/>
  <c r="AA2445"/>
  <c r="AB2445" s="1"/>
  <c r="AA2444"/>
  <c r="AB2444" s="1"/>
  <c r="AA2443"/>
  <c r="AB2443" s="1"/>
  <c r="AA2442"/>
  <c r="AB2442" s="1"/>
  <c r="AA2441"/>
  <c r="AB2441" s="1"/>
  <c r="AA2440"/>
  <c r="AB2440" s="1"/>
  <c r="AA2439"/>
  <c r="AB2439" s="1"/>
  <c r="AA2438"/>
  <c r="AB2438" s="1"/>
  <c r="AA2437"/>
  <c r="AB2437" s="1"/>
  <c r="AA2436"/>
  <c r="AB2436" s="1"/>
  <c r="AA2435"/>
  <c r="AB2435" s="1"/>
  <c r="AA2434"/>
  <c r="AB2434" s="1"/>
  <c r="AA2433"/>
  <c r="AB2433" s="1"/>
  <c r="AA2432"/>
  <c r="AB2432" s="1"/>
  <c r="AA2431"/>
  <c r="AB2431" s="1"/>
  <c r="AA2430"/>
  <c r="AB2430" s="1"/>
  <c r="AA2429"/>
  <c r="AB2429" s="1"/>
  <c r="AA2428"/>
  <c r="AB2428" s="1"/>
  <c r="AA2427"/>
  <c r="AB2427" s="1"/>
  <c r="AA2426"/>
  <c r="AB2426" s="1"/>
  <c r="AA2425"/>
  <c r="AB2425" s="1"/>
  <c r="AA2424"/>
  <c r="AB2424" s="1"/>
  <c r="AA2423"/>
  <c r="AB2423" s="1"/>
  <c r="AA2422"/>
  <c r="AB2422" s="1"/>
  <c r="AA2421"/>
  <c r="AB2421" s="1"/>
  <c r="AA2420"/>
  <c r="AB2420" s="1"/>
  <c r="AA2419"/>
  <c r="AB2419" s="1"/>
  <c r="AA2418"/>
  <c r="AB2418" s="1"/>
  <c r="AA2417"/>
  <c r="AB2417" s="1"/>
  <c r="AA2416"/>
  <c r="AB2416" s="1"/>
  <c r="AA2415"/>
  <c r="AB2415" s="1"/>
  <c r="AA2414"/>
  <c r="AB2414" s="1"/>
  <c r="AA2413"/>
  <c r="AB2413" s="1"/>
  <c r="AA2412"/>
  <c r="AB2412" s="1"/>
  <c r="AA2411"/>
  <c r="AB2411" s="1"/>
  <c r="AA2410"/>
  <c r="AB2410" s="1"/>
  <c r="AA2409"/>
  <c r="AB2409" s="1"/>
  <c r="AA2408"/>
  <c r="AB2408" s="1"/>
  <c r="AA2407"/>
  <c r="AB2407" s="1"/>
  <c r="AA2406"/>
  <c r="AB2406" s="1"/>
  <c r="AA2405"/>
  <c r="AB2405" s="1"/>
  <c r="AA2404"/>
  <c r="AB2404" s="1"/>
  <c r="AA2403"/>
  <c r="AB2403" s="1"/>
  <c r="AA2402"/>
  <c r="AB2402" s="1"/>
  <c r="AA2401"/>
  <c r="AB2401" s="1"/>
  <c r="AA2400"/>
  <c r="AB2400" s="1"/>
  <c r="AA2399"/>
  <c r="AB2399" s="1"/>
  <c r="AA2398"/>
  <c r="AB2398" s="1"/>
  <c r="AA2397"/>
  <c r="AB2397" s="1"/>
  <c r="AA2396"/>
  <c r="AB2396" s="1"/>
  <c r="AA2395"/>
  <c r="AB2395" s="1"/>
  <c r="AA2394"/>
  <c r="AB2394" s="1"/>
  <c r="AA2393"/>
  <c r="AB2393" s="1"/>
  <c r="AA2392"/>
  <c r="AB2392" s="1"/>
  <c r="AA2391"/>
  <c r="AB2391" s="1"/>
  <c r="AA2390"/>
  <c r="AB2390" s="1"/>
  <c r="AA2389"/>
  <c r="AB2389" s="1"/>
  <c r="AA2388"/>
  <c r="AB2388" s="1"/>
  <c r="AA2387"/>
  <c r="AB2387" s="1"/>
  <c r="AA2386"/>
  <c r="AB2386" s="1"/>
  <c r="AA2385"/>
  <c r="AB2385" s="1"/>
  <c r="AA2384"/>
  <c r="AB2384" s="1"/>
  <c r="AA2383"/>
  <c r="AB2383" s="1"/>
  <c r="AA2382"/>
  <c r="AB2382" s="1"/>
  <c r="AA2381"/>
  <c r="AB2381" s="1"/>
  <c r="AA2380"/>
  <c r="AB2380" s="1"/>
  <c r="AA2379"/>
  <c r="AB2379" s="1"/>
  <c r="AA2378"/>
  <c r="AB2378" s="1"/>
  <c r="AA2377"/>
  <c r="AB2377" s="1"/>
  <c r="AA2376"/>
  <c r="AB2376" s="1"/>
  <c r="AA2375"/>
  <c r="AB2375" s="1"/>
  <c r="AA2374"/>
  <c r="AB2374" s="1"/>
  <c r="AA2373"/>
  <c r="AB2373" s="1"/>
  <c r="AA2372"/>
  <c r="AB2372" s="1"/>
  <c r="AA2371"/>
  <c r="AB2371" s="1"/>
  <c r="AA2370"/>
  <c r="AB2370" s="1"/>
  <c r="AA2369"/>
  <c r="AB2369" s="1"/>
  <c r="AA2368"/>
  <c r="AB2368" s="1"/>
  <c r="AA2367"/>
  <c r="AB2367" s="1"/>
  <c r="AA2366"/>
  <c r="AB2366" s="1"/>
  <c r="AA2365"/>
  <c r="AB2365" s="1"/>
  <c r="AA2364"/>
  <c r="AB2364" s="1"/>
  <c r="AA2363"/>
  <c r="AB2363" s="1"/>
  <c r="AA2362"/>
  <c r="AB2362" s="1"/>
  <c r="AA2361"/>
  <c r="AB2361" s="1"/>
  <c r="AA2360"/>
  <c r="AB2360" s="1"/>
  <c r="AA2359"/>
  <c r="AB2359" s="1"/>
  <c r="AA2358"/>
  <c r="AB2358" s="1"/>
  <c r="AA2357"/>
  <c r="AB2357" s="1"/>
  <c r="AA2356"/>
  <c r="AB2356" s="1"/>
  <c r="AA2355"/>
  <c r="AB2355" s="1"/>
  <c r="AA2354"/>
  <c r="AB2354" s="1"/>
  <c r="AA2353"/>
  <c r="AB2353" s="1"/>
  <c r="AA2352"/>
  <c r="AB2352" s="1"/>
  <c r="AA2351"/>
  <c r="AB2351" s="1"/>
  <c r="AA2350"/>
  <c r="AB2350" s="1"/>
  <c r="AA2349"/>
  <c r="AB2349" s="1"/>
  <c r="AA2348"/>
  <c r="AB2348" s="1"/>
  <c r="AA2347"/>
  <c r="AB2347" s="1"/>
  <c r="AA2346"/>
  <c r="AB2346" s="1"/>
  <c r="AA2345"/>
  <c r="AB2345" s="1"/>
  <c r="AA2344"/>
  <c r="AB2344" s="1"/>
  <c r="AA2343"/>
  <c r="AB2343" s="1"/>
  <c r="AA2342"/>
  <c r="AB2342" s="1"/>
  <c r="AA2341"/>
  <c r="AB2341" s="1"/>
  <c r="AA2340"/>
  <c r="AB2340" s="1"/>
  <c r="AA2339"/>
  <c r="AB2339" s="1"/>
  <c r="AA2338"/>
  <c r="AB2338" s="1"/>
  <c r="AA2337"/>
  <c r="AB2337" s="1"/>
  <c r="AA2336"/>
  <c r="AB2336" s="1"/>
  <c r="AA2335"/>
  <c r="AB2335" s="1"/>
  <c r="AA2334"/>
  <c r="AB2334" s="1"/>
  <c r="AA2333"/>
  <c r="AB2333" s="1"/>
  <c r="AA2332"/>
  <c r="AB2332" s="1"/>
  <c r="AA2331"/>
  <c r="AB2331" s="1"/>
  <c r="AA2330"/>
  <c r="AB2330" s="1"/>
  <c r="AA2329"/>
  <c r="AB2329" s="1"/>
  <c r="AA2328"/>
  <c r="AB2328" s="1"/>
  <c r="AA2327"/>
  <c r="AB2327" s="1"/>
  <c r="AA2326"/>
  <c r="AB2326" s="1"/>
  <c r="AA2325"/>
  <c r="AB2325" s="1"/>
  <c r="AA2324"/>
  <c r="AB2324" s="1"/>
  <c r="AA2323"/>
  <c r="AB2323" s="1"/>
  <c r="AA2322"/>
  <c r="AB2322" s="1"/>
  <c r="AA2321"/>
  <c r="AB2321" s="1"/>
  <c r="AA2320"/>
  <c r="AB2320" s="1"/>
  <c r="AA2319"/>
  <c r="AB2319" s="1"/>
  <c r="AA2318"/>
  <c r="AB2318" s="1"/>
  <c r="AA2317"/>
  <c r="AB2317" s="1"/>
  <c r="AA2316"/>
  <c r="AB2316" s="1"/>
  <c r="AA2315"/>
  <c r="AB2315" s="1"/>
  <c r="AA2314"/>
  <c r="AB2314" s="1"/>
  <c r="AA2313"/>
  <c r="AB2313" s="1"/>
  <c r="AA2312"/>
  <c r="AB2312" s="1"/>
  <c r="AA2311"/>
  <c r="AB2311" s="1"/>
  <c r="AA2310"/>
  <c r="AB2310" s="1"/>
  <c r="AA2309"/>
  <c r="AB2309" s="1"/>
  <c r="AA2308"/>
  <c r="AB2308" s="1"/>
  <c r="AA2307"/>
  <c r="AB2307" s="1"/>
  <c r="AA2306"/>
  <c r="AB2306" s="1"/>
  <c r="AA2305"/>
  <c r="AB2305" s="1"/>
  <c r="AA2304"/>
  <c r="AB2304" s="1"/>
  <c r="AA2303"/>
  <c r="AB2303" s="1"/>
  <c r="AA2302"/>
  <c r="AB2302" s="1"/>
  <c r="AA2301"/>
  <c r="AB2301" s="1"/>
  <c r="AA2300"/>
  <c r="AB2300" s="1"/>
  <c r="AA2299"/>
  <c r="AB2299" s="1"/>
  <c r="AA2298"/>
  <c r="AB2298" s="1"/>
  <c r="AA2297"/>
  <c r="AB2297" s="1"/>
  <c r="AA2296"/>
  <c r="AB2296" s="1"/>
  <c r="AA2295"/>
  <c r="AB2295" s="1"/>
  <c r="AA2294"/>
  <c r="AB2294" s="1"/>
  <c r="AA2293"/>
  <c r="AB2293" s="1"/>
  <c r="AA2292"/>
  <c r="AB2292" s="1"/>
  <c r="AA2291"/>
  <c r="AB2291" s="1"/>
  <c r="AA2290"/>
  <c r="AB2290" s="1"/>
  <c r="AA2289"/>
  <c r="AB2289" s="1"/>
  <c r="AA2288"/>
  <c r="AB2288" s="1"/>
  <c r="AA2287"/>
  <c r="AB2287" s="1"/>
  <c r="AA2286"/>
  <c r="AB2286" s="1"/>
  <c r="AA2285"/>
  <c r="AB2285" s="1"/>
  <c r="AA2284"/>
  <c r="AB2284" s="1"/>
  <c r="AA2283"/>
  <c r="AB2283" s="1"/>
  <c r="AA2282"/>
  <c r="AB2282" s="1"/>
  <c r="AA2281"/>
  <c r="AB2281" s="1"/>
  <c r="AA2280"/>
  <c r="AB2280" s="1"/>
  <c r="AA2279"/>
  <c r="AB2279" s="1"/>
  <c r="AA2278"/>
  <c r="AB2278" s="1"/>
  <c r="AA2277"/>
  <c r="AB2277" s="1"/>
  <c r="AA2276"/>
  <c r="AB2276" s="1"/>
  <c r="AA2275"/>
  <c r="AB2275" s="1"/>
  <c r="AA2274"/>
  <c r="AB2274" s="1"/>
  <c r="AA2273"/>
  <c r="AB2273" s="1"/>
  <c r="AA2272"/>
  <c r="AB2272" s="1"/>
  <c r="AA2271"/>
  <c r="AB2271" s="1"/>
  <c r="AA2270"/>
  <c r="AB2270" s="1"/>
  <c r="AA2269"/>
  <c r="AB2269" s="1"/>
  <c r="AA2268"/>
  <c r="AB2268" s="1"/>
  <c r="AA2267"/>
  <c r="AB2267" s="1"/>
  <c r="AA2266"/>
  <c r="AB2266" s="1"/>
  <c r="AA2265"/>
  <c r="AB2265" s="1"/>
  <c r="AA2264"/>
  <c r="AB2264" s="1"/>
  <c r="AA2263"/>
  <c r="AB2263" s="1"/>
  <c r="AA2262"/>
  <c r="AB2262" s="1"/>
  <c r="AA2261"/>
  <c r="AB2261" s="1"/>
  <c r="AA2260"/>
  <c r="AB2260" s="1"/>
  <c r="AA2259"/>
  <c r="AB2259" s="1"/>
  <c r="AA2258"/>
  <c r="AB2258" s="1"/>
  <c r="AA2257"/>
  <c r="AB2257" s="1"/>
  <c r="AA2256"/>
  <c r="AB2256" s="1"/>
  <c r="AA2255"/>
  <c r="AB2255" s="1"/>
  <c r="AA2254"/>
  <c r="AB2254" s="1"/>
  <c r="AA2253"/>
  <c r="AB2253" s="1"/>
  <c r="AA2252"/>
  <c r="AB2252" s="1"/>
  <c r="AA2251"/>
  <c r="AB2251" s="1"/>
  <c r="AA2250"/>
  <c r="AB2250" s="1"/>
  <c r="AA2249"/>
  <c r="AB2249" s="1"/>
  <c r="AA2248"/>
  <c r="AB2248" s="1"/>
  <c r="AA2247"/>
  <c r="AB2247" s="1"/>
  <c r="AA2246"/>
  <c r="AB2246" s="1"/>
  <c r="AA2245"/>
  <c r="AB2245" s="1"/>
  <c r="AA2244"/>
  <c r="AB2244" s="1"/>
  <c r="AA2243"/>
  <c r="AB2243" s="1"/>
  <c r="AA2242"/>
  <c r="AB2242" s="1"/>
  <c r="AA2241"/>
  <c r="AB2241" s="1"/>
  <c r="AA2240"/>
  <c r="AB2240" s="1"/>
  <c r="AA2239"/>
  <c r="AB2239" s="1"/>
  <c r="AA2238"/>
  <c r="AB2238" s="1"/>
  <c r="AA2237"/>
  <c r="AB2237" s="1"/>
  <c r="AA2236"/>
  <c r="AB2236" s="1"/>
  <c r="AA2235"/>
  <c r="AB2235" s="1"/>
  <c r="AA2234"/>
  <c r="AB2234" s="1"/>
  <c r="AA2233"/>
  <c r="AB2233" s="1"/>
  <c r="AA2232"/>
  <c r="AB2232" s="1"/>
  <c r="AA2231"/>
  <c r="AB2231" s="1"/>
  <c r="AA2230"/>
  <c r="AB2230" s="1"/>
  <c r="AA2229"/>
  <c r="AB2229" s="1"/>
  <c r="AA2228"/>
  <c r="AB2228" s="1"/>
  <c r="AA2227"/>
  <c r="AB2227" s="1"/>
  <c r="AA2226"/>
  <c r="AB2226" s="1"/>
  <c r="AA2225"/>
  <c r="AB2225" s="1"/>
  <c r="AA2224"/>
  <c r="AB2224" s="1"/>
  <c r="AA2223"/>
  <c r="AB2223" s="1"/>
  <c r="AA2222"/>
  <c r="AB2222" s="1"/>
  <c r="AA2221"/>
  <c r="AB2221" s="1"/>
  <c r="AA2220"/>
  <c r="AB2220" s="1"/>
  <c r="AA2219"/>
  <c r="AB2219" s="1"/>
  <c r="AA2218"/>
  <c r="AB2218" s="1"/>
  <c r="AA2217"/>
  <c r="AB2217" s="1"/>
  <c r="AA2216"/>
  <c r="AB2216" s="1"/>
  <c r="AA2215"/>
  <c r="AB2215" s="1"/>
  <c r="AA2214"/>
  <c r="AB2214" s="1"/>
  <c r="AA2213"/>
  <c r="AB2213" s="1"/>
  <c r="AA2212"/>
  <c r="AB2212" s="1"/>
  <c r="AA2211"/>
  <c r="AB2211" s="1"/>
  <c r="AA2210"/>
  <c r="AB2210" s="1"/>
  <c r="AA2209"/>
  <c r="AB2209" s="1"/>
  <c r="AA2208"/>
  <c r="AB2208" s="1"/>
  <c r="AA2207"/>
  <c r="AB2207" s="1"/>
  <c r="AA2206"/>
  <c r="AB2206" s="1"/>
  <c r="AA2205"/>
  <c r="AB2205" s="1"/>
  <c r="AA2204"/>
  <c r="AB2204" s="1"/>
  <c r="AA2203"/>
  <c r="AB2203" s="1"/>
  <c r="AA2202"/>
  <c r="AB2202" s="1"/>
  <c r="AA2201"/>
  <c r="AB2201" s="1"/>
  <c r="AA2200"/>
  <c r="AB2200" s="1"/>
  <c r="AA2199"/>
  <c r="AB2199" s="1"/>
  <c r="AA2198"/>
  <c r="AB2198" s="1"/>
  <c r="AA2197"/>
  <c r="AB2197" s="1"/>
  <c r="AA2196"/>
  <c r="AB2196" s="1"/>
  <c r="AA2195"/>
  <c r="AB2195" s="1"/>
  <c r="AA2194"/>
  <c r="AB2194" s="1"/>
  <c r="AA2193"/>
  <c r="AB2193" s="1"/>
  <c r="AA2192"/>
  <c r="AB2192" s="1"/>
  <c r="AA2191"/>
  <c r="AB2191" s="1"/>
  <c r="AA2190"/>
  <c r="AB2190" s="1"/>
  <c r="AA2189"/>
  <c r="AB2189" s="1"/>
  <c r="AA2188"/>
  <c r="AB2188" s="1"/>
  <c r="AA2187"/>
  <c r="AB2187" s="1"/>
  <c r="AA2186"/>
  <c r="AB2186" s="1"/>
  <c r="AA2185"/>
  <c r="AB2185" s="1"/>
  <c r="AA2184"/>
  <c r="AB2184" s="1"/>
  <c r="AA2183"/>
  <c r="AB2183" s="1"/>
  <c r="AA2182"/>
  <c r="AB2182" s="1"/>
  <c r="AA2181"/>
  <c r="AB2181" s="1"/>
  <c r="AA2180"/>
  <c r="AB2180" s="1"/>
  <c r="AA2179"/>
  <c r="AB2179" s="1"/>
  <c r="AA2178"/>
  <c r="AB2178" s="1"/>
  <c r="AA2177"/>
  <c r="AB2177" s="1"/>
  <c r="AA2176"/>
  <c r="AB2176" s="1"/>
  <c r="AA2175"/>
  <c r="AB2175" s="1"/>
  <c r="AA2174"/>
  <c r="AB2174" s="1"/>
  <c r="AA2173"/>
  <c r="AB2173" s="1"/>
  <c r="AA2172"/>
  <c r="AB2172" s="1"/>
  <c r="AA2171"/>
  <c r="AB2171" s="1"/>
  <c r="AA2170"/>
  <c r="AB2170" s="1"/>
  <c r="AA2169"/>
  <c r="AB2169" s="1"/>
  <c r="AA2168"/>
  <c r="AB2168" s="1"/>
  <c r="AA2167"/>
  <c r="AB2167" s="1"/>
  <c r="AA2166"/>
  <c r="AB2166" s="1"/>
  <c r="AA2165"/>
  <c r="AB2165" s="1"/>
  <c r="AA2164"/>
  <c r="AB2164" s="1"/>
  <c r="AA2163"/>
  <c r="AB2163" s="1"/>
  <c r="AA2162"/>
  <c r="AB2162" s="1"/>
  <c r="AA2161"/>
  <c r="AB2161" s="1"/>
  <c r="AA2160"/>
  <c r="AB2160" s="1"/>
  <c r="AA2159"/>
  <c r="AB2159" s="1"/>
  <c r="AA2158"/>
  <c r="AB2158" s="1"/>
  <c r="AA2157"/>
  <c r="AB2157" s="1"/>
  <c r="AA2156"/>
  <c r="AB2156" s="1"/>
  <c r="AA2155"/>
  <c r="AB2155" s="1"/>
  <c r="AA2154"/>
  <c r="AB2154" s="1"/>
  <c r="AA2153"/>
  <c r="AB2153" s="1"/>
  <c r="AA2152"/>
  <c r="AB2152" s="1"/>
  <c r="AA2151"/>
  <c r="AB2151" s="1"/>
  <c r="AA2150"/>
  <c r="AB2150" s="1"/>
  <c r="AA2149"/>
  <c r="AB2149" s="1"/>
  <c r="AA2148"/>
  <c r="AB2148" s="1"/>
  <c r="AA2147"/>
  <c r="AB2147" s="1"/>
  <c r="AA2146"/>
  <c r="AB2146" s="1"/>
  <c r="AA2145"/>
  <c r="AB2145" s="1"/>
  <c r="AA2144"/>
  <c r="AB2144" s="1"/>
  <c r="AA2143"/>
  <c r="AB2143" s="1"/>
  <c r="AA2142"/>
  <c r="AB2142" s="1"/>
  <c r="AA2141"/>
  <c r="AB2141" s="1"/>
  <c r="AA2140"/>
  <c r="AB2140" s="1"/>
  <c r="AA2139"/>
  <c r="AB2139" s="1"/>
  <c r="AA2138"/>
  <c r="AB2138" s="1"/>
  <c r="AA2137"/>
  <c r="AB2137" s="1"/>
  <c r="AA2136"/>
  <c r="AB2136" s="1"/>
  <c r="AA2135"/>
  <c r="AB2135" s="1"/>
  <c r="AA2134"/>
  <c r="AB2134" s="1"/>
  <c r="AA2133"/>
  <c r="AB2133" s="1"/>
  <c r="AA2132"/>
  <c r="AB2132" s="1"/>
  <c r="AA2131"/>
  <c r="AB2131" s="1"/>
  <c r="AA2130"/>
  <c r="AB2130" s="1"/>
  <c r="AA2129"/>
  <c r="AB2129" s="1"/>
  <c r="AA2128"/>
  <c r="AB2128" s="1"/>
  <c r="AA2127"/>
  <c r="AB2127" s="1"/>
  <c r="AA2126"/>
  <c r="AB2126" s="1"/>
  <c r="AA2125"/>
  <c r="AB2125" s="1"/>
  <c r="AA2124"/>
  <c r="AB2124" s="1"/>
  <c r="AA2123"/>
  <c r="AB2123" s="1"/>
  <c r="AA2122"/>
  <c r="AB2122" s="1"/>
  <c r="AA2121"/>
  <c r="AB2121" s="1"/>
  <c r="AA2120"/>
  <c r="AB2120" s="1"/>
  <c r="AA2119"/>
  <c r="AB2119" s="1"/>
  <c r="AA2118"/>
  <c r="AB2118" s="1"/>
  <c r="AA2117"/>
  <c r="AB2117" s="1"/>
  <c r="AA2116"/>
  <c r="AB2116" s="1"/>
  <c r="AA2115"/>
  <c r="AB2115" s="1"/>
  <c r="AA2114"/>
  <c r="AB2114" s="1"/>
  <c r="AA2113"/>
  <c r="AB2113" s="1"/>
  <c r="AA2112"/>
  <c r="AB2112" s="1"/>
  <c r="AA2111"/>
  <c r="AB2111" s="1"/>
  <c r="AA2110"/>
  <c r="AB2110" s="1"/>
  <c r="AA2109"/>
  <c r="AB2109" s="1"/>
  <c r="AA2108"/>
  <c r="AB2108" s="1"/>
  <c r="AA2107"/>
  <c r="AB2107" s="1"/>
  <c r="AA2106"/>
  <c r="AB2106" s="1"/>
  <c r="AA2105"/>
  <c r="AB2105" s="1"/>
  <c r="AA2104"/>
  <c r="AB2104" s="1"/>
  <c r="AA2103"/>
  <c r="AB2103" s="1"/>
  <c r="AA2102"/>
  <c r="AB2102" s="1"/>
  <c r="AA2101"/>
  <c r="AB2101" s="1"/>
  <c r="AA2100"/>
  <c r="AB2100" s="1"/>
  <c r="AA2099"/>
  <c r="AB2099" s="1"/>
  <c r="AA2098"/>
  <c r="AB2098" s="1"/>
  <c r="AA2097"/>
  <c r="AB2097" s="1"/>
  <c r="AA2096"/>
  <c r="AB2096" s="1"/>
  <c r="AA2095"/>
  <c r="AB2095" s="1"/>
  <c r="AA2094"/>
  <c r="AB2094" s="1"/>
  <c r="AA2093"/>
  <c r="AB2093" s="1"/>
  <c r="AA2092"/>
  <c r="AB2092" s="1"/>
  <c r="AA2091"/>
  <c r="AB2091" s="1"/>
  <c r="AA2090"/>
  <c r="AB2090" s="1"/>
  <c r="AA2089"/>
  <c r="AB2089" s="1"/>
  <c r="AA2088"/>
  <c r="AB2088" s="1"/>
  <c r="AA2087"/>
  <c r="AB2087" s="1"/>
  <c r="AA2086"/>
  <c r="AB2086" s="1"/>
  <c r="AA2085"/>
  <c r="AB2085" s="1"/>
  <c r="AA2084"/>
  <c r="AB2084" s="1"/>
  <c r="AA2083"/>
  <c r="AB2083" s="1"/>
  <c r="AA2082"/>
  <c r="AB2082" s="1"/>
  <c r="AA2081"/>
  <c r="AB2081" s="1"/>
  <c r="AA2080"/>
  <c r="AB2080" s="1"/>
  <c r="AA2079"/>
  <c r="AB2079" s="1"/>
  <c r="AA2078"/>
  <c r="AB2078" s="1"/>
  <c r="AA2077"/>
  <c r="AB2077" s="1"/>
  <c r="AA2076"/>
  <c r="AB2076" s="1"/>
  <c r="AA2075"/>
  <c r="AB2075" s="1"/>
  <c r="AA2074"/>
  <c r="AB2074" s="1"/>
  <c r="AA2073"/>
  <c r="AB2073" s="1"/>
  <c r="AA2072"/>
  <c r="AB2072" s="1"/>
  <c r="AA2071"/>
  <c r="AB2071" s="1"/>
  <c r="AA2070"/>
  <c r="AB2070" s="1"/>
  <c r="AA2069"/>
  <c r="AB2069" s="1"/>
  <c r="AA2068"/>
  <c r="AB2068" s="1"/>
  <c r="AA2067"/>
  <c r="AB2067" s="1"/>
  <c r="AA2066"/>
  <c r="AB2066" s="1"/>
  <c r="AA2065"/>
  <c r="AB2065" s="1"/>
  <c r="AA2064"/>
  <c r="AB2064" s="1"/>
  <c r="AA2063"/>
  <c r="AB2063" s="1"/>
  <c r="AA2062"/>
  <c r="AB2062" s="1"/>
  <c r="AA2061"/>
  <c r="AB2061" s="1"/>
  <c r="AA2060"/>
  <c r="AB2060" s="1"/>
  <c r="AA2059"/>
  <c r="AB2059" s="1"/>
  <c r="AA2058"/>
  <c r="AB2058" s="1"/>
  <c r="AA2057"/>
  <c r="AB2057" s="1"/>
  <c r="AA2056"/>
  <c r="AB2056" s="1"/>
  <c r="AA2055"/>
  <c r="AB2055" s="1"/>
  <c r="AA2054"/>
  <c r="AB2054" s="1"/>
  <c r="AA2053"/>
  <c r="AB2053" s="1"/>
  <c r="AA2052"/>
  <c r="AB2052" s="1"/>
  <c r="AA2051"/>
  <c r="AB2051" s="1"/>
  <c r="AA2050"/>
  <c r="AB2050" s="1"/>
  <c r="AA2049"/>
  <c r="AB2049" s="1"/>
  <c r="AA2048"/>
  <c r="AB2048" s="1"/>
  <c r="AA2047"/>
  <c r="AB2047" s="1"/>
  <c r="AA2046"/>
  <c r="AB2046" s="1"/>
  <c r="AA2045"/>
  <c r="AB2045" s="1"/>
  <c r="AA2044"/>
  <c r="AB2044" s="1"/>
  <c r="AA2043"/>
  <c r="AB2043" s="1"/>
  <c r="AA2042"/>
  <c r="AB2042" s="1"/>
  <c r="AA2041"/>
  <c r="AB2041" s="1"/>
  <c r="AA2040"/>
  <c r="AB2040" s="1"/>
  <c r="AA2039"/>
  <c r="AB2039" s="1"/>
  <c r="AA2038"/>
  <c r="AB2038" s="1"/>
  <c r="AA2037"/>
  <c r="AB2037" s="1"/>
  <c r="AA2036"/>
  <c r="AB2036" s="1"/>
  <c r="AA2035"/>
  <c r="AB2035" s="1"/>
  <c r="AA2034"/>
  <c r="AB2034" s="1"/>
  <c r="AA2033"/>
  <c r="AB2033" s="1"/>
  <c r="AA2032"/>
  <c r="AB2032" s="1"/>
  <c r="AA2031"/>
  <c r="AB2031" s="1"/>
  <c r="AA2030"/>
  <c r="AB2030" s="1"/>
  <c r="AA2029"/>
  <c r="AB2029" s="1"/>
  <c r="AA2028"/>
  <c r="AB2028" s="1"/>
  <c r="AA2027"/>
  <c r="AB2027" s="1"/>
  <c r="AA2026"/>
  <c r="AB2026" s="1"/>
  <c r="AA2025"/>
  <c r="AB2025" s="1"/>
  <c r="AA2024"/>
  <c r="AB2024" s="1"/>
  <c r="AA2023"/>
  <c r="AB2023" s="1"/>
  <c r="AA2022"/>
  <c r="AB2022" s="1"/>
  <c r="AA2021"/>
  <c r="AB2021" s="1"/>
  <c r="AA2020"/>
  <c r="AB2020" s="1"/>
  <c r="AA2019"/>
  <c r="AB2019" s="1"/>
  <c r="AA2018"/>
  <c r="AB2018" s="1"/>
  <c r="AA2017"/>
  <c r="AB2017" s="1"/>
  <c r="AA2016"/>
  <c r="AB2016" s="1"/>
  <c r="AA2015"/>
  <c r="AB2015" s="1"/>
  <c r="AA2014"/>
  <c r="AB2014" s="1"/>
  <c r="AA2013"/>
  <c r="AB2013" s="1"/>
  <c r="AA2012"/>
  <c r="AB2012" s="1"/>
  <c r="AA2011"/>
  <c r="AB2011" s="1"/>
  <c r="AA2010"/>
  <c r="AB2010" s="1"/>
  <c r="AA2009"/>
  <c r="AB2009" s="1"/>
  <c r="AA2008"/>
  <c r="AB2008" s="1"/>
  <c r="AA2007"/>
  <c r="AB2007" s="1"/>
  <c r="AA2006"/>
  <c r="AB2006" s="1"/>
  <c r="AA2005"/>
  <c r="AB2005" s="1"/>
  <c r="AA2004"/>
  <c r="AB2004" s="1"/>
  <c r="AA2003"/>
  <c r="AB2003" s="1"/>
  <c r="AA2002"/>
  <c r="AB2002" s="1"/>
  <c r="AA2001"/>
  <c r="AB2001" s="1"/>
  <c r="AA2000"/>
  <c r="AB2000" s="1"/>
  <c r="AA1999"/>
  <c r="AB1999" s="1"/>
  <c r="AA1998"/>
  <c r="AB1998" s="1"/>
  <c r="AA1997"/>
  <c r="AB1997" s="1"/>
  <c r="AA1996"/>
  <c r="AB1996" s="1"/>
  <c r="AA1995"/>
  <c r="AB1995" s="1"/>
  <c r="AA1994"/>
  <c r="AB1994" s="1"/>
  <c r="AA1993"/>
  <c r="AB1993" s="1"/>
  <c r="AA1992"/>
  <c r="AB1992" s="1"/>
  <c r="AA1991"/>
  <c r="AB1991" s="1"/>
  <c r="AA1990"/>
  <c r="AB1990" s="1"/>
  <c r="AA1989"/>
  <c r="AB1989" s="1"/>
  <c r="AA1988"/>
  <c r="AB1988" s="1"/>
  <c r="AA1987"/>
  <c r="AB1987" s="1"/>
  <c r="AA1986"/>
  <c r="AB1986" s="1"/>
  <c r="AA1985"/>
  <c r="AB1985" s="1"/>
  <c r="AA1984"/>
  <c r="AB1984" s="1"/>
  <c r="AA1983"/>
  <c r="AB1983" s="1"/>
  <c r="AA1982"/>
  <c r="AB1982" s="1"/>
  <c r="AA1981"/>
  <c r="AB1981" s="1"/>
  <c r="AA1980"/>
  <c r="AB1980" s="1"/>
  <c r="AA1979"/>
  <c r="AB1979" s="1"/>
  <c r="AA1978"/>
  <c r="AB1978" s="1"/>
  <c r="AA1977"/>
  <c r="AB1977" s="1"/>
  <c r="AA1976"/>
  <c r="AB1976" s="1"/>
  <c r="AA1975"/>
  <c r="AB1975" s="1"/>
  <c r="AA1974"/>
  <c r="AB1974" s="1"/>
  <c r="AA1973"/>
  <c r="AB1973" s="1"/>
  <c r="AA1972"/>
  <c r="AB1972" s="1"/>
  <c r="AA1971"/>
  <c r="AB1971" s="1"/>
  <c r="AA1970"/>
  <c r="AB1970" s="1"/>
  <c r="AA1969"/>
  <c r="AB1969" s="1"/>
  <c r="AA1968"/>
  <c r="AB1968" s="1"/>
  <c r="AA1967"/>
  <c r="AB1967" s="1"/>
  <c r="AA1966"/>
  <c r="AB1966" s="1"/>
  <c r="AA1965"/>
  <c r="AB1965" s="1"/>
  <c r="AA1964"/>
  <c r="AB1964" s="1"/>
  <c r="AA1963"/>
  <c r="AB1963" s="1"/>
  <c r="AA1962"/>
  <c r="AB1962" s="1"/>
  <c r="AA1961"/>
  <c r="AB1961" s="1"/>
  <c r="AA1960"/>
  <c r="AB1960" s="1"/>
  <c r="AA1959"/>
  <c r="AB1959" s="1"/>
  <c r="AA1958"/>
  <c r="AB1958" s="1"/>
  <c r="AA1957"/>
  <c r="AB1957" s="1"/>
  <c r="AA1956"/>
  <c r="AB1956" s="1"/>
  <c r="AA1955"/>
  <c r="AB1955" s="1"/>
  <c r="AA1954"/>
  <c r="AB1954" s="1"/>
  <c r="AA1953"/>
  <c r="AB1953" s="1"/>
  <c r="AA1952"/>
  <c r="AB1952" s="1"/>
  <c r="AA1951"/>
  <c r="AB1951" s="1"/>
  <c r="AA1950"/>
  <c r="AB1950" s="1"/>
  <c r="AA1949"/>
  <c r="AB1949" s="1"/>
  <c r="AA1948"/>
  <c r="AB1948" s="1"/>
  <c r="AA1947"/>
  <c r="AB1947" s="1"/>
  <c r="AA1946"/>
  <c r="AB1946" s="1"/>
  <c r="AA1945"/>
  <c r="AB1945" s="1"/>
  <c r="AA1944"/>
  <c r="AB1944" s="1"/>
  <c r="AA1943"/>
  <c r="AB1943" s="1"/>
  <c r="AA1942"/>
  <c r="AB1942" s="1"/>
  <c r="AA1941"/>
  <c r="AB1941" s="1"/>
  <c r="AA1940"/>
  <c r="AB1940" s="1"/>
  <c r="AA1939"/>
  <c r="AB1939" s="1"/>
  <c r="AA1938"/>
  <c r="AB1938" s="1"/>
  <c r="AA1937"/>
  <c r="AB1937" s="1"/>
  <c r="AA1936"/>
  <c r="AB1936" s="1"/>
  <c r="AA1935"/>
  <c r="AB1935" s="1"/>
  <c r="AA1934"/>
  <c r="AB1934" s="1"/>
  <c r="AA1933"/>
  <c r="AB1933" s="1"/>
  <c r="AA1932"/>
  <c r="AB1932" s="1"/>
  <c r="AA1931"/>
  <c r="AB1931" s="1"/>
  <c r="AA1930"/>
  <c r="AB1930" s="1"/>
  <c r="AA1929"/>
  <c r="AB1929" s="1"/>
  <c r="AA1928"/>
  <c r="AB1928" s="1"/>
  <c r="AA1927"/>
  <c r="AB1927" s="1"/>
  <c r="AA1926"/>
  <c r="AB1926" s="1"/>
  <c r="AA1925"/>
  <c r="AB1925" s="1"/>
  <c r="AA1924"/>
  <c r="AB1924" s="1"/>
  <c r="AA1923"/>
  <c r="AB1923" s="1"/>
  <c r="AA1922"/>
  <c r="AB1922" s="1"/>
  <c r="AA1921"/>
  <c r="AB1921" s="1"/>
  <c r="AA1920"/>
  <c r="AB1920" s="1"/>
  <c r="AA1919"/>
  <c r="AB1919" s="1"/>
  <c r="AA1918"/>
  <c r="AB1918" s="1"/>
  <c r="AA1917"/>
  <c r="AB1917" s="1"/>
  <c r="AA1916"/>
  <c r="AB1916" s="1"/>
  <c r="AA1915"/>
  <c r="AB1915" s="1"/>
  <c r="AA1914"/>
  <c r="AB1914" s="1"/>
  <c r="AA1913"/>
  <c r="AB1913" s="1"/>
  <c r="AA1912"/>
  <c r="AB1912" s="1"/>
  <c r="AA1911"/>
  <c r="AB1911" s="1"/>
  <c r="AA1910"/>
  <c r="AB1910" s="1"/>
  <c r="AA1909"/>
  <c r="AB1909" s="1"/>
  <c r="AA1908"/>
  <c r="AB1908" s="1"/>
  <c r="AA1907"/>
  <c r="AB1907" s="1"/>
  <c r="AA1906"/>
  <c r="AB1906" s="1"/>
  <c r="AA1905"/>
  <c r="AB1905" s="1"/>
  <c r="AA1904"/>
  <c r="AB1904" s="1"/>
  <c r="AA1903"/>
  <c r="AB1903" s="1"/>
  <c r="AA1902"/>
  <c r="AB1902" s="1"/>
  <c r="AA1901"/>
  <c r="AB1901" s="1"/>
  <c r="AA1900"/>
  <c r="AB1900" s="1"/>
  <c r="AA1899"/>
  <c r="AB1899" s="1"/>
  <c r="AA1898"/>
  <c r="AB1898" s="1"/>
  <c r="AA1897"/>
  <c r="AB1897" s="1"/>
  <c r="AA1896"/>
  <c r="AB1896" s="1"/>
  <c r="AA1895"/>
  <c r="AB1895" s="1"/>
  <c r="AA1894"/>
  <c r="AB1894" s="1"/>
  <c r="AA1893"/>
  <c r="AB1893" s="1"/>
  <c r="AA1892"/>
  <c r="AB1892" s="1"/>
  <c r="AA1891"/>
  <c r="AB1891" s="1"/>
  <c r="AA1890"/>
  <c r="AB1890" s="1"/>
  <c r="AA1889"/>
  <c r="AB1889" s="1"/>
  <c r="AA1888"/>
  <c r="AB1888" s="1"/>
  <c r="AA1887"/>
  <c r="AB1887" s="1"/>
  <c r="AA1886"/>
  <c r="AB1886" s="1"/>
  <c r="AA1885"/>
  <c r="AB1885" s="1"/>
  <c r="AA1884"/>
  <c r="AB1884" s="1"/>
  <c r="AA1883"/>
  <c r="AB1883" s="1"/>
  <c r="AA1882"/>
  <c r="AB1882" s="1"/>
  <c r="AA1881"/>
  <c r="AB1881" s="1"/>
  <c r="AA1880"/>
  <c r="AB1880" s="1"/>
  <c r="AA1879"/>
  <c r="AB1879" s="1"/>
  <c r="AA1878"/>
  <c r="AB1878" s="1"/>
  <c r="AA1877"/>
  <c r="AB1877" s="1"/>
  <c r="AA1876"/>
  <c r="AB1876" s="1"/>
  <c r="AA1875"/>
  <c r="AB1875" s="1"/>
  <c r="AA1874"/>
  <c r="AB1874" s="1"/>
  <c r="AA1873"/>
  <c r="AB1873" s="1"/>
  <c r="AA1872"/>
  <c r="AB1872" s="1"/>
  <c r="AA1871"/>
  <c r="AB1871" s="1"/>
  <c r="AA1870"/>
  <c r="AB1870" s="1"/>
  <c r="AA1869"/>
  <c r="AB1869" s="1"/>
  <c r="AA1868"/>
  <c r="AB1868" s="1"/>
  <c r="AA1867"/>
  <c r="AB1867" s="1"/>
  <c r="AA1866"/>
  <c r="AB1866" s="1"/>
  <c r="AA1865"/>
  <c r="AB1865" s="1"/>
  <c r="AA1864"/>
  <c r="AB1864" s="1"/>
  <c r="AA1863"/>
  <c r="AB1863" s="1"/>
  <c r="AA1862"/>
  <c r="AB1862" s="1"/>
  <c r="AA1861"/>
  <c r="AB1861" s="1"/>
  <c r="AA1860"/>
  <c r="AB1860" s="1"/>
  <c r="AA1859"/>
  <c r="AB1859" s="1"/>
  <c r="AA1858"/>
  <c r="AB1858" s="1"/>
  <c r="AA1857"/>
  <c r="AB1857" s="1"/>
  <c r="AA1856"/>
  <c r="AB1856" s="1"/>
  <c r="AA1855"/>
  <c r="AB1855" s="1"/>
  <c r="AA1854"/>
  <c r="AB1854" s="1"/>
  <c r="AA1853"/>
  <c r="AB1853" s="1"/>
  <c r="AA1852"/>
  <c r="AB1852" s="1"/>
  <c r="AA1851"/>
  <c r="AB1851" s="1"/>
  <c r="AA1850"/>
  <c r="AB1850" s="1"/>
  <c r="AA1849"/>
  <c r="AB1849" s="1"/>
  <c r="AA1848"/>
  <c r="AB1848" s="1"/>
  <c r="AA1847"/>
  <c r="AB1847" s="1"/>
  <c r="AA1846"/>
  <c r="AB1846" s="1"/>
  <c r="AA1845"/>
  <c r="AB1845" s="1"/>
  <c r="AA1844"/>
  <c r="AB1844" s="1"/>
  <c r="AA1843"/>
  <c r="AB1843" s="1"/>
  <c r="AA1842"/>
  <c r="AB1842" s="1"/>
  <c r="AA1841"/>
  <c r="AB1841" s="1"/>
  <c r="AA1840"/>
  <c r="AB1840" s="1"/>
  <c r="AA1839"/>
  <c r="AB1839" s="1"/>
  <c r="AA1838"/>
  <c r="AB1838" s="1"/>
  <c r="AA1837"/>
  <c r="AB1837" s="1"/>
  <c r="AA1836"/>
  <c r="AB1836" s="1"/>
  <c r="AA1835"/>
  <c r="AB1835" s="1"/>
  <c r="AA1834"/>
  <c r="AB1834" s="1"/>
  <c r="AA1833"/>
  <c r="AB1833" s="1"/>
  <c r="AA1832"/>
  <c r="AB1832" s="1"/>
  <c r="AA1831"/>
  <c r="AB1831" s="1"/>
  <c r="AA1830"/>
  <c r="AB1830" s="1"/>
  <c r="AA1829"/>
  <c r="AB1829" s="1"/>
  <c r="AA1828"/>
  <c r="AB1828" s="1"/>
  <c r="AA1827"/>
  <c r="AB1827" s="1"/>
  <c r="AA1826"/>
  <c r="AB1826" s="1"/>
  <c r="AA1825"/>
  <c r="AB1825" s="1"/>
  <c r="AA1824"/>
  <c r="AB1824" s="1"/>
  <c r="AA1823"/>
  <c r="AB1823" s="1"/>
  <c r="AA1822"/>
  <c r="AB1822" s="1"/>
  <c r="AA1821"/>
  <c r="AB1821" s="1"/>
  <c r="AA1820"/>
  <c r="AB1820" s="1"/>
  <c r="AA1819"/>
  <c r="AB1819" s="1"/>
  <c r="AA1818"/>
  <c r="AB1818" s="1"/>
  <c r="AA1817"/>
  <c r="AB1817" s="1"/>
  <c r="AA1816"/>
  <c r="AB1816" s="1"/>
  <c r="AA1815"/>
  <c r="AB1815" s="1"/>
  <c r="AA1814"/>
  <c r="AB1814" s="1"/>
  <c r="AA1813"/>
  <c r="AB1813" s="1"/>
  <c r="AA1812"/>
  <c r="AB1812" s="1"/>
  <c r="AA1811"/>
  <c r="AB1811" s="1"/>
  <c r="AA1810"/>
  <c r="AB1810" s="1"/>
  <c r="AA1809"/>
  <c r="AB1809" s="1"/>
  <c r="AA1808"/>
  <c r="AB1808" s="1"/>
  <c r="AA1807"/>
  <c r="AB1807" s="1"/>
  <c r="AA1806"/>
  <c r="AB1806" s="1"/>
  <c r="AA1805"/>
  <c r="AB1805" s="1"/>
  <c r="AA1804"/>
  <c r="AB1804" s="1"/>
  <c r="AA1803"/>
  <c r="AB1803" s="1"/>
  <c r="AA1802"/>
  <c r="AB1802" s="1"/>
  <c r="AA1801"/>
  <c r="AB1801" s="1"/>
  <c r="AA1800"/>
  <c r="AB1800" s="1"/>
  <c r="AA1799"/>
  <c r="AB1799" s="1"/>
  <c r="AA1798"/>
  <c r="AB1798" s="1"/>
  <c r="AA1797"/>
  <c r="AB1797" s="1"/>
  <c r="AA1796"/>
  <c r="AB1796" s="1"/>
  <c r="AA1795"/>
  <c r="AB1795" s="1"/>
  <c r="AA1794"/>
  <c r="AB1794" s="1"/>
  <c r="AA1793"/>
  <c r="AB1793" s="1"/>
  <c r="AA1792"/>
  <c r="AB1792" s="1"/>
  <c r="AA1791"/>
  <c r="AB1791" s="1"/>
  <c r="AA1790"/>
  <c r="AB1790" s="1"/>
  <c r="AA1789"/>
  <c r="AB1789" s="1"/>
  <c r="AA1788"/>
  <c r="AB1788" s="1"/>
  <c r="AA1787"/>
  <c r="AB1787" s="1"/>
  <c r="AA1786"/>
  <c r="AB1786" s="1"/>
  <c r="AA1785"/>
  <c r="AB1785" s="1"/>
  <c r="AA1784"/>
  <c r="AB1784" s="1"/>
  <c r="AA1783"/>
  <c r="AB1783" s="1"/>
  <c r="AA1782"/>
  <c r="AB1782" s="1"/>
  <c r="AA1781"/>
  <c r="AB1781" s="1"/>
  <c r="AA1780"/>
  <c r="AB1780" s="1"/>
  <c r="AA1779"/>
  <c r="AB1779" s="1"/>
  <c r="AA1778"/>
  <c r="AB1778" s="1"/>
  <c r="AA1777"/>
  <c r="AB1777" s="1"/>
  <c r="AA1776"/>
  <c r="AB1776" s="1"/>
  <c r="AA1775"/>
  <c r="AB1775" s="1"/>
  <c r="AA1774"/>
  <c r="AB1774" s="1"/>
  <c r="AA1773"/>
  <c r="AB1773" s="1"/>
  <c r="AA1772"/>
  <c r="AB1772" s="1"/>
  <c r="AA1771"/>
  <c r="AB1771" s="1"/>
  <c r="AA1770"/>
  <c r="AB1770" s="1"/>
  <c r="AA1769"/>
  <c r="AB1769" s="1"/>
  <c r="AA1768"/>
  <c r="AB1768" s="1"/>
  <c r="AA1767"/>
  <c r="AB1767" s="1"/>
  <c r="AA1766"/>
  <c r="AB1766" s="1"/>
  <c r="AA1765"/>
  <c r="AB1765" s="1"/>
  <c r="AA1764"/>
  <c r="AB1764" s="1"/>
  <c r="AA1763"/>
  <c r="AB1763" s="1"/>
  <c r="AA1762"/>
  <c r="AB1762" s="1"/>
  <c r="AA1761"/>
  <c r="AB1761" s="1"/>
  <c r="AA1760"/>
  <c r="AB1760" s="1"/>
  <c r="AA1759"/>
  <c r="AB1759" s="1"/>
  <c r="AA1758"/>
  <c r="AB1758" s="1"/>
  <c r="AA1757"/>
  <c r="AB1757" s="1"/>
  <c r="AA1756"/>
  <c r="AB1756" s="1"/>
  <c r="AA1755"/>
  <c r="AB1755" s="1"/>
  <c r="AA1754"/>
  <c r="AB1754" s="1"/>
  <c r="AA1753"/>
  <c r="AB1753" s="1"/>
  <c r="AA1752"/>
  <c r="AB1752" s="1"/>
  <c r="AA1751"/>
  <c r="AB1751" s="1"/>
  <c r="AA1750"/>
  <c r="AB1750" s="1"/>
  <c r="AA1749"/>
  <c r="AB1749" s="1"/>
  <c r="AA1748"/>
  <c r="AB1748" s="1"/>
  <c r="AA1747"/>
  <c r="AB1747" s="1"/>
  <c r="AA1746"/>
  <c r="AB1746" s="1"/>
  <c r="AA1745"/>
  <c r="AB1745" s="1"/>
  <c r="AA1744"/>
  <c r="AB1744" s="1"/>
  <c r="AA1743"/>
  <c r="AB1743" s="1"/>
  <c r="AA1742"/>
  <c r="AB1742" s="1"/>
  <c r="AA1741"/>
  <c r="AB1741" s="1"/>
  <c r="AA1740"/>
  <c r="AB1740" s="1"/>
  <c r="AA1739"/>
  <c r="AB1739" s="1"/>
  <c r="AA1738"/>
  <c r="AB1738" s="1"/>
  <c r="AA1737"/>
  <c r="AB1737" s="1"/>
  <c r="AA1736"/>
  <c r="AB1736" s="1"/>
  <c r="AA1735"/>
  <c r="AB1735" s="1"/>
  <c r="AA1734"/>
  <c r="AB1734" s="1"/>
  <c r="AA1733"/>
  <c r="AB1733" s="1"/>
  <c r="AA1732"/>
  <c r="AB1732" s="1"/>
  <c r="AA1731"/>
  <c r="AB1731" s="1"/>
  <c r="AA1730"/>
  <c r="AB1730" s="1"/>
  <c r="AA1729"/>
  <c r="AB1729" s="1"/>
  <c r="AA1728"/>
  <c r="AB1728" s="1"/>
  <c r="AA1727"/>
  <c r="AB1727" s="1"/>
  <c r="AA1726"/>
  <c r="AB1726" s="1"/>
  <c r="AA1725"/>
  <c r="AB1725" s="1"/>
  <c r="AA1724"/>
  <c r="AB1724" s="1"/>
  <c r="AA1723"/>
  <c r="AB1723" s="1"/>
  <c r="AA1722"/>
  <c r="AB1722" s="1"/>
  <c r="AA1721"/>
  <c r="AB1721" s="1"/>
  <c r="AA1720"/>
  <c r="AB1720" s="1"/>
  <c r="AA1719"/>
  <c r="AB1719" s="1"/>
  <c r="AA1718"/>
  <c r="AB1718" s="1"/>
  <c r="AA1717"/>
  <c r="AB1717" s="1"/>
  <c r="AA1716"/>
  <c r="AB1716" s="1"/>
  <c r="AA1715"/>
  <c r="AB1715" s="1"/>
  <c r="AA1714"/>
  <c r="AB1714" s="1"/>
  <c r="AA1713"/>
  <c r="AB1713" s="1"/>
  <c r="AA1712"/>
  <c r="AB1712" s="1"/>
  <c r="AA1711"/>
  <c r="AB1711" s="1"/>
  <c r="AA1710"/>
  <c r="AB1710" s="1"/>
  <c r="AA1709"/>
  <c r="AB1709" s="1"/>
  <c r="AA1708"/>
  <c r="AB1708" s="1"/>
  <c r="AA1707"/>
  <c r="AB1707" s="1"/>
  <c r="AA1706"/>
  <c r="AB1706" s="1"/>
  <c r="AA1705"/>
  <c r="AB1705" s="1"/>
  <c r="AA1704"/>
  <c r="AB1704" s="1"/>
  <c r="AA1703"/>
  <c r="AB1703" s="1"/>
  <c r="AA1702"/>
  <c r="AB1702" s="1"/>
  <c r="AA1701"/>
  <c r="AB1701" s="1"/>
  <c r="AA1700"/>
  <c r="AB1700" s="1"/>
  <c r="AA1699"/>
  <c r="AB1699" s="1"/>
  <c r="AA1698"/>
  <c r="AB1698" s="1"/>
  <c r="AA1697"/>
  <c r="AB1697" s="1"/>
  <c r="AA1696"/>
  <c r="AB1696" s="1"/>
  <c r="AA1695"/>
  <c r="AB1695" s="1"/>
  <c r="AA1694"/>
  <c r="AB1694" s="1"/>
  <c r="AA1693"/>
  <c r="AB1693" s="1"/>
  <c r="AA1692"/>
  <c r="AB1692" s="1"/>
  <c r="AA1691"/>
  <c r="AB1691" s="1"/>
  <c r="AA1690"/>
  <c r="AB1690" s="1"/>
  <c r="AA1689"/>
  <c r="AB1689" s="1"/>
  <c r="AA1688"/>
  <c r="AB1688" s="1"/>
  <c r="AA1687"/>
  <c r="AB1687" s="1"/>
  <c r="AA1686"/>
  <c r="AB1686" s="1"/>
  <c r="AA1685"/>
  <c r="AB1685" s="1"/>
  <c r="AA1684"/>
  <c r="AB1684" s="1"/>
  <c r="AA1683"/>
  <c r="AB1683" s="1"/>
  <c r="AA1682"/>
  <c r="AB1682" s="1"/>
  <c r="AA1681"/>
  <c r="AB1681" s="1"/>
  <c r="AA1680"/>
  <c r="AB1680" s="1"/>
  <c r="AA1679"/>
  <c r="AB1679" s="1"/>
  <c r="AA1678"/>
  <c r="AB1678" s="1"/>
  <c r="AA1677"/>
  <c r="AB1677" s="1"/>
  <c r="AA1676"/>
  <c r="AB1676" s="1"/>
  <c r="AA1675"/>
  <c r="AB1675" s="1"/>
  <c r="AA1674"/>
  <c r="AB1674" s="1"/>
  <c r="AA1673"/>
  <c r="AB1673" s="1"/>
  <c r="AA1672"/>
  <c r="AB1672" s="1"/>
  <c r="AA1671"/>
  <c r="AB1671" s="1"/>
  <c r="AA1670"/>
  <c r="AB1670" s="1"/>
  <c r="AA1669"/>
  <c r="AB1669" s="1"/>
  <c r="AA1668"/>
  <c r="AB1668" s="1"/>
  <c r="AA1667"/>
  <c r="AB1667" s="1"/>
  <c r="AA1666"/>
  <c r="AB1666" s="1"/>
  <c r="AA1665"/>
  <c r="AB1665" s="1"/>
  <c r="AA1664"/>
  <c r="AB1664" s="1"/>
  <c r="AA1663"/>
  <c r="AB1663" s="1"/>
  <c r="AA1662"/>
  <c r="AB1662" s="1"/>
  <c r="AA1661"/>
  <c r="AB1661" s="1"/>
  <c r="AA1660"/>
  <c r="AB1660" s="1"/>
  <c r="AA1659"/>
  <c r="AB1659" s="1"/>
  <c r="AA1658"/>
  <c r="AB1658" s="1"/>
  <c r="AA1657"/>
  <c r="AB1657" s="1"/>
  <c r="AA1656"/>
  <c r="AB1656" s="1"/>
  <c r="AA1655"/>
  <c r="AB1655" s="1"/>
  <c r="AA1654"/>
  <c r="AB1654" s="1"/>
  <c r="AA1653"/>
  <c r="AB1653" s="1"/>
  <c r="AA1652"/>
  <c r="AB1652" s="1"/>
  <c r="AA1651"/>
  <c r="AB1651" s="1"/>
  <c r="AA1650"/>
  <c r="AB1650" s="1"/>
  <c r="AA1649"/>
  <c r="AB1649" s="1"/>
  <c r="AA1648"/>
  <c r="AB1648" s="1"/>
  <c r="AA1647"/>
  <c r="AB1647" s="1"/>
  <c r="AA1646"/>
  <c r="AB1646" s="1"/>
  <c r="AA1645"/>
  <c r="AB1645" s="1"/>
  <c r="AA1644"/>
  <c r="AB1644" s="1"/>
  <c r="AA1643"/>
  <c r="AB1643" s="1"/>
  <c r="AA1642"/>
  <c r="AB1642" s="1"/>
  <c r="AA1641"/>
  <c r="AB1641" s="1"/>
  <c r="AA1640"/>
  <c r="AB1640" s="1"/>
  <c r="AA1639"/>
  <c r="AB1639" s="1"/>
  <c r="AA1638"/>
  <c r="AB1638" s="1"/>
  <c r="AA1637"/>
  <c r="AB1637" s="1"/>
  <c r="AA1636"/>
  <c r="AB1636" s="1"/>
  <c r="AA1635"/>
  <c r="AB1635" s="1"/>
  <c r="AA1634"/>
  <c r="AB1634" s="1"/>
  <c r="AA1633"/>
  <c r="AB1633" s="1"/>
  <c r="AA1632"/>
  <c r="AB1632" s="1"/>
  <c r="AA1631"/>
  <c r="AB1631" s="1"/>
  <c r="AA1630"/>
  <c r="AB1630" s="1"/>
  <c r="AA1629"/>
  <c r="AB1629" s="1"/>
  <c r="AA1628"/>
  <c r="AB1628" s="1"/>
  <c r="AA1627"/>
  <c r="AB1627" s="1"/>
  <c r="AA1626"/>
  <c r="AB1626" s="1"/>
  <c r="AA1625"/>
  <c r="AB1625" s="1"/>
  <c r="AA1624"/>
  <c r="AB1624" s="1"/>
  <c r="AA1623"/>
  <c r="AB1623" s="1"/>
  <c r="AA1622"/>
  <c r="AB1622" s="1"/>
  <c r="AA1621"/>
  <c r="AB1621" s="1"/>
  <c r="AA1620"/>
  <c r="AB1620" s="1"/>
  <c r="AA1619"/>
  <c r="AB1619" s="1"/>
  <c r="AA1618"/>
  <c r="AB1618" s="1"/>
  <c r="AA1617"/>
  <c r="AB1617" s="1"/>
  <c r="AA1616"/>
  <c r="AB1616" s="1"/>
  <c r="AA1615"/>
  <c r="AB1615" s="1"/>
  <c r="AA1614"/>
  <c r="AB1614" s="1"/>
  <c r="AA1613"/>
  <c r="AB1613" s="1"/>
  <c r="AA1612"/>
  <c r="AB1612" s="1"/>
  <c r="AA1611"/>
  <c r="AB1611" s="1"/>
  <c r="AA1610"/>
  <c r="AB1610" s="1"/>
  <c r="AA1609"/>
  <c r="AB1609" s="1"/>
  <c r="AA1608"/>
  <c r="AB1608" s="1"/>
  <c r="AA1607"/>
  <c r="AB1607" s="1"/>
  <c r="AA1606"/>
  <c r="AB1606" s="1"/>
  <c r="AA1605"/>
  <c r="AB1605" s="1"/>
  <c r="AA1604"/>
  <c r="AB1604" s="1"/>
  <c r="AA1603"/>
  <c r="AB1603" s="1"/>
  <c r="AA1602"/>
  <c r="AB1602" s="1"/>
  <c r="AA1601"/>
  <c r="AB1601" s="1"/>
  <c r="AA1600"/>
  <c r="AB1600" s="1"/>
  <c r="AA1599"/>
  <c r="AB1599" s="1"/>
  <c r="AA1598"/>
  <c r="AB1598" s="1"/>
  <c r="AA1597"/>
  <c r="AB1597" s="1"/>
  <c r="AA1596"/>
  <c r="AB1596" s="1"/>
  <c r="AA1595"/>
  <c r="AB1595" s="1"/>
  <c r="AA1594"/>
  <c r="AB1594" s="1"/>
  <c r="AA1593"/>
  <c r="AB1593" s="1"/>
  <c r="AA1592"/>
  <c r="AB1592" s="1"/>
  <c r="AA1591"/>
  <c r="AB1591" s="1"/>
  <c r="AA1590"/>
  <c r="AB1590" s="1"/>
  <c r="AA1589"/>
  <c r="AB1589" s="1"/>
  <c r="AA1588"/>
  <c r="AB1588" s="1"/>
  <c r="AA1587"/>
  <c r="AB1587" s="1"/>
  <c r="AA1586"/>
  <c r="AB1586" s="1"/>
  <c r="AA1585"/>
  <c r="AB1585" s="1"/>
  <c r="AA1584"/>
  <c r="AB1584" s="1"/>
  <c r="AA1583"/>
  <c r="AB1583" s="1"/>
  <c r="AA1582"/>
  <c r="AB1582" s="1"/>
  <c r="AA1581"/>
  <c r="AB1581" s="1"/>
  <c r="AA1580"/>
  <c r="AB1580" s="1"/>
  <c r="AA1579"/>
  <c r="AB1579" s="1"/>
  <c r="AA1578"/>
  <c r="AB1578" s="1"/>
  <c r="AA1577"/>
  <c r="AB1577" s="1"/>
  <c r="AA1576"/>
  <c r="AB1576" s="1"/>
  <c r="AA1575"/>
  <c r="AB1575" s="1"/>
  <c r="AA1574"/>
  <c r="AB1574" s="1"/>
  <c r="AA1573"/>
  <c r="AB1573" s="1"/>
  <c r="AA1572"/>
  <c r="AB1572" s="1"/>
  <c r="AA1571"/>
  <c r="AB1571" s="1"/>
  <c r="AA1570"/>
  <c r="AB1570" s="1"/>
  <c r="AA1569"/>
  <c r="AB1569" s="1"/>
  <c r="AA1568"/>
  <c r="AB1568" s="1"/>
  <c r="AA1567"/>
  <c r="AB1567" s="1"/>
  <c r="AA1566"/>
  <c r="AB1566" s="1"/>
  <c r="AA1565"/>
  <c r="AB1565" s="1"/>
  <c r="AA1564"/>
  <c r="AB1564" s="1"/>
  <c r="AA1563"/>
  <c r="AB1563" s="1"/>
  <c r="AA1562"/>
  <c r="AB1562" s="1"/>
  <c r="AA1561"/>
  <c r="AB1561" s="1"/>
  <c r="AA1560"/>
  <c r="AB1560" s="1"/>
  <c r="AA1559"/>
  <c r="AB1559" s="1"/>
  <c r="AA1558"/>
  <c r="AB1558" s="1"/>
  <c r="AA1557"/>
  <c r="AB1557" s="1"/>
  <c r="AA1556"/>
  <c r="AB1556" s="1"/>
  <c r="AA1555"/>
  <c r="AB1555" s="1"/>
  <c r="AA1554"/>
  <c r="AB1554" s="1"/>
  <c r="AA1553"/>
  <c r="AB1553" s="1"/>
  <c r="AA1552"/>
  <c r="AB1552" s="1"/>
  <c r="AA1551"/>
  <c r="AB1551" s="1"/>
  <c r="AA1550"/>
  <c r="AB1550" s="1"/>
  <c r="AA1549"/>
  <c r="AB1549" s="1"/>
  <c r="AA1548"/>
  <c r="AB1548" s="1"/>
  <c r="AA1547"/>
  <c r="AB1547" s="1"/>
  <c r="AA1546"/>
  <c r="AB1546" s="1"/>
  <c r="AA1545"/>
  <c r="AB1545" s="1"/>
  <c r="AA1544"/>
  <c r="AB1544" s="1"/>
  <c r="AA1543"/>
  <c r="AB1543" s="1"/>
  <c r="AA1542"/>
  <c r="AB1542" s="1"/>
  <c r="AA1541"/>
  <c r="AB1541" s="1"/>
  <c r="AA1540"/>
  <c r="AB1540" s="1"/>
  <c r="AA1539"/>
  <c r="AB1539" s="1"/>
  <c r="AA1538"/>
  <c r="AB1538" s="1"/>
  <c r="AA1537"/>
  <c r="AB1537" s="1"/>
  <c r="AA1536"/>
  <c r="AB1536" s="1"/>
  <c r="AA1535"/>
  <c r="AB1535" s="1"/>
  <c r="AA1534"/>
  <c r="AB1534" s="1"/>
  <c r="AA1533"/>
  <c r="AB1533" s="1"/>
  <c r="AA1532"/>
  <c r="AB1532" s="1"/>
  <c r="AA1531"/>
  <c r="AB1531" s="1"/>
  <c r="AA1530"/>
  <c r="AB1530" s="1"/>
  <c r="AA1529"/>
  <c r="AB1529" s="1"/>
  <c r="AA1528"/>
  <c r="AB1528" s="1"/>
  <c r="AA1527"/>
  <c r="AB1527" s="1"/>
  <c r="AA1526"/>
  <c r="AB1526" s="1"/>
  <c r="AA1525"/>
  <c r="AB1525" s="1"/>
  <c r="AA1524"/>
  <c r="AB1524" s="1"/>
  <c r="AA1523"/>
  <c r="AB1523" s="1"/>
  <c r="AA1522"/>
  <c r="AB1522" s="1"/>
  <c r="AA1521"/>
  <c r="AB1521" s="1"/>
  <c r="AA1520"/>
  <c r="AB1520" s="1"/>
  <c r="AA1519"/>
  <c r="AB1519" s="1"/>
  <c r="AA1518"/>
  <c r="AB1518" s="1"/>
  <c r="AA1517"/>
  <c r="AB1517" s="1"/>
  <c r="AA1516"/>
  <c r="AB1516" s="1"/>
  <c r="AA1515"/>
  <c r="AB1515" s="1"/>
  <c r="AA1514"/>
  <c r="AB1514" s="1"/>
  <c r="AA1513"/>
  <c r="AB1513" s="1"/>
  <c r="AA1512"/>
  <c r="AB1512" s="1"/>
  <c r="AA1511"/>
  <c r="AB1511" s="1"/>
  <c r="AA1510"/>
  <c r="AB1510" s="1"/>
  <c r="AA1509"/>
  <c r="AB1509" s="1"/>
  <c r="AA1508"/>
  <c r="AB1508" s="1"/>
  <c r="AA1507"/>
  <c r="AB1507" s="1"/>
  <c r="AA1506"/>
  <c r="AB1506" s="1"/>
  <c r="AA1505"/>
  <c r="AB1505" s="1"/>
  <c r="AA1504"/>
  <c r="AB1504" s="1"/>
  <c r="AA1503"/>
  <c r="AB1503" s="1"/>
  <c r="AA1502"/>
  <c r="AB1502" s="1"/>
  <c r="AA1501"/>
  <c r="AB1501" s="1"/>
  <c r="AA1500"/>
  <c r="AB1500" s="1"/>
  <c r="AA1499"/>
  <c r="AB1499" s="1"/>
  <c r="AA1498"/>
  <c r="AB1498" s="1"/>
  <c r="AA1497"/>
  <c r="AB1497" s="1"/>
  <c r="AA1496"/>
  <c r="AB1496" s="1"/>
  <c r="AA1495"/>
  <c r="AB1495" s="1"/>
  <c r="AA1494"/>
  <c r="AB1494" s="1"/>
  <c r="AA1493"/>
  <c r="AB1493" s="1"/>
  <c r="AA1492"/>
  <c r="AB1492" s="1"/>
  <c r="AA1491"/>
  <c r="AB1491" s="1"/>
  <c r="AA1490"/>
  <c r="AB1490" s="1"/>
  <c r="AA1489"/>
  <c r="AB1489" s="1"/>
  <c r="AA1488"/>
  <c r="AB1488" s="1"/>
  <c r="AA1487"/>
  <c r="AB1487" s="1"/>
  <c r="AA1486"/>
  <c r="AB1486" s="1"/>
  <c r="AA1485"/>
  <c r="AB1485" s="1"/>
  <c r="AA1484"/>
  <c r="AB1484" s="1"/>
  <c r="AA1483"/>
  <c r="AB1483" s="1"/>
  <c r="AA1482"/>
  <c r="AB1482" s="1"/>
  <c r="AA1481"/>
  <c r="AB1481" s="1"/>
  <c r="AA1480"/>
  <c r="AB1480" s="1"/>
  <c r="AA1479"/>
  <c r="AB1479" s="1"/>
  <c r="AA1478"/>
  <c r="AB1478" s="1"/>
  <c r="AA1477"/>
  <c r="AB1477" s="1"/>
  <c r="AA1476"/>
  <c r="AB1476" s="1"/>
  <c r="AA1475"/>
  <c r="AB1475" s="1"/>
  <c r="AA1474"/>
  <c r="AB1474" s="1"/>
  <c r="AA1473"/>
  <c r="AB1473" s="1"/>
  <c r="AA1472"/>
  <c r="AB1472" s="1"/>
  <c r="AA1471"/>
  <c r="AB1471" s="1"/>
  <c r="AA1470"/>
  <c r="AB1470" s="1"/>
  <c r="AA1469"/>
  <c r="AB1469" s="1"/>
  <c r="AA1468"/>
  <c r="AB1468" s="1"/>
  <c r="AA1467"/>
  <c r="AB1467" s="1"/>
  <c r="AA1466"/>
  <c r="AB1466" s="1"/>
  <c r="AA1465"/>
  <c r="AB1465" s="1"/>
  <c r="AA1464"/>
  <c r="AB1464" s="1"/>
  <c r="AA1463"/>
  <c r="AB1463" s="1"/>
  <c r="AA1462"/>
  <c r="AB1462" s="1"/>
  <c r="AA1461"/>
  <c r="AB1461" s="1"/>
  <c r="AA1460"/>
  <c r="AB1460" s="1"/>
  <c r="AA1459"/>
  <c r="AB1459" s="1"/>
  <c r="AA1458"/>
  <c r="AB1458" s="1"/>
  <c r="AA1457"/>
  <c r="AB1457" s="1"/>
  <c r="AA1456"/>
  <c r="AB1456" s="1"/>
  <c r="AA1455"/>
  <c r="AB1455" s="1"/>
  <c r="AA1454"/>
  <c r="AB1454" s="1"/>
  <c r="AA1453"/>
  <c r="AB1453" s="1"/>
  <c r="AA1452"/>
  <c r="AB1452" s="1"/>
  <c r="AA1451"/>
  <c r="AB1451" s="1"/>
  <c r="AA1450"/>
  <c r="AB1450" s="1"/>
  <c r="AA1449"/>
  <c r="AB1449" s="1"/>
  <c r="AA1448"/>
  <c r="AB1448" s="1"/>
  <c r="AA1447"/>
  <c r="AB1447" s="1"/>
  <c r="AA1446"/>
  <c r="AB1446" s="1"/>
  <c r="AA1445"/>
  <c r="AB1445" s="1"/>
  <c r="AA1444"/>
  <c r="AB1444" s="1"/>
  <c r="AA1443"/>
  <c r="AB1443" s="1"/>
  <c r="AA1442"/>
  <c r="AB1442" s="1"/>
  <c r="AA1441"/>
  <c r="AB1441" s="1"/>
  <c r="AA1440"/>
  <c r="AB1440" s="1"/>
  <c r="AA1439"/>
  <c r="AB1439" s="1"/>
  <c r="AA1438"/>
  <c r="AB1438" s="1"/>
  <c r="AA1437"/>
  <c r="AB1437" s="1"/>
  <c r="AA1436"/>
  <c r="AB1436" s="1"/>
  <c r="AA1435"/>
  <c r="AB1435" s="1"/>
  <c r="AA1434"/>
  <c r="AB1434" s="1"/>
  <c r="AA1433"/>
  <c r="AB1433" s="1"/>
  <c r="AA1432"/>
  <c r="AB1432" s="1"/>
  <c r="AA1431"/>
  <c r="AB1431" s="1"/>
  <c r="AA1430"/>
  <c r="AB1430" s="1"/>
  <c r="AA1429"/>
  <c r="AB1429" s="1"/>
  <c r="AA1428"/>
  <c r="AB1428" s="1"/>
  <c r="AA1427"/>
  <c r="AB1427" s="1"/>
  <c r="AA1426"/>
  <c r="AB1426" s="1"/>
  <c r="AA1425"/>
  <c r="AB1425" s="1"/>
  <c r="AA1424"/>
  <c r="AB1424" s="1"/>
  <c r="AA1423"/>
  <c r="AB1423" s="1"/>
  <c r="AA1422"/>
  <c r="AB1422" s="1"/>
  <c r="AA1421"/>
  <c r="AB1421" s="1"/>
  <c r="AA1420"/>
  <c r="AB1420" s="1"/>
  <c r="AA1419"/>
  <c r="AB1419" s="1"/>
  <c r="AA1418"/>
  <c r="AB1418" s="1"/>
  <c r="AA1417"/>
  <c r="AB1417" s="1"/>
  <c r="AA1416"/>
  <c r="AB1416" s="1"/>
  <c r="AA1415"/>
  <c r="AB1415" s="1"/>
  <c r="AA1414"/>
  <c r="AB1414" s="1"/>
  <c r="AA1413"/>
  <c r="AB1413" s="1"/>
  <c r="AA1412"/>
  <c r="AB1412" s="1"/>
  <c r="AA1411"/>
  <c r="AB1411" s="1"/>
  <c r="AA1410"/>
  <c r="AB1410" s="1"/>
  <c r="AA1409"/>
  <c r="AB1409" s="1"/>
  <c r="AA1408"/>
  <c r="AB1408" s="1"/>
  <c r="AA1407"/>
  <c r="AB1407" s="1"/>
  <c r="AA1406"/>
  <c r="AB1406" s="1"/>
  <c r="AA1405"/>
  <c r="AB1405" s="1"/>
  <c r="AA1404"/>
  <c r="AB1404" s="1"/>
  <c r="AA1403"/>
  <c r="AB1403" s="1"/>
  <c r="AA1402"/>
  <c r="AB1402" s="1"/>
  <c r="AA1401"/>
  <c r="AB1401" s="1"/>
  <c r="AA1400"/>
  <c r="AB1400" s="1"/>
  <c r="AA1399"/>
  <c r="AB1399" s="1"/>
  <c r="AA1398"/>
  <c r="AB1398" s="1"/>
  <c r="AA1397"/>
  <c r="AB1397" s="1"/>
  <c r="AA1396"/>
  <c r="AB1396" s="1"/>
  <c r="AA1395"/>
  <c r="AB1395" s="1"/>
  <c r="AA1394"/>
  <c r="AB1394" s="1"/>
  <c r="AA1393"/>
  <c r="AB1393" s="1"/>
  <c r="AA1392"/>
  <c r="AB1392" s="1"/>
  <c r="AA1391"/>
  <c r="AB1391" s="1"/>
  <c r="AA1390"/>
  <c r="AB1390" s="1"/>
  <c r="AA1389"/>
  <c r="AB1389" s="1"/>
  <c r="AA1388"/>
  <c r="AB1388" s="1"/>
  <c r="AA1387"/>
  <c r="AB1387" s="1"/>
  <c r="AA1386"/>
  <c r="AB1386" s="1"/>
  <c r="AA1385"/>
  <c r="AB1385" s="1"/>
  <c r="AA1384"/>
  <c r="AB1384" s="1"/>
  <c r="AA1383"/>
  <c r="AB1383" s="1"/>
  <c r="AA1382"/>
  <c r="AB1382" s="1"/>
  <c r="AA1381"/>
  <c r="AB1381" s="1"/>
  <c r="AA1380"/>
  <c r="AB1380" s="1"/>
  <c r="AA1379"/>
  <c r="AB1379" s="1"/>
  <c r="AA1378"/>
  <c r="AB1378" s="1"/>
  <c r="AA1377"/>
  <c r="AB1377" s="1"/>
  <c r="AA1376"/>
  <c r="AB1376" s="1"/>
  <c r="AA1375"/>
  <c r="AB1375" s="1"/>
  <c r="AA1374"/>
  <c r="AB1374" s="1"/>
  <c r="AA1373"/>
  <c r="AB1373" s="1"/>
  <c r="AA1372"/>
  <c r="AB1372" s="1"/>
  <c r="AA1371"/>
  <c r="AB1371" s="1"/>
  <c r="AA1370"/>
  <c r="AB1370" s="1"/>
  <c r="AA1369"/>
  <c r="AB1369" s="1"/>
  <c r="AA1368"/>
  <c r="AB1368" s="1"/>
  <c r="AA1367"/>
  <c r="AB1367" s="1"/>
  <c r="AA1366"/>
  <c r="AB1366" s="1"/>
  <c r="AA1365"/>
  <c r="AB1365" s="1"/>
  <c r="AA1364"/>
  <c r="AB1364" s="1"/>
  <c r="AA1363"/>
  <c r="AB1363" s="1"/>
  <c r="AA1362"/>
  <c r="AB1362" s="1"/>
  <c r="AA1361"/>
  <c r="AB1361" s="1"/>
  <c r="AA1360"/>
  <c r="AB1360" s="1"/>
  <c r="AA1359"/>
  <c r="AB1359" s="1"/>
  <c r="AA1358"/>
  <c r="AB1358" s="1"/>
  <c r="AA1357"/>
  <c r="AB1357" s="1"/>
  <c r="AA1356"/>
  <c r="AB1356" s="1"/>
  <c r="AA1355"/>
  <c r="AB1355" s="1"/>
  <c r="AA1354"/>
  <c r="AB1354" s="1"/>
  <c r="AA1353"/>
  <c r="AB1353" s="1"/>
  <c r="AA1352"/>
  <c r="AB1352" s="1"/>
  <c r="AA1351"/>
  <c r="AB1351" s="1"/>
  <c r="AA1350"/>
  <c r="AB1350" s="1"/>
  <c r="AA1349"/>
  <c r="AB1349" s="1"/>
  <c r="AA1348"/>
  <c r="AB1348" s="1"/>
  <c r="AA1347"/>
  <c r="AB1347" s="1"/>
  <c r="AA1346"/>
  <c r="AB1346" s="1"/>
  <c r="AA1345"/>
  <c r="AB1345" s="1"/>
  <c r="AA1344"/>
  <c r="AB1344" s="1"/>
  <c r="AA1343"/>
  <c r="AB1343" s="1"/>
  <c r="AA1342"/>
  <c r="AB1342" s="1"/>
  <c r="AA1341"/>
  <c r="AB1341" s="1"/>
  <c r="AA1340"/>
  <c r="AB1340" s="1"/>
  <c r="AA1339"/>
  <c r="AB1339" s="1"/>
  <c r="AA1338"/>
  <c r="AB1338" s="1"/>
  <c r="AA1337"/>
  <c r="AB1337" s="1"/>
  <c r="AA1336"/>
  <c r="AB1336" s="1"/>
  <c r="AA1335"/>
  <c r="AB1335" s="1"/>
  <c r="AA1334"/>
  <c r="AB1334" s="1"/>
  <c r="AA1333"/>
  <c r="AB1333" s="1"/>
  <c r="AA1332"/>
  <c r="AB1332" s="1"/>
  <c r="AA1331"/>
  <c r="AB1331" s="1"/>
  <c r="AA1330"/>
  <c r="AB1330" s="1"/>
  <c r="AA1329"/>
  <c r="AB1329" s="1"/>
  <c r="AA1328"/>
  <c r="AB1328" s="1"/>
  <c r="AA1327"/>
  <c r="AB1327" s="1"/>
  <c r="AA1326"/>
  <c r="AB1326" s="1"/>
  <c r="AA1325"/>
  <c r="AB1325" s="1"/>
  <c r="AA1324"/>
  <c r="AB1324" s="1"/>
  <c r="AA1323"/>
  <c r="AB1323" s="1"/>
  <c r="AA1322"/>
  <c r="AB1322" s="1"/>
  <c r="AA1321"/>
  <c r="AB1321" s="1"/>
  <c r="AA1320"/>
  <c r="AB1320" s="1"/>
  <c r="AA1319"/>
  <c r="AB1319" s="1"/>
  <c r="AA1318"/>
  <c r="AB1318" s="1"/>
  <c r="AA1317"/>
  <c r="AB1317" s="1"/>
  <c r="AA1316"/>
  <c r="AB1316" s="1"/>
  <c r="AA1315"/>
  <c r="AB1315" s="1"/>
  <c r="AA1314"/>
  <c r="AB1314" s="1"/>
  <c r="AA1313"/>
  <c r="AB1313" s="1"/>
  <c r="AA1312"/>
  <c r="AB1312" s="1"/>
  <c r="AA1311"/>
  <c r="AB1311" s="1"/>
  <c r="AA1310"/>
  <c r="AB1310" s="1"/>
  <c r="AA1309"/>
  <c r="AB1309" s="1"/>
  <c r="AA1308"/>
  <c r="AB1308" s="1"/>
  <c r="AA1307"/>
  <c r="AB1307" s="1"/>
  <c r="AA1306"/>
  <c r="AB1306" s="1"/>
  <c r="AA1305"/>
  <c r="AB1305" s="1"/>
  <c r="AA1304"/>
  <c r="AB1304" s="1"/>
  <c r="AA1303"/>
  <c r="AB1303" s="1"/>
  <c r="AA1302"/>
  <c r="AB1302" s="1"/>
  <c r="AA1301"/>
  <c r="AB1301" s="1"/>
  <c r="AA1300"/>
  <c r="AB1300" s="1"/>
  <c r="AA1299"/>
  <c r="AB1299" s="1"/>
  <c r="AA1298"/>
  <c r="AB1298" s="1"/>
  <c r="AA1297"/>
  <c r="AB1297" s="1"/>
  <c r="AA1296"/>
  <c r="AB1296" s="1"/>
  <c r="AA1295"/>
  <c r="AB1295" s="1"/>
  <c r="AA1294"/>
  <c r="AB1294" s="1"/>
  <c r="AA1293"/>
  <c r="AB1293" s="1"/>
  <c r="AA1292"/>
  <c r="AB1292" s="1"/>
  <c r="AA1291"/>
  <c r="AB1291" s="1"/>
  <c r="AA1290"/>
  <c r="AB1290" s="1"/>
  <c r="AA1289"/>
  <c r="AB1289" s="1"/>
  <c r="AA1288"/>
  <c r="AB1288" s="1"/>
  <c r="AA1287"/>
  <c r="AB1287" s="1"/>
  <c r="AA1286"/>
  <c r="AB1286" s="1"/>
  <c r="AA1285"/>
  <c r="AB1285" s="1"/>
  <c r="AA1284"/>
  <c r="AB1284" s="1"/>
  <c r="AA1283"/>
  <c r="AB1283" s="1"/>
  <c r="AA1282"/>
  <c r="AB1282" s="1"/>
  <c r="AA1281"/>
  <c r="AB1281" s="1"/>
  <c r="AA1280"/>
  <c r="AB1280" s="1"/>
  <c r="AA1279"/>
  <c r="AB1279" s="1"/>
  <c r="AA1278"/>
  <c r="AB1278" s="1"/>
  <c r="AA1277"/>
  <c r="AB1277" s="1"/>
  <c r="AA1276"/>
  <c r="AB1276" s="1"/>
  <c r="AA1275"/>
  <c r="AB1275" s="1"/>
  <c r="AA1274"/>
  <c r="AB1274" s="1"/>
  <c r="AA1273"/>
  <c r="AB1273" s="1"/>
  <c r="AA1272"/>
  <c r="AB1272" s="1"/>
  <c r="AA1271"/>
  <c r="AB1271" s="1"/>
  <c r="AA1270"/>
  <c r="AB1270" s="1"/>
  <c r="AA1269"/>
  <c r="AB1269" s="1"/>
  <c r="AA1268"/>
  <c r="AB1268" s="1"/>
  <c r="AA1267"/>
  <c r="AB1267" s="1"/>
  <c r="AA1266"/>
  <c r="AB1266" s="1"/>
  <c r="AA1265"/>
  <c r="AB1265" s="1"/>
  <c r="AA1264"/>
  <c r="AB1264" s="1"/>
  <c r="AA1263"/>
  <c r="AB1263" s="1"/>
  <c r="AA1262"/>
  <c r="AB1262" s="1"/>
  <c r="AA1261"/>
  <c r="AB1261" s="1"/>
  <c r="AA1260"/>
  <c r="AB1260" s="1"/>
  <c r="AA1259"/>
  <c r="AB1259" s="1"/>
  <c r="AA1258"/>
  <c r="AB1258" s="1"/>
  <c r="AA1257"/>
  <c r="AB1257" s="1"/>
  <c r="AA1256"/>
  <c r="AB1256" s="1"/>
  <c r="AA1255"/>
  <c r="AB1255" s="1"/>
  <c r="AA1254"/>
  <c r="AB1254" s="1"/>
  <c r="AA1253"/>
  <c r="AB1253" s="1"/>
  <c r="AA1252"/>
  <c r="AB1252" s="1"/>
  <c r="AA1251"/>
  <c r="AB1251" s="1"/>
  <c r="AA1250"/>
  <c r="AB1250" s="1"/>
  <c r="AA1249"/>
  <c r="AB1249" s="1"/>
  <c r="AA1248"/>
  <c r="AB1248" s="1"/>
  <c r="AA1247"/>
  <c r="AB1247" s="1"/>
  <c r="AA1246"/>
  <c r="AB1246" s="1"/>
  <c r="AA1245"/>
  <c r="AB1245" s="1"/>
  <c r="AA1244"/>
  <c r="AB1244" s="1"/>
  <c r="AA1243"/>
  <c r="AB1243" s="1"/>
  <c r="AA1242"/>
  <c r="AB1242" s="1"/>
  <c r="AA1241"/>
  <c r="AB1241" s="1"/>
  <c r="AA1240"/>
  <c r="AB1240" s="1"/>
  <c r="AA1239"/>
  <c r="AB1239" s="1"/>
  <c r="AA1238"/>
  <c r="AB1238" s="1"/>
  <c r="AA1237"/>
  <c r="AB1237" s="1"/>
  <c r="AA1236"/>
  <c r="AB1236" s="1"/>
  <c r="AA1235"/>
  <c r="AB1235" s="1"/>
  <c r="AA1234"/>
  <c r="AB1234" s="1"/>
  <c r="AA1233"/>
  <c r="AB1233" s="1"/>
  <c r="AA1232"/>
  <c r="AB1232" s="1"/>
  <c r="AA1231"/>
  <c r="AB1231" s="1"/>
  <c r="AA1230"/>
  <c r="AB1230" s="1"/>
  <c r="AA1229"/>
  <c r="AB1229" s="1"/>
  <c r="AA1228"/>
  <c r="AB1228" s="1"/>
  <c r="AA1227"/>
  <c r="AB1227" s="1"/>
  <c r="AA1226"/>
  <c r="AB1226" s="1"/>
  <c r="AA1225"/>
  <c r="AB1225" s="1"/>
  <c r="AA1224"/>
  <c r="AB1224" s="1"/>
  <c r="AA1223"/>
  <c r="AB1223" s="1"/>
  <c r="AA1222"/>
  <c r="AB1222" s="1"/>
  <c r="AA1221"/>
  <c r="AB1221" s="1"/>
  <c r="AA1220"/>
  <c r="AB1220" s="1"/>
  <c r="AA1219"/>
  <c r="AB1219" s="1"/>
  <c r="AA1218"/>
  <c r="AB1218" s="1"/>
  <c r="AA1217"/>
  <c r="AB1217" s="1"/>
  <c r="AA1216"/>
  <c r="AB1216" s="1"/>
  <c r="AA1215"/>
  <c r="AB1215" s="1"/>
  <c r="AA1214"/>
  <c r="AB1214" s="1"/>
  <c r="AA1213"/>
  <c r="AB1213" s="1"/>
  <c r="AA1212"/>
  <c r="AB1212" s="1"/>
  <c r="AA1211"/>
  <c r="AB1211" s="1"/>
  <c r="AA1210"/>
  <c r="AB1210" s="1"/>
  <c r="AA1209"/>
  <c r="AB1209" s="1"/>
  <c r="AA1208"/>
  <c r="AB1208" s="1"/>
  <c r="AA1207"/>
  <c r="AB1207" s="1"/>
  <c r="AA1206"/>
  <c r="AB1206" s="1"/>
  <c r="AA1205"/>
  <c r="AB1205" s="1"/>
  <c r="AA1204"/>
  <c r="AB1204" s="1"/>
  <c r="AA1203"/>
  <c r="AB1203" s="1"/>
  <c r="AA1202"/>
  <c r="AB1202" s="1"/>
  <c r="AA1201"/>
  <c r="AB1201" s="1"/>
  <c r="AA1200"/>
  <c r="AB1200" s="1"/>
  <c r="AA1199"/>
  <c r="AB1199" s="1"/>
  <c r="AA1198"/>
  <c r="AB1198" s="1"/>
  <c r="AA1197"/>
  <c r="AB1197" s="1"/>
  <c r="AA1196"/>
  <c r="AB1196" s="1"/>
  <c r="AA1195"/>
  <c r="AB1195" s="1"/>
  <c r="AA1194"/>
  <c r="AB1194" s="1"/>
  <c r="AA1193"/>
  <c r="AB1193" s="1"/>
  <c r="AA1192"/>
  <c r="AB1192" s="1"/>
  <c r="AA1191"/>
  <c r="AB1191" s="1"/>
  <c r="AA1190"/>
  <c r="AB1190" s="1"/>
  <c r="AA1189"/>
  <c r="AB1189" s="1"/>
  <c r="AA1188"/>
  <c r="AB1188" s="1"/>
  <c r="AA1187"/>
  <c r="AB1187" s="1"/>
  <c r="AA1186"/>
  <c r="AB1186" s="1"/>
  <c r="AA1185"/>
  <c r="AB1185" s="1"/>
  <c r="AA1184"/>
  <c r="AB1184" s="1"/>
  <c r="AA1183"/>
  <c r="AB1183" s="1"/>
  <c r="AA1182"/>
  <c r="AB1182" s="1"/>
  <c r="AA1181"/>
  <c r="AB1181" s="1"/>
  <c r="AA1180"/>
  <c r="AB1180" s="1"/>
  <c r="AA1179"/>
  <c r="AB1179" s="1"/>
  <c r="AA1178"/>
  <c r="AB1178" s="1"/>
  <c r="AA1177"/>
  <c r="AB1177" s="1"/>
  <c r="AA1176"/>
  <c r="AB1176" s="1"/>
  <c r="AA1175"/>
  <c r="AB1175" s="1"/>
  <c r="AA1174"/>
  <c r="AB1174" s="1"/>
  <c r="AA1173"/>
  <c r="AB1173" s="1"/>
  <c r="AA1172"/>
  <c r="AB1172" s="1"/>
  <c r="AA1171"/>
  <c r="AB1171" s="1"/>
  <c r="AA1170"/>
  <c r="AB1170" s="1"/>
  <c r="AA1169"/>
  <c r="AB1169" s="1"/>
  <c r="AA1168"/>
  <c r="AB1168" s="1"/>
  <c r="AA1167"/>
  <c r="AB1167" s="1"/>
  <c r="AA1166"/>
  <c r="AB1166" s="1"/>
  <c r="AA1165"/>
  <c r="AB1165" s="1"/>
  <c r="AA1164"/>
  <c r="AB1164" s="1"/>
  <c r="AA1163"/>
  <c r="AB1163" s="1"/>
  <c r="AA1162"/>
  <c r="AB1162" s="1"/>
  <c r="AA1161"/>
  <c r="AB1161" s="1"/>
  <c r="AA1160"/>
  <c r="AB1160" s="1"/>
  <c r="AA1159"/>
  <c r="AB1159" s="1"/>
  <c r="AA1158"/>
  <c r="AB1158" s="1"/>
  <c r="AA1157"/>
  <c r="AB1157" s="1"/>
  <c r="AA1156"/>
  <c r="AB1156" s="1"/>
  <c r="AA1155"/>
  <c r="AB1155" s="1"/>
  <c r="AA1154"/>
  <c r="AB1154" s="1"/>
  <c r="AA1153"/>
  <c r="AB1153" s="1"/>
  <c r="AA1152"/>
  <c r="AB1152" s="1"/>
  <c r="AA1151"/>
  <c r="AB1151" s="1"/>
  <c r="AA1150"/>
  <c r="AB1150" s="1"/>
  <c r="AA1149"/>
  <c r="AB1149" s="1"/>
  <c r="AA1148"/>
  <c r="AB1148" s="1"/>
  <c r="AA1147"/>
  <c r="AB1147" s="1"/>
  <c r="AA1146"/>
  <c r="AB1146" s="1"/>
  <c r="AA1145"/>
  <c r="AB1145" s="1"/>
  <c r="AA1144"/>
  <c r="AB1144" s="1"/>
  <c r="AA1143"/>
  <c r="AB1143" s="1"/>
  <c r="AA1142"/>
  <c r="AB1142" s="1"/>
  <c r="AA1141"/>
  <c r="AB1141" s="1"/>
  <c r="AA1140"/>
  <c r="AB1140" s="1"/>
  <c r="AA1139"/>
  <c r="AB1139" s="1"/>
  <c r="AA1138"/>
  <c r="AB1138" s="1"/>
  <c r="AA1137"/>
  <c r="AB1137" s="1"/>
  <c r="AA1136"/>
  <c r="AB1136" s="1"/>
  <c r="AA1135"/>
  <c r="AB1135" s="1"/>
  <c r="AA1134"/>
  <c r="AB1134" s="1"/>
  <c r="AA1133"/>
  <c r="AB1133" s="1"/>
  <c r="AA1132"/>
  <c r="AB1132" s="1"/>
  <c r="AA1131"/>
  <c r="AB1131" s="1"/>
  <c r="AA1130"/>
  <c r="AB1130" s="1"/>
  <c r="AA1129"/>
  <c r="AB1129" s="1"/>
  <c r="AA1128"/>
  <c r="AB1128" s="1"/>
  <c r="AA1127"/>
  <c r="AB1127" s="1"/>
  <c r="AA1126"/>
  <c r="AB1126" s="1"/>
  <c r="AA1125"/>
  <c r="AB1125" s="1"/>
  <c r="AA1124"/>
  <c r="AB1124" s="1"/>
  <c r="AA1123"/>
  <c r="AB1123" s="1"/>
  <c r="AA1122"/>
  <c r="AB1122" s="1"/>
  <c r="AA1121"/>
  <c r="AB1121" s="1"/>
  <c r="AA1120"/>
  <c r="AB1120" s="1"/>
  <c r="AA1119"/>
  <c r="AB1119" s="1"/>
  <c r="AA1118"/>
  <c r="AB1118" s="1"/>
  <c r="AA1117"/>
  <c r="AB1117" s="1"/>
  <c r="AA1116"/>
  <c r="AB1116" s="1"/>
  <c r="AA1115"/>
  <c r="AB1115" s="1"/>
  <c r="AA1114"/>
  <c r="AB1114" s="1"/>
  <c r="AA1113"/>
  <c r="AB1113" s="1"/>
  <c r="AA1112"/>
  <c r="AB1112" s="1"/>
  <c r="AA1111"/>
  <c r="AB1111" s="1"/>
  <c r="AA1110"/>
  <c r="AB1110" s="1"/>
  <c r="AA1109"/>
  <c r="AB1109" s="1"/>
  <c r="AA1108"/>
  <c r="AB1108" s="1"/>
  <c r="AA1107"/>
  <c r="AB1107" s="1"/>
  <c r="AA1106"/>
  <c r="AB1106" s="1"/>
  <c r="AA1105"/>
  <c r="AB1105" s="1"/>
  <c r="AA1104"/>
  <c r="AB1104" s="1"/>
  <c r="AA1103"/>
  <c r="AB1103" s="1"/>
  <c r="AA1102"/>
  <c r="AB1102" s="1"/>
  <c r="AA1101"/>
  <c r="AB1101" s="1"/>
  <c r="AA1100"/>
  <c r="AB1100" s="1"/>
  <c r="AA1099"/>
  <c r="AB1099" s="1"/>
  <c r="AA1098"/>
  <c r="AB1098" s="1"/>
  <c r="AA1097"/>
  <c r="AB1097" s="1"/>
  <c r="AA1096"/>
  <c r="AB1096" s="1"/>
  <c r="AA1095"/>
  <c r="AB1095" s="1"/>
  <c r="AA1094"/>
  <c r="AB1094" s="1"/>
  <c r="AA1093"/>
  <c r="AB1093" s="1"/>
  <c r="AA1092"/>
  <c r="AB1092" s="1"/>
  <c r="AA1091"/>
  <c r="AB1091" s="1"/>
  <c r="AA1090"/>
  <c r="AB1090" s="1"/>
  <c r="AA1089"/>
  <c r="AB1089" s="1"/>
  <c r="AA1088"/>
  <c r="AB1088" s="1"/>
  <c r="AA1087"/>
  <c r="AB1087" s="1"/>
  <c r="AA1086"/>
  <c r="AB1086" s="1"/>
  <c r="AA1085"/>
  <c r="AB1085" s="1"/>
  <c r="AA1084"/>
  <c r="AB1084" s="1"/>
  <c r="AA1083"/>
  <c r="AB1083" s="1"/>
  <c r="AA1082"/>
  <c r="AB1082" s="1"/>
  <c r="AA1081"/>
  <c r="AB1081" s="1"/>
  <c r="AA1080"/>
  <c r="AB1080" s="1"/>
  <c r="AA1079"/>
  <c r="AB1079" s="1"/>
  <c r="AA1078"/>
  <c r="AB1078" s="1"/>
  <c r="AA1077"/>
  <c r="AB1077" s="1"/>
  <c r="AA1076"/>
  <c r="AB1076" s="1"/>
  <c r="AA1075"/>
  <c r="AB1075" s="1"/>
  <c r="AA1074"/>
  <c r="AB1074" s="1"/>
  <c r="AA1073"/>
  <c r="AB1073" s="1"/>
  <c r="AA1072"/>
  <c r="AB1072" s="1"/>
  <c r="AA1071"/>
  <c r="AB1071" s="1"/>
  <c r="AA1070"/>
  <c r="AB1070" s="1"/>
  <c r="AA1069"/>
  <c r="AB1069" s="1"/>
  <c r="AA1068"/>
  <c r="AB1068" s="1"/>
  <c r="AA1067"/>
  <c r="AB1067" s="1"/>
  <c r="AA1066"/>
  <c r="AB1066" s="1"/>
  <c r="AA1065"/>
  <c r="AB1065" s="1"/>
  <c r="AA1064"/>
  <c r="AB1064" s="1"/>
  <c r="AA1063"/>
  <c r="AB1063" s="1"/>
  <c r="AA1062"/>
  <c r="AB1062" s="1"/>
  <c r="AA1061"/>
  <c r="AB1061" s="1"/>
  <c r="AA1060"/>
  <c r="AB1060" s="1"/>
  <c r="AA1059"/>
  <c r="AB1059" s="1"/>
  <c r="AA1058"/>
  <c r="AB1058" s="1"/>
  <c r="AA1057"/>
  <c r="AB1057" s="1"/>
  <c r="AA1056"/>
  <c r="AB1056" s="1"/>
  <c r="AA1055"/>
  <c r="AB1055" s="1"/>
  <c r="AA1054"/>
  <c r="AB1054" s="1"/>
  <c r="AA1053"/>
  <c r="AB1053" s="1"/>
  <c r="AA1052"/>
  <c r="AB1052" s="1"/>
  <c r="AA1051"/>
  <c r="AB1051" s="1"/>
  <c r="AA1050"/>
  <c r="AB1050" s="1"/>
  <c r="AA1049"/>
  <c r="AB1049" s="1"/>
  <c r="AA1048"/>
  <c r="AB1048" s="1"/>
  <c r="AA1047"/>
  <c r="AB1047" s="1"/>
  <c r="AA1046"/>
  <c r="AB1046" s="1"/>
  <c r="AA1045"/>
  <c r="AB1045" s="1"/>
  <c r="AA1044"/>
  <c r="AB1044" s="1"/>
  <c r="AA1043"/>
  <c r="AB1043" s="1"/>
  <c r="AA1042"/>
  <c r="AB1042" s="1"/>
  <c r="AA1041"/>
  <c r="AB1041" s="1"/>
  <c r="AA1040"/>
  <c r="AB1040" s="1"/>
  <c r="AA1039"/>
  <c r="AB1039" s="1"/>
  <c r="AA1038"/>
  <c r="AB1038" s="1"/>
  <c r="AA1037"/>
  <c r="AB1037" s="1"/>
  <c r="AA1036"/>
  <c r="AB1036" s="1"/>
  <c r="AA1035"/>
  <c r="AB1035" s="1"/>
  <c r="AA1034"/>
  <c r="AB1034" s="1"/>
  <c r="AA1033"/>
  <c r="AB1033" s="1"/>
  <c r="AA1032"/>
  <c r="AB1032" s="1"/>
  <c r="AA1031"/>
  <c r="AB1031" s="1"/>
  <c r="AA1030"/>
  <c r="AB1030" s="1"/>
  <c r="AA1029"/>
  <c r="AB1029" s="1"/>
  <c r="AA1028"/>
  <c r="AB1028" s="1"/>
  <c r="AA1027"/>
  <c r="AB1027" s="1"/>
  <c r="AA1026"/>
  <c r="AB1026" s="1"/>
  <c r="AA1025"/>
  <c r="AB1025" s="1"/>
  <c r="AA1024"/>
  <c r="AB1024" s="1"/>
  <c r="AA1023"/>
  <c r="AB1023" s="1"/>
  <c r="AA1022"/>
  <c r="AB1022" s="1"/>
  <c r="AA1021"/>
  <c r="AB1021" s="1"/>
  <c r="AA1020"/>
  <c r="AB1020" s="1"/>
  <c r="AA1019"/>
  <c r="AB1019" s="1"/>
  <c r="AA1018"/>
  <c r="AB1018" s="1"/>
  <c r="AA1017"/>
  <c r="AB1017" s="1"/>
  <c r="AA1016"/>
  <c r="AB1016" s="1"/>
  <c r="AA1015"/>
  <c r="AB1015" s="1"/>
  <c r="AA1014"/>
  <c r="AB1014" s="1"/>
  <c r="AA1013"/>
  <c r="AB1013" s="1"/>
  <c r="AA1012"/>
  <c r="AB1012" s="1"/>
  <c r="AA1011"/>
  <c r="AB1011" s="1"/>
  <c r="AA1010"/>
  <c r="AB1010" s="1"/>
  <c r="AA1009"/>
  <c r="AB1009" s="1"/>
  <c r="AA1008"/>
  <c r="AB1008" s="1"/>
  <c r="AA1007"/>
  <c r="AB1007" s="1"/>
  <c r="AA1006"/>
  <c r="AB1006" s="1"/>
  <c r="AA1005"/>
  <c r="AB1005" s="1"/>
  <c r="AA1004"/>
  <c r="AB1004" s="1"/>
  <c r="AA1003"/>
  <c r="AB1003" s="1"/>
  <c r="AA1002"/>
  <c r="AB1002" s="1"/>
  <c r="AA1001"/>
  <c r="AB1001" s="1"/>
  <c r="AA1000"/>
  <c r="AB1000" s="1"/>
  <c r="AA999"/>
  <c r="AB999" s="1"/>
  <c r="AA998"/>
  <c r="AB998" s="1"/>
  <c r="AA997"/>
  <c r="AB997" s="1"/>
  <c r="AA996"/>
  <c r="AB996" s="1"/>
  <c r="AA995"/>
  <c r="AB995" s="1"/>
  <c r="AA994"/>
  <c r="AB994" s="1"/>
  <c r="AA993"/>
  <c r="AB993" s="1"/>
  <c r="AA992"/>
  <c r="AB992" s="1"/>
  <c r="AA991"/>
  <c r="AB991" s="1"/>
  <c r="AA990"/>
  <c r="AB990" s="1"/>
  <c r="AA989"/>
  <c r="AB989" s="1"/>
  <c r="AA988"/>
  <c r="AB988" s="1"/>
  <c r="AA987"/>
  <c r="AB987" s="1"/>
  <c r="AA986"/>
  <c r="AB986" s="1"/>
  <c r="AA985"/>
  <c r="AB985" s="1"/>
  <c r="AA984"/>
  <c r="AB984" s="1"/>
  <c r="AA983"/>
  <c r="AB983" s="1"/>
  <c r="AA982"/>
  <c r="AB982" s="1"/>
  <c r="AA981"/>
  <c r="AB981" s="1"/>
  <c r="AA980"/>
  <c r="AB980" s="1"/>
  <c r="AA979"/>
  <c r="AB979" s="1"/>
  <c r="AA978"/>
  <c r="AB978" s="1"/>
  <c r="AA977"/>
  <c r="AB977" s="1"/>
  <c r="AA976"/>
  <c r="AB976" s="1"/>
  <c r="AA975"/>
  <c r="AB975" s="1"/>
  <c r="AA974"/>
  <c r="AB974" s="1"/>
  <c r="AA973"/>
  <c r="AB973" s="1"/>
  <c r="AA972"/>
  <c r="AB972" s="1"/>
  <c r="AA971"/>
  <c r="AB971" s="1"/>
  <c r="AA970"/>
  <c r="AB970" s="1"/>
  <c r="AA969"/>
  <c r="AB969" s="1"/>
  <c r="AA968"/>
  <c r="AB968" s="1"/>
  <c r="AA967"/>
  <c r="AB967" s="1"/>
  <c r="AA966"/>
  <c r="AB966" s="1"/>
  <c r="AA965"/>
  <c r="AB965" s="1"/>
  <c r="AA964"/>
  <c r="AB964" s="1"/>
  <c r="AA963"/>
  <c r="AB963" s="1"/>
  <c r="AA962"/>
  <c r="AB962" s="1"/>
  <c r="AA961"/>
  <c r="AB961" s="1"/>
  <c r="AA960"/>
  <c r="AB960" s="1"/>
  <c r="AA959"/>
  <c r="AB959" s="1"/>
  <c r="AA958"/>
  <c r="AB958" s="1"/>
  <c r="AA957"/>
  <c r="AB957" s="1"/>
  <c r="AA956"/>
  <c r="AB956" s="1"/>
  <c r="AA955"/>
  <c r="AB955" s="1"/>
  <c r="AA954"/>
  <c r="AB954" s="1"/>
  <c r="AA953"/>
  <c r="AB953" s="1"/>
  <c r="AA952"/>
  <c r="AB952" s="1"/>
  <c r="AA951"/>
  <c r="AB951" s="1"/>
  <c r="AA950"/>
  <c r="AB950" s="1"/>
  <c r="AA949"/>
  <c r="AB949" s="1"/>
  <c r="AA948"/>
  <c r="AB948" s="1"/>
  <c r="AA947"/>
  <c r="AB947" s="1"/>
  <c r="AA946"/>
  <c r="AB946" s="1"/>
  <c r="AA945"/>
  <c r="AB945" s="1"/>
  <c r="AA944"/>
  <c r="AB944" s="1"/>
  <c r="AA943"/>
  <c r="AB943" s="1"/>
  <c r="AA942"/>
  <c r="AB942" s="1"/>
  <c r="AA941"/>
  <c r="AB941" s="1"/>
  <c r="AA940"/>
  <c r="AB940" s="1"/>
  <c r="AA939"/>
  <c r="AB939" s="1"/>
  <c r="AA938"/>
  <c r="AB938" s="1"/>
  <c r="AA937"/>
  <c r="AB937" s="1"/>
  <c r="AA936"/>
  <c r="AB936" s="1"/>
  <c r="AA935"/>
  <c r="AB935" s="1"/>
  <c r="AA934"/>
  <c r="AB934" s="1"/>
  <c r="AA933"/>
  <c r="AB933" s="1"/>
  <c r="AA932"/>
  <c r="AB932" s="1"/>
  <c r="AA931"/>
  <c r="AB931" s="1"/>
  <c r="AA930"/>
  <c r="AB930" s="1"/>
  <c r="AA929"/>
  <c r="AB929" s="1"/>
  <c r="AA928"/>
  <c r="AB928" s="1"/>
  <c r="AA927"/>
  <c r="AB927" s="1"/>
  <c r="AA926"/>
  <c r="AB926" s="1"/>
  <c r="AA925"/>
  <c r="AB925" s="1"/>
  <c r="AA924"/>
  <c r="AB924" s="1"/>
  <c r="AA923"/>
  <c r="AB923" s="1"/>
  <c r="AA922"/>
  <c r="AB922" s="1"/>
  <c r="AA921"/>
  <c r="AB921" s="1"/>
  <c r="AA920"/>
  <c r="AB920" s="1"/>
  <c r="AA919"/>
  <c r="AB919" s="1"/>
  <c r="AA918"/>
  <c r="AB918" s="1"/>
  <c r="AA917"/>
  <c r="AB917" s="1"/>
  <c r="AA916"/>
  <c r="AB916" s="1"/>
  <c r="AA915"/>
  <c r="AB915" s="1"/>
  <c r="AA914"/>
  <c r="AB914" s="1"/>
  <c r="AA913"/>
  <c r="AB913" s="1"/>
  <c r="AA912"/>
  <c r="AB912" s="1"/>
  <c r="AA911"/>
  <c r="AB911" s="1"/>
  <c r="AA910"/>
  <c r="AB910" s="1"/>
  <c r="AA909"/>
  <c r="AB909" s="1"/>
  <c r="AA908"/>
  <c r="AB908" s="1"/>
  <c r="AA907"/>
  <c r="AB907" s="1"/>
  <c r="AA906"/>
  <c r="AB906" s="1"/>
  <c r="AA905"/>
  <c r="AB905" s="1"/>
  <c r="AA904"/>
  <c r="AB904" s="1"/>
  <c r="AA903"/>
  <c r="AB903" s="1"/>
  <c r="AA902"/>
  <c r="AB902" s="1"/>
  <c r="AA901"/>
  <c r="AB901" s="1"/>
  <c r="AA900"/>
  <c r="AB900" s="1"/>
  <c r="AA899"/>
  <c r="AB899" s="1"/>
  <c r="AA898"/>
  <c r="AB898" s="1"/>
  <c r="AA897"/>
  <c r="AB897" s="1"/>
  <c r="AA896"/>
  <c r="AB896" s="1"/>
  <c r="AA895"/>
  <c r="AB895" s="1"/>
  <c r="AA894"/>
  <c r="AB894" s="1"/>
  <c r="AA893"/>
  <c r="AB893" s="1"/>
  <c r="AA892"/>
  <c r="AB892" s="1"/>
  <c r="AA891"/>
  <c r="AB891" s="1"/>
  <c r="AA890"/>
  <c r="AB890" s="1"/>
  <c r="AA889"/>
  <c r="AB889" s="1"/>
  <c r="AA888"/>
  <c r="AB888" s="1"/>
  <c r="AA887"/>
  <c r="AB887" s="1"/>
  <c r="AA886"/>
  <c r="AB886" s="1"/>
  <c r="AA885"/>
  <c r="AB885" s="1"/>
  <c r="AA884"/>
  <c r="AB884" s="1"/>
  <c r="AA883"/>
  <c r="AB883" s="1"/>
  <c r="AA882"/>
  <c r="AB882" s="1"/>
  <c r="AA881"/>
  <c r="AB881" s="1"/>
  <c r="AA880"/>
  <c r="AB880" s="1"/>
  <c r="AA879"/>
  <c r="AB879" s="1"/>
  <c r="AA878"/>
  <c r="AB878" s="1"/>
  <c r="AA877"/>
  <c r="AB877" s="1"/>
  <c r="AA876"/>
  <c r="AB876" s="1"/>
  <c r="AA875"/>
  <c r="AB875" s="1"/>
  <c r="AA874"/>
  <c r="AB874" s="1"/>
  <c r="AA873"/>
  <c r="AB873" s="1"/>
  <c r="AA872"/>
  <c r="AB872" s="1"/>
  <c r="AA871"/>
  <c r="AB871" s="1"/>
  <c r="AA870"/>
  <c r="AB870" s="1"/>
  <c r="AA869"/>
  <c r="AB869" s="1"/>
  <c r="AA868"/>
  <c r="AB868" s="1"/>
  <c r="AA867"/>
  <c r="AB867" s="1"/>
  <c r="AA866"/>
  <c r="AB866" s="1"/>
  <c r="AA865"/>
  <c r="AB865" s="1"/>
  <c r="AA864"/>
  <c r="AB864" s="1"/>
  <c r="AA863"/>
  <c r="AB863" s="1"/>
  <c r="AA862"/>
  <c r="AB862" s="1"/>
  <c r="AA861"/>
  <c r="AB861" s="1"/>
  <c r="AA860"/>
  <c r="AB860" s="1"/>
  <c r="AA859"/>
  <c r="AB859" s="1"/>
  <c r="AA858"/>
  <c r="AB858" s="1"/>
  <c r="AA857"/>
  <c r="AB857" s="1"/>
  <c r="AA856"/>
  <c r="AB856" s="1"/>
  <c r="AA855"/>
  <c r="AB855" s="1"/>
  <c r="AA854"/>
  <c r="AB854" s="1"/>
  <c r="AA853"/>
  <c r="AB853" s="1"/>
  <c r="AA852"/>
  <c r="AB852" s="1"/>
  <c r="AA851"/>
  <c r="AB851" s="1"/>
  <c r="AA850"/>
  <c r="AB850" s="1"/>
  <c r="AA849"/>
  <c r="AB849" s="1"/>
  <c r="AA848"/>
  <c r="AB848" s="1"/>
  <c r="AA847"/>
  <c r="AB847" s="1"/>
  <c r="AA846"/>
  <c r="AB846" s="1"/>
  <c r="AA845"/>
  <c r="AB845" s="1"/>
  <c r="AA844"/>
  <c r="AB844" s="1"/>
  <c r="AA843"/>
  <c r="AB843" s="1"/>
  <c r="AA842"/>
  <c r="AB842" s="1"/>
  <c r="AA841"/>
  <c r="AB841" s="1"/>
  <c r="AA840"/>
  <c r="AB840" s="1"/>
  <c r="AA839"/>
  <c r="AB839" s="1"/>
  <c r="AA838"/>
  <c r="AB838" s="1"/>
  <c r="AA837"/>
  <c r="AB837" s="1"/>
  <c r="AA836"/>
  <c r="AB836" s="1"/>
  <c r="AA835"/>
  <c r="AB835" s="1"/>
  <c r="AA834"/>
  <c r="AB834" s="1"/>
  <c r="AA833"/>
  <c r="AB833" s="1"/>
  <c r="AA832"/>
  <c r="AB832" s="1"/>
  <c r="AA831"/>
  <c r="AB831" s="1"/>
  <c r="AA830"/>
  <c r="AB830" s="1"/>
  <c r="AA829"/>
  <c r="AB829" s="1"/>
  <c r="AA828"/>
  <c r="AB828" s="1"/>
  <c r="AA827"/>
  <c r="AB827" s="1"/>
  <c r="AA826"/>
  <c r="AB826" s="1"/>
  <c r="AA825"/>
  <c r="AB825" s="1"/>
  <c r="AA824"/>
  <c r="AB824" s="1"/>
  <c r="AA823"/>
  <c r="AB823" s="1"/>
  <c r="AA822"/>
  <c r="AB822" s="1"/>
  <c r="AA821"/>
  <c r="AB821" s="1"/>
  <c r="AA820"/>
  <c r="AB820" s="1"/>
  <c r="AA819"/>
  <c r="AB819" s="1"/>
  <c r="AA818"/>
  <c r="AB818" s="1"/>
  <c r="AA817"/>
  <c r="AB817" s="1"/>
  <c r="AA816"/>
  <c r="AB816" s="1"/>
  <c r="AA815"/>
  <c r="AB815" s="1"/>
  <c r="AA814"/>
  <c r="AB814" s="1"/>
  <c r="AA813"/>
  <c r="AB813" s="1"/>
  <c r="AA812"/>
  <c r="AB812" s="1"/>
  <c r="AA811"/>
  <c r="AB811" s="1"/>
  <c r="AA810"/>
  <c r="AB810" s="1"/>
  <c r="AA809"/>
  <c r="AB809" s="1"/>
  <c r="AA808"/>
  <c r="AB808" s="1"/>
  <c r="AA807"/>
  <c r="AB807" s="1"/>
  <c r="AA806"/>
  <c r="AB806" s="1"/>
  <c r="AA805"/>
  <c r="AB805" s="1"/>
  <c r="AA804"/>
  <c r="AB804" s="1"/>
  <c r="AA803"/>
  <c r="AB803" s="1"/>
  <c r="AA802"/>
  <c r="AB802" s="1"/>
  <c r="AA801"/>
  <c r="AB801" s="1"/>
  <c r="AA800"/>
  <c r="AB800" s="1"/>
  <c r="AA799"/>
  <c r="AB799" s="1"/>
  <c r="AA798"/>
  <c r="AB798" s="1"/>
  <c r="AA797"/>
  <c r="AB797" s="1"/>
  <c r="AA796"/>
  <c r="AB796" s="1"/>
  <c r="AA795"/>
  <c r="AB795" s="1"/>
  <c r="AA794"/>
  <c r="AB794" s="1"/>
  <c r="AA793"/>
  <c r="AB793" s="1"/>
  <c r="AA792"/>
  <c r="AB792" s="1"/>
  <c r="AA791"/>
  <c r="AB791" s="1"/>
  <c r="AA790"/>
  <c r="AB790" s="1"/>
  <c r="AA789"/>
  <c r="AB789" s="1"/>
  <c r="AA788"/>
  <c r="AB788" s="1"/>
  <c r="AA787"/>
  <c r="AB787" s="1"/>
  <c r="AA786"/>
  <c r="AB786" s="1"/>
  <c r="AA785"/>
  <c r="AB785" s="1"/>
  <c r="AA784"/>
  <c r="AB784" s="1"/>
  <c r="AA783"/>
  <c r="AB783" s="1"/>
  <c r="AA782"/>
  <c r="AB782" s="1"/>
  <c r="AA781"/>
  <c r="AB781" s="1"/>
  <c r="AA780"/>
  <c r="AB780" s="1"/>
  <c r="AA779"/>
  <c r="AB779" s="1"/>
  <c r="AA778"/>
  <c r="AB778" s="1"/>
  <c r="AA777"/>
  <c r="AB777" s="1"/>
  <c r="AA776"/>
  <c r="AB776" s="1"/>
  <c r="AA775"/>
  <c r="AB775" s="1"/>
  <c r="AA774"/>
  <c r="AB774" s="1"/>
  <c r="AA773"/>
  <c r="AB773" s="1"/>
  <c r="AA772"/>
  <c r="AB772" s="1"/>
  <c r="AA771"/>
  <c r="AB771" s="1"/>
  <c r="AA770"/>
  <c r="AB770" s="1"/>
  <c r="AA769"/>
  <c r="AB769" s="1"/>
  <c r="AA768"/>
  <c r="AB768" s="1"/>
  <c r="AA767"/>
  <c r="AB767" s="1"/>
  <c r="AA766"/>
  <c r="AB766" s="1"/>
  <c r="AA765"/>
  <c r="AB765" s="1"/>
  <c r="AA764"/>
  <c r="AB764" s="1"/>
  <c r="AA763"/>
  <c r="AB763" s="1"/>
  <c r="AA762"/>
  <c r="AB762" s="1"/>
  <c r="AA761"/>
  <c r="AB761" s="1"/>
  <c r="AA760"/>
  <c r="AB760" s="1"/>
  <c r="AA759"/>
  <c r="AB759" s="1"/>
  <c r="AA758"/>
  <c r="AB758" s="1"/>
  <c r="AA757"/>
  <c r="AB757" s="1"/>
  <c r="AA756"/>
  <c r="AB756" s="1"/>
  <c r="AA755"/>
  <c r="AB755" s="1"/>
  <c r="AA754"/>
  <c r="AB754" s="1"/>
  <c r="AA753"/>
  <c r="AB753" s="1"/>
  <c r="AA752"/>
  <c r="AB752" s="1"/>
  <c r="AA751"/>
  <c r="AB751" s="1"/>
  <c r="AA750"/>
  <c r="AB750" s="1"/>
  <c r="AA749"/>
  <c r="AB749" s="1"/>
  <c r="AA748"/>
  <c r="AB748" s="1"/>
  <c r="AA747"/>
  <c r="AB747" s="1"/>
  <c r="AA746"/>
  <c r="AB746" s="1"/>
  <c r="AA745"/>
  <c r="AB745" s="1"/>
  <c r="AA744"/>
  <c r="AB744" s="1"/>
  <c r="AA743"/>
  <c r="AB743" s="1"/>
  <c r="AA742"/>
  <c r="AB742" s="1"/>
  <c r="AA741"/>
  <c r="AB741" s="1"/>
  <c r="AA740"/>
  <c r="AB740" s="1"/>
  <c r="AA739"/>
  <c r="AB739" s="1"/>
  <c r="AA738"/>
  <c r="AB738" s="1"/>
  <c r="AA737"/>
  <c r="AB737" s="1"/>
  <c r="AA736"/>
  <c r="AB736" s="1"/>
  <c r="AA735"/>
  <c r="AB735" s="1"/>
  <c r="AA734"/>
  <c r="AB734" s="1"/>
  <c r="AA733"/>
  <c r="AB733" s="1"/>
  <c r="AA732"/>
  <c r="AB732" s="1"/>
  <c r="AA731"/>
  <c r="AB731" s="1"/>
  <c r="AA730"/>
  <c r="AB730" s="1"/>
  <c r="AA729"/>
  <c r="AB729" s="1"/>
  <c r="AA728"/>
  <c r="AB728" s="1"/>
  <c r="AA727"/>
  <c r="AB727" s="1"/>
  <c r="AA726"/>
  <c r="AB726" s="1"/>
  <c r="AA725"/>
  <c r="AB725" s="1"/>
  <c r="AA724"/>
  <c r="AB724" s="1"/>
  <c r="AA723"/>
  <c r="AB723" s="1"/>
  <c r="AA722"/>
  <c r="AB722" s="1"/>
  <c r="AA721"/>
  <c r="AB721" s="1"/>
  <c r="AA720"/>
  <c r="AB720" s="1"/>
  <c r="AA719"/>
  <c r="AB719" s="1"/>
  <c r="AA718"/>
  <c r="AB718" s="1"/>
  <c r="AA717"/>
  <c r="AB717" s="1"/>
  <c r="AA716"/>
  <c r="AB716" s="1"/>
  <c r="AA715"/>
  <c r="AB715" s="1"/>
  <c r="AA714"/>
  <c r="AB714" s="1"/>
  <c r="AA713"/>
  <c r="AB713" s="1"/>
  <c r="AA712"/>
  <c r="AB712" s="1"/>
  <c r="AA711"/>
  <c r="AB711" s="1"/>
  <c r="AA710"/>
  <c r="AB710" s="1"/>
  <c r="AA709"/>
  <c r="AB709" s="1"/>
  <c r="AA708"/>
  <c r="AB708" s="1"/>
  <c r="AA707"/>
  <c r="AB707" s="1"/>
  <c r="AA706"/>
  <c r="AB706" s="1"/>
  <c r="AA705"/>
  <c r="AB705" s="1"/>
  <c r="AA704"/>
  <c r="AB704" s="1"/>
  <c r="AA703"/>
  <c r="AB703" s="1"/>
  <c r="AA702"/>
  <c r="AB702" s="1"/>
  <c r="AA701"/>
  <c r="AB701" s="1"/>
  <c r="AA700"/>
  <c r="AB700" s="1"/>
  <c r="AA699"/>
  <c r="AB699" s="1"/>
  <c r="AA698"/>
  <c r="AB698" s="1"/>
  <c r="AA697"/>
  <c r="AB697" s="1"/>
  <c r="AA696"/>
  <c r="AB696" s="1"/>
  <c r="AA695"/>
  <c r="AB695" s="1"/>
  <c r="AA694"/>
  <c r="AB694" s="1"/>
  <c r="AA693"/>
  <c r="AB693" s="1"/>
  <c r="AA692"/>
  <c r="AB692" s="1"/>
  <c r="AA691"/>
  <c r="AB691" s="1"/>
  <c r="AA690"/>
  <c r="AB690" s="1"/>
  <c r="AA689"/>
  <c r="AB689" s="1"/>
  <c r="AA688"/>
  <c r="AB688" s="1"/>
  <c r="AA687"/>
  <c r="AB687" s="1"/>
  <c r="AA686"/>
  <c r="AB686" s="1"/>
  <c r="AA685"/>
  <c r="AB685" s="1"/>
  <c r="AA684"/>
  <c r="AB684" s="1"/>
  <c r="AA683"/>
  <c r="AB683" s="1"/>
  <c r="AA682"/>
  <c r="AB682" s="1"/>
  <c r="AA681"/>
  <c r="AB681" s="1"/>
  <c r="AA680"/>
  <c r="AB680" s="1"/>
  <c r="AA679"/>
  <c r="AB679" s="1"/>
  <c r="AA678"/>
  <c r="AB678" s="1"/>
  <c r="AA677"/>
  <c r="AB677" s="1"/>
  <c r="AA676"/>
  <c r="AB676" s="1"/>
  <c r="AA675"/>
  <c r="AB675" s="1"/>
  <c r="AA674"/>
  <c r="AB674" s="1"/>
  <c r="AA673"/>
  <c r="AB673" s="1"/>
  <c r="AA672"/>
  <c r="AB672" s="1"/>
  <c r="AA671"/>
  <c r="AB671" s="1"/>
  <c r="AA670"/>
  <c r="AB670" s="1"/>
  <c r="AA669"/>
  <c r="AB669" s="1"/>
  <c r="AA668"/>
  <c r="AB668" s="1"/>
  <c r="AA667"/>
  <c r="AB667" s="1"/>
  <c r="AA666"/>
  <c r="AB666" s="1"/>
  <c r="AA665"/>
  <c r="AB665" s="1"/>
  <c r="AA664"/>
  <c r="AB664" s="1"/>
  <c r="AA663"/>
  <c r="AB663" s="1"/>
  <c r="AA662"/>
  <c r="AB662" s="1"/>
  <c r="AA661"/>
  <c r="AB661" s="1"/>
  <c r="AA660"/>
  <c r="AB660" s="1"/>
  <c r="AA659"/>
  <c r="AB659" s="1"/>
  <c r="AA658"/>
  <c r="AB658" s="1"/>
  <c r="AA657"/>
  <c r="AB657" s="1"/>
  <c r="AA656"/>
  <c r="AB656" s="1"/>
  <c r="AA655"/>
  <c r="AB655" s="1"/>
  <c r="AA654"/>
  <c r="AB654" s="1"/>
  <c r="AA653"/>
  <c r="AB653" s="1"/>
  <c r="AA652"/>
  <c r="AB652" s="1"/>
  <c r="AA651"/>
  <c r="AB651" s="1"/>
  <c r="AA650"/>
  <c r="AB650" s="1"/>
  <c r="AA649"/>
  <c r="AB649" s="1"/>
  <c r="AA648"/>
  <c r="AB648" s="1"/>
  <c r="AA647"/>
  <c r="AB647" s="1"/>
  <c r="AA646"/>
  <c r="AB646" s="1"/>
  <c r="AA645"/>
  <c r="AB645" s="1"/>
  <c r="AA644"/>
  <c r="AB644" s="1"/>
  <c r="AA643"/>
  <c r="AB643" s="1"/>
  <c r="AA642"/>
  <c r="AB642" s="1"/>
  <c r="AA641"/>
  <c r="AB641" s="1"/>
  <c r="AA640"/>
  <c r="AB640" s="1"/>
  <c r="AA639"/>
  <c r="AB639" s="1"/>
  <c r="AA638"/>
  <c r="AB638" s="1"/>
  <c r="AA637"/>
  <c r="AB637" s="1"/>
  <c r="AA636"/>
  <c r="AB636" s="1"/>
  <c r="AA635"/>
  <c r="AB635" s="1"/>
  <c r="AA634"/>
  <c r="AB634" s="1"/>
  <c r="AA633"/>
  <c r="AB633" s="1"/>
  <c r="AA632"/>
  <c r="AB632" s="1"/>
  <c r="AA631"/>
  <c r="AB631" s="1"/>
  <c r="AA630"/>
  <c r="AB630" s="1"/>
  <c r="AA629"/>
  <c r="AB629" s="1"/>
  <c r="AA628"/>
  <c r="AB628" s="1"/>
  <c r="AA627"/>
  <c r="AB627" s="1"/>
  <c r="AA626"/>
  <c r="AB626" s="1"/>
  <c r="AA625"/>
  <c r="AB625" s="1"/>
  <c r="AA624"/>
  <c r="AB624" s="1"/>
  <c r="AA623"/>
  <c r="AB623" s="1"/>
  <c r="AA622"/>
  <c r="AB622" s="1"/>
  <c r="AA621"/>
  <c r="AB621" s="1"/>
  <c r="AA620"/>
  <c r="AB620" s="1"/>
  <c r="AA619"/>
  <c r="AB619" s="1"/>
  <c r="AA618"/>
  <c r="AB618" s="1"/>
  <c r="AA617"/>
  <c r="AB617" s="1"/>
  <c r="AA616"/>
  <c r="AB616" s="1"/>
  <c r="AA615"/>
  <c r="AB615" s="1"/>
  <c r="AA614"/>
  <c r="AB614" s="1"/>
  <c r="AA613"/>
  <c r="AB613" s="1"/>
  <c r="AA612"/>
  <c r="AB612" s="1"/>
  <c r="AA611"/>
  <c r="AB611" s="1"/>
  <c r="AA610"/>
  <c r="AB610" s="1"/>
  <c r="AA609"/>
  <c r="AB609" s="1"/>
  <c r="AA608"/>
  <c r="AB608" s="1"/>
  <c r="AA607"/>
  <c r="AB607" s="1"/>
  <c r="AA606"/>
  <c r="AB606" s="1"/>
  <c r="AA605"/>
  <c r="AB605" s="1"/>
  <c r="AA604"/>
  <c r="AB604" s="1"/>
  <c r="AA603"/>
  <c r="AB603" s="1"/>
  <c r="AA602"/>
  <c r="AB602" s="1"/>
  <c r="AA601"/>
  <c r="AB601" s="1"/>
  <c r="AA600"/>
  <c r="AB600" s="1"/>
  <c r="AA599"/>
  <c r="AB599" s="1"/>
  <c r="AA598"/>
  <c r="AB598" s="1"/>
  <c r="AA597"/>
  <c r="AB597" s="1"/>
  <c r="AA596"/>
  <c r="AB596" s="1"/>
  <c r="AA595"/>
  <c r="AB595" s="1"/>
  <c r="AA594"/>
  <c r="AB594" s="1"/>
  <c r="AA593"/>
  <c r="AB593" s="1"/>
  <c r="AA592"/>
  <c r="AB592" s="1"/>
  <c r="AA591"/>
  <c r="AB591" s="1"/>
  <c r="AA590"/>
  <c r="AB590" s="1"/>
  <c r="AA589"/>
  <c r="AB589" s="1"/>
  <c r="AA588"/>
  <c r="AB588" s="1"/>
  <c r="AA587"/>
  <c r="AB587" s="1"/>
  <c r="AA586"/>
  <c r="AB586" s="1"/>
  <c r="AA585"/>
  <c r="AB585" s="1"/>
  <c r="AA584"/>
  <c r="AB584" s="1"/>
  <c r="AA583"/>
  <c r="AB583" s="1"/>
  <c r="AA582"/>
  <c r="AB582" s="1"/>
  <c r="AA581"/>
  <c r="AB581" s="1"/>
  <c r="AA580"/>
  <c r="AB580" s="1"/>
  <c r="AA579"/>
  <c r="AB579" s="1"/>
  <c r="AA578"/>
  <c r="AB578" s="1"/>
  <c r="AA577"/>
  <c r="AB577" s="1"/>
  <c r="AA576"/>
  <c r="AB576" s="1"/>
  <c r="AA575"/>
  <c r="AB575" s="1"/>
  <c r="AA574"/>
  <c r="AB574" s="1"/>
  <c r="AA573"/>
  <c r="AB573" s="1"/>
  <c r="AA572"/>
  <c r="AB572" s="1"/>
  <c r="AA571"/>
  <c r="AB571" s="1"/>
  <c r="AA570"/>
  <c r="AB570" s="1"/>
  <c r="AA569"/>
  <c r="AB569" s="1"/>
  <c r="AA568"/>
  <c r="AB568" s="1"/>
  <c r="AA567"/>
  <c r="AB567" s="1"/>
  <c r="AA566"/>
  <c r="AB566" s="1"/>
  <c r="AA565"/>
  <c r="AB565" s="1"/>
  <c r="AA564"/>
  <c r="AB564" s="1"/>
  <c r="AA563"/>
  <c r="AB563" s="1"/>
  <c r="AA562"/>
  <c r="AB562" s="1"/>
  <c r="AA561"/>
  <c r="AB561" s="1"/>
  <c r="AA560"/>
  <c r="AB560" s="1"/>
  <c r="AA559"/>
  <c r="AB559" s="1"/>
  <c r="AA558"/>
  <c r="AB558" s="1"/>
  <c r="AA557"/>
  <c r="AB557" s="1"/>
  <c r="AA556"/>
  <c r="AB556" s="1"/>
  <c r="AA555"/>
  <c r="AB555" s="1"/>
  <c r="AA554"/>
  <c r="AB554" s="1"/>
  <c r="AA553"/>
  <c r="AB553" s="1"/>
  <c r="AA552"/>
  <c r="AB552" s="1"/>
  <c r="AA551"/>
  <c r="AB551" s="1"/>
  <c r="AA550"/>
  <c r="AB550" s="1"/>
  <c r="AA549"/>
  <c r="AB549" s="1"/>
  <c r="AA548"/>
  <c r="AB548" s="1"/>
  <c r="AA547"/>
  <c r="AB547" s="1"/>
  <c r="AA546"/>
  <c r="AB546" s="1"/>
  <c r="AA545"/>
  <c r="AB545" s="1"/>
  <c r="AA544"/>
  <c r="AB544" s="1"/>
  <c r="AA543"/>
  <c r="AB543" s="1"/>
  <c r="AA542"/>
  <c r="AB542" s="1"/>
  <c r="AA541"/>
  <c r="AB541" s="1"/>
  <c r="AA540"/>
  <c r="AB540" s="1"/>
  <c r="AA539"/>
  <c r="AB539" s="1"/>
  <c r="AA538"/>
  <c r="AB538" s="1"/>
  <c r="AA537"/>
  <c r="AB537" s="1"/>
  <c r="AA536"/>
  <c r="AB536" s="1"/>
  <c r="AA535"/>
  <c r="AB535" s="1"/>
  <c r="AA534"/>
  <c r="AB534" s="1"/>
  <c r="AA533"/>
  <c r="AB533" s="1"/>
  <c r="AA532"/>
  <c r="AB532" s="1"/>
  <c r="AA531"/>
  <c r="AB531" s="1"/>
  <c r="AA530"/>
  <c r="AB530" s="1"/>
  <c r="AA529"/>
  <c r="AB529" s="1"/>
  <c r="AA528"/>
  <c r="AB528" s="1"/>
  <c r="AA527"/>
  <c r="AB527" s="1"/>
  <c r="AA526"/>
  <c r="AB526" s="1"/>
  <c r="AA525"/>
  <c r="AB525" s="1"/>
  <c r="AA524"/>
  <c r="AB524" s="1"/>
  <c r="AA523"/>
  <c r="AB523" s="1"/>
  <c r="AA522"/>
  <c r="AB522" s="1"/>
  <c r="AA521"/>
  <c r="AB521" s="1"/>
  <c r="AA520"/>
  <c r="AB520" s="1"/>
  <c r="AA519"/>
  <c r="AB519" s="1"/>
  <c r="AA518"/>
  <c r="AB518" s="1"/>
  <c r="AA517"/>
  <c r="AB517" s="1"/>
  <c r="AA516"/>
  <c r="AB516" s="1"/>
  <c r="AA515"/>
  <c r="AB515" s="1"/>
  <c r="AA514"/>
  <c r="AB514" s="1"/>
  <c r="AA513"/>
  <c r="AB513" s="1"/>
  <c r="AA512"/>
  <c r="AB512" s="1"/>
  <c r="AA511"/>
  <c r="AB511" s="1"/>
  <c r="AA510"/>
  <c r="AB510" s="1"/>
  <c r="AA509"/>
  <c r="AB509" s="1"/>
  <c r="AA508"/>
  <c r="AB508" s="1"/>
  <c r="AA507"/>
  <c r="AB507" s="1"/>
  <c r="AA506"/>
  <c r="AB506" s="1"/>
  <c r="AA505"/>
  <c r="AB505" s="1"/>
  <c r="AA504"/>
  <c r="AB504" s="1"/>
  <c r="AA503"/>
  <c r="AB503" s="1"/>
  <c r="AA502"/>
  <c r="AB502" s="1"/>
  <c r="AA501"/>
  <c r="AB501" s="1"/>
  <c r="AA500"/>
  <c r="AB500" s="1"/>
  <c r="AA499"/>
  <c r="AB499" s="1"/>
  <c r="AA498"/>
  <c r="AB498" s="1"/>
  <c r="AA497"/>
  <c r="AB497" s="1"/>
  <c r="AA496"/>
  <c r="AB496" s="1"/>
  <c r="AA495"/>
  <c r="AB495" s="1"/>
  <c r="AA494"/>
  <c r="AB494" s="1"/>
  <c r="AA493"/>
  <c r="AB493" s="1"/>
  <c r="AA492"/>
  <c r="AB492" s="1"/>
  <c r="AA491"/>
  <c r="AB491" s="1"/>
  <c r="AA490"/>
  <c r="AB490" s="1"/>
  <c r="AA489"/>
  <c r="AB489" s="1"/>
  <c r="AA488"/>
  <c r="AB488" s="1"/>
  <c r="AA487"/>
  <c r="AB487" s="1"/>
  <c r="AA486"/>
  <c r="AB486" s="1"/>
  <c r="AA485"/>
  <c r="AB485" s="1"/>
  <c r="AA484"/>
  <c r="AB484" s="1"/>
  <c r="AA483"/>
  <c r="AB483" s="1"/>
  <c r="AA482"/>
  <c r="AB482" s="1"/>
  <c r="AA481"/>
  <c r="AB481" s="1"/>
  <c r="AA480"/>
  <c r="AB480" s="1"/>
  <c r="AA479"/>
  <c r="AB479" s="1"/>
  <c r="AA478"/>
  <c r="AB478" s="1"/>
  <c r="AA477"/>
  <c r="AB477" s="1"/>
  <c r="AA476"/>
  <c r="AB476" s="1"/>
  <c r="AA475"/>
  <c r="AB475" s="1"/>
  <c r="AA474"/>
  <c r="AB474" s="1"/>
  <c r="AA473"/>
  <c r="AB473" s="1"/>
  <c r="AA472"/>
  <c r="AB472" s="1"/>
  <c r="AA471"/>
  <c r="AB471" s="1"/>
  <c r="AA470"/>
  <c r="AB470" s="1"/>
  <c r="AA469"/>
  <c r="AB469" s="1"/>
  <c r="AA468"/>
  <c r="AB468" s="1"/>
  <c r="AA467"/>
  <c r="AB467" s="1"/>
  <c r="AA466"/>
  <c r="AB466" s="1"/>
  <c r="AA465"/>
  <c r="AB465" s="1"/>
  <c r="AA464"/>
  <c r="AB464" s="1"/>
  <c r="AA463"/>
  <c r="AB463" s="1"/>
  <c r="AA462"/>
  <c r="AB462" s="1"/>
  <c r="AA461"/>
  <c r="AB461" s="1"/>
  <c r="AA460"/>
  <c r="AB460" s="1"/>
  <c r="AA459"/>
  <c r="AB459" s="1"/>
  <c r="AA458"/>
  <c r="AB458" s="1"/>
  <c r="AA457"/>
  <c r="AB457" s="1"/>
  <c r="AA456"/>
  <c r="AB456" s="1"/>
  <c r="AA455"/>
  <c r="AB455" s="1"/>
  <c r="AA454"/>
  <c r="AB454" s="1"/>
  <c r="AA453"/>
  <c r="AB453" s="1"/>
  <c r="AA452"/>
  <c r="AB452" s="1"/>
  <c r="AA451"/>
  <c r="AB451" s="1"/>
  <c r="AA450"/>
  <c r="AB450" s="1"/>
  <c r="AA449"/>
  <c r="AB449" s="1"/>
  <c r="AA448"/>
  <c r="AB448" s="1"/>
  <c r="AA447"/>
  <c r="AB447" s="1"/>
  <c r="AA446"/>
  <c r="AB446" s="1"/>
  <c r="AA445"/>
  <c r="AB445" s="1"/>
  <c r="AA444"/>
  <c r="AB444" s="1"/>
  <c r="AA443"/>
  <c r="AB443" s="1"/>
  <c r="AA442"/>
  <c r="AB442" s="1"/>
  <c r="AA441"/>
  <c r="AB441" s="1"/>
  <c r="AA440"/>
  <c r="AB440" s="1"/>
  <c r="AA439"/>
  <c r="AB439" s="1"/>
  <c r="AA438"/>
  <c r="AB438" s="1"/>
  <c r="AA437"/>
  <c r="AB437" s="1"/>
  <c r="AA436"/>
  <c r="AB436" s="1"/>
  <c r="AA435"/>
  <c r="AB435" s="1"/>
  <c r="AA434"/>
  <c r="AB434" s="1"/>
  <c r="AA433"/>
  <c r="AB433" s="1"/>
  <c r="AA432"/>
  <c r="AB432" s="1"/>
  <c r="AA431"/>
  <c r="AB431" s="1"/>
  <c r="AA430"/>
  <c r="AB430" s="1"/>
  <c r="AA429"/>
  <c r="AB429" s="1"/>
  <c r="AA428"/>
  <c r="AB428" s="1"/>
  <c r="AA427"/>
  <c r="AB427" s="1"/>
  <c r="AA426"/>
  <c r="AB426" s="1"/>
  <c r="AA425"/>
  <c r="AB425" s="1"/>
  <c r="AA424"/>
  <c r="AB424" s="1"/>
  <c r="AA423"/>
  <c r="AB423" s="1"/>
  <c r="AA422"/>
  <c r="AB422" s="1"/>
  <c r="AA421"/>
  <c r="AB421" s="1"/>
  <c r="AA420"/>
  <c r="AB420" s="1"/>
  <c r="AA419"/>
  <c r="AB419" s="1"/>
  <c r="AA418"/>
  <c r="AB418" s="1"/>
  <c r="AA417"/>
  <c r="AB417" s="1"/>
  <c r="AA416"/>
  <c r="AB416" s="1"/>
  <c r="AA415"/>
  <c r="AB415" s="1"/>
  <c r="AA414"/>
  <c r="AB414" s="1"/>
  <c r="AA413"/>
  <c r="AB413" s="1"/>
  <c r="AA412"/>
  <c r="AB412" s="1"/>
  <c r="AA411"/>
  <c r="AB411" s="1"/>
  <c r="AA410"/>
  <c r="AB410" s="1"/>
  <c r="AA409"/>
  <c r="AB409" s="1"/>
  <c r="AA408"/>
  <c r="AB408" s="1"/>
  <c r="AA407"/>
  <c r="AB407" s="1"/>
  <c r="AA406"/>
  <c r="AB406" s="1"/>
  <c r="AA405"/>
  <c r="AB405" s="1"/>
  <c r="AA404"/>
  <c r="AB404" s="1"/>
  <c r="AA403"/>
  <c r="AB403" s="1"/>
  <c r="AA402"/>
  <c r="AB402" s="1"/>
  <c r="AA401"/>
  <c r="AB401" s="1"/>
  <c r="AA400"/>
  <c r="AB400" s="1"/>
  <c r="AA399"/>
  <c r="AB399" s="1"/>
  <c r="AA398"/>
  <c r="AB398" s="1"/>
  <c r="AA397"/>
  <c r="AB397" s="1"/>
  <c r="AA396"/>
  <c r="AB396" s="1"/>
  <c r="AA395"/>
  <c r="AB395" s="1"/>
  <c r="AA394"/>
  <c r="AB394" s="1"/>
  <c r="AA393"/>
  <c r="AB393" s="1"/>
  <c r="AA392"/>
  <c r="AB392" s="1"/>
  <c r="AA391"/>
  <c r="AB391" s="1"/>
  <c r="AA390"/>
  <c r="AB390" s="1"/>
  <c r="AA389"/>
  <c r="AB389" s="1"/>
  <c r="AA388"/>
  <c r="AB388" s="1"/>
  <c r="AA387"/>
  <c r="AB387" s="1"/>
  <c r="AA386"/>
  <c r="AB386" s="1"/>
  <c r="AA385"/>
  <c r="AB385" s="1"/>
  <c r="AA384"/>
  <c r="AB384" s="1"/>
  <c r="AA383"/>
  <c r="AB383" s="1"/>
  <c r="AA382"/>
  <c r="AB382" s="1"/>
  <c r="AA381"/>
  <c r="AB381" s="1"/>
  <c r="AA380"/>
  <c r="AB380" s="1"/>
  <c r="AA379"/>
  <c r="AB379" s="1"/>
  <c r="AA378"/>
  <c r="AB378" s="1"/>
  <c r="AA377"/>
  <c r="AB377" s="1"/>
  <c r="AA376"/>
  <c r="AB376" s="1"/>
  <c r="AA375"/>
  <c r="AB375" s="1"/>
  <c r="AA374"/>
  <c r="AB374" s="1"/>
  <c r="AA373"/>
  <c r="AB373" s="1"/>
  <c r="AA372"/>
  <c r="AB372" s="1"/>
  <c r="AA371"/>
  <c r="AB371" s="1"/>
  <c r="AA370"/>
  <c r="AB370" s="1"/>
  <c r="AA369"/>
  <c r="AB369" s="1"/>
  <c r="AA368"/>
  <c r="AB368" s="1"/>
  <c r="AA367"/>
  <c r="AB367" s="1"/>
  <c r="AA366"/>
  <c r="AB366" s="1"/>
  <c r="AA365"/>
  <c r="AB365" s="1"/>
  <c r="AA364"/>
  <c r="AB364" s="1"/>
  <c r="AA363"/>
  <c r="AB363" s="1"/>
  <c r="AA362"/>
  <c r="AB362" s="1"/>
  <c r="AA361"/>
  <c r="AB361" s="1"/>
  <c r="AA360"/>
  <c r="AB360" s="1"/>
  <c r="AA359"/>
  <c r="AB359" s="1"/>
  <c r="AA358"/>
  <c r="AB358" s="1"/>
  <c r="AA357"/>
  <c r="AB357" s="1"/>
  <c r="AA356"/>
  <c r="AB356" s="1"/>
  <c r="AA355"/>
  <c r="AB355" s="1"/>
  <c r="AA354"/>
  <c r="AB354" s="1"/>
  <c r="AA353"/>
  <c r="AB353" s="1"/>
  <c r="AA352"/>
  <c r="AB352" s="1"/>
  <c r="AA351"/>
  <c r="AB351" s="1"/>
  <c r="AA350"/>
  <c r="AB350" s="1"/>
  <c r="AA349"/>
  <c r="AB349" s="1"/>
  <c r="AA348"/>
  <c r="AB348" s="1"/>
  <c r="AA347"/>
  <c r="AB347" s="1"/>
  <c r="AA346"/>
  <c r="AB346" s="1"/>
  <c r="AA345"/>
  <c r="AB345" s="1"/>
  <c r="AA344"/>
  <c r="AB344" s="1"/>
  <c r="AA343"/>
  <c r="AB343" s="1"/>
  <c r="AA342"/>
  <c r="AB342" s="1"/>
  <c r="AA341"/>
  <c r="AB341" s="1"/>
  <c r="AA340"/>
  <c r="AB340" s="1"/>
  <c r="AA339"/>
  <c r="AB339" s="1"/>
  <c r="AA338"/>
  <c r="AB338" s="1"/>
  <c r="AA337"/>
  <c r="AB337" s="1"/>
  <c r="AA336"/>
  <c r="AB336" s="1"/>
  <c r="AA335"/>
  <c r="AB335" s="1"/>
  <c r="AA334"/>
  <c r="AB334" s="1"/>
  <c r="AA333"/>
  <c r="AB333" s="1"/>
  <c r="AA332"/>
  <c r="AB332" s="1"/>
  <c r="AA331"/>
  <c r="AB331" s="1"/>
  <c r="AA330"/>
  <c r="AB330" s="1"/>
  <c r="AA329"/>
  <c r="AB329" s="1"/>
  <c r="AA328"/>
  <c r="AB328" s="1"/>
  <c r="AA327"/>
  <c r="AB327" s="1"/>
  <c r="AA326"/>
  <c r="AB326" s="1"/>
  <c r="AA325"/>
  <c r="AB325" s="1"/>
  <c r="AA324"/>
  <c r="AB324" s="1"/>
  <c r="AA323"/>
  <c r="AB323" s="1"/>
  <c r="AA322"/>
  <c r="AB322" s="1"/>
  <c r="AA321"/>
  <c r="AB321" s="1"/>
  <c r="AA320"/>
  <c r="AB320" s="1"/>
  <c r="AA319"/>
  <c r="AB319" s="1"/>
  <c r="AA318"/>
  <c r="AB318" s="1"/>
  <c r="AA317"/>
  <c r="AB317" s="1"/>
  <c r="AA316"/>
  <c r="AB316" s="1"/>
  <c r="AA315"/>
  <c r="AB315" s="1"/>
  <c r="AA314"/>
  <c r="AB314" s="1"/>
  <c r="AA313"/>
  <c r="AB313" s="1"/>
  <c r="AA312"/>
  <c r="AB312" s="1"/>
  <c r="AA311"/>
  <c r="AB311" s="1"/>
  <c r="AA310"/>
  <c r="AB310" s="1"/>
  <c r="AA309"/>
  <c r="AB309" s="1"/>
  <c r="AA308"/>
  <c r="AB308" s="1"/>
  <c r="AA307"/>
  <c r="AB307" s="1"/>
  <c r="AA306"/>
  <c r="AB306" s="1"/>
  <c r="AA305"/>
  <c r="AB305" s="1"/>
  <c r="AA304"/>
  <c r="AB304" s="1"/>
  <c r="AA303"/>
  <c r="AB303" s="1"/>
  <c r="AA302"/>
  <c r="AB302" s="1"/>
  <c r="AA301"/>
  <c r="AB301" s="1"/>
  <c r="AA300"/>
  <c r="AB300" s="1"/>
  <c r="AA299"/>
  <c r="AB299" s="1"/>
  <c r="AA298"/>
  <c r="AB298" s="1"/>
  <c r="AA297"/>
  <c r="AB297" s="1"/>
  <c r="AA296"/>
  <c r="AB296" s="1"/>
  <c r="AA295"/>
  <c r="AB295" s="1"/>
  <c r="AA294"/>
  <c r="AB294" s="1"/>
  <c r="AA293"/>
  <c r="AB293" s="1"/>
  <c r="AA292"/>
  <c r="AB292" s="1"/>
  <c r="AA291"/>
  <c r="AB291" s="1"/>
  <c r="AA290"/>
  <c r="AB290" s="1"/>
  <c r="AA289"/>
  <c r="AB289" s="1"/>
  <c r="AA288"/>
  <c r="AB288" s="1"/>
  <c r="AA287"/>
  <c r="AB287" s="1"/>
  <c r="AA286"/>
  <c r="AB286" s="1"/>
  <c r="AA285"/>
  <c r="AB285" s="1"/>
  <c r="AA284"/>
  <c r="AB284" s="1"/>
  <c r="AA283"/>
  <c r="AB283" s="1"/>
  <c r="AA282"/>
  <c r="AB282" s="1"/>
  <c r="AA281"/>
  <c r="AB281" s="1"/>
  <c r="AA280"/>
  <c r="AB280" s="1"/>
  <c r="AA279"/>
  <c r="AB279" s="1"/>
  <c r="AA278"/>
  <c r="AB278" s="1"/>
  <c r="AA277"/>
  <c r="AB277" s="1"/>
  <c r="AA276"/>
  <c r="AB276" s="1"/>
  <c r="AA275"/>
  <c r="AB275" s="1"/>
  <c r="AA274"/>
  <c r="AB274" s="1"/>
  <c r="AA273"/>
  <c r="AB273" s="1"/>
  <c r="AA272"/>
  <c r="AB272" s="1"/>
  <c r="AA271"/>
  <c r="AB271" s="1"/>
  <c r="AA270"/>
  <c r="AB270" s="1"/>
  <c r="AA269"/>
  <c r="AB269" s="1"/>
  <c r="AA268"/>
  <c r="AB268" s="1"/>
  <c r="AA267"/>
  <c r="AB267" s="1"/>
  <c r="AA266"/>
  <c r="AB266" s="1"/>
  <c r="AA265"/>
  <c r="AB265" s="1"/>
  <c r="AA264"/>
  <c r="AB264" s="1"/>
  <c r="AA263"/>
  <c r="AB263" s="1"/>
  <c r="AA262"/>
  <c r="AB262" s="1"/>
  <c r="AA261"/>
  <c r="AB261" s="1"/>
  <c r="AA260"/>
  <c r="AB260" s="1"/>
  <c r="AA259"/>
  <c r="AB259" s="1"/>
  <c r="AA258"/>
  <c r="AB258" s="1"/>
  <c r="AA257"/>
  <c r="AB257" s="1"/>
  <c r="AA256"/>
  <c r="AB256" s="1"/>
  <c r="AA255"/>
  <c r="AB255" s="1"/>
  <c r="AA254"/>
  <c r="AB254" s="1"/>
  <c r="AA253"/>
  <c r="AB253" s="1"/>
  <c r="AA252"/>
  <c r="AB252" s="1"/>
  <c r="AA251"/>
  <c r="AB251" s="1"/>
  <c r="AA250"/>
  <c r="AB250" s="1"/>
  <c r="AA249"/>
  <c r="AB249" s="1"/>
  <c r="AA248"/>
  <c r="AB248" s="1"/>
  <c r="AA247"/>
  <c r="AB247" s="1"/>
  <c r="AA246"/>
  <c r="AB246" s="1"/>
  <c r="AA245"/>
  <c r="AB245" s="1"/>
  <c r="AA244"/>
  <c r="AB244" s="1"/>
  <c r="AA243"/>
  <c r="AB243" s="1"/>
  <c r="AA242"/>
  <c r="AB242" s="1"/>
  <c r="AA241"/>
  <c r="AB241" s="1"/>
  <c r="AA240"/>
  <c r="AB240" s="1"/>
  <c r="AA239"/>
  <c r="AB239" s="1"/>
  <c r="AA238"/>
  <c r="AB238" s="1"/>
  <c r="AA237"/>
  <c r="AB237" s="1"/>
  <c r="AA236"/>
  <c r="AB236" s="1"/>
  <c r="AA235"/>
  <c r="AB235" s="1"/>
  <c r="AA234"/>
  <c r="AB234" s="1"/>
  <c r="AA233"/>
  <c r="AB233" s="1"/>
  <c r="AA232"/>
  <c r="AB232" s="1"/>
  <c r="AA231"/>
  <c r="AB231" s="1"/>
  <c r="AA230"/>
  <c r="AB230" s="1"/>
  <c r="AA229"/>
  <c r="AB229" s="1"/>
  <c r="AA228"/>
  <c r="AB228" s="1"/>
  <c r="AA227"/>
  <c r="AB227" s="1"/>
  <c r="AA226"/>
  <c r="AB226" s="1"/>
  <c r="AA225"/>
  <c r="AB225" s="1"/>
  <c r="AA224"/>
  <c r="AB224" s="1"/>
  <c r="AA223"/>
  <c r="AB223" s="1"/>
  <c r="AA222"/>
  <c r="AB222" s="1"/>
  <c r="AA221"/>
  <c r="AB221" s="1"/>
  <c r="AA220"/>
  <c r="AB220" s="1"/>
  <c r="AA219"/>
  <c r="AB219" s="1"/>
  <c r="AA218"/>
  <c r="AB218" s="1"/>
  <c r="AA217"/>
  <c r="AB217" s="1"/>
  <c r="AA216"/>
  <c r="AB216" s="1"/>
  <c r="AA215"/>
  <c r="AB215" s="1"/>
  <c r="AA214"/>
  <c r="AB214" s="1"/>
  <c r="AA213"/>
  <c r="AB213" s="1"/>
  <c r="AA212"/>
  <c r="AB212" s="1"/>
  <c r="AA211"/>
  <c r="AB211" s="1"/>
  <c r="AA210"/>
  <c r="AB210" s="1"/>
  <c r="AA209"/>
  <c r="AB209" s="1"/>
  <c r="AA208"/>
  <c r="AB208" s="1"/>
  <c r="AA207"/>
  <c r="AB207" s="1"/>
  <c r="AA206"/>
  <c r="AB206" s="1"/>
  <c r="AA205"/>
  <c r="AB205" s="1"/>
  <c r="AA204"/>
  <c r="AB204" s="1"/>
  <c r="AA203"/>
  <c r="AB203" s="1"/>
  <c r="AA202"/>
  <c r="AB202" s="1"/>
  <c r="AA201"/>
  <c r="AB201" s="1"/>
  <c r="AA200"/>
  <c r="AB200" s="1"/>
  <c r="AA199"/>
  <c r="AB199" s="1"/>
  <c r="AA198"/>
  <c r="AB198" s="1"/>
  <c r="AA197"/>
  <c r="AB197" s="1"/>
  <c r="AA196"/>
  <c r="AB196" s="1"/>
  <c r="AA195"/>
  <c r="AB195" s="1"/>
  <c r="AA194"/>
  <c r="AB194" s="1"/>
  <c r="AA193"/>
  <c r="AB193" s="1"/>
  <c r="AA192"/>
  <c r="AB192" s="1"/>
  <c r="AA191"/>
  <c r="AB191" s="1"/>
  <c r="AA190"/>
  <c r="AB190" s="1"/>
  <c r="AA189"/>
  <c r="AB189" s="1"/>
  <c r="AA188"/>
  <c r="AB188" s="1"/>
  <c r="AA187"/>
  <c r="AB187" s="1"/>
  <c r="AA186"/>
  <c r="AB186" s="1"/>
  <c r="AA185"/>
  <c r="AB185" s="1"/>
  <c r="AA184"/>
  <c r="AB184" s="1"/>
  <c r="AA183"/>
  <c r="AB183" s="1"/>
  <c r="AA182"/>
  <c r="AB182" s="1"/>
  <c r="AA181"/>
  <c r="AB181" s="1"/>
  <c r="AA180"/>
  <c r="AB180" s="1"/>
  <c r="AA179"/>
  <c r="AB179" s="1"/>
  <c r="AA178"/>
  <c r="AB178" s="1"/>
  <c r="AA177"/>
  <c r="AB177" s="1"/>
  <c r="AA176"/>
  <c r="AB176" s="1"/>
  <c r="AA175"/>
  <c r="AB175" s="1"/>
  <c r="AA174"/>
  <c r="AB174" s="1"/>
  <c r="AA173"/>
  <c r="AB173" s="1"/>
  <c r="AA172"/>
  <c r="AB172" s="1"/>
  <c r="AA171"/>
  <c r="AB171" s="1"/>
  <c r="AA170"/>
  <c r="AB170" s="1"/>
  <c r="AA169"/>
  <c r="AB169" s="1"/>
  <c r="AA168"/>
  <c r="AB168" s="1"/>
  <c r="AA167"/>
  <c r="AB167" s="1"/>
  <c r="AA166"/>
  <c r="AB166" s="1"/>
  <c r="AA165"/>
  <c r="AB165" s="1"/>
  <c r="AA164"/>
  <c r="AB164" s="1"/>
  <c r="AA163"/>
  <c r="AB163" s="1"/>
  <c r="AA162"/>
  <c r="AB162" s="1"/>
  <c r="AA161"/>
  <c r="AB161" s="1"/>
  <c r="AA160"/>
  <c r="AB160" s="1"/>
  <c r="AA159"/>
  <c r="AB159" s="1"/>
  <c r="AA158"/>
  <c r="AB158" s="1"/>
  <c r="AA157"/>
  <c r="AB157" s="1"/>
  <c r="AA156"/>
  <c r="AB156" s="1"/>
  <c r="AA155"/>
  <c r="AB155" s="1"/>
  <c r="AA154"/>
  <c r="AB154" s="1"/>
  <c r="AA153"/>
  <c r="AB153" s="1"/>
  <c r="AA152"/>
  <c r="AB152" s="1"/>
  <c r="AA151"/>
  <c r="AB151" s="1"/>
  <c r="AA150"/>
  <c r="AB150" s="1"/>
  <c r="AA149"/>
  <c r="AB149" s="1"/>
  <c r="AA148"/>
  <c r="AB148" s="1"/>
  <c r="AA147"/>
  <c r="AB147" s="1"/>
  <c r="AA146"/>
  <c r="AB146" s="1"/>
  <c r="AA145"/>
  <c r="AB145" s="1"/>
  <c r="AA144"/>
  <c r="AB144" s="1"/>
  <c r="AA143"/>
  <c r="AB143" s="1"/>
  <c r="AA142"/>
  <c r="AB142" s="1"/>
  <c r="AA141"/>
  <c r="AB141" s="1"/>
  <c r="AA140"/>
  <c r="AB140" s="1"/>
  <c r="AA139"/>
  <c r="AB139" s="1"/>
  <c r="AA138"/>
  <c r="AB138" s="1"/>
  <c r="AA137"/>
  <c r="AB137" s="1"/>
  <c r="AA136"/>
  <c r="AB136" s="1"/>
  <c r="AA135"/>
  <c r="AB135" s="1"/>
  <c r="AA134"/>
  <c r="AB134" s="1"/>
  <c r="AA133"/>
  <c r="AB133" s="1"/>
  <c r="AA132"/>
  <c r="AB132" s="1"/>
  <c r="AA131"/>
  <c r="AB131" s="1"/>
  <c r="AA130"/>
  <c r="AB130" s="1"/>
  <c r="AA129"/>
  <c r="AB129" s="1"/>
  <c r="AA128"/>
  <c r="AB128" s="1"/>
  <c r="AA127"/>
  <c r="AB127" s="1"/>
  <c r="AA126"/>
  <c r="AB126" s="1"/>
  <c r="AA125"/>
  <c r="AB125" s="1"/>
  <c r="AA124"/>
  <c r="AB124" s="1"/>
  <c r="AA123"/>
  <c r="AB123" s="1"/>
  <c r="AA122"/>
  <c r="AB122" s="1"/>
  <c r="AA121"/>
  <c r="AB121" s="1"/>
  <c r="AA120"/>
  <c r="AB120" s="1"/>
  <c r="AA119"/>
  <c r="AB119" s="1"/>
  <c r="AA118"/>
  <c r="AB118" s="1"/>
  <c r="AA117"/>
  <c r="AB117" s="1"/>
  <c r="AA116"/>
  <c r="AB116" s="1"/>
  <c r="AA115"/>
  <c r="AB115" s="1"/>
  <c r="AA114"/>
  <c r="AB114" s="1"/>
  <c r="AA113"/>
  <c r="AB113" s="1"/>
  <c r="AA112"/>
  <c r="AB112" s="1"/>
  <c r="AA111"/>
  <c r="AB111" s="1"/>
  <c r="AA110"/>
  <c r="AB110" s="1"/>
  <c r="AA109"/>
  <c r="AB109" s="1"/>
  <c r="AA108"/>
  <c r="AB108" s="1"/>
  <c r="AA107"/>
  <c r="AB107" s="1"/>
  <c r="AA106"/>
  <c r="AB106" s="1"/>
  <c r="AA105"/>
  <c r="AB105" s="1"/>
  <c r="AA104"/>
  <c r="AB104" s="1"/>
  <c r="AA103"/>
  <c r="AB103" s="1"/>
  <c r="AA102"/>
  <c r="AB102" s="1"/>
  <c r="AA101"/>
  <c r="AB101" s="1"/>
  <c r="AA100"/>
  <c r="AB100" s="1"/>
  <c r="AA99"/>
  <c r="AB99" s="1"/>
  <c r="AA98"/>
  <c r="AB98" s="1"/>
  <c r="AA97"/>
  <c r="AB97" s="1"/>
  <c r="AA96"/>
  <c r="AB96" s="1"/>
  <c r="AA95"/>
  <c r="AB95" s="1"/>
  <c r="AA94"/>
  <c r="AB94" s="1"/>
  <c r="AA93"/>
  <c r="AB93" s="1"/>
  <c r="AA92"/>
  <c r="AB92" s="1"/>
  <c r="AA91"/>
  <c r="AB91" s="1"/>
  <c r="AA90"/>
  <c r="AB90" s="1"/>
  <c r="AA89"/>
  <c r="AB89" s="1"/>
  <c r="AA88"/>
  <c r="AB88" s="1"/>
  <c r="AA87"/>
  <c r="AB87" s="1"/>
  <c r="AA86"/>
  <c r="AB86" s="1"/>
  <c r="AA85"/>
  <c r="AB85" s="1"/>
  <c r="AA84"/>
  <c r="AB84" s="1"/>
  <c r="AA83"/>
  <c r="AB83" s="1"/>
  <c r="AA82"/>
  <c r="AB82" s="1"/>
  <c r="AA81"/>
  <c r="AB81" s="1"/>
  <c r="AA80"/>
  <c r="AB80" s="1"/>
  <c r="AA79"/>
  <c r="AB79" s="1"/>
  <c r="AA78"/>
  <c r="AB78" s="1"/>
  <c r="AA77"/>
  <c r="AB77" s="1"/>
  <c r="AA76"/>
  <c r="AB76" s="1"/>
  <c r="AA75"/>
  <c r="AB75" s="1"/>
  <c r="AA74"/>
  <c r="AB74" s="1"/>
  <c r="AA73"/>
  <c r="AB73" s="1"/>
  <c r="AA72"/>
  <c r="AB72" s="1"/>
  <c r="AA71"/>
  <c r="AB71" s="1"/>
  <c r="AA70"/>
  <c r="AB70" s="1"/>
  <c r="AA69"/>
  <c r="AB69" s="1"/>
  <c r="AA68"/>
  <c r="AB68" s="1"/>
  <c r="AA67"/>
  <c r="AB67" s="1"/>
  <c r="AA66"/>
  <c r="AB66" s="1"/>
  <c r="AA65"/>
  <c r="AB65" s="1"/>
  <c r="AA64"/>
  <c r="AB64" s="1"/>
  <c r="AA63"/>
  <c r="AB63" s="1"/>
  <c r="AA62"/>
  <c r="AB62" s="1"/>
  <c r="AA61"/>
  <c r="AB61" s="1"/>
  <c r="AA60"/>
  <c r="AB60" s="1"/>
  <c r="AA59"/>
  <c r="AB59" s="1"/>
  <c r="AA58"/>
  <c r="AB58" s="1"/>
  <c r="AA57"/>
  <c r="AB57" s="1"/>
  <c r="AA56"/>
  <c r="AB56" s="1"/>
  <c r="AA55"/>
  <c r="AB55" s="1"/>
  <c r="AA54"/>
  <c r="AB54" s="1"/>
  <c r="AA53"/>
  <c r="AB53" s="1"/>
  <c r="AA52"/>
  <c r="AB52" s="1"/>
  <c r="AA51"/>
  <c r="AB51" s="1"/>
  <c r="AA50"/>
  <c r="AB50" s="1"/>
  <c r="AA49"/>
  <c r="AB49" s="1"/>
  <c r="AA48"/>
  <c r="AB48" s="1"/>
  <c r="AA47"/>
  <c r="AB47" s="1"/>
  <c r="AA46"/>
  <c r="AB46" s="1"/>
  <c r="AA45"/>
  <c r="AB45" s="1"/>
  <c r="AA44"/>
  <c r="AB44" s="1"/>
  <c r="AA43"/>
  <c r="AB43" s="1"/>
  <c r="AA42"/>
  <c r="AB42" s="1"/>
  <c r="AA41"/>
  <c r="AB41" s="1"/>
  <c r="AA40"/>
  <c r="AB40" s="1"/>
  <c r="AA39"/>
  <c r="AB39" s="1"/>
  <c r="AA38"/>
  <c r="AB38" s="1"/>
  <c r="AA37"/>
  <c r="AB37" s="1"/>
  <c r="AA36"/>
  <c r="AB36" s="1"/>
  <c r="AA35"/>
  <c r="AB35" s="1"/>
  <c r="AA34"/>
  <c r="AB34" s="1"/>
  <c r="AA33"/>
  <c r="AB33" s="1"/>
  <c r="AA32"/>
  <c r="AB32" s="1"/>
  <c r="AA31"/>
  <c r="AB31" s="1"/>
  <c r="AA30"/>
  <c r="AB30" s="1"/>
  <c r="AA29"/>
  <c r="AB29" s="1"/>
  <c r="AA28"/>
  <c r="AB28" s="1"/>
  <c r="AA27"/>
  <c r="AB27" s="1"/>
  <c r="AA26"/>
  <c r="AB26" s="1"/>
  <c r="AA25"/>
  <c r="AB25" s="1"/>
  <c r="AA24"/>
  <c r="AB24" s="1"/>
  <c r="AA23"/>
  <c r="AB23" s="1"/>
  <c r="AA22"/>
  <c r="AB22" s="1"/>
  <c r="AA21"/>
  <c r="AB21" s="1"/>
  <c r="AA20"/>
  <c r="AB20" s="1"/>
  <c r="AA19"/>
  <c r="AB19" s="1"/>
  <c r="AA18"/>
  <c r="AB18" s="1"/>
  <c r="AA17"/>
  <c r="AB17" s="1"/>
  <c r="AA16"/>
  <c r="AB16" s="1"/>
  <c r="AA15"/>
  <c r="AB15" s="1"/>
  <c r="AA14"/>
  <c r="AB14" s="1"/>
  <c r="AA13"/>
  <c r="AB13" s="1"/>
  <c r="AA12"/>
  <c r="AB12" s="1"/>
  <c r="AA11"/>
  <c r="AB11" s="1"/>
  <c r="AA10"/>
  <c r="AB10" s="1"/>
  <c r="AA9"/>
  <c r="AB9" s="1"/>
  <c r="AA8"/>
  <c r="AB8" s="1"/>
  <c r="AA7"/>
  <c r="AB7" s="1"/>
  <c r="AA6"/>
  <c r="AB6" s="1"/>
  <c r="AA5"/>
  <c r="AB5" s="1"/>
  <c r="AA4"/>
  <c r="AB4" s="1"/>
  <c r="J1"/>
  <c r="I1"/>
  <c r="H1"/>
  <c r="G1"/>
</calcChain>
</file>

<file path=xl/comments1.xml><?xml version="1.0" encoding="utf-8"?>
<comments xmlns="http://schemas.openxmlformats.org/spreadsheetml/2006/main">
  <authors>
    <author>FEMA</author>
  </authors>
  <commentList>
    <comment ref="A2" authorId="0">
      <text>
        <r>
          <rPr>
            <b/>
            <sz val="8"/>
            <color indexed="81"/>
            <rFont val="Tahoma"/>
            <family val="2"/>
          </rPr>
          <t>Date Format (XX/XX/XX)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" authorId="0">
      <text>
        <r>
          <rPr>
            <b/>
            <sz val="8"/>
            <color indexed="81"/>
            <rFont val="Tahoma"/>
            <family val="2"/>
          </rPr>
          <t>4 digits
enter an "  '  " first.  
An apostrophe.
For RPA #'s 0000 to 0999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" authorId="0">
      <text>
        <r>
          <rPr>
            <b/>
            <sz val="8"/>
            <color indexed="81"/>
            <rFont val="Tahoma"/>
            <family val="2"/>
          </rPr>
          <t>Enter "Yes" if applicable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2" authorId="0">
      <text>
        <r>
          <rPr>
            <b/>
            <sz val="8"/>
            <color indexed="81"/>
            <rFont val="Tahoma"/>
            <family val="2"/>
          </rPr>
          <t>Date Format (XX/XX/XX)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2" authorId="0">
      <text>
        <r>
          <rPr>
            <b/>
            <sz val="8"/>
            <color indexed="81"/>
            <rFont val="Tahoma"/>
            <family val="2"/>
          </rPr>
          <t>Date Format (XX/XX/XX)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I2" authorId="0">
      <text>
        <r>
          <rPr>
            <b/>
            <sz val="8"/>
            <color indexed="81"/>
            <rFont val="Tahoma"/>
            <family val="2"/>
          </rPr>
          <t>Date Format (XX/XX/XX)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2" authorId="0">
      <text>
        <r>
          <rPr>
            <b/>
            <sz val="8"/>
            <color indexed="81"/>
            <rFont val="Tahoma"/>
            <family val="2"/>
          </rPr>
          <t>Date Format (XX/XX/XX)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2" authorId="0">
      <text>
        <r>
          <rPr>
            <b/>
            <sz val="8"/>
            <color indexed="81"/>
            <rFont val="Tahoma"/>
            <family val="2"/>
          </rPr>
          <t>Last Name , First Name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<sst xmlns="http://schemas.openxmlformats.org/spreadsheetml/2006/main" count="5430" uniqueCount="2932">
  <si>
    <t>DR    4086</t>
  </si>
  <si>
    <t>after you sort by RPA #</t>
  </si>
  <si>
    <t>Rec'd</t>
  </si>
  <si>
    <t>FIPS</t>
  </si>
  <si>
    <t>RPA</t>
  </si>
  <si>
    <t>Applicant Name</t>
  </si>
  <si>
    <t>County</t>
  </si>
  <si>
    <t>PNP</t>
  </si>
  <si>
    <t>Ineligible</t>
  </si>
  <si>
    <t>Exit Memo</t>
  </si>
  <si>
    <t>delete</t>
  </si>
  <si>
    <t>Withdrawal</t>
  </si>
  <si>
    <t>Comment</t>
  </si>
  <si>
    <t>DUNS#</t>
  </si>
  <si>
    <t>if not a 1 then the RPA number is wrong</t>
  </si>
  <si>
    <t>fix if a number is in here</t>
  </si>
  <si>
    <t>025-UJFCT-00</t>
  </si>
  <si>
    <t xml:space="preserve">Red Bank Regional </t>
  </si>
  <si>
    <t xml:space="preserve">Monmouth </t>
  </si>
  <si>
    <t>0000000000</t>
  </si>
  <si>
    <t>029-UKEFW-00</t>
  </si>
  <si>
    <t xml:space="preserve">Jackson School District </t>
  </si>
  <si>
    <t xml:space="preserve">Ocean </t>
  </si>
  <si>
    <t>029-UIMEO-00</t>
  </si>
  <si>
    <t xml:space="preserve">Point Pleasant Beach Board of Education </t>
  </si>
  <si>
    <t>193292729</t>
  </si>
  <si>
    <t>029-05B5E-00</t>
  </si>
  <si>
    <t xml:space="preserve">Lacey Township Board of Education </t>
  </si>
  <si>
    <t>085639912</t>
  </si>
  <si>
    <t>021-UJSBJ-00</t>
  </si>
  <si>
    <t xml:space="preserve">Hamilton Township Board of Education </t>
  </si>
  <si>
    <t xml:space="preserve">Mercer </t>
  </si>
  <si>
    <t>075501601</t>
  </si>
  <si>
    <t xml:space="preserve">Mercer County Technical School District </t>
  </si>
  <si>
    <t>079488524</t>
  </si>
  <si>
    <t>025-U67QN-00</t>
  </si>
  <si>
    <t xml:space="preserve">Monmouth Beach Board of Education </t>
  </si>
  <si>
    <t>193299328</t>
  </si>
  <si>
    <t>025-07C1B-00</t>
  </si>
  <si>
    <t xml:space="preserve">Keyport Board of Education </t>
  </si>
  <si>
    <t>004118857</t>
  </si>
  <si>
    <t>025-U3H2I-00</t>
  </si>
  <si>
    <t>000000000</t>
  </si>
  <si>
    <t>029-UILP9-00</t>
  </si>
  <si>
    <t>029-U75SG-00</t>
  </si>
  <si>
    <t xml:space="preserve">Island Heights Board of Education </t>
  </si>
  <si>
    <t>029-UEJU2-00</t>
  </si>
  <si>
    <t xml:space="preserve">Southern Regional School District </t>
  </si>
  <si>
    <t>050504679</t>
  </si>
  <si>
    <t>013-U9RY3-00</t>
  </si>
  <si>
    <t xml:space="preserve">Passaic Valley Sewerage Commission </t>
  </si>
  <si>
    <t xml:space="preserve">Essex </t>
  </si>
  <si>
    <t>021-UT4DG-00</t>
  </si>
  <si>
    <t xml:space="preserve">East Windsor Municipal Utilities Authority </t>
  </si>
  <si>
    <t>601817133</t>
  </si>
  <si>
    <t>023-026CE-00</t>
  </si>
  <si>
    <t xml:space="preserve">East Brunswick Public Schools </t>
  </si>
  <si>
    <t xml:space="preserve">Middlesex </t>
  </si>
  <si>
    <t>016746653</t>
  </si>
  <si>
    <t>029-U2D8F-00</t>
  </si>
  <si>
    <t xml:space="preserve">Long Beach Island School District </t>
  </si>
  <si>
    <t>035958370</t>
  </si>
  <si>
    <t>029-088C1-00</t>
  </si>
  <si>
    <t xml:space="preserve">Bay Head Board of Education </t>
  </si>
  <si>
    <t>029-USUYR-00</t>
  </si>
  <si>
    <t xml:space="preserve">Central Regional Board of Education </t>
  </si>
  <si>
    <t>050463272</t>
  </si>
  <si>
    <t>044028082</t>
  </si>
  <si>
    <t>025-01093-00</t>
  </si>
  <si>
    <t xml:space="preserve">Bradley Beach Elementary School </t>
  </si>
  <si>
    <t>004083648</t>
  </si>
  <si>
    <t>Soegaard, Don</t>
  </si>
  <si>
    <t>000-UZCCE-00</t>
  </si>
  <si>
    <t xml:space="preserve">New Jersey State Department of Transportation </t>
  </si>
  <si>
    <t>806657177</t>
  </si>
  <si>
    <t>003-UXW1C-00</t>
  </si>
  <si>
    <t xml:space="preserve">Maywood Board of Education </t>
  </si>
  <si>
    <t xml:space="preserve">Bergen </t>
  </si>
  <si>
    <t>031-U01JC-00</t>
  </si>
  <si>
    <t xml:space="preserve">Wayne Board of Education </t>
  </si>
  <si>
    <t xml:space="preserve">Passaic </t>
  </si>
  <si>
    <t>096867643</t>
  </si>
  <si>
    <t>029-071F2-00</t>
  </si>
  <si>
    <t xml:space="preserve">Beach Haven Board of Education </t>
  </si>
  <si>
    <t>029-UBD8Z-00</t>
  </si>
  <si>
    <t xml:space="preserve">Stafford Township School District </t>
  </si>
  <si>
    <t>100605393</t>
  </si>
  <si>
    <t>Hoboken Dual Language Charter School</t>
  </si>
  <si>
    <t xml:space="preserve">Hudson </t>
  </si>
  <si>
    <t>832749829</t>
  </si>
  <si>
    <t>023-01CF3-00</t>
  </si>
  <si>
    <t>Christ Memorial Lutheran Church</t>
  </si>
  <si>
    <t>003-UB6AC-00</t>
  </si>
  <si>
    <t xml:space="preserve">Wood-Ridge Board of Educatiom </t>
  </si>
  <si>
    <t>001-U0Z31-00</t>
  </si>
  <si>
    <t xml:space="preserve">Atlantic - City Board of Education </t>
  </si>
  <si>
    <t xml:space="preserve">Atlantic </t>
  </si>
  <si>
    <t>173463167</t>
  </si>
  <si>
    <t>025-01128-00</t>
  </si>
  <si>
    <t xml:space="preserve">Rumson-Fair Haven Regional High School </t>
  </si>
  <si>
    <t xml:space="preserve"> </t>
  </si>
  <si>
    <t>087624235</t>
  </si>
  <si>
    <t>003-UGHEH-00</t>
  </si>
  <si>
    <t xml:space="preserve">Lodi Board of Education </t>
  </si>
  <si>
    <t>111334632</t>
  </si>
  <si>
    <t>025-07C2A-00</t>
  </si>
  <si>
    <t xml:space="preserve">Union Beach Board of Education </t>
  </si>
  <si>
    <t>017-UBYTF-00</t>
  </si>
  <si>
    <t xml:space="preserve">West New York Board of Education </t>
  </si>
  <si>
    <t>022430078</t>
  </si>
  <si>
    <t>025-UOHYZ-00</t>
  </si>
  <si>
    <t>013-UNWY0-00</t>
  </si>
  <si>
    <t xml:space="preserve">Marion P. Thomas Charter School </t>
  </si>
  <si>
    <t>031-U4SQR-00</t>
  </si>
  <si>
    <t xml:space="preserve">Passaic Valley High School Dist # 1 </t>
  </si>
  <si>
    <t>800541778</t>
  </si>
  <si>
    <t>039-0829D-00</t>
  </si>
  <si>
    <t xml:space="preserve">Clark Public Schools </t>
  </si>
  <si>
    <t xml:space="preserve">Union </t>
  </si>
  <si>
    <t>077551240</t>
  </si>
  <si>
    <t>084014158</t>
  </si>
  <si>
    <t>003-UFZCU-00</t>
  </si>
  <si>
    <t xml:space="preserve">Moonachie Board of Education </t>
  </si>
  <si>
    <t>003-08EEB-00</t>
  </si>
  <si>
    <t>013-URI0Y-00</t>
  </si>
  <si>
    <t xml:space="preserve">Newark Public Schools </t>
  </si>
  <si>
    <t>040740334</t>
  </si>
  <si>
    <t>031-UK3BF-00</t>
  </si>
  <si>
    <t xml:space="preserve">Paterson Public School District </t>
  </si>
  <si>
    <t>079305892</t>
  </si>
  <si>
    <t xml:space="preserve">North Jersey District Water Supply Commission </t>
  </si>
  <si>
    <t>079325874</t>
  </si>
  <si>
    <t>Montclair State University</t>
  </si>
  <si>
    <t xml:space="preserve">Sparta, Township of </t>
  </si>
  <si>
    <t xml:space="preserve">Sussex </t>
  </si>
  <si>
    <t>226002317</t>
  </si>
  <si>
    <t xml:space="preserve">Hopatcong Board of Education </t>
  </si>
  <si>
    <t>055269583</t>
  </si>
  <si>
    <t>080613</t>
  </si>
  <si>
    <t>027218080</t>
  </si>
  <si>
    <t>023621100</t>
  </si>
  <si>
    <t xml:space="preserve">Byram, Township </t>
  </si>
  <si>
    <t xml:space="preserve">Andover, Borough </t>
  </si>
  <si>
    <t xml:space="preserve">Andover, Township </t>
  </si>
  <si>
    <t>080609969</t>
  </si>
  <si>
    <t xml:space="preserve">Sussex Rural Electric Cooperative </t>
  </si>
  <si>
    <t>002792976</t>
  </si>
  <si>
    <t>Preakness Health Care Center</t>
  </si>
  <si>
    <t xml:space="preserve">St. Joseph Regional Medical Center </t>
  </si>
  <si>
    <t xml:space="preserve">Bloomingdale, Borough of </t>
  </si>
  <si>
    <t xml:space="preserve">Clifton, City of </t>
  </si>
  <si>
    <t>138839969</t>
  </si>
  <si>
    <t xml:space="preserve">Haledon, Borough of </t>
  </si>
  <si>
    <t xml:space="preserve">Hawthorne, Borough of </t>
  </si>
  <si>
    <t>089206874</t>
  </si>
  <si>
    <t>080601552</t>
  </si>
  <si>
    <t xml:space="preserve">North Haledon, Borough of </t>
  </si>
  <si>
    <t xml:space="preserve">Passaic, City of </t>
  </si>
  <si>
    <t xml:space="preserve">Paterson Office of Emergecny Management, Of City </t>
  </si>
  <si>
    <t>829499552</t>
  </si>
  <si>
    <t xml:space="preserve">Pompton Lakes Board of Education </t>
  </si>
  <si>
    <t>079324760</t>
  </si>
  <si>
    <t>014335178</t>
  </si>
  <si>
    <t xml:space="preserve">Ringwood, Borough of </t>
  </si>
  <si>
    <t xml:space="preserve">Totowa, Borough of </t>
  </si>
  <si>
    <t>838021665</t>
  </si>
  <si>
    <t>082978529</t>
  </si>
  <si>
    <t xml:space="preserve">Wayne, Township of </t>
  </si>
  <si>
    <t>091849836</t>
  </si>
  <si>
    <t>West Milford, Township</t>
  </si>
  <si>
    <t>067506949</t>
  </si>
  <si>
    <t xml:space="preserve">West Milford Board of Education </t>
  </si>
  <si>
    <t>122144090</t>
  </si>
  <si>
    <t xml:space="preserve">Woodland Park, Borough of </t>
  </si>
  <si>
    <t>014902904</t>
  </si>
  <si>
    <t xml:space="preserve">Passaic Valley Water Commission </t>
  </si>
  <si>
    <t>064279839</t>
  </si>
  <si>
    <t xml:space="preserve">Passaic County Sheriff's Office </t>
  </si>
  <si>
    <t xml:space="preserve">Passaic, County of </t>
  </si>
  <si>
    <t>063148811</t>
  </si>
  <si>
    <t xml:space="preserve">Passaic, County of OEM </t>
  </si>
  <si>
    <t xml:space="preserve">Hoboken, City of </t>
  </si>
  <si>
    <t xml:space="preserve">North Bergen Municipal Utilities Authority </t>
  </si>
  <si>
    <t xml:space="preserve">Jersey City Medical Center/ Liberty Health Care System </t>
  </si>
  <si>
    <t xml:space="preserve">Old Bridge, Town of </t>
  </si>
  <si>
    <t xml:space="preserve">Hoboken Housing Authority </t>
  </si>
  <si>
    <t>Palisades Medical Center</t>
  </si>
  <si>
    <t xml:space="preserve">Kearny Board of Education </t>
  </si>
  <si>
    <t xml:space="preserve">Kearny Municipal Utilities Authority </t>
  </si>
  <si>
    <t xml:space="preserve">Kearny, Town of </t>
  </si>
  <si>
    <t>Smith, Vince</t>
  </si>
  <si>
    <t>Karl, Trevor</t>
  </si>
  <si>
    <t>MARLBOROUGH</t>
  </si>
  <si>
    <t>Merced, Felix</t>
  </si>
  <si>
    <t>Merced, Felx</t>
  </si>
  <si>
    <t>Hunter, Jodi</t>
  </si>
  <si>
    <t>Webber, Bill</t>
  </si>
  <si>
    <t>Myers, Tim</t>
  </si>
  <si>
    <t>Felix Merced</t>
  </si>
  <si>
    <t>DR-4086-NJ</t>
  </si>
  <si>
    <t>CODE</t>
  </si>
  <si>
    <t>COUNTY</t>
  </si>
  <si>
    <t xml:space="preserve">STATEWIDE </t>
  </si>
  <si>
    <t xml:space="preserve">PASSAIC </t>
  </si>
  <si>
    <t xml:space="preserve">ATLANTIC </t>
  </si>
  <si>
    <t xml:space="preserve">SALEM </t>
  </si>
  <si>
    <t xml:space="preserve">BERGEN </t>
  </si>
  <si>
    <t xml:space="preserve">SOMERSET </t>
  </si>
  <si>
    <t xml:space="preserve">BURLINGTON </t>
  </si>
  <si>
    <t xml:space="preserve">SUSSEX </t>
  </si>
  <si>
    <t xml:space="preserve">CAMDEN </t>
  </si>
  <si>
    <t xml:space="preserve">UNION </t>
  </si>
  <si>
    <t xml:space="preserve">CAPE MAY </t>
  </si>
  <si>
    <t xml:space="preserve">WARREN </t>
  </si>
  <si>
    <t xml:space="preserve">CUMBERLAND </t>
  </si>
  <si>
    <t>ESSEX</t>
  </si>
  <si>
    <t xml:space="preserve">GLOUCESTER </t>
  </si>
  <si>
    <t xml:space="preserve">HUDSON </t>
  </si>
  <si>
    <t>HUNTERDON</t>
  </si>
  <si>
    <t xml:space="preserve">MERCER </t>
  </si>
  <si>
    <t>MIDDLESEX</t>
  </si>
  <si>
    <t xml:space="preserve">MONMOUTH </t>
  </si>
  <si>
    <t xml:space="preserve">MORRIS </t>
  </si>
  <si>
    <t xml:space="preserve">OCEAN </t>
  </si>
  <si>
    <t>Housing Authority of the City of Bayonne</t>
  </si>
  <si>
    <t>Bayonne, City of - Police/Fire/DPW/OEM</t>
  </si>
  <si>
    <t>Bayonne MUA</t>
  </si>
  <si>
    <t xml:space="preserve">Bayonne Board of Education </t>
  </si>
  <si>
    <t>072573905</t>
  </si>
  <si>
    <t>Hudson County Community College</t>
  </si>
  <si>
    <t xml:space="preserve">Stevens Institute of Technology </t>
  </si>
  <si>
    <t xml:space="preserve">Weehawken, Township </t>
  </si>
  <si>
    <t>North Hudson Regional Fire &amp; Rescue</t>
  </si>
  <si>
    <t xml:space="preserve">Harrison, Town of </t>
  </si>
  <si>
    <t xml:space="preserve">Jersey City Incinerator Authority </t>
  </si>
  <si>
    <t>Hudson County Roads &amp; Public Property</t>
  </si>
  <si>
    <t>101225787</t>
  </si>
  <si>
    <t xml:space="preserve">North Hudson Sewerage Authority </t>
  </si>
  <si>
    <t>782186696</t>
  </si>
  <si>
    <t>Secaucus Municipal Utilities Authority</t>
  </si>
  <si>
    <t>803353023</t>
  </si>
  <si>
    <t xml:space="preserve">Hudson County Improvement Authority </t>
  </si>
  <si>
    <t>Hudson Regional Health Commission</t>
  </si>
  <si>
    <t xml:space="preserve">Secaucus, Town of </t>
  </si>
  <si>
    <t>080619414</t>
  </si>
  <si>
    <t>Union, City of</t>
  </si>
  <si>
    <t>000-U4BK2-00</t>
  </si>
  <si>
    <t>NJ Department of Human Services</t>
  </si>
  <si>
    <t>06234361</t>
  </si>
  <si>
    <t>038485140</t>
  </si>
  <si>
    <t>000-UCORF-00</t>
  </si>
  <si>
    <t>New Jersey Transit</t>
  </si>
  <si>
    <t>000-U14MT-00</t>
  </si>
  <si>
    <t>NJ Department of Agriculture</t>
  </si>
  <si>
    <t>806416566</t>
  </si>
  <si>
    <t>000-UJZA9-00</t>
  </si>
  <si>
    <t>State of NJ Department of Childern &amp; Families</t>
  </si>
  <si>
    <t>784995503</t>
  </si>
  <si>
    <t>000-UXE9R-00</t>
  </si>
  <si>
    <t>NJ Dept. of the Treasury</t>
  </si>
  <si>
    <t>806656781</t>
  </si>
  <si>
    <t>000-U39R1-00</t>
  </si>
  <si>
    <t>NJ Dept of Corrections</t>
  </si>
  <si>
    <t>806417549</t>
  </si>
  <si>
    <t>000-UMNGM-00</t>
  </si>
  <si>
    <t>Statewide</t>
  </si>
  <si>
    <t>000-UMMXC-00</t>
  </si>
  <si>
    <t>University of Medicine and Dentistry of NJ (UMDNJ)</t>
  </si>
  <si>
    <t>State of NJ Department of Military and Veteran Affairs</t>
  </si>
  <si>
    <t>NJ Office of Homeland Security &amp; Prepardness</t>
  </si>
  <si>
    <t>NJ Dept. of Environmental Protection</t>
  </si>
  <si>
    <t>NJ Dept. of Community Affairs</t>
  </si>
  <si>
    <t>NJ Department of Health</t>
  </si>
  <si>
    <t xml:space="preserve">Holy Cross High School </t>
  </si>
  <si>
    <t xml:space="preserve">Burlington </t>
  </si>
  <si>
    <t>060811767</t>
  </si>
  <si>
    <t xml:space="preserve">Flemington - Raritan School District </t>
  </si>
  <si>
    <t xml:space="preserve">Hunterdon </t>
  </si>
  <si>
    <t>800533866</t>
  </si>
  <si>
    <t>053296984</t>
  </si>
  <si>
    <t>159111467</t>
  </si>
  <si>
    <t xml:space="preserve">Milltown Board of Education </t>
  </si>
  <si>
    <t>054216106</t>
  </si>
  <si>
    <t xml:space="preserve">Tinton Falls Board of Education </t>
  </si>
  <si>
    <t>786477500</t>
  </si>
  <si>
    <t xml:space="preserve">Point Pleasant Borough Board of Education </t>
  </si>
  <si>
    <t>808080188</t>
  </si>
  <si>
    <t>Monmouth Regional High School</t>
  </si>
  <si>
    <t>14822263</t>
  </si>
  <si>
    <t xml:space="preserve">Burlington Township Board of Education </t>
  </si>
  <si>
    <t>033279605</t>
  </si>
  <si>
    <t>Apple National Mortgage Inc</t>
  </si>
  <si>
    <t xml:space="preserve">Spring Lake Heights Board of Education </t>
  </si>
  <si>
    <t>020235224</t>
  </si>
  <si>
    <t xml:space="preserve">Manasquan Board of Education </t>
  </si>
  <si>
    <t>088787853</t>
  </si>
  <si>
    <t>02105768</t>
  </si>
  <si>
    <t xml:space="preserve">Belmar Board of Education </t>
  </si>
  <si>
    <t>100603562</t>
  </si>
  <si>
    <t xml:space="preserve">Borough of Cape May Point </t>
  </si>
  <si>
    <t xml:space="preserve">Cape May </t>
  </si>
  <si>
    <t>110298532</t>
  </si>
  <si>
    <t xml:space="preserve">Margate City Board of Education </t>
  </si>
  <si>
    <t>076950641</t>
  </si>
  <si>
    <t xml:space="preserve">Diocese of Trenton </t>
  </si>
  <si>
    <t xml:space="preserve">St. Rose Belmar </t>
  </si>
  <si>
    <t xml:space="preserve">St. Denis Manasquan </t>
  </si>
  <si>
    <t xml:space="preserve">St. James Red Bank </t>
  </si>
  <si>
    <t xml:space="preserve">Stone Harbor Elementary School </t>
  </si>
  <si>
    <t>829161970</t>
  </si>
  <si>
    <t>008209913</t>
  </si>
  <si>
    <t xml:space="preserve">Sayreville, Borough of </t>
  </si>
  <si>
    <t xml:space="preserve">Chester Board of Education </t>
  </si>
  <si>
    <t xml:space="preserve">Morris </t>
  </si>
  <si>
    <t>050744283</t>
  </si>
  <si>
    <t xml:space="preserve">Dennis Township School District </t>
  </si>
  <si>
    <t>8000532918</t>
  </si>
  <si>
    <t xml:space="preserve">Morris - Union Jointure Commission </t>
  </si>
  <si>
    <t>627061781</t>
  </si>
  <si>
    <t xml:space="preserve">Cape May Point, Borough of </t>
  </si>
  <si>
    <t xml:space="preserve">Pompton Lakes , Borough of </t>
  </si>
  <si>
    <t>091862680</t>
  </si>
  <si>
    <t xml:space="preserve">Cherry Hill Public Schools </t>
  </si>
  <si>
    <t xml:space="preserve">Camden </t>
  </si>
  <si>
    <t>021955943</t>
  </si>
  <si>
    <t xml:space="preserve">Watchung Hills Regional High School </t>
  </si>
  <si>
    <t xml:space="preserve">Somerset </t>
  </si>
  <si>
    <t>082989799</t>
  </si>
  <si>
    <t xml:space="preserve">Somers Point, City of </t>
  </si>
  <si>
    <t>030313514</t>
  </si>
  <si>
    <t xml:space="preserve">Woodcliff Lake Board of Education </t>
  </si>
  <si>
    <t>103298436</t>
  </si>
  <si>
    <t xml:space="preserve">Highland Park Public School District </t>
  </si>
  <si>
    <t xml:space="preserve">Cedar Grove Board of Education </t>
  </si>
  <si>
    <t>087280301</t>
  </si>
  <si>
    <t xml:space="preserve">Marlboro Board of Education </t>
  </si>
  <si>
    <t xml:space="preserve">Mullica, Township of </t>
  </si>
  <si>
    <t>557072097</t>
  </si>
  <si>
    <t xml:space="preserve">Parsippany Troy Hills Board of Education </t>
  </si>
  <si>
    <t>080609639</t>
  </si>
  <si>
    <t xml:space="preserve">Elizabeth Board of Education </t>
  </si>
  <si>
    <t>092218882</t>
  </si>
  <si>
    <t xml:space="preserve">Keyport, Borough of </t>
  </si>
  <si>
    <t>085641983</t>
  </si>
  <si>
    <t xml:space="preserve">Jewish Renaissance Medical Center </t>
  </si>
  <si>
    <t xml:space="preserve">Eagleswood Township </t>
  </si>
  <si>
    <t>026430384</t>
  </si>
  <si>
    <t xml:space="preserve">East Newark, Borough of </t>
  </si>
  <si>
    <t xml:space="preserve">Warren Township Board of Education </t>
  </si>
  <si>
    <t>796881022</t>
  </si>
  <si>
    <t xml:space="preserve">Clinton First Aid &amp; Resuce Squad, Inc </t>
  </si>
  <si>
    <t>004789991</t>
  </si>
  <si>
    <t xml:space="preserve">South Bergen Jointure Commission  </t>
  </si>
  <si>
    <t>825775679</t>
  </si>
  <si>
    <t xml:space="preserve">Marlboro, Township of </t>
  </si>
  <si>
    <t>04751215</t>
  </si>
  <si>
    <t xml:space="preserve">North Hunterdon - Voorhees Regional High School District </t>
  </si>
  <si>
    <t>100663012</t>
  </si>
  <si>
    <t xml:space="preserve">St. Luke's Warren Hospital </t>
  </si>
  <si>
    <t xml:space="preserve">Warren </t>
  </si>
  <si>
    <t>073664914</t>
  </si>
  <si>
    <t>068697705</t>
  </si>
  <si>
    <t xml:space="preserve">Bergen County Tech &amp; Special Services Schools </t>
  </si>
  <si>
    <t>159311666</t>
  </si>
  <si>
    <t xml:space="preserve">Newton, Town of </t>
  </si>
  <si>
    <t>080609407</t>
  </si>
  <si>
    <t xml:space="preserve">Vernon, Township of </t>
  </si>
  <si>
    <t>226002358</t>
  </si>
  <si>
    <t xml:space="preserve">Maywood, Borough of </t>
  </si>
  <si>
    <t>958162406</t>
  </si>
  <si>
    <t xml:space="preserve">Park Ridge, Borough of </t>
  </si>
  <si>
    <t>040766487</t>
  </si>
  <si>
    <t xml:space="preserve">Alpine, Borough of, New Jersey </t>
  </si>
  <si>
    <t>076674381</t>
  </si>
  <si>
    <t>Shaddle River, Borough of</t>
  </si>
  <si>
    <t>076673482</t>
  </si>
  <si>
    <t xml:space="preserve">Armenian Nursing &amp; Rehabilitation Center </t>
  </si>
  <si>
    <t>221659501</t>
  </si>
  <si>
    <t xml:space="preserve">Bergen Community College </t>
  </si>
  <si>
    <t>076677822</t>
  </si>
  <si>
    <t xml:space="preserve">Lodi, Borough of </t>
  </si>
  <si>
    <t>072721970</t>
  </si>
  <si>
    <t>Ramapo College of NJ</t>
  </si>
  <si>
    <t>076688399</t>
  </si>
  <si>
    <t xml:space="preserve">Brick, Township of </t>
  </si>
  <si>
    <t>054265988</t>
  </si>
  <si>
    <t>Two Rivers Water Reclamation Authority</t>
  </si>
  <si>
    <t>068681469</t>
  </si>
  <si>
    <t xml:space="preserve">Robert Wood Johnson University Hospital </t>
  </si>
  <si>
    <t xml:space="preserve">Matawan Aberdeen Regional Board of Education </t>
  </si>
  <si>
    <t>004118907</t>
  </si>
  <si>
    <t xml:space="preserve">Atlantic Cape Community College </t>
  </si>
  <si>
    <t>077094019</t>
  </si>
  <si>
    <t>020793527</t>
  </si>
  <si>
    <t xml:space="preserve">Tinton Falls, Borough of </t>
  </si>
  <si>
    <t>119777303</t>
  </si>
  <si>
    <t xml:space="preserve">Hasbrouck Heights, Borough of </t>
  </si>
  <si>
    <t>957911498</t>
  </si>
  <si>
    <t xml:space="preserve">Westfield Board of Education </t>
  </si>
  <si>
    <t>060806049</t>
  </si>
  <si>
    <t xml:space="preserve">Winfield, Township of </t>
  </si>
  <si>
    <t>969484138</t>
  </si>
  <si>
    <t xml:space="preserve">Union, Township of </t>
  </si>
  <si>
    <t>030255335</t>
  </si>
  <si>
    <t xml:space="preserve">Scotch Plains, Township of </t>
  </si>
  <si>
    <t>085662138</t>
  </si>
  <si>
    <t>086217044</t>
  </si>
  <si>
    <t xml:space="preserve">Kenilworth, Borough of </t>
  </si>
  <si>
    <t>091854992</t>
  </si>
  <si>
    <t>094964970</t>
  </si>
  <si>
    <t xml:space="preserve">Springfield, Township of </t>
  </si>
  <si>
    <t>Fanwood, Borough of</t>
  </si>
  <si>
    <t>02737760</t>
  </si>
  <si>
    <t>010906527</t>
  </si>
  <si>
    <t xml:space="preserve">Kenilworth Board of Education </t>
  </si>
  <si>
    <t>100052380</t>
  </si>
  <si>
    <t xml:space="preserve">Mountainside, Borough of </t>
  </si>
  <si>
    <t>034818286</t>
  </si>
  <si>
    <t xml:space="preserve">Rahway, City of </t>
  </si>
  <si>
    <t>013957240</t>
  </si>
  <si>
    <t xml:space="preserve">Westfield, Town of </t>
  </si>
  <si>
    <t>1398917201</t>
  </si>
  <si>
    <t xml:space="preserve">Elizabeth Police Dept </t>
  </si>
  <si>
    <t xml:space="preserve">Linden, City of </t>
  </si>
  <si>
    <t>055359848</t>
  </si>
  <si>
    <t>160265138</t>
  </si>
  <si>
    <t xml:space="preserve">Clark, Township of </t>
  </si>
  <si>
    <t>080609159</t>
  </si>
  <si>
    <t xml:space="preserve">Roselle Park Police Department </t>
  </si>
  <si>
    <t>094959624</t>
  </si>
  <si>
    <t xml:space="preserve">Roselle Park Board of Education </t>
  </si>
  <si>
    <t>100605260</t>
  </si>
  <si>
    <t>Cranford, Township of</t>
  </si>
  <si>
    <t>079328811</t>
  </si>
  <si>
    <t xml:space="preserve">Garwood, Borough of </t>
  </si>
  <si>
    <t xml:space="preserve">Linden Board of Education </t>
  </si>
  <si>
    <t>033431664</t>
  </si>
  <si>
    <t xml:space="preserve">Berkeley Heights, Township of </t>
  </si>
  <si>
    <t>959341470</t>
  </si>
  <si>
    <t>078637576</t>
  </si>
  <si>
    <t xml:space="preserve">Hillside, Township of </t>
  </si>
  <si>
    <t xml:space="preserve">Creative Property Management of New Jersey </t>
  </si>
  <si>
    <t>804527752</t>
  </si>
  <si>
    <t xml:space="preserve">Community Access Unlimited </t>
  </si>
  <si>
    <t>122153851</t>
  </si>
  <si>
    <t xml:space="preserve">Community Access Institute </t>
  </si>
  <si>
    <t>830469776</t>
  </si>
  <si>
    <t xml:space="preserve">Rahway Housing Authority </t>
  </si>
  <si>
    <t xml:space="preserve">St. Theresa School </t>
  </si>
  <si>
    <t xml:space="preserve">Califon Borough </t>
  </si>
  <si>
    <t>604181396</t>
  </si>
  <si>
    <t>603810268</t>
  </si>
  <si>
    <t xml:space="preserve">Glen Gardner, Borough of </t>
  </si>
  <si>
    <t>111888264</t>
  </si>
  <si>
    <t xml:space="preserve">Bergenfield Board of Education </t>
  </si>
  <si>
    <t>801850371</t>
  </si>
  <si>
    <t xml:space="preserve">West Windsor Plainsboro Regional School District </t>
  </si>
  <si>
    <t>042199307</t>
  </si>
  <si>
    <t>100605864</t>
  </si>
  <si>
    <t xml:space="preserve">Northern Highlands Regional High School </t>
  </si>
  <si>
    <t>030465819</t>
  </si>
  <si>
    <t xml:space="preserve">Mendham Boro Board of Education </t>
  </si>
  <si>
    <t>800541653</t>
  </si>
  <si>
    <t>Hackettstown Public Schools</t>
  </si>
  <si>
    <t>136930047</t>
  </si>
  <si>
    <t xml:space="preserve">East Amwell Township Board of Education </t>
  </si>
  <si>
    <t>100603992</t>
  </si>
  <si>
    <t xml:space="preserve">High Point Regional High School </t>
  </si>
  <si>
    <t>828678818</t>
  </si>
  <si>
    <t>100907302</t>
  </si>
  <si>
    <t xml:space="preserve">Montville Township Board of Education </t>
  </si>
  <si>
    <t>100052851</t>
  </si>
  <si>
    <t>Scotch Plains - Fanwood Regional Public Schools</t>
  </si>
  <si>
    <t>079326971</t>
  </si>
  <si>
    <t xml:space="preserve">South Hunterdon Regional High School </t>
  </si>
  <si>
    <t>103803052</t>
  </si>
  <si>
    <t xml:space="preserve">Red Bank Borough Public School District </t>
  </si>
  <si>
    <t>091400572</t>
  </si>
  <si>
    <t xml:space="preserve">Harding Township Board of Education </t>
  </si>
  <si>
    <t>No</t>
  </si>
  <si>
    <t>193286572</t>
  </si>
  <si>
    <t>Bayshore Regional Sewerage Authority</t>
  </si>
  <si>
    <t>035168475</t>
  </si>
  <si>
    <t>Washington Township Fire District #1</t>
  </si>
  <si>
    <t>Gloucester</t>
  </si>
  <si>
    <t>221989166</t>
  </si>
  <si>
    <t xml:space="preserve">Monmouth Medical Center </t>
  </si>
  <si>
    <t>049875636</t>
  </si>
  <si>
    <t xml:space="preserve">Beth Medrash Govoha of America </t>
  </si>
  <si>
    <t>078254398</t>
  </si>
  <si>
    <t xml:space="preserve">North Bergen Board of Education </t>
  </si>
  <si>
    <t>100053396</t>
  </si>
  <si>
    <t>049449234</t>
  </si>
  <si>
    <t>Same Applicant Separate RPA's &amp; Different DUNS #</t>
  </si>
  <si>
    <t>Manor by the Sea</t>
  </si>
  <si>
    <t>612084871</t>
  </si>
  <si>
    <t>Meridian Subacute Rehabilitation at Wall</t>
  </si>
  <si>
    <t>965408230</t>
  </si>
  <si>
    <t xml:space="preserve">Jersey Shore University Medical Center </t>
  </si>
  <si>
    <t xml:space="preserve">Bayshore Community Hospital </t>
  </si>
  <si>
    <t>068703636</t>
  </si>
  <si>
    <t xml:space="preserve">Fair Haven, Borough of </t>
  </si>
  <si>
    <t>048076095</t>
  </si>
  <si>
    <t xml:space="preserve">Neptune Fire District #1 </t>
  </si>
  <si>
    <t>048006882</t>
  </si>
  <si>
    <t xml:space="preserve">So Monmouth Regional Sewerage Authority </t>
  </si>
  <si>
    <t xml:space="preserve">Fire District #1 Twp of Ocean </t>
  </si>
  <si>
    <t xml:space="preserve">Allentown Borough </t>
  </si>
  <si>
    <t xml:space="preserve">Loch Arbour, Village of </t>
  </si>
  <si>
    <t xml:space="preserve">Deal Lake Commission </t>
  </si>
  <si>
    <t>070412416</t>
  </si>
  <si>
    <t>Monmouth County Public Works &amp; Engineeering</t>
  </si>
  <si>
    <t xml:space="preserve">Brielle, Borough of </t>
  </si>
  <si>
    <t>094244738</t>
  </si>
  <si>
    <t xml:space="preserve">Monmouth County </t>
  </si>
  <si>
    <t>068704485</t>
  </si>
  <si>
    <t xml:space="preserve">Freehold Township Board of Education </t>
  </si>
  <si>
    <t>060727005</t>
  </si>
  <si>
    <t xml:space="preserve">Neptune Housing Authority, Township of </t>
  </si>
  <si>
    <t>047324371</t>
  </si>
  <si>
    <t>059220330</t>
  </si>
  <si>
    <t xml:space="preserve">Long Branch Sewerage Authority </t>
  </si>
  <si>
    <t xml:space="preserve">Middletown Sewerage Authority, Township of </t>
  </si>
  <si>
    <t xml:space="preserve">Belmar, Borough of </t>
  </si>
  <si>
    <t>080948565</t>
  </si>
  <si>
    <t xml:space="preserve">Belmar First AID </t>
  </si>
  <si>
    <t xml:space="preserve">Bradley Beach, Borough of </t>
  </si>
  <si>
    <t>830021015</t>
  </si>
  <si>
    <t xml:space="preserve">Manasquan First Aid, Inc </t>
  </si>
  <si>
    <t xml:space="preserve">Middletown, Township of </t>
  </si>
  <si>
    <t>049094121</t>
  </si>
  <si>
    <t xml:space="preserve">Manasquan Fire District #1 </t>
  </si>
  <si>
    <t>619244853</t>
  </si>
  <si>
    <t>Manasquan, Borough of NJ</t>
  </si>
  <si>
    <t>037193786</t>
  </si>
  <si>
    <t>Keansburg</t>
  </si>
  <si>
    <t>829720247</t>
  </si>
  <si>
    <t>Neptune Township Fire District #2 (Ocean Grove Fire District)</t>
  </si>
  <si>
    <t>188547335</t>
  </si>
  <si>
    <t xml:space="preserve">Wall Township Fire District #2 </t>
  </si>
  <si>
    <t>031982973</t>
  </si>
  <si>
    <t xml:space="preserve">Millstone Twp Fire Dist #1 </t>
  </si>
  <si>
    <t>797143182</t>
  </si>
  <si>
    <t>Wall Township Fire District # 3</t>
  </si>
  <si>
    <t>967940086</t>
  </si>
  <si>
    <t xml:space="preserve">Atlantic Highlands - Highlands Regional Sewerage Authority </t>
  </si>
  <si>
    <t xml:space="preserve">Atlantic Highlands, Borough of </t>
  </si>
  <si>
    <t>138839431</t>
  </si>
  <si>
    <t>052486909</t>
  </si>
  <si>
    <t xml:space="preserve">Oceanport, Borough of </t>
  </si>
  <si>
    <t>623684409</t>
  </si>
  <si>
    <t xml:space="preserve">Rumson Board of Education </t>
  </si>
  <si>
    <t>100053321</t>
  </si>
  <si>
    <t>Avalon Elementary School (Public School)</t>
  </si>
  <si>
    <t>009-040CE-00</t>
  </si>
  <si>
    <t>001-094C3-00</t>
  </si>
  <si>
    <t>007-UL9ZV-00</t>
  </si>
  <si>
    <t>025-44070-00</t>
  </si>
  <si>
    <t>025-UMSHZ-00</t>
  </si>
  <si>
    <t>013-00228-00</t>
  </si>
  <si>
    <t>019-08611-00</t>
  </si>
  <si>
    <t>025-73020-00</t>
  </si>
  <si>
    <t>025-36810-00</t>
  </si>
  <si>
    <t>025-04CDA-00</t>
  </si>
  <si>
    <t>019-09280-00</t>
  </si>
  <si>
    <t>023-65790-00</t>
  </si>
  <si>
    <t>029-18670-00</t>
  </si>
  <si>
    <t>025-UVAWL-00</t>
  </si>
  <si>
    <t>025-UPE2J-00</t>
  </si>
  <si>
    <t>005-01399-00</t>
  </si>
  <si>
    <t>003-41100-00</t>
  </si>
  <si>
    <t>003-56130-00</t>
  </si>
  <si>
    <t>003-US8Q4-00</t>
  </si>
  <si>
    <t>003-30420-00</t>
  </si>
  <si>
    <t>003-01090-00</t>
  </si>
  <si>
    <t>003-65400-00</t>
  </si>
  <si>
    <t>003-44880-00</t>
  </si>
  <si>
    <t>023-UB7PQ-00</t>
  </si>
  <si>
    <t>019-23700-00</t>
  </si>
  <si>
    <t>029-07420-00</t>
  </si>
  <si>
    <t>027-UQQM2-00</t>
  </si>
  <si>
    <t>027-08892-00</t>
  </si>
  <si>
    <t>025-UEJFE-00</t>
  </si>
  <si>
    <t>017-30210-00</t>
  </si>
  <si>
    <t>017-02D00-00</t>
  </si>
  <si>
    <t>017-U4AVG-00</t>
  </si>
  <si>
    <t>017-77930-00</t>
  </si>
  <si>
    <t>017-023B0-00</t>
  </si>
  <si>
    <t>017-UKZ93-00</t>
  </si>
  <si>
    <t>017-03A58-00</t>
  </si>
  <si>
    <t>017-U2N50-00</t>
  </si>
  <si>
    <t>017-UJPK9-00</t>
  </si>
  <si>
    <t>017-UBDWW-00</t>
  </si>
  <si>
    <t>017-USL55-00</t>
  </si>
  <si>
    <t>017-66570-00</t>
  </si>
  <si>
    <t>017-74630-00</t>
  </si>
  <si>
    <t>105007967</t>
  </si>
  <si>
    <t>094950771</t>
  </si>
  <si>
    <t>016175379</t>
  </si>
  <si>
    <t>080632276</t>
  </si>
  <si>
    <t>017-UBU04-00</t>
  </si>
  <si>
    <t>017-062FF-00</t>
  </si>
  <si>
    <t>067505990</t>
  </si>
  <si>
    <t>017-36510-00</t>
  </si>
  <si>
    <t>080611874</t>
  </si>
  <si>
    <t>039-UV5E6-00</t>
  </si>
  <si>
    <t>876664566</t>
  </si>
  <si>
    <t>039-31980-00</t>
  </si>
  <si>
    <t>039-05320-00</t>
  </si>
  <si>
    <t>017-U4SF1-00</t>
  </si>
  <si>
    <t>017-U5LBN-00</t>
  </si>
  <si>
    <t>023-54705-00</t>
  </si>
  <si>
    <t>70412051</t>
  </si>
  <si>
    <t>039-U6G3V-00</t>
  </si>
  <si>
    <t>039-USHY1-00</t>
  </si>
  <si>
    <t>039-07E61-00</t>
  </si>
  <si>
    <t>001</t>
  </si>
  <si>
    <t>003</t>
  </si>
  <si>
    <t>005</t>
  </si>
  <si>
    <t>007</t>
  </si>
  <si>
    <t>009</t>
  </si>
  <si>
    <t>011</t>
  </si>
  <si>
    <t>013</t>
  </si>
  <si>
    <t>015</t>
  </si>
  <si>
    <t>017</t>
  </si>
  <si>
    <t>019</t>
  </si>
  <si>
    <t>021</t>
  </si>
  <si>
    <t>023</t>
  </si>
  <si>
    <t>025</t>
  </si>
  <si>
    <t>027</t>
  </si>
  <si>
    <t>029</t>
  </si>
  <si>
    <t>031</t>
  </si>
  <si>
    <t>033</t>
  </si>
  <si>
    <t>035</t>
  </si>
  <si>
    <t>037</t>
  </si>
  <si>
    <t xml:space="preserve">Sea Bright </t>
  </si>
  <si>
    <t>606352391</t>
  </si>
  <si>
    <t xml:space="preserve">Toms River </t>
  </si>
  <si>
    <t>070417191</t>
  </si>
  <si>
    <t>Seaside Heights</t>
  </si>
  <si>
    <t>078273067</t>
  </si>
  <si>
    <t>Seaside Park</t>
  </si>
  <si>
    <t>022532851</t>
  </si>
  <si>
    <t>Old Tappan, Borough of</t>
  </si>
  <si>
    <t>949916597</t>
  </si>
  <si>
    <t xml:space="preserve">Franklin Lakes, Borough of </t>
  </si>
  <si>
    <t>076674506</t>
  </si>
  <si>
    <t xml:space="preserve">Northwest Bergen County Utilities Authority </t>
  </si>
  <si>
    <t>051887407</t>
  </si>
  <si>
    <t xml:space="preserve">Closter, Borough of </t>
  </si>
  <si>
    <t>949093165</t>
  </si>
  <si>
    <t xml:space="preserve">Carlstadt, Borough of </t>
  </si>
  <si>
    <t xml:space="preserve">Haworth, Borough of </t>
  </si>
  <si>
    <t>095165791</t>
  </si>
  <si>
    <t xml:space="preserve">Fair Lawn, Borough of </t>
  </si>
  <si>
    <t>075419689</t>
  </si>
  <si>
    <t xml:space="preserve">Wallington, Borough of </t>
  </si>
  <si>
    <t>087084901</t>
  </si>
  <si>
    <t xml:space="preserve">Englewood Cliffs, Borough of </t>
  </si>
  <si>
    <t>076688993</t>
  </si>
  <si>
    <t>Garfield, City of</t>
  </si>
  <si>
    <t>081894305</t>
  </si>
  <si>
    <t xml:space="preserve">Cliffside Park, Borough of </t>
  </si>
  <si>
    <t>010945608</t>
  </si>
  <si>
    <t xml:space="preserve">Bergen County Utilities Authority </t>
  </si>
  <si>
    <t xml:space="preserve">Christian Health Care Center </t>
  </si>
  <si>
    <t xml:space="preserve">Ridgefield Park, Village of </t>
  </si>
  <si>
    <t>075441865</t>
  </si>
  <si>
    <t xml:space="preserve">River Vale, Township of </t>
  </si>
  <si>
    <t xml:space="preserve">Oakland, Borough of </t>
  </si>
  <si>
    <t>958365983</t>
  </si>
  <si>
    <t xml:space="preserve">Wyckoff, Township of </t>
  </si>
  <si>
    <t>076673987</t>
  </si>
  <si>
    <t xml:space="preserve">Leonia Board of Education </t>
  </si>
  <si>
    <t>070573829</t>
  </si>
  <si>
    <t xml:space="preserve">River Edge, Borough of </t>
  </si>
  <si>
    <t>076673474</t>
  </si>
  <si>
    <t xml:space="preserve">RidgeField, Borough of </t>
  </si>
  <si>
    <t>076690056</t>
  </si>
  <si>
    <t xml:space="preserve">Leonia, Borough of </t>
  </si>
  <si>
    <t>957995681</t>
  </si>
  <si>
    <t xml:space="preserve">Westwood, Borough of </t>
  </si>
  <si>
    <t>076674456</t>
  </si>
  <si>
    <t xml:space="preserve">Palisades Park, Borough of </t>
  </si>
  <si>
    <t>072698657</t>
  </si>
  <si>
    <t>Cliffside Park Housing Authority, Borough of</t>
  </si>
  <si>
    <t>627289242</t>
  </si>
  <si>
    <t xml:space="preserve">North Arlington, Borough of </t>
  </si>
  <si>
    <t>958267130</t>
  </si>
  <si>
    <t xml:space="preserve">Rutherford, Borough of </t>
  </si>
  <si>
    <t>070569728</t>
  </si>
  <si>
    <t xml:space="preserve">Elmwood Park, Borough of </t>
  </si>
  <si>
    <t xml:space="preserve">Fair Lawn Board of Education </t>
  </si>
  <si>
    <t xml:space="preserve">Emerson, Borough of </t>
  </si>
  <si>
    <t>140053062</t>
  </si>
  <si>
    <t xml:space="preserve">Emerson Board of Education </t>
  </si>
  <si>
    <t>154801252</t>
  </si>
  <si>
    <t>072723851</t>
  </si>
  <si>
    <t>Waldwick, Borough of</t>
  </si>
  <si>
    <t>076688720</t>
  </si>
  <si>
    <t xml:space="preserve">Wood-Ridge, Borough of </t>
  </si>
  <si>
    <t>030479091</t>
  </si>
  <si>
    <t xml:space="preserve">Englewood Hospital and Medical Center </t>
  </si>
  <si>
    <t>056289481</t>
  </si>
  <si>
    <t xml:space="preserve">Valley Health System </t>
  </si>
  <si>
    <t>072716376</t>
  </si>
  <si>
    <t xml:space="preserve">Ramsey Board of Education </t>
  </si>
  <si>
    <t>076673243</t>
  </si>
  <si>
    <t xml:space="preserve">Holy Name Medical Center </t>
  </si>
  <si>
    <t>075440149</t>
  </si>
  <si>
    <t xml:space="preserve">Ridgewood, Village of </t>
  </si>
  <si>
    <t>076673185</t>
  </si>
  <si>
    <t xml:space="preserve">Upper Saddle River </t>
  </si>
  <si>
    <t>076673532</t>
  </si>
  <si>
    <t xml:space="preserve">New Milford, Borough of </t>
  </si>
  <si>
    <t>076671593</t>
  </si>
  <si>
    <t>Englewood, City of</t>
  </si>
  <si>
    <t>076690593</t>
  </si>
  <si>
    <t xml:space="preserve">Glen Rock, Borough of </t>
  </si>
  <si>
    <t>957289077</t>
  </si>
  <si>
    <t xml:space="preserve">Edgewater Board of Education </t>
  </si>
  <si>
    <t>056546849</t>
  </si>
  <si>
    <t>Edgewater, Borough of</t>
  </si>
  <si>
    <t>076692649</t>
  </si>
  <si>
    <t>Fort Lee, Borough of</t>
  </si>
  <si>
    <t>075420166</t>
  </si>
  <si>
    <t xml:space="preserve">Dumont, Borough of </t>
  </si>
  <si>
    <t xml:space="preserve">Mahway, Township of </t>
  </si>
  <si>
    <t>078709607</t>
  </si>
  <si>
    <t>Midland Park, Borough of</t>
  </si>
  <si>
    <t>076688522</t>
  </si>
  <si>
    <t xml:space="preserve">Lyndhurst Board of Education </t>
  </si>
  <si>
    <t>098215494</t>
  </si>
  <si>
    <t xml:space="preserve">Lyndhurst, Township of </t>
  </si>
  <si>
    <t>144724908</t>
  </si>
  <si>
    <t xml:space="preserve">Ridgewood Board of Education </t>
  </si>
  <si>
    <t>0915172318</t>
  </si>
  <si>
    <t xml:space="preserve">Rochelle Park, Township of </t>
  </si>
  <si>
    <t>076693346</t>
  </si>
  <si>
    <t xml:space="preserve">Northvale, Borough of </t>
  </si>
  <si>
    <t xml:space="preserve">Norwood, Borough of </t>
  </si>
  <si>
    <t>092733823</t>
  </si>
  <si>
    <t xml:space="preserve">Ho-Ho-Kus, Borough of </t>
  </si>
  <si>
    <t>076688662</t>
  </si>
  <si>
    <t xml:space="preserve">Ho-Ho-Kus Public School </t>
  </si>
  <si>
    <t>100052232</t>
  </si>
  <si>
    <t xml:space="preserve">Ramsey, Borough of </t>
  </si>
  <si>
    <t>076688969</t>
  </si>
  <si>
    <t xml:space="preserve">Bergen, County of </t>
  </si>
  <si>
    <t>025123535</t>
  </si>
  <si>
    <t>Englewood Public School</t>
  </si>
  <si>
    <t>801484044</t>
  </si>
  <si>
    <t xml:space="preserve">Harrington Park, Borough of </t>
  </si>
  <si>
    <t>078719481</t>
  </si>
  <si>
    <t xml:space="preserve">East Rutherford, Borough of </t>
  </si>
  <si>
    <t>949286207</t>
  </si>
  <si>
    <t xml:space="preserve">Moonachie First Aid &amp; Rescue Squad </t>
  </si>
  <si>
    <t>928456219</t>
  </si>
  <si>
    <t>Teaneck Township</t>
  </si>
  <si>
    <t>047963694</t>
  </si>
  <si>
    <t>Demarest Public Schools</t>
  </si>
  <si>
    <t>052419686</t>
  </si>
  <si>
    <t xml:space="preserve">Hackensack, City of </t>
  </si>
  <si>
    <t>957296460</t>
  </si>
  <si>
    <t>Bergenfield, Borough of</t>
  </si>
  <si>
    <t>070570643</t>
  </si>
  <si>
    <t>New Jersey Meadowlands Commission</t>
  </si>
  <si>
    <t>098364649</t>
  </si>
  <si>
    <t>Hillside, Borough of</t>
  </si>
  <si>
    <t>076674449</t>
  </si>
  <si>
    <t>Cresskill, Borough of</t>
  </si>
  <si>
    <t>949165419</t>
  </si>
  <si>
    <t>Demarest, Borough of</t>
  </si>
  <si>
    <t>076673375</t>
  </si>
  <si>
    <t>Little Ferry, Borough of</t>
  </si>
  <si>
    <t>072722093</t>
  </si>
  <si>
    <t xml:space="preserve">South Hackensack, Township of </t>
  </si>
  <si>
    <t>092723105</t>
  </si>
  <si>
    <t>Palisades Interstate Park Commission</t>
  </si>
  <si>
    <t xml:space="preserve">Paramus Board of Education </t>
  </si>
  <si>
    <t>613802560</t>
  </si>
  <si>
    <t xml:space="preserve">Paramus, Borough of </t>
  </si>
  <si>
    <t>072724941</t>
  </si>
  <si>
    <t xml:space="preserve">Washington, Township of </t>
  </si>
  <si>
    <t>960201028</t>
  </si>
  <si>
    <t xml:space="preserve">Bogota, Borough of </t>
  </si>
  <si>
    <t xml:space="preserve">Oradell, Borough of </t>
  </si>
  <si>
    <t>959824087</t>
  </si>
  <si>
    <t xml:space="preserve">Fairview, Borough of </t>
  </si>
  <si>
    <t>076688464</t>
  </si>
  <si>
    <t xml:space="preserve">Saddle Brook, Township of </t>
  </si>
  <si>
    <t xml:space="preserve">William Paterson University </t>
  </si>
  <si>
    <t>173169160</t>
  </si>
  <si>
    <t xml:space="preserve">Branchville, Borough of </t>
  </si>
  <si>
    <t>024607769</t>
  </si>
  <si>
    <t xml:space="preserve">Montague, Township of </t>
  </si>
  <si>
    <t xml:space="preserve">Handyston, Township </t>
  </si>
  <si>
    <t xml:space="preserve">Guttenberg, Town of </t>
  </si>
  <si>
    <t xml:space="preserve">North Bergen, Township of </t>
  </si>
  <si>
    <t xml:space="preserve">Jersey City </t>
  </si>
  <si>
    <t>Hudson County (NJ) Prosecutor's Office</t>
  </si>
  <si>
    <t xml:space="preserve">Upper Deerfield, Township </t>
  </si>
  <si>
    <t xml:space="preserve">Cumberland </t>
  </si>
  <si>
    <t>002605533</t>
  </si>
  <si>
    <t>Lawrence, Township</t>
  </si>
  <si>
    <t>007994850</t>
  </si>
  <si>
    <t xml:space="preserve">Millville, City of </t>
  </si>
  <si>
    <t>080785918</t>
  </si>
  <si>
    <t>South Jersey Healthcare</t>
  </si>
  <si>
    <t>787798425</t>
  </si>
  <si>
    <t>Saddle River, Borough of</t>
  </si>
  <si>
    <t>Oceanside Charter School, Inc</t>
  </si>
  <si>
    <t xml:space="preserve">Pleasantville Public Schools </t>
  </si>
  <si>
    <t xml:space="preserve">Ventnor City Board of Education </t>
  </si>
  <si>
    <t xml:space="preserve">Sayreville Housing For Seniors Corporation </t>
  </si>
  <si>
    <t xml:space="preserve">Edison Housing Authority </t>
  </si>
  <si>
    <t>Brick Township Board of Fire Commissioners Dist 1 Brick NJ</t>
  </si>
  <si>
    <t>620958202</t>
  </si>
  <si>
    <t>Brick Township Board of Fire Commissioners Dist 2 Brick NJ</t>
  </si>
  <si>
    <t>969820971</t>
  </si>
  <si>
    <t>Brick Township Board of Fire Commissioners Dist 3 Brick NJ</t>
  </si>
  <si>
    <t>014408891</t>
  </si>
  <si>
    <t xml:space="preserve">Pinelands Regional School District </t>
  </si>
  <si>
    <t xml:space="preserve">Toms River Regional School District </t>
  </si>
  <si>
    <t xml:space="preserve">Seaside Heights Board Of Education </t>
  </si>
  <si>
    <t>Middletown Township Public Schools</t>
  </si>
  <si>
    <t xml:space="preserve">Academy Charter High School </t>
  </si>
  <si>
    <t>058371852</t>
  </si>
  <si>
    <t>048149157</t>
  </si>
  <si>
    <t xml:space="preserve">Farmingdale, Borough of </t>
  </si>
  <si>
    <t>081990160</t>
  </si>
  <si>
    <t xml:space="preserve">Hazlet, Township </t>
  </si>
  <si>
    <t>070412291</t>
  </si>
  <si>
    <t xml:space="preserve">Manasquan River Regional Sewerage Authority </t>
  </si>
  <si>
    <t>049718018</t>
  </si>
  <si>
    <t xml:space="preserve">Little Silver, Borough of </t>
  </si>
  <si>
    <t>070414487</t>
  </si>
  <si>
    <t xml:space="preserve">Eatontown Board of Education </t>
  </si>
  <si>
    <t>094246386</t>
  </si>
  <si>
    <t xml:space="preserve">Eatontown, Borough of </t>
  </si>
  <si>
    <t>046542460</t>
  </si>
  <si>
    <t>094240868</t>
  </si>
  <si>
    <t xml:space="preserve">Rumson, Borough of </t>
  </si>
  <si>
    <t>112035928</t>
  </si>
  <si>
    <t xml:space="preserve">Western Monmouth Utilities Authority </t>
  </si>
  <si>
    <t xml:space="preserve">Neptune, Township of </t>
  </si>
  <si>
    <t>049550817</t>
  </si>
  <si>
    <t xml:space="preserve">Monmouth County Regional Health Commission </t>
  </si>
  <si>
    <t>136190118</t>
  </si>
  <si>
    <t>Housing Authority of the Borough of Keansburg</t>
  </si>
  <si>
    <t xml:space="preserve">Housing Authority of the Borough of Highlands </t>
  </si>
  <si>
    <t>Middletown Township Housing Authority</t>
  </si>
  <si>
    <t xml:space="preserve">Union Beach, Borough of </t>
  </si>
  <si>
    <t>020847880</t>
  </si>
  <si>
    <t xml:space="preserve">Aberdeen, Township of </t>
  </si>
  <si>
    <t>068698430</t>
  </si>
  <si>
    <t xml:space="preserve">Matawan, Borough of </t>
  </si>
  <si>
    <t>048472807</t>
  </si>
  <si>
    <t xml:space="preserve">Freehold, Borough of </t>
  </si>
  <si>
    <t>078249786</t>
  </si>
  <si>
    <t xml:space="preserve">Spring Lake, Borough of </t>
  </si>
  <si>
    <t>052120763</t>
  </si>
  <si>
    <t xml:space="preserve">Meridian Nursing and Rehabilitation at Shrewsbury </t>
  </si>
  <si>
    <t xml:space="preserve">Manalapan, Township of </t>
  </si>
  <si>
    <t xml:space="preserve">Highlands, Borough of </t>
  </si>
  <si>
    <t>097404503</t>
  </si>
  <si>
    <t xml:space="preserve">Manalapan-Englishtown Regional Board of Education </t>
  </si>
  <si>
    <t>080950181</t>
  </si>
  <si>
    <t>Wall Fire Dist No. 1</t>
  </si>
  <si>
    <t>140757746</t>
  </si>
  <si>
    <t>164978079</t>
  </si>
  <si>
    <t>Shorelands Water Co. Inc</t>
  </si>
  <si>
    <t xml:space="preserve">Freehold, Township of </t>
  </si>
  <si>
    <t>078249562</t>
  </si>
  <si>
    <t xml:space="preserve">Millstone, Township </t>
  </si>
  <si>
    <t>Interlaken, Borough of</t>
  </si>
  <si>
    <t xml:space="preserve">Long Branch, City of </t>
  </si>
  <si>
    <t>081981193</t>
  </si>
  <si>
    <t xml:space="preserve">Long Branch Housing Authority </t>
  </si>
  <si>
    <t xml:space="preserve">Asbury Park Housing Authority </t>
  </si>
  <si>
    <t>Affordable Housing Alliance of N.J</t>
  </si>
  <si>
    <t>796228658</t>
  </si>
  <si>
    <t xml:space="preserve">Allenhurst, Borough of </t>
  </si>
  <si>
    <t>Colts Neck, Township of</t>
  </si>
  <si>
    <t>047875638</t>
  </si>
  <si>
    <t xml:space="preserve">Lake Como, Borough of </t>
  </si>
  <si>
    <t>051918894</t>
  </si>
  <si>
    <t xml:space="preserve">South Belmar First Aid </t>
  </si>
  <si>
    <t>070415377</t>
  </si>
  <si>
    <t xml:space="preserve">Monmouth County Bayshore Outfall Authority </t>
  </si>
  <si>
    <t>067830752</t>
  </si>
  <si>
    <t>Monmouth Beach, Borough of</t>
  </si>
  <si>
    <t>048623268</t>
  </si>
  <si>
    <t>Deal, Borough of</t>
  </si>
  <si>
    <t xml:space="preserve">Neptune Sewerage Authority, Township of </t>
  </si>
  <si>
    <t xml:space="preserve">Asbury Park, City of </t>
  </si>
  <si>
    <t>049873235</t>
  </si>
  <si>
    <t xml:space="preserve">New Hope Foundation </t>
  </si>
  <si>
    <t xml:space="preserve">Fair Haven Board of Education </t>
  </si>
  <si>
    <t>054346135</t>
  </si>
  <si>
    <t xml:space="preserve">Atlantic Highlands Harbor </t>
  </si>
  <si>
    <t>809678782</t>
  </si>
  <si>
    <t>Aberdeen Township Fire Dist # 2</t>
  </si>
  <si>
    <t>008817210</t>
  </si>
  <si>
    <t xml:space="preserve">Long Branch Public Schools </t>
  </si>
  <si>
    <t xml:space="preserve">Englishtown, Borough of </t>
  </si>
  <si>
    <t>078255825</t>
  </si>
  <si>
    <t xml:space="preserve">Howell Township Board of Education </t>
  </si>
  <si>
    <t>054254602</t>
  </si>
  <si>
    <t xml:space="preserve">Howell Township Fire District # 2 </t>
  </si>
  <si>
    <t>159110824</t>
  </si>
  <si>
    <t xml:space="preserve">Little Silver Board of Education </t>
  </si>
  <si>
    <t>054624028</t>
  </si>
  <si>
    <t xml:space="preserve">Monmouth University </t>
  </si>
  <si>
    <t xml:space="preserve">Wall, Township of </t>
  </si>
  <si>
    <t>139710144</t>
  </si>
  <si>
    <t xml:space="preserve">Flemington, Borough </t>
  </si>
  <si>
    <t xml:space="preserve">Little Ferry Board of Educatiom </t>
  </si>
  <si>
    <t xml:space="preserve">Montvale, Borough of </t>
  </si>
  <si>
    <t xml:space="preserve">New Providence Board of Education </t>
  </si>
  <si>
    <t xml:space="preserve">New Providence, Borough of </t>
  </si>
  <si>
    <t>NJ Motor Vehicle Commission</t>
  </si>
  <si>
    <t>Opportunity Knocks, Inc.</t>
  </si>
  <si>
    <t xml:space="preserve">Sea Girt Board of Education </t>
  </si>
  <si>
    <t xml:space="preserve">Sea Girt, Borough of </t>
  </si>
  <si>
    <t xml:space="preserve">Spring Lake Heights, Borough of </t>
  </si>
  <si>
    <t xml:space="preserve">Childrens Specialized Hospital </t>
  </si>
  <si>
    <t xml:space="preserve">Englewood Cliffs Board of Education -  Upper School </t>
  </si>
  <si>
    <t>Englewood Cliffs Board of Education - North Cliff School</t>
  </si>
  <si>
    <t xml:space="preserve">St. Joseph's Wayne Hospital </t>
  </si>
  <si>
    <t>Audubon, Borough of</t>
  </si>
  <si>
    <t>Camden</t>
  </si>
  <si>
    <t>`</t>
  </si>
  <si>
    <t>1877753144</t>
  </si>
  <si>
    <t>Bancroft</t>
  </si>
  <si>
    <t>Yes</t>
  </si>
  <si>
    <t>Bellmawr</t>
  </si>
  <si>
    <t>Bueller Challenger &amp; Science Center</t>
  </si>
  <si>
    <t>861320455</t>
  </si>
  <si>
    <t xml:space="preserve">Camden, City of </t>
  </si>
  <si>
    <t>Cherry Hill Fire District 13</t>
  </si>
  <si>
    <t>075614912</t>
  </si>
  <si>
    <t>Clayton, Borough of</t>
  </si>
  <si>
    <t>005982277</t>
  </si>
  <si>
    <t>Cooper University Hospital</t>
  </si>
  <si>
    <t>Deptford, Township of</t>
  </si>
  <si>
    <t>084779297</t>
  </si>
  <si>
    <t>Devereux-NJ</t>
  </si>
  <si>
    <t>Elk Township</t>
  </si>
  <si>
    <t>013256540</t>
  </si>
  <si>
    <t>Franklin, Township of</t>
  </si>
  <si>
    <t>140126207</t>
  </si>
  <si>
    <t>Garfield Public Schools</t>
  </si>
  <si>
    <t>045220241</t>
  </si>
  <si>
    <t>Glassborough, Borough of</t>
  </si>
  <si>
    <t>030317747</t>
  </si>
  <si>
    <t xml:space="preserve">Wyckoff Township Public Schools </t>
  </si>
  <si>
    <t>Gloucester City</t>
  </si>
  <si>
    <t>838065498</t>
  </si>
  <si>
    <t>Gloucester, County of</t>
  </si>
  <si>
    <t>070591979</t>
  </si>
  <si>
    <t xml:space="preserve">Gloucester, Township of </t>
  </si>
  <si>
    <t>Greenwich, Township of</t>
  </si>
  <si>
    <t>013492897</t>
  </si>
  <si>
    <t>Hackensack University Medical Center</t>
  </si>
  <si>
    <t>042797571</t>
  </si>
  <si>
    <t>Haddonfield, Borough of</t>
  </si>
  <si>
    <t>050195437</t>
  </si>
  <si>
    <t>Haddon Heights, Borough of</t>
  </si>
  <si>
    <t>039433677</t>
  </si>
  <si>
    <t>Laurel Springs, Borough of</t>
  </si>
  <si>
    <t>081867186</t>
  </si>
  <si>
    <t>Logan Township</t>
  </si>
  <si>
    <t>014387070</t>
  </si>
  <si>
    <t>Logan Township Municipal Utilities Authority</t>
  </si>
  <si>
    <t>Monroe, Township</t>
  </si>
  <si>
    <t>080784119</t>
  </si>
  <si>
    <t>Newfield Borough</t>
  </si>
  <si>
    <t>556480975</t>
  </si>
  <si>
    <t>Ocean, Township of</t>
  </si>
  <si>
    <t>Pine Hill, Borough of</t>
  </si>
  <si>
    <t>Pitman, Borough of</t>
  </si>
  <si>
    <t>009588476</t>
  </si>
  <si>
    <t xml:space="preserve">Plainfield, City of </t>
  </si>
  <si>
    <t>Rowan University</t>
  </si>
  <si>
    <t>139203145</t>
  </si>
  <si>
    <t>Red Bank, Borough of</t>
  </si>
  <si>
    <t>145588518</t>
  </si>
  <si>
    <t>Roselle, Borough of</t>
  </si>
  <si>
    <t>Runnemede</t>
  </si>
  <si>
    <t>Southeast Morris County Municipal Utilities Authority</t>
  </si>
  <si>
    <t>039393285</t>
  </si>
  <si>
    <t xml:space="preserve">Tenafly, Borough of </t>
  </si>
  <si>
    <t>960177988</t>
  </si>
  <si>
    <t>Tenafly School District</t>
  </si>
  <si>
    <t>072701824</t>
  </si>
  <si>
    <t>Underwood-Memorial Hospital</t>
  </si>
  <si>
    <t>077059152</t>
  </si>
  <si>
    <t xml:space="preserve">Union County </t>
  </si>
  <si>
    <t>Voorhees, Township of</t>
  </si>
  <si>
    <t>122937071</t>
  </si>
  <si>
    <t>Westampton Township</t>
  </si>
  <si>
    <t>141936174</t>
  </si>
  <si>
    <t>West Deptford Township</t>
  </si>
  <si>
    <t>627590672</t>
  </si>
  <si>
    <t xml:space="preserve">Westville, Borough of </t>
  </si>
  <si>
    <t>075481309</t>
  </si>
  <si>
    <t>Woodbury, City of</t>
  </si>
  <si>
    <t>175944362</t>
  </si>
  <si>
    <t>Woodbury Heights</t>
  </si>
  <si>
    <t>178090940</t>
  </si>
  <si>
    <t>Youth Consultation Service</t>
  </si>
  <si>
    <t>030240782</t>
  </si>
  <si>
    <t>003-62910-00</t>
  </si>
  <si>
    <t>003-63360-00</t>
  </si>
  <si>
    <t>039-74480-00</t>
  </si>
  <si>
    <t>039-70020-00</t>
  </si>
  <si>
    <t>039-36690-00</t>
  </si>
  <si>
    <t>039-99039-00</t>
  </si>
  <si>
    <t>039-66060-00</t>
  </si>
  <si>
    <t>039-51810-00</t>
  </si>
  <si>
    <t>039-71430-00</t>
  </si>
  <si>
    <t>039-81650-00</t>
  </si>
  <si>
    <t>025-06970-00</t>
  </si>
  <si>
    <t>025-04930-00</t>
  </si>
  <si>
    <t>025-UAMK7-00</t>
  </si>
  <si>
    <t>003-UD6TG-00</t>
  </si>
  <si>
    <t>003-42090-00</t>
  </si>
  <si>
    <t>003-UJJ9E-00</t>
  </si>
  <si>
    <t>037-75740-00</t>
  </si>
  <si>
    <t>025-41010-00</t>
  </si>
  <si>
    <t>Flemington Borough Dept of Public Works</t>
  </si>
  <si>
    <t>019-UOLCM-00</t>
  </si>
  <si>
    <t>025-UO0Z1-00</t>
  </si>
  <si>
    <t>003-U32JY-00</t>
  </si>
  <si>
    <t>003-0280C-00</t>
  </si>
  <si>
    <t>037-27420-00</t>
  </si>
  <si>
    <t>037-09160-00</t>
  </si>
  <si>
    <t>037-01330-00</t>
  </si>
  <si>
    <t>037-01360-00</t>
  </si>
  <si>
    <t xml:space="preserve">Sussex County </t>
  </si>
  <si>
    <t>037-99037-00</t>
  </si>
  <si>
    <t>031-00C9B-00</t>
  </si>
  <si>
    <t xml:space="preserve">Prospect Park, Borough of </t>
  </si>
  <si>
    <t>031-61170-00</t>
  </si>
  <si>
    <t>039-25800-00</t>
  </si>
  <si>
    <t>039-15640-00</t>
  </si>
  <si>
    <t>037-29850-00</t>
  </si>
  <si>
    <t>037-32910-00</t>
  </si>
  <si>
    <t xml:space="preserve">Little Falls, Township of </t>
  </si>
  <si>
    <t>031-40520-00</t>
  </si>
  <si>
    <t>031-06340-00</t>
  </si>
  <si>
    <t>031-13690-00</t>
  </si>
  <si>
    <t>031-29070-00</t>
  </si>
  <si>
    <t>031-30570-00</t>
  </si>
  <si>
    <t>031-57000-00</t>
  </si>
  <si>
    <t>031-56550-00</t>
  </si>
  <si>
    <t>031-53040-00</t>
  </si>
  <si>
    <t>031-77840-00</t>
  </si>
  <si>
    <t xml:space="preserve">Wanaque, Borough of </t>
  </si>
  <si>
    <t>031-76730-00</t>
  </si>
  <si>
    <t>031-73140-00</t>
  </si>
  <si>
    <t>025-UMEDO-00</t>
  </si>
  <si>
    <t>025-45990-00</t>
  </si>
  <si>
    <t>025-UZXEX-00</t>
  </si>
  <si>
    <t>025-43050-00</t>
  </si>
  <si>
    <t>031-63150-00</t>
  </si>
  <si>
    <t>031-U9M90-00</t>
  </si>
  <si>
    <t>031-79460-00</t>
  </si>
  <si>
    <t>031-79820-00</t>
  </si>
  <si>
    <t>019-08602-00</t>
  </si>
  <si>
    <t>001-UFKGH2-00</t>
  </si>
  <si>
    <t>003-00B50-00</t>
  </si>
  <si>
    <t>025-URUDS-00</t>
  </si>
  <si>
    <t>025-31500-00</t>
  </si>
  <si>
    <t>025-99025-00</t>
  </si>
  <si>
    <t>025-UVRM5-00</t>
  </si>
  <si>
    <t>025-UYUSK-00</t>
  </si>
  <si>
    <t>003-63990-00</t>
  </si>
  <si>
    <t>003-53430-00</t>
  </si>
  <si>
    <t>003-53610-00</t>
  </si>
  <si>
    <t>003-32310-00</t>
  </si>
  <si>
    <t>003-6300-00</t>
  </si>
  <si>
    <t>003-21450-00</t>
  </si>
  <si>
    <t>039-08055-00</t>
  </si>
  <si>
    <t>017-054A3-00</t>
  </si>
  <si>
    <t>027-ULZXB-00</t>
  </si>
  <si>
    <t>039-UKDUR-00</t>
  </si>
  <si>
    <t>003-19510-00</t>
  </si>
  <si>
    <t>003-72360-00</t>
  </si>
  <si>
    <t>029-UL118-00</t>
  </si>
  <si>
    <t>019-26550-00</t>
  </si>
  <si>
    <t>035-UZ182-00</t>
  </si>
  <si>
    <t>025-UZ37V-00</t>
  </si>
  <si>
    <t>003-U7ICP-00</t>
  </si>
  <si>
    <t>003-0596F-00</t>
  </si>
  <si>
    <t>003-UMYTB-00</t>
  </si>
  <si>
    <t>019-UAN81-00</t>
  </si>
  <si>
    <t>025-010F8-00</t>
  </si>
  <si>
    <t>025-UMS07-00</t>
  </si>
  <si>
    <t>031-60090-00</t>
  </si>
  <si>
    <t>025-UAKPI-00</t>
  </si>
  <si>
    <t>037-51930-00</t>
  </si>
  <si>
    <t>019-UYW97-00</t>
  </si>
  <si>
    <t>021-0469E-00</t>
  </si>
  <si>
    <t>039-USCPP-00</t>
  </si>
  <si>
    <t>039-URFWN-00</t>
  </si>
  <si>
    <t>039-097D3-00</t>
  </si>
  <si>
    <t>035-UZ2H3-00</t>
  </si>
  <si>
    <t>023-09834-00</t>
  </si>
  <si>
    <t>015-UC1YC-00</t>
  </si>
  <si>
    <t>025-UV2XCJ-00</t>
  </si>
  <si>
    <t>037-06B52-00</t>
  </si>
  <si>
    <t>035-08417-00</t>
  </si>
  <si>
    <t>025-07750-00</t>
  </si>
  <si>
    <t>025-07F90-00</t>
  </si>
  <si>
    <t>025-U32PP-00</t>
  </si>
  <si>
    <t>029-66450-00</t>
  </si>
  <si>
    <t>029-73110-00</t>
  </si>
  <si>
    <t>029-66480-00</t>
  </si>
  <si>
    <t>025-66240-00</t>
  </si>
  <si>
    <t>027-U6MLL-00</t>
  </si>
  <si>
    <t>027-U6KVE-00</t>
  </si>
  <si>
    <t>027-U6SKV-00</t>
  </si>
  <si>
    <t>021-U95D1-00</t>
  </si>
  <si>
    <t>019-019D7-00</t>
  </si>
  <si>
    <t xml:space="preserve">Winfield Township of  Board of Education </t>
  </si>
  <si>
    <t>039-UINLY-00</t>
  </si>
  <si>
    <t>041-087D5-00</t>
  </si>
  <si>
    <t>025-42990-00</t>
  </si>
  <si>
    <t>025-02110-00</t>
  </si>
  <si>
    <t>029-03597-00</t>
  </si>
  <si>
    <t>029-032D3-00</t>
  </si>
  <si>
    <t>001-0765B-00</t>
  </si>
  <si>
    <t>001-49410-00</t>
  </si>
  <si>
    <t>017-19360-00</t>
  </si>
  <si>
    <t>009-10330-00</t>
  </si>
  <si>
    <t>009-04B91-00</t>
  </si>
  <si>
    <t>009-UZXKZ-00</t>
  </si>
  <si>
    <t>025-00760-00</t>
  </si>
  <si>
    <t>003-30150-00</t>
  </si>
  <si>
    <t>003-U5KQS-00</t>
  </si>
  <si>
    <t>017-03580-00</t>
  </si>
  <si>
    <t>017-UPO4Z-00</t>
  </si>
  <si>
    <t>003-99003-00</t>
  </si>
  <si>
    <t>025-22440-00</t>
  </si>
  <si>
    <t>025-UM3QJ-00</t>
  </si>
  <si>
    <t>017-32250-00</t>
  </si>
  <si>
    <t>017-UOYKZ-00</t>
  </si>
  <si>
    <t>017-36000-00</t>
  </si>
  <si>
    <t>017-UR7FE-00</t>
  </si>
  <si>
    <t>025-U34U2-00</t>
  </si>
  <si>
    <t>017-USI4W-00</t>
  </si>
  <si>
    <t>017-52470-00</t>
  </si>
  <si>
    <t>000-UYLKI-00</t>
  </si>
  <si>
    <t>003-42750-00</t>
  </si>
  <si>
    <t>003-18400-00</t>
  </si>
  <si>
    <t>003-24420-00</t>
  </si>
  <si>
    <t>003-20020-00</t>
  </si>
  <si>
    <t>003-26640-00</t>
  </si>
  <si>
    <t>003-21480-00</t>
  </si>
  <si>
    <t>003-51660-00</t>
  </si>
  <si>
    <t>003-75140-00</t>
  </si>
  <si>
    <t>003-24990-00</t>
  </si>
  <si>
    <t>003-13810-00</t>
  </si>
  <si>
    <t>003-10480-00</t>
  </si>
  <si>
    <t>003-30540-00</t>
  </si>
  <si>
    <t>003-22470-00</t>
  </si>
  <si>
    <t>003-76490-00</t>
  </si>
  <si>
    <t>003-02346-00</t>
  </si>
  <si>
    <t>003-25770-00</t>
  </si>
  <si>
    <t>003-62940-00</t>
  </si>
  <si>
    <t>003-63690-00</t>
  </si>
  <si>
    <t>003-53850-00</t>
  </si>
  <si>
    <t>003-83050-00</t>
  </si>
  <si>
    <t>003-ULMLR-00</t>
  </si>
  <si>
    <t>039-22860-00</t>
  </si>
  <si>
    <t xml:space="preserve">Rahway Board of Education </t>
  </si>
  <si>
    <t>039-U67R3-00</t>
  </si>
  <si>
    <t>025-36480-00</t>
  </si>
  <si>
    <t>025-U6QHM-00</t>
  </si>
  <si>
    <t>025-URXZ0-00</t>
  </si>
  <si>
    <t>025-UR5CO-00</t>
  </si>
  <si>
    <t>031-03281-00</t>
  </si>
  <si>
    <t>031-99031-00</t>
  </si>
  <si>
    <t>025-UEAUL-00</t>
  </si>
  <si>
    <t>025-54570-00</t>
  </si>
  <si>
    <t>025-70140-00</t>
  </si>
  <si>
    <t>003-U27A7-00</t>
  </si>
  <si>
    <t>039-027BB-00</t>
  </si>
  <si>
    <t>039-UBUXX-00</t>
  </si>
  <si>
    <t>025-UKQ0Z-00</t>
  </si>
  <si>
    <t>025-UYLHS-00</t>
  </si>
  <si>
    <t>003-28680-00</t>
  </si>
  <si>
    <t>003-68970-00</t>
  </si>
  <si>
    <t>017-U0R3Z-00</t>
  </si>
  <si>
    <t>025-33300-00</t>
  </si>
  <si>
    <t>003-002EI-00</t>
  </si>
  <si>
    <t>003-UJ2U3-00</t>
  </si>
  <si>
    <t>003-UC0BC-00</t>
  </si>
  <si>
    <t>003-UYVBW-00</t>
  </si>
  <si>
    <t>003-U0ZT2-00</t>
  </si>
  <si>
    <t>003-05968-00</t>
  </si>
  <si>
    <t>003-U8D62-00</t>
  </si>
  <si>
    <t>003-O3A46-00</t>
  </si>
  <si>
    <t>003-UNUWD-00</t>
  </si>
  <si>
    <t>031-02355-00</t>
  </si>
  <si>
    <t>Martinsville Rescue Squad</t>
  </si>
  <si>
    <t>Somerset</t>
  </si>
  <si>
    <t>159248652</t>
  </si>
  <si>
    <t>United Methodist Church of Bound Brook</t>
  </si>
  <si>
    <t>Hillsborough Emergency Medical Services</t>
  </si>
  <si>
    <t>023409613</t>
  </si>
  <si>
    <t>Somerset County</t>
  </si>
  <si>
    <t>078246147</t>
  </si>
  <si>
    <t>Manville Public Schools</t>
  </si>
  <si>
    <t>Bridgewater Township</t>
  </si>
  <si>
    <t>Peapack and Gladstone, Borough of</t>
  </si>
  <si>
    <t>Watchung, Borough of</t>
  </si>
  <si>
    <t>Manville, Borough of</t>
  </si>
  <si>
    <t>799753918</t>
  </si>
  <si>
    <t>Bernards Township</t>
  </si>
  <si>
    <t>837648955</t>
  </si>
  <si>
    <t>Montgomery Twp School District</t>
  </si>
  <si>
    <t>609757914</t>
  </si>
  <si>
    <t>Branchburg, Township of</t>
  </si>
  <si>
    <t>085642619</t>
  </si>
  <si>
    <t>Green Brook Township Public Schools</t>
  </si>
  <si>
    <t>106132173</t>
  </si>
  <si>
    <t>Franklin Township Board of Education</t>
  </si>
  <si>
    <t>103803235</t>
  </si>
  <si>
    <t>Hillsborough Township School District</t>
  </si>
  <si>
    <t>Watchung Board of Education</t>
  </si>
  <si>
    <t>100053677</t>
  </si>
  <si>
    <t>South Bound Brook, Borough of</t>
  </si>
  <si>
    <t>Green Brook, Township of</t>
  </si>
  <si>
    <t>085643450</t>
  </si>
  <si>
    <t>Bernardsville, Borough of</t>
  </si>
  <si>
    <t>138923193</t>
  </si>
  <si>
    <t>Far Hills Borough</t>
  </si>
  <si>
    <t>029866628</t>
  </si>
  <si>
    <t>Hillsborough Fire District</t>
  </si>
  <si>
    <t>189409485</t>
  </si>
  <si>
    <t>Warren Township</t>
  </si>
  <si>
    <t>080611635</t>
  </si>
  <si>
    <t>Warren Township Rescue Squad</t>
  </si>
  <si>
    <t>Stonecrest Church</t>
  </si>
  <si>
    <t>Somerset Hills School District</t>
  </si>
  <si>
    <t>087618294</t>
  </si>
  <si>
    <t>Millstone Borough</t>
  </si>
  <si>
    <t>169083490</t>
  </si>
  <si>
    <t>Bridgewater Township Board of Fire Commissioner District 2</t>
  </si>
  <si>
    <t>144994152</t>
  </si>
  <si>
    <t>Bedminster, Township of</t>
  </si>
  <si>
    <t>172793408</t>
  </si>
  <si>
    <t>Hillsborough Township</t>
  </si>
  <si>
    <t>060722675</t>
  </si>
  <si>
    <t>North Plainfield, Borough of</t>
  </si>
  <si>
    <t>140233763</t>
  </si>
  <si>
    <t>North Plainfield Board of Education</t>
  </si>
  <si>
    <t>037169810</t>
  </si>
  <si>
    <t>Somerset Medical Center</t>
  </si>
  <si>
    <t>063141972</t>
  </si>
  <si>
    <t>Bridgewater Board of Fire Commissioners District 4</t>
  </si>
  <si>
    <t>Somerville Borough</t>
  </si>
  <si>
    <t>028044832</t>
  </si>
  <si>
    <t>620960125</t>
  </si>
  <si>
    <t>Franklin Township</t>
  </si>
  <si>
    <t>091391441</t>
  </si>
  <si>
    <t>Montgomery Township</t>
  </si>
  <si>
    <t>018616318</t>
  </si>
  <si>
    <t xml:space="preserve">Covenant House New Jersey </t>
  </si>
  <si>
    <t>Deptford Township Schools</t>
  </si>
  <si>
    <t>073736217</t>
  </si>
  <si>
    <t>Tri-Boro First Aid Squad</t>
  </si>
  <si>
    <t>Princeton First Aid &amp; Rescue Squad</t>
  </si>
  <si>
    <t>119217073</t>
  </si>
  <si>
    <t>CentraState Healthcare System</t>
  </si>
  <si>
    <t>068708544</t>
  </si>
  <si>
    <t>007869837</t>
  </si>
  <si>
    <t>Deerfield Township</t>
  </si>
  <si>
    <t>556581049</t>
  </si>
  <si>
    <t>Franklin Township Fire District 1</t>
  </si>
  <si>
    <t>Clinton Township Sewerage Authority</t>
  </si>
  <si>
    <t>078679674</t>
  </si>
  <si>
    <t>050471051</t>
  </si>
  <si>
    <t>ARC of Hunterdon County</t>
  </si>
  <si>
    <t>836170084</t>
  </si>
  <si>
    <t>830000233</t>
  </si>
  <si>
    <t>Hamilton, Township of</t>
  </si>
  <si>
    <t>075526947</t>
  </si>
  <si>
    <t>Hamilton Township Fire District 7</t>
  </si>
  <si>
    <t>West Windsor Township</t>
  </si>
  <si>
    <t>038592911</t>
  </si>
  <si>
    <t>Estell Manor</t>
  </si>
  <si>
    <t>831187443</t>
  </si>
  <si>
    <t>ARC of Burlington County, Inc</t>
  </si>
  <si>
    <t xml:space="preserve"> ARC of Monmouth, Inc</t>
  </si>
  <si>
    <t xml:space="preserve"> ARC of Somerset County </t>
  </si>
  <si>
    <t>003-UKTI8-00</t>
  </si>
  <si>
    <t>003-05170-00</t>
  </si>
  <si>
    <t>025-66330-00</t>
  </si>
  <si>
    <t>003-77135-00</t>
  </si>
  <si>
    <t>003-55950-00</t>
  </si>
  <si>
    <t>037-47430-00</t>
  </si>
  <si>
    <t>003-31920-00</t>
  </si>
  <si>
    <t>Moonachie, Borough of</t>
  </si>
  <si>
    <t>003-47700-00</t>
  </si>
  <si>
    <t>003-15820-00</t>
  </si>
  <si>
    <t>003-17530-00</t>
  </si>
  <si>
    <t>003-40680-00</t>
  </si>
  <si>
    <t>003-06490-00</t>
  </si>
  <si>
    <t>003-65340-00</t>
  </si>
  <si>
    <t>003-54990-00</t>
  </si>
  <si>
    <t>003-22560-00</t>
  </si>
  <si>
    <t>025-U0AFE-00</t>
  </si>
  <si>
    <t>039-59190-00</t>
  </si>
  <si>
    <t>029-U29EV-00</t>
  </si>
  <si>
    <t>029-U5YTR-00</t>
  </si>
  <si>
    <t>029-UMZBG-00</t>
  </si>
  <si>
    <t>003-46110-00</t>
  </si>
  <si>
    <t>003-21300-00</t>
  </si>
  <si>
    <t>003-65280-00</t>
  </si>
  <si>
    <t>003-82570-00</t>
  </si>
  <si>
    <t>003-76400-00</t>
  </si>
  <si>
    <t>003-47610-00</t>
  </si>
  <si>
    <t>039-64620-00</t>
  </si>
  <si>
    <t>039-40350-00</t>
  </si>
  <si>
    <t>039-13150-00</t>
  </si>
  <si>
    <t>039-U9FQU-00</t>
  </si>
  <si>
    <t>037-65700-00</t>
  </si>
  <si>
    <t>025-40770-00</t>
  </si>
  <si>
    <t>025-30690-00</t>
  </si>
  <si>
    <t>011-46680-00</t>
  </si>
  <si>
    <t>003-52320-00</t>
  </si>
  <si>
    <t>011-UDYPC-00</t>
  </si>
  <si>
    <t>023-UD00U-00</t>
  </si>
  <si>
    <t>039-UFUTJ-00</t>
  </si>
  <si>
    <t>011-39450-00</t>
  </si>
  <si>
    <t>011-74870-00</t>
  </si>
  <si>
    <t>003-40020-00</t>
  </si>
  <si>
    <t>003-80270-00</t>
  </si>
  <si>
    <t>039-48510-00</t>
  </si>
  <si>
    <t>003-13570-00</t>
  </si>
  <si>
    <t>003-54870-00</t>
  </si>
  <si>
    <t>025-UE0QJ-00</t>
  </si>
  <si>
    <t>003-UK4QX-00</t>
  </si>
  <si>
    <t>039-79040-00</t>
  </si>
  <si>
    <t>039-61530-00</t>
  </si>
  <si>
    <t>003-55770-00</t>
  </si>
  <si>
    <t>West Caldwell,Township of</t>
  </si>
  <si>
    <t>101228997</t>
  </si>
  <si>
    <t>Belleville, Township of</t>
  </si>
  <si>
    <t>849425897</t>
  </si>
  <si>
    <t>Irvington, Township of</t>
  </si>
  <si>
    <t>956998231</t>
  </si>
  <si>
    <t>Cedar Grove Ambulance &amp; Rescue Squad</t>
  </si>
  <si>
    <t>Millburn township</t>
  </si>
  <si>
    <t>040757841</t>
  </si>
  <si>
    <t>Montclair, Township of</t>
  </si>
  <si>
    <t>033416173</t>
  </si>
  <si>
    <t>East Orange, City of</t>
  </si>
  <si>
    <t>Orange Township, City of</t>
  </si>
  <si>
    <t>051514222</t>
  </si>
  <si>
    <t>ARC of Union County</t>
  </si>
  <si>
    <t>129991534</t>
  </si>
  <si>
    <t>Saint Michael's Medical Center, Inc.</t>
  </si>
  <si>
    <t>044001410</t>
  </si>
  <si>
    <t>Livingston, Township of</t>
  </si>
  <si>
    <t>089213243</t>
  </si>
  <si>
    <t xml:space="preserve">Maplewood, Township of </t>
  </si>
  <si>
    <t>077544542</t>
  </si>
  <si>
    <t>Glen Ridge, Borough</t>
  </si>
  <si>
    <t>080610389</t>
  </si>
  <si>
    <t>Roseland, Borough of</t>
  </si>
  <si>
    <t>08069571</t>
  </si>
  <si>
    <t>054285036</t>
  </si>
  <si>
    <t>Essex Fells, Borough of</t>
  </si>
  <si>
    <t>009073490</t>
  </si>
  <si>
    <t>Nutley BOE</t>
  </si>
  <si>
    <t>060783685</t>
  </si>
  <si>
    <t>Nutley, Township of</t>
  </si>
  <si>
    <t>226003169</t>
  </si>
  <si>
    <t>Caldwell, Borough of</t>
  </si>
  <si>
    <t>039392300</t>
  </si>
  <si>
    <t>West Orange, Township of</t>
  </si>
  <si>
    <t>060801172</t>
  </si>
  <si>
    <t>Cedar Grove, Township of</t>
  </si>
  <si>
    <t>087282042</t>
  </si>
  <si>
    <t>Carteret, Borough of</t>
  </si>
  <si>
    <t>Fairfield, Township of</t>
  </si>
  <si>
    <t>004136334</t>
  </si>
  <si>
    <t>Helmetta, Borough of</t>
  </si>
  <si>
    <t>Highland Park, Borough of</t>
  </si>
  <si>
    <t>Jamesburg, Borough of</t>
  </si>
  <si>
    <t>078256039</t>
  </si>
  <si>
    <t>Metuchen, Borough of</t>
  </si>
  <si>
    <t>Middlesex Borough</t>
  </si>
  <si>
    <t>Middlesex County</t>
  </si>
  <si>
    <t>Milltown Boro</t>
  </si>
  <si>
    <t>035869874</t>
  </si>
  <si>
    <t>Monroe township</t>
  </si>
  <si>
    <t>New Brunswick, city of</t>
  </si>
  <si>
    <t>New Brunswick Public Schools</t>
  </si>
  <si>
    <t>North Brunswick Township</t>
  </si>
  <si>
    <t>North Caldwell, Borough of</t>
  </si>
  <si>
    <t>172671026</t>
  </si>
  <si>
    <t>Old Bridge BOE</t>
  </si>
  <si>
    <t>Old Bridge, MUA</t>
  </si>
  <si>
    <t>969026124</t>
  </si>
  <si>
    <t>Perth Amboy, City of</t>
  </si>
  <si>
    <t>Perth Amboy, City of Housing Authority</t>
  </si>
  <si>
    <t>070418843</t>
  </si>
  <si>
    <t>Plainsboro Township</t>
  </si>
  <si>
    <t>Raritan Bay Medical Center</t>
  </si>
  <si>
    <t>Rutgers University</t>
  </si>
  <si>
    <t>Saint Barnabas Medical Center</t>
  </si>
  <si>
    <t>Saint Peter's University Hospital</t>
  </si>
  <si>
    <t>South Brunswick, Twsp</t>
  </si>
  <si>
    <t>South Amboy, City of</t>
  </si>
  <si>
    <t>Middlesex</t>
  </si>
  <si>
    <t>South Plainfield, Borough of</t>
  </si>
  <si>
    <t>017-28650-00</t>
  </si>
  <si>
    <t>Blairstown Township</t>
  </si>
  <si>
    <t>797446621</t>
  </si>
  <si>
    <t>0918547031</t>
  </si>
  <si>
    <t>Hardwick, Township of</t>
  </si>
  <si>
    <t>967311189</t>
  </si>
  <si>
    <t xml:space="preserve">Independence Township </t>
  </si>
  <si>
    <t>Warren</t>
  </si>
  <si>
    <t>Washington, Township of</t>
  </si>
  <si>
    <t>Blairstown Ambulance Corps</t>
  </si>
  <si>
    <t>964829290</t>
  </si>
  <si>
    <t>Pohatcong, Township of</t>
  </si>
  <si>
    <t>043881549</t>
  </si>
  <si>
    <t>Oxford, Township of</t>
  </si>
  <si>
    <t>Mansfield Township</t>
  </si>
  <si>
    <t>Lopatcong Township</t>
  </si>
  <si>
    <t>Hackettstown, Town of</t>
  </si>
  <si>
    <t>Hackettstown Regional Medical Center</t>
  </si>
  <si>
    <t>Washington, Borough of</t>
  </si>
  <si>
    <t>Belvidere, Town of</t>
  </si>
  <si>
    <t>961171154</t>
  </si>
  <si>
    <t>Harmony Township</t>
  </si>
  <si>
    <t>106899805</t>
  </si>
  <si>
    <t>White, Township of</t>
  </si>
  <si>
    <t>169071321</t>
  </si>
  <si>
    <t>Hunterdon County</t>
  </si>
  <si>
    <t>Hunterdon</t>
  </si>
  <si>
    <t>069878833</t>
  </si>
  <si>
    <t>Hunterdon County Department of Public Works</t>
  </si>
  <si>
    <t>Bloomsbury, Borough of</t>
  </si>
  <si>
    <t>174202846</t>
  </si>
  <si>
    <t>Clinton, Town of</t>
  </si>
  <si>
    <t>160989828</t>
  </si>
  <si>
    <t>Clinton-Glen Gardner Board of Education</t>
  </si>
  <si>
    <t>184216208</t>
  </si>
  <si>
    <t>Clinton, Township of</t>
  </si>
  <si>
    <t>806304619</t>
  </si>
  <si>
    <t>Sergeantsville Volunteer Fire Company</t>
  </si>
  <si>
    <t>102159196</t>
  </si>
  <si>
    <t>Delaware Township</t>
  </si>
  <si>
    <t>837683978</t>
  </si>
  <si>
    <t>High Bridge, Borough of</t>
  </si>
  <si>
    <t>169076502</t>
  </si>
  <si>
    <t>Frenchtown, Borough of</t>
  </si>
  <si>
    <t>834392560</t>
  </si>
  <si>
    <t>Holland Township</t>
  </si>
  <si>
    <t>868453598</t>
  </si>
  <si>
    <t>Lambertville, City of</t>
  </si>
  <si>
    <t>102099434</t>
  </si>
  <si>
    <t>Lebanon, Township of</t>
  </si>
  <si>
    <t>781393525</t>
  </si>
  <si>
    <t>Milford, Borough of</t>
  </si>
  <si>
    <t>081867434</t>
  </si>
  <si>
    <t>Raritan Township</t>
  </si>
  <si>
    <t>054478565</t>
  </si>
  <si>
    <t>Readington Township</t>
  </si>
  <si>
    <t>796079697</t>
  </si>
  <si>
    <t>Tewksbury Township</t>
  </si>
  <si>
    <t>140194882</t>
  </si>
  <si>
    <t>West Amwell Township</t>
  </si>
  <si>
    <t>785069162</t>
  </si>
  <si>
    <t>Kingwood Township</t>
  </si>
  <si>
    <t>045633885</t>
  </si>
  <si>
    <t>Bloomsbury Elementary School</t>
  </si>
  <si>
    <t>160278891</t>
  </si>
  <si>
    <t>Raritan Township Municipal Utilities Authority</t>
  </si>
  <si>
    <t>221936771</t>
  </si>
  <si>
    <t>Flemington-Raritan School District</t>
  </si>
  <si>
    <t>Union Township</t>
  </si>
  <si>
    <t>963918243</t>
  </si>
  <si>
    <t>Hampton, Borough of</t>
  </si>
  <si>
    <t>160218715</t>
  </si>
  <si>
    <t>Alexandria Township</t>
  </si>
  <si>
    <t>028060583</t>
  </si>
  <si>
    <t>East Amwell Towship</t>
  </si>
  <si>
    <t>169074036</t>
  </si>
  <si>
    <t>Highlands Elementary School District</t>
  </si>
  <si>
    <t>050517739</t>
  </si>
  <si>
    <t>Warren County</t>
  </si>
  <si>
    <t>073654105</t>
  </si>
  <si>
    <t>847492907</t>
  </si>
  <si>
    <t>Hope Township</t>
  </si>
  <si>
    <t>937605090</t>
  </si>
  <si>
    <t>Deptford Township Municipal Utilities Authority</t>
  </si>
  <si>
    <t>049411580</t>
  </si>
  <si>
    <t>St. Francis of Assisi Parish (LBI Community Center)</t>
  </si>
  <si>
    <t xml:space="preserve">Summit,  City of </t>
  </si>
  <si>
    <t>Summit City Public Schools</t>
  </si>
  <si>
    <t>131198116</t>
  </si>
  <si>
    <t>ARC of Essex County</t>
  </si>
  <si>
    <t>091858258</t>
  </si>
  <si>
    <t>Hunterdon County Educational Services Commission</t>
  </si>
  <si>
    <t>008013106</t>
  </si>
  <si>
    <t>South River, Borough of</t>
  </si>
  <si>
    <t>South River Board of Education</t>
  </si>
  <si>
    <t>787344543</t>
  </si>
  <si>
    <t xml:space="preserve">Spotswood, Borough of </t>
  </si>
  <si>
    <t>Verona, Township of</t>
  </si>
  <si>
    <t>067483370</t>
  </si>
  <si>
    <t>Woodbridge Township (Police Dept)</t>
  </si>
  <si>
    <t>Carteret Housing Authority</t>
  </si>
  <si>
    <t>Madison Park Fire/OB District 4</t>
  </si>
  <si>
    <t>134848994</t>
  </si>
  <si>
    <t>Middlesex County Utilities Authority</t>
  </si>
  <si>
    <t>Newark Beth Israel Medical Center</t>
  </si>
  <si>
    <t>Clara Maass Medical Center</t>
  </si>
  <si>
    <t>077554921</t>
  </si>
  <si>
    <t>Cerebral Palsy of North Jersey</t>
  </si>
  <si>
    <t>085651107</t>
  </si>
  <si>
    <t>Cerebral Palsy of Middlesex</t>
  </si>
  <si>
    <t>Atlantic County</t>
  </si>
  <si>
    <t>079497897</t>
  </si>
  <si>
    <t>Absecon OEM</t>
  </si>
  <si>
    <t>Atlantic City, City of</t>
  </si>
  <si>
    <t>077059376</t>
  </si>
  <si>
    <t>Atlantic City Housing Authority</t>
  </si>
  <si>
    <t>050487230</t>
  </si>
  <si>
    <t>Brigantine, City of</t>
  </si>
  <si>
    <t>194487232</t>
  </si>
  <si>
    <t>0169384747</t>
  </si>
  <si>
    <t>Egg Harbor, City of</t>
  </si>
  <si>
    <t>Egg Harbor Township Board Education</t>
  </si>
  <si>
    <t>144401304</t>
  </si>
  <si>
    <t>Egg Harbor Township Municipal Utilities Authority</t>
  </si>
  <si>
    <t>078276741</t>
  </si>
  <si>
    <t>Galloway, Township of</t>
  </si>
  <si>
    <t>182141879</t>
  </si>
  <si>
    <t>Galloway Township Public Schools</t>
  </si>
  <si>
    <t>135235505</t>
  </si>
  <si>
    <t>937880284</t>
  </si>
  <si>
    <t>045506342</t>
  </si>
  <si>
    <t>Linwood, City of</t>
  </si>
  <si>
    <t>030313571</t>
  </si>
  <si>
    <t>Longport, Borough of</t>
  </si>
  <si>
    <t>Margate City, City of</t>
  </si>
  <si>
    <t>Egg Harbor, Township of</t>
  </si>
  <si>
    <t>030313985</t>
  </si>
  <si>
    <t>770585592</t>
  </si>
  <si>
    <t>Pleasantville, City of</t>
  </si>
  <si>
    <t>030311377</t>
  </si>
  <si>
    <t>Pleasantville Housing Authority</t>
  </si>
  <si>
    <t>042433792</t>
  </si>
  <si>
    <t>Ventnor City, City of</t>
  </si>
  <si>
    <t>114392140</t>
  </si>
  <si>
    <t>045819844</t>
  </si>
  <si>
    <t>Atlantic County Utilities Authority</t>
  </si>
  <si>
    <t>077106094</t>
  </si>
  <si>
    <t>Atlantic City Convention Center &amp; Boardwalk Hall</t>
  </si>
  <si>
    <t>826184801</t>
  </si>
  <si>
    <t>AtlantiCare Regional Medical Center</t>
  </si>
  <si>
    <t>Bacharach Institute for Rehabilitation</t>
  </si>
  <si>
    <t>073735664</t>
  </si>
  <si>
    <t>Casino Reinvestment Development Authority</t>
  </si>
  <si>
    <t>John Brooks Recovery Center</t>
  </si>
  <si>
    <t>070595889</t>
  </si>
  <si>
    <t>Our Lady's Multi-Care Center</t>
  </si>
  <si>
    <t>962388653</t>
  </si>
  <si>
    <t>Richard Stockton College of New Jersey</t>
  </si>
  <si>
    <t>119839082</t>
  </si>
  <si>
    <t>South Jersey Transportation Authority</t>
  </si>
  <si>
    <t>805417193</t>
  </si>
  <si>
    <t>Shore Medical Center</t>
  </si>
  <si>
    <t>Roxbury, Township of</t>
  </si>
  <si>
    <t>060807732</t>
  </si>
  <si>
    <t>Hackettstown Municipal Utilities Authority</t>
  </si>
  <si>
    <t>Randolph, Township of</t>
  </si>
  <si>
    <t>080611585</t>
  </si>
  <si>
    <t>Morris, Township of</t>
  </si>
  <si>
    <t>094964913</t>
  </si>
  <si>
    <t>New Vernon Volunteer Fire Department and Rescue Squad</t>
  </si>
  <si>
    <t>825839400</t>
  </si>
  <si>
    <t>Dover, Town of</t>
  </si>
  <si>
    <t>144974776</t>
  </si>
  <si>
    <t>Morris County</t>
  </si>
  <si>
    <t>080611700</t>
  </si>
  <si>
    <t>Rockaway Township Board of Education</t>
  </si>
  <si>
    <t>137951315</t>
  </si>
  <si>
    <t>Morristown, Township of</t>
  </si>
  <si>
    <t>010905925</t>
  </si>
  <si>
    <t>Lincoln Park, Borough of</t>
  </si>
  <si>
    <t>002794332</t>
  </si>
  <si>
    <t>Rockaway, Borough of</t>
  </si>
  <si>
    <t>969480425</t>
  </si>
  <si>
    <t>Morris Hills Regional District</t>
  </si>
  <si>
    <t>159111954</t>
  </si>
  <si>
    <t>Morris County College</t>
  </si>
  <si>
    <t>040754012</t>
  </si>
  <si>
    <t>Morris County Municipal Authority</t>
  </si>
  <si>
    <t>295149778</t>
  </si>
  <si>
    <t>Montville, Township of</t>
  </si>
  <si>
    <t>053468187</t>
  </si>
  <si>
    <t>Bridgewater Fire District # 3</t>
  </si>
  <si>
    <t>623111270</t>
  </si>
  <si>
    <t>East Hanover, Township of</t>
  </si>
  <si>
    <t>080611817</t>
  </si>
  <si>
    <t>Hanover Sewerage Authority</t>
  </si>
  <si>
    <t>0538433967</t>
  </si>
  <si>
    <t>Morris Plains, Borough of</t>
  </si>
  <si>
    <t>145557539</t>
  </si>
  <si>
    <t>Florham Park, Borough of</t>
  </si>
  <si>
    <t>786809041</t>
  </si>
  <si>
    <t>Madison, Borough of</t>
  </si>
  <si>
    <t>080610025</t>
  </si>
  <si>
    <t>Pequannock, Township of</t>
  </si>
  <si>
    <t>010886463</t>
  </si>
  <si>
    <t>Pequannock Lincoln Park &amp; Fairfield Sewerage Authority</t>
  </si>
  <si>
    <t>096879762</t>
  </si>
  <si>
    <t>Mt. Olive School District</t>
  </si>
  <si>
    <t>042071118</t>
  </si>
  <si>
    <t>Morris County Housing Authority</t>
  </si>
  <si>
    <t>196298186</t>
  </si>
  <si>
    <t>Chatham, Borough of</t>
  </si>
  <si>
    <t>038482881</t>
  </si>
  <si>
    <t>East Hanover Township Board of Education</t>
  </si>
  <si>
    <t>603108150</t>
  </si>
  <si>
    <t>Roxbury Township Schools</t>
  </si>
  <si>
    <t>094958766</t>
  </si>
  <si>
    <t>Atlantic Ambulance Corp.</t>
  </si>
  <si>
    <t>122371474</t>
  </si>
  <si>
    <t>Atlantic Hospital Corp.</t>
  </si>
  <si>
    <t>962464756</t>
  </si>
  <si>
    <t>Boonton, Township of</t>
  </si>
  <si>
    <t>077541688</t>
  </si>
  <si>
    <t>Butler, Borough of</t>
  </si>
  <si>
    <t>067521427</t>
  </si>
  <si>
    <t>Chathams School District</t>
  </si>
  <si>
    <t>060781275</t>
  </si>
  <si>
    <t>Chatham, Township of</t>
  </si>
  <si>
    <t>0271213000</t>
  </si>
  <si>
    <t>Chester, Township of</t>
  </si>
  <si>
    <t>037163722</t>
  </si>
  <si>
    <t>Hanover Park Regional High School District Board of Education</t>
  </si>
  <si>
    <t>060796141</t>
  </si>
  <si>
    <t>Hanover Township Public Schools</t>
  </si>
  <si>
    <t>038474441</t>
  </si>
  <si>
    <t>Hanover, Township of</t>
  </si>
  <si>
    <t>942328931</t>
  </si>
  <si>
    <t>Harding, Township of</t>
  </si>
  <si>
    <t>618030456</t>
  </si>
  <si>
    <t>Jefferson, Township of</t>
  </si>
  <si>
    <t>080611528</t>
  </si>
  <si>
    <t>Jefferson Township Board of Education</t>
  </si>
  <si>
    <t>060803467</t>
  </si>
  <si>
    <t>Mendham, Borough of</t>
  </si>
  <si>
    <t>113176460</t>
  </si>
  <si>
    <t>Mendham, Township of</t>
  </si>
  <si>
    <t>188977466</t>
  </si>
  <si>
    <t>Morris County Park Commission</t>
  </si>
  <si>
    <t>089209100</t>
  </si>
  <si>
    <t>Mount Arlington, Borough of</t>
  </si>
  <si>
    <t>085648681</t>
  </si>
  <si>
    <t>Mount Olive, Township of</t>
  </si>
  <si>
    <t>053469813</t>
  </si>
  <si>
    <t>Mountain Lakes, Borough of</t>
  </si>
  <si>
    <t>080610322</t>
  </si>
  <si>
    <t>099256869</t>
  </si>
  <si>
    <t>Wharton, Borough of</t>
  </si>
  <si>
    <t>080609217</t>
  </si>
  <si>
    <t>Washington Township Municipal Utilities Authority</t>
  </si>
  <si>
    <t>92217553</t>
  </si>
  <si>
    <t>Our Lady of Mercy</t>
  </si>
  <si>
    <t>Hudson</t>
  </si>
  <si>
    <t>089207658</t>
  </si>
  <si>
    <t>Beach Haven, Borough of</t>
  </si>
  <si>
    <t>070410931</t>
  </si>
  <si>
    <t>Tuckerton, Borough of</t>
  </si>
  <si>
    <t>011997491</t>
  </si>
  <si>
    <t>Cranbury Township Police Dept</t>
  </si>
  <si>
    <t>Spotswood Public Schools</t>
  </si>
  <si>
    <t>078264348</t>
  </si>
  <si>
    <t>Edison Township</t>
  </si>
  <si>
    <t>Dunellen Boro</t>
  </si>
  <si>
    <t>840611701</t>
  </si>
  <si>
    <t>Barnabas Health Behavioral Health Center</t>
  </si>
  <si>
    <t>786774117</t>
  </si>
  <si>
    <t>Community Medical Center</t>
  </si>
  <si>
    <t>Kimball Medical Center</t>
  </si>
  <si>
    <t>078272713</t>
  </si>
  <si>
    <t>Ocean County Prosecutor's Office</t>
  </si>
  <si>
    <t>Island Heights, Borough of</t>
  </si>
  <si>
    <t>084046192</t>
  </si>
  <si>
    <t>Christian Missionary Church</t>
  </si>
  <si>
    <t>Beach Haven First Aid Squad</t>
  </si>
  <si>
    <t>020784732</t>
  </si>
  <si>
    <t>Stafford Township</t>
  </si>
  <si>
    <t>050497106</t>
  </si>
  <si>
    <t>Point Pleasant Beach, Borough of</t>
  </si>
  <si>
    <t>087617809</t>
  </si>
  <si>
    <t>Lacey, Township of</t>
  </si>
  <si>
    <t>054473087</t>
  </si>
  <si>
    <t>South Toms River, Borough of</t>
  </si>
  <si>
    <t>169081031</t>
  </si>
  <si>
    <t>Ocean County Department of  Correction</t>
  </si>
  <si>
    <t>Ocean County Vocational Technical School</t>
  </si>
  <si>
    <t>798969957</t>
  </si>
  <si>
    <t>Manchester Township School District</t>
  </si>
  <si>
    <t>078268653</t>
  </si>
  <si>
    <t>Little Egg Harbor Board of Education</t>
  </si>
  <si>
    <t>100604495</t>
  </si>
  <si>
    <t>620956123</t>
  </si>
  <si>
    <t>Point Pleasant Fire Dept</t>
  </si>
  <si>
    <t>Barnegat Township</t>
  </si>
  <si>
    <t>141943246</t>
  </si>
  <si>
    <t>Barnegat Township School District</t>
  </si>
  <si>
    <t>Little Egg Harbor Municipal Utilities Authority</t>
  </si>
  <si>
    <t>144389103</t>
  </si>
  <si>
    <t>Ship Bottom Vol Fire Company 1</t>
  </si>
  <si>
    <t>620951025</t>
  </si>
  <si>
    <t>Harrogate Life Care Community</t>
  </si>
  <si>
    <t>Mantoloking Fire Department</t>
  </si>
  <si>
    <t>Mantoloking, Borough of</t>
  </si>
  <si>
    <t>Ocean County Board of Health</t>
  </si>
  <si>
    <t>166478503</t>
  </si>
  <si>
    <t>Berkeley Township</t>
  </si>
  <si>
    <t>Ocean Gate, Borough of</t>
  </si>
  <si>
    <t>801263745</t>
  </si>
  <si>
    <t>Bay Head, Borough of</t>
  </si>
  <si>
    <t>081990848</t>
  </si>
  <si>
    <t xml:space="preserve">Ocean Mental Health Services </t>
  </si>
  <si>
    <t>080950041</t>
  </si>
  <si>
    <t xml:space="preserve">Manchester Township </t>
  </si>
  <si>
    <t>068688209</t>
  </si>
  <si>
    <t>Parkertown Fire Company</t>
  </si>
  <si>
    <t>020781571</t>
  </si>
  <si>
    <t>All Saints Episcopal Church</t>
  </si>
  <si>
    <t>Puerto Rican Civic Association of Central NJ</t>
  </si>
  <si>
    <t>Jackson Fire District 4</t>
  </si>
  <si>
    <t>969821045</t>
  </si>
  <si>
    <t>Jackson, Township of</t>
  </si>
  <si>
    <t>078254455</t>
  </si>
  <si>
    <t>099287161</t>
  </si>
  <si>
    <t>Oceangate School</t>
  </si>
  <si>
    <t>070407226</t>
  </si>
  <si>
    <t>Mission Pentecostal Church</t>
  </si>
  <si>
    <t>791118362</t>
  </si>
  <si>
    <t>Lakewood Township</t>
  </si>
  <si>
    <t xml:space="preserve">Ocean County College </t>
  </si>
  <si>
    <t>High Point Volunteer Fire Company</t>
  </si>
  <si>
    <t>966469145</t>
  </si>
  <si>
    <t>Harvey Cedars, Borough of</t>
  </si>
  <si>
    <t>829803019</t>
  </si>
  <si>
    <t xml:space="preserve">Barnegat Light, Borough of </t>
  </si>
  <si>
    <t>055029201</t>
  </si>
  <si>
    <t>Jackson Township Municipal Utilities Authority</t>
  </si>
  <si>
    <t>122245368</t>
  </si>
  <si>
    <t>Toms River Municipal Utilities Authority</t>
  </si>
  <si>
    <t>061852836</t>
  </si>
  <si>
    <t xml:space="preserve">Beachwood, Borough of </t>
  </si>
  <si>
    <t xml:space="preserve">Plumsted Township Board of Education </t>
  </si>
  <si>
    <t>933025880</t>
  </si>
  <si>
    <t>Point Pleasant Borough</t>
  </si>
  <si>
    <t>969658780</t>
  </si>
  <si>
    <t>Long Beach Township</t>
  </si>
  <si>
    <t>084036367</t>
  </si>
  <si>
    <t>ARC of Ocean County</t>
  </si>
  <si>
    <t>Jackson Fire District 3</t>
  </si>
  <si>
    <t>Plumsted Township</t>
  </si>
  <si>
    <t>798235672</t>
  </si>
  <si>
    <t>084045970</t>
  </si>
  <si>
    <t>Little Egg Harbor Township</t>
  </si>
  <si>
    <t>Pine Beach, Borough of</t>
  </si>
  <si>
    <t>Chesev of Lakewood</t>
  </si>
  <si>
    <t>NJ Chaplains Association</t>
  </si>
  <si>
    <t>Dover-Brick Beach First Aid Squad</t>
  </si>
  <si>
    <t>Southern Ocean Medical Center</t>
  </si>
  <si>
    <t>223471515</t>
  </si>
  <si>
    <t>Quinton Township</t>
  </si>
  <si>
    <t>Salem</t>
  </si>
  <si>
    <t>556799062</t>
  </si>
  <si>
    <t>The Willow School</t>
  </si>
  <si>
    <t>069659925</t>
  </si>
  <si>
    <t>Commercial, Township of</t>
  </si>
  <si>
    <t>049733280</t>
  </si>
  <si>
    <t>New Jersey State Police</t>
  </si>
  <si>
    <t>West Wildwood Volunteer Fire Dept</t>
  </si>
  <si>
    <t>619598670</t>
  </si>
  <si>
    <t>North Centerville Volunteer Fireman's Assoc No 1</t>
  </si>
  <si>
    <t>047432047</t>
  </si>
  <si>
    <t>Hoboken University Medical Center</t>
  </si>
  <si>
    <t>078311985</t>
  </si>
  <si>
    <t>Sussex Fire Department Inc</t>
  </si>
  <si>
    <t>149653961</t>
  </si>
  <si>
    <t>Sussex Wantage Regional Board of Ed</t>
  </si>
  <si>
    <t>Clifton Public Schools</t>
  </si>
  <si>
    <t>060798949</t>
  </si>
  <si>
    <t>621517783</t>
  </si>
  <si>
    <t>Bayshore Discovery Project</t>
  </si>
  <si>
    <t>943917476</t>
  </si>
  <si>
    <t>ARC of Morris County Chapter</t>
  </si>
  <si>
    <t>089209761</t>
  </si>
  <si>
    <t xml:space="preserve">Medford Lakes, Borough of </t>
  </si>
  <si>
    <t>176038743</t>
  </si>
  <si>
    <t>Moorestown Township</t>
  </si>
  <si>
    <t>075532440</t>
  </si>
  <si>
    <t>Moorestown Fire District No 1</t>
  </si>
  <si>
    <t>100573752</t>
  </si>
  <si>
    <t>Moorestown Fire District No 2</t>
  </si>
  <si>
    <t>556682573</t>
  </si>
  <si>
    <t>Moorestown Township Public Schools</t>
  </si>
  <si>
    <t>Medford, Township of</t>
  </si>
  <si>
    <t>050645175</t>
  </si>
  <si>
    <t>Masonic Home of New Jersey</t>
  </si>
  <si>
    <t>073738775</t>
  </si>
  <si>
    <t>Lenape Regional High School District</t>
  </si>
  <si>
    <t>032585549</t>
  </si>
  <si>
    <t>Hainesport Volunteer Fire Co 1</t>
  </si>
  <si>
    <t>Hainesport Township</t>
  </si>
  <si>
    <t>Good Will Fire Company</t>
  </si>
  <si>
    <t>825477235</t>
  </si>
  <si>
    <t>Delanco</t>
  </si>
  <si>
    <t>Delran, Township of</t>
  </si>
  <si>
    <t>069878197</t>
  </si>
  <si>
    <t>Delran Fire District 1</t>
  </si>
  <si>
    <t>105256445</t>
  </si>
  <si>
    <t xml:space="preserve">Edgewater Park, Township of </t>
  </si>
  <si>
    <t>141692256</t>
  </si>
  <si>
    <t xml:space="preserve">Edgewater Park Sewerage Authority </t>
  </si>
  <si>
    <t>222332364</t>
  </si>
  <si>
    <t>Eastampton Township</t>
  </si>
  <si>
    <t>Evesham, Township of</t>
  </si>
  <si>
    <t>123798055</t>
  </si>
  <si>
    <t>Evesham Municipal Utilities Authority</t>
  </si>
  <si>
    <t>071611636</t>
  </si>
  <si>
    <t>Florence Township</t>
  </si>
  <si>
    <t>250439371</t>
  </si>
  <si>
    <t>Florence Township Fire District 1</t>
  </si>
  <si>
    <t>143831837</t>
  </si>
  <si>
    <t>Bass River Township</t>
  </si>
  <si>
    <t>104914143</t>
  </si>
  <si>
    <t>Beverly, City of</t>
  </si>
  <si>
    <t>Burlington, County of</t>
  </si>
  <si>
    <t>8330251018</t>
  </si>
  <si>
    <t>Burlington County Bridge Commission</t>
  </si>
  <si>
    <t>791151561</t>
  </si>
  <si>
    <t>Burlington County College</t>
  </si>
  <si>
    <t>075491431</t>
  </si>
  <si>
    <t>Burlington Township</t>
  </si>
  <si>
    <t>Cinnaminson Township</t>
  </si>
  <si>
    <t>075488270</t>
  </si>
  <si>
    <t>Cinnaminson Fire District NO 1</t>
  </si>
  <si>
    <t>143167216</t>
  </si>
  <si>
    <t>Burlington County Jail</t>
  </si>
  <si>
    <t>8332531310</t>
  </si>
  <si>
    <t>Mount Holly MUA</t>
  </si>
  <si>
    <t>216001513</t>
  </si>
  <si>
    <t>Mount Holly Township</t>
  </si>
  <si>
    <t>051954873</t>
  </si>
  <si>
    <t>Mount Laurel, Township of</t>
  </si>
  <si>
    <t>051217040</t>
  </si>
  <si>
    <t>New Hanover Township</t>
  </si>
  <si>
    <t>Pemberton, Township of</t>
  </si>
  <si>
    <t>021961438</t>
  </si>
  <si>
    <t>Pemberton Township Board of Education</t>
  </si>
  <si>
    <t>026924001</t>
  </si>
  <si>
    <t>Riverside Township</t>
  </si>
  <si>
    <t>Riverside Township Board of Education</t>
  </si>
  <si>
    <t>Pemberton, Borough of</t>
  </si>
  <si>
    <t>069899094</t>
  </si>
  <si>
    <t>Palmyra, Borough of</t>
  </si>
  <si>
    <t>047425718</t>
  </si>
  <si>
    <t>Christ the Teacher Interparochial School</t>
  </si>
  <si>
    <t>Ewing Township</t>
  </si>
  <si>
    <t>Hamilton Township Fire District 8</t>
  </si>
  <si>
    <t>Hamilton Township Fire District 9</t>
  </si>
  <si>
    <t>Hopewell, Borough of</t>
  </si>
  <si>
    <t>Hopewell, Township of</t>
  </si>
  <si>
    <t>045752235</t>
  </si>
  <si>
    <t>Hopewell Township Fire District 1</t>
  </si>
  <si>
    <t>Hopewell Valley Regional School District</t>
  </si>
  <si>
    <t>Shamong Township</t>
  </si>
  <si>
    <t>053109658</t>
  </si>
  <si>
    <t>Southampton Township</t>
  </si>
  <si>
    <t>014244870</t>
  </si>
  <si>
    <t>032372287</t>
  </si>
  <si>
    <t>Tabernacle, Township of</t>
  </si>
  <si>
    <t>053469300</t>
  </si>
  <si>
    <t>The Children's Home, Union Assoc of</t>
  </si>
  <si>
    <t>069888246</t>
  </si>
  <si>
    <t>Washington Township</t>
  </si>
  <si>
    <t>Willingboro Township</t>
  </si>
  <si>
    <t>060068426</t>
  </si>
  <si>
    <t>Woodland Township</t>
  </si>
  <si>
    <t>Rider Township</t>
  </si>
  <si>
    <t>Lawrence, Township of</t>
  </si>
  <si>
    <t>075517714</t>
  </si>
  <si>
    <t xml:space="preserve">Mercer County  </t>
  </si>
  <si>
    <t>Mercer County  Community College</t>
  </si>
  <si>
    <t>Mercer County Special Services School District</t>
  </si>
  <si>
    <t>797577108</t>
  </si>
  <si>
    <t>Pennington Borough</t>
  </si>
  <si>
    <t>960418754</t>
  </si>
  <si>
    <t>Trustees of Princeton University</t>
  </si>
  <si>
    <t xml:space="preserve"> Mercer</t>
  </si>
  <si>
    <t>Robbinsville, Township of</t>
  </si>
  <si>
    <t>Robbinsville Board of Education</t>
  </si>
  <si>
    <t>956905186</t>
  </si>
  <si>
    <t>Robert Wood Johnson Hospital Hamilton</t>
  </si>
  <si>
    <t>Mercer</t>
  </si>
  <si>
    <t>Trenton, City of</t>
  </si>
  <si>
    <t>Trenton State College Corporation</t>
  </si>
  <si>
    <t>041-04990-00</t>
  </si>
  <si>
    <t>019-06370-00</t>
  </si>
  <si>
    <t>027-47670-00</t>
  </si>
  <si>
    <t>027-19210-00</t>
  </si>
  <si>
    <t>029-UEQAV-00</t>
  </si>
  <si>
    <t>001-I&lt;O42-00</t>
  </si>
  <si>
    <t>025-62430-00</t>
  </si>
  <si>
    <t>029-54300-00</t>
  </si>
  <si>
    <t>029-03050-00</t>
  </si>
  <si>
    <t>029-58590-00</t>
  </si>
  <si>
    <t>003-61680-00</t>
  </si>
  <si>
    <t>015-51390-00</t>
  </si>
  <si>
    <t>015-59070-00</t>
  </si>
  <si>
    <t>027-58125-00</t>
  </si>
  <si>
    <t>027-48300-00</t>
  </si>
  <si>
    <t>027-42510-00</t>
  </si>
  <si>
    <t>029-04180-00</t>
  </si>
  <si>
    <t>029-40560-00</t>
  </si>
  <si>
    <t>029-UJCKN-00</t>
  </si>
  <si>
    <t>029-37380-00</t>
  </si>
  <si>
    <t>029-59910-00</t>
  </si>
  <si>
    <t>015-78800-00</t>
  </si>
  <si>
    <t>011-14710-00</t>
  </si>
  <si>
    <t>037-011A6-00</t>
  </si>
  <si>
    <t>035-53280-00</t>
  </si>
  <si>
    <t>041-99041-00</t>
  </si>
  <si>
    <t>015-82120-00</t>
  </si>
  <si>
    <t>015-82180-00</t>
  </si>
  <si>
    <t>023-UAP90-00</t>
  </si>
  <si>
    <t>Monroe Township Fire District Three</t>
  </si>
  <si>
    <t>000-U6L13-00</t>
  </si>
  <si>
    <t>Port Authority of New York and New Jersey</t>
  </si>
  <si>
    <t>001794205</t>
  </si>
  <si>
    <t>027-ULOPY-00</t>
  </si>
  <si>
    <t>027-UP9OJ-00</t>
  </si>
  <si>
    <t>027-01F07-00</t>
  </si>
  <si>
    <t>000-UAJW8-00</t>
  </si>
  <si>
    <t>035-UYEGE-00</t>
  </si>
  <si>
    <t>027-99027-01</t>
  </si>
  <si>
    <t>041-80570-00</t>
  </si>
  <si>
    <t>041-28260-00</t>
  </si>
  <si>
    <t>015-U5YX8-00</t>
  </si>
  <si>
    <t>023-UULXH-00</t>
  </si>
  <si>
    <t>000-UPEVN-00</t>
  </si>
  <si>
    <t>027-UP9PG3-00</t>
  </si>
  <si>
    <t xml:space="preserve"> Essex Department of Public Works</t>
  </si>
  <si>
    <t>013-99013-00</t>
  </si>
  <si>
    <t>013-13045-00</t>
  </si>
  <si>
    <t>013-19390-00</t>
  </si>
  <si>
    <t>013-47500-00</t>
  </si>
  <si>
    <t>013-78510-00</t>
  </si>
  <si>
    <t>013-46380-00</t>
  </si>
  <si>
    <t>Old Bridge Municipal Utilities Authority</t>
  </si>
  <si>
    <t>023-ULM1I-00</t>
  </si>
  <si>
    <t>Weymouth, Township of</t>
  </si>
  <si>
    <t>001-80330-00</t>
  </si>
  <si>
    <t>001-75620-00</t>
  </si>
  <si>
    <t>001-59640-00</t>
  </si>
  <si>
    <t>Northfield,  City of</t>
  </si>
  <si>
    <t>001-52950-00</t>
  </si>
  <si>
    <t>041-77270-00</t>
  </si>
  <si>
    <t>025-37560-00</t>
  </si>
  <si>
    <t>025-U9JNS-00</t>
  </si>
  <si>
    <t>025-00730-00</t>
  </si>
  <si>
    <t>Hammonton, Township of</t>
  </si>
  <si>
    <t>001-29430-00</t>
  </si>
  <si>
    <t>023-69810-00</t>
  </si>
  <si>
    <t>013-75815-00</t>
  </si>
  <si>
    <t>023-82000-00</t>
  </si>
  <si>
    <t>023-U04NE-00</t>
  </si>
  <si>
    <t>039-US082-00</t>
  </si>
  <si>
    <t>023-47280-00</t>
  </si>
  <si>
    <t>023-UNKHS-00</t>
  </si>
  <si>
    <t>023-46620-00</t>
  </si>
  <si>
    <t>023-59280-00</t>
  </si>
  <si>
    <t>023-52560-00</t>
  </si>
  <si>
    <t>023-UYBU9-00</t>
  </si>
  <si>
    <t>013-64590-00</t>
  </si>
  <si>
    <t>023-45690-00</t>
  </si>
  <si>
    <t>023-10750-00</t>
  </si>
  <si>
    <t>013-34450-00</t>
  </si>
  <si>
    <t>East Brunswick Twp</t>
  </si>
  <si>
    <t>023-18970-00</t>
  </si>
  <si>
    <t>013-26610-00</t>
  </si>
  <si>
    <t>015-17710-00</t>
  </si>
  <si>
    <t>007-26790-00</t>
  </si>
  <si>
    <t>035-99035-00</t>
  </si>
  <si>
    <t>007-26760-00</t>
  </si>
  <si>
    <t>025-080E2-00</t>
  </si>
  <si>
    <t>025-UMSVS-00</t>
  </si>
  <si>
    <t>015-99015-00</t>
  </si>
  <si>
    <t>013-11200-00</t>
  </si>
  <si>
    <t>000-U8PV5-00</t>
  </si>
  <si>
    <t>013-IV63B-00</t>
  </si>
  <si>
    <t>015-28185-00</t>
  </si>
  <si>
    <t>039-UOCHD-00</t>
  </si>
  <si>
    <t>013-22385-00</t>
  </si>
  <si>
    <t>007-28770-00</t>
  </si>
  <si>
    <t>023-30840-00</t>
  </si>
  <si>
    <t>023-31470-00</t>
  </si>
  <si>
    <t>007-2880-00</t>
  </si>
  <si>
    <t>023-34890-00</t>
  </si>
  <si>
    <t>015-47250-00</t>
  </si>
  <si>
    <t>023-45900-00</t>
  </si>
  <si>
    <t>023-51210-00</t>
  </si>
  <si>
    <t>007-04750-00</t>
  </si>
  <si>
    <t>000-UCT2E-00</t>
  </si>
  <si>
    <t>Old Bridge, Board of Fire Commissioners, Fire District 2</t>
  </si>
  <si>
    <t>023-UTGVI-00</t>
  </si>
  <si>
    <t>041-33930-00</t>
  </si>
  <si>
    <t>041-43320-00</t>
  </si>
  <si>
    <t>041-29820-00</t>
  </si>
  <si>
    <t>041-41490-00</t>
  </si>
  <si>
    <t>035-ULCTY-00</t>
  </si>
  <si>
    <t>013-52620-00</t>
  </si>
  <si>
    <t>015-26340-00</t>
  </si>
  <si>
    <t>019-24870-00</t>
  </si>
  <si>
    <t>015-21060-00</t>
  </si>
  <si>
    <t>013-43800-00</t>
  </si>
  <si>
    <t>023-99023-00</t>
  </si>
  <si>
    <t>000-U7V60-00</t>
  </si>
  <si>
    <t>015-41160-00</t>
  </si>
  <si>
    <t>021-UJJIU-00</t>
  </si>
  <si>
    <t>825137651</t>
  </si>
  <si>
    <t>025-0956D-00</t>
  </si>
  <si>
    <t>023-68550-00</t>
  </si>
  <si>
    <t>023-59101-00</t>
  </si>
  <si>
    <t>041-77300-00</t>
  </si>
  <si>
    <t>041-59820-00</t>
  </si>
  <si>
    <t>041-55530-00</t>
  </si>
  <si>
    <t>035-U1ZOR-00</t>
  </si>
  <si>
    <t>035-46590-00</t>
  </si>
  <si>
    <t>035-04450-00</t>
  </si>
  <si>
    <t>035-31890-00</t>
  </si>
  <si>
    <t>000-U5JWB-00</t>
  </si>
  <si>
    <t>000-U4WMN-00</t>
  </si>
  <si>
    <t>035-24900-00</t>
  </si>
  <si>
    <t>025-UMB48-00</t>
  </si>
  <si>
    <t>007-02200-00</t>
  </si>
  <si>
    <t>025-19840-00</t>
  </si>
  <si>
    <t>025-UJWM8-00</t>
  </si>
  <si>
    <t>035-U9YSC-00</t>
  </si>
  <si>
    <t>023-65235-00</t>
  </si>
  <si>
    <t>023-68790-00</t>
  </si>
  <si>
    <t>Milltown Rescue Squad Inc</t>
  </si>
  <si>
    <t>023-69390-00</t>
  </si>
  <si>
    <t>041-24960-00</t>
  </si>
  <si>
    <t>007-39210-00</t>
  </si>
  <si>
    <t>041-06160-00</t>
  </si>
  <si>
    <t>025-21570-00</t>
  </si>
  <si>
    <t>025-UEEVN-00</t>
  </si>
  <si>
    <t>025-01960-00</t>
  </si>
  <si>
    <t>025-76460-00</t>
  </si>
  <si>
    <t>019-74420-00</t>
  </si>
  <si>
    <t>019-00550-00</t>
  </si>
  <si>
    <t>019-18820-00</t>
  </si>
  <si>
    <t>019-32460-00</t>
  </si>
  <si>
    <t>041-28710-00</t>
  </si>
  <si>
    <t>025-41310-00</t>
  </si>
  <si>
    <t>019-37065-00</t>
  </si>
  <si>
    <t>019-72510-00</t>
  </si>
  <si>
    <t>025-74540-00</t>
  </si>
  <si>
    <t>025-44520-00</t>
  </si>
  <si>
    <t>025-49890-00</t>
  </si>
  <si>
    <t>019-62250-00</t>
  </si>
  <si>
    <t>019-78230-00</t>
  </si>
  <si>
    <t>019-39660-00</t>
  </si>
  <si>
    <t>019-17170-00</t>
  </si>
  <si>
    <t>019-13750-00</t>
  </si>
  <si>
    <t>000-U62UC-00</t>
  </si>
  <si>
    <t>025-25230-00</t>
  </si>
  <si>
    <t>025-46560-00</t>
  </si>
  <si>
    <t xml:space="preserve">Neptune City, Borough of </t>
  </si>
  <si>
    <t>025-49920-00</t>
  </si>
  <si>
    <t>025-47130-00</t>
  </si>
  <si>
    <t>025-16660-00</t>
  </si>
  <si>
    <t xml:space="preserve">Parsippany - Troy Hills, Township of </t>
  </si>
  <si>
    <t>027-56460-00</t>
  </si>
  <si>
    <t>027-48480-00</t>
  </si>
  <si>
    <t>027-49080-00</t>
  </si>
  <si>
    <t>027-64980-00</t>
  </si>
  <si>
    <t>027-61890-00</t>
  </si>
  <si>
    <t>027-12100-00</t>
  </si>
  <si>
    <t>027-06610-00</t>
  </si>
  <si>
    <t>001-21870-00</t>
  </si>
  <si>
    <t>035-68460-00</t>
  </si>
  <si>
    <t>035-U45EY-00</t>
  </si>
  <si>
    <t>035-76940-00</t>
  </si>
  <si>
    <t>035-22890-00</t>
  </si>
  <si>
    <t>035-05590-00</t>
  </si>
  <si>
    <t>035-27510-00</t>
  </si>
  <si>
    <t>027-URSEM-00</t>
  </si>
  <si>
    <t>013-40890-00</t>
  </si>
  <si>
    <t>South Orange Village, Township of</t>
  </si>
  <si>
    <t>013-69255-00</t>
  </si>
  <si>
    <t>023-58200-00</t>
  </si>
  <si>
    <t>005-55800-00</t>
  </si>
  <si>
    <t>Bloomfield, Township of</t>
  </si>
  <si>
    <t>013-06260-00</t>
  </si>
  <si>
    <t>007-10000-00</t>
  </si>
  <si>
    <t>027-45350-00</t>
  </si>
  <si>
    <t>027-45330-00</t>
  </si>
  <si>
    <t>027-34980-00</t>
  </si>
  <si>
    <t>027-48690-00</t>
  </si>
  <si>
    <t>027-29700-00</t>
  </si>
  <si>
    <t>025-14560-00</t>
  </si>
  <si>
    <t>001-20290-00</t>
  </si>
  <si>
    <t>001-41370-00</t>
  </si>
  <si>
    <t>001-43890-00</t>
  </si>
  <si>
    <t>001-4053-00</t>
  </si>
  <si>
    <t>001-29280-00</t>
  </si>
  <si>
    <t>001-20320-00</t>
  </si>
  <si>
    <t>001-25560-00</t>
  </si>
  <si>
    <t>001-07810-00</t>
  </si>
  <si>
    <t>029-03940-00</t>
  </si>
  <si>
    <t>001-02080-00</t>
  </si>
  <si>
    <t>027-09040-00</t>
  </si>
  <si>
    <t>027-12130-00</t>
  </si>
  <si>
    <t>027-12610-00</t>
  </si>
  <si>
    <t>025-UASI4-00</t>
  </si>
  <si>
    <t>025-65130-00</t>
  </si>
  <si>
    <t xml:space="preserve">Holmdel Township </t>
  </si>
  <si>
    <t>025-32640-00</t>
  </si>
  <si>
    <t>025-34200-00</t>
  </si>
  <si>
    <t>027-29550-00</t>
  </si>
  <si>
    <t>027-02DF3-00</t>
  </si>
  <si>
    <t>027-03B1F-00</t>
  </si>
  <si>
    <t>027-012D3-00</t>
  </si>
  <si>
    <t>027-80390-00</t>
  </si>
  <si>
    <t>005-57480-00</t>
  </si>
  <si>
    <t>005-57510-00</t>
  </si>
  <si>
    <t>005-51510-00</t>
  </si>
  <si>
    <t>001-U4QO1-00</t>
  </si>
  <si>
    <t>001-68430-00</t>
  </si>
  <si>
    <t>001-07661-00</t>
  </si>
  <si>
    <t>025-22950-00</t>
  </si>
  <si>
    <t>037-69690-00</t>
  </si>
  <si>
    <t>035-UQNS4-00</t>
  </si>
  <si>
    <t>035-68730-00</t>
  </si>
  <si>
    <t>035-U4NFZ-00</t>
  </si>
  <si>
    <t>035-0902F-00</t>
  </si>
  <si>
    <t>021-29310-00</t>
  </si>
  <si>
    <t>035-57300-00</t>
  </si>
  <si>
    <t>000-ULTFW-00</t>
  </si>
  <si>
    <t>021-80240-00</t>
  </si>
  <si>
    <t>035-UB2P2-00</t>
  </si>
  <si>
    <t>011-16900-00</t>
  </si>
  <si>
    <t>035-05560-00</t>
  </si>
  <si>
    <t>035-07180-00</t>
  </si>
  <si>
    <t>035-43620-00</t>
  </si>
  <si>
    <t>035-77600-00</t>
  </si>
  <si>
    <t>035-07A5E-00</t>
  </si>
  <si>
    <t>029-03B17-00</t>
  </si>
  <si>
    <t>037-UH3HS-00</t>
  </si>
  <si>
    <t>005-47880-00</t>
  </si>
  <si>
    <t>005-USRY3-00</t>
  </si>
  <si>
    <t>005-81440-00</t>
  </si>
  <si>
    <t>005-0440A-00</t>
  </si>
  <si>
    <t>021-39510-00</t>
  </si>
  <si>
    <t>027-40290-00</t>
  </si>
  <si>
    <t>029-41250-00</t>
  </si>
  <si>
    <t>029-43140-00</t>
  </si>
  <si>
    <t>005-43290-00</t>
  </si>
  <si>
    <t>029-43380-00</t>
  </si>
  <si>
    <t>Ocean Grove Camp Association</t>
  </si>
  <si>
    <t>021-33180-00</t>
  </si>
  <si>
    <t>027-18070-00</t>
  </si>
  <si>
    <t>023-18490-00</t>
  </si>
  <si>
    <t>005-18790-00</t>
  </si>
  <si>
    <t>027-012CE-00</t>
  </si>
  <si>
    <t>005-20080-00</t>
  </si>
  <si>
    <t>023-20230-00</t>
  </si>
  <si>
    <t>001-UZU1C-00</t>
  </si>
  <si>
    <t>013-21840-00</t>
  </si>
  <si>
    <t>005-22110-00</t>
  </si>
  <si>
    <t>Monmouth Beach Fire Department</t>
  </si>
  <si>
    <t>Monmouth</t>
  </si>
  <si>
    <t>Monmouth Beach Cultural Center</t>
  </si>
  <si>
    <t>Monmouth Beach First Aid</t>
  </si>
  <si>
    <t xml:space="preserve">No </t>
  </si>
  <si>
    <t xml:space="preserve">Yes </t>
  </si>
  <si>
    <t>021-22260-00</t>
  </si>
  <si>
    <t>005-23850-00</t>
  </si>
  <si>
    <t>027-23910-00</t>
  </si>
  <si>
    <t>Swedesboro, Borough of</t>
  </si>
  <si>
    <t>015-71850-00</t>
  </si>
  <si>
    <t>015-24840-00</t>
  </si>
  <si>
    <t>025-25200-00</t>
  </si>
  <si>
    <t>019-25350-00</t>
  </si>
  <si>
    <t>005-29010-00</t>
  </si>
  <si>
    <t>019-29460-00</t>
  </si>
  <si>
    <t>041-30090-00</t>
  </si>
  <si>
    <t>029-30390-00</t>
  </si>
  <si>
    <t>019-31320-00</t>
  </si>
  <si>
    <t>041-336060-00</t>
  </si>
  <si>
    <t>021-33150-00</t>
  </si>
  <si>
    <t>019-09919-00</t>
  </si>
  <si>
    <t>019-USCRK-00</t>
  </si>
  <si>
    <t>019-UQCJK-00</t>
  </si>
  <si>
    <t>029-34530-00</t>
  </si>
  <si>
    <t>029-34680-00</t>
  </si>
  <si>
    <t>029-UMBTQ-00</t>
  </si>
  <si>
    <t>029-UWLUN-00</t>
  </si>
  <si>
    <t>001-UOSK5-00</t>
  </si>
  <si>
    <t>001-99001-00</t>
  </si>
  <si>
    <t>001-UVNJ8-00</t>
  </si>
  <si>
    <t xml:space="preserve">Avon By The Sea, Borough of </t>
  </si>
  <si>
    <t>025-02410-00</t>
  </si>
  <si>
    <t>019-38610-00</t>
  </si>
  <si>
    <t>029-39390-00</t>
  </si>
  <si>
    <t>027-64050-00</t>
  </si>
  <si>
    <t>021-63840-00</t>
  </si>
  <si>
    <t>005-63510-00</t>
  </si>
  <si>
    <t>023-00029-00</t>
  </si>
  <si>
    <t>019-UQX1V-00</t>
  </si>
  <si>
    <t>019-61920-00</t>
  </si>
  <si>
    <t>029-59790-00</t>
  </si>
  <si>
    <t>029-59880-00</t>
  </si>
  <si>
    <t>007-58770-00</t>
  </si>
  <si>
    <t>027-UFL1V-00</t>
  </si>
  <si>
    <t>021-57600-00</t>
  </si>
  <si>
    <t>023-UGI0U-00</t>
  </si>
  <si>
    <t>023-U6BMY-00</t>
  </si>
  <si>
    <t>023-U8YSC-00</t>
  </si>
  <si>
    <t>Board of Fire Commissioners District 3</t>
  </si>
  <si>
    <t>005-45210-00</t>
  </si>
  <si>
    <t>021-99021-00</t>
  </si>
  <si>
    <t>019-46260-00</t>
  </si>
  <si>
    <t>027-99027-00</t>
  </si>
  <si>
    <t>029-UHOUX-00</t>
  </si>
  <si>
    <t>003-UIAC0-00</t>
  </si>
  <si>
    <t>019-0848A-00</t>
  </si>
  <si>
    <t>029-UA9VN-00</t>
  </si>
  <si>
    <t>0274-48090-00</t>
  </si>
  <si>
    <t>027-US8MY-00</t>
  </si>
  <si>
    <t>027-48210-00</t>
  </si>
  <si>
    <t>005-48900-00</t>
  </si>
  <si>
    <t>Project Paul</t>
  </si>
  <si>
    <t>021-UD4ZL-00</t>
  </si>
  <si>
    <t>035-UD68N-00</t>
  </si>
  <si>
    <t>029-74210-00</t>
  </si>
  <si>
    <t>019-13720-00</t>
  </si>
  <si>
    <t>021-74000-00</t>
  </si>
  <si>
    <t>005-69990-00</t>
  </si>
  <si>
    <t>029-70320-00</t>
  </si>
  <si>
    <t>025-70110-00</t>
  </si>
  <si>
    <t>001-UCKG9-00</t>
  </si>
  <si>
    <t>001-U43FX-00</t>
  </si>
  <si>
    <t xml:space="preserve">025-UEBHG-00 </t>
  </si>
  <si>
    <t>Tinton Falls Board of Fire Commissioners District 2</t>
  </si>
  <si>
    <t>025-UJ5AD-00</t>
  </si>
  <si>
    <t>Multiple RPAs Received</t>
  </si>
  <si>
    <t>Caring, Inc</t>
  </si>
  <si>
    <t>804950012</t>
  </si>
  <si>
    <t>Chesterfield, Township of</t>
  </si>
  <si>
    <t>610942745</t>
  </si>
  <si>
    <t>Hightstown, Borough of</t>
  </si>
  <si>
    <t>Princeton, Borough of</t>
  </si>
  <si>
    <t>050458785</t>
  </si>
  <si>
    <t>Bloomingdale Board of Education</t>
  </si>
  <si>
    <t>100899467</t>
  </si>
  <si>
    <t>Wantage Township</t>
  </si>
  <si>
    <t>965957553</t>
  </si>
  <si>
    <t>Sussex, Borough of</t>
  </si>
  <si>
    <t>836084897</t>
  </si>
  <si>
    <t>Mount Laurel Municipal Utilities Authority</t>
  </si>
  <si>
    <t>158573683</t>
  </si>
  <si>
    <t>Raritan Valley Regional Emergency Medical Services</t>
  </si>
  <si>
    <t>053677237</t>
  </si>
  <si>
    <t>Florham Park Borough Public Schools</t>
  </si>
  <si>
    <t>127188696</t>
  </si>
  <si>
    <t>Rainbow Lakes Volunteer Fire Company</t>
  </si>
  <si>
    <t>136302556</t>
  </si>
  <si>
    <t>Springpoint Senior Living at Meadow Lakes</t>
  </si>
  <si>
    <t>071449748</t>
  </si>
  <si>
    <t>Winslow Township</t>
  </si>
  <si>
    <t>966825275</t>
  </si>
  <si>
    <t>Maurice River Township</t>
  </si>
  <si>
    <t>050685049</t>
  </si>
  <si>
    <t>050195791</t>
  </si>
  <si>
    <t>Lumberton Township</t>
  </si>
  <si>
    <t>506322298</t>
  </si>
  <si>
    <t>Berlin, Township of</t>
  </si>
  <si>
    <t>053956140</t>
  </si>
  <si>
    <t>Roosevelt, Borough of</t>
  </si>
  <si>
    <t>Denville Township</t>
  </si>
  <si>
    <t xml:space="preserve">Collingswood, Borough of </t>
  </si>
  <si>
    <t>049764335</t>
  </si>
  <si>
    <t>Mount Ephraim Borough</t>
  </si>
  <si>
    <t>051904993</t>
  </si>
  <si>
    <t>Pennsauken, Township of</t>
  </si>
  <si>
    <t>054537345</t>
  </si>
  <si>
    <t xml:space="preserve">Gibbsboro, Borough of </t>
  </si>
  <si>
    <t>206463071</t>
  </si>
  <si>
    <t>Bound Brook Borough</t>
  </si>
  <si>
    <t>NO</t>
  </si>
  <si>
    <t>000885166</t>
  </si>
  <si>
    <t>Raritan Borough</t>
  </si>
  <si>
    <t>094237989</t>
  </si>
  <si>
    <t>Alloway Township</t>
  </si>
  <si>
    <t>Ocean County</t>
  </si>
  <si>
    <t>Salem City</t>
  </si>
  <si>
    <t>Harrison, Township of</t>
  </si>
  <si>
    <t>014236673</t>
  </si>
  <si>
    <t>Rocky Hill Borough</t>
  </si>
  <si>
    <t>Egg Harbor Township</t>
  </si>
  <si>
    <t>North Wildwood, City of</t>
  </si>
  <si>
    <t>Avalon, Borough of</t>
  </si>
  <si>
    <t>Lower, Township of</t>
  </si>
  <si>
    <t>004227872</t>
  </si>
  <si>
    <t>Upper, Township of</t>
  </si>
  <si>
    <t>960234532</t>
  </si>
  <si>
    <t>Cape May, City of</t>
  </si>
  <si>
    <t>030313399</t>
  </si>
  <si>
    <t>Cape May County</t>
  </si>
  <si>
    <t>075525899</t>
  </si>
  <si>
    <t xml:space="preserve">Ocean City, City of </t>
  </si>
  <si>
    <t>030312524</t>
  </si>
  <si>
    <t>Stone Harbor, Borough of</t>
  </si>
  <si>
    <t>054013180</t>
  </si>
  <si>
    <t>Wildwood, City of</t>
  </si>
  <si>
    <t>054195508</t>
  </si>
  <si>
    <t>Wildwood Crest, Borough of</t>
  </si>
  <si>
    <t>030313696</t>
  </si>
  <si>
    <t>MiddleTownship</t>
  </si>
  <si>
    <t>141881933</t>
  </si>
  <si>
    <t>Sea Isle, City of</t>
  </si>
  <si>
    <t>053945127</t>
  </si>
  <si>
    <t>Barnegat Bay Decoy &amp; Baymen's Museum</t>
  </si>
  <si>
    <t>Waterfront Commission of NY Harbor</t>
  </si>
  <si>
    <t>000-UQ78X-00</t>
  </si>
  <si>
    <t>055011548</t>
  </si>
  <si>
    <t>Ocean County Community Services, Inc.</t>
  </si>
  <si>
    <t>Brick Housing Authority</t>
  </si>
  <si>
    <t>Brick Township Board of Education</t>
  </si>
  <si>
    <t>Lavallette Borough</t>
  </si>
  <si>
    <t>Lakewood Civilian Safety Watch LCSW</t>
  </si>
  <si>
    <t>014864912</t>
  </si>
  <si>
    <t>ARC of Sussex County</t>
  </si>
  <si>
    <t>080624737</t>
  </si>
  <si>
    <t>Alpine Board of Education</t>
  </si>
  <si>
    <t>100603448</t>
  </si>
  <si>
    <t>Bamber Lake Fire Company</t>
  </si>
  <si>
    <t>136606212</t>
  </si>
  <si>
    <t>Beach Haven Volunteer Fire Company</t>
  </si>
  <si>
    <t>144162463</t>
  </si>
  <si>
    <t>Burlington, City of</t>
  </si>
  <si>
    <t>081867558</t>
  </si>
  <si>
    <t>Downe Township Municipal Gov</t>
  </si>
  <si>
    <t>Downe Township Board of Fire Commissioners Fire Dist 1</t>
  </si>
  <si>
    <t>Downe Township Board of Fire Commissioners Fire Dist 2</t>
  </si>
  <si>
    <t>788691827</t>
  </si>
  <si>
    <t>East Dover Volunteer Fire Co 4</t>
  </si>
  <si>
    <t>874296304</t>
  </si>
  <si>
    <t>Edgewater Park Township</t>
  </si>
  <si>
    <t>Essex County Sheriff - EC OEM</t>
  </si>
  <si>
    <t>609704671</t>
  </si>
  <si>
    <t>Keansburg Board of Education</t>
  </si>
  <si>
    <t>091402347</t>
  </si>
  <si>
    <t>Avenel Fire Dept Dist #5</t>
  </si>
  <si>
    <t>Avenel First Aid</t>
  </si>
  <si>
    <t>Colonia Fire Dept</t>
  </si>
  <si>
    <t>Colonia First Aid</t>
  </si>
  <si>
    <t>Fords Fire Dept</t>
  </si>
  <si>
    <t>Hopelawn Fire Dept</t>
  </si>
  <si>
    <t>MIddlesex</t>
  </si>
  <si>
    <t>Iselin Fire Dept Dist 9</t>
  </si>
  <si>
    <t>Iselin Fire Dept Dist 11</t>
  </si>
  <si>
    <t>JFK Lifestyle</t>
  </si>
  <si>
    <t>794325712</t>
  </si>
  <si>
    <t>JFK Healthshare-Mediplex Surgery Center</t>
  </si>
  <si>
    <t>061848768</t>
  </si>
  <si>
    <t>Keasbey Fire Dept Dist #4</t>
  </si>
  <si>
    <t>Middlesex Board of Education</t>
  </si>
  <si>
    <t>078265089</t>
  </si>
  <si>
    <t>NJ Veterans Memorial Home at Menlo Park</t>
  </si>
  <si>
    <t>806348710</t>
  </si>
  <si>
    <t>Piscataway Board of Fire Commissioners District #2</t>
  </si>
  <si>
    <t>Port Reading Fire Dist #2</t>
  </si>
  <si>
    <t>Port Reading First Aid</t>
  </si>
  <si>
    <t>Whispering Knoll Assisted Living</t>
  </si>
  <si>
    <t>Woodbridge Fire Dist #1</t>
  </si>
  <si>
    <t>Woodbridge Township EMS</t>
  </si>
  <si>
    <t>Cape Counseling Services</t>
  </si>
  <si>
    <t>009-071C-00</t>
  </si>
  <si>
    <t>The Arc of Bergen &amp; Passaic Counties</t>
  </si>
  <si>
    <t>Eatontown Sewerage Authority</t>
  </si>
  <si>
    <t>Neptune Township Board of Education</t>
  </si>
  <si>
    <t>081981276</t>
  </si>
  <si>
    <t>Holmdel Township Board of Education</t>
  </si>
  <si>
    <t>798975319</t>
  </si>
  <si>
    <t>Camden City Board of Education</t>
  </si>
  <si>
    <t>Camden, County of</t>
  </si>
  <si>
    <t>075534412</t>
  </si>
  <si>
    <t>West Cape May, Borough of</t>
  </si>
  <si>
    <t>961690406</t>
  </si>
  <si>
    <t>Muhlenberg Regional Medical Center</t>
  </si>
  <si>
    <t>077539708</t>
  </si>
  <si>
    <t>JFK Hartwyck at Cedar Brook</t>
  </si>
  <si>
    <t>065823312</t>
  </si>
  <si>
    <t>021-UO7RK-00</t>
  </si>
  <si>
    <t>029-UWF12-00</t>
  </si>
  <si>
    <t>Twin Rivers Community Trust &amp; Homeowners Association</t>
  </si>
  <si>
    <t>021-U8GI0-00</t>
  </si>
  <si>
    <t>021-09BCB-00</t>
  </si>
  <si>
    <t>Rider University</t>
  </si>
  <si>
    <t>025-U3M6I-00</t>
  </si>
  <si>
    <t>021-010C2-00</t>
  </si>
  <si>
    <t>025-UFHOR-00</t>
  </si>
  <si>
    <t>025-UUEV6-00</t>
  </si>
  <si>
    <t>025-UV4AY-00</t>
  </si>
  <si>
    <t>000-UQTTX-00</t>
  </si>
  <si>
    <t>029-07EB4-00</t>
  </si>
  <si>
    <t>029-UGX6X-00</t>
  </si>
  <si>
    <t>029-UG7RM-00</t>
  </si>
  <si>
    <t>029-UBB64-00</t>
  </si>
  <si>
    <t>002042138</t>
  </si>
  <si>
    <t>Bridgeton, City of</t>
  </si>
  <si>
    <t>Carneys Point Township</t>
  </si>
  <si>
    <t>Cumberland, County of</t>
  </si>
  <si>
    <t>030346899</t>
  </si>
  <si>
    <t>Cumberland County Prosecutor's Office</t>
  </si>
  <si>
    <t>Elsinboro, Township of</t>
  </si>
  <si>
    <t>Fairfield Township</t>
  </si>
  <si>
    <t>013598776</t>
  </si>
  <si>
    <t>Lower Alloways Creek Twp</t>
  </si>
  <si>
    <t>Millville Housing Authority</t>
  </si>
  <si>
    <t>Penns Grove, Borough of</t>
  </si>
  <si>
    <t>Pennsville Township</t>
  </si>
  <si>
    <t>Salem, County of</t>
  </si>
  <si>
    <t>Upper Pittsgrove</t>
  </si>
  <si>
    <t>Vineland Public Schools</t>
  </si>
  <si>
    <t>607375896</t>
  </si>
  <si>
    <t>Woodstown Borough</t>
  </si>
  <si>
    <t>Goshen Volunteer Fire Co</t>
  </si>
  <si>
    <t>142540496</t>
  </si>
  <si>
    <t>Gloucester Township Fire District #2</t>
  </si>
  <si>
    <t>956506026</t>
  </si>
  <si>
    <t>Green, Township of</t>
  </si>
  <si>
    <t>Haddon, Township of</t>
  </si>
  <si>
    <t>140239570</t>
  </si>
  <si>
    <t>Haddon Township Board of Fire Commissioners Fire District No. 1</t>
  </si>
  <si>
    <t>1011807914</t>
  </si>
  <si>
    <t>078986929</t>
  </si>
  <si>
    <t>Hamilton Twp Fire District #3</t>
  </si>
  <si>
    <t>969993088</t>
  </si>
  <si>
    <t>Hamilton Twp Fire District 6</t>
  </si>
  <si>
    <t>002291567</t>
  </si>
  <si>
    <t>North Hanover Twp</t>
  </si>
  <si>
    <t>221761808</t>
  </si>
  <si>
    <t xml:space="preserve">Hardyston Township </t>
  </si>
  <si>
    <t xml:space="preserve">Hopatcong Borough </t>
  </si>
  <si>
    <t xml:space="preserve">Howell Township </t>
  </si>
  <si>
    <t>Parking Authority of Jersey City</t>
  </si>
  <si>
    <t>096212261</t>
  </si>
  <si>
    <t>Manchester First Aid &amp; Rescue Squad</t>
  </si>
  <si>
    <t>809876469</t>
  </si>
  <si>
    <t>025-UYWIU-00</t>
  </si>
  <si>
    <t>Mantua Township Fire District</t>
  </si>
  <si>
    <t>014767982</t>
  </si>
  <si>
    <t>Mount Tabor Vol. Fire Dept - Parsippany - Troy Hills Fire District #1</t>
  </si>
  <si>
    <t>624927781</t>
  </si>
  <si>
    <t>Piscataway Township</t>
  </si>
  <si>
    <t>Piscataway Fire District 1</t>
  </si>
  <si>
    <t>020718146</t>
  </si>
  <si>
    <t>Roxbury Township Police Department</t>
  </si>
  <si>
    <t xml:space="preserve">Sandyston Township </t>
  </si>
  <si>
    <t>Somerdale, Borough of</t>
  </si>
  <si>
    <t>053248639</t>
  </si>
  <si>
    <t>Surf City, Borough of</t>
  </si>
  <si>
    <t>009854931</t>
  </si>
  <si>
    <t>East Windsor, Township of</t>
  </si>
  <si>
    <t>Bass River Township Board of Education</t>
  </si>
  <si>
    <t>787384619</t>
  </si>
  <si>
    <t>Asbury Tower</t>
  </si>
  <si>
    <t>967390282</t>
  </si>
  <si>
    <t>Hackensack Housing Authority</t>
  </si>
  <si>
    <t>Bergen County High School of Jewish Studies</t>
  </si>
  <si>
    <t>Carlstadt Public School District</t>
  </si>
  <si>
    <t>700051473</t>
  </si>
  <si>
    <t>Center for Family Support, NJ Inc</t>
  </si>
  <si>
    <t>Volunteer Center of Bergen County</t>
  </si>
  <si>
    <t>190825935</t>
  </si>
  <si>
    <t>Cinnaminson Sewerage Authority</t>
  </si>
  <si>
    <t>Cinnaminson Township Board of Education</t>
  </si>
  <si>
    <t>011044799</t>
  </si>
  <si>
    <t>Church of Our Lady of Good Counsel</t>
  </si>
  <si>
    <t>962245973</t>
  </si>
  <si>
    <t>Jefferson Child Care and Education Center</t>
  </si>
  <si>
    <t>193700432</t>
  </si>
  <si>
    <t>Jersey Battered Women's Service, Inc</t>
  </si>
  <si>
    <t>122144272</t>
  </si>
  <si>
    <t>Department for Persons with Disabilities</t>
  </si>
  <si>
    <t>803084086</t>
  </si>
  <si>
    <t>Hatzolah EMS</t>
  </si>
  <si>
    <t>190895610</t>
  </si>
  <si>
    <t>Beach Haven Sewerage Authority</t>
  </si>
  <si>
    <t>144394681</t>
  </si>
  <si>
    <t>Berkeley Township Municipal Utilities Authority</t>
  </si>
  <si>
    <t>837867670</t>
  </si>
  <si>
    <t>Brick Township Municipal Utilities Authority</t>
  </si>
  <si>
    <t>094238912</t>
  </si>
  <si>
    <t>Bridgewater-Raritan Regional School District</t>
  </si>
  <si>
    <t>075142901</t>
  </si>
  <si>
    <t>Yeshiva Ohr Simcha of Englewood</t>
  </si>
  <si>
    <t>18 Mile Emergency Services</t>
  </si>
  <si>
    <t>Visiting Nurse of Northern NJ</t>
  </si>
  <si>
    <t>037175544</t>
  </si>
  <si>
    <t>West Morris Regional High School District</t>
  </si>
  <si>
    <t>050254572</t>
  </si>
  <si>
    <t>Winslow Emergency Medical Services Foundation, Inc</t>
  </si>
  <si>
    <t>124285680</t>
  </si>
  <si>
    <t>Special Homes of NJ, Inc</t>
  </si>
  <si>
    <t>791686223</t>
  </si>
  <si>
    <t>Shore Rehabilitation Institute</t>
  </si>
  <si>
    <t>837211903</t>
  </si>
  <si>
    <t>Secaucus Board of Education</t>
  </si>
  <si>
    <t>933479503</t>
  </si>
  <si>
    <t>Seton Hall University</t>
  </si>
  <si>
    <t>079324315</t>
  </si>
  <si>
    <t>Rutherford Schools</t>
  </si>
  <si>
    <t>098215395</t>
  </si>
  <si>
    <t>Riverview Medical Center - Meridian Hospital Corp</t>
  </si>
  <si>
    <t>Randolph Township Board of Education</t>
  </si>
  <si>
    <t>Partnerships for People, Inc</t>
  </si>
  <si>
    <t>154282917</t>
  </si>
  <si>
    <t>Springpoint at Crestwood Inc, Crestwood Manor</t>
  </si>
  <si>
    <t>Ocean Township Board of Education</t>
  </si>
  <si>
    <t>Ocean City Board of Education</t>
  </si>
  <si>
    <t>100906288</t>
  </si>
  <si>
    <t>Ocean City Housing Authority</t>
  </si>
  <si>
    <t>960919223</t>
  </si>
  <si>
    <t>Ocean County Historical Society, Inc</t>
  </si>
  <si>
    <t>081988867</t>
  </si>
  <si>
    <t>Ocean Medical Center</t>
  </si>
  <si>
    <t>College of New Jersey, The</t>
  </si>
  <si>
    <t>80804015</t>
  </si>
  <si>
    <t>Montgomery EMS</t>
  </si>
  <si>
    <t>785933594</t>
  </si>
  <si>
    <t>100052760</t>
  </si>
  <si>
    <t>Meadowlands Hospital Medical Center</t>
  </si>
  <si>
    <t>Medford Lakes Board of Education</t>
  </si>
  <si>
    <t>100052778</t>
  </si>
  <si>
    <t>Meridian Nursing and Rehabilitation at Brick</t>
  </si>
  <si>
    <t>Lower Township MUA</t>
  </si>
  <si>
    <t>029890134</t>
  </si>
  <si>
    <t>Lower Township Rescue Squad, Inc</t>
  </si>
  <si>
    <t>Little Falls Board of Education</t>
  </si>
  <si>
    <t>826811734</t>
  </si>
  <si>
    <t>084044551</t>
  </si>
  <si>
    <t>Laurel Manor</t>
  </si>
  <si>
    <t>078680090</t>
  </si>
  <si>
    <t>Lanoka Harbor EMS Inc</t>
  </si>
  <si>
    <t>094249224</t>
  </si>
  <si>
    <t>Lacey Township First Aid Squad</t>
  </si>
  <si>
    <t>808708986</t>
  </si>
  <si>
    <t>003-03B54-00</t>
  </si>
  <si>
    <t>Bordentown Sewerage Authority</t>
  </si>
  <si>
    <t>624542080</t>
  </si>
  <si>
    <t>Burlington Board of Education, City of</t>
  </si>
  <si>
    <t>050491356</t>
  </si>
  <si>
    <t>001-04DDA-00</t>
  </si>
  <si>
    <t>007-UQ6T4-00</t>
  </si>
  <si>
    <t>Collingswood Board of Education</t>
  </si>
  <si>
    <t>075508291</t>
  </si>
  <si>
    <t>007-UNIXO-00</t>
  </si>
  <si>
    <t>Delaware River Port Authority/Port Authority Transit Co</t>
  </si>
  <si>
    <t>047331624</t>
  </si>
  <si>
    <t>005-03891-00</t>
  </si>
  <si>
    <t>Endeavor Emergency Squad</t>
  </si>
  <si>
    <t>026860304</t>
  </si>
  <si>
    <t>007-U7XIA-00</t>
  </si>
  <si>
    <t>Berlin Inter Community Ambulance</t>
  </si>
  <si>
    <t>966946329</t>
  </si>
  <si>
    <t>009-UTGO9-00</t>
  </si>
  <si>
    <t>Cape Regional Medical Center</t>
  </si>
  <si>
    <t>135235778</t>
  </si>
  <si>
    <t>013-09311-00</t>
  </si>
  <si>
    <t>Belleville Board of Education</t>
  </si>
  <si>
    <t>104923602</t>
  </si>
  <si>
    <t>017-UZJP7-00</t>
  </si>
  <si>
    <t>Jersey City Municipal Utilities Authority</t>
  </si>
  <si>
    <t>021-UGIBS-00</t>
  </si>
  <si>
    <t>Capital Health System</t>
  </si>
  <si>
    <t>064366065</t>
  </si>
  <si>
    <t>019-04749-00</t>
  </si>
  <si>
    <t>Clinton Township School District</t>
  </si>
  <si>
    <t>021-UAKSH-00</t>
  </si>
  <si>
    <t>Hamilton Township Water Pollution Control</t>
  </si>
  <si>
    <t>019-09CBF-00</t>
  </si>
  <si>
    <t>Oceanport Volunteer First Aid Squad</t>
  </si>
  <si>
    <t>141581160</t>
  </si>
  <si>
    <t>037-UXWRW-00</t>
  </si>
  <si>
    <t>011-UT2GA-00</t>
  </si>
  <si>
    <t>011-UHANT-00</t>
  </si>
  <si>
    <t>011-UJ8FS-00</t>
  </si>
  <si>
    <t>011-UEI1Q-00</t>
  </si>
  <si>
    <t xml:space="preserve">NJ Veterans Memorial Home Facility - Vineland </t>
  </si>
  <si>
    <t>011-UHT3F-00</t>
  </si>
  <si>
    <t>South Harrison Township Board of Education</t>
  </si>
  <si>
    <t>015-0589A-00</t>
  </si>
  <si>
    <t>033-57750-00</t>
  </si>
  <si>
    <t>033-21330-00</t>
  </si>
  <si>
    <t>033-10610-00</t>
  </si>
  <si>
    <t>Bridgeton Board of Education</t>
  </si>
  <si>
    <t>011-0357E-00</t>
  </si>
  <si>
    <t>033-UCL3S-00</t>
  </si>
  <si>
    <t>Penns Grove Carneys Point Public Library</t>
  </si>
  <si>
    <t>Cumberland County Dept of Health</t>
  </si>
  <si>
    <t>011-UGNBC-00</t>
  </si>
  <si>
    <t>029-URLH9-00</t>
  </si>
  <si>
    <t>005-05740-00</t>
  </si>
  <si>
    <t>013-04695-00</t>
  </si>
  <si>
    <t>013-09220-00</t>
  </si>
  <si>
    <t>033-65490-00</t>
  </si>
  <si>
    <t>035-06790-00</t>
  </si>
  <si>
    <t>015-30180-00</t>
  </si>
  <si>
    <t>007-05470-00</t>
  </si>
  <si>
    <t>000-UBHL3-00</t>
  </si>
  <si>
    <t>027-UBOOY-00</t>
  </si>
  <si>
    <t>025-UG2E4-00</t>
  </si>
  <si>
    <t>025-UGU8F-00</t>
  </si>
  <si>
    <t>019-UFRMG-00</t>
  </si>
  <si>
    <t>007-48750-00</t>
  </si>
  <si>
    <t>005-42060-00</t>
  </si>
  <si>
    <t>025-ULTGJ-00</t>
  </si>
  <si>
    <t>029-U2T29-00</t>
  </si>
  <si>
    <t>005-04425-00</t>
  </si>
  <si>
    <t>015-UAAPW-00</t>
  </si>
  <si>
    <t>015-UKZGY-00</t>
  </si>
  <si>
    <t>007-02A8B-00</t>
  </si>
  <si>
    <t>000-UT8O2-00</t>
  </si>
  <si>
    <t>Tallwoods Care Center</t>
  </si>
  <si>
    <t>127795297</t>
  </si>
  <si>
    <t>Fountain View Care Center TBA - Shore Health Care Center</t>
  </si>
  <si>
    <t>809455314</t>
  </si>
  <si>
    <t>Liberty Royal Rehabilitation &amp; Healthcare Center</t>
  </si>
  <si>
    <t>078264637</t>
  </si>
  <si>
    <t>025-UGW92-00</t>
  </si>
  <si>
    <t>025-UP4PL-00</t>
  </si>
  <si>
    <t>021-U3OQE-00</t>
  </si>
  <si>
    <t>029-US9RC-00</t>
  </si>
  <si>
    <t>005-UC6D5-00</t>
  </si>
  <si>
    <t>021-UYHP7-00</t>
  </si>
  <si>
    <t>031-057EB-00</t>
  </si>
  <si>
    <t>003-ULTAA-00</t>
  </si>
  <si>
    <t>027-UIYE5-00</t>
  </si>
  <si>
    <t>021-UMW7U-00</t>
  </si>
  <si>
    <t>021-UTMKT-00</t>
  </si>
  <si>
    <t>007-14260-00</t>
  </si>
  <si>
    <t>039-UNYOA-00</t>
  </si>
  <si>
    <t>015-80120-00</t>
  </si>
  <si>
    <t>015-43440-00</t>
  </si>
  <si>
    <t>Mantua Township</t>
  </si>
  <si>
    <t>003-u08id-00</t>
  </si>
  <si>
    <t>015-13360-00</t>
  </si>
  <si>
    <t>025-UQN2P-00</t>
  </si>
  <si>
    <t>025-URXNN-00</t>
  </si>
  <si>
    <t>023-082CE-00</t>
  </si>
  <si>
    <t>007-76220-00</t>
  </si>
  <si>
    <t>005-82420-00</t>
  </si>
  <si>
    <t>029-38550-00</t>
  </si>
  <si>
    <t>023-69420-00</t>
  </si>
  <si>
    <t>005-68610-00</t>
  </si>
  <si>
    <t>005-72060-00</t>
  </si>
  <si>
    <t>003-72420-00</t>
  </si>
  <si>
    <t>005-66810-00</t>
  </si>
  <si>
    <t>035-U1RZZ-00</t>
  </si>
  <si>
    <t>027-UH69G-00</t>
  </si>
  <si>
    <t>Somerset Raritan Valley Sewerage Authority</t>
  </si>
  <si>
    <t>031-UWLFF-00</t>
  </si>
  <si>
    <t>031-U0SL4-00</t>
  </si>
  <si>
    <t>029-UNVLW-00</t>
  </si>
  <si>
    <t>019-01CBE-00</t>
  </si>
  <si>
    <t>Perth Amboy Board of Education</t>
  </si>
  <si>
    <t>023-050F5-00</t>
  </si>
  <si>
    <t>033-00880-00</t>
  </si>
  <si>
    <t>009-99009-00</t>
  </si>
  <si>
    <t>001-00100-00</t>
  </si>
  <si>
    <t>029-03520-00</t>
  </si>
  <si>
    <t>005-17440-00</t>
  </si>
  <si>
    <t>964128110</t>
  </si>
  <si>
    <t>005-17080-00</t>
  </si>
  <si>
    <t>005-12940-00</t>
  </si>
  <si>
    <t>007-26070-00</t>
  </si>
  <si>
    <t>035-61980-00</t>
  </si>
  <si>
    <t>endeavor Emergency Squad</t>
  </si>
  <si>
    <t>607415197</t>
  </si>
  <si>
    <t>039-64650-00</t>
  </si>
  <si>
    <t>Roselle Park, Boroug of</t>
  </si>
  <si>
    <t>Saint Barnabas Hospice and Pallative Care Ctr.</t>
  </si>
  <si>
    <t>025-UJEHL-00</t>
  </si>
  <si>
    <t>Jersey City Free Public Library</t>
  </si>
  <si>
    <t>Hudson Milestones</t>
  </si>
  <si>
    <t>077545812</t>
  </si>
  <si>
    <t>HOPES Community Action Partnership, Inc</t>
  </si>
  <si>
    <t>067521492</t>
  </si>
  <si>
    <t>West New York, Town of</t>
  </si>
  <si>
    <t>Bet Yaakov of the Jersey Shore</t>
  </si>
  <si>
    <t>8332210483</t>
  </si>
  <si>
    <t>Visiting Nurse of Central Jersey - Keansburg Community Health Center (VNACJ)</t>
  </si>
  <si>
    <t>St Lukes Roosevelt Hospital Center - Data Center Services (DCS)</t>
  </si>
  <si>
    <t>105118939</t>
  </si>
  <si>
    <t>Children's Hospital of Philadelphia - Voorhees NJ Specialty Care</t>
  </si>
  <si>
    <t>027-UG3MF-00</t>
  </si>
  <si>
    <t>003-UXQFW-00</t>
  </si>
  <si>
    <t>003-U05VU-00</t>
  </si>
  <si>
    <t>023-U9J7E-00</t>
  </si>
  <si>
    <t>025-UT38N-00</t>
  </si>
  <si>
    <t>027-UR89V-00</t>
  </si>
  <si>
    <t>039-U4X48-00</t>
  </si>
  <si>
    <t>025-ULUH4-00</t>
  </si>
  <si>
    <t>025-UT3R6-00</t>
  </si>
  <si>
    <t>025-URGTK-00</t>
  </si>
  <si>
    <t>003-U9AE2-00</t>
  </si>
  <si>
    <t>000-U0NA4-00</t>
  </si>
  <si>
    <t>009-UCVZR-00</t>
  </si>
  <si>
    <t>029-U52V6-00</t>
  </si>
  <si>
    <t>029-U6C1V-00</t>
  </si>
  <si>
    <t>029-UJDHZ-00</t>
  </si>
  <si>
    <t>029-UIL90-00</t>
  </si>
  <si>
    <t>029-UDV8N-00</t>
  </si>
  <si>
    <t>029-UM7BS-00</t>
  </si>
  <si>
    <t>025-U1ZXM-00</t>
  </si>
  <si>
    <t>025-UIDOF-00</t>
  </si>
  <si>
    <t>029-UHRQB-00</t>
  </si>
  <si>
    <t>025-UL3MW-00</t>
  </si>
  <si>
    <t>001-URNMF-00</t>
  </si>
  <si>
    <t>017-79610-00</t>
  </si>
  <si>
    <t>New Jersey City University</t>
  </si>
  <si>
    <t>000-U28JZ-00</t>
  </si>
  <si>
    <t>017-US1PN-00</t>
  </si>
  <si>
    <t>025-U22M7-00</t>
  </si>
  <si>
    <t>025-UCT0D-00</t>
  </si>
  <si>
    <t>009-81200-00</t>
  </si>
  <si>
    <t>007-57660-00</t>
  </si>
  <si>
    <t>029-99029-00</t>
  </si>
  <si>
    <t>029-07E17-00</t>
  </si>
  <si>
    <t>025-U6WE9-00</t>
  </si>
  <si>
    <t>029-07C47-00</t>
  </si>
  <si>
    <t>no</t>
  </si>
  <si>
    <t>005-UKD9X-00</t>
  </si>
  <si>
    <t>027-UVH47-00</t>
  </si>
  <si>
    <t>007-65160-00</t>
  </si>
  <si>
    <t>035-UXX30-00</t>
  </si>
  <si>
    <t>025-UVGHP-00</t>
  </si>
  <si>
    <t>003-UMD0Y-00</t>
  </si>
  <si>
    <t>Edgewater Housing Authority</t>
  </si>
  <si>
    <t>005-UGGSB-00</t>
  </si>
  <si>
    <t>025-UDQKQ-00</t>
  </si>
  <si>
    <t>035-64320-00</t>
  </si>
  <si>
    <t>009-10270-00</t>
  </si>
  <si>
    <t>009-41610-00</t>
  </si>
  <si>
    <t>009-53490-00</t>
  </si>
  <si>
    <t>021-019F0-00</t>
  </si>
  <si>
    <t>005-49020-00</t>
  </si>
  <si>
    <t>027-01170-00</t>
  </si>
  <si>
    <t>013-53680-00</t>
  </si>
  <si>
    <t>025-54270-00</t>
  </si>
  <si>
    <t>029-54450-00</t>
  </si>
  <si>
    <t>017-U741M-00</t>
  </si>
  <si>
    <t>001-UQHUS-00</t>
  </si>
  <si>
    <t>029-03287-00</t>
  </si>
  <si>
    <t>005-UDDCM-00</t>
  </si>
  <si>
    <t>005-070FE-00</t>
  </si>
  <si>
    <t>005-U6E3T-00</t>
  </si>
  <si>
    <t>005-U5SYA-00</t>
  </si>
  <si>
    <t>025-00070-00</t>
  </si>
  <si>
    <t>005-45120-00</t>
  </si>
  <si>
    <t>029-032Ce-00</t>
  </si>
  <si>
    <t>025-UD852-00</t>
  </si>
  <si>
    <t>005-UIH55-00</t>
  </si>
  <si>
    <t>005-UMLMH-00</t>
  </si>
  <si>
    <t>023-035A2-00</t>
  </si>
  <si>
    <t>011-U36X5-00</t>
  </si>
  <si>
    <t>029-05305-00</t>
  </si>
  <si>
    <t>025-UP12E-00</t>
  </si>
  <si>
    <t>023-US5E9-00</t>
  </si>
  <si>
    <t>023-02BCD-00</t>
  </si>
  <si>
    <t>023-UNDY9-00</t>
  </si>
  <si>
    <t>037-UFU5W-00</t>
  </si>
  <si>
    <t>027-17650-00</t>
  </si>
  <si>
    <t>025-U8T07-00</t>
  </si>
  <si>
    <t>005-UGLEW-00</t>
  </si>
  <si>
    <t>029-05156-00</t>
  </si>
  <si>
    <t>027-U6G7C-00</t>
  </si>
  <si>
    <t>029-UECG4-00</t>
  </si>
  <si>
    <t>005-0388E-00</t>
  </si>
  <si>
    <t>005-78200-00</t>
  </si>
  <si>
    <t>029-08937-00</t>
  </si>
  <si>
    <t>025-UKSZJ-00</t>
  </si>
  <si>
    <t>025-09427-00</t>
  </si>
  <si>
    <t>005-03370-00</t>
  </si>
  <si>
    <t>027-UR6G2-00</t>
  </si>
  <si>
    <t>011-44580-00</t>
  </si>
  <si>
    <t>007-81740-00</t>
  </si>
  <si>
    <t>005-UDHF2-00</t>
  </si>
  <si>
    <t>029-00090-00</t>
  </si>
  <si>
    <t>013-065BB-00</t>
  </si>
  <si>
    <t>003-04A86-00</t>
  </si>
  <si>
    <t>009-45810-00</t>
  </si>
  <si>
    <t>009-81170-00</t>
  </si>
  <si>
    <t>009-71010-00</t>
  </si>
  <si>
    <t>009-54360-00</t>
  </si>
  <si>
    <t>015-01588-00</t>
  </si>
  <si>
    <t>025-64410-00</t>
  </si>
  <si>
    <t>000-UJHBT-00</t>
  </si>
  <si>
    <t>005-U3DEP-00</t>
  </si>
  <si>
    <t>009-66390-00</t>
  </si>
  <si>
    <t>009-02320-00</t>
  </si>
  <si>
    <t>027-77240-00</t>
  </si>
  <si>
    <t>015-77180-00</t>
  </si>
  <si>
    <t>005-77150-00</t>
  </si>
  <si>
    <t>027-UONPU-00</t>
  </si>
  <si>
    <t>005-08950-00</t>
  </si>
  <si>
    <t>005-99005-00</t>
  </si>
  <si>
    <t>037-07300-00</t>
  </si>
  <si>
    <t>009-74810-00</t>
  </si>
  <si>
    <t>005-12670-00</t>
  </si>
  <si>
    <t>021-31620-00</t>
  </si>
  <si>
    <t>021-60900-00</t>
  </si>
  <si>
    <t>037-71670-00</t>
  </si>
  <si>
    <t>037-76790-00</t>
  </si>
  <si>
    <t>031-023CF-00</t>
  </si>
  <si>
    <t>023-UXOUG-00</t>
  </si>
  <si>
    <t>023-UXO9X-00</t>
  </si>
  <si>
    <t>007-99007-00</t>
  </si>
  <si>
    <t>027-UV8I7-00</t>
  </si>
  <si>
    <t>011-049C3-00</t>
  </si>
  <si>
    <t>009-78530-00</t>
  </si>
  <si>
    <t>011-07600-00</t>
  </si>
  <si>
    <t>011-99011-00</t>
  </si>
  <si>
    <t>011-22350-00</t>
  </si>
  <si>
    <t>005-UWB3A-00</t>
  </si>
  <si>
    <t>029-03130-00</t>
  </si>
  <si>
    <t>023-15550-00</t>
  </si>
  <si>
    <t>033-75110-00</t>
  </si>
  <si>
    <t>033-99033-00</t>
  </si>
  <si>
    <t>015-U5079-00</t>
  </si>
  <si>
    <t>027-UVKCK-00</t>
  </si>
  <si>
    <t>000-UOQTP-00</t>
  </si>
  <si>
    <t>027-UUUVK-00</t>
  </si>
  <si>
    <t>017-045BE-00</t>
  </si>
  <si>
    <t>005-UD1E2-00</t>
  </si>
  <si>
    <t>003-UVDVB-00</t>
  </si>
  <si>
    <t>029-071F3-00</t>
  </si>
  <si>
    <t>029-71640-00</t>
  </si>
  <si>
    <t>003-UQIM9-00</t>
  </si>
  <si>
    <t>009-UAKDB-00</t>
  </si>
  <si>
    <t>003-UUSQF-00</t>
  </si>
  <si>
    <t>009-UWZCO-00</t>
  </si>
  <si>
    <t>027-US4GY-00</t>
  </si>
  <si>
    <t>005-0443C-00</t>
  </si>
  <si>
    <t>009-UEGNR-00</t>
  </si>
  <si>
    <t>005-043F8-00</t>
  </si>
  <si>
    <t>025-UTMY9-00</t>
  </si>
  <si>
    <t>005-0464E-00</t>
  </si>
  <si>
    <t>029-UFLZY-00</t>
  </si>
  <si>
    <t>005-UOPDH-00</t>
  </si>
  <si>
    <t>029-04134-000</t>
  </si>
  <si>
    <t>031-UAHH1-00</t>
  </si>
  <si>
    <t>023-UZQVR-00</t>
  </si>
  <si>
    <t>007-07598-00</t>
  </si>
  <si>
    <t>027-UGAYL-00</t>
  </si>
  <si>
    <t>017-U6UH6-00</t>
  </si>
  <si>
    <t>013-008BD-00</t>
  </si>
  <si>
    <t>023-UUBEO-00</t>
  </si>
  <si>
    <t>029-UU4TH-00</t>
  </si>
  <si>
    <t>003-UZGEB-00</t>
  </si>
  <si>
    <t>037-UJC49-00</t>
  </si>
  <si>
    <t>001-UQUYJ-00</t>
  </si>
  <si>
    <t>005-08920-00</t>
  </si>
  <si>
    <t>007-UCPX5-00</t>
  </si>
  <si>
    <t>025-UQU32-00</t>
  </si>
  <si>
    <t>023-U5QEQ-00</t>
  </si>
  <si>
    <t>025-08637-00</t>
  </si>
  <si>
    <t>033-41640-00</t>
  </si>
  <si>
    <t>011-76070-00</t>
  </si>
  <si>
    <t>Som</t>
  </si>
  <si>
    <t>007-68340-00</t>
  </si>
  <si>
    <t>033-82720-00</t>
  </si>
  <si>
    <t>021-19750-00</t>
  </si>
  <si>
    <t>021-UO0MH-00</t>
  </si>
  <si>
    <t>033-57870-00</t>
  </si>
  <si>
    <t>021-UCFBN-00</t>
  </si>
  <si>
    <t>007-0370E-00</t>
  </si>
  <si>
    <t>023-U1OK4-00</t>
  </si>
  <si>
    <t>023-U1KB7-00</t>
  </si>
  <si>
    <t>023-UQ7QI-00</t>
  </si>
  <si>
    <t>023-U2J23-00</t>
  </si>
  <si>
    <t>023-UEH3L-00</t>
  </si>
  <si>
    <t>007-UDXY8-00</t>
  </si>
  <si>
    <t>005-53070-00</t>
  </si>
  <si>
    <t>007-28740-00</t>
  </si>
  <si>
    <t>025-U3AZ0-00</t>
  </si>
  <si>
    <t>005-01776-00</t>
  </si>
  <si>
    <t>029-UY670-00</t>
  </si>
  <si>
    <t>017-027EB-00</t>
  </si>
  <si>
    <t>031-URC8R-00</t>
  </si>
  <si>
    <t>029-02F5C-00</t>
  </si>
  <si>
    <t>023-UPVJJ-00</t>
  </si>
  <si>
    <t>025-UQZLJ-00</t>
  </si>
  <si>
    <t>035-U31AD-00</t>
  </si>
  <si>
    <t>025-UQJC7-00</t>
  </si>
  <si>
    <t>029-09252-00</t>
  </si>
  <si>
    <t>000-UZ5DP-00</t>
  </si>
  <si>
    <t>019-UTX3D-00</t>
  </si>
  <si>
    <t>035-UR5AR-00</t>
  </si>
  <si>
    <t>021-UIQW4-00</t>
  </si>
  <si>
    <t>013-79800-00</t>
  </si>
</sst>
</file>

<file path=xl/styles.xml><?xml version="1.0" encoding="utf-8"?>
<styleSheet xmlns="http://schemas.openxmlformats.org/spreadsheetml/2006/main">
  <numFmts count="2">
    <numFmt numFmtId="164" formatCode="mm/dd/yy;@"/>
    <numFmt numFmtId="165" formatCode="0;;"/>
  </numFmts>
  <fonts count="21">
    <font>
      <sz val="11"/>
      <color theme="1"/>
      <name val="Calibri"/>
      <family val="2"/>
      <scheme val="minor"/>
    </font>
    <font>
      <b/>
      <sz val="18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u/>
      <sz val="18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2"/>
      <name val="Arial"/>
      <family val="2"/>
    </font>
    <font>
      <b/>
      <sz val="9"/>
      <color theme="1"/>
      <name val="Calibri"/>
      <family val="2"/>
      <scheme val="minor"/>
    </font>
    <font>
      <sz val="7.7"/>
      <color theme="1"/>
      <name val="Trebuchet MS"/>
      <family val="2"/>
    </font>
    <font>
      <sz val="9"/>
      <color theme="1"/>
      <name val="Calibri"/>
      <family val="2"/>
    </font>
    <font>
      <sz val="8"/>
      <color theme="1"/>
      <name val="Arial"/>
      <family val="2"/>
    </font>
    <font>
      <sz val="9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74DFF4"/>
        <bgColor indexed="64"/>
      </patternFill>
    </fill>
    <fill>
      <patternFill patternType="gray0625">
        <bgColor rgb="FFE5E4E3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06">
    <xf numFmtId="0" fontId="0" fillId="0" borderId="0" xfId="0"/>
    <xf numFmtId="1" fontId="2" fillId="0" borderId="4" xfId="0" applyNumberFormat="1" applyFont="1" applyFill="1" applyBorder="1" applyAlignment="1" applyProtection="1">
      <alignment horizontal="center" vertical="center" wrapText="1"/>
    </xf>
    <xf numFmtId="1" fontId="2" fillId="0" borderId="4" xfId="0" applyNumberFormat="1" applyFont="1" applyFill="1" applyBorder="1" applyAlignment="1" applyProtection="1">
      <alignment horizontal="center" vertical="center"/>
    </xf>
    <xf numFmtId="164" fontId="5" fillId="0" borderId="4" xfId="1" applyNumberFormat="1" applyFont="1" applyFill="1" applyBorder="1" applyAlignment="1" applyProtection="1">
      <alignment horizontal="center" vertical="center" wrapText="1"/>
    </xf>
    <xf numFmtId="1" fontId="6" fillId="4" borderId="4" xfId="1" applyNumberFormat="1" applyFont="1" applyFill="1" applyBorder="1" applyAlignment="1" applyProtection="1">
      <alignment horizontal="center" vertical="center" wrapText="1"/>
    </xf>
    <xf numFmtId="49" fontId="5" fillId="0" borderId="4" xfId="1" applyNumberFormat="1" applyFont="1" applyFill="1" applyBorder="1" applyAlignment="1" applyProtection="1">
      <alignment horizontal="center" vertical="center" wrapText="1"/>
    </xf>
    <xf numFmtId="49" fontId="5" fillId="5" borderId="4" xfId="1" applyNumberFormat="1" applyFont="1" applyFill="1" applyBorder="1" applyAlignment="1" applyProtection="1">
      <alignment horizontal="center" vertical="center" wrapText="1"/>
    </xf>
    <xf numFmtId="0" fontId="5" fillId="0" borderId="4" xfId="1" applyFont="1" applyFill="1" applyBorder="1" applyAlignment="1" applyProtection="1">
      <alignment horizontal="center" vertical="center" wrapText="1"/>
    </xf>
    <xf numFmtId="0" fontId="7" fillId="0" borderId="0" xfId="0" applyFont="1" applyAlignment="1" applyProtection="1">
      <alignment horizontal="center" vertical="center" wrapText="1"/>
    </xf>
    <xf numFmtId="49" fontId="9" fillId="0" borderId="4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9" fillId="0" borderId="0" xfId="0" applyFont="1" applyAlignment="1" applyProtection="1">
      <alignment horizontal="center" vertical="center"/>
    </xf>
    <xf numFmtId="165" fontId="0" fillId="0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49" fontId="9" fillId="0" borderId="0" xfId="0" applyNumberFormat="1" applyFont="1" applyBorder="1" applyAlignment="1" applyProtection="1">
      <alignment horizontal="center" vertical="center"/>
    </xf>
    <xf numFmtId="1" fontId="9" fillId="0" borderId="4" xfId="0" applyNumberFormat="1" applyFont="1" applyFill="1" applyBorder="1" applyAlignment="1" applyProtection="1">
      <alignment horizontal="center" vertical="center"/>
      <protection locked="0"/>
    </xf>
    <xf numFmtId="49" fontId="9" fillId="0" borderId="4" xfId="0" applyNumberFormat="1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0" xfId="0" applyNumberFormat="1" applyFont="1" applyBorder="1" applyAlignment="1" applyProtection="1">
      <alignment horizontal="center" vertical="center"/>
      <protection locked="0"/>
    </xf>
    <xf numFmtId="0" fontId="9" fillId="0" borderId="0" xfId="0" applyFont="1" applyBorder="1" applyAlignment="1" applyProtection="1">
      <alignment horizontal="center" vertical="center"/>
    </xf>
    <xf numFmtId="49" fontId="9" fillId="0" borderId="0" xfId="0" applyNumberFormat="1" applyFont="1" applyAlignment="1" applyProtection="1">
      <alignment horizontal="center" vertical="center"/>
      <protection locked="0"/>
    </xf>
    <xf numFmtId="49" fontId="0" fillId="6" borderId="4" xfId="0" applyNumberForma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0" fontId="4" fillId="0" borderId="7" xfId="0" applyFont="1" applyBorder="1"/>
    <xf numFmtId="49" fontId="4" fillId="0" borderId="8" xfId="0" applyNumberFormat="1" applyFont="1" applyBorder="1" applyAlignment="1">
      <alignment horizontal="center"/>
    </xf>
    <xf numFmtId="0" fontId="4" fillId="0" borderId="8" xfId="0" applyFont="1" applyBorder="1"/>
    <xf numFmtId="49" fontId="4" fillId="0" borderId="9" xfId="0" applyNumberFormat="1" applyFont="1" applyBorder="1" applyAlignment="1">
      <alignment horizontal="center"/>
    </xf>
    <xf numFmtId="0" fontId="4" fillId="0" borderId="9" xfId="0" applyFont="1" applyBorder="1"/>
    <xf numFmtId="49" fontId="0" fillId="0" borderId="0" xfId="0" applyNumberFormat="1" applyAlignment="1">
      <alignment horizontal="center"/>
    </xf>
    <xf numFmtId="49" fontId="2" fillId="3" borderId="4" xfId="0" applyNumberFormat="1" applyFont="1" applyFill="1" applyBorder="1" applyAlignment="1" applyProtection="1">
      <alignment horizontal="center" vertical="center"/>
    </xf>
    <xf numFmtId="0" fontId="2" fillId="0" borderId="4" xfId="0" applyNumberFormat="1" applyFont="1" applyFill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center" vertical="center"/>
      <protection locked="0"/>
    </xf>
    <xf numFmtId="49" fontId="5" fillId="4" borderId="4" xfId="1" applyNumberFormat="1" applyFont="1" applyFill="1" applyBorder="1" applyAlignment="1" applyProtection="1">
      <alignment horizontal="center" vertical="center" wrapText="1"/>
    </xf>
    <xf numFmtId="0" fontId="7" fillId="0" borderId="0" xfId="0" applyFont="1" applyAlignment="1" applyProtection="1">
      <alignment horizontal="center" vertical="center"/>
      <protection locked="0"/>
    </xf>
    <xf numFmtId="165" fontId="8" fillId="5" borderId="0" xfId="0" applyNumberFormat="1" applyFont="1" applyFill="1" applyAlignment="1" applyProtection="1">
      <alignment horizontal="center" vertical="center" wrapText="1"/>
    </xf>
    <xf numFmtId="0" fontId="7" fillId="0" borderId="0" xfId="0" applyFont="1" applyFill="1" applyAlignment="1" applyProtection="1">
      <alignment horizontal="center" vertical="center"/>
      <protection locked="0"/>
    </xf>
    <xf numFmtId="164" fontId="9" fillId="0" borderId="4" xfId="0" applyNumberFormat="1" applyFont="1" applyFill="1" applyBorder="1" applyAlignment="1" applyProtection="1">
      <alignment horizontal="center" vertical="center"/>
      <protection locked="0"/>
    </xf>
    <xf numFmtId="1" fontId="9" fillId="0" borderId="4" xfId="0" quotePrefix="1" applyNumberFormat="1" applyFont="1" applyFill="1" applyBorder="1" applyAlignment="1" applyProtection="1">
      <alignment horizontal="center" vertical="center"/>
      <protection locked="0"/>
    </xf>
    <xf numFmtId="49" fontId="9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4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165" fontId="9" fillId="0" borderId="0" xfId="0" applyNumberFormat="1" applyFont="1" applyAlignment="1" applyProtection="1">
      <alignment horizontal="center" vertical="center"/>
    </xf>
    <xf numFmtId="0" fontId="0" fillId="0" borderId="0" xfId="0" applyFill="1" applyAlignment="1">
      <alignment horizontal="center"/>
    </xf>
    <xf numFmtId="0" fontId="9" fillId="0" borderId="0" xfId="0" applyFont="1" applyBorder="1" applyAlignment="1" applyProtection="1">
      <alignment horizontal="center" vertical="center"/>
      <protection locked="0"/>
    </xf>
    <xf numFmtId="165" fontId="9" fillId="0" borderId="0" xfId="0" applyNumberFormat="1" applyFont="1" applyBorder="1" applyAlignment="1" applyProtection="1">
      <alignment horizontal="center" vertical="center"/>
    </xf>
    <xf numFmtId="0" fontId="9" fillId="0" borderId="4" xfId="0" applyFont="1" applyFill="1" applyBorder="1" applyAlignment="1" applyProtection="1">
      <alignment horizontal="center" vertical="center" wrapText="1"/>
      <protection locked="0"/>
    </xf>
    <xf numFmtId="0" fontId="10" fillId="0" borderId="4" xfId="0" applyFont="1" applyFill="1" applyBorder="1" applyAlignment="1" applyProtection="1">
      <alignment horizontal="center" vertical="center"/>
      <protection locked="0"/>
    </xf>
    <xf numFmtId="49" fontId="9" fillId="5" borderId="4" xfId="0" applyNumberFormat="1" applyFont="1" applyFill="1" applyBorder="1" applyAlignment="1" applyProtection="1">
      <alignment horizontal="center" vertical="center"/>
      <protection locked="0"/>
    </xf>
    <xf numFmtId="0" fontId="11" fillId="0" borderId="4" xfId="0" applyFont="1" applyFill="1" applyBorder="1" applyAlignment="1" applyProtection="1">
      <alignment horizontal="center" vertical="center" wrapText="1"/>
      <protection locked="0"/>
    </xf>
    <xf numFmtId="0" fontId="10" fillId="0" borderId="4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Fill="1" applyBorder="1" applyAlignment="1" applyProtection="1">
      <alignment horizontal="center" vertical="center"/>
      <protection locked="0"/>
    </xf>
    <xf numFmtId="164" fontId="9" fillId="0" borderId="4" xfId="0" applyNumberFormat="1" applyFont="1" applyBorder="1" applyAlignment="1" applyProtection="1">
      <alignment horizontal="center" vertical="center"/>
      <protection locked="0"/>
    </xf>
    <xf numFmtId="1" fontId="9" fillId="0" borderId="4" xfId="0" applyNumberFormat="1" applyFont="1" applyBorder="1" applyAlignment="1" applyProtection="1">
      <alignment horizontal="center" vertical="center"/>
      <protection locked="0"/>
    </xf>
    <xf numFmtId="49" fontId="9" fillId="0" borderId="4" xfId="0" applyNumberFormat="1" applyFont="1" applyBorder="1" applyAlignment="1" applyProtection="1">
      <alignment horizontal="center" vertical="center" wrapText="1"/>
      <protection locked="0"/>
    </xf>
    <xf numFmtId="164" fontId="9" fillId="0" borderId="5" xfId="0" applyNumberFormat="1" applyFont="1" applyBorder="1" applyAlignment="1" applyProtection="1">
      <alignment horizontal="center" vertical="center"/>
      <protection locked="0"/>
    </xf>
    <xf numFmtId="1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 wrapText="1"/>
      <protection locked="0"/>
    </xf>
    <xf numFmtId="0" fontId="9" fillId="0" borderId="5" xfId="0" applyFont="1" applyFill="1" applyBorder="1" applyAlignment="1" applyProtection="1">
      <alignment horizontal="center" vertical="center"/>
      <protection locked="0"/>
    </xf>
    <xf numFmtId="164" fontId="9" fillId="0" borderId="0" xfId="0" applyNumberFormat="1" applyFont="1" applyBorder="1" applyAlignment="1" applyProtection="1">
      <alignment horizontal="center" vertical="center"/>
      <protection locked="0"/>
    </xf>
    <xf numFmtId="1" fontId="9" fillId="0" borderId="0" xfId="0" applyNumberFormat="1" applyFont="1" applyBorder="1" applyAlignment="1" applyProtection="1">
      <alignment horizontal="center" vertical="center"/>
      <protection locked="0"/>
    </xf>
    <xf numFmtId="49" fontId="9" fillId="0" borderId="0" xfId="0" applyNumberFormat="1" applyFont="1" applyBorder="1" applyAlignment="1" applyProtection="1">
      <alignment horizontal="center" vertical="center" wrapText="1"/>
      <protection locked="0"/>
    </xf>
    <xf numFmtId="164" fontId="9" fillId="0" borderId="0" xfId="0" applyNumberFormat="1" applyFont="1" applyAlignment="1" applyProtection="1">
      <alignment horizontal="center" vertical="center"/>
      <protection locked="0"/>
    </xf>
    <xf numFmtId="1" fontId="9" fillId="0" borderId="0" xfId="0" applyNumberFormat="1" applyFont="1" applyAlignment="1" applyProtection="1">
      <alignment horizontal="center" vertical="center"/>
      <protection locked="0"/>
    </xf>
    <xf numFmtId="49" fontId="9" fillId="0" borderId="0" xfId="0" applyNumberFormat="1" applyFont="1" applyAlignment="1" applyProtection="1">
      <alignment horizontal="center" vertical="center" wrapText="1"/>
      <protection locked="0"/>
    </xf>
    <xf numFmtId="0" fontId="9" fillId="0" borderId="0" xfId="0" applyFont="1" applyFill="1" applyAlignment="1" applyProtection="1">
      <alignment horizontal="center" vertical="center"/>
      <protection locked="0"/>
    </xf>
    <xf numFmtId="0" fontId="15" fillId="7" borderId="4" xfId="0" applyFont="1" applyFill="1" applyBorder="1" applyAlignment="1" applyProtection="1">
      <alignment horizontal="center" vertical="center"/>
      <protection locked="0"/>
    </xf>
    <xf numFmtId="0" fontId="4" fillId="0" borderId="10" xfId="0" applyFont="1" applyBorder="1"/>
    <xf numFmtId="0" fontId="4" fillId="0" borderId="11" xfId="0" applyFont="1" applyBorder="1"/>
    <xf numFmtId="49" fontId="0" fillId="6" borderId="8" xfId="0" applyNumberFormat="1" applyFill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0" fontId="9" fillId="0" borderId="4" xfId="0" applyFont="1" applyBorder="1" applyAlignment="1" applyProtection="1">
      <alignment horizontal="center" vertical="center"/>
      <protection locked="0"/>
    </xf>
    <xf numFmtId="49" fontId="9" fillId="0" borderId="0" xfId="0" applyNumberFormat="1" applyFont="1" applyFill="1" applyBorder="1" applyAlignment="1" applyProtection="1">
      <alignment horizontal="center" vertical="center"/>
      <protection locked="0"/>
    </xf>
    <xf numFmtId="49" fontId="9" fillId="0" borderId="0" xfId="0" applyNumberFormat="1" applyFont="1" applyFill="1" applyBorder="1" applyAlignment="1" applyProtection="1">
      <alignment horizontal="center" vertical="center"/>
    </xf>
    <xf numFmtId="165" fontId="9" fillId="0" borderId="0" xfId="0" applyNumberFormat="1" applyFont="1" applyFill="1" applyBorder="1" applyAlignment="1" applyProtection="1">
      <alignment horizontal="center" vertical="center"/>
    </xf>
    <xf numFmtId="164" fontId="9" fillId="4" borderId="4" xfId="0" applyNumberFormat="1" applyFont="1" applyFill="1" applyBorder="1" applyAlignment="1" applyProtection="1">
      <alignment horizontal="center" vertical="center"/>
      <protection locked="0"/>
    </xf>
    <xf numFmtId="49" fontId="9" fillId="4" borderId="4" xfId="0" applyNumberFormat="1" applyFont="1" applyFill="1" applyBorder="1" applyAlignment="1" applyProtection="1">
      <alignment horizontal="center" vertical="center"/>
      <protection locked="0"/>
    </xf>
    <xf numFmtId="1" fontId="9" fillId="4" borderId="4" xfId="0" applyNumberFormat="1" applyFont="1" applyFill="1" applyBorder="1" applyAlignment="1" applyProtection="1">
      <alignment horizontal="center" vertical="center"/>
      <protection locked="0"/>
    </xf>
    <xf numFmtId="49" fontId="9" fillId="4" borderId="4" xfId="0" applyNumberFormat="1" applyFont="1" applyFill="1" applyBorder="1" applyAlignment="1" applyProtection="1">
      <alignment horizontal="center" vertical="center" wrapText="1"/>
      <protection locked="0"/>
    </xf>
    <xf numFmtId="0" fontId="9" fillId="4" borderId="4" xfId="0" applyFont="1" applyFill="1" applyBorder="1" applyAlignment="1" applyProtection="1">
      <alignment horizontal="center" vertical="center"/>
      <protection locked="0"/>
    </xf>
    <xf numFmtId="49" fontId="9" fillId="7" borderId="4" xfId="0" applyNumberFormat="1" applyFont="1" applyFill="1" applyBorder="1" applyAlignment="1" applyProtection="1">
      <alignment horizontal="center" vertical="center"/>
      <protection locked="0"/>
    </xf>
    <xf numFmtId="1" fontId="9" fillId="7" borderId="4" xfId="0" quotePrefix="1" applyNumberFormat="1" applyFont="1" applyFill="1" applyBorder="1" applyAlignment="1" applyProtection="1">
      <alignment horizontal="center" vertical="center"/>
      <protection locked="0"/>
    </xf>
    <xf numFmtId="49" fontId="9" fillId="7" borderId="4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4" xfId="0" applyFont="1" applyFill="1" applyBorder="1" applyAlignment="1" applyProtection="1">
      <alignment horizontal="center" vertical="center" wrapText="1"/>
      <protection locked="0"/>
    </xf>
    <xf numFmtId="1" fontId="1" fillId="2" borderId="1" xfId="0" applyNumberFormat="1" applyFont="1" applyFill="1" applyBorder="1" applyAlignment="1" applyProtection="1">
      <alignment horizontal="center" vertical="center"/>
    </xf>
    <xf numFmtId="1" fontId="1" fillId="2" borderId="2" xfId="0" applyNumberFormat="1" applyFont="1" applyFill="1" applyBorder="1" applyAlignment="1" applyProtection="1">
      <alignment horizontal="center" vertical="center"/>
    </xf>
    <xf numFmtId="1" fontId="1" fillId="2" borderId="3" xfId="0" applyNumberFormat="1" applyFont="1" applyFill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</xf>
    <xf numFmtId="0" fontId="14" fillId="0" borderId="6" xfId="0" applyFont="1" applyBorder="1" applyAlignment="1">
      <alignment horizontal="left"/>
    </xf>
    <xf numFmtId="164" fontId="19" fillId="8" borderId="4" xfId="0" applyNumberFormat="1" applyFont="1" applyFill="1" applyBorder="1" applyAlignment="1" applyProtection="1">
      <alignment horizontal="center" vertical="center"/>
      <protection locked="0"/>
    </xf>
    <xf numFmtId="49" fontId="19" fillId="8" borderId="4" xfId="0" applyNumberFormat="1" applyFont="1" applyFill="1" applyBorder="1" applyAlignment="1" applyProtection="1">
      <alignment horizontal="center" vertical="center"/>
      <protection locked="0"/>
    </xf>
    <xf numFmtId="1" fontId="19" fillId="8" borderId="4" xfId="0" quotePrefix="1" applyNumberFormat="1" applyFont="1" applyFill="1" applyBorder="1" applyAlignment="1" applyProtection="1">
      <alignment horizontal="center" vertical="center"/>
      <protection locked="0"/>
    </xf>
    <xf numFmtId="49" fontId="19" fillId="8" borderId="4" xfId="0" applyNumberFormat="1" applyFont="1" applyFill="1" applyBorder="1" applyAlignment="1" applyProtection="1">
      <alignment horizontal="center" vertical="center" wrapText="1"/>
      <protection locked="0"/>
    </xf>
    <xf numFmtId="0" fontId="19" fillId="8" borderId="4" xfId="0" applyFont="1" applyFill="1" applyBorder="1" applyAlignment="1" applyProtection="1">
      <alignment horizontal="center" vertical="center"/>
      <protection locked="0"/>
    </xf>
    <xf numFmtId="0" fontId="19" fillId="8" borderId="0" xfId="0" applyFont="1" applyFill="1" applyBorder="1" applyAlignment="1" applyProtection="1">
      <alignment horizontal="center" vertical="center"/>
      <protection locked="0"/>
    </xf>
    <xf numFmtId="0" fontId="20" fillId="8" borderId="0" xfId="0" applyFont="1" applyFill="1" applyAlignment="1">
      <alignment horizontal="center"/>
    </xf>
    <xf numFmtId="49" fontId="19" fillId="8" borderId="0" xfId="0" applyNumberFormat="1" applyFont="1" applyFill="1" applyBorder="1" applyAlignment="1" applyProtection="1">
      <alignment horizontal="center" vertical="center"/>
    </xf>
    <xf numFmtId="165" fontId="19" fillId="8" borderId="0" xfId="0" applyNumberFormat="1" applyFont="1" applyFill="1" applyBorder="1" applyAlignment="1" applyProtection="1">
      <alignment horizontal="center" vertical="center"/>
    </xf>
    <xf numFmtId="165" fontId="20" fillId="8" borderId="0" xfId="0" applyNumberFormat="1" applyFont="1" applyFill="1" applyAlignment="1">
      <alignment horizontal="center"/>
    </xf>
    <xf numFmtId="14" fontId="20" fillId="8" borderId="0" xfId="0" applyNumberFormat="1" applyFont="1" applyFill="1" applyAlignment="1">
      <alignment horizontal="center"/>
    </xf>
    <xf numFmtId="0" fontId="16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7" fillId="0" borderId="4" xfId="0" applyFont="1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1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N2978"/>
  <sheetViews>
    <sheetView tabSelected="1" zoomScale="130" zoomScaleNormal="130" workbookViewId="0">
      <pane xSplit="4" ySplit="2" topLeftCell="E727" activePane="bottomRight" state="frozen"/>
      <selection pane="topRight" activeCell="E1" sqref="E1"/>
      <selection pane="bottomLeft" activeCell="A3" sqref="A3"/>
      <selection pane="bottomRight" activeCell="D743" sqref="D743"/>
    </sheetView>
  </sheetViews>
  <sheetFormatPr defaultColWidth="9.109375" defaultRowHeight="12"/>
  <cols>
    <col min="1" max="1" width="9" style="64" customWidth="1"/>
    <col min="2" max="2" width="13.88671875" style="20" customWidth="1"/>
    <col min="3" max="3" width="9.88671875" style="65" customWidth="1"/>
    <col min="4" max="4" width="40.44140625" style="66" customWidth="1"/>
    <col min="5" max="5" width="11" style="20" customWidth="1"/>
    <col min="6" max="6" width="8.6640625" style="20" customWidth="1"/>
    <col min="7" max="7" width="10.44140625" style="20" hidden="1" customWidth="1"/>
    <col min="8" max="8" width="12" style="64" customWidth="1"/>
    <col min="9" max="9" width="9" style="20" hidden="1" customWidth="1"/>
    <col min="10" max="10" width="11.109375" style="64" customWidth="1"/>
    <col min="11" max="11" width="46.33203125" style="67" customWidth="1"/>
    <col min="12" max="12" width="11.33203125" style="20" customWidth="1"/>
    <col min="13" max="13" width="12.88671875" style="20" hidden="1" customWidth="1"/>
    <col min="14" max="14" width="9.109375" style="43"/>
    <col min="15" max="15" width="29" style="43" customWidth="1"/>
    <col min="16" max="26" width="9.109375" style="43"/>
    <col min="27" max="27" width="11.6640625" style="11" customWidth="1"/>
    <col min="28" max="28" width="10.6640625" style="44" customWidth="1"/>
    <col min="29" max="29" width="9.109375" style="43"/>
    <col min="30" max="30" width="10.5546875" style="67" customWidth="1"/>
    <col min="31" max="31" width="23.88671875" style="67" customWidth="1"/>
    <col min="32" max="32" width="39.88671875" style="67" customWidth="1"/>
    <col min="33" max="33" width="28" style="67" customWidth="1"/>
    <col min="34" max="16384" width="9.109375" style="43"/>
  </cols>
  <sheetData>
    <row r="1" spans="1:40" s="33" customFormat="1" ht="22.8">
      <c r="A1" s="86" t="s">
        <v>0</v>
      </c>
      <c r="B1" s="87"/>
      <c r="C1" s="88"/>
      <c r="D1" s="1">
        <f>COUNTA(D3:D2975)</f>
        <v>1098</v>
      </c>
      <c r="E1" s="31"/>
      <c r="F1" s="2">
        <f>K225+COUNTIF(F2:F1994,"Yes")</f>
        <v>180</v>
      </c>
      <c r="G1" s="2">
        <f>COUNTA(G3:G2975)</f>
        <v>1</v>
      </c>
      <c r="H1" s="2">
        <f>COUNTA(H3:H2975)</f>
        <v>0</v>
      </c>
      <c r="I1" s="2">
        <f>COUNTA(I3:I2975)</f>
        <v>0</v>
      </c>
      <c r="J1" s="2">
        <f>COUNTA(J3:J2975)</f>
        <v>1</v>
      </c>
      <c r="K1" s="32"/>
      <c r="L1" s="31"/>
      <c r="M1" s="31"/>
      <c r="AA1" s="89" t="s">
        <v>1</v>
      </c>
      <c r="AB1" s="89"/>
      <c r="AD1" s="34"/>
      <c r="AE1" s="34"/>
      <c r="AF1" s="34"/>
      <c r="AG1" s="34"/>
    </row>
    <row r="2" spans="1:40" s="36" customFormat="1" ht="52.8">
      <c r="A2" s="3" t="s">
        <v>2</v>
      </c>
      <c r="B2" s="85" t="s">
        <v>3</v>
      </c>
      <c r="C2" s="4" t="s">
        <v>4</v>
      </c>
      <c r="D2" s="35" t="s">
        <v>5</v>
      </c>
      <c r="E2" s="5" t="s">
        <v>6</v>
      </c>
      <c r="F2" s="5" t="s">
        <v>7</v>
      </c>
      <c r="G2" s="5" t="s">
        <v>8</v>
      </c>
      <c r="H2" s="3" t="s">
        <v>9</v>
      </c>
      <c r="I2" s="6" t="s">
        <v>10</v>
      </c>
      <c r="J2" s="3" t="s">
        <v>11</v>
      </c>
      <c r="K2" s="7" t="s">
        <v>12</v>
      </c>
      <c r="L2" s="5" t="s">
        <v>13</v>
      </c>
      <c r="M2" s="6" t="s">
        <v>10</v>
      </c>
      <c r="AA2" s="8" t="s">
        <v>14</v>
      </c>
      <c r="AB2" s="37" t="s">
        <v>15</v>
      </c>
      <c r="AD2" s="38"/>
      <c r="AE2" s="38"/>
      <c r="AF2" s="38"/>
      <c r="AG2" s="38"/>
    </row>
    <row r="3" spans="1:40" ht="14.4">
      <c r="A3" s="39">
        <v>41222</v>
      </c>
      <c r="B3" s="9" t="s">
        <v>62</v>
      </c>
      <c r="C3" s="40">
        <v>20</v>
      </c>
      <c r="D3" s="41" t="s">
        <v>63</v>
      </c>
      <c r="E3" s="9" t="s">
        <v>22</v>
      </c>
      <c r="F3" s="9" t="s">
        <v>2201</v>
      </c>
      <c r="G3" s="9"/>
      <c r="H3" s="39"/>
      <c r="I3" s="9"/>
      <c r="J3" s="39"/>
      <c r="K3" s="42"/>
      <c r="L3" s="9" t="s">
        <v>42</v>
      </c>
      <c r="M3" s="16"/>
      <c r="O3" s="10"/>
      <c r="P3" s="10"/>
      <c r="Q3" s="10"/>
      <c r="R3" s="10"/>
      <c r="S3" s="10"/>
      <c r="AD3" s="45"/>
      <c r="AE3" s="45"/>
      <c r="AF3" s="45"/>
      <c r="AG3" s="45"/>
      <c r="AH3" s="45"/>
      <c r="AI3" s="12"/>
      <c r="AJ3" s="13"/>
      <c r="AK3" s="45"/>
      <c r="AL3" s="45"/>
      <c r="AM3" s="45"/>
      <c r="AN3" s="45"/>
    </row>
    <row r="4" spans="1:40" s="46" customFormat="1" ht="14.4">
      <c r="A4" s="39">
        <v>41222</v>
      </c>
      <c r="B4" s="9" t="s">
        <v>82</v>
      </c>
      <c r="C4" s="15">
        <v>9</v>
      </c>
      <c r="D4" s="41" t="s">
        <v>83</v>
      </c>
      <c r="E4" s="9" t="s">
        <v>22</v>
      </c>
      <c r="F4" s="9" t="s">
        <v>2201</v>
      </c>
      <c r="G4" s="9"/>
      <c r="H4" s="39"/>
      <c r="I4" s="9"/>
      <c r="J4" s="39"/>
      <c r="K4" s="42"/>
      <c r="L4" s="9" t="s">
        <v>42</v>
      </c>
      <c r="M4" s="16"/>
      <c r="O4" s="10"/>
      <c r="P4" s="10"/>
      <c r="Q4" s="10"/>
      <c r="R4" s="10"/>
      <c r="S4" s="10"/>
      <c r="AA4" s="14">
        <f>C4-C3</f>
        <v>-11</v>
      </c>
      <c r="AB4" s="47">
        <f>AA4-1</f>
        <v>-12</v>
      </c>
      <c r="AD4" s="45"/>
      <c r="AE4" s="45"/>
      <c r="AF4" s="45"/>
      <c r="AG4" s="45"/>
      <c r="AH4" s="45"/>
      <c r="AI4" s="12"/>
      <c r="AJ4" s="13"/>
      <c r="AK4" s="45"/>
      <c r="AL4" s="45"/>
      <c r="AM4" s="45"/>
      <c r="AN4" s="45"/>
    </row>
    <row r="5" spans="1:40" s="46" customFormat="1" ht="14.4">
      <c r="A5" s="39">
        <v>41222</v>
      </c>
      <c r="B5" s="9" t="s">
        <v>68</v>
      </c>
      <c r="C5" s="15">
        <v>17</v>
      </c>
      <c r="D5" s="41" t="s">
        <v>69</v>
      </c>
      <c r="E5" s="9" t="s">
        <v>18</v>
      </c>
      <c r="F5" s="9" t="s">
        <v>2201</v>
      </c>
      <c r="G5" s="9"/>
      <c r="H5" s="39"/>
      <c r="I5" s="9"/>
      <c r="J5" s="39"/>
      <c r="K5" s="42"/>
      <c r="L5" s="9" t="s">
        <v>70</v>
      </c>
      <c r="M5" s="16"/>
      <c r="O5" s="10"/>
      <c r="P5" s="10"/>
      <c r="Q5" s="10"/>
      <c r="R5" s="10"/>
      <c r="S5" s="10"/>
      <c r="AA5" s="14">
        <f t="shared" ref="AA5:AA67" si="0">C5-C4</f>
        <v>8</v>
      </c>
      <c r="AB5" s="47">
        <f t="shared" ref="AB5:AB67" si="1">AA5-1</f>
        <v>7</v>
      </c>
      <c r="AD5" s="45"/>
      <c r="AE5" s="45"/>
      <c r="AF5" s="45"/>
      <c r="AG5" s="45"/>
      <c r="AH5" s="45"/>
      <c r="AI5" s="12"/>
      <c r="AJ5" s="13"/>
      <c r="AK5" s="45"/>
      <c r="AL5" s="45"/>
      <c r="AM5" s="45"/>
      <c r="AN5" s="45"/>
    </row>
    <row r="6" spans="1:40" s="46" customFormat="1" ht="14.4">
      <c r="A6" s="39">
        <v>41222</v>
      </c>
      <c r="B6" s="9" t="s">
        <v>64</v>
      </c>
      <c r="C6" s="40">
        <v>19</v>
      </c>
      <c r="D6" s="41" t="s">
        <v>65</v>
      </c>
      <c r="E6" s="9" t="s">
        <v>22</v>
      </c>
      <c r="F6" s="9" t="s">
        <v>2201</v>
      </c>
      <c r="G6" s="9"/>
      <c r="H6" s="39"/>
      <c r="I6" s="9"/>
      <c r="J6" s="39"/>
      <c r="K6" s="49"/>
      <c r="L6" s="9" t="s">
        <v>66</v>
      </c>
      <c r="M6" s="16"/>
      <c r="O6" s="10"/>
      <c r="P6" s="10"/>
      <c r="Q6" s="10"/>
      <c r="R6" s="10"/>
      <c r="S6" s="10"/>
      <c r="AA6" s="14">
        <f t="shared" si="0"/>
        <v>2</v>
      </c>
      <c r="AB6" s="47">
        <f t="shared" si="1"/>
        <v>1</v>
      </c>
      <c r="AD6" s="45"/>
      <c r="AE6" s="45"/>
      <c r="AF6" s="45"/>
      <c r="AG6" s="45"/>
      <c r="AH6" s="45"/>
      <c r="AI6" s="12"/>
      <c r="AJ6" s="13"/>
      <c r="AK6" s="45"/>
      <c r="AL6" s="45"/>
      <c r="AM6" s="45"/>
      <c r="AN6" s="45"/>
    </row>
    <row r="7" spans="1:40" s="46" customFormat="1" ht="14.4">
      <c r="A7" s="39">
        <v>41222</v>
      </c>
      <c r="B7" s="9" t="s">
        <v>90</v>
      </c>
      <c r="C7" s="15">
        <v>819</v>
      </c>
      <c r="D7" s="41" t="s">
        <v>91</v>
      </c>
      <c r="E7" s="9" t="s">
        <v>57</v>
      </c>
      <c r="F7" s="9" t="s">
        <v>935</v>
      </c>
      <c r="G7" s="9"/>
      <c r="H7" s="39"/>
      <c r="I7" s="9"/>
      <c r="J7" s="39"/>
      <c r="K7" s="42"/>
      <c r="L7" s="9" t="s">
        <v>42</v>
      </c>
      <c r="M7" s="16"/>
      <c r="O7" s="10"/>
      <c r="P7" s="10"/>
      <c r="Q7" s="10"/>
      <c r="R7" s="10"/>
      <c r="S7" s="10"/>
      <c r="AA7" s="14">
        <f t="shared" si="0"/>
        <v>800</v>
      </c>
      <c r="AB7" s="47">
        <f t="shared" si="1"/>
        <v>799</v>
      </c>
      <c r="AD7" s="45"/>
      <c r="AE7" s="45"/>
      <c r="AF7" s="45"/>
      <c r="AG7" s="45"/>
      <c r="AH7" s="45"/>
      <c r="AI7" s="12"/>
      <c r="AJ7" s="13"/>
      <c r="AK7" s="45"/>
      <c r="AL7" s="45"/>
      <c r="AM7" s="45"/>
      <c r="AN7" s="45"/>
    </row>
    <row r="8" spans="1:40" s="46" customFormat="1" ht="14.4">
      <c r="A8" s="39">
        <v>41222</v>
      </c>
      <c r="B8" s="9" t="s">
        <v>55</v>
      </c>
      <c r="C8" s="40">
        <v>22</v>
      </c>
      <c r="D8" s="41" t="s">
        <v>56</v>
      </c>
      <c r="E8" s="9" t="s">
        <v>57</v>
      </c>
      <c r="F8" s="9" t="s">
        <v>2201</v>
      </c>
      <c r="G8" s="9"/>
      <c r="H8" s="39"/>
      <c r="I8" s="9"/>
      <c r="J8" s="39"/>
      <c r="K8" s="42"/>
      <c r="L8" s="9" t="s">
        <v>58</v>
      </c>
      <c r="M8" s="16"/>
      <c r="O8" s="10"/>
      <c r="P8" s="10"/>
      <c r="Q8" s="10"/>
      <c r="R8" s="10"/>
      <c r="S8" s="10"/>
      <c r="AA8" s="14">
        <f t="shared" si="0"/>
        <v>-797</v>
      </c>
      <c r="AB8" s="47">
        <f t="shared" si="1"/>
        <v>-798</v>
      </c>
      <c r="AD8" s="45"/>
      <c r="AE8" s="45"/>
      <c r="AF8" s="45"/>
      <c r="AG8" s="45"/>
      <c r="AH8" s="45"/>
      <c r="AI8" s="12"/>
      <c r="AJ8" s="13"/>
      <c r="AK8" s="45"/>
      <c r="AL8" s="45"/>
      <c r="AM8" s="45"/>
      <c r="AN8" s="45"/>
    </row>
    <row r="9" spans="1:40" s="46" customFormat="1" ht="14.4">
      <c r="A9" s="39">
        <v>41222</v>
      </c>
      <c r="B9" s="9" t="s">
        <v>52</v>
      </c>
      <c r="C9" s="15">
        <v>15</v>
      </c>
      <c r="D9" s="41" t="s">
        <v>53</v>
      </c>
      <c r="E9" s="9" t="s">
        <v>31</v>
      </c>
      <c r="F9" s="9" t="s">
        <v>2201</v>
      </c>
      <c r="G9" s="9"/>
      <c r="H9" s="39"/>
      <c r="I9" s="9"/>
      <c r="J9" s="39"/>
      <c r="K9" s="42"/>
      <c r="L9" s="9" t="s">
        <v>54</v>
      </c>
      <c r="M9" s="16"/>
      <c r="O9" s="10"/>
      <c r="P9" s="10"/>
      <c r="Q9" s="10"/>
      <c r="R9" s="10"/>
      <c r="S9" s="10"/>
      <c r="AA9" s="14">
        <f t="shared" si="0"/>
        <v>-7</v>
      </c>
      <c r="AB9" s="47">
        <f t="shared" si="1"/>
        <v>-8</v>
      </c>
      <c r="AD9" s="45"/>
      <c r="AE9" s="45"/>
      <c r="AF9" s="45"/>
      <c r="AG9" s="45"/>
      <c r="AH9" s="45"/>
      <c r="AI9" s="12"/>
      <c r="AJ9" s="13"/>
      <c r="AK9" s="45"/>
      <c r="AL9" s="45"/>
      <c r="AM9" s="45"/>
      <c r="AN9" s="45"/>
    </row>
    <row r="10" spans="1:40" s="46" customFormat="1" ht="14.4">
      <c r="A10" s="39">
        <v>41222</v>
      </c>
      <c r="B10" s="9" t="s">
        <v>29</v>
      </c>
      <c r="C10" s="15">
        <v>1</v>
      </c>
      <c r="D10" s="41" t="s">
        <v>30</v>
      </c>
      <c r="E10" s="9" t="s">
        <v>31</v>
      </c>
      <c r="F10" s="9" t="s">
        <v>2201</v>
      </c>
      <c r="G10" s="9"/>
      <c r="H10" s="39"/>
      <c r="I10" s="9"/>
      <c r="J10" s="39"/>
      <c r="K10" s="42"/>
      <c r="L10" s="9" t="s">
        <v>32</v>
      </c>
      <c r="M10" s="16"/>
      <c r="O10" s="10"/>
      <c r="P10" s="10"/>
      <c r="Q10" s="10"/>
      <c r="R10" s="10"/>
      <c r="S10" s="10"/>
      <c r="AA10" s="14">
        <f t="shared" si="0"/>
        <v>-14</v>
      </c>
      <c r="AB10" s="47">
        <f t="shared" si="1"/>
        <v>-15</v>
      </c>
      <c r="AD10" s="45"/>
      <c r="AE10" s="45"/>
      <c r="AF10" s="45"/>
      <c r="AG10" s="45"/>
      <c r="AH10" s="45"/>
      <c r="AI10" s="12"/>
      <c r="AJ10" s="13"/>
      <c r="AK10" s="45"/>
      <c r="AL10" s="45"/>
      <c r="AM10" s="45"/>
      <c r="AN10" s="45"/>
    </row>
    <row r="11" spans="1:40" s="46" customFormat="1" ht="14.4">
      <c r="A11" s="39">
        <v>41222</v>
      </c>
      <c r="B11" s="9" t="s">
        <v>591</v>
      </c>
      <c r="C11" s="15">
        <v>62</v>
      </c>
      <c r="D11" s="41" t="s">
        <v>87</v>
      </c>
      <c r="E11" s="9" t="s">
        <v>88</v>
      </c>
      <c r="F11" s="9" t="s">
        <v>935</v>
      </c>
      <c r="G11" s="9"/>
      <c r="H11" s="39"/>
      <c r="I11" s="9"/>
      <c r="J11" s="39"/>
      <c r="K11" s="42"/>
      <c r="L11" s="9" t="s">
        <v>89</v>
      </c>
      <c r="M11" s="16"/>
      <c r="O11" s="10"/>
      <c r="P11" s="10"/>
      <c r="Q11" s="10"/>
      <c r="R11" s="10"/>
      <c r="S11" s="10"/>
      <c r="AA11" s="14">
        <f t="shared" si="0"/>
        <v>61</v>
      </c>
      <c r="AB11" s="47">
        <f t="shared" si="1"/>
        <v>60</v>
      </c>
      <c r="AD11" s="45"/>
      <c r="AE11" s="45"/>
      <c r="AF11" s="45"/>
      <c r="AG11" s="45"/>
      <c r="AH11" s="45"/>
      <c r="AI11" s="12"/>
      <c r="AJ11" s="13"/>
      <c r="AK11" s="45"/>
      <c r="AL11" s="45"/>
      <c r="AM11" s="45"/>
      <c r="AN11" s="45"/>
    </row>
    <row r="12" spans="1:40" s="46" customFormat="1" ht="14.4">
      <c r="A12" s="39">
        <v>41222</v>
      </c>
      <c r="B12" s="9" t="s">
        <v>44</v>
      </c>
      <c r="C12" s="40">
        <v>11</v>
      </c>
      <c r="D12" s="41" t="s">
        <v>45</v>
      </c>
      <c r="E12" s="9" t="s">
        <v>22</v>
      </c>
      <c r="F12" s="9" t="s">
        <v>2201</v>
      </c>
      <c r="G12" s="9"/>
      <c r="H12" s="39"/>
      <c r="I12" s="9"/>
      <c r="J12" s="39"/>
      <c r="K12" s="42"/>
      <c r="L12" s="9" t="s">
        <v>42</v>
      </c>
      <c r="M12" s="16"/>
      <c r="O12" s="10"/>
      <c r="P12" s="10"/>
      <c r="Q12" s="10"/>
      <c r="R12" s="10"/>
      <c r="S12" s="10"/>
      <c r="AA12" s="14">
        <f t="shared" si="0"/>
        <v>-51</v>
      </c>
      <c r="AB12" s="47">
        <f t="shared" si="1"/>
        <v>-52</v>
      </c>
      <c r="AD12" s="45"/>
      <c r="AE12" s="45"/>
      <c r="AF12" s="45"/>
      <c r="AG12" s="45"/>
      <c r="AH12" s="45"/>
      <c r="AI12" s="12"/>
      <c r="AJ12" s="13"/>
      <c r="AK12" s="45"/>
      <c r="AL12" s="45"/>
      <c r="AM12" s="45"/>
      <c r="AN12" s="45"/>
    </row>
    <row r="13" spans="1:40" s="46" customFormat="1" ht="14.4">
      <c r="A13" s="39">
        <v>41222</v>
      </c>
      <c r="B13" s="9" t="s">
        <v>20</v>
      </c>
      <c r="C13" s="40">
        <v>10</v>
      </c>
      <c r="D13" s="41" t="s">
        <v>21</v>
      </c>
      <c r="E13" s="9" t="s">
        <v>22</v>
      </c>
      <c r="F13" s="9" t="s">
        <v>2201</v>
      </c>
      <c r="G13" s="9"/>
      <c r="H13" s="39"/>
      <c r="I13" s="9"/>
      <c r="J13" s="39"/>
      <c r="K13" s="42"/>
      <c r="L13" s="9" t="s">
        <v>19</v>
      </c>
      <c r="M13" s="16"/>
      <c r="O13" s="10"/>
      <c r="P13" s="10"/>
      <c r="Q13" s="10"/>
      <c r="R13" s="10"/>
      <c r="S13" s="10"/>
      <c r="AA13" s="14">
        <f t="shared" si="0"/>
        <v>-1</v>
      </c>
      <c r="AB13" s="47">
        <f t="shared" si="1"/>
        <v>-2</v>
      </c>
      <c r="AD13" s="45"/>
      <c r="AE13" s="45"/>
      <c r="AF13" s="45"/>
      <c r="AG13" s="45"/>
      <c r="AH13" s="45"/>
      <c r="AI13" s="12"/>
      <c r="AJ13" s="13"/>
      <c r="AK13" s="45"/>
      <c r="AL13" s="45"/>
      <c r="AM13" s="45"/>
      <c r="AN13" s="45"/>
    </row>
    <row r="14" spans="1:40" s="46" customFormat="1" ht="14.4">
      <c r="A14" s="39">
        <v>41222</v>
      </c>
      <c r="B14" s="9" t="s">
        <v>38</v>
      </c>
      <c r="C14" s="40">
        <v>4</v>
      </c>
      <c r="D14" s="41" t="s">
        <v>39</v>
      </c>
      <c r="E14" s="9" t="s">
        <v>18</v>
      </c>
      <c r="F14" s="9" t="s">
        <v>2201</v>
      </c>
      <c r="G14" s="9"/>
      <c r="H14" s="39"/>
      <c r="I14" s="9"/>
      <c r="J14" s="39"/>
      <c r="K14" s="42"/>
      <c r="L14" s="9" t="s">
        <v>40</v>
      </c>
      <c r="M14" s="16"/>
      <c r="O14" s="10"/>
      <c r="P14" s="10"/>
      <c r="Q14" s="10"/>
      <c r="R14" s="10"/>
      <c r="S14" s="10"/>
      <c r="AA14" s="14">
        <f t="shared" si="0"/>
        <v>-6</v>
      </c>
      <c r="AB14" s="47">
        <f t="shared" si="1"/>
        <v>-7</v>
      </c>
      <c r="AD14" s="45"/>
      <c r="AE14" s="45"/>
      <c r="AF14" s="45"/>
      <c r="AG14" s="45"/>
      <c r="AH14" s="45"/>
      <c r="AI14" s="12"/>
      <c r="AJ14" s="13"/>
      <c r="AK14" s="45"/>
      <c r="AL14" s="45"/>
      <c r="AM14" s="45"/>
      <c r="AN14" s="45"/>
    </row>
    <row r="15" spans="1:40" s="46" customFormat="1" ht="14.4">
      <c r="A15" s="39">
        <v>41222</v>
      </c>
      <c r="B15" s="9" t="s">
        <v>26</v>
      </c>
      <c r="C15" s="15">
        <v>7</v>
      </c>
      <c r="D15" s="41" t="s">
        <v>27</v>
      </c>
      <c r="E15" s="9" t="s">
        <v>22</v>
      </c>
      <c r="F15" s="9" t="s">
        <v>2201</v>
      </c>
      <c r="G15" s="9"/>
      <c r="H15" s="39"/>
      <c r="I15" s="9"/>
      <c r="J15" s="39"/>
      <c r="K15" s="42"/>
      <c r="L15" s="9" t="s">
        <v>28</v>
      </c>
      <c r="M15" s="16"/>
      <c r="O15" s="10"/>
      <c r="P15" s="10"/>
      <c r="Q15" s="10"/>
      <c r="R15" s="10"/>
      <c r="S15" s="10"/>
      <c r="AA15" s="14">
        <f t="shared" si="0"/>
        <v>3</v>
      </c>
      <c r="AB15" s="47">
        <f t="shared" si="1"/>
        <v>2</v>
      </c>
      <c r="AD15" s="45"/>
      <c r="AE15" s="45"/>
      <c r="AF15" s="45"/>
      <c r="AG15" s="45"/>
      <c r="AH15" s="45"/>
      <c r="AI15" s="12"/>
      <c r="AJ15" s="13"/>
      <c r="AK15" s="45"/>
      <c r="AL15" s="45"/>
      <c r="AM15" s="45"/>
      <c r="AN15" s="45"/>
    </row>
    <row r="16" spans="1:40" s="46" customFormat="1" ht="14.4">
      <c r="A16" s="39">
        <v>41222</v>
      </c>
      <c r="B16" s="9" t="s">
        <v>59</v>
      </c>
      <c r="C16" s="40">
        <v>21</v>
      </c>
      <c r="D16" s="41" t="s">
        <v>60</v>
      </c>
      <c r="E16" s="9" t="s">
        <v>22</v>
      </c>
      <c r="F16" s="9" t="s">
        <v>2201</v>
      </c>
      <c r="G16" s="9"/>
      <c r="H16" s="39"/>
      <c r="I16" s="9"/>
      <c r="J16" s="39"/>
      <c r="K16" s="42"/>
      <c r="L16" s="9" t="s">
        <v>61</v>
      </c>
      <c r="M16" s="16"/>
      <c r="O16" s="10"/>
      <c r="P16" s="10"/>
      <c r="Q16" s="10"/>
      <c r="R16" s="10"/>
      <c r="S16" s="10"/>
      <c r="AA16" s="14">
        <f t="shared" si="0"/>
        <v>14</v>
      </c>
      <c r="AB16" s="47">
        <f t="shared" si="1"/>
        <v>13</v>
      </c>
      <c r="AD16" s="45"/>
      <c r="AE16" s="45"/>
      <c r="AF16" s="45"/>
      <c r="AG16" s="45"/>
      <c r="AH16" s="45"/>
      <c r="AI16" s="12"/>
      <c r="AJ16" s="13"/>
      <c r="AK16" s="45"/>
      <c r="AL16" s="45"/>
      <c r="AM16" s="45"/>
      <c r="AN16" s="45"/>
    </row>
    <row r="17" spans="1:40" s="46" customFormat="1" ht="14.4">
      <c r="A17" s="39">
        <v>41222</v>
      </c>
      <c r="B17" s="9" t="s">
        <v>75</v>
      </c>
      <c r="C17" s="40">
        <v>24</v>
      </c>
      <c r="D17" s="41" t="s">
        <v>76</v>
      </c>
      <c r="E17" s="9" t="s">
        <v>77</v>
      </c>
      <c r="F17" s="9" t="s">
        <v>2201</v>
      </c>
      <c r="G17" s="9"/>
      <c r="H17" s="39"/>
      <c r="I17" s="9"/>
      <c r="J17" s="39"/>
      <c r="K17" s="42"/>
      <c r="L17" s="9" t="s">
        <v>2561</v>
      </c>
      <c r="M17" s="16"/>
      <c r="O17" s="10"/>
      <c r="P17" s="10"/>
      <c r="Q17" s="10"/>
      <c r="R17" s="10"/>
      <c r="S17" s="10"/>
      <c r="AA17" s="14">
        <f t="shared" si="0"/>
        <v>3</v>
      </c>
      <c r="AB17" s="47">
        <f t="shared" si="1"/>
        <v>2</v>
      </c>
      <c r="AD17" s="45"/>
      <c r="AE17" s="45"/>
      <c r="AF17" s="45"/>
      <c r="AG17" s="45"/>
      <c r="AH17" s="45"/>
      <c r="AI17" s="12"/>
      <c r="AJ17" s="13"/>
      <c r="AK17" s="45"/>
      <c r="AL17" s="45"/>
      <c r="AM17" s="45"/>
      <c r="AN17" s="45"/>
    </row>
    <row r="18" spans="1:40" s="46" customFormat="1" ht="14.4">
      <c r="A18" s="39">
        <v>41222</v>
      </c>
      <c r="B18" s="9" t="s">
        <v>1123</v>
      </c>
      <c r="C18" s="40">
        <v>3</v>
      </c>
      <c r="D18" s="41" t="s">
        <v>33</v>
      </c>
      <c r="E18" s="9" t="s">
        <v>31</v>
      </c>
      <c r="F18" s="9" t="s">
        <v>2201</v>
      </c>
      <c r="G18" s="9"/>
      <c r="H18" s="39"/>
      <c r="I18" s="9"/>
      <c r="J18" s="39"/>
      <c r="K18" s="42"/>
      <c r="L18" s="9" t="s">
        <v>34</v>
      </c>
      <c r="M18" s="16"/>
      <c r="O18" s="10"/>
      <c r="P18" s="10"/>
      <c r="Q18" s="10"/>
      <c r="R18" s="10"/>
      <c r="S18" s="10"/>
      <c r="AA18" s="14">
        <f t="shared" si="0"/>
        <v>-21</v>
      </c>
      <c r="AB18" s="47">
        <f t="shared" si="1"/>
        <v>-22</v>
      </c>
      <c r="AD18" s="45"/>
      <c r="AE18" s="45"/>
      <c r="AF18" s="45"/>
      <c r="AG18" s="45"/>
      <c r="AH18" s="45"/>
      <c r="AI18" s="12"/>
      <c r="AJ18" s="13"/>
      <c r="AK18" s="45"/>
      <c r="AL18" s="45"/>
      <c r="AM18" s="45"/>
      <c r="AN18" s="45"/>
    </row>
    <row r="19" spans="1:40" s="46" customFormat="1" ht="14.4">
      <c r="A19" s="39">
        <v>41222</v>
      </c>
      <c r="B19" s="9" t="s">
        <v>35</v>
      </c>
      <c r="C19" s="40">
        <v>2</v>
      </c>
      <c r="D19" s="41" t="s">
        <v>36</v>
      </c>
      <c r="E19" s="9" t="s">
        <v>18</v>
      </c>
      <c r="F19" s="9" t="s">
        <v>2201</v>
      </c>
      <c r="G19" s="9"/>
      <c r="H19" s="39"/>
      <c r="I19" s="9"/>
      <c r="J19" s="39"/>
      <c r="K19" s="42"/>
      <c r="L19" s="9" t="s">
        <v>37</v>
      </c>
      <c r="M19" s="16"/>
      <c r="O19" s="10"/>
      <c r="P19" s="10"/>
      <c r="Q19" s="10"/>
      <c r="R19" s="10"/>
      <c r="S19" s="10"/>
      <c r="AA19" s="14">
        <f t="shared" si="0"/>
        <v>-1</v>
      </c>
      <c r="AB19" s="47">
        <f t="shared" si="1"/>
        <v>-2</v>
      </c>
      <c r="AD19" s="45"/>
      <c r="AE19" s="45"/>
      <c r="AF19" s="45"/>
      <c r="AG19" s="45"/>
      <c r="AH19" s="45"/>
      <c r="AI19" s="12"/>
      <c r="AJ19" s="13"/>
      <c r="AK19" s="45"/>
      <c r="AL19" s="45"/>
      <c r="AM19" s="45"/>
      <c r="AN19" s="45"/>
    </row>
    <row r="20" spans="1:40" s="46" customFormat="1" ht="14.4">
      <c r="A20" s="39">
        <v>41222</v>
      </c>
      <c r="B20" s="9" t="s">
        <v>72</v>
      </c>
      <c r="C20" s="40">
        <v>23</v>
      </c>
      <c r="D20" s="41" t="s">
        <v>73</v>
      </c>
      <c r="E20" s="9" t="s">
        <v>31</v>
      </c>
      <c r="F20" s="9" t="s">
        <v>2201</v>
      </c>
      <c r="G20" s="9"/>
      <c r="H20" s="39"/>
      <c r="I20" s="9"/>
      <c r="J20" s="39"/>
      <c r="K20" s="42"/>
      <c r="L20" s="9" t="s">
        <v>74</v>
      </c>
      <c r="M20" s="16"/>
      <c r="O20" s="10"/>
      <c r="P20" s="10"/>
      <c r="Q20" s="10"/>
      <c r="R20" s="10"/>
      <c r="S20" s="10"/>
      <c r="AA20" s="14">
        <f t="shared" si="0"/>
        <v>21</v>
      </c>
      <c r="AB20" s="47">
        <f t="shared" si="1"/>
        <v>20</v>
      </c>
      <c r="AD20" s="45"/>
      <c r="AE20" s="45"/>
      <c r="AF20" s="45"/>
      <c r="AG20" s="45"/>
      <c r="AH20" s="45"/>
      <c r="AI20" s="12"/>
      <c r="AJ20" s="13"/>
      <c r="AK20" s="45"/>
      <c r="AL20" s="45"/>
      <c r="AM20" s="45"/>
      <c r="AN20" s="45"/>
    </row>
    <row r="21" spans="1:40" s="46" customFormat="1" ht="14.4">
      <c r="A21" s="39">
        <v>41222</v>
      </c>
      <c r="B21" s="9" t="s">
        <v>41</v>
      </c>
      <c r="C21" s="40">
        <v>5</v>
      </c>
      <c r="D21" s="41" t="s">
        <v>2549</v>
      </c>
      <c r="E21" s="9" t="s">
        <v>18</v>
      </c>
      <c r="F21" s="9" t="s">
        <v>2201</v>
      </c>
      <c r="G21" s="9"/>
      <c r="H21" s="39"/>
      <c r="I21" s="9"/>
      <c r="J21" s="39"/>
      <c r="K21" s="48"/>
      <c r="L21" s="9" t="s">
        <v>910</v>
      </c>
      <c r="M21" s="16"/>
      <c r="O21" s="10"/>
      <c r="P21" s="10"/>
      <c r="Q21" s="10"/>
      <c r="R21" s="10"/>
      <c r="S21" s="10"/>
      <c r="AA21" s="14">
        <f t="shared" si="0"/>
        <v>-18</v>
      </c>
      <c r="AB21" s="47">
        <f t="shared" si="1"/>
        <v>-19</v>
      </c>
      <c r="AD21" s="45"/>
      <c r="AE21" s="45"/>
      <c r="AF21" s="45"/>
      <c r="AG21" s="45"/>
      <c r="AH21" s="45"/>
      <c r="AI21" s="12"/>
      <c r="AJ21" s="13"/>
      <c r="AK21" s="45"/>
      <c r="AL21" s="45"/>
      <c r="AM21" s="45"/>
      <c r="AN21" s="45"/>
    </row>
    <row r="22" spans="1:40" s="46" customFormat="1" ht="14.4">
      <c r="A22" s="39">
        <v>41222</v>
      </c>
      <c r="B22" s="9" t="s">
        <v>49</v>
      </c>
      <c r="C22" s="40">
        <v>13</v>
      </c>
      <c r="D22" s="41" t="s">
        <v>50</v>
      </c>
      <c r="E22" s="9" t="s">
        <v>265</v>
      </c>
      <c r="F22" s="9" t="s">
        <v>2201</v>
      </c>
      <c r="G22" s="9"/>
      <c r="H22" s="39"/>
      <c r="I22" s="9"/>
      <c r="J22" s="39"/>
      <c r="K22" s="42"/>
      <c r="L22" s="9" t="s">
        <v>42</v>
      </c>
      <c r="M22" s="16" t="s">
        <v>71</v>
      </c>
      <c r="O22" s="10"/>
      <c r="P22" s="10"/>
      <c r="Q22" s="10"/>
      <c r="R22" s="10"/>
      <c r="S22" s="10"/>
      <c r="AA22" s="14">
        <f t="shared" si="0"/>
        <v>8</v>
      </c>
      <c r="AB22" s="47">
        <f t="shared" si="1"/>
        <v>7</v>
      </c>
      <c r="AD22" s="45"/>
      <c r="AE22" s="45"/>
      <c r="AF22" s="45"/>
      <c r="AG22" s="45"/>
      <c r="AH22" s="45"/>
      <c r="AI22" s="12"/>
      <c r="AJ22" s="13"/>
      <c r="AK22" s="45"/>
      <c r="AL22" s="45"/>
      <c r="AM22" s="45"/>
      <c r="AN22" s="45"/>
    </row>
    <row r="23" spans="1:40" s="46" customFormat="1" ht="14.4">
      <c r="A23" s="39">
        <v>41222</v>
      </c>
      <c r="B23" s="9" t="s">
        <v>23</v>
      </c>
      <c r="C23" s="15">
        <v>8</v>
      </c>
      <c r="D23" s="41" t="s">
        <v>24</v>
      </c>
      <c r="E23" s="9" t="s">
        <v>22</v>
      </c>
      <c r="F23" s="9" t="s">
        <v>2201</v>
      </c>
      <c r="G23" s="9"/>
      <c r="H23" s="39"/>
      <c r="I23" s="9"/>
      <c r="J23" s="39"/>
      <c r="K23" s="42"/>
      <c r="L23" s="9" t="s">
        <v>25</v>
      </c>
      <c r="M23" s="16"/>
      <c r="O23" s="10"/>
      <c r="P23" s="10"/>
      <c r="Q23" s="10"/>
      <c r="R23" s="10"/>
      <c r="S23" s="10"/>
      <c r="AA23" s="14">
        <f t="shared" si="0"/>
        <v>-5</v>
      </c>
      <c r="AB23" s="47">
        <f t="shared" si="1"/>
        <v>-6</v>
      </c>
      <c r="AD23" s="45"/>
      <c r="AE23" s="45"/>
      <c r="AF23" s="45"/>
      <c r="AG23" s="45"/>
      <c r="AH23" s="45"/>
      <c r="AI23" s="12"/>
      <c r="AJ23" s="13"/>
      <c r="AK23" s="45"/>
      <c r="AL23" s="45"/>
      <c r="AM23" s="45"/>
      <c r="AN23" s="45"/>
    </row>
    <row r="24" spans="1:40" s="46" customFormat="1" ht="14.4">
      <c r="A24" s="39">
        <v>41222</v>
      </c>
      <c r="B24" s="9" t="s">
        <v>16</v>
      </c>
      <c r="C24" s="40">
        <v>6</v>
      </c>
      <c r="D24" s="41" t="s">
        <v>17</v>
      </c>
      <c r="E24" s="9" t="s">
        <v>18</v>
      </c>
      <c r="F24" s="9" t="s">
        <v>2201</v>
      </c>
      <c r="G24" s="9"/>
      <c r="H24" s="39"/>
      <c r="I24" s="9"/>
      <c r="J24" s="39"/>
      <c r="K24" s="42"/>
      <c r="L24" s="9" t="s">
        <v>19</v>
      </c>
      <c r="M24" s="16"/>
      <c r="O24" s="10"/>
      <c r="P24" s="10"/>
      <c r="Q24" s="10"/>
      <c r="R24" s="10"/>
      <c r="S24" s="10"/>
      <c r="AA24" s="14" t="e">
        <f>C24-#REF!</f>
        <v>#REF!</v>
      </c>
      <c r="AB24" s="47" t="e">
        <f t="shared" si="1"/>
        <v>#REF!</v>
      </c>
      <c r="AD24" s="45"/>
      <c r="AE24" s="45"/>
      <c r="AF24" s="45"/>
      <c r="AG24" s="45"/>
      <c r="AH24" s="45"/>
      <c r="AI24" s="12"/>
      <c r="AJ24" s="13"/>
      <c r="AK24" s="45"/>
      <c r="AL24" s="45"/>
      <c r="AM24" s="45"/>
      <c r="AN24" s="45"/>
    </row>
    <row r="25" spans="1:40" s="46" customFormat="1" ht="14.4">
      <c r="A25" s="39">
        <v>41222</v>
      </c>
      <c r="B25" s="9" t="s">
        <v>46</v>
      </c>
      <c r="C25" s="40">
        <v>12</v>
      </c>
      <c r="D25" s="41" t="s">
        <v>47</v>
      </c>
      <c r="E25" s="9" t="s">
        <v>22</v>
      </c>
      <c r="F25" s="9" t="s">
        <v>2201</v>
      </c>
      <c r="G25" s="9"/>
      <c r="H25" s="39"/>
      <c r="I25" s="9"/>
      <c r="J25" s="39"/>
      <c r="K25" s="48"/>
      <c r="L25" s="9" t="s">
        <v>48</v>
      </c>
      <c r="M25" s="16"/>
      <c r="O25" s="10"/>
      <c r="P25" s="10"/>
      <c r="Q25" s="10"/>
      <c r="R25" s="10"/>
      <c r="S25" s="10"/>
      <c r="AA25" s="14">
        <f t="shared" si="0"/>
        <v>6</v>
      </c>
      <c r="AB25" s="47">
        <f t="shared" si="1"/>
        <v>5</v>
      </c>
      <c r="AD25" s="45"/>
      <c r="AE25" s="45"/>
      <c r="AF25" s="45"/>
      <c r="AG25" s="45"/>
      <c r="AH25" s="45"/>
      <c r="AI25" s="12"/>
      <c r="AJ25" s="13"/>
      <c r="AK25" s="45"/>
      <c r="AL25" s="45"/>
      <c r="AM25" s="45"/>
      <c r="AN25" s="45"/>
    </row>
    <row r="26" spans="1:40" s="46" customFormat="1" ht="14.4">
      <c r="A26" s="39">
        <v>41222</v>
      </c>
      <c r="B26" s="9" t="s">
        <v>84</v>
      </c>
      <c r="C26" s="15">
        <v>16</v>
      </c>
      <c r="D26" s="41" t="s">
        <v>85</v>
      </c>
      <c r="E26" s="9" t="s">
        <v>22</v>
      </c>
      <c r="F26" s="9" t="s">
        <v>2201</v>
      </c>
      <c r="G26" s="9"/>
      <c r="H26" s="39"/>
      <c r="I26" s="9"/>
      <c r="J26" s="39"/>
      <c r="K26" s="42"/>
      <c r="L26" s="9" t="s">
        <v>86</v>
      </c>
      <c r="M26" s="16"/>
      <c r="O26" s="10"/>
      <c r="P26" s="10"/>
      <c r="Q26" s="10"/>
      <c r="R26" s="10"/>
      <c r="S26" s="10"/>
      <c r="AA26" s="14">
        <f t="shared" si="0"/>
        <v>4</v>
      </c>
      <c r="AB26" s="47">
        <f t="shared" si="1"/>
        <v>3</v>
      </c>
      <c r="AD26" s="45"/>
      <c r="AE26" s="45"/>
      <c r="AF26" s="45"/>
      <c r="AG26" s="45"/>
      <c r="AH26" s="45"/>
      <c r="AI26" s="12"/>
      <c r="AJ26" s="13"/>
      <c r="AK26" s="45"/>
      <c r="AL26" s="45"/>
      <c r="AM26" s="45"/>
      <c r="AN26" s="45"/>
    </row>
    <row r="27" spans="1:40" s="46" customFormat="1" ht="14.4">
      <c r="A27" s="39">
        <v>41222</v>
      </c>
      <c r="B27" s="9" t="s">
        <v>43</v>
      </c>
      <c r="C27" s="15">
        <v>14</v>
      </c>
      <c r="D27" s="41" t="s">
        <v>823</v>
      </c>
      <c r="E27" s="9" t="s">
        <v>22</v>
      </c>
      <c r="F27" s="9" t="s">
        <v>2201</v>
      </c>
      <c r="G27" s="9"/>
      <c r="H27" s="39"/>
      <c r="I27" s="9"/>
      <c r="J27" s="39"/>
      <c r="K27" s="42"/>
      <c r="L27" s="9" t="s">
        <v>42</v>
      </c>
      <c r="M27" s="16"/>
      <c r="O27" s="10"/>
      <c r="P27" s="10"/>
      <c r="Q27" s="10"/>
      <c r="R27" s="10"/>
      <c r="S27" s="10"/>
      <c r="AA27" s="14">
        <f t="shared" si="0"/>
        <v>-2</v>
      </c>
      <c r="AB27" s="47">
        <f t="shared" si="1"/>
        <v>-3</v>
      </c>
      <c r="AD27" s="45"/>
      <c r="AE27" s="45"/>
      <c r="AF27" s="45"/>
      <c r="AG27" s="45"/>
      <c r="AH27" s="45"/>
      <c r="AI27" s="12"/>
      <c r="AJ27" s="13"/>
      <c r="AK27" s="45"/>
      <c r="AL27" s="45"/>
      <c r="AM27" s="45"/>
      <c r="AN27" s="45"/>
    </row>
    <row r="28" spans="1:40" s="46" customFormat="1" ht="14.4">
      <c r="A28" s="39">
        <v>41222</v>
      </c>
      <c r="B28" s="9" t="s">
        <v>78</v>
      </c>
      <c r="C28" s="40">
        <v>25</v>
      </c>
      <c r="D28" s="41" t="s">
        <v>79</v>
      </c>
      <c r="E28" s="9" t="s">
        <v>80</v>
      </c>
      <c r="F28" s="9" t="s">
        <v>2201</v>
      </c>
      <c r="G28" s="9"/>
      <c r="H28" s="39"/>
      <c r="I28" s="9"/>
      <c r="J28" s="39"/>
      <c r="K28" s="48"/>
      <c r="L28" s="9" t="s">
        <v>81</v>
      </c>
      <c r="M28" s="16"/>
      <c r="O28" s="10"/>
      <c r="P28" s="10"/>
      <c r="Q28" s="10"/>
      <c r="R28" s="10"/>
      <c r="S28" s="10"/>
      <c r="AA28" s="14">
        <f t="shared" si="0"/>
        <v>11</v>
      </c>
      <c r="AB28" s="47">
        <f t="shared" si="1"/>
        <v>10</v>
      </c>
      <c r="AD28" s="45"/>
      <c r="AE28" s="45"/>
      <c r="AF28" s="45"/>
      <c r="AG28" s="45"/>
      <c r="AH28" s="45"/>
      <c r="AI28" s="12"/>
      <c r="AJ28" s="13"/>
      <c r="AK28" s="45"/>
      <c r="AL28" s="45"/>
      <c r="AM28" s="45"/>
      <c r="AN28" s="45"/>
    </row>
    <row r="29" spans="1:40" s="46" customFormat="1" ht="14.4">
      <c r="A29" s="39">
        <v>41228</v>
      </c>
      <c r="B29" s="9" t="s">
        <v>574</v>
      </c>
      <c r="C29" s="40">
        <v>70</v>
      </c>
      <c r="D29" s="41" t="s">
        <v>372</v>
      </c>
      <c r="E29" s="9" t="s">
        <v>77</v>
      </c>
      <c r="F29" s="9" t="s">
        <v>479</v>
      </c>
      <c r="G29" s="9"/>
      <c r="H29" s="39"/>
      <c r="I29" s="9"/>
      <c r="J29" s="39"/>
      <c r="K29" s="42"/>
      <c r="L29" s="9" t="s">
        <v>373</v>
      </c>
      <c r="M29" s="16"/>
      <c r="O29" s="10"/>
      <c r="P29" s="10"/>
      <c r="Q29" s="10"/>
      <c r="R29" s="10"/>
      <c r="S29" s="10"/>
      <c r="AA29" s="14">
        <f t="shared" si="0"/>
        <v>45</v>
      </c>
      <c r="AB29" s="47">
        <f t="shared" si="1"/>
        <v>44</v>
      </c>
      <c r="AD29" s="45"/>
      <c r="AE29" s="45"/>
      <c r="AF29" s="45"/>
      <c r="AG29" s="45"/>
      <c r="AH29" s="45"/>
      <c r="AI29" s="12"/>
      <c r="AJ29" s="13"/>
      <c r="AK29" s="45"/>
      <c r="AL29" s="45"/>
      <c r="AM29" s="45"/>
      <c r="AN29" s="45"/>
    </row>
    <row r="30" spans="1:40" s="46" customFormat="1" ht="14.4">
      <c r="A30" s="39">
        <v>41228</v>
      </c>
      <c r="B30" s="9" t="s">
        <v>1038</v>
      </c>
      <c r="C30" s="40">
        <v>242</v>
      </c>
      <c r="D30" s="41" t="s">
        <v>142</v>
      </c>
      <c r="E30" s="9" t="s">
        <v>134</v>
      </c>
      <c r="F30" s="9" t="s">
        <v>2201</v>
      </c>
      <c r="G30" s="9"/>
      <c r="H30" s="39"/>
      <c r="I30" s="9"/>
      <c r="J30" s="39"/>
      <c r="K30" s="42"/>
      <c r="L30" s="9" t="s">
        <v>42</v>
      </c>
      <c r="M30" s="16"/>
      <c r="O30" s="10"/>
      <c r="P30" s="10"/>
      <c r="Q30" s="10"/>
      <c r="R30" s="10"/>
      <c r="S30" s="10"/>
      <c r="AA30" s="14">
        <f t="shared" si="0"/>
        <v>172</v>
      </c>
      <c r="AB30" s="47">
        <f t="shared" si="1"/>
        <v>171</v>
      </c>
      <c r="AD30" s="45"/>
      <c r="AE30" s="45"/>
      <c r="AF30" s="45"/>
      <c r="AG30" s="45"/>
      <c r="AH30" s="45"/>
      <c r="AI30" s="12"/>
      <c r="AJ30" s="13"/>
      <c r="AK30" s="45"/>
      <c r="AL30" s="45"/>
      <c r="AM30" s="45"/>
      <c r="AN30" s="45"/>
    </row>
    <row r="31" spans="1:40" s="46" customFormat="1" ht="14.4">
      <c r="A31" s="39">
        <v>41228</v>
      </c>
      <c r="B31" s="9" t="s">
        <v>1039</v>
      </c>
      <c r="C31" s="40">
        <v>245</v>
      </c>
      <c r="D31" s="41" t="s">
        <v>143</v>
      </c>
      <c r="E31" s="9" t="s">
        <v>134</v>
      </c>
      <c r="F31" s="9" t="s">
        <v>2201</v>
      </c>
      <c r="G31" s="9"/>
      <c r="H31" s="39"/>
      <c r="I31" s="9"/>
      <c r="J31" s="39"/>
      <c r="K31" s="42"/>
      <c r="L31" s="9" t="s">
        <v>42</v>
      </c>
      <c r="M31" s="16"/>
      <c r="O31" s="10"/>
      <c r="P31" s="10"/>
      <c r="Q31" s="10"/>
      <c r="R31" s="10"/>
      <c r="S31" s="10"/>
      <c r="AA31" s="14">
        <f t="shared" si="0"/>
        <v>3</v>
      </c>
      <c r="AB31" s="47">
        <f t="shared" si="1"/>
        <v>2</v>
      </c>
      <c r="AD31" s="45"/>
      <c r="AE31" s="45"/>
      <c r="AF31" s="45"/>
      <c r="AG31" s="45"/>
      <c r="AH31" s="45"/>
      <c r="AI31" s="12"/>
      <c r="AJ31" s="13"/>
      <c r="AK31" s="45"/>
      <c r="AL31" s="45"/>
      <c r="AM31" s="45"/>
      <c r="AN31" s="45"/>
    </row>
    <row r="32" spans="1:40" s="46" customFormat="1" ht="14.4">
      <c r="A32" s="39">
        <v>41228</v>
      </c>
      <c r="B32" s="9"/>
      <c r="C32" s="40"/>
      <c r="D32" s="41" t="s">
        <v>291</v>
      </c>
      <c r="E32" s="9" t="s">
        <v>18</v>
      </c>
      <c r="F32" s="9" t="s">
        <v>479</v>
      </c>
      <c r="G32" s="9"/>
      <c r="H32" s="39"/>
      <c r="I32" s="9"/>
      <c r="J32" s="39"/>
      <c r="K32" s="42"/>
      <c r="L32" s="9" t="s">
        <v>42</v>
      </c>
      <c r="M32" s="16"/>
      <c r="O32" s="10"/>
      <c r="P32" s="10"/>
      <c r="Q32" s="10"/>
      <c r="R32" s="10"/>
      <c r="S32" s="10"/>
      <c r="AA32" s="14">
        <f t="shared" si="0"/>
        <v>-245</v>
      </c>
      <c r="AB32" s="47">
        <f t="shared" si="1"/>
        <v>-246</v>
      </c>
      <c r="AD32" s="45"/>
      <c r="AE32" s="45"/>
      <c r="AF32" s="45"/>
      <c r="AG32" s="45"/>
      <c r="AH32" s="45"/>
      <c r="AI32" s="12"/>
      <c r="AJ32" s="13"/>
      <c r="AK32" s="45"/>
      <c r="AL32" s="45"/>
      <c r="AM32" s="45"/>
      <c r="AN32" s="45"/>
    </row>
    <row r="33" spans="1:40" s="46" customFormat="1" ht="14.4">
      <c r="A33" s="39">
        <v>41228</v>
      </c>
      <c r="B33" s="9"/>
      <c r="C33" s="40"/>
      <c r="D33" s="41" t="s">
        <v>376</v>
      </c>
      <c r="E33" s="9" t="s">
        <v>77</v>
      </c>
      <c r="F33" s="9" t="s">
        <v>479</v>
      </c>
      <c r="G33" s="9"/>
      <c r="H33" s="39"/>
      <c r="I33" s="9"/>
      <c r="J33" s="39"/>
      <c r="K33" s="48"/>
      <c r="L33" s="9" t="s">
        <v>377</v>
      </c>
      <c r="M33" s="16"/>
      <c r="O33" s="10"/>
      <c r="P33" s="10"/>
      <c r="Q33" s="10"/>
      <c r="R33" s="10"/>
      <c r="S33" s="10"/>
      <c r="AA33" s="14">
        <f t="shared" si="0"/>
        <v>0</v>
      </c>
      <c r="AB33" s="47">
        <f t="shared" si="1"/>
        <v>-1</v>
      </c>
      <c r="AD33" s="45"/>
      <c r="AE33" s="45"/>
      <c r="AF33" s="45"/>
      <c r="AG33" s="45"/>
      <c r="AH33" s="45"/>
      <c r="AI33" s="12"/>
      <c r="AJ33" s="13"/>
      <c r="AK33" s="45"/>
      <c r="AL33" s="45"/>
      <c r="AM33" s="45"/>
      <c r="AN33" s="45"/>
    </row>
    <row r="34" spans="1:40" s="46" customFormat="1" ht="14.4">
      <c r="A34" s="39">
        <v>41228</v>
      </c>
      <c r="B34" s="9" t="s">
        <v>94</v>
      </c>
      <c r="C34" s="40">
        <v>44</v>
      </c>
      <c r="D34" s="41" t="s">
        <v>95</v>
      </c>
      <c r="E34" s="9" t="s">
        <v>96</v>
      </c>
      <c r="F34" s="9" t="s">
        <v>2201</v>
      </c>
      <c r="G34" s="9"/>
      <c r="H34" s="39"/>
      <c r="I34" s="9"/>
      <c r="J34" s="39"/>
      <c r="K34" s="42"/>
      <c r="L34" s="9" t="s">
        <v>97</v>
      </c>
      <c r="M34" s="16"/>
      <c r="O34" s="10"/>
      <c r="P34" s="10"/>
      <c r="Q34" s="10"/>
      <c r="R34" s="10"/>
      <c r="S34" s="10"/>
      <c r="AA34" s="14">
        <f t="shared" si="0"/>
        <v>44</v>
      </c>
      <c r="AB34" s="47">
        <f t="shared" si="1"/>
        <v>43</v>
      </c>
      <c r="AD34" s="45"/>
      <c r="AE34" s="45"/>
      <c r="AF34" s="45"/>
      <c r="AG34" s="45"/>
      <c r="AH34" s="45"/>
      <c r="AI34" s="12"/>
      <c r="AJ34" s="13"/>
      <c r="AK34" s="45"/>
      <c r="AL34" s="45"/>
      <c r="AM34" s="45"/>
      <c r="AN34" s="45"/>
    </row>
    <row r="35" spans="1:40" s="46" customFormat="1" ht="14.4">
      <c r="A35" s="39">
        <v>41228</v>
      </c>
      <c r="B35" s="9" t="s">
        <v>555</v>
      </c>
      <c r="C35" s="40">
        <v>51</v>
      </c>
      <c r="D35" s="41" t="s">
        <v>391</v>
      </c>
      <c r="E35" s="9" t="s">
        <v>96</v>
      </c>
      <c r="F35" s="9" t="s">
        <v>935</v>
      </c>
      <c r="G35" s="9"/>
      <c r="H35" s="39"/>
      <c r="I35" s="9"/>
      <c r="J35" s="39"/>
      <c r="K35" s="42"/>
      <c r="L35" s="9" t="s">
        <v>392</v>
      </c>
      <c r="M35" s="16"/>
      <c r="O35" s="10"/>
      <c r="P35" s="10"/>
      <c r="Q35" s="10"/>
      <c r="R35" s="10"/>
      <c r="S35" s="10"/>
      <c r="AA35" s="14">
        <f t="shared" si="0"/>
        <v>7</v>
      </c>
      <c r="AB35" s="47">
        <f t="shared" si="1"/>
        <v>6</v>
      </c>
      <c r="AD35" s="45"/>
      <c r="AE35" s="45"/>
      <c r="AF35" s="45"/>
      <c r="AG35" s="45"/>
      <c r="AH35" s="45"/>
      <c r="AI35" s="12"/>
      <c r="AJ35" s="13"/>
      <c r="AK35" s="45"/>
      <c r="AL35" s="45"/>
      <c r="AM35" s="45"/>
      <c r="AN35" s="45"/>
    </row>
    <row r="36" spans="1:40" s="46" customFormat="1" ht="14.4">
      <c r="A36" s="39">
        <v>41228</v>
      </c>
      <c r="B36" s="9" t="s">
        <v>554</v>
      </c>
      <c r="C36" s="40">
        <v>67</v>
      </c>
      <c r="D36" s="41" t="s">
        <v>553</v>
      </c>
      <c r="E36" s="9" t="s">
        <v>300</v>
      </c>
      <c r="F36" s="9" t="s">
        <v>479</v>
      </c>
      <c r="G36" s="9"/>
      <c r="H36" s="39"/>
      <c r="I36" s="9"/>
      <c r="J36" s="39"/>
      <c r="K36" s="42"/>
      <c r="L36" s="9" t="s">
        <v>310</v>
      </c>
      <c r="M36" s="16"/>
      <c r="O36" s="10"/>
      <c r="P36" s="10"/>
      <c r="Q36" s="10"/>
      <c r="R36" s="10"/>
      <c r="S36" s="10"/>
      <c r="AA36" s="14">
        <f t="shared" si="0"/>
        <v>16</v>
      </c>
      <c r="AB36" s="47">
        <f t="shared" si="1"/>
        <v>15</v>
      </c>
      <c r="AD36" s="45"/>
      <c r="AE36" s="45"/>
      <c r="AF36" s="45"/>
      <c r="AG36" s="45"/>
      <c r="AH36" s="45"/>
      <c r="AI36" s="12"/>
      <c r="AJ36" s="13"/>
      <c r="AK36" s="45"/>
      <c r="AL36" s="45"/>
      <c r="AM36" s="45"/>
      <c r="AN36" s="45"/>
    </row>
    <row r="37" spans="1:40" s="46" customFormat="1" ht="14.4">
      <c r="A37" s="39">
        <v>41228</v>
      </c>
      <c r="B37" s="9" t="s">
        <v>2884</v>
      </c>
      <c r="C37" s="40">
        <v>858</v>
      </c>
      <c r="D37" s="41" t="s">
        <v>934</v>
      </c>
      <c r="E37" s="9" t="s">
        <v>931</v>
      </c>
      <c r="F37" s="9" t="s">
        <v>935</v>
      </c>
      <c r="G37" s="9"/>
      <c r="H37" s="39"/>
      <c r="I37" s="9"/>
      <c r="J37" s="39"/>
      <c r="K37" s="42"/>
      <c r="L37" s="9"/>
      <c r="M37" s="16"/>
      <c r="O37" s="10"/>
      <c r="P37" s="10"/>
      <c r="Q37" s="10"/>
      <c r="R37" s="10"/>
      <c r="S37" s="10"/>
      <c r="AA37" s="14">
        <f t="shared" si="0"/>
        <v>791</v>
      </c>
      <c r="AB37" s="47">
        <f t="shared" si="1"/>
        <v>790</v>
      </c>
      <c r="AD37" s="45"/>
      <c r="AE37" s="45"/>
      <c r="AF37" s="45"/>
      <c r="AG37" s="45"/>
      <c r="AH37" s="45"/>
      <c r="AI37" s="12"/>
      <c r="AJ37" s="13"/>
      <c r="AK37" s="45"/>
      <c r="AL37" s="45"/>
      <c r="AM37" s="45"/>
      <c r="AN37" s="45"/>
    </row>
    <row r="38" spans="1:40" s="46" customFormat="1" ht="14.4">
      <c r="A38" s="39">
        <v>41228</v>
      </c>
      <c r="B38" s="9" t="s">
        <v>589</v>
      </c>
      <c r="C38" s="40">
        <v>49</v>
      </c>
      <c r="D38" s="41" t="s">
        <v>227</v>
      </c>
      <c r="E38" s="9" t="s">
        <v>88</v>
      </c>
      <c r="F38" s="9" t="s">
        <v>2201</v>
      </c>
      <c r="G38" s="9"/>
      <c r="H38" s="39"/>
      <c r="I38" s="9"/>
      <c r="J38" s="39"/>
      <c r="K38" s="42"/>
      <c r="L38" s="9" t="s">
        <v>228</v>
      </c>
      <c r="M38" s="16"/>
      <c r="O38" s="10"/>
      <c r="P38" s="10"/>
      <c r="Q38" s="10"/>
      <c r="R38" s="10"/>
      <c r="S38" s="10"/>
      <c r="AA38" s="14">
        <f t="shared" si="0"/>
        <v>-809</v>
      </c>
      <c r="AB38" s="47">
        <f t="shared" si="1"/>
        <v>-810</v>
      </c>
      <c r="AD38" s="45"/>
      <c r="AE38" s="45"/>
      <c r="AF38" s="45"/>
      <c r="AG38" s="45"/>
      <c r="AH38" s="45"/>
      <c r="AI38" s="12"/>
      <c r="AJ38" s="13"/>
      <c r="AK38" s="45"/>
      <c r="AL38" s="45"/>
      <c r="AM38" s="45"/>
      <c r="AN38" s="45"/>
    </row>
    <row r="39" spans="1:40" s="46" customFormat="1" ht="14.4">
      <c r="A39" s="39">
        <v>41228</v>
      </c>
      <c r="B39" s="9" t="s">
        <v>1143</v>
      </c>
      <c r="C39" s="40">
        <v>170</v>
      </c>
      <c r="D39" s="41" t="s">
        <v>226</v>
      </c>
      <c r="E39" s="9" t="s">
        <v>88</v>
      </c>
      <c r="F39" s="9" t="s">
        <v>2201</v>
      </c>
      <c r="G39" s="9"/>
      <c r="H39" s="39"/>
      <c r="I39" s="9"/>
      <c r="J39" s="39"/>
      <c r="K39" s="42"/>
      <c r="L39" s="9" t="s">
        <v>42</v>
      </c>
      <c r="M39" s="16"/>
      <c r="O39" s="10"/>
      <c r="P39" s="10"/>
      <c r="Q39" s="10"/>
      <c r="R39" s="10"/>
      <c r="S39" s="10"/>
      <c r="AA39" s="14">
        <f t="shared" si="0"/>
        <v>121</v>
      </c>
      <c r="AB39" s="47">
        <f t="shared" si="1"/>
        <v>120</v>
      </c>
      <c r="AD39" s="45"/>
      <c r="AE39" s="45"/>
      <c r="AF39" s="45"/>
      <c r="AG39" s="45"/>
      <c r="AH39" s="45"/>
      <c r="AI39" s="12"/>
      <c r="AJ39" s="13"/>
      <c r="AK39" s="45"/>
      <c r="AL39" s="45"/>
      <c r="AM39" s="45"/>
      <c r="AN39" s="45"/>
    </row>
    <row r="40" spans="1:40" s="46" customFormat="1" ht="14.4">
      <c r="A40" s="39">
        <v>41228</v>
      </c>
      <c r="B40" s="9" t="s">
        <v>1142</v>
      </c>
      <c r="C40" s="40">
        <v>169</v>
      </c>
      <c r="D40" s="41" t="s">
        <v>225</v>
      </c>
      <c r="E40" s="9" t="s">
        <v>88</v>
      </c>
      <c r="F40" s="9" t="s">
        <v>2201</v>
      </c>
      <c r="G40" s="9"/>
      <c r="H40" s="39"/>
      <c r="I40" s="9"/>
      <c r="J40" s="39"/>
      <c r="K40" s="42"/>
      <c r="L40" s="9" t="s">
        <v>42</v>
      </c>
      <c r="M40" s="16"/>
      <c r="O40" s="10"/>
      <c r="P40" s="10"/>
      <c r="Q40" s="10"/>
      <c r="R40" s="10"/>
      <c r="S40" s="10"/>
      <c r="AA40" s="14">
        <f t="shared" si="0"/>
        <v>-1</v>
      </c>
      <c r="AB40" s="47">
        <f t="shared" si="1"/>
        <v>-2</v>
      </c>
      <c r="AD40" s="45"/>
      <c r="AE40" s="45"/>
      <c r="AF40" s="45"/>
      <c r="AG40" s="45"/>
      <c r="AH40" s="45"/>
      <c r="AI40" s="12"/>
      <c r="AJ40" s="13"/>
      <c r="AK40" s="45"/>
      <c r="AL40" s="45"/>
      <c r="AM40" s="45"/>
      <c r="AN40" s="45"/>
    </row>
    <row r="41" spans="1:40" s="46" customFormat="1" ht="14.4">
      <c r="A41" s="39">
        <v>41228</v>
      </c>
      <c r="B41" s="9" t="s">
        <v>582</v>
      </c>
      <c r="C41" s="40">
        <v>102</v>
      </c>
      <c r="D41" s="41" t="s">
        <v>297</v>
      </c>
      <c r="E41" s="9" t="s">
        <v>18</v>
      </c>
      <c r="F41" s="9" t="s">
        <v>479</v>
      </c>
      <c r="G41" s="9"/>
      <c r="H41" s="39"/>
      <c r="I41" s="9"/>
      <c r="J41" s="39"/>
      <c r="K41" s="42"/>
      <c r="L41" s="9" t="s">
        <v>298</v>
      </c>
      <c r="M41" s="16"/>
      <c r="O41" s="10"/>
      <c r="P41" s="10"/>
      <c r="Q41" s="10"/>
      <c r="R41" s="10"/>
      <c r="S41" s="10"/>
      <c r="AA41" s="14">
        <f t="shared" si="0"/>
        <v>-67</v>
      </c>
      <c r="AB41" s="47">
        <f t="shared" si="1"/>
        <v>-68</v>
      </c>
      <c r="AD41" s="45"/>
      <c r="AE41" s="45"/>
      <c r="AF41" s="45"/>
      <c r="AG41" s="45"/>
      <c r="AH41" s="45"/>
      <c r="AI41" s="12"/>
      <c r="AJ41" s="13"/>
      <c r="AK41" s="45"/>
      <c r="AL41" s="45"/>
      <c r="AM41" s="45"/>
      <c r="AN41" s="45"/>
    </row>
    <row r="42" spans="1:40" s="46" customFormat="1" ht="14.4">
      <c r="A42" s="39">
        <v>41228</v>
      </c>
      <c r="B42" s="9" t="s">
        <v>572</v>
      </c>
      <c r="C42" s="40">
        <v>64</v>
      </c>
      <c r="D42" s="41" t="s">
        <v>378</v>
      </c>
      <c r="E42" s="9" t="s">
        <v>77</v>
      </c>
      <c r="F42" s="9" t="s">
        <v>479</v>
      </c>
      <c r="G42" s="9"/>
      <c r="H42" s="39"/>
      <c r="I42" s="9"/>
      <c r="J42" s="39"/>
      <c r="K42" s="42"/>
      <c r="L42" s="9" t="s">
        <v>379</v>
      </c>
      <c r="M42" s="16"/>
      <c r="O42" s="10"/>
      <c r="P42" s="10"/>
      <c r="Q42" s="10"/>
      <c r="R42" s="10"/>
      <c r="S42" s="10"/>
      <c r="AA42" s="14">
        <f t="shared" si="0"/>
        <v>-38</v>
      </c>
      <c r="AB42" s="47">
        <f t="shared" si="1"/>
        <v>-39</v>
      </c>
      <c r="AD42" s="45"/>
      <c r="AE42" s="45"/>
      <c r="AF42" s="45"/>
      <c r="AG42" s="45"/>
      <c r="AH42" s="45"/>
      <c r="AI42" s="12"/>
      <c r="AJ42" s="13"/>
      <c r="AK42" s="45"/>
      <c r="AL42" s="45"/>
      <c r="AM42" s="45"/>
      <c r="AN42" s="45"/>
    </row>
    <row r="43" spans="1:40" s="46" customFormat="1" ht="14.4">
      <c r="A43" s="39">
        <v>41228</v>
      </c>
      <c r="B43" s="9" t="s">
        <v>1096</v>
      </c>
      <c r="C43" s="40">
        <v>113</v>
      </c>
      <c r="D43" s="41" t="s">
        <v>362</v>
      </c>
      <c r="E43" s="9" t="s">
        <v>77</v>
      </c>
      <c r="F43" s="9" t="s">
        <v>479</v>
      </c>
      <c r="G43" s="9"/>
      <c r="H43" s="39"/>
      <c r="I43" s="9"/>
      <c r="J43" s="39"/>
      <c r="K43" s="42"/>
      <c r="L43" s="9" t="s">
        <v>363</v>
      </c>
      <c r="M43" s="16"/>
      <c r="O43" s="10"/>
      <c r="P43" s="10"/>
      <c r="Q43" s="10"/>
      <c r="R43" s="10"/>
      <c r="S43" s="10"/>
      <c r="AA43" s="14">
        <f t="shared" si="0"/>
        <v>49</v>
      </c>
      <c r="AB43" s="47">
        <f t="shared" si="1"/>
        <v>48</v>
      </c>
      <c r="AD43" s="45"/>
      <c r="AE43" s="45"/>
      <c r="AF43" s="45"/>
      <c r="AG43" s="45"/>
      <c r="AH43" s="45"/>
      <c r="AI43" s="12"/>
      <c r="AJ43" s="13"/>
      <c r="AK43" s="45"/>
      <c r="AL43" s="45"/>
      <c r="AM43" s="45"/>
      <c r="AN43" s="45"/>
    </row>
    <row r="44" spans="1:40" s="46" customFormat="1" ht="14.4">
      <c r="A44" s="39">
        <v>41228</v>
      </c>
      <c r="B44" s="9" t="s">
        <v>1051</v>
      </c>
      <c r="C44" s="40">
        <v>116</v>
      </c>
      <c r="D44" s="41" t="s">
        <v>149</v>
      </c>
      <c r="E44" s="9" t="s">
        <v>80</v>
      </c>
      <c r="F44" s="9" t="s">
        <v>2201</v>
      </c>
      <c r="G44" s="9"/>
      <c r="H44" s="39"/>
      <c r="I44" s="9"/>
      <c r="J44" s="39"/>
      <c r="K44" s="42"/>
      <c r="L44" s="9" t="s">
        <v>42</v>
      </c>
      <c r="M44" s="16"/>
      <c r="O44" s="10"/>
      <c r="P44" s="10"/>
      <c r="Q44" s="10"/>
      <c r="R44" s="10"/>
      <c r="S44" s="10"/>
      <c r="AA44" s="14">
        <f t="shared" si="0"/>
        <v>3</v>
      </c>
      <c r="AB44" s="47">
        <f t="shared" si="1"/>
        <v>2</v>
      </c>
      <c r="AD44" s="45"/>
      <c r="AE44" s="45"/>
      <c r="AF44" s="45"/>
      <c r="AG44" s="45"/>
      <c r="AH44" s="45"/>
      <c r="AI44" s="12"/>
      <c r="AJ44" s="13"/>
      <c r="AK44" s="45"/>
      <c r="AL44" s="45"/>
      <c r="AM44" s="45"/>
      <c r="AN44" s="45"/>
    </row>
    <row r="45" spans="1:40" s="46" customFormat="1" ht="14.4">
      <c r="A45" s="39">
        <v>41228</v>
      </c>
      <c r="B45" s="9" t="s">
        <v>1136</v>
      </c>
      <c r="C45" s="40">
        <v>69</v>
      </c>
      <c r="D45" s="41" t="s">
        <v>299</v>
      </c>
      <c r="E45" s="9" t="s">
        <v>300</v>
      </c>
      <c r="F45" s="9" t="s">
        <v>479</v>
      </c>
      <c r="G45" s="9"/>
      <c r="H45" s="39"/>
      <c r="I45" s="9"/>
      <c r="J45" s="39"/>
      <c r="K45" s="42"/>
      <c r="L45" s="9" t="s">
        <v>301</v>
      </c>
      <c r="M45" s="16"/>
      <c r="O45" s="10"/>
      <c r="P45" s="10"/>
      <c r="Q45" s="10"/>
      <c r="R45" s="10"/>
      <c r="S45" s="10"/>
      <c r="AA45" s="14">
        <f t="shared" si="0"/>
        <v>-47</v>
      </c>
      <c r="AB45" s="47">
        <f t="shared" si="1"/>
        <v>-48</v>
      </c>
      <c r="AD45" s="45"/>
      <c r="AE45" s="45"/>
      <c r="AF45" s="45"/>
      <c r="AG45" s="45"/>
      <c r="AH45" s="45"/>
      <c r="AI45" s="12"/>
      <c r="AJ45" s="13"/>
      <c r="AK45" s="45"/>
      <c r="AL45" s="45"/>
      <c r="AM45" s="45"/>
      <c r="AN45" s="45"/>
    </row>
    <row r="46" spans="1:40" s="46" customFormat="1" ht="14.4">
      <c r="A46" s="39">
        <v>41228</v>
      </c>
      <c r="B46" s="9" t="s">
        <v>579</v>
      </c>
      <c r="C46" s="40">
        <v>95</v>
      </c>
      <c r="D46" s="41" t="s">
        <v>384</v>
      </c>
      <c r="E46" s="9" t="s">
        <v>22</v>
      </c>
      <c r="F46" s="9" t="s">
        <v>479</v>
      </c>
      <c r="G46" s="9"/>
      <c r="H46" s="39"/>
      <c r="I46" s="9"/>
      <c r="J46" s="39"/>
      <c r="K46" s="42"/>
      <c r="L46" s="9" t="s">
        <v>385</v>
      </c>
      <c r="M46" s="16"/>
      <c r="O46" s="10"/>
      <c r="P46" s="10"/>
      <c r="Q46" s="10"/>
      <c r="R46" s="10"/>
      <c r="S46" s="10"/>
      <c r="AA46" s="14">
        <f t="shared" si="0"/>
        <v>26</v>
      </c>
      <c r="AB46" s="47">
        <f t="shared" si="1"/>
        <v>25</v>
      </c>
      <c r="AD46" s="45"/>
      <c r="AE46" s="45"/>
      <c r="AF46" s="45"/>
      <c r="AG46" s="45"/>
      <c r="AH46" s="45"/>
      <c r="AI46" s="12"/>
      <c r="AJ46" s="13"/>
      <c r="AK46" s="45"/>
      <c r="AL46" s="45"/>
      <c r="AM46" s="45"/>
      <c r="AN46" s="45"/>
    </row>
    <row r="47" spans="1:40" s="46" customFormat="1" ht="14.4">
      <c r="A47" s="39">
        <v>41228</v>
      </c>
      <c r="B47" s="9" t="s">
        <v>569</v>
      </c>
      <c r="C47" s="40">
        <v>58</v>
      </c>
      <c r="D47" s="41" t="s">
        <v>289</v>
      </c>
      <c r="E47" s="9" t="s">
        <v>274</v>
      </c>
      <c r="F47" s="9" t="s">
        <v>479</v>
      </c>
      <c r="G47" s="9"/>
      <c r="H47" s="39"/>
      <c r="I47" s="9"/>
      <c r="J47" s="39"/>
      <c r="K47" s="42"/>
      <c r="L47" s="9" t="s">
        <v>290</v>
      </c>
      <c r="M47" s="16"/>
      <c r="O47" s="10"/>
      <c r="P47" s="10"/>
      <c r="Q47" s="10"/>
      <c r="R47" s="10"/>
      <c r="S47" s="10"/>
      <c r="AA47" s="14">
        <f t="shared" si="0"/>
        <v>-37</v>
      </c>
      <c r="AB47" s="47">
        <f t="shared" si="1"/>
        <v>-38</v>
      </c>
      <c r="AD47" s="45"/>
      <c r="AE47" s="45"/>
      <c r="AF47" s="45"/>
      <c r="AG47" s="45"/>
      <c r="AH47" s="45"/>
      <c r="AI47" s="12"/>
      <c r="AJ47" s="13"/>
      <c r="AK47" s="45"/>
      <c r="AL47" s="45"/>
      <c r="AM47" s="45"/>
      <c r="AN47" s="45"/>
    </row>
    <row r="48" spans="1:40" s="46" customFormat="1" ht="14.4">
      <c r="A48" s="39">
        <v>41228</v>
      </c>
      <c r="B48" s="9" t="s">
        <v>1037</v>
      </c>
      <c r="C48" s="40">
        <v>232</v>
      </c>
      <c r="D48" s="41" t="s">
        <v>141</v>
      </c>
      <c r="E48" s="9" t="s">
        <v>134</v>
      </c>
      <c r="F48" s="9" t="s">
        <v>2201</v>
      </c>
      <c r="G48" s="9"/>
      <c r="H48" s="39"/>
      <c r="I48" s="9"/>
      <c r="J48" s="39"/>
      <c r="K48" s="42"/>
      <c r="L48" s="9" t="s">
        <v>42</v>
      </c>
      <c r="M48" s="16"/>
      <c r="O48" s="10"/>
      <c r="P48" s="10"/>
      <c r="Q48" s="10"/>
      <c r="R48" s="10"/>
      <c r="S48" s="10"/>
      <c r="AA48" s="14">
        <f t="shared" si="0"/>
        <v>174</v>
      </c>
      <c r="AB48" s="47">
        <f t="shared" si="1"/>
        <v>173</v>
      </c>
      <c r="AD48" s="45"/>
      <c r="AE48" s="45"/>
      <c r="AF48" s="45"/>
      <c r="AG48" s="45"/>
      <c r="AH48" s="45"/>
      <c r="AI48" s="12"/>
      <c r="AJ48" s="13"/>
      <c r="AK48" s="45"/>
      <c r="AL48" s="45"/>
      <c r="AM48" s="45"/>
      <c r="AN48" s="45"/>
    </row>
    <row r="49" spans="1:40" s="46" customFormat="1" ht="14.4">
      <c r="A49" s="39">
        <v>41228</v>
      </c>
      <c r="B49" s="9"/>
      <c r="C49" s="40"/>
      <c r="D49" s="41" t="s">
        <v>319</v>
      </c>
      <c r="E49" s="9" t="s">
        <v>300</v>
      </c>
      <c r="F49" s="9" t="s">
        <v>479</v>
      </c>
      <c r="G49" s="9"/>
      <c r="H49" s="39"/>
      <c r="I49" s="9"/>
      <c r="J49" s="39"/>
      <c r="K49" s="42"/>
      <c r="L49" s="9" t="s">
        <v>301</v>
      </c>
      <c r="M49" s="16"/>
      <c r="O49" s="10"/>
      <c r="P49" s="10"/>
      <c r="Q49" s="10"/>
      <c r="R49" s="10"/>
      <c r="S49" s="10"/>
      <c r="AA49" s="14">
        <f t="shared" si="0"/>
        <v>-232</v>
      </c>
      <c r="AB49" s="47">
        <f t="shared" si="1"/>
        <v>-233</v>
      </c>
      <c r="AD49" s="45"/>
      <c r="AE49" s="45"/>
      <c r="AF49" s="45"/>
      <c r="AG49" s="45"/>
      <c r="AH49" s="45"/>
      <c r="AI49" s="12"/>
      <c r="AJ49" s="13"/>
      <c r="AK49" s="45"/>
      <c r="AL49" s="45"/>
      <c r="AM49" s="45"/>
      <c r="AN49" s="45"/>
    </row>
    <row r="50" spans="1:40" s="46" customFormat="1" ht="14.4">
      <c r="A50" s="39">
        <v>41228</v>
      </c>
      <c r="B50" s="9" t="s">
        <v>559</v>
      </c>
      <c r="C50" s="40">
        <v>65</v>
      </c>
      <c r="D50" s="41" t="s">
        <v>333</v>
      </c>
      <c r="E50" s="9" t="s">
        <v>51</v>
      </c>
      <c r="F50" s="9" t="s">
        <v>479</v>
      </c>
      <c r="G50" s="9"/>
      <c r="H50" s="39"/>
      <c r="I50" s="9"/>
      <c r="J50" s="39"/>
      <c r="K50" s="42"/>
      <c r="L50" s="9" t="s">
        <v>334</v>
      </c>
      <c r="M50" s="16"/>
      <c r="O50" s="10"/>
      <c r="P50" s="10"/>
      <c r="Q50" s="10"/>
      <c r="R50" s="10"/>
      <c r="S50" s="10"/>
      <c r="AA50" s="14">
        <f t="shared" si="0"/>
        <v>65</v>
      </c>
      <c r="AB50" s="47">
        <f t="shared" si="1"/>
        <v>64</v>
      </c>
      <c r="AD50" s="45"/>
      <c r="AE50" s="45"/>
      <c r="AF50" s="45"/>
      <c r="AG50" s="45"/>
      <c r="AH50" s="45"/>
      <c r="AI50" s="12"/>
      <c r="AJ50" s="13"/>
      <c r="AK50" s="45"/>
      <c r="AL50" s="45"/>
      <c r="AM50" s="45"/>
      <c r="AN50" s="45"/>
    </row>
    <row r="51" spans="1:40" s="46" customFormat="1" ht="14.4">
      <c r="A51" s="39">
        <v>41228</v>
      </c>
      <c r="B51" s="9" t="s">
        <v>556</v>
      </c>
      <c r="C51" s="40">
        <v>71</v>
      </c>
      <c r="D51" s="41" t="s">
        <v>322</v>
      </c>
      <c r="E51" s="9" t="s">
        <v>323</v>
      </c>
      <c r="F51" s="9" t="s">
        <v>479</v>
      </c>
      <c r="G51" s="9"/>
      <c r="H51" s="39"/>
      <c r="I51" s="9"/>
      <c r="J51" s="39"/>
      <c r="K51" s="42"/>
      <c r="L51" s="9" t="s">
        <v>324</v>
      </c>
      <c r="M51" s="16"/>
      <c r="O51" s="10"/>
      <c r="P51" s="10"/>
      <c r="Q51" s="10"/>
      <c r="R51" s="10"/>
      <c r="S51" s="10"/>
      <c r="AA51" s="14">
        <f t="shared" si="0"/>
        <v>6</v>
      </c>
      <c r="AB51" s="47">
        <f t="shared" si="1"/>
        <v>5</v>
      </c>
      <c r="AD51" s="45"/>
      <c r="AE51" s="45"/>
      <c r="AF51" s="45"/>
      <c r="AG51" s="45"/>
      <c r="AH51" s="45"/>
      <c r="AI51" s="12"/>
      <c r="AJ51" s="13"/>
      <c r="AK51" s="45"/>
      <c r="AL51" s="45"/>
      <c r="AM51" s="45"/>
      <c r="AN51" s="45"/>
    </row>
    <row r="52" spans="1:40" s="46" customFormat="1" ht="14.4">
      <c r="A52" s="39">
        <v>41228</v>
      </c>
      <c r="B52" s="9" t="s">
        <v>581</v>
      </c>
      <c r="C52" s="15">
        <v>100</v>
      </c>
      <c r="D52" s="41" t="s">
        <v>312</v>
      </c>
      <c r="E52" s="9" t="s">
        <v>313</v>
      </c>
      <c r="F52" s="9" t="s">
        <v>479</v>
      </c>
      <c r="G52" s="9"/>
      <c r="H52" s="39"/>
      <c r="I52" s="9"/>
      <c r="J52" s="39"/>
      <c r="K52" s="42"/>
      <c r="L52" s="9" t="s">
        <v>314</v>
      </c>
      <c r="M52" s="16"/>
      <c r="O52" s="10"/>
      <c r="P52" s="10"/>
      <c r="Q52" s="10"/>
      <c r="R52" s="10"/>
      <c r="S52" s="10"/>
      <c r="AA52" s="14">
        <f t="shared" si="0"/>
        <v>29</v>
      </c>
      <c r="AB52" s="47">
        <f t="shared" si="1"/>
        <v>28</v>
      </c>
      <c r="AD52" s="45"/>
      <c r="AE52" s="45"/>
      <c r="AF52" s="45"/>
      <c r="AG52" s="45"/>
      <c r="AH52" s="45"/>
      <c r="AI52" s="12"/>
      <c r="AJ52" s="13"/>
      <c r="AK52" s="45"/>
      <c r="AL52" s="45"/>
      <c r="AM52" s="45"/>
      <c r="AN52" s="45"/>
    </row>
    <row r="53" spans="1:40" s="46" customFormat="1" ht="14.4">
      <c r="A53" s="39">
        <v>41228</v>
      </c>
      <c r="B53" s="9" t="s">
        <v>116</v>
      </c>
      <c r="C53" s="40">
        <v>30</v>
      </c>
      <c r="D53" s="41" t="s">
        <v>117</v>
      </c>
      <c r="E53" s="9" t="s">
        <v>118</v>
      </c>
      <c r="F53" s="9" t="s">
        <v>2201</v>
      </c>
      <c r="G53" s="9"/>
      <c r="H53" s="39"/>
      <c r="I53" s="9"/>
      <c r="J53" s="39"/>
      <c r="K53" s="42"/>
      <c r="L53" s="9" t="s">
        <v>119</v>
      </c>
      <c r="M53" s="16"/>
      <c r="O53" s="10"/>
      <c r="P53" s="10"/>
      <c r="Q53" s="10"/>
      <c r="R53" s="10"/>
      <c r="S53" s="10"/>
      <c r="AA53" s="14">
        <f t="shared" si="0"/>
        <v>-70</v>
      </c>
      <c r="AB53" s="47">
        <f t="shared" si="1"/>
        <v>-71</v>
      </c>
      <c r="AD53" s="45"/>
      <c r="AE53" s="45"/>
      <c r="AF53" s="45"/>
      <c r="AG53" s="45"/>
      <c r="AH53" s="45"/>
      <c r="AI53" s="12"/>
      <c r="AJ53" s="13"/>
      <c r="AK53" s="45"/>
      <c r="AL53" s="45"/>
      <c r="AM53" s="45"/>
      <c r="AN53" s="45"/>
    </row>
    <row r="54" spans="1:40" s="46" customFormat="1" ht="14.4">
      <c r="A54" s="39">
        <v>41228</v>
      </c>
      <c r="B54" s="9" t="s">
        <v>1328</v>
      </c>
      <c r="C54" s="40">
        <v>277</v>
      </c>
      <c r="D54" s="41" t="s">
        <v>426</v>
      </c>
      <c r="E54" s="9" t="s">
        <v>118</v>
      </c>
      <c r="F54" s="9" t="s">
        <v>479</v>
      </c>
      <c r="G54" s="9"/>
      <c r="H54" s="39"/>
      <c r="I54" s="9"/>
      <c r="J54" s="39"/>
      <c r="K54" s="42"/>
      <c r="L54" s="9" t="s">
        <v>427</v>
      </c>
      <c r="M54" s="16"/>
      <c r="O54" s="10"/>
      <c r="P54" s="10"/>
      <c r="Q54" s="10"/>
      <c r="R54" s="10"/>
      <c r="S54" s="10"/>
      <c r="AA54" s="14">
        <f t="shared" si="0"/>
        <v>247</v>
      </c>
      <c r="AB54" s="47">
        <f t="shared" si="1"/>
        <v>246</v>
      </c>
      <c r="AD54" s="45"/>
      <c r="AE54" s="45"/>
      <c r="AF54" s="45"/>
      <c r="AG54" s="45"/>
      <c r="AH54" s="45"/>
      <c r="AI54" s="12"/>
      <c r="AJ54" s="13"/>
      <c r="AK54" s="45"/>
      <c r="AL54" s="45"/>
      <c r="AM54" s="45"/>
      <c r="AN54" s="45"/>
    </row>
    <row r="55" spans="1:40" s="46" customFormat="1" ht="14.4">
      <c r="A55" s="39">
        <v>41228</v>
      </c>
      <c r="B55" s="9" t="s">
        <v>1052</v>
      </c>
      <c r="C55" s="15">
        <v>117</v>
      </c>
      <c r="D55" s="41" t="s">
        <v>150</v>
      </c>
      <c r="E55" s="9" t="s">
        <v>80</v>
      </c>
      <c r="F55" s="9" t="s">
        <v>2201</v>
      </c>
      <c r="G55" s="9"/>
      <c r="H55" s="39"/>
      <c r="I55" s="9"/>
      <c r="J55" s="39"/>
      <c r="K55" s="42"/>
      <c r="L55" s="9" t="s">
        <v>151</v>
      </c>
      <c r="M55" s="16"/>
      <c r="O55" s="10"/>
      <c r="P55" s="10"/>
      <c r="Q55" s="10"/>
      <c r="R55" s="10"/>
      <c r="S55" s="10"/>
      <c r="AA55" s="14">
        <f t="shared" si="0"/>
        <v>-160</v>
      </c>
      <c r="AB55" s="47">
        <f t="shared" si="1"/>
        <v>-161</v>
      </c>
      <c r="AD55" s="45"/>
      <c r="AE55" s="45"/>
      <c r="AF55" s="45"/>
      <c r="AG55" s="45"/>
      <c r="AH55" s="45"/>
      <c r="AI55" s="12"/>
      <c r="AJ55" s="13"/>
      <c r="AK55" s="45"/>
      <c r="AL55" s="45"/>
      <c r="AM55" s="45"/>
      <c r="AN55" s="45"/>
    </row>
    <row r="56" spans="1:40" s="46" customFormat="1" ht="14.4">
      <c r="A56" s="39">
        <v>41228</v>
      </c>
      <c r="B56" s="9" t="s">
        <v>1103</v>
      </c>
      <c r="C56" s="40">
        <v>128</v>
      </c>
      <c r="D56" s="41" t="s">
        <v>350</v>
      </c>
      <c r="E56" s="9" t="s">
        <v>277</v>
      </c>
      <c r="F56" s="9" t="s">
        <v>479</v>
      </c>
      <c r="G56" s="9"/>
      <c r="H56" s="39"/>
      <c r="I56" s="9"/>
      <c r="J56" s="39"/>
      <c r="K56" s="42"/>
      <c r="L56" s="9" t="s">
        <v>351</v>
      </c>
      <c r="M56" s="16"/>
      <c r="O56" s="10"/>
      <c r="P56" s="10"/>
      <c r="Q56" s="10"/>
      <c r="R56" s="10"/>
      <c r="S56" s="10"/>
      <c r="AA56" s="14">
        <f t="shared" si="0"/>
        <v>11</v>
      </c>
      <c r="AB56" s="47">
        <f t="shared" si="1"/>
        <v>10</v>
      </c>
      <c r="AD56" s="45"/>
      <c r="AE56" s="45"/>
      <c r="AF56" s="45"/>
      <c r="AG56" s="45"/>
      <c r="AH56" s="45"/>
      <c r="AI56" s="12"/>
      <c r="AJ56" s="13"/>
      <c r="AK56" s="45"/>
      <c r="AL56" s="45"/>
      <c r="AM56" s="45"/>
      <c r="AN56" s="45"/>
    </row>
    <row r="57" spans="1:40" s="46" customFormat="1" ht="14.4">
      <c r="A57" s="39">
        <v>41228</v>
      </c>
      <c r="B57" s="9" t="s">
        <v>1046</v>
      </c>
      <c r="C57" s="15">
        <v>259</v>
      </c>
      <c r="D57" s="41" t="s">
        <v>432</v>
      </c>
      <c r="E57" s="9" t="s">
        <v>118</v>
      </c>
      <c r="F57" s="9" t="s">
        <v>479</v>
      </c>
      <c r="G57" s="9"/>
      <c r="H57" s="39"/>
      <c r="I57" s="9"/>
      <c r="J57" s="39"/>
      <c r="K57" s="42"/>
      <c r="L57" s="9" t="s">
        <v>433</v>
      </c>
      <c r="M57" s="16"/>
      <c r="O57" s="10"/>
      <c r="P57" s="10"/>
      <c r="Q57" s="10"/>
      <c r="R57" s="10"/>
      <c r="S57" s="10"/>
      <c r="AA57" s="14">
        <f t="shared" si="0"/>
        <v>131</v>
      </c>
      <c r="AB57" s="47">
        <f t="shared" si="1"/>
        <v>130</v>
      </c>
      <c r="AD57" s="45"/>
      <c r="AE57" s="45"/>
      <c r="AF57" s="45"/>
      <c r="AG57" s="45"/>
      <c r="AH57" s="45"/>
      <c r="AI57" s="12"/>
      <c r="AJ57" s="13"/>
      <c r="AK57" s="45"/>
      <c r="AL57" s="45"/>
      <c r="AM57" s="45"/>
      <c r="AN57" s="45"/>
    </row>
    <row r="58" spans="1:40" s="46" customFormat="1" ht="14.4">
      <c r="A58" s="39">
        <v>41228</v>
      </c>
      <c r="B58" s="9" t="s">
        <v>1138</v>
      </c>
      <c r="C58" s="40">
        <v>74</v>
      </c>
      <c r="D58" s="41" t="s">
        <v>315</v>
      </c>
      <c r="E58" s="9" t="s">
        <v>300</v>
      </c>
      <c r="F58" s="9" t="s">
        <v>479</v>
      </c>
      <c r="G58" s="9"/>
      <c r="H58" s="39"/>
      <c r="I58" s="9"/>
      <c r="J58" s="39"/>
      <c r="K58" s="42"/>
      <c r="L58" s="9" t="s">
        <v>316</v>
      </c>
      <c r="M58" s="16"/>
      <c r="O58" s="10"/>
      <c r="P58" s="10"/>
      <c r="Q58" s="10"/>
      <c r="R58" s="10"/>
      <c r="S58" s="10"/>
      <c r="AA58" s="14">
        <f t="shared" si="0"/>
        <v>-185</v>
      </c>
      <c r="AB58" s="47">
        <f t="shared" si="1"/>
        <v>-186</v>
      </c>
      <c r="AD58" s="45"/>
      <c r="AE58" s="45"/>
      <c r="AF58" s="45"/>
      <c r="AG58" s="45"/>
      <c r="AH58" s="45"/>
      <c r="AI58" s="12"/>
      <c r="AJ58" s="13"/>
      <c r="AK58" s="45"/>
      <c r="AL58" s="45"/>
      <c r="AM58" s="45"/>
      <c r="AN58" s="45"/>
    </row>
    <row r="59" spans="1:40" s="46" customFormat="1" ht="14.4">
      <c r="A59" s="39">
        <v>41228</v>
      </c>
      <c r="B59" s="9" t="s">
        <v>1104</v>
      </c>
      <c r="C59" s="40">
        <v>129</v>
      </c>
      <c r="D59" s="41" t="s">
        <v>304</v>
      </c>
      <c r="E59" s="9" t="s">
        <v>31</v>
      </c>
      <c r="F59" s="9" t="s">
        <v>935</v>
      </c>
      <c r="G59" s="9"/>
      <c r="H59" s="39"/>
      <c r="I59" s="9"/>
      <c r="J59" s="39"/>
      <c r="K59" s="42"/>
      <c r="L59" s="9" t="s">
        <v>42</v>
      </c>
      <c r="M59" s="16"/>
      <c r="O59" s="10"/>
      <c r="P59" s="10"/>
      <c r="Q59" s="10"/>
      <c r="R59" s="10"/>
      <c r="S59" s="10"/>
      <c r="AA59" s="14">
        <f t="shared" si="0"/>
        <v>55</v>
      </c>
      <c r="AB59" s="47">
        <f t="shared" si="1"/>
        <v>54</v>
      </c>
      <c r="AD59" s="45"/>
      <c r="AE59" s="45"/>
      <c r="AF59" s="45"/>
      <c r="AG59" s="45"/>
      <c r="AH59" s="45"/>
      <c r="AI59" s="12"/>
      <c r="AJ59" s="13"/>
      <c r="AK59" s="45"/>
      <c r="AL59" s="45"/>
      <c r="AM59" s="45"/>
      <c r="AN59" s="45"/>
    </row>
    <row r="60" spans="1:40" s="46" customFormat="1" ht="14.4">
      <c r="A60" s="39">
        <v>41228</v>
      </c>
      <c r="B60" s="9" t="s">
        <v>566</v>
      </c>
      <c r="C60" s="15">
        <v>93</v>
      </c>
      <c r="D60" s="41" t="s">
        <v>345</v>
      </c>
      <c r="E60" s="9" t="s">
        <v>22</v>
      </c>
      <c r="F60" s="9" t="s">
        <v>479</v>
      </c>
      <c r="G60" s="9"/>
      <c r="H60" s="39"/>
      <c r="I60" s="9"/>
      <c r="J60" s="39"/>
      <c r="K60" s="42"/>
      <c r="L60" s="9" t="s">
        <v>346</v>
      </c>
      <c r="M60" s="16"/>
      <c r="O60" s="10"/>
      <c r="P60" s="10"/>
      <c r="Q60" s="10"/>
      <c r="R60" s="10"/>
      <c r="S60" s="10"/>
      <c r="AA60" s="14">
        <f t="shared" si="0"/>
        <v>-36</v>
      </c>
      <c r="AB60" s="47">
        <f t="shared" si="1"/>
        <v>-37</v>
      </c>
      <c r="AD60" s="45"/>
      <c r="AE60" s="45"/>
      <c r="AF60" s="45"/>
      <c r="AG60" s="45"/>
      <c r="AH60" s="45"/>
      <c r="AI60" s="12"/>
      <c r="AJ60" s="13"/>
      <c r="AK60" s="45"/>
      <c r="AL60" s="45"/>
      <c r="AM60" s="45"/>
      <c r="AN60" s="45"/>
    </row>
    <row r="61" spans="1:40" s="46" customFormat="1" ht="14.4">
      <c r="A61" s="39">
        <v>41228</v>
      </c>
      <c r="B61" s="9" t="s">
        <v>1135</v>
      </c>
      <c r="C61" s="40">
        <v>63</v>
      </c>
      <c r="D61" s="41" t="s">
        <v>347</v>
      </c>
      <c r="E61" s="9" t="s">
        <v>88</v>
      </c>
      <c r="F61" s="9" t="s">
        <v>479</v>
      </c>
      <c r="G61" s="9"/>
      <c r="H61" s="39"/>
      <c r="I61" s="9"/>
      <c r="J61" s="39"/>
      <c r="K61" s="42"/>
      <c r="L61" s="9" t="s">
        <v>42</v>
      </c>
      <c r="M61" s="16"/>
      <c r="O61" s="10"/>
      <c r="P61" s="10"/>
      <c r="Q61" s="10"/>
      <c r="R61" s="10"/>
      <c r="S61" s="10"/>
      <c r="AA61" s="14">
        <f t="shared" si="0"/>
        <v>-30</v>
      </c>
      <c r="AB61" s="47">
        <f t="shared" si="1"/>
        <v>-31</v>
      </c>
      <c r="AD61" s="45"/>
      <c r="AE61" s="45"/>
      <c r="AF61" s="45"/>
      <c r="AG61" s="45"/>
      <c r="AH61" s="45"/>
      <c r="AI61" s="12"/>
      <c r="AJ61" s="13"/>
      <c r="AK61" s="45"/>
      <c r="AL61" s="45"/>
      <c r="AM61" s="45"/>
      <c r="AN61" s="45"/>
    </row>
    <row r="62" spans="1:40" s="46" customFormat="1" ht="14.4">
      <c r="A62" s="39">
        <v>41228</v>
      </c>
      <c r="B62" s="9" t="s">
        <v>1106</v>
      </c>
      <c r="C62" s="40">
        <v>132</v>
      </c>
      <c r="D62" s="41" t="s">
        <v>340</v>
      </c>
      <c r="E62" s="9" t="s">
        <v>118</v>
      </c>
      <c r="F62" s="9" t="s">
        <v>479</v>
      </c>
      <c r="G62" s="9"/>
      <c r="H62" s="39"/>
      <c r="I62" s="9"/>
      <c r="J62" s="39"/>
      <c r="K62" s="42"/>
      <c r="L62" s="9" t="s">
        <v>341</v>
      </c>
      <c r="M62" s="16"/>
      <c r="O62" s="10"/>
      <c r="P62" s="10"/>
      <c r="Q62" s="10"/>
      <c r="R62" s="10"/>
      <c r="S62" s="10"/>
      <c r="AA62" s="14">
        <f t="shared" si="0"/>
        <v>69</v>
      </c>
      <c r="AB62" s="47">
        <f t="shared" si="1"/>
        <v>68</v>
      </c>
      <c r="AD62" s="45"/>
      <c r="AE62" s="45"/>
      <c r="AF62" s="45"/>
      <c r="AG62" s="45"/>
      <c r="AH62" s="45"/>
      <c r="AI62" s="12"/>
      <c r="AJ62" s="13"/>
      <c r="AK62" s="45"/>
      <c r="AL62" s="45"/>
      <c r="AM62" s="45"/>
      <c r="AN62" s="45"/>
    </row>
    <row r="63" spans="1:40" s="46" customFormat="1" ht="14.4">
      <c r="A63" s="39">
        <v>41228</v>
      </c>
      <c r="B63" s="9" t="s">
        <v>1189</v>
      </c>
      <c r="C63" s="40">
        <v>337</v>
      </c>
      <c r="D63" s="41" t="s">
        <v>422</v>
      </c>
      <c r="E63" s="9" t="s">
        <v>118</v>
      </c>
      <c r="F63" s="9" t="s">
        <v>479</v>
      </c>
      <c r="G63" s="9"/>
      <c r="H63" s="39"/>
      <c r="I63" s="9"/>
      <c r="J63" s="39"/>
      <c r="K63" s="42"/>
      <c r="L63" s="9" t="s">
        <v>42</v>
      </c>
      <c r="M63" s="16"/>
      <c r="O63" s="10"/>
      <c r="P63" s="10"/>
      <c r="Q63" s="10"/>
      <c r="R63" s="10"/>
      <c r="S63" s="10"/>
      <c r="AA63" s="14">
        <f t="shared" si="0"/>
        <v>205</v>
      </c>
      <c r="AB63" s="47">
        <f t="shared" si="1"/>
        <v>204</v>
      </c>
      <c r="AD63" s="45"/>
      <c r="AE63" s="45"/>
      <c r="AF63" s="45"/>
      <c r="AG63" s="45"/>
      <c r="AH63" s="45"/>
      <c r="AI63" s="12"/>
      <c r="AJ63" s="13"/>
      <c r="AK63" s="45"/>
      <c r="AL63" s="45"/>
      <c r="AM63" s="45"/>
      <c r="AN63" s="45"/>
    </row>
    <row r="64" spans="1:40" s="46" customFormat="1" ht="14.4">
      <c r="A64" s="39">
        <v>41228</v>
      </c>
      <c r="B64" s="9" t="s">
        <v>1095</v>
      </c>
      <c r="C64" s="40">
        <v>112</v>
      </c>
      <c r="D64" s="41" t="s">
        <v>927</v>
      </c>
      <c r="E64" s="9" t="s">
        <v>77</v>
      </c>
      <c r="F64" s="9" t="s">
        <v>935</v>
      </c>
      <c r="G64" s="9"/>
      <c r="H64" s="39"/>
      <c r="I64" s="9"/>
      <c r="J64" s="39"/>
      <c r="K64" s="68" t="s">
        <v>493</v>
      </c>
      <c r="L64" s="9" t="s">
        <v>279</v>
      </c>
      <c r="M64" s="16"/>
      <c r="O64" s="10"/>
      <c r="P64" s="10"/>
      <c r="Q64" s="10"/>
      <c r="R64" s="10"/>
      <c r="S64" s="10"/>
      <c r="AA64" s="14">
        <f t="shared" si="0"/>
        <v>-225</v>
      </c>
      <c r="AB64" s="47">
        <f t="shared" si="1"/>
        <v>-226</v>
      </c>
      <c r="AD64" s="45"/>
      <c r="AE64" s="45"/>
      <c r="AF64" s="45"/>
      <c r="AG64" s="45"/>
      <c r="AH64" s="45"/>
      <c r="AI64" s="12"/>
      <c r="AJ64" s="13"/>
      <c r="AK64" s="45"/>
      <c r="AL64" s="45"/>
      <c r="AM64" s="45"/>
      <c r="AN64" s="45"/>
    </row>
    <row r="65" spans="1:40" s="46" customFormat="1" ht="14.4">
      <c r="A65" s="39">
        <v>41228</v>
      </c>
      <c r="B65" s="82"/>
      <c r="C65" s="83"/>
      <c r="D65" s="41" t="s">
        <v>928</v>
      </c>
      <c r="E65" s="9" t="s">
        <v>77</v>
      </c>
      <c r="F65" s="9" t="s">
        <v>935</v>
      </c>
      <c r="G65" s="9"/>
      <c r="H65" s="39"/>
      <c r="I65" s="9"/>
      <c r="J65" s="39"/>
      <c r="K65" s="68" t="s">
        <v>493</v>
      </c>
      <c r="L65" s="9" t="s">
        <v>280</v>
      </c>
      <c r="M65" s="16"/>
      <c r="O65" s="10"/>
      <c r="P65" s="10"/>
      <c r="Q65" s="10"/>
      <c r="R65" s="10"/>
      <c r="S65" s="10"/>
      <c r="AA65" s="14">
        <f t="shared" si="0"/>
        <v>-112</v>
      </c>
      <c r="AB65" s="47">
        <f t="shared" si="1"/>
        <v>-113</v>
      </c>
      <c r="AD65" s="45"/>
      <c r="AE65" s="45"/>
      <c r="AF65" s="45"/>
      <c r="AG65" s="45"/>
      <c r="AH65" s="45"/>
      <c r="AI65" s="12"/>
      <c r="AJ65" s="13"/>
      <c r="AK65" s="45"/>
      <c r="AL65" s="45"/>
      <c r="AM65" s="45"/>
      <c r="AN65" s="45"/>
    </row>
    <row r="66" spans="1:40" s="46" customFormat="1" ht="14.4">
      <c r="A66" s="39">
        <v>41228</v>
      </c>
      <c r="B66" s="9" t="s">
        <v>1176</v>
      </c>
      <c r="C66" s="40">
        <v>221</v>
      </c>
      <c r="D66" s="41" t="s">
        <v>411</v>
      </c>
      <c r="E66" s="9" t="s">
        <v>118</v>
      </c>
      <c r="F66" s="9" t="s">
        <v>479</v>
      </c>
      <c r="G66" s="9"/>
      <c r="H66" s="39"/>
      <c r="I66" s="9"/>
      <c r="J66" s="39"/>
      <c r="K66" s="42"/>
      <c r="L66" s="9" t="s">
        <v>412</v>
      </c>
      <c r="M66" s="16"/>
      <c r="O66" s="10"/>
      <c r="P66" s="10"/>
      <c r="Q66" s="10"/>
      <c r="R66" s="10"/>
      <c r="S66" s="10"/>
      <c r="AA66" s="14">
        <f t="shared" si="0"/>
        <v>221</v>
      </c>
      <c r="AB66" s="47">
        <f t="shared" si="1"/>
        <v>220</v>
      </c>
      <c r="AD66" s="45"/>
      <c r="AE66" s="45"/>
      <c r="AF66" s="45"/>
      <c r="AG66" s="45"/>
      <c r="AH66" s="45"/>
      <c r="AI66" s="12"/>
      <c r="AJ66" s="13"/>
      <c r="AK66" s="45"/>
      <c r="AL66" s="45"/>
      <c r="AM66" s="45"/>
      <c r="AN66" s="45"/>
    </row>
    <row r="67" spans="1:40" s="46" customFormat="1" ht="14.4">
      <c r="A67" s="39">
        <v>41228</v>
      </c>
      <c r="B67" s="9" t="s">
        <v>560</v>
      </c>
      <c r="C67" s="40">
        <v>77</v>
      </c>
      <c r="D67" s="41" t="s">
        <v>276</v>
      </c>
      <c r="E67" s="9" t="s">
        <v>277</v>
      </c>
      <c r="F67" s="9" t="s">
        <v>479</v>
      </c>
      <c r="G67" s="9"/>
      <c r="H67" s="39"/>
      <c r="I67" s="9"/>
      <c r="J67" s="39"/>
      <c r="K67" s="42"/>
      <c r="L67" s="9" t="s">
        <v>278</v>
      </c>
      <c r="M67" s="16"/>
      <c r="O67" s="10"/>
      <c r="P67" s="10"/>
      <c r="Q67" s="10"/>
      <c r="R67" s="10"/>
      <c r="S67" s="10"/>
      <c r="AA67" s="14">
        <f t="shared" si="0"/>
        <v>-144</v>
      </c>
      <c r="AB67" s="47">
        <f t="shared" si="1"/>
        <v>-145</v>
      </c>
      <c r="AD67" s="45"/>
      <c r="AE67" s="45"/>
      <c r="AF67" s="45"/>
      <c r="AG67" s="45"/>
      <c r="AH67" s="45"/>
      <c r="AI67" s="12"/>
      <c r="AJ67" s="13"/>
      <c r="AK67" s="45"/>
      <c r="AL67" s="45"/>
      <c r="AM67" s="45"/>
      <c r="AN67" s="45"/>
    </row>
    <row r="68" spans="1:40" s="46" customFormat="1" ht="14.4">
      <c r="A68" s="39">
        <v>41228</v>
      </c>
      <c r="B68" s="9" t="s">
        <v>1036</v>
      </c>
      <c r="C68" s="40">
        <v>231</v>
      </c>
      <c r="D68" s="41" t="s">
        <v>2460</v>
      </c>
      <c r="E68" s="9" t="s">
        <v>134</v>
      </c>
      <c r="F68" s="9" t="s">
        <v>2201</v>
      </c>
      <c r="G68" s="9"/>
      <c r="H68" s="39"/>
      <c r="I68" s="9"/>
      <c r="J68" s="39"/>
      <c r="K68" s="42"/>
      <c r="L68" s="9" t="s">
        <v>42</v>
      </c>
      <c r="M68" s="16"/>
      <c r="O68" s="10"/>
      <c r="P68" s="10"/>
      <c r="Q68" s="10"/>
      <c r="R68" s="10"/>
      <c r="S68" s="10"/>
      <c r="AA68" s="14">
        <f t="shared" ref="AA68:AA129" si="2">C68-C67</f>
        <v>154</v>
      </c>
      <c r="AB68" s="47">
        <f t="shared" ref="AB68:AB129" si="3">AA68-1</f>
        <v>153</v>
      </c>
      <c r="AD68" s="45"/>
      <c r="AE68" s="45"/>
      <c r="AF68" s="45"/>
      <c r="AG68" s="45"/>
      <c r="AH68" s="45"/>
      <c r="AI68" s="12"/>
      <c r="AJ68" s="13"/>
      <c r="AK68" s="45"/>
      <c r="AL68" s="45"/>
      <c r="AM68" s="45"/>
      <c r="AN68" s="45"/>
    </row>
    <row r="69" spans="1:40" s="46" customFormat="1" ht="14.4">
      <c r="A69" s="39">
        <v>41228</v>
      </c>
      <c r="B69" s="9" t="s">
        <v>1053</v>
      </c>
      <c r="C69" s="40">
        <v>120</v>
      </c>
      <c r="D69" s="41" t="s">
        <v>152</v>
      </c>
      <c r="E69" s="9" t="s">
        <v>80</v>
      </c>
      <c r="F69" s="9" t="s">
        <v>2201</v>
      </c>
      <c r="G69" s="9"/>
      <c r="H69" s="39"/>
      <c r="I69" s="9"/>
      <c r="J69" s="39"/>
      <c r="K69" s="42"/>
      <c r="L69" s="9" t="s">
        <v>42</v>
      </c>
      <c r="M69" s="16"/>
      <c r="O69" s="10"/>
      <c r="P69" s="10"/>
      <c r="Q69" s="10"/>
      <c r="R69" s="10"/>
      <c r="S69" s="10"/>
      <c r="AA69" s="14">
        <f t="shared" si="2"/>
        <v>-111</v>
      </c>
      <c r="AB69" s="47">
        <f t="shared" si="3"/>
        <v>-112</v>
      </c>
      <c r="AD69" s="45"/>
      <c r="AE69" s="45"/>
      <c r="AF69" s="45"/>
      <c r="AG69" s="45"/>
      <c r="AH69" s="45"/>
      <c r="AI69" s="12"/>
      <c r="AJ69" s="13"/>
      <c r="AK69" s="45"/>
      <c r="AL69" s="45"/>
      <c r="AM69" s="45"/>
      <c r="AN69" s="45"/>
    </row>
    <row r="70" spans="1:40" s="46" customFormat="1" ht="14.4">
      <c r="A70" s="39">
        <v>41228</v>
      </c>
      <c r="B70" s="9" t="s">
        <v>1047</v>
      </c>
      <c r="C70" s="40">
        <v>262</v>
      </c>
      <c r="D70" s="41" t="s">
        <v>2472</v>
      </c>
      <c r="E70" s="9" t="s">
        <v>134</v>
      </c>
      <c r="F70" s="9" t="s">
        <v>2201</v>
      </c>
      <c r="G70" s="9"/>
      <c r="H70" s="39"/>
      <c r="I70" s="9"/>
      <c r="J70" s="39"/>
      <c r="K70" s="42"/>
      <c r="L70" s="9" t="s">
        <v>139</v>
      </c>
      <c r="M70" s="16"/>
      <c r="O70" s="10"/>
      <c r="P70" s="10"/>
      <c r="Q70" s="10"/>
      <c r="R70" s="10"/>
      <c r="S70" s="10"/>
      <c r="AA70" s="14">
        <f t="shared" si="2"/>
        <v>142</v>
      </c>
      <c r="AB70" s="47">
        <f t="shared" si="3"/>
        <v>141</v>
      </c>
      <c r="AD70" s="45"/>
      <c r="AE70" s="45"/>
      <c r="AF70" s="45"/>
      <c r="AG70" s="45"/>
      <c r="AH70" s="45"/>
      <c r="AI70" s="12"/>
      <c r="AJ70" s="13"/>
      <c r="AK70" s="45"/>
      <c r="AL70" s="45"/>
      <c r="AM70" s="45"/>
      <c r="AN70" s="45"/>
    </row>
    <row r="71" spans="1:40" s="46" customFormat="1" ht="14.4">
      <c r="A71" s="39">
        <v>41228</v>
      </c>
      <c r="B71" s="9" t="s">
        <v>583</v>
      </c>
      <c r="C71" s="40">
        <v>35</v>
      </c>
      <c r="D71" s="41" t="s">
        <v>233</v>
      </c>
      <c r="E71" s="9" t="s">
        <v>88</v>
      </c>
      <c r="F71" s="9" t="s">
        <v>2201</v>
      </c>
      <c r="G71" s="9"/>
      <c r="H71" s="39"/>
      <c r="I71" s="9"/>
      <c r="J71" s="39"/>
      <c r="K71" s="42"/>
      <c r="L71" s="9" t="s">
        <v>42</v>
      </c>
      <c r="M71" s="16"/>
      <c r="O71" s="10"/>
      <c r="P71" s="10"/>
      <c r="Q71" s="10"/>
      <c r="R71" s="10"/>
      <c r="S71" s="10"/>
      <c r="AA71" s="14">
        <f t="shared" si="2"/>
        <v>-227</v>
      </c>
      <c r="AB71" s="47">
        <f t="shared" si="3"/>
        <v>-228</v>
      </c>
      <c r="AD71" s="45"/>
      <c r="AE71" s="45"/>
      <c r="AF71" s="45"/>
      <c r="AG71" s="45"/>
      <c r="AH71" s="45"/>
      <c r="AI71" s="12"/>
      <c r="AJ71" s="13"/>
      <c r="AK71" s="45"/>
      <c r="AL71" s="45"/>
      <c r="AM71" s="45"/>
      <c r="AN71" s="45"/>
    </row>
    <row r="72" spans="1:40" s="46" customFormat="1" ht="14.4">
      <c r="A72" s="39">
        <v>41228</v>
      </c>
      <c r="B72" s="9" t="s">
        <v>573</v>
      </c>
      <c r="C72" s="40">
        <v>68</v>
      </c>
      <c r="D72" s="41" t="s">
        <v>396</v>
      </c>
      <c r="E72" s="9" t="s">
        <v>77</v>
      </c>
      <c r="F72" s="9" t="s">
        <v>479</v>
      </c>
      <c r="G72" s="9"/>
      <c r="H72" s="39"/>
      <c r="I72" s="9"/>
      <c r="J72" s="39"/>
      <c r="K72" s="49"/>
      <c r="L72" s="9" t="s">
        <v>397</v>
      </c>
      <c r="M72" s="16"/>
      <c r="O72" s="10"/>
      <c r="P72" s="10"/>
      <c r="Q72" s="10"/>
      <c r="R72" s="10"/>
      <c r="S72" s="10"/>
      <c r="AA72" s="14">
        <f t="shared" si="2"/>
        <v>33</v>
      </c>
      <c r="AB72" s="47">
        <f t="shared" si="3"/>
        <v>32</v>
      </c>
      <c r="AD72" s="45"/>
      <c r="AE72" s="45"/>
      <c r="AF72" s="45"/>
      <c r="AG72" s="45"/>
      <c r="AH72" s="45"/>
      <c r="AI72" s="12"/>
      <c r="AJ72" s="13"/>
      <c r="AK72" s="45"/>
      <c r="AL72" s="45"/>
      <c r="AM72" s="45"/>
      <c r="AN72" s="45"/>
    </row>
    <row r="73" spans="1:40" s="46" customFormat="1" ht="14.4">
      <c r="A73" s="39">
        <v>41228</v>
      </c>
      <c r="B73" s="9" t="s">
        <v>1054</v>
      </c>
      <c r="C73" s="40">
        <v>124</v>
      </c>
      <c r="D73" s="41" t="s">
        <v>153</v>
      </c>
      <c r="E73" s="9" t="s">
        <v>80</v>
      </c>
      <c r="F73" s="9" t="s">
        <v>2201</v>
      </c>
      <c r="G73" s="9"/>
      <c r="H73" s="39"/>
      <c r="I73" s="9"/>
      <c r="J73" s="39"/>
      <c r="K73" s="42"/>
      <c r="L73" s="9" t="s">
        <v>154</v>
      </c>
      <c r="M73" s="16"/>
      <c r="O73" s="10"/>
      <c r="P73" s="10"/>
      <c r="Q73" s="10"/>
      <c r="R73" s="10"/>
      <c r="S73" s="10"/>
      <c r="AA73" s="14">
        <f t="shared" si="2"/>
        <v>56</v>
      </c>
      <c r="AB73" s="47">
        <f t="shared" si="3"/>
        <v>55</v>
      </c>
      <c r="AD73" s="45"/>
      <c r="AE73" s="45"/>
      <c r="AF73" s="45"/>
      <c r="AG73" s="45"/>
      <c r="AH73" s="45"/>
      <c r="AI73" s="12"/>
      <c r="AJ73" s="13"/>
      <c r="AK73" s="45"/>
      <c r="AL73" s="45"/>
      <c r="AM73" s="45"/>
      <c r="AN73" s="45"/>
    </row>
    <row r="74" spans="1:40" s="46" customFormat="1" ht="14.4">
      <c r="A74" s="39">
        <v>41228</v>
      </c>
      <c r="B74" s="9" t="s">
        <v>1109</v>
      </c>
      <c r="C74" s="40">
        <v>136</v>
      </c>
      <c r="D74" s="41" t="s">
        <v>332</v>
      </c>
      <c r="E74" s="9" t="s">
        <v>57</v>
      </c>
      <c r="F74" s="9" t="s">
        <v>479</v>
      </c>
      <c r="G74" s="9"/>
      <c r="H74" s="39"/>
      <c r="I74" s="9"/>
      <c r="J74" s="39"/>
      <c r="K74" s="42"/>
      <c r="L74" s="9" t="s">
        <v>19</v>
      </c>
      <c r="M74" s="16"/>
      <c r="O74" s="10"/>
      <c r="P74" s="10"/>
      <c r="Q74" s="10"/>
      <c r="R74" s="10"/>
      <c r="S74" s="10"/>
      <c r="AA74" s="14" t="e">
        <f>C74-#REF!</f>
        <v>#REF!</v>
      </c>
      <c r="AB74" s="47" t="e">
        <f t="shared" si="3"/>
        <v>#REF!</v>
      </c>
      <c r="AD74" s="45"/>
      <c r="AE74" s="45"/>
      <c r="AF74" s="45"/>
      <c r="AG74" s="45"/>
      <c r="AH74" s="45"/>
      <c r="AI74" s="12"/>
      <c r="AJ74" s="13"/>
      <c r="AK74" s="45"/>
      <c r="AL74" s="45"/>
      <c r="AM74" s="45"/>
      <c r="AN74" s="45"/>
    </row>
    <row r="75" spans="1:40" s="46" customFormat="1" ht="14.4">
      <c r="A75" s="39">
        <v>41228</v>
      </c>
      <c r="B75" s="9" t="s">
        <v>1195</v>
      </c>
      <c r="C75" s="15">
        <v>344</v>
      </c>
      <c r="D75" s="41" t="s">
        <v>185</v>
      </c>
      <c r="E75" s="9" t="s">
        <v>88</v>
      </c>
      <c r="F75" s="9" t="s">
        <v>2201</v>
      </c>
      <c r="G75" s="9"/>
      <c r="H75" s="39"/>
      <c r="I75" s="9"/>
      <c r="J75" s="39"/>
      <c r="K75" s="42"/>
      <c r="L75" s="9" t="s">
        <v>42</v>
      </c>
      <c r="M75" s="16"/>
      <c r="O75" s="10"/>
      <c r="P75" s="10"/>
      <c r="Q75" s="10"/>
      <c r="R75" s="10"/>
      <c r="S75" s="10"/>
      <c r="AA75" s="14">
        <f t="shared" si="2"/>
        <v>208</v>
      </c>
      <c r="AB75" s="47">
        <f t="shared" si="3"/>
        <v>207</v>
      </c>
      <c r="AD75" s="45"/>
      <c r="AE75" s="45"/>
      <c r="AF75" s="45"/>
      <c r="AG75" s="45"/>
      <c r="AH75" s="45"/>
      <c r="AI75" s="12"/>
      <c r="AJ75" s="13"/>
      <c r="AK75" s="45"/>
      <c r="AL75" s="45"/>
      <c r="AM75" s="45"/>
      <c r="AN75" s="45"/>
    </row>
    <row r="76" spans="1:40" s="46" customFormat="1" ht="14.4">
      <c r="A76" s="39">
        <v>41228</v>
      </c>
      <c r="B76" s="9" t="s">
        <v>1147</v>
      </c>
      <c r="C76" s="40">
        <v>175</v>
      </c>
      <c r="D76" s="41" t="s">
        <v>181</v>
      </c>
      <c r="E76" s="9" t="s">
        <v>88</v>
      </c>
      <c r="F76" s="9" t="s">
        <v>2201</v>
      </c>
      <c r="G76" s="9"/>
      <c r="H76" s="39"/>
      <c r="I76" s="9"/>
      <c r="J76" s="39"/>
      <c r="K76" s="42"/>
      <c r="L76" s="9" t="s">
        <v>42</v>
      </c>
      <c r="M76" s="16"/>
      <c r="O76" s="10"/>
      <c r="P76" s="10"/>
      <c r="Q76" s="10"/>
      <c r="R76" s="10"/>
      <c r="S76" s="10"/>
      <c r="AA76" s="14">
        <f t="shared" si="2"/>
        <v>-169</v>
      </c>
      <c r="AB76" s="47">
        <f t="shared" si="3"/>
        <v>-170</v>
      </c>
      <c r="AD76" s="45"/>
      <c r="AE76" s="45"/>
      <c r="AF76" s="45"/>
      <c r="AG76" s="45"/>
      <c r="AH76" s="45"/>
      <c r="AI76" s="12"/>
      <c r="AJ76" s="13"/>
      <c r="AK76" s="45"/>
      <c r="AL76" s="45"/>
      <c r="AM76" s="45"/>
      <c r="AN76" s="45"/>
    </row>
    <row r="77" spans="1:40" s="46" customFormat="1" ht="14.4">
      <c r="A77" s="39">
        <v>41228</v>
      </c>
      <c r="B77" s="9"/>
      <c r="C77" s="40"/>
      <c r="D77" s="41" t="s">
        <v>273</v>
      </c>
      <c r="E77" s="9" t="s">
        <v>274</v>
      </c>
      <c r="F77" s="9" t="s">
        <v>935</v>
      </c>
      <c r="G77" s="9"/>
      <c r="H77" s="39"/>
      <c r="I77" s="9"/>
      <c r="J77" s="39"/>
      <c r="K77" s="42"/>
      <c r="L77" s="9" t="s">
        <v>42</v>
      </c>
      <c r="M77" s="16"/>
      <c r="O77" s="10"/>
      <c r="P77" s="10"/>
      <c r="Q77" s="10"/>
      <c r="R77" s="10"/>
      <c r="S77" s="10"/>
      <c r="AA77" s="14">
        <f t="shared" si="2"/>
        <v>-175</v>
      </c>
      <c r="AB77" s="47">
        <f t="shared" si="3"/>
        <v>-176</v>
      </c>
      <c r="AD77" s="45"/>
      <c r="AE77" s="45"/>
      <c r="AF77" s="45"/>
      <c r="AG77" s="45"/>
      <c r="AH77" s="45"/>
      <c r="AI77" s="12"/>
      <c r="AJ77" s="13"/>
      <c r="AK77" s="45"/>
      <c r="AL77" s="45"/>
      <c r="AM77" s="45"/>
      <c r="AN77" s="45"/>
    </row>
    <row r="78" spans="1:40" s="46" customFormat="1" ht="14.4">
      <c r="A78" s="39">
        <v>41228</v>
      </c>
      <c r="B78" s="9" t="s">
        <v>1945</v>
      </c>
      <c r="C78" s="40">
        <v>550</v>
      </c>
      <c r="D78" s="41" t="s">
        <v>136</v>
      </c>
      <c r="E78" s="9" t="s">
        <v>134</v>
      </c>
      <c r="F78" s="9" t="s">
        <v>2201</v>
      </c>
      <c r="G78" s="9"/>
      <c r="H78" s="39"/>
      <c r="I78" s="9"/>
      <c r="J78" s="39"/>
      <c r="K78" s="42"/>
      <c r="L78" s="9" t="s">
        <v>137</v>
      </c>
      <c r="M78" s="16"/>
      <c r="O78" s="10"/>
      <c r="P78" s="10"/>
      <c r="Q78" s="10"/>
      <c r="R78" s="10"/>
      <c r="S78" s="10"/>
      <c r="AA78" s="14">
        <f t="shared" si="2"/>
        <v>550</v>
      </c>
      <c r="AB78" s="47">
        <f t="shared" si="3"/>
        <v>549</v>
      </c>
      <c r="AD78" s="45"/>
      <c r="AE78" s="45"/>
      <c r="AF78" s="45"/>
      <c r="AG78" s="45"/>
      <c r="AH78" s="45"/>
      <c r="AI78" s="12"/>
      <c r="AJ78" s="13"/>
      <c r="AK78" s="45"/>
      <c r="AL78" s="45"/>
      <c r="AM78" s="45"/>
      <c r="AN78" s="45"/>
    </row>
    <row r="79" spans="1:40" s="46" customFormat="1" ht="14.4">
      <c r="A79" s="39">
        <v>41228</v>
      </c>
      <c r="B79" s="9" t="s">
        <v>1048</v>
      </c>
      <c r="C79" s="40">
        <v>265</v>
      </c>
      <c r="D79" s="41" t="s">
        <v>2473</v>
      </c>
      <c r="E79" s="9" t="s">
        <v>134</v>
      </c>
      <c r="F79" s="9" t="s">
        <v>2201</v>
      </c>
      <c r="G79" s="9"/>
      <c r="H79" s="39"/>
      <c r="I79" s="9"/>
      <c r="J79" s="39"/>
      <c r="K79" s="42"/>
      <c r="L79" s="9" t="s">
        <v>138</v>
      </c>
      <c r="M79" s="16"/>
      <c r="O79" s="10"/>
      <c r="P79" s="10"/>
      <c r="Q79" s="10"/>
      <c r="R79" s="10"/>
      <c r="S79" s="10"/>
      <c r="AA79" s="14">
        <f t="shared" si="2"/>
        <v>-285</v>
      </c>
      <c r="AB79" s="47">
        <f t="shared" si="3"/>
        <v>-286</v>
      </c>
      <c r="AD79" s="45"/>
      <c r="AE79" s="45"/>
      <c r="AF79" s="45"/>
      <c r="AG79" s="45"/>
      <c r="AH79" s="45"/>
      <c r="AI79" s="12"/>
      <c r="AJ79" s="13"/>
      <c r="AK79" s="45"/>
      <c r="AL79" s="45"/>
      <c r="AM79" s="45"/>
      <c r="AN79" s="45"/>
    </row>
    <row r="80" spans="1:40" s="46" customFormat="1" ht="14.4">
      <c r="A80" s="39">
        <v>41228</v>
      </c>
      <c r="B80" s="9" t="s">
        <v>1148</v>
      </c>
      <c r="C80" s="40">
        <v>176</v>
      </c>
      <c r="D80" s="41" t="s">
        <v>224</v>
      </c>
      <c r="E80" s="9" t="s">
        <v>88</v>
      </c>
      <c r="F80" s="9" t="s">
        <v>2201</v>
      </c>
      <c r="G80" s="9"/>
      <c r="H80" s="39"/>
      <c r="I80" s="9"/>
      <c r="J80" s="39"/>
      <c r="K80" s="42"/>
      <c r="L80" s="9" t="s">
        <v>42</v>
      </c>
      <c r="M80" s="16"/>
      <c r="O80" s="10"/>
      <c r="P80" s="10"/>
      <c r="Q80" s="10"/>
      <c r="R80" s="10"/>
      <c r="S80" s="10"/>
      <c r="AA80" s="14">
        <f t="shared" si="2"/>
        <v>-89</v>
      </c>
      <c r="AB80" s="47">
        <f t="shared" si="3"/>
        <v>-90</v>
      </c>
      <c r="AD80" s="45"/>
      <c r="AE80" s="45"/>
      <c r="AF80" s="45"/>
      <c r="AG80" s="45"/>
      <c r="AH80" s="45"/>
      <c r="AI80" s="12"/>
      <c r="AJ80" s="13"/>
      <c r="AK80" s="45"/>
      <c r="AL80" s="45"/>
      <c r="AM80" s="45"/>
      <c r="AN80" s="45"/>
    </row>
    <row r="81" spans="1:40" s="46" customFormat="1" ht="14.4">
      <c r="A81" s="39">
        <v>41228</v>
      </c>
      <c r="B81" s="9" t="s">
        <v>587</v>
      </c>
      <c r="C81" s="40">
        <v>45</v>
      </c>
      <c r="D81" s="41" t="s">
        <v>800</v>
      </c>
      <c r="E81" s="9" t="s">
        <v>88</v>
      </c>
      <c r="F81" s="9" t="s">
        <v>2201</v>
      </c>
      <c r="G81" s="9"/>
      <c r="H81" s="39"/>
      <c r="I81" s="9"/>
      <c r="J81" s="39"/>
      <c r="K81" s="42"/>
      <c r="L81" s="9" t="s">
        <v>42</v>
      </c>
      <c r="M81" s="16"/>
      <c r="O81" s="10"/>
      <c r="P81" s="10"/>
      <c r="Q81" s="10"/>
      <c r="R81" s="10"/>
      <c r="S81" s="10"/>
      <c r="AA81" s="14">
        <f t="shared" si="2"/>
        <v>-131</v>
      </c>
      <c r="AB81" s="47">
        <f t="shared" si="3"/>
        <v>-132</v>
      </c>
      <c r="AD81" s="45"/>
      <c r="AE81" s="45"/>
      <c r="AF81" s="45"/>
      <c r="AG81" s="45"/>
      <c r="AH81" s="45"/>
      <c r="AI81" s="12"/>
      <c r="AJ81" s="13"/>
      <c r="AK81" s="45"/>
      <c r="AL81" s="45"/>
      <c r="AM81" s="45"/>
      <c r="AN81" s="45"/>
    </row>
    <row r="82" spans="1:40" s="46" customFormat="1" ht="14.4">
      <c r="A82" s="39">
        <v>41228</v>
      </c>
      <c r="B82" s="9" t="s">
        <v>588</v>
      </c>
      <c r="C82" s="40">
        <v>48</v>
      </c>
      <c r="D82" s="41" t="s">
        <v>229</v>
      </c>
      <c r="E82" s="9" t="s">
        <v>88</v>
      </c>
      <c r="F82" s="9" t="s">
        <v>2201</v>
      </c>
      <c r="G82" s="9"/>
      <c r="H82" s="39"/>
      <c r="I82" s="9"/>
      <c r="J82" s="39"/>
      <c r="K82" s="42"/>
      <c r="L82" s="9" t="s">
        <v>42</v>
      </c>
      <c r="M82" s="16"/>
      <c r="O82" s="10"/>
      <c r="P82" s="10"/>
      <c r="Q82" s="10"/>
      <c r="R82" s="10"/>
      <c r="S82" s="10"/>
      <c r="AA82" s="14">
        <f t="shared" si="2"/>
        <v>3</v>
      </c>
      <c r="AB82" s="47">
        <f t="shared" si="3"/>
        <v>2</v>
      </c>
      <c r="AD82" s="45"/>
      <c r="AE82" s="45"/>
      <c r="AF82" s="45"/>
      <c r="AG82" s="45"/>
      <c r="AH82" s="45"/>
      <c r="AI82" s="12"/>
      <c r="AJ82" s="13"/>
      <c r="AK82" s="45"/>
      <c r="AL82" s="45"/>
      <c r="AM82" s="45"/>
      <c r="AN82" s="45"/>
    </row>
    <row r="83" spans="1:40" s="46" customFormat="1" ht="14.4">
      <c r="A83" s="39">
        <v>41228</v>
      </c>
      <c r="B83" s="9" t="s">
        <v>592</v>
      </c>
      <c r="C83" s="40">
        <v>76</v>
      </c>
      <c r="D83" s="41" t="s">
        <v>241</v>
      </c>
      <c r="E83" s="9" t="s">
        <v>88</v>
      </c>
      <c r="F83" s="9" t="s">
        <v>2201</v>
      </c>
      <c r="G83" s="9"/>
      <c r="H83" s="39"/>
      <c r="I83" s="9"/>
      <c r="J83" s="39"/>
      <c r="K83" s="42"/>
      <c r="L83" s="9" t="s">
        <v>42</v>
      </c>
      <c r="M83" s="16"/>
      <c r="O83" s="10"/>
      <c r="P83" s="10"/>
      <c r="Q83" s="10"/>
      <c r="R83" s="10"/>
      <c r="S83" s="10"/>
      <c r="AA83" s="14">
        <f t="shared" si="2"/>
        <v>28</v>
      </c>
      <c r="AB83" s="47">
        <f t="shared" si="3"/>
        <v>27</v>
      </c>
      <c r="AD83" s="45"/>
      <c r="AE83" s="45"/>
      <c r="AF83" s="45"/>
      <c r="AG83" s="45"/>
      <c r="AH83" s="45"/>
      <c r="AI83" s="12"/>
      <c r="AJ83" s="13"/>
      <c r="AK83" s="45"/>
      <c r="AL83" s="45"/>
      <c r="AM83" s="45"/>
      <c r="AN83" s="45"/>
    </row>
    <row r="84" spans="1:40" s="46" customFormat="1" ht="14.4">
      <c r="A84" s="39">
        <v>41228</v>
      </c>
      <c r="B84" s="9" t="s">
        <v>600</v>
      </c>
      <c r="C84" s="15">
        <v>87</v>
      </c>
      <c r="D84" s="41" t="s">
        <v>235</v>
      </c>
      <c r="E84" s="9" t="s">
        <v>88</v>
      </c>
      <c r="F84" s="9" t="s">
        <v>2201</v>
      </c>
      <c r="G84" s="9"/>
      <c r="H84" s="39"/>
      <c r="I84" s="9"/>
      <c r="J84" s="39"/>
      <c r="K84" s="42"/>
      <c r="L84" s="9" t="s">
        <v>236</v>
      </c>
      <c r="M84" s="16"/>
      <c r="O84" s="10"/>
      <c r="P84" s="10"/>
      <c r="Q84" s="10"/>
      <c r="R84" s="10"/>
      <c r="S84" s="10"/>
      <c r="AA84" s="14">
        <f t="shared" si="2"/>
        <v>11</v>
      </c>
      <c r="AB84" s="47">
        <f t="shared" si="3"/>
        <v>10</v>
      </c>
      <c r="AD84" s="45"/>
      <c r="AE84" s="45"/>
      <c r="AF84" s="45"/>
      <c r="AG84" s="45"/>
      <c r="AH84" s="45"/>
      <c r="AI84" s="12"/>
      <c r="AJ84" s="13"/>
      <c r="AK84" s="45"/>
      <c r="AL84" s="45"/>
      <c r="AM84" s="45"/>
      <c r="AN84" s="45"/>
    </row>
    <row r="85" spans="1:40" s="46" customFormat="1" ht="14.4">
      <c r="A85" s="39">
        <v>41228</v>
      </c>
      <c r="B85" s="9" t="s">
        <v>593</v>
      </c>
      <c r="C85" s="40">
        <v>80</v>
      </c>
      <c r="D85" s="41" t="s">
        <v>242</v>
      </c>
      <c r="E85" s="9" t="s">
        <v>88</v>
      </c>
      <c r="F85" s="9" t="s">
        <v>2201</v>
      </c>
      <c r="G85" s="9"/>
      <c r="H85" s="39"/>
      <c r="I85" s="9"/>
      <c r="J85" s="39"/>
      <c r="K85" s="42"/>
      <c r="L85" s="9" t="s">
        <v>598</v>
      </c>
      <c r="M85" s="16"/>
      <c r="O85" s="10"/>
      <c r="P85" s="10"/>
      <c r="Q85" s="10"/>
      <c r="R85" s="10"/>
      <c r="S85" s="10"/>
      <c r="AA85" s="14">
        <f t="shared" si="2"/>
        <v>-7</v>
      </c>
      <c r="AB85" s="47">
        <f t="shared" si="3"/>
        <v>-8</v>
      </c>
      <c r="AD85" s="45"/>
      <c r="AE85" s="45"/>
      <c r="AF85" s="45"/>
      <c r="AG85" s="45"/>
      <c r="AH85" s="45"/>
      <c r="AI85" s="12"/>
      <c r="AJ85" s="13"/>
      <c r="AK85" s="45"/>
      <c r="AL85" s="45"/>
      <c r="AM85" s="45"/>
      <c r="AN85" s="45"/>
    </row>
    <row r="86" spans="1:40" s="46" customFormat="1" ht="14.4">
      <c r="A86" s="39">
        <v>41228</v>
      </c>
      <c r="B86" s="9" t="s">
        <v>601</v>
      </c>
      <c r="C86" s="40">
        <v>90</v>
      </c>
      <c r="D86" s="41" t="s">
        <v>234</v>
      </c>
      <c r="E86" s="9" t="s">
        <v>88</v>
      </c>
      <c r="F86" s="9" t="s">
        <v>2201</v>
      </c>
      <c r="G86" s="9"/>
      <c r="H86" s="39"/>
      <c r="I86" s="9"/>
      <c r="J86" s="39"/>
      <c r="K86" s="42"/>
      <c r="L86" s="9" t="s">
        <v>602</v>
      </c>
      <c r="M86" s="16"/>
      <c r="O86" s="10"/>
      <c r="P86" s="10"/>
      <c r="Q86" s="10"/>
      <c r="R86" s="10"/>
      <c r="S86" s="10"/>
      <c r="AA86" s="14">
        <f t="shared" si="2"/>
        <v>10</v>
      </c>
      <c r="AB86" s="47">
        <f t="shared" si="3"/>
        <v>9</v>
      </c>
      <c r="AD86" s="45"/>
      <c r="AE86" s="45"/>
      <c r="AF86" s="45"/>
      <c r="AG86" s="45"/>
      <c r="AH86" s="45"/>
      <c r="AI86" s="12"/>
      <c r="AJ86" s="13"/>
      <c r="AK86" s="45"/>
      <c r="AL86" s="45"/>
      <c r="AM86" s="45"/>
      <c r="AN86" s="45"/>
    </row>
    <row r="87" spans="1:40" s="46" customFormat="1" ht="14.4">
      <c r="A87" s="39">
        <v>41228</v>
      </c>
      <c r="B87" s="9" t="s">
        <v>2886</v>
      </c>
      <c r="C87" s="40">
        <v>792</v>
      </c>
      <c r="D87" s="41" t="s">
        <v>183</v>
      </c>
      <c r="E87" s="9" t="s">
        <v>88</v>
      </c>
      <c r="F87" s="9" t="s">
        <v>2201</v>
      </c>
      <c r="G87" s="9"/>
      <c r="H87" s="39"/>
      <c r="I87" s="9"/>
      <c r="J87" s="39"/>
      <c r="K87" s="42"/>
      <c r="L87" s="9" t="s">
        <v>42</v>
      </c>
      <c r="M87" s="16"/>
      <c r="O87" s="10"/>
      <c r="P87" s="10"/>
      <c r="Q87" s="10"/>
      <c r="R87" s="10"/>
      <c r="S87" s="10"/>
      <c r="AA87" s="14">
        <f t="shared" si="2"/>
        <v>702</v>
      </c>
      <c r="AB87" s="47">
        <f t="shared" si="3"/>
        <v>701</v>
      </c>
      <c r="AD87" s="45"/>
      <c r="AE87" s="45"/>
      <c r="AF87" s="45"/>
      <c r="AG87" s="45"/>
      <c r="AH87" s="45"/>
      <c r="AI87" s="12"/>
      <c r="AJ87" s="13"/>
      <c r="AK87" s="45"/>
      <c r="AL87" s="45"/>
      <c r="AM87" s="45"/>
      <c r="AN87" s="45"/>
    </row>
    <row r="88" spans="1:40" s="46" customFormat="1" ht="14.4">
      <c r="A88" s="39">
        <v>41228</v>
      </c>
      <c r="B88" s="9"/>
      <c r="C88" s="40"/>
      <c r="D88" s="41" t="s">
        <v>344</v>
      </c>
      <c r="E88" s="9" t="s">
        <v>57</v>
      </c>
      <c r="F88" s="9" t="s">
        <v>935</v>
      </c>
      <c r="G88" s="9"/>
      <c r="H88" s="39"/>
      <c r="I88" s="9"/>
      <c r="J88" s="39"/>
      <c r="K88" s="42"/>
      <c r="L88" s="9" t="s">
        <v>42</v>
      </c>
      <c r="M88" s="16"/>
      <c r="O88" s="10"/>
      <c r="P88" s="10"/>
      <c r="Q88" s="10"/>
      <c r="R88" s="10"/>
      <c r="S88" s="10"/>
      <c r="AA88" s="14">
        <f t="shared" si="2"/>
        <v>-792</v>
      </c>
      <c r="AB88" s="47">
        <f t="shared" si="3"/>
        <v>-793</v>
      </c>
      <c r="AD88" s="45"/>
      <c r="AE88" s="45"/>
      <c r="AF88" s="45"/>
      <c r="AG88" s="45"/>
      <c r="AH88" s="45"/>
      <c r="AI88" s="12"/>
      <c r="AJ88" s="13"/>
      <c r="AK88" s="45"/>
      <c r="AL88" s="45"/>
      <c r="AM88" s="45"/>
      <c r="AN88" s="45"/>
    </row>
    <row r="89" spans="1:40" s="46" customFormat="1" ht="14.4">
      <c r="A89" s="39">
        <v>41228</v>
      </c>
      <c r="B89" s="9" t="s">
        <v>590</v>
      </c>
      <c r="C89" s="15">
        <v>54</v>
      </c>
      <c r="D89" s="41" t="s">
        <v>187</v>
      </c>
      <c r="E89" s="9" t="s">
        <v>88</v>
      </c>
      <c r="F89" s="9" t="s">
        <v>2201</v>
      </c>
      <c r="G89" s="9"/>
      <c r="H89" s="39"/>
      <c r="I89" s="9"/>
      <c r="J89" s="39"/>
      <c r="K89" s="42"/>
      <c r="L89" s="9" t="s">
        <v>596</v>
      </c>
      <c r="M89" s="16"/>
      <c r="O89" s="10"/>
      <c r="P89" s="10"/>
      <c r="Q89" s="10"/>
      <c r="R89" s="10"/>
      <c r="S89" s="10"/>
      <c r="AA89" s="14">
        <f t="shared" si="2"/>
        <v>54</v>
      </c>
      <c r="AB89" s="47">
        <f t="shared" si="3"/>
        <v>53</v>
      </c>
      <c r="AD89" s="45"/>
      <c r="AE89" s="45"/>
      <c r="AF89" s="45"/>
      <c r="AG89" s="45"/>
      <c r="AH89" s="45"/>
      <c r="AI89" s="12"/>
      <c r="AJ89" s="13"/>
      <c r="AK89" s="45"/>
      <c r="AL89" s="45"/>
      <c r="AM89" s="45"/>
      <c r="AN89" s="45"/>
    </row>
    <row r="90" spans="1:40" s="46" customFormat="1" ht="14.4">
      <c r="A90" s="39">
        <v>41228</v>
      </c>
      <c r="B90" s="9" t="s">
        <v>1150</v>
      </c>
      <c r="C90" s="40">
        <v>179</v>
      </c>
      <c r="D90" s="41" t="s">
        <v>188</v>
      </c>
      <c r="E90" s="9" t="s">
        <v>88</v>
      </c>
      <c r="F90" s="9" t="s">
        <v>2201</v>
      </c>
      <c r="G90" s="9"/>
      <c r="H90" s="39"/>
      <c r="I90" s="9"/>
      <c r="J90" s="39"/>
      <c r="K90" s="42"/>
      <c r="L90" s="9" t="s">
        <v>42</v>
      </c>
      <c r="M90" s="16"/>
      <c r="O90" s="10"/>
      <c r="P90" s="10"/>
      <c r="Q90" s="10"/>
      <c r="R90" s="10"/>
      <c r="S90" s="10"/>
      <c r="AA90" s="14">
        <f t="shared" si="2"/>
        <v>125</v>
      </c>
      <c r="AB90" s="47">
        <f t="shared" si="3"/>
        <v>124</v>
      </c>
      <c r="AD90" s="45"/>
      <c r="AE90" s="45"/>
      <c r="AF90" s="45"/>
      <c r="AG90" s="45"/>
      <c r="AH90" s="45"/>
      <c r="AI90" s="12"/>
      <c r="AJ90" s="13"/>
      <c r="AK90" s="45"/>
      <c r="AL90" s="45"/>
      <c r="AM90" s="45"/>
      <c r="AN90" s="45"/>
    </row>
    <row r="91" spans="1:40" s="46" customFormat="1" ht="14.4">
      <c r="A91" s="39">
        <v>41228</v>
      </c>
      <c r="B91" s="9" t="s">
        <v>603</v>
      </c>
      <c r="C91" s="40">
        <v>94</v>
      </c>
      <c r="D91" s="41" t="s">
        <v>189</v>
      </c>
      <c r="E91" s="9" t="s">
        <v>88</v>
      </c>
      <c r="F91" s="9" t="s">
        <v>2201</v>
      </c>
      <c r="G91" s="9"/>
      <c r="H91" s="39"/>
      <c r="I91" s="9"/>
      <c r="J91" s="39"/>
      <c r="K91" s="42"/>
      <c r="L91" s="9" t="s">
        <v>604</v>
      </c>
      <c r="M91" s="16"/>
      <c r="O91" s="10"/>
      <c r="P91" s="10"/>
      <c r="Q91" s="10"/>
      <c r="R91" s="10"/>
      <c r="S91" s="10"/>
      <c r="AA91" s="14">
        <f t="shared" si="2"/>
        <v>-85</v>
      </c>
      <c r="AB91" s="47">
        <f t="shared" si="3"/>
        <v>-86</v>
      </c>
      <c r="AD91" s="45"/>
      <c r="AE91" s="45"/>
      <c r="AF91" s="45"/>
      <c r="AG91" s="45"/>
      <c r="AH91" s="45"/>
      <c r="AI91" s="12"/>
      <c r="AJ91" s="13"/>
      <c r="AK91" s="45"/>
      <c r="AL91" s="45"/>
      <c r="AM91" s="45"/>
      <c r="AN91" s="45"/>
    </row>
    <row r="92" spans="1:40" s="46" customFormat="1" ht="14.4">
      <c r="A92" s="39">
        <v>41228</v>
      </c>
      <c r="B92" s="9" t="s">
        <v>2017</v>
      </c>
      <c r="C92" s="15">
        <v>377</v>
      </c>
      <c r="D92" s="41" t="s">
        <v>414</v>
      </c>
      <c r="E92" s="9" t="s">
        <v>118</v>
      </c>
      <c r="F92" s="9" t="s">
        <v>935</v>
      </c>
      <c r="G92" s="9"/>
      <c r="H92" s="39"/>
      <c r="I92" s="9"/>
      <c r="J92" s="39"/>
      <c r="K92" s="42"/>
      <c r="L92" s="9" t="s">
        <v>415</v>
      </c>
      <c r="M92" s="16"/>
      <c r="O92" s="10"/>
      <c r="P92" s="10"/>
      <c r="Q92" s="10"/>
      <c r="R92" s="10"/>
      <c r="S92" s="10"/>
      <c r="AA92" s="14">
        <f t="shared" si="2"/>
        <v>283</v>
      </c>
      <c r="AB92" s="47">
        <f t="shared" si="3"/>
        <v>282</v>
      </c>
      <c r="AD92" s="45"/>
      <c r="AE92" s="45"/>
      <c r="AF92" s="45"/>
      <c r="AG92" s="45"/>
      <c r="AH92" s="45"/>
      <c r="AI92" s="12"/>
      <c r="AJ92" s="13"/>
      <c r="AK92" s="45"/>
      <c r="AL92" s="45"/>
      <c r="AM92" s="45"/>
      <c r="AN92" s="45"/>
    </row>
    <row r="93" spans="1:40" s="46" customFormat="1" ht="14.4">
      <c r="A93" s="39">
        <v>41228</v>
      </c>
      <c r="B93" s="9" t="s">
        <v>562</v>
      </c>
      <c r="C93" s="40">
        <v>85</v>
      </c>
      <c r="D93" s="41" t="s">
        <v>342</v>
      </c>
      <c r="E93" s="9" t="s">
        <v>18</v>
      </c>
      <c r="F93" s="9" t="s">
        <v>479</v>
      </c>
      <c r="G93" s="9"/>
      <c r="H93" s="39"/>
      <c r="I93" s="9"/>
      <c r="J93" s="39"/>
      <c r="K93" s="49"/>
      <c r="L93" s="9" t="s">
        <v>343</v>
      </c>
      <c r="M93" s="16"/>
      <c r="O93" s="10"/>
      <c r="P93" s="10"/>
      <c r="Q93" s="10"/>
      <c r="R93" s="10"/>
      <c r="S93" s="10"/>
      <c r="AA93" s="14">
        <f t="shared" si="2"/>
        <v>-292</v>
      </c>
      <c r="AB93" s="47">
        <f t="shared" si="3"/>
        <v>-293</v>
      </c>
      <c r="AD93" s="45"/>
      <c r="AE93" s="45"/>
      <c r="AF93" s="45"/>
      <c r="AG93" s="45"/>
      <c r="AH93" s="45"/>
      <c r="AI93" s="12"/>
      <c r="AJ93" s="13"/>
      <c r="AK93" s="45"/>
      <c r="AL93" s="45"/>
      <c r="AM93" s="45"/>
      <c r="AN93" s="45"/>
    </row>
    <row r="94" spans="1:40" s="46" customFormat="1" ht="14.4">
      <c r="A94" s="39">
        <v>41228</v>
      </c>
      <c r="B94" s="9" t="s">
        <v>1327</v>
      </c>
      <c r="C94" s="15">
        <v>276</v>
      </c>
      <c r="D94" s="41" t="s">
        <v>423</v>
      </c>
      <c r="E94" s="9" t="s">
        <v>118</v>
      </c>
      <c r="F94" s="9" t="s">
        <v>479</v>
      </c>
      <c r="G94" s="9"/>
      <c r="H94" s="39"/>
      <c r="I94" s="9"/>
      <c r="J94" s="39"/>
      <c r="K94" s="42"/>
      <c r="L94" s="9" t="s">
        <v>424</v>
      </c>
      <c r="M94" s="16"/>
      <c r="O94" s="10"/>
      <c r="P94" s="10"/>
      <c r="Q94" s="10"/>
      <c r="R94" s="10"/>
      <c r="S94" s="10"/>
      <c r="AA94" s="14">
        <f t="shared" si="2"/>
        <v>191</v>
      </c>
      <c r="AB94" s="47">
        <f t="shared" si="3"/>
        <v>190</v>
      </c>
      <c r="AD94" s="45"/>
      <c r="AE94" s="45"/>
      <c r="AF94" s="45"/>
      <c r="AG94" s="45"/>
      <c r="AH94" s="45"/>
      <c r="AI94" s="12"/>
      <c r="AJ94" s="13"/>
      <c r="AK94" s="45"/>
      <c r="AL94" s="45"/>
      <c r="AM94" s="45"/>
      <c r="AN94" s="45"/>
    </row>
    <row r="95" spans="1:40" s="46" customFormat="1" ht="14.4">
      <c r="A95" s="39">
        <v>41228</v>
      </c>
      <c r="B95" s="9" t="s">
        <v>1050</v>
      </c>
      <c r="C95" s="40">
        <v>114</v>
      </c>
      <c r="D95" s="41" t="s">
        <v>1049</v>
      </c>
      <c r="E95" s="9" t="s">
        <v>80</v>
      </c>
      <c r="F95" s="9" t="s">
        <v>2201</v>
      </c>
      <c r="G95" s="9"/>
      <c r="H95" s="39"/>
      <c r="I95" s="9"/>
      <c r="J95" s="39"/>
      <c r="K95" s="42"/>
      <c r="L95" s="9" t="s">
        <v>155</v>
      </c>
      <c r="M95" s="16"/>
      <c r="O95" s="10"/>
      <c r="P95" s="10"/>
      <c r="Q95" s="10"/>
      <c r="R95" s="10"/>
      <c r="S95" s="10"/>
      <c r="AA95" s="14">
        <f t="shared" si="2"/>
        <v>-162</v>
      </c>
      <c r="AB95" s="47">
        <f t="shared" si="3"/>
        <v>-163</v>
      </c>
      <c r="AD95" s="45"/>
      <c r="AE95" s="45"/>
      <c r="AF95" s="45"/>
      <c r="AG95" s="45"/>
      <c r="AH95" s="45"/>
      <c r="AI95" s="12"/>
      <c r="AJ95" s="13"/>
      <c r="AK95" s="45"/>
      <c r="AL95" s="45"/>
      <c r="AM95" s="45"/>
      <c r="AN95" s="45"/>
    </row>
    <row r="96" spans="1:40" s="46" customFormat="1" ht="14.4">
      <c r="A96" s="39">
        <v>41228</v>
      </c>
      <c r="B96" s="9" t="s">
        <v>123</v>
      </c>
      <c r="C96" s="15">
        <v>33</v>
      </c>
      <c r="D96" s="41" t="s">
        <v>917</v>
      </c>
      <c r="E96" s="9" t="s">
        <v>77</v>
      </c>
      <c r="F96" s="9" t="s">
        <v>2201</v>
      </c>
      <c r="G96" s="9"/>
      <c r="H96" s="39"/>
      <c r="I96" s="9"/>
      <c r="J96" s="39"/>
      <c r="K96" s="42"/>
      <c r="L96" s="9" t="s">
        <v>42</v>
      </c>
      <c r="M96" s="16"/>
      <c r="O96" s="10"/>
      <c r="P96" s="10"/>
      <c r="Q96" s="10"/>
      <c r="R96" s="10"/>
      <c r="S96" s="10"/>
      <c r="AA96" s="14">
        <f t="shared" si="2"/>
        <v>-81</v>
      </c>
      <c r="AB96" s="47">
        <f t="shared" si="3"/>
        <v>-82</v>
      </c>
      <c r="AD96" s="45"/>
      <c r="AE96" s="45"/>
      <c r="AF96" s="45"/>
      <c r="AG96" s="45"/>
      <c r="AH96" s="45"/>
      <c r="AI96" s="12"/>
      <c r="AJ96" s="13"/>
      <c r="AK96" s="45"/>
      <c r="AL96" s="45"/>
      <c r="AM96" s="45"/>
      <c r="AN96" s="45"/>
    </row>
    <row r="97" spans="1:40" s="46" customFormat="1" ht="14.4">
      <c r="A97" s="39">
        <v>41228</v>
      </c>
      <c r="B97" s="9" t="s">
        <v>102</v>
      </c>
      <c r="C97" s="40">
        <v>26</v>
      </c>
      <c r="D97" s="41" t="s">
        <v>103</v>
      </c>
      <c r="E97" s="9" t="s">
        <v>77</v>
      </c>
      <c r="F97" s="9" t="s">
        <v>2201</v>
      </c>
      <c r="G97" s="9"/>
      <c r="H97" s="39"/>
      <c r="I97" s="9"/>
      <c r="J97" s="39"/>
      <c r="K97" s="42"/>
      <c r="L97" s="9" t="s">
        <v>104</v>
      </c>
      <c r="M97" s="16"/>
      <c r="O97" s="10"/>
      <c r="P97" s="10"/>
      <c r="Q97" s="10"/>
      <c r="R97" s="10"/>
      <c r="S97" s="10"/>
      <c r="AA97" s="14">
        <f t="shared" si="2"/>
        <v>-7</v>
      </c>
      <c r="AB97" s="47">
        <f t="shared" si="3"/>
        <v>-8</v>
      </c>
      <c r="AD97" s="45"/>
      <c r="AE97" s="45"/>
      <c r="AF97" s="45"/>
      <c r="AG97" s="45"/>
      <c r="AH97" s="45"/>
      <c r="AI97" s="12"/>
      <c r="AJ97" s="13"/>
      <c r="AK97" s="45"/>
      <c r="AL97" s="45"/>
      <c r="AM97" s="45"/>
      <c r="AN97" s="45"/>
    </row>
    <row r="98" spans="1:40" s="46" customFormat="1" ht="14.4">
      <c r="A98" s="39">
        <v>41228</v>
      </c>
      <c r="B98" s="9" t="s">
        <v>570</v>
      </c>
      <c r="C98" s="40">
        <v>61</v>
      </c>
      <c r="D98" s="41" t="s">
        <v>380</v>
      </c>
      <c r="E98" s="9" t="s">
        <v>77</v>
      </c>
      <c r="F98" s="9" t="s">
        <v>479</v>
      </c>
      <c r="G98" s="9"/>
      <c r="H98" s="39"/>
      <c r="I98" s="9"/>
      <c r="J98" s="39"/>
      <c r="K98" s="42"/>
      <c r="L98" s="9" t="s">
        <v>381</v>
      </c>
      <c r="M98" s="16"/>
      <c r="O98" s="10"/>
      <c r="P98" s="10"/>
      <c r="Q98" s="10"/>
      <c r="R98" s="10"/>
      <c r="S98" s="10"/>
      <c r="AA98" s="14">
        <f t="shared" si="2"/>
        <v>35</v>
      </c>
      <c r="AB98" s="47">
        <f t="shared" si="3"/>
        <v>34</v>
      </c>
      <c r="AD98" s="45"/>
      <c r="AE98" s="45"/>
      <c r="AF98" s="45"/>
      <c r="AG98" s="45"/>
      <c r="AH98" s="45"/>
      <c r="AI98" s="12"/>
      <c r="AJ98" s="13"/>
      <c r="AK98" s="45"/>
      <c r="AL98" s="45"/>
      <c r="AM98" s="45"/>
      <c r="AN98" s="45"/>
    </row>
    <row r="99" spans="1:40" s="46" customFormat="1" ht="14.4">
      <c r="A99" s="39">
        <v>41228</v>
      </c>
      <c r="B99" s="9" t="s">
        <v>567</v>
      </c>
      <c r="C99" s="40">
        <v>97</v>
      </c>
      <c r="D99" s="41" t="s">
        <v>294</v>
      </c>
      <c r="E99" s="9" t="s">
        <v>18</v>
      </c>
      <c r="F99" s="9" t="s">
        <v>479</v>
      </c>
      <c r="G99" s="9"/>
      <c r="H99" s="39"/>
      <c r="I99" s="9"/>
      <c r="J99" s="39"/>
      <c r="K99" s="42"/>
      <c r="L99" s="9" t="s">
        <v>295</v>
      </c>
      <c r="M99" s="16"/>
      <c r="O99" s="10"/>
      <c r="P99" s="10"/>
      <c r="Q99" s="10"/>
      <c r="R99" s="10"/>
      <c r="S99" s="10"/>
      <c r="AA99" s="14">
        <f t="shared" si="2"/>
        <v>36</v>
      </c>
      <c r="AB99" s="47">
        <f t="shared" si="3"/>
        <v>35</v>
      </c>
      <c r="AD99" s="45"/>
      <c r="AE99" s="45"/>
      <c r="AF99" s="45"/>
      <c r="AG99" s="45"/>
      <c r="AH99" s="45"/>
      <c r="AI99" s="12"/>
      <c r="AJ99" s="13"/>
      <c r="AK99" s="45"/>
      <c r="AL99" s="45"/>
      <c r="AM99" s="45"/>
      <c r="AN99" s="45"/>
    </row>
    <row r="100" spans="1:40" s="46" customFormat="1" ht="14.4">
      <c r="A100" s="39">
        <v>41228</v>
      </c>
      <c r="B100" s="9" t="s">
        <v>1133</v>
      </c>
      <c r="C100" s="40">
        <v>52</v>
      </c>
      <c r="D100" s="41" t="s">
        <v>302</v>
      </c>
      <c r="E100" s="9" t="s">
        <v>96</v>
      </c>
      <c r="F100" s="9" t="s">
        <v>479</v>
      </c>
      <c r="G100" s="9"/>
      <c r="H100" s="39"/>
      <c r="I100" s="9"/>
      <c r="J100" s="39"/>
      <c r="K100" s="42"/>
      <c r="L100" s="9" t="s">
        <v>303</v>
      </c>
      <c r="M100" s="16"/>
      <c r="O100" s="10"/>
      <c r="P100" s="10"/>
      <c r="Q100" s="10"/>
      <c r="R100" s="10"/>
      <c r="S100" s="10"/>
      <c r="AA100" s="14">
        <f t="shared" si="2"/>
        <v>-45</v>
      </c>
      <c r="AB100" s="47">
        <f t="shared" si="3"/>
        <v>-46</v>
      </c>
      <c r="AD100" s="45"/>
      <c r="AE100" s="45"/>
      <c r="AF100" s="45"/>
      <c r="AG100" s="45"/>
      <c r="AH100" s="45"/>
      <c r="AI100" s="12"/>
      <c r="AJ100" s="13"/>
      <c r="AK100" s="45"/>
      <c r="AL100" s="45"/>
      <c r="AM100" s="45"/>
      <c r="AN100" s="45"/>
    </row>
    <row r="101" spans="1:40" s="46" customFormat="1" ht="14.4">
      <c r="A101" s="39">
        <v>41228</v>
      </c>
      <c r="B101" s="9" t="s">
        <v>111</v>
      </c>
      <c r="C101" s="40">
        <v>43</v>
      </c>
      <c r="D101" s="41" t="s">
        <v>112</v>
      </c>
      <c r="E101" s="9" t="s">
        <v>51</v>
      </c>
      <c r="F101" s="9" t="s">
        <v>2201</v>
      </c>
      <c r="G101" s="9"/>
      <c r="H101" s="39"/>
      <c r="I101" s="9"/>
      <c r="J101" s="39"/>
      <c r="K101" s="42"/>
      <c r="L101" s="9" t="s">
        <v>42</v>
      </c>
      <c r="M101" s="16"/>
      <c r="O101" s="10"/>
      <c r="P101" s="10"/>
      <c r="Q101" s="10"/>
      <c r="R101" s="10"/>
      <c r="S101" s="10"/>
      <c r="AA101" s="14">
        <f t="shared" si="2"/>
        <v>-9</v>
      </c>
      <c r="AB101" s="47">
        <f t="shared" si="3"/>
        <v>-10</v>
      </c>
      <c r="AD101" s="45"/>
      <c r="AE101" s="45"/>
      <c r="AF101" s="45"/>
      <c r="AG101" s="45"/>
      <c r="AH101" s="45"/>
      <c r="AI101" s="12"/>
      <c r="AJ101" s="13"/>
      <c r="AK101" s="45"/>
      <c r="AL101" s="45"/>
      <c r="AM101" s="45"/>
      <c r="AN101" s="45"/>
    </row>
    <row r="102" spans="1:40" s="46" customFormat="1" ht="14.4">
      <c r="A102" s="39">
        <v>41228</v>
      </c>
      <c r="B102" s="9" t="s">
        <v>1098</v>
      </c>
      <c r="C102" s="15">
        <v>118</v>
      </c>
      <c r="D102" s="41" t="s">
        <v>335</v>
      </c>
      <c r="E102" s="9" t="s">
        <v>18</v>
      </c>
      <c r="F102" s="9" t="s">
        <v>479</v>
      </c>
      <c r="G102" s="9"/>
      <c r="H102" s="39"/>
      <c r="I102" s="9"/>
      <c r="J102" s="39"/>
      <c r="K102" s="42"/>
      <c r="L102" s="9" t="s">
        <v>42</v>
      </c>
      <c r="M102" s="16"/>
      <c r="O102" s="10"/>
      <c r="P102" s="10"/>
      <c r="Q102" s="10"/>
      <c r="R102" s="10"/>
      <c r="S102" s="10"/>
      <c r="AA102" s="14">
        <f t="shared" si="2"/>
        <v>75</v>
      </c>
      <c r="AB102" s="47">
        <f t="shared" si="3"/>
        <v>74</v>
      </c>
      <c r="AD102" s="45"/>
      <c r="AE102" s="45"/>
      <c r="AF102" s="45"/>
      <c r="AG102" s="45"/>
      <c r="AH102" s="45"/>
      <c r="AI102" s="12"/>
      <c r="AJ102" s="13"/>
      <c r="AK102" s="45"/>
      <c r="AL102" s="45"/>
      <c r="AM102" s="45"/>
      <c r="AN102" s="45"/>
    </row>
    <row r="103" spans="1:40" s="46" customFormat="1" ht="14.4">
      <c r="A103" s="39">
        <v>41228</v>
      </c>
      <c r="B103" s="9" t="s">
        <v>557</v>
      </c>
      <c r="C103" s="40">
        <v>82</v>
      </c>
      <c r="D103" s="41" t="s">
        <v>354</v>
      </c>
      <c r="E103" s="9" t="s">
        <v>18</v>
      </c>
      <c r="F103" s="9" t="s">
        <v>479</v>
      </c>
      <c r="G103" s="9"/>
      <c r="H103" s="39"/>
      <c r="I103" s="9"/>
      <c r="J103" s="39"/>
      <c r="K103" s="42"/>
      <c r="L103" s="9" t="s">
        <v>355</v>
      </c>
      <c r="M103" s="16"/>
      <c r="O103" s="10"/>
      <c r="P103" s="10"/>
      <c r="Q103" s="10"/>
      <c r="R103" s="10"/>
      <c r="S103" s="10"/>
      <c r="AA103" s="14">
        <f t="shared" si="2"/>
        <v>-36</v>
      </c>
      <c r="AB103" s="47">
        <f t="shared" si="3"/>
        <v>-37</v>
      </c>
      <c r="AD103" s="45"/>
      <c r="AE103" s="45"/>
      <c r="AF103" s="45"/>
      <c r="AG103" s="45"/>
      <c r="AH103" s="45"/>
      <c r="AI103" s="12"/>
      <c r="AJ103" s="13"/>
      <c r="AK103" s="45"/>
      <c r="AL103" s="45"/>
      <c r="AM103" s="45"/>
      <c r="AN103" s="45"/>
    </row>
    <row r="104" spans="1:40" s="46" customFormat="1" ht="14.4">
      <c r="A104" s="39">
        <v>41228</v>
      </c>
      <c r="B104" s="9" t="s">
        <v>558</v>
      </c>
      <c r="C104" s="40">
        <v>83</v>
      </c>
      <c r="D104" s="41" t="s">
        <v>389</v>
      </c>
      <c r="E104" s="9" t="s">
        <v>18</v>
      </c>
      <c r="F104" s="9" t="s">
        <v>479</v>
      </c>
      <c r="G104" s="9"/>
      <c r="H104" s="39"/>
      <c r="I104" s="9"/>
      <c r="J104" s="39"/>
      <c r="K104" s="42"/>
      <c r="L104" s="9" t="s">
        <v>390</v>
      </c>
      <c r="M104" s="16"/>
      <c r="O104" s="10"/>
      <c r="P104" s="10"/>
      <c r="Q104" s="10"/>
      <c r="R104" s="10"/>
      <c r="S104" s="10"/>
      <c r="AA104" s="14">
        <f t="shared" si="2"/>
        <v>1</v>
      </c>
      <c r="AB104" s="47">
        <f t="shared" si="3"/>
        <v>0</v>
      </c>
      <c r="AD104" s="45"/>
      <c r="AE104" s="45"/>
      <c r="AF104" s="45"/>
      <c r="AG104" s="45"/>
      <c r="AH104" s="45"/>
      <c r="AI104" s="12"/>
      <c r="AJ104" s="13"/>
      <c r="AK104" s="45"/>
      <c r="AL104" s="45"/>
      <c r="AM104" s="45"/>
      <c r="AN104" s="45"/>
    </row>
    <row r="105" spans="1:40" s="46" customFormat="1" ht="14.4">
      <c r="A105" s="39">
        <v>41228</v>
      </c>
      <c r="B105" s="9" t="s">
        <v>576</v>
      </c>
      <c r="C105" s="15">
        <v>75</v>
      </c>
      <c r="D105" s="41" t="s">
        <v>368</v>
      </c>
      <c r="E105" s="9" t="s">
        <v>77</v>
      </c>
      <c r="F105" s="9" t="s">
        <v>479</v>
      </c>
      <c r="G105" s="9"/>
      <c r="H105" s="39"/>
      <c r="I105" s="9"/>
      <c r="J105" s="39"/>
      <c r="K105" s="42"/>
      <c r="L105" s="9" t="s">
        <v>369</v>
      </c>
      <c r="M105" s="16"/>
      <c r="O105" s="10"/>
      <c r="P105" s="10"/>
      <c r="Q105" s="10"/>
      <c r="R105" s="10"/>
      <c r="S105" s="10"/>
      <c r="AA105" s="14">
        <f t="shared" si="2"/>
        <v>-8</v>
      </c>
      <c r="AB105" s="47">
        <f t="shared" si="3"/>
        <v>-9</v>
      </c>
      <c r="AD105" s="45"/>
      <c r="AE105" s="45"/>
      <c r="AF105" s="45"/>
      <c r="AG105" s="45"/>
      <c r="AH105" s="45"/>
      <c r="AI105" s="12"/>
      <c r="AJ105" s="13"/>
      <c r="AK105" s="45"/>
      <c r="AL105" s="45"/>
      <c r="AM105" s="45"/>
      <c r="AN105" s="45"/>
    </row>
    <row r="106" spans="1:40" s="46" customFormat="1" ht="14.4">
      <c r="A106" s="39">
        <v>41228</v>
      </c>
      <c r="B106" s="9" t="s">
        <v>568</v>
      </c>
      <c r="C106" s="40">
        <v>101</v>
      </c>
      <c r="D106" s="41" t="s">
        <v>825</v>
      </c>
      <c r="E106" s="9" t="s">
        <v>18</v>
      </c>
      <c r="F106" s="9" t="s">
        <v>479</v>
      </c>
      <c r="G106" s="9"/>
      <c r="H106" s="39"/>
      <c r="I106" s="9"/>
      <c r="J106" s="39"/>
      <c r="K106" s="42"/>
      <c r="L106" s="9" t="s">
        <v>361</v>
      </c>
      <c r="M106" s="16"/>
      <c r="O106" s="10"/>
      <c r="P106" s="10"/>
      <c r="Q106" s="10"/>
      <c r="R106" s="10"/>
      <c r="S106" s="10"/>
      <c r="AA106" s="14">
        <f t="shared" si="2"/>
        <v>26</v>
      </c>
      <c r="AB106" s="47">
        <f t="shared" si="3"/>
        <v>25</v>
      </c>
      <c r="AD106" s="45"/>
      <c r="AE106" s="45"/>
      <c r="AF106" s="45"/>
      <c r="AG106" s="45"/>
      <c r="AH106" s="45"/>
      <c r="AI106" s="12"/>
      <c r="AJ106" s="13"/>
      <c r="AK106" s="45"/>
      <c r="AL106" s="45"/>
      <c r="AM106" s="45"/>
      <c r="AN106" s="45"/>
    </row>
    <row r="107" spans="1:40" s="46" customFormat="1" ht="14.4">
      <c r="A107" s="39">
        <v>41228</v>
      </c>
      <c r="B107" s="9" t="s">
        <v>577</v>
      </c>
      <c r="C107" s="40">
        <v>79</v>
      </c>
      <c r="D107" s="41" t="s">
        <v>281</v>
      </c>
      <c r="E107" s="9" t="s">
        <v>57</v>
      </c>
      <c r="F107" s="9" t="s">
        <v>479</v>
      </c>
      <c r="G107" s="9"/>
      <c r="H107" s="39"/>
      <c r="I107" s="9"/>
      <c r="J107" s="39"/>
      <c r="K107" s="42"/>
      <c r="L107" s="9" t="s">
        <v>282</v>
      </c>
      <c r="M107" s="16"/>
      <c r="O107" s="10"/>
      <c r="P107" s="10"/>
      <c r="Q107" s="10"/>
      <c r="R107" s="10"/>
      <c r="S107" s="10"/>
      <c r="AA107" s="14">
        <f t="shared" si="2"/>
        <v>-22</v>
      </c>
      <c r="AB107" s="47">
        <f t="shared" si="3"/>
        <v>-23</v>
      </c>
      <c r="AD107" s="45"/>
      <c r="AE107" s="45"/>
      <c r="AF107" s="45"/>
      <c r="AG107" s="45"/>
      <c r="AH107" s="45"/>
      <c r="AI107" s="12"/>
      <c r="AJ107" s="13"/>
      <c r="AK107" s="45"/>
      <c r="AL107" s="45"/>
      <c r="AM107" s="45"/>
      <c r="AN107" s="45"/>
    </row>
    <row r="108" spans="1:40" s="46" customFormat="1" ht="14.4">
      <c r="A108" s="39">
        <v>41228</v>
      </c>
      <c r="B108" s="9" t="s">
        <v>1093</v>
      </c>
      <c r="C108" s="40">
        <v>109</v>
      </c>
      <c r="D108" s="41" t="s">
        <v>287</v>
      </c>
      <c r="E108" s="9" t="s">
        <v>18</v>
      </c>
      <c r="F108" s="9" t="s">
        <v>479</v>
      </c>
      <c r="G108" s="9"/>
      <c r="H108" s="39"/>
      <c r="I108" s="9"/>
      <c r="J108" s="39"/>
      <c r="K108" s="42"/>
      <c r="L108" s="9" t="s">
        <v>288</v>
      </c>
      <c r="M108" s="16"/>
      <c r="O108" s="10"/>
      <c r="P108" s="10"/>
      <c r="Q108" s="10"/>
      <c r="R108" s="10"/>
      <c r="S108" s="10"/>
      <c r="AA108" s="14">
        <f t="shared" si="2"/>
        <v>30</v>
      </c>
      <c r="AB108" s="47">
        <f t="shared" si="3"/>
        <v>29</v>
      </c>
      <c r="AD108" s="45"/>
      <c r="AE108" s="45"/>
      <c r="AF108" s="45"/>
      <c r="AG108" s="45"/>
      <c r="AH108" s="45"/>
      <c r="AI108" s="12"/>
      <c r="AJ108" s="13"/>
      <c r="AK108" s="45"/>
      <c r="AL108" s="45"/>
      <c r="AM108" s="45"/>
      <c r="AN108" s="45"/>
    </row>
    <row r="109" spans="1:40" s="46" customFormat="1" ht="14.4">
      <c r="A109" s="39">
        <v>41228</v>
      </c>
      <c r="B109" s="102" t="s">
        <v>2165</v>
      </c>
      <c r="C109" s="40">
        <v>324</v>
      </c>
      <c r="D109" s="41" t="s">
        <v>132</v>
      </c>
      <c r="E109" s="9" t="s">
        <v>51</v>
      </c>
      <c r="F109" s="9" t="s">
        <v>2201</v>
      </c>
      <c r="G109" s="9"/>
      <c r="H109" s="39"/>
      <c r="I109" s="39"/>
      <c r="J109" s="39"/>
      <c r="K109" s="42"/>
      <c r="L109" s="9" t="s">
        <v>42</v>
      </c>
      <c r="M109" s="16"/>
      <c r="O109" s="10"/>
      <c r="P109" s="10"/>
      <c r="Q109" s="10"/>
      <c r="R109" s="10"/>
      <c r="S109" s="10"/>
      <c r="AA109" s="14">
        <f t="shared" si="2"/>
        <v>215</v>
      </c>
      <c r="AB109" s="47">
        <f t="shared" si="3"/>
        <v>214</v>
      </c>
      <c r="AD109" s="45"/>
      <c r="AE109" s="45"/>
      <c r="AF109" s="45"/>
      <c r="AG109" s="45"/>
      <c r="AH109" s="45"/>
      <c r="AI109" s="12"/>
      <c r="AJ109" s="13"/>
      <c r="AK109" s="45"/>
      <c r="AL109" s="45"/>
      <c r="AM109" s="45"/>
      <c r="AN109" s="45"/>
    </row>
    <row r="110" spans="1:40" s="46" customFormat="1" ht="14.4">
      <c r="A110" s="39">
        <v>41228</v>
      </c>
      <c r="B110" s="9" t="s">
        <v>121</v>
      </c>
      <c r="C110" s="40">
        <v>32</v>
      </c>
      <c r="D110" s="41" t="s">
        <v>122</v>
      </c>
      <c r="E110" s="9" t="s">
        <v>77</v>
      </c>
      <c r="F110" s="9" t="s">
        <v>2201</v>
      </c>
      <c r="G110" s="9"/>
      <c r="H110" s="39"/>
      <c r="I110" s="9"/>
      <c r="J110" s="39"/>
      <c r="K110" s="42"/>
      <c r="L110" s="9" t="s">
        <v>42</v>
      </c>
      <c r="M110" s="16"/>
      <c r="O110" s="10"/>
      <c r="P110" s="10"/>
      <c r="Q110" s="10"/>
      <c r="R110" s="10"/>
      <c r="S110" s="10"/>
      <c r="AA110" s="14">
        <f t="shared" si="2"/>
        <v>-292</v>
      </c>
      <c r="AB110" s="47">
        <f t="shared" si="3"/>
        <v>-293</v>
      </c>
      <c r="AD110" s="45"/>
      <c r="AE110" s="45"/>
      <c r="AF110" s="45"/>
      <c r="AG110" s="45"/>
      <c r="AH110" s="45"/>
      <c r="AI110" s="12"/>
      <c r="AJ110" s="13"/>
      <c r="AK110" s="45"/>
      <c r="AL110" s="45"/>
      <c r="AM110" s="45"/>
      <c r="AN110" s="45"/>
    </row>
    <row r="111" spans="1:40" s="46" customFormat="1" ht="14.4">
      <c r="A111" s="39">
        <v>41228</v>
      </c>
      <c r="B111" s="9" t="s">
        <v>1084</v>
      </c>
      <c r="C111" s="15">
        <v>209</v>
      </c>
      <c r="D111" s="41" t="s">
        <v>317</v>
      </c>
      <c r="E111" s="9" t="s">
        <v>118</v>
      </c>
      <c r="F111" s="9" t="s">
        <v>479</v>
      </c>
      <c r="G111" s="9"/>
      <c r="H111" s="39"/>
      <c r="I111" s="9"/>
      <c r="J111" s="39"/>
      <c r="K111" s="42"/>
      <c r="L111" s="9" t="s">
        <v>318</v>
      </c>
      <c r="M111" s="16"/>
      <c r="O111" s="10"/>
      <c r="P111" s="10"/>
      <c r="Q111" s="10"/>
      <c r="R111" s="10"/>
      <c r="S111" s="10"/>
      <c r="AA111" s="14">
        <f t="shared" si="2"/>
        <v>177</v>
      </c>
      <c r="AB111" s="47">
        <f t="shared" si="3"/>
        <v>176</v>
      </c>
      <c r="AD111" s="45"/>
      <c r="AE111" s="45"/>
      <c r="AF111" s="45"/>
      <c r="AG111" s="45"/>
      <c r="AH111" s="45"/>
      <c r="AI111" s="12"/>
      <c r="AJ111" s="13"/>
      <c r="AK111" s="45"/>
      <c r="AL111" s="45"/>
      <c r="AM111" s="45"/>
      <c r="AN111" s="45"/>
    </row>
    <row r="112" spans="1:40" s="53" customFormat="1" ht="14.4">
      <c r="A112" s="39">
        <v>41228</v>
      </c>
      <c r="B112" s="74" t="s">
        <v>1342</v>
      </c>
      <c r="C112" s="40">
        <v>308</v>
      </c>
      <c r="D112" s="41" t="s">
        <v>416</v>
      </c>
      <c r="E112" s="9" t="s">
        <v>118</v>
      </c>
      <c r="F112" s="9" t="s">
        <v>479</v>
      </c>
      <c r="G112" s="9"/>
      <c r="H112" s="39"/>
      <c r="I112" s="9"/>
      <c r="J112" s="39"/>
      <c r="K112" s="42"/>
      <c r="L112" s="9" t="s">
        <v>417</v>
      </c>
      <c r="M112" s="9"/>
      <c r="O112" s="45"/>
      <c r="P112" s="45"/>
      <c r="Q112" s="45"/>
      <c r="R112" s="45"/>
      <c r="S112" s="45"/>
      <c r="AA112" s="75" t="e">
        <f>C112-#REF!</f>
        <v>#REF!</v>
      </c>
      <c r="AB112" s="76" t="e">
        <f t="shared" si="3"/>
        <v>#REF!</v>
      </c>
      <c r="AD112" s="45"/>
      <c r="AE112" s="45"/>
      <c r="AF112" s="45"/>
      <c r="AG112" s="45"/>
      <c r="AH112" s="45"/>
      <c r="AI112" s="12"/>
      <c r="AJ112" s="13"/>
      <c r="AK112" s="45"/>
      <c r="AL112" s="45"/>
      <c r="AM112" s="45"/>
      <c r="AN112" s="45"/>
    </row>
    <row r="113" spans="1:40" s="46" customFormat="1" ht="14.4">
      <c r="A113" s="39">
        <v>41228</v>
      </c>
      <c r="B113" s="9" t="s">
        <v>1134</v>
      </c>
      <c r="C113" s="15">
        <v>53</v>
      </c>
      <c r="D113" s="41" t="s">
        <v>336</v>
      </c>
      <c r="E113" s="9" t="s">
        <v>96</v>
      </c>
      <c r="F113" s="9" t="s">
        <v>479</v>
      </c>
      <c r="G113" s="9"/>
      <c r="H113" s="39"/>
      <c r="I113" s="9"/>
      <c r="J113" s="39"/>
      <c r="K113" s="42"/>
      <c r="L113" s="9" t="s">
        <v>337</v>
      </c>
      <c r="M113" s="16"/>
      <c r="O113" s="10"/>
      <c r="P113" s="10"/>
      <c r="Q113" s="10"/>
      <c r="R113" s="10"/>
      <c r="S113" s="10"/>
      <c r="AA113" s="14">
        <f t="shared" si="2"/>
        <v>-255</v>
      </c>
      <c r="AB113" s="47">
        <f t="shared" si="3"/>
        <v>-256</v>
      </c>
      <c r="AD113" s="45"/>
      <c r="AE113" s="45"/>
      <c r="AF113" s="45"/>
      <c r="AG113" s="45"/>
      <c r="AH113" s="45"/>
      <c r="AI113" s="12"/>
      <c r="AJ113" s="13"/>
      <c r="AK113" s="45"/>
      <c r="AL113" s="45"/>
      <c r="AM113" s="45"/>
      <c r="AN113" s="45"/>
    </row>
    <row r="114" spans="1:40" s="46" customFormat="1" ht="14.4">
      <c r="A114" s="39">
        <v>41228</v>
      </c>
      <c r="B114" s="73" t="s">
        <v>250</v>
      </c>
      <c r="C114" s="40">
        <v>364</v>
      </c>
      <c r="D114" s="41" t="s">
        <v>251</v>
      </c>
      <c r="E114" s="9" t="s">
        <v>265</v>
      </c>
      <c r="F114" s="9" t="s">
        <v>2201</v>
      </c>
      <c r="G114" s="9"/>
      <c r="H114" s="39"/>
      <c r="I114" s="9"/>
      <c r="J114" s="39"/>
      <c r="K114" s="42"/>
      <c r="L114" s="9" t="s">
        <v>249</v>
      </c>
      <c r="M114" s="16"/>
      <c r="O114" s="10"/>
      <c r="P114" s="10"/>
      <c r="Q114" s="10"/>
      <c r="R114" s="10"/>
      <c r="S114" s="10"/>
      <c r="AA114" s="14">
        <f t="shared" si="2"/>
        <v>311</v>
      </c>
      <c r="AB114" s="47">
        <f t="shared" si="3"/>
        <v>310</v>
      </c>
      <c r="AD114" s="45"/>
      <c r="AE114" s="45"/>
      <c r="AF114" s="45"/>
      <c r="AG114" s="45"/>
      <c r="AH114" s="45"/>
      <c r="AI114" s="12"/>
      <c r="AJ114" s="13"/>
      <c r="AK114" s="45"/>
      <c r="AL114" s="45"/>
      <c r="AM114" s="45"/>
      <c r="AN114" s="45"/>
    </row>
    <row r="115" spans="1:40" s="46" customFormat="1" ht="14.4">
      <c r="A115" s="39">
        <v>41228</v>
      </c>
      <c r="B115" s="9" t="s">
        <v>1107</v>
      </c>
      <c r="C115" s="40">
        <v>133</v>
      </c>
      <c r="D115" s="41" t="s">
        <v>919</v>
      </c>
      <c r="E115" s="9" t="s">
        <v>118</v>
      </c>
      <c r="F115" s="9" t="s">
        <v>2201</v>
      </c>
      <c r="G115" s="9"/>
      <c r="H115" s="39"/>
      <c r="I115" s="9"/>
      <c r="J115" s="39"/>
      <c r="K115" s="42"/>
      <c r="L115" s="9" t="s">
        <v>275</v>
      </c>
      <c r="M115" s="16"/>
      <c r="O115" s="10"/>
      <c r="P115" s="10"/>
      <c r="Q115" s="10"/>
      <c r="R115" s="10"/>
      <c r="S115" s="10"/>
      <c r="AA115" s="14">
        <f t="shared" si="2"/>
        <v>-231</v>
      </c>
      <c r="AB115" s="47">
        <f t="shared" si="3"/>
        <v>-232</v>
      </c>
      <c r="AD115" s="45"/>
      <c r="AE115" s="45"/>
      <c r="AF115" s="45"/>
      <c r="AG115" s="45"/>
      <c r="AH115" s="45"/>
      <c r="AI115" s="12"/>
      <c r="AJ115" s="13"/>
      <c r="AK115" s="45"/>
      <c r="AL115" s="45"/>
      <c r="AM115" s="45"/>
      <c r="AN115" s="45"/>
    </row>
    <row r="116" spans="1:40" s="53" customFormat="1" ht="14.4">
      <c r="A116" s="39">
        <v>41228</v>
      </c>
      <c r="B116" s="9" t="s">
        <v>124</v>
      </c>
      <c r="C116" s="40">
        <v>34</v>
      </c>
      <c r="D116" s="41" t="s">
        <v>125</v>
      </c>
      <c r="E116" s="9" t="s">
        <v>51</v>
      </c>
      <c r="F116" s="9" t="s">
        <v>2201</v>
      </c>
      <c r="G116" s="9"/>
      <c r="H116" s="39"/>
      <c r="I116" s="9"/>
      <c r="J116" s="39"/>
      <c r="K116" s="42"/>
      <c r="L116" s="9" t="s">
        <v>126</v>
      </c>
      <c r="M116" s="9"/>
      <c r="O116" s="45"/>
      <c r="P116" s="45"/>
      <c r="Q116" s="45"/>
      <c r="R116" s="45"/>
      <c r="S116" s="45"/>
      <c r="AA116" s="75">
        <f t="shared" si="2"/>
        <v>-99</v>
      </c>
      <c r="AB116" s="76">
        <f t="shared" si="3"/>
        <v>-100</v>
      </c>
      <c r="AD116" s="45"/>
      <c r="AE116" s="45"/>
      <c r="AF116" s="45"/>
      <c r="AG116" s="45"/>
      <c r="AH116" s="45"/>
      <c r="AI116" s="12"/>
      <c r="AJ116" s="13"/>
      <c r="AK116" s="45"/>
      <c r="AL116" s="45"/>
      <c r="AM116" s="45"/>
      <c r="AN116" s="45"/>
    </row>
    <row r="117" spans="1:40" s="53" customFormat="1" ht="14.4">
      <c r="A117" s="39">
        <v>41228</v>
      </c>
      <c r="B117" s="9" t="s">
        <v>1102</v>
      </c>
      <c r="C117" s="40">
        <v>125</v>
      </c>
      <c r="D117" s="41" t="s">
        <v>364</v>
      </c>
      <c r="E117" s="9" t="s">
        <v>134</v>
      </c>
      <c r="F117" s="9" t="s">
        <v>479</v>
      </c>
      <c r="G117" s="9"/>
      <c r="H117" s="39"/>
      <c r="I117" s="9"/>
      <c r="J117" s="39"/>
      <c r="K117" s="42"/>
      <c r="L117" s="9" t="s">
        <v>365</v>
      </c>
      <c r="M117" s="9"/>
      <c r="O117" s="45"/>
      <c r="P117" s="45"/>
      <c r="Q117" s="45"/>
      <c r="R117" s="45"/>
      <c r="S117" s="45"/>
      <c r="AA117" s="75">
        <f t="shared" si="2"/>
        <v>91</v>
      </c>
      <c r="AB117" s="76">
        <f t="shared" si="3"/>
        <v>90</v>
      </c>
      <c r="AD117" s="45"/>
      <c r="AE117" s="45"/>
      <c r="AF117" s="45"/>
      <c r="AG117" s="45"/>
      <c r="AH117" s="45"/>
      <c r="AI117" s="12"/>
      <c r="AJ117" s="13"/>
      <c r="AK117" s="45"/>
      <c r="AL117" s="45"/>
      <c r="AM117" s="45"/>
      <c r="AN117" s="45"/>
    </row>
    <row r="118" spans="1:40" s="46" customFormat="1" ht="14.4">
      <c r="A118" s="39">
        <v>41228</v>
      </c>
      <c r="B118" s="9" t="s">
        <v>252</v>
      </c>
      <c r="C118" s="40">
        <v>362</v>
      </c>
      <c r="D118" s="41" t="s">
        <v>253</v>
      </c>
      <c r="E118" s="9" t="s">
        <v>265</v>
      </c>
      <c r="F118" s="9" t="s">
        <v>2201</v>
      </c>
      <c r="G118" s="9"/>
      <c r="H118" s="39"/>
      <c r="I118" s="9"/>
      <c r="J118" s="39"/>
      <c r="K118" s="42"/>
      <c r="L118" s="9" t="s">
        <v>254</v>
      </c>
      <c r="M118" s="16"/>
      <c r="O118" s="10"/>
      <c r="P118" s="10"/>
      <c r="Q118" s="10"/>
      <c r="R118" s="10"/>
      <c r="S118" s="10"/>
      <c r="AA118" s="14">
        <f t="shared" si="2"/>
        <v>237</v>
      </c>
      <c r="AB118" s="47">
        <f t="shared" si="3"/>
        <v>236</v>
      </c>
      <c r="AD118" s="45"/>
      <c r="AE118" s="45"/>
      <c r="AF118" s="45"/>
      <c r="AG118" s="45"/>
      <c r="AH118" s="45"/>
      <c r="AI118" s="12"/>
      <c r="AJ118" s="13"/>
      <c r="AK118" s="45"/>
      <c r="AL118" s="45"/>
      <c r="AM118" s="45"/>
      <c r="AN118" s="45"/>
    </row>
    <row r="119" spans="1:40" s="46" customFormat="1" ht="14.4">
      <c r="A119" s="39">
        <v>41228</v>
      </c>
      <c r="B119" s="9" t="s">
        <v>2056</v>
      </c>
      <c r="C119" s="40">
        <v>422</v>
      </c>
      <c r="D119" s="41" t="s">
        <v>272</v>
      </c>
      <c r="E119" s="9" t="s">
        <v>265</v>
      </c>
      <c r="F119" s="9" t="s">
        <v>2201</v>
      </c>
      <c r="G119" s="9"/>
      <c r="H119" s="39"/>
      <c r="I119" s="9"/>
      <c r="J119" s="39"/>
      <c r="K119" s="42"/>
      <c r="L119" s="9" t="s">
        <v>42</v>
      </c>
      <c r="M119" s="16"/>
      <c r="O119" s="10"/>
      <c r="P119" s="10"/>
      <c r="Q119" s="10"/>
      <c r="R119" s="10"/>
      <c r="S119" s="10"/>
      <c r="AA119" s="14">
        <f t="shared" si="2"/>
        <v>60</v>
      </c>
      <c r="AB119" s="47">
        <f t="shared" si="3"/>
        <v>59</v>
      </c>
      <c r="AD119" s="45"/>
      <c r="AE119" s="45"/>
      <c r="AF119" s="45"/>
      <c r="AG119" s="45"/>
      <c r="AH119" s="45"/>
      <c r="AI119" s="12"/>
      <c r="AJ119" s="13"/>
      <c r="AK119" s="45"/>
      <c r="AL119" s="45"/>
      <c r="AM119" s="45"/>
      <c r="AN119" s="45"/>
    </row>
    <row r="120" spans="1:40" s="46" customFormat="1" ht="14.4">
      <c r="A120" s="39">
        <v>41228</v>
      </c>
      <c r="B120" s="9" t="s">
        <v>246</v>
      </c>
      <c r="C120" s="40">
        <v>29</v>
      </c>
      <c r="D120" s="41" t="s">
        <v>247</v>
      </c>
      <c r="E120" s="9" t="s">
        <v>265</v>
      </c>
      <c r="F120" s="9" t="s">
        <v>2201</v>
      </c>
      <c r="G120" s="9"/>
      <c r="H120" s="39"/>
      <c r="I120" s="9"/>
      <c r="J120" s="39"/>
      <c r="K120" s="42"/>
      <c r="L120" s="9" t="s">
        <v>248</v>
      </c>
      <c r="M120" s="16"/>
      <c r="O120" s="10"/>
      <c r="P120" s="10"/>
      <c r="Q120" s="10"/>
      <c r="R120" s="10"/>
      <c r="S120" s="10"/>
      <c r="AA120" s="14">
        <f t="shared" si="2"/>
        <v>-393</v>
      </c>
      <c r="AB120" s="47">
        <f t="shared" si="3"/>
        <v>-394</v>
      </c>
      <c r="AD120" s="45"/>
      <c r="AE120" s="45"/>
      <c r="AF120" s="45"/>
      <c r="AG120" s="45"/>
      <c r="AH120" s="45"/>
      <c r="AI120" s="12"/>
      <c r="AJ120" s="13"/>
      <c r="AK120" s="45"/>
      <c r="AL120" s="45"/>
      <c r="AM120" s="45"/>
      <c r="AN120" s="45"/>
    </row>
    <row r="121" spans="1:40" s="46" customFormat="1" ht="14.4">
      <c r="A121" s="39">
        <v>41228</v>
      </c>
      <c r="B121" s="9" t="s">
        <v>261</v>
      </c>
      <c r="C121" s="40">
        <v>361</v>
      </c>
      <c r="D121" s="41" t="s">
        <v>262</v>
      </c>
      <c r="E121" s="9" t="s">
        <v>265</v>
      </c>
      <c r="F121" s="9" t="s">
        <v>2201</v>
      </c>
      <c r="G121" s="9"/>
      <c r="H121" s="39"/>
      <c r="I121" s="9"/>
      <c r="J121" s="39"/>
      <c r="K121" s="42"/>
      <c r="L121" s="9" t="s">
        <v>263</v>
      </c>
      <c r="M121" s="16"/>
      <c r="O121" s="10"/>
      <c r="P121" s="10"/>
      <c r="Q121" s="10"/>
      <c r="R121" s="10"/>
      <c r="S121" s="10"/>
      <c r="AA121" s="14">
        <f t="shared" si="2"/>
        <v>332</v>
      </c>
      <c r="AB121" s="47">
        <f t="shared" si="3"/>
        <v>331</v>
      </c>
      <c r="AD121" s="45"/>
      <c r="AE121" s="45"/>
      <c r="AF121" s="45"/>
      <c r="AG121" s="45"/>
      <c r="AH121" s="45"/>
      <c r="AI121" s="12"/>
      <c r="AJ121" s="13"/>
      <c r="AK121" s="45"/>
      <c r="AL121" s="45"/>
      <c r="AM121" s="45"/>
      <c r="AN121" s="45"/>
    </row>
    <row r="122" spans="1:40" s="46" customFormat="1" ht="14.4">
      <c r="A122" s="39">
        <v>41228</v>
      </c>
      <c r="B122" s="9" t="s">
        <v>2057</v>
      </c>
      <c r="C122" s="40">
        <v>423</v>
      </c>
      <c r="D122" s="41" t="s">
        <v>271</v>
      </c>
      <c r="E122" s="9" t="s">
        <v>265</v>
      </c>
      <c r="F122" s="9" t="s">
        <v>2201</v>
      </c>
      <c r="G122" s="9"/>
      <c r="H122" s="39"/>
      <c r="I122" s="50"/>
      <c r="J122" s="39"/>
      <c r="K122" s="42"/>
      <c r="L122" s="9" t="s">
        <v>42</v>
      </c>
      <c r="M122" s="16"/>
      <c r="O122" s="10"/>
      <c r="P122" s="10"/>
      <c r="Q122" s="10"/>
      <c r="R122" s="10"/>
      <c r="S122" s="10"/>
      <c r="AA122" s="14">
        <f t="shared" si="2"/>
        <v>62</v>
      </c>
      <c r="AB122" s="47">
        <f t="shared" si="3"/>
        <v>61</v>
      </c>
      <c r="AD122" s="45"/>
      <c r="AE122" s="45"/>
      <c r="AF122" s="45"/>
      <c r="AG122" s="45"/>
      <c r="AH122" s="45"/>
      <c r="AI122" s="12"/>
      <c r="AJ122" s="13"/>
      <c r="AK122" s="45"/>
      <c r="AL122" s="45"/>
      <c r="AM122" s="45"/>
      <c r="AN122" s="45"/>
    </row>
    <row r="123" spans="1:40" s="46" customFormat="1" ht="14.4">
      <c r="A123" s="39">
        <v>41228</v>
      </c>
      <c r="B123" s="9" t="s">
        <v>2028</v>
      </c>
      <c r="C123" s="40">
        <v>388</v>
      </c>
      <c r="D123" s="41" t="s">
        <v>270</v>
      </c>
      <c r="E123" s="9" t="s">
        <v>265</v>
      </c>
      <c r="F123" s="9" t="s">
        <v>2201</v>
      </c>
      <c r="G123" s="9"/>
      <c r="H123" s="39"/>
      <c r="I123" s="9"/>
      <c r="J123" s="39"/>
      <c r="K123" s="42"/>
      <c r="L123" s="9" t="s">
        <v>2709</v>
      </c>
      <c r="M123" s="16"/>
      <c r="O123" s="10"/>
      <c r="P123" s="10"/>
      <c r="Q123" s="10"/>
      <c r="R123" s="10"/>
      <c r="S123" s="10"/>
      <c r="AA123" s="14">
        <f t="shared" si="2"/>
        <v>-35</v>
      </c>
      <c r="AB123" s="47">
        <f t="shared" si="3"/>
        <v>-36</v>
      </c>
      <c r="AD123" s="45"/>
      <c r="AE123" s="45"/>
      <c r="AF123" s="45"/>
      <c r="AG123" s="45"/>
      <c r="AH123" s="45"/>
      <c r="AI123" s="12"/>
      <c r="AJ123" s="13"/>
      <c r="AK123" s="45"/>
      <c r="AL123" s="45"/>
      <c r="AM123" s="45"/>
      <c r="AN123" s="45"/>
    </row>
    <row r="124" spans="1:40" s="46" customFormat="1" ht="14.4">
      <c r="A124" s="39">
        <v>41228</v>
      </c>
      <c r="B124" s="9" t="s">
        <v>258</v>
      </c>
      <c r="C124" s="40">
        <v>365</v>
      </c>
      <c r="D124" s="41" t="s">
        <v>259</v>
      </c>
      <c r="E124" s="9" t="s">
        <v>265</v>
      </c>
      <c r="F124" s="9" t="s">
        <v>2201</v>
      </c>
      <c r="G124" s="9"/>
      <c r="H124" s="39"/>
      <c r="I124" s="9"/>
      <c r="J124" s="39"/>
      <c r="K124" s="42"/>
      <c r="L124" s="9" t="s">
        <v>260</v>
      </c>
      <c r="M124" s="16"/>
      <c r="O124" s="10"/>
      <c r="P124" s="10"/>
      <c r="Q124" s="10"/>
      <c r="R124" s="10"/>
      <c r="S124" s="10"/>
      <c r="AA124" s="14">
        <f t="shared" si="2"/>
        <v>-23</v>
      </c>
      <c r="AB124" s="47">
        <f t="shared" si="3"/>
        <v>-24</v>
      </c>
      <c r="AD124" s="45"/>
      <c r="AE124" s="45"/>
      <c r="AF124" s="45"/>
      <c r="AG124" s="45"/>
      <c r="AH124" s="45"/>
      <c r="AI124" s="12"/>
      <c r="AJ124" s="13"/>
      <c r="AK124" s="45"/>
      <c r="AL124" s="45"/>
      <c r="AM124" s="45"/>
      <c r="AN124" s="45"/>
    </row>
    <row r="125" spans="1:40" s="46" customFormat="1" ht="14.4">
      <c r="A125" s="39">
        <v>41228</v>
      </c>
      <c r="B125" s="9" t="s">
        <v>264</v>
      </c>
      <c r="C125" s="40">
        <v>406</v>
      </c>
      <c r="D125" s="41" t="s">
        <v>921</v>
      </c>
      <c r="E125" s="9" t="s">
        <v>265</v>
      </c>
      <c r="F125" s="9" t="s">
        <v>2201</v>
      </c>
      <c r="G125" s="9"/>
      <c r="H125" s="39"/>
      <c r="I125" s="9"/>
      <c r="J125" s="39"/>
      <c r="K125" s="42"/>
      <c r="L125" s="9" t="s">
        <v>42</v>
      </c>
      <c r="M125" s="16"/>
      <c r="O125" s="10"/>
      <c r="P125" s="10"/>
      <c r="Q125" s="10"/>
      <c r="R125" s="10"/>
      <c r="S125" s="10"/>
      <c r="AA125" s="14">
        <f t="shared" si="2"/>
        <v>41</v>
      </c>
      <c r="AB125" s="47">
        <f t="shared" si="3"/>
        <v>40</v>
      </c>
      <c r="AD125" s="45"/>
      <c r="AE125" s="45"/>
      <c r="AF125" s="45"/>
      <c r="AG125" s="45"/>
      <c r="AH125" s="45"/>
      <c r="AI125" s="12"/>
      <c r="AJ125" s="13"/>
      <c r="AK125" s="45"/>
      <c r="AL125" s="45"/>
      <c r="AM125" s="45"/>
      <c r="AN125" s="45"/>
    </row>
    <row r="126" spans="1:40" s="46" customFormat="1" ht="14.4">
      <c r="A126" s="39">
        <v>41228</v>
      </c>
      <c r="B126" s="9" t="s">
        <v>2042</v>
      </c>
      <c r="C126" s="40">
        <v>404</v>
      </c>
      <c r="D126" s="41" t="s">
        <v>269</v>
      </c>
      <c r="E126" s="9" t="s">
        <v>265</v>
      </c>
      <c r="F126" s="9" t="s">
        <v>2201</v>
      </c>
      <c r="G126" s="9"/>
      <c r="H126" s="39"/>
      <c r="I126" s="9"/>
      <c r="J126" s="39"/>
      <c r="K126" s="42"/>
      <c r="L126" s="9" t="s">
        <v>42</v>
      </c>
      <c r="M126" s="16"/>
      <c r="O126" s="10"/>
      <c r="P126" s="10"/>
      <c r="Q126" s="10"/>
      <c r="R126" s="10"/>
      <c r="S126" s="10"/>
      <c r="AA126" s="14">
        <f t="shared" si="2"/>
        <v>-2</v>
      </c>
      <c r="AB126" s="47">
        <f t="shared" si="3"/>
        <v>-3</v>
      </c>
      <c r="AD126" s="45"/>
      <c r="AE126" s="45"/>
      <c r="AF126" s="45"/>
      <c r="AG126" s="45"/>
      <c r="AH126" s="45"/>
      <c r="AI126" s="12"/>
      <c r="AJ126" s="13"/>
      <c r="AK126" s="45"/>
      <c r="AL126" s="45"/>
      <c r="AM126" s="45"/>
      <c r="AN126" s="45"/>
    </row>
    <row r="127" spans="1:40" s="46" customFormat="1" ht="14.4">
      <c r="A127" s="39">
        <v>41228</v>
      </c>
      <c r="B127" s="9" t="s">
        <v>1152</v>
      </c>
      <c r="C127" s="40">
        <v>183</v>
      </c>
      <c r="D127" s="41" t="s">
        <v>182</v>
      </c>
      <c r="E127" s="9" t="s">
        <v>88</v>
      </c>
      <c r="F127" s="9" t="s">
        <v>2201</v>
      </c>
      <c r="G127" s="9"/>
      <c r="H127" s="39"/>
      <c r="I127" s="9"/>
      <c r="J127" s="39"/>
      <c r="K127" s="42"/>
      <c r="L127" s="9" t="s">
        <v>42</v>
      </c>
      <c r="M127" s="16"/>
      <c r="O127" s="10"/>
      <c r="P127" s="10"/>
      <c r="Q127" s="10"/>
      <c r="R127" s="10"/>
      <c r="S127" s="10"/>
      <c r="AA127" s="14">
        <f t="shared" si="2"/>
        <v>-221</v>
      </c>
      <c r="AB127" s="47">
        <f t="shared" si="3"/>
        <v>-222</v>
      </c>
      <c r="AD127" s="45"/>
      <c r="AE127" s="45"/>
      <c r="AF127" s="45"/>
      <c r="AG127" s="45"/>
      <c r="AH127" s="45"/>
      <c r="AI127" s="12"/>
      <c r="AJ127" s="13"/>
      <c r="AK127" s="45"/>
      <c r="AL127" s="45"/>
      <c r="AM127" s="45"/>
      <c r="AN127" s="45"/>
    </row>
    <row r="128" spans="1:40" s="46" customFormat="1" ht="14.4">
      <c r="A128" s="39">
        <v>41228</v>
      </c>
      <c r="B128" s="9" t="s">
        <v>1153</v>
      </c>
      <c r="C128" s="40">
        <v>185</v>
      </c>
      <c r="D128" s="41" t="s">
        <v>798</v>
      </c>
      <c r="E128" s="9" t="s">
        <v>88</v>
      </c>
      <c r="F128" s="9" t="s">
        <v>2201</v>
      </c>
      <c r="G128" s="9"/>
      <c r="H128" s="39"/>
      <c r="I128" s="9"/>
      <c r="J128" s="39"/>
      <c r="K128" s="42"/>
      <c r="L128" s="9" t="s">
        <v>42</v>
      </c>
      <c r="M128" s="16"/>
      <c r="O128" s="10"/>
      <c r="P128" s="10"/>
      <c r="Q128" s="10"/>
      <c r="R128" s="10"/>
      <c r="S128" s="10"/>
      <c r="AA128" s="14">
        <f t="shared" si="2"/>
        <v>2</v>
      </c>
      <c r="AB128" s="47">
        <f t="shared" si="3"/>
        <v>1</v>
      </c>
      <c r="AD128" s="45"/>
      <c r="AE128" s="45"/>
      <c r="AF128" s="45"/>
      <c r="AG128" s="45"/>
      <c r="AH128" s="45"/>
      <c r="AI128" s="12"/>
      <c r="AJ128" s="13"/>
      <c r="AK128" s="45"/>
      <c r="AL128" s="45"/>
      <c r="AM128" s="45"/>
      <c r="AN128" s="45"/>
    </row>
    <row r="129" spans="1:40" s="46" customFormat="1" ht="14.4">
      <c r="A129" s="39">
        <v>41228</v>
      </c>
      <c r="B129" s="9" t="s">
        <v>1057</v>
      </c>
      <c r="C129" s="15">
        <v>134</v>
      </c>
      <c r="D129" s="41" t="s">
        <v>156</v>
      </c>
      <c r="E129" s="9" t="s">
        <v>80</v>
      </c>
      <c r="F129" s="9" t="s">
        <v>2201</v>
      </c>
      <c r="G129" s="9"/>
      <c r="H129" s="39"/>
      <c r="I129" s="9"/>
      <c r="J129" s="39"/>
      <c r="K129" s="42"/>
      <c r="L129" s="9" t="s">
        <v>42</v>
      </c>
      <c r="M129" s="16"/>
      <c r="O129" s="10"/>
      <c r="P129" s="10"/>
      <c r="Q129" s="10"/>
      <c r="R129" s="10"/>
      <c r="S129" s="10"/>
      <c r="AA129" s="14">
        <f t="shared" si="2"/>
        <v>-51</v>
      </c>
      <c r="AB129" s="47">
        <f t="shared" si="3"/>
        <v>-52</v>
      </c>
      <c r="AD129" s="45"/>
      <c r="AE129" s="45"/>
      <c r="AF129" s="45"/>
      <c r="AG129" s="45"/>
      <c r="AH129" s="45"/>
      <c r="AI129" s="12"/>
      <c r="AJ129" s="13"/>
      <c r="AK129" s="45"/>
      <c r="AL129" s="45"/>
      <c r="AM129" s="45"/>
      <c r="AN129" s="45"/>
    </row>
    <row r="130" spans="1:40" s="53" customFormat="1" ht="14.4">
      <c r="A130" s="39">
        <v>41228</v>
      </c>
      <c r="B130" s="9" t="s">
        <v>585</v>
      </c>
      <c r="C130" s="40">
        <v>37</v>
      </c>
      <c r="D130" s="41" t="s">
        <v>232</v>
      </c>
      <c r="E130" s="9" t="s">
        <v>88</v>
      </c>
      <c r="F130" s="9" t="s">
        <v>2201</v>
      </c>
      <c r="G130" s="9"/>
      <c r="H130" s="39"/>
      <c r="I130" s="9"/>
      <c r="J130" s="39"/>
      <c r="K130" s="42"/>
      <c r="L130" s="9" t="s">
        <v>42</v>
      </c>
      <c r="M130" s="9"/>
      <c r="O130" s="45"/>
      <c r="P130" s="45"/>
      <c r="Q130" s="45"/>
      <c r="R130" s="45"/>
      <c r="S130" s="45"/>
      <c r="AA130" s="75">
        <f t="shared" ref="AA130:AA190" si="4">C130-C129</f>
        <v>-97</v>
      </c>
      <c r="AB130" s="76">
        <f t="shared" ref="AB130:AB190" si="5">AA130-1</f>
        <v>-98</v>
      </c>
      <c r="AD130" s="45"/>
      <c r="AE130" s="45"/>
      <c r="AF130" s="45"/>
      <c r="AG130" s="45"/>
      <c r="AH130" s="45"/>
      <c r="AI130" s="12"/>
      <c r="AJ130" s="13"/>
      <c r="AK130" s="45"/>
      <c r="AL130" s="45"/>
      <c r="AM130" s="45"/>
      <c r="AN130" s="45"/>
    </row>
    <row r="131" spans="1:40" s="46" customFormat="1" ht="14.4">
      <c r="A131" s="39">
        <v>41228</v>
      </c>
      <c r="B131" s="9" t="s">
        <v>610</v>
      </c>
      <c r="C131" s="40">
        <v>47</v>
      </c>
      <c r="D131" s="41" t="s">
        <v>237</v>
      </c>
      <c r="E131" s="9" t="s">
        <v>88</v>
      </c>
      <c r="F131" s="9" t="s">
        <v>2201</v>
      </c>
      <c r="G131" s="9"/>
      <c r="H131" s="39"/>
      <c r="I131" s="9"/>
      <c r="J131" s="39"/>
      <c r="K131" s="42"/>
      <c r="L131" s="9" t="s">
        <v>238</v>
      </c>
      <c r="M131" s="16"/>
      <c r="O131" s="10"/>
      <c r="P131" s="10"/>
      <c r="Q131" s="10"/>
      <c r="R131" s="10"/>
      <c r="S131" s="10"/>
      <c r="AA131" s="14" t="e">
        <f>C131-#REF!</f>
        <v>#REF!</v>
      </c>
      <c r="AB131" s="47" t="e">
        <f t="shared" si="5"/>
        <v>#REF!</v>
      </c>
      <c r="AD131" s="45"/>
      <c r="AE131" s="45"/>
      <c r="AF131" s="45"/>
      <c r="AG131" s="45"/>
      <c r="AH131" s="45"/>
      <c r="AI131" s="12"/>
      <c r="AJ131" s="13"/>
      <c r="AK131" s="45"/>
      <c r="AL131" s="45"/>
      <c r="AM131" s="45"/>
      <c r="AN131" s="45"/>
    </row>
    <row r="132" spans="1:40" s="46" customFormat="1" ht="24">
      <c r="A132" s="39">
        <v>41228</v>
      </c>
      <c r="B132" s="9" t="s">
        <v>1097</v>
      </c>
      <c r="C132" s="40">
        <v>115</v>
      </c>
      <c r="D132" s="41" t="s">
        <v>356</v>
      </c>
      <c r="E132" s="9" t="s">
        <v>277</v>
      </c>
      <c r="F132" s="9" t="s">
        <v>2201</v>
      </c>
      <c r="G132" s="9"/>
      <c r="H132" s="39"/>
      <c r="I132" s="9"/>
      <c r="J132" s="39"/>
      <c r="K132" s="42"/>
      <c r="L132" s="9" t="s">
        <v>357</v>
      </c>
      <c r="M132" s="16"/>
      <c r="O132" s="10"/>
      <c r="P132" s="10"/>
      <c r="Q132" s="10"/>
      <c r="R132" s="10"/>
      <c r="S132" s="10"/>
      <c r="AA132" s="14">
        <f t="shared" si="4"/>
        <v>68</v>
      </c>
      <c r="AB132" s="47">
        <f t="shared" si="5"/>
        <v>67</v>
      </c>
      <c r="AD132" s="45"/>
      <c r="AE132" s="45"/>
      <c r="AF132" s="45"/>
      <c r="AG132" s="45"/>
      <c r="AH132" s="45"/>
      <c r="AI132" s="12"/>
      <c r="AJ132" s="13"/>
      <c r="AK132" s="45"/>
      <c r="AL132" s="45"/>
      <c r="AM132" s="45"/>
      <c r="AN132" s="45"/>
    </row>
    <row r="133" spans="1:40" s="46" customFormat="1" ht="14.4">
      <c r="A133" s="39">
        <v>41228</v>
      </c>
      <c r="B133" s="9" t="s">
        <v>2014</v>
      </c>
      <c r="C133" s="40">
        <v>374</v>
      </c>
      <c r="D133" s="41" t="s">
        <v>130</v>
      </c>
      <c r="E133" s="9" t="s">
        <v>80</v>
      </c>
      <c r="F133" s="9" t="s">
        <v>2201</v>
      </c>
      <c r="G133" s="9"/>
      <c r="H133" s="39"/>
      <c r="I133" s="9"/>
      <c r="J133" s="39"/>
      <c r="K133" s="42"/>
      <c r="L133" s="9" t="s">
        <v>131</v>
      </c>
      <c r="M133" s="16"/>
      <c r="O133" s="10"/>
      <c r="P133" s="10"/>
      <c r="Q133" s="10"/>
      <c r="R133" s="10"/>
      <c r="S133" s="10"/>
      <c r="AA133" s="14">
        <f t="shared" si="4"/>
        <v>259</v>
      </c>
      <c r="AB133" s="47">
        <f t="shared" si="5"/>
        <v>258</v>
      </c>
      <c r="AD133" s="45"/>
      <c r="AE133" s="45"/>
      <c r="AF133" s="45"/>
      <c r="AG133" s="45"/>
      <c r="AH133" s="45"/>
      <c r="AI133" s="12"/>
      <c r="AJ133" s="13"/>
      <c r="AK133" s="45"/>
      <c r="AL133" s="45"/>
      <c r="AM133" s="45"/>
      <c r="AN133" s="45"/>
    </row>
    <row r="134" spans="1:40" s="46" customFormat="1" ht="14.4">
      <c r="A134" s="39">
        <v>41228</v>
      </c>
      <c r="B134" s="9" t="s">
        <v>611</v>
      </c>
      <c r="C134" s="15">
        <v>104</v>
      </c>
      <c r="D134" s="41" t="s">
        <v>184</v>
      </c>
      <c r="E134" s="9" t="s">
        <v>57</v>
      </c>
      <c r="F134" s="9" t="s">
        <v>2201</v>
      </c>
      <c r="G134" s="9"/>
      <c r="H134" s="39"/>
      <c r="I134" s="9"/>
      <c r="J134" s="39"/>
      <c r="K134" s="42"/>
      <c r="L134" s="9" t="s">
        <v>612</v>
      </c>
      <c r="M134" s="16"/>
      <c r="O134" s="10"/>
      <c r="P134" s="10"/>
      <c r="Q134" s="10"/>
      <c r="R134" s="10"/>
      <c r="S134" s="10"/>
      <c r="AA134" s="14">
        <f t="shared" si="4"/>
        <v>-270</v>
      </c>
      <c r="AB134" s="47">
        <f t="shared" si="5"/>
        <v>-271</v>
      </c>
      <c r="AD134" s="45"/>
      <c r="AE134" s="45"/>
      <c r="AF134" s="45"/>
      <c r="AG134" s="45"/>
      <c r="AH134" s="45"/>
      <c r="AI134" s="12"/>
      <c r="AJ134" s="13"/>
      <c r="AK134" s="45"/>
      <c r="AL134" s="45"/>
      <c r="AM134" s="45"/>
      <c r="AN134" s="45"/>
    </row>
    <row r="135" spans="1:40" s="46" customFormat="1" ht="14.4">
      <c r="A135" s="39">
        <v>41228</v>
      </c>
      <c r="B135" s="9" t="s">
        <v>584</v>
      </c>
      <c r="C135" s="40">
        <v>60</v>
      </c>
      <c r="D135" s="41" t="s">
        <v>186</v>
      </c>
      <c r="E135" s="9" t="s">
        <v>88</v>
      </c>
      <c r="F135" s="9" t="s">
        <v>2201</v>
      </c>
      <c r="G135" s="9"/>
      <c r="H135" s="39"/>
      <c r="I135" s="9"/>
      <c r="J135" s="39"/>
      <c r="K135" s="42"/>
      <c r="L135" s="9" t="s">
        <v>42</v>
      </c>
      <c r="M135" s="16"/>
      <c r="O135" s="10"/>
      <c r="P135" s="10"/>
      <c r="Q135" s="10"/>
      <c r="R135" s="10"/>
      <c r="S135" s="10"/>
      <c r="AA135" s="14">
        <f t="shared" si="4"/>
        <v>-44</v>
      </c>
      <c r="AB135" s="47">
        <f t="shared" si="5"/>
        <v>-45</v>
      </c>
      <c r="AD135" s="45"/>
      <c r="AE135" s="45"/>
      <c r="AF135" s="45"/>
      <c r="AG135" s="45"/>
      <c r="AH135" s="45"/>
      <c r="AI135" s="12"/>
      <c r="AJ135" s="13"/>
      <c r="AK135" s="45"/>
      <c r="AL135" s="45"/>
      <c r="AM135" s="45"/>
      <c r="AN135" s="45"/>
    </row>
    <row r="136" spans="1:40" s="46" customFormat="1" ht="14.4">
      <c r="A136" s="39">
        <v>41228</v>
      </c>
      <c r="B136" s="9" t="s">
        <v>571</v>
      </c>
      <c r="C136" s="40">
        <v>66</v>
      </c>
      <c r="D136" s="41" t="s">
        <v>370</v>
      </c>
      <c r="E136" s="9" t="s">
        <v>77</v>
      </c>
      <c r="F136" s="9" t="s">
        <v>479</v>
      </c>
      <c r="G136" s="9"/>
      <c r="H136" s="39"/>
      <c r="I136" s="9"/>
      <c r="J136" s="39"/>
      <c r="K136" s="42"/>
      <c r="L136" s="9" t="s">
        <v>371</v>
      </c>
      <c r="M136" s="16"/>
      <c r="O136" s="10"/>
      <c r="P136" s="10"/>
      <c r="Q136" s="10"/>
      <c r="R136" s="10"/>
      <c r="S136" s="10"/>
      <c r="AA136" s="14">
        <f t="shared" si="4"/>
        <v>6</v>
      </c>
      <c r="AB136" s="47">
        <f t="shared" si="5"/>
        <v>5</v>
      </c>
      <c r="AD136" s="45"/>
      <c r="AE136" s="45"/>
      <c r="AF136" s="45"/>
      <c r="AG136" s="45"/>
      <c r="AH136" s="45"/>
      <c r="AI136" s="12"/>
      <c r="AJ136" s="13"/>
      <c r="AK136" s="45"/>
      <c r="AL136" s="45"/>
      <c r="AM136" s="45"/>
      <c r="AN136" s="45"/>
    </row>
    <row r="137" spans="1:40" s="46" customFormat="1" ht="14.4">
      <c r="A137" s="39">
        <v>41228</v>
      </c>
      <c r="B137" s="9" t="s">
        <v>580</v>
      </c>
      <c r="C137" s="40">
        <v>99</v>
      </c>
      <c r="D137" s="41" t="s">
        <v>338</v>
      </c>
      <c r="E137" s="9" t="s">
        <v>313</v>
      </c>
      <c r="F137" s="9" t="s">
        <v>479</v>
      </c>
      <c r="G137" s="9"/>
      <c r="H137" s="39"/>
      <c r="I137" s="9"/>
      <c r="J137" s="39"/>
      <c r="K137" s="42"/>
      <c r="L137" s="9" t="s">
        <v>339</v>
      </c>
      <c r="M137" s="16"/>
      <c r="O137" s="10"/>
      <c r="P137" s="10"/>
      <c r="Q137" s="10"/>
      <c r="R137" s="10"/>
      <c r="S137" s="10"/>
      <c r="AA137" s="14">
        <f t="shared" si="4"/>
        <v>33</v>
      </c>
      <c r="AB137" s="47">
        <f t="shared" si="5"/>
        <v>32</v>
      </c>
      <c r="AD137" s="45"/>
      <c r="AE137" s="45"/>
      <c r="AF137" s="45"/>
      <c r="AG137" s="45"/>
      <c r="AH137" s="45"/>
      <c r="AI137" s="12"/>
      <c r="AJ137" s="13"/>
      <c r="AK137" s="45"/>
      <c r="AL137" s="45"/>
      <c r="AM137" s="45"/>
      <c r="AN137" s="45"/>
    </row>
    <row r="138" spans="1:40" s="46" customFormat="1" ht="14.4">
      <c r="A138" s="39">
        <v>41228</v>
      </c>
      <c r="B138" s="9" t="s">
        <v>1183</v>
      </c>
      <c r="C138" s="40">
        <v>246</v>
      </c>
      <c r="D138" s="41" t="s">
        <v>177</v>
      </c>
      <c r="E138" s="9" t="s">
        <v>80</v>
      </c>
      <c r="F138" s="9" t="s">
        <v>2201</v>
      </c>
      <c r="G138" s="9"/>
      <c r="H138" s="39"/>
      <c r="I138" s="9"/>
      <c r="J138" s="39"/>
      <c r="K138" s="42"/>
      <c r="L138" s="9" t="s">
        <v>42</v>
      </c>
      <c r="M138" s="16"/>
      <c r="O138" s="10"/>
      <c r="P138" s="10"/>
      <c r="Q138" s="10"/>
      <c r="R138" s="10"/>
      <c r="S138" s="10"/>
      <c r="AA138" s="14">
        <f t="shared" si="4"/>
        <v>147</v>
      </c>
      <c r="AB138" s="47">
        <f t="shared" si="5"/>
        <v>146</v>
      </c>
      <c r="AD138" s="45"/>
      <c r="AE138" s="45"/>
      <c r="AF138" s="45"/>
      <c r="AG138" s="45"/>
      <c r="AH138" s="45"/>
      <c r="AI138" s="12"/>
      <c r="AJ138" s="13"/>
      <c r="AK138" s="45"/>
      <c r="AL138" s="45"/>
      <c r="AM138" s="45"/>
      <c r="AN138" s="45"/>
    </row>
    <row r="139" spans="1:40" s="46" customFormat="1" ht="14.4">
      <c r="A139" s="39">
        <v>41228</v>
      </c>
      <c r="B139" s="9" t="s">
        <v>113</v>
      </c>
      <c r="C139" s="15">
        <v>38</v>
      </c>
      <c r="D139" s="41" t="s">
        <v>114</v>
      </c>
      <c r="E139" s="9" t="s">
        <v>80</v>
      </c>
      <c r="F139" s="9" t="s">
        <v>2201</v>
      </c>
      <c r="G139" s="9"/>
      <c r="H139" s="39"/>
      <c r="I139" s="9"/>
      <c r="J139" s="39"/>
      <c r="K139" s="42"/>
      <c r="L139" s="9" t="s">
        <v>115</v>
      </c>
      <c r="M139" s="16"/>
      <c r="O139" s="10"/>
      <c r="P139" s="10"/>
      <c r="Q139" s="10"/>
      <c r="R139" s="10"/>
      <c r="S139" s="10"/>
      <c r="AA139" s="14">
        <f t="shared" si="4"/>
        <v>-208</v>
      </c>
      <c r="AB139" s="47">
        <f t="shared" si="5"/>
        <v>-209</v>
      </c>
      <c r="AD139" s="45"/>
      <c r="AE139" s="45"/>
      <c r="AF139" s="45"/>
      <c r="AG139" s="45"/>
      <c r="AH139" s="45"/>
      <c r="AI139" s="12"/>
      <c r="AJ139" s="13"/>
      <c r="AK139" s="45"/>
      <c r="AL139" s="45"/>
      <c r="AM139" s="45"/>
      <c r="AN139" s="45"/>
    </row>
    <row r="140" spans="1:40" s="46" customFormat="1" ht="14.4">
      <c r="A140" s="39">
        <v>41228</v>
      </c>
      <c r="B140" s="9" t="s">
        <v>2693</v>
      </c>
      <c r="C140" s="40">
        <v>672</v>
      </c>
      <c r="D140" s="41" t="s">
        <v>175</v>
      </c>
      <c r="E140" s="9" t="s">
        <v>80</v>
      </c>
      <c r="F140" s="9" t="s">
        <v>2201</v>
      </c>
      <c r="G140" s="9"/>
      <c r="H140" s="39"/>
      <c r="I140" s="9"/>
      <c r="J140" s="39"/>
      <c r="K140" s="42"/>
      <c r="L140" s="9" t="s">
        <v>176</v>
      </c>
      <c r="M140" s="16"/>
      <c r="O140" s="10"/>
      <c r="P140" s="10"/>
      <c r="Q140" s="10"/>
      <c r="R140" s="10"/>
      <c r="S140" s="10"/>
      <c r="AA140" s="14">
        <f t="shared" si="4"/>
        <v>634</v>
      </c>
      <c r="AB140" s="47">
        <f t="shared" si="5"/>
        <v>633</v>
      </c>
      <c r="AD140" s="45"/>
      <c r="AE140" s="45"/>
      <c r="AF140" s="45"/>
      <c r="AG140" s="45"/>
      <c r="AH140" s="45"/>
      <c r="AI140" s="12"/>
      <c r="AJ140" s="13"/>
      <c r="AK140" s="45"/>
      <c r="AL140" s="45"/>
      <c r="AM140" s="45"/>
      <c r="AN140" s="45"/>
    </row>
    <row r="141" spans="1:40" s="46" customFormat="1" ht="14.4">
      <c r="A141" s="39">
        <v>41228</v>
      </c>
      <c r="B141" s="9" t="s">
        <v>1056</v>
      </c>
      <c r="C141" s="40">
        <v>131</v>
      </c>
      <c r="D141" s="41" t="s">
        <v>157</v>
      </c>
      <c r="E141" s="9" t="s">
        <v>80</v>
      </c>
      <c r="F141" s="9" t="s">
        <v>2201</v>
      </c>
      <c r="G141" s="9"/>
      <c r="H141" s="39"/>
      <c r="I141" s="9"/>
      <c r="J141" s="39"/>
      <c r="K141" s="42"/>
      <c r="L141" s="9" t="s">
        <v>42</v>
      </c>
      <c r="M141" s="16"/>
      <c r="O141" s="10"/>
      <c r="P141" s="10"/>
      <c r="Q141" s="10"/>
      <c r="R141" s="10"/>
      <c r="S141" s="10"/>
      <c r="AA141" s="14">
        <f t="shared" si="4"/>
        <v>-541</v>
      </c>
      <c r="AB141" s="47">
        <f t="shared" si="5"/>
        <v>-542</v>
      </c>
      <c r="AD141" s="45"/>
      <c r="AE141" s="45"/>
      <c r="AF141" s="45"/>
      <c r="AG141" s="45"/>
      <c r="AH141" s="45"/>
      <c r="AI141" s="12"/>
      <c r="AJ141" s="13"/>
      <c r="AK141" s="45"/>
      <c r="AL141" s="45"/>
      <c r="AM141" s="45"/>
      <c r="AN141" s="45"/>
    </row>
    <row r="142" spans="1:40" s="46" customFormat="1" ht="14.4">
      <c r="A142" s="39">
        <v>41228</v>
      </c>
      <c r="B142" s="9" t="s">
        <v>1184</v>
      </c>
      <c r="C142" s="40">
        <v>250</v>
      </c>
      <c r="D142" s="41" t="s">
        <v>178</v>
      </c>
      <c r="E142" s="9" t="s">
        <v>80</v>
      </c>
      <c r="F142" s="9" t="s">
        <v>2201</v>
      </c>
      <c r="G142" s="9"/>
      <c r="H142" s="39"/>
      <c r="I142" s="9"/>
      <c r="J142" s="39"/>
      <c r="K142" s="42"/>
      <c r="L142" s="9" t="s">
        <v>179</v>
      </c>
      <c r="M142" s="16"/>
      <c r="O142" s="10"/>
      <c r="P142" s="10"/>
      <c r="Q142" s="10"/>
      <c r="R142" s="10"/>
      <c r="S142" s="10"/>
      <c r="AA142" s="14" t="e">
        <f>C142-#REF!</f>
        <v>#REF!</v>
      </c>
      <c r="AB142" s="47" t="e">
        <f t="shared" si="5"/>
        <v>#REF!</v>
      </c>
      <c r="AD142" s="45"/>
      <c r="AE142" s="45"/>
      <c r="AF142" s="45"/>
      <c r="AG142" s="45"/>
      <c r="AH142" s="45"/>
      <c r="AI142" s="12"/>
      <c r="AJ142" s="13"/>
      <c r="AK142" s="45"/>
      <c r="AL142" s="45"/>
      <c r="AM142" s="45"/>
      <c r="AN142" s="45"/>
    </row>
    <row r="143" spans="1:40" s="46" customFormat="1" ht="14.4">
      <c r="A143" s="39">
        <v>41228</v>
      </c>
      <c r="B143" s="9"/>
      <c r="C143" s="40">
        <v>251</v>
      </c>
      <c r="D143" s="41" t="s">
        <v>180</v>
      </c>
      <c r="E143" s="9" t="s">
        <v>80</v>
      </c>
      <c r="F143" s="9" t="s">
        <v>2201</v>
      </c>
      <c r="G143" s="9"/>
      <c r="H143" s="39"/>
      <c r="I143" s="9"/>
      <c r="J143" s="39"/>
      <c r="K143" s="42"/>
      <c r="L143" s="9" t="s">
        <v>179</v>
      </c>
      <c r="M143" s="16"/>
      <c r="O143" s="10"/>
      <c r="P143" s="10"/>
      <c r="Q143" s="10"/>
      <c r="R143" s="10"/>
      <c r="S143" s="10"/>
      <c r="AA143" s="14">
        <f t="shared" si="4"/>
        <v>1</v>
      </c>
      <c r="AB143" s="47">
        <f t="shared" si="5"/>
        <v>0</v>
      </c>
      <c r="AD143" s="45"/>
      <c r="AE143" s="45"/>
      <c r="AF143" s="45"/>
      <c r="AG143" s="45"/>
      <c r="AH143" s="45"/>
      <c r="AI143" s="12"/>
      <c r="AJ143" s="13"/>
      <c r="AK143" s="45"/>
      <c r="AL143" s="45"/>
      <c r="AM143" s="45"/>
      <c r="AN143" s="45"/>
    </row>
    <row r="144" spans="1:40" s="46" customFormat="1" ht="14.4">
      <c r="A144" s="39">
        <v>41228</v>
      </c>
      <c r="B144" s="9" t="s">
        <v>1055</v>
      </c>
      <c r="C144" s="40">
        <v>127</v>
      </c>
      <c r="D144" s="41" t="s">
        <v>158</v>
      </c>
      <c r="E144" s="9" t="s">
        <v>80</v>
      </c>
      <c r="F144" s="9" t="s">
        <v>2201</v>
      </c>
      <c r="G144" s="9"/>
      <c r="H144" s="39"/>
      <c r="I144" s="9"/>
      <c r="J144" s="39"/>
      <c r="K144" s="42"/>
      <c r="L144" s="9" t="s">
        <v>159</v>
      </c>
      <c r="M144" s="16" t="s">
        <v>190</v>
      </c>
      <c r="O144" s="10"/>
      <c r="P144" s="10"/>
      <c r="Q144" s="10"/>
      <c r="R144" s="10"/>
      <c r="S144" s="10"/>
      <c r="AA144" s="14">
        <f t="shared" si="4"/>
        <v>-124</v>
      </c>
      <c r="AB144" s="47">
        <f t="shared" si="5"/>
        <v>-125</v>
      </c>
      <c r="AD144" s="45"/>
      <c r="AE144" s="45"/>
      <c r="AF144" s="45"/>
      <c r="AG144" s="45"/>
      <c r="AH144" s="45"/>
      <c r="AI144" s="12"/>
      <c r="AJ144" s="13"/>
      <c r="AK144" s="45"/>
      <c r="AL144" s="45"/>
      <c r="AM144" s="45"/>
      <c r="AN144" s="45"/>
    </row>
    <row r="145" spans="1:40" s="46" customFormat="1" ht="14.4">
      <c r="A145" s="39">
        <v>41228</v>
      </c>
      <c r="B145" s="9" t="s">
        <v>127</v>
      </c>
      <c r="C145" s="40">
        <v>36</v>
      </c>
      <c r="D145" s="41" t="s">
        <v>128</v>
      </c>
      <c r="E145" s="9" t="s">
        <v>80</v>
      </c>
      <c r="F145" s="9" t="s">
        <v>2201</v>
      </c>
      <c r="G145" s="9"/>
      <c r="H145" s="39"/>
      <c r="I145" s="9"/>
      <c r="J145" s="39"/>
      <c r="K145" s="42"/>
      <c r="L145" s="9" t="s">
        <v>129</v>
      </c>
      <c r="M145" s="16"/>
      <c r="O145" s="10"/>
      <c r="P145" s="10"/>
      <c r="Q145" s="10"/>
      <c r="R145" s="10"/>
      <c r="S145" s="10"/>
      <c r="AA145" s="14">
        <f t="shared" si="4"/>
        <v>-91</v>
      </c>
      <c r="AB145" s="47">
        <f t="shared" si="5"/>
        <v>-92</v>
      </c>
      <c r="AD145" s="45"/>
      <c r="AE145" s="45"/>
      <c r="AF145" s="45"/>
      <c r="AG145" s="45"/>
      <c r="AH145" s="45"/>
      <c r="AI145" s="12"/>
      <c r="AJ145" s="13"/>
      <c r="AK145" s="45"/>
      <c r="AL145" s="45"/>
      <c r="AM145" s="45"/>
      <c r="AN145" s="45"/>
    </row>
    <row r="146" spans="1:40" s="46" customFormat="1" ht="14.4">
      <c r="A146" s="39">
        <v>41228</v>
      </c>
      <c r="B146" s="9" t="s">
        <v>1090</v>
      </c>
      <c r="C146" s="15">
        <v>103</v>
      </c>
      <c r="D146" s="41" t="s">
        <v>285</v>
      </c>
      <c r="E146" s="9" t="s">
        <v>22</v>
      </c>
      <c r="F146" s="9" t="s">
        <v>479</v>
      </c>
      <c r="G146" s="9"/>
      <c r="H146" s="39"/>
      <c r="I146" s="9"/>
      <c r="J146" s="39"/>
      <c r="K146" s="42"/>
      <c r="L146" s="9" t="s">
        <v>42</v>
      </c>
      <c r="M146" s="16"/>
      <c r="O146" s="10"/>
      <c r="P146" s="10"/>
      <c r="Q146" s="10"/>
      <c r="R146" s="10"/>
      <c r="S146" s="10"/>
      <c r="AA146" s="14">
        <f t="shared" si="4"/>
        <v>67</v>
      </c>
      <c r="AB146" s="47">
        <f t="shared" si="5"/>
        <v>66</v>
      </c>
      <c r="AD146" s="45"/>
      <c r="AE146" s="45"/>
      <c r="AF146" s="45"/>
      <c r="AG146" s="45"/>
      <c r="AH146" s="45"/>
      <c r="AI146" s="12"/>
      <c r="AJ146" s="13"/>
      <c r="AK146" s="45"/>
      <c r="AL146" s="45"/>
      <c r="AM146" s="45"/>
      <c r="AN146" s="45"/>
    </row>
    <row r="147" spans="1:40" s="46" customFormat="1" ht="14.4">
      <c r="A147" s="39">
        <v>41228</v>
      </c>
      <c r="B147" s="9" t="s">
        <v>1100</v>
      </c>
      <c r="C147" s="40">
        <v>121</v>
      </c>
      <c r="D147" s="41" t="s">
        <v>320</v>
      </c>
      <c r="E147" s="9" t="s">
        <v>80</v>
      </c>
      <c r="F147" s="9" t="s">
        <v>479</v>
      </c>
      <c r="G147" s="9"/>
      <c r="H147" s="39"/>
      <c r="I147" s="9"/>
      <c r="J147" s="39"/>
      <c r="K147" s="42"/>
      <c r="L147" s="9" t="s">
        <v>321</v>
      </c>
      <c r="M147" s="16"/>
      <c r="O147" s="10"/>
      <c r="P147" s="10"/>
      <c r="Q147" s="10"/>
      <c r="R147" s="10"/>
      <c r="S147" s="10"/>
      <c r="AA147" s="14">
        <f t="shared" si="4"/>
        <v>18</v>
      </c>
      <c r="AB147" s="47">
        <f t="shared" si="5"/>
        <v>17</v>
      </c>
      <c r="AD147" s="45"/>
      <c r="AE147" s="45"/>
      <c r="AF147" s="45"/>
      <c r="AG147" s="45"/>
      <c r="AH147" s="45"/>
      <c r="AI147" s="12"/>
      <c r="AJ147" s="13"/>
      <c r="AK147" s="45"/>
      <c r="AL147" s="45"/>
      <c r="AM147" s="45"/>
      <c r="AN147" s="45"/>
    </row>
    <row r="148" spans="1:40" s="46" customFormat="1" ht="14.4">
      <c r="A148" s="39">
        <v>41228</v>
      </c>
      <c r="B148" s="9" t="s">
        <v>1042</v>
      </c>
      <c r="C148" s="15">
        <v>252</v>
      </c>
      <c r="D148" s="41" t="s">
        <v>160</v>
      </c>
      <c r="E148" s="9" t="s">
        <v>80</v>
      </c>
      <c r="F148" s="9" t="s">
        <v>2201</v>
      </c>
      <c r="G148" s="9"/>
      <c r="H148" s="39"/>
      <c r="I148" s="9"/>
      <c r="J148" s="39"/>
      <c r="K148" s="42"/>
      <c r="L148" s="9" t="s">
        <v>161</v>
      </c>
      <c r="M148" s="16" t="s">
        <v>191</v>
      </c>
      <c r="O148" s="10"/>
      <c r="P148" s="10"/>
      <c r="Q148" s="10"/>
      <c r="R148" s="10"/>
      <c r="S148" s="10"/>
      <c r="AA148" s="14">
        <f t="shared" si="4"/>
        <v>131</v>
      </c>
      <c r="AB148" s="47">
        <f t="shared" si="5"/>
        <v>130</v>
      </c>
      <c r="AD148" s="45"/>
      <c r="AE148" s="45"/>
      <c r="AF148" s="45"/>
      <c r="AG148" s="45"/>
      <c r="AH148" s="45"/>
      <c r="AI148" s="12"/>
      <c r="AJ148" s="13"/>
      <c r="AK148" s="45"/>
      <c r="AL148" s="45"/>
      <c r="AM148" s="45"/>
      <c r="AN148" s="45"/>
    </row>
    <row r="149" spans="1:40" s="46" customFormat="1" ht="14.4">
      <c r="A149" s="39">
        <v>41228</v>
      </c>
      <c r="B149" s="9" t="s">
        <v>2692</v>
      </c>
      <c r="C149" s="40">
        <v>671</v>
      </c>
      <c r="D149" s="41" t="s">
        <v>147</v>
      </c>
      <c r="E149" s="9" t="s">
        <v>80</v>
      </c>
      <c r="F149" s="9" t="s">
        <v>2201</v>
      </c>
      <c r="G149" s="9"/>
      <c r="H149" s="39"/>
      <c r="I149" s="9"/>
      <c r="J149" s="39"/>
      <c r="K149" s="42"/>
      <c r="L149" s="9" t="s">
        <v>42</v>
      </c>
      <c r="M149" s="16"/>
      <c r="O149" s="10"/>
      <c r="P149" s="10"/>
      <c r="Q149" s="10"/>
      <c r="R149" s="10"/>
      <c r="S149" s="10"/>
      <c r="AA149" s="14">
        <f t="shared" si="4"/>
        <v>419</v>
      </c>
      <c r="AB149" s="47">
        <f t="shared" si="5"/>
        <v>418</v>
      </c>
      <c r="AD149" s="45"/>
      <c r="AE149" s="45"/>
      <c r="AF149" s="45"/>
      <c r="AG149" s="45"/>
      <c r="AH149" s="45"/>
      <c r="AI149" s="12"/>
      <c r="AJ149" s="13"/>
      <c r="AK149" s="45"/>
      <c r="AL149" s="45"/>
      <c r="AM149" s="45"/>
      <c r="AN149" s="45"/>
    </row>
    <row r="150" spans="1:40" s="46" customFormat="1" ht="14.4">
      <c r="A150" s="39">
        <v>41228</v>
      </c>
      <c r="B150" s="9" t="s">
        <v>1044</v>
      </c>
      <c r="C150" s="15">
        <v>254</v>
      </c>
      <c r="D150" s="41" t="s">
        <v>1043</v>
      </c>
      <c r="E150" s="9" t="s">
        <v>80</v>
      </c>
      <c r="F150" s="9" t="s">
        <v>2201</v>
      </c>
      <c r="G150" s="9"/>
      <c r="H150" s="39"/>
      <c r="I150" s="9"/>
      <c r="J150" s="39"/>
      <c r="K150" s="42"/>
      <c r="L150" s="9" t="s">
        <v>162</v>
      </c>
      <c r="M150" s="16"/>
      <c r="O150" s="10"/>
      <c r="P150" s="10"/>
      <c r="Q150" s="10"/>
      <c r="R150" s="10"/>
      <c r="S150" s="10"/>
      <c r="AA150" s="14">
        <f t="shared" si="4"/>
        <v>-417</v>
      </c>
      <c r="AB150" s="47">
        <f t="shared" si="5"/>
        <v>-418</v>
      </c>
      <c r="AD150" s="45"/>
      <c r="AE150" s="45"/>
      <c r="AF150" s="45"/>
      <c r="AG150" s="45"/>
      <c r="AH150" s="45"/>
      <c r="AI150" s="12"/>
      <c r="AJ150" s="13"/>
      <c r="AK150" s="45"/>
      <c r="AL150" s="45"/>
      <c r="AM150" s="45"/>
      <c r="AN150" s="45"/>
    </row>
    <row r="151" spans="1:40" s="46" customFormat="1" ht="14.4">
      <c r="A151" s="39">
        <v>41228</v>
      </c>
      <c r="B151" s="9" t="s">
        <v>1178</v>
      </c>
      <c r="C151" s="40">
        <v>226</v>
      </c>
      <c r="D151" s="41" t="s">
        <v>1177</v>
      </c>
      <c r="E151" s="9" t="s">
        <v>118</v>
      </c>
      <c r="F151" s="9" t="s">
        <v>479</v>
      </c>
      <c r="G151" s="9"/>
      <c r="H151" s="39"/>
      <c r="I151" s="9"/>
      <c r="J151" s="39"/>
      <c r="K151" s="42"/>
      <c r="L151" s="9" t="s">
        <v>413</v>
      </c>
      <c r="M151" s="16"/>
      <c r="O151" s="10"/>
      <c r="P151" s="10"/>
      <c r="Q151" s="10"/>
      <c r="R151" s="10"/>
      <c r="S151" s="10"/>
      <c r="AA151" s="14">
        <f t="shared" si="4"/>
        <v>-28</v>
      </c>
      <c r="AB151" s="47">
        <f t="shared" si="5"/>
        <v>-29</v>
      </c>
      <c r="AD151" s="45"/>
      <c r="AE151" s="45"/>
      <c r="AF151" s="45"/>
      <c r="AG151" s="45"/>
      <c r="AH151" s="45"/>
      <c r="AI151" s="12"/>
      <c r="AJ151" s="13"/>
      <c r="AK151" s="45"/>
      <c r="AL151" s="45"/>
      <c r="AM151" s="45"/>
      <c r="AN151" s="45"/>
    </row>
    <row r="152" spans="1:40" s="46" customFormat="1" ht="14.4">
      <c r="A152" s="39">
        <v>41228</v>
      </c>
      <c r="B152" s="9" t="s">
        <v>1348</v>
      </c>
      <c r="C152" s="40">
        <v>314</v>
      </c>
      <c r="D152" s="41" t="s">
        <v>418</v>
      </c>
      <c r="E152" s="9" t="s">
        <v>118</v>
      </c>
      <c r="F152" s="9" t="s">
        <v>479</v>
      </c>
      <c r="G152" s="9"/>
      <c r="H152" s="39"/>
      <c r="I152" s="9"/>
      <c r="J152" s="39"/>
      <c r="K152" s="42"/>
      <c r="L152" s="9" t="s">
        <v>419</v>
      </c>
      <c r="M152" s="16"/>
      <c r="O152" s="10"/>
      <c r="P152" s="10"/>
      <c r="Q152" s="10"/>
      <c r="R152" s="10"/>
      <c r="S152" s="10"/>
      <c r="AA152" s="14">
        <f t="shared" si="4"/>
        <v>88</v>
      </c>
      <c r="AB152" s="47">
        <f t="shared" si="5"/>
        <v>87</v>
      </c>
      <c r="AD152" s="45"/>
      <c r="AE152" s="45"/>
      <c r="AF152" s="45"/>
      <c r="AG152" s="45"/>
      <c r="AH152" s="45"/>
      <c r="AI152" s="12"/>
      <c r="AJ152" s="13"/>
      <c r="AK152" s="45"/>
      <c r="AL152" s="45"/>
      <c r="AM152" s="45"/>
      <c r="AN152" s="45"/>
    </row>
    <row r="153" spans="1:40" s="46" customFormat="1" ht="14.4">
      <c r="A153" s="39">
        <v>41228</v>
      </c>
      <c r="B153" s="9" t="s">
        <v>1154</v>
      </c>
      <c r="C153" s="40">
        <v>186</v>
      </c>
      <c r="D153" s="41" t="s">
        <v>382</v>
      </c>
      <c r="E153" s="9" t="s">
        <v>77</v>
      </c>
      <c r="F153" s="9" t="s">
        <v>479</v>
      </c>
      <c r="G153" s="9"/>
      <c r="H153" s="39"/>
      <c r="I153" s="9"/>
      <c r="J153" s="39"/>
      <c r="K153" s="42"/>
      <c r="L153" s="9" t="s">
        <v>383</v>
      </c>
      <c r="M153" s="16"/>
      <c r="O153" s="10"/>
      <c r="P153" s="10"/>
      <c r="Q153" s="10"/>
      <c r="R153" s="10"/>
      <c r="S153" s="10"/>
      <c r="AA153" s="14">
        <f t="shared" si="4"/>
        <v>-128</v>
      </c>
      <c r="AB153" s="47">
        <f t="shared" si="5"/>
        <v>-129</v>
      </c>
      <c r="AD153" s="45"/>
      <c r="AE153" s="45"/>
      <c r="AF153" s="45"/>
      <c r="AG153" s="45"/>
      <c r="AH153" s="45"/>
      <c r="AI153" s="12"/>
      <c r="AJ153" s="13"/>
      <c r="AK153" s="45"/>
      <c r="AL153" s="45"/>
      <c r="AM153" s="45"/>
      <c r="AN153" s="45"/>
    </row>
    <row r="154" spans="1:40" s="46" customFormat="1" ht="14.4">
      <c r="A154" s="39">
        <v>41228</v>
      </c>
      <c r="B154" s="9" t="s">
        <v>1066</v>
      </c>
      <c r="C154" s="40">
        <v>153</v>
      </c>
      <c r="D154" s="41" t="s">
        <v>163</v>
      </c>
      <c r="E154" s="9" t="s">
        <v>80</v>
      </c>
      <c r="F154" s="9" t="s">
        <v>2201</v>
      </c>
      <c r="G154" s="9"/>
      <c r="H154" s="39"/>
      <c r="I154" s="9"/>
      <c r="J154" s="39"/>
      <c r="K154" s="42"/>
      <c r="L154" s="9" t="s">
        <v>42</v>
      </c>
      <c r="M154" s="16"/>
      <c r="O154" s="10"/>
      <c r="P154" s="10"/>
      <c r="Q154" s="10"/>
      <c r="R154" s="10"/>
      <c r="S154" s="10"/>
      <c r="AA154" s="14">
        <f t="shared" si="4"/>
        <v>-33</v>
      </c>
      <c r="AB154" s="47">
        <f t="shared" si="5"/>
        <v>-34</v>
      </c>
      <c r="AD154" s="45"/>
      <c r="AE154" s="45"/>
      <c r="AF154" s="45"/>
      <c r="AG154" s="45"/>
      <c r="AH154" s="45"/>
      <c r="AI154" s="12"/>
      <c r="AJ154" s="13"/>
      <c r="AK154" s="45"/>
      <c r="AL154" s="45"/>
      <c r="AM154" s="45"/>
      <c r="AN154" s="45"/>
    </row>
    <row r="155" spans="1:40" s="46" customFormat="1" ht="14.4">
      <c r="A155" s="39">
        <v>41228</v>
      </c>
      <c r="B155" s="9" t="s">
        <v>2883</v>
      </c>
      <c r="C155" s="40">
        <v>756</v>
      </c>
      <c r="D155" s="41" t="s">
        <v>388</v>
      </c>
      <c r="E155" s="9" t="s">
        <v>57</v>
      </c>
      <c r="F155" s="9" t="s">
        <v>479</v>
      </c>
      <c r="G155" s="9"/>
      <c r="H155" s="39"/>
      <c r="I155" s="9"/>
      <c r="J155" s="39"/>
      <c r="K155" s="42"/>
      <c r="L155" s="9" t="s">
        <v>42</v>
      </c>
      <c r="M155" s="16"/>
      <c r="O155" s="10"/>
      <c r="P155" s="10"/>
      <c r="Q155" s="10"/>
      <c r="R155" s="10"/>
      <c r="S155" s="10"/>
      <c r="AA155" s="14">
        <f t="shared" si="4"/>
        <v>603</v>
      </c>
      <c r="AB155" s="47">
        <f t="shared" si="5"/>
        <v>602</v>
      </c>
      <c r="AD155" s="45"/>
      <c r="AE155" s="45"/>
      <c r="AF155" s="45"/>
      <c r="AG155" s="45"/>
      <c r="AH155" s="45"/>
      <c r="AI155" s="12"/>
      <c r="AJ155" s="13"/>
      <c r="AK155" s="45"/>
      <c r="AL155" s="45"/>
      <c r="AM155" s="45"/>
      <c r="AN155" s="45"/>
    </row>
    <row r="156" spans="1:40" s="46" customFormat="1" ht="14.4">
      <c r="A156" s="39">
        <v>41228</v>
      </c>
      <c r="B156" s="9" t="s">
        <v>1329</v>
      </c>
      <c r="C156" s="40">
        <v>278</v>
      </c>
      <c r="D156" s="41" t="s">
        <v>430</v>
      </c>
      <c r="E156" s="9" t="s">
        <v>118</v>
      </c>
      <c r="F156" s="9" t="s">
        <v>479</v>
      </c>
      <c r="G156" s="9"/>
      <c r="H156" s="39"/>
      <c r="I156" s="9"/>
      <c r="J156" s="39"/>
      <c r="K156" s="42"/>
      <c r="L156" s="9" t="s">
        <v>431</v>
      </c>
      <c r="M156" s="16"/>
      <c r="O156" s="10"/>
      <c r="P156" s="10"/>
      <c r="Q156" s="10"/>
      <c r="R156" s="10"/>
      <c r="S156" s="10"/>
      <c r="AA156" s="14">
        <f t="shared" si="4"/>
        <v>-478</v>
      </c>
      <c r="AB156" s="47">
        <f t="shared" si="5"/>
        <v>-479</v>
      </c>
      <c r="AD156" s="45"/>
      <c r="AE156" s="45"/>
      <c r="AF156" s="45"/>
      <c r="AG156" s="45"/>
      <c r="AH156" s="45"/>
      <c r="AI156" s="12"/>
      <c r="AJ156" s="13"/>
      <c r="AK156" s="45"/>
      <c r="AL156" s="45"/>
      <c r="AM156" s="45"/>
      <c r="AN156" s="45"/>
    </row>
    <row r="157" spans="1:40" s="46" customFormat="1" ht="14.4">
      <c r="A157" s="39">
        <v>41228</v>
      </c>
      <c r="B157" s="9" t="s">
        <v>1337</v>
      </c>
      <c r="C157" s="15">
        <v>303</v>
      </c>
      <c r="D157" s="41" t="s">
        <v>428</v>
      </c>
      <c r="E157" s="9" t="s">
        <v>118</v>
      </c>
      <c r="F157" s="9" t="s">
        <v>479</v>
      </c>
      <c r="G157" s="9"/>
      <c r="H157" s="39"/>
      <c r="I157" s="9"/>
      <c r="J157" s="39"/>
      <c r="K157" s="42"/>
      <c r="L157" s="9" t="s">
        <v>429</v>
      </c>
      <c r="M157" s="16"/>
      <c r="O157" s="10"/>
      <c r="P157" s="10"/>
      <c r="Q157" s="10"/>
      <c r="R157" s="10"/>
      <c r="S157" s="10"/>
      <c r="AA157" s="14">
        <f t="shared" si="4"/>
        <v>25</v>
      </c>
      <c r="AB157" s="47">
        <f t="shared" si="5"/>
        <v>24</v>
      </c>
      <c r="AD157" s="45"/>
      <c r="AE157" s="45"/>
      <c r="AF157" s="45"/>
      <c r="AG157" s="45"/>
      <c r="AH157" s="45"/>
      <c r="AI157" s="12"/>
      <c r="AJ157" s="13"/>
      <c r="AK157" s="45"/>
      <c r="AL157" s="45"/>
      <c r="AM157" s="45"/>
      <c r="AN157" s="45"/>
    </row>
    <row r="158" spans="1:40" s="46" customFormat="1" ht="14.4">
      <c r="A158" s="39">
        <v>41228</v>
      </c>
      <c r="B158" s="9" t="s">
        <v>1326</v>
      </c>
      <c r="C158" s="40">
        <v>275</v>
      </c>
      <c r="D158" s="41" t="s">
        <v>988</v>
      </c>
      <c r="E158" s="9" t="s">
        <v>118</v>
      </c>
      <c r="F158" s="9" t="s">
        <v>479</v>
      </c>
      <c r="G158" s="9"/>
      <c r="H158" s="39"/>
      <c r="I158" s="9"/>
      <c r="J158" s="39"/>
      <c r="K158" s="42"/>
      <c r="L158" s="9" t="s">
        <v>42</v>
      </c>
      <c r="M158" s="16"/>
      <c r="O158" s="10"/>
      <c r="P158" s="10"/>
      <c r="Q158" s="10"/>
      <c r="R158" s="10"/>
      <c r="S158" s="10"/>
      <c r="AA158" s="14">
        <f t="shared" si="4"/>
        <v>-28</v>
      </c>
      <c r="AB158" s="47">
        <f t="shared" si="5"/>
        <v>-29</v>
      </c>
      <c r="AD158" s="45"/>
      <c r="AE158" s="45"/>
      <c r="AF158" s="45"/>
      <c r="AG158" s="45"/>
      <c r="AH158" s="45"/>
      <c r="AI158" s="12"/>
      <c r="AJ158" s="13"/>
      <c r="AK158" s="45"/>
      <c r="AL158" s="45"/>
      <c r="AM158" s="45"/>
      <c r="AN158" s="45"/>
    </row>
    <row r="159" spans="1:40" s="46" customFormat="1" ht="14.4">
      <c r="A159" s="39">
        <v>41228</v>
      </c>
      <c r="B159" s="9" t="s">
        <v>98</v>
      </c>
      <c r="C159" s="40">
        <v>46</v>
      </c>
      <c r="D159" s="41" t="s">
        <v>99</v>
      </c>
      <c r="E159" s="9" t="s">
        <v>18</v>
      </c>
      <c r="F159" s="9" t="s">
        <v>2201</v>
      </c>
      <c r="G159" s="9" t="s">
        <v>100</v>
      </c>
      <c r="H159" s="39"/>
      <c r="I159" s="9"/>
      <c r="J159" s="39"/>
      <c r="K159" s="48"/>
      <c r="L159" s="9" t="s">
        <v>101</v>
      </c>
      <c r="M159" s="16"/>
      <c r="O159" s="10"/>
      <c r="P159" s="10"/>
      <c r="Q159" s="10"/>
      <c r="R159" s="10"/>
      <c r="S159" s="10"/>
      <c r="AA159" s="14">
        <f t="shared" si="4"/>
        <v>-229</v>
      </c>
      <c r="AB159" s="47">
        <f t="shared" si="5"/>
        <v>-230</v>
      </c>
      <c r="AD159" s="45"/>
      <c r="AE159" s="45"/>
      <c r="AF159" s="45"/>
      <c r="AG159" s="45"/>
      <c r="AH159" s="45"/>
      <c r="AI159" s="12"/>
      <c r="AJ159" s="13"/>
      <c r="AK159" s="45"/>
      <c r="AL159" s="45"/>
      <c r="AM159" s="45"/>
      <c r="AN159" s="45"/>
    </row>
    <row r="160" spans="1:40" s="46" customFormat="1" ht="14.4">
      <c r="A160" s="39">
        <v>41228</v>
      </c>
      <c r="B160" s="9" t="s">
        <v>1330</v>
      </c>
      <c r="C160" s="40">
        <v>279</v>
      </c>
      <c r="D160" s="41" t="s">
        <v>2488</v>
      </c>
      <c r="E160" s="9" t="s">
        <v>134</v>
      </c>
      <c r="F160" s="9" t="s">
        <v>2201</v>
      </c>
      <c r="G160" s="9"/>
      <c r="H160" s="39"/>
      <c r="I160" s="9"/>
      <c r="J160" s="39"/>
      <c r="K160" s="42"/>
      <c r="L160" s="9" t="s">
        <v>140</v>
      </c>
      <c r="M160" s="16"/>
      <c r="O160" s="10"/>
      <c r="P160" s="10"/>
      <c r="Q160" s="10"/>
      <c r="R160" s="10"/>
      <c r="S160" s="10"/>
      <c r="AA160" s="14">
        <f t="shared" si="4"/>
        <v>233</v>
      </c>
      <c r="AB160" s="47">
        <f t="shared" si="5"/>
        <v>232</v>
      </c>
      <c r="AD160" s="45"/>
      <c r="AE160" s="45"/>
      <c r="AF160" s="45"/>
      <c r="AG160" s="45"/>
      <c r="AH160" s="45"/>
      <c r="AI160" s="12"/>
      <c r="AJ160" s="13"/>
      <c r="AK160" s="45"/>
      <c r="AL160" s="45"/>
      <c r="AM160" s="45"/>
      <c r="AN160" s="45"/>
    </row>
    <row r="161" spans="1:40" s="46" customFormat="1" ht="14.4">
      <c r="A161" s="39">
        <v>41228</v>
      </c>
      <c r="B161" s="9" t="s">
        <v>565</v>
      </c>
      <c r="C161" s="40">
        <v>92</v>
      </c>
      <c r="D161" s="41" t="s">
        <v>311</v>
      </c>
      <c r="E161" s="9" t="s">
        <v>57</v>
      </c>
      <c r="F161" s="9" t="s">
        <v>935</v>
      </c>
      <c r="G161" s="9"/>
      <c r="H161" s="39"/>
      <c r="I161" s="9"/>
      <c r="J161" s="39"/>
      <c r="K161" s="42"/>
      <c r="L161" s="9" t="s">
        <v>42</v>
      </c>
      <c r="M161" s="16"/>
      <c r="O161" s="10"/>
      <c r="P161" s="10"/>
      <c r="Q161" s="10"/>
      <c r="R161" s="10"/>
      <c r="S161" s="10"/>
      <c r="AA161" s="14">
        <f t="shared" si="4"/>
        <v>-187</v>
      </c>
      <c r="AB161" s="47">
        <f t="shared" si="5"/>
        <v>-188</v>
      </c>
      <c r="AD161" s="45"/>
      <c r="AE161" s="45"/>
      <c r="AF161" s="45"/>
      <c r="AG161" s="45"/>
      <c r="AH161" s="45"/>
      <c r="AI161" s="12"/>
      <c r="AJ161" s="13"/>
      <c r="AK161" s="45"/>
      <c r="AL161" s="45"/>
      <c r="AM161" s="45"/>
      <c r="AN161" s="45"/>
    </row>
    <row r="162" spans="1:40" s="46" customFormat="1" ht="14.4">
      <c r="A162" s="39">
        <v>41228</v>
      </c>
      <c r="B162" s="9" t="s">
        <v>1019</v>
      </c>
      <c r="C162" s="40">
        <v>244</v>
      </c>
      <c r="D162" s="41" t="s">
        <v>404</v>
      </c>
      <c r="E162" s="9" t="s">
        <v>118</v>
      </c>
      <c r="F162" s="9" t="s">
        <v>479</v>
      </c>
      <c r="G162" s="9"/>
      <c r="H162" s="39"/>
      <c r="I162" s="9"/>
      <c r="J162" s="39"/>
      <c r="K162" s="42"/>
      <c r="L162" s="9" t="s">
        <v>405</v>
      </c>
      <c r="M162" s="16"/>
      <c r="O162" s="10"/>
      <c r="P162" s="10"/>
      <c r="Q162" s="10"/>
      <c r="R162" s="10"/>
      <c r="S162" s="10"/>
      <c r="AA162" s="14">
        <f t="shared" si="4"/>
        <v>152</v>
      </c>
      <c r="AB162" s="47">
        <f t="shared" si="5"/>
        <v>151</v>
      </c>
      <c r="AD162" s="45"/>
      <c r="AE162" s="45"/>
      <c r="AF162" s="45"/>
      <c r="AG162" s="45"/>
      <c r="AH162" s="45"/>
      <c r="AI162" s="12"/>
      <c r="AJ162" s="13"/>
      <c r="AK162" s="45"/>
      <c r="AL162" s="45"/>
      <c r="AM162" s="45"/>
      <c r="AN162" s="45"/>
    </row>
    <row r="163" spans="1:40" s="46" customFormat="1" ht="14.4">
      <c r="A163" s="39">
        <v>41228</v>
      </c>
      <c r="B163" s="9" t="s">
        <v>609</v>
      </c>
      <c r="C163" s="40">
        <v>50</v>
      </c>
      <c r="D163" s="41" t="s">
        <v>239</v>
      </c>
      <c r="E163" s="9" t="s">
        <v>88</v>
      </c>
      <c r="F163" s="9" t="s">
        <v>2201</v>
      </c>
      <c r="G163" s="9"/>
      <c r="H163" s="39"/>
      <c r="I163" s="9"/>
      <c r="J163" s="39"/>
      <c r="K163" s="42"/>
      <c r="L163" s="9" t="s">
        <v>240</v>
      </c>
      <c r="M163" s="16"/>
      <c r="O163" s="10"/>
      <c r="P163" s="10"/>
      <c r="Q163" s="10"/>
      <c r="R163" s="10"/>
      <c r="S163" s="10"/>
      <c r="AA163" s="14">
        <f t="shared" si="4"/>
        <v>-194</v>
      </c>
      <c r="AB163" s="47">
        <f t="shared" si="5"/>
        <v>-195</v>
      </c>
      <c r="AD163" s="45"/>
      <c r="AE163" s="45"/>
      <c r="AF163" s="45"/>
      <c r="AG163" s="45"/>
      <c r="AH163" s="45"/>
      <c r="AI163" s="12"/>
      <c r="AJ163" s="13"/>
      <c r="AK163" s="45"/>
      <c r="AL163" s="45"/>
      <c r="AM163" s="45"/>
      <c r="AN163" s="45"/>
    </row>
    <row r="164" spans="1:40" s="46" customFormat="1" ht="14.4">
      <c r="A164" s="39">
        <v>41228</v>
      </c>
      <c r="B164" s="9" t="s">
        <v>594</v>
      </c>
      <c r="C164" s="40">
        <v>81</v>
      </c>
      <c r="D164" s="41" t="s">
        <v>243</v>
      </c>
      <c r="E164" s="9" t="s">
        <v>88</v>
      </c>
      <c r="F164" s="9" t="s">
        <v>2201</v>
      </c>
      <c r="G164" s="9"/>
      <c r="H164" s="39"/>
      <c r="I164" s="9"/>
      <c r="J164" s="39"/>
      <c r="K164" s="42"/>
      <c r="L164" s="9" t="s">
        <v>244</v>
      </c>
      <c r="M164" s="16"/>
      <c r="O164" s="10"/>
      <c r="P164" s="10"/>
      <c r="Q164" s="10"/>
      <c r="R164" s="10"/>
      <c r="S164" s="10"/>
      <c r="AA164" s="14">
        <f t="shared" si="4"/>
        <v>31</v>
      </c>
      <c r="AB164" s="47">
        <f t="shared" si="5"/>
        <v>30</v>
      </c>
      <c r="AD164" s="45"/>
      <c r="AE164" s="45"/>
      <c r="AF164" s="45"/>
      <c r="AG164" s="45"/>
      <c r="AH164" s="45"/>
      <c r="AI164" s="12"/>
      <c r="AJ164" s="13"/>
      <c r="AK164" s="45"/>
      <c r="AL164" s="45"/>
      <c r="AM164" s="45"/>
      <c r="AN164" s="45"/>
    </row>
    <row r="165" spans="1:40" s="46" customFormat="1" ht="14.4">
      <c r="A165" s="39">
        <v>41228</v>
      </c>
      <c r="B165" s="9" t="s">
        <v>575</v>
      </c>
      <c r="C165" s="40">
        <v>72</v>
      </c>
      <c r="D165" s="41" t="s">
        <v>374</v>
      </c>
      <c r="E165" s="9" t="s">
        <v>77</v>
      </c>
      <c r="F165" s="9" t="s">
        <v>479</v>
      </c>
      <c r="G165" s="9"/>
      <c r="H165" s="39"/>
      <c r="I165" s="9"/>
      <c r="J165" s="39"/>
      <c r="K165" s="42"/>
      <c r="L165" s="9" t="s">
        <v>375</v>
      </c>
      <c r="M165" s="16"/>
      <c r="O165" s="10"/>
      <c r="P165" s="10"/>
      <c r="Q165" s="10"/>
      <c r="R165" s="10"/>
      <c r="S165" s="10"/>
      <c r="AA165" s="14">
        <f t="shared" si="4"/>
        <v>-9</v>
      </c>
      <c r="AB165" s="47">
        <f t="shared" si="5"/>
        <v>-10</v>
      </c>
      <c r="AD165" s="45"/>
      <c r="AE165" s="45"/>
      <c r="AF165" s="45"/>
      <c r="AG165" s="45"/>
      <c r="AH165" s="45"/>
      <c r="AI165" s="12"/>
      <c r="AJ165" s="13"/>
      <c r="AK165" s="45"/>
      <c r="AL165" s="45"/>
      <c r="AM165" s="45"/>
      <c r="AN165" s="45"/>
    </row>
    <row r="166" spans="1:40" s="46" customFormat="1" ht="14.4">
      <c r="A166" s="39">
        <v>41228</v>
      </c>
      <c r="B166" s="103" t="s">
        <v>2155</v>
      </c>
      <c r="C166" s="40">
        <v>57</v>
      </c>
      <c r="D166" s="41" t="s">
        <v>328</v>
      </c>
      <c r="E166" s="9" t="s">
        <v>96</v>
      </c>
      <c r="F166" s="9" t="s">
        <v>479</v>
      </c>
      <c r="G166" s="9"/>
      <c r="H166" s="39"/>
      <c r="I166" s="9"/>
      <c r="J166" s="39"/>
      <c r="K166" s="42"/>
      <c r="L166" s="9" t="s">
        <v>329</v>
      </c>
      <c r="M166" s="16"/>
      <c r="O166" s="10"/>
      <c r="P166" s="10"/>
      <c r="Q166" s="10"/>
      <c r="R166" s="10"/>
      <c r="S166" s="10"/>
      <c r="AA166" s="14">
        <f t="shared" si="4"/>
        <v>-15</v>
      </c>
      <c r="AB166" s="47">
        <f t="shared" si="5"/>
        <v>-16</v>
      </c>
      <c r="AD166" s="45"/>
      <c r="AE166" s="45"/>
      <c r="AF166" s="45"/>
      <c r="AG166" s="45"/>
      <c r="AH166" s="45"/>
      <c r="AI166" s="12"/>
      <c r="AJ166" s="13"/>
      <c r="AK166" s="45"/>
      <c r="AL166" s="45"/>
      <c r="AM166" s="45"/>
      <c r="AN166" s="45"/>
    </row>
    <row r="167" spans="1:40" s="46" customFormat="1" ht="14.4">
      <c r="A167" s="39">
        <v>41228</v>
      </c>
      <c r="B167" s="9" t="s">
        <v>1198</v>
      </c>
      <c r="C167" s="40">
        <v>347</v>
      </c>
      <c r="D167" s="41" t="s">
        <v>352</v>
      </c>
      <c r="E167" s="9" t="s">
        <v>77</v>
      </c>
      <c r="F167" s="9" t="s">
        <v>479</v>
      </c>
      <c r="G167" s="9"/>
      <c r="H167" s="39"/>
      <c r="I167" s="9"/>
      <c r="J167" s="39"/>
      <c r="K167" s="42"/>
      <c r="L167" s="9" t="s">
        <v>353</v>
      </c>
      <c r="M167" s="16"/>
      <c r="O167" s="10"/>
      <c r="P167" s="10"/>
      <c r="Q167" s="10"/>
      <c r="R167" s="10"/>
      <c r="S167" s="10"/>
      <c r="AA167" s="14">
        <f t="shared" si="4"/>
        <v>290</v>
      </c>
      <c r="AB167" s="47">
        <f t="shared" si="5"/>
        <v>289</v>
      </c>
      <c r="AD167" s="45"/>
      <c r="AE167" s="45"/>
      <c r="AF167" s="45"/>
      <c r="AG167" s="45"/>
      <c r="AH167" s="45"/>
      <c r="AI167" s="12"/>
      <c r="AJ167" s="13"/>
      <c r="AK167" s="45"/>
      <c r="AL167" s="45"/>
      <c r="AM167" s="45"/>
      <c r="AN167" s="45"/>
    </row>
    <row r="168" spans="1:40" s="46" customFormat="1" ht="14.4">
      <c r="A168" s="39">
        <v>41228</v>
      </c>
      <c r="B168" s="103" t="s">
        <v>2158</v>
      </c>
      <c r="C168" s="40">
        <v>317</v>
      </c>
      <c r="D168" s="41" t="s">
        <v>133</v>
      </c>
      <c r="E168" s="9" t="s">
        <v>134</v>
      </c>
      <c r="F168" s="9" t="s">
        <v>2201</v>
      </c>
      <c r="G168" s="9"/>
      <c r="H168" s="39"/>
      <c r="I168" s="9"/>
      <c r="J168" s="39"/>
      <c r="K168" s="42"/>
      <c r="L168" s="9" t="s">
        <v>135</v>
      </c>
      <c r="M168" s="16"/>
      <c r="O168" s="10"/>
      <c r="P168" s="10"/>
      <c r="Q168" s="10"/>
      <c r="R168" s="10"/>
      <c r="S168" s="10"/>
      <c r="AA168" s="14">
        <f t="shared" si="4"/>
        <v>-30</v>
      </c>
      <c r="AB168" s="47">
        <f t="shared" si="5"/>
        <v>-31</v>
      </c>
      <c r="AD168" s="45"/>
      <c r="AE168" s="45"/>
      <c r="AF168" s="45"/>
      <c r="AG168" s="45"/>
      <c r="AH168" s="45"/>
      <c r="AI168" s="12"/>
      <c r="AJ168" s="13"/>
      <c r="AK168" s="45"/>
      <c r="AL168" s="45"/>
      <c r="AM168" s="45"/>
      <c r="AN168" s="45"/>
    </row>
    <row r="169" spans="1:40" s="46" customFormat="1" ht="14.4">
      <c r="A169" s="39">
        <v>41228</v>
      </c>
      <c r="B169" s="9" t="s">
        <v>563</v>
      </c>
      <c r="C169" s="40">
        <v>86</v>
      </c>
      <c r="D169" s="41" t="s">
        <v>292</v>
      </c>
      <c r="E169" s="9" t="s">
        <v>18</v>
      </c>
      <c r="F169" s="9" t="s">
        <v>479</v>
      </c>
      <c r="G169" s="9"/>
      <c r="H169" s="39"/>
      <c r="I169" s="9"/>
      <c r="J169" s="39"/>
      <c r="K169" s="42"/>
      <c r="L169" s="9" t="s">
        <v>293</v>
      </c>
      <c r="M169" s="16"/>
      <c r="O169" s="10"/>
      <c r="P169" s="10"/>
      <c r="Q169" s="10"/>
      <c r="R169" s="10"/>
      <c r="S169" s="10"/>
      <c r="AA169" s="14">
        <f t="shared" si="4"/>
        <v>-231</v>
      </c>
      <c r="AB169" s="47">
        <f t="shared" si="5"/>
        <v>-232</v>
      </c>
      <c r="AD169" s="45"/>
      <c r="AE169" s="45"/>
      <c r="AF169" s="45"/>
      <c r="AG169" s="45"/>
      <c r="AH169" s="45"/>
      <c r="AI169" s="12"/>
      <c r="AJ169" s="13"/>
      <c r="AK169" s="45"/>
      <c r="AL169" s="45"/>
      <c r="AM169" s="45"/>
      <c r="AN169" s="45"/>
    </row>
    <row r="170" spans="1:40" s="46" customFormat="1" ht="14.4">
      <c r="A170" s="39">
        <v>41228</v>
      </c>
      <c r="B170" s="9" t="s">
        <v>1076</v>
      </c>
      <c r="C170" s="40">
        <v>184</v>
      </c>
      <c r="D170" s="41" t="s">
        <v>306</v>
      </c>
      <c r="E170" s="9" t="s">
        <v>18</v>
      </c>
      <c r="F170" s="9" t="s">
        <v>935</v>
      </c>
      <c r="G170" s="9"/>
      <c r="H170" s="39"/>
      <c r="I170" s="9"/>
      <c r="J170" s="39"/>
      <c r="K170" s="42"/>
      <c r="L170" s="9" t="s">
        <v>42</v>
      </c>
      <c r="M170" s="16"/>
      <c r="O170" s="10"/>
      <c r="P170" s="10"/>
      <c r="Q170" s="10"/>
      <c r="R170" s="10"/>
      <c r="S170" s="10"/>
      <c r="AA170" s="14">
        <f t="shared" si="4"/>
        <v>98</v>
      </c>
      <c r="AB170" s="47">
        <f t="shared" si="5"/>
        <v>97</v>
      </c>
      <c r="AD170" s="45"/>
      <c r="AE170" s="45"/>
      <c r="AF170" s="45"/>
      <c r="AG170" s="45"/>
      <c r="AH170" s="45"/>
      <c r="AI170" s="12"/>
      <c r="AJ170" s="13"/>
      <c r="AK170" s="45"/>
      <c r="AL170" s="45"/>
      <c r="AM170" s="45"/>
      <c r="AN170" s="45"/>
    </row>
    <row r="171" spans="1:40" s="46" customFormat="1" ht="14.4">
      <c r="A171" s="39">
        <v>41228</v>
      </c>
      <c r="B171" s="9" t="s">
        <v>1111</v>
      </c>
      <c r="C171" s="15">
        <v>143</v>
      </c>
      <c r="D171" s="41" t="s">
        <v>307</v>
      </c>
      <c r="E171" s="9" t="s">
        <v>18</v>
      </c>
      <c r="F171" s="9" t="s">
        <v>935</v>
      </c>
      <c r="G171" s="9"/>
      <c r="H171" s="39"/>
      <c r="I171" s="9"/>
      <c r="J171" s="39"/>
      <c r="K171" s="42"/>
      <c r="L171" s="9" t="s">
        <v>42</v>
      </c>
      <c r="M171" s="16"/>
      <c r="O171" s="10"/>
      <c r="P171" s="10"/>
      <c r="Q171" s="10"/>
      <c r="R171" s="10"/>
      <c r="S171" s="10"/>
      <c r="AA171" s="14">
        <f t="shared" si="4"/>
        <v>-41</v>
      </c>
      <c r="AB171" s="47">
        <f t="shared" si="5"/>
        <v>-42</v>
      </c>
      <c r="AD171" s="45"/>
      <c r="AE171" s="45"/>
      <c r="AF171" s="45"/>
      <c r="AG171" s="45"/>
      <c r="AH171" s="45"/>
      <c r="AI171" s="12"/>
      <c r="AJ171" s="13"/>
      <c r="AK171" s="45"/>
      <c r="AL171" s="45"/>
      <c r="AM171" s="45"/>
      <c r="AN171" s="45"/>
    </row>
    <row r="172" spans="1:40" s="46" customFormat="1" ht="14.4">
      <c r="A172" s="39">
        <v>41228</v>
      </c>
      <c r="B172" s="9"/>
      <c r="C172" s="40"/>
      <c r="D172" s="41" t="s">
        <v>148</v>
      </c>
      <c r="E172" s="9" t="s">
        <v>80</v>
      </c>
      <c r="F172" s="9" t="s">
        <v>935</v>
      </c>
      <c r="G172" s="9"/>
      <c r="H172" s="39"/>
      <c r="I172" s="9"/>
      <c r="J172" s="39"/>
      <c r="K172" s="42"/>
      <c r="L172" s="9" t="s">
        <v>42</v>
      </c>
      <c r="M172" s="16"/>
      <c r="O172" s="10"/>
      <c r="P172" s="10"/>
      <c r="Q172" s="10"/>
      <c r="R172" s="10"/>
      <c r="S172" s="10"/>
      <c r="AA172" s="14" t="e">
        <f>C172-#REF!</f>
        <v>#REF!</v>
      </c>
      <c r="AB172" s="47" t="e">
        <f t="shared" si="5"/>
        <v>#REF!</v>
      </c>
      <c r="AD172" s="45"/>
      <c r="AE172" s="45"/>
      <c r="AF172" s="45"/>
      <c r="AG172" s="45"/>
      <c r="AH172" s="45"/>
      <c r="AI172" s="12"/>
      <c r="AJ172" s="13"/>
      <c r="AK172" s="45"/>
      <c r="AL172" s="45"/>
      <c r="AM172" s="45"/>
      <c r="AN172" s="45"/>
    </row>
    <row r="173" spans="1:40" s="46" customFormat="1" ht="14.4">
      <c r="A173" s="39">
        <v>41228</v>
      </c>
      <c r="B173" s="9" t="s">
        <v>2882</v>
      </c>
      <c r="C173" s="40">
        <v>716</v>
      </c>
      <c r="D173" s="41" t="s">
        <v>929</v>
      </c>
      <c r="E173" s="9" t="s">
        <v>80</v>
      </c>
      <c r="F173" s="9" t="s">
        <v>2201</v>
      </c>
      <c r="G173" s="9"/>
      <c r="H173" s="39"/>
      <c r="I173" s="9"/>
      <c r="J173" s="39"/>
      <c r="K173" s="42"/>
      <c r="L173" s="9" t="s">
        <v>42</v>
      </c>
      <c r="M173" s="16"/>
      <c r="O173" s="10"/>
      <c r="P173" s="10"/>
      <c r="Q173" s="10"/>
      <c r="R173" s="10"/>
      <c r="S173" s="10"/>
      <c r="AA173" s="14">
        <f t="shared" si="4"/>
        <v>716</v>
      </c>
      <c r="AB173" s="47">
        <f t="shared" si="5"/>
        <v>715</v>
      </c>
      <c r="AD173" s="45"/>
      <c r="AE173" s="45"/>
      <c r="AF173" s="45"/>
      <c r="AG173" s="45"/>
      <c r="AH173" s="45"/>
      <c r="AI173" s="12"/>
      <c r="AJ173" s="13"/>
      <c r="AK173" s="45"/>
      <c r="AL173" s="45"/>
      <c r="AM173" s="45"/>
      <c r="AN173" s="45"/>
    </row>
    <row r="174" spans="1:40" s="46" customFormat="1" ht="14.4">
      <c r="A174" s="39">
        <v>41228</v>
      </c>
      <c r="B174" s="9"/>
      <c r="C174" s="15"/>
      <c r="D174" s="41" t="s">
        <v>358</v>
      </c>
      <c r="E174" s="9" t="s">
        <v>359</v>
      </c>
      <c r="F174" s="9" t="s">
        <v>935</v>
      </c>
      <c r="G174" s="9"/>
      <c r="H174" s="39"/>
      <c r="I174" s="9"/>
      <c r="J174" s="39"/>
      <c r="K174" s="42"/>
      <c r="L174" s="9" t="s">
        <v>360</v>
      </c>
      <c r="M174" s="16"/>
      <c r="O174" s="10"/>
      <c r="P174" s="10"/>
      <c r="Q174" s="10"/>
      <c r="R174" s="10"/>
      <c r="S174" s="10"/>
      <c r="AA174" s="14">
        <f t="shared" si="4"/>
        <v>-716</v>
      </c>
      <c r="AB174" s="47">
        <f t="shared" si="5"/>
        <v>-717</v>
      </c>
      <c r="AD174" s="45"/>
      <c r="AE174" s="45"/>
      <c r="AF174" s="45"/>
      <c r="AG174" s="45"/>
      <c r="AH174" s="45"/>
      <c r="AI174" s="12"/>
      <c r="AJ174" s="13"/>
      <c r="AK174" s="45"/>
      <c r="AL174" s="45"/>
      <c r="AM174" s="45"/>
      <c r="AN174" s="45"/>
    </row>
    <row r="175" spans="1:40" s="46" customFormat="1" ht="14.4">
      <c r="A175" s="39">
        <v>41228</v>
      </c>
      <c r="B175" s="9" t="s">
        <v>1077</v>
      </c>
      <c r="C175" s="40">
        <v>187</v>
      </c>
      <c r="D175" s="41" t="s">
        <v>305</v>
      </c>
      <c r="E175" s="9" t="s">
        <v>18</v>
      </c>
      <c r="F175" s="9" t="s">
        <v>935</v>
      </c>
      <c r="G175" s="9"/>
      <c r="H175" s="39"/>
      <c r="I175" s="9"/>
      <c r="J175" s="39"/>
      <c r="K175" s="42"/>
      <c r="L175" s="9" t="s">
        <v>42</v>
      </c>
      <c r="M175" s="16"/>
      <c r="O175" s="10"/>
      <c r="P175" s="10"/>
      <c r="Q175" s="10"/>
      <c r="R175" s="10"/>
      <c r="S175" s="10"/>
      <c r="AA175" s="14">
        <f t="shared" si="4"/>
        <v>187</v>
      </c>
      <c r="AB175" s="47">
        <f t="shared" si="5"/>
        <v>186</v>
      </c>
      <c r="AD175" s="45"/>
      <c r="AE175" s="45"/>
      <c r="AF175" s="45"/>
      <c r="AG175" s="45"/>
      <c r="AH175" s="45"/>
      <c r="AI175" s="12"/>
      <c r="AJ175" s="13"/>
      <c r="AK175" s="45"/>
      <c r="AL175" s="45"/>
      <c r="AM175" s="45"/>
      <c r="AN175" s="45"/>
    </row>
    <row r="176" spans="1:40" s="46" customFormat="1" ht="14.4">
      <c r="A176" s="39">
        <v>41228</v>
      </c>
      <c r="B176" s="9" t="s">
        <v>255</v>
      </c>
      <c r="C176" s="40">
        <v>363</v>
      </c>
      <c r="D176" s="41" t="s">
        <v>256</v>
      </c>
      <c r="E176" s="9" t="s">
        <v>265</v>
      </c>
      <c r="F176" s="9" t="s">
        <v>2201</v>
      </c>
      <c r="G176" s="9"/>
      <c r="H176" s="39"/>
      <c r="I176" s="9"/>
      <c r="J176" s="39"/>
      <c r="K176" s="42"/>
      <c r="L176" s="9" t="s">
        <v>257</v>
      </c>
      <c r="M176" s="16"/>
      <c r="O176" s="10"/>
      <c r="P176" s="10"/>
      <c r="Q176" s="10"/>
      <c r="R176" s="10"/>
      <c r="S176" s="10"/>
      <c r="AA176" s="14">
        <f t="shared" si="4"/>
        <v>176</v>
      </c>
      <c r="AB176" s="47">
        <f t="shared" si="5"/>
        <v>175</v>
      </c>
      <c r="AD176" s="45"/>
      <c r="AE176" s="45"/>
      <c r="AF176" s="45"/>
      <c r="AG176" s="45"/>
      <c r="AH176" s="45"/>
      <c r="AI176" s="12"/>
      <c r="AJ176" s="13"/>
      <c r="AK176" s="45"/>
      <c r="AL176" s="45"/>
      <c r="AM176" s="45"/>
      <c r="AN176" s="45"/>
    </row>
    <row r="177" spans="1:40" s="46" customFormat="1" ht="14.4">
      <c r="A177" s="39">
        <v>41228</v>
      </c>
      <c r="B177" s="9" t="s">
        <v>2828</v>
      </c>
      <c r="C177" s="40">
        <v>778</v>
      </c>
      <c r="D177" s="41" t="s">
        <v>268</v>
      </c>
      <c r="E177" s="9" t="s">
        <v>265</v>
      </c>
      <c r="F177" s="9" t="s">
        <v>2201</v>
      </c>
      <c r="G177" s="9"/>
      <c r="H177" s="39"/>
      <c r="I177" s="9"/>
      <c r="J177" s="39"/>
      <c r="K177" s="42"/>
      <c r="L177" s="9" t="s">
        <v>42</v>
      </c>
      <c r="M177" s="16"/>
      <c r="O177" s="10"/>
      <c r="P177" s="10"/>
      <c r="Q177" s="10"/>
      <c r="R177" s="10"/>
      <c r="S177" s="10"/>
      <c r="AA177" s="14">
        <f t="shared" si="4"/>
        <v>415</v>
      </c>
      <c r="AB177" s="47">
        <f t="shared" si="5"/>
        <v>414</v>
      </c>
      <c r="AD177" s="45"/>
      <c r="AE177" s="45"/>
      <c r="AF177" s="45"/>
      <c r="AG177" s="45"/>
      <c r="AH177" s="45"/>
      <c r="AI177" s="12"/>
      <c r="AJ177" s="13"/>
      <c r="AK177" s="45"/>
      <c r="AL177" s="45"/>
      <c r="AM177" s="45"/>
      <c r="AN177" s="45"/>
    </row>
    <row r="178" spans="1:40" s="46" customFormat="1" ht="14.4">
      <c r="A178" s="39">
        <v>41228</v>
      </c>
      <c r="B178" s="9"/>
      <c r="C178" s="40"/>
      <c r="D178" s="41" t="s">
        <v>230</v>
      </c>
      <c r="E178" s="9" t="s">
        <v>88</v>
      </c>
      <c r="F178" s="9" t="s">
        <v>2201</v>
      </c>
      <c r="G178" s="9"/>
      <c r="H178" s="39"/>
      <c r="I178" s="9"/>
      <c r="J178" s="39"/>
      <c r="K178" s="42"/>
      <c r="L178" s="9" t="s">
        <v>42</v>
      </c>
      <c r="M178" s="16"/>
      <c r="O178" s="10"/>
      <c r="P178" s="10"/>
      <c r="Q178" s="10"/>
      <c r="R178" s="10"/>
      <c r="S178" s="10"/>
      <c r="AA178" s="14">
        <f t="shared" si="4"/>
        <v>-778</v>
      </c>
      <c r="AB178" s="47">
        <f t="shared" si="5"/>
        <v>-779</v>
      </c>
      <c r="AD178" s="45"/>
      <c r="AE178" s="45"/>
      <c r="AF178" s="45"/>
      <c r="AG178" s="45"/>
      <c r="AH178" s="45"/>
      <c r="AI178" s="12"/>
      <c r="AJ178" s="13"/>
      <c r="AK178" s="45"/>
      <c r="AL178" s="45"/>
      <c r="AM178" s="45"/>
      <c r="AN178" s="45"/>
    </row>
    <row r="179" spans="1:40" s="46" customFormat="1" ht="14.4">
      <c r="A179" s="39">
        <v>41228</v>
      </c>
      <c r="B179" s="9" t="s">
        <v>1137</v>
      </c>
      <c r="C179" s="40">
        <v>73</v>
      </c>
      <c r="D179" s="41" t="s">
        <v>308</v>
      </c>
      <c r="E179" s="9" t="s">
        <v>300</v>
      </c>
      <c r="F179" s="9" t="s">
        <v>479</v>
      </c>
      <c r="G179" s="9"/>
      <c r="H179" s="39"/>
      <c r="I179" s="9"/>
      <c r="J179" s="39"/>
      <c r="K179" s="42"/>
      <c r="L179" s="9" t="s">
        <v>309</v>
      </c>
      <c r="M179" s="16"/>
      <c r="O179" s="10"/>
      <c r="P179" s="10"/>
      <c r="Q179" s="10"/>
      <c r="R179" s="10"/>
      <c r="S179" s="10"/>
      <c r="AA179" s="14">
        <f t="shared" si="4"/>
        <v>73</v>
      </c>
      <c r="AB179" s="47">
        <f t="shared" si="5"/>
        <v>72</v>
      </c>
      <c r="AD179" s="45"/>
      <c r="AE179" s="45"/>
      <c r="AF179" s="45"/>
      <c r="AG179" s="45"/>
      <c r="AH179" s="45"/>
      <c r="AI179" s="12"/>
      <c r="AJ179" s="13"/>
      <c r="AK179" s="45"/>
      <c r="AL179" s="45"/>
      <c r="AM179" s="45"/>
      <c r="AN179" s="45"/>
    </row>
    <row r="180" spans="1:40" s="46" customFormat="1" ht="14.4">
      <c r="A180" s="39">
        <v>41228</v>
      </c>
      <c r="B180" s="9" t="s">
        <v>1041</v>
      </c>
      <c r="C180" s="40">
        <v>249</v>
      </c>
      <c r="D180" s="41" t="s">
        <v>1040</v>
      </c>
      <c r="E180" s="9" t="s">
        <v>134</v>
      </c>
      <c r="F180" s="9" t="s">
        <v>2201</v>
      </c>
      <c r="G180" s="9"/>
      <c r="H180" s="39"/>
      <c r="I180" s="9"/>
      <c r="J180" s="39"/>
      <c r="K180" s="42"/>
      <c r="L180" s="9" t="s">
        <v>144</v>
      </c>
      <c r="M180" s="16"/>
      <c r="O180" s="10"/>
      <c r="P180" s="10"/>
      <c r="Q180" s="10"/>
      <c r="R180" s="10"/>
      <c r="S180" s="10"/>
      <c r="AA180" s="14">
        <f t="shared" si="4"/>
        <v>176</v>
      </c>
      <c r="AB180" s="47">
        <f t="shared" si="5"/>
        <v>175</v>
      </c>
      <c r="AD180" s="45"/>
      <c r="AE180" s="45"/>
      <c r="AF180" s="45"/>
      <c r="AG180" s="45"/>
      <c r="AH180" s="45"/>
      <c r="AI180" s="12"/>
      <c r="AJ180" s="13"/>
      <c r="AK180" s="45"/>
      <c r="AL180" s="45"/>
      <c r="AM180" s="45"/>
      <c r="AN180" s="45"/>
    </row>
    <row r="181" spans="1:40" s="46" customFormat="1" ht="14.4">
      <c r="A181" s="39">
        <v>41228</v>
      </c>
      <c r="B181" s="102" t="s">
        <v>2175</v>
      </c>
      <c r="C181" s="40">
        <v>389</v>
      </c>
      <c r="D181" s="41" t="s">
        <v>145</v>
      </c>
      <c r="E181" s="9" t="s">
        <v>134</v>
      </c>
      <c r="F181" s="9" t="s">
        <v>2201</v>
      </c>
      <c r="G181" s="9"/>
      <c r="H181" s="39"/>
      <c r="I181" s="9"/>
      <c r="J181" s="39"/>
      <c r="K181" s="42"/>
      <c r="L181" s="9" t="s">
        <v>146</v>
      </c>
      <c r="M181" s="16"/>
      <c r="O181" s="10"/>
      <c r="P181" s="10"/>
      <c r="Q181" s="10"/>
      <c r="R181" s="10"/>
      <c r="S181" s="10"/>
      <c r="AA181" s="14">
        <f t="shared" si="4"/>
        <v>140</v>
      </c>
      <c r="AB181" s="47">
        <f t="shared" si="5"/>
        <v>139</v>
      </c>
      <c r="AD181" s="45"/>
      <c r="AE181" s="45"/>
      <c r="AF181" s="45"/>
      <c r="AG181" s="45"/>
      <c r="AH181" s="45"/>
      <c r="AI181" s="12"/>
      <c r="AJ181" s="13"/>
      <c r="AK181" s="45"/>
      <c r="AL181" s="45"/>
      <c r="AM181" s="45"/>
      <c r="AN181" s="45"/>
    </row>
    <row r="182" spans="1:40" s="46" customFormat="1" ht="14.4">
      <c r="A182" s="39">
        <v>41228</v>
      </c>
      <c r="B182" s="9" t="s">
        <v>1101</v>
      </c>
      <c r="C182" s="40">
        <v>122</v>
      </c>
      <c r="D182" s="41" t="s">
        <v>283</v>
      </c>
      <c r="E182" s="9" t="s">
        <v>18</v>
      </c>
      <c r="F182" s="9" t="s">
        <v>479</v>
      </c>
      <c r="G182" s="9"/>
      <c r="H182" s="39"/>
      <c r="I182" s="9"/>
      <c r="J182" s="39"/>
      <c r="K182" s="42"/>
      <c r="L182" s="9" t="s">
        <v>284</v>
      </c>
      <c r="M182" s="16"/>
      <c r="O182" s="10"/>
      <c r="P182" s="10"/>
      <c r="Q182" s="10"/>
      <c r="R182" s="10"/>
      <c r="S182" s="10"/>
      <c r="AA182" s="14">
        <f t="shared" si="4"/>
        <v>-267</v>
      </c>
      <c r="AB182" s="47">
        <f t="shared" si="5"/>
        <v>-268</v>
      </c>
      <c r="AD182" s="45"/>
      <c r="AE182" s="45"/>
      <c r="AF182" s="45"/>
      <c r="AG182" s="45"/>
      <c r="AH182" s="45"/>
      <c r="AI182" s="12"/>
      <c r="AJ182" s="13"/>
      <c r="AK182" s="45"/>
      <c r="AL182" s="45"/>
      <c r="AM182" s="45"/>
      <c r="AN182" s="45"/>
    </row>
    <row r="183" spans="1:40" s="46" customFormat="1" ht="14.4">
      <c r="A183" s="39">
        <v>41228</v>
      </c>
      <c r="B183" s="9" t="s">
        <v>561</v>
      </c>
      <c r="C183" s="15">
        <v>89</v>
      </c>
      <c r="D183" s="41" t="s">
        <v>394</v>
      </c>
      <c r="E183" s="9" t="s">
        <v>18</v>
      </c>
      <c r="F183" s="9" t="s">
        <v>479</v>
      </c>
      <c r="G183" s="9"/>
      <c r="H183" s="39"/>
      <c r="I183" s="9"/>
      <c r="J183" s="39"/>
      <c r="K183" s="42"/>
      <c r="L183" s="9" t="s">
        <v>393</v>
      </c>
      <c r="M183" s="16"/>
      <c r="O183" s="10"/>
      <c r="P183" s="10"/>
      <c r="Q183" s="10"/>
      <c r="R183" s="10"/>
      <c r="S183" s="10"/>
      <c r="AA183" s="14">
        <f t="shared" si="4"/>
        <v>-33</v>
      </c>
      <c r="AB183" s="47">
        <f t="shared" si="5"/>
        <v>-34</v>
      </c>
      <c r="AD183" s="45"/>
      <c r="AE183" s="45"/>
      <c r="AF183" s="45"/>
      <c r="AG183" s="45"/>
      <c r="AH183" s="45"/>
      <c r="AI183" s="12"/>
      <c r="AJ183" s="13"/>
      <c r="AK183" s="45"/>
      <c r="AL183" s="45"/>
      <c r="AM183" s="45"/>
      <c r="AN183" s="45"/>
    </row>
    <row r="184" spans="1:40" s="46" customFormat="1" ht="14.4">
      <c r="A184" s="39">
        <v>41228</v>
      </c>
      <c r="B184" s="9" t="s">
        <v>1061</v>
      </c>
      <c r="C184" s="40">
        <v>142</v>
      </c>
      <c r="D184" s="41" t="s">
        <v>164</v>
      </c>
      <c r="E184" s="9" t="s">
        <v>80</v>
      </c>
      <c r="F184" s="9" t="s">
        <v>2201</v>
      </c>
      <c r="G184" s="9"/>
      <c r="H184" s="39"/>
      <c r="I184" s="9"/>
      <c r="J184" s="39"/>
      <c r="K184" s="42"/>
      <c r="L184" s="9" t="s">
        <v>165</v>
      </c>
      <c r="M184" s="16"/>
      <c r="O184" s="10"/>
      <c r="P184" s="10"/>
      <c r="Q184" s="10"/>
      <c r="R184" s="10"/>
      <c r="S184" s="10"/>
      <c r="AA184" s="14">
        <f t="shared" si="4"/>
        <v>53</v>
      </c>
      <c r="AB184" s="47">
        <f t="shared" si="5"/>
        <v>52</v>
      </c>
      <c r="AD184" s="45"/>
      <c r="AE184" s="45"/>
      <c r="AF184" s="45"/>
      <c r="AG184" s="45"/>
      <c r="AH184" s="45"/>
      <c r="AI184" s="12"/>
      <c r="AJ184" s="13"/>
      <c r="AK184" s="45"/>
      <c r="AL184" s="45"/>
      <c r="AM184" s="45"/>
      <c r="AN184" s="45"/>
    </row>
    <row r="185" spans="1:40" s="46" customFormat="1" ht="14.4">
      <c r="A185" s="39">
        <v>41228</v>
      </c>
      <c r="B185" s="9" t="s">
        <v>1099</v>
      </c>
      <c r="C185" s="15">
        <v>119</v>
      </c>
      <c r="D185" s="41" t="s">
        <v>386</v>
      </c>
      <c r="E185" s="9" t="s">
        <v>18</v>
      </c>
      <c r="F185" s="9" t="s">
        <v>479</v>
      </c>
      <c r="G185" s="9"/>
      <c r="H185" s="39"/>
      <c r="I185" s="9"/>
      <c r="J185" s="39"/>
      <c r="K185" s="42"/>
      <c r="L185" s="9" t="s">
        <v>387</v>
      </c>
      <c r="M185" s="16"/>
      <c r="O185" s="10"/>
      <c r="P185" s="10"/>
      <c r="Q185" s="10"/>
      <c r="R185" s="10"/>
      <c r="S185" s="10"/>
      <c r="AA185" s="14">
        <f t="shared" si="4"/>
        <v>-23</v>
      </c>
      <c r="AB185" s="47">
        <f t="shared" si="5"/>
        <v>-24</v>
      </c>
      <c r="AD185" s="45"/>
      <c r="AE185" s="45"/>
      <c r="AF185" s="45"/>
      <c r="AG185" s="45"/>
      <c r="AH185" s="45"/>
      <c r="AI185" s="12"/>
      <c r="AJ185" s="13"/>
      <c r="AK185" s="45"/>
      <c r="AL185" s="45"/>
      <c r="AM185" s="45"/>
      <c r="AN185" s="45"/>
    </row>
    <row r="186" spans="1:40" s="46" customFormat="1" ht="14.4">
      <c r="A186" s="39">
        <v>41228</v>
      </c>
      <c r="B186" s="9" t="s">
        <v>105</v>
      </c>
      <c r="C186" s="40">
        <v>27</v>
      </c>
      <c r="D186" s="41" t="s">
        <v>106</v>
      </c>
      <c r="E186" s="9" t="s">
        <v>18</v>
      </c>
      <c r="F186" s="9" t="s">
        <v>2201</v>
      </c>
      <c r="G186" s="9"/>
      <c r="H186" s="39"/>
      <c r="I186" s="9"/>
      <c r="J186" s="39"/>
      <c r="K186" s="42"/>
      <c r="L186" s="9" t="s">
        <v>42</v>
      </c>
      <c r="M186" s="16"/>
      <c r="O186" s="10"/>
      <c r="P186" s="10"/>
      <c r="Q186" s="10"/>
      <c r="R186" s="10"/>
      <c r="S186" s="10"/>
      <c r="AA186" s="14">
        <f t="shared" si="4"/>
        <v>-92</v>
      </c>
      <c r="AB186" s="47">
        <f t="shared" si="5"/>
        <v>-93</v>
      </c>
      <c r="AD186" s="45"/>
      <c r="AE186" s="45"/>
      <c r="AF186" s="45"/>
      <c r="AG186" s="45"/>
      <c r="AH186" s="45"/>
      <c r="AI186" s="12"/>
      <c r="AJ186" s="13"/>
      <c r="AK186" s="45"/>
      <c r="AL186" s="45"/>
      <c r="AM186" s="45"/>
      <c r="AN186" s="45"/>
    </row>
    <row r="187" spans="1:40" s="46" customFormat="1" ht="14.4">
      <c r="A187" s="39">
        <v>41228</v>
      </c>
      <c r="B187" s="9" t="s">
        <v>595</v>
      </c>
      <c r="C187" s="40">
        <v>84</v>
      </c>
      <c r="D187" s="41" t="s">
        <v>245</v>
      </c>
      <c r="E187" s="9" t="s">
        <v>88</v>
      </c>
      <c r="F187" s="9" t="s">
        <v>2201</v>
      </c>
      <c r="G187" s="9"/>
      <c r="H187" s="39"/>
      <c r="I187" s="9"/>
      <c r="J187" s="39"/>
      <c r="K187" s="42"/>
      <c r="L187" s="9" t="s">
        <v>599</v>
      </c>
      <c r="M187" s="16"/>
      <c r="O187" s="10"/>
      <c r="P187" s="10"/>
      <c r="Q187" s="10"/>
      <c r="R187" s="10"/>
      <c r="S187" s="10"/>
      <c r="AA187" s="14">
        <f t="shared" si="4"/>
        <v>57</v>
      </c>
      <c r="AB187" s="47">
        <f t="shared" si="5"/>
        <v>56</v>
      </c>
      <c r="AD187" s="45"/>
      <c r="AE187" s="45"/>
      <c r="AF187" s="45"/>
      <c r="AG187" s="45"/>
      <c r="AH187" s="45"/>
      <c r="AI187" s="12"/>
      <c r="AJ187" s="13"/>
      <c r="AK187" s="45"/>
      <c r="AL187" s="45"/>
      <c r="AM187" s="45"/>
      <c r="AN187" s="45"/>
    </row>
    <row r="188" spans="1:40" s="46" customFormat="1" ht="14.4">
      <c r="A188" s="39">
        <v>41228</v>
      </c>
      <c r="B188" s="9" t="s">
        <v>266</v>
      </c>
      <c r="C188" s="40">
        <v>366</v>
      </c>
      <c r="D188" s="41" t="s">
        <v>267</v>
      </c>
      <c r="E188" s="9" t="s">
        <v>265</v>
      </c>
      <c r="F188" s="9" t="s">
        <v>2201</v>
      </c>
      <c r="G188" s="9"/>
      <c r="H188" s="39"/>
      <c r="I188" s="9"/>
      <c r="J188" s="39"/>
      <c r="K188" s="48"/>
      <c r="L188" s="9" t="s">
        <v>42</v>
      </c>
      <c r="M188" s="16"/>
      <c r="O188" s="10"/>
      <c r="P188" s="10"/>
      <c r="Q188" s="10"/>
      <c r="R188" s="10"/>
      <c r="S188" s="10"/>
      <c r="AA188" s="14">
        <f t="shared" si="4"/>
        <v>282</v>
      </c>
      <c r="AB188" s="47">
        <f t="shared" si="5"/>
        <v>281</v>
      </c>
      <c r="AD188" s="45"/>
      <c r="AE188" s="45"/>
      <c r="AF188" s="45"/>
      <c r="AG188" s="45"/>
      <c r="AH188" s="45"/>
      <c r="AI188" s="12"/>
      <c r="AJ188" s="13"/>
      <c r="AK188" s="45"/>
      <c r="AL188" s="45"/>
      <c r="AM188" s="45"/>
      <c r="AN188" s="45"/>
    </row>
    <row r="189" spans="1:40" s="46" customFormat="1" ht="14.4">
      <c r="A189" s="39">
        <v>41228</v>
      </c>
      <c r="B189" s="9" t="s">
        <v>1029</v>
      </c>
      <c r="C189" s="40">
        <v>225</v>
      </c>
      <c r="D189" s="41" t="s">
        <v>366</v>
      </c>
      <c r="E189" s="9" t="s">
        <v>134</v>
      </c>
      <c r="F189" s="9" t="s">
        <v>479</v>
      </c>
      <c r="G189" s="9"/>
      <c r="H189" s="39"/>
      <c r="I189" s="9"/>
      <c r="J189" s="39"/>
      <c r="K189" s="42"/>
      <c r="L189" s="9" t="s">
        <v>367</v>
      </c>
      <c r="M189" s="16"/>
      <c r="O189" s="10"/>
      <c r="P189" s="10"/>
      <c r="Q189" s="10"/>
      <c r="R189" s="10"/>
      <c r="S189" s="10"/>
      <c r="AA189" s="14">
        <f t="shared" si="4"/>
        <v>-141</v>
      </c>
      <c r="AB189" s="47">
        <f t="shared" si="5"/>
        <v>-142</v>
      </c>
      <c r="AD189" s="45"/>
      <c r="AE189" s="45"/>
      <c r="AF189" s="45"/>
      <c r="AG189" s="45"/>
      <c r="AH189" s="45"/>
      <c r="AI189" s="12"/>
      <c r="AJ189" s="13"/>
      <c r="AK189" s="45"/>
      <c r="AL189" s="45"/>
      <c r="AM189" s="45"/>
      <c r="AN189" s="45"/>
    </row>
    <row r="190" spans="1:40" s="46" customFormat="1" ht="14.4">
      <c r="A190" s="39">
        <v>41228</v>
      </c>
      <c r="B190" s="9" t="s">
        <v>1060</v>
      </c>
      <c r="C190" s="15">
        <v>140</v>
      </c>
      <c r="D190" s="41" t="s">
        <v>1059</v>
      </c>
      <c r="E190" s="9" t="s">
        <v>80</v>
      </c>
      <c r="F190" s="9" t="s">
        <v>2201</v>
      </c>
      <c r="G190" s="9"/>
      <c r="H190" s="39"/>
      <c r="I190" s="9"/>
      <c r="J190" s="39"/>
      <c r="K190" s="42"/>
      <c r="L190" s="9" t="s">
        <v>166</v>
      </c>
      <c r="M190" s="16"/>
      <c r="O190" s="10"/>
      <c r="P190" s="10"/>
      <c r="Q190" s="10"/>
      <c r="R190" s="10"/>
      <c r="S190" s="10"/>
      <c r="AA190" s="14">
        <f t="shared" si="4"/>
        <v>-85</v>
      </c>
      <c r="AB190" s="47">
        <f t="shared" si="5"/>
        <v>-86</v>
      </c>
      <c r="AD190" s="45"/>
      <c r="AE190" s="45"/>
      <c r="AF190" s="45"/>
      <c r="AG190" s="45"/>
      <c r="AH190" s="45"/>
      <c r="AI190" s="12"/>
      <c r="AJ190" s="13"/>
      <c r="AK190" s="45"/>
      <c r="AL190" s="45"/>
      <c r="AM190" s="45"/>
      <c r="AN190" s="45"/>
    </row>
    <row r="191" spans="1:40" s="46" customFormat="1" ht="14.4">
      <c r="A191" s="39">
        <v>41228</v>
      </c>
      <c r="B191" s="9" t="s">
        <v>1108</v>
      </c>
      <c r="C191" s="40">
        <v>135</v>
      </c>
      <c r="D191" s="41" t="s">
        <v>348</v>
      </c>
      <c r="E191" s="9" t="s">
        <v>326</v>
      </c>
      <c r="F191" s="9" t="s">
        <v>479</v>
      </c>
      <c r="G191" s="9"/>
      <c r="H191" s="39"/>
      <c r="I191" s="9"/>
      <c r="J191" s="39"/>
      <c r="K191" s="42"/>
      <c r="L191" s="9" t="s">
        <v>349</v>
      </c>
      <c r="M191" s="16"/>
      <c r="O191" s="10"/>
      <c r="P191" s="10"/>
      <c r="Q191" s="10"/>
      <c r="R191" s="10"/>
      <c r="S191" s="10"/>
      <c r="AA191" s="14">
        <f t="shared" ref="AA191:AA252" si="6">C191-C190</f>
        <v>-5</v>
      </c>
      <c r="AB191" s="47">
        <f t="shared" ref="AB191:AB252" si="7">AA191-1</f>
        <v>-6</v>
      </c>
      <c r="AD191" s="45"/>
      <c r="AE191" s="45"/>
      <c r="AF191" s="45"/>
      <c r="AG191" s="45"/>
      <c r="AH191" s="45"/>
      <c r="AI191" s="12"/>
      <c r="AJ191" s="13"/>
      <c r="AK191" s="45"/>
      <c r="AL191" s="45"/>
      <c r="AM191" s="45"/>
      <c r="AN191" s="45"/>
    </row>
    <row r="192" spans="1:40" s="46" customFormat="1" ht="14.4">
      <c r="A192" s="39">
        <v>41228</v>
      </c>
      <c r="B192" s="9" t="s">
        <v>1092</v>
      </c>
      <c r="C192" s="40">
        <v>107</v>
      </c>
      <c r="D192" s="41" t="s">
        <v>325</v>
      </c>
      <c r="E192" s="9" t="s">
        <v>326</v>
      </c>
      <c r="F192" s="9" t="s">
        <v>479</v>
      </c>
      <c r="G192" s="9"/>
      <c r="H192" s="39"/>
      <c r="I192" s="9"/>
      <c r="J192" s="39"/>
      <c r="K192" s="42"/>
      <c r="L192" s="9" t="s">
        <v>327</v>
      </c>
      <c r="M192" s="16"/>
      <c r="O192" s="10"/>
      <c r="P192" s="10"/>
      <c r="Q192" s="10"/>
      <c r="R192" s="10"/>
      <c r="S192" s="10"/>
      <c r="AA192" s="14" t="e">
        <f>C192-#REF!</f>
        <v>#REF!</v>
      </c>
      <c r="AB192" s="47" t="e">
        <f t="shared" si="7"/>
        <v>#REF!</v>
      </c>
      <c r="AD192" s="45"/>
      <c r="AE192" s="45"/>
      <c r="AF192" s="45"/>
      <c r="AG192" s="45"/>
      <c r="AH192" s="45"/>
      <c r="AI192" s="12"/>
      <c r="AJ192" s="13"/>
      <c r="AK192" s="45"/>
      <c r="AL192" s="45"/>
      <c r="AM192" s="45"/>
      <c r="AN192" s="45"/>
    </row>
    <row r="193" spans="1:40" s="46" customFormat="1" ht="14.4">
      <c r="A193" s="39">
        <v>41228</v>
      </c>
      <c r="B193" s="9" t="s">
        <v>1058</v>
      </c>
      <c r="C193" s="40">
        <v>138</v>
      </c>
      <c r="D193" s="41" t="s">
        <v>167</v>
      </c>
      <c r="E193" s="9" t="s">
        <v>80</v>
      </c>
      <c r="F193" s="9" t="s">
        <v>2201</v>
      </c>
      <c r="G193" s="9"/>
      <c r="H193" s="39"/>
      <c r="I193" s="9"/>
      <c r="J193" s="39"/>
      <c r="K193" s="42"/>
      <c r="L193" s="9" t="s">
        <v>168</v>
      </c>
      <c r="M193" s="16"/>
      <c r="O193" s="10"/>
      <c r="P193" s="10"/>
      <c r="Q193" s="10"/>
      <c r="R193" s="10"/>
      <c r="S193" s="10"/>
      <c r="AA193" s="14">
        <f t="shared" si="6"/>
        <v>31</v>
      </c>
      <c r="AB193" s="47">
        <f t="shared" si="7"/>
        <v>30</v>
      </c>
      <c r="AD193" s="45"/>
      <c r="AE193" s="45"/>
      <c r="AF193" s="45"/>
      <c r="AG193" s="45"/>
      <c r="AH193" s="45"/>
      <c r="AI193" s="12"/>
      <c r="AJ193" s="13"/>
      <c r="AK193" s="45"/>
      <c r="AL193" s="45"/>
      <c r="AM193" s="45"/>
      <c r="AN193" s="45"/>
    </row>
    <row r="194" spans="1:40" s="46" customFormat="1" ht="14.4">
      <c r="A194" s="39">
        <v>41228</v>
      </c>
      <c r="B194" s="9" t="s">
        <v>586</v>
      </c>
      <c r="C194" s="40">
        <v>39</v>
      </c>
      <c r="D194" s="41" t="s">
        <v>231</v>
      </c>
      <c r="E194" s="9" t="s">
        <v>88</v>
      </c>
      <c r="F194" s="9" t="s">
        <v>2201</v>
      </c>
      <c r="G194" s="9"/>
      <c r="H194" s="39"/>
      <c r="I194" s="9"/>
      <c r="J194" s="39"/>
      <c r="K194" s="42"/>
      <c r="L194" s="9" t="s">
        <v>42</v>
      </c>
      <c r="M194" s="16"/>
      <c r="O194" s="10"/>
      <c r="P194" s="10"/>
      <c r="Q194" s="10"/>
      <c r="R194" s="10"/>
      <c r="S194" s="10"/>
      <c r="AA194" s="14">
        <f t="shared" si="6"/>
        <v>-99</v>
      </c>
      <c r="AB194" s="47">
        <f t="shared" si="7"/>
        <v>-100</v>
      </c>
      <c r="AD194" s="45"/>
      <c r="AE194" s="45"/>
      <c r="AF194" s="45"/>
      <c r="AG194" s="45"/>
      <c r="AH194" s="45"/>
      <c r="AI194" s="12"/>
      <c r="AJ194" s="13"/>
      <c r="AK194" s="45"/>
      <c r="AL194" s="45"/>
      <c r="AM194" s="45"/>
      <c r="AN194" s="45"/>
    </row>
    <row r="195" spans="1:40" s="46" customFormat="1" ht="14.4">
      <c r="A195" s="39">
        <v>41228</v>
      </c>
      <c r="B195" s="9" t="s">
        <v>1067</v>
      </c>
      <c r="C195" s="15">
        <v>156</v>
      </c>
      <c r="D195" s="41" t="s">
        <v>171</v>
      </c>
      <c r="E195" s="9" t="s">
        <v>80</v>
      </c>
      <c r="F195" s="9" t="s">
        <v>2201</v>
      </c>
      <c r="G195" s="9"/>
      <c r="H195" s="39"/>
      <c r="I195" s="9"/>
      <c r="J195" s="39"/>
      <c r="K195" s="42"/>
      <c r="L195" s="9" t="s">
        <v>172</v>
      </c>
      <c r="M195" s="16"/>
      <c r="O195" s="10"/>
      <c r="P195" s="10"/>
      <c r="Q195" s="10"/>
      <c r="R195" s="10"/>
      <c r="S195" s="10"/>
      <c r="AA195" s="14">
        <f t="shared" si="6"/>
        <v>117</v>
      </c>
      <c r="AB195" s="47">
        <f t="shared" si="7"/>
        <v>116</v>
      </c>
      <c r="AD195" s="45"/>
      <c r="AE195" s="45"/>
      <c r="AF195" s="45"/>
      <c r="AG195" s="45"/>
      <c r="AH195" s="45"/>
      <c r="AI195" s="12"/>
      <c r="AJ195" s="13"/>
      <c r="AK195" s="45"/>
      <c r="AL195" s="45"/>
      <c r="AM195" s="45"/>
      <c r="AN195" s="45"/>
    </row>
    <row r="196" spans="1:40" s="46" customFormat="1" ht="14.4">
      <c r="A196" s="39">
        <v>41228</v>
      </c>
      <c r="B196" s="9" t="s">
        <v>1068</v>
      </c>
      <c r="C196" s="40">
        <v>158</v>
      </c>
      <c r="D196" s="41" t="s">
        <v>169</v>
      </c>
      <c r="E196" s="9" t="s">
        <v>80</v>
      </c>
      <c r="F196" s="9" t="s">
        <v>2201</v>
      </c>
      <c r="G196" s="9"/>
      <c r="H196" s="39"/>
      <c r="I196" s="9"/>
      <c r="J196" s="39"/>
      <c r="K196" s="48"/>
      <c r="L196" s="9" t="s">
        <v>170</v>
      </c>
      <c r="M196" s="16"/>
      <c r="O196" s="10"/>
      <c r="P196" s="10"/>
      <c r="Q196" s="10"/>
      <c r="R196" s="10"/>
      <c r="S196" s="10"/>
      <c r="AA196" s="14">
        <f t="shared" si="6"/>
        <v>2</v>
      </c>
      <c r="AB196" s="47">
        <f t="shared" si="7"/>
        <v>1</v>
      </c>
      <c r="AD196" s="45"/>
      <c r="AE196" s="45"/>
      <c r="AF196" s="45"/>
      <c r="AG196" s="45"/>
      <c r="AH196" s="45"/>
      <c r="AI196" s="12"/>
      <c r="AJ196" s="13"/>
      <c r="AK196" s="45"/>
      <c r="AL196" s="45"/>
      <c r="AM196" s="45"/>
      <c r="AN196" s="45"/>
    </row>
    <row r="197" spans="1:40" s="46" customFormat="1" ht="14.4">
      <c r="A197" s="39">
        <v>41228</v>
      </c>
      <c r="B197" s="9" t="s">
        <v>107</v>
      </c>
      <c r="C197" s="40">
        <v>40</v>
      </c>
      <c r="D197" s="41" t="s">
        <v>108</v>
      </c>
      <c r="E197" s="9" t="s">
        <v>88</v>
      </c>
      <c r="F197" s="9" t="s">
        <v>2201</v>
      </c>
      <c r="G197" s="9"/>
      <c r="H197" s="39"/>
      <c r="I197" s="9"/>
      <c r="J197" s="39"/>
      <c r="K197" s="42"/>
      <c r="L197" s="9" t="s">
        <v>109</v>
      </c>
      <c r="M197" s="16"/>
      <c r="O197" s="10"/>
      <c r="P197" s="10"/>
      <c r="Q197" s="10"/>
      <c r="R197" s="10"/>
      <c r="S197" s="10"/>
      <c r="AA197" s="14">
        <f t="shared" si="6"/>
        <v>-118</v>
      </c>
      <c r="AB197" s="47">
        <f t="shared" si="7"/>
        <v>-119</v>
      </c>
      <c r="AD197" s="45"/>
      <c r="AE197" s="45"/>
      <c r="AF197" s="45"/>
      <c r="AG197" s="45"/>
      <c r="AH197" s="45"/>
      <c r="AI197" s="12"/>
      <c r="AJ197" s="13"/>
      <c r="AK197" s="45"/>
      <c r="AL197" s="45"/>
      <c r="AM197" s="45"/>
      <c r="AN197" s="45"/>
    </row>
    <row r="198" spans="1:40" s="46" customFormat="1" ht="14.4">
      <c r="A198" s="39">
        <v>41228</v>
      </c>
      <c r="B198" s="9" t="s">
        <v>1190</v>
      </c>
      <c r="C198" s="40">
        <v>338</v>
      </c>
      <c r="D198" s="41" t="s">
        <v>398</v>
      </c>
      <c r="E198" s="9" t="s">
        <v>118</v>
      </c>
      <c r="F198" s="9" t="s">
        <v>479</v>
      </c>
      <c r="G198" s="9"/>
      <c r="H198" s="39"/>
      <c r="I198" s="9"/>
      <c r="J198" s="39"/>
      <c r="K198" s="42"/>
      <c r="L198" s="9" t="s">
        <v>399</v>
      </c>
      <c r="M198" s="16"/>
      <c r="O198" s="10"/>
      <c r="P198" s="10"/>
      <c r="Q198" s="10"/>
      <c r="R198" s="10"/>
      <c r="S198" s="10"/>
      <c r="AA198" s="14">
        <f t="shared" si="6"/>
        <v>298</v>
      </c>
      <c r="AB198" s="47">
        <f t="shared" si="7"/>
        <v>297</v>
      </c>
      <c r="AD198" s="45"/>
      <c r="AE198" s="45"/>
      <c r="AF198" s="45"/>
      <c r="AG198" s="45"/>
      <c r="AH198" s="45"/>
      <c r="AI198" s="12"/>
      <c r="AJ198" s="13"/>
      <c r="AK198" s="45"/>
      <c r="AL198" s="45"/>
      <c r="AM198" s="45"/>
      <c r="AN198" s="45"/>
    </row>
    <row r="199" spans="1:40" s="46" customFormat="1" ht="14.4">
      <c r="A199" s="39">
        <v>41228</v>
      </c>
      <c r="B199" s="9" t="s">
        <v>1347</v>
      </c>
      <c r="C199" s="40">
        <v>313</v>
      </c>
      <c r="D199" s="41" t="s">
        <v>420</v>
      </c>
      <c r="E199" s="9" t="s">
        <v>118</v>
      </c>
      <c r="F199" s="9" t="s">
        <v>479</v>
      </c>
      <c r="G199" s="9"/>
      <c r="H199" s="39"/>
      <c r="I199" s="9"/>
      <c r="J199" s="39"/>
      <c r="K199" s="42"/>
      <c r="L199" s="9" t="s">
        <v>421</v>
      </c>
      <c r="M199" s="16"/>
      <c r="O199" s="10"/>
      <c r="P199" s="10"/>
      <c r="Q199" s="10"/>
      <c r="R199" s="10"/>
      <c r="S199" s="10"/>
      <c r="AA199" s="14">
        <f t="shared" si="6"/>
        <v>-25</v>
      </c>
      <c r="AB199" s="47">
        <f t="shared" si="7"/>
        <v>-26</v>
      </c>
      <c r="AD199" s="45"/>
      <c r="AE199" s="45"/>
      <c r="AF199" s="45"/>
      <c r="AG199" s="45"/>
      <c r="AH199" s="45"/>
      <c r="AI199" s="12"/>
      <c r="AJ199" s="13"/>
      <c r="AK199" s="45"/>
      <c r="AL199" s="45"/>
      <c r="AM199" s="45"/>
      <c r="AN199" s="45"/>
    </row>
    <row r="200" spans="1:40" s="46" customFormat="1" ht="14.4">
      <c r="A200" s="39">
        <v>41228</v>
      </c>
      <c r="B200" s="9" t="s">
        <v>1094</v>
      </c>
      <c r="C200" s="40">
        <v>111</v>
      </c>
      <c r="D200" s="41" t="s">
        <v>330</v>
      </c>
      <c r="E200" s="9" t="s">
        <v>77</v>
      </c>
      <c r="F200" s="9" t="s">
        <v>479</v>
      </c>
      <c r="G200" s="9"/>
      <c r="H200" s="39"/>
      <c r="I200" s="9"/>
      <c r="J200" s="39"/>
      <c r="K200" s="42"/>
      <c r="L200" s="9" t="s">
        <v>331</v>
      </c>
      <c r="M200" s="16"/>
      <c r="O200" s="10"/>
      <c r="P200" s="10"/>
      <c r="Q200" s="10"/>
      <c r="R200" s="10"/>
      <c r="S200" s="10"/>
      <c r="AA200" s="14">
        <f t="shared" si="6"/>
        <v>-202</v>
      </c>
      <c r="AB200" s="47">
        <f t="shared" si="7"/>
        <v>-203</v>
      </c>
      <c r="AD200" s="45"/>
      <c r="AE200" s="45"/>
      <c r="AF200" s="45"/>
      <c r="AG200" s="45"/>
      <c r="AH200" s="45"/>
      <c r="AI200" s="12"/>
      <c r="AJ200" s="13"/>
      <c r="AK200" s="45"/>
      <c r="AL200" s="45"/>
      <c r="AM200" s="45"/>
      <c r="AN200" s="45"/>
    </row>
    <row r="201" spans="1:40" s="46" customFormat="1" ht="14.4">
      <c r="A201" s="39">
        <v>41228</v>
      </c>
      <c r="B201" s="9" t="s">
        <v>1069</v>
      </c>
      <c r="C201" s="40">
        <v>161</v>
      </c>
      <c r="D201" s="41" t="s">
        <v>173</v>
      </c>
      <c r="E201" s="9" t="s">
        <v>80</v>
      </c>
      <c r="F201" s="9" t="s">
        <v>2201</v>
      </c>
      <c r="G201" s="9"/>
      <c r="H201" s="39"/>
      <c r="I201" s="9"/>
      <c r="J201" s="39"/>
      <c r="K201" s="42"/>
      <c r="L201" s="9" t="s">
        <v>174</v>
      </c>
      <c r="M201" s="16"/>
      <c r="O201" s="10"/>
      <c r="P201" s="10"/>
      <c r="Q201" s="10"/>
      <c r="R201" s="10"/>
      <c r="S201" s="10"/>
      <c r="AA201" s="14">
        <f t="shared" si="6"/>
        <v>50</v>
      </c>
      <c r="AB201" s="47">
        <f t="shared" si="7"/>
        <v>49</v>
      </c>
      <c r="AD201" s="45"/>
      <c r="AE201" s="45"/>
      <c r="AF201" s="45"/>
      <c r="AG201" s="45"/>
      <c r="AH201" s="45"/>
      <c r="AI201" s="12"/>
      <c r="AJ201" s="13"/>
      <c r="AK201" s="45"/>
      <c r="AL201" s="45"/>
      <c r="AM201" s="45"/>
      <c r="AN201" s="45"/>
    </row>
    <row r="202" spans="1:40" s="46" customFormat="1" ht="14.4">
      <c r="A202" s="39">
        <v>41228</v>
      </c>
      <c r="B202" s="9" t="s">
        <v>92</v>
      </c>
      <c r="C202" s="40">
        <v>42</v>
      </c>
      <c r="D202" s="41" t="s">
        <v>93</v>
      </c>
      <c r="E202" s="9" t="s">
        <v>77</v>
      </c>
      <c r="F202" s="9" t="s">
        <v>2201</v>
      </c>
      <c r="G202" s="9"/>
      <c r="H202" s="39"/>
      <c r="I202" s="9"/>
      <c r="J202" s="39"/>
      <c r="K202" s="42"/>
      <c r="L202" s="9" t="s">
        <v>42</v>
      </c>
      <c r="M202" s="16"/>
      <c r="O202" s="10"/>
      <c r="P202" s="10"/>
      <c r="Q202" s="10"/>
      <c r="R202" s="10"/>
      <c r="S202" s="10"/>
      <c r="AA202" s="14">
        <f t="shared" si="6"/>
        <v>-119</v>
      </c>
      <c r="AB202" s="47">
        <f t="shared" si="7"/>
        <v>-120</v>
      </c>
      <c r="AD202" s="45"/>
      <c r="AE202" s="45"/>
      <c r="AF202" s="45"/>
      <c r="AG202" s="45"/>
      <c r="AH202" s="45"/>
      <c r="AI202" s="12"/>
      <c r="AJ202" s="13"/>
      <c r="AK202" s="45"/>
      <c r="AL202" s="45"/>
      <c r="AM202" s="45"/>
      <c r="AN202" s="45"/>
    </row>
    <row r="203" spans="1:40" s="46" customFormat="1" ht="14.4">
      <c r="A203" s="39">
        <v>41228</v>
      </c>
      <c r="B203" s="9" t="s">
        <v>1346</v>
      </c>
      <c r="C203" s="40">
        <v>312</v>
      </c>
      <c r="D203" s="41" t="s">
        <v>956</v>
      </c>
      <c r="E203" s="9" t="s">
        <v>77</v>
      </c>
      <c r="F203" s="9" t="s">
        <v>479</v>
      </c>
      <c r="G203" s="9"/>
      <c r="H203" s="39"/>
      <c r="I203" s="9"/>
      <c r="J203" s="39"/>
      <c r="K203" s="42"/>
      <c r="L203" s="9" t="s">
        <v>286</v>
      </c>
      <c r="M203" s="16"/>
      <c r="O203" s="10"/>
      <c r="P203" s="10"/>
      <c r="Q203" s="10"/>
      <c r="R203" s="10"/>
      <c r="S203" s="10"/>
      <c r="AA203" s="14">
        <f t="shared" si="6"/>
        <v>270</v>
      </c>
      <c r="AB203" s="47">
        <f t="shared" si="7"/>
        <v>269</v>
      </c>
      <c r="AD203" s="45"/>
      <c r="AE203" s="45"/>
      <c r="AF203" s="45"/>
      <c r="AG203" s="45"/>
      <c r="AH203" s="45"/>
      <c r="AI203" s="12"/>
      <c r="AJ203" s="13"/>
      <c r="AK203" s="45"/>
      <c r="AL203" s="45"/>
      <c r="AM203" s="45"/>
      <c r="AN203" s="45"/>
    </row>
    <row r="204" spans="1:40" s="46" customFormat="1" ht="14.4">
      <c r="A204" s="39">
        <v>41229</v>
      </c>
      <c r="B204" s="9" t="s">
        <v>1113</v>
      </c>
      <c r="C204" s="40">
        <v>145</v>
      </c>
      <c r="D204" s="41" t="s">
        <v>1298</v>
      </c>
      <c r="E204" s="9" t="s">
        <v>326</v>
      </c>
      <c r="F204" s="9" t="s">
        <v>479</v>
      </c>
      <c r="G204" s="9"/>
      <c r="H204" s="39"/>
      <c r="I204" s="9"/>
      <c r="J204" s="39"/>
      <c r="K204" s="42"/>
      <c r="L204" s="9" t="s">
        <v>42</v>
      </c>
      <c r="M204" s="16"/>
      <c r="O204" s="10"/>
      <c r="P204" s="10"/>
      <c r="Q204" s="10"/>
      <c r="R204" s="10"/>
      <c r="S204" s="10"/>
      <c r="AA204" s="14">
        <f t="shared" si="6"/>
        <v>-167</v>
      </c>
      <c r="AB204" s="47">
        <f t="shared" si="7"/>
        <v>-168</v>
      </c>
      <c r="AD204" s="45"/>
      <c r="AE204" s="45"/>
      <c r="AF204" s="45"/>
      <c r="AG204" s="45"/>
      <c r="AH204" s="45"/>
      <c r="AI204" s="12"/>
      <c r="AJ204" s="13"/>
      <c r="AK204" s="45"/>
      <c r="AL204" s="45"/>
      <c r="AM204" s="45"/>
      <c r="AN204" s="45"/>
    </row>
    <row r="205" spans="1:40" s="46" customFormat="1" ht="14.4">
      <c r="A205" s="39">
        <v>41229</v>
      </c>
      <c r="B205" s="9" t="s">
        <v>1139</v>
      </c>
      <c r="C205" s="15">
        <v>165</v>
      </c>
      <c r="D205" s="41" t="s">
        <v>507</v>
      </c>
      <c r="E205" s="9" t="s">
        <v>18</v>
      </c>
      <c r="F205" s="9" t="s">
        <v>479</v>
      </c>
      <c r="G205" s="9"/>
      <c r="H205" s="39"/>
      <c r="I205" s="9"/>
      <c r="J205" s="39"/>
      <c r="K205" s="42"/>
      <c r="L205" s="9" t="s">
        <v>19</v>
      </c>
      <c r="M205" s="16"/>
      <c r="O205" s="10"/>
      <c r="P205" s="10"/>
      <c r="Q205" s="10"/>
      <c r="R205" s="10"/>
      <c r="S205" s="10"/>
      <c r="AA205" s="14">
        <f t="shared" si="6"/>
        <v>20</v>
      </c>
      <c r="AB205" s="47">
        <f t="shared" si="7"/>
        <v>19</v>
      </c>
      <c r="AD205" s="45"/>
      <c r="AE205" s="45"/>
      <c r="AF205" s="45"/>
      <c r="AG205" s="45"/>
      <c r="AH205" s="45"/>
      <c r="AI205" s="12"/>
      <c r="AJ205" s="13"/>
      <c r="AK205" s="45"/>
      <c r="AL205" s="45"/>
      <c r="AM205" s="45"/>
      <c r="AN205" s="45"/>
    </row>
    <row r="206" spans="1:40" s="46" customFormat="1" ht="14.4">
      <c r="A206" s="39">
        <v>41229</v>
      </c>
      <c r="B206" s="9"/>
      <c r="C206" s="40"/>
      <c r="D206" s="41" t="s">
        <v>1296</v>
      </c>
      <c r="E206" s="9" t="s">
        <v>274</v>
      </c>
      <c r="F206" s="9" t="s">
        <v>935</v>
      </c>
      <c r="G206" s="9"/>
      <c r="H206" s="39"/>
      <c r="I206" s="9"/>
      <c r="J206" s="39"/>
      <c r="K206" s="42"/>
      <c r="L206" s="9" t="s">
        <v>492</v>
      </c>
      <c r="M206" s="16"/>
      <c r="O206" s="10"/>
      <c r="P206" s="10"/>
      <c r="Q206" s="10"/>
      <c r="R206" s="10"/>
      <c r="S206" s="10"/>
      <c r="AA206" s="14">
        <f t="shared" si="6"/>
        <v>-165</v>
      </c>
      <c r="AB206" s="47">
        <f t="shared" si="7"/>
        <v>-166</v>
      </c>
      <c r="AD206" s="45"/>
      <c r="AE206" s="45"/>
      <c r="AF206" s="45"/>
      <c r="AG206" s="45"/>
      <c r="AH206" s="45"/>
      <c r="AI206" s="12"/>
      <c r="AJ206" s="13"/>
      <c r="AK206" s="45"/>
      <c r="AL206" s="45"/>
      <c r="AM206" s="45"/>
      <c r="AN206" s="45"/>
    </row>
    <row r="207" spans="1:40" s="46" customFormat="1" ht="24">
      <c r="A207" s="39">
        <v>41229</v>
      </c>
      <c r="B207" s="9" t="s">
        <v>1033</v>
      </c>
      <c r="C207" s="40">
        <v>229</v>
      </c>
      <c r="D207" s="41" t="s">
        <v>545</v>
      </c>
      <c r="E207" s="9" t="s">
        <v>18</v>
      </c>
      <c r="F207" s="9" t="s">
        <v>479</v>
      </c>
      <c r="G207" s="9"/>
      <c r="H207" s="39"/>
      <c r="I207" s="9"/>
      <c r="J207" s="39"/>
      <c r="K207" s="42"/>
      <c r="L207" s="9" t="s">
        <v>19</v>
      </c>
      <c r="M207" s="16"/>
      <c r="O207" s="10"/>
      <c r="P207" s="10"/>
      <c r="Q207" s="10"/>
      <c r="R207" s="10"/>
      <c r="S207" s="10"/>
      <c r="AA207" s="14">
        <f t="shared" si="6"/>
        <v>229</v>
      </c>
      <c r="AB207" s="47">
        <f t="shared" si="7"/>
        <v>228</v>
      </c>
      <c r="AD207" s="45"/>
      <c r="AE207" s="45"/>
      <c r="AF207" s="45"/>
      <c r="AG207" s="45"/>
      <c r="AH207" s="45"/>
      <c r="AI207" s="12"/>
      <c r="AJ207" s="13"/>
      <c r="AK207" s="45"/>
      <c r="AL207" s="45"/>
      <c r="AM207" s="45"/>
      <c r="AN207" s="45"/>
    </row>
    <row r="208" spans="1:40" s="46" customFormat="1" ht="14.4">
      <c r="A208" s="39">
        <v>41229</v>
      </c>
      <c r="B208" s="9" t="s">
        <v>1130</v>
      </c>
      <c r="C208" s="40">
        <v>263</v>
      </c>
      <c r="D208" s="41" t="s">
        <v>546</v>
      </c>
      <c r="E208" s="9" t="s">
        <v>18</v>
      </c>
      <c r="F208" s="9" t="s">
        <v>479</v>
      </c>
      <c r="G208" s="9"/>
      <c r="H208" s="39"/>
      <c r="I208" s="9"/>
      <c r="J208" s="39"/>
      <c r="K208" s="42"/>
      <c r="L208" s="9" t="s">
        <v>547</v>
      </c>
      <c r="M208" s="16"/>
      <c r="O208" s="10"/>
      <c r="P208" s="10"/>
      <c r="Q208" s="10"/>
      <c r="R208" s="10"/>
      <c r="S208" s="10"/>
      <c r="AA208" s="14">
        <f t="shared" si="6"/>
        <v>34</v>
      </c>
      <c r="AB208" s="47">
        <f t="shared" si="7"/>
        <v>33</v>
      </c>
      <c r="AD208" s="45"/>
      <c r="AE208" s="45"/>
      <c r="AF208" s="45"/>
      <c r="AG208" s="45"/>
      <c r="AH208" s="45"/>
      <c r="AI208" s="12"/>
      <c r="AJ208" s="13"/>
      <c r="AK208" s="45"/>
      <c r="AL208" s="45"/>
      <c r="AM208" s="45"/>
      <c r="AN208" s="45"/>
    </row>
    <row r="209" spans="1:40" s="46" customFormat="1" ht="14.4">
      <c r="A209" s="39">
        <v>41229</v>
      </c>
      <c r="B209" s="9" t="s">
        <v>2923</v>
      </c>
      <c r="C209" s="15">
        <v>958</v>
      </c>
      <c r="D209" s="41" t="s">
        <v>499</v>
      </c>
      <c r="E209" s="9" t="s">
        <v>18</v>
      </c>
      <c r="F209" s="9" t="s">
        <v>479</v>
      </c>
      <c r="G209" s="9"/>
      <c r="H209" s="39"/>
      <c r="I209" s="9"/>
      <c r="J209" s="39"/>
      <c r="K209" s="42"/>
      <c r="L209" s="9" t="s">
        <v>500</v>
      </c>
      <c r="M209" s="16"/>
      <c r="O209" s="10"/>
      <c r="P209" s="10"/>
      <c r="Q209" s="10"/>
      <c r="R209" s="10"/>
      <c r="S209" s="10"/>
      <c r="AA209" s="14">
        <f t="shared" si="6"/>
        <v>695</v>
      </c>
      <c r="AB209" s="47">
        <f t="shared" si="7"/>
        <v>694</v>
      </c>
      <c r="AD209" s="45"/>
      <c r="AE209" s="45"/>
      <c r="AF209" s="45"/>
      <c r="AG209" s="45"/>
      <c r="AH209" s="45"/>
      <c r="AI209" s="12"/>
      <c r="AJ209" s="13"/>
      <c r="AK209" s="45"/>
      <c r="AL209" s="45"/>
      <c r="AM209" s="45"/>
      <c r="AN209" s="45"/>
    </row>
    <row r="210" spans="1:40" s="46" customFormat="1" ht="14.4">
      <c r="A210" s="39">
        <v>41229</v>
      </c>
      <c r="B210" s="9" t="s">
        <v>2660</v>
      </c>
      <c r="C210" s="40">
        <v>686</v>
      </c>
      <c r="D210" s="41" t="s">
        <v>481</v>
      </c>
      <c r="E210" s="9" t="s">
        <v>18</v>
      </c>
      <c r="F210" s="9" t="s">
        <v>479</v>
      </c>
      <c r="G210" s="9"/>
      <c r="H210" s="39"/>
      <c r="I210" s="9"/>
      <c r="J210" s="39"/>
      <c r="K210" s="42"/>
      <c r="L210" s="9" t="s">
        <v>482</v>
      </c>
      <c r="M210" s="16"/>
      <c r="O210" s="10"/>
      <c r="P210" s="10"/>
      <c r="Q210" s="10"/>
      <c r="R210" s="10"/>
      <c r="S210" s="10"/>
      <c r="AA210" s="14">
        <f t="shared" si="6"/>
        <v>-272</v>
      </c>
      <c r="AB210" s="47">
        <f t="shared" si="7"/>
        <v>-273</v>
      </c>
      <c r="AD210" s="45"/>
      <c r="AE210" s="45"/>
      <c r="AF210" s="45"/>
      <c r="AG210" s="45"/>
      <c r="AH210" s="45"/>
      <c r="AI210" s="12"/>
      <c r="AJ210" s="13"/>
      <c r="AK210" s="45"/>
      <c r="AL210" s="45"/>
      <c r="AM210" s="45"/>
      <c r="AN210" s="45"/>
    </row>
    <row r="211" spans="1:40" s="46" customFormat="1" ht="14.4">
      <c r="A211" s="39">
        <v>41229</v>
      </c>
      <c r="B211" s="9"/>
      <c r="C211" s="40"/>
      <c r="D211" s="41" t="s">
        <v>525</v>
      </c>
      <c r="E211" s="9" t="s">
        <v>18</v>
      </c>
      <c r="F211" s="9" t="s">
        <v>935</v>
      </c>
      <c r="G211" s="9"/>
      <c r="H211" s="39"/>
      <c r="I211" s="9"/>
      <c r="J211" s="39"/>
      <c r="K211" s="42"/>
      <c r="L211" s="9" t="s">
        <v>42</v>
      </c>
      <c r="M211" s="16" t="s">
        <v>71</v>
      </c>
      <c r="O211" s="10"/>
      <c r="P211" s="10"/>
      <c r="Q211" s="10"/>
      <c r="R211" s="10"/>
      <c r="S211" s="10"/>
      <c r="AA211" s="14">
        <f t="shared" si="6"/>
        <v>-686</v>
      </c>
      <c r="AB211" s="47">
        <f t="shared" si="7"/>
        <v>-687</v>
      </c>
      <c r="AD211" s="45"/>
      <c r="AE211" s="45"/>
      <c r="AF211" s="45"/>
      <c r="AG211" s="45"/>
      <c r="AH211" s="45"/>
      <c r="AI211" s="12"/>
      <c r="AJ211" s="13"/>
      <c r="AK211" s="45"/>
      <c r="AL211" s="45"/>
      <c r="AM211" s="45"/>
      <c r="AN211" s="45"/>
    </row>
    <row r="212" spans="1:40" s="46" customFormat="1" ht="14.4">
      <c r="A212" s="39">
        <v>41229</v>
      </c>
      <c r="B212" s="9" t="s">
        <v>1024</v>
      </c>
      <c r="C212" s="40">
        <v>235</v>
      </c>
      <c r="D212" s="41" t="s">
        <v>523</v>
      </c>
      <c r="E212" s="9" t="s">
        <v>18</v>
      </c>
      <c r="F212" s="9" t="s">
        <v>479</v>
      </c>
      <c r="G212" s="9"/>
      <c r="H212" s="39"/>
      <c r="I212" s="9"/>
      <c r="J212" s="39"/>
      <c r="K212" s="48"/>
      <c r="L212" s="9" t="s">
        <v>524</v>
      </c>
      <c r="M212" s="16"/>
      <c r="O212" s="10"/>
      <c r="P212" s="10"/>
      <c r="Q212" s="10"/>
      <c r="R212" s="10"/>
      <c r="S212" s="10"/>
      <c r="AA212" s="14">
        <f t="shared" si="6"/>
        <v>235</v>
      </c>
      <c r="AB212" s="47">
        <f t="shared" si="7"/>
        <v>234</v>
      </c>
      <c r="AD212" s="45"/>
      <c r="AE212" s="45"/>
      <c r="AF212" s="45"/>
      <c r="AG212" s="45"/>
      <c r="AH212" s="45"/>
      <c r="AI212" s="12"/>
      <c r="AJ212" s="13"/>
      <c r="AK212" s="45"/>
      <c r="AL212" s="45"/>
      <c r="AM212" s="45"/>
      <c r="AN212" s="45"/>
    </row>
    <row r="213" spans="1:40" s="46" customFormat="1" ht="14.4">
      <c r="A213" s="39">
        <v>41229</v>
      </c>
      <c r="B213" s="9" t="s">
        <v>1204</v>
      </c>
      <c r="C213" s="15">
        <v>488</v>
      </c>
      <c r="D213" s="41" t="s">
        <v>454</v>
      </c>
      <c r="E213" s="9" t="s">
        <v>77</v>
      </c>
      <c r="F213" s="9" t="s">
        <v>479</v>
      </c>
      <c r="G213" s="9"/>
      <c r="H213" s="39"/>
      <c r="I213" s="9"/>
      <c r="J213" s="39"/>
      <c r="K213" s="42"/>
      <c r="L213" s="9" t="s">
        <v>455</v>
      </c>
      <c r="M213" s="16"/>
      <c r="O213" s="10"/>
      <c r="P213" s="10"/>
      <c r="Q213" s="10"/>
      <c r="R213" s="10"/>
      <c r="S213" s="10"/>
      <c r="AA213" s="14">
        <f t="shared" si="6"/>
        <v>253</v>
      </c>
      <c r="AB213" s="47">
        <f t="shared" si="7"/>
        <v>252</v>
      </c>
      <c r="AD213" s="45"/>
      <c r="AE213" s="45"/>
      <c r="AF213" s="45"/>
      <c r="AG213" s="45"/>
      <c r="AH213" s="45"/>
      <c r="AI213" s="12"/>
      <c r="AJ213" s="13"/>
      <c r="AK213" s="45"/>
      <c r="AL213" s="45"/>
      <c r="AM213" s="45"/>
      <c r="AN213" s="45"/>
    </row>
    <row r="214" spans="1:40" s="46" customFormat="1" ht="14.4">
      <c r="A214" s="39">
        <v>41229</v>
      </c>
      <c r="B214" s="9" t="s">
        <v>608</v>
      </c>
      <c r="C214" s="40">
        <v>78</v>
      </c>
      <c r="D214" s="41" t="s">
        <v>437</v>
      </c>
      <c r="E214" s="9" t="s">
        <v>118</v>
      </c>
      <c r="F214" s="9" t="s">
        <v>479</v>
      </c>
      <c r="G214" s="9"/>
      <c r="H214" s="39"/>
      <c r="I214" s="9"/>
      <c r="J214" s="39"/>
      <c r="K214" s="42"/>
      <c r="L214" s="9" t="s">
        <v>438</v>
      </c>
      <c r="M214" s="16"/>
      <c r="O214" s="10"/>
      <c r="P214" s="10"/>
      <c r="Q214" s="10"/>
      <c r="R214" s="10"/>
      <c r="S214" s="10"/>
      <c r="AA214" s="14">
        <f t="shared" si="6"/>
        <v>-410</v>
      </c>
      <c r="AB214" s="47">
        <f t="shared" si="7"/>
        <v>-411</v>
      </c>
      <c r="AD214" s="45"/>
      <c r="AE214" s="45"/>
      <c r="AF214" s="45"/>
      <c r="AG214" s="45"/>
      <c r="AH214" s="45"/>
      <c r="AI214" s="12"/>
      <c r="AJ214" s="13"/>
      <c r="AK214" s="45"/>
      <c r="AL214" s="45"/>
      <c r="AM214" s="45"/>
      <c r="AN214" s="45"/>
    </row>
    <row r="215" spans="1:40" s="46" customFormat="1" ht="14.4">
      <c r="A215" s="39">
        <v>41229</v>
      </c>
      <c r="B215" s="102" t="s">
        <v>2174</v>
      </c>
      <c r="C215" s="40">
        <v>334</v>
      </c>
      <c r="D215" s="41" t="s">
        <v>488</v>
      </c>
      <c r="E215" s="9" t="s">
        <v>22</v>
      </c>
      <c r="F215" s="9" t="s">
        <v>479</v>
      </c>
      <c r="G215" s="9"/>
      <c r="H215" s="39"/>
      <c r="I215" s="9"/>
      <c r="J215" s="39"/>
      <c r="K215" s="42"/>
      <c r="L215" s="9" t="s">
        <v>489</v>
      </c>
      <c r="M215" s="16"/>
      <c r="O215" s="10"/>
      <c r="P215" s="10"/>
      <c r="Q215" s="10"/>
      <c r="R215" s="10"/>
      <c r="S215" s="10"/>
      <c r="AA215" s="14">
        <f t="shared" si="6"/>
        <v>256</v>
      </c>
      <c r="AB215" s="47">
        <f t="shared" si="7"/>
        <v>255</v>
      </c>
      <c r="AD215" s="45"/>
      <c r="AE215" s="45"/>
      <c r="AF215" s="45"/>
      <c r="AG215" s="45"/>
      <c r="AH215" s="45"/>
      <c r="AI215" s="12"/>
      <c r="AJ215" s="13"/>
      <c r="AK215" s="45"/>
      <c r="AL215" s="45"/>
      <c r="AM215" s="45"/>
      <c r="AN215" s="45"/>
    </row>
    <row r="216" spans="1:40" s="46" customFormat="1" ht="14.4">
      <c r="A216" s="39">
        <v>41229</v>
      </c>
      <c r="B216" s="9" t="s">
        <v>1023</v>
      </c>
      <c r="C216" s="40">
        <v>236</v>
      </c>
      <c r="D216" s="41" t="s">
        <v>526</v>
      </c>
      <c r="E216" s="9" t="s">
        <v>18</v>
      </c>
      <c r="F216" s="9" t="s">
        <v>479</v>
      </c>
      <c r="G216" s="9"/>
      <c r="H216" s="39"/>
      <c r="I216" s="9"/>
      <c r="J216" s="39"/>
      <c r="K216" s="42"/>
      <c r="L216" s="9" t="s">
        <v>527</v>
      </c>
      <c r="M216" s="16"/>
      <c r="O216" s="10"/>
      <c r="P216" s="10"/>
      <c r="Q216" s="10"/>
      <c r="R216" s="10"/>
      <c r="S216" s="10"/>
      <c r="AA216" s="14" t="e">
        <f>C216-#REF!</f>
        <v>#REF!</v>
      </c>
      <c r="AB216" s="47" t="e">
        <f t="shared" si="7"/>
        <v>#REF!</v>
      </c>
      <c r="AD216" s="45"/>
      <c r="AE216" s="45"/>
      <c r="AF216" s="45"/>
      <c r="AG216" s="45"/>
      <c r="AH216" s="45"/>
      <c r="AI216" s="12"/>
      <c r="AJ216" s="13"/>
      <c r="AK216" s="45"/>
      <c r="AL216" s="45"/>
      <c r="AM216" s="45"/>
      <c r="AN216" s="45"/>
    </row>
    <row r="217" spans="1:40" s="46" customFormat="1" ht="14.4">
      <c r="A217" s="39">
        <v>41229</v>
      </c>
      <c r="B217" s="9" t="s">
        <v>1114</v>
      </c>
      <c r="C217" s="40">
        <v>146</v>
      </c>
      <c r="D217" s="41" t="s">
        <v>512</v>
      </c>
      <c r="E217" s="9" t="s">
        <v>18</v>
      </c>
      <c r="F217" s="9" t="s">
        <v>479</v>
      </c>
      <c r="G217" s="9"/>
      <c r="H217" s="39"/>
      <c r="I217" s="9"/>
      <c r="J217" s="39"/>
      <c r="K217" s="42"/>
      <c r="L217" s="9" t="s">
        <v>513</v>
      </c>
      <c r="M217" s="16"/>
      <c r="O217" s="10"/>
      <c r="P217" s="10"/>
      <c r="Q217" s="10"/>
      <c r="R217" s="10"/>
      <c r="S217" s="10"/>
      <c r="AA217" s="14">
        <f t="shared" si="6"/>
        <v>-90</v>
      </c>
      <c r="AB217" s="47">
        <f t="shared" si="7"/>
        <v>-91</v>
      </c>
      <c r="AD217" s="45"/>
      <c r="AE217" s="45"/>
      <c r="AF217" s="45"/>
      <c r="AG217" s="45"/>
      <c r="AH217" s="45"/>
      <c r="AI217" s="12"/>
      <c r="AJ217" s="13"/>
      <c r="AK217" s="45"/>
      <c r="AL217" s="45"/>
      <c r="AM217" s="45"/>
      <c r="AN217" s="45"/>
    </row>
    <row r="218" spans="1:40" s="46" customFormat="1" ht="14.4">
      <c r="A218" s="39">
        <v>41229</v>
      </c>
      <c r="B218" s="9" t="s">
        <v>564</v>
      </c>
      <c r="C218" s="40">
        <v>88</v>
      </c>
      <c r="D218" s="41" t="s">
        <v>449</v>
      </c>
      <c r="E218" s="9" t="s">
        <v>277</v>
      </c>
      <c r="F218" s="9" t="s">
        <v>479</v>
      </c>
      <c r="G218" s="9"/>
      <c r="H218" s="39"/>
      <c r="I218" s="9"/>
      <c r="J218" s="39"/>
      <c r="K218" s="42"/>
      <c r="L218" s="9" t="s">
        <v>450</v>
      </c>
      <c r="M218" s="16"/>
      <c r="O218" s="10"/>
      <c r="P218" s="10"/>
      <c r="Q218" s="10"/>
      <c r="R218" s="10"/>
      <c r="S218" s="10"/>
      <c r="AA218" s="14">
        <f t="shared" si="6"/>
        <v>-58</v>
      </c>
      <c r="AB218" s="47">
        <f t="shared" si="7"/>
        <v>-59</v>
      </c>
      <c r="AD218" s="45"/>
      <c r="AE218" s="45"/>
      <c r="AF218" s="45"/>
      <c r="AG218" s="45"/>
      <c r="AH218" s="45"/>
      <c r="AI218" s="12"/>
      <c r="AJ218" s="13"/>
      <c r="AK218" s="45"/>
      <c r="AL218" s="45"/>
      <c r="AM218" s="45"/>
      <c r="AN218" s="45"/>
    </row>
    <row r="219" spans="1:40" s="46" customFormat="1" ht="14.4">
      <c r="A219" s="39">
        <v>41229</v>
      </c>
      <c r="B219" s="9"/>
      <c r="C219" s="40"/>
      <c r="D219" s="41" t="s">
        <v>926</v>
      </c>
      <c r="E219" s="9" t="s">
        <v>118</v>
      </c>
      <c r="F219" s="9" t="s">
        <v>479</v>
      </c>
      <c r="G219" s="9"/>
      <c r="H219" s="39"/>
      <c r="I219" s="9"/>
      <c r="J219" s="39"/>
      <c r="K219" s="42"/>
      <c r="L219" s="9" t="s">
        <v>439</v>
      </c>
      <c r="M219" s="16"/>
      <c r="O219" s="10"/>
      <c r="P219" s="10"/>
      <c r="Q219" s="10"/>
      <c r="R219" s="10"/>
      <c r="S219" s="10"/>
      <c r="AA219" s="14">
        <f t="shared" si="6"/>
        <v>-88</v>
      </c>
      <c r="AB219" s="47">
        <f t="shared" si="7"/>
        <v>-89</v>
      </c>
      <c r="AD219" s="45"/>
      <c r="AE219" s="45"/>
      <c r="AF219" s="45"/>
      <c r="AG219" s="45"/>
      <c r="AH219" s="45"/>
      <c r="AI219" s="12"/>
      <c r="AJ219" s="13"/>
      <c r="AK219" s="45"/>
      <c r="AL219" s="45"/>
      <c r="AM219" s="45"/>
      <c r="AN219" s="45"/>
    </row>
    <row r="220" spans="1:40" s="46" customFormat="1" ht="14.4">
      <c r="A220" s="39">
        <v>41229</v>
      </c>
      <c r="B220" s="9" t="s">
        <v>614</v>
      </c>
      <c r="C220" s="40">
        <v>110</v>
      </c>
      <c r="D220" s="41" t="s">
        <v>445</v>
      </c>
      <c r="E220" s="9" t="s">
        <v>118</v>
      </c>
      <c r="F220" s="9" t="s">
        <v>935</v>
      </c>
      <c r="G220" s="9"/>
      <c r="H220" s="39"/>
      <c r="I220" s="9"/>
      <c r="J220" s="39"/>
      <c r="K220" s="42"/>
      <c r="L220" s="9" t="s">
        <v>446</v>
      </c>
      <c r="M220" s="16"/>
      <c r="O220" s="10"/>
      <c r="P220" s="10"/>
      <c r="Q220" s="10"/>
      <c r="R220" s="10"/>
      <c r="S220" s="10"/>
      <c r="AA220" s="14">
        <f t="shared" si="6"/>
        <v>110</v>
      </c>
      <c r="AB220" s="47">
        <f t="shared" si="7"/>
        <v>109</v>
      </c>
      <c r="AD220" s="45"/>
      <c r="AE220" s="45"/>
      <c r="AF220" s="45"/>
      <c r="AG220" s="45"/>
      <c r="AH220" s="45"/>
      <c r="AI220" s="12"/>
      <c r="AJ220" s="13"/>
      <c r="AK220" s="45"/>
      <c r="AL220" s="45"/>
      <c r="AM220" s="45"/>
      <c r="AN220" s="45"/>
    </row>
    <row r="221" spans="1:40" s="46" customFormat="1" ht="14.4">
      <c r="A221" s="39">
        <v>41229</v>
      </c>
      <c r="B221" s="9" t="s">
        <v>615</v>
      </c>
      <c r="C221" s="40">
        <v>108</v>
      </c>
      <c r="D221" s="41" t="s">
        <v>443</v>
      </c>
      <c r="E221" s="9" t="s">
        <v>118</v>
      </c>
      <c r="F221" s="9" t="s">
        <v>935</v>
      </c>
      <c r="G221" s="9"/>
      <c r="H221" s="39"/>
      <c r="I221" s="9"/>
      <c r="J221" s="39"/>
      <c r="K221" s="48"/>
      <c r="L221" s="9" t="s">
        <v>444</v>
      </c>
      <c r="M221" s="16"/>
      <c r="O221" s="10"/>
      <c r="P221" s="10"/>
      <c r="Q221" s="10"/>
      <c r="R221" s="10"/>
      <c r="S221" s="10"/>
      <c r="AA221" s="14">
        <f t="shared" si="6"/>
        <v>-2</v>
      </c>
      <c r="AB221" s="47">
        <f t="shared" si="7"/>
        <v>-3</v>
      </c>
      <c r="AD221" s="45"/>
      <c r="AE221" s="45"/>
      <c r="AF221" s="45"/>
      <c r="AG221" s="45"/>
      <c r="AH221" s="45"/>
      <c r="AI221" s="12"/>
      <c r="AJ221" s="13"/>
      <c r="AK221" s="45"/>
      <c r="AL221" s="45"/>
      <c r="AM221" s="45"/>
      <c r="AN221" s="45"/>
    </row>
    <row r="222" spans="1:40" s="46" customFormat="1" ht="14.4">
      <c r="A222" s="39">
        <v>41229</v>
      </c>
      <c r="B222" s="9" t="s">
        <v>613</v>
      </c>
      <c r="C222" s="15">
        <v>105</v>
      </c>
      <c r="D222" s="41" t="s">
        <v>441</v>
      </c>
      <c r="E222" s="9" t="s">
        <v>118</v>
      </c>
      <c r="F222" s="9" t="s">
        <v>935</v>
      </c>
      <c r="G222" s="9"/>
      <c r="H222" s="39"/>
      <c r="I222" s="9"/>
      <c r="J222" s="39"/>
      <c r="K222" s="42"/>
      <c r="L222" s="9" t="s">
        <v>442</v>
      </c>
      <c r="M222" s="16"/>
      <c r="O222" s="10"/>
      <c r="P222" s="10"/>
      <c r="Q222" s="10"/>
      <c r="R222" s="10"/>
      <c r="S222" s="10"/>
      <c r="AA222" s="14">
        <f t="shared" si="6"/>
        <v>-3</v>
      </c>
      <c r="AB222" s="47">
        <f t="shared" si="7"/>
        <v>-4</v>
      </c>
      <c r="AD222" s="45"/>
      <c r="AE222" s="45"/>
      <c r="AF222" s="45"/>
      <c r="AG222" s="45"/>
      <c r="AH222" s="45"/>
      <c r="AI222" s="12"/>
      <c r="AJ222" s="13"/>
      <c r="AK222" s="45"/>
      <c r="AL222" s="45"/>
      <c r="AM222" s="45"/>
      <c r="AN222" s="45"/>
    </row>
    <row r="223" spans="1:40" s="46" customFormat="1" ht="14.4">
      <c r="A223" s="39">
        <v>41229</v>
      </c>
      <c r="B223" s="9" t="s">
        <v>2748</v>
      </c>
      <c r="C223" s="40">
        <v>942</v>
      </c>
      <c r="D223" s="41" t="s">
        <v>509</v>
      </c>
      <c r="E223" s="9" t="s">
        <v>18</v>
      </c>
      <c r="F223" s="9" t="s">
        <v>935</v>
      </c>
      <c r="G223" s="9"/>
      <c r="H223" s="39"/>
      <c r="I223" s="9"/>
      <c r="J223" s="39"/>
      <c r="K223" s="42"/>
      <c r="L223" s="9" t="s">
        <v>19</v>
      </c>
      <c r="M223" s="16"/>
      <c r="O223" s="10"/>
      <c r="P223" s="10"/>
      <c r="Q223" s="10"/>
      <c r="R223" s="10"/>
      <c r="S223" s="10"/>
      <c r="AA223" s="14">
        <f t="shared" si="6"/>
        <v>837</v>
      </c>
      <c r="AB223" s="47">
        <f t="shared" si="7"/>
        <v>836</v>
      </c>
      <c r="AD223" s="45"/>
      <c r="AE223" s="45"/>
      <c r="AF223" s="45"/>
      <c r="AG223" s="45"/>
      <c r="AH223" s="45"/>
      <c r="AI223" s="12"/>
      <c r="AJ223" s="13"/>
      <c r="AK223" s="45"/>
      <c r="AL223" s="45"/>
      <c r="AM223" s="45"/>
      <c r="AN223" s="45"/>
    </row>
    <row r="224" spans="1:40" s="46" customFormat="1" ht="14.4">
      <c r="A224" s="39">
        <v>41229</v>
      </c>
      <c r="B224" s="9" t="s">
        <v>1070</v>
      </c>
      <c r="C224" s="40">
        <v>163</v>
      </c>
      <c r="D224" s="41" t="s">
        <v>465</v>
      </c>
      <c r="E224" s="9" t="s">
        <v>277</v>
      </c>
      <c r="F224" s="9" t="s">
        <v>479</v>
      </c>
      <c r="G224" s="9"/>
      <c r="H224" s="39"/>
      <c r="I224" s="9"/>
      <c r="J224" s="39"/>
      <c r="K224" s="42"/>
      <c r="L224" s="9" t="s">
        <v>466</v>
      </c>
      <c r="M224" s="16"/>
      <c r="O224" s="10"/>
      <c r="P224" s="10"/>
      <c r="Q224" s="10"/>
      <c r="R224" s="10"/>
      <c r="S224" s="10"/>
      <c r="AA224" s="14">
        <f t="shared" si="6"/>
        <v>-779</v>
      </c>
      <c r="AB224" s="47">
        <f t="shared" si="7"/>
        <v>-780</v>
      </c>
      <c r="AD224" s="45"/>
      <c r="AE224" s="45"/>
      <c r="AF224" s="45"/>
      <c r="AG224" s="45"/>
      <c r="AH224" s="45"/>
      <c r="AI224" s="12"/>
      <c r="AJ224" s="13"/>
      <c r="AK224" s="45"/>
      <c r="AL224" s="45"/>
      <c r="AM224" s="45"/>
      <c r="AN224" s="45"/>
    </row>
    <row r="225" spans="1:40" s="46" customFormat="1" ht="14.4">
      <c r="A225" s="39">
        <v>41229</v>
      </c>
      <c r="B225" s="9" t="s">
        <v>1145</v>
      </c>
      <c r="C225" s="40">
        <v>173</v>
      </c>
      <c r="D225" s="41" t="s">
        <v>501</v>
      </c>
      <c r="E225" s="9" t="s">
        <v>18</v>
      </c>
      <c r="F225" s="9" t="s">
        <v>479</v>
      </c>
      <c r="G225" s="9"/>
      <c r="H225" s="39"/>
      <c r="I225" s="9"/>
      <c r="J225" s="39"/>
      <c r="K225" s="42"/>
      <c r="L225" s="9" t="s">
        <v>502</v>
      </c>
      <c r="M225" s="16"/>
      <c r="O225" s="10"/>
      <c r="P225" s="10"/>
      <c r="Q225" s="10"/>
      <c r="R225" s="10"/>
      <c r="S225" s="10"/>
      <c r="AA225" s="14">
        <f t="shared" si="6"/>
        <v>10</v>
      </c>
      <c r="AB225" s="47">
        <f t="shared" si="7"/>
        <v>9</v>
      </c>
      <c r="AD225" s="45"/>
      <c r="AE225" s="45"/>
      <c r="AF225" s="45"/>
      <c r="AG225" s="45"/>
      <c r="AH225" s="45"/>
      <c r="AI225" s="12"/>
      <c r="AJ225" s="13"/>
      <c r="AK225" s="45"/>
      <c r="AL225" s="45"/>
      <c r="AM225" s="45"/>
      <c r="AN225" s="45"/>
    </row>
    <row r="226" spans="1:40" s="46" customFormat="1" ht="14.4">
      <c r="A226" s="39">
        <v>41229</v>
      </c>
      <c r="B226" s="9" t="s">
        <v>1146</v>
      </c>
      <c r="C226" s="40">
        <v>174</v>
      </c>
      <c r="D226" s="41" t="s">
        <v>506</v>
      </c>
      <c r="E226" s="9" t="s">
        <v>18</v>
      </c>
      <c r="F226" s="9" t="s">
        <v>479</v>
      </c>
      <c r="G226" s="9"/>
      <c r="H226" s="39"/>
      <c r="I226" s="9"/>
      <c r="J226" s="39"/>
      <c r="K226" s="42"/>
      <c r="L226" s="9" t="s">
        <v>19</v>
      </c>
      <c r="M226" s="16"/>
      <c r="O226" s="10"/>
      <c r="P226" s="10"/>
      <c r="Q226" s="10"/>
      <c r="R226" s="10"/>
      <c r="S226" s="10"/>
      <c r="AA226" s="14">
        <f t="shared" si="6"/>
        <v>1</v>
      </c>
      <c r="AB226" s="47">
        <f t="shared" si="7"/>
        <v>0</v>
      </c>
      <c r="AD226" s="45"/>
      <c r="AE226" s="45"/>
      <c r="AF226" s="45"/>
      <c r="AG226" s="45"/>
      <c r="AH226" s="45"/>
      <c r="AI226" s="12"/>
      <c r="AJ226" s="13"/>
      <c r="AK226" s="45"/>
      <c r="AL226" s="45"/>
      <c r="AM226" s="45"/>
      <c r="AN226" s="45"/>
    </row>
    <row r="227" spans="1:40" s="46" customFormat="1" ht="14.4">
      <c r="A227" s="39">
        <v>41229</v>
      </c>
      <c r="B227" s="9" t="s">
        <v>1032</v>
      </c>
      <c r="C227" s="40">
        <v>228</v>
      </c>
      <c r="D227" s="41" t="s">
        <v>1031</v>
      </c>
      <c r="E227" s="9" t="s">
        <v>277</v>
      </c>
      <c r="F227" s="9" t="s">
        <v>479</v>
      </c>
      <c r="G227" s="9"/>
      <c r="H227" s="39"/>
      <c r="I227" s="9"/>
      <c r="J227" s="39"/>
      <c r="K227" s="48"/>
      <c r="L227" s="9" t="s">
        <v>451</v>
      </c>
      <c r="M227" s="16"/>
      <c r="O227" s="10"/>
      <c r="P227" s="10"/>
      <c r="Q227" s="10"/>
      <c r="R227" s="10"/>
      <c r="S227" s="10"/>
      <c r="AA227" s="14">
        <f t="shared" si="6"/>
        <v>54</v>
      </c>
      <c r="AB227" s="47">
        <f t="shared" si="7"/>
        <v>53</v>
      </c>
      <c r="AD227" s="45"/>
      <c r="AE227" s="45"/>
      <c r="AF227" s="45"/>
      <c r="AG227" s="45"/>
      <c r="AH227" s="45"/>
      <c r="AI227" s="12"/>
      <c r="AJ227" s="13"/>
      <c r="AK227" s="45"/>
      <c r="AL227" s="45"/>
      <c r="AM227" s="45"/>
      <c r="AN227" s="45"/>
    </row>
    <row r="228" spans="1:40" s="46" customFormat="1" ht="14.4">
      <c r="A228" s="39">
        <v>41229</v>
      </c>
      <c r="B228" s="9" t="s">
        <v>578</v>
      </c>
      <c r="C228" s="40">
        <v>91</v>
      </c>
      <c r="D228" s="41" t="s">
        <v>916</v>
      </c>
      <c r="E228" s="9" t="s">
        <v>277</v>
      </c>
      <c r="F228" s="9" t="s">
        <v>479</v>
      </c>
      <c r="G228" s="9"/>
      <c r="H228" s="39"/>
      <c r="I228" s="9"/>
      <c r="J228" s="39"/>
      <c r="K228" s="42"/>
      <c r="L228" s="9" t="s">
        <v>451</v>
      </c>
      <c r="M228" s="16"/>
      <c r="O228" s="10"/>
      <c r="P228" s="10"/>
      <c r="Q228" s="10"/>
      <c r="R228" s="10"/>
      <c r="S228" s="10"/>
      <c r="AA228" s="14">
        <f t="shared" si="6"/>
        <v>-137</v>
      </c>
      <c r="AB228" s="47">
        <f t="shared" si="7"/>
        <v>-138</v>
      </c>
      <c r="AD228" s="45"/>
      <c r="AE228" s="45"/>
      <c r="AF228" s="45"/>
      <c r="AG228" s="45"/>
      <c r="AH228" s="45"/>
      <c r="AI228" s="12"/>
      <c r="AJ228" s="13"/>
      <c r="AK228" s="45"/>
      <c r="AL228" s="45"/>
      <c r="AM228" s="45"/>
      <c r="AN228" s="45"/>
    </row>
    <row r="229" spans="1:40" s="46" customFormat="1" ht="14.4">
      <c r="A229" s="39">
        <v>41229</v>
      </c>
      <c r="B229" s="9" t="s">
        <v>1345</v>
      </c>
      <c r="C229" s="40">
        <v>311</v>
      </c>
      <c r="D229" s="41" t="s">
        <v>516</v>
      </c>
      <c r="E229" s="9" t="s">
        <v>18</v>
      </c>
      <c r="F229" s="9" t="s">
        <v>479</v>
      </c>
      <c r="G229" s="9"/>
      <c r="H229" s="39"/>
      <c r="I229" s="9"/>
      <c r="J229" s="39"/>
      <c r="K229" s="42"/>
      <c r="L229" s="9" t="s">
        <v>517</v>
      </c>
      <c r="M229" s="16"/>
      <c r="O229" s="10"/>
      <c r="P229" s="10"/>
      <c r="Q229" s="10"/>
      <c r="R229" s="10"/>
      <c r="S229" s="10"/>
      <c r="AA229" s="14">
        <f t="shared" si="6"/>
        <v>220</v>
      </c>
      <c r="AB229" s="47">
        <f t="shared" si="7"/>
        <v>219</v>
      </c>
      <c r="AD229" s="45"/>
      <c r="AE229" s="45"/>
      <c r="AF229" s="45"/>
      <c r="AG229" s="45"/>
      <c r="AH229" s="45"/>
      <c r="AI229" s="12"/>
      <c r="AJ229" s="13"/>
      <c r="AK229" s="45"/>
      <c r="AL229" s="45"/>
      <c r="AM229" s="45"/>
      <c r="AN229" s="45"/>
    </row>
    <row r="230" spans="1:40" s="46" customFormat="1" ht="14.4">
      <c r="A230" s="39">
        <v>41229</v>
      </c>
      <c r="B230" s="9" t="s">
        <v>1045</v>
      </c>
      <c r="C230" s="40">
        <v>256</v>
      </c>
      <c r="D230" s="41" t="s">
        <v>434</v>
      </c>
      <c r="E230" s="9" t="s">
        <v>118</v>
      </c>
      <c r="F230" s="9" t="s">
        <v>479</v>
      </c>
      <c r="G230" s="9"/>
      <c r="H230" s="39"/>
      <c r="I230" s="9"/>
      <c r="J230" s="39"/>
      <c r="K230" s="42"/>
      <c r="L230" s="9" t="s">
        <v>42</v>
      </c>
      <c r="M230" s="16"/>
      <c r="O230" s="10"/>
      <c r="P230" s="10"/>
      <c r="Q230" s="10"/>
      <c r="R230" s="10"/>
      <c r="S230" s="10"/>
      <c r="AA230" s="14">
        <f t="shared" si="6"/>
        <v>-55</v>
      </c>
      <c r="AB230" s="47">
        <f t="shared" si="7"/>
        <v>-56</v>
      </c>
      <c r="AD230" s="45"/>
      <c r="AE230" s="45"/>
      <c r="AF230" s="45"/>
      <c r="AG230" s="45"/>
      <c r="AH230" s="45"/>
      <c r="AI230" s="12"/>
      <c r="AJ230" s="13"/>
      <c r="AK230" s="45"/>
      <c r="AL230" s="45"/>
      <c r="AM230" s="45"/>
      <c r="AN230" s="45"/>
    </row>
    <row r="231" spans="1:40" s="46" customFormat="1" ht="14.4">
      <c r="A231" s="39">
        <v>41229</v>
      </c>
      <c r="B231" s="9" t="s">
        <v>1091</v>
      </c>
      <c r="C231" s="40">
        <v>106</v>
      </c>
      <c r="D231" s="41" t="s">
        <v>452</v>
      </c>
      <c r="E231" s="9" t="s">
        <v>277</v>
      </c>
      <c r="F231" s="9" t="s">
        <v>479</v>
      </c>
      <c r="G231" s="9"/>
      <c r="H231" s="39"/>
      <c r="I231" s="9"/>
      <c r="J231" s="39"/>
      <c r="K231" s="42"/>
      <c r="L231" s="9" t="s">
        <v>453</v>
      </c>
      <c r="M231" s="16"/>
      <c r="O231" s="10"/>
      <c r="P231" s="10"/>
      <c r="Q231" s="10"/>
      <c r="R231" s="10"/>
      <c r="S231" s="10"/>
      <c r="AA231" s="14">
        <f t="shared" si="6"/>
        <v>-150</v>
      </c>
      <c r="AB231" s="47">
        <f t="shared" si="7"/>
        <v>-151</v>
      </c>
      <c r="AD231" s="45"/>
      <c r="AE231" s="45"/>
      <c r="AF231" s="45"/>
      <c r="AG231" s="45"/>
      <c r="AH231" s="45"/>
      <c r="AI231" s="12"/>
      <c r="AJ231" s="13"/>
      <c r="AK231" s="45"/>
      <c r="AL231" s="45"/>
      <c r="AM231" s="45"/>
      <c r="AN231" s="45"/>
    </row>
    <row r="232" spans="1:40" s="46" customFormat="1" ht="14.4">
      <c r="A232" s="39">
        <v>41229</v>
      </c>
      <c r="B232" s="9" t="s">
        <v>1128</v>
      </c>
      <c r="C232" s="40">
        <v>162</v>
      </c>
      <c r="D232" s="41" t="s">
        <v>463</v>
      </c>
      <c r="E232" s="9" t="s">
        <v>359</v>
      </c>
      <c r="F232" s="9" t="s">
        <v>479</v>
      </c>
      <c r="G232" s="9"/>
      <c r="H232" s="39"/>
      <c r="I232" s="9"/>
      <c r="J232" s="39"/>
      <c r="K232" s="42"/>
      <c r="L232" s="9" t="s">
        <v>464</v>
      </c>
      <c r="M232" s="16"/>
      <c r="O232" s="10"/>
      <c r="P232" s="10"/>
      <c r="Q232" s="10"/>
      <c r="R232" s="10"/>
      <c r="S232" s="10"/>
      <c r="AA232" s="14">
        <f t="shared" si="6"/>
        <v>56</v>
      </c>
      <c r="AB232" s="47">
        <f t="shared" si="7"/>
        <v>55</v>
      </c>
      <c r="AD232" s="45"/>
      <c r="AE232" s="45"/>
      <c r="AF232" s="45"/>
      <c r="AG232" s="45"/>
      <c r="AH232" s="45"/>
      <c r="AI232" s="12"/>
      <c r="AJ232" s="13"/>
      <c r="AK232" s="45"/>
      <c r="AL232" s="45"/>
      <c r="AM232" s="45"/>
      <c r="AN232" s="45"/>
    </row>
    <row r="233" spans="1:40" s="46" customFormat="1" ht="14.4">
      <c r="A233" s="39">
        <v>41229</v>
      </c>
      <c r="B233" s="9" t="s">
        <v>1086</v>
      </c>
      <c r="C233" s="40">
        <v>215</v>
      </c>
      <c r="D233" s="41" t="s">
        <v>478</v>
      </c>
      <c r="E233" s="9" t="s">
        <v>313</v>
      </c>
      <c r="F233" s="9" t="s">
        <v>479</v>
      </c>
      <c r="G233" s="9"/>
      <c r="H233" s="39"/>
      <c r="I233" s="9"/>
      <c r="J233" s="39"/>
      <c r="K233" s="42"/>
      <c r="L233" s="9" t="s">
        <v>480</v>
      </c>
      <c r="M233" s="16"/>
      <c r="O233" s="10"/>
      <c r="P233" s="10"/>
      <c r="Q233" s="10"/>
      <c r="R233" s="10"/>
      <c r="S233" s="10"/>
      <c r="AA233" s="14">
        <f t="shared" si="6"/>
        <v>53</v>
      </c>
      <c r="AB233" s="47">
        <f t="shared" si="7"/>
        <v>52</v>
      </c>
      <c r="AD233" s="45"/>
      <c r="AE233" s="45"/>
      <c r="AF233" s="45"/>
      <c r="AG233" s="45"/>
      <c r="AH233" s="45"/>
      <c r="AI233" s="12"/>
      <c r="AJ233" s="13"/>
      <c r="AK233" s="45"/>
      <c r="AL233" s="45"/>
      <c r="AM233" s="45"/>
      <c r="AN233" s="45"/>
    </row>
    <row r="234" spans="1:40" s="46" customFormat="1" ht="14.4">
      <c r="A234" s="39">
        <v>41229</v>
      </c>
      <c r="B234" s="9" t="s">
        <v>1112</v>
      </c>
      <c r="C234" s="40">
        <v>144</v>
      </c>
      <c r="D234" s="41" t="s">
        <v>467</v>
      </c>
      <c r="E234" s="9" t="s">
        <v>134</v>
      </c>
      <c r="F234" s="9" t="s">
        <v>479</v>
      </c>
      <c r="G234" s="9"/>
      <c r="H234" s="39"/>
      <c r="I234" s="9"/>
      <c r="J234" s="39"/>
      <c r="K234" s="42"/>
      <c r="L234" s="9" t="s">
        <v>468</v>
      </c>
      <c r="M234" s="16"/>
      <c r="O234" s="10"/>
      <c r="P234" s="10"/>
      <c r="Q234" s="10"/>
      <c r="R234" s="10"/>
      <c r="S234" s="10"/>
      <c r="AA234" s="14">
        <f t="shared" si="6"/>
        <v>-71</v>
      </c>
      <c r="AB234" s="47">
        <f t="shared" si="7"/>
        <v>-72</v>
      </c>
      <c r="AD234" s="45"/>
      <c r="AE234" s="45"/>
      <c r="AF234" s="45"/>
      <c r="AG234" s="45"/>
      <c r="AH234" s="45"/>
      <c r="AI234" s="12"/>
      <c r="AJ234" s="13"/>
      <c r="AK234" s="45"/>
      <c r="AL234" s="45"/>
      <c r="AM234" s="45"/>
      <c r="AN234" s="45"/>
    </row>
    <row r="235" spans="1:40" s="46" customFormat="1" ht="14.4">
      <c r="A235" s="39">
        <v>41229</v>
      </c>
      <c r="B235" s="9" t="s">
        <v>1074</v>
      </c>
      <c r="C235" s="40">
        <v>180</v>
      </c>
      <c r="D235" s="41" t="s">
        <v>864</v>
      </c>
      <c r="E235" s="9" t="s">
        <v>18</v>
      </c>
      <c r="F235" s="9" t="s">
        <v>479</v>
      </c>
      <c r="G235" s="9"/>
      <c r="H235" s="39"/>
      <c r="I235" s="9"/>
      <c r="J235" s="39"/>
      <c r="K235" s="42"/>
      <c r="L235" s="9" t="s">
        <v>520</v>
      </c>
      <c r="M235" s="16"/>
      <c r="O235" s="10"/>
      <c r="P235" s="10"/>
      <c r="Q235" s="10"/>
      <c r="R235" s="10"/>
      <c r="S235" s="10"/>
      <c r="AA235" s="14">
        <f t="shared" si="6"/>
        <v>36</v>
      </c>
      <c r="AB235" s="47">
        <f t="shared" si="7"/>
        <v>35</v>
      </c>
      <c r="AD235" s="45"/>
      <c r="AE235" s="45"/>
      <c r="AF235" s="45"/>
      <c r="AG235" s="45"/>
      <c r="AH235" s="45"/>
      <c r="AI235" s="12"/>
      <c r="AJ235" s="13"/>
      <c r="AK235" s="45"/>
      <c r="AL235" s="45"/>
      <c r="AM235" s="45"/>
      <c r="AN235" s="45"/>
    </row>
    <row r="236" spans="1:40" s="46" customFormat="1" ht="14.4">
      <c r="A236" s="39">
        <v>41229</v>
      </c>
      <c r="B236" s="9" t="s">
        <v>607</v>
      </c>
      <c r="C236" s="40">
        <v>98</v>
      </c>
      <c r="D236" s="41" t="s">
        <v>440</v>
      </c>
      <c r="E236" s="9" t="s">
        <v>118</v>
      </c>
      <c r="F236" s="9" t="s">
        <v>479</v>
      </c>
      <c r="G236" s="9"/>
      <c r="H236" s="39"/>
      <c r="I236" s="9"/>
      <c r="J236" s="39"/>
      <c r="K236" s="42"/>
      <c r="L236" s="9" t="s">
        <v>606</v>
      </c>
      <c r="M236" s="16"/>
      <c r="O236" s="10"/>
      <c r="P236" s="10"/>
      <c r="Q236" s="10"/>
      <c r="R236" s="10"/>
      <c r="S236" s="10"/>
      <c r="AA236" s="14">
        <f t="shared" si="6"/>
        <v>-82</v>
      </c>
      <c r="AB236" s="47">
        <f t="shared" si="7"/>
        <v>-83</v>
      </c>
      <c r="AD236" s="45"/>
      <c r="AE236" s="45"/>
      <c r="AF236" s="45"/>
      <c r="AG236" s="45"/>
      <c r="AH236" s="45"/>
      <c r="AI236" s="12"/>
      <c r="AJ236" s="13"/>
      <c r="AK236" s="45"/>
      <c r="AL236" s="45"/>
      <c r="AM236" s="45"/>
      <c r="AN236" s="45"/>
    </row>
    <row r="237" spans="1:40" s="46" customFormat="1" ht="14.4">
      <c r="A237" s="39">
        <v>41229</v>
      </c>
      <c r="B237" s="9" t="s">
        <v>2754</v>
      </c>
      <c r="C237" s="40">
        <v>947</v>
      </c>
      <c r="D237" s="41" t="s">
        <v>498</v>
      </c>
      <c r="E237" s="9" t="s">
        <v>18</v>
      </c>
      <c r="F237" s="9" t="s">
        <v>479</v>
      </c>
      <c r="G237" s="9"/>
      <c r="H237" s="39"/>
      <c r="I237" s="9"/>
      <c r="J237" s="39"/>
      <c r="K237" s="42"/>
      <c r="L237" s="9" t="s">
        <v>497</v>
      </c>
      <c r="M237" s="16"/>
      <c r="O237" s="10"/>
      <c r="P237" s="10"/>
      <c r="Q237" s="10"/>
      <c r="R237" s="10"/>
      <c r="S237" s="10"/>
      <c r="AA237" s="14">
        <f t="shared" si="6"/>
        <v>849</v>
      </c>
      <c r="AB237" s="47">
        <f t="shared" si="7"/>
        <v>848</v>
      </c>
      <c r="AD237" s="45"/>
      <c r="AE237" s="45"/>
      <c r="AF237" s="45"/>
      <c r="AG237" s="45"/>
      <c r="AH237" s="45"/>
      <c r="AI237" s="12"/>
      <c r="AJ237" s="13"/>
      <c r="AK237" s="45"/>
      <c r="AL237" s="45"/>
      <c r="AM237" s="45"/>
      <c r="AN237" s="45"/>
    </row>
    <row r="238" spans="1:40" s="46" customFormat="1" ht="14.4">
      <c r="A238" s="39">
        <v>41229</v>
      </c>
      <c r="B238" s="9" t="s">
        <v>1179</v>
      </c>
      <c r="C238" s="40">
        <v>233</v>
      </c>
      <c r="D238" s="41" t="s">
        <v>535</v>
      </c>
      <c r="E238" s="9" t="s">
        <v>18</v>
      </c>
      <c r="F238" s="9" t="s">
        <v>935</v>
      </c>
      <c r="G238" s="9"/>
      <c r="H238" s="39"/>
      <c r="I238" s="9"/>
      <c r="J238" s="39"/>
      <c r="K238" s="42"/>
      <c r="L238" s="9" t="s">
        <v>536</v>
      </c>
      <c r="M238" s="16"/>
      <c r="O238" s="10"/>
      <c r="P238" s="10"/>
      <c r="Q238" s="10"/>
      <c r="R238" s="10"/>
      <c r="S238" s="10"/>
      <c r="AA238" s="14">
        <f t="shared" si="6"/>
        <v>-714</v>
      </c>
      <c r="AB238" s="47">
        <f t="shared" si="7"/>
        <v>-715</v>
      </c>
      <c r="AD238" s="45"/>
      <c r="AE238" s="45"/>
      <c r="AF238" s="45"/>
      <c r="AG238" s="45"/>
      <c r="AH238" s="45"/>
      <c r="AI238" s="12"/>
      <c r="AJ238" s="13"/>
      <c r="AK238" s="45"/>
      <c r="AL238" s="45"/>
      <c r="AM238" s="45"/>
      <c r="AN238" s="45"/>
    </row>
    <row r="239" spans="1:40" s="46" customFormat="1" ht="14.4">
      <c r="A239" s="39">
        <v>41229</v>
      </c>
      <c r="B239" s="9" t="s">
        <v>1017</v>
      </c>
      <c r="C239" s="40">
        <v>248</v>
      </c>
      <c r="D239" s="41" t="s">
        <v>407</v>
      </c>
      <c r="E239" s="9" t="s">
        <v>118</v>
      </c>
      <c r="F239" s="9" t="s">
        <v>479</v>
      </c>
      <c r="G239" s="9"/>
      <c r="H239" s="39"/>
      <c r="I239" s="9"/>
      <c r="J239" s="39"/>
      <c r="K239" s="42"/>
      <c r="L239" s="9" t="s">
        <v>408</v>
      </c>
      <c r="M239" s="16"/>
      <c r="O239" s="10"/>
      <c r="P239" s="10"/>
      <c r="Q239" s="10"/>
      <c r="R239" s="10"/>
      <c r="S239" s="10"/>
      <c r="AA239" s="14">
        <f t="shared" si="6"/>
        <v>15</v>
      </c>
      <c r="AB239" s="47">
        <f t="shared" si="7"/>
        <v>14</v>
      </c>
      <c r="AD239" s="45"/>
      <c r="AE239" s="45"/>
      <c r="AF239" s="45"/>
      <c r="AG239" s="45"/>
      <c r="AH239" s="45"/>
      <c r="AI239" s="12"/>
      <c r="AJ239" s="13"/>
      <c r="AK239" s="45"/>
      <c r="AL239" s="45"/>
      <c r="AM239" s="45"/>
      <c r="AN239" s="45"/>
    </row>
    <row r="240" spans="1:40" s="46" customFormat="1" ht="14.4">
      <c r="A240" s="39">
        <v>41229</v>
      </c>
      <c r="B240" s="9" t="s">
        <v>1992</v>
      </c>
      <c r="C240" s="15">
        <v>335</v>
      </c>
      <c r="D240" s="41" t="s">
        <v>435</v>
      </c>
      <c r="E240" s="9" t="s">
        <v>118</v>
      </c>
      <c r="F240" s="9" t="s">
        <v>479</v>
      </c>
      <c r="G240" s="9"/>
      <c r="H240" s="39"/>
      <c r="I240" s="9"/>
      <c r="J240" s="39"/>
      <c r="K240" s="42"/>
      <c r="L240" s="9" t="s">
        <v>436</v>
      </c>
      <c r="M240" s="16"/>
      <c r="O240" s="10"/>
      <c r="P240" s="10"/>
      <c r="Q240" s="10"/>
      <c r="R240" s="10"/>
      <c r="S240" s="10"/>
      <c r="AA240" s="14">
        <f t="shared" si="6"/>
        <v>87</v>
      </c>
      <c r="AB240" s="47">
        <f t="shared" si="7"/>
        <v>86</v>
      </c>
      <c r="AD240" s="45"/>
      <c r="AE240" s="45"/>
      <c r="AF240" s="45"/>
      <c r="AG240" s="45"/>
      <c r="AH240" s="45"/>
      <c r="AI240" s="12"/>
      <c r="AJ240" s="13"/>
      <c r="AK240" s="45"/>
      <c r="AL240" s="45"/>
      <c r="AM240" s="45"/>
      <c r="AN240" s="45"/>
    </row>
    <row r="241" spans="1:40" s="46" customFormat="1" ht="14.4">
      <c r="A241" s="39">
        <v>41229</v>
      </c>
      <c r="B241" s="9" t="s">
        <v>1030</v>
      </c>
      <c r="C241" s="40">
        <v>227</v>
      </c>
      <c r="D241" s="41" t="s">
        <v>508</v>
      </c>
      <c r="E241" s="9" t="s">
        <v>18</v>
      </c>
      <c r="F241" s="9" t="s">
        <v>479</v>
      </c>
      <c r="G241" s="9"/>
      <c r="H241" s="39"/>
      <c r="I241" s="9"/>
      <c r="J241" s="39"/>
      <c r="K241" s="42"/>
      <c r="L241" s="9" t="s">
        <v>19</v>
      </c>
      <c r="M241" s="16"/>
      <c r="O241" s="10"/>
      <c r="P241" s="10"/>
      <c r="Q241" s="10"/>
      <c r="R241" s="10"/>
      <c r="S241" s="10"/>
      <c r="AA241" s="14">
        <f t="shared" si="6"/>
        <v>-108</v>
      </c>
      <c r="AB241" s="47">
        <f t="shared" si="7"/>
        <v>-109</v>
      </c>
      <c r="AD241" s="45"/>
      <c r="AE241" s="45"/>
      <c r="AF241" s="45"/>
      <c r="AG241" s="45"/>
      <c r="AH241" s="45"/>
      <c r="AI241" s="12"/>
      <c r="AJ241" s="13"/>
      <c r="AK241" s="45"/>
      <c r="AL241" s="45"/>
      <c r="AM241" s="45"/>
      <c r="AN241" s="45"/>
    </row>
    <row r="242" spans="1:40" s="46" customFormat="1" ht="14.4">
      <c r="A242" s="39">
        <v>41229</v>
      </c>
      <c r="B242" s="9" t="s">
        <v>1192</v>
      </c>
      <c r="C242" s="40">
        <v>341</v>
      </c>
      <c r="D242" s="41" t="s">
        <v>521</v>
      </c>
      <c r="E242" s="9" t="s">
        <v>18</v>
      </c>
      <c r="F242" s="9" t="s">
        <v>479</v>
      </c>
      <c r="G242" s="9"/>
      <c r="H242" s="39"/>
      <c r="I242" s="9"/>
      <c r="J242" s="39"/>
      <c r="K242" s="42"/>
      <c r="L242" s="9" t="s">
        <v>2571</v>
      </c>
      <c r="M242" s="16"/>
      <c r="O242" s="10"/>
      <c r="P242" s="10"/>
      <c r="Q242" s="10"/>
      <c r="R242" s="10"/>
      <c r="S242" s="10"/>
      <c r="AA242" s="14">
        <f t="shared" si="6"/>
        <v>114</v>
      </c>
      <c r="AB242" s="47">
        <f t="shared" si="7"/>
        <v>113</v>
      </c>
      <c r="AD242" s="45"/>
      <c r="AE242" s="45"/>
      <c r="AF242" s="45"/>
      <c r="AG242" s="45"/>
      <c r="AH242" s="45"/>
      <c r="AI242" s="12"/>
      <c r="AJ242" s="13"/>
      <c r="AK242" s="45"/>
      <c r="AL242" s="45"/>
      <c r="AM242" s="45"/>
      <c r="AN242" s="45"/>
    </row>
    <row r="243" spans="1:40" s="46" customFormat="1" ht="14.4">
      <c r="A243" s="39">
        <v>41229</v>
      </c>
      <c r="B243" s="9" t="s">
        <v>1129</v>
      </c>
      <c r="C243" s="15">
        <v>164</v>
      </c>
      <c r="D243" s="41" t="s">
        <v>863</v>
      </c>
      <c r="E243" s="9" t="s">
        <v>18</v>
      </c>
      <c r="F243" s="9" t="s">
        <v>479</v>
      </c>
      <c r="G243" s="9"/>
      <c r="H243" s="39"/>
      <c r="I243" s="9"/>
      <c r="J243" s="39"/>
      <c r="K243" s="42"/>
      <c r="L243" s="9" t="s">
        <v>510</v>
      </c>
      <c r="M243" s="16"/>
      <c r="O243" s="10"/>
      <c r="P243" s="10"/>
      <c r="Q243" s="10"/>
      <c r="R243" s="10"/>
      <c r="S243" s="10"/>
      <c r="AA243" s="14">
        <f t="shared" si="6"/>
        <v>-177</v>
      </c>
      <c r="AB243" s="47">
        <f t="shared" si="7"/>
        <v>-178</v>
      </c>
      <c r="AD243" s="45"/>
      <c r="AE243" s="45"/>
      <c r="AF243" s="45"/>
      <c r="AG243" s="45"/>
      <c r="AH243" s="45"/>
      <c r="AI243" s="12"/>
      <c r="AJ243" s="13"/>
      <c r="AK243" s="45"/>
      <c r="AL243" s="45"/>
      <c r="AM243" s="45"/>
      <c r="AN243" s="45"/>
    </row>
    <row r="244" spans="1:40" s="46" customFormat="1" ht="14.4">
      <c r="A244" s="39">
        <v>41229</v>
      </c>
      <c r="B244" s="9" t="s">
        <v>1064</v>
      </c>
      <c r="C244" s="40">
        <v>137</v>
      </c>
      <c r="D244" s="41" t="s">
        <v>531</v>
      </c>
      <c r="E244" s="9" t="s">
        <v>18</v>
      </c>
      <c r="F244" s="9" t="s">
        <v>479</v>
      </c>
      <c r="G244" s="9"/>
      <c r="H244" s="39"/>
      <c r="I244" s="9"/>
      <c r="J244" s="39"/>
      <c r="K244" s="42"/>
      <c r="L244" s="9" t="s">
        <v>532</v>
      </c>
      <c r="M244" s="16"/>
      <c r="O244" s="10"/>
      <c r="P244" s="10"/>
      <c r="Q244" s="10"/>
      <c r="R244" s="10"/>
      <c r="S244" s="10"/>
      <c r="AA244" s="14">
        <f t="shared" si="6"/>
        <v>-27</v>
      </c>
      <c r="AB244" s="47">
        <f t="shared" si="7"/>
        <v>-28</v>
      </c>
      <c r="AD244" s="45"/>
      <c r="AE244" s="45"/>
      <c r="AF244" s="45"/>
      <c r="AG244" s="45"/>
      <c r="AH244" s="45"/>
      <c r="AI244" s="12"/>
      <c r="AJ244" s="13"/>
      <c r="AK244" s="45"/>
      <c r="AL244" s="45"/>
      <c r="AM244" s="45"/>
      <c r="AN244" s="45"/>
    </row>
    <row r="245" spans="1:40" s="46" customFormat="1" ht="14.4">
      <c r="A245" s="39">
        <v>41229</v>
      </c>
      <c r="B245" s="9" t="s">
        <v>1062</v>
      </c>
      <c r="C245" s="40">
        <v>123</v>
      </c>
      <c r="D245" s="41" t="s">
        <v>528</v>
      </c>
      <c r="E245" s="9" t="s">
        <v>18</v>
      </c>
      <c r="F245" s="9" t="s">
        <v>935</v>
      </c>
      <c r="G245" s="9"/>
      <c r="H245" s="39"/>
      <c r="I245" s="9"/>
      <c r="J245" s="39"/>
      <c r="K245" s="42"/>
      <c r="L245" s="9" t="s">
        <v>42</v>
      </c>
      <c r="M245" s="16"/>
      <c r="O245" s="10"/>
      <c r="P245" s="10"/>
      <c r="Q245" s="10"/>
      <c r="R245" s="10"/>
      <c r="S245" s="10"/>
      <c r="AA245" s="14">
        <f t="shared" si="6"/>
        <v>-14</v>
      </c>
      <c r="AB245" s="47">
        <f t="shared" si="7"/>
        <v>-15</v>
      </c>
      <c r="AD245" s="45"/>
      <c r="AE245" s="45"/>
      <c r="AF245" s="45"/>
      <c r="AG245" s="45"/>
      <c r="AH245" s="45"/>
      <c r="AI245" s="12"/>
      <c r="AJ245" s="13"/>
      <c r="AK245" s="45"/>
      <c r="AL245" s="45"/>
      <c r="AM245" s="45"/>
      <c r="AN245" s="45"/>
    </row>
    <row r="246" spans="1:40" s="46" customFormat="1" ht="14.4">
      <c r="A246" s="39">
        <v>41229</v>
      </c>
      <c r="B246" s="9" t="s">
        <v>1065</v>
      </c>
      <c r="C246" s="40">
        <v>141</v>
      </c>
      <c r="D246" s="41" t="s">
        <v>533</v>
      </c>
      <c r="E246" s="9" t="s">
        <v>18</v>
      </c>
      <c r="F246" s="9" t="s">
        <v>479</v>
      </c>
      <c r="G246" s="9"/>
      <c r="H246" s="39"/>
      <c r="I246" s="9"/>
      <c r="J246" s="39"/>
      <c r="K246" s="42"/>
      <c r="L246" s="9" t="s">
        <v>534</v>
      </c>
      <c r="M246" s="16"/>
      <c r="O246" s="10"/>
      <c r="P246" s="10"/>
      <c r="Q246" s="10"/>
      <c r="R246" s="10"/>
      <c r="S246" s="10"/>
      <c r="AA246" s="14">
        <f t="shared" si="6"/>
        <v>18</v>
      </c>
      <c r="AB246" s="47">
        <f t="shared" si="7"/>
        <v>17</v>
      </c>
      <c r="AD246" s="45"/>
      <c r="AE246" s="45"/>
      <c r="AF246" s="45"/>
      <c r="AG246" s="45"/>
      <c r="AH246" s="45"/>
      <c r="AI246" s="12"/>
      <c r="AJ246" s="13"/>
      <c r="AK246" s="45"/>
      <c r="AL246" s="45"/>
      <c r="AM246" s="45"/>
      <c r="AN246" s="45"/>
    </row>
    <row r="247" spans="1:40" s="46" customFormat="1" ht="14.4">
      <c r="A247" s="39">
        <v>41229</v>
      </c>
      <c r="B247" s="9" t="s">
        <v>2925</v>
      </c>
      <c r="C247" s="40">
        <v>953</v>
      </c>
      <c r="D247" s="41" t="s">
        <v>494</v>
      </c>
      <c r="E247" s="9" t="s">
        <v>18</v>
      </c>
      <c r="F247" s="9" t="s">
        <v>479</v>
      </c>
      <c r="G247" s="9"/>
      <c r="H247" s="39"/>
      <c r="I247" s="9"/>
      <c r="J247" s="39"/>
      <c r="K247" s="42"/>
      <c r="L247" s="9" t="s">
        <v>495</v>
      </c>
      <c r="M247" s="16"/>
      <c r="O247" s="10"/>
      <c r="P247" s="10"/>
      <c r="Q247" s="10"/>
      <c r="R247" s="10"/>
      <c r="S247" s="10"/>
      <c r="AA247" s="14">
        <f t="shared" si="6"/>
        <v>812</v>
      </c>
      <c r="AB247" s="47">
        <f t="shared" si="7"/>
        <v>811</v>
      </c>
      <c r="AD247" s="45"/>
      <c r="AE247" s="45"/>
      <c r="AF247" s="45"/>
      <c r="AG247" s="45"/>
      <c r="AH247" s="45"/>
      <c r="AI247" s="12"/>
      <c r="AJ247" s="13"/>
      <c r="AK247" s="45"/>
      <c r="AL247" s="45"/>
      <c r="AM247" s="45"/>
      <c r="AN247" s="45"/>
    </row>
    <row r="248" spans="1:40" s="46" customFormat="1" ht="14.4">
      <c r="A248" s="39">
        <v>41229</v>
      </c>
      <c r="B248" s="9" t="s">
        <v>1122</v>
      </c>
      <c r="C248" s="40">
        <v>155</v>
      </c>
      <c r="D248" s="41" t="s">
        <v>461</v>
      </c>
      <c r="E248" s="9" t="s">
        <v>313</v>
      </c>
      <c r="F248" s="9" t="s">
        <v>479</v>
      </c>
      <c r="G248" s="9"/>
      <c r="H248" s="39"/>
      <c r="I248" s="9"/>
      <c r="J248" s="39"/>
      <c r="K248" s="42"/>
      <c r="L248" s="9" t="s">
        <v>462</v>
      </c>
      <c r="M248" s="16"/>
      <c r="O248" s="10"/>
      <c r="P248" s="10"/>
      <c r="Q248" s="10"/>
      <c r="R248" s="10"/>
      <c r="S248" s="10"/>
      <c r="AA248" s="14">
        <f t="shared" si="6"/>
        <v>-798</v>
      </c>
      <c r="AB248" s="47">
        <f t="shared" si="7"/>
        <v>-799</v>
      </c>
      <c r="AD248" s="45"/>
      <c r="AE248" s="45"/>
      <c r="AF248" s="45"/>
      <c r="AG248" s="45"/>
      <c r="AH248" s="45"/>
      <c r="AI248" s="12"/>
      <c r="AJ248" s="13"/>
      <c r="AK248" s="45"/>
      <c r="AL248" s="45"/>
      <c r="AM248" s="45"/>
      <c r="AN248" s="45"/>
    </row>
    <row r="249" spans="1:40" s="46" customFormat="1" ht="14.4">
      <c r="A249" s="39">
        <v>41229</v>
      </c>
      <c r="B249" s="9" t="s">
        <v>2713</v>
      </c>
      <c r="C249" s="40">
        <v>933</v>
      </c>
      <c r="D249" s="41" t="s">
        <v>496</v>
      </c>
      <c r="E249" s="9" t="s">
        <v>18</v>
      </c>
      <c r="F249" s="9" t="s">
        <v>479</v>
      </c>
      <c r="G249" s="9"/>
      <c r="H249" s="39"/>
      <c r="I249" s="9"/>
      <c r="J249" s="39"/>
      <c r="K249" s="42"/>
      <c r="L249" s="9" t="s">
        <v>495</v>
      </c>
      <c r="M249" s="16"/>
      <c r="O249" s="10"/>
      <c r="P249" s="10"/>
      <c r="Q249" s="10"/>
      <c r="R249" s="10"/>
      <c r="S249" s="10"/>
      <c r="AA249" s="14">
        <f t="shared" si="6"/>
        <v>778</v>
      </c>
      <c r="AB249" s="47">
        <f t="shared" si="7"/>
        <v>777</v>
      </c>
      <c r="AD249" s="45"/>
      <c r="AE249" s="45"/>
      <c r="AF249" s="45"/>
      <c r="AG249" s="45"/>
      <c r="AH249" s="45"/>
      <c r="AI249" s="12"/>
      <c r="AJ249" s="13"/>
      <c r="AK249" s="45"/>
      <c r="AL249" s="45"/>
      <c r="AM249" s="45"/>
      <c r="AN249" s="45"/>
    </row>
    <row r="250" spans="1:40" s="46" customFormat="1" ht="14.4">
      <c r="A250" s="39">
        <v>41229</v>
      </c>
      <c r="B250" s="9" t="s">
        <v>2010</v>
      </c>
      <c r="C250" s="40">
        <v>370</v>
      </c>
      <c r="D250" s="41" t="s">
        <v>522</v>
      </c>
      <c r="E250" s="9" t="s">
        <v>18</v>
      </c>
      <c r="F250" s="9" t="s">
        <v>479</v>
      </c>
      <c r="G250" s="9"/>
      <c r="H250" s="39"/>
      <c r="I250" s="9"/>
      <c r="J250" s="39"/>
      <c r="K250" s="42"/>
      <c r="L250" s="9" t="s">
        <v>42</v>
      </c>
      <c r="M250" s="16"/>
      <c r="O250" s="10"/>
      <c r="P250" s="10"/>
      <c r="Q250" s="10"/>
      <c r="R250" s="10"/>
      <c r="S250" s="10"/>
      <c r="AA250" s="14">
        <f t="shared" si="6"/>
        <v>-563</v>
      </c>
      <c r="AB250" s="47">
        <f t="shared" si="7"/>
        <v>-564</v>
      </c>
      <c r="AD250" s="45"/>
      <c r="AE250" s="45"/>
      <c r="AF250" s="45"/>
      <c r="AG250" s="45"/>
      <c r="AH250" s="45"/>
      <c r="AI250" s="12"/>
      <c r="AJ250" s="13"/>
      <c r="AK250" s="45"/>
      <c r="AL250" s="45"/>
      <c r="AM250" s="45"/>
      <c r="AN250" s="45"/>
    </row>
    <row r="251" spans="1:40" s="46" customFormat="1" ht="14.4">
      <c r="A251" s="39">
        <v>41229</v>
      </c>
      <c r="B251" s="9" t="s">
        <v>1063</v>
      </c>
      <c r="C251" s="40">
        <v>126</v>
      </c>
      <c r="D251" s="41" t="s">
        <v>529</v>
      </c>
      <c r="E251" s="9" t="s">
        <v>18</v>
      </c>
      <c r="F251" s="9" t="s">
        <v>479</v>
      </c>
      <c r="G251" s="9"/>
      <c r="H251" s="39"/>
      <c r="I251" s="9"/>
      <c r="J251" s="39"/>
      <c r="K251" s="42"/>
      <c r="L251" s="9" t="s">
        <v>530</v>
      </c>
      <c r="M251" s="16"/>
      <c r="O251" s="10"/>
      <c r="P251" s="10"/>
      <c r="Q251" s="10"/>
      <c r="R251" s="10"/>
      <c r="S251" s="10"/>
      <c r="AA251" s="14">
        <f t="shared" si="6"/>
        <v>-244</v>
      </c>
      <c r="AB251" s="47">
        <f t="shared" si="7"/>
        <v>-245</v>
      </c>
      <c r="AD251" s="45"/>
      <c r="AE251" s="45"/>
      <c r="AF251" s="45"/>
      <c r="AG251" s="45"/>
      <c r="AH251" s="45"/>
      <c r="AI251" s="12"/>
      <c r="AJ251" s="13"/>
      <c r="AK251" s="45"/>
      <c r="AL251" s="45"/>
      <c r="AM251" s="45"/>
      <c r="AN251" s="45"/>
    </row>
    <row r="252" spans="1:40" s="46" customFormat="1" ht="14.4">
      <c r="A252" s="39">
        <v>41229</v>
      </c>
      <c r="B252" s="9" t="s">
        <v>1181</v>
      </c>
      <c r="C252" s="40">
        <v>239</v>
      </c>
      <c r="D252" s="41" t="s">
        <v>541</v>
      </c>
      <c r="E252" s="9" t="s">
        <v>18</v>
      </c>
      <c r="F252" s="9" t="s">
        <v>479</v>
      </c>
      <c r="G252" s="9"/>
      <c r="H252" s="39"/>
      <c r="I252" s="9"/>
      <c r="J252" s="39"/>
      <c r="K252" s="42"/>
      <c r="L252" s="9" t="s">
        <v>542</v>
      </c>
      <c r="M252" s="16"/>
      <c r="O252" s="10"/>
      <c r="P252" s="10"/>
      <c r="Q252" s="10"/>
      <c r="R252" s="10"/>
      <c r="S252" s="10"/>
      <c r="AA252" s="14">
        <f t="shared" si="6"/>
        <v>113</v>
      </c>
      <c r="AB252" s="47">
        <f t="shared" si="7"/>
        <v>112</v>
      </c>
      <c r="AD252" s="45"/>
      <c r="AE252" s="45"/>
      <c r="AF252" s="45"/>
      <c r="AG252" s="45"/>
      <c r="AH252" s="45"/>
      <c r="AI252" s="12"/>
      <c r="AJ252" s="13"/>
      <c r="AK252" s="45"/>
      <c r="AL252" s="45"/>
      <c r="AM252" s="45"/>
      <c r="AN252" s="45"/>
    </row>
    <row r="253" spans="1:40" s="46" customFormat="1" ht="14.4">
      <c r="A253" s="39">
        <v>41229</v>
      </c>
      <c r="B253" s="9" t="s">
        <v>1075</v>
      </c>
      <c r="C253" s="40">
        <v>182</v>
      </c>
      <c r="D253" s="41" t="s">
        <v>514</v>
      </c>
      <c r="E253" s="9" t="s">
        <v>18</v>
      </c>
      <c r="F253" s="9" t="s">
        <v>479</v>
      </c>
      <c r="G253" s="9"/>
      <c r="H253" s="39"/>
      <c r="I253" s="9"/>
      <c r="J253" s="39"/>
      <c r="K253" s="42"/>
      <c r="L253" s="9" t="s">
        <v>515</v>
      </c>
      <c r="M253" s="16"/>
      <c r="O253" s="10"/>
      <c r="P253" s="10"/>
      <c r="Q253" s="10"/>
      <c r="R253" s="10"/>
      <c r="S253" s="10"/>
      <c r="AA253" s="14">
        <f t="shared" ref="AA253:AA312" si="8">C253-C252</f>
        <v>-57</v>
      </c>
      <c r="AB253" s="47">
        <f t="shared" ref="AB253:AB312" si="9">AA253-1</f>
        <v>-58</v>
      </c>
      <c r="AD253" s="45"/>
      <c r="AE253" s="45"/>
      <c r="AF253" s="45"/>
      <c r="AG253" s="45"/>
      <c r="AH253" s="45"/>
      <c r="AI253" s="12"/>
      <c r="AJ253" s="13"/>
      <c r="AK253" s="45"/>
      <c r="AL253" s="45"/>
      <c r="AM253" s="45"/>
      <c r="AN253" s="45"/>
    </row>
    <row r="254" spans="1:40" s="46" customFormat="1" ht="14.4">
      <c r="A254" s="39">
        <v>41229</v>
      </c>
      <c r="B254" s="9" t="s">
        <v>1116</v>
      </c>
      <c r="C254" s="40">
        <v>148</v>
      </c>
      <c r="D254" s="41" t="s">
        <v>511</v>
      </c>
      <c r="E254" s="9" t="s">
        <v>18</v>
      </c>
      <c r="F254" s="9" t="s">
        <v>479</v>
      </c>
      <c r="G254" s="9"/>
      <c r="H254" s="39"/>
      <c r="I254" s="9"/>
      <c r="J254" s="39"/>
      <c r="K254" s="42"/>
      <c r="L254" s="9" t="s">
        <v>42</v>
      </c>
      <c r="M254" s="16"/>
      <c r="O254" s="10"/>
      <c r="P254" s="10"/>
      <c r="Q254" s="10"/>
      <c r="R254" s="10"/>
      <c r="S254" s="10"/>
      <c r="AA254" s="14">
        <f t="shared" si="8"/>
        <v>-34</v>
      </c>
      <c r="AB254" s="47">
        <f t="shared" si="9"/>
        <v>-35</v>
      </c>
      <c r="AD254" s="45"/>
      <c r="AE254" s="45"/>
      <c r="AF254" s="45"/>
      <c r="AG254" s="45"/>
      <c r="AH254" s="45"/>
      <c r="AI254" s="12"/>
      <c r="AJ254" s="13"/>
      <c r="AK254" s="45"/>
      <c r="AL254" s="45"/>
      <c r="AM254" s="45"/>
      <c r="AN254" s="45"/>
    </row>
    <row r="255" spans="1:40" s="46" customFormat="1" ht="14.4">
      <c r="A255" s="39">
        <v>41229</v>
      </c>
      <c r="B255" s="9" t="s">
        <v>1073</v>
      </c>
      <c r="C255" s="40">
        <v>178</v>
      </c>
      <c r="D255" s="41" t="s">
        <v>486</v>
      </c>
      <c r="E255" s="9" t="s">
        <v>18</v>
      </c>
      <c r="F255" s="9" t="s">
        <v>935</v>
      </c>
      <c r="G255" s="9"/>
      <c r="H255" s="39"/>
      <c r="I255" s="9"/>
      <c r="J255" s="39"/>
      <c r="K255" s="42"/>
      <c r="L255" s="9" t="s">
        <v>487</v>
      </c>
      <c r="M255" s="16"/>
      <c r="O255" s="10"/>
      <c r="P255" s="10"/>
      <c r="Q255" s="10"/>
      <c r="R255" s="10"/>
      <c r="S255" s="10"/>
      <c r="AA255" s="14">
        <f t="shared" si="8"/>
        <v>30</v>
      </c>
      <c r="AB255" s="47">
        <f t="shared" si="9"/>
        <v>29</v>
      </c>
      <c r="AD255" s="45"/>
      <c r="AE255" s="45"/>
      <c r="AF255" s="45"/>
      <c r="AG255" s="45"/>
      <c r="AH255" s="45"/>
      <c r="AI255" s="12"/>
      <c r="AJ255" s="13"/>
      <c r="AK255" s="45"/>
      <c r="AL255" s="45"/>
      <c r="AM255" s="45"/>
      <c r="AN255" s="45"/>
    </row>
    <row r="256" spans="1:40" s="46" customFormat="1" ht="14.4">
      <c r="A256" s="39">
        <v>41229</v>
      </c>
      <c r="B256" s="9" t="s">
        <v>1121</v>
      </c>
      <c r="C256" s="40">
        <v>154</v>
      </c>
      <c r="D256" s="41" t="s">
        <v>470</v>
      </c>
      <c r="E256" s="9" t="s">
        <v>313</v>
      </c>
      <c r="F256" s="9" t="s">
        <v>479</v>
      </c>
      <c r="G256" s="9"/>
      <c r="H256" s="39"/>
      <c r="I256" s="9"/>
      <c r="J256" s="39"/>
      <c r="K256" s="42"/>
      <c r="L256" s="9" t="s">
        <v>471</v>
      </c>
      <c r="M256" s="16"/>
      <c r="O256" s="10"/>
      <c r="P256" s="10"/>
      <c r="Q256" s="10"/>
      <c r="R256" s="10"/>
      <c r="S256" s="10"/>
      <c r="AA256" s="14">
        <f t="shared" si="8"/>
        <v>-24</v>
      </c>
      <c r="AB256" s="47">
        <f t="shared" si="9"/>
        <v>-25</v>
      </c>
      <c r="AD256" s="45"/>
      <c r="AE256" s="45"/>
      <c r="AF256" s="45"/>
      <c r="AG256" s="45"/>
      <c r="AH256" s="45"/>
      <c r="AI256" s="12"/>
      <c r="AJ256" s="13"/>
      <c r="AK256" s="45"/>
      <c r="AL256" s="45"/>
      <c r="AM256" s="45"/>
      <c r="AN256" s="45"/>
    </row>
    <row r="257" spans="1:40" s="46" customFormat="1" ht="14.4">
      <c r="A257" s="39">
        <v>41229</v>
      </c>
      <c r="B257" s="9" t="s">
        <v>1151</v>
      </c>
      <c r="C257" s="40">
        <v>181</v>
      </c>
      <c r="D257" s="41" t="s">
        <v>503</v>
      </c>
      <c r="E257" s="9" t="s">
        <v>18</v>
      </c>
      <c r="F257" s="9" t="s">
        <v>479</v>
      </c>
      <c r="G257" s="9"/>
      <c r="H257" s="39"/>
      <c r="I257" s="9"/>
      <c r="J257" s="39"/>
      <c r="K257" s="42"/>
      <c r="L257" s="9" t="s">
        <v>504</v>
      </c>
      <c r="M257" s="16"/>
      <c r="O257" s="10"/>
      <c r="P257" s="10"/>
      <c r="Q257" s="10"/>
      <c r="R257" s="10"/>
      <c r="S257" s="10"/>
      <c r="AA257" s="14">
        <f t="shared" si="8"/>
        <v>27</v>
      </c>
      <c r="AB257" s="47">
        <f t="shared" si="9"/>
        <v>26</v>
      </c>
      <c r="AD257" s="45"/>
      <c r="AE257" s="45"/>
      <c r="AF257" s="45"/>
      <c r="AG257" s="45"/>
      <c r="AH257" s="45"/>
      <c r="AI257" s="12"/>
      <c r="AJ257" s="13"/>
      <c r="AK257" s="45"/>
      <c r="AL257" s="45"/>
      <c r="AM257" s="45"/>
      <c r="AN257" s="45"/>
    </row>
    <row r="258" spans="1:40" s="46" customFormat="1" ht="14.4">
      <c r="A258" s="39">
        <v>41229</v>
      </c>
      <c r="B258" s="9" t="s">
        <v>1025</v>
      </c>
      <c r="C258" s="40">
        <v>234</v>
      </c>
      <c r="D258" s="41" t="s">
        <v>518</v>
      </c>
      <c r="E258" s="9" t="s">
        <v>18</v>
      </c>
      <c r="F258" s="9" t="s">
        <v>479</v>
      </c>
      <c r="G258" s="9"/>
      <c r="H258" s="39"/>
      <c r="I258" s="9"/>
      <c r="J258" s="39"/>
      <c r="K258" s="42"/>
      <c r="L258" s="9" t="s">
        <v>519</v>
      </c>
      <c r="M258" s="16"/>
      <c r="O258" s="10"/>
      <c r="P258" s="10"/>
      <c r="Q258" s="10"/>
      <c r="R258" s="10"/>
      <c r="S258" s="10"/>
      <c r="AA258" s="14">
        <f t="shared" si="8"/>
        <v>53</v>
      </c>
      <c r="AB258" s="47">
        <f t="shared" si="9"/>
        <v>52</v>
      </c>
      <c r="AD258" s="45"/>
      <c r="AE258" s="45"/>
      <c r="AF258" s="45"/>
      <c r="AG258" s="45"/>
      <c r="AH258" s="45"/>
      <c r="AI258" s="12"/>
      <c r="AJ258" s="13"/>
      <c r="AK258" s="45"/>
      <c r="AL258" s="45"/>
      <c r="AM258" s="45"/>
      <c r="AN258" s="45"/>
    </row>
    <row r="259" spans="1:40" s="46" customFormat="1" ht="24">
      <c r="A259" s="39">
        <v>41229</v>
      </c>
      <c r="B259" s="9" t="s">
        <v>2046</v>
      </c>
      <c r="C259" s="15">
        <v>411</v>
      </c>
      <c r="D259" s="41" t="s">
        <v>537</v>
      </c>
      <c r="E259" s="9" t="s">
        <v>18</v>
      </c>
      <c r="F259" s="9" t="s">
        <v>479</v>
      </c>
      <c r="G259" s="9"/>
      <c r="H259" s="39"/>
      <c r="I259" s="9"/>
      <c r="J259" s="39"/>
      <c r="K259" s="48"/>
      <c r="L259" s="9" t="s">
        <v>538</v>
      </c>
      <c r="M259" s="16"/>
      <c r="O259" s="10"/>
      <c r="P259" s="10"/>
      <c r="Q259" s="10"/>
      <c r="R259" s="10"/>
      <c r="S259" s="10"/>
      <c r="AA259" s="14">
        <f t="shared" si="8"/>
        <v>177</v>
      </c>
      <c r="AB259" s="47">
        <f t="shared" si="9"/>
        <v>176</v>
      </c>
      <c r="AD259" s="45"/>
      <c r="AE259" s="45"/>
      <c r="AF259" s="45"/>
      <c r="AG259" s="45"/>
      <c r="AH259" s="45"/>
      <c r="AI259" s="12"/>
      <c r="AJ259" s="13"/>
      <c r="AK259" s="45"/>
      <c r="AL259" s="45"/>
      <c r="AM259" s="45"/>
      <c r="AN259" s="45"/>
    </row>
    <row r="260" spans="1:40" s="46" customFormat="1" ht="14.4">
      <c r="A260" s="39">
        <v>41229</v>
      </c>
      <c r="B260" s="9" t="s">
        <v>1020</v>
      </c>
      <c r="C260" s="40">
        <v>243</v>
      </c>
      <c r="D260" s="41" t="s">
        <v>920</v>
      </c>
      <c r="E260" s="9" t="s">
        <v>118</v>
      </c>
      <c r="F260" s="9" t="s">
        <v>479</v>
      </c>
      <c r="G260" s="9"/>
      <c r="H260" s="39"/>
      <c r="I260" s="9"/>
      <c r="J260" s="39"/>
      <c r="K260" s="42"/>
      <c r="L260" s="9" t="s">
        <v>42</v>
      </c>
      <c r="M260" s="16"/>
      <c r="O260" s="10"/>
      <c r="P260" s="10"/>
      <c r="Q260" s="10"/>
      <c r="R260" s="10"/>
      <c r="S260" s="10"/>
      <c r="AA260" s="14">
        <f t="shared" si="8"/>
        <v>-168</v>
      </c>
      <c r="AB260" s="47">
        <f t="shared" si="9"/>
        <v>-169</v>
      </c>
      <c r="AD260" s="45"/>
      <c r="AE260" s="45"/>
      <c r="AF260" s="45"/>
      <c r="AG260" s="45"/>
      <c r="AH260" s="45"/>
      <c r="AI260" s="12"/>
      <c r="AJ260" s="13"/>
      <c r="AK260" s="45"/>
      <c r="AL260" s="45"/>
      <c r="AM260" s="45"/>
      <c r="AN260" s="45"/>
    </row>
    <row r="261" spans="1:40" s="46" customFormat="1" ht="14.4">
      <c r="A261" s="39">
        <v>41229</v>
      </c>
      <c r="B261" s="9" t="s">
        <v>1085</v>
      </c>
      <c r="C261" s="15">
        <v>213</v>
      </c>
      <c r="D261" s="41" t="s">
        <v>490</v>
      </c>
      <c r="E261" s="9" t="s">
        <v>88</v>
      </c>
      <c r="F261" s="9" t="s">
        <v>479</v>
      </c>
      <c r="G261" s="9"/>
      <c r="H261" s="39"/>
      <c r="I261" s="9"/>
      <c r="J261" s="39"/>
      <c r="K261" s="42"/>
      <c r="L261" s="9" t="s">
        <v>42</v>
      </c>
      <c r="M261" s="16"/>
      <c r="O261" s="10"/>
      <c r="P261" s="10"/>
      <c r="Q261" s="10"/>
      <c r="R261" s="10"/>
      <c r="S261" s="10"/>
      <c r="AA261" s="14">
        <f t="shared" si="8"/>
        <v>-30</v>
      </c>
      <c r="AB261" s="47">
        <f t="shared" si="9"/>
        <v>-31</v>
      </c>
      <c r="AD261" s="45"/>
      <c r="AE261" s="45"/>
      <c r="AF261" s="45"/>
      <c r="AG261" s="45"/>
      <c r="AH261" s="45"/>
      <c r="AI261" s="12"/>
      <c r="AJ261" s="13"/>
      <c r="AK261" s="45"/>
      <c r="AL261" s="45"/>
      <c r="AM261" s="45"/>
      <c r="AN261" s="45"/>
    </row>
    <row r="262" spans="1:40" s="46" customFormat="1" ht="14.4">
      <c r="A262" s="39">
        <v>41229</v>
      </c>
      <c r="B262" s="9" t="s">
        <v>1072</v>
      </c>
      <c r="C262" s="40">
        <v>168</v>
      </c>
      <c r="D262" s="41" t="s">
        <v>459</v>
      </c>
      <c r="E262" s="9" t="s">
        <v>77</v>
      </c>
      <c r="F262" s="9" t="s">
        <v>479</v>
      </c>
      <c r="G262" s="9"/>
      <c r="H262" s="39"/>
      <c r="I262" s="9"/>
      <c r="J262" s="39"/>
      <c r="K262" s="42"/>
      <c r="L262" s="9" t="s">
        <v>460</v>
      </c>
      <c r="M262" s="16"/>
      <c r="O262" s="10"/>
      <c r="P262" s="10"/>
      <c r="Q262" s="10"/>
      <c r="R262" s="10"/>
      <c r="S262" s="10"/>
      <c r="AA262" s="14">
        <f t="shared" si="8"/>
        <v>-45</v>
      </c>
      <c r="AB262" s="47">
        <f t="shared" si="9"/>
        <v>-46</v>
      </c>
      <c r="AD262" s="45"/>
      <c r="AE262" s="45"/>
      <c r="AF262" s="45"/>
      <c r="AG262" s="45"/>
      <c r="AH262" s="45"/>
      <c r="AI262" s="12"/>
      <c r="AJ262" s="13"/>
      <c r="AK262" s="45"/>
      <c r="AL262" s="45"/>
      <c r="AM262" s="45"/>
      <c r="AN262" s="45"/>
    </row>
    <row r="263" spans="1:40" s="46" customFormat="1" ht="14.4">
      <c r="A263" s="39">
        <v>41229</v>
      </c>
      <c r="B263" s="9" t="s">
        <v>1186</v>
      </c>
      <c r="C263" s="15">
        <v>255</v>
      </c>
      <c r="D263" s="41" t="s">
        <v>549</v>
      </c>
      <c r="E263" s="9" t="s">
        <v>18</v>
      </c>
      <c r="F263" s="9" t="s">
        <v>479</v>
      </c>
      <c r="G263" s="9"/>
      <c r="H263" s="39"/>
      <c r="I263" s="9"/>
      <c r="J263" s="39"/>
      <c r="K263" s="42"/>
      <c r="L263" s="9" t="s">
        <v>550</v>
      </c>
      <c r="M263" s="16"/>
      <c r="O263" s="10"/>
      <c r="P263" s="10"/>
      <c r="Q263" s="10"/>
      <c r="R263" s="10"/>
      <c r="S263" s="10"/>
      <c r="AA263" s="14">
        <f t="shared" si="8"/>
        <v>87</v>
      </c>
      <c r="AB263" s="47">
        <f t="shared" si="9"/>
        <v>86</v>
      </c>
      <c r="AD263" s="45"/>
      <c r="AE263" s="45"/>
      <c r="AF263" s="45"/>
      <c r="AG263" s="45"/>
      <c r="AH263" s="45"/>
      <c r="AI263" s="12"/>
      <c r="AJ263" s="13"/>
      <c r="AK263" s="45"/>
      <c r="AL263" s="45"/>
      <c r="AM263" s="45"/>
      <c r="AN263" s="45"/>
    </row>
    <row r="264" spans="1:40" s="46" customFormat="1" ht="14.4">
      <c r="A264" s="39">
        <v>41229</v>
      </c>
      <c r="B264" s="9" t="s">
        <v>1071</v>
      </c>
      <c r="C264" s="40">
        <v>171</v>
      </c>
      <c r="D264" s="41" t="s">
        <v>812</v>
      </c>
      <c r="E264" s="9" t="s">
        <v>96</v>
      </c>
      <c r="F264" s="9" t="s">
        <v>479</v>
      </c>
      <c r="G264" s="9"/>
      <c r="H264" s="39"/>
      <c r="I264" s="9"/>
      <c r="J264" s="39"/>
      <c r="K264" s="42"/>
      <c r="L264" s="9" t="s">
        <v>469</v>
      </c>
      <c r="M264" s="16"/>
      <c r="O264" s="10"/>
      <c r="P264" s="10"/>
      <c r="Q264" s="10"/>
      <c r="R264" s="10"/>
      <c r="S264" s="10"/>
      <c r="AA264" s="14">
        <f t="shared" si="8"/>
        <v>-84</v>
      </c>
      <c r="AB264" s="47">
        <f t="shared" si="9"/>
        <v>-85</v>
      </c>
      <c r="AD264" s="45"/>
      <c r="AE264" s="45"/>
      <c r="AF264" s="45"/>
      <c r="AG264" s="45"/>
      <c r="AH264" s="45"/>
      <c r="AI264" s="12"/>
      <c r="AJ264" s="13"/>
      <c r="AK264" s="45"/>
      <c r="AL264" s="45"/>
      <c r="AM264" s="45"/>
      <c r="AN264" s="45"/>
    </row>
    <row r="265" spans="1:40" s="46" customFormat="1" ht="14.4">
      <c r="A265" s="39">
        <v>41229</v>
      </c>
      <c r="B265" s="9" t="s">
        <v>605</v>
      </c>
      <c r="C265" s="15">
        <v>96</v>
      </c>
      <c r="D265" s="41" t="s">
        <v>447</v>
      </c>
      <c r="E265" s="9" t="s">
        <v>118</v>
      </c>
      <c r="F265" s="9" t="s">
        <v>935</v>
      </c>
      <c r="G265" s="9"/>
      <c r="H265" s="39"/>
      <c r="I265" s="9"/>
      <c r="J265" s="39"/>
      <c r="K265" s="42"/>
      <c r="L265" s="9" t="s">
        <v>42</v>
      </c>
      <c r="M265" s="16"/>
      <c r="O265" s="10"/>
      <c r="P265" s="10"/>
      <c r="Q265" s="10"/>
      <c r="R265" s="10"/>
      <c r="S265" s="10"/>
      <c r="AA265" s="14">
        <f t="shared" si="8"/>
        <v>-75</v>
      </c>
      <c r="AB265" s="47">
        <f t="shared" si="9"/>
        <v>-76</v>
      </c>
      <c r="AD265" s="45"/>
      <c r="AE265" s="45"/>
      <c r="AF265" s="45"/>
      <c r="AG265" s="45"/>
      <c r="AH265" s="45"/>
      <c r="AI265" s="12"/>
      <c r="AJ265" s="13"/>
      <c r="AK265" s="45"/>
      <c r="AL265" s="45"/>
      <c r="AM265" s="45"/>
      <c r="AN265" s="45"/>
    </row>
    <row r="266" spans="1:40" s="46" customFormat="1" ht="14.4">
      <c r="A266" s="39">
        <v>41229</v>
      </c>
      <c r="B266" s="9" t="s">
        <v>110</v>
      </c>
      <c r="C266" s="40">
        <v>41</v>
      </c>
      <c r="D266" s="41" t="s">
        <v>476</v>
      </c>
      <c r="E266" s="9" t="s">
        <v>18</v>
      </c>
      <c r="F266" s="9" t="s">
        <v>479</v>
      </c>
      <c r="G266" s="9"/>
      <c r="H266" s="39"/>
      <c r="I266" s="9"/>
      <c r="J266" s="39"/>
      <c r="K266" s="42"/>
      <c r="L266" s="9" t="s">
        <v>477</v>
      </c>
      <c r="M266" s="16"/>
      <c r="O266" s="10"/>
      <c r="P266" s="10"/>
      <c r="Q266" s="10"/>
      <c r="R266" s="10"/>
      <c r="S266" s="10"/>
      <c r="AA266" s="14">
        <f t="shared" si="8"/>
        <v>-55</v>
      </c>
      <c r="AB266" s="47">
        <f t="shared" si="9"/>
        <v>-56</v>
      </c>
      <c r="AD266" s="45"/>
      <c r="AE266" s="45"/>
      <c r="AF266" s="45"/>
      <c r="AG266" s="45"/>
      <c r="AH266" s="45"/>
      <c r="AI266" s="12"/>
      <c r="AJ266" s="13"/>
      <c r="AK266" s="45"/>
      <c r="AL266" s="45"/>
      <c r="AM266" s="45"/>
      <c r="AN266" s="45"/>
    </row>
    <row r="267" spans="1:40" s="46" customFormat="1" ht="14.4">
      <c r="A267" s="39">
        <v>41229</v>
      </c>
      <c r="B267" s="9"/>
      <c r="C267" s="40"/>
      <c r="D267" s="41" t="s">
        <v>2544</v>
      </c>
      <c r="E267" s="9" t="s">
        <v>18</v>
      </c>
      <c r="F267" s="9" t="s">
        <v>479</v>
      </c>
      <c r="G267" s="9"/>
      <c r="H267" s="39"/>
      <c r="I267" s="9"/>
      <c r="J267" s="39"/>
      <c r="K267" s="42"/>
      <c r="L267" s="9" t="s">
        <v>497</v>
      </c>
      <c r="M267" s="16"/>
      <c r="O267" s="10"/>
      <c r="P267" s="10"/>
      <c r="Q267" s="10"/>
      <c r="R267" s="10"/>
      <c r="S267" s="10"/>
      <c r="AA267" s="14">
        <f t="shared" si="8"/>
        <v>-41</v>
      </c>
      <c r="AB267" s="47">
        <f t="shared" si="9"/>
        <v>-42</v>
      </c>
      <c r="AD267" s="45"/>
      <c r="AE267" s="45"/>
      <c r="AF267" s="45"/>
      <c r="AG267" s="45"/>
      <c r="AH267" s="45"/>
      <c r="AI267" s="12"/>
      <c r="AJ267" s="13"/>
      <c r="AK267" s="45"/>
      <c r="AL267" s="45"/>
      <c r="AM267" s="45"/>
      <c r="AN267" s="45"/>
    </row>
    <row r="268" spans="1:40" s="46" customFormat="1" ht="14.4">
      <c r="A268" s="39">
        <v>41229</v>
      </c>
      <c r="B268" s="9" t="s">
        <v>2011</v>
      </c>
      <c r="C268" s="40">
        <v>371</v>
      </c>
      <c r="D268" s="41" t="s">
        <v>551</v>
      </c>
      <c r="E268" s="9" t="s">
        <v>18</v>
      </c>
      <c r="F268" s="9" t="s">
        <v>479</v>
      </c>
      <c r="G268" s="9"/>
      <c r="H268" s="39"/>
      <c r="I268" s="9"/>
      <c r="J268" s="39"/>
      <c r="K268" s="42"/>
      <c r="L268" s="9" t="s">
        <v>552</v>
      </c>
      <c r="M268" s="16"/>
      <c r="O268" s="10"/>
      <c r="P268" s="10"/>
      <c r="Q268" s="10"/>
      <c r="R268" s="10"/>
      <c r="S268" s="10"/>
      <c r="AA268" s="14">
        <f t="shared" si="8"/>
        <v>371</v>
      </c>
      <c r="AB268" s="47">
        <f t="shared" si="9"/>
        <v>370</v>
      </c>
      <c r="AD268" s="45"/>
      <c r="AE268" s="45"/>
      <c r="AF268" s="45"/>
      <c r="AG268" s="45"/>
      <c r="AH268" s="45"/>
      <c r="AI268" s="12"/>
      <c r="AJ268" s="13"/>
      <c r="AK268" s="45"/>
      <c r="AL268" s="45"/>
      <c r="AM268" s="45"/>
      <c r="AN268" s="45"/>
    </row>
    <row r="269" spans="1:40" s="46" customFormat="1" ht="14.4">
      <c r="A269" s="39">
        <v>41229</v>
      </c>
      <c r="B269" s="9" t="s">
        <v>1087</v>
      </c>
      <c r="C269" s="40">
        <v>216</v>
      </c>
      <c r="D269" s="41" t="s">
        <v>472</v>
      </c>
      <c r="E269" s="9" t="s">
        <v>118</v>
      </c>
      <c r="F269" s="9" t="s">
        <v>479</v>
      </c>
      <c r="G269" s="9"/>
      <c r="H269" s="39"/>
      <c r="I269" s="9"/>
      <c r="J269" s="39"/>
      <c r="K269" s="42"/>
      <c r="L269" s="9" t="s">
        <v>473</v>
      </c>
      <c r="M269" s="16"/>
      <c r="O269" s="10"/>
      <c r="P269" s="10"/>
      <c r="Q269" s="10"/>
      <c r="R269" s="10"/>
      <c r="S269" s="10"/>
      <c r="AA269" s="14">
        <f t="shared" si="8"/>
        <v>-155</v>
      </c>
      <c r="AB269" s="47">
        <f t="shared" si="9"/>
        <v>-156</v>
      </c>
      <c r="AD269" s="45"/>
      <c r="AE269" s="45"/>
      <c r="AF269" s="45"/>
      <c r="AG269" s="45"/>
      <c r="AH269" s="45"/>
      <c r="AI269" s="12"/>
      <c r="AJ269" s="13"/>
      <c r="AK269" s="45"/>
      <c r="AL269" s="45"/>
      <c r="AM269" s="45"/>
      <c r="AN269" s="45"/>
    </row>
    <row r="270" spans="1:40" s="46" customFormat="1" ht="14.4">
      <c r="A270" s="39">
        <v>41229</v>
      </c>
      <c r="B270" s="9" t="s">
        <v>1115</v>
      </c>
      <c r="C270" s="40">
        <v>147</v>
      </c>
      <c r="D270" s="41" t="s">
        <v>923</v>
      </c>
      <c r="E270" s="9" t="s">
        <v>18</v>
      </c>
      <c r="F270" s="9" t="s">
        <v>479</v>
      </c>
      <c r="G270" s="9"/>
      <c r="H270" s="39"/>
      <c r="I270" s="9"/>
      <c r="J270" s="39"/>
      <c r="K270" s="42"/>
      <c r="L270" s="9" t="s">
        <v>491</v>
      </c>
      <c r="M270" s="16"/>
      <c r="O270" s="10"/>
      <c r="P270" s="10"/>
      <c r="Q270" s="10"/>
      <c r="R270" s="10"/>
      <c r="S270" s="10"/>
      <c r="AA270" s="14">
        <f t="shared" si="8"/>
        <v>-69</v>
      </c>
      <c r="AB270" s="47">
        <f t="shared" si="9"/>
        <v>-70</v>
      </c>
      <c r="AD270" s="45"/>
      <c r="AE270" s="45"/>
      <c r="AF270" s="45"/>
      <c r="AG270" s="45"/>
      <c r="AH270" s="45"/>
      <c r="AI270" s="12"/>
      <c r="AJ270" s="13"/>
      <c r="AK270" s="45"/>
      <c r="AL270" s="45"/>
      <c r="AM270" s="45"/>
      <c r="AN270" s="45"/>
    </row>
    <row r="271" spans="1:40" s="46" customFormat="1" ht="14.4">
      <c r="A271" s="39">
        <v>41229</v>
      </c>
      <c r="B271" s="9" t="s">
        <v>1185</v>
      </c>
      <c r="C271" s="40">
        <v>253</v>
      </c>
      <c r="D271" s="41" t="s">
        <v>505</v>
      </c>
      <c r="E271" s="9" t="s">
        <v>18</v>
      </c>
      <c r="F271" s="9" t="s">
        <v>479</v>
      </c>
      <c r="G271" s="9"/>
      <c r="H271" s="39"/>
      <c r="I271" s="9"/>
      <c r="J271" s="39"/>
      <c r="K271" s="42"/>
      <c r="L271" s="9" t="s">
        <v>19</v>
      </c>
      <c r="M271" s="16"/>
      <c r="O271" s="10"/>
      <c r="P271" s="10"/>
      <c r="Q271" s="10"/>
      <c r="R271" s="10"/>
      <c r="S271" s="10"/>
      <c r="AA271" s="14">
        <f t="shared" si="8"/>
        <v>106</v>
      </c>
      <c r="AB271" s="47">
        <f t="shared" si="9"/>
        <v>105</v>
      </c>
      <c r="AD271" s="45"/>
      <c r="AE271" s="45"/>
      <c r="AF271" s="45"/>
      <c r="AG271" s="45"/>
      <c r="AH271" s="45"/>
      <c r="AI271" s="12"/>
      <c r="AJ271" s="13"/>
      <c r="AK271" s="45"/>
      <c r="AL271" s="45"/>
      <c r="AM271" s="45"/>
      <c r="AN271" s="45"/>
    </row>
    <row r="272" spans="1:40" s="46" customFormat="1" ht="14.4">
      <c r="A272" s="39">
        <v>41229</v>
      </c>
      <c r="B272" s="9" t="s">
        <v>1125</v>
      </c>
      <c r="C272" s="40">
        <v>159</v>
      </c>
      <c r="D272" s="41" t="s">
        <v>474</v>
      </c>
      <c r="E272" s="9" t="s">
        <v>277</v>
      </c>
      <c r="F272" s="9" t="s">
        <v>479</v>
      </c>
      <c r="G272" s="9"/>
      <c r="H272" s="39"/>
      <c r="I272" s="9"/>
      <c r="J272" s="39"/>
      <c r="K272" s="42"/>
      <c r="L272" s="9" t="s">
        <v>475</v>
      </c>
      <c r="M272" s="16"/>
      <c r="O272" s="10"/>
      <c r="P272" s="10"/>
      <c r="Q272" s="10"/>
      <c r="R272" s="10"/>
      <c r="S272" s="10"/>
      <c r="AA272" s="14">
        <f t="shared" si="8"/>
        <v>-94</v>
      </c>
      <c r="AB272" s="47">
        <f t="shared" si="9"/>
        <v>-95</v>
      </c>
      <c r="AD272" s="45"/>
      <c r="AE272" s="45"/>
      <c r="AF272" s="45"/>
      <c r="AG272" s="45"/>
      <c r="AH272" s="45"/>
      <c r="AI272" s="12"/>
      <c r="AJ272" s="13"/>
      <c r="AK272" s="45"/>
      <c r="AL272" s="45"/>
      <c r="AM272" s="45"/>
      <c r="AN272" s="45"/>
    </row>
    <row r="273" spans="1:40" s="46" customFormat="1" ht="14.4">
      <c r="A273" s="39">
        <v>41229</v>
      </c>
      <c r="B273" s="9" t="s">
        <v>1187</v>
      </c>
      <c r="C273" s="40">
        <v>258</v>
      </c>
      <c r="D273" s="41" t="s">
        <v>925</v>
      </c>
      <c r="E273" s="9" t="s">
        <v>18</v>
      </c>
      <c r="F273" s="9" t="s">
        <v>479</v>
      </c>
      <c r="G273" s="9"/>
      <c r="H273" s="39"/>
      <c r="I273" s="9"/>
      <c r="J273" s="39"/>
      <c r="K273" s="42"/>
      <c r="L273" s="9" t="s">
        <v>548</v>
      </c>
      <c r="M273" s="16"/>
      <c r="O273" s="10"/>
      <c r="P273" s="10"/>
      <c r="Q273" s="10"/>
      <c r="R273" s="10"/>
      <c r="S273" s="10"/>
      <c r="AA273" s="14">
        <f t="shared" si="8"/>
        <v>99</v>
      </c>
      <c r="AB273" s="47">
        <f t="shared" si="9"/>
        <v>98</v>
      </c>
      <c r="AD273" s="45"/>
      <c r="AE273" s="45"/>
      <c r="AF273" s="45"/>
      <c r="AG273" s="45"/>
      <c r="AH273" s="45"/>
      <c r="AI273" s="12"/>
      <c r="AJ273" s="13"/>
      <c r="AK273" s="45"/>
      <c r="AL273" s="45"/>
      <c r="AM273" s="45"/>
      <c r="AN273" s="45"/>
    </row>
    <row r="274" spans="1:40" s="46" customFormat="1" ht="14.4">
      <c r="A274" s="39">
        <v>41229</v>
      </c>
      <c r="B274" s="9" t="s">
        <v>1016</v>
      </c>
      <c r="C274" s="15">
        <v>257</v>
      </c>
      <c r="D274" s="41" t="s">
        <v>410</v>
      </c>
      <c r="E274" s="9" t="s">
        <v>118</v>
      </c>
      <c r="F274" s="9" t="s">
        <v>479</v>
      </c>
      <c r="G274" s="9"/>
      <c r="H274" s="39"/>
      <c r="I274" s="9"/>
      <c r="J274" s="39"/>
      <c r="K274" s="42"/>
      <c r="L274" s="9" t="s">
        <v>409</v>
      </c>
      <c r="M274" s="16"/>
      <c r="O274" s="10"/>
      <c r="P274" s="10"/>
      <c r="Q274" s="10"/>
      <c r="R274" s="10"/>
      <c r="S274" s="10"/>
      <c r="AA274" s="14">
        <f t="shared" si="8"/>
        <v>-1</v>
      </c>
      <c r="AB274" s="47">
        <f t="shared" si="9"/>
        <v>-2</v>
      </c>
      <c r="AD274" s="45"/>
      <c r="AE274" s="45"/>
      <c r="AF274" s="45"/>
      <c r="AG274" s="45"/>
      <c r="AH274" s="45"/>
      <c r="AI274" s="12"/>
      <c r="AJ274" s="13"/>
      <c r="AK274" s="45"/>
      <c r="AL274" s="45"/>
      <c r="AM274" s="45"/>
      <c r="AN274" s="45"/>
    </row>
    <row r="275" spans="1:40" s="46" customFormat="1" ht="14.4">
      <c r="A275" s="39">
        <v>41229</v>
      </c>
      <c r="B275" s="9" t="s">
        <v>1105</v>
      </c>
      <c r="C275" s="15">
        <v>130</v>
      </c>
      <c r="D275" s="41" t="s">
        <v>448</v>
      </c>
      <c r="E275" s="9" t="s">
        <v>118</v>
      </c>
      <c r="F275" s="9" t="s">
        <v>479</v>
      </c>
      <c r="G275" s="9"/>
      <c r="H275" s="39"/>
      <c r="I275" s="9"/>
      <c r="J275" s="39"/>
      <c r="K275" s="42"/>
      <c r="L275" s="9" t="s">
        <v>42</v>
      </c>
      <c r="M275" s="16"/>
      <c r="O275" s="10"/>
      <c r="P275" s="10"/>
      <c r="Q275" s="10"/>
      <c r="R275" s="10"/>
      <c r="S275" s="10"/>
      <c r="AA275" s="14">
        <f t="shared" si="8"/>
        <v>-127</v>
      </c>
      <c r="AB275" s="47">
        <f t="shared" si="9"/>
        <v>-128</v>
      </c>
      <c r="AD275" s="45"/>
      <c r="AE275" s="45"/>
      <c r="AF275" s="45"/>
      <c r="AG275" s="45"/>
      <c r="AH275" s="45"/>
      <c r="AI275" s="12"/>
      <c r="AJ275" s="13"/>
      <c r="AK275" s="45"/>
      <c r="AL275" s="45"/>
      <c r="AM275" s="45"/>
      <c r="AN275" s="45"/>
    </row>
    <row r="276" spans="1:40" s="46" customFormat="1" ht="14.4">
      <c r="A276" s="39">
        <v>41229</v>
      </c>
      <c r="B276" s="9" t="s">
        <v>1021</v>
      </c>
      <c r="C276" s="15">
        <v>240</v>
      </c>
      <c r="D276" s="41" t="s">
        <v>1508</v>
      </c>
      <c r="E276" s="9" t="s">
        <v>118</v>
      </c>
      <c r="F276" s="9" t="s">
        <v>479</v>
      </c>
      <c r="G276" s="9"/>
      <c r="H276" s="39"/>
      <c r="I276" s="9"/>
      <c r="J276" s="39"/>
      <c r="K276" s="42"/>
      <c r="L276" s="9" t="s">
        <v>42</v>
      </c>
      <c r="M276" s="16"/>
      <c r="O276" s="10"/>
      <c r="P276" s="10"/>
      <c r="Q276" s="10"/>
      <c r="R276" s="10"/>
      <c r="S276" s="10"/>
      <c r="AA276" s="14">
        <f t="shared" si="8"/>
        <v>110</v>
      </c>
      <c r="AB276" s="47">
        <f t="shared" si="9"/>
        <v>109</v>
      </c>
      <c r="AD276" s="45"/>
      <c r="AE276" s="45"/>
      <c r="AF276" s="45"/>
      <c r="AG276" s="45"/>
      <c r="AH276" s="45"/>
      <c r="AI276" s="12"/>
      <c r="AJ276" s="13"/>
      <c r="AK276" s="45"/>
      <c r="AL276" s="45"/>
      <c r="AM276" s="45"/>
      <c r="AN276" s="45"/>
    </row>
    <row r="277" spans="1:40" s="46" customFormat="1" ht="14.4">
      <c r="A277" s="39">
        <v>41229</v>
      </c>
      <c r="B277" s="9" t="s">
        <v>1018</v>
      </c>
      <c r="C277" s="15">
        <v>247</v>
      </c>
      <c r="D277" s="41" t="s">
        <v>998</v>
      </c>
      <c r="E277" s="9" t="s">
        <v>118</v>
      </c>
      <c r="F277" s="9" t="s">
        <v>479</v>
      </c>
      <c r="G277" s="9"/>
      <c r="H277" s="39"/>
      <c r="I277" s="9"/>
      <c r="J277" s="39"/>
      <c r="K277" s="42"/>
      <c r="L277" s="9" t="s">
        <v>406</v>
      </c>
      <c r="M277" s="16"/>
      <c r="O277" s="10"/>
      <c r="P277" s="10"/>
      <c r="Q277" s="10"/>
      <c r="R277" s="10"/>
      <c r="S277" s="10"/>
      <c r="AA277" s="14">
        <f t="shared" si="8"/>
        <v>7</v>
      </c>
      <c r="AB277" s="47">
        <f t="shared" si="9"/>
        <v>6</v>
      </c>
      <c r="AD277" s="45"/>
      <c r="AE277" s="45"/>
      <c r="AF277" s="45"/>
      <c r="AG277" s="45"/>
      <c r="AH277" s="45"/>
      <c r="AI277" s="12"/>
      <c r="AJ277" s="13"/>
      <c r="AK277" s="45"/>
      <c r="AL277" s="45"/>
      <c r="AM277" s="45"/>
      <c r="AN277" s="45"/>
    </row>
    <row r="278" spans="1:40" s="46" customFormat="1" ht="14.4">
      <c r="A278" s="39">
        <v>41229</v>
      </c>
      <c r="B278" s="9" t="s">
        <v>1015</v>
      </c>
      <c r="C278" s="40">
        <v>260</v>
      </c>
      <c r="D278" s="41" t="s">
        <v>402</v>
      </c>
      <c r="E278" s="9" t="s">
        <v>118</v>
      </c>
      <c r="F278" s="9" t="s">
        <v>479</v>
      </c>
      <c r="G278" s="9"/>
      <c r="H278" s="39"/>
      <c r="I278" s="9"/>
      <c r="J278" s="39"/>
      <c r="K278" s="42"/>
      <c r="L278" s="9" t="s">
        <v>403</v>
      </c>
      <c r="M278" s="16"/>
      <c r="O278" s="10"/>
      <c r="P278" s="10"/>
      <c r="Q278" s="10"/>
      <c r="R278" s="10"/>
      <c r="S278" s="10"/>
      <c r="AA278" s="14">
        <f t="shared" si="8"/>
        <v>13</v>
      </c>
      <c r="AB278" s="47">
        <f t="shared" si="9"/>
        <v>12</v>
      </c>
      <c r="AD278" s="45"/>
      <c r="AE278" s="45"/>
      <c r="AF278" s="45"/>
      <c r="AG278" s="45"/>
      <c r="AH278" s="45"/>
      <c r="AI278" s="12"/>
      <c r="AJ278" s="13"/>
      <c r="AK278" s="45"/>
      <c r="AL278" s="45"/>
      <c r="AM278" s="45"/>
      <c r="AN278" s="45"/>
    </row>
    <row r="279" spans="1:40" s="46" customFormat="1" ht="14.4">
      <c r="A279" s="39">
        <v>41229</v>
      </c>
      <c r="B279" s="9" t="s">
        <v>1182</v>
      </c>
      <c r="C279" s="40">
        <v>241</v>
      </c>
      <c r="D279" s="41" t="s">
        <v>543</v>
      </c>
      <c r="E279" s="9" t="s">
        <v>18</v>
      </c>
      <c r="F279" s="9" t="s">
        <v>479</v>
      </c>
      <c r="G279" s="9"/>
      <c r="H279" s="39"/>
      <c r="I279" s="9"/>
      <c r="J279" s="39"/>
      <c r="K279" s="42"/>
      <c r="L279" s="9" t="s">
        <v>544</v>
      </c>
      <c r="M279" s="16"/>
      <c r="O279" s="10"/>
      <c r="P279" s="10"/>
      <c r="Q279" s="10"/>
      <c r="R279" s="10"/>
      <c r="S279" s="10"/>
      <c r="AA279" s="14">
        <f t="shared" si="8"/>
        <v>-19</v>
      </c>
      <c r="AB279" s="47">
        <f t="shared" si="9"/>
        <v>-20</v>
      </c>
      <c r="AD279" s="45"/>
      <c r="AE279" s="45"/>
      <c r="AF279" s="45"/>
      <c r="AG279" s="45"/>
      <c r="AH279" s="45"/>
      <c r="AI279" s="12"/>
      <c r="AJ279" s="13"/>
      <c r="AK279" s="45"/>
      <c r="AL279" s="45"/>
      <c r="AM279" s="45"/>
      <c r="AN279" s="45"/>
    </row>
    <row r="280" spans="1:40" s="46" customFormat="1" ht="14.4">
      <c r="A280" s="39">
        <v>41229</v>
      </c>
      <c r="B280" s="9" t="s">
        <v>1180</v>
      </c>
      <c r="C280" s="40">
        <v>237</v>
      </c>
      <c r="D280" s="41" t="s">
        <v>539</v>
      </c>
      <c r="E280" s="9" t="s">
        <v>18</v>
      </c>
      <c r="F280" s="9" t="s">
        <v>479</v>
      </c>
      <c r="G280" s="9"/>
      <c r="H280" s="39"/>
      <c r="I280" s="9"/>
      <c r="J280" s="39"/>
      <c r="K280" s="42"/>
      <c r="L280" s="9" t="s">
        <v>540</v>
      </c>
      <c r="M280" s="16"/>
      <c r="O280" s="10"/>
      <c r="P280" s="10"/>
      <c r="Q280" s="10"/>
      <c r="R280" s="10"/>
      <c r="S280" s="10"/>
      <c r="AA280" s="14">
        <f t="shared" si="8"/>
        <v>-4</v>
      </c>
      <c r="AB280" s="47">
        <f t="shared" si="9"/>
        <v>-5</v>
      </c>
      <c r="AD280" s="45"/>
      <c r="AE280" s="45"/>
      <c r="AF280" s="45"/>
      <c r="AG280" s="45"/>
      <c r="AH280" s="45"/>
      <c r="AI280" s="12"/>
      <c r="AJ280" s="13"/>
      <c r="AK280" s="45"/>
      <c r="AL280" s="45"/>
      <c r="AM280" s="45"/>
      <c r="AN280" s="45"/>
    </row>
    <row r="281" spans="1:40" s="46" customFormat="1" ht="14.4">
      <c r="A281" s="39">
        <v>41229</v>
      </c>
      <c r="B281" s="9" t="s">
        <v>1110</v>
      </c>
      <c r="C281" s="40">
        <v>139</v>
      </c>
      <c r="D281" s="41" t="s">
        <v>483</v>
      </c>
      <c r="E281" s="9" t="s">
        <v>484</v>
      </c>
      <c r="F281" s="9" t="s">
        <v>479</v>
      </c>
      <c r="G281" s="9"/>
      <c r="H281" s="39"/>
      <c r="I281" s="9"/>
      <c r="J281" s="39"/>
      <c r="K281" s="42"/>
      <c r="L281" s="9" t="s">
        <v>485</v>
      </c>
      <c r="M281" s="16"/>
      <c r="O281" s="10"/>
      <c r="P281" s="10"/>
      <c r="Q281" s="10"/>
      <c r="R281" s="10"/>
      <c r="S281" s="10"/>
      <c r="AA281" s="14">
        <f t="shared" si="8"/>
        <v>-98</v>
      </c>
      <c r="AB281" s="47">
        <f t="shared" si="9"/>
        <v>-99</v>
      </c>
      <c r="AD281" s="45"/>
      <c r="AE281" s="45"/>
      <c r="AF281" s="45"/>
      <c r="AG281" s="45"/>
      <c r="AH281" s="45"/>
      <c r="AI281" s="12"/>
      <c r="AJ281" s="13"/>
      <c r="AK281" s="45"/>
      <c r="AL281" s="45"/>
      <c r="AM281" s="45"/>
      <c r="AN281" s="45"/>
    </row>
    <row r="282" spans="1:40" s="46" customFormat="1" ht="14.4">
      <c r="A282" s="39">
        <v>41229</v>
      </c>
      <c r="B282" s="9" t="s">
        <v>1124</v>
      </c>
      <c r="C282" s="40">
        <v>157</v>
      </c>
      <c r="D282" s="41" t="s">
        <v>456</v>
      </c>
      <c r="E282" s="9" t="s">
        <v>31</v>
      </c>
      <c r="F282" s="9" t="s">
        <v>479</v>
      </c>
      <c r="G282" s="9"/>
      <c r="H282" s="39"/>
      <c r="I282" s="9"/>
      <c r="J282" s="39"/>
      <c r="K282" s="42"/>
      <c r="L282" s="9" t="s">
        <v>457</v>
      </c>
      <c r="M282" s="16"/>
      <c r="O282" s="10"/>
      <c r="P282" s="10"/>
      <c r="Q282" s="10"/>
      <c r="R282" s="10"/>
      <c r="S282" s="10"/>
      <c r="AA282" s="14">
        <f t="shared" si="8"/>
        <v>18</v>
      </c>
      <c r="AB282" s="47">
        <f t="shared" si="9"/>
        <v>17</v>
      </c>
      <c r="AD282" s="45"/>
      <c r="AE282" s="45"/>
      <c r="AF282" s="45"/>
      <c r="AG282" s="45"/>
      <c r="AH282" s="45"/>
      <c r="AI282" s="12"/>
      <c r="AJ282" s="13"/>
      <c r="AK282" s="45"/>
      <c r="AL282" s="45"/>
      <c r="AM282" s="45"/>
      <c r="AN282" s="45"/>
    </row>
    <row r="283" spans="1:40" s="46" customFormat="1" ht="14.4">
      <c r="A283" s="39">
        <v>41229</v>
      </c>
      <c r="B283" s="9" t="s">
        <v>1127</v>
      </c>
      <c r="C283" s="40">
        <v>160</v>
      </c>
      <c r="D283" s="41" t="s">
        <v>1126</v>
      </c>
      <c r="E283" s="9" t="s">
        <v>118</v>
      </c>
      <c r="F283" s="9" t="s">
        <v>479</v>
      </c>
      <c r="G283" s="9"/>
      <c r="H283" s="39"/>
      <c r="I283" s="9"/>
      <c r="J283" s="39"/>
      <c r="K283" s="42"/>
      <c r="L283" s="9" t="s">
        <v>458</v>
      </c>
      <c r="M283" s="16"/>
      <c r="O283" s="10"/>
      <c r="P283" s="10"/>
      <c r="Q283" s="10"/>
      <c r="R283" s="10"/>
      <c r="S283" s="10"/>
      <c r="AA283" s="14">
        <f t="shared" si="8"/>
        <v>3</v>
      </c>
      <c r="AB283" s="47">
        <f t="shared" si="9"/>
        <v>2</v>
      </c>
      <c r="AD283" s="45"/>
      <c r="AE283" s="45"/>
      <c r="AF283" s="45"/>
      <c r="AG283" s="45"/>
      <c r="AH283" s="45"/>
      <c r="AI283" s="12"/>
      <c r="AJ283" s="13"/>
      <c r="AK283" s="45"/>
      <c r="AL283" s="45"/>
      <c r="AM283" s="45"/>
      <c r="AN283" s="45"/>
    </row>
    <row r="284" spans="1:40" s="46" customFormat="1" ht="14.4">
      <c r="A284" s="39">
        <v>41229</v>
      </c>
      <c r="B284" s="9" t="s">
        <v>1022</v>
      </c>
      <c r="C284" s="40">
        <v>238</v>
      </c>
      <c r="D284" s="41" t="s">
        <v>400</v>
      </c>
      <c r="E284" s="9" t="s">
        <v>118</v>
      </c>
      <c r="F284" s="9" t="s">
        <v>479</v>
      </c>
      <c r="G284" s="9"/>
      <c r="H284" s="39"/>
      <c r="I284" s="9"/>
      <c r="J284" s="39"/>
      <c r="K284" s="42"/>
      <c r="L284" s="9" t="s">
        <v>401</v>
      </c>
      <c r="M284" s="16"/>
      <c r="O284" s="10"/>
      <c r="P284" s="10"/>
      <c r="Q284" s="10"/>
      <c r="R284" s="10"/>
      <c r="S284" s="10"/>
      <c r="AA284" s="14">
        <f t="shared" si="8"/>
        <v>78</v>
      </c>
      <c r="AB284" s="47">
        <f t="shared" si="9"/>
        <v>77</v>
      </c>
      <c r="AD284" s="45"/>
      <c r="AE284" s="45"/>
      <c r="AF284" s="45"/>
      <c r="AG284" s="45"/>
      <c r="AH284" s="45"/>
      <c r="AI284" s="12"/>
      <c r="AJ284" s="13"/>
      <c r="AK284" s="45"/>
      <c r="AL284" s="45"/>
      <c r="AM284" s="45"/>
      <c r="AN284" s="45"/>
    </row>
    <row r="285" spans="1:40" s="46" customFormat="1" ht="14.4">
      <c r="A285" s="39">
        <v>41230</v>
      </c>
      <c r="B285" s="9"/>
      <c r="C285" s="15"/>
      <c r="D285" s="41" t="s">
        <v>1297</v>
      </c>
      <c r="E285" s="9" t="s">
        <v>18</v>
      </c>
      <c r="F285" s="9" t="s">
        <v>935</v>
      </c>
      <c r="G285" s="9"/>
      <c r="H285" s="39"/>
      <c r="I285" s="9"/>
      <c r="J285" s="39"/>
      <c r="K285" s="42"/>
      <c r="L285" s="9" t="s">
        <v>19</v>
      </c>
      <c r="M285" s="16"/>
      <c r="O285" s="10"/>
      <c r="P285" s="10"/>
      <c r="Q285" s="10"/>
      <c r="R285" s="10"/>
      <c r="S285" s="10"/>
      <c r="AA285" s="14" t="e">
        <f>C285-#REF!</f>
        <v>#REF!</v>
      </c>
      <c r="AB285" s="47" t="e">
        <f t="shared" si="9"/>
        <v>#REF!</v>
      </c>
      <c r="AD285" s="45"/>
      <c r="AE285" s="45"/>
      <c r="AF285" s="45"/>
      <c r="AG285" s="45"/>
      <c r="AH285" s="45"/>
      <c r="AI285" s="12"/>
      <c r="AJ285" s="13"/>
      <c r="AK285" s="45"/>
      <c r="AL285" s="45"/>
      <c r="AM285" s="45"/>
      <c r="AN285" s="45"/>
    </row>
    <row r="286" spans="1:40" s="46" customFormat="1" ht="14.4">
      <c r="A286" s="39">
        <v>41230</v>
      </c>
      <c r="B286" s="9" t="s">
        <v>2072</v>
      </c>
      <c r="C286" s="40">
        <v>446</v>
      </c>
      <c r="D286" s="41" t="s">
        <v>902</v>
      </c>
      <c r="E286" s="9" t="s">
        <v>18</v>
      </c>
      <c r="F286" s="9" t="s">
        <v>479</v>
      </c>
      <c r="G286" s="9"/>
      <c r="H286" s="39"/>
      <c r="I286" s="9"/>
      <c r="J286" s="39"/>
      <c r="K286" s="42"/>
      <c r="L286" s="9" t="s">
        <v>903</v>
      </c>
      <c r="M286" s="16"/>
      <c r="O286" s="10"/>
      <c r="P286" s="10"/>
      <c r="Q286" s="10"/>
      <c r="R286" s="10"/>
      <c r="S286" s="10"/>
      <c r="AA286" s="14">
        <f t="shared" si="8"/>
        <v>446</v>
      </c>
      <c r="AB286" s="47">
        <f t="shared" si="9"/>
        <v>445</v>
      </c>
      <c r="AD286" s="45"/>
      <c r="AE286" s="45"/>
      <c r="AF286" s="45"/>
      <c r="AG286" s="45"/>
      <c r="AH286" s="45"/>
      <c r="AI286" s="12"/>
      <c r="AJ286" s="13"/>
      <c r="AK286" s="45"/>
      <c r="AL286" s="45"/>
      <c r="AM286" s="45"/>
      <c r="AN286" s="45"/>
    </row>
    <row r="287" spans="1:40" s="46" customFormat="1" ht="14.4">
      <c r="A287" s="39">
        <v>41230</v>
      </c>
      <c r="B287" s="9" t="s">
        <v>2789</v>
      </c>
      <c r="C287" s="40">
        <v>728</v>
      </c>
      <c r="D287" s="41" t="s">
        <v>854</v>
      </c>
      <c r="E287" s="9" t="s">
        <v>18</v>
      </c>
      <c r="F287" s="9" t="s">
        <v>479</v>
      </c>
      <c r="G287" s="9"/>
      <c r="H287" s="39"/>
      <c r="I287" s="9"/>
      <c r="J287" s="39"/>
      <c r="K287" s="42"/>
      <c r="L287" s="9" t="s">
        <v>855</v>
      </c>
      <c r="M287" s="16"/>
      <c r="O287" s="10"/>
      <c r="P287" s="10"/>
      <c r="Q287" s="10"/>
      <c r="R287" s="10"/>
      <c r="S287" s="10"/>
      <c r="AA287" s="14">
        <f t="shared" si="8"/>
        <v>282</v>
      </c>
      <c r="AB287" s="47">
        <f t="shared" si="9"/>
        <v>281</v>
      </c>
      <c r="AD287" s="45"/>
      <c r="AE287" s="45"/>
      <c r="AF287" s="45"/>
      <c r="AG287" s="45"/>
      <c r="AH287" s="45"/>
      <c r="AI287" s="12"/>
      <c r="AJ287" s="13"/>
      <c r="AK287" s="45"/>
      <c r="AL287" s="45"/>
      <c r="AM287" s="45"/>
      <c r="AN287" s="45"/>
    </row>
    <row r="288" spans="1:40" s="46" customFormat="1" ht="14.4">
      <c r="A288" s="39">
        <v>41230</v>
      </c>
      <c r="B288" s="9" t="s">
        <v>2798</v>
      </c>
      <c r="C288" s="40">
        <v>825</v>
      </c>
      <c r="D288" s="41" t="s">
        <v>826</v>
      </c>
      <c r="E288" s="9" t="s">
        <v>18</v>
      </c>
      <c r="F288" s="9" t="s">
        <v>2202</v>
      </c>
      <c r="G288" s="9"/>
      <c r="H288" s="39"/>
      <c r="I288" s="9"/>
      <c r="J288" s="39"/>
      <c r="K288" s="42"/>
      <c r="L288" s="9" t="s">
        <v>827</v>
      </c>
      <c r="M288" s="16"/>
      <c r="O288" s="10"/>
      <c r="P288" s="10"/>
      <c r="Q288" s="10"/>
      <c r="R288" s="10"/>
      <c r="S288" s="10"/>
      <c r="AA288" s="14">
        <f t="shared" si="8"/>
        <v>97</v>
      </c>
      <c r="AB288" s="47">
        <f t="shared" si="9"/>
        <v>96</v>
      </c>
      <c r="AD288" s="45"/>
      <c r="AE288" s="45"/>
      <c r="AF288" s="45"/>
      <c r="AG288" s="45"/>
      <c r="AH288" s="45"/>
      <c r="AI288" s="12"/>
      <c r="AJ288" s="13"/>
      <c r="AK288" s="45"/>
      <c r="AL288" s="45"/>
      <c r="AM288" s="45"/>
      <c r="AN288" s="45"/>
    </row>
    <row r="289" spans="1:40" s="46" customFormat="1" ht="14.4">
      <c r="A289" s="39">
        <v>41230</v>
      </c>
      <c r="B289" s="9" t="s">
        <v>2479</v>
      </c>
      <c r="C289" s="40"/>
      <c r="D289" s="41" t="s">
        <v>880</v>
      </c>
      <c r="E289" s="9" t="s">
        <v>18</v>
      </c>
      <c r="F289" s="9" t="s">
        <v>935</v>
      </c>
      <c r="G289" s="9"/>
      <c r="H289" s="39"/>
      <c r="I289" s="9"/>
      <c r="J289" s="39"/>
      <c r="K289" s="42"/>
      <c r="L289" s="9" t="s">
        <v>881</v>
      </c>
      <c r="M289" s="16"/>
      <c r="O289" s="10"/>
      <c r="P289" s="10"/>
      <c r="Q289" s="10"/>
      <c r="R289" s="10"/>
      <c r="S289" s="10"/>
      <c r="AA289" s="14">
        <f t="shared" si="8"/>
        <v>-825</v>
      </c>
      <c r="AB289" s="47">
        <f t="shared" si="9"/>
        <v>-826</v>
      </c>
      <c r="AD289" s="45"/>
      <c r="AE289" s="45"/>
      <c r="AF289" s="45"/>
      <c r="AG289" s="45"/>
      <c r="AH289" s="45"/>
      <c r="AI289" s="12"/>
      <c r="AJ289" s="13"/>
      <c r="AK289" s="45"/>
      <c r="AL289" s="45"/>
      <c r="AM289" s="45"/>
      <c r="AN289" s="45"/>
    </row>
    <row r="290" spans="1:40" s="46" customFormat="1" ht="14.4">
      <c r="A290" s="39">
        <v>41230</v>
      </c>
      <c r="B290" s="9" t="s">
        <v>1985</v>
      </c>
      <c r="C290" s="15">
        <v>523</v>
      </c>
      <c r="D290" s="41" t="s">
        <v>882</v>
      </c>
      <c r="E290" s="9" t="s">
        <v>18</v>
      </c>
      <c r="F290" s="9" t="s">
        <v>479</v>
      </c>
      <c r="G290" s="9"/>
      <c r="H290" s="39"/>
      <c r="I290" s="9"/>
      <c r="J290" s="39"/>
      <c r="K290" s="48"/>
      <c r="L290" s="9" t="s">
        <v>42</v>
      </c>
      <c r="M290" s="16"/>
      <c r="O290" s="10"/>
      <c r="P290" s="10"/>
      <c r="Q290" s="10"/>
      <c r="R290" s="10"/>
      <c r="S290" s="10"/>
      <c r="AA290" s="14">
        <f t="shared" si="8"/>
        <v>523</v>
      </c>
      <c r="AB290" s="47">
        <f t="shared" si="9"/>
        <v>522</v>
      </c>
      <c r="AD290" s="45"/>
      <c r="AE290" s="45"/>
      <c r="AF290" s="45"/>
      <c r="AG290" s="45"/>
      <c r="AH290" s="45"/>
      <c r="AI290" s="12"/>
      <c r="AJ290" s="13"/>
      <c r="AK290" s="45"/>
      <c r="AL290" s="45"/>
      <c r="AM290" s="45"/>
      <c r="AN290" s="45"/>
    </row>
    <row r="291" spans="1:40" s="46" customFormat="1" ht="14.4">
      <c r="A291" s="39">
        <v>41230</v>
      </c>
      <c r="B291" s="9" t="s">
        <v>2792</v>
      </c>
      <c r="C291" s="40">
        <v>746</v>
      </c>
      <c r="D291" s="41" t="s">
        <v>879</v>
      </c>
      <c r="E291" s="9" t="s">
        <v>18</v>
      </c>
      <c r="F291" s="9" t="s">
        <v>479</v>
      </c>
      <c r="G291" s="9"/>
      <c r="H291" s="39"/>
      <c r="I291" s="9"/>
      <c r="J291" s="39"/>
      <c r="K291" s="42"/>
      <c r="L291" s="9" t="s">
        <v>42</v>
      </c>
      <c r="M291" s="16"/>
      <c r="O291" s="10"/>
      <c r="P291" s="10"/>
      <c r="Q291" s="10"/>
      <c r="R291" s="10"/>
      <c r="S291" s="10"/>
      <c r="AA291" s="14">
        <f t="shared" si="8"/>
        <v>223</v>
      </c>
      <c r="AB291" s="47">
        <f t="shared" si="9"/>
        <v>222</v>
      </c>
      <c r="AD291" s="45"/>
      <c r="AE291" s="45"/>
      <c r="AF291" s="45"/>
      <c r="AG291" s="45"/>
      <c r="AH291" s="45"/>
      <c r="AI291" s="12"/>
      <c r="AJ291" s="13"/>
      <c r="AK291" s="45"/>
      <c r="AL291" s="45"/>
      <c r="AM291" s="45"/>
      <c r="AN291" s="45"/>
    </row>
    <row r="292" spans="1:40" s="46" customFormat="1" ht="14.4">
      <c r="A292" s="39">
        <v>41230</v>
      </c>
      <c r="B292" s="9" t="s">
        <v>2073</v>
      </c>
      <c r="C292" s="40">
        <v>447</v>
      </c>
      <c r="D292" s="41" t="s">
        <v>895</v>
      </c>
      <c r="E292" s="9" t="s">
        <v>18</v>
      </c>
      <c r="F292" s="9" t="s">
        <v>479</v>
      </c>
      <c r="G292" s="9"/>
      <c r="H292" s="39"/>
      <c r="I292" s="9"/>
      <c r="J292" s="39"/>
      <c r="K292" s="42"/>
      <c r="L292" s="9" t="s">
        <v>896</v>
      </c>
      <c r="M292" s="16"/>
      <c r="O292" s="10"/>
      <c r="P292" s="10"/>
      <c r="Q292" s="10"/>
      <c r="R292" s="10"/>
      <c r="S292" s="10"/>
      <c r="AA292" s="14">
        <f t="shared" si="8"/>
        <v>-299</v>
      </c>
      <c r="AB292" s="47">
        <f t="shared" si="9"/>
        <v>-300</v>
      </c>
      <c r="AD292" s="45"/>
      <c r="AE292" s="45"/>
      <c r="AF292" s="45"/>
      <c r="AG292" s="45"/>
      <c r="AH292" s="45"/>
      <c r="AI292" s="12"/>
      <c r="AJ292" s="13"/>
      <c r="AK292" s="45"/>
      <c r="AL292" s="45"/>
      <c r="AM292" s="45"/>
      <c r="AN292" s="45"/>
    </row>
    <row r="293" spans="1:40" s="46" customFormat="1" ht="14.4">
      <c r="A293" s="39">
        <v>41230</v>
      </c>
      <c r="B293" s="9" t="s">
        <v>2270</v>
      </c>
      <c r="C293" s="40">
        <v>711</v>
      </c>
      <c r="D293" s="41" t="s">
        <v>900</v>
      </c>
      <c r="E293" s="9" t="s">
        <v>18</v>
      </c>
      <c r="F293" s="9" t="s">
        <v>479</v>
      </c>
      <c r="G293" s="9"/>
      <c r="H293" s="39"/>
      <c r="I293" s="9"/>
      <c r="J293" s="39"/>
      <c r="K293" s="42"/>
      <c r="L293" s="9" t="s">
        <v>901</v>
      </c>
      <c r="M293" s="16"/>
      <c r="O293" s="10"/>
      <c r="P293" s="10"/>
      <c r="Q293" s="10"/>
      <c r="R293" s="10"/>
      <c r="S293" s="10"/>
      <c r="AA293" s="14">
        <f t="shared" si="8"/>
        <v>264</v>
      </c>
      <c r="AB293" s="47">
        <f t="shared" si="9"/>
        <v>263</v>
      </c>
      <c r="AD293" s="45"/>
      <c r="AE293" s="45"/>
      <c r="AF293" s="45"/>
      <c r="AG293" s="45"/>
      <c r="AH293" s="45"/>
      <c r="AI293" s="12"/>
      <c r="AJ293" s="13"/>
      <c r="AK293" s="45"/>
      <c r="AL293" s="45"/>
      <c r="AM293" s="45"/>
      <c r="AN293" s="45"/>
    </row>
    <row r="294" spans="1:40" s="46" customFormat="1" ht="14.4">
      <c r="A294" s="39">
        <v>41230</v>
      </c>
      <c r="B294" s="9" t="s">
        <v>2060</v>
      </c>
      <c r="C294" s="40">
        <v>425</v>
      </c>
      <c r="D294" s="41" t="s">
        <v>930</v>
      </c>
      <c r="E294" s="9" t="s">
        <v>931</v>
      </c>
      <c r="F294" s="9" t="s">
        <v>479</v>
      </c>
      <c r="G294" s="9"/>
      <c r="H294" s="39"/>
      <c r="I294" s="9"/>
      <c r="J294" s="39" t="s">
        <v>932</v>
      </c>
      <c r="K294" s="42"/>
      <c r="L294" s="9" t="s">
        <v>933</v>
      </c>
      <c r="M294" s="16"/>
      <c r="O294" s="10"/>
      <c r="P294" s="10"/>
      <c r="Q294" s="10"/>
      <c r="R294" s="10"/>
      <c r="S294" s="10"/>
      <c r="AA294" s="14">
        <f t="shared" si="8"/>
        <v>-286</v>
      </c>
      <c r="AB294" s="47">
        <f t="shared" si="9"/>
        <v>-287</v>
      </c>
      <c r="AD294" s="45"/>
      <c r="AE294" s="45"/>
      <c r="AF294" s="45"/>
      <c r="AG294" s="45"/>
      <c r="AH294" s="45"/>
      <c r="AI294" s="12"/>
      <c r="AJ294" s="13"/>
      <c r="AK294" s="45"/>
      <c r="AL294" s="45"/>
      <c r="AM294" s="45"/>
      <c r="AN294" s="45"/>
    </row>
    <row r="295" spans="1:40" s="53" customFormat="1" ht="14.4">
      <c r="A295" s="39">
        <v>41230</v>
      </c>
      <c r="B295" s="9" t="s">
        <v>2229</v>
      </c>
      <c r="C295" s="40">
        <v>631</v>
      </c>
      <c r="D295" s="41" t="s">
        <v>2228</v>
      </c>
      <c r="E295" s="9" t="s">
        <v>18</v>
      </c>
      <c r="F295" s="9" t="s">
        <v>479</v>
      </c>
      <c r="G295" s="9"/>
      <c r="H295" s="39"/>
      <c r="I295" s="9"/>
      <c r="J295" s="39"/>
      <c r="K295" s="42"/>
      <c r="L295" s="9" t="s">
        <v>865</v>
      </c>
      <c r="M295" s="9"/>
      <c r="O295" s="45"/>
      <c r="P295" s="45"/>
      <c r="Q295" s="45"/>
      <c r="R295" s="45"/>
      <c r="S295" s="45"/>
      <c r="AA295" s="75">
        <f t="shared" si="8"/>
        <v>206</v>
      </c>
      <c r="AB295" s="76">
        <f t="shared" si="9"/>
        <v>205</v>
      </c>
      <c r="AD295" s="45"/>
      <c r="AE295" s="45"/>
      <c r="AF295" s="45"/>
      <c r="AG295" s="45"/>
      <c r="AH295" s="45"/>
      <c r="AI295" s="12"/>
      <c r="AJ295" s="13"/>
      <c r="AK295" s="45"/>
      <c r="AL295" s="45"/>
      <c r="AM295" s="45"/>
      <c r="AN295" s="45"/>
    </row>
    <row r="296" spans="1:40" s="46" customFormat="1" ht="14.4">
      <c r="A296" s="39">
        <v>41230</v>
      </c>
      <c r="B296" s="9" t="s">
        <v>2027</v>
      </c>
      <c r="C296" s="15">
        <v>387</v>
      </c>
      <c r="D296" s="41" t="s">
        <v>936</v>
      </c>
      <c r="E296" s="9" t="s">
        <v>931</v>
      </c>
      <c r="F296" s="9" t="s">
        <v>479</v>
      </c>
      <c r="G296" s="9"/>
      <c r="H296" s="39"/>
      <c r="I296" s="9"/>
      <c r="J296" s="39"/>
      <c r="K296" s="42"/>
      <c r="L296" s="9"/>
      <c r="M296" s="16"/>
      <c r="O296" s="10"/>
      <c r="P296" s="10"/>
      <c r="Q296" s="10"/>
      <c r="R296" s="10"/>
      <c r="S296" s="10"/>
      <c r="AA296" s="14" t="e">
        <f>C296-#REF!</f>
        <v>#REF!</v>
      </c>
      <c r="AB296" s="47" t="e">
        <f t="shared" si="9"/>
        <v>#REF!</v>
      </c>
      <c r="AD296" s="45"/>
      <c r="AE296" s="45"/>
      <c r="AF296" s="45"/>
      <c r="AG296" s="45"/>
      <c r="AH296" s="45"/>
      <c r="AI296" s="12"/>
      <c r="AJ296" s="13"/>
      <c r="AK296" s="45"/>
      <c r="AL296" s="45"/>
      <c r="AM296" s="45"/>
      <c r="AN296" s="45"/>
    </row>
    <row r="297" spans="1:40" s="46" customFormat="1" ht="14.4">
      <c r="A297" s="39">
        <v>41230</v>
      </c>
      <c r="B297" s="9" t="s">
        <v>1034</v>
      </c>
      <c r="C297" s="40">
        <v>230</v>
      </c>
      <c r="D297" s="41" t="s">
        <v>664</v>
      </c>
      <c r="E297" s="9" t="s">
        <v>77</v>
      </c>
      <c r="F297" s="9" t="s">
        <v>479</v>
      </c>
      <c r="G297" s="9"/>
      <c r="H297" s="39"/>
      <c r="I297" s="9"/>
      <c r="J297" s="39"/>
      <c r="K297" s="42"/>
      <c r="L297" s="9" t="s">
        <v>19</v>
      </c>
      <c r="M297" s="16"/>
      <c r="O297" s="10"/>
      <c r="P297" s="10"/>
      <c r="Q297" s="10"/>
      <c r="R297" s="10"/>
      <c r="S297" s="10"/>
      <c r="AA297" s="14">
        <f t="shared" si="8"/>
        <v>-157</v>
      </c>
      <c r="AB297" s="47">
        <f t="shared" si="9"/>
        <v>-158</v>
      </c>
      <c r="AD297" s="45"/>
      <c r="AE297" s="45"/>
      <c r="AF297" s="45"/>
      <c r="AG297" s="45"/>
      <c r="AH297" s="45"/>
      <c r="AI297" s="12"/>
      <c r="AJ297" s="13"/>
      <c r="AK297" s="45"/>
      <c r="AL297" s="45"/>
      <c r="AM297" s="45"/>
      <c r="AN297" s="45"/>
    </row>
    <row r="298" spans="1:40" s="46" customFormat="1" ht="14.4">
      <c r="A298" s="39">
        <v>41230</v>
      </c>
      <c r="B298" s="9" t="s">
        <v>1144</v>
      </c>
      <c r="C298" s="40">
        <v>172</v>
      </c>
      <c r="D298" s="41" t="s">
        <v>748</v>
      </c>
      <c r="E298" s="9" t="s">
        <v>77</v>
      </c>
      <c r="F298" s="9" t="s">
        <v>479</v>
      </c>
      <c r="G298" s="9"/>
      <c r="H298" s="39"/>
      <c r="I298" s="9"/>
      <c r="J298" s="39"/>
      <c r="K298" s="42"/>
      <c r="L298" s="9" t="s">
        <v>749</v>
      </c>
      <c r="M298" s="16"/>
      <c r="O298" s="10"/>
      <c r="P298" s="10"/>
      <c r="Q298" s="10"/>
      <c r="R298" s="10"/>
      <c r="S298" s="10"/>
      <c r="AA298" s="14" t="e">
        <f>C298-#REF!</f>
        <v>#REF!</v>
      </c>
      <c r="AB298" s="47" t="e">
        <f t="shared" si="9"/>
        <v>#REF!</v>
      </c>
      <c r="AD298" s="45"/>
      <c r="AE298" s="45"/>
      <c r="AF298" s="45"/>
      <c r="AG298" s="45"/>
      <c r="AH298" s="45"/>
      <c r="AI298" s="12"/>
      <c r="AJ298" s="13"/>
      <c r="AK298" s="45"/>
      <c r="AL298" s="45"/>
      <c r="AM298" s="45"/>
      <c r="AN298" s="45"/>
    </row>
    <row r="299" spans="1:40" s="46" customFormat="1" ht="14.4">
      <c r="A299" s="39">
        <v>41230</v>
      </c>
      <c r="B299" s="9" t="s">
        <v>1300</v>
      </c>
      <c r="C299" s="40">
        <v>284</v>
      </c>
      <c r="D299" s="41" t="s">
        <v>764</v>
      </c>
      <c r="E299" s="9" t="s">
        <v>77</v>
      </c>
      <c r="F299" s="9" t="s">
        <v>479</v>
      </c>
      <c r="G299" s="9"/>
      <c r="H299" s="39"/>
      <c r="I299" s="9"/>
      <c r="J299" s="39"/>
      <c r="K299" s="42"/>
      <c r="L299" s="9" t="s">
        <v>765</v>
      </c>
      <c r="M299" s="16"/>
      <c r="O299" s="10"/>
      <c r="P299" s="10"/>
      <c r="Q299" s="10"/>
      <c r="R299" s="10"/>
      <c r="S299" s="10"/>
      <c r="AA299" s="14">
        <f t="shared" si="8"/>
        <v>112</v>
      </c>
      <c r="AB299" s="47">
        <f t="shared" si="9"/>
        <v>111</v>
      </c>
      <c r="AD299" s="45"/>
      <c r="AE299" s="45"/>
      <c r="AF299" s="45"/>
      <c r="AG299" s="45"/>
      <c r="AH299" s="45"/>
      <c r="AI299" s="12"/>
      <c r="AJ299" s="13"/>
      <c r="AK299" s="45"/>
      <c r="AL299" s="45"/>
      <c r="AM299" s="45"/>
      <c r="AN299" s="45"/>
    </row>
    <row r="300" spans="1:40" s="46" customFormat="1" ht="14.4">
      <c r="A300" s="39">
        <v>41230</v>
      </c>
      <c r="B300" s="9" t="s">
        <v>1311</v>
      </c>
      <c r="C300" s="40">
        <v>294</v>
      </c>
      <c r="D300" s="41" t="s">
        <v>785</v>
      </c>
      <c r="E300" s="9" t="s">
        <v>77</v>
      </c>
      <c r="F300" s="9" t="s">
        <v>479</v>
      </c>
      <c r="G300" s="9"/>
      <c r="H300" s="39"/>
      <c r="I300" s="9"/>
      <c r="J300" s="39"/>
      <c r="K300" s="42"/>
      <c r="L300" s="9" t="s">
        <v>42</v>
      </c>
      <c r="M300" s="16"/>
      <c r="O300" s="10"/>
      <c r="P300" s="10"/>
      <c r="Q300" s="10"/>
      <c r="R300" s="10"/>
      <c r="S300" s="10"/>
      <c r="AA300" s="14">
        <f t="shared" si="8"/>
        <v>10</v>
      </c>
      <c r="AB300" s="47">
        <f t="shared" si="9"/>
        <v>9</v>
      </c>
      <c r="AD300" s="45"/>
      <c r="AE300" s="45"/>
      <c r="AF300" s="45"/>
      <c r="AG300" s="45"/>
      <c r="AH300" s="45"/>
      <c r="AI300" s="12"/>
      <c r="AJ300" s="13"/>
      <c r="AK300" s="45"/>
      <c r="AL300" s="45"/>
      <c r="AM300" s="45"/>
      <c r="AN300" s="45"/>
    </row>
    <row r="301" spans="1:40" s="46" customFormat="1" ht="14.4">
      <c r="A301" s="39">
        <v>41230</v>
      </c>
      <c r="B301" s="9" t="s">
        <v>2838</v>
      </c>
      <c r="C301" s="15">
        <v>755</v>
      </c>
      <c r="D301" s="41" t="s">
        <v>793</v>
      </c>
      <c r="E301" s="9" t="s">
        <v>134</v>
      </c>
      <c r="F301" s="9" t="s">
        <v>479</v>
      </c>
      <c r="G301" s="9"/>
      <c r="H301" s="39"/>
      <c r="I301" s="9"/>
      <c r="J301" s="39"/>
      <c r="K301" s="42"/>
      <c r="L301" s="9" t="s">
        <v>794</v>
      </c>
      <c r="M301" s="16"/>
      <c r="O301" s="10"/>
      <c r="P301" s="10"/>
      <c r="Q301" s="10"/>
      <c r="R301" s="10"/>
      <c r="S301" s="10"/>
      <c r="AA301" s="14">
        <f t="shared" si="8"/>
        <v>461</v>
      </c>
      <c r="AB301" s="47">
        <f t="shared" si="9"/>
        <v>460</v>
      </c>
      <c r="AD301" s="45"/>
      <c r="AE301" s="45"/>
      <c r="AF301" s="45"/>
      <c r="AG301" s="45"/>
      <c r="AH301" s="45"/>
      <c r="AI301" s="12"/>
      <c r="AJ301" s="13"/>
      <c r="AK301" s="45"/>
      <c r="AL301" s="45"/>
      <c r="AM301" s="45"/>
      <c r="AN301" s="45"/>
    </row>
    <row r="302" spans="1:40" s="46" customFormat="1" ht="24">
      <c r="A302" s="39">
        <v>41230</v>
      </c>
      <c r="B302" s="9" t="s">
        <v>1317</v>
      </c>
      <c r="C302" s="15">
        <v>266</v>
      </c>
      <c r="D302" s="41" t="s">
        <v>816</v>
      </c>
      <c r="E302" s="9" t="s">
        <v>22</v>
      </c>
      <c r="F302" s="9" t="s">
        <v>479</v>
      </c>
      <c r="G302" s="9"/>
      <c r="H302" s="39"/>
      <c r="I302" s="9"/>
      <c r="J302" s="39"/>
      <c r="K302" s="42"/>
      <c r="L302" s="9" t="s">
        <v>817</v>
      </c>
      <c r="M302" s="16"/>
      <c r="O302" s="10"/>
      <c r="P302" s="10"/>
      <c r="Q302" s="10"/>
      <c r="R302" s="10"/>
      <c r="S302" s="10"/>
      <c r="AA302" s="14">
        <f t="shared" si="8"/>
        <v>-489</v>
      </c>
      <c r="AB302" s="47">
        <f t="shared" si="9"/>
        <v>-490</v>
      </c>
      <c r="AD302" s="45"/>
      <c r="AE302" s="45"/>
      <c r="AF302" s="45"/>
      <c r="AG302" s="45"/>
      <c r="AH302" s="45"/>
      <c r="AI302" s="12"/>
      <c r="AJ302" s="13"/>
      <c r="AK302" s="45"/>
      <c r="AL302" s="45"/>
      <c r="AM302" s="45"/>
      <c r="AN302" s="45"/>
    </row>
    <row r="303" spans="1:40" s="46" customFormat="1" ht="24">
      <c r="A303" s="39">
        <v>41230</v>
      </c>
      <c r="B303" s="9" t="s">
        <v>1318</v>
      </c>
      <c r="C303" s="40">
        <v>267</v>
      </c>
      <c r="D303" s="41" t="s">
        <v>818</v>
      </c>
      <c r="E303" s="9" t="s">
        <v>22</v>
      </c>
      <c r="F303" s="9" t="s">
        <v>479</v>
      </c>
      <c r="G303" s="9"/>
      <c r="H303" s="39"/>
      <c r="I303" s="9"/>
      <c r="J303" s="39"/>
      <c r="K303" s="42"/>
      <c r="L303" s="9" t="s">
        <v>819</v>
      </c>
      <c r="M303" s="16"/>
      <c r="O303" s="10"/>
      <c r="P303" s="10"/>
      <c r="Q303" s="10"/>
      <c r="R303" s="10"/>
      <c r="S303" s="10"/>
      <c r="AA303" s="14">
        <f t="shared" si="8"/>
        <v>1</v>
      </c>
      <c r="AB303" s="47">
        <f t="shared" si="9"/>
        <v>0</v>
      </c>
      <c r="AD303" s="45"/>
      <c r="AE303" s="45"/>
      <c r="AF303" s="45"/>
      <c r="AG303" s="45"/>
      <c r="AH303" s="45"/>
      <c r="AI303" s="12"/>
      <c r="AJ303" s="13"/>
      <c r="AK303" s="45"/>
      <c r="AL303" s="45"/>
      <c r="AM303" s="45"/>
      <c r="AN303" s="45"/>
    </row>
    <row r="304" spans="1:40" s="46" customFormat="1" ht="24">
      <c r="A304" s="39">
        <v>41230</v>
      </c>
      <c r="B304" s="9" t="s">
        <v>1319</v>
      </c>
      <c r="C304" s="40">
        <v>268</v>
      </c>
      <c r="D304" s="41" t="s">
        <v>820</v>
      </c>
      <c r="E304" s="9" t="s">
        <v>22</v>
      </c>
      <c r="F304" s="9" t="s">
        <v>479</v>
      </c>
      <c r="G304" s="9"/>
      <c r="H304" s="39"/>
      <c r="I304" s="9"/>
      <c r="J304" s="39"/>
      <c r="K304" s="42"/>
      <c r="L304" s="9" t="s">
        <v>821</v>
      </c>
      <c r="M304" s="16"/>
      <c r="O304" s="10"/>
      <c r="P304" s="10"/>
      <c r="Q304" s="10"/>
      <c r="R304" s="10"/>
      <c r="S304" s="10"/>
      <c r="AA304" s="14">
        <f t="shared" si="8"/>
        <v>1</v>
      </c>
      <c r="AB304" s="47">
        <f t="shared" si="9"/>
        <v>0</v>
      </c>
      <c r="AD304" s="45"/>
      <c r="AE304" s="45"/>
      <c r="AF304" s="45"/>
      <c r="AG304" s="45"/>
      <c r="AH304" s="45"/>
      <c r="AI304" s="12"/>
      <c r="AJ304" s="13"/>
      <c r="AK304" s="45"/>
      <c r="AL304" s="45"/>
      <c r="AM304" s="45"/>
      <c r="AN304" s="45"/>
    </row>
    <row r="305" spans="1:40" s="46" customFormat="1" ht="14.4">
      <c r="A305" s="39">
        <v>41230</v>
      </c>
      <c r="B305" s="9"/>
      <c r="C305" s="15"/>
      <c r="D305" s="41" t="s">
        <v>937</v>
      </c>
      <c r="E305" s="9" t="s">
        <v>77</v>
      </c>
      <c r="F305" s="9" t="s">
        <v>935</v>
      </c>
      <c r="G305" s="9"/>
      <c r="H305" s="39"/>
      <c r="I305" s="9"/>
      <c r="J305" s="39"/>
      <c r="K305" s="42"/>
      <c r="L305" s="9" t="s">
        <v>938</v>
      </c>
      <c r="M305" s="16"/>
      <c r="O305" s="10"/>
      <c r="P305" s="10"/>
      <c r="Q305" s="10"/>
      <c r="R305" s="10"/>
      <c r="S305" s="10"/>
      <c r="AA305" s="14">
        <f t="shared" si="8"/>
        <v>-268</v>
      </c>
      <c r="AB305" s="47">
        <f t="shared" si="9"/>
        <v>-269</v>
      </c>
      <c r="AD305" s="45"/>
      <c r="AE305" s="45"/>
      <c r="AF305" s="45"/>
      <c r="AG305" s="45"/>
      <c r="AH305" s="45"/>
      <c r="AI305" s="12"/>
      <c r="AJ305" s="13"/>
      <c r="AK305" s="45"/>
      <c r="AL305" s="45"/>
      <c r="AM305" s="45"/>
      <c r="AN305" s="45"/>
    </row>
    <row r="306" spans="1:40" s="46" customFormat="1" ht="14.4">
      <c r="A306" s="39">
        <v>41230</v>
      </c>
      <c r="B306" s="9" t="s">
        <v>2121</v>
      </c>
      <c r="C306" s="15">
        <v>412</v>
      </c>
      <c r="D306" s="41" t="s">
        <v>939</v>
      </c>
      <c r="E306" s="9" t="s">
        <v>931</v>
      </c>
      <c r="F306" s="9" t="s">
        <v>479</v>
      </c>
      <c r="G306" s="9"/>
      <c r="H306" s="39"/>
      <c r="I306" s="9"/>
      <c r="J306" s="39"/>
      <c r="K306" s="42"/>
      <c r="L306" s="9"/>
      <c r="M306" s="16"/>
      <c r="O306" s="10"/>
      <c r="P306" s="10"/>
      <c r="Q306" s="10"/>
      <c r="R306" s="10"/>
      <c r="S306" s="10"/>
      <c r="AA306" s="14">
        <f t="shared" si="8"/>
        <v>412</v>
      </c>
      <c r="AB306" s="47">
        <f t="shared" si="9"/>
        <v>411</v>
      </c>
      <c r="AD306" s="45"/>
      <c r="AE306" s="45"/>
      <c r="AF306" s="45"/>
      <c r="AG306" s="45"/>
      <c r="AH306" s="45"/>
      <c r="AI306" s="12"/>
      <c r="AJ306" s="13"/>
      <c r="AK306" s="45"/>
      <c r="AL306" s="45"/>
      <c r="AM306" s="45"/>
      <c r="AN306" s="45"/>
    </row>
    <row r="307" spans="1:40" s="46" customFormat="1" ht="14.4">
      <c r="A307" s="39">
        <v>41230</v>
      </c>
      <c r="B307" s="9" t="s">
        <v>1165</v>
      </c>
      <c r="C307" s="40">
        <v>203</v>
      </c>
      <c r="D307" s="41" t="s">
        <v>651</v>
      </c>
      <c r="E307" s="9" t="s">
        <v>77</v>
      </c>
      <c r="F307" s="9" t="s">
        <v>479</v>
      </c>
      <c r="G307" s="9"/>
      <c r="H307" s="39"/>
      <c r="I307" s="9"/>
      <c r="J307" s="39"/>
      <c r="K307" s="42"/>
      <c r="L307" s="9" t="s">
        <v>19</v>
      </c>
      <c r="M307" s="16"/>
      <c r="O307" s="10"/>
      <c r="P307" s="10"/>
      <c r="Q307" s="10"/>
      <c r="R307" s="10"/>
      <c r="S307" s="10"/>
      <c r="AA307" s="14">
        <f t="shared" si="8"/>
        <v>-209</v>
      </c>
      <c r="AB307" s="47">
        <f t="shared" si="9"/>
        <v>-210</v>
      </c>
      <c r="AD307" s="45"/>
      <c r="AE307" s="45"/>
      <c r="AF307" s="45"/>
      <c r="AG307" s="45"/>
      <c r="AH307" s="45"/>
      <c r="AI307" s="12"/>
      <c r="AJ307" s="13"/>
      <c r="AK307" s="45"/>
      <c r="AL307" s="45"/>
      <c r="AM307" s="45"/>
      <c r="AN307" s="45"/>
    </row>
    <row r="308" spans="1:40" s="46" customFormat="1" ht="14.4">
      <c r="A308" s="39">
        <v>41230</v>
      </c>
      <c r="B308" s="9" t="s">
        <v>2652</v>
      </c>
      <c r="C308" s="15">
        <v>773</v>
      </c>
      <c r="D308" s="41" t="s">
        <v>940</v>
      </c>
      <c r="E308" s="9" t="s">
        <v>931</v>
      </c>
      <c r="F308" s="9" t="s">
        <v>479</v>
      </c>
      <c r="G308" s="9"/>
      <c r="H308" s="39"/>
      <c r="I308" s="9"/>
      <c r="J308" s="39"/>
      <c r="K308" s="42"/>
      <c r="L308" s="9" t="s">
        <v>941</v>
      </c>
      <c r="M308" s="16"/>
      <c r="O308" s="10"/>
      <c r="P308" s="10"/>
      <c r="Q308" s="10"/>
      <c r="R308" s="10"/>
      <c r="S308" s="10"/>
      <c r="AA308" s="14">
        <f t="shared" si="8"/>
        <v>570</v>
      </c>
      <c r="AB308" s="47">
        <f t="shared" si="9"/>
        <v>569</v>
      </c>
      <c r="AD308" s="45"/>
      <c r="AE308" s="45"/>
      <c r="AF308" s="45"/>
      <c r="AG308" s="45"/>
      <c r="AH308" s="45"/>
      <c r="AI308" s="12"/>
      <c r="AJ308" s="13"/>
      <c r="AK308" s="45"/>
      <c r="AL308" s="45"/>
      <c r="AM308" s="45"/>
      <c r="AN308" s="45"/>
    </row>
    <row r="309" spans="1:40" s="46" customFormat="1" ht="14.4">
      <c r="A309" s="39">
        <v>41230</v>
      </c>
      <c r="B309" s="9" t="s">
        <v>2728</v>
      </c>
      <c r="C309" s="40">
        <v>855</v>
      </c>
      <c r="D309" s="41" t="s">
        <v>665</v>
      </c>
      <c r="E309" s="9" t="s">
        <v>77</v>
      </c>
      <c r="F309" s="9" t="s">
        <v>935</v>
      </c>
      <c r="G309" s="9"/>
      <c r="H309" s="39"/>
      <c r="I309" s="9"/>
      <c r="J309" s="39"/>
      <c r="K309" s="42"/>
      <c r="L309" s="9" t="s">
        <v>19</v>
      </c>
      <c r="M309" s="16"/>
      <c r="O309" s="10"/>
      <c r="P309" s="10"/>
      <c r="Q309" s="10"/>
      <c r="R309" s="10"/>
      <c r="S309" s="10"/>
      <c r="AA309" s="14">
        <f t="shared" si="8"/>
        <v>82</v>
      </c>
      <c r="AB309" s="47">
        <f t="shared" si="9"/>
        <v>81</v>
      </c>
      <c r="AD309" s="45"/>
      <c r="AE309" s="45"/>
      <c r="AF309" s="45"/>
      <c r="AG309" s="45"/>
      <c r="AH309" s="45"/>
      <c r="AI309" s="12"/>
      <c r="AJ309" s="13"/>
      <c r="AK309" s="45"/>
      <c r="AL309" s="45"/>
      <c r="AM309" s="45"/>
      <c r="AN309" s="45"/>
    </row>
    <row r="310" spans="1:40" s="46" customFormat="1" ht="14.4">
      <c r="A310" s="39">
        <v>41230</v>
      </c>
      <c r="B310" s="9" t="s">
        <v>2677</v>
      </c>
      <c r="C310" s="15">
        <v>681</v>
      </c>
      <c r="D310" s="41" t="s">
        <v>942</v>
      </c>
      <c r="E310" s="9" t="s">
        <v>484</v>
      </c>
      <c r="F310" s="9" t="s">
        <v>479</v>
      </c>
      <c r="G310" s="9"/>
      <c r="H310" s="39"/>
      <c r="I310" s="9"/>
      <c r="J310" s="39"/>
      <c r="K310" s="42"/>
      <c r="L310" s="9" t="s">
        <v>943</v>
      </c>
      <c r="M310" s="16"/>
      <c r="O310" s="10"/>
      <c r="P310" s="10"/>
      <c r="Q310" s="10"/>
      <c r="R310" s="10"/>
      <c r="S310" s="10"/>
      <c r="AA310" s="14">
        <f t="shared" si="8"/>
        <v>-174</v>
      </c>
      <c r="AB310" s="47">
        <f t="shared" si="9"/>
        <v>-175</v>
      </c>
      <c r="AD310" s="45"/>
      <c r="AE310" s="45"/>
      <c r="AF310" s="45"/>
      <c r="AG310" s="45"/>
      <c r="AH310" s="45"/>
      <c r="AI310" s="12"/>
      <c r="AJ310" s="13"/>
      <c r="AK310" s="45"/>
      <c r="AL310" s="45"/>
      <c r="AM310" s="45"/>
      <c r="AN310" s="45"/>
    </row>
    <row r="311" spans="1:40" s="46" customFormat="1" ht="14.4">
      <c r="A311" s="39">
        <v>41230</v>
      </c>
      <c r="B311" s="9" t="s">
        <v>1203</v>
      </c>
      <c r="C311" s="40">
        <v>486</v>
      </c>
      <c r="D311" s="41" t="s">
        <v>685</v>
      </c>
      <c r="E311" s="9" t="s">
        <v>77</v>
      </c>
      <c r="F311" s="9" t="s">
        <v>479</v>
      </c>
      <c r="G311" s="9"/>
      <c r="H311" s="39"/>
      <c r="I311" s="9"/>
      <c r="J311" s="39"/>
      <c r="K311" s="42"/>
      <c r="L311" s="9" t="s">
        <v>686</v>
      </c>
      <c r="M311" s="16"/>
      <c r="O311" s="10"/>
      <c r="P311" s="10"/>
      <c r="Q311" s="10"/>
      <c r="R311" s="10"/>
      <c r="S311" s="10"/>
      <c r="AA311" s="14">
        <f t="shared" si="8"/>
        <v>-195</v>
      </c>
      <c r="AB311" s="47">
        <f t="shared" si="9"/>
        <v>-196</v>
      </c>
      <c r="AD311" s="45"/>
      <c r="AE311" s="45"/>
      <c r="AF311" s="45"/>
      <c r="AG311" s="45"/>
      <c r="AH311" s="45"/>
      <c r="AI311" s="12"/>
      <c r="AJ311" s="13"/>
      <c r="AK311" s="45"/>
      <c r="AL311" s="45"/>
      <c r="AM311" s="45"/>
      <c r="AN311" s="45"/>
    </row>
    <row r="312" spans="1:40" s="46" customFormat="1" ht="14.4">
      <c r="A312" s="39">
        <v>41230</v>
      </c>
      <c r="B312" s="9" t="s">
        <v>1343</v>
      </c>
      <c r="C312" s="40">
        <v>309</v>
      </c>
      <c r="D312" s="41" t="s">
        <v>662</v>
      </c>
      <c r="E312" s="9" t="s">
        <v>77</v>
      </c>
      <c r="F312" s="9" t="s">
        <v>479</v>
      </c>
      <c r="G312" s="9"/>
      <c r="H312" s="39"/>
      <c r="I312" s="9"/>
      <c r="J312" s="39"/>
      <c r="K312" s="42"/>
      <c r="L312" s="9" t="s">
        <v>663</v>
      </c>
      <c r="M312" s="16"/>
      <c r="O312" s="10"/>
      <c r="P312" s="10"/>
      <c r="Q312" s="10"/>
      <c r="R312" s="10"/>
      <c r="S312" s="10"/>
      <c r="AA312" s="14">
        <f t="shared" si="8"/>
        <v>-177</v>
      </c>
      <c r="AB312" s="47">
        <f t="shared" si="9"/>
        <v>-178</v>
      </c>
      <c r="AD312" s="45"/>
      <c r="AE312" s="45"/>
      <c r="AF312" s="45"/>
      <c r="AG312" s="45"/>
      <c r="AH312" s="45"/>
      <c r="AI312" s="12"/>
      <c r="AJ312" s="13"/>
      <c r="AK312" s="45"/>
      <c r="AL312" s="45"/>
      <c r="AM312" s="45"/>
      <c r="AN312" s="45"/>
    </row>
    <row r="313" spans="1:40" s="46" customFormat="1" ht="14.4">
      <c r="A313" s="39">
        <v>41230</v>
      </c>
      <c r="B313" s="9" t="s">
        <v>1164</v>
      </c>
      <c r="C313" s="40">
        <v>201</v>
      </c>
      <c r="D313" s="41" t="s">
        <v>649</v>
      </c>
      <c r="E313" s="9" t="s">
        <v>77</v>
      </c>
      <c r="F313" s="9" t="s">
        <v>479</v>
      </c>
      <c r="G313" s="9"/>
      <c r="H313" s="39"/>
      <c r="I313" s="9"/>
      <c r="J313" s="39"/>
      <c r="K313" s="42"/>
      <c r="L313" s="9" t="s">
        <v>650</v>
      </c>
      <c r="M313" s="16"/>
      <c r="O313" s="10"/>
      <c r="P313" s="10"/>
      <c r="Q313" s="10"/>
      <c r="R313" s="10"/>
      <c r="S313" s="10"/>
      <c r="AA313" s="14">
        <f t="shared" ref="AA313:AA370" si="10">C313-C312</f>
        <v>-108</v>
      </c>
      <c r="AB313" s="47">
        <f t="shared" ref="AB313:AB370" si="11">AA313-1</f>
        <v>-109</v>
      </c>
      <c r="AD313" s="45"/>
      <c r="AE313" s="45"/>
      <c r="AF313" s="45"/>
      <c r="AG313" s="45"/>
      <c r="AH313" s="45"/>
      <c r="AI313" s="12"/>
      <c r="AJ313" s="13"/>
      <c r="AK313" s="45"/>
      <c r="AL313" s="45"/>
      <c r="AM313" s="45"/>
      <c r="AN313" s="45"/>
    </row>
    <row r="314" spans="1:40" s="46" customFormat="1" ht="14.4">
      <c r="A314" s="39">
        <v>41230</v>
      </c>
      <c r="B314" s="9" t="s">
        <v>2127</v>
      </c>
      <c r="C314" s="40">
        <v>500</v>
      </c>
      <c r="D314" s="41" t="s">
        <v>883</v>
      </c>
      <c r="E314" s="9" t="s">
        <v>18</v>
      </c>
      <c r="F314" s="9" t="s">
        <v>479</v>
      </c>
      <c r="G314" s="9"/>
      <c r="H314" s="39"/>
      <c r="I314" s="9"/>
      <c r="J314" s="39"/>
      <c r="K314" s="42"/>
      <c r="L314" s="9" t="s">
        <v>884</v>
      </c>
      <c r="M314" s="16"/>
      <c r="O314" s="10"/>
      <c r="P314" s="10"/>
      <c r="Q314" s="10"/>
      <c r="R314" s="10"/>
      <c r="S314" s="10"/>
      <c r="AA314" s="14">
        <f t="shared" si="10"/>
        <v>299</v>
      </c>
      <c r="AB314" s="47">
        <f t="shared" si="11"/>
        <v>298</v>
      </c>
      <c r="AD314" s="45"/>
      <c r="AE314" s="45"/>
      <c r="AF314" s="45"/>
      <c r="AG314" s="45"/>
      <c r="AH314" s="45"/>
      <c r="AI314" s="12"/>
      <c r="AJ314" s="13"/>
      <c r="AK314" s="45"/>
      <c r="AL314" s="45"/>
      <c r="AM314" s="45"/>
      <c r="AN314" s="45"/>
    </row>
    <row r="315" spans="1:40" s="46" customFormat="1" ht="14.4">
      <c r="A315" s="39">
        <v>41230</v>
      </c>
      <c r="B315" s="9"/>
      <c r="C315" s="15"/>
      <c r="D315" s="41" t="s">
        <v>944</v>
      </c>
      <c r="E315" s="9" t="s">
        <v>931</v>
      </c>
      <c r="F315" s="9" t="s">
        <v>935</v>
      </c>
      <c r="G315" s="9"/>
      <c r="H315" s="39"/>
      <c r="I315" s="9"/>
      <c r="J315" s="39"/>
      <c r="K315" s="42"/>
      <c r="L315" s="9"/>
      <c r="M315" s="16"/>
      <c r="O315" s="10"/>
      <c r="P315" s="10"/>
      <c r="Q315" s="10"/>
      <c r="R315" s="10"/>
      <c r="S315" s="10"/>
      <c r="AA315" s="14">
        <f t="shared" si="10"/>
        <v>-500</v>
      </c>
      <c r="AB315" s="47">
        <f t="shared" si="11"/>
        <v>-501</v>
      </c>
      <c r="AD315" s="45"/>
      <c r="AE315" s="45"/>
      <c r="AF315" s="45"/>
      <c r="AG315" s="45"/>
      <c r="AH315" s="45"/>
      <c r="AI315" s="12"/>
      <c r="AJ315" s="13"/>
      <c r="AK315" s="45"/>
      <c r="AL315" s="45"/>
      <c r="AM315" s="45"/>
      <c r="AN315" s="45"/>
    </row>
    <row r="316" spans="1:40" s="46" customFormat="1" ht="14.4">
      <c r="A316" s="39">
        <v>41230</v>
      </c>
      <c r="B316" s="9"/>
      <c r="C316" s="40"/>
      <c r="D316" s="84" t="s">
        <v>1271</v>
      </c>
      <c r="E316" s="82" t="s">
        <v>265</v>
      </c>
      <c r="F316" s="9" t="s">
        <v>935</v>
      </c>
      <c r="G316" s="9"/>
      <c r="H316" s="39"/>
      <c r="I316" s="9"/>
      <c r="J316" s="39"/>
      <c r="K316" s="42" t="s">
        <v>2273</v>
      </c>
      <c r="L316" s="9" t="s">
        <v>42</v>
      </c>
      <c r="M316" s="16"/>
      <c r="O316" s="10"/>
      <c r="P316" s="10"/>
      <c r="Q316" s="10"/>
      <c r="R316" s="10"/>
      <c r="S316" s="10"/>
      <c r="AA316" s="14">
        <f t="shared" si="10"/>
        <v>0</v>
      </c>
      <c r="AB316" s="47">
        <f t="shared" si="11"/>
        <v>-1</v>
      </c>
      <c r="AD316" s="45"/>
      <c r="AE316" s="45"/>
      <c r="AF316" s="45"/>
      <c r="AG316" s="45"/>
      <c r="AH316" s="45"/>
      <c r="AI316" s="12"/>
      <c r="AJ316" s="13"/>
      <c r="AK316" s="45"/>
      <c r="AL316" s="45"/>
      <c r="AM316" s="45"/>
      <c r="AN316" s="45"/>
    </row>
    <row r="317" spans="1:40" s="46" customFormat="1" ht="14.4">
      <c r="A317" s="39">
        <v>41230</v>
      </c>
      <c r="B317" s="9" t="s">
        <v>1308</v>
      </c>
      <c r="C317" s="40">
        <v>291</v>
      </c>
      <c r="D317" s="41" t="s">
        <v>770</v>
      </c>
      <c r="E317" s="9" t="s">
        <v>77</v>
      </c>
      <c r="F317" s="9" t="s">
        <v>479</v>
      </c>
      <c r="G317" s="9"/>
      <c r="H317" s="39"/>
      <c r="I317" s="9"/>
      <c r="J317" s="39"/>
      <c r="K317" s="42"/>
      <c r="L317" s="9" t="s">
        <v>771</v>
      </c>
      <c r="M317" s="16"/>
      <c r="O317" s="10"/>
      <c r="P317" s="10"/>
      <c r="Q317" s="10"/>
      <c r="R317" s="10"/>
      <c r="S317" s="10"/>
      <c r="AA317" s="14">
        <f t="shared" si="10"/>
        <v>291</v>
      </c>
      <c r="AB317" s="47">
        <f t="shared" si="11"/>
        <v>290</v>
      </c>
      <c r="AD317" s="45"/>
      <c r="AE317" s="45"/>
      <c r="AF317" s="45"/>
      <c r="AG317" s="45"/>
      <c r="AH317" s="45"/>
      <c r="AI317" s="12"/>
      <c r="AJ317" s="13"/>
      <c r="AK317" s="45"/>
      <c r="AL317" s="45"/>
      <c r="AM317" s="45"/>
      <c r="AN317" s="45"/>
    </row>
    <row r="318" spans="1:40" s="46" customFormat="1" ht="14.4">
      <c r="A318" s="39">
        <v>41230</v>
      </c>
      <c r="B318" s="9" t="s">
        <v>2097</v>
      </c>
      <c r="C318" s="40">
        <v>476</v>
      </c>
      <c r="D318" s="41" t="s">
        <v>893</v>
      </c>
      <c r="E318" s="9" t="s">
        <v>18</v>
      </c>
      <c r="F318" s="9" t="s">
        <v>479</v>
      </c>
      <c r="G318" s="9"/>
      <c r="H318" s="39"/>
      <c r="I318" s="9"/>
      <c r="J318" s="39"/>
      <c r="K318" s="42"/>
      <c r="L318" s="9" t="s">
        <v>42</v>
      </c>
      <c r="M318" s="16"/>
      <c r="O318" s="10"/>
      <c r="P318" s="10"/>
      <c r="Q318" s="10"/>
      <c r="R318" s="10"/>
      <c r="S318" s="10"/>
      <c r="AA318" s="14">
        <f t="shared" si="10"/>
        <v>185</v>
      </c>
      <c r="AB318" s="47">
        <f t="shared" si="11"/>
        <v>184</v>
      </c>
      <c r="AD318" s="45"/>
      <c r="AE318" s="45"/>
      <c r="AF318" s="45"/>
      <c r="AG318" s="45"/>
      <c r="AH318" s="45"/>
      <c r="AI318" s="12"/>
      <c r="AJ318" s="13"/>
      <c r="AK318" s="45"/>
      <c r="AL318" s="45"/>
      <c r="AM318" s="45"/>
      <c r="AN318" s="45"/>
    </row>
    <row r="319" spans="1:40" s="46" customFormat="1" ht="14.4">
      <c r="A319" s="39">
        <v>41230</v>
      </c>
      <c r="B319" s="9" t="s">
        <v>1202</v>
      </c>
      <c r="C319" s="40">
        <v>467</v>
      </c>
      <c r="D319" s="41" t="s">
        <v>760</v>
      </c>
      <c r="E319" s="9" t="s">
        <v>77</v>
      </c>
      <c r="F319" s="9" t="s">
        <v>479</v>
      </c>
      <c r="G319" s="9"/>
      <c r="H319" s="39"/>
      <c r="I319" s="9"/>
      <c r="J319" s="39"/>
      <c r="K319" s="42"/>
      <c r="L319" s="9" t="s">
        <v>761</v>
      </c>
      <c r="M319" s="16"/>
      <c r="O319" s="10"/>
      <c r="P319" s="10"/>
      <c r="Q319" s="10"/>
      <c r="R319" s="10"/>
      <c r="S319" s="10"/>
      <c r="AA319" s="14">
        <f t="shared" si="10"/>
        <v>-9</v>
      </c>
      <c r="AB319" s="47">
        <f t="shared" si="11"/>
        <v>-10</v>
      </c>
      <c r="AD319" s="45"/>
      <c r="AE319" s="45"/>
      <c r="AF319" s="45"/>
      <c r="AG319" s="45"/>
      <c r="AH319" s="45"/>
      <c r="AI319" s="12"/>
      <c r="AJ319" s="13"/>
      <c r="AK319" s="45"/>
      <c r="AL319" s="45"/>
      <c r="AM319" s="45"/>
      <c r="AN319" s="45"/>
    </row>
    <row r="320" spans="1:40" s="53" customFormat="1" ht="14.4">
      <c r="A320" s="39">
        <v>41230</v>
      </c>
      <c r="B320" s="9" t="s">
        <v>1309</v>
      </c>
      <c r="C320" s="40">
        <v>292</v>
      </c>
      <c r="D320" s="41" t="s">
        <v>772</v>
      </c>
      <c r="E320" s="9" t="s">
        <v>77</v>
      </c>
      <c r="F320" s="9" t="s">
        <v>479</v>
      </c>
      <c r="G320" s="9"/>
      <c r="H320" s="39"/>
      <c r="I320" s="9"/>
      <c r="J320" s="39"/>
      <c r="K320" s="42"/>
      <c r="L320" s="9" t="s">
        <v>773</v>
      </c>
      <c r="M320" s="9"/>
      <c r="O320" s="45"/>
      <c r="P320" s="45"/>
      <c r="Q320" s="45"/>
      <c r="R320" s="45"/>
      <c r="S320" s="45"/>
      <c r="AA320" s="75" t="e">
        <f>C320-#REF!</f>
        <v>#REF!</v>
      </c>
      <c r="AB320" s="76" t="e">
        <f t="shared" si="11"/>
        <v>#REF!</v>
      </c>
      <c r="AD320" s="45"/>
      <c r="AE320" s="45"/>
      <c r="AF320" s="45"/>
      <c r="AG320" s="45"/>
      <c r="AH320" s="45"/>
      <c r="AI320" s="12"/>
      <c r="AJ320" s="13"/>
      <c r="AK320" s="45"/>
      <c r="AL320" s="45"/>
      <c r="AM320" s="45"/>
      <c r="AN320" s="45"/>
    </row>
    <row r="321" spans="1:40" s="46" customFormat="1" ht="14.4">
      <c r="A321" s="39">
        <v>41230</v>
      </c>
      <c r="B321" s="9" t="s">
        <v>2006</v>
      </c>
      <c r="C321" s="15">
        <v>360</v>
      </c>
      <c r="D321" s="41" t="s">
        <v>945</v>
      </c>
      <c r="E321" s="9" t="s">
        <v>484</v>
      </c>
      <c r="F321" s="9" t="s">
        <v>479</v>
      </c>
      <c r="G321" s="9"/>
      <c r="H321" s="39"/>
      <c r="I321" s="9"/>
      <c r="J321" s="39"/>
      <c r="K321" s="42"/>
      <c r="L321" s="9" t="s">
        <v>946</v>
      </c>
      <c r="M321" s="16"/>
      <c r="O321" s="10"/>
      <c r="P321" s="10"/>
      <c r="Q321" s="10"/>
      <c r="R321" s="10"/>
      <c r="S321" s="10"/>
      <c r="AA321" s="14">
        <f t="shared" si="10"/>
        <v>68</v>
      </c>
      <c r="AB321" s="47">
        <f t="shared" si="11"/>
        <v>67</v>
      </c>
      <c r="AD321" s="45"/>
      <c r="AE321" s="45"/>
      <c r="AF321" s="45"/>
      <c r="AG321" s="45"/>
      <c r="AH321" s="45"/>
      <c r="AI321" s="12"/>
      <c r="AJ321" s="13"/>
      <c r="AK321" s="45"/>
      <c r="AL321" s="45"/>
      <c r="AM321" s="45"/>
      <c r="AN321" s="45"/>
    </row>
    <row r="322" spans="1:40" s="46" customFormat="1" ht="14.4">
      <c r="A322" s="39">
        <v>41230</v>
      </c>
      <c r="B322" s="9"/>
      <c r="C322" s="15"/>
      <c r="D322" s="41" t="s">
        <v>947</v>
      </c>
      <c r="E322" s="9" t="s">
        <v>484</v>
      </c>
      <c r="F322" s="9" t="s">
        <v>935</v>
      </c>
      <c r="G322" s="9"/>
      <c r="H322" s="39"/>
      <c r="I322" s="9"/>
      <c r="J322" s="39"/>
      <c r="K322" s="42"/>
      <c r="L322" s="9"/>
      <c r="M322" s="16"/>
      <c r="O322" s="10"/>
      <c r="P322" s="10"/>
      <c r="Q322" s="10"/>
      <c r="R322" s="10"/>
      <c r="S322" s="10"/>
      <c r="AA322" s="14">
        <f t="shared" si="10"/>
        <v>-360</v>
      </c>
      <c r="AB322" s="47">
        <f t="shared" si="11"/>
        <v>-361</v>
      </c>
      <c r="AD322" s="45"/>
      <c r="AE322" s="45"/>
      <c r="AF322" s="45"/>
      <c r="AG322" s="45"/>
      <c r="AH322" s="45"/>
      <c r="AI322" s="12"/>
      <c r="AJ322" s="13"/>
      <c r="AK322" s="45"/>
      <c r="AL322" s="45"/>
      <c r="AM322" s="45"/>
      <c r="AN322" s="45"/>
    </row>
    <row r="323" spans="1:40" s="46" customFormat="1" ht="14.4">
      <c r="A323" s="39">
        <v>41230</v>
      </c>
      <c r="B323" s="9" t="s">
        <v>1156</v>
      </c>
      <c r="C323" s="40">
        <v>189</v>
      </c>
      <c r="D323" s="41" t="s">
        <v>726</v>
      </c>
      <c r="E323" s="9" t="s">
        <v>77</v>
      </c>
      <c r="F323" s="9" t="s">
        <v>479</v>
      </c>
      <c r="G323" s="9"/>
      <c r="H323" s="39"/>
      <c r="I323" s="9"/>
      <c r="J323" s="39"/>
      <c r="K323" s="42"/>
      <c r="L323" s="9" t="s">
        <v>42</v>
      </c>
      <c r="M323" s="16"/>
      <c r="O323" s="10"/>
      <c r="P323" s="10"/>
      <c r="Q323" s="10"/>
      <c r="R323" s="10"/>
      <c r="S323" s="10"/>
      <c r="AA323" s="14">
        <f t="shared" si="10"/>
        <v>189</v>
      </c>
      <c r="AB323" s="47">
        <f t="shared" si="11"/>
        <v>188</v>
      </c>
      <c r="AD323" s="45"/>
      <c r="AE323" s="45"/>
      <c r="AF323" s="45"/>
      <c r="AG323" s="45"/>
      <c r="AH323" s="45"/>
      <c r="AI323" s="12"/>
      <c r="AJ323" s="13"/>
      <c r="AK323" s="45"/>
      <c r="AL323" s="45"/>
      <c r="AM323" s="45"/>
      <c r="AN323" s="45"/>
    </row>
    <row r="324" spans="1:40" s="46" customFormat="1" ht="14.4">
      <c r="A324" s="39">
        <v>41230</v>
      </c>
      <c r="B324" s="9" t="s">
        <v>1088</v>
      </c>
      <c r="C324" s="15">
        <v>218</v>
      </c>
      <c r="D324" s="41" t="s">
        <v>754</v>
      </c>
      <c r="E324" s="9" t="s">
        <v>77</v>
      </c>
      <c r="F324" s="9" t="s">
        <v>479</v>
      </c>
      <c r="G324" s="9"/>
      <c r="H324" s="39"/>
      <c r="I324" s="9"/>
      <c r="J324" s="39"/>
      <c r="K324" s="42"/>
      <c r="L324" s="9" t="s">
        <v>755</v>
      </c>
      <c r="M324" s="16"/>
      <c r="O324" s="10"/>
      <c r="P324" s="10"/>
      <c r="Q324" s="10"/>
      <c r="R324" s="10"/>
      <c r="S324" s="10"/>
      <c r="AA324" s="14">
        <f t="shared" si="10"/>
        <v>29</v>
      </c>
      <c r="AB324" s="47">
        <f t="shared" si="11"/>
        <v>28</v>
      </c>
      <c r="AD324" s="45"/>
      <c r="AE324" s="45"/>
      <c r="AF324" s="45"/>
      <c r="AG324" s="45"/>
      <c r="AH324" s="45"/>
      <c r="AI324" s="12"/>
      <c r="AJ324" s="13"/>
      <c r="AK324" s="45"/>
      <c r="AL324" s="45"/>
      <c r="AM324" s="45"/>
      <c r="AN324" s="45"/>
    </row>
    <row r="325" spans="1:40" s="46" customFormat="1" ht="14.4">
      <c r="A325" s="39">
        <v>41230</v>
      </c>
      <c r="B325" s="9" t="s">
        <v>1191</v>
      </c>
      <c r="C325" s="40">
        <v>339</v>
      </c>
      <c r="D325" s="41" t="s">
        <v>837</v>
      </c>
      <c r="E325" s="9" t="s">
        <v>18</v>
      </c>
      <c r="F325" s="9" t="s">
        <v>479</v>
      </c>
      <c r="G325" s="9"/>
      <c r="H325" s="39"/>
      <c r="I325" s="9"/>
      <c r="J325" s="39"/>
      <c r="K325" s="42"/>
      <c r="L325" s="9" t="s">
        <v>838</v>
      </c>
      <c r="M325" s="16"/>
      <c r="O325" s="10"/>
      <c r="P325" s="10"/>
      <c r="Q325" s="10"/>
      <c r="R325" s="10"/>
      <c r="S325" s="10"/>
      <c r="AA325" s="14" t="e">
        <f>C325-#REF!</f>
        <v>#REF!</v>
      </c>
      <c r="AB325" s="47" t="e">
        <f t="shared" si="11"/>
        <v>#REF!</v>
      </c>
      <c r="AD325" s="45"/>
      <c r="AE325" s="45"/>
      <c r="AF325" s="45"/>
      <c r="AG325" s="45"/>
      <c r="AH325" s="45"/>
      <c r="AI325" s="12"/>
      <c r="AJ325" s="13"/>
      <c r="AK325" s="45"/>
      <c r="AL325" s="45"/>
      <c r="AM325" s="45"/>
      <c r="AN325" s="45"/>
    </row>
    <row r="326" spans="1:40" s="53" customFormat="1" ht="14.4">
      <c r="A326" s="39">
        <v>41230</v>
      </c>
      <c r="B326" s="9" t="s">
        <v>2061</v>
      </c>
      <c r="C326" s="40">
        <v>427</v>
      </c>
      <c r="D326" s="41" t="s">
        <v>839</v>
      </c>
      <c r="E326" s="9" t="s">
        <v>18</v>
      </c>
      <c r="F326" s="9" t="s">
        <v>479</v>
      </c>
      <c r="G326" s="9"/>
      <c r="H326" s="39"/>
      <c r="I326" s="9"/>
      <c r="J326" s="39"/>
      <c r="K326" s="48"/>
      <c r="L326" s="9" t="s">
        <v>840</v>
      </c>
      <c r="M326" s="9"/>
      <c r="O326" s="45"/>
      <c r="P326" s="45"/>
      <c r="Q326" s="45"/>
      <c r="R326" s="45"/>
      <c r="S326" s="45"/>
      <c r="AA326" s="75">
        <f t="shared" si="10"/>
        <v>88</v>
      </c>
      <c r="AB326" s="76">
        <f t="shared" si="11"/>
        <v>87</v>
      </c>
      <c r="AD326" s="45"/>
      <c r="AE326" s="45"/>
      <c r="AF326" s="45"/>
      <c r="AG326" s="45"/>
      <c r="AH326" s="45"/>
      <c r="AI326" s="12"/>
      <c r="AJ326" s="13"/>
      <c r="AK326" s="45"/>
      <c r="AL326" s="45"/>
      <c r="AM326" s="45"/>
      <c r="AN326" s="45"/>
    </row>
    <row r="327" spans="1:40" s="46" customFormat="1" ht="14.4">
      <c r="A327" s="39">
        <v>41230</v>
      </c>
      <c r="B327" s="9" t="s">
        <v>1197</v>
      </c>
      <c r="C327" s="40">
        <v>346</v>
      </c>
      <c r="D327" s="41" t="s">
        <v>720</v>
      </c>
      <c r="E327" s="9" t="s">
        <v>77</v>
      </c>
      <c r="F327" s="9" t="s">
        <v>479</v>
      </c>
      <c r="G327" s="9"/>
      <c r="H327" s="39"/>
      <c r="I327" s="9"/>
      <c r="J327" s="39"/>
      <c r="K327" s="42"/>
      <c r="L327" s="9" t="s">
        <v>721</v>
      </c>
      <c r="M327" s="16"/>
      <c r="O327" s="10"/>
      <c r="P327" s="10"/>
      <c r="Q327" s="10"/>
      <c r="R327" s="10"/>
      <c r="S327" s="10"/>
      <c r="AA327" s="14">
        <f t="shared" si="10"/>
        <v>-81</v>
      </c>
      <c r="AB327" s="47">
        <f t="shared" si="11"/>
        <v>-82</v>
      </c>
      <c r="AD327" s="45"/>
      <c r="AE327" s="45"/>
      <c r="AF327" s="45"/>
      <c r="AG327" s="45"/>
      <c r="AH327" s="45"/>
      <c r="AI327" s="12"/>
      <c r="AJ327" s="13"/>
      <c r="AK327" s="45"/>
      <c r="AL327" s="45"/>
      <c r="AM327" s="45"/>
      <c r="AN327" s="45"/>
    </row>
    <row r="328" spans="1:40" s="46" customFormat="1" ht="14.4">
      <c r="A328" s="39">
        <v>41230</v>
      </c>
      <c r="B328" s="9" t="s">
        <v>1158</v>
      </c>
      <c r="C328" s="40">
        <v>191</v>
      </c>
      <c r="D328" s="41" t="s">
        <v>722</v>
      </c>
      <c r="E328" s="9" t="s">
        <v>77</v>
      </c>
      <c r="F328" s="9" t="s">
        <v>479</v>
      </c>
      <c r="G328" s="9"/>
      <c r="H328" s="39"/>
      <c r="I328" s="9"/>
      <c r="J328" s="39"/>
      <c r="K328" s="42"/>
      <c r="L328" s="9" t="s">
        <v>723</v>
      </c>
      <c r="M328" s="16"/>
      <c r="O328" s="10"/>
      <c r="P328" s="10"/>
      <c r="Q328" s="10"/>
      <c r="R328" s="10"/>
      <c r="S328" s="10"/>
      <c r="AA328" s="14">
        <f t="shared" si="10"/>
        <v>-155</v>
      </c>
      <c r="AB328" s="47">
        <f t="shared" si="11"/>
        <v>-156</v>
      </c>
      <c r="AD328" s="45"/>
      <c r="AE328" s="45"/>
      <c r="AF328" s="45"/>
      <c r="AG328" s="45"/>
      <c r="AH328" s="45"/>
      <c r="AI328" s="12"/>
      <c r="AJ328" s="13"/>
      <c r="AK328" s="45"/>
      <c r="AL328" s="45"/>
      <c r="AM328" s="45"/>
      <c r="AN328" s="45"/>
    </row>
    <row r="329" spans="1:40" s="46" customFormat="1" ht="14.4">
      <c r="A329" s="39">
        <v>41230</v>
      </c>
      <c r="B329" s="9" t="s">
        <v>1336</v>
      </c>
      <c r="C329" s="40">
        <v>302</v>
      </c>
      <c r="D329" s="41" t="s">
        <v>815</v>
      </c>
      <c r="E329" s="9" t="s">
        <v>57</v>
      </c>
      <c r="F329" s="9" t="s">
        <v>479</v>
      </c>
      <c r="G329" s="9"/>
      <c r="H329" s="39"/>
      <c r="I329" s="9"/>
      <c r="J329" s="39"/>
      <c r="K329" s="42"/>
      <c r="L329" s="9" t="s">
        <v>42</v>
      </c>
      <c r="M329" s="16"/>
      <c r="O329" s="10"/>
      <c r="P329" s="10"/>
      <c r="Q329" s="10"/>
      <c r="R329" s="10"/>
      <c r="S329" s="10"/>
      <c r="AA329" s="14">
        <f t="shared" si="10"/>
        <v>111</v>
      </c>
      <c r="AB329" s="47">
        <f t="shared" si="11"/>
        <v>110</v>
      </c>
      <c r="AD329" s="45"/>
      <c r="AE329" s="45"/>
      <c r="AF329" s="45"/>
      <c r="AG329" s="45"/>
      <c r="AH329" s="45"/>
      <c r="AI329" s="12"/>
      <c r="AJ329" s="13"/>
      <c r="AK329" s="45"/>
      <c r="AL329" s="45"/>
      <c r="AM329" s="45"/>
      <c r="AN329" s="45"/>
    </row>
    <row r="330" spans="1:40" s="46" customFormat="1" ht="14.4">
      <c r="A330" s="39">
        <v>41230</v>
      </c>
      <c r="B330" s="9" t="s">
        <v>2039</v>
      </c>
      <c r="C330" s="15">
        <v>399</v>
      </c>
      <c r="D330" s="41" t="s">
        <v>948</v>
      </c>
      <c r="E330" s="9" t="s">
        <v>484</v>
      </c>
      <c r="F330" s="9" t="s">
        <v>479</v>
      </c>
      <c r="G330" s="9"/>
      <c r="H330" s="39"/>
      <c r="I330" s="9"/>
      <c r="J330" s="39"/>
      <c r="K330" s="42"/>
      <c r="L330" s="9" t="s">
        <v>949</v>
      </c>
      <c r="M330" s="16"/>
      <c r="O330" s="10"/>
      <c r="P330" s="10"/>
      <c r="Q330" s="10"/>
      <c r="R330" s="10"/>
      <c r="S330" s="10"/>
      <c r="AA330" s="14">
        <f t="shared" si="10"/>
        <v>97</v>
      </c>
      <c r="AB330" s="47">
        <f t="shared" si="11"/>
        <v>96</v>
      </c>
      <c r="AD330" s="45"/>
      <c r="AE330" s="45"/>
      <c r="AF330" s="45"/>
      <c r="AG330" s="45"/>
      <c r="AH330" s="45"/>
      <c r="AI330" s="12"/>
      <c r="AJ330" s="13"/>
      <c r="AK330" s="45"/>
      <c r="AL330" s="45"/>
      <c r="AM330" s="45"/>
      <c r="AN330" s="45"/>
    </row>
    <row r="331" spans="1:40" s="46" customFormat="1" ht="14.4">
      <c r="A331" s="39">
        <v>41230</v>
      </c>
      <c r="B331" s="9" t="s">
        <v>1321</v>
      </c>
      <c r="C331" s="40">
        <v>270</v>
      </c>
      <c r="D331" s="41" t="s">
        <v>691</v>
      </c>
      <c r="E331" s="9" t="s">
        <v>77</v>
      </c>
      <c r="F331" s="9" t="s">
        <v>479</v>
      </c>
      <c r="G331" s="9"/>
      <c r="H331" s="39"/>
      <c r="I331" s="9"/>
      <c r="J331" s="39"/>
      <c r="K331" s="42"/>
      <c r="L331" s="9" t="s">
        <v>42</v>
      </c>
      <c r="M331" s="16"/>
      <c r="O331" s="10"/>
      <c r="P331" s="10"/>
      <c r="Q331" s="10"/>
      <c r="R331" s="10"/>
      <c r="S331" s="10"/>
      <c r="AA331" s="14">
        <f t="shared" si="10"/>
        <v>-129</v>
      </c>
      <c r="AB331" s="47">
        <f t="shared" si="11"/>
        <v>-130</v>
      </c>
      <c r="AD331" s="45"/>
      <c r="AE331" s="45"/>
      <c r="AF331" s="45"/>
      <c r="AG331" s="45"/>
      <c r="AH331" s="45"/>
      <c r="AI331" s="12"/>
      <c r="AJ331" s="13"/>
      <c r="AK331" s="45"/>
      <c r="AL331" s="45"/>
      <c r="AM331" s="45"/>
      <c r="AN331" s="45"/>
    </row>
    <row r="332" spans="1:40" s="46" customFormat="1" ht="14.4">
      <c r="A332" s="39">
        <v>41230</v>
      </c>
      <c r="B332" s="9" t="s">
        <v>1201</v>
      </c>
      <c r="C332" s="40">
        <v>465</v>
      </c>
      <c r="D332" s="41" t="s">
        <v>695</v>
      </c>
      <c r="E332" s="9" t="s">
        <v>77</v>
      </c>
      <c r="F332" s="9" t="s">
        <v>479</v>
      </c>
      <c r="G332" s="9"/>
      <c r="H332" s="39"/>
      <c r="I332" s="9"/>
      <c r="J332" s="39"/>
      <c r="K332" s="42"/>
      <c r="L332" s="9" t="s">
        <v>696</v>
      </c>
      <c r="M332" s="16"/>
      <c r="O332" s="10"/>
      <c r="P332" s="10"/>
      <c r="Q332" s="10"/>
      <c r="R332" s="10"/>
      <c r="S332" s="10"/>
      <c r="AA332" s="14">
        <f t="shared" si="10"/>
        <v>195</v>
      </c>
      <c r="AB332" s="47">
        <f t="shared" si="11"/>
        <v>194</v>
      </c>
      <c r="AD332" s="45"/>
      <c r="AE332" s="45"/>
      <c r="AF332" s="45"/>
      <c r="AG332" s="45"/>
      <c r="AH332" s="45"/>
      <c r="AI332" s="12"/>
      <c r="AJ332" s="13"/>
      <c r="AK332" s="45"/>
      <c r="AL332" s="45"/>
      <c r="AM332" s="45"/>
      <c r="AN332" s="45"/>
    </row>
    <row r="333" spans="1:40" s="46" customFormat="1" ht="14.4">
      <c r="A333" s="39">
        <v>41230</v>
      </c>
      <c r="B333" s="9" t="s">
        <v>1083</v>
      </c>
      <c r="C333" s="40">
        <v>205</v>
      </c>
      <c r="D333" s="41" t="s">
        <v>693</v>
      </c>
      <c r="E333" s="9" t="s">
        <v>77</v>
      </c>
      <c r="F333" s="9" t="s">
        <v>479</v>
      </c>
      <c r="G333" s="9"/>
      <c r="H333" s="39"/>
      <c r="I333" s="9"/>
      <c r="J333" s="39"/>
      <c r="K333" s="42"/>
      <c r="L333" s="9" t="s">
        <v>694</v>
      </c>
      <c r="M333" s="16"/>
      <c r="O333" s="10"/>
      <c r="P333" s="10"/>
      <c r="Q333" s="10"/>
      <c r="R333" s="10"/>
      <c r="S333" s="10"/>
      <c r="AA333" s="14">
        <f t="shared" si="10"/>
        <v>-260</v>
      </c>
      <c r="AB333" s="47">
        <f t="shared" si="11"/>
        <v>-261</v>
      </c>
      <c r="AD333" s="45"/>
      <c r="AE333" s="45"/>
      <c r="AF333" s="45"/>
      <c r="AG333" s="45"/>
      <c r="AH333" s="45"/>
      <c r="AI333" s="12"/>
      <c r="AJ333" s="13"/>
      <c r="AK333" s="45"/>
      <c r="AL333" s="45"/>
      <c r="AM333" s="45"/>
      <c r="AN333" s="45"/>
    </row>
    <row r="334" spans="1:40" s="46" customFormat="1" ht="14.4">
      <c r="A334" s="39">
        <v>41230</v>
      </c>
      <c r="B334" s="9" t="s">
        <v>1169</v>
      </c>
      <c r="C334" s="40">
        <v>208</v>
      </c>
      <c r="D334" s="41" t="s">
        <v>658</v>
      </c>
      <c r="E334" s="9" t="s">
        <v>77</v>
      </c>
      <c r="F334" s="9" t="s">
        <v>479</v>
      </c>
      <c r="G334" s="9"/>
      <c r="H334" s="39"/>
      <c r="I334" s="9"/>
      <c r="J334" s="39"/>
      <c r="K334" s="42"/>
      <c r="L334" s="9" t="s">
        <v>659</v>
      </c>
      <c r="M334" s="16"/>
      <c r="O334" s="10"/>
      <c r="P334" s="10"/>
      <c r="Q334" s="10"/>
      <c r="R334" s="10"/>
      <c r="S334" s="10"/>
      <c r="AA334" s="14">
        <f t="shared" si="10"/>
        <v>3</v>
      </c>
      <c r="AB334" s="47">
        <f t="shared" si="11"/>
        <v>2</v>
      </c>
      <c r="AD334" s="45"/>
      <c r="AE334" s="45"/>
      <c r="AF334" s="45"/>
      <c r="AG334" s="45"/>
      <c r="AH334" s="45"/>
      <c r="AI334" s="12"/>
      <c r="AJ334" s="13"/>
      <c r="AK334" s="45"/>
      <c r="AL334" s="45"/>
      <c r="AM334" s="45"/>
      <c r="AN334" s="45"/>
    </row>
    <row r="335" spans="1:40" s="53" customFormat="1" ht="14.4">
      <c r="A335" s="39">
        <v>41230</v>
      </c>
      <c r="B335" s="9" t="s">
        <v>2890</v>
      </c>
      <c r="C335" s="40">
        <v>823</v>
      </c>
      <c r="D335" s="41" t="s">
        <v>702</v>
      </c>
      <c r="E335" s="9" t="s">
        <v>77</v>
      </c>
      <c r="F335" s="9" t="s">
        <v>935</v>
      </c>
      <c r="G335" s="9"/>
      <c r="H335" s="39"/>
      <c r="I335" s="9"/>
      <c r="J335" s="39"/>
      <c r="K335" s="51"/>
      <c r="L335" s="9" t="s">
        <v>703</v>
      </c>
      <c r="M335" s="9"/>
      <c r="O335" s="45"/>
      <c r="P335" s="45"/>
      <c r="Q335" s="45"/>
      <c r="R335" s="45"/>
      <c r="S335" s="45"/>
      <c r="AA335" s="75">
        <f t="shared" si="10"/>
        <v>615</v>
      </c>
      <c r="AB335" s="76">
        <f t="shared" si="11"/>
        <v>614</v>
      </c>
      <c r="AD335" s="45"/>
      <c r="AE335" s="45"/>
      <c r="AF335" s="45"/>
      <c r="AG335" s="45"/>
      <c r="AH335" s="45"/>
      <c r="AI335" s="12"/>
      <c r="AJ335" s="13"/>
      <c r="AK335" s="45"/>
      <c r="AL335" s="45"/>
      <c r="AM335" s="45"/>
      <c r="AN335" s="45"/>
    </row>
    <row r="336" spans="1:40" s="53" customFormat="1" ht="14.4">
      <c r="A336" s="39">
        <v>41230</v>
      </c>
      <c r="B336" s="9" t="s">
        <v>1141</v>
      </c>
      <c r="C336" s="15">
        <v>167</v>
      </c>
      <c r="D336" s="41" t="s">
        <v>750</v>
      </c>
      <c r="E336" s="9" t="s">
        <v>77</v>
      </c>
      <c r="F336" s="9" t="s">
        <v>479</v>
      </c>
      <c r="G336" s="9"/>
      <c r="H336" s="39"/>
      <c r="I336" s="9"/>
      <c r="J336" s="39"/>
      <c r="K336" s="42"/>
      <c r="L336" s="9" t="s">
        <v>751</v>
      </c>
      <c r="M336" s="9"/>
      <c r="O336" s="45"/>
      <c r="P336" s="45"/>
      <c r="Q336" s="45"/>
      <c r="R336" s="45"/>
      <c r="S336" s="45"/>
      <c r="AA336" s="75" t="e">
        <f>C336-#REF!</f>
        <v>#REF!</v>
      </c>
      <c r="AB336" s="76" t="e">
        <f t="shared" si="11"/>
        <v>#REF!</v>
      </c>
      <c r="AD336" s="45"/>
      <c r="AE336" s="45"/>
      <c r="AF336" s="45"/>
      <c r="AG336" s="45"/>
      <c r="AH336" s="45"/>
      <c r="AI336" s="12"/>
      <c r="AJ336" s="13"/>
      <c r="AK336" s="45"/>
      <c r="AL336" s="45"/>
      <c r="AM336" s="45"/>
      <c r="AN336" s="45"/>
    </row>
    <row r="337" spans="1:40" s="46" customFormat="1" ht="14.4">
      <c r="A337" s="39">
        <v>41230</v>
      </c>
      <c r="B337" s="9" t="s">
        <v>1160</v>
      </c>
      <c r="C337" s="15">
        <v>194</v>
      </c>
      <c r="D337" s="41" t="s">
        <v>716</v>
      </c>
      <c r="E337" s="9" t="s">
        <v>77</v>
      </c>
      <c r="F337" s="9" t="s">
        <v>479</v>
      </c>
      <c r="G337" s="9"/>
      <c r="H337" s="39"/>
      <c r="I337" s="9"/>
      <c r="J337" s="39"/>
      <c r="K337" s="42"/>
      <c r="L337" s="9" t="s">
        <v>717</v>
      </c>
      <c r="M337" s="16"/>
      <c r="O337" s="10"/>
      <c r="P337" s="10"/>
      <c r="Q337" s="10"/>
      <c r="R337" s="10"/>
      <c r="S337" s="10"/>
      <c r="AA337" s="14" t="e">
        <f>C337-#REF!</f>
        <v>#REF!</v>
      </c>
      <c r="AB337" s="47" t="e">
        <f t="shared" si="11"/>
        <v>#REF!</v>
      </c>
      <c r="AD337" s="45"/>
      <c r="AE337" s="45"/>
      <c r="AF337" s="45"/>
      <c r="AG337" s="45"/>
      <c r="AH337" s="45"/>
      <c r="AI337" s="12"/>
      <c r="AJ337" s="13"/>
      <c r="AK337" s="45"/>
      <c r="AL337" s="45"/>
      <c r="AM337" s="45"/>
      <c r="AN337" s="45"/>
    </row>
    <row r="338" spans="1:40" s="46" customFormat="1" ht="14.4">
      <c r="A338" s="39">
        <v>41230</v>
      </c>
      <c r="B338" s="9" t="s">
        <v>2071</v>
      </c>
      <c r="C338" s="40">
        <v>445</v>
      </c>
      <c r="D338" s="41" t="s">
        <v>905</v>
      </c>
      <c r="E338" s="9" t="s">
        <v>18</v>
      </c>
      <c r="F338" s="9" t="s">
        <v>479</v>
      </c>
      <c r="G338" s="9"/>
      <c r="H338" s="39"/>
      <c r="I338" s="9"/>
      <c r="J338" s="39"/>
      <c r="K338" s="42"/>
      <c r="L338" s="9" t="s">
        <v>906</v>
      </c>
      <c r="M338" s="16"/>
      <c r="O338" s="10"/>
      <c r="P338" s="10"/>
      <c r="Q338" s="10"/>
      <c r="R338" s="10"/>
      <c r="S338" s="10"/>
      <c r="AA338" s="14">
        <f t="shared" si="10"/>
        <v>251</v>
      </c>
      <c r="AB338" s="47">
        <f t="shared" si="11"/>
        <v>250</v>
      </c>
      <c r="AD338" s="45"/>
      <c r="AE338" s="45"/>
      <c r="AF338" s="45"/>
      <c r="AG338" s="45"/>
      <c r="AH338" s="45"/>
      <c r="AI338" s="12"/>
      <c r="AJ338" s="13"/>
      <c r="AK338" s="45"/>
      <c r="AL338" s="45"/>
      <c r="AM338" s="45"/>
      <c r="AN338" s="45"/>
    </row>
    <row r="339" spans="1:40" s="46" customFormat="1" ht="14.4">
      <c r="A339" s="39">
        <v>41230</v>
      </c>
      <c r="B339" s="9" t="s">
        <v>2813</v>
      </c>
      <c r="C339" s="40">
        <v>813</v>
      </c>
      <c r="D339" s="41" t="s">
        <v>898</v>
      </c>
      <c r="E339" s="9" t="s">
        <v>18</v>
      </c>
      <c r="F339" s="9" t="s">
        <v>479</v>
      </c>
      <c r="G339" s="9"/>
      <c r="H339" s="39"/>
      <c r="I339" s="9"/>
      <c r="J339" s="39"/>
      <c r="K339" s="42"/>
      <c r="L339" s="9" t="s">
        <v>899</v>
      </c>
      <c r="M339" s="16"/>
      <c r="O339" s="10"/>
      <c r="P339" s="10"/>
      <c r="Q339" s="10"/>
      <c r="R339" s="10"/>
      <c r="S339" s="10"/>
      <c r="AA339" s="14">
        <f t="shared" si="10"/>
        <v>368</v>
      </c>
      <c r="AB339" s="47">
        <f t="shared" si="11"/>
        <v>367</v>
      </c>
      <c r="AD339" s="45"/>
      <c r="AE339" s="45"/>
      <c r="AF339" s="45"/>
      <c r="AG339" s="45"/>
      <c r="AH339" s="45"/>
      <c r="AI339" s="12"/>
      <c r="AJ339" s="13"/>
      <c r="AK339" s="45"/>
      <c r="AL339" s="45"/>
      <c r="AM339" s="45"/>
      <c r="AN339" s="45"/>
    </row>
    <row r="340" spans="1:40" s="46" customFormat="1" ht="14.4">
      <c r="A340" s="39">
        <v>41230</v>
      </c>
      <c r="B340" s="9" t="s">
        <v>1035</v>
      </c>
      <c r="C340" s="40">
        <v>31</v>
      </c>
      <c r="D340" s="41" t="s">
        <v>692</v>
      </c>
      <c r="E340" s="9" t="s">
        <v>77</v>
      </c>
      <c r="F340" s="9" t="s">
        <v>479</v>
      </c>
      <c r="G340" s="9"/>
      <c r="H340" s="39"/>
      <c r="I340" s="9"/>
      <c r="J340" s="39"/>
      <c r="K340" s="42"/>
      <c r="L340" s="9" t="s">
        <v>120</v>
      </c>
      <c r="M340" s="16"/>
      <c r="O340" s="10"/>
      <c r="P340" s="10"/>
      <c r="Q340" s="10"/>
      <c r="R340" s="10"/>
      <c r="S340" s="10"/>
      <c r="AA340" s="14">
        <f t="shared" si="10"/>
        <v>-782</v>
      </c>
      <c r="AB340" s="47">
        <f t="shared" si="11"/>
        <v>-783</v>
      </c>
      <c r="AD340" s="45"/>
      <c r="AE340" s="45"/>
      <c r="AF340" s="45"/>
      <c r="AG340" s="45"/>
      <c r="AH340" s="45"/>
      <c r="AI340" s="12"/>
      <c r="AJ340" s="13"/>
      <c r="AK340" s="45"/>
      <c r="AL340" s="45"/>
      <c r="AM340" s="45"/>
      <c r="AN340" s="45"/>
    </row>
    <row r="341" spans="1:40" s="46" customFormat="1" ht="14.4">
      <c r="A341" s="39">
        <v>41230</v>
      </c>
      <c r="B341" s="9" t="s">
        <v>1167</v>
      </c>
      <c r="C341" s="15">
        <v>206</v>
      </c>
      <c r="D341" s="41" t="s">
        <v>654</v>
      </c>
      <c r="E341" s="9" t="s">
        <v>77</v>
      </c>
      <c r="F341" s="9" t="s">
        <v>479</v>
      </c>
      <c r="G341" s="9"/>
      <c r="H341" s="39"/>
      <c r="I341" s="9"/>
      <c r="J341" s="39"/>
      <c r="K341" s="42"/>
      <c r="L341" s="9" t="s">
        <v>655</v>
      </c>
      <c r="M341" s="16"/>
      <c r="O341" s="10"/>
      <c r="P341" s="10"/>
      <c r="Q341" s="10"/>
      <c r="R341" s="10"/>
      <c r="S341" s="10"/>
      <c r="AA341" s="14">
        <f t="shared" si="10"/>
        <v>175</v>
      </c>
      <c r="AB341" s="47">
        <f t="shared" si="11"/>
        <v>174</v>
      </c>
      <c r="AD341" s="45"/>
      <c r="AE341" s="45"/>
      <c r="AF341" s="45"/>
      <c r="AG341" s="45"/>
      <c r="AH341" s="45"/>
      <c r="AI341" s="12"/>
      <c r="AJ341" s="13"/>
      <c r="AK341" s="45"/>
      <c r="AL341" s="45"/>
      <c r="AM341" s="45"/>
      <c r="AN341" s="45"/>
    </row>
    <row r="342" spans="1:40" s="46" customFormat="1" ht="14.4">
      <c r="A342" s="39">
        <v>41230</v>
      </c>
      <c r="B342" s="9" t="s">
        <v>1314</v>
      </c>
      <c r="C342" s="40">
        <v>297</v>
      </c>
      <c r="D342" s="41" t="s">
        <v>788</v>
      </c>
      <c r="E342" s="9" t="s">
        <v>77</v>
      </c>
      <c r="F342" s="9" t="s">
        <v>479</v>
      </c>
      <c r="G342" s="9"/>
      <c r="H342" s="39"/>
      <c r="I342" s="9"/>
      <c r="J342" s="39"/>
      <c r="K342" s="42"/>
      <c r="L342" s="9" t="s">
        <v>789</v>
      </c>
      <c r="M342" s="16"/>
      <c r="O342" s="10"/>
      <c r="P342" s="10"/>
      <c r="Q342" s="10"/>
      <c r="R342" s="10"/>
      <c r="S342" s="10"/>
      <c r="AA342" s="14">
        <f t="shared" si="10"/>
        <v>91</v>
      </c>
      <c r="AB342" s="47">
        <f t="shared" si="11"/>
        <v>90</v>
      </c>
      <c r="AD342" s="45"/>
      <c r="AE342" s="45"/>
      <c r="AF342" s="45"/>
      <c r="AG342" s="45"/>
      <c r="AH342" s="45"/>
      <c r="AI342" s="12"/>
      <c r="AJ342" s="13"/>
      <c r="AK342" s="45"/>
      <c r="AL342" s="45"/>
      <c r="AM342" s="45"/>
      <c r="AN342" s="45"/>
    </row>
    <row r="343" spans="1:40" s="46" customFormat="1" ht="14.4">
      <c r="A343" s="39">
        <v>41230</v>
      </c>
      <c r="B343" s="103" t="s">
        <v>2157</v>
      </c>
      <c r="C343" s="40">
        <v>316</v>
      </c>
      <c r="D343" s="41" t="s">
        <v>829</v>
      </c>
      <c r="E343" s="9" t="s">
        <v>18</v>
      </c>
      <c r="F343" s="9" t="s">
        <v>479</v>
      </c>
      <c r="G343" s="9"/>
      <c r="H343" s="39"/>
      <c r="I343" s="9"/>
      <c r="J343" s="39"/>
      <c r="K343" s="42"/>
      <c r="L343" s="9" t="s">
        <v>830</v>
      </c>
      <c r="M343" s="16"/>
      <c r="O343" s="10"/>
      <c r="P343" s="10"/>
      <c r="Q343" s="10"/>
      <c r="R343" s="10"/>
      <c r="S343" s="10"/>
      <c r="AA343" s="14">
        <f t="shared" si="10"/>
        <v>19</v>
      </c>
      <c r="AB343" s="47">
        <f t="shared" si="11"/>
        <v>18</v>
      </c>
      <c r="AD343" s="45"/>
      <c r="AE343" s="45"/>
      <c r="AF343" s="45"/>
      <c r="AG343" s="45"/>
      <c r="AH343" s="45"/>
      <c r="AI343" s="12"/>
      <c r="AJ343" s="13"/>
      <c r="AK343" s="45"/>
      <c r="AL343" s="45"/>
      <c r="AM343" s="45"/>
      <c r="AN343" s="45"/>
    </row>
    <row r="344" spans="1:40" s="46" customFormat="1" ht="14.4">
      <c r="A344" s="39">
        <v>41230</v>
      </c>
      <c r="B344" s="9" t="s">
        <v>1157</v>
      </c>
      <c r="C344" s="40">
        <v>190</v>
      </c>
      <c r="D344" s="41" t="s">
        <v>724</v>
      </c>
      <c r="E344" s="9" t="s">
        <v>77</v>
      </c>
      <c r="F344" s="9" t="s">
        <v>479</v>
      </c>
      <c r="G344" s="9"/>
      <c r="H344" s="39"/>
      <c r="I344" s="9"/>
      <c r="J344" s="39"/>
      <c r="K344" s="42"/>
      <c r="L344" s="9" t="s">
        <v>725</v>
      </c>
      <c r="M344" s="16"/>
      <c r="O344" s="10"/>
      <c r="P344" s="10"/>
      <c r="Q344" s="10"/>
      <c r="R344" s="10"/>
      <c r="S344" s="10"/>
      <c r="AA344" s="14">
        <f t="shared" si="10"/>
        <v>-126</v>
      </c>
      <c r="AB344" s="47">
        <f t="shared" si="11"/>
        <v>-127</v>
      </c>
      <c r="AD344" s="45"/>
      <c r="AE344" s="45"/>
      <c r="AF344" s="45"/>
      <c r="AG344" s="45"/>
      <c r="AH344" s="45"/>
      <c r="AI344" s="12"/>
      <c r="AJ344" s="13"/>
      <c r="AK344" s="45"/>
      <c r="AL344" s="45"/>
      <c r="AM344" s="45"/>
      <c r="AN344" s="45"/>
    </row>
    <row r="345" spans="1:40" s="46" customFormat="1" ht="14.4">
      <c r="A345" s="39">
        <v>41230</v>
      </c>
      <c r="B345" s="9" t="s">
        <v>1163</v>
      </c>
      <c r="C345" s="40">
        <v>199</v>
      </c>
      <c r="D345" s="41" t="s">
        <v>645</v>
      </c>
      <c r="E345" s="9" t="s">
        <v>77</v>
      </c>
      <c r="F345" s="9" t="s">
        <v>479</v>
      </c>
      <c r="G345" s="9"/>
      <c r="H345" s="39"/>
      <c r="I345" s="9"/>
      <c r="J345" s="39"/>
      <c r="K345" s="42"/>
      <c r="L345" s="9" t="s">
        <v>646</v>
      </c>
      <c r="M345" s="16"/>
      <c r="O345" s="10"/>
      <c r="P345" s="10"/>
      <c r="Q345" s="10"/>
      <c r="R345" s="10"/>
      <c r="S345" s="10"/>
      <c r="AA345" s="14">
        <f t="shared" si="10"/>
        <v>9</v>
      </c>
      <c r="AB345" s="47">
        <f t="shared" si="11"/>
        <v>8</v>
      </c>
      <c r="AD345" s="45"/>
      <c r="AE345" s="45"/>
      <c r="AF345" s="45"/>
      <c r="AG345" s="45"/>
      <c r="AH345" s="45"/>
      <c r="AI345" s="12"/>
      <c r="AJ345" s="13"/>
      <c r="AK345" s="45"/>
      <c r="AL345" s="45"/>
      <c r="AM345" s="45"/>
      <c r="AN345" s="45"/>
    </row>
    <row r="346" spans="1:40" s="46" customFormat="1" ht="14.4">
      <c r="A346" s="39">
        <v>41230</v>
      </c>
      <c r="B346" s="9" t="s">
        <v>2208</v>
      </c>
      <c r="C346" s="15">
        <v>603</v>
      </c>
      <c r="D346" s="41" t="s">
        <v>950</v>
      </c>
      <c r="E346" s="9" t="s">
        <v>484</v>
      </c>
      <c r="F346" s="9" t="s">
        <v>479</v>
      </c>
      <c r="G346" s="9"/>
      <c r="H346" s="39"/>
      <c r="I346" s="9"/>
      <c r="J346" s="39"/>
      <c r="K346" s="42"/>
      <c r="L346" s="9" t="s">
        <v>951</v>
      </c>
      <c r="M346" s="16"/>
      <c r="O346" s="10"/>
      <c r="P346" s="10"/>
      <c r="Q346" s="10"/>
      <c r="R346" s="10"/>
      <c r="S346" s="10"/>
      <c r="AA346" s="14">
        <f t="shared" si="10"/>
        <v>404</v>
      </c>
      <c r="AB346" s="47">
        <f t="shared" si="11"/>
        <v>403</v>
      </c>
      <c r="AD346" s="45"/>
      <c r="AE346" s="45"/>
      <c r="AF346" s="45"/>
      <c r="AG346" s="45"/>
      <c r="AH346" s="45"/>
      <c r="AI346" s="12"/>
      <c r="AJ346" s="13"/>
      <c r="AK346" s="45"/>
      <c r="AL346" s="45"/>
      <c r="AM346" s="45"/>
      <c r="AN346" s="45"/>
    </row>
    <row r="347" spans="1:40" s="46" customFormat="1" ht="14.4">
      <c r="A347" s="39">
        <v>41230</v>
      </c>
      <c r="B347" s="9" t="s">
        <v>2209</v>
      </c>
      <c r="C347" s="40">
        <v>605</v>
      </c>
      <c r="D347" s="41" t="s">
        <v>858</v>
      </c>
      <c r="E347" s="9" t="s">
        <v>18</v>
      </c>
      <c r="F347" s="9" t="s">
        <v>479</v>
      </c>
      <c r="G347" s="9"/>
      <c r="H347" s="39"/>
      <c r="I347" s="9"/>
      <c r="J347" s="39"/>
      <c r="K347" s="42"/>
      <c r="L347" s="9" t="s">
        <v>859</v>
      </c>
      <c r="M347" s="16"/>
      <c r="O347" s="10"/>
      <c r="P347" s="10"/>
      <c r="Q347" s="10"/>
      <c r="R347" s="10"/>
      <c r="S347" s="10"/>
      <c r="AA347" s="14">
        <f t="shared" si="10"/>
        <v>2</v>
      </c>
      <c r="AB347" s="47">
        <f t="shared" si="11"/>
        <v>1</v>
      </c>
      <c r="AD347" s="45"/>
      <c r="AE347" s="45"/>
      <c r="AF347" s="45"/>
      <c r="AG347" s="45"/>
      <c r="AH347" s="45"/>
      <c r="AI347" s="12"/>
      <c r="AJ347" s="13"/>
      <c r="AK347" s="45"/>
      <c r="AL347" s="45"/>
      <c r="AM347" s="45"/>
      <c r="AN347" s="45"/>
    </row>
    <row r="348" spans="1:40" s="46" customFormat="1" ht="14.4">
      <c r="A348" s="39">
        <v>41230</v>
      </c>
      <c r="B348" s="9" t="s">
        <v>2092</v>
      </c>
      <c r="C348" s="40">
        <v>471</v>
      </c>
      <c r="D348" s="41" t="s">
        <v>872</v>
      </c>
      <c r="E348" s="9" t="s">
        <v>18</v>
      </c>
      <c r="F348" s="9" t="s">
        <v>479</v>
      </c>
      <c r="G348" s="9"/>
      <c r="H348" s="39"/>
      <c r="I348" s="9"/>
      <c r="J348" s="39"/>
      <c r="K348" s="42"/>
      <c r="L348" s="9" t="s">
        <v>873</v>
      </c>
      <c r="M348" s="16"/>
      <c r="O348" s="10"/>
      <c r="P348" s="10"/>
      <c r="Q348" s="10"/>
      <c r="R348" s="10"/>
      <c r="S348" s="10"/>
      <c r="AA348" s="14">
        <f t="shared" si="10"/>
        <v>-134</v>
      </c>
      <c r="AB348" s="47">
        <f t="shared" si="11"/>
        <v>-135</v>
      </c>
      <c r="AD348" s="45"/>
      <c r="AE348" s="45"/>
      <c r="AF348" s="45"/>
      <c r="AG348" s="45"/>
      <c r="AH348" s="45"/>
      <c r="AI348" s="12"/>
      <c r="AJ348" s="13"/>
      <c r="AK348" s="45"/>
      <c r="AL348" s="45"/>
      <c r="AM348" s="45"/>
      <c r="AN348" s="45"/>
    </row>
    <row r="349" spans="1:40" s="46" customFormat="1" ht="14.4">
      <c r="A349" s="39">
        <v>41230</v>
      </c>
      <c r="B349" s="9" t="s">
        <v>2252</v>
      </c>
      <c r="C349" s="15">
        <v>643</v>
      </c>
      <c r="D349" s="41" t="s">
        <v>952</v>
      </c>
      <c r="E349" s="9" t="s">
        <v>77</v>
      </c>
      <c r="F349" s="9" t="s">
        <v>479</v>
      </c>
      <c r="G349" s="9"/>
      <c r="H349" s="39"/>
      <c r="I349" s="9"/>
      <c r="J349" s="39"/>
      <c r="K349" s="42"/>
      <c r="L349" s="9" t="s">
        <v>953</v>
      </c>
      <c r="M349" s="16"/>
      <c r="O349" s="10"/>
      <c r="P349" s="10"/>
      <c r="Q349" s="10"/>
      <c r="R349" s="10"/>
      <c r="S349" s="10"/>
      <c r="AA349" s="14">
        <f t="shared" si="10"/>
        <v>172</v>
      </c>
      <c r="AB349" s="47">
        <f t="shared" si="11"/>
        <v>171</v>
      </c>
      <c r="AD349" s="45"/>
      <c r="AE349" s="45"/>
      <c r="AF349" s="45"/>
      <c r="AG349" s="45"/>
      <c r="AH349" s="45"/>
      <c r="AI349" s="12"/>
      <c r="AJ349" s="13"/>
      <c r="AK349" s="45"/>
      <c r="AL349" s="45"/>
      <c r="AM349" s="45"/>
      <c r="AN349" s="45"/>
    </row>
    <row r="350" spans="1:40" s="46" customFormat="1" ht="14.4">
      <c r="A350" s="39">
        <v>41230</v>
      </c>
      <c r="B350" s="9" t="s">
        <v>1170</v>
      </c>
      <c r="C350" s="40">
        <v>210</v>
      </c>
      <c r="D350" s="41" t="s">
        <v>660</v>
      </c>
      <c r="E350" s="9" t="s">
        <v>77</v>
      </c>
      <c r="F350" s="9" t="s">
        <v>479</v>
      </c>
      <c r="G350" s="9"/>
      <c r="H350" s="39"/>
      <c r="I350" s="9"/>
      <c r="J350" s="39"/>
      <c r="K350" s="42"/>
      <c r="L350" s="9" t="s">
        <v>661</v>
      </c>
      <c r="M350" s="16"/>
      <c r="O350" s="10"/>
      <c r="P350" s="10"/>
      <c r="Q350" s="10"/>
      <c r="R350" s="10"/>
      <c r="S350" s="10"/>
      <c r="AA350" s="14">
        <f t="shared" si="10"/>
        <v>-433</v>
      </c>
      <c r="AB350" s="47">
        <f t="shared" si="11"/>
        <v>-434</v>
      </c>
      <c r="AD350" s="45"/>
      <c r="AE350" s="45"/>
      <c r="AF350" s="45"/>
      <c r="AG350" s="45"/>
      <c r="AH350" s="45"/>
      <c r="AI350" s="12"/>
      <c r="AJ350" s="13"/>
      <c r="AK350" s="45"/>
      <c r="AL350" s="45"/>
      <c r="AM350" s="45"/>
      <c r="AN350" s="45"/>
    </row>
    <row r="351" spans="1:40" s="46" customFormat="1" ht="14.4">
      <c r="A351" s="39">
        <v>41230</v>
      </c>
      <c r="B351" s="9" t="s">
        <v>2037</v>
      </c>
      <c r="C351" s="15">
        <v>397</v>
      </c>
      <c r="D351" s="41" t="s">
        <v>954</v>
      </c>
      <c r="E351" s="9" t="s">
        <v>484</v>
      </c>
      <c r="F351" s="9" t="s">
        <v>479</v>
      </c>
      <c r="G351" s="9"/>
      <c r="H351" s="39"/>
      <c r="I351" s="9"/>
      <c r="J351" s="39"/>
      <c r="K351" s="42"/>
      <c r="L351" s="9" t="s">
        <v>955</v>
      </c>
      <c r="M351" s="16"/>
      <c r="O351" s="10"/>
      <c r="P351" s="10"/>
      <c r="Q351" s="10"/>
      <c r="R351" s="10"/>
      <c r="S351" s="10"/>
      <c r="AA351" s="14">
        <f t="shared" si="10"/>
        <v>187</v>
      </c>
      <c r="AB351" s="47">
        <f t="shared" si="11"/>
        <v>186</v>
      </c>
      <c r="AD351" s="45"/>
      <c r="AE351" s="45"/>
      <c r="AF351" s="45"/>
      <c r="AG351" s="45"/>
      <c r="AH351" s="45"/>
      <c r="AI351" s="12"/>
      <c r="AJ351" s="13"/>
      <c r="AK351" s="45"/>
      <c r="AL351" s="45"/>
      <c r="AM351" s="45"/>
      <c r="AN351" s="45"/>
    </row>
    <row r="352" spans="1:40" s="46" customFormat="1" ht="14.4">
      <c r="A352" s="39">
        <v>41230</v>
      </c>
      <c r="B352" s="9" t="s">
        <v>1159</v>
      </c>
      <c r="C352" s="40">
        <v>192</v>
      </c>
      <c r="D352" s="41" t="s">
        <v>718</v>
      </c>
      <c r="E352" s="9" t="s">
        <v>77</v>
      </c>
      <c r="F352" s="9" t="s">
        <v>479</v>
      </c>
      <c r="G352" s="9"/>
      <c r="H352" s="39"/>
      <c r="I352" s="9"/>
      <c r="J352" s="39"/>
      <c r="K352" s="42"/>
      <c r="L352" s="9" t="s">
        <v>719</v>
      </c>
      <c r="M352" s="16"/>
      <c r="O352" s="10"/>
      <c r="P352" s="10"/>
      <c r="Q352" s="10"/>
      <c r="R352" s="10"/>
      <c r="S352" s="10"/>
      <c r="AA352" s="14">
        <f t="shared" si="10"/>
        <v>-205</v>
      </c>
      <c r="AB352" s="47">
        <f t="shared" si="11"/>
        <v>-206</v>
      </c>
      <c r="AD352" s="45"/>
      <c r="AE352" s="45"/>
      <c r="AF352" s="45"/>
      <c r="AG352" s="45"/>
      <c r="AH352" s="45"/>
      <c r="AI352" s="12"/>
      <c r="AJ352" s="13"/>
      <c r="AK352" s="45"/>
      <c r="AL352" s="45"/>
      <c r="AM352" s="45"/>
      <c r="AN352" s="45"/>
    </row>
    <row r="353" spans="1:40" s="46" customFormat="1" ht="14.4">
      <c r="A353" s="39">
        <v>41230</v>
      </c>
      <c r="B353" s="9" t="s">
        <v>2007</v>
      </c>
      <c r="C353" s="15">
        <v>367</v>
      </c>
      <c r="D353" s="41" t="s">
        <v>957</v>
      </c>
      <c r="E353" s="9" t="s">
        <v>931</v>
      </c>
      <c r="F353" s="9" t="s">
        <v>479</v>
      </c>
      <c r="G353" s="9"/>
      <c r="H353" s="39"/>
      <c r="I353" s="9"/>
      <c r="J353" s="39"/>
      <c r="K353" s="42"/>
      <c r="L353" s="9" t="s">
        <v>958</v>
      </c>
      <c r="M353" s="16"/>
      <c r="O353" s="10"/>
      <c r="P353" s="10"/>
      <c r="Q353" s="10"/>
      <c r="R353" s="10"/>
      <c r="S353" s="10"/>
      <c r="AA353" s="14">
        <f t="shared" si="10"/>
        <v>175</v>
      </c>
      <c r="AB353" s="47">
        <f t="shared" si="11"/>
        <v>174</v>
      </c>
      <c r="AD353" s="45"/>
      <c r="AE353" s="45"/>
      <c r="AF353" s="45"/>
      <c r="AG353" s="45"/>
      <c r="AH353" s="45"/>
      <c r="AI353" s="12"/>
      <c r="AJ353" s="13"/>
      <c r="AK353" s="45"/>
      <c r="AL353" s="45"/>
      <c r="AM353" s="45"/>
      <c r="AN353" s="45"/>
    </row>
    <row r="354" spans="1:40" s="46" customFormat="1" ht="14.4">
      <c r="A354" s="39">
        <v>41230</v>
      </c>
      <c r="B354" s="9" t="s">
        <v>2012</v>
      </c>
      <c r="C354" s="15">
        <v>372</v>
      </c>
      <c r="D354" s="41" t="s">
        <v>959</v>
      </c>
      <c r="E354" s="9" t="s">
        <v>484</v>
      </c>
      <c r="F354" s="9" t="s">
        <v>479</v>
      </c>
      <c r="G354" s="9"/>
      <c r="H354" s="39"/>
      <c r="I354" s="9"/>
      <c r="J354" s="39"/>
      <c r="K354" s="42"/>
      <c r="L354" s="9" t="s">
        <v>960</v>
      </c>
      <c r="M354" s="16"/>
      <c r="O354" s="10"/>
      <c r="P354" s="10"/>
      <c r="Q354" s="10"/>
      <c r="R354" s="10"/>
      <c r="S354" s="10"/>
      <c r="AA354" s="14">
        <f t="shared" si="10"/>
        <v>5</v>
      </c>
      <c r="AB354" s="47">
        <f t="shared" si="11"/>
        <v>4</v>
      </c>
      <c r="AD354" s="45"/>
      <c r="AE354" s="45"/>
      <c r="AF354" s="45"/>
      <c r="AG354" s="45"/>
      <c r="AH354" s="45"/>
      <c r="AI354" s="12"/>
      <c r="AJ354" s="13"/>
      <c r="AK354" s="45"/>
      <c r="AL354" s="45"/>
      <c r="AM354" s="45"/>
      <c r="AN354" s="45"/>
    </row>
    <row r="355" spans="1:40" s="46" customFormat="1" ht="14.4">
      <c r="A355" s="39">
        <v>41230</v>
      </c>
      <c r="B355" s="9" t="s">
        <v>2009</v>
      </c>
      <c r="C355" s="15">
        <v>369</v>
      </c>
      <c r="D355" s="41" t="s">
        <v>961</v>
      </c>
      <c r="E355" s="9" t="s">
        <v>931</v>
      </c>
      <c r="F355" s="9" t="s">
        <v>479</v>
      </c>
      <c r="G355" s="9"/>
      <c r="H355" s="39"/>
      <c r="I355" s="9"/>
      <c r="J355" s="39"/>
      <c r="K355" s="42"/>
      <c r="L355" s="9"/>
      <c r="M355" s="16"/>
      <c r="O355" s="10"/>
      <c r="P355" s="10"/>
      <c r="Q355" s="10"/>
      <c r="R355" s="10"/>
      <c r="S355" s="10"/>
      <c r="AA355" s="14">
        <f t="shared" si="10"/>
        <v>-3</v>
      </c>
      <c r="AB355" s="47">
        <f t="shared" si="11"/>
        <v>-4</v>
      </c>
      <c r="AD355" s="45"/>
      <c r="AE355" s="45"/>
      <c r="AF355" s="45"/>
      <c r="AG355" s="45"/>
      <c r="AH355" s="45"/>
      <c r="AI355" s="12"/>
      <c r="AJ355" s="13"/>
      <c r="AK355" s="45"/>
      <c r="AL355" s="45"/>
      <c r="AM355" s="45"/>
      <c r="AN355" s="45"/>
    </row>
    <row r="356" spans="1:40" s="46" customFormat="1" ht="14.4">
      <c r="A356" s="39">
        <v>41230</v>
      </c>
      <c r="B356" s="9" t="s">
        <v>2016</v>
      </c>
      <c r="C356" s="15">
        <v>376</v>
      </c>
      <c r="D356" s="41" t="s">
        <v>962</v>
      </c>
      <c r="E356" s="9" t="s">
        <v>484</v>
      </c>
      <c r="F356" s="9" t="s">
        <v>479</v>
      </c>
      <c r="G356" s="9"/>
      <c r="H356" s="39"/>
      <c r="I356" s="9"/>
      <c r="J356" s="39"/>
      <c r="K356" s="42"/>
      <c r="L356" s="9" t="s">
        <v>963</v>
      </c>
      <c r="M356" s="16"/>
      <c r="O356" s="10"/>
      <c r="P356" s="10"/>
      <c r="Q356" s="10"/>
      <c r="R356" s="10"/>
      <c r="S356" s="10"/>
      <c r="AA356" s="14">
        <f t="shared" si="10"/>
        <v>7</v>
      </c>
      <c r="AB356" s="47">
        <f t="shared" si="11"/>
        <v>6</v>
      </c>
      <c r="AD356" s="45"/>
      <c r="AE356" s="45"/>
      <c r="AF356" s="45"/>
      <c r="AG356" s="45"/>
      <c r="AH356" s="45"/>
      <c r="AI356" s="12"/>
      <c r="AJ356" s="13"/>
      <c r="AK356" s="45"/>
      <c r="AL356" s="45"/>
      <c r="AM356" s="45"/>
      <c r="AN356" s="45"/>
    </row>
    <row r="357" spans="1:40" s="46" customFormat="1" ht="14.4">
      <c r="A357" s="39">
        <v>41230</v>
      </c>
      <c r="B357" s="9" t="s">
        <v>1422</v>
      </c>
      <c r="C357" s="15">
        <v>55</v>
      </c>
      <c r="D357" s="41" t="s">
        <v>797</v>
      </c>
      <c r="E357" s="9" t="s">
        <v>88</v>
      </c>
      <c r="F357" s="9" t="s">
        <v>479</v>
      </c>
      <c r="G357" s="9"/>
      <c r="H357" s="39"/>
      <c r="I357" s="9"/>
      <c r="J357" s="39"/>
      <c r="K357" s="42"/>
      <c r="L357" s="9" t="s">
        <v>597</v>
      </c>
      <c r="M357" s="16"/>
      <c r="O357" s="10"/>
      <c r="P357" s="10"/>
      <c r="Q357" s="10"/>
      <c r="R357" s="10"/>
      <c r="S357" s="10"/>
      <c r="AA357" s="14">
        <f t="shared" si="10"/>
        <v>-321</v>
      </c>
      <c r="AB357" s="47">
        <f t="shared" si="11"/>
        <v>-322</v>
      </c>
      <c r="AD357" s="45"/>
      <c r="AE357" s="45"/>
      <c r="AF357" s="45"/>
      <c r="AG357" s="45"/>
      <c r="AH357" s="45"/>
      <c r="AI357" s="12"/>
      <c r="AJ357" s="13"/>
      <c r="AK357" s="45"/>
      <c r="AL357" s="45"/>
      <c r="AM357" s="45"/>
      <c r="AN357" s="45"/>
    </row>
    <row r="358" spans="1:40" s="46" customFormat="1" ht="14.4">
      <c r="A358" s="39">
        <v>41230</v>
      </c>
      <c r="B358" s="9" t="s">
        <v>2727</v>
      </c>
      <c r="C358" s="15">
        <v>939</v>
      </c>
      <c r="D358" s="41" t="s">
        <v>964</v>
      </c>
      <c r="E358" s="9" t="s">
        <v>77</v>
      </c>
      <c r="F358" s="9" t="s">
        <v>935</v>
      </c>
      <c r="G358" s="9"/>
      <c r="H358" s="39"/>
      <c r="I358" s="9"/>
      <c r="J358" s="39"/>
      <c r="K358" s="42"/>
      <c r="L358" s="9" t="s">
        <v>965</v>
      </c>
      <c r="M358" s="16"/>
      <c r="O358" s="10"/>
      <c r="P358" s="10"/>
      <c r="Q358" s="10"/>
      <c r="R358" s="10"/>
      <c r="S358" s="10"/>
      <c r="AA358" s="14">
        <f t="shared" si="10"/>
        <v>884</v>
      </c>
      <c r="AB358" s="47">
        <f t="shared" si="11"/>
        <v>883</v>
      </c>
      <c r="AD358" s="45"/>
      <c r="AE358" s="45"/>
      <c r="AF358" s="45"/>
      <c r="AG358" s="45"/>
      <c r="AH358" s="45"/>
      <c r="AI358" s="12"/>
      <c r="AJ358" s="13"/>
      <c r="AK358" s="45"/>
      <c r="AL358" s="45"/>
      <c r="AM358" s="45"/>
      <c r="AN358" s="45"/>
    </row>
    <row r="359" spans="1:40" s="46" customFormat="1" ht="14.4">
      <c r="A359" s="39">
        <v>41230</v>
      </c>
      <c r="B359" s="9" t="s">
        <v>1193</v>
      </c>
      <c r="C359" s="40">
        <v>342</v>
      </c>
      <c r="D359" s="41" t="s">
        <v>762</v>
      </c>
      <c r="E359" s="9" t="s">
        <v>77</v>
      </c>
      <c r="F359" s="9" t="s">
        <v>479</v>
      </c>
      <c r="G359" s="9"/>
      <c r="H359" s="39"/>
      <c r="I359" s="9"/>
      <c r="J359" s="39"/>
      <c r="K359" s="42"/>
      <c r="L359" s="9" t="s">
        <v>763</v>
      </c>
      <c r="M359" s="16"/>
      <c r="O359" s="10"/>
      <c r="P359" s="10"/>
      <c r="Q359" s="10"/>
      <c r="R359" s="10"/>
      <c r="S359" s="10"/>
      <c r="AA359" s="14">
        <f t="shared" si="10"/>
        <v>-597</v>
      </c>
      <c r="AB359" s="47">
        <f t="shared" si="11"/>
        <v>-598</v>
      </c>
      <c r="AD359" s="45"/>
      <c r="AE359" s="45"/>
      <c r="AF359" s="45"/>
      <c r="AG359" s="45"/>
      <c r="AH359" s="45"/>
      <c r="AI359" s="12"/>
      <c r="AJ359" s="13"/>
      <c r="AK359" s="45"/>
      <c r="AL359" s="45"/>
      <c r="AM359" s="45"/>
      <c r="AN359" s="45"/>
    </row>
    <row r="360" spans="1:40" s="46" customFormat="1" ht="14.4">
      <c r="A360" s="39">
        <v>41230</v>
      </c>
      <c r="B360" s="9" t="s">
        <v>2022</v>
      </c>
      <c r="C360" s="15">
        <v>382</v>
      </c>
      <c r="D360" s="41" t="s">
        <v>968</v>
      </c>
      <c r="E360" s="9" t="s">
        <v>931</v>
      </c>
      <c r="F360" s="9" t="s">
        <v>479</v>
      </c>
      <c r="G360" s="9"/>
      <c r="H360" s="39"/>
      <c r="I360" s="9"/>
      <c r="J360" s="39"/>
      <c r="K360" s="42"/>
      <c r="L360" s="9" t="s">
        <v>969</v>
      </c>
      <c r="M360" s="16"/>
      <c r="O360" s="10"/>
      <c r="P360" s="10"/>
      <c r="Q360" s="10"/>
      <c r="R360" s="10"/>
      <c r="S360" s="10"/>
      <c r="AA360" s="14">
        <f t="shared" si="10"/>
        <v>40</v>
      </c>
      <c r="AB360" s="47">
        <f t="shared" si="11"/>
        <v>39</v>
      </c>
      <c r="AD360" s="45"/>
      <c r="AE360" s="45"/>
      <c r="AF360" s="45"/>
      <c r="AG360" s="45"/>
      <c r="AH360" s="45"/>
      <c r="AI360" s="12"/>
      <c r="AJ360" s="13"/>
      <c r="AK360" s="45"/>
      <c r="AL360" s="45"/>
      <c r="AM360" s="45"/>
      <c r="AN360" s="45"/>
    </row>
    <row r="361" spans="1:40" s="46" customFormat="1" ht="14.4">
      <c r="A361" s="39">
        <v>41230</v>
      </c>
      <c r="B361" s="9" t="s">
        <v>2019</v>
      </c>
      <c r="C361" s="15">
        <v>379</v>
      </c>
      <c r="D361" s="41" t="s">
        <v>966</v>
      </c>
      <c r="E361" s="9" t="s">
        <v>931</v>
      </c>
      <c r="F361" s="9" t="s">
        <v>479</v>
      </c>
      <c r="G361" s="9"/>
      <c r="H361" s="39"/>
      <c r="I361" s="9"/>
      <c r="J361" s="39"/>
      <c r="K361" s="42"/>
      <c r="L361" s="9" t="s">
        <v>967</v>
      </c>
      <c r="M361" s="16"/>
      <c r="O361" s="10"/>
      <c r="P361" s="10"/>
      <c r="Q361" s="10"/>
      <c r="R361" s="10"/>
      <c r="S361" s="10"/>
      <c r="AA361" s="14">
        <f t="shared" si="10"/>
        <v>-3</v>
      </c>
      <c r="AB361" s="47">
        <f t="shared" si="11"/>
        <v>-4</v>
      </c>
      <c r="AD361" s="45"/>
      <c r="AE361" s="45"/>
      <c r="AF361" s="45"/>
      <c r="AG361" s="45"/>
      <c r="AH361" s="45"/>
      <c r="AI361" s="12"/>
      <c r="AJ361" s="13"/>
      <c r="AK361" s="45"/>
      <c r="AL361" s="45"/>
      <c r="AM361" s="45"/>
      <c r="AN361" s="45"/>
    </row>
    <row r="362" spans="1:40" s="46" customFormat="1" ht="14.4">
      <c r="A362" s="39">
        <v>41230</v>
      </c>
      <c r="B362" s="9"/>
      <c r="C362" s="40"/>
      <c r="D362" s="41" t="s">
        <v>796</v>
      </c>
      <c r="E362" s="9" t="s">
        <v>134</v>
      </c>
      <c r="F362" s="9" t="s">
        <v>479</v>
      </c>
      <c r="G362" s="9"/>
      <c r="H362" s="39"/>
      <c r="I362" s="9"/>
      <c r="J362" s="39"/>
      <c r="K362" s="42"/>
      <c r="L362" s="9" t="s">
        <v>139</v>
      </c>
      <c r="M362" s="16"/>
      <c r="O362" s="10"/>
      <c r="P362" s="10"/>
      <c r="Q362" s="10"/>
      <c r="R362" s="10"/>
      <c r="S362" s="10"/>
      <c r="AA362" s="14">
        <f t="shared" si="10"/>
        <v>-379</v>
      </c>
      <c r="AB362" s="47">
        <f t="shared" si="11"/>
        <v>-380</v>
      </c>
      <c r="AD362" s="45"/>
      <c r="AE362" s="45"/>
      <c r="AF362" s="45"/>
      <c r="AG362" s="45"/>
      <c r="AH362" s="45"/>
      <c r="AI362" s="12"/>
      <c r="AJ362" s="13"/>
      <c r="AK362" s="45"/>
      <c r="AL362" s="45"/>
      <c r="AM362" s="45"/>
      <c r="AN362" s="45"/>
    </row>
    <row r="363" spans="1:40" s="46" customFormat="1" ht="14.4">
      <c r="A363" s="39">
        <v>41230</v>
      </c>
      <c r="B363" s="9" t="s">
        <v>1140</v>
      </c>
      <c r="C363" s="40">
        <v>166</v>
      </c>
      <c r="D363" s="41" t="s">
        <v>752</v>
      </c>
      <c r="E363" s="9" t="s">
        <v>77</v>
      </c>
      <c r="F363" s="9" t="s">
        <v>479</v>
      </c>
      <c r="G363" s="9"/>
      <c r="H363" s="39"/>
      <c r="I363" s="9"/>
      <c r="J363" s="39"/>
      <c r="K363" s="42"/>
      <c r="L363" s="9" t="s">
        <v>753</v>
      </c>
      <c r="M363" s="16"/>
      <c r="O363" s="10"/>
      <c r="P363" s="10"/>
      <c r="Q363" s="10"/>
      <c r="R363" s="10"/>
      <c r="S363" s="10"/>
      <c r="AA363" s="14" t="e">
        <f>C363-#REF!</f>
        <v>#REF!</v>
      </c>
      <c r="AB363" s="47" t="e">
        <f t="shared" si="11"/>
        <v>#REF!</v>
      </c>
      <c r="AD363" s="45"/>
      <c r="AE363" s="45"/>
      <c r="AF363" s="45"/>
      <c r="AG363" s="45"/>
      <c r="AH363" s="45"/>
      <c r="AI363" s="12"/>
      <c r="AJ363" s="13"/>
      <c r="AK363" s="45"/>
      <c r="AL363" s="45"/>
      <c r="AM363" s="45"/>
      <c r="AN363" s="45"/>
    </row>
    <row r="364" spans="1:40" s="53" customFormat="1" ht="14.4">
      <c r="A364" s="39">
        <v>41230</v>
      </c>
      <c r="B364" s="9" t="s">
        <v>1166</v>
      </c>
      <c r="C364" s="40">
        <v>204</v>
      </c>
      <c r="D364" s="41" t="s">
        <v>652</v>
      </c>
      <c r="E364" s="9" t="s">
        <v>77</v>
      </c>
      <c r="F364" s="9" t="s">
        <v>479</v>
      </c>
      <c r="G364" s="9"/>
      <c r="H364" s="39"/>
      <c r="I364" s="9"/>
      <c r="J364" s="39"/>
      <c r="K364" s="42"/>
      <c r="L364" s="9" t="s">
        <v>653</v>
      </c>
      <c r="M364" s="9"/>
      <c r="O364" s="45"/>
      <c r="P364" s="45"/>
      <c r="Q364" s="45"/>
      <c r="R364" s="45"/>
      <c r="S364" s="45"/>
      <c r="AA364" s="75">
        <f t="shared" si="10"/>
        <v>38</v>
      </c>
      <c r="AB364" s="76">
        <f t="shared" si="11"/>
        <v>37</v>
      </c>
      <c r="AD364" s="45"/>
      <c r="AE364" s="45"/>
      <c r="AF364" s="45"/>
      <c r="AG364" s="45"/>
      <c r="AH364" s="45"/>
      <c r="AI364" s="12"/>
      <c r="AJ364" s="13"/>
      <c r="AK364" s="45"/>
      <c r="AL364" s="45"/>
      <c r="AM364" s="45"/>
      <c r="AN364" s="45"/>
    </row>
    <row r="365" spans="1:40" s="46" customFormat="1" ht="14.4">
      <c r="A365" s="39">
        <v>41230</v>
      </c>
      <c r="B365" s="9" t="s">
        <v>1332</v>
      </c>
      <c r="C365" s="40">
        <v>281</v>
      </c>
      <c r="D365" s="41" t="s">
        <v>831</v>
      </c>
      <c r="E365" s="9" t="s">
        <v>18</v>
      </c>
      <c r="F365" s="9" t="s">
        <v>479</v>
      </c>
      <c r="G365" s="9"/>
      <c r="H365" s="39"/>
      <c r="I365" s="9"/>
      <c r="J365" s="39"/>
      <c r="K365" s="42"/>
      <c r="L365" s="9" t="s">
        <v>832</v>
      </c>
      <c r="M365" s="16"/>
      <c r="O365" s="10"/>
      <c r="P365" s="10"/>
      <c r="Q365" s="10"/>
      <c r="R365" s="10"/>
      <c r="S365" s="10"/>
      <c r="AA365" s="14">
        <f t="shared" si="10"/>
        <v>77</v>
      </c>
      <c r="AB365" s="47">
        <f t="shared" si="11"/>
        <v>76</v>
      </c>
      <c r="AD365" s="45"/>
      <c r="AE365" s="45"/>
      <c r="AF365" s="45"/>
      <c r="AG365" s="45"/>
      <c r="AH365" s="45"/>
      <c r="AI365" s="12"/>
      <c r="AJ365" s="13"/>
      <c r="AK365" s="45"/>
      <c r="AL365" s="45"/>
      <c r="AM365" s="45"/>
      <c r="AN365" s="45"/>
    </row>
    <row r="366" spans="1:40" s="46" customFormat="1" ht="14.4">
      <c r="A366" s="39">
        <v>41230</v>
      </c>
      <c r="B366" s="9" t="s">
        <v>1305</v>
      </c>
      <c r="C366" s="40">
        <v>289</v>
      </c>
      <c r="D366" s="41" t="s">
        <v>768</v>
      </c>
      <c r="E366" s="9" t="s">
        <v>77</v>
      </c>
      <c r="F366" s="9" t="s">
        <v>479</v>
      </c>
      <c r="G366" s="9"/>
      <c r="H366" s="39"/>
      <c r="I366" s="9"/>
      <c r="J366" s="39"/>
      <c r="K366" s="42"/>
      <c r="L366" s="9" t="s">
        <v>769</v>
      </c>
      <c r="M366" s="16"/>
      <c r="O366" s="10"/>
      <c r="P366" s="10"/>
      <c r="Q366" s="10"/>
      <c r="R366" s="10"/>
      <c r="S366" s="10"/>
      <c r="AA366" s="14">
        <f t="shared" si="10"/>
        <v>8</v>
      </c>
      <c r="AB366" s="47">
        <f t="shared" si="11"/>
        <v>7</v>
      </c>
      <c r="AD366" s="45"/>
      <c r="AE366" s="45"/>
      <c r="AF366" s="45"/>
      <c r="AG366" s="45"/>
      <c r="AH366" s="45"/>
      <c r="AI366" s="12"/>
      <c r="AJ366" s="13"/>
      <c r="AK366" s="45"/>
      <c r="AL366" s="45"/>
      <c r="AM366" s="45"/>
      <c r="AN366" s="45"/>
    </row>
    <row r="367" spans="1:40" s="46" customFormat="1" ht="14.4">
      <c r="A367" s="39">
        <v>41230</v>
      </c>
      <c r="B367" s="9" t="s">
        <v>1026</v>
      </c>
      <c r="C367" s="40">
        <v>222</v>
      </c>
      <c r="D367" s="41" t="s">
        <v>744</v>
      </c>
      <c r="E367" s="9" t="s">
        <v>77</v>
      </c>
      <c r="F367" s="9" t="s">
        <v>479</v>
      </c>
      <c r="G367" s="9"/>
      <c r="H367" s="39"/>
      <c r="I367" s="9"/>
      <c r="J367" s="39"/>
      <c r="K367" s="42"/>
      <c r="L367" s="9" t="s">
        <v>745</v>
      </c>
      <c r="M367" s="16"/>
      <c r="O367" s="10"/>
      <c r="P367" s="10"/>
      <c r="Q367" s="10"/>
      <c r="R367" s="10"/>
      <c r="S367" s="10"/>
      <c r="AA367" s="14">
        <f t="shared" si="10"/>
        <v>-67</v>
      </c>
      <c r="AB367" s="47">
        <f t="shared" si="11"/>
        <v>-68</v>
      </c>
      <c r="AD367" s="45"/>
      <c r="AE367" s="45"/>
      <c r="AF367" s="45"/>
      <c r="AG367" s="45"/>
      <c r="AH367" s="45"/>
      <c r="AI367" s="12"/>
      <c r="AJ367" s="13"/>
      <c r="AK367" s="45"/>
      <c r="AL367" s="45"/>
      <c r="AM367" s="45"/>
      <c r="AN367" s="45"/>
    </row>
    <row r="368" spans="1:40" s="46" customFormat="1" ht="14.4">
      <c r="A368" s="39">
        <v>41230</v>
      </c>
      <c r="B368" s="9" t="s">
        <v>1081</v>
      </c>
      <c r="C368" s="40">
        <v>200</v>
      </c>
      <c r="D368" s="41" t="s">
        <v>742</v>
      </c>
      <c r="E368" s="9" t="s">
        <v>77</v>
      </c>
      <c r="F368" s="9" t="s">
        <v>479</v>
      </c>
      <c r="G368" s="9"/>
      <c r="H368" s="39"/>
      <c r="I368" s="9"/>
      <c r="J368" s="39"/>
      <c r="K368" s="42"/>
      <c r="L368" s="9" t="s">
        <v>743</v>
      </c>
      <c r="M368" s="16"/>
      <c r="O368" s="10"/>
      <c r="P368" s="10"/>
      <c r="Q368" s="10"/>
      <c r="R368" s="10"/>
      <c r="S368" s="10"/>
      <c r="AA368" s="14">
        <f t="shared" si="10"/>
        <v>-22</v>
      </c>
      <c r="AB368" s="47">
        <f t="shared" si="11"/>
        <v>-23</v>
      </c>
      <c r="AD368" s="45"/>
      <c r="AE368" s="45"/>
      <c r="AF368" s="45"/>
      <c r="AG368" s="45"/>
      <c r="AH368" s="45"/>
      <c r="AI368" s="12"/>
      <c r="AJ368" s="13"/>
      <c r="AK368" s="45"/>
      <c r="AL368" s="45"/>
      <c r="AM368" s="45"/>
      <c r="AN368" s="45"/>
    </row>
    <row r="369" spans="1:40" s="46" customFormat="1" ht="14.4">
      <c r="A369" s="39">
        <v>41230</v>
      </c>
      <c r="B369" s="9" t="s">
        <v>2144</v>
      </c>
      <c r="C369" s="40">
        <v>504</v>
      </c>
      <c r="D369" s="41" t="s">
        <v>2143</v>
      </c>
      <c r="E369" s="9" t="s">
        <v>18</v>
      </c>
      <c r="F369" s="9" t="s">
        <v>479</v>
      </c>
      <c r="G369" s="9"/>
      <c r="H369" s="39"/>
      <c r="I369" s="9"/>
      <c r="J369" s="39"/>
      <c r="K369" s="42"/>
      <c r="L369" s="9" t="s">
        <v>841</v>
      </c>
      <c r="M369" s="16"/>
      <c r="O369" s="10"/>
      <c r="P369" s="10"/>
      <c r="Q369" s="10"/>
      <c r="R369" s="10"/>
      <c r="S369" s="10"/>
      <c r="AA369" s="14">
        <f t="shared" si="10"/>
        <v>304</v>
      </c>
      <c r="AB369" s="47">
        <f t="shared" si="11"/>
        <v>303</v>
      </c>
      <c r="AD369" s="45"/>
      <c r="AE369" s="45"/>
      <c r="AF369" s="45"/>
      <c r="AG369" s="45"/>
      <c r="AH369" s="45"/>
      <c r="AI369" s="12"/>
      <c r="AJ369" s="13"/>
      <c r="AK369" s="45"/>
      <c r="AL369" s="45"/>
      <c r="AM369" s="45"/>
      <c r="AN369" s="45"/>
    </row>
    <row r="370" spans="1:40" s="46" customFormat="1" ht="14.4">
      <c r="A370" s="39">
        <v>41230</v>
      </c>
      <c r="B370" s="9"/>
      <c r="C370" s="40"/>
      <c r="D370" s="41" t="s">
        <v>708</v>
      </c>
      <c r="E370" s="9" t="s">
        <v>77</v>
      </c>
      <c r="F370" s="9" t="s">
        <v>935</v>
      </c>
      <c r="G370" s="9"/>
      <c r="H370" s="39"/>
      <c r="I370" s="9"/>
      <c r="J370" s="39"/>
      <c r="K370" s="42"/>
      <c r="L370" s="9" t="s">
        <v>709</v>
      </c>
      <c r="M370" s="16"/>
      <c r="O370" s="10"/>
      <c r="P370" s="10"/>
      <c r="Q370" s="10"/>
      <c r="R370" s="10"/>
      <c r="S370" s="10"/>
      <c r="AA370" s="14">
        <f t="shared" si="10"/>
        <v>-504</v>
      </c>
      <c r="AB370" s="47">
        <f t="shared" si="11"/>
        <v>-505</v>
      </c>
      <c r="AD370" s="45"/>
      <c r="AE370" s="45"/>
      <c r="AF370" s="45"/>
      <c r="AG370" s="45"/>
      <c r="AH370" s="45"/>
      <c r="AI370" s="12"/>
      <c r="AJ370" s="13"/>
      <c r="AK370" s="45"/>
      <c r="AL370" s="45"/>
      <c r="AM370" s="45"/>
      <c r="AN370" s="45"/>
    </row>
    <row r="371" spans="1:40" s="46" customFormat="1" ht="14.4">
      <c r="A371" s="39">
        <v>41230</v>
      </c>
      <c r="B371" s="9" t="s">
        <v>2642</v>
      </c>
      <c r="C371" s="40">
        <v>787</v>
      </c>
      <c r="D371" s="41" t="s">
        <v>850</v>
      </c>
      <c r="E371" s="9" t="s">
        <v>18</v>
      </c>
      <c r="F371" s="9" t="s">
        <v>479</v>
      </c>
      <c r="G371" s="9"/>
      <c r="H371" s="39"/>
      <c r="I371" s="9"/>
      <c r="J371" s="39"/>
      <c r="K371" s="42"/>
      <c r="L371" s="9" t="s">
        <v>42</v>
      </c>
      <c r="M371" s="16"/>
      <c r="O371" s="10"/>
      <c r="P371" s="10"/>
      <c r="Q371" s="10"/>
      <c r="R371" s="10"/>
      <c r="S371" s="10"/>
      <c r="AA371" s="14">
        <f t="shared" ref="AA371:AA426" si="12">C371-C370</f>
        <v>787</v>
      </c>
      <c r="AB371" s="47">
        <f t="shared" ref="AB371:AB426" si="13">AA371-1</f>
        <v>786</v>
      </c>
      <c r="AD371" s="45"/>
      <c r="AE371" s="45"/>
      <c r="AF371" s="45"/>
      <c r="AG371" s="45"/>
      <c r="AH371" s="45"/>
      <c r="AI371" s="12"/>
      <c r="AJ371" s="13"/>
      <c r="AK371" s="45"/>
      <c r="AL371" s="45"/>
      <c r="AM371" s="45"/>
      <c r="AN371" s="45"/>
    </row>
    <row r="372" spans="1:40" s="46" customFormat="1" ht="14.4">
      <c r="A372" s="39">
        <v>41230</v>
      </c>
      <c r="B372" s="9" t="s">
        <v>2767</v>
      </c>
      <c r="C372" s="15">
        <v>710</v>
      </c>
      <c r="D372" s="41" t="s">
        <v>849</v>
      </c>
      <c r="E372" s="9" t="s">
        <v>18</v>
      </c>
      <c r="F372" s="9" t="s">
        <v>479</v>
      </c>
      <c r="G372" s="9"/>
      <c r="H372" s="39"/>
      <c r="I372" s="9"/>
      <c r="J372" s="39"/>
      <c r="K372" s="42"/>
      <c r="L372" s="9" t="s">
        <v>42</v>
      </c>
      <c r="M372" s="16"/>
      <c r="O372" s="10"/>
      <c r="P372" s="10"/>
      <c r="Q372" s="10"/>
      <c r="R372" s="10"/>
      <c r="S372" s="10"/>
      <c r="AA372" s="14">
        <f t="shared" si="12"/>
        <v>-77</v>
      </c>
      <c r="AB372" s="47">
        <f t="shared" si="13"/>
        <v>-78</v>
      </c>
      <c r="AD372" s="45"/>
      <c r="AE372" s="45"/>
      <c r="AF372" s="45"/>
      <c r="AG372" s="45"/>
      <c r="AH372" s="45"/>
      <c r="AI372" s="12"/>
      <c r="AJ372" s="13"/>
      <c r="AK372" s="45"/>
      <c r="AL372" s="45"/>
      <c r="AM372" s="45"/>
      <c r="AN372" s="45"/>
    </row>
    <row r="373" spans="1:40" s="46" customFormat="1" ht="14.4">
      <c r="A373" s="39">
        <v>41230</v>
      </c>
      <c r="B373" s="9" t="s">
        <v>2059</v>
      </c>
      <c r="C373" s="40">
        <v>426</v>
      </c>
      <c r="D373" s="41" t="s">
        <v>907</v>
      </c>
      <c r="E373" s="9" t="s">
        <v>18</v>
      </c>
      <c r="F373" s="9" t="s">
        <v>479</v>
      </c>
      <c r="G373" s="9"/>
      <c r="H373" s="39"/>
      <c r="I373" s="9"/>
      <c r="J373" s="39"/>
      <c r="K373" s="42"/>
      <c r="L373" s="9" t="s">
        <v>908</v>
      </c>
      <c r="M373" s="16"/>
      <c r="O373" s="10"/>
      <c r="P373" s="10"/>
      <c r="Q373" s="10"/>
      <c r="R373" s="10"/>
      <c r="S373" s="10"/>
      <c r="AA373" s="14">
        <f t="shared" si="12"/>
        <v>-284</v>
      </c>
      <c r="AB373" s="47">
        <f t="shared" si="13"/>
        <v>-285</v>
      </c>
      <c r="AD373" s="45"/>
      <c r="AE373" s="45"/>
      <c r="AF373" s="45"/>
      <c r="AG373" s="45"/>
      <c r="AH373" s="45"/>
      <c r="AI373" s="12"/>
      <c r="AJ373" s="13"/>
      <c r="AK373" s="45"/>
      <c r="AL373" s="45"/>
      <c r="AM373" s="45"/>
      <c r="AN373" s="45"/>
    </row>
    <row r="374" spans="1:40" s="46" customFormat="1" ht="14.4">
      <c r="A374" s="39">
        <v>41230</v>
      </c>
      <c r="B374" s="9" t="s">
        <v>2062</v>
      </c>
      <c r="C374" s="40">
        <v>428</v>
      </c>
      <c r="D374" s="41" t="s">
        <v>909</v>
      </c>
      <c r="E374" s="9" t="s">
        <v>18</v>
      </c>
      <c r="F374" s="9" t="s">
        <v>479</v>
      </c>
      <c r="G374" s="9"/>
      <c r="H374" s="39"/>
      <c r="I374" s="9"/>
      <c r="J374" s="39"/>
      <c r="K374" s="48"/>
      <c r="L374" s="9" t="s">
        <v>42</v>
      </c>
      <c r="M374" s="16"/>
      <c r="O374" s="10"/>
      <c r="P374" s="10"/>
      <c r="Q374" s="10"/>
      <c r="R374" s="10"/>
      <c r="S374" s="10"/>
      <c r="AA374" s="14">
        <f t="shared" si="12"/>
        <v>2</v>
      </c>
      <c r="AB374" s="47">
        <f t="shared" si="13"/>
        <v>1</v>
      </c>
      <c r="AD374" s="45"/>
      <c r="AE374" s="45"/>
      <c r="AF374" s="45"/>
      <c r="AG374" s="45"/>
      <c r="AH374" s="45"/>
      <c r="AI374" s="12"/>
      <c r="AJ374" s="13"/>
      <c r="AK374" s="45"/>
      <c r="AL374" s="45"/>
      <c r="AM374" s="45"/>
      <c r="AN374" s="45"/>
    </row>
    <row r="375" spans="1:40" s="46" customFormat="1" ht="14.4">
      <c r="A375" s="39">
        <v>41230</v>
      </c>
      <c r="B375" s="9" t="s">
        <v>1196</v>
      </c>
      <c r="C375" s="40">
        <v>345</v>
      </c>
      <c r="D375" s="41" t="s">
        <v>2474</v>
      </c>
      <c r="E375" s="9" t="s">
        <v>18</v>
      </c>
      <c r="F375" s="9" t="s">
        <v>479</v>
      </c>
      <c r="G375" s="9"/>
      <c r="H375" s="39"/>
      <c r="I375" s="9"/>
      <c r="J375" s="39"/>
      <c r="K375" s="42"/>
      <c r="L375" s="9" t="s">
        <v>828</v>
      </c>
      <c r="M375" s="16"/>
      <c r="O375" s="10"/>
      <c r="P375" s="10"/>
      <c r="Q375" s="10"/>
      <c r="R375" s="10"/>
      <c r="S375" s="10"/>
      <c r="AA375" s="14">
        <f t="shared" si="12"/>
        <v>-83</v>
      </c>
      <c r="AB375" s="47">
        <f t="shared" si="13"/>
        <v>-84</v>
      </c>
      <c r="AD375" s="45"/>
      <c r="AE375" s="45"/>
      <c r="AF375" s="45"/>
      <c r="AG375" s="45"/>
      <c r="AH375" s="45"/>
      <c r="AI375" s="12"/>
      <c r="AJ375" s="13"/>
      <c r="AK375" s="45"/>
      <c r="AL375" s="45"/>
      <c r="AM375" s="45"/>
      <c r="AN375" s="45"/>
    </row>
    <row r="376" spans="1:40" s="46" customFormat="1" ht="14.4">
      <c r="A376" s="39">
        <v>41230</v>
      </c>
      <c r="B376" s="9" t="s">
        <v>2145</v>
      </c>
      <c r="C376" s="40">
        <v>505</v>
      </c>
      <c r="D376" s="41" t="s">
        <v>875</v>
      </c>
      <c r="E376" s="9" t="s">
        <v>18</v>
      </c>
      <c r="F376" s="9" t="s">
        <v>479</v>
      </c>
      <c r="G376" s="9"/>
      <c r="H376" s="39"/>
      <c r="I376" s="9"/>
      <c r="J376" s="39"/>
      <c r="K376" s="42"/>
      <c r="L376" s="9" t="s">
        <v>42</v>
      </c>
      <c r="M376" s="16"/>
      <c r="O376" s="10"/>
      <c r="P376" s="10"/>
      <c r="Q376" s="10"/>
      <c r="R376" s="10"/>
      <c r="S376" s="10"/>
      <c r="AA376" s="14">
        <f t="shared" si="12"/>
        <v>160</v>
      </c>
      <c r="AB376" s="47">
        <f t="shared" si="13"/>
        <v>159</v>
      </c>
      <c r="AD376" s="45"/>
      <c r="AE376" s="45"/>
      <c r="AF376" s="45"/>
      <c r="AG376" s="45"/>
      <c r="AH376" s="45"/>
      <c r="AI376" s="12"/>
      <c r="AJ376" s="13"/>
      <c r="AK376" s="45"/>
      <c r="AL376" s="45"/>
      <c r="AM376" s="45"/>
      <c r="AN376" s="45"/>
    </row>
    <row r="377" spans="1:40" s="46" customFormat="1" ht="14.4">
      <c r="A377" s="39">
        <v>41230</v>
      </c>
      <c r="B377" s="9" t="s">
        <v>1149</v>
      </c>
      <c r="C377" s="40">
        <v>177</v>
      </c>
      <c r="D377" s="41" t="s">
        <v>799</v>
      </c>
      <c r="E377" s="9" t="s">
        <v>88</v>
      </c>
      <c r="F377" s="9" t="s">
        <v>479</v>
      </c>
      <c r="G377" s="9"/>
      <c r="H377" s="39"/>
      <c r="I377" s="9"/>
      <c r="J377" s="39"/>
      <c r="K377" s="49"/>
      <c r="L377" s="9" t="s">
        <v>42</v>
      </c>
      <c r="M377" s="16"/>
      <c r="O377" s="10"/>
      <c r="P377" s="10"/>
      <c r="Q377" s="10"/>
      <c r="R377" s="10"/>
      <c r="S377" s="10"/>
      <c r="AA377" s="14">
        <f t="shared" si="12"/>
        <v>-328</v>
      </c>
      <c r="AB377" s="47">
        <f t="shared" si="13"/>
        <v>-329</v>
      </c>
      <c r="AD377" s="45"/>
      <c r="AE377" s="45"/>
      <c r="AF377" s="45"/>
      <c r="AG377" s="45"/>
      <c r="AH377" s="45"/>
      <c r="AI377" s="12"/>
      <c r="AJ377" s="13"/>
      <c r="AK377" s="45"/>
      <c r="AL377" s="45"/>
      <c r="AM377" s="45"/>
      <c r="AN377" s="45"/>
    </row>
    <row r="378" spans="1:40" s="46" customFormat="1" ht="14.4">
      <c r="A378" s="39">
        <v>41230</v>
      </c>
      <c r="B378" s="9" t="s">
        <v>1983</v>
      </c>
      <c r="C378" s="40">
        <v>521</v>
      </c>
      <c r="D378" s="41" t="s">
        <v>885</v>
      </c>
      <c r="E378" s="9" t="s">
        <v>18</v>
      </c>
      <c r="F378" s="9" t="s">
        <v>479</v>
      </c>
      <c r="G378" s="9"/>
      <c r="H378" s="39"/>
      <c r="I378" s="9"/>
      <c r="J378" s="39"/>
      <c r="K378" s="42"/>
      <c r="L378" s="9" t="s">
        <v>886</v>
      </c>
      <c r="M378" s="16"/>
      <c r="O378" s="10"/>
      <c r="P378" s="10"/>
      <c r="Q378" s="10"/>
      <c r="R378" s="10"/>
      <c r="S378" s="10"/>
      <c r="AA378" s="14">
        <f t="shared" si="12"/>
        <v>344</v>
      </c>
      <c r="AB378" s="47">
        <f t="shared" si="13"/>
        <v>343</v>
      </c>
      <c r="AD378" s="45"/>
      <c r="AE378" s="45"/>
      <c r="AF378" s="45"/>
      <c r="AG378" s="45"/>
      <c r="AH378" s="45"/>
      <c r="AI378" s="12"/>
      <c r="AJ378" s="13"/>
      <c r="AK378" s="45"/>
      <c r="AL378" s="45"/>
      <c r="AM378" s="45"/>
      <c r="AN378" s="45"/>
    </row>
    <row r="379" spans="1:40" s="46" customFormat="1" ht="14.4">
      <c r="A379" s="39">
        <v>41230</v>
      </c>
      <c r="B379" s="9" t="s">
        <v>2069</v>
      </c>
      <c r="C379" s="15">
        <v>433</v>
      </c>
      <c r="D379" s="41" t="s">
        <v>970</v>
      </c>
      <c r="E379" s="9" t="s">
        <v>931</v>
      </c>
      <c r="F379" s="9" t="s">
        <v>479</v>
      </c>
      <c r="G379" s="9"/>
      <c r="H379" s="39"/>
      <c r="I379" s="9"/>
      <c r="J379" s="39"/>
      <c r="K379" s="42"/>
      <c r="L379" s="9" t="s">
        <v>971</v>
      </c>
      <c r="M379" s="16"/>
      <c r="O379" s="10"/>
      <c r="P379" s="10"/>
      <c r="Q379" s="10"/>
      <c r="R379" s="10"/>
      <c r="S379" s="10"/>
      <c r="AA379" s="14">
        <f t="shared" si="12"/>
        <v>-88</v>
      </c>
      <c r="AB379" s="47">
        <f t="shared" si="13"/>
        <v>-89</v>
      </c>
      <c r="AD379" s="45"/>
      <c r="AE379" s="45"/>
      <c r="AF379" s="45"/>
      <c r="AG379" s="45"/>
      <c r="AH379" s="45"/>
      <c r="AI379" s="12"/>
      <c r="AJ379" s="13"/>
      <c r="AK379" s="45"/>
      <c r="AL379" s="45"/>
      <c r="AM379" s="45"/>
      <c r="AN379" s="45"/>
    </row>
    <row r="380" spans="1:40" s="46" customFormat="1" ht="14.4">
      <c r="A380" s="39">
        <v>41230</v>
      </c>
      <c r="B380" s="9" t="s">
        <v>1338</v>
      </c>
      <c r="C380" s="15">
        <v>304</v>
      </c>
      <c r="D380" s="41" t="s">
        <v>804</v>
      </c>
      <c r="E380" s="9" t="s">
        <v>802</v>
      </c>
      <c r="F380" s="9" t="s">
        <v>479</v>
      </c>
      <c r="G380" s="9"/>
      <c r="H380" s="39"/>
      <c r="I380" s="9"/>
      <c r="J380" s="39"/>
      <c r="K380" s="42"/>
      <c r="L380" s="9" t="s">
        <v>805</v>
      </c>
      <c r="M380" s="16"/>
      <c r="O380" s="10"/>
      <c r="P380" s="10"/>
      <c r="Q380" s="10"/>
      <c r="R380" s="10"/>
      <c r="S380" s="10"/>
      <c r="AA380" s="14">
        <f t="shared" si="12"/>
        <v>-129</v>
      </c>
      <c r="AB380" s="47">
        <f t="shared" si="13"/>
        <v>-130</v>
      </c>
      <c r="AD380" s="45"/>
      <c r="AE380" s="45"/>
      <c r="AF380" s="45"/>
      <c r="AG380" s="45"/>
      <c r="AH380" s="45"/>
      <c r="AI380" s="12"/>
      <c r="AJ380" s="13"/>
      <c r="AK380" s="45"/>
      <c r="AL380" s="45"/>
      <c r="AM380" s="45"/>
      <c r="AN380" s="45"/>
    </row>
    <row r="381" spans="1:40" s="46" customFormat="1" ht="14.4">
      <c r="A381" s="39">
        <v>41230</v>
      </c>
      <c r="B381" s="9" t="s">
        <v>1175</v>
      </c>
      <c r="C381" s="40">
        <v>219</v>
      </c>
      <c r="D381" s="41" t="s">
        <v>673</v>
      </c>
      <c r="E381" s="9" t="s">
        <v>77</v>
      </c>
      <c r="F381" s="9" t="s">
        <v>479</v>
      </c>
      <c r="G381" s="9"/>
      <c r="H381" s="39"/>
      <c r="I381" s="9"/>
      <c r="J381" s="39"/>
      <c r="K381" s="42"/>
      <c r="L381" s="9" t="s">
        <v>674</v>
      </c>
      <c r="M381" s="16"/>
      <c r="O381" s="10"/>
      <c r="P381" s="10"/>
      <c r="Q381" s="10"/>
      <c r="R381" s="10"/>
      <c r="S381" s="10"/>
      <c r="AA381" s="14">
        <f t="shared" si="12"/>
        <v>-85</v>
      </c>
      <c r="AB381" s="47">
        <f t="shared" si="13"/>
        <v>-86</v>
      </c>
      <c r="AD381" s="45"/>
      <c r="AE381" s="45"/>
      <c r="AF381" s="45"/>
      <c r="AG381" s="45"/>
      <c r="AH381" s="45"/>
      <c r="AI381" s="12"/>
      <c r="AJ381" s="13"/>
      <c r="AK381" s="45"/>
      <c r="AL381" s="45"/>
      <c r="AM381" s="45"/>
      <c r="AN381" s="45"/>
    </row>
    <row r="382" spans="1:40" s="46" customFormat="1" ht="14.4">
      <c r="A382" s="39">
        <v>41230</v>
      </c>
      <c r="B382" s="9" t="s">
        <v>1340</v>
      </c>
      <c r="C382" s="40">
        <v>306</v>
      </c>
      <c r="D382" s="41" t="s">
        <v>679</v>
      </c>
      <c r="E382" s="9" t="s">
        <v>77</v>
      </c>
      <c r="F382" s="9" t="s">
        <v>479</v>
      </c>
      <c r="G382" s="9"/>
      <c r="H382" s="39"/>
      <c r="I382" s="9"/>
      <c r="J382" s="39"/>
      <c r="K382" s="42"/>
      <c r="L382" s="9" t="s">
        <v>680</v>
      </c>
      <c r="M382" s="16"/>
      <c r="O382" s="10"/>
      <c r="P382" s="10"/>
      <c r="Q382" s="10"/>
      <c r="R382" s="10"/>
      <c r="S382" s="10"/>
      <c r="AA382" s="14">
        <f t="shared" si="12"/>
        <v>87</v>
      </c>
      <c r="AB382" s="47">
        <f t="shared" si="13"/>
        <v>86</v>
      </c>
      <c r="AD382" s="45"/>
      <c r="AE382" s="45"/>
      <c r="AF382" s="45"/>
      <c r="AG382" s="45"/>
      <c r="AH382" s="45"/>
      <c r="AI382" s="12"/>
      <c r="AJ382" s="13"/>
      <c r="AK382" s="45"/>
      <c r="AL382" s="45"/>
      <c r="AM382" s="45"/>
      <c r="AN382" s="45"/>
    </row>
    <row r="383" spans="1:40" s="46" customFormat="1" ht="14.4">
      <c r="A383" s="39">
        <v>41230</v>
      </c>
      <c r="B383" s="9" t="s">
        <v>1310</v>
      </c>
      <c r="C383" s="40">
        <v>293</v>
      </c>
      <c r="D383" s="41" t="s">
        <v>774</v>
      </c>
      <c r="E383" s="9" t="s">
        <v>77</v>
      </c>
      <c r="F383" s="9" t="s">
        <v>479</v>
      </c>
      <c r="G383" s="9"/>
      <c r="H383" s="39"/>
      <c r="I383" s="9"/>
      <c r="J383" s="39"/>
      <c r="K383" s="42"/>
      <c r="L383" s="9" t="s">
        <v>775</v>
      </c>
      <c r="M383" s="16"/>
      <c r="O383" s="10"/>
      <c r="P383" s="10"/>
      <c r="Q383" s="10"/>
      <c r="R383" s="10"/>
      <c r="S383" s="10"/>
      <c r="AA383" s="14">
        <f t="shared" si="12"/>
        <v>-13</v>
      </c>
      <c r="AB383" s="47">
        <f t="shared" si="13"/>
        <v>-14</v>
      </c>
      <c r="AD383" s="45"/>
      <c r="AE383" s="45"/>
      <c r="AF383" s="45"/>
      <c r="AG383" s="45"/>
      <c r="AH383" s="45"/>
      <c r="AI383" s="12"/>
      <c r="AJ383" s="13"/>
      <c r="AK383" s="45"/>
      <c r="AL383" s="45"/>
      <c r="AM383" s="45"/>
      <c r="AN383" s="45"/>
    </row>
    <row r="384" spans="1:40" s="46" customFormat="1" ht="14.4">
      <c r="A384" s="39">
        <v>41230</v>
      </c>
      <c r="B384" s="9" t="s">
        <v>2679</v>
      </c>
      <c r="C384" s="40">
        <v>685</v>
      </c>
      <c r="D384" s="41" t="s">
        <v>911</v>
      </c>
      <c r="E384" s="9" t="s">
        <v>18</v>
      </c>
      <c r="F384" s="9" t="s">
        <v>479</v>
      </c>
      <c r="G384" s="9"/>
      <c r="H384" s="39"/>
      <c r="I384" s="9"/>
      <c r="J384" s="39"/>
      <c r="K384" s="42"/>
      <c r="L384" s="9" t="s">
        <v>912</v>
      </c>
      <c r="M384" s="16"/>
      <c r="O384" s="10"/>
      <c r="P384" s="10"/>
      <c r="Q384" s="10"/>
      <c r="R384" s="10"/>
      <c r="S384" s="10"/>
      <c r="AA384" s="14">
        <f t="shared" si="12"/>
        <v>392</v>
      </c>
      <c r="AB384" s="47">
        <f t="shared" si="13"/>
        <v>391</v>
      </c>
      <c r="AD384" s="45"/>
      <c r="AE384" s="45"/>
      <c r="AF384" s="45"/>
      <c r="AG384" s="45"/>
      <c r="AH384" s="45"/>
      <c r="AI384" s="12"/>
      <c r="AJ384" s="13"/>
      <c r="AK384" s="45"/>
      <c r="AL384" s="45"/>
      <c r="AM384" s="45"/>
      <c r="AN384" s="45"/>
    </row>
    <row r="385" spans="1:40" s="46" customFormat="1" ht="14.4">
      <c r="A385" s="39">
        <v>41230</v>
      </c>
      <c r="B385" s="9" t="s">
        <v>1331</v>
      </c>
      <c r="C385" s="40">
        <v>280</v>
      </c>
      <c r="D385" s="41" t="s">
        <v>835</v>
      </c>
      <c r="E385" s="9" t="s">
        <v>18</v>
      </c>
      <c r="F385" s="9" t="s">
        <v>479</v>
      </c>
      <c r="G385" s="9"/>
      <c r="H385" s="39"/>
      <c r="I385" s="9"/>
      <c r="J385" s="39"/>
      <c r="K385" s="42"/>
      <c r="L385" s="9" t="s">
        <v>836</v>
      </c>
      <c r="M385" s="16"/>
      <c r="O385" s="10"/>
      <c r="P385" s="10"/>
      <c r="Q385" s="10"/>
      <c r="R385" s="10"/>
      <c r="S385" s="10"/>
      <c r="AA385" s="14">
        <f t="shared" si="12"/>
        <v>-405</v>
      </c>
      <c r="AB385" s="47">
        <f t="shared" si="13"/>
        <v>-406</v>
      </c>
      <c r="AD385" s="45"/>
      <c r="AE385" s="45"/>
      <c r="AF385" s="45"/>
      <c r="AG385" s="45"/>
      <c r="AH385" s="45"/>
      <c r="AI385" s="12"/>
      <c r="AJ385" s="13"/>
      <c r="AK385" s="45"/>
      <c r="AL385" s="45"/>
      <c r="AM385" s="45"/>
      <c r="AN385" s="45"/>
    </row>
    <row r="386" spans="1:40" s="46" customFormat="1" ht="14.4">
      <c r="A386" s="39">
        <v>41230</v>
      </c>
      <c r="B386" s="9" t="s">
        <v>2043</v>
      </c>
      <c r="C386" s="15">
        <v>407</v>
      </c>
      <c r="D386" s="41" t="s">
        <v>972</v>
      </c>
      <c r="E386" s="9" t="s">
        <v>484</v>
      </c>
      <c r="F386" s="9" t="s">
        <v>479</v>
      </c>
      <c r="G386" s="9"/>
      <c r="H386" s="39"/>
      <c r="I386" s="9"/>
      <c r="J386" s="39"/>
      <c r="K386" s="42"/>
      <c r="L386" s="9" t="s">
        <v>973</v>
      </c>
      <c r="M386" s="16"/>
      <c r="O386" s="10"/>
      <c r="P386" s="10"/>
      <c r="Q386" s="10"/>
      <c r="R386" s="10"/>
      <c r="S386" s="10"/>
      <c r="AA386" s="14">
        <f t="shared" si="12"/>
        <v>127</v>
      </c>
      <c r="AB386" s="47">
        <f t="shared" si="13"/>
        <v>126</v>
      </c>
      <c r="AD386" s="45"/>
      <c r="AE386" s="45"/>
      <c r="AF386" s="45"/>
      <c r="AG386" s="45"/>
      <c r="AH386" s="45"/>
      <c r="AI386" s="12"/>
      <c r="AJ386" s="13"/>
      <c r="AK386" s="45"/>
      <c r="AL386" s="45"/>
      <c r="AM386" s="45"/>
      <c r="AN386" s="45"/>
    </row>
    <row r="387" spans="1:40" s="46" customFormat="1" ht="14.4">
      <c r="A387" s="39">
        <v>41230</v>
      </c>
      <c r="B387" s="9" t="s">
        <v>2651</v>
      </c>
      <c r="C387" s="15">
        <v>774</v>
      </c>
      <c r="D387" s="41" t="s">
        <v>974</v>
      </c>
      <c r="E387" s="9" t="s">
        <v>484</v>
      </c>
      <c r="F387" s="9" t="s">
        <v>479</v>
      </c>
      <c r="G387" s="9"/>
      <c r="H387" s="39"/>
      <c r="I387" s="9"/>
      <c r="J387" s="39"/>
      <c r="K387" s="42"/>
      <c r="L387" s="9"/>
      <c r="M387" s="16"/>
      <c r="O387" s="10"/>
      <c r="P387" s="10"/>
      <c r="Q387" s="10"/>
      <c r="R387" s="10"/>
      <c r="S387" s="10"/>
      <c r="AA387" s="14" t="e">
        <f>C387-#REF!</f>
        <v>#REF!</v>
      </c>
      <c r="AB387" s="47" t="e">
        <f t="shared" si="13"/>
        <v>#REF!</v>
      </c>
      <c r="AD387" s="45"/>
      <c r="AE387" s="45"/>
      <c r="AF387" s="45"/>
      <c r="AG387" s="45"/>
      <c r="AH387" s="45"/>
      <c r="AI387" s="12"/>
      <c r="AJ387" s="13"/>
      <c r="AK387" s="45"/>
      <c r="AL387" s="45"/>
      <c r="AM387" s="45"/>
      <c r="AN387" s="45"/>
    </row>
    <row r="388" spans="1:40" s="46" customFormat="1" ht="14.4">
      <c r="A388" s="39">
        <v>41230</v>
      </c>
      <c r="B388" s="9" t="s">
        <v>1984</v>
      </c>
      <c r="C388" s="40">
        <v>522</v>
      </c>
      <c r="D388" s="41" t="s">
        <v>878</v>
      </c>
      <c r="E388" s="9" t="s">
        <v>18</v>
      </c>
      <c r="F388" s="9" t="s">
        <v>479</v>
      </c>
      <c r="G388" s="9"/>
      <c r="H388" s="39"/>
      <c r="I388" s="9"/>
      <c r="J388" s="39"/>
      <c r="K388" s="42"/>
      <c r="L388" s="9" t="s">
        <v>42</v>
      </c>
      <c r="M388" s="16"/>
      <c r="O388" s="10"/>
      <c r="P388" s="10"/>
      <c r="Q388" s="10"/>
      <c r="R388" s="10"/>
      <c r="S388" s="10"/>
      <c r="AA388" s="14">
        <f t="shared" si="12"/>
        <v>-252</v>
      </c>
      <c r="AB388" s="47">
        <f t="shared" si="13"/>
        <v>-253</v>
      </c>
      <c r="AD388" s="45"/>
      <c r="AE388" s="45"/>
      <c r="AF388" s="45"/>
      <c r="AG388" s="45"/>
      <c r="AH388" s="45"/>
      <c r="AI388" s="12"/>
      <c r="AJ388" s="13"/>
      <c r="AK388" s="45"/>
      <c r="AL388" s="45"/>
      <c r="AM388" s="45"/>
      <c r="AN388" s="45"/>
    </row>
    <row r="389" spans="1:40" s="46" customFormat="1" ht="14.4">
      <c r="A389" s="39">
        <v>41230</v>
      </c>
      <c r="B389" s="9" t="s">
        <v>2647</v>
      </c>
      <c r="C389" s="15">
        <v>771</v>
      </c>
      <c r="D389" s="41" t="s">
        <v>904</v>
      </c>
      <c r="E389" s="9" t="s">
        <v>18</v>
      </c>
      <c r="F389" s="9" t="s">
        <v>479</v>
      </c>
      <c r="G389" s="9"/>
      <c r="H389" s="39"/>
      <c r="I389" s="9"/>
      <c r="J389" s="39"/>
      <c r="K389" s="42"/>
      <c r="L389" s="9" t="s">
        <v>42</v>
      </c>
      <c r="M389" s="16"/>
      <c r="O389" s="10"/>
      <c r="P389" s="10"/>
      <c r="Q389" s="10"/>
      <c r="R389" s="10"/>
      <c r="S389" s="10"/>
      <c r="AA389" s="14" t="e">
        <f>C389-#REF!</f>
        <v>#REF!</v>
      </c>
      <c r="AB389" s="47" t="e">
        <f t="shared" si="13"/>
        <v>#REF!</v>
      </c>
      <c r="AD389" s="45"/>
      <c r="AE389" s="45"/>
      <c r="AF389" s="45"/>
      <c r="AG389" s="45"/>
      <c r="AH389" s="45"/>
      <c r="AI389" s="12"/>
      <c r="AJ389" s="13"/>
      <c r="AK389" s="45"/>
      <c r="AL389" s="45"/>
      <c r="AM389" s="45"/>
      <c r="AN389" s="45"/>
    </row>
    <row r="390" spans="1:40" s="46" customFormat="1" ht="14.4">
      <c r="A390" s="39">
        <v>41230</v>
      </c>
      <c r="B390" s="9" t="s">
        <v>2080</v>
      </c>
      <c r="C390" s="40">
        <v>456</v>
      </c>
      <c r="D390" s="41" t="s">
        <v>876</v>
      </c>
      <c r="E390" s="9" t="s">
        <v>18</v>
      </c>
      <c r="F390" s="9" t="s">
        <v>479</v>
      </c>
      <c r="G390" s="9"/>
      <c r="H390" s="39"/>
      <c r="I390" s="9"/>
      <c r="J390" s="39"/>
      <c r="K390" s="42"/>
      <c r="L390" s="9" t="s">
        <v>877</v>
      </c>
      <c r="M390" s="16"/>
      <c r="O390" s="10"/>
      <c r="P390" s="10"/>
      <c r="Q390" s="10"/>
      <c r="R390" s="10"/>
      <c r="S390" s="10"/>
      <c r="AA390" s="14">
        <f t="shared" si="12"/>
        <v>-315</v>
      </c>
      <c r="AB390" s="47">
        <f t="shared" si="13"/>
        <v>-316</v>
      </c>
      <c r="AD390" s="45"/>
      <c r="AE390" s="45"/>
      <c r="AF390" s="45"/>
      <c r="AG390" s="45"/>
      <c r="AH390" s="45"/>
      <c r="AI390" s="12"/>
      <c r="AJ390" s="13"/>
      <c r="AK390" s="45"/>
      <c r="AL390" s="45"/>
      <c r="AM390" s="45"/>
      <c r="AN390" s="45"/>
    </row>
    <row r="391" spans="1:40" s="46" customFormat="1" ht="14.4">
      <c r="A391" s="39">
        <v>41230</v>
      </c>
      <c r="B391" s="9" t="s">
        <v>1205</v>
      </c>
      <c r="C391" s="40">
        <v>489</v>
      </c>
      <c r="D391" s="41" t="s">
        <v>731</v>
      </c>
      <c r="E391" s="9" t="s">
        <v>77</v>
      </c>
      <c r="F391" s="9" t="s">
        <v>479</v>
      </c>
      <c r="G391" s="9"/>
      <c r="H391" s="39"/>
      <c r="I391" s="9"/>
      <c r="J391" s="39"/>
      <c r="K391" s="42"/>
      <c r="L391" s="9" t="s">
        <v>732</v>
      </c>
      <c r="M391" s="16"/>
      <c r="O391" s="10"/>
      <c r="P391" s="10"/>
      <c r="Q391" s="10"/>
      <c r="R391" s="10"/>
      <c r="S391" s="10"/>
      <c r="AA391" s="14">
        <f t="shared" si="12"/>
        <v>33</v>
      </c>
      <c r="AB391" s="47">
        <f t="shared" si="13"/>
        <v>32</v>
      </c>
      <c r="AD391" s="45"/>
      <c r="AE391" s="45"/>
      <c r="AF391" s="45"/>
      <c r="AG391" s="45"/>
      <c r="AH391" s="45"/>
      <c r="AI391" s="12"/>
      <c r="AJ391" s="13"/>
      <c r="AK391" s="45"/>
      <c r="AL391" s="45"/>
      <c r="AM391" s="45"/>
      <c r="AN391" s="45"/>
    </row>
    <row r="392" spans="1:40" s="46" customFormat="1" ht="14.4">
      <c r="A392" s="39">
        <v>41230</v>
      </c>
      <c r="B392" s="9" t="s">
        <v>1027</v>
      </c>
      <c r="C392" s="40">
        <v>223</v>
      </c>
      <c r="D392" s="41" t="s">
        <v>733</v>
      </c>
      <c r="E392" s="9" t="s">
        <v>77</v>
      </c>
      <c r="F392" s="9" t="s">
        <v>479</v>
      </c>
      <c r="G392" s="9"/>
      <c r="H392" s="39"/>
      <c r="I392" s="9"/>
      <c r="J392" s="39"/>
      <c r="K392" s="42"/>
      <c r="L392" s="9" t="s">
        <v>734</v>
      </c>
      <c r="M392" s="16"/>
      <c r="O392" s="10"/>
      <c r="P392" s="10"/>
      <c r="Q392" s="10"/>
      <c r="R392" s="10"/>
      <c r="S392" s="10"/>
      <c r="AA392" s="14">
        <f t="shared" si="12"/>
        <v>-266</v>
      </c>
      <c r="AB392" s="47">
        <f t="shared" si="13"/>
        <v>-267</v>
      </c>
      <c r="AD392" s="45"/>
      <c r="AE392" s="45"/>
      <c r="AF392" s="45"/>
      <c r="AG392" s="45"/>
      <c r="AH392" s="45"/>
      <c r="AI392" s="12"/>
      <c r="AJ392" s="13"/>
      <c r="AK392" s="45"/>
      <c r="AL392" s="45"/>
      <c r="AM392" s="45"/>
      <c r="AN392" s="45"/>
    </row>
    <row r="393" spans="1:40" s="46" customFormat="1" ht="14.4">
      <c r="A393" s="39">
        <v>41230</v>
      </c>
      <c r="B393" s="9" t="s">
        <v>1155</v>
      </c>
      <c r="C393" s="40">
        <v>188</v>
      </c>
      <c r="D393" s="41" t="s">
        <v>727</v>
      </c>
      <c r="E393" s="9" t="s">
        <v>77</v>
      </c>
      <c r="F393" s="9" t="s">
        <v>479</v>
      </c>
      <c r="G393" s="9"/>
      <c r="H393" s="39"/>
      <c r="I393" s="9"/>
      <c r="J393" s="39"/>
      <c r="K393" s="42"/>
      <c r="L393" s="9" t="s">
        <v>728</v>
      </c>
      <c r="M393" s="16"/>
      <c r="O393" s="10"/>
      <c r="P393" s="10"/>
      <c r="Q393" s="10"/>
      <c r="R393" s="10"/>
      <c r="S393" s="10"/>
      <c r="AA393" s="14">
        <f t="shared" si="12"/>
        <v>-35</v>
      </c>
      <c r="AB393" s="47">
        <f t="shared" si="13"/>
        <v>-36</v>
      </c>
      <c r="AD393" s="45"/>
      <c r="AE393" s="45"/>
      <c r="AF393" s="45"/>
      <c r="AG393" s="45"/>
      <c r="AH393" s="45"/>
      <c r="AI393" s="12"/>
      <c r="AJ393" s="13"/>
      <c r="AK393" s="45"/>
      <c r="AL393" s="45"/>
      <c r="AM393" s="45"/>
      <c r="AN393" s="45"/>
    </row>
    <row r="394" spans="1:40" s="46" customFormat="1" ht="14.4">
      <c r="A394" s="39">
        <v>41230</v>
      </c>
      <c r="B394" s="9" t="s">
        <v>2812</v>
      </c>
      <c r="C394" s="40">
        <v>811</v>
      </c>
      <c r="D394" s="41" t="s">
        <v>866</v>
      </c>
      <c r="E394" s="9" t="s">
        <v>18</v>
      </c>
      <c r="F394" s="9" t="s">
        <v>479</v>
      </c>
      <c r="G394" s="9"/>
      <c r="H394" s="39"/>
      <c r="I394" s="9"/>
      <c r="J394" s="39"/>
      <c r="K394" s="42"/>
      <c r="L394" s="9" t="s">
        <v>867</v>
      </c>
      <c r="M394" s="16"/>
      <c r="O394" s="10"/>
      <c r="P394" s="10"/>
      <c r="Q394" s="10"/>
      <c r="R394" s="10"/>
      <c r="S394" s="10"/>
      <c r="AA394" s="14">
        <f t="shared" si="12"/>
        <v>623</v>
      </c>
      <c r="AB394" s="47">
        <f t="shared" si="13"/>
        <v>622</v>
      </c>
      <c r="AD394" s="45"/>
      <c r="AE394" s="45"/>
      <c r="AF394" s="45"/>
      <c r="AG394" s="45"/>
      <c r="AH394" s="45"/>
      <c r="AI394" s="12"/>
      <c r="AJ394" s="13"/>
      <c r="AK394" s="45"/>
      <c r="AL394" s="45"/>
      <c r="AM394" s="45"/>
      <c r="AN394" s="45"/>
    </row>
    <row r="395" spans="1:40" s="46" customFormat="1" ht="14.4">
      <c r="A395" s="39">
        <v>41230</v>
      </c>
      <c r="B395" s="9" t="s">
        <v>1315</v>
      </c>
      <c r="C395" s="40">
        <v>298</v>
      </c>
      <c r="D395" s="41" t="s">
        <v>833</v>
      </c>
      <c r="E395" s="9" t="s">
        <v>18</v>
      </c>
      <c r="F395" s="9" t="s">
        <v>479</v>
      </c>
      <c r="G395" s="9"/>
      <c r="H395" s="39"/>
      <c r="I395" s="9"/>
      <c r="J395" s="39"/>
      <c r="K395" s="42"/>
      <c r="L395" s="9" t="s">
        <v>834</v>
      </c>
      <c r="M395" s="16"/>
      <c r="O395" s="10"/>
      <c r="P395" s="10"/>
      <c r="Q395" s="10"/>
      <c r="R395" s="10"/>
      <c r="S395" s="10"/>
      <c r="AA395" s="14">
        <f t="shared" si="12"/>
        <v>-513</v>
      </c>
      <c r="AB395" s="47">
        <f t="shared" si="13"/>
        <v>-514</v>
      </c>
      <c r="AD395" s="45"/>
      <c r="AE395" s="45"/>
      <c r="AF395" s="45"/>
      <c r="AG395" s="45"/>
      <c r="AH395" s="45"/>
      <c r="AI395" s="12"/>
      <c r="AJ395" s="13"/>
      <c r="AK395" s="45"/>
      <c r="AL395" s="45"/>
      <c r="AM395" s="45"/>
      <c r="AN395" s="45"/>
    </row>
    <row r="396" spans="1:40" s="46" customFormat="1" ht="14.4">
      <c r="A396" s="39">
        <v>41230</v>
      </c>
      <c r="B396" s="9" t="s">
        <v>2084</v>
      </c>
      <c r="C396" s="40">
        <v>460</v>
      </c>
      <c r="D396" s="41" t="s">
        <v>856</v>
      </c>
      <c r="E396" s="9" t="s">
        <v>18</v>
      </c>
      <c r="F396" s="9" t="s">
        <v>479</v>
      </c>
      <c r="G396" s="9"/>
      <c r="H396" s="39"/>
      <c r="I396" s="9"/>
      <c r="J396" s="39"/>
      <c r="K396" s="42"/>
      <c r="L396" s="9" t="s">
        <v>857</v>
      </c>
      <c r="M396" s="16"/>
      <c r="O396" s="10"/>
      <c r="P396" s="10"/>
      <c r="Q396" s="10"/>
      <c r="R396" s="10"/>
      <c r="S396" s="10"/>
      <c r="AA396" s="14">
        <f t="shared" si="12"/>
        <v>162</v>
      </c>
      <c r="AB396" s="47">
        <f t="shared" si="13"/>
        <v>161</v>
      </c>
      <c r="AD396" s="45"/>
      <c r="AE396" s="45"/>
      <c r="AF396" s="45"/>
      <c r="AG396" s="45"/>
      <c r="AH396" s="45"/>
      <c r="AI396" s="12"/>
      <c r="AJ396" s="13"/>
      <c r="AK396" s="45"/>
      <c r="AL396" s="45"/>
      <c r="AM396" s="45"/>
      <c r="AN396" s="45"/>
    </row>
    <row r="397" spans="1:40" s="46" customFormat="1" ht="14.4">
      <c r="A397" s="39">
        <v>41230</v>
      </c>
      <c r="B397" s="9" t="s">
        <v>2755</v>
      </c>
      <c r="C397" s="40">
        <v>781</v>
      </c>
      <c r="D397" s="41" t="s">
        <v>862</v>
      </c>
      <c r="E397" s="9" t="s">
        <v>18</v>
      </c>
      <c r="F397" s="9" t="s">
        <v>479</v>
      </c>
      <c r="G397" s="9"/>
      <c r="H397" s="39"/>
      <c r="I397" s="9"/>
      <c r="J397" s="39"/>
      <c r="K397" s="42"/>
      <c r="L397" s="9" t="s">
        <v>495</v>
      </c>
      <c r="M397" s="16"/>
      <c r="O397" s="10"/>
      <c r="P397" s="10"/>
      <c r="Q397" s="10"/>
      <c r="R397" s="10"/>
      <c r="S397" s="10"/>
      <c r="AA397" s="14">
        <f t="shared" si="12"/>
        <v>321</v>
      </c>
      <c r="AB397" s="47">
        <f t="shared" si="13"/>
        <v>320</v>
      </c>
      <c r="AD397" s="45"/>
      <c r="AE397" s="45"/>
      <c r="AF397" s="45"/>
      <c r="AG397" s="45"/>
      <c r="AH397" s="45"/>
      <c r="AI397" s="12"/>
      <c r="AJ397" s="13"/>
      <c r="AK397" s="45"/>
      <c r="AL397" s="45"/>
      <c r="AM397" s="45"/>
      <c r="AN397" s="45"/>
    </row>
    <row r="398" spans="1:40" s="46" customFormat="1" ht="14.4">
      <c r="A398" s="39">
        <v>41230</v>
      </c>
      <c r="B398" s="9" t="s">
        <v>2643</v>
      </c>
      <c r="C398" s="40">
        <v>788</v>
      </c>
      <c r="D398" s="41" t="s">
        <v>851</v>
      </c>
      <c r="E398" s="9" t="s">
        <v>18</v>
      </c>
      <c r="F398" s="9" t="s">
        <v>479</v>
      </c>
      <c r="G398" s="9"/>
      <c r="H398" s="39"/>
      <c r="I398" s="9"/>
      <c r="J398" s="39"/>
      <c r="K398" s="42"/>
      <c r="L398" s="9" t="s">
        <v>42</v>
      </c>
      <c r="M398" s="16"/>
      <c r="O398" s="10"/>
      <c r="P398" s="10"/>
      <c r="Q398" s="10"/>
      <c r="R398" s="10"/>
      <c r="S398" s="10"/>
      <c r="AA398" s="14">
        <f t="shared" si="12"/>
        <v>7</v>
      </c>
      <c r="AB398" s="47">
        <f t="shared" si="13"/>
        <v>6</v>
      </c>
      <c r="AD398" s="45"/>
      <c r="AE398" s="45"/>
      <c r="AF398" s="45"/>
      <c r="AG398" s="45"/>
      <c r="AH398" s="45"/>
      <c r="AI398" s="12"/>
      <c r="AJ398" s="13"/>
      <c r="AK398" s="45"/>
      <c r="AL398" s="45"/>
      <c r="AM398" s="45"/>
      <c r="AN398" s="45"/>
    </row>
    <row r="399" spans="1:40" s="46" customFormat="1" ht="14.4">
      <c r="A399" s="39">
        <v>41230</v>
      </c>
      <c r="B399" s="9" t="s">
        <v>1320</v>
      </c>
      <c r="C399" s="40">
        <v>269</v>
      </c>
      <c r="D399" s="41" t="s">
        <v>729</v>
      </c>
      <c r="E399" s="9" t="s">
        <v>77</v>
      </c>
      <c r="F399" s="9" t="s">
        <v>479</v>
      </c>
      <c r="G399" s="9"/>
      <c r="H399" s="39"/>
      <c r="I399" s="9"/>
      <c r="J399" s="39"/>
      <c r="K399" s="42"/>
      <c r="L399" s="9" t="s">
        <v>730</v>
      </c>
      <c r="M399" s="16"/>
      <c r="O399" s="10"/>
      <c r="P399" s="10"/>
      <c r="Q399" s="10"/>
      <c r="R399" s="10"/>
      <c r="S399" s="10"/>
      <c r="AA399" s="14">
        <f t="shared" si="12"/>
        <v>-519</v>
      </c>
      <c r="AB399" s="47">
        <f t="shared" si="13"/>
        <v>-520</v>
      </c>
      <c r="AD399" s="45"/>
      <c r="AE399" s="45"/>
      <c r="AF399" s="45"/>
      <c r="AG399" s="45"/>
      <c r="AH399" s="45"/>
      <c r="AI399" s="12"/>
      <c r="AJ399" s="13"/>
      <c r="AK399" s="45"/>
      <c r="AL399" s="45"/>
      <c r="AM399" s="45"/>
      <c r="AN399" s="45"/>
    </row>
    <row r="400" spans="1:40" s="46" customFormat="1" ht="14.4">
      <c r="A400" s="39">
        <v>41230</v>
      </c>
      <c r="B400" s="9" t="s">
        <v>2093</v>
      </c>
      <c r="C400" s="40">
        <v>472</v>
      </c>
      <c r="D400" s="41" t="s">
        <v>874</v>
      </c>
      <c r="E400" s="9" t="s">
        <v>18</v>
      </c>
      <c r="F400" s="9" t="s">
        <v>479</v>
      </c>
      <c r="G400" s="9"/>
      <c r="H400" s="39"/>
      <c r="I400" s="9"/>
      <c r="J400" s="39"/>
      <c r="K400" s="42"/>
      <c r="L400" s="9" t="s">
        <v>42</v>
      </c>
      <c r="M400" s="16"/>
      <c r="O400" s="10"/>
      <c r="P400" s="10"/>
      <c r="Q400" s="10"/>
      <c r="R400" s="10"/>
      <c r="S400" s="10"/>
      <c r="AA400" s="14">
        <f t="shared" si="12"/>
        <v>203</v>
      </c>
      <c r="AB400" s="47">
        <f t="shared" si="13"/>
        <v>202</v>
      </c>
      <c r="AD400" s="45"/>
      <c r="AE400" s="45"/>
      <c r="AF400" s="45"/>
      <c r="AG400" s="45"/>
      <c r="AH400" s="45"/>
      <c r="AI400" s="12"/>
      <c r="AJ400" s="13"/>
      <c r="AK400" s="45"/>
      <c r="AL400" s="45"/>
      <c r="AM400" s="45"/>
      <c r="AN400" s="45"/>
    </row>
    <row r="401" spans="1:40" s="46" customFormat="1" ht="14.4">
      <c r="A401" s="39">
        <v>41230</v>
      </c>
      <c r="B401" s="9" t="s">
        <v>1333</v>
      </c>
      <c r="C401" s="40">
        <v>282</v>
      </c>
      <c r="D401" s="41" t="s">
        <v>806</v>
      </c>
      <c r="E401" s="9" t="s">
        <v>802</v>
      </c>
      <c r="F401" s="9" t="s">
        <v>479</v>
      </c>
      <c r="G401" s="9"/>
      <c r="H401" s="39"/>
      <c r="I401" s="9"/>
      <c r="J401" s="39"/>
      <c r="K401" s="42"/>
      <c r="L401" s="9" t="s">
        <v>807</v>
      </c>
      <c r="M401" s="16"/>
      <c r="O401" s="10"/>
      <c r="P401" s="10"/>
      <c r="Q401" s="10"/>
      <c r="R401" s="10"/>
      <c r="S401" s="10"/>
      <c r="AA401" s="14" t="e">
        <f>C401-#REF!</f>
        <v>#REF!</v>
      </c>
      <c r="AB401" s="47" t="e">
        <f t="shared" si="13"/>
        <v>#REF!</v>
      </c>
      <c r="AD401" s="45"/>
      <c r="AE401" s="45"/>
      <c r="AF401" s="45"/>
      <c r="AG401" s="45"/>
      <c r="AH401" s="45"/>
      <c r="AI401" s="12"/>
      <c r="AJ401" s="13"/>
      <c r="AK401" s="45"/>
      <c r="AL401" s="45"/>
      <c r="AM401" s="45"/>
      <c r="AN401" s="45"/>
    </row>
    <row r="402" spans="1:40" s="46" customFormat="1" ht="14.4">
      <c r="A402" s="39">
        <v>41230</v>
      </c>
      <c r="B402" s="9" t="s">
        <v>2096</v>
      </c>
      <c r="C402" s="40">
        <v>475</v>
      </c>
      <c r="D402" s="41" t="s">
        <v>891</v>
      </c>
      <c r="E402" s="9" t="s">
        <v>18</v>
      </c>
      <c r="F402" s="9" t="s">
        <v>479</v>
      </c>
      <c r="G402" s="9"/>
      <c r="H402" s="39"/>
      <c r="I402" s="9"/>
      <c r="J402" s="39"/>
      <c r="K402" s="42"/>
      <c r="L402" s="9" t="s">
        <v>892</v>
      </c>
      <c r="M402" s="16"/>
      <c r="O402" s="10"/>
      <c r="P402" s="10"/>
      <c r="Q402" s="10"/>
      <c r="R402" s="10"/>
      <c r="S402" s="10"/>
      <c r="AA402" s="14">
        <f t="shared" si="12"/>
        <v>193</v>
      </c>
      <c r="AB402" s="47">
        <f t="shared" si="13"/>
        <v>192</v>
      </c>
      <c r="AD402" s="45"/>
      <c r="AE402" s="45"/>
      <c r="AF402" s="45"/>
      <c r="AG402" s="45"/>
      <c r="AH402" s="45"/>
      <c r="AI402" s="12"/>
      <c r="AJ402" s="13"/>
      <c r="AK402" s="45"/>
      <c r="AL402" s="45"/>
      <c r="AM402" s="45"/>
      <c r="AN402" s="45"/>
    </row>
    <row r="403" spans="1:40" s="46" customFormat="1" ht="14.4">
      <c r="A403" s="39">
        <v>41230</v>
      </c>
      <c r="B403" s="9" t="s">
        <v>2432</v>
      </c>
      <c r="C403" s="40">
        <v>927</v>
      </c>
      <c r="D403" s="41" t="s">
        <v>889</v>
      </c>
      <c r="E403" s="9" t="s">
        <v>18</v>
      </c>
      <c r="F403" s="9" t="s">
        <v>935</v>
      </c>
      <c r="G403" s="9"/>
      <c r="H403" s="39"/>
      <c r="I403" s="9"/>
      <c r="J403" s="39"/>
      <c r="K403" s="42"/>
      <c r="L403" s="9" t="s">
        <v>890</v>
      </c>
      <c r="M403" s="16"/>
      <c r="O403" s="10"/>
      <c r="P403" s="10"/>
      <c r="Q403" s="10"/>
      <c r="R403" s="10"/>
      <c r="S403" s="10"/>
      <c r="AA403" s="14">
        <f t="shared" si="12"/>
        <v>452</v>
      </c>
      <c r="AB403" s="47">
        <f t="shared" si="13"/>
        <v>451</v>
      </c>
      <c r="AD403" s="45"/>
      <c r="AE403" s="45"/>
      <c r="AF403" s="45"/>
      <c r="AG403" s="45"/>
      <c r="AH403" s="45"/>
      <c r="AI403" s="12"/>
      <c r="AJ403" s="13"/>
      <c r="AK403" s="45"/>
      <c r="AL403" s="45"/>
      <c r="AM403" s="45"/>
      <c r="AN403" s="45"/>
    </row>
    <row r="404" spans="1:40" s="46" customFormat="1" ht="14.4">
      <c r="A404" s="39">
        <v>41230</v>
      </c>
      <c r="B404" s="9" t="s">
        <v>2661</v>
      </c>
      <c r="C404" s="40">
        <v>689</v>
      </c>
      <c r="D404" s="41" t="s">
        <v>847</v>
      </c>
      <c r="E404" s="9" t="s">
        <v>18</v>
      </c>
      <c r="F404" s="9" t="s">
        <v>479</v>
      </c>
      <c r="G404" s="9"/>
      <c r="H404" s="39"/>
      <c r="I404" s="9"/>
      <c r="J404" s="39"/>
      <c r="K404" s="42"/>
      <c r="L404" s="9" t="s">
        <v>848</v>
      </c>
      <c r="M404" s="16"/>
      <c r="O404" s="10"/>
      <c r="P404" s="10"/>
      <c r="Q404" s="10"/>
      <c r="R404" s="10"/>
      <c r="S404" s="10"/>
      <c r="AA404" s="14" t="e">
        <f>C404-#REF!</f>
        <v>#REF!</v>
      </c>
      <c r="AB404" s="47" t="e">
        <f t="shared" si="13"/>
        <v>#REF!</v>
      </c>
      <c r="AD404" s="45"/>
      <c r="AE404" s="45"/>
      <c r="AF404" s="45"/>
      <c r="AG404" s="45"/>
      <c r="AH404" s="45"/>
      <c r="AI404" s="12"/>
      <c r="AJ404" s="13"/>
      <c r="AK404" s="45"/>
      <c r="AL404" s="45"/>
      <c r="AM404" s="45"/>
      <c r="AN404" s="45"/>
    </row>
    <row r="405" spans="1:40" s="46" customFormat="1" ht="14.4">
      <c r="A405" s="39">
        <v>41230</v>
      </c>
      <c r="B405" s="9" t="s">
        <v>2431</v>
      </c>
      <c r="C405" s="40"/>
      <c r="D405" s="41" t="s">
        <v>913</v>
      </c>
      <c r="E405" s="9" t="s">
        <v>18</v>
      </c>
      <c r="F405" s="9" t="s">
        <v>935</v>
      </c>
      <c r="G405" s="9"/>
      <c r="H405" s="39"/>
      <c r="I405" s="9"/>
      <c r="J405" s="39"/>
      <c r="K405" s="42"/>
      <c r="L405" s="9" t="s">
        <v>42</v>
      </c>
      <c r="M405" s="16"/>
      <c r="O405" s="10"/>
      <c r="P405" s="10"/>
      <c r="Q405" s="10"/>
      <c r="R405" s="10"/>
      <c r="S405" s="10"/>
      <c r="AA405" s="14">
        <f t="shared" si="12"/>
        <v>-689</v>
      </c>
      <c r="AB405" s="47">
        <f t="shared" si="13"/>
        <v>-690</v>
      </c>
      <c r="AD405" s="45"/>
      <c r="AE405" s="45"/>
      <c r="AF405" s="45"/>
      <c r="AG405" s="45"/>
      <c r="AH405" s="45"/>
      <c r="AI405" s="12"/>
      <c r="AJ405" s="13"/>
      <c r="AK405" s="45"/>
      <c r="AL405" s="45"/>
      <c r="AM405" s="45"/>
      <c r="AN405" s="45"/>
    </row>
    <row r="406" spans="1:40" s="46" customFormat="1" ht="14.4">
      <c r="A406" s="39">
        <v>41230</v>
      </c>
      <c r="B406" s="9" t="s">
        <v>2024</v>
      </c>
      <c r="C406" s="15">
        <v>384</v>
      </c>
      <c r="D406" s="41" t="s">
        <v>975</v>
      </c>
      <c r="E406" s="9" t="s">
        <v>484</v>
      </c>
      <c r="F406" s="9" t="s">
        <v>479</v>
      </c>
      <c r="G406" s="9"/>
      <c r="H406" s="39"/>
      <c r="I406" s="9"/>
      <c r="J406" s="39"/>
      <c r="K406" s="42"/>
      <c r="L406" s="9" t="s">
        <v>976</v>
      </c>
      <c r="M406" s="16"/>
      <c r="O406" s="10"/>
      <c r="P406" s="10"/>
      <c r="Q406" s="10"/>
      <c r="R406" s="10"/>
      <c r="S406" s="10"/>
      <c r="AA406" s="14">
        <f t="shared" si="12"/>
        <v>384</v>
      </c>
      <c r="AB406" s="47">
        <f t="shared" si="13"/>
        <v>383</v>
      </c>
      <c r="AD406" s="45"/>
      <c r="AE406" s="45"/>
      <c r="AF406" s="45"/>
      <c r="AG406" s="45"/>
      <c r="AH406" s="45"/>
      <c r="AI406" s="12"/>
      <c r="AJ406" s="13"/>
      <c r="AK406" s="45"/>
      <c r="AL406" s="45"/>
      <c r="AM406" s="45"/>
      <c r="AN406" s="45"/>
    </row>
    <row r="407" spans="1:40" s="46" customFormat="1" ht="14.4">
      <c r="A407" s="39">
        <v>41230</v>
      </c>
      <c r="B407" s="9" t="s">
        <v>1304</v>
      </c>
      <c r="C407" s="15">
        <v>288</v>
      </c>
      <c r="D407" s="41" t="s">
        <v>795</v>
      </c>
      <c r="E407" s="9" t="s">
        <v>134</v>
      </c>
      <c r="F407" s="9" t="s">
        <v>479</v>
      </c>
      <c r="G407" s="9"/>
      <c r="H407" s="39"/>
      <c r="I407" s="9"/>
      <c r="J407" s="39"/>
      <c r="K407" s="49"/>
      <c r="L407" s="9" t="s">
        <v>42</v>
      </c>
      <c r="M407" s="16"/>
      <c r="O407" s="10"/>
      <c r="P407" s="10"/>
      <c r="Q407" s="10"/>
      <c r="R407" s="10"/>
      <c r="S407" s="10"/>
      <c r="AA407" s="14">
        <f t="shared" si="12"/>
        <v>-96</v>
      </c>
      <c r="AB407" s="47">
        <f t="shared" si="13"/>
        <v>-97</v>
      </c>
      <c r="AD407" s="45"/>
      <c r="AE407" s="45"/>
      <c r="AF407" s="45"/>
      <c r="AG407" s="45"/>
      <c r="AH407" s="45"/>
      <c r="AI407" s="12"/>
      <c r="AJ407" s="13"/>
      <c r="AK407" s="45"/>
      <c r="AL407" s="45"/>
      <c r="AM407" s="45"/>
      <c r="AN407" s="45"/>
    </row>
    <row r="408" spans="1:40" s="46" customFormat="1" ht="14.4">
      <c r="A408" s="39">
        <v>41230</v>
      </c>
      <c r="B408" s="9" t="s">
        <v>1325</v>
      </c>
      <c r="C408" s="40">
        <v>274</v>
      </c>
      <c r="D408" s="41" t="s">
        <v>918</v>
      </c>
      <c r="E408" s="9" t="s">
        <v>77</v>
      </c>
      <c r="F408" s="9" t="s">
        <v>479</v>
      </c>
      <c r="G408" s="9"/>
      <c r="H408" s="39"/>
      <c r="I408" s="9"/>
      <c r="J408" s="39"/>
      <c r="K408" s="42"/>
      <c r="L408" s="9" t="s">
        <v>697</v>
      </c>
      <c r="M408" s="16"/>
      <c r="O408" s="10"/>
      <c r="P408" s="10"/>
      <c r="Q408" s="10"/>
      <c r="R408" s="10"/>
      <c r="S408" s="10"/>
      <c r="AA408" s="14">
        <f t="shared" si="12"/>
        <v>-14</v>
      </c>
      <c r="AB408" s="47">
        <f t="shared" si="13"/>
        <v>-15</v>
      </c>
      <c r="AD408" s="45"/>
      <c r="AE408" s="45"/>
      <c r="AF408" s="45"/>
      <c r="AG408" s="45"/>
      <c r="AH408" s="45"/>
      <c r="AI408" s="12"/>
      <c r="AJ408" s="13"/>
      <c r="AK408" s="45"/>
      <c r="AL408" s="45"/>
      <c r="AM408" s="45"/>
      <c r="AN408" s="45"/>
    </row>
    <row r="409" spans="1:40" s="46" customFormat="1" ht="14.4">
      <c r="A409" s="39">
        <v>41230</v>
      </c>
      <c r="B409" s="9" t="s">
        <v>2676</v>
      </c>
      <c r="C409" s="40">
        <v>890</v>
      </c>
      <c r="D409" s="41" t="s">
        <v>756</v>
      </c>
      <c r="E409" s="9" t="s">
        <v>77</v>
      </c>
      <c r="F409" s="9" t="s">
        <v>935</v>
      </c>
      <c r="G409" s="9"/>
      <c r="H409" s="39"/>
      <c r="I409" s="9"/>
      <c r="J409" s="39"/>
      <c r="K409" s="42"/>
      <c r="L409" s="9" t="s">
        <v>757</v>
      </c>
      <c r="M409" s="16"/>
      <c r="O409" s="10"/>
      <c r="P409" s="10"/>
      <c r="Q409" s="10"/>
      <c r="R409" s="10"/>
      <c r="S409" s="10"/>
      <c r="AA409" s="14" t="e">
        <f>C409-#REF!</f>
        <v>#REF!</v>
      </c>
      <c r="AB409" s="47" t="e">
        <f t="shared" si="13"/>
        <v>#REF!</v>
      </c>
      <c r="AD409" s="45"/>
      <c r="AE409" s="45"/>
      <c r="AF409" s="45"/>
      <c r="AG409" s="45"/>
      <c r="AH409" s="45"/>
      <c r="AI409" s="12"/>
      <c r="AJ409" s="13"/>
      <c r="AK409" s="45"/>
      <c r="AL409" s="45"/>
      <c r="AM409" s="45"/>
      <c r="AN409" s="45"/>
    </row>
    <row r="410" spans="1:40" s="46" customFormat="1" ht="14.4">
      <c r="A410" s="39">
        <v>41230</v>
      </c>
      <c r="B410" s="9" t="s">
        <v>1307</v>
      </c>
      <c r="C410" s="40">
        <v>290</v>
      </c>
      <c r="D410" s="41" t="s">
        <v>1306</v>
      </c>
      <c r="E410" s="9" t="s">
        <v>77</v>
      </c>
      <c r="F410" s="9" t="s">
        <v>479</v>
      </c>
      <c r="G410" s="9"/>
      <c r="H410" s="39"/>
      <c r="I410" s="9"/>
      <c r="J410" s="39"/>
      <c r="K410" s="42"/>
      <c r="L410" s="9" t="s">
        <v>782</v>
      </c>
      <c r="M410" s="16"/>
      <c r="O410" s="10"/>
      <c r="P410" s="10"/>
      <c r="Q410" s="10"/>
      <c r="R410" s="10"/>
      <c r="S410" s="10"/>
      <c r="AA410" s="14">
        <f t="shared" si="12"/>
        <v>-600</v>
      </c>
      <c r="AB410" s="47">
        <f t="shared" si="13"/>
        <v>-601</v>
      </c>
      <c r="AD410" s="45"/>
      <c r="AE410" s="45"/>
      <c r="AF410" s="45"/>
      <c r="AG410" s="45"/>
      <c r="AH410" s="45"/>
      <c r="AI410" s="12"/>
      <c r="AJ410" s="13"/>
      <c r="AK410" s="45"/>
      <c r="AL410" s="45"/>
      <c r="AM410" s="45"/>
      <c r="AN410" s="45"/>
    </row>
    <row r="411" spans="1:40" s="46" customFormat="1" ht="14.4">
      <c r="A411" s="39">
        <v>41230</v>
      </c>
      <c r="B411" s="9" t="s">
        <v>2095</v>
      </c>
      <c r="C411" s="40">
        <v>473</v>
      </c>
      <c r="D411" s="41" t="s">
        <v>2094</v>
      </c>
      <c r="E411" s="9" t="s">
        <v>18</v>
      </c>
      <c r="F411" s="9" t="s">
        <v>479</v>
      </c>
      <c r="G411" s="9"/>
      <c r="H411" s="39"/>
      <c r="I411" s="9"/>
      <c r="J411" s="39"/>
      <c r="K411" s="42"/>
      <c r="L411" s="9" t="s">
        <v>888</v>
      </c>
      <c r="M411" s="16"/>
      <c r="O411" s="10"/>
      <c r="P411" s="10"/>
      <c r="Q411" s="10"/>
      <c r="R411" s="10"/>
      <c r="S411" s="10"/>
      <c r="AA411" s="14">
        <f t="shared" si="12"/>
        <v>183</v>
      </c>
      <c r="AB411" s="47">
        <f t="shared" si="13"/>
        <v>182</v>
      </c>
      <c r="AD411" s="45"/>
      <c r="AE411" s="45"/>
      <c r="AF411" s="45"/>
      <c r="AG411" s="45"/>
      <c r="AH411" s="45"/>
      <c r="AI411" s="12"/>
      <c r="AJ411" s="13"/>
      <c r="AK411" s="45"/>
      <c r="AL411" s="45"/>
      <c r="AM411" s="45"/>
      <c r="AN411" s="45"/>
    </row>
    <row r="412" spans="1:40" s="46" customFormat="1" ht="14.4">
      <c r="A412" s="39">
        <v>41230</v>
      </c>
      <c r="B412" s="9" t="s">
        <v>2678</v>
      </c>
      <c r="C412" s="15">
        <v>683</v>
      </c>
      <c r="D412" s="41" t="s">
        <v>894</v>
      </c>
      <c r="E412" s="9" t="s">
        <v>18</v>
      </c>
      <c r="F412" s="9" t="s">
        <v>479</v>
      </c>
      <c r="G412" s="9"/>
      <c r="H412" s="39"/>
      <c r="I412" s="9"/>
      <c r="J412" s="39"/>
      <c r="K412" s="42"/>
      <c r="L412" s="9" t="s">
        <v>42</v>
      </c>
      <c r="M412" s="16"/>
      <c r="O412" s="10"/>
      <c r="P412" s="10"/>
      <c r="Q412" s="10"/>
      <c r="R412" s="10"/>
      <c r="S412" s="10"/>
      <c r="AA412" s="14">
        <f t="shared" si="12"/>
        <v>210</v>
      </c>
      <c r="AB412" s="47">
        <f t="shared" si="13"/>
        <v>209</v>
      </c>
      <c r="AD412" s="45"/>
      <c r="AE412" s="45"/>
      <c r="AF412" s="45"/>
      <c r="AG412" s="45"/>
      <c r="AH412" s="45"/>
      <c r="AI412" s="12"/>
      <c r="AJ412" s="13"/>
      <c r="AK412" s="45"/>
      <c r="AL412" s="45"/>
      <c r="AM412" s="45"/>
      <c r="AN412" s="45"/>
    </row>
    <row r="413" spans="1:40" s="46" customFormat="1" ht="14.4">
      <c r="A413" s="39">
        <v>41230</v>
      </c>
      <c r="B413" s="9" t="s">
        <v>2085</v>
      </c>
      <c r="C413" s="40">
        <v>461</v>
      </c>
      <c r="D413" s="41" t="s">
        <v>845</v>
      </c>
      <c r="E413" s="9" t="s">
        <v>18</v>
      </c>
      <c r="F413" s="9" t="s">
        <v>479</v>
      </c>
      <c r="G413" s="9"/>
      <c r="H413" s="39"/>
      <c r="I413" s="9"/>
      <c r="J413" s="39"/>
      <c r="K413" s="42"/>
      <c r="L413" s="9" t="s">
        <v>846</v>
      </c>
      <c r="M413" s="16"/>
      <c r="O413" s="10"/>
      <c r="P413" s="10"/>
      <c r="Q413" s="10"/>
      <c r="R413" s="10"/>
      <c r="S413" s="10"/>
      <c r="AA413" s="14">
        <f t="shared" si="12"/>
        <v>-222</v>
      </c>
      <c r="AB413" s="47">
        <f t="shared" si="13"/>
        <v>-223</v>
      </c>
      <c r="AD413" s="45"/>
      <c r="AE413" s="45"/>
      <c r="AF413" s="45"/>
      <c r="AG413" s="45"/>
      <c r="AH413" s="45"/>
      <c r="AI413" s="12"/>
      <c r="AJ413" s="13"/>
      <c r="AK413" s="45"/>
      <c r="AL413" s="45"/>
      <c r="AM413" s="45"/>
      <c r="AN413" s="45"/>
    </row>
    <row r="414" spans="1:40" s="46" customFormat="1" ht="14.4">
      <c r="A414" s="39">
        <v>41230</v>
      </c>
      <c r="B414" s="9" t="s">
        <v>2428</v>
      </c>
      <c r="C414" s="40"/>
      <c r="D414" s="41" t="s">
        <v>897</v>
      </c>
      <c r="E414" s="9" t="s">
        <v>18</v>
      </c>
      <c r="F414" s="9" t="s">
        <v>2202</v>
      </c>
      <c r="G414" s="9"/>
      <c r="H414" s="39"/>
      <c r="I414" s="9"/>
      <c r="J414" s="39"/>
      <c r="K414" s="42"/>
      <c r="L414" s="9" t="s">
        <v>42</v>
      </c>
      <c r="M414" s="16"/>
      <c r="O414" s="10"/>
      <c r="P414" s="10"/>
      <c r="Q414" s="10"/>
      <c r="R414" s="10"/>
      <c r="S414" s="10"/>
      <c r="AA414" s="14">
        <f t="shared" si="12"/>
        <v>-461</v>
      </c>
      <c r="AB414" s="47">
        <f t="shared" si="13"/>
        <v>-462</v>
      </c>
      <c r="AD414" s="45"/>
      <c r="AE414" s="45"/>
      <c r="AF414" s="45"/>
      <c r="AG414" s="45"/>
      <c r="AH414" s="45"/>
      <c r="AI414" s="12"/>
      <c r="AJ414" s="13"/>
      <c r="AK414" s="45"/>
      <c r="AL414" s="45"/>
      <c r="AM414" s="45"/>
      <c r="AN414" s="45"/>
    </row>
    <row r="415" spans="1:40" s="46" customFormat="1" ht="14.4">
      <c r="A415" s="39">
        <v>41230</v>
      </c>
      <c r="B415" s="9" t="s">
        <v>2640</v>
      </c>
      <c r="C415" s="40">
        <v>791</v>
      </c>
      <c r="D415" s="41" t="s">
        <v>766</v>
      </c>
      <c r="E415" s="9" t="s">
        <v>265</v>
      </c>
      <c r="F415" s="9" t="s">
        <v>479</v>
      </c>
      <c r="G415" s="9"/>
      <c r="H415" s="39"/>
      <c r="I415" s="9"/>
      <c r="J415" s="39"/>
      <c r="K415" s="42"/>
      <c r="L415" s="9" t="s">
        <v>767</v>
      </c>
      <c r="M415" s="16"/>
      <c r="O415" s="10"/>
      <c r="P415" s="10"/>
      <c r="Q415" s="10"/>
      <c r="R415" s="10"/>
      <c r="S415" s="10"/>
      <c r="AA415" s="14">
        <f t="shared" si="12"/>
        <v>791</v>
      </c>
      <c r="AB415" s="47">
        <f t="shared" si="13"/>
        <v>790</v>
      </c>
      <c r="AD415" s="45"/>
      <c r="AE415" s="45"/>
      <c r="AF415" s="45"/>
      <c r="AG415" s="45"/>
      <c r="AH415" s="45"/>
      <c r="AI415" s="12"/>
      <c r="AJ415" s="13"/>
      <c r="AK415" s="45"/>
      <c r="AL415" s="45"/>
      <c r="AM415" s="45"/>
      <c r="AN415" s="45"/>
    </row>
    <row r="416" spans="1:40" s="46" customFormat="1" ht="14.4">
      <c r="A416" s="39">
        <v>41230</v>
      </c>
      <c r="B416" s="9" t="s">
        <v>1161</v>
      </c>
      <c r="C416" s="40">
        <v>195</v>
      </c>
      <c r="D416" s="41" t="s">
        <v>714</v>
      </c>
      <c r="E416" s="9" t="s">
        <v>77</v>
      </c>
      <c r="F416" s="9" t="s">
        <v>479</v>
      </c>
      <c r="G416" s="9"/>
      <c r="H416" s="39"/>
      <c r="I416" s="9"/>
      <c r="J416" s="39"/>
      <c r="K416" s="42"/>
      <c r="L416" s="9" t="s">
        <v>715</v>
      </c>
      <c r="M416" s="16"/>
      <c r="O416" s="10"/>
      <c r="P416" s="10"/>
      <c r="Q416" s="10"/>
      <c r="R416" s="10"/>
      <c r="S416" s="10"/>
      <c r="AA416" s="14" t="e">
        <f>C416-#REF!</f>
        <v>#REF!</v>
      </c>
      <c r="AB416" s="47" t="e">
        <f t="shared" si="13"/>
        <v>#REF!</v>
      </c>
      <c r="AD416" s="45"/>
      <c r="AE416" s="45"/>
      <c r="AF416" s="45"/>
      <c r="AG416" s="45"/>
      <c r="AH416" s="45"/>
      <c r="AI416" s="12"/>
      <c r="AJ416" s="13"/>
      <c r="AK416" s="45"/>
      <c r="AL416" s="45"/>
      <c r="AM416" s="45"/>
      <c r="AN416" s="45"/>
    </row>
    <row r="417" spans="1:40" s="46" customFormat="1" ht="14.4">
      <c r="A417" s="39">
        <v>41230</v>
      </c>
      <c r="B417" s="9" t="s">
        <v>1933</v>
      </c>
      <c r="C417" s="15">
        <v>562</v>
      </c>
      <c r="D417" s="41" t="s">
        <v>977</v>
      </c>
      <c r="E417" s="9" t="s">
        <v>484</v>
      </c>
      <c r="F417" s="9" t="s">
        <v>479</v>
      </c>
      <c r="G417" s="9"/>
      <c r="H417" s="39"/>
      <c r="I417" s="9"/>
      <c r="J417" s="39"/>
      <c r="K417" s="42"/>
      <c r="L417" s="9" t="s">
        <v>978</v>
      </c>
      <c r="M417" s="16"/>
      <c r="O417" s="10"/>
      <c r="P417" s="10"/>
      <c r="Q417" s="10"/>
      <c r="R417" s="10"/>
      <c r="S417" s="10"/>
      <c r="AA417" s="14">
        <f>C417-C416</f>
        <v>367</v>
      </c>
      <c r="AB417" s="47">
        <f>AA417-1</f>
        <v>366</v>
      </c>
      <c r="AD417" s="45"/>
      <c r="AE417" s="45"/>
      <c r="AF417" s="45"/>
      <c r="AG417" s="45"/>
      <c r="AH417" s="45"/>
      <c r="AI417" s="12"/>
      <c r="AJ417" s="13"/>
      <c r="AK417" s="45"/>
      <c r="AL417" s="45"/>
      <c r="AM417" s="45"/>
      <c r="AN417" s="45"/>
    </row>
    <row r="418" spans="1:40" s="96" customFormat="1" ht="14.4">
      <c r="A418" s="91">
        <v>41230</v>
      </c>
      <c r="B418" s="92" t="s">
        <v>2620</v>
      </c>
      <c r="C418" s="93">
        <v>853</v>
      </c>
      <c r="D418" s="94" t="s">
        <v>2619</v>
      </c>
      <c r="E418" s="92" t="s">
        <v>802</v>
      </c>
      <c r="F418" s="92" t="s">
        <v>479</v>
      </c>
      <c r="G418" s="92"/>
      <c r="H418" s="91"/>
      <c r="I418" s="92"/>
      <c r="J418" s="91"/>
      <c r="K418" s="95"/>
      <c r="L418" s="92" t="s">
        <v>809</v>
      </c>
      <c r="M418" s="92"/>
      <c r="O418" s="97"/>
      <c r="P418" s="97"/>
      <c r="Q418" s="97"/>
      <c r="R418" s="97"/>
      <c r="S418" s="97"/>
      <c r="AA418" s="98">
        <f t="shared" si="12"/>
        <v>291</v>
      </c>
      <c r="AB418" s="99">
        <f t="shared" si="13"/>
        <v>290</v>
      </c>
      <c r="AD418" s="97"/>
      <c r="AE418" s="97"/>
      <c r="AF418" s="97"/>
      <c r="AG418" s="97"/>
      <c r="AH418" s="97"/>
      <c r="AI418" s="100"/>
      <c r="AJ418" s="101"/>
      <c r="AK418" s="97"/>
      <c r="AL418" s="97"/>
      <c r="AM418" s="97"/>
      <c r="AN418" s="97"/>
    </row>
    <row r="419" spans="1:40" s="46" customFormat="1" ht="14.4">
      <c r="A419" s="39">
        <v>41230</v>
      </c>
      <c r="B419" s="9" t="s">
        <v>1334</v>
      </c>
      <c r="C419" s="40">
        <v>300</v>
      </c>
      <c r="D419" s="41" t="s">
        <v>687</v>
      </c>
      <c r="E419" s="9" t="s">
        <v>77</v>
      </c>
      <c r="F419" s="9" t="s">
        <v>479</v>
      </c>
      <c r="G419" s="9"/>
      <c r="H419" s="39"/>
      <c r="I419" s="9"/>
      <c r="J419" s="39"/>
      <c r="K419" s="42"/>
      <c r="L419" s="9" t="s">
        <v>688</v>
      </c>
      <c r="M419" s="16"/>
      <c r="O419" s="10"/>
      <c r="P419" s="10"/>
      <c r="Q419" s="10"/>
      <c r="R419" s="10"/>
      <c r="S419" s="10"/>
      <c r="AA419" s="14">
        <f>C419-C418</f>
        <v>-553</v>
      </c>
      <c r="AB419" s="47">
        <f>AA419-1</f>
        <v>-554</v>
      </c>
      <c r="AD419" s="45"/>
      <c r="AE419" s="45"/>
      <c r="AF419" s="45"/>
      <c r="AG419" s="45"/>
      <c r="AH419" s="45"/>
      <c r="AI419" s="12"/>
      <c r="AJ419" s="13"/>
      <c r="AK419" s="45"/>
      <c r="AL419" s="45"/>
      <c r="AM419" s="45"/>
      <c r="AN419" s="45"/>
    </row>
    <row r="420" spans="1:40" s="46" customFormat="1" ht="14.4">
      <c r="A420" s="39">
        <v>41230</v>
      </c>
      <c r="B420" s="9" t="s">
        <v>1079</v>
      </c>
      <c r="C420" s="15">
        <v>196</v>
      </c>
      <c r="D420" s="41" t="s">
        <v>739</v>
      </c>
      <c r="E420" s="9" t="s">
        <v>77</v>
      </c>
      <c r="F420" s="9" t="s">
        <v>479</v>
      </c>
      <c r="G420" s="9"/>
      <c r="H420" s="39"/>
      <c r="I420" s="9"/>
      <c r="J420" s="39"/>
      <c r="K420" s="42"/>
      <c r="L420" s="9" t="s">
        <v>42</v>
      </c>
      <c r="M420" s="16"/>
      <c r="O420" s="10"/>
      <c r="P420" s="10"/>
      <c r="Q420" s="10"/>
      <c r="R420" s="10"/>
      <c r="S420" s="10"/>
      <c r="AA420" s="14">
        <f t="shared" si="12"/>
        <v>-104</v>
      </c>
      <c r="AB420" s="47">
        <f t="shared" si="13"/>
        <v>-105</v>
      </c>
      <c r="AD420" s="45"/>
      <c r="AE420" s="45"/>
      <c r="AF420" s="45"/>
      <c r="AG420" s="45"/>
      <c r="AH420" s="45"/>
      <c r="AI420" s="12"/>
      <c r="AJ420" s="13"/>
      <c r="AK420" s="45"/>
      <c r="AL420" s="45"/>
      <c r="AM420" s="45"/>
      <c r="AN420" s="45"/>
    </row>
    <row r="421" spans="1:40" s="46" customFormat="1" ht="14.4">
      <c r="A421" s="39">
        <v>41230</v>
      </c>
      <c r="B421" s="9" t="s">
        <v>1200</v>
      </c>
      <c r="C421" s="40">
        <v>402</v>
      </c>
      <c r="D421" s="41" t="s">
        <v>647</v>
      </c>
      <c r="E421" s="9" t="s">
        <v>77</v>
      </c>
      <c r="F421" s="9" t="s">
        <v>479</v>
      </c>
      <c r="G421" s="9"/>
      <c r="H421" s="39"/>
      <c r="I421" s="9"/>
      <c r="J421" s="39"/>
      <c r="K421" s="42"/>
      <c r="L421" s="9" t="s">
        <v>648</v>
      </c>
      <c r="M421" s="16"/>
      <c r="O421" s="10"/>
      <c r="P421" s="10"/>
      <c r="Q421" s="10"/>
      <c r="R421" s="10"/>
      <c r="S421" s="10"/>
      <c r="AA421" s="14">
        <f t="shared" si="12"/>
        <v>206</v>
      </c>
      <c r="AB421" s="47">
        <f t="shared" si="13"/>
        <v>205</v>
      </c>
      <c r="AD421" s="45"/>
      <c r="AE421" s="45"/>
      <c r="AF421" s="45"/>
      <c r="AG421" s="45"/>
      <c r="AH421" s="45"/>
      <c r="AI421" s="12"/>
      <c r="AJ421" s="13"/>
      <c r="AK421" s="45"/>
      <c r="AL421" s="45"/>
      <c r="AM421" s="45"/>
      <c r="AN421" s="45"/>
    </row>
    <row r="422" spans="1:40" s="46" customFormat="1" ht="14.4">
      <c r="A422" s="39">
        <v>41230</v>
      </c>
      <c r="B422" s="9" t="s">
        <v>1080</v>
      </c>
      <c r="C422" s="40">
        <v>198</v>
      </c>
      <c r="D422" s="41" t="s">
        <v>740</v>
      </c>
      <c r="E422" s="9" t="s">
        <v>77</v>
      </c>
      <c r="F422" s="9" t="s">
        <v>479</v>
      </c>
      <c r="G422" s="9"/>
      <c r="H422" s="39"/>
      <c r="I422" s="9"/>
      <c r="J422" s="39"/>
      <c r="K422" s="42"/>
      <c r="L422" s="9" t="s">
        <v>741</v>
      </c>
      <c r="M422" s="16"/>
      <c r="O422" s="10"/>
      <c r="P422" s="10"/>
      <c r="Q422" s="10"/>
      <c r="R422" s="10"/>
      <c r="S422" s="10"/>
      <c r="AA422" s="14">
        <f t="shared" si="12"/>
        <v>-204</v>
      </c>
      <c r="AB422" s="47">
        <f t="shared" si="13"/>
        <v>-205</v>
      </c>
      <c r="AD422" s="45"/>
      <c r="AE422" s="45"/>
      <c r="AF422" s="45"/>
      <c r="AG422" s="45"/>
      <c r="AH422" s="45"/>
      <c r="AI422" s="12"/>
      <c r="AJ422" s="13"/>
      <c r="AK422" s="45"/>
      <c r="AL422" s="45"/>
      <c r="AM422" s="45"/>
      <c r="AN422" s="45"/>
    </row>
    <row r="423" spans="1:40" s="46" customFormat="1" ht="14.4">
      <c r="A423" s="39">
        <v>41230</v>
      </c>
      <c r="B423" s="9" t="s">
        <v>1173</v>
      </c>
      <c r="C423" s="40">
        <v>214</v>
      </c>
      <c r="D423" s="41" t="s">
        <v>669</v>
      </c>
      <c r="E423" s="9" t="s">
        <v>77</v>
      </c>
      <c r="F423" s="9" t="s">
        <v>479</v>
      </c>
      <c r="G423" s="9"/>
      <c r="H423" s="39"/>
      <c r="I423" s="9"/>
      <c r="J423" s="39"/>
      <c r="K423" s="42"/>
      <c r="L423" s="9" t="s">
        <v>670</v>
      </c>
      <c r="M423" s="16"/>
      <c r="O423" s="10"/>
      <c r="P423" s="10"/>
      <c r="Q423" s="10"/>
      <c r="R423" s="10"/>
      <c r="S423" s="10"/>
      <c r="AA423" s="14" t="e">
        <f>C423-#REF!</f>
        <v>#REF!</v>
      </c>
      <c r="AB423" s="47" t="e">
        <f t="shared" si="13"/>
        <v>#REF!</v>
      </c>
      <c r="AD423" s="45"/>
      <c r="AE423" s="45"/>
      <c r="AF423" s="45"/>
      <c r="AG423" s="45"/>
      <c r="AH423" s="45"/>
      <c r="AI423" s="12"/>
      <c r="AJ423" s="13"/>
      <c r="AK423" s="45"/>
      <c r="AL423" s="45"/>
      <c r="AM423" s="45"/>
      <c r="AN423" s="45"/>
    </row>
    <row r="424" spans="1:40" s="46" customFormat="1" ht="14.4">
      <c r="A424" s="39">
        <v>41230</v>
      </c>
      <c r="B424" s="9" t="s">
        <v>2780</v>
      </c>
      <c r="C424" s="15">
        <v>688</v>
      </c>
      <c r="D424" s="41" t="s">
        <v>979</v>
      </c>
      <c r="E424" s="9" t="s">
        <v>18</v>
      </c>
      <c r="F424" s="9" t="s">
        <v>479</v>
      </c>
      <c r="G424" s="9"/>
      <c r="H424" s="39"/>
      <c r="I424" s="9"/>
      <c r="J424" s="39"/>
      <c r="K424" s="42"/>
      <c r="L424" s="9"/>
      <c r="M424" s="16"/>
      <c r="O424" s="10"/>
      <c r="P424" s="10"/>
      <c r="Q424" s="10"/>
      <c r="R424" s="10"/>
      <c r="S424" s="10"/>
      <c r="AA424" s="14">
        <f t="shared" si="12"/>
        <v>474</v>
      </c>
      <c r="AB424" s="47">
        <f t="shared" si="13"/>
        <v>473</v>
      </c>
      <c r="AD424" s="45"/>
      <c r="AE424" s="45"/>
      <c r="AF424" s="45"/>
      <c r="AG424" s="45"/>
      <c r="AH424" s="45"/>
      <c r="AI424" s="12"/>
      <c r="AJ424" s="13"/>
      <c r="AK424" s="45"/>
      <c r="AL424" s="45"/>
      <c r="AM424" s="45"/>
      <c r="AN424" s="45"/>
    </row>
    <row r="425" spans="1:40" s="46" customFormat="1" ht="14.4">
      <c r="A425" s="39">
        <v>41230</v>
      </c>
      <c r="B425" s="103" t="s">
        <v>2154</v>
      </c>
      <c r="C425" s="40">
        <v>56</v>
      </c>
      <c r="D425" s="41" t="s">
        <v>811</v>
      </c>
      <c r="E425" s="9" t="s">
        <v>96</v>
      </c>
      <c r="F425" s="9" t="s">
        <v>479</v>
      </c>
      <c r="G425" s="9"/>
      <c r="H425" s="39"/>
      <c r="I425" s="9"/>
      <c r="J425" s="39"/>
      <c r="K425" s="42"/>
      <c r="L425" s="9" t="s">
        <v>395</v>
      </c>
      <c r="M425" s="16"/>
      <c r="O425" s="10"/>
      <c r="P425" s="10"/>
      <c r="Q425" s="10"/>
      <c r="R425" s="10"/>
      <c r="S425" s="10"/>
      <c r="AA425" s="14">
        <f t="shared" si="12"/>
        <v>-632</v>
      </c>
      <c r="AB425" s="47">
        <f t="shared" si="13"/>
        <v>-633</v>
      </c>
      <c r="AD425" s="45"/>
      <c r="AE425" s="45"/>
      <c r="AF425" s="45"/>
      <c r="AG425" s="45"/>
      <c r="AH425" s="45"/>
      <c r="AI425" s="12"/>
      <c r="AJ425" s="13"/>
      <c r="AK425" s="45"/>
      <c r="AL425" s="45"/>
      <c r="AM425" s="45"/>
      <c r="AN425" s="45"/>
    </row>
    <row r="426" spans="1:40" s="46" customFormat="1" ht="14.4">
      <c r="A426" s="39">
        <v>41230</v>
      </c>
      <c r="B426" s="9" t="s">
        <v>1344</v>
      </c>
      <c r="C426" s="40">
        <v>310</v>
      </c>
      <c r="D426" s="41" t="s">
        <v>643</v>
      </c>
      <c r="E426" s="9" t="s">
        <v>77</v>
      </c>
      <c r="F426" s="9" t="s">
        <v>479</v>
      </c>
      <c r="G426" s="9"/>
      <c r="H426" s="39"/>
      <c r="I426" s="9"/>
      <c r="J426" s="39"/>
      <c r="K426" s="42"/>
      <c r="L426" s="9" t="s">
        <v>644</v>
      </c>
      <c r="M426" s="16"/>
      <c r="O426" s="10"/>
      <c r="P426" s="10"/>
      <c r="Q426" s="10"/>
      <c r="R426" s="10"/>
      <c r="S426" s="10"/>
      <c r="AA426" s="14">
        <f t="shared" si="12"/>
        <v>254</v>
      </c>
      <c r="AB426" s="47">
        <f t="shared" si="13"/>
        <v>253</v>
      </c>
      <c r="AD426" s="45"/>
      <c r="AE426" s="45"/>
      <c r="AF426" s="45"/>
      <c r="AG426" s="45"/>
      <c r="AH426" s="45"/>
      <c r="AI426" s="12"/>
      <c r="AJ426" s="13"/>
      <c r="AK426" s="45"/>
      <c r="AL426" s="45"/>
      <c r="AM426" s="45"/>
      <c r="AN426" s="45"/>
    </row>
    <row r="427" spans="1:40" s="46" customFormat="1" ht="14.4">
      <c r="A427" s="39">
        <v>41230</v>
      </c>
      <c r="B427" s="9" t="s">
        <v>2730</v>
      </c>
      <c r="C427" s="40">
        <v>831</v>
      </c>
      <c r="D427" s="41" t="s">
        <v>922</v>
      </c>
      <c r="E427" s="9" t="s">
        <v>18</v>
      </c>
      <c r="F427" s="9" t="s">
        <v>935</v>
      </c>
      <c r="G427" s="9"/>
      <c r="H427" s="39"/>
      <c r="I427" s="9"/>
      <c r="J427" s="39"/>
      <c r="K427" s="42"/>
      <c r="L427" s="9" t="s">
        <v>870</v>
      </c>
      <c r="M427" s="16"/>
      <c r="O427" s="10"/>
      <c r="P427" s="10"/>
      <c r="Q427" s="10"/>
      <c r="R427" s="10"/>
      <c r="S427" s="10"/>
      <c r="AA427" s="14">
        <f t="shared" ref="AA427:AA490" si="14">C427-C426</f>
        <v>521</v>
      </c>
      <c r="AB427" s="47">
        <f t="shared" ref="AB427:AB490" si="15">AA427-1</f>
        <v>520</v>
      </c>
      <c r="AD427" s="45"/>
      <c r="AE427" s="45"/>
      <c r="AF427" s="45"/>
      <c r="AG427" s="45"/>
      <c r="AH427" s="45"/>
      <c r="AI427" s="12"/>
      <c r="AJ427" s="13"/>
      <c r="AK427" s="45"/>
      <c r="AL427" s="45"/>
      <c r="AM427" s="45"/>
      <c r="AN427" s="45"/>
    </row>
    <row r="428" spans="1:40" s="46" customFormat="1" ht="14.4">
      <c r="A428" s="39">
        <v>41230</v>
      </c>
      <c r="B428" s="9" t="s">
        <v>1313</v>
      </c>
      <c r="C428" s="40">
        <v>296</v>
      </c>
      <c r="D428" s="41" t="s">
        <v>786</v>
      </c>
      <c r="E428" s="9" t="s">
        <v>77</v>
      </c>
      <c r="F428" s="9" t="s">
        <v>479</v>
      </c>
      <c r="G428" s="9"/>
      <c r="H428" s="39"/>
      <c r="I428" s="9"/>
      <c r="J428" s="39"/>
      <c r="K428" s="42"/>
      <c r="L428" s="9" t="s">
        <v>787</v>
      </c>
      <c r="M428" s="16"/>
      <c r="O428" s="10"/>
      <c r="P428" s="10"/>
      <c r="Q428" s="10"/>
      <c r="R428" s="10"/>
      <c r="S428" s="10"/>
      <c r="AA428" s="14">
        <f t="shared" si="14"/>
        <v>-535</v>
      </c>
      <c r="AB428" s="47">
        <f t="shared" si="15"/>
        <v>-536</v>
      </c>
      <c r="AD428" s="45"/>
      <c r="AE428" s="45"/>
      <c r="AF428" s="45"/>
      <c r="AG428" s="45"/>
      <c r="AH428" s="45"/>
      <c r="AI428" s="12"/>
      <c r="AJ428" s="13"/>
      <c r="AK428" s="45"/>
      <c r="AL428" s="45"/>
      <c r="AM428" s="45"/>
      <c r="AN428" s="45"/>
    </row>
    <row r="429" spans="1:40" s="46" customFormat="1" ht="14.4">
      <c r="A429" s="39">
        <v>41230</v>
      </c>
      <c r="B429" s="9" t="s">
        <v>1199</v>
      </c>
      <c r="C429" s="40">
        <v>348</v>
      </c>
      <c r="D429" s="41" t="s">
        <v>778</v>
      </c>
      <c r="E429" s="9" t="s">
        <v>77</v>
      </c>
      <c r="F429" s="9" t="s">
        <v>479</v>
      </c>
      <c r="G429" s="9"/>
      <c r="H429" s="39"/>
      <c r="I429" s="9"/>
      <c r="J429" s="39"/>
      <c r="K429" s="42"/>
      <c r="L429" s="9" t="s">
        <v>42</v>
      </c>
      <c r="M429" s="16"/>
      <c r="O429" s="10"/>
      <c r="P429" s="10"/>
      <c r="Q429" s="10"/>
      <c r="R429" s="10"/>
      <c r="S429" s="10"/>
      <c r="AA429" s="14">
        <f t="shared" si="14"/>
        <v>52</v>
      </c>
      <c r="AB429" s="47">
        <f t="shared" si="15"/>
        <v>51</v>
      </c>
      <c r="AD429" s="45"/>
      <c r="AE429" s="45"/>
      <c r="AF429" s="45"/>
      <c r="AG429" s="45"/>
      <c r="AH429" s="45"/>
      <c r="AI429" s="12"/>
      <c r="AJ429" s="13"/>
      <c r="AK429" s="45"/>
      <c r="AL429" s="45"/>
      <c r="AM429" s="45"/>
      <c r="AN429" s="45"/>
    </row>
    <row r="430" spans="1:40" s="46" customFormat="1" ht="14.4">
      <c r="A430" s="39">
        <v>41230</v>
      </c>
      <c r="B430" s="9" t="s">
        <v>1349</v>
      </c>
      <c r="C430" s="40">
        <v>315</v>
      </c>
      <c r="D430" s="41" t="s">
        <v>683</v>
      </c>
      <c r="E430" s="9" t="s">
        <v>77</v>
      </c>
      <c r="F430" s="9" t="s">
        <v>479</v>
      </c>
      <c r="G430" s="9"/>
      <c r="H430" s="39"/>
      <c r="I430" s="9"/>
      <c r="J430" s="39"/>
      <c r="K430" s="42"/>
      <c r="L430" s="9" t="s">
        <v>684</v>
      </c>
      <c r="M430" s="16"/>
      <c r="O430" s="10"/>
      <c r="P430" s="10"/>
      <c r="Q430" s="10"/>
      <c r="R430" s="10"/>
      <c r="S430" s="10"/>
      <c r="AA430" s="14">
        <f t="shared" si="14"/>
        <v>-33</v>
      </c>
      <c r="AB430" s="47">
        <f t="shared" si="15"/>
        <v>-34</v>
      </c>
      <c r="AD430" s="53"/>
      <c r="AE430" s="53"/>
      <c r="AF430" s="53"/>
      <c r="AG430" s="53"/>
    </row>
    <row r="431" spans="1:40" s="46" customFormat="1" ht="14.4">
      <c r="A431" s="39">
        <v>41230</v>
      </c>
      <c r="B431" s="9" t="s">
        <v>1299</v>
      </c>
      <c r="C431" s="40">
        <v>283</v>
      </c>
      <c r="D431" s="41" t="s">
        <v>779</v>
      </c>
      <c r="E431" s="9" t="s">
        <v>77</v>
      </c>
      <c r="F431" s="9" t="s">
        <v>479</v>
      </c>
      <c r="G431" s="9"/>
      <c r="H431" s="39"/>
      <c r="I431" s="9"/>
      <c r="J431" s="39"/>
      <c r="K431" s="42"/>
      <c r="L431" s="9" t="s">
        <v>780</v>
      </c>
      <c r="M431" s="16"/>
      <c r="O431" s="10"/>
      <c r="P431" s="10"/>
      <c r="Q431" s="10"/>
      <c r="R431" s="10"/>
      <c r="S431" s="10"/>
      <c r="AA431" s="14">
        <f t="shared" si="14"/>
        <v>-32</v>
      </c>
      <c r="AB431" s="47">
        <f t="shared" si="15"/>
        <v>-33</v>
      </c>
      <c r="AD431" s="53"/>
      <c r="AE431" s="53"/>
      <c r="AF431" s="53"/>
      <c r="AG431" s="53"/>
    </row>
    <row r="432" spans="1:40" s="46" customFormat="1" ht="14.4">
      <c r="A432" s="39">
        <v>41230</v>
      </c>
      <c r="B432" s="9" t="s">
        <v>1303</v>
      </c>
      <c r="C432" s="40">
        <v>287</v>
      </c>
      <c r="D432" s="41" t="s">
        <v>781</v>
      </c>
      <c r="E432" s="9" t="s">
        <v>77</v>
      </c>
      <c r="F432" s="9" t="s">
        <v>479</v>
      </c>
      <c r="G432" s="9"/>
      <c r="H432" s="39"/>
      <c r="I432" s="9"/>
      <c r="J432" s="39"/>
      <c r="K432" s="42"/>
      <c r="L432" s="9" t="s">
        <v>780</v>
      </c>
      <c r="M432" s="16"/>
      <c r="O432" s="10"/>
      <c r="P432" s="10"/>
      <c r="Q432" s="10"/>
      <c r="R432" s="10"/>
      <c r="S432" s="10"/>
      <c r="AA432" s="14">
        <f t="shared" si="14"/>
        <v>4</v>
      </c>
      <c r="AB432" s="47">
        <f t="shared" si="15"/>
        <v>3</v>
      </c>
      <c r="AD432" s="53"/>
      <c r="AE432" s="53"/>
      <c r="AF432" s="53"/>
      <c r="AG432" s="53"/>
    </row>
    <row r="433" spans="1:33" s="46" customFormat="1" ht="14.4">
      <c r="A433" s="39">
        <v>41230</v>
      </c>
      <c r="B433" s="9" t="s">
        <v>2240</v>
      </c>
      <c r="C433" s="15">
        <v>610</v>
      </c>
      <c r="D433" s="41" t="s">
        <v>980</v>
      </c>
      <c r="E433" s="9" t="s">
        <v>931</v>
      </c>
      <c r="F433" s="9" t="s">
        <v>479</v>
      </c>
      <c r="G433" s="9"/>
      <c r="H433" s="39"/>
      <c r="I433" s="9"/>
      <c r="J433" s="39"/>
      <c r="K433" s="42"/>
      <c r="L433" s="9"/>
      <c r="M433" s="16"/>
      <c r="O433" s="10"/>
      <c r="P433" s="10"/>
      <c r="Q433" s="10"/>
      <c r="R433" s="10"/>
      <c r="S433" s="10"/>
      <c r="AA433" s="14">
        <f t="shared" si="14"/>
        <v>323</v>
      </c>
      <c r="AB433" s="47">
        <f t="shared" si="15"/>
        <v>322</v>
      </c>
      <c r="AD433" s="53"/>
      <c r="AE433" s="53"/>
      <c r="AF433" s="53"/>
      <c r="AG433" s="53"/>
    </row>
    <row r="434" spans="1:33" s="46" customFormat="1">
      <c r="A434" s="39">
        <v>41230</v>
      </c>
      <c r="B434" s="9" t="s">
        <v>1132</v>
      </c>
      <c r="C434" s="40">
        <v>28</v>
      </c>
      <c r="D434" s="41" t="s">
        <v>822</v>
      </c>
      <c r="E434" s="9" t="s">
        <v>22</v>
      </c>
      <c r="F434" s="9" t="s">
        <v>479</v>
      </c>
      <c r="G434" s="9"/>
      <c r="H434" s="39"/>
      <c r="I434" s="9"/>
      <c r="J434" s="39"/>
      <c r="K434" s="42"/>
      <c r="L434" s="9" t="s">
        <v>42</v>
      </c>
      <c r="M434" s="16"/>
      <c r="AA434" s="14">
        <f t="shared" si="14"/>
        <v>-582</v>
      </c>
      <c r="AB434" s="47">
        <f t="shared" si="15"/>
        <v>-583</v>
      </c>
      <c r="AD434" s="53"/>
      <c r="AE434" s="53"/>
      <c r="AF434" s="53"/>
      <c r="AG434" s="53"/>
    </row>
    <row r="435" spans="1:33" s="46" customFormat="1">
      <c r="A435" s="39">
        <v>41230</v>
      </c>
      <c r="B435" s="9" t="s">
        <v>1934</v>
      </c>
      <c r="C435" s="15">
        <v>561</v>
      </c>
      <c r="D435" s="41" t="s">
        <v>981</v>
      </c>
      <c r="E435" s="9" t="s">
        <v>484</v>
      </c>
      <c r="F435" s="9" t="s">
        <v>479</v>
      </c>
      <c r="G435" s="9"/>
      <c r="H435" s="39"/>
      <c r="I435" s="9"/>
      <c r="J435" s="39"/>
      <c r="K435" s="42"/>
      <c r="L435" s="9" t="s">
        <v>982</v>
      </c>
      <c r="M435" s="16"/>
      <c r="AA435" s="14">
        <f t="shared" si="14"/>
        <v>533</v>
      </c>
      <c r="AB435" s="47">
        <f t="shared" si="15"/>
        <v>532</v>
      </c>
      <c r="AD435" s="53"/>
      <c r="AE435" s="53"/>
      <c r="AF435" s="53"/>
      <c r="AG435" s="53"/>
    </row>
    <row r="436" spans="1:33" s="46" customFormat="1">
      <c r="A436" s="39">
        <v>41230</v>
      </c>
      <c r="B436" s="9" t="s">
        <v>1316</v>
      </c>
      <c r="C436" s="15">
        <v>299</v>
      </c>
      <c r="D436" s="41" t="s">
        <v>983</v>
      </c>
      <c r="E436" s="9" t="s">
        <v>118</v>
      </c>
      <c r="F436" s="9" t="s">
        <v>479</v>
      </c>
      <c r="G436" s="9"/>
      <c r="H436" s="39"/>
      <c r="I436" s="9"/>
      <c r="J436" s="39"/>
      <c r="K436" s="42"/>
      <c r="L436" s="9" t="s">
        <v>425</v>
      </c>
      <c r="M436" s="16"/>
      <c r="AA436" s="14">
        <f t="shared" si="14"/>
        <v>-262</v>
      </c>
      <c r="AB436" s="47">
        <f t="shared" si="15"/>
        <v>-263</v>
      </c>
      <c r="AD436" s="53"/>
      <c r="AE436" s="53"/>
      <c r="AF436" s="53"/>
      <c r="AG436" s="53"/>
    </row>
    <row r="437" spans="1:33" s="46" customFormat="1">
      <c r="A437" s="39">
        <v>41230</v>
      </c>
      <c r="B437" s="9" t="s">
        <v>1188</v>
      </c>
      <c r="C437" s="15">
        <v>336</v>
      </c>
      <c r="D437" s="41" t="s">
        <v>706</v>
      </c>
      <c r="E437" s="9" t="s">
        <v>77</v>
      </c>
      <c r="F437" s="9" t="s">
        <v>935</v>
      </c>
      <c r="G437" s="9"/>
      <c r="H437" s="39"/>
      <c r="I437" s="9"/>
      <c r="J437" s="39"/>
      <c r="K437" s="42"/>
      <c r="L437" s="9" t="s">
        <v>707</v>
      </c>
      <c r="M437" s="16"/>
      <c r="AA437" s="14">
        <f t="shared" si="14"/>
        <v>37</v>
      </c>
      <c r="AB437" s="47">
        <f t="shared" si="15"/>
        <v>36</v>
      </c>
      <c r="AD437" s="53"/>
      <c r="AE437" s="53"/>
      <c r="AF437" s="53"/>
      <c r="AG437" s="53"/>
    </row>
    <row r="438" spans="1:33" s="46" customFormat="1">
      <c r="A438" s="39">
        <v>41230</v>
      </c>
      <c r="B438" s="9" t="s">
        <v>1932</v>
      </c>
      <c r="C438" s="40">
        <v>563</v>
      </c>
      <c r="D438" s="41" t="s">
        <v>746</v>
      </c>
      <c r="E438" s="9" t="s">
        <v>77</v>
      </c>
      <c r="F438" s="9" t="s">
        <v>479</v>
      </c>
      <c r="G438" s="9"/>
      <c r="H438" s="39"/>
      <c r="I438" s="9"/>
      <c r="J438" s="39"/>
      <c r="K438" s="42"/>
      <c r="L438" s="9" t="s">
        <v>747</v>
      </c>
      <c r="M438" s="16"/>
      <c r="AA438" s="14">
        <f t="shared" si="14"/>
        <v>227</v>
      </c>
      <c r="AB438" s="47">
        <f t="shared" si="15"/>
        <v>226</v>
      </c>
      <c r="AD438" s="53"/>
      <c r="AE438" s="53"/>
      <c r="AF438" s="53"/>
      <c r="AG438" s="53"/>
    </row>
    <row r="439" spans="1:33" s="46" customFormat="1">
      <c r="A439" s="39">
        <v>41230</v>
      </c>
      <c r="B439" s="9" t="s">
        <v>1928</v>
      </c>
      <c r="C439" s="15">
        <v>567</v>
      </c>
      <c r="D439" s="41" t="s">
        <v>986</v>
      </c>
      <c r="E439" s="9" t="s">
        <v>18</v>
      </c>
      <c r="F439" s="9" t="s">
        <v>479</v>
      </c>
      <c r="G439" s="9"/>
      <c r="H439" s="39"/>
      <c r="I439" s="9"/>
      <c r="J439" s="39"/>
      <c r="K439" s="42"/>
      <c r="L439" s="9" t="s">
        <v>987</v>
      </c>
      <c r="M439" s="16"/>
      <c r="AA439" s="14">
        <f t="shared" si="14"/>
        <v>4</v>
      </c>
      <c r="AB439" s="47">
        <f t="shared" si="15"/>
        <v>3</v>
      </c>
      <c r="AD439" s="53"/>
      <c r="AE439" s="53"/>
      <c r="AF439" s="53"/>
      <c r="AG439" s="53"/>
    </row>
    <row r="440" spans="1:33" s="46" customFormat="1">
      <c r="A440" s="39">
        <v>41230</v>
      </c>
      <c r="B440" s="9" t="s">
        <v>1171</v>
      </c>
      <c r="C440" s="40">
        <v>211</v>
      </c>
      <c r="D440" s="41" t="s">
        <v>666</v>
      </c>
      <c r="E440" s="9" t="s">
        <v>77</v>
      </c>
      <c r="F440" s="9" t="s">
        <v>479</v>
      </c>
      <c r="G440" s="9"/>
      <c r="H440" s="39"/>
      <c r="I440" s="9"/>
      <c r="J440" s="39"/>
      <c r="K440" s="42"/>
      <c r="L440" s="9" t="s">
        <v>667</v>
      </c>
      <c r="M440" s="16"/>
      <c r="AA440" s="14">
        <f>C440-C439</f>
        <v>-356</v>
      </c>
      <c r="AB440" s="47">
        <f>AA440-1</f>
        <v>-357</v>
      </c>
      <c r="AD440" s="53"/>
      <c r="AE440" s="53"/>
      <c r="AF440" s="53"/>
      <c r="AG440" s="53"/>
    </row>
    <row r="441" spans="1:33" s="46" customFormat="1">
      <c r="A441" s="39">
        <v>41230</v>
      </c>
      <c r="B441" s="9" t="s">
        <v>1013</v>
      </c>
      <c r="C441" s="40">
        <v>264</v>
      </c>
      <c r="D441" s="41" t="s">
        <v>677</v>
      </c>
      <c r="E441" s="9" t="s">
        <v>77</v>
      </c>
      <c r="F441" s="9" t="s">
        <v>479</v>
      </c>
      <c r="G441" s="9"/>
      <c r="H441" s="39"/>
      <c r="I441" s="9"/>
      <c r="J441" s="39"/>
      <c r="K441" s="42"/>
      <c r="L441" s="9" t="s">
        <v>678</v>
      </c>
      <c r="M441" s="16"/>
      <c r="AA441" s="14" t="e">
        <f>C441-#REF!</f>
        <v>#REF!</v>
      </c>
      <c r="AB441" s="47" t="e">
        <f>AA441-1</f>
        <v>#REF!</v>
      </c>
      <c r="AD441" s="53"/>
      <c r="AE441" s="53"/>
      <c r="AF441" s="53"/>
      <c r="AG441" s="53"/>
    </row>
    <row r="442" spans="1:33" s="46" customFormat="1">
      <c r="A442" s="39">
        <v>41230</v>
      </c>
      <c r="B442" s="9" t="s">
        <v>1028</v>
      </c>
      <c r="C442" s="15">
        <v>224</v>
      </c>
      <c r="D442" s="41" t="s">
        <v>735</v>
      </c>
      <c r="E442" s="9" t="s">
        <v>77</v>
      </c>
      <c r="F442" s="9" t="s">
        <v>479</v>
      </c>
      <c r="G442" s="9"/>
      <c r="H442" s="39"/>
      <c r="I442" s="9"/>
      <c r="J442" s="39"/>
      <c r="K442" s="48"/>
      <c r="L442" s="9" t="s">
        <v>736</v>
      </c>
      <c r="M442" s="16" t="s">
        <v>192</v>
      </c>
      <c r="AA442" s="14">
        <f>C442-C441</f>
        <v>-40</v>
      </c>
      <c r="AB442" s="47">
        <f>AA442-1</f>
        <v>-41</v>
      </c>
      <c r="AD442" s="53"/>
      <c r="AE442" s="53"/>
      <c r="AF442" s="53"/>
      <c r="AG442" s="53"/>
    </row>
    <row r="443" spans="1:33" s="46" customFormat="1">
      <c r="A443" s="39">
        <v>41230</v>
      </c>
      <c r="B443" s="9" t="s">
        <v>1082</v>
      </c>
      <c r="C443" s="40">
        <v>202</v>
      </c>
      <c r="D443" s="41" t="s">
        <v>710</v>
      </c>
      <c r="E443" s="9" t="s">
        <v>77</v>
      </c>
      <c r="F443" s="9" t="s">
        <v>479</v>
      </c>
      <c r="G443" s="9"/>
      <c r="H443" s="39"/>
      <c r="I443" s="9"/>
      <c r="J443" s="39"/>
      <c r="K443" s="42"/>
      <c r="L443" s="9" t="s">
        <v>711</v>
      </c>
      <c r="M443" s="16"/>
      <c r="AA443" s="14">
        <f t="shared" si="14"/>
        <v>-22</v>
      </c>
      <c r="AB443" s="47">
        <f t="shared" si="15"/>
        <v>-23</v>
      </c>
      <c r="AD443" s="53"/>
      <c r="AE443" s="53"/>
      <c r="AF443" s="53"/>
      <c r="AG443" s="53"/>
    </row>
    <row r="444" spans="1:33" s="46" customFormat="1">
      <c r="A444" s="39">
        <v>41230</v>
      </c>
      <c r="B444" s="9" t="s">
        <v>1014</v>
      </c>
      <c r="C444" s="40">
        <v>261</v>
      </c>
      <c r="D444" s="41" t="s">
        <v>675</v>
      </c>
      <c r="E444" s="9" t="s">
        <v>77</v>
      </c>
      <c r="F444" s="9" t="s">
        <v>479</v>
      </c>
      <c r="G444" s="9"/>
      <c r="H444" s="39"/>
      <c r="I444" s="9"/>
      <c r="J444" s="39"/>
      <c r="K444" s="42"/>
      <c r="L444" s="9" t="s">
        <v>676</v>
      </c>
      <c r="M444" s="16"/>
      <c r="AA444" s="14">
        <f t="shared" si="14"/>
        <v>59</v>
      </c>
      <c r="AB444" s="47">
        <f t="shared" si="15"/>
        <v>58</v>
      </c>
      <c r="AD444" s="53"/>
      <c r="AE444" s="53"/>
      <c r="AF444" s="53"/>
      <c r="AG444" s="53"/>
    </row>
    <row r="445" spans="1:33" s="46" customFormat="1">
      <c r="A445" s="39">
        <v>41230</v>
      </c>
      <c r="B445" s="9" t="s">
        <v>1172</v>
      </c>
      <c r="C445" s="40">
        <v>212</v>
      </c>
      <c r="D445" s="41" t="s">
        <v>668</v>
      </c>
      <c r="E445" s="9" t="s">
        <v>77</v>
      </c>
      <c r="F445" s="9" t="s">
        <v>479</v>
      </c>
      <c r="G445" s="9"/>
      <c r="H445" s="39"/>
      <c r="I445" s="9"/>
      <c r="J445" s="39"/>
      <c r="K445" s="42"/>
      <c r="L445" s="9" t="s">
        <v>42</v>
      </c>
      <c r="M445" s="16"/>
      <c r="AA445" s="14">
        <f t="shared" si="14"/>
        <v>-49</v>
      </c>
      <c r="AB445" s="47">
        <f t="shared" si="15"/>
        <v>-50</v>
      </c>
      <c r="AD445" s="53"/>
      <c r="AE445" s="53"/>
      <c r="AF445" s="53"/>
      <c r="AG445" s="53"/>
    </row>
    <row r="446" spans="1:33" s="46" customFormat="1">
      <c r="A446" s="39">
        <v>41230</v>
      </c>
      <c r="B446" s="9" t="s">
        <v>1078</v>
      </c>
      <c r="C446" s="40">
        <v>193</v>
      </c>
      <c r="D446" s="41" t="s">
        <v>737</v>
      </c>
      <c r="E446" s="9" t="s">
        <v>77</v>
      </c>
      <c r="F446" s="9" t="s">
        <v>479</v>
      </c>
      <c r="G446" s="9"/>
      <c r="H446" s="39"/>
      <c r="I446" s="9"/>
      <c r="J446" s="39"/>
      <c r="K446" s="42"/>
      <c r="L446" s="9" t="s">
        <v>738</v>
      </c>
      <c r="M446" s="16"/>
      <c r="AA446" s="14">
        <f t="shared" si="14"/>
        <v>-19</v>
      </c>
      <c r="AB446" s="47">
        <f t="shared" si="15"/>
        <v>-20</v>
      </c>
      <c r="AD446" s="53"/>
      <c r="AE446" s="53"/>
      <c r="AF446" s="53"/>
      <c r="AG446" s="53"/>
    </row>
    <row r="447" spans="1:33" s="46" customFormat="1">
      <c r="A447" s="39">
        <v>41230</v>
      </c>
      <c r="B447" s="9" t="s">
        <v>2650</v>
      </c>
      <c r="C447" s="15">
        <v>775</v>
      </c>
      <c r="D447" s="41" t="s">
        <v>984</v>
      </c>
      <c r="E447" s="9" t="s">
        <v>484</v>
      </c>
      <c r="F447" s="9" t="s">
        <v>479</v>
      </c>
      <c r="G447" s="9"/>
      <c r="H447" s="39"/>
      <c r="I447" s="9"/>
      <c r="J447" s="39"/>
      <c r="K447" s="42"/>
      <c r="L447" s="9" t="s">
        <v>985</v>
      </c>
      <c r="M447" s="16"/>
      <c r="AA447" s="14">
        <f t="shared" si="14"/>
        <v>582</v>
      </c>
      <c r="AB447" s="47">
        <f t="shared" si="15"/>
        <v>581</v>
      </c>
      <c r="AD447" s="53"/>
      <c r="AE447" s="53"/>
      <c r="AF447" s="53"/>
      <c r="AG447" s="53"/>
    </row>
    <row r="448" spans="1:33" s="46" customFormat="1">
      <c r="A448" s="39">
        <v>41230</v>
      </c>
      <c r="B448" s="9" t="s">
        <v>2142</v>
      </c>
      <c r="C448" s="40">
        <v>503</v>
      </c>
      <c r="D448" s="41" t="s">
        <v>842</v>
      </c>
      <c r="E448" s="9" t="s">
        <v>18</v>
      </c>
      <c r="F448" s="9" t="s">
        <v>479</v>
      </c>
      <c r="G448" s="9"/>
      <c r="H448" s="39"/>
      <c r="I448" s="9"/>
      <c r="J448" s="39"/>
      <c r="K448" s="42"/>
      <c r="L448" s="9" t="s">
        <v>843</v>
      </c>
      <c r="M448" s="16"/>
      <c r="AA448" s="14">
        <f t="shared" si="14"/>
        <v>-272</v>
      </c>
      <c r="AB448" s="47">
        <f t="shared" si="15"/>
        <v>-273</v>
      </c>
      <c r="AD448" s="53"/>
      <c r="AE448" s="53"/>
      <c r="AF448" s="53"/>
      <c r="AG448" s="53"/>
    </row>
    <row r="449" spans="1:33" s="46" customFormat="1">
      <c r="A449" s="39">
        <v>41230</v>
      </c>
      <c r="B449" s="9" t="s">
        <v>2765</v>
      </c>
      <c r="C449" s="15">
        <v>734</v>
      </c>
      <c r="D449" s="41" t="s">
        <v>989</v>
      </c>
      <c r="E449" s="9" t="s">
        <v>931</v>
      </c>
      <c r="F449" s="9" t="s">
        <v>479</v>
      </c>
      <c r="G449" s="9"/>
      <c r="H449" s="39"/>
      <c r="I449" s="9"/>
      <c r="J449" s="39"/>
      <c r="K449" s="42"/>
      <c r="L449" s="9"/>
      <c r="M449" s="16"/>
      <c r="AA449" s="14">
        <f t="shared" si="14"/>
        <v>231</v>
      </c>
      <c r="AB449" s="47">
        <f t="shared" si="15"/>
        <v>230</v>
      </c>
      <c r="AD449" s="53"/>
      <c r="AE449" s="53"/>
      <c r="AF449" s="53"/>
      <c r="AG449" s="53"/>
    </row>
    <row r="450" spans="1:33" s="46" customFormat="1">
      <c r="A450" s="39">
        <v>41230</v>
      </c>
      <c r="B450" s="9" t="s">
        <v>1322</v>
      </c>
      <c r="C450" s="40">
        <v>271</v>
      </c>
      <c r="D450" s="41" t="s">
        <v>689</v>
      </c>
      <c r="E450" s="9" t="s">
        <v>77</v>
      </c>
      <c r="F450" s="9" t="s">
        <v>479</v>
      </c>
      <c r="G450" s="9"/>
      <c r="H450" s="39"/>
      <c r="I450" s="9"/>
      <c r="J450" s="39"/>
      <c r="K450" s="42"/>
      <c r="L450" s="9" t="s">
        <v>690</v>
      </c>
      <c r="M450" s="16"/>
      <c r="AA450" s="14">
        <f t="shared" si="14"/>
        <v>-463</v>
      </c>
      <c r="AB450" s="47">
        <f t="shared" si="15"/>
        <v>-464</v>
      </c>
      <c r="AD450" s="53"/>
      <c r="AE450" s="53"/>
      <c r="AF450" s="53"/>
      <c r="AG450" s="53"/>
    </row>
    <row r="451" spans="1:33" s="46" customFormat="1">
      <c r="A451" s="39">
        <v>41230</v>
      </c>
      <c r="B451" s="9" t="s">
        <v>1312</v>
      </c>
      <c r="C451" s="40">
        <v>295</v>
      </c>
      <c r="D451" s="41" t="s">
        <v>790</v>
      </c>
      <c r="E451" s="9" t="s">
        <v>77</v>
      </c>
      <c r="F451" s="9" t="s">
        <v>479</v>
      </c>
      <c r="G451" s="9"/>
      <c r="H451" s="39"/>
      <c r="I451" s="9"/>
      <c r="J451" s="39"/>
      <c r="K451" s="42"/>
      <c r="L451" s="9" t="s">
        <v>42</v>
      </c>
      <c r="M451" s="16"/>
      <c r="AA451" s="14">
        <f t="shared" si="14"/>
        <v>24</v>
      </c>
      <c r="AB451" s="47">
        <f t="shared" si="15"/>
        <v>23</v>
      </c>
      <c r="AD451" s="53"/>
      <c r="AE451" s="53"/>
      <c r="AF451" s="53"/>
      <c r="AG451" s="53"/>
    </row>
    <row r="452" spans="1:33" s="46" customFormat="1">
      <c r="A452" s="39">
        <v>41230</v>
      </c>
      <c r="B452" s="9"/>
      <c r="C452" s="40"/>
      <c r="D452" s="41" t="s">
        <v>810</v>
      </c>
      <c r="E452" s="9" t="s">
        <v>77</v>
      </c>
      <c r="F452" s="9" t="s">
        <v>479</v>
      </c>
      <c r="G452" s="9"/>
      <c r="H452" s="39"/>
      <c r="I452" s="9"/>
      <c r="J452" s="39"/>
      <c r="K452" s="42"/>
      <c r="L452" s="9" t="s">
        <v>375</v>
      </c>
      <c r="M452" s="16"/>
      <c r="AA452" s="14">
        <f t="shared" si="14"/>
        <v>-295</v>
      </c>
      <c r="AB452" s="47">
        <f t="shared" si="15"/>
        <v>-296</v>
      </c>
      <c r="AD452" s="53"/>
      <c r="AE452" s="53"/>
      <c r="AF452" s="53"/>
      <c r="AG452" s="53"/>
    </row>
    <row r="453" spans="1:33" s="46" customFormat="1">
      <c r="A453" s="39">
        <v>41230</v>
      </c>
      <c r="B453" s="9"/>
      <c r="C453" s="40"/>
      <c r="D453" s="41" t="s">
        <v>814</v>
      </c>
      <c r="E453" s="9" t="s">
        <v>57</v>
      </c>
      <c r="F453" s="9" t="s">
        <v>935</v>
      </c>
      <c r="G453" s="9"/>
      <c r="H453" s="39"/>
      <c r="I453" s="9"/>
      <c r="J453" s="39"/>
      <c r="K453" s="42"/>
      <c r="L453" s="9" t="s">
        <v>42</v>
      </c>
      <c r="M453" s="16"/>
      <c r="AA453" s="14">
        <f t="shared" si="14"/>
        <v>0</v>
      </c>
      <c r="AB453" s="47">
        <f t="shared" si="15"/>
        <v>-1</v>
      </c>
      <c r="AD453" s="53"/>
      <c r="AE453" s="53"/>
      <c r="AF453" s="53"/>
      <c r="AG453" s="53"/>
    </row>
    <row r="454" spans="1:33" s="46" customFormat="1">
      <c r="A454" s="39">
        <v>41230</v>
      </c>
      <c r="B454" s="9" t="s">
        <v>1120</v>
      </c>
      <c r="C454" s="40">
        <v>152</v>
      </c>
      <c r="D454" s="41" t="s">
        <v>635</v>
      </c>
      <c r="E454" s="9" t="s">
        <v>18</v>
      </c>
      <c r="F454" s="9" t="s">
        <v>479</v>
      </c>
      <c r="G454" s="9"/>
      <c r="H454" s="39"/>
      <c r="I454" s="9"/>
      <c r="J454" s="39"/>
      <c r="K454" s="42"/>
      <c r="L454" s="9" t="s">
        <v>636</v>
      </c>
      <c r="M454" s="16"/>
      <c r="AA454" s="14">
        <f t="shared" si="14"/>
        <v>152</v>
      </c>
      <c r="AB454" s="47">
        <f t="shared" si="15"/>
        <v>151</v>
      </c>
      <c r="AD454" s="53"/>
      <c r="AE454" s="53"/>
      <c r="AF454" s="53"/>
      <c r="AG454" s="53"/>
    </row>
    <row r="455" spans="1:33" s="46" customFormat="1">
      <c r="A455" s="39">
        <v>41230</v>
      </c>
      <c r="B455" s="9" t="s">
        <v>1301</v>
      </c>
      <c r="C455" s="15">
        <v>285</v>
      </c>
      <c r="D455" s="41" t="s">
        <v>924</v>
      </c>
      <c r="E455" s="9" t="s">
        <v>18</v>
      </c>
      <c r="F455" s="9" t="s">
        <v>479</v>
      </c>
      <c r="G455" s="9"/>
      <c r="H455" s="39"/>
      <c r="I455" s="9"/>
      <c r="J455" s="39"/>
      <c r="K455" s="42"/>
      <c r="L455" s="9" t="s">
        <v>42</v>
      </c>
      <c r="M455" s="16"/>
      <c r="AA455" s="14">
        <f t="shared" si="14"/>
        <v>133</v>
      </c>
      <c r="AB455" s="47">
        <f t="shared" si="15"/>
        <v>132</v>
      </c>
      <c r="AD455" s="53"/>
      <c r="AE455" s="53"/>
      <c r="AF455" s="53"/>
      <c r="AG455" s="53"/>
    </row>
    <row r="456" spans="1:33" s="46" customFormat="1">
      <c r="A456" s="39">
        <v>41230</v>
      </c>
      <c r="B456" s="9" t="s">
        <v>1117</v>
      </c>
      <c r="C456" s="40">
        <v>149</v>
      </c>
      <c r="D456" s="41" t="s">
        <v>639</v>
      </c>
      <c r="E456" s="9" t="s">
        <v>22</v>
      </c>
      <c r="F456" s="9" t="s">
        <v>479</v>
      </c>
      <c r="G456" s="9"/>
      <c r="H456" s="39"/>
      <c r="I456" s="9"/>
      <c r="J456" s="39"/>
      <c r="K456" s="48"/>
      <c r="L456" s="9" t="s">
        <v>640</v>
      </c>
      <c r="M456" s="16"/>
      <c r="AA456" s="14">
        <f t="shared" si="14"/>
        <v>-136</v>
      </c>
      <c r="AB456" s="47">
        <f t="shared" si="15"/>
        <v>-137</v>
      </c>
      <c r="AD456" s="53"/>
      <c r="AE456" s="53"/>
      <c r="AF456" s="53"/>
      <c r="AG456" s="53"/>
    </row>
    <row r="457" spans="1:33" s="46" customFormat="1">
      <c r="A457" s="39">
        <v>41230</v>
      </c>
      <c r="B457" s="9" t="s">
        <v>1131</v>
      </c>
      <c r="C457" s="40">
        <v>18</v>
      </c>
      <c r="D457" s="41" t="s">
        <v>824</v>
      </c>
      <c r="E457" s="9" t="s">
        <v>22</v>
      </c>
      <c r="F457" s="9" t="s">
        <v>479</v>
      </c>
      <c r="G457" s="9"/>
      <c r="H457" s="39"/>
      <c r="I457" s="9"/>
      <c r="J457" s="39"/>
      <c r="K457" s="42"/>
      <c r="L457" s="9" t="s">
        <v>67</v>
      </c>
      <c r="M457" s="16"/>
      <c r="AA457" s="14">
        <f t="shared" si="14"/>
        <v>-131</v>
      </c>
      <c r="AB457" s="47">
        <f t="shared" si="15"/>
        <v>-132</v>
      </c>
      <c r="AD457" s="53"/>
      <c r="AE457" s="53"/>
      <c r="AF457" s="53"/>
      <c r="AG457" s="53"/>
    </row>
    <row r="458" spans="1:33" s="46" customFormat="1">
      <c r="A458" s="39">
        <v>41230</v>
      </c>
      <c r="B458" s="9" t="s">
        <v>1119</v>
      </c>
      <c r="C458" s="40">
        <v>151</v>
      </c>
      <c r="D458" s="41" t="s">
        <v>641</v>
      </c>
      <c r="E458" s="9" t="s">
        <v>22</v>
      </c>
      <c r="F458" s="9" t="s">
        <v>479</v>
      </c>
      <c r="G458" s="9"/>
      <c r="H458" s="39"/>
      <c r="I458" s="9"/>
      <c r="J458" s="39"/>
      <c r="K458" s="42"/>
      <c r="L458" s="9" t="s">
        <v>642</v>
      </c>
      <c r="M458" s="16"/>
      <c r="AA458" s="14">
        <f t="shared" si="14"/>
        <v>133</v>
      </c>
      <c r="AB458" s="47">
        <f t="shared" si="15"/>
        <v>132</v>
      </c>
      <c r="AD458" s="53"/>
      <c r="AE458" s="53"/>
      <c r="AF458" s="53"/>
      <c r="AG458" s="53"/>
    </row>
    <row r="459" spans="1:33" s="46" customFormat="1">
      <c r="A459" s="39">
        <v>41230</v>
      </c>
      <c r="B459" s="9" t="s">
        <v>2804</v>
      </c>
      <c r="C459" s="40">
        <v>804</v>
      </c>
      <c r="D459" s="41" t="s">
        <v>871</v>
      </c>
      <c r="E459" s="9" t="s">
        <v>18</v>
      </c>
      <c r="F459" s="9" t="s">
        <v>479</v>
      </c>
      <c r="G459" s="9"/>
      <c r="H459" s="39"/>
      <c r="I459" s="9"/>
      <c r="J459" s="39"/>
      <c r="K459" s="42"/>
      <c r="L459" s="9" t="s">
        <v>42</v>
      </c>
      <c r="M459" s="16"/>
      <c r="AA459" s="14">
        <f t="shared" si="14"/>
        <v>653</v>
      </c>
      <c r="AB459" s="47">
        <f t="shared" si="15"/>
        <v>652</v>
      </c>
      <c r="AD459" s="53"/>
      <c r="AE459" s="53"/>
      <c r="AF459" s="53"/>
      <c r="AG459" s="53"/>
    </row>
    <row r="460" spans="1:33" s="46" customFormat="1">
      <c r="A460" s="39">
        <v>41230</v>
      </c>
      <c r="B460" s="9" t="s">
        <v>2430</v>
      </c>
      <c r="C460" s="40"/>
      <c r="D460" s="41" t="s">
        <v>887</v>
      </c>
      <c r="E460" s="9" t="s">
        <v>18</v>
      </c>
      <c r="F460" s="9" t="s">
        <v>935</v>
      </c>
      <c r="G460" s="9"/>
      <c r="H460" s="39"/>
      <c r="I460" s="9"/>
      <c r="J460" s="39"/>
      <c r="K460" s="42"/>
      <c r="L460" s="9" t="s">
        <v>42</v>
      </c>
      <c r="M460" s="16"/>
      <c r="AA460" s="14">
        <f t="shared" si="14"/>
        <v>-804</v>
      </c>
      <c r="AB460" s="47">
        <f t="shared" si="15"/>
        <v>-805</v>
      </c>
      <c r="AD460" s="53"/>
      <c r="AE460" s="53"/>
      <c r="AF460" s="53"/>
      <c r="AG460" s="53"/>
    </row>
    <row r="461" spans="1:33" s="46" customFormat="1">
      <c r="A461" s="39">
        <v>41230</v>
      </c>
      <c r="B461" s="9" t="s">
        <v>1194</v>
      </c>
      <c r="C461" s="40">
        <v>343</v>
      </c>
      <c r="D461" s="41" t="s">
        <v>776</v>
      </c>
      <c r="E461" s="9" t="s">
        <v>77</v>
      </c>
      <c r="F461" s="9" t="s">
        <v>479</v>
      </c>
      <c r="G461" s="9"/>
      <c r="H461" s="39"/>
      <c r="I461" s="9"/>
      <c r="J461" s="39"/>
      <c r="K461" s="42"/>
      <c r="L461" s="9" t="s">
        <v>777</v>
      </c>
      <c r="M461" s="16" t="s">
        <v>193</v>
      </c>
      <c r="AA461" s="14">
        <f t="shared" si="14"/>
        <v>343</v>
      </c>
      <c r="AB461" s="47">
        <f t="shared" si="15"/>
        <v>342</v>
      </c>
      <c r="AD461" s="53"/>
      <c r="AE461" s="53"/>
      <c r="AF461" s="53"/>
      <c r="AG461" s="53"/>
    </row>
    <row r="462" spans="1:33" s="46" customFormat="1">
      <c r="A462" s="39">
        <v>41230</v>
      </c>
      <c r="B462" s="9" t="s">
        <v>1335</v>
      </c>
      <c r="C462" s="40">
        <v>301</v>
      </c>
      <c r="D462" s="41" t="s">
        <v>808</v>
      </c>
      <c r="E462" s="9" t="s">
        <v>802</v>
      </c>
      <c r="F462" s="9" t="s">
        <v>935</v>
      </c>
      <c r="G462" s="9"/>
      <c r="H462" s="39"/>
      <c r="I462" s="9"/>
      <c r="J462" s="39"/>
      <c r="K462" s="52"/>
      <c r="L462" s="9" t="s">
        <v>42</v>
      </c>
      <c r="M462" s="16" t="s">
        <v>193</v>
      </c>
      <c r="AA462" s="14">
        <f t="shared" si="14"/>
        <v>-42</v>
      </c>
      <c r="AB462" s="47">
        <f t="shared" si="15"/>
        <v>-43</v>
      </c>
      <c r="AD462" s="53"/>
      <c r="AE462" s="53"/>
      <c r="AF462" s="53"/>
      <c r="AG462" s="53"/>
    </row>
    <row r="463" spans="1:33" s="46" customFormat="1">
      <c r="A463" s="39">
        <v>41230</v>
      </c>
      <c r="B463" s="9" t="s">
        <v>2668</v>
      </c>
      <c r="C463" s="15">
        <v>694</v>
      </c>
      <c r="D463" s="41" t="s">
        <v>990</v>
      </c>
      <c r="E463" s="9" t="s">
        <v>313</v>
      </c>
      <c r="F463" s="9" t="s">
        <v>479</v>
      </c>
      <c r="G463" s="9"/>
      <c r="H463" s="39"/>
      <c r="I463" s="9"/>
      <c r="J463" s="39"/>
      <c r="K463" s="42"/>
      <c r="L463" s="9" t="s">
        <v>991</v>
      </c>
      <c r="M463" s="16" t="s">
        <v>193</v>
      </c>
      <c r="AA463" s="14">
        <f t="shared" si="14"/>
        <v>393</v>
      </c>
      <c r="AB463" s="47">
        <f t="shared" si="15"/>
        <v>392</v>
      </c>
      <c r="AD463" s="53"/>
      <c r="AE463" s="53"/>
      <c r="AF463" s="53"/>
      <c r="AG463" s="53"/>
    </row>
    <row r="464" spans="1:33" s="46" customFormat="1">
      <c r="A464" s="39">
        <v>41230</v>
      </c>
      <c r="B464" s="9" t="s">
        <v>2267</v>
      </c>
      <c r="C464" s="40">
        <v>658</v>
      </c>
      <c r="D464" s="41" t="s">
        <v>860</v>
      </c>
      <c r="E464" s="9" t="s">
        <v>18</v>
      </c>
      <c r="F464" s="9" t="s">
        <v>479</v>
      </c>
      <c r="G464" s="9"/>
      <c r="H464" s="39"/>
      <c r="I464" s="9"/>
      <c r="J464" s="39"/>
      <c r="K464" s="42"/>
      <c r="L464" s="9" t="s">
        <v>861</v>
      </c>
      <c r="M464" s="16"/>
      <c r="AA464" s="14">
        <f t="shared" si="14"/>
        <v>-36</v>
      </c>
      <c r="AB464" s="47">
        <f t="shared" si="15"/>
        <v>-37</v>
      </c>
      <c r="AD464" s="53"/>
      <c r="AE464" s="53"/>
      <c r="AF464" s="53"/>
      <c r="AG464" s="53"/>
    </row>
    <row r="465" spans="1:33" s="46" customFormat="1">
      <c r="A465" s="39">
        <v>41230</v>
      </c>
      <c r="B465" s="9" t="s">
        <v>1089</v>
      </c>
      <c r="C465" s="40">
        <v>220</v>
      </c>
      <c r="D465" s="41" t="s">
        <v>758</v>
      </c>
      <c r="E465" s="9" t="s">
        <v>77</v>
      </c>
      <c r="F465" s="9" t="s">
        <v>479</v>
      </c>
      <c r="G465" s="9"/>
      <c r="H465" s="39"/>
      <c r="I465" s="9"/>
      <c r="J465" s="39"/>
      <c r="K465" s="42"/>
      <c r="L465" s="9" t="s">
        <v>759</v>
      </c>
      <c r="M465" s="16"/>
      <c r="AA465" s="14">
        <f t="shared" si="14"/>
        <v>-438</v>
      </c>
      <c r="AB465" s="47">
        <f t="shared" si="15"/>
        <v>-439</v>
      </c>
      <c r="AD465" s="53"/>
      <c r="AE465" s="53"/>
      <c r="AF465" s="53"/>
      <c r="AG465" s="53"/>
    </row>
    <row r="466" spans="1:33" s="46" customFormat="1">
      <c r="A466" s="39">
        <v>41230</v>
      </c>
      <c r="B466" s="9" t="s">
        <v>2667</v>
      </c>
      <c r="C466" s="15">
        <v>693</v>
      </c>
      <c r="D466" s="41" t="s">
        <v>994</v>
      </c>
      <c r="E466" s="9" t="s">
        <v>77</v>
      </c>
      <c r="F466" s="9" t="s">
        <v>479</v>
      </c>
      <c r="G466" s="9"/>
      <c r="H466" s="39"/>
      <c r="I466" s="9"/>
      <c r="J466" s="39"/>
      <c r="K466" s="42"/>
      <c r="L466" s="9" t="s">
        <v>995</v>
      </c>
      <c r="M466" s="16"/>
      <c r="AA466" s="14">
        <f t="shared" si="14"/>
        <v>473</v>
      </c>
      <c r="AB466" s="47">
        <f t="shared" si="15"/>
        <v>472</v>
      </c>
      <c r="AD466" s="53"/>
      <c r="AE466" s="53"/>
      <c r="AF466" s="53"/>
      <c r="AG466" s="53"/>
    </row>
    <row r="467" spans="1:33" s="46" customFormat="1">
      <c r="A467" s="39">
        <v>41230</v>
      </c>
      <c r="B467" s="9" t="s">
        <v>2687</v>
      </c>
      <c r="C467" s="15">
        <v>667</v>
      </c>
      <c r="D467" s="41" t="s">
        <v>992</v>
      </c>
      <c r="E467" s="9" t="s">
        <v>77</v>
      </c>
      <c r="F467" s="9" t="s">
        <v>479</v>
      </c>
      <c r="G467" s="9"/>
      <c r="H467" s="39"/>
      <c r="I467" s="9"/>
      <c r="J467" s="39"/>
      <c r="K467" s="42"/>
      <c r="L467" s="9" t="s">
        <v>993</v>
      </c>
      <c r="M467" s="16"/>
      <c r="AA467" s="14">
        <f t="shared" si="14"/>
        <v>-26</v>
      </c>
      <c r="AB467" s="47">
        <f t="shared" si="15"/>
        <v>-27</v>
      </c>
      <c r="AD467" s="53"/>
      <c r="AE467" s="53"/>
      <c r="AF467" s="53"/>
      <c r="AG467" s="53"/>
    </row>
    <row r="468" spans="1:33" s="46" customFormat="1">
      <c r="A468" s="39">
        <v>41230</v>
      </c>
      <c r="B468" s="9" t="s">
        <v>1118</v>
      </c>
      <c r="C468" s="40">
        <v>150</v>
      </c>
      <c r="D468" s="41" t="s">
        <v>637</v>
      </c>
      <c r="E468" s="9" t="s">
        <v>22</v>
      </c>
      <c r="F468" s="9" t="s">
        <v>479</v>
      </c>
      <c r="G468" s="9"/>
      <c r="H468" s="39"/>
      <c r="I468" s="9"/>
      <c r="J468" s="39"/>
      <c r="K468" s="42"/>
      <c r="L468" s="9" t="s">
        <v>638</v>
      </c>
      <c r="M468" s="16"/>
      <c r="AA468" s="14">
        <f t="shared" si="14"/>
        <v>-517</v>
      </c>
      <c r="AB468" s="47">
        <f t="shared" si="15"/>
        <v>-518</v>
      </c>
      <c r="AD468" s="53"/>
      <c r="AE468" s="53"/>
      <c r="AF468" s="53"/>
      <c r="AG468" s="53"/>
    </row>
    <row r="469" spans="1:33" s="46" customFormat="1">
      <c r="A469" s="39">
        <v>41230</v>
      </c>
      <c r="B469" s="9"/>
      <c r="C469" s="15"/>
      <c r="D469" s="41" t="s">
        <v>996</v>
      </c>
      <c r="E469" s="9" t="s">
        <v>484</v>
      </c>
      <c r="F469" s="9" t="s">
        <v>935</v>
      </c>
      <c r="G469" s="9"/>
      <c r="H469" s="39"/>
      <c r="I469" s="9"/>
      <c r="J469" s="39"/>
      <c r="K469" s="42"/>
      <c r="L469" s="9" t="s">
        <v>997</v>
      </c>
      <c r="M469" s="16"/>
      <c r="AA469" s="14">
        <f t="shared" si="14"/>
        <v>-150</v>
      </c>
      <c r="AB469" s="47">
        <f t="shared" si="15"/>
        <v>-151</v>
      </c>
      <c r="AD469" s="53"/>
      <c r="AE469" s="53"/>
      <c r="AF469" s="53"/>
      <c r="AG469" s="53"/>
    </row>
    <row r="470" spans="1:33" s="46" customFormat="1">
      <c r="A470" s="39">
        <v>41230</v>
      </c>
      <c r="B470" s="9" t="s">
        <v>2083</v>
      </c>
      <c r="C470" s="40">
        <v>459</v>
      </c>
      <c r="D470" s="41" t="s">
        <v>852</v>
      </c>
      <c r="E470" s="9" t="s">
        <v>18</v>
      </c>
      <c r="F470" s="9" t="s">
        <v>479</v>
      </c>
      <c r="G470" s="9"/>
      <c r="H470" s="39"/>
      <c r="I470" s="9"/>
      <c r="J470" s="39"/>
      <c r="K470" s="42"/>
      <c r="L470" s="9" t="s">
        <v>853</v>
      </c>
      <c r="M470" s="16"/>
      <c r="AA470" s="14">
        <f t="shared" si="14"/>
        <v>459</v>
      </c>
      <c r="AB470" s="47">
        <f t="shared" si="15"/>
        <v>458</v>
      </c>
      <c r="AD470" s="53"/>
      <c r="AE470" s="53"/>
      <c r="AF470" s="53"/>
      <c r="AG470" s="53"/>
    </row>
    <row r="471" spans="1:33" s="46" customFormat="1" ht="12" customHeight="1">
      <c r="A471" s="39">
        <v>41230</v>
      </c>
      <c r="B471" s="9" t="s">
        <v>1339</v>
      </c>
      <c r="C471" s="40">
        <v>305</v>
      </c>
      <c r="D471" s="41" t="s">
        <v>801</v>
      </c>
      <c r="E471" s="9" t="s">
        <v>802</v>
      </c>
      <c r="F471" s="9" t="s">
        <v>479</v>
      </c>
      <c r="G471" s="9"/>
      <c r="H471" s="39"/>
      <c r="I471" s="9"/>
      <c r="J471" s="39"/>
      <c r="K471" s="42"/>
      <c r="L471" s="9" t="s">
        <v>803</v>
      </c>
      <c r="M471" s="16"/>
      <c r="AA471" s="14">
        <f t="shared" si="14"/>
        <v>-154</v>
      </c>
      <c r="AB471" s="47">
        <f t="shared" si="15"/>
        <v>-155</v>
      </c>
      <c r="AD471" s="53"/>
      <c r="AE471" s="53"/>
      <c r="AF471" s="53"/>
      <c r="AG471" s="53"/>
    </row>
    <row r="472" spans="1:33" s="46" customFormat="1" ht="12" customHeight="1">
      <c r="A472" s="39">
        <v>41230</v>
      </c>
      <c r="B472" s="9" t="s">
        <v>1162</v>
      </c>
      <c r="C472" s="40">
        <v>197</v>
      </c>
      <c r="D472" s="41" t="s">
        <v>712</v>
      </c>
      <c r="E472" s="9" t="s">
        <v>77</v>
      </c>
      <c r="F472" s="9" t="s">
        <v>479</v>
      </c>
      <c r="G472" s="9"/>
      <c r="H472" s="39"/>
      <c r="I472" s="9"/>
      <c r="J472" s="39"/>
      <c r="K472" s="42"/>
      <c r="L472" s="9" t="s">
        <v>713</v>
      </c>
      <c r="M472" s="16"/>
      <c r="AA472" s="14">
        <f t="shared" si="14"/>
        <v>-108</v>
      </c>
      <c r="AB472" s="47">
        <f t="shared" si="15"/>
        <v>-109</v>
      </c>
      <c r="AD472" s="53"/>
      <c r="AE472" s="53"/>
      <c r="AF472" s="53"/>
      <c r="AG472" s="53"/>
    </row>
    <row r="473" spans="1:33" s="46" customFormat="1">
      <c r="A473" s="39">
        <v>41230</v>
      </c>
      <c r="B473" s="9"/>
      <c r="C473" s="15"/>
      <c r="D473" s="41" t="s">
        <v>704</v>
      </c>
      <c r="E473" s="9" t="s">
        <v>77</v>
      </c>
      <c r="F473" s="9" t="s">
        <v>935</v>
      </c>
      <c r="G473" s="9"/>
      <c r="H473" s="39"/>
      <c r="I473" s="9"/>
      <c r="J473" s="39"/>
      <c r="K473" s="42"/>
      <c r="L473" s="9" t="s">
        <v>705</v>
      </c>
      <c r="M473" s="16" t="s">
        <v>193</v>
      </c>
      <c r="AA473" s="14">
        <f t="shared" si="14"/>
        <v>-197</v>
      </c>
      <c r="AB473" s="47">
        <f t="shared" si="15"/>
        <v>-198</v>
      </c>
      <c r="AD473" s="53"/>
      <c r="AE473" s="53"/>
      <c r="AF473" s="53"/>
      <c r="AG473" s="53"/>
    </row>
    <row r="474" spans="1:33" s="46" customFormat="1" ht="12" customHeight="1">
      <c r="A474" s="39">
        <v>41230</v>
      </c>
      <c r="B474" s="103" t="s">
        <v>2156</v>
      </c>
      <c r="C474" s="40">
        <v>59</v>
      </c>
      <c r="D474" s="41" t="s">
        <v>813</v>
      </c>
      <c r="E474" s="9" t="s">
        <v>96</v>
      </c>
      <c r="F474" s="9" t="s">
        <v>479</v>
      </c>
      <c r="G474" s="9"/>
      <c r="H474" s="39"/>
      <c r="I474" s="9"/>
      <c r="J474" s="39"/>
      <c r="K474" s="42"/>
      <c r="L474" s="9" t="s">
        <v>296</v>
      </c>
      <c r="M474" s="16"/>
      <c r="AA474" s="14">
        <f t="shared" si="14"/>
        <v>59</v>
      </c>
      <c r="AB474" s="47">
        <f t="shared" si="15"/>
        <v>58</v>
      </c>
      <c r="AD474" s="53"/>
      <c r="AE474" s="53"/>
      <c r="AF474" s="53"/>
      <c r="AG474" s="53"/>
    </row>
    <row r="475" spans="1:33" s="46" customFormat="1">
      <c r="A475" s="39">
        <v>41230</v>
      </c>
      <c r="B475" s="9" t="s">
        <v>2681</v>
      </c>
      <c r="C475" s="15">
        <v>659</v>
      </c>
      <c r="D475" s="41" t="s">
        <v>999</v>
      </c>
      <c r="E475" s="9" t="s">
        <v>931</v>
      </c>
      <c r="F475" s="9" t="s">
        <v>479</v>
      </c>
      <c r="G475" s="9"/>
      <c r="H475" s="39"/>
      <c r="I475" s="9"/>
      <c r="J475" s="39"/>
      <c r="K475" s="42"/>
      <c r="L475" s="9" t="s">
        <v>1000</v>
      </c>
      <c r="M475" s="16" t="s">
        <v>193</v>
      </c>
      <c r="AA475" s="14">
        <f t="shared" si="14"/>
        <v>600</v>
      </c>
      <c r="AB475" s="47">
        <f t="shared" si="15"/>
        <v>599</v>
      </c>
      <c r="AD475" s="53"/>
      <c r="AE475" s="53"/>
      <c r="AF475" s="53"/>
      <c r="AG475" s="53"/>
    </row>
    <row r="476" spans="1:33" s="46" customFormat="1">
      <c r="A476" s="39">
        <v>41230</v>
      </c>
      <c r="B476" s="9" t="s">
        <v>1324</v>
      </c>
      <c r="C476" s="40">
        <v>273</v>
      </c>
      <c r="D476" s="41" t="s">
        <v>698</v>
      </c>
      <c r="E476" s="9" t="s">
        <v>77</v>
      </c>
      <c r="F476" s="9" t="s">
        <v>479</v>
      </c>
      <c r="G476" s="9"/>
      <c r="H476" s="39"/>
      <c r="I476" s="9"/>
      <c r="J476" s="39"/>
      <c r="K476" s="42"/>
      <c r="L476" s="9" t="s">
        <v>699</v>
      </c>
      <c r="M476" s="16"/>
      <c r="AA476" s="14">
        <f t="shared" si="14"/>
        <v>-386</v>
      </c>
      <c r="AB476" s="47">
        <f t="shared" si="15"/>
        <v>-387</v>
      </c>
      <c r="AD476" s="53"/>
      <c r="AE476" s="53"/>
      <c r="AF476" s="53"/>
      <c r="AG476" s="53"/>
    </row>
    <row r="477" spans="1:33" s="46" customFormat="1">
      <c r="A477" s="39">
        <v>41230</v>
      </c>
      <c r="B477" s="9" t="s">
        <v>2760</v>
      </c>
      <c r="C477" s="40">
        <v>743</v>
      </c>
      <c r="D477" s="41" t="s">
        <v>868</v>
      </c>
      <c r="E477" s="9" t="s">
        <v>18</v>
      </c>
      <c r="F477" s="9" t="s">
        <v>479</v>
      </c>
      <c r="G477" s="9"/>
      <c r="H477" s="39"/>
      <c r="I477" s="9"/>
      <c r="J477" s="39"/>
      <c r="K477" s="42"/>
      <c r="L477" s="9" t="s">
        <v>869</v>
      </c>
      <c r="M477" s="16"/>
      <c r="AA477" s="14">
        <f t="shared" si="14"/>
        <v>470</v>
      </c>
      <c r="AB477" s="47">
        <f t="shared" si="15"/>
        <v>469</v>
      </c>
      <c r="AD477" s="53"/>
      <c r="AE477" s="53"/>
      <c r="AF477" s="53"/>
      <c r="AG477" s="53"/>
    </row>
    <row r="478" spans="1:33" s="46" customFormat="1">
      <c r="A478" s="39">
        <v>41230</v>
      </c>
      <c r="B478" s="9" t="s">
        <v>2074</v>
      </c>
      <c r="C478" s="40">
        <v>449</v>
      </c>
      <c r="D478" s="41" t="s">
        <v>914</v>
      </c>
      <c r="E478" s="9" t="s">
        <v>18</v>
      </c>
      <c r="F478" s="9" t="s">
        <v>479</v>
      </c>
      <c r="G478" s="9"/>
      <c r="H478" s="39"/>
      <c r="I478" s="9"/>
      <c r="J478" s="39"/>
      <c r="K478" s="42"/>
      <c r="L478" s="9" t="s">
        <v>915</v>
      </c>
      <c r="M478" s="16"/>
      <c r="AA478" s="14">
        <f t="shared" si="14"/>
        <v>-294</v>
      </c>
      <c r="AB478" s="47">
        <f t="shared" si="15"/>
        <v>-295</v>
      </c>
      <c r="AD478" s="53"/>
      <c r="AE478" s="53"/>
      <c r="AF478" s="53"/>
      <c r="AG478" s="53"/>
    </row>
    <row r="479" spans="1:33" s="46" customFormat="1">
      <c r="A479" s="39">
        <v>41230</v>
      </c>
      <c r="B479" s="9" t="s">
        <v>1168</v>
      </c>
      <c r="C479" s="40">
        <v>207</v>
      </c>
      <c r="D479" s="41" t="s">
        <v>656</v>
      </c>
      <c r="E479" s="9" t="s">
        <v>77</v>
      </c>
      <c r="F479" s="9" t="s">
        <v>479</v>
      </c>
      <c r="G479" s="9"/>
      <c r="H479" s="39"/>
      <c r="I479" s="9"/>
      <c r="J479" s="39"/>
      <c r="K479" s="42"/>
      <c r="L479" s="9" t="s">
        <v>657</v>
      </c>
      <c r="M479" s="16"/>
      <c r="AA479" s="14">
        <f t="shared" si="14"/>
        <v>-242</v>
      </c>
      <c r="AB479" s="47">
        <f t="shared" si="15"/>
        <v>-243</v>
      </c>
      <c r="AD479" s="53"/>
      <c r="AE479" s="53"/>
      <c r="AF479" s="53"/>
      <c r="AG479" s="53"/>
    </row>
    <row r="480" spans="1:33" s="46" customFormat="1">
      <c r="A480" s="39">
        <v>41230</v>
      </c>
      <c r="B480" s="9" t="s">
        <v>1302</v>
      </c>
      <c r="C480" s="40">
        <v>286</v>
      </c>
      <c r="D480" s="41" t="s">
        <v>783</v>
      </c>
      <c r="E480" s="9" t="s">
        <v>77</v>
      </c>
      <c r="F480" s="9" t="s">
        <v>479</v>
      </c>
      <c r="G480" s="9"/>
      <c r="H480" s="39"/>
      <c r="I480" s="9"/>
      <c r="J480" s="39"/>
      <c r="K480" s="42"/>
      <c r="L480" s="9" t="s">
        <v>784</v>
      </c>
      <c r="M480" s="16"/>
      <c r="AA480" s="14">
        <f t="shared" si="14"/>
        <v>79</v>
      </c>
      <c r="AB480" s="47">
        <f t="shared" si="15"/>
        <v>78</v>
      </c>
      <c r="AD480" s="53"/>
      <c r="AE480" s="53"/>
      <c r="AF480" s="53"/>
      <c r="AG480" s="53"/>
    </row>
    <row r="481" spans="1:33" s="46" customFormat="1">
      <c r="A481" s="39">
        <v>41230</v>
      </c>
      <c r="B481" s="9" t="s">
        <v>1943</v>
      </c>
      <c r="C481" s="15">
        <v>552</v>
      </c>
      <c r="D481" s="41" t="s">
        <v>1003</v>
      </c>
      <c r="E481" s="9" t="s">
        <v>484</v>
      </c>
      <c r="F481" s="9" t="s">
        <v>479</v>
      </c>
      <c r="G481" s="9"/>
      <c r="H481" s="39"/>
      <c r="I481" s="9"/>
      <c r="J481" s="39"/>
      <c r="K481" s="42"/>
      <c r="L481" s="9" t="s">
        <v>1004</v>
      </c>
      <c r="M481" s="16"/>
      <c r="AA481" s="14">
        <f t="shared" si="14"/>
        <v>266</v>
      </c>
      <c r="AB481" s="47">
        <f t="shared" si="15"/>
        <v>265</v>
      </c>
      <c r="AD481" s="53"/>
      <c r="AE481" s="53"/>
      <c r="AF481" s="53"/>
      <c r="AG481" s="53"/>
    </row>
    <row r="482" spans="1:33" s="46" customFormat="1">
      <c r="A482" s="39">
        <v>41230</v>
      </c>
      <c r="B482" s="9" t="s">
        <v>2810</v>
      </c>
      <c r="C482" s="15">
        <v>806</v>
      </c>
      <c r="D482" s="41" t="s">
        <v>1001</v>
      </c>
      <c r="E482" s="9" t="s">
        <v>274</v>
      </c>
      <c r="F482" s="9" t="s">
        <v>479</v>
      </c>
      <c r="G482" s="9"/>
      <c r="H482" s="39"/>
      <c r="I482" s="9"/>
      <c r="J482" s="39"/>
      <c r="K482" s="42"/>
      <c r="L482" s="9" t="s">
        <v>1002</v>
      </c>
      <c r="M482" s="16"/>
      <c r="AA482" s="14">
        <f t="shared" si="14"/>
        <v>254</v>
      </c>
      <c r="AB482" s="47">
        <f t="shared" si="15"/>
        <v>253</v>
      </c>
      <c r="AD482" s="53"/>
      <c r="AE482" s="53"/>
      <c r="AF482" s="53"/>
      <c r="AG482" s="53"/>
    </row>
    <row r="483" spans="1:33" s="46" customFormat="1">
      <c r="A483" s="39">
        <v>41230</v>
      </c>
      <c r="B483" s="9" t="s">
        <v>2141</v>
      </c>
      <c r="C483" s="15">
        <v>502</v>
      </c>
      <c r="D483" s="41" t="s">
        <v>844</v>
      </c>
      <c r="E483" s="9" t="s">
        <v>18</v>
      </c>
      <c r="F483" s="9" t="s">
        <v>479</v>
      </c>
      <c r="G483" s="9"/>
      <c r="H483" s="39"/>
      <c r="I483" s="9"/>
      <c r="J483" s="39"/>
      <c r="K483" s="42"/>
      <c r="L483" s="9" t="s">
        <v>42</v>
      </c>
      <c r="M483" s="16"/>
      <c r="AA483" s="14">
        <f t="shared" si="14"/>
        <v>-304</v>
      </c>
      <c r="AB483" s="47">
        <f t="shared" si="15"/>
        <v>-305</v>
      </c>
      <c r="AD483" s="53"/>
      <c r="AE483" s="53"/>
      <c r="AF483" s="53"/>
      <c r="AG483" s="53"/>
    </row>
    <row r="484" spans="1:33" s="46" customFormat="1">
      <c r="A484" s="39">
        <v>41230</v>
      </c>
      <c r="B484" s="9" t="s">
        <v>2673</v>
      </c>
      <c r="C484" s="15">
        <v>680</v>
      </c>
      <c r="D484" s="41" t="s">
        <v>1005</v>
      </c>
      <c r="E484" s="9" t="s">
        <v>484</v>
      </c>
      <c r="F484" s="9" t="s">
        <v>479</v>
      </c>
      <c r="G484" s="9"/>
      <c r="H484" s="39"/>
      <c r="I484" s="9"/>
      <c r="J484" s="39"/>
      <c r="K484" s="42"/>
      <c r="L484" s="9" t="s">
        <v>1006</v>
      </c>
      <c r="M484" s="16"/>
      <c r="AA484" s="14">
        <f t="shared" si="14"/>
        <v>178</v>
      </c>
      <c r="AB484" s="47">
        <f t="shared" si="15"/>
        <v>177</v>
      </c>
      <c r="AD484" s="53"/>
      <c r="AE484" s="53"/>
      <c r="AF484" s="53"/>
      <c r="AG484" s="53"/>
    </row>
    <row r="485" spans="1:33" s="46" customFormat="1">
      <c r="A485" s="39">
        <v>41230</v>
      </c>
      <c r="B485" s="9" t="s">
        <v>1341</v>
      </c>
      <c r="C485" s="40">
        <v>307</v>
      </c>
      <c r="D485" s="41" t="s">
        <v>681</v>
      </c>
      <c r="E485" s="9" t="s">
        <v>77</v>
      </c>
      <c r="F485" s="9" t="s">
        <v>479</v>
      </c>
      <c r="G485" s="9"/>
      <c r="H485" s="39"/>
      <c r="I485" s="9"/>
      <c r="J485" s="39"/>
      <c r="K485" s="42"/>
      <c r="L485" s="9" t="s">
        <v>682</v>
      </c>
      <c r="M485" s="16"/>
      <c r="AA485" s="14">
        <f t="shared" si="14"/>
        <v>-373</v>
      </c>
      <c r="AB485" s="47">
        <f t="shared" si="15"/>
        <v>-374</v>
      </c>
      <c r="AD485" s="53"/>
      <c r="AE485" s="53"/>
      <c r="AF485" s="53"/>
      <c r="AG485" s="53"/>
    </row>
    <row r="486" spans="1:33" s="46" customFormat="1">
      <c r="A486" s="39">
        <v>41230</v>
      </c>
      <c r="B486" s="9" t="s">
        <v>1206</v>
      </c>
      <c r="C486" s="40">
        <v>490</v>
      </c>
      <c r="D486" s="41" t="s">
        <v>791</v>
      </c>
      <c r="E486" s="9" t="s">
        <v>80</v>
      </c>
      <c r="F486" s="9" t="s">
        <v>479</v>
      </c>
      <c r="G486" s="9"/>
      <c r="H486" s="39"/>
      <c r="I486" s="9"/>
      <c r="J486" s="39"/>
      <c r="K486" s="42"/>
      <c r="L486" s="9" t="s">
        <v>792</v>
      </c>
      <c r="M486" s="16"/>
      <c r="AA486" s="14">
        <f t="shared" si="14"/>
        <v>183</v>
      </c>
      <c r="AB486" s="47">
        <f t="shared" si="15"/>
        <v>182</v>
      </c>
      <c r="AD486" s="53"/>
      <c r="AE486" s="53"/>
      <c r="AF486" s="53"/>
      <c r="AG486" s="53"/>
    </row>
    <row r="487" spans="1:33" s="46" customFormat="1">
      <c r="A487" s="39">
        <v>41230</v>
      </c>
      <c r="B487" s="9" t="s">
        <v>1948</v>
      </c>
      <c r="C487" s="15">
        <v>546</v>
      </c>
      <c r="D487" s="41" t="s">
        <v>1009</v>
      </c>
      <c r="E487" s="9" t="s">
        <v>484</v>
      </c>
      <c r="F487" s="9" t="s">
        <v>479</v>
      </c>
      <c r="G487" s="9"/>
      <c r="H487" s="39"/>
      <c r="I487" s="9"/>
      <c r="J487" s="39"/>
      <c r="K487" s="42"/>
      <c r="L487" s="9" t="s">
        <v>1010</v>
      </c>
      <c r="M487" s="16"/>
      <c r="AA487" s="14">
        <f t="shared" si="14"/>
        <v>56</v>
      </c>
      <c r="AB487" s="47">
        <f t="shared" si="15"/>
        <v>55</v>
      </c>
      <c r="AD487" s="53"/>
      <c r="AE487" s="53"/>
      <c r="AF487" s="53"/>
      <c r="AG487" s="53"/>
    </row>
    <row r="488" spans="1:33" s="46" customFormat="1">
      <c r="A488" s="39">
        <v>41230</v>
      </c>
      <c r="B488" s="9" t="s">
        <v>1949</v>
      </c>
      <c r="C488" s="15">
        <v>547</v>
      </c>
      <c r="D488" s="41" t="s">
        <v>1007</v>
      </c>
      <c r="E488" s="9" t="s">
        <v>484</v>
      </c>
      <c r="F488" s="9" t="s">
        <v>479</v>
      </c>
      <c r="G488" s="9"/>
      <c r="H488" s="39"/>
      <c r="I488" s="9"/>
      <c r="J488" s="39"/>
      <c r="K488" s="42"/>
      <c r="L488" s="9" t="s">
        <v>1008</v>
      </c>
      <c r="M488" s="16"/>
      <c r="AA488" s="14">
        <f t="shared" si="14"/>
        <v>1</v>
      </c>
      <c r="AB488" s="47">
        <f t="shared" si="15"/>
        <v>0</v>
      </c>
      <c r="AD488" s="53"/>
      <c r="AE488" s="53"/>
      <c r="AF488" s="53"/>
      <c r="AG488" s="53"/>
    </row>
    <row r="489" spans="1:33" s="46" customFormat="1">
      <c r="A489" s="39">
        <v>41230</v>
      </c>
      <c r="B489" s="9" t="s">
        <v>1323</v>
      </c>
      <c r="C489" s="40">
        <v>272</v>
      </c>
      <c r="D489" s="41" t="s">
        <v>700</v>
      </c>
      <c r="E489" s="9" t="s">
        <v>77</v>
      </c>
      <c r="F489" s="9" t="s">
        <v>479</v>
      </c>
      <c r="G489" s="9"/>
      <c r="H489" s="39"/>
      <c r="I489" s="9"/>
      <c r="J489" s="39"/>
      <c r="K489" s="48"/>
      <c r="L489" s="9" t="s">
        <v>701</v>
      </c>
      <c r="M489" s="16" t="s">
        <v>193</v>
      </c>
      <c r="AA489" s="14">
        <f t="shared" si="14"/>
        <v>-275</v>
      </c>
      <c r="AB489" s="47">
        <f t="shared" si="15"/>
        <v>-276</v>
      </c>
      <c r="AD489" s="53"/>
      <c r="AE489" s="53"/>
      <c r="AF489" s="53"/>
      <c r="AG489" s="53"/>
    </row>
    <row r="490" spans="1:33" s="46" customFormat="1">
      <c r="A490" s="39">
        <v>41230</v>
      </c>
      <c r="B490" s="9" t="s">
        <v>1174</v>
      </c>
      <c r="C490" s="15">
        <v>217</v>
      </c>
      <c r="D490" s="41" t="s">
        <v>671</v>
      </c>
      <c r="E490" s="9" t="s">
        <v>77</v>
      </c>
      <c r="F490" s="9" t="s">
        <v>479</v>
      </c>
      <c r="G490" s="9"/>
      <c r="H490" s="39"/>
      <c r="I490" s="9"/>
      <c r="J490" s="39"/>
      <c r="K490" s="42"/>
      <c r="L490" s="9" t="s">
        <v>672</v>
      </c>
      <c r="M490" s="16"/>
      <c r="AA490" s="14">
        <f t="shared" si="14"/>
        <v>-55</v>
      </c>
      <c r="AB490" s="47">
        <f t="shared" si="15"/>
        <v>-56</v>
      </c>
      <c r="AD490" s="53"/>
      <c r="AE490" s="53"/>
      <c r="AF490" s="53"/>
      <c r="AG490" s="53"/>
    </row>
    <row r="491" spans="1:33" s="46" customFormat="1">
      <c r="A491" s="39">
        <v>41230</v>
      </c>
      <c r="B491" s="9"/>
      <c r="C491" s="15"/>
      <c r="D491" s="41" t="s">
        <v>1011</v>
      </c>
      <c r="E491" s="9" t="s">
        <v>51</v>
      </c>
      <c r="F491" s="9" t="s">
        <v>935</v>
      </c>
      <c r="G491" s="9"/>
      <c r="H491" s="39"/>
      <c r="I491" s="9"/>
      <c r="J491" s="39"/>
      <c r="K491" s="42"/>
      <c r="L491" s="9" t="s">
        <v>1012</v>
      </c>
      <c r="M491" s="16"/>
      <c r="AA491" s="14">
        <f t="shared" ref="AA491:AA554" si="16">C491-C490</f>
        <v>-217</v>
      </c>
      <c r="AB491" s="47">
        <f t="shared" ref="AB491:AB554" si="17">AA491-1</f>
        <v>-218</v>
      </c>
      <c r="AD491" s="53"/>
      <c r="AE491" s="53"/>
      <c r="AF491" s="53"/>
      <c r="AG491" s="53"/>
    </row>
    <row r="492" spans="1:33" s="46" customFormat="1" ht="12" customHeight="1">
      <c r="A492" s="39">
        <v>41232</v>
      </c>
      <c r="B492" s="9" t="s">
        <v>2611</v>
      </c>
      <c r="C492" s="15"/>
      <c r="D492" s="41" t="s">
        <v>1286</v>
      </c>
      <c r="E492" s="9" t="s">
        <v>277</v>
      </c>
      <c r="F492" s="9" t="s">
        <v>935</v>
      </c>
      <c r="G492" s="9"/>
      <c r="H492" s="39"/>
      <c r="I492" s="9"/>
      <c r="J492" s="39"/>
      <c r="K492" s="42"/>
      <c r="L492" s="9" t="s">
        <v>1287</v>
      </c>
      <c r="M492" s="16"/>
      <c r="AA492" s="14">
        <f t="shared" si="16"/>
        <v>0</v>
      </c>
      <c r="AB492" s="47">
        <f t="shared" si="17"/>
        <v>-1</v>
      </c>
      <c r="AD492" s="53"/>
      <c r="AE492" s="53"/>
      <c r="AF492" s="53"/>
      <c r="AG492" s="53"/>
    </row>
    <row r="493" spans="1:33" s="46" customFormat="1" ht="12" customHeight="1">
      <c r="A493" s="39">
        <v>41232</v>
      </c>
      <c r="B493" s="9" t="s">
        <v>2054</v>
      </c>
      <c r="C493" s="15">
        <v>420</v>
      </c>
      <c r="D493" s="41" t="s">
        <v>1253</v>
      </c>
      <c r="E493" s="9" t="s">
        <v>1208</v>
      </c>
      <c r="F493" s="9" t="s">
        <v>479</v>
      </c>
      <c r="G493" s="9"/>
      <c r="H493" s="39"/>
      <c r="I493" s="9"/>
      <c r="J493" s="39"/>
      <c r="K493" s="42"/>
      <c r="L493" s="9" t="s">
        <v>1254</v>
      </c>
      <c r="M493" s="16"/>
      <c r="AA493" s="14">
        <f t="shared" si="16"/>
        <v>420</v>
      </c>
      <c r="AB493" s="47">
        <f t="shared" si="17"/>
        <v>419</v>
      </c>
      <c r="AD493" s="53"/>
      <c r="AE493" s="53"/>
      <c r="AF493" s="53"/>
      <c r="AG493" s="53"/>
    </row>
    <row r="494" spans="1:33" s="46" customFormat="1" ht="12" customHeight="1">
      <c r="A494" s="39">
        <v>41232</v>
      </c>
      <c r="B494" s="102" t="s">
        <v>2169</v>
      </c>
      <c r="C494" s="15">
        <v>329</v>
      </c>
      <c r="D494" s="41" t="s">
        <v>1221</v>
      </c>
      <c r="E494" s="9" t="s">
        <v>1208</v>
      </c>
      <c r="F494" s="9" t="s">
        <v>479</v>
      </c>
      <c r="G494" s="9"/>
      <c r="H494" s="39"/>
      <c r="I494" s="9"/>
      <c r="J494" s="39"/>
      <c r="K494" s="42"/>
      <c r="L494" s="9" t="s">
        <v>1222</v>
      </c>
      <c r="M494" s="16"/>
      <c r="AA494" s="14">
        <f t="shared" si="16"/>
        <v>-91</v>
      </c>
      <c r="AB494" s="47">
        <f t="shared" si="17"/>
        <v>-92</v>
      </c>
      <c r="AD494" s="53"/>
      <c r="AE494" s="53"/>
      <c r="AF494" s="53"/>
      <c r="AG494" s="53"/>
    </row>
    <row r="495" spans="1:33" s="46" customFormat="1" ht="12" customHeight="1">
      <c r="A495" s="39">
        <v>41232</v>
      </c>
      <c r="B495" s="9" t="s">
        <v>2111</v>
      </c>
      <c r="C495" s="15">
        <v>448</v>
      </c>
      <c r="D495" s="41" t="s">
        <v>1237</v>
      </c>
      <c r="E495" s="9" t="s">
        <v>1208</v>
      </c>
      <c r="F495" s="9" t="s">
        <v>479</v>
      </c>
      <c r="G495" s="9"/>
      <c r="H495" s="39"/>
      <c r="I495" s="9"/>
      <c r="J495" s="39"/>
      <c r="K495" s="42"/>
      <c r="L495" s="9" t="s">
        <v>1238</v>
      </c>
      <c r="M495" s="16" t="s">
        <v>191</v>
      </c>
      <c r="AA495" s="14">
        <f t="shared" si="16"/>
        <v>119</v>
      </c>
      <c r="AB495" s="47">
        <f t="shared" si="17"/>
        <v>118</v>
      </c>
      <c r="AD495" s="53"/>
      <c r="AE495" s="53"/>
      <c r="AF495" s="53"/>
      <c r="AG495" s="53"/>
    </row>
    <row r="496" spans="1:33" s="46" customFormat="1" ht="12" customHeight="1">
      <c r="A496" s="39">
        <v>41232</v>
      </c>
      <c r="B496" s="102" t="s">
        <v>2170</v>
      </c>
      <c r="C496" s="15">
        <v>330</v>
      </c>
      <c r="D496" s="41" t="s">
        <v>1225</v>
      </c>
      <c r="E496" s="9" t="s">
        <v>1208</v>
      </c>
      <c r="F496" s="9" t="s">
        <v>479</v>
      </c>
      <c r="G496" s="9"/>
      <c r="H496" s="39"/>
      <c r="I496" s="9"/>
      <c r="J496" s="39"/>
      <c r="K496" s="42"/>
      <c r="L496" s="9" t="s">
        <v>1226</v>
      </c>
      <c r="M496" s="16"/>
      <c r="AA496" s="14">
        <f t="shared" si="16"/>
        <v>-118</v>
      </c>
      <c r="AB496" s="47">
        <f t="shared" si="17"/>
        <v>-119</v>
      </c>
      <c r="AD496" s="53"/>
      <c r="AE496" s="53"/>
      <c r="AF496" s="53"/>
      <c r="AG496" s="53"/>
    </row>
    <row r="497" spans="1:33" s="46" customFormat="1" ht="12" customHeight="1">
      <c r="A497" s="39">
        <v>41232</v>
      </c>
      <c r="B497" s="9" t="s">
        <v>2251</v>
      </c>
      <c r="C497" s="15">
        <v>642</v>
      </c>
      <c r="D497" s="41" t="s">
        <v>2355</v>
      </c>
      <c r="E497" s="9" t="s">
        <v>22</v>
      </c>
      <c r="F497" s="9" t="s">
        <v>479</v>
      </c>
      <c r="G497" s="9"/>
      <c r="H497" s="39"/>
      <c r="I497" s="9"/>
      <c r="J497" s="39"/>
      <c r="K497" s="42"/>
      <c r="L497" s="9" t="s">
        <v>1279</v>
      </c>
      <c r="M497" s="16"/>
      <c r="AA497" s="14">
        <f t="shared" si="16"/>
        <v>312</v>
      </c>
      <c r="AB497" s="47">
        <f t="shared" si="17"/>
        <v>311</v>
      </c>
      <c r="AD497" s="53"/>
      <c r="AE497" s="53"/>
      <c r="AF497" s="53"/>
      <c r="AG497" s="53"/>
    </row>
    <row r="498" spans="1:33" s="46" customFormat="1" ht="12" customHeight="1">
      <c r="A498" s="77">
        <v>41232</v>
      </c>
      <c r="B498" s="78" t="s">
        <v>2261</v>
      </c>
      <c r="C498" s="79">
        <v>651</v>
      </c>
      <c r="D498" s="80" t="s">
        <v>1263</v>
      </c>
      <c r="E498" s="78" t="s">
        <v>1208</v>
      </c>
      <c r="F498" s="78" t="s">
        <v>479</v>
      </c>
      <c r="G498" s="78"/>
      <c r="H498" s="77"/>
      <c r="I498" s="78"/>
      <c r="J498" s="77"/>
      <c r="K498" s="81"/>
      <c r="L498" s="78" t="s">
        <v>1266</v>
      </c>
      <c r="M498" s="16"/>
      <c r="AA498" s="14">
        <f t="shared" si="16"/>
        <v>9</v>
      </c>
      <c r="AB498" s="47">
        <f t="shared" si="17"/>
        <v>8</v>
      </c>
      <c r="AD498" s="53"/>
      <c r="AE498" s="53"/>
      <c r="AF498" s="53"/>
      <c r="AG498" s="53"/>
    </row>
    <row r="499" spans="1:33" s="46" customFormat="1" ht="12" customHeight="1">
      <c r="A499" s="39">
        <v>41232</v>
      </c>
      <c r="B499" s="9"/>
      <c r="C499" s="15"/>
      <c r="D499" s="41" t="s">
        <v>1216</v>
      </c>
      <c r="E499" s="9" t="s">
        <v>1208</v>
      </c>
      <c r="F499" s="9" t="s">
        <v>479</v>
      </c>
      <c r="G499" s="9"/>
      <c r="H499" s="39"/>
      <c r="I499" s="9"/>
      <c r="J499" s="39"/>
      <c r="K499" s="42"/>
      <c r="L499" s="9"/>
      <c r="M499" s="16"/>
      <c r="AA499" s="14">
        <f t="shared" si="16"/>
        <v>-651</v>
      </c>
      <c r="AB499" s="47">
        <f t="shared" si="17"/>
        <v>-652</v>
      </c>
      <c r="AD499" s="53"/>
      <c r="AE499" s="53"/>
      <c r="AF499" s="53"/>
      <c r="AG499" s="53"/>
    </row>
    <row r="500" spans="1:33" s="46" customFormat="1" ht="12" customHeight="1">
      <c r="A500" s="39">
        <v>41232</v>
      </c>
      <c r="B500" s="9"/>
      <c r="C500" s="15"/>
      <c r="D500" s="41" t="s">
        <v>1251</v>
      </c>
      <c r="E500" s="9" t="s">
        <v>1208</v>
      </c>
      <c r="F500" s="9" t="s">
        <v>935</v>
      </c>
      <c r="G500" s="9"/>
      <c r="H500" s="39"/>
      <c r="I500" s="9"/>
      <c r="J500" s="39"/>
      <c r="K500" s="42"/>
      <c r="L500" s="9" t="s">
        <v>1252</v>
      </c>
      <c r="M500" s="16"/>
      <c r="AA500" s="14">
        <f t="shared" si="16"/>
        <v>0</v>
      </c>
      <c r="AB500" s="47">
        <f t="shared" si="17"/>
        <v>-1</v>
      </c>
      <c r="AD500" s="53"/>
      <c r="AE500" s="53"/>
      <c r="AF500" s="53"/>
      <c r="AG500" s="53"/>
    </row>
    <row r="501" spans="1:33" s="46" customFormat="1" ht="12" customHeight="1">
      <c r="A501" s="39">
        <v>41232</v>
      </c>
      <c r="B501" s="9"/>
      <c r="C501" s="15"/>
      <c r="D501" s="41" t="s">
        <v>1277</v>
      </c>
      <c r="E501" s="9" t="s">
        <v>18</v>
      </c>
      <c r="F501" s="9" t="s">
        <v>935</v>
      </c>
      <c r="G501" s="9"/>
      <c r="H501" s="39"/>
      <c r="I501" s="9"/>
      <c r="J501" s="39"/>
      <c r="K501" s="42"/>
      <c r="L501" s="9" t="s">
        <v>1278</v>
      </c>
      <c r="M501" s="16" t="s">
        <v>71</v>
      </c>
      <c r="AA501" s="14">
        <f t="shared" si="16"/>
        <v>0</v>
      </c>
      <c r="AB501" s="47">
        <f t="shared" si="17"/>
        <v>-1</v>
      </c>
      <c r="AD501" s="53"/>
      <c r="AE501" s="53"/>
      <c r="AF501" s="53"/>
      <c r="AG501" s="53"/>
    </row>
    <row r="502" spans="1:33" s="46" customFormat="1" ht="12" customHeight="1">
      <c r="A502" s="39">
        <v>41232</v>
      </c>
      <c r="B502" s="9" t="s">
        <v>2644</v>
      </c>
      <c r="C502" s="15">
        <v>789</v>
      </c>
      <c r="D502" s="41" t="s">
        <v>1283</v>
      </c>
      <c r="E502" s="9" t="s">
        <v>277</v>
      </c>
      <c r="F502" s="9" t="s">
        <v>479</v>
      </c>
      <c r="G502" s="9"/>
      <c r="H502" s="39"/>
      <c r="I502" s="9"/>
      <c r="J502" s="39"/>
      <c r="K502" s="42"/>
      <c r="L502" s="9" t="s">
        <v>1284</v>
      </c>
      <c r="M502" s="16" t="s">
        <v>71</v>
      </c>
      <c r="AA502" s="14">
        <f t="shared" si="16"/>
        <v>789</v>
      </c>
      <c r="AB502" s="47">
        <f t="shared" si="17"/>
        <v>788</v>
      </c>
      <c r="AD502" s="53"/>
      <c r="AE502" s="53"/>
      <c r="AF502" s="53"/>
      <c r="AG502" s="53"/>
    </row>
    <row r="503" spans="1:33" s="46" customFormat="1" ht="12" customHeight="1">
      <c r="A503" s="39">
        <v>41232</v>
      </c>
      <c r="B503" s="102" t="s">
        <v>2168</v>
      </c>
      <c r="C503" s="15">
        <v>327</v>
      </c>
      <c r="D503" s="41" t="s">
        <v>1280</v>
      </c>
      <c r="E503" s="9" t="s">
        <v>802</v>
      </c>
      <c r="F503" s="9" t="s">
        <v>479</v>
      </c>
      <c r="G503" s="9"/>
      <c r="H503" s="39"/>
      <c r="I503" s="9"/>
      <c r="J503" s="39"/>
      <c r="K503" s="42"/>
      <c r="L503" s="9" t="s">
        <v>1281</v>
      </c>
      <c r="M503" s="16"/>
      <c r="AA503" s="14">
        <f t="shared" si="16"/>
        <v>-462</v>
      </c>
      <c r="AB503" s="47">
        <f t="shared" si="17"/>
        <v>-463</v>
      </c>
      <c r="AD503" s="53"/>
      <c r="AE503" s="53"/>
      <c r="AF503" s="53"/>
      <c r="AG503" s="53"/>
    </row>
    <row r="504" spans="1:33" s="46" customFormat="1" ht="12" customHeight="1">
      <c r="A504" s="39">
        <v>41232</v>
      </c>
      <c r="B504" s="9" t="s">
        <v>2826</v>
      </c>
      <c r="C504" s="15">
        <v>776</v>
      </c>
      <c r="D504" s="41" t="s">
        <v>1272</v>
      </c>
      <c r="E504" s="9" t="s">
        <v>484</v>
      </c>
      <c r="F504" s="9" t="s">
        <v>479</v>
      </c>
      <c r="G504" s="9"/>
      <c r="H504" s="39"/>
      <c r="I504" s="9"/>
      <c r="J504" s="39"/>
      <c r="K504" s="42"/>
      <c r="L504" s="9" t="s">
        <v>1273</v>
      </c>
      <c r="M504" s="16"/>
      <c r="AA504" s="14">
        <f t="shared" si="16"/>
        <v>449</v>
      </c>
      <c r="AB504" s="47">
        <f t="shared" si="17"/>
        <v>448</v>
      </c>
      <c r="AD504" s="53"/>
      <c r="AE504" s="53"/>
      <c r="AF504" s="53"/>
      <c r="AG504" s="53"/>
    </row>
    <row r="505" spans="1:33" s="46" customFormat="1" ht="12" customHeight="1">
      <c r="A505" s="39">
        <v>41232</v>
      </c>
      <c r="B505" s="9" t="s">
        <v>2106</v>
      </c>
      <c r="C505" s="15">
        <v>436</v>
      </c>
      <c r="D505" s="41" t="s">
        <v>1294</v>
      </c>
      <c r="E505" s="9" t="s">
        <v>96</v>
      </c>
      <c r="F505" s="9" t="s">
        <v>479</v>
      </c>
      <c r="G505" s="9"/>
      <c r="H505" s="39"/>
      <c r="I505" s="9"/>
      <c r="J505" s="39"/>
      <c r="K505" s="42"/>
      <c r="L505" s="9" t="s">
        <v>1295</v>
      </c>
      <c r="M505" s="16"/>
      <c r="AA505" s="14">
        <f t="shared" si="16"/>
        <v>-340</v>
      </c>
      <c r="AB505" s="47">
        <f t="shared" si="17"/>
        <v>-341</v>
      </c>
      <c r="AD505" s="53"/>
      <c r="AE505" s="53"/>
      <c r="AF505" s="53"/>
      <c r="AG505" s="53"/>
    </row>
    <row r="506" spans="1:33" s="46" customFormat="1" ht="12" customHeight="1">
      <c r="A506" s="39">
        <v>41232</v>
      </c>
      <c r="B506" s="9" t="s">
        <v>2110</v>
      </c>
      <c r="C506" s="15">
        <v>444</v>
      </c>
      <c r="D506" s="41" t="s">
        <v>1239</v>
      </c>
      <c r="E506" s="9" t="s">
        <v>1208</v>
      </c>
      <c r="F506" s="9" t="s">
        <v>479</v>
      </c>
      <c r="G506" s="9"/>
      <c r="H506" s="39"/>
      <c r="I506" s="9"/>
      <c r="J506" s="39"/>
      <c r="K506" s="42"/>
      <c r="L506" s="9" t="s">
        <v>1240</v>
      </c>
      <c r="M506" s="16"/>
      <c r="AA506" s="14">
        <f t="shared" si="16"/>
        <v>8</v>
      </c>
      <c r="AB506" s="47">
        <f t="shared" si="17"/>
        <v>7</v>
      </c>
      <c r="AD506" s="53"/>
      <c r="AE506" s="53"/>
      <c r="AF506" s="53"/>
      <c r="AG506" s="53"/>
    </row>
    <row r="507" spans="1:33" s="46" customFormat="1">
      <c r="A507" s="39">
        <v>41232</v>
      </c>
      <c r="B507" s="9" t="s">
        <v>2038</v>
      </c>
      <c r="C507" s="15">
        <v>398</v>
      </c>
      <c r="D507" s="80" t="s">
        <v>1267</v>
      </c>
      <c r="E507" s="9" t="s">
        <v>277</v>
      </c>
      <c r="F507" s="9" t="s">
        <v>479</v>
      </c>
      <c r="G507" s="9"/>
      <c r="H507" s="39"/>
      <c r="I507" s="9"/>
      <c r="J507" s="39"/>
      <c r="K507" s="42"/>
      <c r="L507" s="9" t="s">
        <v>1288</v>
      </c>
      <c r="M507" s="16"/>
      <c r="AA507" s="14">
        <f t="shared" si="16"/>
        <v>-46</v>
      </c>
      <c r="AB507" s="47">
        <f t="shared" si="17"/>
        <v>-47</v>
      </c>
      <c r="AD507" s="53"/>
      <c r="AE507" s="53"/>
      <c r="AF507" s="53"/>
      <c r="AG507" s="53"/>
    </row>
    <row r="508" spans="1:33" s="46" customFormat="1">
      <c r="A508" s="39">
        <v>41232</v>
      </c>
      <c r="B508" s="9" t="s">
        <v>2058</v>
      </c>
      <c r="C508" s="15">
        <v>424</v>
      </c>
      <c r="D508" s="80" t="s">
        <v>1267</v>
      </c>
      <c r="E508" s="9" t="s">
        <v>1208</v>
      </c>
      <c r="F508" s="9" t="s">
        <v>479</v>
      </c>
      <c r="G508" s="9"/>
      <c r="H508" s="39"/>
      <c r="I508" s="9"/>
      <c r="J508" s="39"/>
      <c r="K508" s="42"/>
      <c r="L508" s="9" t="s">
        <v>1268</v>
      </c>
      <c r="M508" s="16"/>
      <c r="AA508" s="14">
        <f t="shared" si="16"/>
        <v>26</v>
      </c>
      <c r="AB508" s="47">
        <f t="shared" si="17"/>
        <v>25</v>
      </c>
      <c r="AD508" s="53"/>
      <c r="AE508" s="53"/>
      <c r="AF508" s="53"/>
      <c r="AG508" s="53"/>
    </row>
    <row r="509" spans="1:33" s="46" customFormat="1">
      <c r="A509" s="39">
        <v>41232</v>
      </c>
      <c r="B509" s="9" t="s">
        <v>2063</v>
      </c>
      <c r="C509" s="15">
        <v>430</v>
      </c>
      <c r="D509" s="41" t="s">
        <v>1229</v>
      </c>
      <c r="E509" s="9" t="s">
        <v>1208</v>
      </c>
      <c r="F509" s="9" t="s">
        <v>479</v>
      </c>
      <c r="G509" s="9"/>
      <c r="H509" s="39"/>
      <c r="I509" s="9"/>
      <c r="J509" s="39"/>
      <c r="K509" s="42"/>
      <c r="L509" s="9" t="s">
        <v>1230</v>
      </c>
      <c r="M509" s="16"/>
      <c r="AA509" s="14">
        <f t="shared" si="16"/>
        <v>6</v>
      </c>
      <c r="AB509" s="47">
        <f t="shared" si="17"/>
        <v>5</v>
      </c>
      <c r="AD509" s="53"/>
      <c r="AE509" s="53"/>
      <c r="AF509" s="53"/>
      <c r="AG509" s="53"/>
    </row>
    <row r="510" spans="1:33" s="46" customFormat="1">
      <c r="A510" s="39">
        <v>41232</v>
      </c>
      <c r="B510" s="9" t="s">
        <v>2766</v>
      </c>
      <c r="C510" s="15">
        <v>707</v>
      </c>
      <c r="D510" s="41" t="s">
        <v>1282</v>
      </c>
      <c r="E510" s="9" t="s">
        <v>1208</v>
      </c>
      <c r="F510" s="9" t="s">
        <v>479</v>
      </c>
      <c r="G510" s="9"/>
      <c r="H510" s="39"/>
      <c r="I510" s="9"/>
      <c r="J510" s="39"/>
      <c r="K510" s="42"/>
      <c r="L510" s="9"/>
      <c r="M510" s="16"/>
      <c r="AA510" s="14">
        <f t="shared" si="16"/>
        <v>277</v>
      </c>
      <c r="AB510" s="47">
        <f t="shared" si="17"/>
        <v>276</v>
      </c>
      <c r="AD510" s="53"/>
      <c r="AE510" s="53"/>
      <c r="AF510" s="53"/>
      <c r="AG510" s="53"/>
    </row>
    <row r="511" spans="1:33" s="46" customFormat="1">
      <c r="A511" s="39">
        <v>41232</v>
      </c>
      <c r="B511" s="9" t="s">
        <v>2035</v>
      </c>
      <c r="C511" s="15">
        <v>395</v>
      </c>
      <c r="D511" s="41" t="s">
        <v>1227</v>
      </c>
      <c r="E511" s="9" t="s">
        <v>1208</v>
      </c>
      <c r="F511" s="9" t="s">
        <v>479</v>
      </c>
      <c r="G511" s="9"/>
      <c r="H511" s="39"/>
      <c r="I511" s="9"/>
      <c r="J511" s="39"/>
      <c r="K511" s="42"/>
      <c r="L511" s="9" t="s">
        <v>1228</v>
      </c>
      <c r="M511" s="16"/>
      <c r="AA511" s="14">
        <f t="shared" si="16"/>
        <v>-312</v>
      </c>
      <c r="AB511" s="47">
        <f t="shared" si="17"/>
        <v>-313</v>
      </c>
      <c r="AD511" s="53"/>
      <c r="AE511" s="53"/>
      <c r="AF511" s="53"/>
      <c r="AG511" s="53"/>
    </row>
    <row r="512" spans="1:33" s="46" customFormat="1">
      <c r="A512" s="39">
        <v>41232</v>
      </c>
      <c r="B512" s="9" t="s">
        <v>2112</v>
      </c>
      <c r="C512" s="15">
        <v>452</v>
      </c>
      <c r="D512" s="41" t="s">
        <v>1235</v>
      </c>
      <c r="E512" s="9" t="s">
        <v>1208</v>
      </c>
      <c r="F512" s="9" t="s">
        <v>479</v>
      </c>
      <c r="G512" s="9"/>
      <c r="H512" s="39"/>
      <c r="I512" s="9"/>
      <c r="J512" s="39"/>
      <c r="K512" s="42"/>
      <c r="L512" s="9" t="s">
        <v>1236</v>
      </c>
      <c r="M512" s="16"/>
      <c r="AA512" s="14">
        <f t="shared" si="16"/>
        <v>57</v>
      </c>
      <c r="AB512" s="47">
        <f t="shared" si="17"/>
        <v>56</v>
      </c>
      <c r="AD512" s="53"/>
      <c r="AE512" s="53"/>
      <c r="AF512" s="53"/>
      <c r="AG512" s="53"/>
    </row>
    <row r="513" spans="1:33" s="46" customFormat="1">
      <c r="A513" s="39">
        <v>41232</v>
      </c>
      <c r="B513" s="9" t="s">
        <v>2044</v>
      </c>
      <c r="C513" s="15">
        <v>409</v>
      </c>
      <c r="D513" s="41" t="s">
        <v>1291</v>
      </c>
      <c r="E513" s="9" t="s">
        <v>31</v>
      </c>
      <c r="F513" s="9" t="s">
        <v>479</v>
      </c>
      <c r="G513" s="9"/>
      <c r="H513" s="39"/>
      <c r="I513" s="9"/>
      <c r="J513" s="39"/>
      <c r="K513" s="42"/>
      <c r="L513" s="9" t="s">
        <v>2045</v>
      </c>
      <c r="M513" s="16"/>
      <c r="AA513" s="14">
        <f t="shared" si="16"/>
        <v>-43</v>
      </c>
      <c r="AB513" s="47">
        <f t="shared" si="17"/>
        <v>-44</v>
      </c>
      <c r="AD513" s="53"/>
      <c r="AE513" s="53"/>
      <c r="AF513" s="53"/>
      <c r="AG513" s="53"/>
    </row>
    <row r="514" spans="1:33" s="46" customFormat="1" ht="12" customHeight="1">
      <c r="A514" s="39">
        <v>41232</v>
      </c>
      <c r="B514" s="102" t="s">
        <v>2163</v>
      </c>
      <c r="C514" s="15">
        <v>322</v>
      </c>
      <c r="D514" s="41" t="s">
        <v>1289</v>
      </c>
      <c r="E514" s="9" t="s">
        <v>31</v>
      </c>
      <c r="F514" s="9" t="s">
        <v>479</v>
      </c>
      <c r="G514" s="9"/>
      <c r="H514" s="39"/>
      <c r="I514" s="9"/>
      <c r="J514" s="39"/>
      <c r="K514" s="42"/>
      <c r="L514" s="9" t="s">
        <v>1290</v>
      </c>
      <c r="M514" s="16"/>
      <c r="AA514" s="14">
        <f t="shared" si="16"/>
        <v>-87</v>
      </c>
      <c r="AB514" s="47">
        <f t="shared" si="17"/>
        <v>-88</v>
      </c>
      <c r="AD514" s="53"/>
      <c r="AE514" s="53"/>
      <c r="AF514" s="53"/>
      <c r="AG514" s="53"/>
    </row>
    <row r="515" spans="1:33" s="46" customFormat="1">
      <c r="A515" s="39">
        <v>41232</v>
      </c>
      <c r="B515" s="9" t="s">
        <v>2924</v>
      </c>
      <c r="C515" s="15">
        <v>957</v>
      </c>
      <c r="D515" s="41" t="s">
        <v>1211</v>
      </c>
      <c r="E515" s="9" t="s">
        <v>1208</v>
      </c>
      <c r="F515" s="9" t="s">
        <v>935</v>
      </c>
      <c r="G515" s="9"/>
      <c r="H515" s="39"/>
      <c r="I515" s="9"/>
      <c r="J515" s="39"/>
      <c r="K515" s="42"/>
      <c r="L515" s="9" t="s">
        <v>1212</v>
      </c>
      <c r="M515" s="16" t="s">
        <v>193</v>
      </c>
      <c r="AA515" s="14">
        <f t="shared" si="16"/>
        <v>635</v>
      </c>
      <c r="AB515" s="47">
        <f t="shared" si="17"/>
        <v>634</v>
      </c>
      <c r="AD515" s="53"/>
      <c r="AE515" s="53"/>
      <c r="AF515" s="53"/>
      <c r="AG515" s="53"/>
    </row>
    <row r="516" spans="1:33" s="46" customFormat="1" ht="12" customHeight="1">
      <c r="A516" s="39">
        <v>41232</v>
      </c>
      <c r="B516" s="102" t="s">
        <v>2161</v>
      </c>
      <c r="C516" s="15">
        <v>320</v>
      </c>
      <c r="D516" s="41" t="s">
        <v>1241</v>
      </c>
      <c r="E516" s="9" t="s">
        <v>1208</v>
      </c>
      <c r="F516" s="9" t="s">
        <v>479</v>
      </c>
      <c r="G516" s="9"/>
      <c r="H516" s="39"/>
      <c r="I516" s="9"/>
      <c r="J516" s="39"/>
      <c r="K516" s="42"/>
      <c r="L516" s="9" t="s">
        <v>1242</v>
      </c>
      <c r="M516" s="16"/>
      <c r="AA516" s="14">
        <f t="shared" si="16"/>
        <v>-637</v>
      </c>
      <c r="AB516" s="47">
        <f t="shared" si="17"/>
        <v>-638</v>
      </c>
      <c r="AD516" s="53"/>
      <c r="AE516" s="53"/>
      <c r="AF516" s="53"/>
      <c r="AG516" s="53"/>
    </row>
    <row r="517" spans="1:33" s="46" customFormat="1">
      <c r="A517" s="39">
        <v>41232</v>
      </c>
      <c r="B517" s="9" t="s">
        <v>2055</v>
      </c>
      <c r="C517" s="15">
        <v>421</v>
      </c>
      <c r="D517" s="41" t="s">
        <v>1255</v>
      </c>
      <c r="E517" s="9" t="s">
        <v>1208</v>
      </c>
      <c r="F517" s="9" t="s">
        <v>479</v>
      </c>
      <c r="G517" s="9"/>
      <c r="H517" s="39"/>
      <c r="I517" s="9"/>
      <c r="J517" s="39"/>
      <c r="K517" s="42"/>
      <c r="L517" s="9" t="s">
        <v>1256</v>
      </c>
      <c r="M517" s="16"/>
      <c r="AA517" s="14">
        <f t="shared" si="16"/>
        <v>101</v>
      </c>
      <c r="AB517" s="47">
        <f t="shared" si="17"/>
        <v>100</v>
      </c>
      <c r="AD517" s="53"/>
      <c r="AE517" s="53"/>
      <c r="AF517" s="53"/>
      <c r="AG517" s="53"/>
    </row>
    <row r="518" spans="1:33" s="46" customFormat="1" ht="12" customHeight="1">
      <c r="A518" s="39">
        <v>41232</v>
      </c>
      <c r="B518" s="102" t="s">
        <v>2162</v>
      </c>
      <c r="C518" s="15">
        <v>321</v>
      </c>
      <c r="D518" s="41" t="s">
        <v>1231</v>
      </c>
      <c r="E518" s="9" t="s">
        <v>1208</v>
      </c>
      <c r="F518" s="9" t="s">
        <v>479</v>
      </c>
      <c r="G518" s="9"/>
      <c r="H518" s="39"/>
      <c r="I518" s="9"/>
      <c r="J518" s="39"/>
      <c r="K518" s="42"/>
      <c r="L518" s="9"/>
      <c r="M518" s="16"/>
      <c r="AA518" s="14">
        <f t="shared" si="16"/>
        <v>-100</v>
      </c>
      <c r="AB518" s="47">
        <f t="shared" si="17"/>
        <v>-101</v>
      </c>
      <c r="AD518" s="53"/>
      <c r="AE518" s="53"/>
      <c r="AF518" s="53"/>
      <c r="AG518" s="53"/>
    </row>
    <row r="519" spans="1:33" s="46" customFormat="1">
      <c r="A519" s="39">
        <v>41232</v>
      </c>
      <c r="B519" s="9"/>
      <c r="C519" s="15"/>
      <c r="D519" s="41" t="s">
        <v>2568</v>
      </c>
      <c r="E519" s="9" t="s">
        <v>300</v>
      </c>
      <c r="F519" s="9" t="s">
        <v>935</v>
      </c>
      <c r="G519" s="9"/>
      <c r="H519" s="39"/>
      <c r="I519" s="9"/>
      <c r="J519" s="39"/>
      <c r="K519" s="42"/>
      <c r="L519" s="9" t="s">
        <v>1285</v>
      </c>
      <c r="M519" s="16" t="s">
        <v>193</v>
      </c>
      <c r="AA519" s="14">
        <f t="shared" si="16"/>
        <v>-321</v>
      </c>
      <c r="AB519" s="47">
        <f t="shared" si="17"/>
        <v>-322</v>
      </c>
      <c r="AD519" s="53"/>
      <c r="AE519" s="53"/>
      <c r="AF519" s="53"/>
      <c r="AG519" s="53"/>
    </row>
    <row r="520" spans="1:33" s="46" customFormat="1" ht="12" customHeight="1">
      <c r="A520" s="39">
        <v>41232</v>
      </c>
      <c r="B520" s="102" t="s">
        <v>2173</v>
      </c>
      <c r="C520" s="15">
        <v>333</v>
      </c>
      <c r="D520" s="41" t="s">
        <v>1215</v>
      </c>
      <c r="E520" s="9" t="s">
        <v>326</v>
      </c>
      <c r="F520" s="9" t="s">
        <v>479</v>
      </c>
      <c r="G520" s="9"/>
      <c r="H520" s="39"/>
      <c r="I520" s="9"/>
      <c r="J520" s="39"/>
      <c r="K520" s="42"/>
      <c r="L520" s="9"/>
      <c r="M520" s="16"/>
      <c r="AA520" s="14">
        <f t="shared" si="16"/>
        <v>333</v>
      </c>
      <c r="AB520" s="47">
        <f t="shared" si="17"/>
        <v>332</v>
      </c>
      <c r="AD520" s="53"/>
      <c r="AE520" s="53"/>
      <c r="AF520" s="53"/>
      <c r="AG520" s="53"/>
    </row>
    <row r="521" spans="1:33" s="46" customFormat="1" ht="12" customHeight="1">
      <c r="A521" s="39">
        <v>41232</v>
      </c>
      <c r="B521" s="102" t="s">
        <v>2171</v>
      </c>
      <c r="C521" s="15">
        <v>331</v>
      </c>
      <c r="D521" s="41" t="s">
        <v>1219</v>
      </c>
      <c r="E521" s="9" t="s">
        <v>1208</v>
      </c>
      <c r="F521" s="9" t="s">
        <v>479</v>
      </c>
      <c r="G521" s="9"/>
      <c r="H521" s="39"/>
      <c r="I521" s="9"/>
      <c r="J521" s="39"/>
      <c r="K521" s="42"/>
      <c r="L521" s="9" t="s">
        <v>1220</v>
      </c>
      <c r="M521" s="16"/>
      <c r="AA521" s="14">
        <f t="shared" si="16"/>
        <v>-2</v>
      </c>
      <c r="AB521" s="47">
        <f t="shared" si="17"/>
        <v>-3</v>
      </c>
      <c r="AD521" s="53"/>
      <c r="AE521" s="53"/>
      <c r="AF521" s="53"/>
      <c r="AG521" s="53"/>
    </row>
    <row r="522" spans="1:33" s="46" customFormat="1">
      <c r="A522" s="39">
        <v>41232</v>
      </c>
      <c r="B522" s="9"/>
      <c r="C522" s="15"/>
      <c r="D522" s="41" t="s">
        <v>1207</v>
      </c>
      <c r="E522" s="9" t="s">
        <v>1208</v>
      </c>
      <c r="F522" s="9" t="s">
        <v>935</v>
      </c>
      <c r="G522" s="9"/>
      <c r="H522" s="39"/>
      <c r="I522" s="9"/>
      <c r="J522" s="39"/>
      <c r="K522" s="42"/>
      <c r="L522" s="9" t="s">
        <v>1209</v>
      </c>
      <c r="M522" s="16"/>
      <c r="AA522" s="14">
        <f t="shared" si="16"/>
        <v>-331</v>
      </c>
      <c r="AB522" s="47">
        <f t="shared" si="17"/>
        <v>-332</v>
      </c>
      <c r="AD522" s="53"/>
      <c r="AE522" s="53"/>
      <c r="AF522" s="53"/>
      <c r="AG522" s="53"/>
    </row>
    <row r="523" spans="1:33" s="46" customFormat="1">
      <c r="A523" s="39">
        <v>41232</v>
      </c>
      <c r="B523" s="9" t="s">
        <v>2053</v>
      </c>
      <c r="C523" s="15">
        <v>419</v>
      </c>
      <c r="D523" s="41" t="s">
        <v>1249</v>
      </c>
      <c r="E523" s="9" t="s">
        <v>1208</v>
      </c>
      <c r="F523" s="9" t="s">
        <v>479</v>
      </c>
      <c r="G523" s="9"/>
      <c r="H523" s="39"/>
      <c r="I523" s="9"/>
      <c r="J523" s="39"/>
      <c r="K523" s="42"/>
      <c r="L523" s="9" t="s">
        <v>1250</v>
      </c>
      <c r="M523" s="16"/>
      <c r="AA523" s="14">
        <f t="shared" si="16"/>
        <v>419</v>
      </c>
      <c r="AB523" s="47">
        <f t="shared" si="17"/>
        <v>418</v>
      </c>
      <c r="AD523" s="53"/>
      <c r="AE523" s="53"/>
      <c r="AF523" s="53"/>
      <c r="AG523" s="53"/>
    </row>
    <row r="524" spans="1:33" s="46" customFormat="1" ht="12" customHeight="1">
      <c r="A524" s="39">
        <v>41232</v>
      </c>
      <c r="B524" s="102" t="s">
        <v>2168</v>
      </c>
      <c r="C524" s="15">
        <v>328</v>
      </c>
      <c r="D524" s="41" t="s">
        <v>1269</v>
      </c>
      <c r="E524" s="9" t="s">
        <v>1208</v>
      </c>
      <c r="F524" s="9" t="s">
        <v>479</v>
      </c>
      <c r="G524" s="9"/>
      <c r="H524" s="39"/>
      <c r="I524" s="9"/>
      <c r="J524" s="39"/>
      <c r="K524" s="42"/>
      <c r="L524" s="9" t="s">
        <v>1270</v>
      </c>
      <c r="M524" s="16"/>
      <c r="AA524" s="14">
        <f t="shared" si="16"/>
        <v>-91</v>
      </c>
      <c r="AB524" s="47">
        <f t="shared" si="17"/>
        <v>-92</v>
      </c>
      <c r="AD524" s="53"/>
      <c r="AE524" s="53"/>
      <c r="AF524" s="53"/>
      <c r="AG524" s="53"/>
    </row>
    <row r="525" spans="1:33" s="46" customFormat="1" ht="12" customHeight="1">
      <c r="A525" s="39">
        <v>41232</v>
      </c>
      <c r="B525" s="102" t="s">
        <v>2167</v>
      </c>
      <c r="C525" s="15">
        <v>326</v>
      </c>
      <c r="D525" s="41" t="s">
        <v>1223</v>
      </c>
      <c r="E525" s="9" t="s">
        <v>1208</v>
      </c>
      <c r="F525" s="9" t="s">
        <v>479</v>
      </c>
      <c r="G525" s="9"/>
      <c r="H525" s="39"/>
      <c r="I525" s="9"/>
      <c r="J525" s="39"/>
      <c r="K525" s="42"/>
      <c r="L525" s="9" t="s">
        <v>1224</v>
      </c>
      <c r="M525" s="16"/>
      <c r="AA525" s="14">
        <f t="shared" si="16"/>
        <v>-2</v>
      </c>
      <c r="AB525" s="47">
        <f t="shared" si="17"/>
        <v>-3</v>
      </c>
      <c r="AD525" s="53"/>
      <c r="AE525" s="53"/>
      <c r="AF525" s="53"/>
      <c r="AG525" s="53"/>
    </row>
    <row r="526" spans="1:33" s="46" customFormat="1">
      <c r="A526" s="39">
        <v>41232</v>
      </c>
      <c r="B526" s="9" t="s">
        <v>2108</v>
      </c>
      <c r="C526" s="15">
        <v>438</v>
      </c>
      <c r="D526" s="41" t="s">
        <v>1259</v>
      </c>
      <c r="E526" s="9" t="s">
        <v>1208</v>
      </c>
      <c r="F526" s="9" t="s">
        <v>479</v>
      </c>
      <c r="G526" s="9"/>
      <c r="H526" s="39"/>
      <c r="I526" s="9"/>
      <c r="J526" s="39"/>
      <c r="K526" s="42"/>
      <c r="L526" s="9" t="s">
        <v>1260</v>
      </c>
      <c r="M526" s="16"/>
      <c r="AA526" s="14">
        <f t="shared" si="16"/>
        <v>112</v>
      </c>
      <c r="AB526" s="47">
        <f t="shared" si="17"/>
        <v>111</v>
      </c>
      <c r="AD526" s="53"/>
      <c r="AE526" s="53"/>
      <c r="AF526" s="53"/>
      <c r="AG526" s="53"/>
    </row>
    <row r="527" spans="1:33" s="46" customFormat="1">
      <c r="A527" s="39">
        <v>41232</v>
      </c>
      <c r="B527" s="9" t="s">
        <v>1946</v>
      </c>
      <c r="C527" s="15">
        <v>549</v>
      </c>
      <c r="D527" s="41" t="s">
        <v>1257</v>
      </c>
      <c r="E527" s="9" t="s">
        <v>1208</v>
      </c>
      <c r="F527" s="9" t="s">
        <v>479</v>
      </c>
      <c r="G527" s="9"/>
      <c r="H527" s="39"/>
      <c r="I527" s="9"/>
      <c r="J527" s="39"/>
      <c r="K527" s="42"/>
      <c r="L527" s="9" t="s">
        <v>1258</v>
      </c>
      <c r="M527" s="16" t="s">
        <v>191</v>
      </c>
      <c r="AA527" s="14">
        <f t="shared" si="16"/>
        <v>111</v>
      </c>
      <c r="AB527" s="47">
        <f t="shared" si="17"/>
        <v>110</v>
      </c>
      <c r="AD527" s="53"/>
      <c r="AE527" s="53"/>
      <c r="AF527" s="53"/>
      <c r="AG527" s="53"/>
    </row>
    <row r="528" spans="1:33" s="46" customFormat="1" ht="12" customHeight="1">
      <c r="A528" s="39">
        <v>41232</v>
      </c>
      <c r="B528" s="104" t="s">
        <v>2164</v>
      </c>
      <c r="C528" s="15">
        <v>323</v>
      </c>
      <c r="D528" s="41" t="s">
        <v>1217</v>
      </c>
      <c r="E528" s="9" t="s">
        <v>1208</v>
      </c>
      <c r="F528" s="9" t="s">
        <v>479</v>
      </c>
      <c r="G528" s="9"/>
      <c r="H528" s="39"/>
      <c r="I528" s="9"/>
      <c r="J528" s="39"/>
      <c r="K528" s="42"/>
      <c r="L528" s="9"/>
      <c r="M528" s="16" t="s">
        <v>191</v>
      </c>
      <c r="AA528" s="14">
        <f t="shared" si="16"/>
        <v>-226</v>
      </c>
      <c r="AB528" s="47">
        <f t="shared" si="17"/>
        <v>-227</v>
      </c>
      <c r="AD528" s="53"/>
      <c r="AE528" s="53"/>
      <c r="AF528" s="53"/>
      <c r="AG528" s="53"/>
    </row>
    <row r="529" spans="1:33" s="46" customFormat="1">
      <c r="A529" s="39">
        <v>41232</v>
      </c>
      <c r="B529" s="9" t="s">
        <v>2930</v>
      </c>
      <c r="C529" s="15">
        <v>951</v>
      </c>
      <c r="D529" s="41" t="s">
        <v>1275</v>
      </c>
      <c r="E529" s="9" t="s">
        <v>31</v>
      </c>
      <c r="F529" s="9" t="s">
        <v>935</v>
      </c>
      <c r="G529" s="9"/>
      <c r="H529" s="39"/>
      <c r="I529" s="9"/>
      <c r="J529" s="39"/>
      <c r="K529" s="42"/>
      <c r="L529" s="9" t="s">
        <v>1276</v>
      </c>
      <c r="M529" s="16"/>
      <c r="AA529" s="14">
        <f t="shared" si="16"/>
        <v>628</v>
      </c>
      <c r="AB529" s="47">
        <f t="shared" si="17"/>
        <v>627</v>
      </c>
      <c r="AD529" s="53"/>
      <c r="AE529" s="53"/>
      <c r="AF529" s="53"/>
      <c r="AG529" s="53"/>
    </row>
    <row r="530" spans="1:33" s="46" customFormat="1">
      <c r="A530" s="39">
        <v>41232</v>
      </c>
      <c r="B530" s="9" t="s">
        <v>2008</v>
      </c>
      <c r="C530" s="15">
        <v>368</v>
      </c>
      <c r="D530" s="41" t="s">
        <v>1213</v>
      </c>
      <c r="E530" s="9" t="s">
        <v>1208</v>
      </c>
      <c r="F530" s="9" t="s">
        <v>479</v>
      </c>
      <c r="G530" s="9"/>
      <c r="H530" s="39"/>
      <c r="I530" s="9"/>
      <c r="J530" s="39"/>
      <c r="K530" s="42"/>
      <c r="L530" s="9" t="s">
        <v>1214</v>
      </c>
      <c r="M530" s="16"/>
      <c r="AA530" s="14">
        <f t="shared" si="16"/>
        <v>-583</v>
      </c>
      <c r="AB530" s="47">
        <f t="shared" si="17"/>
        <v>-584</v>
      </c>
      <c r="AD530" s="53"/>
      <c r="AE530" s="53"/>
      <c r="AF530" s="53"/>
      <c r="AG530" s="53"/>
    </row>
    <row r="531" spans="1:33" s="46" customFormat="1">
      <c r="A531" s="39">
        <v>41232</v>
      </c>
      <c r="B531" s="9" t="s">
        <v>2052</v>
      </c>
      <c r="C531" s="15">
        <v>418</v>
      </c>
      <c r="D531" s="41" t="s">
        <v>1247</v>
      </c>
      <c r="E531" s="9" t="s">
        <v>1208</v>
      </c>
      <c r="F531" s="9" t="s">
        <v>479</v>
      </c>
      <c r="G531" s="9"/>
      <c r="H531" s="39"/>
      <c r="I531" s="9"/>
      <c r="J531" s="39"/>
      <c r="K531" s="42"/>
      <c r="L531" s="9" t="s">
        <v>1248</v>
      </c>
      <c r="M531" s="16"/>
      <c r="AA531" s="14">
        <f t="shared" si="16"/>
        <v>50</v>
      </c>
      <c r="AB531" s="47">
        <f t="shared" si="17"/>
        <v>49</v>
      </c>
      <c r="AD531" s="53"/>
      <c r="AE531" s="53"/>
      <c r="AF531" s="53"/>
      <c r="AG531" s="53"/>
    </row>
    <row r="532" spans="1:33" s="46" customFormat="1">
      <c r="A532" s="39">
        <v>41232</v>
      </c>
      <c r="B532" s="9" t="s">
        <v>2929</v>
      </c>
      <c r="C532" s="15">
        <v>952</v>
      </c>
      <c r="D532" s="41" t="s">
        <v>1261</v>
      </c>
      <c r="E532" s="9" t="s">
        <v>1208</v>
      </c>
      <c r="F532" s="9" t="s">
        <v>935</v>
      </c>
      <c r="G532" s="9"/>
      <c r="H532" s="39"/>
      <c r="I532" s="9"/>
      <c r="J532" s="39"/>
      <c r="K532" s="42"/>
      <c r="L532" s="9" t="s">
        <v>1262</v>
      </c>
      <c r="M532" s="16"/>
      <c r="AA532" s="14">
        <f t="shared" si="16"/>
        <v>534</v>
      </c>
      <c r="AB532" s="47">
        <f t="shared" si="17"/>
        <v>533</v>
      </c>
      <c r="AD532" s="53"/>
      <c r="AE532" s="53"/>
      <c r="AF532" s="53"/>
      <c r="AG532" s="53"/>
    </row>
    <row r="533" spans="1:33" s="46" customFormat="1" ht="12" customHeight="1">
      <c r="A533" s="39">
        <v>41232</v>
      </c>
      <c r="B533" s="9" t="s">
        <v>2107</v>
      </c>
      <c r="C533" s="15">
        <v>437</v>
      </c>
      <c r="D533" s="41" t="s">
        <v>1264</v>
      </c>
      <c r="E533" s="9" t="s">
        <v>1208</v>
      </c>
      <c r="F533" s="9" t="s">
        <v>479</v>
      </c>
      <c r="G533" s="9"/>
      <c r="H533" s="39"/>
      <c r="I533" s="9"/>
      <c r="J533" s="39"/>
      <c r="K533" s="42"/>
      <c r="L533" s="9" t="s">
        <v>1265</v>
      </c>
      <c r="M533" s="16"/>
      <c r="AA533" s="14">
        <f t="shared" si="16"/>
        <v>-515</v>
      </c>
      <c r="AB533" s="47">
        <f t="shared" si="17"/>
        <v>-516</v>
      </c>
      <c r="AD533" s="53"/>
      <c r="AE533" s="53"/>
      <c r="AF533" s="53"/>
      <c r="AG533" s="53"/>
    </row>
    <row r="534" spans="1:33" s="46" customFormat="1" ht="12" customHeight="1">
      <c r="A534" s="39">
        <v>41232</v>
      </c>
      <c r="B534" s="105" t="s">
        <v>2160</v>
      </c>
      <c r="C534" s="15">
        <v>319</v>
      </c>
      <c r="D534" s="41" t="s">
        <v>1234</v>
      </c>
      <c r="E534" s="9" t="s">
        <v>1208</v>
      </c>
      <c r="F534" s="9" t="s">
        <v>479</v>
      </c>
      <c r="G534" s="9"/>
      <c r="H534" s="39"/>
      <c r="I534" s="9"/>
      <c r="J534" s="39"/>
      <c r="K534" s="42"/>
      <c r="L534" s="9"/>
      <c r="M534" s="16" t="s">
        <v>193</v>
      </c>
      <c r="AA534" s="14">
        <f t="shared" si="16"/>
        <v>-118</v>
      </c>
      <c r="AB534" s="47">
        <f t="shared" si="17"/>
        <v>-119</v>
      </c>
      <c r="AD534" s="53"/>
      <c r="AE534" s="53"/>
      <c r="AF534" s="53"/>
      <c r="AG534" s="53"/>
    </row>
    <row r="535" spans="1:33" s="46" customFormat="1" ht="12" customHeight="1">
      <c r="A535" s="39">
        <v>41232</v>
      </c>
      <c r="B535" s="9"/>
      <c r="C535" s="15"/>
      <c r="D535" s="41" t="s">
        <v>1246</v>
      </c>
      <c r="E535" s="9" t="s">
        <v>1208</v>
      </c>
      <c r="F535" s="9" t="s">
        <v>935</v>
      </c>
      <c r="G535" s="9"/>
      <c r="H535" s="39"/>
      <c r="I535" s="9"/>
      <c r="J535" s="39"/>
      <c r="K535" s="42"/>
      <c r="L535" s="9"/>
      <c r="M535" s="16"/>
      <c r="AA535" s="14">
        <f t="shared" si="16"/>
        <v>-319</v>
      </c>
      <c r="AB535" s="47">
        <f t="shared" si="17"/>
        <v>-320</v>
      </c>
      <c r="AD535" s="53"/>
      <c r="AE535" s="53"/>
      <c r="AF535" s="53"/>
      <c r="AG535" s="53"/>
    </row>
    <row r="536" spans="1:33" s="46" customFormat="1" ht="12" customHeight="1">
      <c r="A536" s="39">
        <v>41232</v>
      </c>
      <c r="B536" s="9"/>
      <c r="C536" s="15"/>
      <c r="D536" s="41" t="s">
        <v>1274</v>
      </c>
      <c r="E536" s="9" t="s">
        <v>22</v>
      </c>
      <c r="F536" s="9" t="s">
        <v>935</v>
      </c>
      <c r="G536" s="9"/>
      <c r="H536" s="39"/>
      <c r="I536" s="9"/>
      <c r="J536" s="39"/>
      <c r="K536" s="42"/>
      <c r="L536" s="9"/>
      <c r="M536" s="16"/>
      <c r="AA536" s="14">
        <f t="shared" si="16"/>
        <v>0</v>
      </c>
      <c r="AB536" s="47">
        <f t="shared" si="17"/>
        <v>-1</v>
      </c>
      <c r="AD536" s="53"/>
      <c r="AE536" s="53"/>
      <c r="AF536" s="53"/>
      <c r="AG536" s="53"/>
    </row>
    <row r="537" spans="1:33" s="46" customFormat="1">
      <c r="A537" s="39">
        <v>41232</v>
      </c>
      <c r="B537" s="9"/>
      <c r="C537" s="15"/>
      <c r="D537" s="41" t="s">
        <v>1210</v>
      </c>
      <c r="E537" s="9" t="s">
        <v>1208</v>
      </c>
      <c r="F537" s="9" t="s">
        <v>935</v>
      </c>
      <c r="G537" s="9"/>
      <c r="H537" s="39"/>
      <c r="I537" s="9"/>
      <c r="J537" s="39"/>
      <c r="K537" s="42"/>
      <c r="L537" s="9"/>
      <c r="M537" s="16"/>
      <c r="AA537" s="14">
        <f t="shared" si="16"/>
        <v>0</v>
      </c>
      <c r="AB537" s="47">
        <f t="shared" si="17"/>
        <v>-1</v>
      </c>
      <c r="AD537" s="53"/>
      <c r="AE537" s="53"/>
      <c r="AF537" s="53"/>
      <c r="AG537" s="53"/>
    </row>
    <row r="538" spans="1:33" s="46" customFormat="1">
      <c r="A538" s="39">
        <v>41232</v>
      </c>
      <c r="B538" s="9" t="s">
        <v>2109</v>
      </c>
      <c r="C538" s="15">
        <v>441</v>
      </c>
      <c r="D538" s="41" t="s">
        <v>1243</v>
      </c>
      <c r="E538" s="9" t="s">
        <v>1208</v>
      </c>
      <c r="F538" s="9" t="s">
        <v>479</v>
      </c>
      <c r="G538" s="9"/>
      <c r="H538" s="39"/>
      <c r="I538" s="9"/>
      <c r="J538" s="39"/>
      <c r="K538" s="42"/>
      <c r="L538" s="9" t="s">
        <v>1244</v>
      </c>
      <c r="M538" s="16"/>
      <c r="AA538" s="14">
        <f t="shared" si="16"/>
        <v>441</v>
      </c>
      <c r="AB538" s="47">
        <f t="shared" si="17"/>
        <v>440</v>
      </c>
      <c r="AD538" s="53"/>
      <c r="AE538" s="53"/>
      <c r="AF538" s="53"/>
      <c r="AG538" s="53"/>
    </row>
    <row r="539" spans="1:33" s="46" customFormat="1">
      <c r="A539" s="39">
        <v>41232</v>
      </c>
      <c r="B539" s="9"/>
      <c r="C539" s="15"/>
      <c r="D539" s="41" t="s">
        <v>1245</v>
      </c>
      <c r="E539" s="9" t="s">
        <v>1208</v>
      </c>
      <c r="F539" s="9" t="s">
        <v>935</v>
      </c>
      <c r="G539" s="9"/>
      <c r="H539" s="39"/>
      <c r="I539" s="9"/>
      <c r="J539" s="39"/>
      <c r="K539" s="42"/>
      <c r="L539" s="9"/>
      <c r="M539" s="16"/>
      <c r="AA539" s="14">
        <f t="shared" si="16"/>
        <v>-441</v>
      </c>
      <c r="AB539" s="47">
        <f t="shared" si="17"/>
        <v>-442</v>
      </c>
      <c r="AD539" s="53"/>
      <c r="AE539" s="53"/>
      <c r="AF539" s="53"/>
      <c r="AG539" s="53"/>
    </row>
    <row r="540" spans="1:33" s="46" customFormat="1" ht="12" customHeight="1">
      <c r="A540" s="39">
        <v>41232</v>
      </c>
      <c r="B540" s="103" t="s">
        <v>2159</v>
      </c>
      <c r="C540" s="15">
        <v>318</v>
      </c>
      <c r="D540" s="41" t="s">
        <v>1232</v>
      </c>
      <c r="E540" s="9" t="s">
        <v>326</v>
      </c>
      <c r="F540" s="9" t="s">
        <v>479</v>
      </c>
      <c r="G540" s="9"/>
      <c r="H540" s="39"/>
      <c r="I540" s="9"/>
      <c r="J540" s="39"/>
      <c r="K540" s="42"/>
      <c r="L540" s="9" t="s">
        <v>1233</v>
      </c>
      <c r="M540" s="16"/>
      <c r="AA540" s="14">
        <f t="shared" si="16"/>
        <v>318</v>
      </c>
      <c r="AB540" s="47">
        <f t="shared" si="17"/>
        <v>317</v>
      </c>
      <c r="AD540" s="53"/>
      <c r="AE540" s="53"/>
      <c r="AF540" s="53"/>
      <c r="AG540" s="53"/>
    </row>
    <row r="541" spans="1:33" s="46" customFormat="1" ht="12" customHeight="1">
      <c r="A541" s="39">
        <v>41232</v>
      </c>
      <c r="B541" s="102" t="s">
        <v>2172</v>
      </c>
      <c r="C541" s="15">
        <v>332</v>
      </c>
      <c r="D541" s="41" t="s">
        <v>1218</v>
      </c>
      <c r="E541" s="9" t="s">
        <v>1208</v>
      </c>
      <c r="F541" s="9" t="s">
        <v>479</v>
      </c>
      <c r="G541" s="9"/>
      <c r="H541" s="39"/>
      <c r="I541" s="9"/>
      <c r="J541" s="39"/>
      <c r="K541" s="42"/>
      <c r="L541" s="9"/>
      <c r="M541" s="16"/>
      <c r="AA541" s="14">
        <f t="shared" si="16"/>
        <v>14</v>
      </c>
      <c r="AB541" s="47">
        <f t="shared" si="17"/>
        <v>13</v>
      </c>
      <c r="AD541" s="53"/>
      <c r="AE541" s="53"/>
      <c r="AF541" s="53"/>
      <c r="AG541" s="53"/>
    </row>
    <row r="542" spans="1:33" s="46" customFormat="1" ht="12" customHeight="1">
      <c r="A542" s="39">
        <v>41232</v>
      </c>
      <c r="B542" s="102" t="s">
        <v>2166</v>
      </c>
      <c r="C542" s="15">
        <v>325</v>
      </c>
      <c r="D542" s="41" t="s">
        <v>1292</v>
      </c>
      <c r="E542" s="9" t="s">
        <v>31</v>
      </c>
      <c r="F542" s="9" t="s">
        <v>479</v>
      </c>
      <c r="G542" s="9"/>
      <c r="H542" s="39"/>
      <c r="I542" s="9"/>
      <c r="J542" s="39"/>
      <c r="K542" s="42"/>
      <c r="L542" s="9" t="s">
        <v>1293</v>
      </c>
      <c r="M542" s="16"/>
      <c r="AA542" s="14">
        <f t="shared" si="16"/>
        <v>-7</v>
      </c>
      <c r="AB542" s="47">
        <f t="shared" si="17"/>
        <v>-8</v>
      </c>
      <c r="AD542" s="53"/>
      <c r="AE542" s="53"/>
      <c r="AF542" s="53"/>
      <c r="AG542" s="53"/>
    </row>
    <row r="543" spans="1:33" s="46" customFormat="1">
      <c r="A543" s="39">
        <v>41233</v>
      </c>
      <c r="B543" s="9" t="s">
        <v>1968</v>
      </c>
      <c r="C543" s="15">
        <v>515</v>
      </c>
      <c r="D543" s="41" t="s">
        <v>1967</v>
      </c>
      <c r="E543" s="9" t="s">
        <v>51</v>
      </c>
      <c r="F543" s="9" t="s">
        <v>479</v>
      </c>
      <c r="G543" s="9"/>
      <c r="H543" s="39"/>
      <c r="I543" s="9"/>
      <c r="J543" s="39"/>
      <c r="K543" s="42"/>
      <c r="L543" s="9"/>
      <c r="M543" s="16"/>
      <c r="AA543" s="14">
        <f t="shared" si="16"/>
        <v>190</v>
      </c>
      <c r="AB543" s="47">
        <f t="shared" si="17"/>
        <v>189</v>
      </c>
      <c r="AD543" s="53"/>
      <c r="AE543" s="53"/>
      <c r="AF543" s="53"/>
      <c r="AG543" s="53"/>
    </row>
    <row r="544" spans="1:33" s="46" customFormat="1">
      <c r="A544" s="39">
        <v>41233</v>
      </c>
      <c r="B544" s="9" t="s">
        <v>2700</v>
      </c>
      <c r="C544" s="15">
        <v>717</v>
      </c>
      <c r="D544" s="41" t="s">
        <v>1534</v>
      </c>
      <c r="E544" s="9" t="s">
        <v>96</v>
      </c>
      <c r="F544" s="9" t="s">
        <v>479</v>
      </c>
      <c r="G544" s="9"/>
      <c r="H544" s="39"/>
      <c r="I544" s="9"/>
      <c r="J544" s="39"/>
      <c r="K544" s="42"/>
      <c r="L544" s="9"/>
      <c r="M544" s="16"/>
      <c r="AA544" s="14">
        <f t="shared" si="16"/>
        <v>202</v>
      </c>
      <c r="AB544" s="47">
        <f t="shared" si="17"/>
        <v>201</v>
      </c>
      <c r="AD544" s="53"/>
      <c r="AE544" s="53"/>
      <c r="AF544" s="53"/>
      <c r="AG544" s="53"/>
    </row>
    <row r="545" spans="1:33" s="46" customFormat="1">
      <c r="A545" s="39">
        <v>41233</v>
      </c>
      <c r="B545" s="9" t="s">
        <v>2076</v>
      </c>
      <c r="C545" s="15">
        <v>451</v>
      </c>
      <c r="D545" s="41" t="s">
        <v>1494</v>
      </c>
      <c r="E545" s="9" t="s">
        <v>1448</v>
      </c>
      <c r="F545" s="9" t="s">
        <v>479</v>
      </c>
      <c r="G545" s="9"/>
      <c r="H545" s="39"/>
      <c r="I545" s="9"/>
      <c r="J545" s="39"/>
      <c r="K545" s="42"/>
      <c r="L545" s="9" t="s">
        <v>1495</v>
      </c>
      <c r="M545" s="16" t="s">
        <v>191</v>
      </c>
      <c r="AA545" s="14">
        <f t="shared" si="16"/>
        <v>-266</v>
      </c>
      <c r="AB545" s="47">
        <f t="shared" si="17"/>
        <v>-267</v>
      </c>
      <c r="AD545" s="53"/>
      <c r="AE545" s="53"/>
      <c r="AF545" s="53"/>
      <c r="AG545" s="53"/>
    </row>
    <row r="546" spans="1:33" s="46" customFormat="1">
      <c r="A546" s="39">
        <v>41233</v>
      </c>
      <c r="B546" s="9"/>
      <c r="C546" s="15"/>
      <c r="D546" s="41" t="s">
        <v>1511</v>
      </c>
      <c r="E546" s="9" t="s">
        <v>51</v>
      </c>
      <c r="F546" s="9" t="s">
        <v>935</v>
      </c>
      <c r="G546" s="9"/>
      <c r="H546" s="39"/>
      <c r="I546" s="9"/>
      <c r="J546" s="39"/>
      <c r="K546" s="42"/>
      <c r="L546" s="9" t="s">
        <v>1512</v>
      </c>
      <c r="M546" s="16" t="s">
        <v>191</v>
      </c>
      <c r="AA546" s="14">
        <f t="shared" si="16"/>
        <v>-451</v>
      </c>
      <c r="AB546" s="47">
        <f t="shared" si="17"/>
        <v>-452</v>
      </c>
      <c r="AD546" s="53"/>
      <c r="AE546" s="53"/>
      <c r="AF546" s="53"/>
      <c r="AG546" s="53"/>
    </row>
    <row r="547" spans="1:33" s="46" customFormat="1">
      <c r="A547" s="39">
        <v>41233</v>
      </c>
      <c r="B547" s="9"/>
      <c r="C547" s="15"/>
      <c r="D547" s="41" t="s">
        <v>1364</v>
      </c>
      <c r="E547" s="9" t="s">
        <v>118</v>
      </c>
      <c r="F547" s="9" t="s">
        <v>479</v>
      </c>
      <c r="G547" s="9"/>
      <c r="H547" s="39"/>
      <c r="I547" s="9"/>
      <c r="J547" s="39"/>
      <c r="K547" s="42"/>
      <c r="L547" s="9" t="s">
        <v>1365</v>
      </c>
      <c r="M547" s="16"/>
      <c r="AA547" s="14">
        <f t="shared" si="16"/>
        <v>0</v>
      </c>
      <c r="AB547" s="47">
        <f t="shared" si="17"/>
        <v>-1</v>
      </c>
      <c r="AD547" s="53"/>
      <c r="AE547" s="53"/>
      <c r="AF547" s="53"/>
      <c r="AG547" s="53"/>
    </row>
    <row r="548" spans="1:33" s="46" customFormat="1">
      <c r="A548" s="39">
        <v>41233</v>
      </c>
      <c r="B548" s="9" t="s">
        <v>2885</v>
      </c>
      <c r="C548" s="15">
        <v>782</v>
      </c>
      <c r="D548" s="41" t="s">
        <v>1639</v>
      </c>
      <c r="E548" s="9" t="s">
        <v>313</v>
      </c>
      <c r="F548" s="9" t="s">
        <v>935</v>
      </c>
      <c r="G548" s="9"/>
      <c r="H548" s="39"/>
      <c r="I548" s="9"/>
      <c r="J548" s="39"/>
      <c r="K548" s="42"/>
      <c r="L548" s="9" t="s">
        <v>1640</v>
      </c>
      <c r="M548" s="16"/>
      <c r="AA548" s="14">
        <f t="shared" si="16"/>
        <v>782</v>
      </c>
      <c r="AB548" s="47">
        <f t="shared" si="17"/>
        <v>781</v>
      </c>
      <c r="AD548" s="53"/>
      <c r="AE548" s="53"/>
      <c r="AF548" s="53"/>
      <c r="AG548" s="53"/>
    </row>
    <row r="549" spans="1:33" s="46" customFormat="1">
      <c r="A549" s="39">
        <v>41233</v>
      </c>
      <c r="B549" s="9" t="s">
        <v>2091</v>
      </c>
      <c r="C549" s="15">
        <v>470</v>
      </c>
      <c r="D549" s="41" t="s">
        <v>1569</v>
      </c>
      <c r="E549" s="9" t="s">
        <v>96</v>
      </c>
      <c r="F549" s="9" t="s">
        <v>479</v>
      </c>
      <c r="G549" s="9"/>
      <c r="H549" s="39"/>
      <c r="I549" s="9"/>
      <c r="J549" s="39"/>
      <c r="K549" s="42"/>
      <c r="L549" s="9" t="s">
        <v>1570</v>
      </c>
      <c r="M549" s="16" t="s">
        <v>193</v>
      </c>
      <c r="AA549" s="14">
        <f t="shared" si="16"/>
        <v>-312</v>
      </c>
      <c r="AB549" s="47">
        <f t="shared" si="17"/>
        <v>-313</v>
      </c>
      <c r="AD549" s="53"/>
      <c r="AE549" s="53"/>
      <c r="AF549" s="53"/>
      <c r="AG549" s="53"/>
    </row>
    <row r="550" spans="1:33" s="46" customFormat="1">
      <c r="A550" s="39">
        <v>41233</v>
      </c>
      <c r="B550" s="9" t="s">
        <v>2225</v>
      </c>
      <c r="C550" s="15">
        <v>602</v>
      </c>
      <c r="D550" s="41" t="s">
        <v>1537</v>
      </c>
      <c r="E550" s="9" t="s">
        <v>96</v>
      </c>
      <c r="F550" s="9" t="s">
        <v>479</v>
      </c>
      <c r="G550" s="9"/>
      <c r="H550" s="39"/>
      <c r="I550" s="9"/>
      <c r="J550" s="39"/>
      <c r="K550" s="42"/>
      <c r="L550" s="9" t="s">
        <v>1538</v>
      </c>
      <c r="M550" s="16"/>
      <c r="AA550" s="14">
        <f t="shared" si="16"/>
        <v>132</v>
      </c>
      <c r="AB550" s="47">
        <f t="shared" si="17"/>
        <v>131</v>
      </c>
      <c r="AD550" s="53"/>
      <c r="AE550" s="53"/>
      <c r="AF550" s="53"/>
      <c r="AG550" s="53"/>
    </row>
    <row r="551" spans="1:33" s="46" customFormat="1">
      <c r="A551" s="39">
        <v>41233</v>
      </c>
      <c r="B551" s="9" t="s">
        <v>2137</v>
      </c>
      <c r="C551" s="15">
        <v>495</v>
      </c>
      <c r="D551" s="41" t="s">
        <v>1535</v>
      </c>
      <c r="E551" s="9" t="s">
        <v>96</v>
      </c>
      <c r="F551" s="9" t="s">
        <v>479</v>
      </c>
      <c r="G551" s="9"/>
      <c r="H551" s="39"/>
      <c r="I551" s="9"/>
      <c r="J551" s="39"/>
      <c r="K551" s="42"/>
      <c r="L551" s="9" t="s">
        <v>1536</v>
      </c>
      <c r="M551" s="16"/>
      <c r="AA551" s="14">
        <f t="shared" si="16"/>
        <v>-107</v>
      </c>
      <c r="AB551" s="47">
        <f t="shared" si="17"/>
        <v>-108</v>
      </c>
      <c r="AD551" s="53"/>
      <c r="AE551" s="53"/>
      <c r="AF551" s="53"/>
      <c r="AG551" s="53"/>
    </row>
    <row r="552" spans="1:33" s="46" customFormat="1">
      <c r="A552" s="39">
        <v>41233</v>
      </c>
      <c r="B552" s="9" t="s">
        <v>2226</v>
      </c>
      <c r="C552" s="15">
        <v>616</v>
      </c>
      <c r="D552" s="41" t="s">
        <v>1532</v>
      </c>
      <c r="E552" s="9" t="s">
        <v>96</v>
      </c>
      <c r="F552" s="9" t="s">
        <v>479</v>
      </c>
      <c r="G552" s="9"/>
      <c r="H552" s="39"/>
      <c r="I552" s="9"/>
      <c r="J552" s="39"/>
      <c r="K552" s="42"/>
      <c r="L552" s="9" t="s">
        <v>1533</v>
      </c>
      <c r="M552" s="16"/>
      <c r="AA552" s="14">
        <f t="shared" si="16"/>
        <v>121</v>
      </c>
      <c r="AB552" s="47">
        <f t="shared" si="17"/>
        <v>120</v>
      </c>
      <c r="AD552" s="53"/>
      <c r="AE552" s="53"/>
      <c r="AF552" s="53"/>
      <c r="AG552" s="53"/>
    </row>
    <row r="553" spans="1:33" s="46" customFormat="1">
      <c r="A553" s="39">
        <v>41233</v>
      </c>
      <c r="B553" s="9" t="s">
        <v>2227</v>
      </c>
      <c r="C553" s="15">
        <v>621</v>
      </c>
      <c r="D553" s="41" t="s">
        <v>1567</v>
      </c>
      <c r="E553" s="9" t="s">
        <v>96</v>
      </c>
      <c r="F553" s="9" t="s">
        <v>479</v>
      </c>
      <c r="G553" s="9"/>
      <c r="H553" s="39"/>
      <c r="I553" s="9"/>
      <c r="J553" s="39"/>
      <c r="K553" s="42"/>
      <c r="L553" s="9" t="s">
        <v>1568</v>
      </c>
      <c r="M553" s="16"/>
      <c r="AA553" s="14">
        <f t="shared" si="16"/>
        <v>5</v>
      </c>
      <c r="AB553" s="47">
        <f t="shared" si="17"/>
        <v>4</v>
      </c>
      <c r="AD553" s="53"/>
      <c r="AE553" s="53"/>
      <c r="AF553" s="53"/>
      <c r="AG553" s="53"/>
    </row>
    <row r="554" spans="1:33" s="46" customFormat="1">
      <c r="A554" s="39">
        <v>41233</v>
      </c>
      <c r="B554" s="9" t="s">
        <v>2731</v>
      </c>
      <c r="C554" s="15">
        <v>799</v>
      </c>
      <c r="D554" s="41" t="s">
        <v>1641</v>
      </c>
      <c r="E554" s="9" t="s">
        <v>313</v>
      </c>
      <c r="F554" s="9" t="s">
        <v>935</v>
      </c>
      <c r="G554" s="9"/>
      <c r="H554" s="39"/>
      <c r="I554" s="9"/>
      <c r="J554" s="39"/>
      <c r="K554" s="42"/>
      <c r="L554" s="9" t="s">
        <v>1642</v>
      </c>
      <c r="M554" s="16"/>
      <c r="AA554" s="14">
        <f t="shared" si="16"/>
        <v>178</v>
      </c>
      <c r="AB554" s="47">
        <f t="shared" si="17"/>
        <v>177</v>
      </c>
      <c r="AD554" s="53"/>
      <c r="AE554" s="53"/>
      <c r="AF554" s="53"/>
      <c r="AG554" s="53"/>
    </row>
    <row r="555" spans="1:33" s="46" customFormat="1">
      <c r="A555" s="39">
        <v>41233</v>
      </c>
      <c r="B555" s="9" t="s">
        <v>2892</v>
      </c>
      <c r="C555" s="15">
        <v>839</v>
      </c>
      <c r="D555" s="41" t="s">
        <v>1571</v>
      </c>
      <c r="E555" s="9" t="s">
        <v>96</v>
      </c>
      <c r="F555" s="9" t="s">
        <v>935</v>
      </c>
      <c r="G555" s="9"/>
      <c r="H555" s="39"/>
      <c r="I555" s="9"/>
      <c r="J555" s="39"/>
      <c r="K555" s="42"/>
      <c r="L555" s="9"/>
      <c r="M555" s="16"/>
      <c r="AA555" s="14">
        <f t="shared" ref="AA555:AA617" si="18">C555-C554</f>
        <v>40</v>
      </c>
      <c r="AB555" s="47">
        <f t="shared" ref="AB555:AB617" si="19">AA555-1</f>
        <v>39</v>
      </c>
      <c r="AD555" s="53"/>
      <c r="AE555" s="53"/>
      <c r="AF555" s="53"/>
      <c r="AG555" s="53"/>
    </row>
    <row r="556" spans="1:33" s="46" customFormat="1">
      <c r="A556" s="39">
        <v>41233</v>
      </c>
      <c r="B556" s="9" t="s">
        <v>2583</v>
      </c>
      <c r="C556" s="15">
        <v>842</v>
      </c>
      <c r="D556" s="41" t="s">
        <v>1572</v>
      </c>
      <c r="E556" s="9" t="s">
        <v>96</v>
      </c>
      <c r="F556" s="9" t="s">
        <v>935</v>
      </c>
      <c r="G556" s="9"/>
      <c r="H556" s="39"/>
      <c r="I556" s="9"/>
      <c r="J556" s="39"/>
      <c r="K556" s="42"/>
      <c r="L556" s="9" t="s">
        <v>1573</v>
      </c>
      <c r="M556" s="16"/>
      <c r="AA556" s="14">
        <f t="shared" si="18"/>
        <v>3</v>
      </c>
      <c r="AB556" s="47">
        <f t="shared" si="19"/>
        <v>2</v>
      </c>
      <c r="AD556" s="53"/>
      <c r="AE556" s="53"/>
      <c r="AF556" s="53"/>
      <c r="AG556" s="53"/>
    </row>
    <row r="557" spans="1:33" s="46" customFormat="1">
      <c r="A557" s="39">
        <v>41233</v>
      </c>
      <c r="B557" s="9" t="s">
        <v>2634</v>
      </c>
      <c r="C557" s="15">
        <v>760</v>
      </c>
      <c r="D557" s="41" t="s">
        <v>1352</v>
      </c>
      <c r="E557" s="9" t="s">
        <v>51</v>
      </c>
      <c r="F557" s="9" t="s">
        <v>479</v>
      </c>
      <c r="G557" s="9"/>
      <c r="H557" s="39"/>
      <c r="I557" s="9"/>
      <c r="J557" s="39"/>
      <c r="K557" s="42"/>
      <c r="L557" s="9" t="s">
        <v>1353</v>
      </c>
      <c r="M557" s="16"/>
      <c r="AA557" s="14">
        <f t="shared" si="18"/>
        <v>-82</v>
      </c>
      <c r="AB557" s="47">
        <f t="shared" si="19"/>
        <v>-83</v>
      </c>
      <c r="AD557" s="53"/>
      <c r="AE557" s="53"/>
      <c r="AF557" s="53"/>
      <c r="AG557" s="53"/>
    </row>
    <row r="558" spans="1:33" s="46" customFormat="1">
      <c r="A558" s="39">
        <v>41233</v>
      </c>
      <c r="B558" s="9" t="s">
        <v>1922</v>
      </c>
      <c r="C558" s="15">
        <v>573</v>
      </c>
      <c r="D558" s="41" t="s">
        <v>1441</v>
      </c>
      <c r="E558" s="9" t="s">
        <v>1429</v>
      </c>
      <c r="F558" s="9" t="s">
        <v>479</v>
      </c>
      <c r="G558" s="9"/>
      <c r="H558" s="39"/>
      <c r="I558" s="9"/>
      <c r="J558" s="39"/>
      <c r="K558" s="42"/>
      <c r="L558" s="9" t="s">
        <v>1442</v>
      </c>
      <c r="M558" s="16"/>
      <c r="AA558" s="14">
        <f t="shared" si="18"/>
        <v>-187</v>
      </c>
      <c r="AB558" s="47">
        <f t="shared" si="19"/>
        <v>-188</v>
      </c>
      <c r="AD558" s="53"/>
      <c r="AE558" s="53"/>
      <c r="AF558" s="53"/>
      <c r="AG558" s="53"/>
    </row>
    <row r="559" spans="1:33" s="46" customFormat="1">
      <c r="A559" s="39">
        <v>41233</v>
      </c>
      <c r="B559" s="9"/>
      <c r="C559" s="15"/>
      <c r="D559" s="41" t="s">
        <v>1431</v>
      </c>
      <c r="E559" s="9" t="s">
        <v>1429</v>
      </c>
      <c r="F559" s="9" t="s">
        <v>935</v>
      </c>
      <c r="G559" s="9"/>
      <c r="H559" s="39"/>
      <c r="I559" s="9"/>
      <c r="J559" s="39"/>
      <c r="K559" s="42"/>
      <c r="L559" s="9" t="s">
        <v>1432</v>
      </c>
      <c r="M559" s="16"/>
      <c r="AA559" s="14">
        <f t="shared" si="18"/>
        <v>-573</v>
      </c>
      <c r="AB559" s="47">
        <f t="shared" si="19"/>
        <v>-574</v>
      </c>
      <c r="AD559" s="53"/>
      <c r="AE559" s="53"/>
      <c r="AF559" s="53"/>
      <c r="AG559" s="53"/>
    </row>
    <row r="560" spans="1:33" s="46" customFormat="1">
      <c r="A560" s="39">
        <v>41233</v>
      </c>
      <c r="B560" s="9" t="s">
        <v>2070</v>
      </c>
      <c r="C560" s="15">
        <v>443</v>
      </c>
      <c r="D560" s="41" t="s">
        <v>1423</v>
      </c>
      <c r="E560" s="9" t="s">
        <v>359</v>
      </c>
      <c r="F560" s="9" t="s">
        <v>479</v>
      </c>
      <c r="G560" s="9"/>
      <c r="H560" s="39"/>
      <c r="I560" s="9"/>
      <c r="J560" s="39"/>
      <c r="K560" s="42"/>
      <c r="L560" s="9" t="s">
        <v>1424</v>
      </c>
      <c r="M560" s="16"/>
      <c r="AA560" s="14">
        <f t="shared" si="18"/>
        <v>443</v>
      </c>
      <c r="AB560" s="47">
        <f t="shared" si="19"/>
        <v>442</v>
      </c>
      <c r="AD560" s="53"/>
      <c r="AE560" s="53"/>
      <c r="AF560" s="53"/>
      <c r="AG560" s="53"/>
    </row>
    <row r="561" spans="1:33" s="46" customFormat="1">
      <c r="A561" s="39">
        <v>41233</v>
      </c>
      <c r="B561" s="9" t="s">
        <v>2120</v>
      </c>
      <c r="C561" s="15">
        <v>410</v>
      </c>
      <c r="D561" s="41" t="s">
        <v>2119</v>
      </c>
      <c r="E561" s="9" t="s">
        <v>51</v>
      </c>
      <c r="F561" s="9" t="s">
        <v>479</v>
      </c>
      <c r="G561" s="9"/>
      <c r="H561" s="39"/>
      <c r="I561" s="9"/>
      <c r="J561" s="39"/>
      <c r="K561" s="42"/>
      <c r="L561" s="9" t="s">
        <v>1376</v>
      </c>
      <c r="M561" s="16"/>
      <c r="AA561" s="14">
        <f t="shared" si="18"/>
        <v>-33</v>
      </c>
      <c r="AB561" s="47">
        <f t="shared" si="19"/>
        <v>-34</v>
      </c>
      <c r="AD561" s="53"/>
      <c r="AE561" s="53"/>
      <c r="AF561" s="53"/>
      <c r="AG561" s="53"/>
    </row>
    <row r="562" spans="1:33" s="46" customFormat="1">
      <c r="A562" s="39">
        <v>41233</v>
      </c>
      <c r="B562" s="9" t="s">
        <v>2695</v>
      </c>
      <c r="C562" s="15">
        <v>675</v>
      </c>
      <c r="D562" s="41" t="s">
        <v>1485</v>
      </c>
      <c r="E562" s="9" t="s">
        <v>1448</v>
      </c>
      <c r="F562" s="9" t="s">
        <v>479</v>
      </c>
      <c r="G562" s="9"/>
      <c r="H562" s="39"/>
      <c r="I562" s="9"/>
      <c r="J562" s="39"/>
      <c r="K562" s="42"/>
      <c r="L562" s="9" t="s">
        <v>1486</v>
      </c>
      <c r="M562" s="16"/>
      <c r="AA562" s="14">
        <f t="shared" si="18"/>
        <v>265</v>
      </c>
      <c r="AB562" s="47">
        <f t="shared" si="19"/>
        <v>264</v>
      </c>
      <c r="AD562" s="53"/>
      <c r="AE562" s="53"/>
      <c r="AF562" s="53"/>
      <c r="AG562" s="53"/>
    </row>
    <row r="563" spans="1:33" s="46" customFormat="1">
      <c r="A563" s="39">
        <v>41233</v>
      </c>
      <c r="B563" s="9" t="s">
        <v>1923</v>
      </c>
      <c r="C563" s="15">
        <v>572</v>
      </c>
      <c r="D563" s="41" t="s">
        <v>1451</v>
      </c>
      <c r="E563" s="9" t="s">
        <v>1448</v>
      </c>
      <c r="F563" s="9" t="s">
        <v>479</v>
      </c>
      <c r="G563" s="9"/>
      <c r="H563" s="39"/>
      <c r="I563" s="9"/>
      <c r="J563" s="39"/>
      <c r="K563" s="42"/>
      <c r="L563" s="9" t="s">
        <v>1452</v>
      </c>
      <c r="M563" s="16" t="s">
        <v>190</v>
      </c>
      <c r="AA563" s="14">
        <f t="shared" si="18"/>
        <v>-103</v>
      </c>
      <c r="AB563" s="47">
        <f t="shared" si="19"/>
        <v>-104</v>
      </c>
      <c r="AD563" s="53"/>
      <c r="AE563" s="53"/>
      <c r="AF563" s="53"/>
      <c r="AG563" s="53"/>
    </row>
    <row r="564" spans="1:33" s="46" customFormat="1">
      <c r="A564" s="39">
        <v>41233</v>
      </c>
      <c r="B564" s="9" t="s">
        <v>2105</v>
      </c>
      <c r="C564" s="15">
        <v>434</v>
      </c>
      <c r="D564" s="41" t="s">
        <v>1643</v>
      </c>
      <c r="E564" s="9" t="s">
        <v>313</v>
      </c>
      <c r="F564" s="9" t="s">
        <v>479</v>
      </c>
      <c r="G564" s="9"/>
      <c r="H564" s="39"/>
      <c r="I564" s="9"/>
      <c r="J564" s="39"/>
      <c r="K564" s="42"/>
      <c r="L564" s="9" t="s">
        <v>1644</v>
      </c>
      <c r="M564" s="16" t="s">
        <v>190</v>
      </c>
      <c r="AA564" s="14">
        <f t="shared" si="18"/>
        <v>-138</v>
      </c>
      <c r="AB564" s="47">
        <f t="shared" si="19"/>
        <v>-139</v>
      </c>
      <c r="AD564" s="53"/>
      <c r="AE564" s="53"/>
      <c r="AF564" s="53"/>
      <c r="AG564" s="53"/>
    </row>
    <row r="565" spans="1:33" s="46" customFormat="1">
      <c r="A565" s="39">
        <v>41233</v>
      </c>
      <c r="B565" s="9" t="s">
        <v>1959</v>
      </c>
      <c r="C565" s="15">
        <v>537</v>
      </c>
      <c r="D565" s="41" t="s">
        <v>1613</v>
      </c>
      <c r="E565" s="9" t="s">
        <v>1208</v>
      </c>
      <c r="F565" s="9" t="s">
        <v>479</v>
      </c>
      <c r="G565" s="9"/>
      <c r="H565" s="39"/>
      <c r="I565" s="9"/>
      <c r="J565" s="39"/>
      <c r="K565" s="42"/>
      <c r="L565" s="9" t="s">
        <v>1614</v>
      </c>
      <c r="M565" s="16"/>
      <c r="AA565" s="14">
        <f t="shared" si="18"/>
        <v>103</v>
      </c>
      <c r="AB565" s="47">
        <f t="shared" si="19"/>
        <v>102</v>
      </c>
      <c r="AD565" s="53"/>
      <c r="AE565" s="53"/>
      <c r="AF565" s="53"/>
      <c r="AG565" s="53"/>
    </row>
    <row r="566" spans="1:33" s="46" customFormat="1">
      <c r="A566" s="39">
        <v>41233</v>
      </c>
      <c r="B566" s="9" t="s">
        <v>2135</v>
      </c>
      <c r="C566" s="15">
        <v>487</v>
      </c>
      <c r="D566" s="41" t="s">
        <v>1539</v>
      </c>
      <c r="E566" s="9" t="s">
        <v>96</v>
      </c>
      <c r="F566" s="9" t="s">
        <v>479</v>
      </c>
      <c r="G566" s="9"/>
      <c r="H566" s="39"/>
      <c r="I566" s="9"/>
      <c r="J566" s="39"/>
      <c r="K566" s="42"/>
      <c r="L566" s="9" t="s">
        <v>1540</v>
      </c>
      <c r="M566" s="16"/>
      <c r="AA566" s="14">
        <f t="shared" si="18"/>
        <v>-50</v>
      </c>
      <c r="AB566" s="47">
        <f t="shared" si="19"/>
        <v>-51</v>
      </c>
      <c r="AD566" s="53"/>
      <c r="AE566" s="53"/>
      <c r="AF566" s="53"/>
      <c r="AG566" s="53"/>
    </row>
    <row r="567" spans="1:33" s="46" customFormat="1">
      <c r="A567" s="39">
        <v>41233</v>
      </c>
      <c r="B567" s="9" t="s">
        <v>2138</v>
      </c>
      <c r="C567" s="15">
        <v>498</v>
      </c>
      <c r="D567" s="41" t="s">
        <v>1645</v>
      </c>
      <c r="E567" s="9" t="s">
        <v>313</v>
      </c>
      <c r="F567" s="9" t="s">
        <v>479</v>
      </c>
      <c r="G567" s="9"/>
      <c r="H567" s="39"/>
      <c r="I567" s="9"/>
      <c r="J567" s="39"/>
      <c r="K567" s="42"/>
      <c r="L567" s="9" t="s">
        <v>1646</v>
      </c>
      <c r="M567" s="16"/>
      <c r="AA567" s="14">
        <f t="shared" si="18"/>
        <v>11</v>
      </c>
      <c r="AB567" s="47">
        <f t="shared" si="19"/>
        <v>10</v>
      </c>
      <c r="AD567" s="53"/>
      <c r="AE567" s="53"/>
      <c r="AF567" s="53"/>
      <c r="AG567" s="53"/>
    </row>
    <row r="568" spans="1:33" s="46" customFormat="1">
      <c r="A568" s="39">
        <v>41233</v>
      </c>
      <c r="B568" s="9" t="s">
        <v>2635</v>
      </c>
      <c r="C568" s="15">
        <v>758</v>
      </c>
      <c r="D568" s="41" t="s">
        <v>1383</v>
      </c>
      <c r="E568" s="9" t="s">
        <v>51</v>
      </c>
      <c r="F568" s="9" t="s">
        <v>479</v>
      </c>
      <c r="G568" s="9"/>
      <c r="H568" s="39"/>
      <c r="I568" s="9"/>
      <c r="J568" s="39"/>
      <c r="K568" s="42"/>
      <c r="L568" s="9" t="s">
        <v>1384</v>
      </c>
      <c r="M568" s="16"/>
      <c r="AA568" s="14">
        <f t="shared" si="18"/>
        <v>260</v>
      </c>
      <c r="AB568" s="47">
        <f t="shared" si="19"/>
        <v>259</v>
      </c>
      <c r="AD568" s="53"/>
      <c r="AE568" s="53"/>
      <c r="AF568" s="53"/>
      <c r="AG568" s="53"/>
    </row>
    <row r="569" spans="1:33" s="46" customFormat="1">
      <c r="A569" s="39">
        <v>41233</v>
      </c>
      <c r="B569" s="9" t="s">
        <v>1964</v>
      </c>
      <c r="C569" s="15">
        <v>540</v>
      </c>
      <c r="D569" s="41" t="s">
        <v>1522</v>
      </c>
      <c r="E569" s="9" t="s">
        <v>1420</v>
      </c>
      <c r="F569" s="9" t="s">
        <v>479</v>
      </c>
      <c r="G569" s="9"/>
      <c r="H569" s="39"/>
      <c r="I569" s="9"/>
      <c r="J569" s="39"/>
      <c r="K569" s="42"/>
      <c r="L569" s="9"/>
      <c r="M569" s="16"/>
      <c r="AA569" s="14">
        <f t="shared" si="18"/>
        <v>-218</v>
      </c>
      <c r="AB569" s="47">
        <f t="shared" si="19"/>
        <v>-219</v>
      </c>
      <c r="AD569" s="53"/>
      <c r="AE569" s="53"/>
      <c r="AF569" s="53"/>
      <c r="AG569" s="53"/>
    </row>
    <row r="570" spans="1:33" s="46" customFormat="1">
      <c r="A570" s="39">
        <v>41233</v>
      </c>
      <c r="B570" s="9" t="s">
        <v>2001</v>
      </c>
      <c r="C570" s="15">
        <v>356</v>
      </c>
      <c r="D570" s="41" t="s">
        <v>1389</v>
      </c>
      <c r="E570" s="9" t="s">
        <v>57</v>
      </c>
      <c r="F570" s="9" t="s">
        <v>479</v>
      </c>
      <c r="G570" s="9"/>
      <c r="H570" s="39"/>
      <c r="I570" s="9"/>
      <c r="J570" s="39"/>
      <c r="K570" s="42"/>
      <c r="L570" s="9"/>
      <c r="M570" s="16"/>
      <c r="AA570" s="14">
        <f t="shared" si="18"/>
        <v>-184</v>
      </c>
      <c r="AB570" s="47">
        <f t="shared" si="19"/>
        <v>-185</v>
      </c>
      <c r="AD570" s="53"/>
      <c r="AE570" s="53"/>
      <c r="AF570" s="53"/>
      <c r="AG570" s="53"/>
    </row>
    <row r="571" spans="1:33" s="46" customFormat="1">
      <c r="A571" s="39">
        <v>41233</v>
      </c>
      <c r="B571" s="9" t="s">
        <v>2783</v>
      </c>
      <c r="C571" s="15">
        <v>704</v>
      </c>
      <c r="D571" s="41" t="s">
        <v>1574</v>
      </c>
      <c r="E571" s="9" t="s">
        <v>96</v>
      </c>
      <c r="F571" s="9" t="s">
        <v>935</v>
      </c>
      <c r="G571" s="9"/>
      <c r="H571" s="39"/>
      <c r="I571" s="9"/>
      <c r="J571" s="39"/>
      <c r="K571" s="42"/>
      <c r="L571" s="9"/>
      <c r="M571" s="16" t="s">
        <v>191</v>
      </c>
      <c r="AA571" s="14">
        <f t="shared" si="18"/>
        <v>348</v>
      </c>
      <c r="AB571" s="47">
        <f t="shared" si="19"/>
        <v>347</v>
      </c>
      <c r="AD571" s="53"/>
      <c r="AE571" s="53"/>
      <c r="AF571" s="53"/>
      <c r="AG571" s="53"/>
    </row>
    <row r="572" spans="1:33" s="46" customFormat="1">
      <c r="A572" s="39">
        <v>41233</v>
      </c>
      <c r="B572" s="9"/>
      <c r="C572" s="15"/>
      <c r="D572" s="41" t="s">
        <v>1356</v>
      </c>
      <c r="E572" s="9" t="s">
        <v>51</v>
      </c>
      <c r="F572" s="9" t="s">
        <v>935</v>
      </c>
      <c r="G572" s="9"/>
      <c r="H572" s="39"/>
      <c r="I572" s="9"/>
      <c r="J572" s="39"/>
      <c r="K572" s="42"/>
      <c r="L572" s="9"/>
      <c r="M572" s="16" t="s">
        <v>191</v>
      </c>
      <c r="AA572" s="14">
        <f t="shared" si="18"/>
        <v>-704</v>
      </c>
      <c r="AB572" s="47">
        <f t="shared" si="19"/>
        <v>-705</v>
      </c>
      <c r="AD572" s="53"/>
      <c r="AE572" s="53"/>
      <c r="AF572" s="53"/>
      <c r="AG572" s="53"/>
    </row>
    <row r="573" spans="1:33" s="46" customFormat="1">
      <c r="A573" s="39">
        <v>41233</v>
      </c>
      <c r="B573" s="9" t="s">
        <v>2013</v>
      </c>
      <c r="C573" s="15">
        <v>373</v>
      </c>
      <c r="D573" s="41" t="s">
        <v>1387</v>
      </c>
      <c r="E573" s="9" t="s">
        <v>51</v>
      </c>
      <c r="F573" s="9" t="s">
        <v>479</v>
      </c>
      <c r="G573" s="9"/>
      <c r="H573" s="39"/>
      <c r="I573" s="9"/>
      <c r="J573" s="39"/>
      <c r="K573" s="42"/>
      <c r="L573" s="9" t="s">
        <v>1388</v>
      </c>
      <c r="M573" s="16"/>
      <c r="AA573" s="14">
        <f t="shared" si="18"/>
        <v>373</v>
      </c>
      <c r="AB573" s="47">
        <f t="shared" si="19"/>
        <v>372</v>
      </c>
      <c r="AD573" s="53"/>
      <c r="AE573" s="53"/>
      <c r="AF573" s="53"/>
      <c r="AG573" s="53"/>
    </row>
    <row r="574" spans="1:33" s="46" customFormat="1">
      <c r="A574" s="39">
        <v>41233</v>
      </c>
      <c r="B574" s="9"/>
      <c r="C574" s="15"/>
      <c r="D574" s="41" t="s">
        <v>1531</v>
      </c>
      <c r="E574" s="9" t="s">
        <v>1420</v>
      </c>
      <c r="F574" s="9" t="s">
        <v>935</v>
      </c>
      <c r="G574" s="9"/>
      <c r="H574" s="39"/>
      <c r="I574" s="9"/>
      <c r="J574" s="39"/>
      <c r="K574" s="42"/>
      <c r="L574" s="9"/>
      <c r="M574" s="16"/>
      <c r="AA574" s="14">
        <f t="shared" si="18"/>
        <v>-373</v>
      </c>
      <c r="AB574" s="47">
        <f t="shared" si="19"/>
        <v>-374</v>
      </c>
      <c r="AD574" s="53"/>
      <c r="AE574" s="53"/>
      <c r="AF574" s="53"/>
      <c r="AG574" s="53"/>
    </row>
    <row r="575" spans="1:33" s="46" customFormat="1">
      <c r="A575" s="39">
        <v>41233</v>
      </c>
      <c r="B575" s="9"/>
      <c r="C575" s="15"/>
      <c r="D575" s="41" t="s">
        <v>1529</v>
      </c>
      <c r="E575" s="9" t="s">
        <v>51</v>
      </c>
      <c r="F575" s="9" t="s">
        <v>935</v>
      </c>
      <c r="G575" s="9"/>
      <c r="H575" s="39"/>
      <c r="I575" s="9"/>
      <c r="J575" s="39"/>
      <c r="K575" s="42"/>
      <c r="L575" s="9" t="s">
        <v>1530</v>
      </c>
      <c r="M575" s="16"/>
      <c r="AA575" s="14">
        <f t="shared" si="18"/>
        <v>0</v>
      </c>
      <c r="AB575" s="47">
        <f t="shared" si="19"/>
        <v>-1</v>
      </c>
      <c r="AD575" s="53"/>
      <c r="AE575" s="53"/>
      <c r="AF575" s="53"/>
      <c r="AG575" s="53"/>
    </row>
    <row r="576" spans="1:33" s="46" customFormat="1">
      <c r="A576" s="39">
        <v>41233</v>
      </c>
      <c r="B576" s="9" t="s">
        <v>2104</v>
      </c>
      <c r="C576" s="15">
        <v>432</v>
      </c>
      <c r="D576" s="41" t="s">
        <v>1633</v>
      </c>
      <c r="E576" s="9" t="s">
        <v>313</v>
      </c>
      <c r="F576" s="9" t="s">
        <v>479</v>
      </c>
      <c r="G576" s="9"/>
      <c r="H576" s="39"/>
      <c r="I576" s="9"/>
      <c r="J576" s="39"/>
      <c r="K576" s="42"/>
      <c r="L576" s="9" t="s">
        <v>1634</v>
      </c>
      <c r="M576" s="16"/>
      <c r="AA576" s="14">
        <f t="shared" si="18"/>
        <v>432</v>
      </c>
      <c r="AB576" s="47">
        <f t="shared" si="19"/>
        <v>431</v>
      </c>
      <c r="AD576" s="53"/>
      <c r="AE576" s="53"/>
      <c r="AF576" s="53"/>
      <c r="AG576" s="53"/>
    </row>
    <row r="577" spans="1:33" s="46" customFormat="1">
      <c r="A577" s="39">
        <v>41233</v>
      </c>
      <c r="B577" s="9" t="s">
        <v>2139</v>
      </c>
      <c r="C577" s="15">
        <v>499</v>
      </c>
      <c r="D577" s="41" t="s">
        <v>1649</v>
      </c>
      <c r="E577" s="9" t="s">
        <v>313</v>
      </c>
      <c r="F577" s="9" t="s">
        <v>479</v>
      </c>
      <c r="G577" s="9"/>
      <c r="H577" s="39"/>
      <c r="I577" s="9"/>
      <c r="J577" s="39"/>
      <c r="K577" s="42"/>
      <c r="L577" s="9" t="s">
        <v>1650</v>
      </c>
      <c r="M577" s="16" t="s">
        <v>191</v>
      </c>
      <c r="AA577" s="14">
        <f t="shared" si="18"/>
        <v>67</v>
      </c>
      <c r="AB577" s="47">
        <f t="shared" si="19"/>
        <v>66</v>
      </c>
      <c r="AD577" s="53"/>
      <c r="AE577" s="53"/>
      <c r="AF577" s="53"/>
      <c r="AG577" s="53"/>
    </row>
    <row r="578" spans="1:33" s="46" customFormat="1">
      <c r="A578" s="39">
        <v>41233</v>
      </c>
      <c r="B578" s="9" t="s">
        <v>1956</v>
      </c>
      <c r="C578" s="15">
        <v>534</v>
      </c>
      <c r="D578" s="41" t="s">
        <v>1647</v>
      </c>
      <c r="E578" s="9" t="s">
        <v>313</v>
      </c>
      <c r="F578" s="9" t="s">
        <v>479</v>
      </c>
      <c r="G578" s="9"/>
      <c r="H578" s="39"/>
      <c r="I578" s="9"/>
      <c r="J578" s="39"/>
      <c r="K578" s="42"/>
      <c r="L578" s="9" t="s">
        <v>1648</v>
      </c>
      <c r="M578" s="16"/>
      <c r="AA578" s="14">
        <f t="shared" si="18"/>
        <v>35</v>
      </c>
      <c r="AB578" s="47">
        <f t="shared" si="19"/>
        <v>34</v>
      </c>
      <c r="AD578" s="53"/>
      <c r="AE578" s="53"/>
      <c r="AF578" s="53"/>
      <c r="AG578" s="53"/>
    </row>
    <row r="579" spans="1:33" s="46" customFormat="1">
      <c r="A579" s="39">
        <v>41233</v>
      </c>
      <c r="B579" s="9" t="s">
        <v>2140</v>
      </c>
      <c r="C579" s="15">
        <v>501</v>
      </c>
      <c r="D579" s="41" t="s">
        <v>1651</v>
      </c>
      <c r="E579" s="9" t="s">
        <v>313</v>
      </c>
      <c r="F579" s="9" t="s">
        <v>479</v>
      </c>
      <c r="G579" s="9"/>
      <c r="H579" s="39"/>
      <c r="I579" s="9"/>
      <c r="J579" s="39"/>
      <c r="K579" s="42"/>
      <c r="L579" s="9" t="s">
        <v>1652</v>
      </c>
      <c r="M579" s="16" t="s">
        <v>193</v>
      </c>
      <c r="AA579" s="14">
        <f t="shared" si="18"/>
        <v>-33</v>
      </c>
      <c r="AB579" s="47">
        <f t="shared" si="19"/>
        <v>-34</v>
      </c>
      <c r="AD579" s="53"/>
      <c r="AE579" s="53"/>
      <c r="AF579" s="53"/>
      <c r="AG579" s="53"/>
    </row>
    <row r="580" spans="1:33" s="46" customFormat="1">
      <c r="A580" s="39">
        <v>41233</v>
      </c>
      <c r="B580" s="9" t="s">
        <v>2887</v>
      </c>
      <c r="C580" s="15">
        <v>795</v>
      </c>
      <c r="D580" s="41" t="s">
        <v>1527</v>
      </c>
      <c r="E580" s="9" t="s">
        <v>51</v>
      </c>
      <c r="F580" s="9" t="s">
        <v>935</v>
      </c>
      <c r="G580" s="9"/>
      <c r="H580" s="39"/>
      <c r="I580" s="9"/>
      <c r="J580" s="39"/>
      <c r="K580" s="42"/>
      <c r="L580" s="9" t="s">
        <v>1528</v>
      </c>
      <c r="M580" s="16"/>
      <c r="AA580" s="14">
        <f t="shared" si="18"/>
        <v>294</v>
      </c>
      <c r="AB580" s="47">
        <f t="shared" si="19"/>
        <v>293</v>
      </c>
      <c r="AD580" s="53"/>
      <c r="AE580" s="53"/>
      <c r="AF580" s="53"/>
      <c r="AG580" s="53"/>
    </row>
    <row r="581" spans="1:33" s="46" customFormat="1">
      <c r="A581" s="39">
        <v>41233</v>
      </c>
      <c r="B581" s="9" t="s">
        <v>2263</v>
      </c>
      <c r="C581" s="15">
        <v>654</v>
      </c>
      <c r="D581" s="41" t="s">
        <v>1453</v>
      </c>
      <c r="E581" s="9" t="s">
        <v>1448</v>
      </c>
      <c r="F581" s="9" t="s">
        <v>479</v>
      </c>
      <c r="G581" s="9"/>
      <c r="H581" s="39"/>
      <c r="I581" s="9"/>
      <c r="J581" s="39"/>
      <c r="K581" s="42"/>
      <c r="L581" s="9" t="s">
        <v>1454</v>
      </c>
      <c r="M581" s="16"/>
      <c r="AA581" s="14">
        <f t="shared" si="18"/>
        <v>-141</v>
      </c>
      <c r="AB581" s="47">
        <f t="shared" si="19"/>
        <v>-142</v>
      </c>
      <c r="AD581" s="53"/>
      <c r="AE581" s="53"/>
      <c r="AF581" s="53"/>
      <c r="AG581" s="53"/>
    </row>
    <row r="582" spans="1:33" s="46" customFormat="1">
      <c r="A582" s="39">
        <v>41233</v>
      </c>
      <c r="B582" s="9" t="s">
        <v>2090</v>
      </c>
      <c r="C582" s="15">
        <v>469</v>
      </c>
      <c r="D582" s="41" t="s">
        <v>1457</v>
      </c>
      <c r="E582" s="9" t="s">
        <v>1448</v>
      </c>
      <c r="F582" s="9" t="s">
        <v>479</v>
      </c>
      <c r="G582" s="9"/>
      <c r="H582" s="39"/>
      <c r="I582" s="9"/>
      <c r="J582" s="39"/>
      <c r="K582" s="42"/>
      <c r="L582" s="9" t="s">
        <v>1458</v>
      </c>
      <c r="M582" s="16"/>
      <c r="AA582" s="14">
        <f t="shared" si="18"/>
        <v>-185</v>
      </c>
      <c r="AB582" s="47">
        <f t="shared" si="19"/>
        <v>-186</v>
      </c>
      <c r="AD582" s="53"/>
      <c r="AE582" s="53"/>
      <c r="AF582" s="53"/>
      <c r="AG582" s="53"/>
    </row>
    <row r="583" spans="1:33" s="46" customFormat="1">
      <c r="A583" s="39">
        <v>41233</v>
      </c>
      <c r="B583" s="9" t="s">
        <v>2253</v>
      </c>
      <c r="C583" s="15">
        <v>644</v>
      </c>
      <c r="D583" s="41" t="s">
        <v>1455</v>
      </c>
      <c r="E583" s="9" t="s">
        <v>1448</v>
      </c>
      <c r="F583" s="9" t="s">
        <v>479</v>
      </c>
      <c r="G583" s="9"/>
      <c r="H583" s="39"/>
      <c r="I583" s="9"/>
      <c r="J583" s="39"/>
      <c r="K583" s="42"/>
      <c r="L583" s="9" t="s">
        <v>1456</v>
      </c>
      <c r="M583" s="16" t="s">
        <v>193</v>
      </c>
      <c r="AA583" s="14">
        <f t="shared" si="18"/>
        <v>175</v>
      </c>
      <c r="AB583" s="47">
        <f t="shared" si="19"/>
        <v>174</v>
      </c>
      <c r="AD583" s="53"/>
      <c r="AE583" s="53"/>
      <c r="AF583" s="53"/>
      <c r="AG583" s="53"/>
    </row>
    <row r="584" spans="1:33" s="46" customFormat="1">
      <c r="A584" s="39">
        <v>41233</v>
      </c>
      <c r="B584" s="9" t="s">
        <v>2089</v>
      </c>
      <c r="C584" s="15">
        <v>468</v>
      </c>
      <c r="D584" s="41" t="s">
        <v>1461</v>
      </c>
      <c r="E584" s="9" t="s">
        <v>1448</v>
      </c>
      <c r="F584" s="9" t="s">
        <v>479</v>
      </c>
      <c r="G584" s="9"/>
      <c r="H584" s="39"/>
      <c r="I584" s="9"/>
      <c r="J584" s="39"/>
      <c r="K584" s="42"/>
      <c r="L584" s="9" t="s">
        <v>1462</v>
      </c>
      <c r="M584" s="16"/>
      <c r="AA584" s="14">
        <f t="shared" si="18"/>
        <v>-176</v>
      </c>
      <c r="AB584" s="47">
        <f t="shared" si="19"/>
        <v>-177</v>
      </c>
      <c r="AD584" s="53"/>
      <c r="AE584" s="53"/>
      <c r="AF584" s="53"/>
      <c r="AG584" s="53"/>
    </row>
    <row r="585" spans="1:33" s="46" customFormat="1">
      <c r="A585" s="39">
        <v>41233</v>
      </c>
      <c r="B585" s="9" t="s">
        <v>1963</v>
      </c>
      <c r="C585" s="15">
        <v>541</v>
      </c>
      <c r="D585" s="41" t="s">
        <v>1505</v>
      </c>
      <c r="E585" s="9" t="s">
        <v>484</v>
      </c>
      <c r="F585" s="9" t="s">
        <v>479</v>
      </c>
      <c r="G585" s="9"/>
      <c r="H585" s="39"/>
      <c r="I585" s="9"/>
      <c r="J585" s="39"/>
      <c r="K585" s="42"/>
      <c r="L585" s="9" t="s">
        <v>1506</v>
      </c>
      <c r="M585" s="16" t="s">
        <v>193</v>
      </c>
      <c r="AA585" s="14">
        <f t="shared" si="18"/>
        <v>73</v>
      </c>
      <c r="AB585" s="47">
        <f t="shared" si="19"/>
        <v>72</v>
      </c>
      <c r="AD585" s="53"/>
      <c r="AE585" s="53"/>
      <c r="AF585" s="53"/>
      <c r="AG585" s="53"/>
    </row>
    <row r="586" spans="1:33" s="46" customFormat="1">
      <c r="A586" s="39">
        <v>41233</v>
      </c>
      <c r="B586" s="9" t="s">
        <v>2188</v>
      </c>
      <c r="C586" s="15">
        <v>589</v>
      </c>
      <c r="D586" s="41" t="s">
        <v>1593</v>
      </c>
      <c r="E586" s="9" t="s">
        <v>313</v>
      </c>
      <c r="F586" s="9" t="s">
        <v>479</v>
      </c>
      <c r="G586" s="9"/>
      <c r="H586" s="39"/>
      <c r="I586" s="9"/>
      <c r="J586" s="39"/>
      <c r="K586" s="42"/>
      <c r="L586" s="9" t="s">
        <v>1594</v>
      </c>
      <c r="M586" s="16"/>
      <c r="AA586" s="14">
        <f t="shared" si="18"/>
        <v>48</v>
      </c>
      <c r="AB586" s="47">
        <f t="shared" si="19"/>
        <v>47</v>
      </c>
      <c r="AD586" s="53"/>
      <c r="AE586" s="53"/>
      <c r="AF586" s="53"/>
      <c r="AG586" s="53"/>
    </row>
    <row r="587" spans="1:33" s="46" customFormat="1">
      <c r="A587" s="39">
        <v>41233</v>
      </c>
      <c r="B587" s="9" t="s">
        <v>2077</v>
      </c>
      <c r="C587" s="15">
        <v>453</v>
      </c>
      <c r="D587" s="41" t="s">
        <v>1496</v>
      </c>
      <c r="E587" s="9" t="s">
        <v>1448</v>
      </c>
      <c r="F587" s="9" t="s">
        <v>479</v>
      </c>
      <c r="G587" s="9"/>
      <c r="H587" s="39"/>
      <c r="I587" s="9"/>
      <c r="J587" s="39"/>
      <c r="K587" s="42"/>
      <c r="L587" s="9" t="s">
        <v>1497</v>
      </c>
      <c r="M587" s="16"/>
      <c r="AA587" s="14">
        <f t="shared" si="18"/>
        <v>-136</v>
      </c>
      <c r="AB587" s="47">
        <f t="shared" si="19"/>
        <v>-137</v>
      </c>
      <c r="AD587" s="53"/>
      <c r="AE587" s="53"/>
      <c r="AF587" s="53"/>
      <c r="AG587" s="53"/>
    </row>
    <row r="588" spans="1:33" s="46" customFormat="1">
      <c r="A588" s="39">
        <v>41233</v>
      </c>
      <c r="B588" s="9" t="s">
        <v>2004</v>
      </c>
      <c r="C588" s="15">
        <v>358</v>
      </c>
      <c r="D588" s="41" t="s">
        <v>2003</v>
      </c>
      <c r="E588" s="9" t="s">
        <v>57</v>
      </c>
      <c r="F588" s="9" t="s">
        <v>479</v>
      </c>
      <c r="G588" s="9"/>
      <c r="H588" s="39"/>
      <c r="I588" s="9"/>
      <c r="J588" s="39"/>
      <c r="K588" s="42"/>
      <c r="L588" s="9"/>
      <c r="M588" s="16"/>
      <c r="AA588" s="14">
        <f t="shared" si="18"/>
        <v>-95</v>
      </c>
      <c r="AB588" s="47">
        <f t="shared" si="19"/>
        <v>-96</v>
      </c>
      <c r="AD588" s="53"/>
      <c r="AE588" s="53"/>
      <c r="AF588" s="53"/>
      <c r="AG588" s="53"/>
    </row>
    <row r="589" spans="1:33" s="46" customFormat="1">
      <c r="A589" s="39">
        <v>41233</v>
      </c>
      <c r="B589" s="9" t="s">
        <v>2191</v>
      </c>
      <c r="C589" s="15">
        <v>592</v>
      </c>
      <c r="D589" s="41" t="s">
        <v>1635</v>
      </c>
      <c r="E589" s="9" t="s">
        <v>313</v>
      </c>
      <c r="F589" s="9" t="s">
        <v>479</v>
      </c>
      <c r="G589" s="9"/>
      <c r="H589" s="39"/>
      <c r="I589" s="9"/>
      <c r="J589" s="39"/>
      <c r="K589" s="42"/>
      <c r="L589" s="9" t="s">
        <v>1636</v>
      </c>
      <c r="M589" s="16"/>
      <c r="AA589" s="14">
        <f t="shared" si="18"/>
        <v>234</v>
      </c>
      <c r="AB589" s="47">
        <f t="shared" si="19"/>
        <v>233</v>
      </c>
      <c r="AD589" s="53"/>
      <c r="AE589" s="53"/>
      <c r="AF589" s="53"/>
      <c r="AG589" s="53"/>
    </row>
    <row r="590" spans="1:33" s="46" customFormat="1">
      <c r="A590" s="39">
        <v>41233</v>
      </c>
      <c r="B590" s="9" t="s">
        <v>1925</v>
      </c>
      <c r="C590" s="15">
        <v>570</v>
      </c>
      <c r="D590" s="41" t="s">
        <v>1615</v>
      </c>
      <c r="E590" s="9" t="s">
        <v>313</v>
      </c>
      <c r="F590" s="9" t="s">
        <v>479</v>
      </c>
      <c r="G590" s="9"/>
      <c r="H590" s="39"/>
      <c r="I590" s="9"/>
      <c r="J590" s="39"/>
      <c r="K590" s="42"/>
      <c r="L590" s="9" t="s">
        <v>1616</v>
      </c>
      <c r="M590" s="16"/>
      <c r="AA590" s="14">
        <f t="shared" si="18"/>
        <v>-22</v>
      </c>
      <c r="AB590" s="47">
        <f t="shared" si="19"/>
        <v>-23</v>
      </c>
      <c r="AD590" s="53"/>
      <c r="AE590" s="53"/>
      <c r="AF590" s="53"/>
      <c r="AG590" s="53"/>
    </row>
    <row r="591" spans="1:33" s="46" customFormat="1">
      <c r="A591" s="39">
        <v>41233</v>
      </c>
      <c r="B591" s="9" t="s">
        <v>1970</v>
      </c>
      <c r="C591" s="15">
        <v>520</v>
      </c>
      <c r="D591" s="41" t="s">
        <v>1361</v>
      </c>
      <c r="E591" s="9" t="s">
        <v>51</v>
      </c>
      <c r="F591" s="9" t="s">
        <v>479</v>
      </c>
      <c r="G591" s="9"/>
      <c r="H591" s="39"/>
      <c r="I591" s="9"/>
      <c r="J591" s="39"/>
      <c r="K591" s="42"/>
      <c r="L591" s="9"/>
      <c r="M591" s="16" t="s">
        <v>191</v>
      </c>
      <c r="AA591" s="14">
        <f t="shared" si="18"/>
        <v>-50</v>
      </c>
      <c r="AB591" s="47">
        <f t="shared" si="19"/>
        <v>-51</v>
      </c>
      <c r="AD591" s="53"/>
      <c r="AE591" s="53"/>
      <c r="AF591" s="53"/>
      <c r="AG591" s="53"/>
    </row>
    <row r="592" spans="1:33" s="46" customFormat="1">
      <c r="A592" s="39">
        <v>41233</v>
      </c>
      <c r="B592" s="9" t="s">
        <v>2269</v>
      </c>
      <c r="C592" s="15">
        <v>714</v>
      </c>
      <c r="D592" s="41" t="s">
        <v>1543</v>
      </c>
      <c r="E592" s="9" t="s">
        <v>96</v>
      </c>
      <c r="F592" s="9" t="s">
        <v>479</v>
      </c>
      <c r="G592" s="9"/>
      <c r="H592" s="39"/>
      <c r="I592" s="9"/>
      <c r="J592" s="39"/>
      <c r="K592" s="42"/>
      <c r="L592" s="9" t="s">
        <v>1544</v>
      </c>
      <c r="M592" s="16"/>
      <c r="AA592" s="14">
        <f t="shared" si="18"/>
        <v>194</v>
      </c>
      <c r="AB592" s="47">
        <f t="shared" si="19"/>
        <v>193</v>
      </c>
      <c r="AD592" s="53"/>
      <c r="AE592" s="53"/>
      <c r="AF592" s="53"/>
      <c r="AG592" s="53"/>
    </row>
    <row r="593" spans="1:33" s="46" customFormat="1">
      <c r="A593" s="39">
        <v>41233</v>
      </c>
      <c r="B593" s="9" t="s">
        <v>2194</v>
      </c>
      <c r="C593" s="15">
        <v>595</v>
      </c>
      <c r="D593" s="41" t="s">
        <v>1545</v>
      </c>
      <c r="E593" s="9" t="s">
        <v>96</v>
      </c>
      <c r="F593" s="9" t="s">
        <v>479</v>
      </c>
      <c r="G593" s="9"/>
      <c r="H593" s="39"/>
      <c r="I593" s="9"/>
      <c r="J593" s="39"/>
      <c r="K593" s="42"/>
      <c r="L593" s="9" t="s">
        <v>1546</v>
      </c>
      <c r="M593" s="16"/>
      <c r="AA593" s="14">
        <f t="shared" si="18"/>
        <v>-119</v>
      </c>
      <c r="AB593" s="47">
        <f t="shared" si="19"/>
        <v>-120</v>
      </c>
      <c r="AD593" s="53"/>
      <c r="AE593" s="53"/>
      <c r="AF593" s="53"/>
      <c r="AG593" s="53"/>
    </row>
    <row r="594" spans="1:33" s="46" customFormat="1">
      <c r="A594" s="39">
        <v>41233</v>
      </c>
      <c r="B594" s="9" t="s">
        <v>2133</v>
      </c>
      <c r="C594" s="15">
        <v>484</v>
      </c>
      <c r="D594" s="41" t="s">
        <v>1542</v>
      </c>
      <c r="E594" s="9" t="s">
        <v>96</v>
      </c>
      <c r="F594" s="9" t="s">
        <v>479</v>
      </c>
      <c r="G594" s="9"/>
      <c r="H594" s="39"/>
      <c r="I594" s="9"/>
      <c r="J594" s="39"/>
      <c r="K594" s="42"/>
      <c r="L594" s="9" t="s">
        <v>1541</v>
      </c>
      <c r="M594" s="16"/>
      <c r="AA594" s="14">
        <f t="shared" si="18"/>
        <v>-111</v>
      </c>
      <c r="AB594" s="47">
        <f t="shared" si="19"/>
        <v>-112</v>
      </c>
      <c r="AD594" s="53"/>
      <c r="AE594" s="53"/>
      <c r="AF594" s="53"/>
      <c r="AG594" s="53"/>
    </row>
    <row r="595" spans="1:33" s="46" customFormat="1">
      <c r="A595" s="39">
        <v>41233</v>
      </c>
      <c r="B595" s="9" t="s">
        <v>2128</v>
      </c>
      <c r="C595" s="15">
        <v>474</v>
      </c>
      <c r="D595" s="41" t="s">
        <v>1557</v>
      </c>
      <c r="E595" s="9" t="s">
        <v>96</v>
      </c>
      <c r="F595" s="9" t="s">
        <v>479</v>
      </c>
      <c r="G595" s="9"/>
      <c r="H595" s="39"/>
      <c r="I595" s="9"/>
      <c r="J595" s="39"/>
      <c r="K595" s="42"/>
      <c r="L595" s="9" t="s">
        <v>1558</v>
      </c>
      <c r="M595" s="16" t="s">
        <v>193</v>
      </c>
      <c r="AA595" s="14">
        <f t="shared" si="18"/>
        <v>-10</v>
      </c>
      <c r="AB595" s="47">
        <f t="shared" si="19"/>
        <v>-11</v>
      </c>
      <c r="AD595" s="53"/>
      <c r="AE595" s="53"/>
      <c r="AF595" s="53"/>
      <c r="AG595" s="53"/>
    </row>
    <row r="596" spans="1:33" s="46" customFormat="1">
      <c r="A596" s="39">
        <v>41233</v>
      </c>
      <c r="B596" s="9" t="s">
        <v>2195</v>
      </c>
      <c r="C596" s="15">
        <v>596</v>
      </c>
      <c r="D596" s="41" t="s">
        <v>1377</v>
      </c>
      <c r="E596" s="9" t="s">
        <v>51</v>
      </c>
      <c r="F596" s="9" t="s">
        <v>479</v>
      </c>
      <c r="G596" s="9"/>
      <c r="H596" s="39"/>
      <c r="I596" s="9"/>
      <c r="J596" s="39"/>
      <c r="K596" s="42"/>
      <c r="L596" s="9" t="s">
        <v>1378</v>
      </c>
      <c r="M596" s="16"/>
      <c r="AA596" s="14">
        <f t="shared" si="18"/>
        <v>122</v>
      </c>
      <c r="AB596" s="47">
        <f t="shared" si="19"/>
        <v>121</v>
      </c>
      <c r="AD596" s="53"/>
      <c r="AE596" s="53"/>
      <c r="AF596" s="53"/>
      <c r="AG596" s="53"/>
    </row>
    <row r="597" spans="1:33" s="46" customFormat="1">
      <c r="A597" s="39">
        <v>41233</v>
      </c>
      <c r="B597" s="9" t="s">
        <v>2018</v>
      </c>
      <c r="C597" s="15">
        <v>378</v>
      </c>
      <c r="D597" s="41" t="s">
        <v>1390</v>
      </c>
      <c r="E597" s="9" t="s">
        <v>51</v>
      </c>
      <c r="F597" s="9" t="s">
        <v>479</v>
      </c>
      <c r="G597" s="9"/>
      <c r="H597" s="39"/>
      <c r="I597" s="9"/>
      <c r="J597" s="39"/>
      <c r="K597" s="42"/>
      <c r="L597" s="9" t="s">
        <v>1391</v>
      </c>
      <c r="M597" s="16"/>
      <c r="AA597" s="14">
        <f t="shared" si="18"/>
        <v>-218</v>
      </c>
      <c r="AB597" s="47">
        <f t="shared" si="19"/>
        <v>-219</v>
      </c>
      <c r="AD597" s="53"/>
      <c r="AE597" s="53"/>
      <c r="AF597" s="53"/>
      <c r="AG597" s="53"/>
    </row>
    <row r="598" spans="1:33" s="46" customFormat="1">
      <c r="A598" s="39">
        <v>41233</v>
      </c>
      <c r="B598" s="9"/>
      <c r="C598" s="15"/>
      <c r="D598" s="41" t="s">
        <v>1489</v>
      </c>
      <c r="E598" s="9" t="s">
        <v>1448</v>
      </c>
      <c r="F598" s="9" t="s">
        <v>479</v>
      </c>
      <c r="G598" s="9"/>
      <c r="H598" s="39"/>
      <c r="I598" s="9"/>
      <c r="J598" s="39"/>
      <c r="K598" s="42"/>
      <c r="L598" s="9" t="s">
        <v>278</v>
      </c>
      <c r="M598" s="16"/>
      <c r="AA598" s="14">
        <f t="shared" si="18"/>
        <v>-378</v>
      </c>
      <c r="AB598" s="47">
        <f t="shared" si="19"/>
        <v>-379</v>
      </c>
      <c r="AD598" s="53"/>
      <c r="AE598" s="53"/>
      <c r="AF598" s="53"/>
      <c r="AG598" s="53"/>
    </row>
    <row r="599" spans="1:33" s="46" customFormat="1">
      <c r="A599" s="39">
        <v>41233</v>
      </c>
      <c r="B599" s="9" t="s">
        <v>2205</v>
      </c>
      <c r="C599" s="15">
        <v>600</v>
      </c>
      <c r="D599" s="41" t="s">
        <v>1621</v>
      </c>
      <c r="E599" s="9" t="s">
        <v>313</v>
      </c>
      <c r="F599" s="9" t="s">
        <v>479</v>
      </c>
      <c r="G599" s="9"/>
      <c r="H599" s="39"/>
      <c r="I599" s="9"/>
      <c r="J599" s="39"/>
      <c r="K599" s="42"/>
      <c r="L599" s="9" t="s">
        <v>1622</v>
      </c>
      <c r="M599" s="16"/>
      <c r="AA599" s="14">
        <f t="shared" si="18"/>
        <v>600</v>
      </c>
      <c r="AB599" s="47">
        <f t="shared" si="19"/>
        <v>599</v>
      </c>
      <c r="AD599" s="53"/>
      <c r="AE599" s="53"/>
      <c r="AF599" s="53"/>
      <c r="AG599" s="53"/>
    </row>
    <row r="600" spans="1:33" s="46" customFormat="1">
      <c r="A600" s="39">
        <v>41233</v>
      </c>
      <c r="B600" s="9" t="s">
        <v>2068</v>
      </c>
      <c r="C600" s="15">
        <v>442</v>
      </c>
      <c r="D600" s="41" t="s">
        <v>950</v>
      </c>
      <c r="E600" s="9" t="s">
        <v>359</v>
      </c>
      <c r="F600" s="9" t="s">
        <v>479</v>
      </c>
      <c r="G600" s="9"/>
      <c r="H600" s="39"/>
      <c r="I600" s="9"/>
      <c r="J600" s="39"/>
      <c r="K600" s="42"/>
      <c r="L600" s="9" t="s">
        <v>1425</v>
      </c>
      <c r="M600" s="16"/>
      <c r="AA600" s="14">
        <f t="shared" si="18"/>
        <v>-158</v>
      </c>
      <c r="AB600" s="47">
        <f t="shared" si="19"/>
        <v>-159</v>
      </c>
      <c r="AD600" s="53"/>
      <c r="AE600" s="53"/>
      <c r="AF600" s="53"/>
      <c r="AG600" s="53"/>
    </row>
    <row r="601" spans="1:33" s="46" customFormat="1">
      <c r="A601" s="39">
        <v>41233</v>
      </c>
      <c r="B601" s="9" t="s">
        <v>2210</v>
      </c>
      <c r="C601" s="15">
        <v>607</v>
      </c>
      <c r="D601" s="41" t="s">
        <v>1465</v>
      </c>
      <c r="E601" s="9" t="s">
        <v>1448</v>
      </c>
      <c r="F601" s="9" t="s">
        <v>479</v>
      </c>
      <c r="G601" s="9"/>
      <c r="H601" s="39"/>
      <c r="I601" s="9"/>
      <c r="J601" s="39"/>
      <c r="K601" s="42"/>
      <c r="L601" s="9" t="s">
        <v>1466</v>
      </c>
      <c r="M601" s="16" t="s">
        <v>193</v>
      </c>
      <c r="AA601" s="14">
        <f t="shared" si="18"/>
        <v>165</v>
      </c>
      <c r="AB601" s="47">
        <f t="shared" si="19"/>
        <v>164</v>
      </c>
      <c r="AD601" s="53"/>
      <c r="AE601" s="53"/>
      <c r="AF601" s="53"/>
      <c r="AG601" s="53"/>
    </row>
    <row r="602" spans="1:33" s="46" customFormat="1" ht="12" customHeight="1">
      <c r="A602" s="39">
        <v>41233</v>
      </c>
      <c r="B602" s="74" t="s">
        <v>1927</v>
      </c>
      <c r="C602" s="15">
        <v>568</v>
      </c>
      <c r="D602" s="41" t="s">
        <v>1549</v>
      </c>
      <c r="E602" s="9" t="s">
        <v>96</v>
      </c>
      <c r="F602" s="9" t="s">
        <v>479</v>
      </c>
      <c r="G602" s="9"/>
      <c r="H602" s="39"/>
      <c r="I602" s="9"/>
      <c r="J602" s="39"/>
      <c r="K602" s="42"/>
      <c r="L602" s="9" t="s">
        <v>1550</v>
      </c>
      <c r="M602" s="16" t="s">
        <v>193</v>
      </c>
      <c r="AA602" s="14">
        <f t="shared" si="18"/>
        <v>-39</v>
      </c>
      <c r="AB602" s="47">
        <f t="shared" si="19"/>
        <v>-40</v>
      </c>
      <c r="AD602" s="53"/>
      <c r="AE602" s="53"/>
      <c r="AF602" s="53"/>
      <c r="AG602" s="53"/>
    </row>
    <row r="603" spans="1:33" s="46" customFormat="1" ht="12" customHeight="1">
      <c r="A603" s="39">
        <v>41233</v>
      </c>
      <c r="B603" s="74" t="s">
        <v>2134</v>
      </c>
      <c r="C603" s="15">
        <v>485</v>
      </c>
      <c r="D603" s="41" t="s">
        <v>1547</v>
      </c>
      <c r="E603" s="9" t="s">
        <v>96</v>
      </c>
      <c r="F603" s="9" t="s">
        <v>479</v>
      </c>
      <c r="G603" s="9"/>
      <c r="H603" s="39"/>
      <c r="I603" s="9"/>
      <c r="J603" s="39"/>
      <c r="K603" s="42"/>
      <c r="L603" s="9" t="s">
        <v>1548</v>
      </c>
      <c r="M603" s="16"/>
      <c r="AA603" s="14">
        <f t="shared" si="18"/>
        <v>-83</v>
      </c>
      <c r="AB603" s="47">
        <f t="shared" si="19"/>
        <v>-84</v>
      </c>
      <c r="AD603" s="53"/>
      <c r="AE603" s="53"/>
      <c r="AF603" s="53"/>
      <c r="AG603" s="53"/>
    </row>
    <row r="604" spans="1:33" s="46" customFormat="1">
      <c r="A604" s="39">
        <v>41233</v>
      </c>
      <c r="B604" s="9" t="s">
        <v>2005</v>
      </c>
      <c r="C604" s="15">
        <v>359</v>
      </c>
      <c r="D604" s="41" t="s">
        <v>1372</v>
      </c>
      <c r="E604" s="9" t="s">
        <v>51</v>
      </c>
      <c r="F604" s="9" t="s">
        <v>479</v>
      </c>
      <c r="G604" s="9"/>
      <c r="H604" s="39"/>
      <c r="I604" s="9"/>
      <c r="J604" s="39"/>
      <c r="K604" s="42"/>
      <c r="L604" s="9" t="s">
        <v>1373</v>
      </c>
      <c r="M604" s="16"/>
      <c r="AA604" s="14">
        <f t="shared" si="18"/>
        <v>-126</v>
      </c>
      <c r="AB604" s="47">
        <f t="shared" si="19"/>
        <v>-127</v>
      </c>
      <c r="AD604" s="53"/>
      <c r="AE604" s="53"/>
      <c r="AF604" s="53"/>
      <c r="AG604" s="53"/>
    </row>
    <row r="605" spans="1:33" s="46" customFormat="1">
      <c r="A605" s="39">
        <v>41233</v>
      </c>
      <c r="B605" s="9" t="s">
        <v>1962</v>
      </c>
      <c r="C605" s="15">
        <v>542</v>
      </c>
      <c r="D605" s="41" t="s">
        <v>962</v>
      </c>
      <c r="E605" s="9" t="s">
        <v>1429</v>
      </c>
      <c r="F605" s="9" t="s">
        <v>479</v>
      </c>
      <c r="G605" s="9"/>
      <c r="H605" s="39"/>
      <c r="I605" s="9"/>
      <c r="J605" s="39"/>
      <c r="K605" s="42"/>
      <c r="L605" s="9" t="s">
        <v>1502</v>
      </c>
      <c r="M605" s="16" t="s">
        <v>193</v>
      </c>
      <c r="AA605" s="14">
        <f t="shared" si="18"/>
        <v>183</v>
      </c>
      <c r="AB605" s="47">
        <f t="shared" si="19"/>
        <v>182</v>
      </c>
      <c r="AD605" s="53"/>
      <c r="AE605" s="53"/>
      <c r="AF605" s="53"/>
      <c r="AG605" s="53"/>
    </row>
    <row r="606" spans="1:33" s="46" customFormat="1">
      <c r="A606" s="39">
        <v>41233</v>
      </c>
      <c r="B606" s="9" t="s">
        <v>1966</v>
      </c>
      <c r="C606" s="15">
        <v>512</v>
      </c>
      <c r="D606" s="41" t="s">
        <v>1586</v>
      </c>
      <c r="E606" s="9" t="s">
        <v>313</v>
      </c>
      <c r="F606" s="9" t="s">
        <v>479</v>
      </c>
      <c r="G606" s="9"/>
      <c r="H606" s="39"/>
      <c r="I606" s="9"/>
      <c r="J606" s="39"/>
      <c r="K606" s="42"/>
      <c r="L606" s="9"/>
      <c r="M606" s="16"/>
      <c r="AA606" s="14">
        <f t="shared" si="18"/>
        <v>-30</v>
      </c>
      <c r="AB606" s="47">
        <f t="shared" si="19"/>
        <v>-31</v>
      </c>
      <c r="AD606" s="53"/>
      <c r="AE606" s="53"/>
      <c r="AF606" s="53"/>
      <c r="AG606" s="53"/>
    </row>
    <row r="607" spans="1:33" s="46" customFormat="1">
      <c r="A607" s="39">
        <v>41233</v>
      </c>
      <c r="B607" s="9"/>
      <c r="C607" s="15"/>
      <c r="D607" s="41" t="s">
        <v>1439</v>
      </c>
      <c r="E607" s="9" t="s">
        <v>1429</v>
      </c>
      <c r="F607" s="9" t="s">
        <v>935</v>
      </c>
      <c r="G607" s="9"/>
      <c r="H607" s="39"/>
      <c r="I607" s="9"/>
      <c r="J607" s="39"/>
      <c r="K607" s="42"/>
      <c r="L607" s="9"/>
      <c r="M607" s="16"/>
      <c r="AA607" s="14">
        <f t="shared" si="18"/>
        <v>-512</v>
      </c>
      <c r="AB607" s="47">
        <f t="shared" si="19"/>
        <v>-513</v>
      </c>
      <c r="AD607" s="53"/>
      <c r="AE607" s="53"/>
      <c r="AF607" s="53"/>
      <c r="AG607" s="53"/>
    </row>
    <row r="608" spans="1:33" s="46" customFormat="1" ht="12" customHeight="1">
      <c r="A608" s="39">
        <v>41233</v>
      </c>
      <c r="B608" s="74" t="s">
        <v>2079</v>
      </c>
      <c r="C608" s="15">
        <v>455</v>
      </c>
      <c r="D608" s="41" t="s">
        <v>1438</v>
      </c>
      <c r="E608" s="9" t="s">
        <v>1429</v>
      </c>
      <c r="F608" s="9" t="s">
        <v>479</v>
      </c>
      <c r="G608" s="9"/>
      <c r="H608" s="39"/>
      <c r="I608" s="9"/>
      <c r="J608" s="39"/>
      <c r="K608" s="42"/>
      <c r="L608" s="9"/>
      <c r="M608" s="16"/>
      <c r="AA608" s="14">
        <f t="shared" si="18"/>
        <v>455</v>
      </c>
      <c r="AB608" s="47">
        <f t="shared" si="19"/>
        <v>454</v>
      </c>
      <c r="AD608" s="53"/>
      <c r="AE608" s="53"/>
      <c r="AF608" s="53"/>
      <c r="AG608" s="53"/>
    </row>
    <row r="609" spans="1:33" s="46" customFormat="1">
      <c r="A609" s="39">
        <v>41233</v>
      </c>
      <c r="B609" s="9" t="s">
        <v>2132</v>
      </c>
      <c r="C609" s="15">
        <v>482</v>
      </c>
      <c r="D609" s="41" t="s">
        <v>1289</v>
      </c>
      <c r="E609" s="9" t="s">
        <v>96</v>
      </c>
      <c r="F609" s="9" t="s">
        <v>479</v>
      </c>
      <c r="G609" s="9"/>
      <c r="H609" s="39"/>
      <c r="I609" s="9"/>
      <c r="J609" s="39"/>
      <c r="K609" s="42"/>
      <c r="L609" s="9" t="s">
        <v>1552</v>
      </c>
      <c r="M609" s="16"/>
      <c r="AA609" s="14">
        <f t="shared" si="18"/>
        <v>27</v>
      </c>
      <c r="AB609" s="47">
        <f t="shared" si="19"/>
        <v>26</v>
      </c>
      <c r="AD609" s="53"/>
      <c r="AE609" s="53"/>
      <c r="AF609" s="53"/>
      <c r="AG609" s="53"/>
    </row>
    <row r="610" spans="1:33" s="46" customFormat="1">
      <c r="A610" s="39">
        <v>41233</v>
      </c>
      <c r="B610" s="9" t="s">
        <v>1987</v>
      </c>
      <c r="C610" s="15">
        <v>525</v>
      </c>
      <c r="D610" s="41" t="s">
        <v>1986</v>
      </c>
      <c r="E610" s="9" t="s">
        <v>96</v>
      </c>
      <c r="F610" s="9" t="s">
        <v>479</v>
      </c>
      <c r="G610" s="9"/>
      <c r="H610" s="39"/>
      <c r="I610" s="9"/>
      <c r="J610" s="39"/>
      <c r="K610" s="42"/>
      <c r="L610" s="9" t="s">
        <v>1551</v>
      </c>
      <c r="M610" s="16" t="s">
        <v>193</v>
      </c>
      <c r="AA610" s="14">
        <f t="shared" si="18"/>
        <v>43</v>
      </c>
      <c r="AB610" s="47">
        <f t="shared" si="19"/>
        <v>42</v>
      </c>
      <c r="AD610" s="53"/>
      <c r="AE610" s="53"/>
      <c r="AF610" s="53"/>
      <c r="AG610" s="53"/>
    </row>
    <row r="611" spans="1:33" s="46" customFormat="1">
      <c r="A611" s="39">
        <v>41233</v>
      </c>
      <c r="B611" s="9" t="s">
        <v>2212</v>
      </c>
      <c r="C611" s="15">
        <v>611</v>
      </c>
      <c r="D611" s="41" t="s">
        <v>1492</v>
      </c>
      <c r="E611" s="9" t="s">
        <v>1448</v>
      </c>
      <c r="F611" s="9" t="s">
        <v>479</v>
      </c>
      <c r="G611" s="9"/>
      <c r="H611" s="39"/>
      <c r="I611" s="9"/>
      <c r="J611" s="39"/>
      <c r="K611" s="42"/>
      <c r="L611" s="9" t="s">
        <v>1493</v>
      </c>
      <c r="M611" s="16"/>
      <c r="AA611" s="14">
        <f t="shared" si="18"/>
        <v>86</v>
      </c>
      <c r="AB611" s="47">
        <f t="shared" si="19"/>
        <v>85</v>
      </c>
      <c r="AD611" s="53"/>
      <c r="AE611" s="53"/>
      <c r="AF611" s="53"/>
      <c r="AG611" s="53"/>
    </row>
    <row r="612" spans="1:33" s="46" customFormat="1" ht="24">
      <c r="A612" s="39">
        <v>41233</v>
      </c>
      <c r="B612" s="9" t="s">
        <v>2149</v>
      </c>
      <c r="C612" s="15">
        <v>509</v>
      </c>
      <c r="D612" s="41" t="s">
        <v>1653</v>
      </c>
      <c r="E612" s="9" t="s">
        <v>313</v>
      </c>
      <c r="F612" s="9" t="s">
        <v>479</v>
      </c>
      <c r="G612" s="9"/>
      <c r="H612" s="39"/>
      <c r="I612" s="9"/>
      <c r="J612" s="39"/>
      <c r="K612" s="42"/>
      <c r="L612" s="9" t="s">
        <v>1654</v>
      </c>
      <c r="M612" s="16"/>
      <c r="AA612" s="14" t="e">
        <f>C612-#REF!</f>
        <v>#REF!</v>
      </c>
      <c r="AB612" s="47" t="e">
        <f t="shared" si="19"/>
        <v>#REF!</v>
      </c>
      <c r="AD612" s="53"/>
      <c r="AE612" s="53"/>
      <c r="AF612" s="53"/>
      <c r="AG612" s="53"/>
    </row>
    <row r="613" spans="1:33" s="46" customFormat="1">
      <c r="A613" s="39">
        <v>41233</v>
      </c>
      <c r="B613" s="9" t="s">
        <v>2147</v>
      </c>
      <c r="C613" s="15">
        <v>507</v>
      </c>
      <c r="D613" s="41" t="s">
        <v>1617</v>
      </c>
      <c r="E613" s="9" t="s">
        <v>313</v>
      </c>
      <c r="F613" s="9" t="s">
        <v>479</v>
      </c>
      <c r="G613" s="9"/>
      <c r="H613" s="39"/>
      <c r="I613" s="9"/>
      <c r="J613" s="39"/>
      <c r="K613" s="42"/>
      <c r="L613" s="9" t="s">
        <v>1618</v>
      </c>
      <c r="M613" s="16"/>
      <c r="AA613" s="14">
        <f t="shared" si="18"/>
        <v>-2</v>
      </c>
      <c r="AB613" s="47">
        <f t="shared" si="19"/>
        <v>-3</v>
      </c>
      <c r="AD613" s="53"/>
      <c r="AE613" s="53"/>
      <c r="AF613" s="53"/>
      <c r="AG613" s="53"/>
    </row>
    <row r="614" spans="1:33" s="46" customFormat="1">
      <c r="A614" s="39">
        <v>41233</v>
      </c>
      <c r="B614" s="9" t="s">
        <v>2148</v>
      </c>
      <c r="C614" s="15">
        <v>508</v>
      </c>
      <c r="D614" s="41" t="s">
        <v>1655</v>
      </c>
      <c r="E614" s="9" t="s">
        <v>313</v>
      </c>
      <c r="F614" s="9" t="s">
        <v>479</v>
      </c>
      <c r="G614" s="9"/>
      <c r="H614" s="39"/>
      <c r="I614" s="9"/>
      <c r="J614" s="39"/>
      <c r="K614" s="42"/>
      <c r="L614" s="9" t="s">
        <v>1656</v>
      </c>
      <c r="M614" s="16"/>
      <c r="AA614" s="14">
        <f t="shared" si="18"/>
        <v>1</v>
      </c>
      <c r="AB614" s="47">
        <f t="shared" si="19"/>
        <v>0</v>
      </c>
      <c r="AD614" s="53"/>
      <c r="AE614" s="53"/>
      <c r="AF614" s="53"/>
      <c r="AG614" s="53"/>
    </row>
    <row r="615" spans="1:33" s="46" customFormat="1">
      <c r="A615" s="39">
        <v>41233</v>
      </c>
      <c r="B615" s="9" t="s">
        <v>2146</v>
      </c>
      <c r="C615" s="15">
        <v>506</v>
      </c>
      <c r="D615" s="41" t="s">
        <v>1657</v>
      </c>
      <c r="E615" s="9" t="s">
        <v>313</v>
      </c>
      <c r="F615" s="9" t="s">
        <v>479</v>
      </c>
      <c r="G615" s="9"/>
      <c r="H615" s="39"/>
      <c r="I615" s="9"/>
      <c r="J615" s="39"/>
      <c r="K615" s="42"/>
      <c r="L615" s="9" t="s">
        <v>1658</v>
      </c>
      <c r="M615" s="16"/>
      <c r="AA615" s="14">
        <f t="shared" si="18"/>
        <v>-2</v>
      </c>
      <c r="AB615" s="47">
        <f t="shared" si="19"/>
        <v>-3</v>
      </c>
      <c r="AD615" s="53"/>
      <c r="AE615" s="53"/>
      <c r="AF615" s="53"/>
      <c r="AG615" s="53"/>
    </row>
    <row r="616" spans="1:33" s="46" customFormat="1">
      <c r="A616" s="39">
        <v>41233</v>
      </c>
      <c r="B616" s="9" t="s">
        <v>2126</v>
      </c>
      <c r="C616" s="15">
        <v>497</v>
      </c>
      <c r="D616" s="41" t="s">
        <v>1659</v>
      </c>
      <c r="E616" s="9" t="s">
        <v>313</v>
      </c>
      <c r="F616" s="9" t="s">
        <v>479</v>
      </c>
      <c r="G616" s="9"/>
      <c r="H616" s="39"/>
      <c r="I616" s="9"/>
      <c r="J616" s="39"/>
      <c r="K616" s="42"/>
      <c r="L616" s="9" t="s">
        <v>1660</v>
      </c>
      <c r="M616" s="16"/>
      <c r="AA616" s="14">
        <f t="shared" si="18"/>
        <v>-9</v>
      </c>
      <c r="AB616" s="47">
        <f t="shared" si="19"/>
        <v>-10</v>
      </c>
      <c r="AD616" s="53"/>
      <c r="AE616" s="53"/>
      <c r="AF616" s="53"/>
      <c r="AG616" s="53"/>
    </row>
    <row r="617" spans="1:33" s="46" customFormat="1">
      <c r="A617" s="39">
        <v>41233</v>
      </c>
      <c r="B617" s="9" t="s">
        <v>2033</v>
      </c>
      <c r="C617" s="15">
        <v>393</v>
      </c>
      <c r="D617" s="41" t="s">
        <v>1426</v>
      </c>
      <c r="E617" s="9" t="s">
        <v>359</v>
      </c>
      <c r="F617" s="9" t="s">
        <v>479</v>
      </c>
      <c r="G617" s="9"/>
      <c r="H617" s="39"/>
      <c r="I617" s="9"/>
      <c r="J617" s="39"/>
      <c r="K617" s="42"/>
      <c r="L617" s="9" t="s">
        <v>1427</v>
      </c>
      <c r="M617" s="16"/>
      <c r="AA617" s="14">
        <f t="shared" si="18"/>
        <v>-104</v>
      </c>
      <c r="AB617" s="47">
        <f t="shared" si="19"/>
        <v>-105</v>
      </c>
      <c r="AD617" s="53"/>
      <c r="AE617" s="53"/>
      <c r="AF617" s="53"/>
      <c r="AG617" s="53"/>
    </row>
    <row r="618" spans="1:33" s="46" customFormat="1">
      <c r="A618" s="39">
        <v>41233</v>
      </c>
      <c r="B618" s="9" t="s">
        <v>2213</v>
      </c>
      <c r="C618" s="15">
        <v>613</v>
      </c>
      <c r="D618" s="41" t="s">
        <v>1443</v>
      </c>
      <c r="E618" s="9" t="s">
        <v>1429</v>
      </c>
      <c r="F618" s="9" t="s">
        <v>479</v>
      </c>
      <c r="G618" s="9"/>
      <c r="H618" s="39"/>
      <c r="I618" s="9"/>
      <c r="J618" s="39"/>
      <c r="K618" s="42"/>
      <c r="L618" s="9" t="s">
        <v>1444</v>
      </c>
      <c r="M618" s="16"/>
      <c r="AA618" s="14">
        <f t="shared" ref="AA618:AA681" si="20">C618-C617</f>
        <v>220</v>
      </c>
      <c r="AB618" s="47">
        <f t="shared" ref="AB618:AB681" si="21">AA618-1</f>
        <v>219</v>
      </c>
      <c r="AD618" s="53"/>
      <c r="AE618" s="53"/>
      <c r="AF618" s="53"/>
      <c r="AG618" s="53"/>
    </row>
    <row r="619" spans="1:33" s="46" customFormat="1">
      <c r="A619" s="39">
        <v>41233</v>
      </c>
      <c r="B619" s="9" t="s">
        <v>2020</v>
      </c>
      <c r="C619" s="15">
        <v>380</v>
      </c>
      <c r="D619" s="41" t="s">
        <v>1392</v>
      </c>
      <c r="E619" s="9" t="s">
        <v>57</v>
      </c>
      <c r="F619" s="9" t="s">
        <v>479</v>
      </c>
      <c r="G619" s="9"/>
      <c r="H619" s="39"/>
      <c r="I619" s="9"/>
      <c r="J619" s="39"/>
      <c r="K619" s="42"/>
      <c r="L619" s="9"/>
      <c r="M619" s="16"/>
      <c r="AA619" s="14">
        <f t="shared" si="20"/>
        <v>-233</v>
      </c>
      <c r="AB619" s="47">
        <f t="shared" si="21"/>
        <v>-234</v>
      </c>
      <c r="AD619" s="53"/>
      <c r="AE619" s="53"/>
      <c r="AF619" s="53"/>
      <c r="AG619" s="53"/>
    </row>
    <row r="620" spans="1:33" s="46" customFormat="1">
      <c r="A620" s="39">
        <v>41233</v>
      </c>
      <c r="B620" s="9" t="s">
        <v>2215</v>
      </c>
      <c r="C620" s="15">
        <v>615</v>
      </c>
      <c r="D620" s="41" t="s">
        <v>1463</v>
      </c>
      <c r="E620" s="9" t="s">
        <v>1448</v>
      </c>
      <c r="F620" s="9" t="s">
        <v>479</v>
      </c>
      <c r="G620" s="9"/>
      <c r="H620" s="39"/>
      <c r="I620" s="9"/>
      <c r="J620" s="39"/>
      <c r="K620" s="42"/>
      <c r="L620" s="9" t="s">
        <v>1464</v>
      </c>
      <c r="M620" s="16"/>
      <c r="AA620" s="14">
        <f t="shared" si="20"/>
        <v>235</v>
      </c>
      <c r="AB620" s="47">
        <f t="shared" si="21"/>
        <v>234</v>
      </c>
      <c r="AD620" s="53"/>
      <c r="AE620" s="53"/>
      <c r="AF620" s="53"/>
      <c r="AG620" s="53"/>
    </row>
    <row r="621" spans="1:33" s="46" customFormat="1">
      <c r="A621" s="39">
        <v>41233</v>
      </c>
      <c r="B621" s="9" t="s">
        <v>2021</v>
      </c>
      <c r="C621" s="15">
        <v>381</v>
      </c>
      <c r="D621" s="41" t="s">
        <v>1393</v>
      </c>
      <c r="E621" s="9" t="s">
        <v>57</v>
      </c>
      <c r="F621" s="9" t="s">
        <v>479</v>
      </c>
      <c r="G621" s="9"/>
      <c r="H621" s="39"/>
      <c r="I621" s="9"/>
      <c r="J621" s="39"/>
      <c r="K621" s="42"/>
      <c r="L621" s="9"/>
      <c r="M621" s="16"/>
      <c r="AA621" s="14">
        <f t="shared" si="20"/>
        <v>-234</v>
      </c>
      <c r="AB621" s="47">
        <f t="shared" si="21"/>
        <v>-235</v>
      </c>
      <c r="AD621" s="53"/>
      <c r="AE621" s="53"/>
      <c r="AF621" s="53"/>
      <c r="AG621" s="53"/>
    </row>
    <row r="622" spans="1:33" s="46" customFormat="1">
      <c r="A622" s="39">
        <v>41233</v>
      </c>
      <c r="B622" s="9" t="s">
        <v>2771</v>
      </c>
      <c r="C622" s="15">
        <v>718</v>
      </c>
      <c r="D622" s="41" t="s">
        <v>1498</v>
      </c>
      <c r="E622" s="9" t="s">
        <v>18</v>
      </c>
      <c r="F622" s="9" t="s">
        <v>479</v>
      </c>
      <c r="G622" s="9"/>
      <c r="H622" s="39"/>
      <c r="I622" s="9"/>
      <c r="J622" s="39"/>
      <c r="K622" s="42"/>
      <c r="L622" s="9" t="s">
        <v>1499</v>
      </c>
      <c r="M622" s="16"/>
      <c r="AA622" s="14">
        <f t="shared" si="20"/>
        <v>337</v>
      </c>
      <c r="AB622" s="47">
        <f t="shared" si="21"/>
        <v>336</v>
      </c>
      <c r="AD622" s="53"/>
      <c r="AE622" s="53"/>
      <c r="AF622" s="53"/>
      <c r="AG622" s="53"/>
    </row>
    <row r="623" spans="1:33" s="46" customFormat="1">
      <c r="A623" s="39">
        <v>41233</v>
      </c>
      <c r="B623" s="9" t="s">
        <v>2078</v>
      </c>
      <c r="C623" s="15">
        <v>454</v>
      </c>
      <c r="D623" s="41" t="s">
        <v>1467</v>
      </c>
      <c r="E623" s="9" t="s">
        <v>1448</v>
      </c>
      <c r="F623" s="9" t="s">
        <v>479</v>
      </c>
      <c r="G623" s="9"/>
      <c r="H623" s="39"/>
      <c r="I623" s="9"/>
      <c r="J623" s="39"/>
      <c r="K623" s="42"/>
      <c r="L623" s="9" t="s">
        <v>1468</v>
      </c>
      <c r="M623" s="16"/>
      <c r="AA623" s="14">
        <f t="shared" si="20"/>
        <v>-264</v>
      </c>
      <c r="AB623" s="47">
        <f t="shared" si="21"/>
        <v>-265</v>
      </c>
      <c r="AD623" s="53"/>
      <c r="AE623" s="53"/>
      <c r="AF623" s="53"/>
      <c r="AG623" s="53"/>
    </row>
    <row r="624" spans="1:33" s="46" customFormat="1">
      <c r="A624" s="39">
        <v>41233</v>
      </c>
      <c r="B624" s="9" t="s">
        <v>2216</v>
      </c>
      <c r="C624" s="15">
        <v>618</v>
      </c>
      <c r="D624" s="41" t="s">
        <v>1503</v>
      </c>
      <c r="E624" s="9" t="s">
        <v>1429</v>
      </c>
      <c r="F624" s="9" t="s">
        <v>479</v>
      </c>
      <c r="G624" s="9"/>
      <c r="H624" s="39"/>
      <c r="I624" s="9"/>
      <c r="J624" s="39"/>
      <c r="K624" s="42"/>
      <c r="L624" s="9" t="s">
        <v>1504</v>
      </c>
      <c r="M624" s="16" t="s">
        <v>193</v>
      </c>
      <c r="AA624" s="14">
        <f t="shared" si="20"/>
        <v>164</v>
      </c>
      <c r="AB624" s="47">
        <f t="shared" si="21"/>
        <v>163</v>
      </c>
      <c r="AD624" s="53"/>
      <c r="AE624" s="53"/>
      <c r="AF624" s="53"/>
      <c r="AG624" s="53"/>
    </row>
    <row r="625" spans="1:33" s="46" customFormat="1">
      <c r="A625" s="39">
        <v>41233</v>
      </c>
      <c r="B625" s="9" t="s">
        <v>2218</v>
      </c>
      <c r="C625" s="15">
        <v>622</v>
      </c>
      <c r="D625" s="41" t="s">
        <v>1447</v>
      </c>
      <c r="E625" s="9" t="s">
        <v>1448</v>
      </c>
      <c r="F625" s="9" t="s">
        <v>479</v>
      </c>
      <c r="G625" s="9"/>
      <c r="H625" s="39"/>
      <c r="I625" s="9"/>
      <c r="J625" s="39"/>
      <c r="K625" s="42"/>
      <c r="L625" s="9" t="s">
        <v>1449</v>
      </c>
      <c r="M625" s="16"/>
      <c r="AA625" s="14">
        <f t="shared" si="20"/>
        <v>4</v>
      </c>
      <c r="AB625" s="47">
        <f t="shared" si="21"/>
        <v>3</v>
      </c>
      <c r="AD625" s="53"/>
      <c r="AE625" s="53"/>
      <c r="AF625" s="53"/>
      <c r="AG625" s="53"/>
    </row>
    <row r="626" spans="1:33" s="46" customFormat="1">
      <c r="A626" s="39">
        <v>41233</v>
      </c>
      <c r="B626" s="9" t="s">
        <v>2220</v>
      </c>
      <c r="C626" s="15">
        <v>625</v>
      </c>
      <c r="D626" s="41" t="s">
        <v>1450</v>
      </c>
      <c r="E626" s="9" t="s">
        <v>1448</v>
      </c>
      <c r="F626" s="9" t="s">
        <v>479</v>
      </c>
      <c r="G626" s="9"/>
      <c r="H626" s="39"/>
      <c r="I626" s="9"/>
      <c r="J626" s="39"/>
      <c r="K626" s="42"/>
      <c r="L626" s="9" t="s">
        <v>1449</v>
      </c>
      <c r="M626" s="16"/>
      <c r="AA626" s="14">
        <f t="shared" si="20"/>
        <v>3</v>
      </c>
      <c r="AB626" s="47">
        <f t="shared" si="21"/>
        <v>2</v>
      </c>
      <c r="AD626" s="53"/>
      <c r="AE626" s="53"/>
      <c r="AF626" s="53"/>
      <c r="AG626" s="53"/>
    </row>
    <row r="627" spans="1:33" s="46" customFormat="1">
      <c r="A627" s="39">
        <v>41233</v>
      </c>
      <c r="B627" s="9" t="s">
        <v>2219</v>
      </c>
      <c r="C627" s="15">
        <v>623</v>
      </c>
      <c r="D627" s="41" t="s">
        <v>1513</v>
      </c>
      <c r="E627" s="9" t="s">
        <v>1448</v>
      </c>
      <c r="F627" s="9" t="s">
        <v>479</v>
      </c>
      <c r="G627" s="9"/>
      <c r="H627" s="39"/>
      <c r="I627" s="9"/>
      <c r="J627" s="39"/>
      <c r="K627" s="42"/>
      <c r="L627" s="9" t="s">
        <v>1514</v>
      </c>
      <c r="M627" s="16"/>
      <c r="AA627" s="14">
        <f t="shared" si="20"/>
        <v>-2</v>
      </c>
      <c r="AB627" s="47">
        <f t="shared" si="21"/>
        <v>-3</v>
      </c>
      <c r="AD627" s="53"/>
      <c r="AE627" s="53"/>
      <c r="AF627" s="53"/>
      <c r="AG627" s="53"/>
    </row>
    <row r="628" spans="1:33" s="46" customFormat="1">
      <c r="A628" s="39">
        <v>41233</v>
      </c>
      <c r="B628" s="9" t="s">
        <v>2031</v>
      </c>
      <c r="C628" s="15">
        <v>391</v>
      </c>
      <c r="D628" s="41" t="s">
        <v>1428</v>
      </c>
      <c r="E628" s="9" t="s">
        <v>1429</v>
      </c>
      <c r="F628" s="9" t="s">
        <v>479</v>
      </c>
      <c r="G628" s="9"/>
      <c r="H628" s="39"/>
      <c r="I628" s="9"/>
      <c r="J628" s="39"/>
      <c r="K628" s="42"/>
      <c r="L628" s="9"/>
      <c r="M628" s="16"/>
      <c r="AA628" s="14">
        <f t="shared" si="20"/>
        <v>-232</v>
      </c>
      <c r="AB628" s="47">
        <f t="shared" si="21"/>
        <v>-233</v>
      </c>
      <c r="AD628" s="53"/>
      <c r="AE628" s="53"/>
      <c r="AF628" s="53"/>
      <c r="AG628" s="53"/>
    </row>
    <row r="629" spans="1:33" s="46" customFormat="1">
      <c r="A629" s="39">
        <v>41233</v>
      </c>
      <c r="B629" s="9" t="s">
        <v>2002</v>
      </c>
      <c r="C629" s="15">
        <v>357</v>
      </c>
      <c r="D629" s="41" t="s">
        <v>1354</v>
      </c>
      <c r="E629" s="9" t="s">
        <v>51</v>
      </c>
      <c r="F629" s="9" t="s">
        <v>479</v>
      </c>
      <c r="G629" s="9"/>
      <c r="H629" s="39"/>
      <c r="I629" s="9"/>
      <c r="J629" s="39"/>
      <c r="K629" s="42"/>
      <c r="L629" s="9" t="s">
        <v>1355</v>
      </c>
      <c r="M629" s="16"/>
      <c r="AA629" s="14">
        <f t="shared" si="20"/>
        <v>-34</v>
      </c>
      <c r="AB629" s="47">
        <f t="shared" si="21"/>
        <v>-35</v>
      </c>
      <c r="AD629" s="53"/>
      <c r="AE629" s="53"/>
      <c r="AF629" s="53"/>
      <c r="AG629" s="53"/>
    </row>
    <row r="630" spans="1:33" s="46" customFormat="1">
      <c r="A630" s="39">
        <v>41233</v>
      </c>
      <c r="B630" s="9" t="s">
        <v>2023</v>
      </c>
      <c r="C630" s="15">
        <v>383</v>
      </c>
      <c r="D630" s="41" t="s">
        <v>1394</v>
      </c>
      <c r="E630" s="9" t="s">
        <v>57</v>
      </c>
      <c r="F630" s="9" t="s">
        <v>479</v>
      </c>
      <c r="G630" s="9"/>
      <c r="H630" s="39"/>
      <c r="I630" s="9"/>
      <c r="J630" s="39"/>
      <c r="K630" s="42"/>
      <c r="L630" s="9" t="s">
        <v>1395</v>
      </c>
      <c r="M630" s="16"/>
      <c r="AA630" s="14">
        <f t="shared" si="20"/>
        <v>26</v>
      </c>
      <c r="AB630" s="47">
        <f t="shared" si="21"/>
        <v>25</v>
      </c>
      <c r="AD630" s="53"/>
      <c r="AE630" s="53"/>
      <c r="AF630" s="53"/>
      <c r="AG630" s="53"/>
    </row>
    <row r="631" spans="1:33" s="46" customFormat="1">
      <c r="A631" s="39">
        <v>41233</v>
      </c>
      <c r="B631" s="9" t="s">
        <v>1957</v>
      </c>
      <c r="C631" s="15">
        <v>535</v>
      </c>
      <c r="D631" s="41" t="s">
        <v>1663</v>
      </c>
      <c r="E631" s="9" t="s">
        <v>313</v>
      </c>
      <c r="F631" s="9" t="s">
        <v>479</v>
      </c>
      <c r="G631" s="9"/>
      <c r="H631" s="39"/>
      <c r="I631" s="9"/>
      <c r="J631" s="39"/>
      <c r="K631" s="42"/>
      <c r="L631" s="9" t="s">
        <v>1664</v>
      </c>
      <c r="M631" s="16"/>
      <c r="AA631" s="14">
        <f t="shared" si="20"/>
        <v>152</v>
      </c>
      <c r="AB631" s="47">
        <f t="shared" si="21"/>
        <v>151</v>
      </c>
      <c r="AD631" s="53"/>
      <c r="AE631" s="53"/>
      <c r="AF631" s="53"/>
      <c r="AG631" s="53"/>
    </row>
    <row r="632" spans="1:33" s="46" customFormat="1">
      <c r="A632" s="39">
        <v>41233</v>
      </c>
      <c r="B632" s="9" t="s">
        <v>2124</v>
      </c>
      <c r="C632" s="15">
        <v>494</v>
      </c>
      <c r="D632" s="41" t="s">
        <v>1661</v>
      </c>
      <c r="E632" s="9" t="s">
        <v>313</v>
      </c>
      <c r="F632" s="9" t="s">
        <v>479</v>
      </c>
      <c r="G632" s="9"/>
      <c r="H632" s="39"/>
      <c r="I632" s="9"/>
      <c r="J632" s="39"/>
      <c r="K632" s="42"/>
      <c r="L632" s="9" t="s">
        <v>1662</v>
      </c>
      <c r="M632" s="16"/>
      <c r="AA632" s="14">
        <f t="shared" si="20"/>
        <v>-41</v>
      </c>
      <c r="AB632" s="47">
        <f t="shared" si="21"/>
        <v>-42</v>
      </c>
      <c r="AD632" s="53"/>
      <c r="AE632" s="53"/>
      <c r="AF632" s="53"/>
      <c r="AG632" s="53"/>
    </row>
    <row r="633" spans="1:33" s="46" customFormat="1">
      <c r="A633" s="39">
        <v>41233</v>
      </c>
      <c r="B633" s="9"/>
      <c r="C633" s="15"/>
      <c r="D633" s="41" t="s">
        <v>1575</v>
      </c>
      <c r="E633" s="9" t="s">
        <v>96</v>
      </c>
      <c r="F633" s="9" t="s">
        <v>935</v>
      </c>
      <c r="G633" s="9"/>
      <c r="H633" s="39"/>
      <c r="I633" s="9"/>
      <c r="J633" s="39"/>
      <c r="K633" s="42"/>
      <c r="L633" s="9" t="s">
        <v>1576</v>
      </c>
      <c r="M633" s="16"/>
      <c r="AA633" s="14">
        <f t="shared" si="20"/>
        <v>-494</v>
      </c>
      <c r="AB633" s="47">
        <f t="shared" si="21"/>
        <v>-495</v>
      </c>
      <c r="AD633" s="53"/>
      <c r="AE633" s="53"/>
      <c r="AF633" s="53"/>
      <c r="AG633" s="53"/>
    </row>
    <row r="634" spans="1:33" s="46" customFormat="1">
      <c r="A634" s="39">
        <v>41233</v>
      </c>
      <c r="B634" s="9" t="s">
        <v>2081</v>
      </c>
      <c r="C634" s="15">
        <v>457</v>
      </c>
      <c r="D634" s="41" t="s">
        <v>1483</v>
      </c>
      <c r="E634" s="9" t="s">
        <v>277</v>
      </c>
      <c r="F634" s="9" t="s">
        <v>479</v>
      </c>
      <c r="G634" s="9"/>
      <c r="H634" s="39"/>
      <c r="I634" s="9"/>
      <c r="J634" s="39"/>
      <c r="K634" s="42"/>
      <c r="L634" s="9" t="s">
        <v>1484</v>
      </c>
      <c r="M634" s="16"/>
      <c r="AA634" s="14">
        <f t="shared" si="20"/>
        <v>457</v>
      </c>
      <c r="AB634" s="47">
        <f t="shared" si="21"/>
        <v>456</v>
      </c>
      <c r="AD634" s="53"/>
      <c r="AE634" s="53"/>
      <c r="AF634" s="53"/>
      <c r="AG634" s="53"/>
    </row>
    <row r="635" spans="1:33" s="46" customFormat="1">
      <c r="A635" s="39">
        <v>41233</v>
      </c>
      <c r="B635" s="9" t="s">
        <v>2230</v>
      </c>
      <c r="C635" s="15">
        <v>634</v>
      </c>
      <c r="D635" s="41" t="s">
        <v>1469</v>
      </c>
      <c r="E635" s="9" t="s">
        <v>1448</v>
      </c>
      <c r="F635" s="9" t="s">
        <v>479</v>
      </c>
      <c r="G635" s="9"/>
      <c r="H635" s="39"/>
      <c r="I635" s="9"/>
      <c r="J635" s="39"/>
      <c r="K635" s="42"/>
      <c r="L635" s="9" t="s">
        <v>1470</v>
      </c>
      <c r="M635" s="16"/>
      <c r="AA635" s="14">
        <f t="shared" si="20"/>
        <v>177</v>
      </c>
      <c r="AB635" s="47">
        <f t="shared" si="21"/>
        <v>176</v>
      </c>
      <c r="AD635" s="53"/>
      <c r="AE635" s="53"/>
      <c r="AF635" s="53"/>
      <c r="AG635" s="53"/>
    </row>
    <row r="636" spans="1:33" s="46" customFormat="1">
      <c r="A636" s="39">
        <v>41233</v>
      </c>
      <c r="B636" s="9" t="s">
        <v>2088</v>
      </c>
      <c r="C636" s="15">
        <v>466</v>
      </c>
      <c r="D636" s="41" t="s">
        <v>1471</v>
      </c>
      <c r="E636" s="9" t="s">
        <v>1448</v>
      </c>
      <c r="F636" s="9" t="s">
        <v>479</v>
      </c>
      <c r="G636" s="9"/>
      <c r="H636" s="39"/>
      <c r="I636" s="9"/>
      <c r="J636" s="39"/>
      <c r="K636" s="42"/>
      <c r="L636" s="9" t="s">
        <v>1472</v>
      </c>
      <c r="M636" s="16"/>
      <c r="AA636" s="14">
        <f t="shared" si="20"/>
        <v>-168</v>
      </c>
      <c r="AB636" s="47">
        <f t="shared" si="21"/>
        <v>-169</v>
      </c>
      <c r="AD636" s="53"/>
      <c r="AE636" s="53"/>
      <c r="AF636" s="53"/>
      <c r="AG636" s="53"/>
    </row>
    <row r="637" spans="1:33" s="46" customFormat="1">
      <c r="A637" s="39">
        <v>41233</v>
      </c>
      <c r="B637" s="9" t="s">
        <v>2181</v>
      </c>
      <c r="C637" s="15">
        <v>579</v>
      </c>
      <c r="D637" s="41" t="s">
        <v>1601</v>
      </c>
      <c r="E637" s="9" t="s">
        <v>313</v>
      </c>
      <c r="F637" s="9" t="s">
        <v>479</v>
      </c>
      <c r="G637" s="9"/>
      <c r="H637" s="39"/>
      <c r="I637" s="9"/>
      <c r="J637" s="39"/>
      <c r="K637" s="42"/>
      <c r="L637" s="9" t="s">
        <v>1602</v>
      </c>
      <c r="M637" s="16"/>
      <c r="AA637" s="14">
        <f t="shared" si="20"/>
        <v>113</v>
      </c>
      <c r="AB637" s="47">
        <f t="shared" si="21"/>
        <v>112</v>
      </c>
      <c r="AD637" s="53"/>
      <c r="AE637" s="53"/>
      <c r="AF637" s="53"/>
      <c r="AG637" s="53"/>
    </row>
    <row r="638" spans="1:33" s="46" customFormat="1">
      <c r="A638" s="39">
        <v>41233</v>
      </c>
      <c r="B638" s="9" t="s">
        <v>2131</v>
      </c>
      <c r="C638" s="15">
        <v>479</v>
      </c>
      <c r="D638" s="41" t="s">
        <v>1553</v>
      </c>
      <c r="E638" s="9" t="s">
        <v>96</v>
      </c>
      <c r="F638" s="9" t="s">
        <v>479</v>
      </c>
      <c r="G638" s="9"/>
      <c r="H638" s="39"/>
      <c r="I638" s="9"/>
      <c r="J638" s="39"/>
      <c r="K638" s="42"/>
      <c r="L638" s="9" t="s">
        <v>1554</v>
      </c>
      <c r="M638" s="16"/>
      <c r="AA638" s="14">
        <f t="shared" si="20"/>
        <v>-100</v>
      </c>
      <c r="AB638" s="47">
        <f t="shared" si="21"/>
        <v>-101</v>
      </c>
      <c r="AD638" s="53"/>
      <c r="AE638" s="53"/>
      <c r="AF638" s="53"/>
      <c r="AG638" s="53"/>
    </row>
    <row r="639" spans="1:33" s="46" customFormat="1">
      <c r="A639" s="39">
        <v>41233</v>
      </c>
      <c r="B639" s="9" t="s">
        <v>2114</v>
      </c>
      <c r="C639" s="15">
        <v>403</v>
      </c>
      <c r="D639" s="41" t="s">
        <v>1368</v>
      </c>
      <c r="E639" s="9" t="s">
        <v>51</v>
      </c>
      <c r="F639" s="9" t="s">
        <v>479</v>
      </c>
      <c r="G639" s="9"/>
      <c r="H639" s="39"/>
      <c r="I639" s="9"/>
      <c r="J639" s="39"/>
      <c r="K639" s="42"/>
      <c r="L639" s="9" t="s">
        <v>1369</v>
      </c>
      <c r="M639" s="16"/>
      <c r="AA639" s="14">
        <f t="shared" si="20"/>
        <v>-76</v>
      </c>
      <c r="AB639" s="47">
        <f t="shared" si="21"/>
        <v>-77</v>
      </c>
      <c r="AD639" s="53"/>
      <c r="AE639" s="53"/>
      <c r="AF639" s="53"/>
      <c r="AG639" s="53"/>
    </row>
    <row r="640" spans="1:33" s="46" customFormat="1" ht="12" customHeight="1">
      <c r="A640" s="39">
        <v>41233</v>
      </c>
      <c r="B640" s="9" t="s">
        <v>2129</v>
      </c>
      <c r="C640" s="15">
        <v>477</v>
      </c>
      <c r="D640" s="41" t="s">
        <v>1555</v>
      </c>
      <c r="E640" s="9" t="s">
        <v>96</v>
      </c>
      <c r="F640" s="9" t="s">
        <v>479</v>
      </c>
      <c r="G640" s="9"/>
      <c r="H640" s="39"/>
      <c r="I640" s="9"/>
      <c r="J640" s="39"/>
      <c r="K640" s="42"/>
      <c r="L640" s="9"/>
      <c r="M640" s="16" t="s">
        <v>193</v>
      </c>
      <c r="AA640" s="14">
        <f t="shared" si="20"/>
        <v>74</v>
      </c>
      <c r="AB640" s="47">
        <f t="shared" si="21"/>
        <v>73</v>
      </c>
      <c r="AD640" s="53"/>
      <c r="AE640" s="53"/>
      <c r="AF640" s="53"/>
      <c r="AG640" s="53"/>
    </row>
    <row r="641" spans="1:33" s="46" customFormat="1">
      <c r="A641" s="39">
        <v>41233</v>
      </c>
      <c r="B641" s="9" t="s">
        <v>2034</v>
      </c>
      <c r="C641" s="15">
        <v>394</v>
      </c>
      <c r="D641" s="41" t="s">
        <v>1437</v>
      </c>
      <c r="E641" s="9" t="s">
        <v>1429</v>
      </c>
      <c r="F641" s="9" t="s">
        <v>479</v>
      </c>
      <c r="G641" s="9"/>
      <c r="H641" s="39"/>
      <c r="I641" s="9"/>
      <c r="J641" s="39"/>
      <c r="K641" s="42"/>
      <c r="L641" s="9"/>
      <c r="M641" s="16"/>
      <c r="AA641" s="14">
        <f t="shared" si="20"/>
        <v>-83</v>
      </c>
      <c r="AB641" s="47">
        <f t="shared" si="21"/>
        <v>-84</v>
      </c>
      <c r="AD641" s="53"/>
      <c r="AE641" s="53"/>
      <c r="AF641" s="53"/>
      <c r="AG641" s="53"/>
    </row>
    <row r="642" spans="1:33" s="46" customFormat="1">
      <c r="A642" s="39">
        <v>41233</v>
      </c>
      <c r="B642" s="9" t="s">
        <v>2244</v>
      </c>
      <c r="C642" s="15">
        <v>637</v>
      </c>
      <c r="D642" s="41" t="s">
        <v>1523</v>
      </c>
      <c r="E642" s="9" t="s">
        <v>1420</v>
      </c>
      <c r="F642" s="9" t="s">
        <v>479</v>
      </c>
      <c r="G642" s="9"/>
      <c r="H642" s="39"/>
      <c r="I642" s="9"/>
      <c r="J642" s="39"/>
      <c r="K642" s="42"/>
      <c r="L642" s="9" t="s">
        <v>1524</v>
      </c>
      <c r="M642" s="16"/>
      <c r="AA642" s="14">
        <f t="shared" si="20"/>
        <v>243</v>
      </c>
      <c r="AB642" s="47">
        <f t="shared" si="21"/>
        <v>242</v>
      </c>
      <c r="AD642" s="53"/>
      <c r="AE642" s="53"/>
      <c r="AF642" s="53"/>
      <c r="AG642" s="53"/>
    </row>
    <row r="643" spans="1:33" s="46" customFormat="1">
      <c r="A643" s="39">
        <v>41233</v>
      </c>
      <c r="B643" s="9" t="s">
        <v>1937</v>
      </c>
      <c r="C643" s="15">
        <v>558</v>
      </c>
      <c r="D643" s="41" t="s">
        <v>1623</v>
      </c>
      <c r="E643" s="9" t="s">
        <v>313</v>
      </c>
      <c r="F643" s="9" t="s">
        <v>479</v>
      </c>
      <c r="G643" s="9"/>
      <c r="H643" s="39"/>
      <c r="I643" s="9"/>
      <c r="J643" s="39"/>
      <c r="K643" s="42"/>
      <c r="L643" s="9" t="s">
        <v>1624</v>
      </c>
      <c r="M643" s="16"/>
      <c r="AA643" s="14">
        <f t="shared" si="20"/>
        <v>-79</v>
      </c>
      <c r="AB643" s="47">
        <f t="shared" si="21"/>
        <v>-80</v>
      </c>
      <c r="AD643" s="53"/>
      <c r="AE643" s="53"/>
      <c r="AF643" s="53"/>
      <c r="AG643" s="53"/>
    </row>
    <row r="644" spans="1:33" s="46" customFormat="1">
      <c r="A644" s="39">
        <v>41233</v>
      </c>
      <c r="B644" s="9" t="s">
        <v>2032</v>
      </c>
      <c r="C644" s="15">
        <v>392</v>
      </c>
      <c r="D644" s="41" t="s">
        <v>1436</v>
      </c>
      <c r="E644" s="9" t="s">
        <v>1429</v>
      </c>
      <c r="F644" s="9" t="s">
        <v>479</v>
      </c>
      <c r="G644" s="9"/>
      <c r="H644" s="39"/>
      <c r="I644" s="9"/>
      <c r="J644" s="39"/>
      <c r="K644" s="42"/>
      <c r="L644" s="9"/>
      <c r="M644" s="16"/>
      <c r="AA644" s="14">
        <f t="shared" si="20"/>
        <v>-166</v>
      </c>
      <c r="AB644" s="47">
        <f t="shared" si="21"/>
        <v>-167</v>
      </c>
      <c r="AD644" s="53"/>
      <c r="AE644" s="53"/>
      <c r="AF644" s="53"/>
      <c r="AG644" s="53"/>
    </row>
    <row r="645" spans="1:33" s="46" customFormat="1">
      <c r="A645" s="39">
        <v>41233</v>
      </c>
      <c r="B645" s="9" t="s">
        <v>2040</v>
      </c>
      <c r="C645" s="15">
        <v>400</v>
      </c>
      <c r="D645" s="41" t="s">
        <v>1370</v>
      </c>
      <c r="E645" s="9" t="s">
        <v>51</v>
      </c>
      <c r="F645" s="9" t="s">
        <v>479</v>
      </c>
      <c r="G645" s="9"/>
      <c r="H645" s="39"/>
      <c r="I645" s="9"/>
      <c r="J645" s="39"/>
      <c r="K645" s="42"/>
      <c r="L645" s="9" t="s">
        <v>1371</v>
      </c>
      <c r="M645" s="16"/>
      <c r="AA645" s="14">
        <f t="shared" si="20"/>
        <v>8</v>
      </c>
      <c r="AB645" s="47">
        <f t="shared" si="21"/>
        <v>7</v>
      </c>
      <c r="AD645" s="53"/>
      <c r="AE645" s="53"/>
      <c r="AF645" s="53"/>
      <c r="AG645" s="53"/>
    </row>
    <row r="646" spans="1:33" s="46" customFormat="1">
      <c r="A646" s="39">
        <v>41233</v>
      </c>
      <c r="B646" s="9" t="s">
        <v>2130</v>
      </c>
      <c r="C646" s="15">
        <v>478</v>
      </c>
      <c r="D646" s="41" t="s">
        <v>1556</v>
      </c>
      <c r="E646" s="9" t="s">
        <v>96</v>
      </c>
      <c r="F646" s="9" t="s">
        <v>479</v>
      </c>
      <c r="G646" s="9"/>
      <c r="H646" s="39"/>
      <c r="I646" s="9"/>
      <c r="J646" s="39"/>
      <c r="K646" s="42"/>
      <c r="L646" s="9"/>
      <c r="M646" s="16"/>
      <c r="AA646" s="14">
        <f t="shared" si="20"/>
        <v>78</v>
      </c>
      <c r="AB646" s="47">
        <f t="shared" si="21"/>
        <v>77</v>
      </c>
      <c r="AD646" s="53"/>
      <c r="AE646" s="53"/>
      <c r="AF646" s="53"/>
      <c r="AG646" s="53"/>
    </row>
    <row r="647" spans="1:33" s="46" customFormat="1">
      <c r="A647" s="39">
        <v>41233</v>
      </c>
      <c r="B647" s="9" t="s">
        <v>2123</v>
      </c>
      <c r="C647" s="15">
        <v>493</v>
      </c>
      <c r="D647" s="41" t="s">
        <v>1665</v>
      </c>
      <c r="E647" s="9" t="s">
        <v>313</v>
      </c>
      <c r="F647" s="9" t="s">
        <v>479</v>
      </c>
      <c r="G647" s="9"/>
      <c r="H647" s="39"/>
      <c r="I647" s="9"/>
      <c r="J647" s="39"/>
      <c r="K647" s="42"/>
      <c r="L647" s="9" t="s">
        <v>1666</v>
      </c>
      <c r="M647" s="16"/>
      <c r="AA647" s="14">
        <f t="shared" si="20"/>
        <v>15</v>
      </c>
      <c r="AB647" s="47">
        <f t="shared" si="21"/>
        <v>14</v>
      </c>
      <c r="AD647" s="53"/>
      <c r="AE647" s="53"/>
      <c r="AF647" s="53"/>
      <c r="AG647" s="53"/>
    </row>
    <row r="648" spans="1:33" s="46" customFormat="1" ht="12" customHeight="1">
      <c r="A648" s="39">
        <v>41233</v>
      </c>
      <c r="B648" s="74" t="s">
        <v>2122</v>
      </c>
      <c r="C648" s="15">
        <v>491</v>
      </c>
      <c r="D648" s="41" t="s">
        <v>1667</v>
      </c>
      <c r="E648" s="9" t="s">
        <v>313</v>
      </c>
      <c r="F648" s="9" t="s">
        <v>479</v>
      </c>
      <c r="G648" s="9"/>
      <c r="H648" s="39"/>
      <c r="I648" s="9"/>
      <c r="J648" s="39"/>
      <c r="K648" s="42"/>
      <c r="L648" s="9" t="s">
        <v>1668</v>
      </c>
      <c r="M648" s="16" t="s">
        <v>71</v>
      </c>
      <c r="AA648" s="14">
        <f t="shared" si="20"/>
        <v>-2</v>
      </c>
      <c r="AB648" s="47">
        <f t="shared" si="21"/>
        <v>-3</v>
      </c>
      <c r="AD648" s="53"/>
      <c r="AE648" s="53"/>
      <c r="AF648" s="53"/>
      <c r="AG648" s="53"/>
    </row>
    <row r="649" spans="1:33" s="46" customFormat="1">
      <c r="A649" s="39">
        <v>41233</v>
      </c>
      <c r="B649" s="9" t="s">
        <v>2000</v>
      </c>
      <c r="C649" s="15">
        <v>355</v>
      </c>
      <c r="D649" s="41" t="s">
        <v>1396</v>
      </c>
      <c r="E649" s="9" t="s">
        <v>57</v>
      </c>
      <c r="F649" s="9" t="s">
        <v>479</v>
      </c>
      <c r="G649" s="9"/>
      <c r="H649" s="39"/>
      <c r="I649" s="9"/>
      <c r="J649" s="39"/>
      <c r="K649" s="42"/>
      <c r="L649" s="9"/>
      <c r="M649" s="16"/>
      <c r="AA649" s="14">
        <f t="shared" si="20"/>
        <v>-136</v>
      </c>
      <c r="AB649" s="47">
        <f t="shared" si="21"/>
        <v>-137</v>
      </c>
      <c r="AD649" s="53"/>
      <c r="AE649" s="53"/>
      <c r="AF649" s="53"/>
      <c r="AG649" s="53"/>
    </row>
    <row r="650" spans="1:33" s="46" customFormat="1">
      <c r="A650" s="39">
        <v>41233</v>
      </c>
      <c r="B650" s="9" t="s">
        <v>2025</v>
      </c>
      <c r="C650" s="15">
        <v>385</v>
      </c>
      <c r="D650" s="41" t="s">
        <v>1397</v>
      </c>
      <c r="E650" s="9" t="s">
        <v>57</v>
      </c>
      <c r="F650" s="9" t="s">
        <v>479</v>
      </c>
      <c r="G650" s="9"/>
      <c r="H650" s="39"/>
      <c r="I650" s="9"/>
      <c r="J650" s="39"/>
      <c r="K650" s="42"/>
      <c r="L650" s="9"/>
      <c r="M650" s="16"/>
      <c r="AA650" s="14">
        <f t="shared" si="20"/>
        <v>30</v>
      </c>
      <c r="AB650" s="47">
        <f t="shared" si="21"/>
        <v>29</v>
      </c>
      <c r="AD650" s="53"/>
      <c r="AE650" s="53"/>
      <c r="AF650" s="53"/>
      <c r="AG650" s="53"/>
    </row>
    <row r="651" spans="1:33" s="46" customFormat="1">
      <c r="A651" s="39">
        <v>41233</v>
      </c>
      <c r="B651" s="9" t="s">
        <v>2041</v>
      </c>
      <c r="C651" s="15">
        <v>401</v>
      </c>
      <c r="D651" s="41" t="s">
        <v>1398</v>
      </c>
      <c r="E651" s="9" t="s">
        <v>57</v>
      </c>
      <c r="F651" s="9" t="s">
        <v>479</v>
      </c>
      <c r="G651" s="9"/>
      <c r="H651" s="39"/>
      <c r="I651" s="9"/>
      <c r="J651" s="39"/>
      <c r="K651" s="42"/>
      <c r="L651" s="9"/>
      <c r="M651" s="16"/>
      <c r="AA651" s="14">
        <f t="shared" si="20"/>
        <v>16</v>
      </c>
      <c r="AB651" s="47">
        <f t="shared" si="21"/>
        <v>15</v>
      </c>
      <c r="AD651" s="53"/>
      <c r="AE651" s="53"/>
      <c r="AF651" s="53"/>
      <c r="AG651" s="53"/>
    </row>
    <row r="652" spans="1:33" s="46" customFormat="1">
      <c r="A652" s="39">
        <v>41233</v>
      </c>
      <c r="B652" s="9" t="s">
        <v>1991</v>
      </c>
      <c r="C652" s="15">
        <v>532</v>
      </c>
      <c r="D652" s="41" t="s">
        <v>1525</v>
      </c>
      <c r="E652" s="9" t="s">
        <v>1420</v>
      </c>
      <c r="F652" s="9" t="s">
        <v>479</v>
      </c>
      <c r="G652" s="9"/>
      <c r="H652" s="39"/>
      <c r="I652" s="9"/>
      <c r="J652" s="39"/>
      <c r="K652" s="42"/>
      <c r="L652" s="9"/>
      <c r="M652" s="16"/>
      <c r="AA652" s="14">
        <f t="shared" si="20"/>
        <v>131</v>
      </c>
      <c r="AB652" s="47">
        <f t="shared" si="21"/>
        <v>130</v>
      </c>
      <c r="AD652" s="53"/>
      <c r="AE652" s="53"/>
      <c r="AF652" s="53"/>
      <c r="AG652" s="53"/>
    </row>
    <row r="653" spans="1:33" s="46" customFormat="1">
      <c r="A653" s="39">
        <v>41233</v>
      </c>
      <c r="B653" s="9" t="s">
        <v>2249</v>
      </c>
      <c r="C653" s="15">
        <v>640</v>
      </c>
      <c r="D653" s="41" t="s">
        <v>1473</v>
      </c>
      <c r="E653" s="9" t="s">
        <v>1448</v>
      </c>
      <c r="F653" s="9" t="s">
        <v>479</v>
      </c>
      <c r="G653" s="9"/>
      <c r="H653" s="39"/>
      <c r="I653" s="9"/>
      <c r="J653" s="39"/>
      <c r="K653" s="42"/>
      <c r="L653" s="9" t="s">
        <v>1474</v>
      </c>
      <c r="M653" s="16"/>
      <c r="AA653" s="14">
        <f t="shared" si="20"/>
        <v>108</v>
      </c>
      <c r="AB653" s="47">
        <f t="shared" si="21"/>
        <v>107</v>
      </c>
      <c r="AD653" s="53"/>
      <c r="AE653" s="53"/>
      <c r="AF653" s="53"/>
      <c r="AG653" s="53"/>
    </row>
    <row r="654" spans="1:33" s="46" customFormat="1">
      <c r="A654" s="39">
        <v>41233</v>
      </c>
      <c r="B654" s="9" t="s">
        <v>1973</v>
      </c>
      <c r="C654" s="15">
        <v>530</v>
      </c>
      <c r="D654" s="41" t="s">
        <v>1357</v>
      </c>
      <c r="E654" s="9" t="s">
        <v>51</v>
      </c>
      <c r="F654" s="9" t="s">
        <v>479</v>
      </c>
      <c r="G654" s="9"/>
      <c r="H654" s="39"/>
      <c r="I654" s="9"/>
      <c r="J654" s="39"/>
      <c r="K654" s="42"/>
      <c r="L654" s="9" t="s">
        <v>1358</v>
      </c>
      <c r="M654" s="16"/>
      <c r="AA654" s="14">
        <f t="shared" si="20"/>
        <v>-110</v>
      </c>
      <c r="AB654" s="47">
        <f t="shared" si="21"/>
        <v>-111</v>
      </c>
      <c r="AD654" s="53"/>
      <c r="AE654" s="53"/>
      <c r="AF654" s="53"/>
      <c r="AG654" s="53"/>
    </row>
    <row r="655" spans="1:33" s="46" customFormat="1">
      <c r="A655" s="39">
        <v>41233</v>
      </c>
      <c r="B655" s="9" t="s">
        <v>1995</v>
      </c>
      <c r="C655" s="15">
        <v>350</v>
      </c>
      <c r="D655" s="41" t="s">
        <v>1399</v>
      </c>
      <c r="E655" s="9" t="s">
        <v>57</v>
      </c>
      <c r="F655" s="9" t="s">
        <v>479</v>
      </c>
      <c r="G655" s="9"/>
      <c r="H655" s="39"/>
      <c r="I655" s="9"/>
      <c r="J655" s="39"/>
      <c r="K655" s="42"/>
      <c r="L655" s="9" t="s">
        <v>1400</v>
      </c>
      <c r="M655" s="16" t="s">
        <v>190</v>
      </c>
      <c r="AA655" s="14">
        <f t="shared" si="20"/>
        <v>-180</v>
      </c>
      <c r="AB655" s="47">
        <f t="shared" si="21"/>
        <v>-181</v>
      </c>
      <c r="AD655" s="53"/>
      <c r="AE655" s="53"/>
      <c r="AF655" s="53"/>
      <c r="AG655" s="53"/>
    </row>
    <row r="656" spans="1:33" s="46" customFormat="1">
      <c r="A656" s="39">
        <v>41233</v>
      </c>
      <c r="B656" s="9" t="s">
        <v>1993</v>
      </c>
      <c r="C656" s="15">
        <v>340</v>
      </c>
      <c r="D656" s="41" t="s">
        <v>1401</v>
      </c>
      <c r="E656" s="9" t="s">
        <v>57</v>
      </c>
      <c r="F656" s="9" t="s">
        <v>479</v>
      </c>
      <c r="G656" s="9"/>
      <c r="H656" s="39"/>
      <c r="I656" s="9"/>
      <c r="J656" s="39"/>
      <c r="K656" s="42"/>
      <c r="L656" s="9"/>
      <c r="M656" s="16"/>
      <c r="AA656" s="14">
        <f t="shared" si="20"/>
        <v>-10</v>
      </c>
      <c r="AB656" s="47">
        <f t="shared" si="21"/>
        <v>-11</v>
      </c>
      <c r="AD656" s="53"/>
      <c r="AE656" s="53"/>
      <c r="AF656" s="53"/>
      <c r="AG656" s="53"/>
    </row>
    <row r="657" spans="1:33" s="46" customFormat="1">
      <c r="A657" s="39">
        <v>41233</v>
      </c>
      <c r="B657" s="9" t="s">
        <v>1971</v>
      </c>
      <c r="C657" s="15">
        <v>524</v>
      </c>
      <c r="D657" s="41" t="s">
        <v>1359</v>
      </c>
      <c r="E657" s="9" t="s">
        <v>51</v>
      </c>
      <c r="F657" s="9" t="s">
        <v>479</v>
      </c>
      <c r="G657" s="9"/>
      <c r="H657" s="39"/>
      <c r="I657" s="9"/>
      <c r="J657" s="39"/>
      <c r="K657" s="42"/>
      <c r="L657" s="9" t="s">
        <v>1360</v>
      </c>
      <c r="M657" s="16"/>
      <c r="AA657" s="14">
        <f t="shared" si="20"/>
        <v>184</v>
      </c>
      <c r="AB657" s="47">
        <f t="shared" si="21"/>
        <v>183</v>
      </c>
      <c r="AD657" s="53"/>
      <c r="AE657" s="53"/>
      <c r="AF657" s="53"/>
      <c r="AG657" s="53"/>
    </row>
    <row r="658" spans="1:33" s="46" customFormat="1">
      <c r="A658" s="39">
        <v>41233</v>
      </c>
      <c r="B658" s="9" t="s">
        <v>1924</v>
      </c>
      <c r="C658" s="15">
        <v>571</v>
      </c>
      <c r="D658" s="41" t="s">
        <v>1611</v>
      </c>
      <c r="E658" s="9" t="s">
        <v>313</v>
      </c>
      <c r="F658" s="9" t="s">
        <v>479</v>
      </c>
      <c r="G658" s="9"/>
      <c r="H658" s="39"/>
      <c r="I658" s="9"/>
      <c r="J658" s="39"/>
      <c r="K658" s="42"/>
      <c r="L658" s="9" t="s">
        <v>1612</v>
      </c>
      <c r="M658" s="16"/>
      <c r="AA658" s="14">
        <f t="shared" si="20"/>
        <v>47</v>
      </c>
      <c r="AB658" s="47">
        <f t="shared" si="21"/>
        <v>46</v>
      </c>
      <c r="AD658" s="53"/>
      <c r="AE658" s="53"/>
      <c r="AF658" s="53"/>
      <c r="AG658" s="53"/>
    </row>
    <row r="659" spans="1:33" s="46" customFormat="1">
      <c r="A659" s="39">
        <v>41233</v>
      </c>
      <c r="B659" s="9" t="s">
        <v>2250</v>
      </c>
      <c r="C659" s="15">
        <v>641</v>
      </c>
      <c r="D659" s="41" t="s">
        <v>1595</v>
      </c>
      <c r="E659" s="9" t="s">
        <v>313</v>
      </c>
      <c r="F659" s="9" t="s">
        <v>479</v>
      </c>
      <c r="G659" s="9"/>
      <c r="H659" s="39"/>
      <c r="I659" s="9"/>
      <c r="J659" s="39"/>
      <c r="K659" s="42"/>
      <c r="L659" s="9" t="s">
        <v>1596</v>
      </c>
      <c r="M659" s="16"/>
      <c r="AA659" s="14">
        <f t="shared" si="20"/>
        <v>70</v>
      </c>
      <c r="AB659" s="47">
        <f t="shared" si="21"/>
        <v>69</v>
      </c>
      <c r="AD659" s="53"/>
      <c r="AE659" s="53"/>
      <c r="AF659" s="53"/>
      <c r="AG659" s="53"/>
    </row>
    <row r="660" spans="1:33" s="46" customFormat="1">
      <c r="A660" s="39">
        <v>41233</v>
      </c>
      <c r="B660" s="9" t="s">
        <v>2807</v>
      </c>
      <c r="C660" s="15">
        <v>817</v>
      </c>
      <c r="D660" s="41" t="s">
        <v>1607</v>
      </c>
      <c r="E660" s="9" t="s">
        <v>313</v>
      </c>
      <c r="F660" s="9" t="s">
        <v>479</v>
      </c>
      <c r="G660" s="9"/>
      <c r="H660" s="39"/>
      <c r="I660" s="9"/>
      <c r="J660" s="39"/>
      <c r="K660" s="42"/>
      <c r="L660" s="9" t="s">
        <v>1608</v>
      </c>
      <c r="M660" s="16"/>
      <c r="AA660" s="14">
        <f t="shared" si="20"/>
        <v>176</v>
      </c>
      <c r="AB660" s="47">
        <f t="shared" si="21"/>
        <v>175</v>
      </c>
      <c r="AD660" s="53"/>
      <c r="AE660" s="53"/>
      <c r="AF660" s="53"/>
      <c r="AG660" s="53"/>
    </row>
    <row r="661" spans="1:33" s="46" customFormat="1">
      <c r="A661" s="39">
        <v>41233</v>
      </c>
      <c r="B661" s="9" t="s">
        <v>2641</v>
      </c>
      <c r="C661" s="15">
        <v>790</v>
      </c>
      <c r="D661" s="41" t="s">
        <v>1631</v>
      </c>
      <c r="E661" s="9" t="s">
        <v>313</v>
      </c>
      <c r="F661" s="9" t="s">
        <v>479</v>
      </c>
      <c r="G661" s="9"/>
      <c r="H661" s="39"/>
      <c r="I661" s="9"/>
      <c r="J661" s="39"/>
      <c r="K661" s="42"/>
      <c r="L661" s="9" t="s">
        <v>1632</v>
      </c>
      <c r="M661" s="16"/>
      <c r="AA661" s="14">
        <f t="shared" si="20"/>
        <v>-27</v>
      </c>
      <c r="AB661" s="47">
        <f t="shared" si="21"/>
        <v>-28</v>
      </c>
      <c r="AD661" s="53"/>
      <c r="AE661" s="53"/>
      <c r="AF661" s="53"/>
      <c r="AG661" s="53"/>
    </row>
    <row r="662" spans="1:33" s="46" customFormat="1">
      <c r="A662" s="39">
        <v>41233</v>
      </c>
      <c r="B662" s="9" t="s">
        <v>1955</v>
      </c>
      <c r="C662" s="15">
        <v>533</v>
      </c>
      <c r="D662" s="41" t="s">
        <v>1609</v>
      </c>
      <c r="E662" s="9" t="s">
        <v>313</v>
      </c>
      <c r="F662" s="9" t="s">
        <v>479</v>
      </c>
      <c r="G662" s="9"/>
      <c r="H662" s="39"/>
      <c r="I662" s="9"/>
      <c r="J662" s="39"/>
      <c r="K662" s="42"/>
      <c r="L662" s="9" t="s">
        <v>1610</v>
      </c>
      <c r="M662" s="16"/>
      <c r="AA662" s="14">
        <f t="shared" si="20"/>
        <v>-257</v>
      </c>
      <c r="AB662" s="47">
        <f t="shared" si="21"/>
        <v>-258</v>
      </c>
      <c r="AD662" s="53"/>
      <c r="AE662" s="53"/>
      <c r="AF662" s="53"/>
      <c r="AG662" s="53"/>
    </row>
    <row r="663" spans="1:33" s="46" customFormat="1">
      <c r="A663" s="39">
        <v>41233</v>
      </c>
      <c r="B663" s="9" t="s">
        <v>1960</v>
      </c>
      <c r="C663" s="15">
        <v>538</v>
      </c>
      <c r="D663" s="41" t="s">
        <v>1669</v>
      </c>
      <c r="E663" s="9" t="s">
        <v>313</v>
      </c>
      <c r="F663" s="9" t="s">
        <v>479</v>
      </c>
      <c r="G663" s="9"/>
      <c r="H663" s="39"/>
      <c r="I663" s="9"/>
      <c r="J663" s="39"/>
      <c r="K663" s="42"/>
      <c r="L663" s="9" t="s">
        <v>1670</v>
      </c>
      <c r="M663" s="16"/>
      <c r="AA663" s="14">
        <f t="shared" si="20"/>
        <v>5</v>
      </c>
      <c r="AB663" s="47">
        <f t="shared" si="21"/>
        <v>4</v>
      </c>
      <c r="AD663" s="53"/>
      <c r="AE663" s="53"/>
      <c r="AF663" s="53"/>
      <c r="AG663" s="53"/>
    </row>
    <row r="664" spans="1:33" s="46" customFormat="1">
      <c r="A664" s="39">
        <v>41233</v>
      </c>
      <c r="B664" s="9" t="s">
        <v>2256</v>
      </c>
      <c r="C664" s="15">
        <v>647</v>
      </c>
      <c r="D664" s="41" t="s">
        <v>1605</v>
      </c>
      <c r="E664" s="9" t="s">
        <v>313</v>
      </c>
      <c r="F664" s="9" t="s">
        <v>479</v>
      </c>
      <c r="G664" s="9"/>
      <c r="H664" s="39"/>
      <c r="I664" s="9"/>
      <c r="J664" s="39"/>
      <c r="K664" s="42"/>
      <c r="L664" s="9" t="s">
        <v>1606</v>
      </c>
      <c r="M664" s="16"/>
      <c r="AA664" s="14">
        <f t="shared" si="20"/>
        <v>109</v>
      </c>
      <c r="AB664" s="47">
        <f t="shared" si="21"/>
        <v>108</v>
      </c>
      <c r="AD664" s="53"/>
      <c r="AE664" s="53"/>
      <c r="AF664" s="53"/>
      <c r="AG664" s="53"/>
    </row>
    <row r="665" spans="1:33" s="46" customFormat="1">
      <c r="A665" s="39">
        <v>41233</v>
      </c>
      <c r="B665" s="9" t="s">
        <v>2257</v>
      </c>
      <c r="C665" s="15">
        <v>648</v>
      </c>
      <c r="D665" s="41" t="s">
        <v>1619</v>
      </c>
      <c r="E665" s="9" t="s">
        <v>313</v>
      </c>
      <c r="F665" s="9" t="s">
        <v>479</v>
      </c>
      <c r="G665" s="9"/>
      <c r="H665" s="39"/>
      <c r="I665" s="9"/>
      <c r="J665" s="39"/>
      <c r="K665" s="42"/>
      <c r="L665" s="9" t="s">
        <v>1620</v>
      </c>
      <c r="M665" s="16"/>
      <c r="AA665" s="14">
        <f t="shared" si="20"/>
        <v>1</v>
      </c>
      <c r="AB665" s="47">
        <f t="shared" si="21"/>
        <v>0</v>
      </c>
      <c r="AD665" s="53"/>
      <c r="AE665" s="53"/>
      <c r="AF665" s="53"/>
      <c r="AG665" s="53"/>
    </row>
    <row r="666" spans="1:33" s="46" customFormat="1" ht="12" customHeight="1">
      <c r="A666" s="39">
        <v>41233</v>
      </c>
      <c r="B666" s="74" t="s">
        <v>2255</v>
      </c>
      <c r="C666" s="15">
        <v>646</v>
      </c>
      <c r="D666" s="41" t="s">
        <v>1589</v>
      </c>
      <c r="E666" s="9" t="s">
        <v>313</v>
      </c>
      <c r="F666" s="9" t="s">
        <v>479</v>
      </c>
      <c r="G666" s="9"/>
      <c r="H666" s="39"/>
      <c r="I666" s="9"/>
      <c r="J666" s="39"/>
      <c r="K666" s="42"/>
      <c r="L666" s="9" t="s">
        <v>1590</v>
      </c>
      <c r="M666" s="16"/>
      <c r="AA666" s="14">
        <f t="shared" si="20"/>
        <v>-2</v>
      </c>
      <c r="AB666" s="47">
        <f t="shared" si="21"/>
        <v>-3</v>
      </c>
      <c r="AD666" s="53"/>
      <c r="AE666" s="53"/>
      <c r="AF666" s="53"/>
      <c r="AG666" s="53"/>
    </row>
    <row r="667" spans="1:33" s="46" customFormat="1">
      <c r="A667" s="39">
        <v>41233</v>
      </c>
      <c r="B667" s="9" t="s">
        <v>1936</v>
      </c>
      <c r="C667" s="15">
        <v>559</v>
      </c>
      <c r="D667" s="41" t="s">
        <v>1599</v>
      </c>
      <c r="E667" s="9" t="s">
        <v>313</v>
      </c>
      <c r="F667" s="9" t="s">
        <v>479</v>
      </c>
      <c r="G667" s="9"/>
      <c r="H667" s="39"/>
      <c r="I667" s="9"/>
      <c r="J667" s="39"/>
      <c r="K667" s="42"/>
      <c r="L667" s="9" t="s">
        <v>1600</v>
      </c>
      <c r="M667" s="16"/>
      <c r="AA667" s="14">
        <f t="shared" si="20"/>
        <v>-87</v>
      </c>
      <c r="AB667" s="47">
        <f t="shared" si="21"/>
        <v>-88</v>
      </c>
      <c r="AD667" s="53"/>
      <c r="AE667" s="53"/>
      <c r="AF667" s="53"/>
      <c r="AG667" s="53"/>
    </row>
    <row r="668" spans="1:33" s="46" customFormat="1">
      <c r="A668" s="39">
        <v>41233</v>
      </c>
      <c r="B668" s="9" t="s">
        <v>2125</v>
      </c>
      <c r="C668" s="15">
        <v>496</v>
      </c>
      <c r="D668" s="41" t="s">
        <v>1671</v>
      </c>
      <c r="E668" s="9" t="s">
        <v>313</v>
      </c>
      <c r="F668" s="9" t="s">
        <v>479</v>
      </c>
      <c r="G668" s="9"/>
      <c r="H668" s="39"/>
      <c r="I668" s="9"/>
      <c r="J668" s="39"/>
      <c r="K668" s="42"/>
      <c r="L668" s="9" t="s">
        <v>1672</v>
      </c>
      <c r="M668" s="16"/>
      <c r="AA668" s="14">
        <f t="shared" si="20"/>
        <v>-63</v>
      </c>
      <c r="AB668" s="47">
        <f t="shared" si="21"/>
        <v>-64</v>
      </c>
      <c r="AD668" s="53"/>
      <c r="AE668" s="53"/>
      <c r="AF668" s="53"/>
      <c r="AG668" s="53"/>
    </row>
    <row r="669" spans="1:33" s="46" customFormat="1">
      <c r="A669" s="39">
        <v>41233</v>
      </c>
      <c r="B669" s="9" t="s">
        <v>2101</v>
      </c>
      <c r="C669" s="15">
        <v>483</v>
      </c>
      <c r="D669" s="41" t="s">
        <v>1673</v>
      </c>
      <c r="E669" s="9" t="s">
        <v>313</v>
      </c>
      <c r="F669" s="9" t="s">
        <v>479</v>
      </c>
      <c r="G669" s="9"/>
      <c r="H669" s="39"/>
      <c r="I669" s="9"/>
      <c r="J669" s="39"/>
      <c r="K669" s="42"/>
      <c r="L669" s="9" t="s">
        <v>1674</v>
      </c>
      <c r="M669" s="16"/>
      <c r="AA669" s="14">
        <f t="shared" si="20"/>
        <v>-13</v>
      </c>
      <c r="AB669" s="47">
        <f t="shared" si="21"/>
        <v>-14</v>
      </c>
      <c r="AD669" s="53"/>
      <c r="AE669" s="53"/>
      <c r="AF669" s="53"/>
      <c r="AG669" s="53"/>
    </row>
    <row r="670" spans="1:33" s="46" customFormat="1">
      <c r="A670" s="39">
        <v>41233</v>
      </c>
      <c r="B670" s="9" t="s">
        <v>2100</v>
      </c>
      <c r="C670" s="15">
        <v>481</v>
      </c>
      <c r="D670" s="41" t="s">
        <v>1675</v>
      </c>
      <c r="E670" s="9" t="s">
        <v>313</v>
      </c>
      <c r="F670" s="9" t="s">
        <v>479</v>
      </c>
      <c r="G670" s="9"/>
      <c r="H670" s="39"/>
      <c r="I670" s="9"/>
      <c r="J670" s="39"/>
      <c r="K670" s="42"/>
      <c r="L670" s="9" t="s">
        <v>1676</v>
      </c>
      <c r="M670" s="16"/>
      <c r="AA670" s="14">
        <f t="shared" si="20"/>
        <v>-2</v>
      </c>
      <c r="AB670" s="47">
        <f t="shared" si="21"/>
        <v>-3</v>
      </c>
      <c r="AD670" s="53"/>
      <c r="AE670" s="53"/>
      <c r="AF670" s="53"/>
      <c r="AG670" s="53"/>
    </row>
    <row r="671" spans="1:33" s="46" customFormat="1">
      <c r="A671" s="39">
        <v>41233</v>
      </c>
      <c r="B671" s="9" t="s">
        <v>2778</v>
      </c>
      <c r="C671" s="15">
        <v>673</v>
      </c>
      <c r="D671" s="41" t="s">
        <v>1629</v>
      </c>
      <c r="E671" s="9" t="s">
        <v>313</v>
      </c>
      <c r="F671" s="9" t="s">
        <v>479</v>
      </c>
      <c r="G671" s="9"/>
      <c r="H671" s="39"/>
      <c r="I671" s="9"/>
      <c r="J671" s="39"/>
      <c r="K671" s="42"/>
      <c r="L671" s="9" t="s">
        <v>1630</v>
      </c>
      <c r="M671" s="16"/>
      <c r="AA671" s="14">
        <f t="shared" si="20"/>
        <v>192</v>
      </c>
      <c r="AB671" s="47">
        <f t="shared" si="21"/>
        <v>191</v>
      </c>
      <c r="AD671" s="53"/>
      <c r="AE671" s="53"/>
      <c r="AF671" s="53"/>
      <c r="AG671" s="53"/>
    </row>
    <row r="672" spans="1:33" s="46" customFormat="1" ht="12" customHeight="1">
      <c r="A672" s="39">
        <v>41233</v>
      </c>
      <c r="B672" s="9" t="s">
        <v>1994</v>
      </c>
      <c r="C672" s="15">
        <v>349</v>
      </c>
      <c r="D672" s="41" t="s">
        <v>1403</v>
      </c>
      <c r="E672" s="9" t="s">
        <v>57</v>
      </c>
      <c r="F672" s="9" t="s">
        <v>479</v>
      </c>
      <c r="G672" s="9"/>
      <c r="H672" s="39"/>
      <c r="I672" s="9"/>
      <c r="J672" s="39"/>
      <c r="K672" s="42"/>
      <c r="L672" s="9"/>
      <c r="M672" s="16"/>
      <c r="AA672" s="14">
        <f t="shared" si="20"/>
        <v>-324</v>
      </c>
      <c r="AB672" s="47">
        <f t="shared" si="21"/>
        <v>-325</v>
      </c>
      <c r="AD672" s="53"/>
      <c r="AE672" s="53"/>
      <c r="AF672" s="53"/>
      <c r="AG672" s="53"/>
    </row>
    <row r="673" spans="1:33" s="46" customFormat="1">
      <c r="A673" s="39">
        <v>41233</v>
      </c>
      <c r="B673" s="9" t="s">
        <v>2026</v>
      </c>
      <c r="C673" s="15">
        <v>386</v>
      </c>
      <c r="D673" s="41" t="s">
        <v>1402</v>
      </c>
      <c r="E673" s="9" t="s">
        <v>57</v>
      </c>
      <c r="F673" s="9" t="s">
        <v>479</v>
      </c>
      <c r="G673" s="9"/>
      <c r="H673" s="39"/>
      <c r="I673" s="9"/>
      <c r="J673" s="39"/>
      <c r="K673" s="42"/>
      <c r="L673" s="9"/>
      <c r="M673" s="16"/>
      <c r="AA673" s="14">
        <f t="shared" si="20"/>
        <v>37</v>
      </c>
      <c r="AB673" s="47">
        <f t="shared" si="21"/>
        <v>36</v>
      </c>
      <c r="AD673" s="53"/>
      <c r="AE673" s="53"/>
      <c r="AF673" s="53"/>
      <c r="AG673" s="53"/>
    </row>
    <row r="674" spans="1:33" s="46" customFormat="1" ht="24">
      <c r="A674" s="39">
        <v>41233</v>
      </c>
      <c r="B674" s="9"/>
      <c r="C674" s="15"/>
      <c r="D674" s="41" t="s">
        <v>1591</v>
      </c>
      <c r="E674" s="9" t="s">
        <v>313</v>
      </c>
      <c r="F674" s="9" t="s">
        <v>479</v>
      </c>
      <c r="G674" s="9"/>
      <c r="H674" s="39"/>
      <c r="I674" s="9"/>
      <c r="J674" s="39"/>
      <c r="K674" s="42"/>
      <c r="L674" s="9" t="s">
        <v>1592</v>
      </c>
      <c r="M674" s="16"/>
      <c r="AA674" s="14">
        <f t="shared" si="20"/>
        <v>-386</v>
      </c>
      <c r="AB674" s="47">
        <f t="shared" si="21"/>
        <v>-387</v>
      </c>
      <c r="AD674" s="53"/>
      <c r="AE674" s="53"/>
      <c r="AF674" s="53"/>
      <c r="AG674" s="53"/>
    </row>
    <row r="675" spans="1:33" s="46" customFormat="1">
      <c r="A675" s="39">
        <v>41233</v>
      </c>
      <c r="B675" s="9"/>
      <c r="C675" s="15"/>
      <c r="D675" s="41" t="s">
        <v>1526</v>
      </c>
      <c r="E675" s="9" t="s">
        <v>51</v>
      </c>
      <c r="F675" s="9" t="s">
        <v>479</v>
      </c>
      <c r="G675" s="9"/>
      <c r="H675" s="39"/>
      <c r="I675" s="9"/>
      <c r="J675" s="39"/>
      <c r="K675" s="42"/>
      <c r="L675" s="9"/>
      <c r="M675" s="16"/>
      <c r="AA675" s="14">
        <f t="shared" si="20"/>
        <v>0</v>
      </c>
      <c r="AB675" s="47">
        <f t="shared" si="21"/>
        <v>-1</v>
      </c>
      <c r="AD675" s="53"/>
      <c r="AE675" s="53"/>
      <c r="AF675" s="53"/>
      <c r="AG675" s="53"/>
    </row>
    <row r="676" spans="1:33" s="46" customFormat="1">
      <c r="A676" s="39">
        <v>41233</v>
      </c>
      <c r="B676" s="9" t="s">
        <v>1997</v>
      </c>
      <c r="C676" s="15">
        <v>352</v>
      </c>
      <c r="D676" s="41" t="s">
        <v>1404</v>
      </c>
      <c r="E676" s="9" t="s">
        <v>57</v>
      </c>
      <c r="F676" s="9" t="s">
        <v>479</v>
      </c>
      <c r="G676" s="9"/>
      <c r="H676" s="39"/>
      <c r="I676" s="9"/>
      <c r="J676" s="39"/>
      <c r="K676" s="42"/>
      <c r="L676" s="9"/>
      <c r="M676" s="16"/>
      <c r="AA676" s="14">
        <f t="shared" si="20"/>
        <v>352</v>
      </c>
      <c r="AB676" s="47">
        <f t="shared" si="21"/>
        <v>351</v>
      </c>
      <c r="AD676" s="53"/>
      <c r="AE676" s="53"/>
      <c r="AF676" s="53"/>
      <c r="AG676" s="53"/>
    </row>
    <row r="677" spans="1:33" s="46" customFormat="1">
      <c r="A677" s="39">
        <v>41233</v>
      </c>
      <c r="B677" s="9" t="s">
        <v>2036</v>
      </c>
      <c r="C677" s="15">
        <v>396</v>
      </c>
      <c r="D677" s="41" t="s">
        <v>1405</v>
      </c>
      <c r="E677" s="9" t="s">
        <v>51</v>
      </c>
      <c r="F677" s="9" t="s">
        <v>479</v>
      </c>
      <c r="G677" s="9"/>
      <c r="H677" s="39"/>
      <c r="I677" s="9"/>
      <c r="J677" s="39"/>
      <c r="K677" s="42"/>
      <c r="L677" s="9" t="s">
        <v>1406</v>
      </c>
      <c r="M677" s="16"/>
      <c r="AA677" s="14">
        <f t="shared" si="20"/>
        <v>44</v>
      </c>
      <c r="AB677" s="47">
        <f t="shared" si="21"/>
        <v>43</v>
      </c>
      <c r="AD677" s="53"/>
      <c r="AE677" s="53"/>
      <c r="AF677" s="53"/>
      <c r="AG677" s="53"/>
    </row>
    <row r="678" spans="1:33" s="46" customFormat="1">
      <c r="A678" s="39">
        <v>41233</v>
      </c>
      <c r="B678" s="9" t="s">
        <v>1981</v>
      </c>
      <c r="C678" s="15">
        <v>517</v>
      </c>
      <c r="D678" s="41" t="s">
        <v>1980</v>
      </c>
      <c r="E678" s="9" t="s">
        <v>96</v>
      </c>
      <c r="F678" s="9" t="s">
        <v>479</v>
      </c>
      <c r="G678" s="9"/>
      <c r="H678" s="39"/>
      <c r="I678" s="9"/>
      <c r="J678" s="39"/>
      <c r="K678" s="42"/>
      <c r="L678" s="9" t="s">
        <v>1559</v>
      </c>
      <c r="M678" s="16"/>
      <c r="AA678" s="14">
        <f t="shared" si="20"/>
        <v>121</v>
      </c>
      <c r="AB678" s="47">
        <f t="shared" si="21"/>
        <v>120</v>
      </c>
      <c r="AD678" s="53"/>
      <c r="AE678" s="53"/>
      <c r="AF678" s="53"/>
      <c r="AG678" s="53"/>
    </row>
    <row r="679" spans="1:33" s="46" customFormat="1">
      <c r="A679" s="39">
        <v>41233</v>
      </c>
      <c r="B679" s="9" t="s">
        <v>2015</v>
      </c>
      <c r="C679" s="15">
        <v>375</v>
      </c>
      <c r="D679" s="41" t="s">
        <v>1379</v>
      </c>
      <c r="E679" s="9" t="s">
        <v>51</v>
      </c>
      <c r="F679" s="9" t="s">
        <v>479</v>
      </c>
      <c r="G679" s="9"/>
      <c r="H679" s="39"/>
      <c r="I679" s="9"/>
      <c r="J679" s="39"/>
      <c r="K679" s="42"/>
      <c r="L679" s="9" t="s">
        <v>1380</v>
      </c>
      <c r="M679" s="16"/>
      <c r="AA679" s="14">
        <f t="shared" si="20"/>
        <v>-142</v>
      </c>
      <c r="AB679" s="47">
        <f t="shared" si="21"/>
        <v>-143</v>
      </c>
      <c r="AD679" s="53"/>
      <c r="AE679" s="53"/>
      <c r="AF679" s="53"/>
      <c r="AG679" s="53"/>
    </row>
    <row r="680" spans="1:33" s="46" customFormat="1">
      <c r="A680" s="39">
        <v>41233</v>
      </c>
      <c r="B680" s="9" t="s">
        <v>2779</v>
      </c>
      <c r="C680" s="15">
        <v>682</v>
      </c>
      <c r="D680" s="41" t="s">
        <v>1381</v>
      </c>
      <c r="E680" s="9" t="s">
        <v>51</v>
      </c>
      <c r="F680" s="9" t="s">
        <v>479</v>
      </c>
      <c r="G680" s="9"/>
      <c r="H680" s="39"/>
      <c r="I680" s="9"/>
      <c r="J680" s="39"/>
      <c r="K680" s="42"/>
      <c r="L680" s="9" t="s">
        <v>1382</v>
      </c>
      <c r="M680" s="16"/>
      <c r="AA680" s="14">
        <f t="shared" si="20"/>
        <v>307</v>
      </c>
      <c r="AB680" s="47">
        <f t="shared" si="21"/>
        <v>306</v>
      </c>
      <c r="AD680" s="53"/>
      <c r="AE680" s="53"/>
      <c r="AF680" s="53"/>
      <c r="AG680" s="53"/>
    </row>
    <row r="681" spans="1:33" s="46" customFormat="1">
      <c r="A681" s="39">
        <v>41233</v>
      </c>
      <c r="B681" s="9" t="s">
        <v>2243</v>
      </c>
      <c r="C681" s="15">
        <v>604</v>
      </c>
      <c r="D681" s="41" t="s">
        <v>1407</v>
      </c>
      <c r="E681" s="9" t="s">
        <v>57</v>
      </c>
      <c r="F681" s="9" t="s">
        <v>479</v>
      </c>
      <c r="G681" s="9"/>
      <c r="H681" s="39"/>
      <c r="I681" s="9"/>
      <c r="J681" s="39"/>
      <c r="K681" s="42"/>
      <c r="L681" s="9"/>
      <c r="M681" s="16" t="s">
        <v>193</v>
      </c>
      <c r="AA681" s="14">
        <f t="shared" si="20"/>
        <v>-78</v>
      </c>
      <c r="AB681" s="47">
        <f t="shared" si="21"/>
        <v>-79</v>
      </c>
      <c r="AD681" s="53"/>
      <c r="AE681" s="53"/>
      <c r="AF681" s="53"/>
      <c r="AG681" s="53"/>
    </row>
    <row r="682" spans="1:33" s="46" customFormat="1">
      <c r="A682" s="39">
        <v>41233</v>
      </c>
      <c r="B682" s="9" t="s">
        <v>1975</v>
      </c>
      <c r="C682" s="15">
        <v>531</v>
      </c>
      <c r="D682" s="41" t="s">
        <v>1974</v>
      </c>
      <c r="E682" s="9" t="s">
        <v>57</v>
      </c>
      <c r="F682" s="9" t="s">
        <v>479</v>
      </c>
      <c r="G682" s="9"/>
      <c r="H682" s="39"/>
      <c r="I682" s="9"/>
      <c r="J682" s="39"/>
      <c r="K682" s="42"/>
      <c r="L682" s="9"/>
      <c r="M682" s="16"/>
      <c r="AA682" s="14">
        <f t="shared" ref="AA682:AA745" si="22">C682-C681</f>
        <v>-73</v>
      </c>
      <c r="AB682" s="47">
        <f t="shared" ref="AB682:AB745" si="23">AA682-1</f>
        <v>-74</v>
      </c>
      <c r="AD682" s="53"/>
      <c r="AE682" s="53"/>
      <c r="AF682" s="53"/>
      <c r="AG682" s="53"/>
    </row>
    <row r="683" spans="1:33" s="46" customFormat="1">
      <c r="A683" s="39">
        <v>41233</v>
      </c>
      <c r="B683" s="9" t="s">
        <v>2030</v>
      </c>
      <c r="C683" s="15">
        <v>390</v>
      </c>
      <c r="D683" s="41" t="s">
        <v>2029</v>
      </c>
      <c r="E683" s="9" t="s">
        <v>57</v>
      </c>
      <c r="F683" s="9" t="s">
        <v>479</v>
      </c>
      <c r="G683" s="9"/>
      <c r="H683" s="39"/>
      <c r="I683" s="9"/>
      <c r="J683" s="39"/>
      <c r="K683" s="42"/>
      <c r="L683" s="9" t="s">
        <v>1409</v>
      </c>
      <c r="M683" s="16"/>
      <c r="AA683" s="14">
        <f t="shared" si="22"/>
        <v>-141</v>
      </c>
      <c r="AB683" s="47">
        <f t="shared" si="23"/>
        <v>-142</v>
      </c>
      <c r="AD683" s="53"/>
      <c r="AE683" s="53"/>
      <c r="AF683" s="53"/>
      <c r="AG683" s="53"/>
    </row>
    <row r="684" spans="1:33" s="46" customFormat="1">
      <c r="A684" s="39">
        <v>41233</v>
      </c>
      <c r="B684" s="9"/>
      <c r="C684" s="15"/>
      <c r="D684" s="41" t="s">
        <v>1408</v>
      </c>
      <c r="E684" s="9" t="s">
        <v>57</v>
      </c>
      <c r="F684" s="9" t="s">
        <v>479</v>
      </c>
      <c r="G684" s="9"/>
      <c r="H684" s="39"/>
      <c r="I684" s="9"/>
      <c r="J684" s="39"/>
      <c r="K684" s="42"/>
      <c r="L684" s="9"/>
      <c r="M684" s="16"/>
      <c r="AA684" s="14">
        <f t="shared" si="22"/>
        <v>-390</v>
      </c>
      <c r="AB684" s="47">
        <f t="shared" si="23"/>
        <v>-391</v>
      </c>
      <c r="AD684" s="53"/>
      <c r="AE684" s="53"/>
      <c r="AF684" s="53"/>
      <c r="AG684" s="53"/>
    </row>
    <row r="685" spans="1:33" s="46" customFormat="1">
      <c r="A685" s="39">
        <v>41233</v>
      </c>
      <c r="B685" s="9" t="s">
        <v>1969</v>
      </c>
      <c r="C685" s="15">
        <v>518</v>
      </c>
      <c r="D685" s="41" t="s">
        <v>1362</v>
      </c>
      <c r="E685" s="9" t="s">
        <v>51</v>
      </c>
      <c r="F685" s="9" t="s">
        <v>479</v>
      </c>
      <c r="G685" s="9"/>
      <c r="H685" s="39"/>
      <c r="I685" s="9"/>
      <c r="J685" s="39"/>
      <c r="K685" s="42"/>
      <c r="L685" s="9" t="s">
        <v>1363</v>
      </c>
      <c r="M685" s="16"/>
      <c r="AA685" s="14">
        <f t="shared" si="22"/>
        <v>518</v>
      </c>
      <c r="AB685" s="47">
        <f t="shared" si="23"/>
        <v>517</v>
      </c>
      <c r="AD685" s="53"/>
      <c r="AE685" s="53"/>
      <c r="AF685" s="53"/>
      <c r="AG685" s="53"/>
    </row>
    <row r="686" spans="1:33" s="46" customFormat="1" ht="12" customHeight="1">
      <c r="A686" s="39">
        <v>41233</v>
      </c>
      <c r="B686" s="74"/>
      <c r="C686" s="15"/>
      <c r="D686" s="41" t="s">
        <v>1577</v>
      </c>
      <c r="E686" s="9" t="s">
        <v>96</v>
      </c>
      <c r="F686" s="9" t="s">
        <v>935</v>
      </c>
      <c r="G686" s="9"/>
      <c r="H686" s="39"/>
      <c r="I686" s="9"/>
      <c r="J686" s="39"/>
      <c r="K686" s="42"/>
      <c r="L686" s="9" t="s">
        <v>1578</v>
      </c>
      <c r="M686" s="16"/>
      <c r="AA686" s="14">
        <f t="shared" si="22"/>
        <v>-518</v>
      </c>
      <c r="AB686" s="47">
        <f t="shared" si="23"/>
        <v>-519</v>
      </c>
      <c r="AD686" s="53"/>
      <c r="AE686" s="53"/>
      <c r="AF686" s="53"/>
      <c r="AG686" s="53"/>
    </row>
    <row r="687" spans="1:33" s="46" customFormat="1">
      <c r="A687" s="39">
        <v>41233</v>
      </c>
      <c r="B687" s="9" t="s">
        <v>2051</v>
      </c>
      <c r="C687" s="15">
        <v>417</v>
      </c>
      <c r="D687" s="41" t="s">
        <v>1435</v>
      </c>
      <c r="E687" s="9" t="s">
        <v>1429</v>
      </c>
      <c r="F687" s="9" t="s">
        <v>479</v>
      </c>
      <c r="G687" s="9"/>
      <c r="H687" s="39"/>
      <c r="I687" s="9"/>
      <c r="J687" s="39"/>
      <c r="K687" s="42"/>
      <c r="L687" s="9"/>
      <c r="M687" s="16"/>
      <c r="AA687" s="14">
        <f t="shared" si="22"/>
        <v>417</v>
      </c>
      <c r="AB687" s="47">
        <f t="shared" si="23"/>
        <v>416</v>
      </c>
      <c r="AD687" s="53"/>
      <c r="AE687" s="53"/>
      <c r="AF687" s="53"/>
      <c r="AG687" s="53"/>
    </row>
    <row r="688" spans="1:33" s="46" customFormat="1">
      <c r="A688" s="39">
        <v>41233</v>
      </c>
      <c r="B688" s="9" t="s">
        <v>2099</v>
      </c>
      <c r="C688" s="15">
        <v>480</v>
      </c>
      <c r="D688" s="41" t="s">
        <v>2098</v>
      </c>
      <c r="E688" s="9" t="s">
        <v>313</v>
      </c>
      <c r="F688" s="9" t="s">
        <v>479</v>
      </c>
      <c r="G688" s="9"/>
      <c r="H688" s="39"/>
      <c r="I688" s="9"/>
      <c r="J688" s="39"/>
      <c r="K688" s="42"/>
      <c r="L688" s="9" t="s">
        <v>1677</v>
      </c>
      <c r="M688" s="16"/>
      <c r="AA688" s="14">
        <f t="shared" si="22"/>
        <v>63</v>
      </c>
      <c r="AB688" s="47">
        <f t="shared" si="23"/>
        <v>62</v>
      </c>
      <c r="AD688" s="53"/>
      <c r="AE688" s="53"/>
      <c r="AF688" s="53"/>
      <c r="AG688" s="53"/>
    </row>
    <row r="689" spans="1:33" s="46" customFormat="1">
      <c r="A689" s="39">
        <v>41233</v>
      </c>
      <c r="B689" s="9" t="s">
        <v>2241</v>
      </c>
      <c r="C689" s="15">
        <v>608</v>
      </c>
      <c r="D689" s="41" t="s">
        <v>1627</v>
      </c>
      <c r="E689" s="9" t="s">
        <v>313</v>
      </c>
      <c r="F689" s="9" t="s">
        <v>479</v>
      </c>
      <c r="G689" s="9"/>
      <c r="H689" s="39"/>
      <c r="I689" s="9"/>
      <c r="J689" s="39"/>
      <c r="K689" s="42"/>
      <c r="L689" s="9" t="s">
        <v>1628</v>
      </c>
      <c r="M689" s="16"/>
      <c r="AA689" s="14">
        <f t="shared" si="22"/>
        <v>128</v>
      </c>
      <c r="AB689" s="47">
        <f t="shared" si="23"/>
        <v>127</v>
      </c>
      <c r="AD689" s="53"/>
      <c r="AE689" s="53"/>
      <c r="AF689" s="53"/>
      <c r="AG689" s="53"/>
    </row>
    <row r="690" spans="1:33" s="46" customFormat="1">
      <c r="A690" s="39">
        <v>41233</v>
      </c>
      <c r="B690" s="9" t="s">
        <v>1935</v>
      </c>
      <c r="C690" s="15">
        <v>560</v>
      </c>
      <c r="D690" s="41" t="s">
        <v>1625</v>
      </c>
      <c r="E690" s="9" t="s">
        <v>313</v>
      </c>
      <c r="F690" s="9" t="s">
        <v>479</v>
      </c>
      <c r="G690" s="9"/>
      <c r="H690" s="39"/>
      <c r="I690" s="9"/>
      <c r="J690" s="39"/>
      <c r="K690" s="42"/>
      <c r="L690" s="9" t="s">
        <v>1626</v>
      </c>
      <c r="M690" s="16"/>
      <c r="AA690" s="14">
        <f t="shared" si="22"/>
        <v>-48</v>
      </c>
      <c r="AB690" s="47">
        <f t="shared" si="23"/>
        <v>-49</v>
      </c>
      <c r="AD690" s="53"/>
      <c r="AE690" s="53"/>
      <c r="AF690" s="53"/>
      <c r="AG690" s="53"/>
    </row>
    <row r="691" spans="1:33" s="46" customFormat="1">
      <c r="A691" s="39">
        <v>41233</v>
      </c>
      <c r="B691" s="9" t="s">
        <v>2697</v>
      </c>
      <c r="C691" s="15">
        <v>676</v>
      </c>
      <c r="D691" s="41" t="s">
        <v>2696</v>
      </c>
      <c r="E691" s="9" t="s">
        <v>57</v>
      </c>
      <c r="F691" s="9" t="s">
        <v>479</v>
      </c>
      <c r="G691" s="9"/>
      <c r="H691" s="39"/>
      <c r="I691" s="9"/>
      <c r="J691" s="39"/>
      <c r="K691" s="42"/>
      <c r="L691" s="9" t="s">
        <v>1412</v>
      </c>
      <c r="M691" s="16"/>
      <c r="AA691" s="14">
        <f t="shared" si="22"/>
        <v>116</v>
      </c>
      <c r="AB691" s="47">
        <f t="shared" si="23"/>
        <v>115</v>
      </c>
      <c r="AD691" s="53"/>
      <c r="AE691" s="53"/>
      <c r="AF691" s="53"/>
      <c r="AG691" s="53"/>
    </row>
    <row r="692" spans="1:33" s="46" customFormat="1">
      <c r="A692" s="39">
        <v>41233</v>
      </c>
      <c r="B692" s="9" t="s">
        <v>2117</v>
      </c>
      <c r="C692" s="15">
        <v>408</v>
      </c>
      <c r="D692" s="41" t="s">
        <v>1410</v>
      </c>
      <c r="E692" s="9" t="s">
        <v>57</v>
      </c>
      <c r="F692" s="9" t="s">
        <v>479</v>
      </c>
      <c r="G692" s="9"/>
      <c r="H692" s="39"/>
      <c r="I692" s="9"/>
      <c r="J692" s="39"/>
      <c r="K692" s="42"/>
      <c r="L692" s="9"/>
      <c r="M692" s="16"/>
      <c r="AA692" s="14">
        <f t="shared" si="22"/>
        <v>-268</v>
      </c>
      <c r="AB692" s="47">
        <f t="shared" si="23"/>
        <v>-269</v>
      </c>
      <c r="AD692" s="53"/>
      <c r="AE692" s="53"/>
      <c r="AF692" s="53"/>
      <c r="AG692" s="53"/>
    </row>
    <row r="693" spans="1:33" s="46" customFormat="1">
      <c r="A693" s="39">
        <v>41233</v>
      </c>
      <c r="B693" s="9" t="s">
        <v>1998</v>
      </c>
      <c r="C693" s="15">
        <v>353</v>
      </c>
      <c r="D693" s="41" t="s">
        <v>1411</v>
      </c>
      <c r="E693" s="9" t="s">
        <v>57</v>
      </c>
      <c r="F693" s="9" t="s">
        <v>479</v>
      </c>
      <c r="G693" s="9"/>
      <c r="H693" s="39"/>
      <c r="I693" s="9"/>
      <c r="J693" s="39"/>
      <c r="K693" s="42"/>
      <c r="L693" s="9"/>
      <c r="M693" s="16"/>
      <c r="AA693" s="14">
        <f t="shared" si="22"/>
        <v>-55</v>
      </c>
      <c r="AB693" s="47">
        <f t="shared" si="23"/>
        <v>-56</v>
      </c>
      <c r="AD693" s="53"/>
      <c r="AE693" s="53"/>
      <c r="AF693" s="53"/>
      <c r="AG693" s="53"/>
    </row>
    <row r="694" spans="1:33" s="46" customFormat="1">
      <c r="A694" s="39">
        <v>41233</v>
      </c>
      <c r="B694" s="9" t="s">
        <v>2048</v>
      </c>
      <c r="C694" s="15">
        <v>414</v>
      </c>
      <c r="D694" s="41" t="s">
        <v>2484</v>
      </c>
      <c r="E694" s="9" t="s">
        <v>57</v>
      </c>
      <c r="F694" s="9" t="s">
        <v>479</v>
      </c>
      <c r="G694" s="9"/>
      <c r="H694" s="39"/>
      <c r="I694" s="9"/>
      <c r="J694" s="39"/>
      <c r="K694" s="42"/>
      <c r="L694" s="9"/>
      <c r="M694" s="16"/>
      <c r="AA694" s="14">
        <f t="shared" si="22"/>
        <v>61</v>
      </c>
      <c r="AB694" s="47">
        <f t="shared" si="23"/>
        <v>60</v>
      </c>
      <c r="AD694" s="53"/>
      <c r="AE694" s="53"/>
      <c r="AF694" s="53"/>
      <c r="AG694" s="53"/>
    </row>
    <row r="695" spans="1:33" s="46" customFormat="1">
      <c r="A695" s="39">
        <v>41233</v>
      </c>
      <c r="B695" s="9" t="s">
        <v>1996</v>
      </c>
      <c r="C695" s="15">
        <v>351</v>
      </c>
      <c r="D695" s="41" t="s">
        <v>1413</v>
      </c>
      <c r="E695" s="9" t="s">
        <v>57</v>
      </c>
      <c r="F695" s="9" t="s">
        <v>479</v>
      </c>
      <c r="G695" s="9"/>
      <c r="H695" s="39"/>
      <c r="I695" s="9"/>
      <c r="J695" s="39"/>
      <c r="K695" s="42"/>
      <c r="L695" s="9"/>
      <c r="M695" s="16"/>
      <c r="AA695" s="14">
        <f t="shared" si="22"/>
        <v>-63</v>
      </c>
      <c r="AB695" s="47">
        <f t="shared" si="23"/>
        <v>-64</v>
      </c>
      <c r="AD695" s="53"/>
      <c r="AE695" s="53"/>
      <c r="AF695" s="53"/>
      <c r="AG695" s="53"/>
    </row>
    <row r="696" spans="1:33" s="46" customFormat="1" ht="12" customHeight="1">
      <c r="A696" s="39">
        <v>41233</v>
      </c>
      <c r="B696" s="9" t="s">
        <v>2268</v>
      </c>
      <c r="C696" s="15">
        <v>706</v>
      </c>
      <c r="D696" s="41" t="s">
        <v>1562</v>
      </c>
      <c r="E696" s="9" t="s">
        <v>96</v>
      </c>
      <c r="F696" s="9" t="s">
        <v>479</v>
      </c>
      <c r="G696" s="9"/>
      <c r="H696" s="39"/>
      <c r="I696" s="9"/>
      <c r="J696" s="39"/>
      <c r="K696" s="42"/>
      <c r="L696" s="9" t="s">
        <v>1563</v>
      </c>
      <c r="M696" s="16"/>
      <c r="AA696" s="14">
        <f t="shared" si="22"/>
        <v>355</v>
      </c>
      <c r="AB696" s="47">
        <f t="shared" si="23"/>
        <v>354</v>
      </c>
      <c r="AD696" s="53"/>
      <c r="AE696" s="53"/>
      <c r="AF696" s="53"/>
      <c r="AG696" s="53"/>
    </row>
    <row r="697" spans="1:33" s="46" customFormat="1" ht="12" customHeight="1">
      <c r="A697" s="39">
        <v>41233</v>
      </c>
      <c r="B697" s="9" t="s">
        <v>1979</v>
      </c>
      <c r="C697" s="15">
        <v>516</v>
      </c>
      <c r="D697" s="41" t="s">
        <v>1560</v>
      </c>
      <c r="E697" s="9" t="s">
        <v>96</v>
      </c>
      <c r="F697" s="9" t="s">
        <v>479</v>
      </c>
      <c r="G697" s="9"/>
      <c r="H697" s="39"/>
      <c r="I697" s="9"/>
      <c r="J697" s="39"/>
      <c r="K697" s="42"/>
      <c r="L697" s="9" t="s">
        <v>1561</v>
      </c>
      <c r="M697" s="16"/>
      <c r="AA697" s="14">
        <f t="shared" si="22"/>
        <v>-190</v>
      </c>
      <c r="AB697" s="47">
        <f t="shared" si="23"/>
        <v>-191</v>
      </c>
      <c r="AD697" s="53"/>
      <c r="AE697" s="53"/>
      <c r="AF697" s="53"/>
      <c r="AG697" s="53"/>
    </row>
    <row r="698" spans="1:33" s="46" customFormat="1">
      <c r="A698" s="39">
        <v>41233</v>
      </c>
      <c r="B698" s="9" t="s">
        <v>2050</v>
      </c>
      <c r="C698" s="15">
        <v>416</v>
      </c>
      <c r="D698" s="41" t="s">
        <v>1433</v>
      </c>
      <c r="E698" s="9" t="s">
        <v>1429</v>
      </c>
      <c r="F698" s="9" t="s">
        <v>479</v>
      </c>
      <c r="G698" s="9"/>
      <c r="H698" s="39"/>
      <c r="I698" s="9"/>
      <c r="J698" s="39"/>
      <c r="K698" s="42"/>
      <c r="L698" s="9" t="s">
        <v>1434</v>
      </c>
      <c r="M698" s="16"/>
      <c r="AA698" s="14">
        <f t="shared" si="22"/>
        <v>-100</v>
      </c>
      <c r="AB698" s="47">
        <f t="shared" si="23"/>
        <v>-101</v>
      </c>
      <c r="AD698" s="53"/>
      <c r="AE698" s="53"/>
      <c r="AF698" s="53"/>
      <c r="AG698" s="53"/>
    </row>
    <row r="699" spans="1:33" s="46" customFormat="1">
      <c r="A699" s="39">
        <v>41233</v>
      </c>
      <c r="B699" s="9" t="s">
        <v>2103</v>
      </c>
      <c r="C699" s="15">
        <v>431</v>
      </c>
      <c r="D699" s="41" t="s">
        <v>1587</v>
      </c>
      <c r="E699" s="9" t="s">
        <v>313</v>
      </c>
      <c r="F699" s="9" t="s">
        <v>479</v>
      </c>
      <c r="G699" s="9"/>
      <c r="H699" s="39"/>
      <c r="I699" s="9"/>
      <c r="J699" s="39"/>
      <c r="K699" s="42"/>
      <c r="L699" s="9" t="s">
        <v>1588</v>
      </c>
      <c r="M699" s="16"/>
      <c r="AA699" s="14">
        <f t="shared" si="22"/>
        <v>15</v>
      </c>
      <c r="AB699" s="47">
        <f t="shared" si="23"/>
        <v>14</v>
      </c>
      <c r="AD699" s="53"/>
      <c r="AE699" s="53"/>
      <c r="AF699" s="53"/>
      <c r="AG699" s="53"/>
    </row>
    <row r="700" spans="1:33" s="46" customFormat="1">
      <c r="A700" s="39">
        <v>41233</v>
      </c>
      <c r="B700" s="9" t="s">
        <v>2235</v>
      </c>
      <c r="C700" s="15">
        <v>627</v>
      </c>
      <c r="D700" s="41" t="s">
        <v>1414</v>
      </c>
      <c r="E700" s="9" t="s">
        <v>57</v>
      </c>
      <c r="F700" s="9" t="s">
        <v>479</v>
      </c>
      <c r="G700" s="9"/>
      <c r="H700" s="39"/>
      <c r="I700" s="9"/>
      <c r="J700" s="39"/>
      <c r="K700" s="42"/>
      <c r="L700" s="9"/>
      <c r="M700" s="16"/>
      <c r="AA700" s="14">
        <f t="shared" si="22"/>
        <v>196</v>
      </c>
      <c r="AB700" s="47">
        <f t="shared" si="23"/>
        <v>195</v>
      </c>
      <c r="AD700" s="53"/>
      <c r="AE700" s="53"/>
      <c r="AF700" s="53"/>
      <c r="AG700" s="53"/>
    </row>
    <row r="701" spans="1:33" s="46" customFormat="1">
      <c r="A701" s="39">
        <v>41233</v>
      </c>
      <c r="B701" s="9" t="s">
        <v>2237</v>
      </c>
      <c r="C701" s="15">
        <v>620</v>
      </c>
      <c r="D701" s="41" t="s">
        <v>1475</v>
      </c>
      <c r="E701" s="9" t="s">
        <v>1448</v>
      </c>
      <c r="F701" s="9" t="s">
        <v>479</v>
      </c>
      <c r="G701" s="9"/>
      <c r="H701" s="39"/>
      <c r="I701" s="9"/>
      <c r="J701" s="39"/>
      <c r="K701" s="42"/>
      <c r="L701" s="9" t="s">
        <v>1476</v>
      </c>
      <c r="M701" s="16"/>
      <c r="AA701" s="14">
        <f t="shared" si="22"/>
        <v>-7</v>
      </c>
      <c r="AB701" s="47">
        <f t="shared" si="23"/>
        <v>-8</v>
      </c>
      <c r="AD701" s="53"/>
      <c r="AE701" s="53"/>
      <c r="AF701" s="53"/>
      <c r="AG701" s="53"/>
    </row>
    <row r="702" spans="1:33" s="46" customFormat="1">
      <c r="A702" s="39">
        <v>41233</v>
      </c>
      <c r="B702" s="9" t="s">
        <v>2236</v>
      </c>
      <c r="C702" s="15">
        <v>624</v>
      </c>
      <c r="D702" s="41" t="s">
        <v>1487</v>
      </c>
      <c r="E702" s="9" t="s">
        <v>1448</v>
      </c>
      <c r="F702" s="9" t="s">
        <v>479</v>
      </c>
      <c r="G702" s="9"/>
      <c r="H702" s="39"/>
      <c r="I702" s="9"/>
      <c r="J702" s="39"/>
      <c r="K702" s="42"/>
      <c r="L702" s="9" t="s">
        <v>1488</v>
      </c>
      <c r="M702" s="16"/>
      <c r="AA702" s="14">
        <f t="shared" si="22"/>
        <v>4</v>
      </c>
      <c r="AB702" s="47">
        <f t="shared" si="23"/>
        <v>3</v>
      </c>
      <c r="AD702" s="53"/>
      <c r="AE702" s="53"/>
      <c r="AF702" s="53"/>
      <c r="AG702" s="53"/>
    </row>
    <row r="703" spans="1:33" s="46" customFormat="1">
      <c r="A703" s="39">
        <v>41233</v>
      </c>
      <c r="B703" s="9" t="s">
        <v>2086</v>
      </c>
      <c r="C703" s="15">
        <v>462</v>
      </c>
      <c r="D703" s="41" t="s">
        <v>1477</v>
      </c>
      <c r="E703" s="9" t="s">
        <v>1448</v>
      </c>
      <c r="F703" s="9" t="s">
        <v>479</v>
      </c>
      <c r="G703" s="9"/>
      <c r="H703" s="39"/>
      <c r="I703" s="9"/>
      <c r="J703" s="39"/>
      <c r="K703" s="42"/>
      <c r="L703" s="9" t="s">
        <v>1478</v>
      </c>
      <c r="M703" s="16"/>
      <c r="AA703" s="14">
        <f t="shared" si="22"/>
        <v>-162</v>
      </c>
      <c r="AB703" s="47">
        <f t="shared" si="23"/>
        <v>-163</v>
      </c>
      <c r="AD703" s="53"/>
      <c r="AE703" s="53"/>
      <c r="AF703" s="53"/>
      <c r="AG703" s="53"/>
    </row>
    <row r="704" spans="1:33" s="46" customFormat="1">
      <c r="A704" s="39">
        <v>41233</v>
      </c>
      <c r="B704" s="9" t="s">
        <v>2653</v>
      </c>
      <c r="C704" s="15">
        <v>772</v>
      </c>
      <c r="D704" s="41" t="s">
        <v>1579</v>
      </c>
      <c r="E704" s="9" t="s">
        <v>265</v>
      </c>
      <c r="F704" s="9" t="s">
        <v>479</v>
      </c>
      <c r="G704" s="9"/>
      <c r="H704" s="39"/>
      <c r="I704" s="9"/>
      <c r="J704" s="39"/>
      <c r="K704" s="42"/>
      <c r="L704" s="9" t="s">
        <v>1580</v>
      </c>
      <c r="M704" s="16"/>
      <c r="AA704" s="14">
        <f t="shared" si="22"/>
        <v>310</v>
      </c>
      <c r="AB704" s="47">
        <f t="shared" si="23"/>
        <v>309</v>
      </c>
      <c r="AD704" s="53"/>
      <c r="AE704" s="53"/>
      <c r="AF704" s="53"/>
      <c r="AG704" s="53"/>
    </row>
    <row r="705" spans="1:33" s="46" customFormat="1">
      <c r="A705" s="39">
        <v>41233</v>
      </c>
      <c r="B705" s="9" t="s">
        <v>2764</v>
      </c>
      <c r="C705" s="15">
        <v>732</v>
      </c>
      <c r="D705" s="41" t="s">
        <v>1597</v>
      </c>
      <c r="E705" s="9" t="s">
        <v>313</v>
      </c>
      <c r="F705" s="9" t="s">
        <v>479</v>
      </c>
      <c r="G705" s="9"/>
      <c r="H705" s="39"/>
      <c r="I705" s="9"/>
      <c r="J705" s="39"/>
      <c r="K705" s="42"/>
      <c r="L705" s="9" t="s">
        <v>1598</v>
      </c>
      <c r="M705" s="16"/>
      <c r="AA705" s="14">
        <f t="shared" si="22"/>
        <v>-40</v>
      </c>
      <c r="AB705" s="47">
        <f t="shared" si="23"/>
        <v>-41</v>
      </c>
      <c r="AD705" s="53"/>
      <c r="AE705" s="53"/>
      <c r="AF705" s="53"/>
      <c r="AG705" s="53"/>
    </row>
    <row r="706" spans="1:33" s="46" customFormat="1">
      <c r="A706" s="39">
        <v>41233</v>
      </c>
      <c r="B706" s="9" t="s">
        <v>2232</v>
      </c>
      <c r="C706" s="15">
        <v>635</v>
      </c>
      <c r="D706" s="41" t="s">
        <v>1603</v>
      </c>
      <c r="E706" s="9" t="s">
        <v>313</v>
      </c>
      <c r="F706" s="9" t="s">
        <v>479</v>
      </c>
      <c r="G706" s="9"/>
      <c r="H706" s="39"/>
      <c r="I706" s="9"/>
      <c r="J706" s="39"/>
      <c r="K706" s="42"/>
      <c r="L706" s="9" t="s">
        <v>1604</v>
      </c>
      <c r="M706" s="16"/>
      <c r="AA706" s="14">
        <f t="shared" si="22"/>
        <v>-97</v>
      </c>
      <c r="AB706" s="47">
        <f t="shared" si="23"/>
        <v>-98</v>
      </c>
      <c r="AD706" s="53"/>
      <c r="AE706" s="53"/>
      <c r="AF706" s="53"/>
      <c r="AG706" s="53"/>
    </row>
    <row r="707" spans="1:33" s="46" customFormat="1">
      <c r="A707" s="39">
        <v>41233</v>
      </c>
      <c r="B707" s="9" t="s">
        <v>1999</v>
      </c>
      <c r="C707" s="15">
        <v>354</v>
      </c>
      <c r="D707" s="41" t="s">
        <v>1374</v>
      </c>
      <c r="E707" s="9" t="s">
        <v>51</v>
      </c>
      <c r="F707" s="9" t="s">
        <v>479</v>
      </c>
      <c r="G707" s="9"/>
      <c r="H707" s="39"/>
      <c r="I707" s="9"/>
      <c r="J707" s="39"/>
      <c r="K707" s="42"/>
      <c r="L707" s="9" t="s">
        <v>1375</v>
      </c>
      <c r="M707" s="16" t="s">
        <v>191</v>
      </c>
      <c r="AA707" s="14">
        <f t="shared" si="22"/>
        <v>-281</v>
      </c>
      <c r="AB707" s="47">
        <f t="shared" si="23"/>
        <v>-282</v>
      </c>
      <c r="AD707" s="53"/>
      <c r="AE707" s="53"/>
      <c r="AF707" s="53"/>
      <c r="AG707" s="53"/>
    </row>
    <row r="708" spans="1:33" s="46" customFormat="1">
      <c r="A708" s="39">
        <v>41233</v>
      </c>
      <c r="B708" s="9" t="s">
        <v>2835</v>
      </c>
      <c r="C708" s="15">
        <v>764</v>
      </c>
      <c r="D708" s="41" t="s">
        <v>1637</v>
      </c>
      <c r="E708" s="9" t="s">
        <v>313</v>
      </c>
      <c r="F708" s="9" t="s">
        <v>479</v>
      </c>
      <c r="G708" s="9"/>
      <c r="H708" s="39"/>
      <c r="I708" s="9"/>
      <c r="J708" s="39"/>
      <c r="K708" s="42"/>
      <c r="L708" s="9" t="s">
        <v>1638</v>
      </c>
      <c r="M708" s="16"/>
      <c r="AA708" s="14">
        <f t="shared" si="22"/>
        <v>410</v>
      </c>
      <c r="AB708" s="47">
        <f t="shared" si="23"/>
        <v>409</v>
      </c>
      <c r="AD708" s="53"/>
      <c r="AE708" s="53"/>
      <c r="AF708" s="53"/>
      <c r="AG708" s="53"/>
    </row>
    <row r="709" spans="1:33" s="46" customFormat="1">
      <c r="A709" s="39">
        <v>41233</v>
      </c>
      <c r="B709" s="9" t="s">
        <v>2102</v>
      </c>
      <c r="C709" s="15">
        <v>429</v>
      </c>
      <c r="D709" s="41" t="s">
        <v>1584</v>
      </c>
      <c r="E709" s="9" t="s">
        <v>313</v>
      </c>
      <c r="F709" s="9" t="s">
        <v>479</v>
      </c>
      <c r="G709" s="9"/>
      <c r="H709" s="39"/>
      <c r="I709" s="9"/>
      <c r="J709" s="39"/>
      <c r="K709" s="42"/>
      <c r="L709" s="9" t="s">
        <v>1585</v>
      </c>
      <c r="M709" s="16" t="s">
        <v>191</v>
      </c>
      <c r="AA709" s="14">
        <f t="shared" si="22"/>
        <v>-335</v>
      </c>
      <c r="AB709" s="47">
        <f t="shared" si="23"/>
        <v>-336</v>
      </c>
      <c r="AD709" s="53"/>
      <c r="AE709" s="53"/>
      <c r="AF709" s="53"/>
      <c r="AG709" s="53"/>
    </row>
    <row r="710" spans="1:33" s="46" customFormat="1">
      <c r="A710" s="39">
        <v>41233</v>
      </c>
      <c r="B710" s="9" t="s">
        <v>2064</v>
      </c>
      <c r="C710" s="15">
        <v>435</v>
      </c>
      <c r="D710" s="41" t="s">
        <v>1415</v>
      </c>
      <c r="E710" s="9" t="s">
        <v>57</v>
      </c>
      <c r="F710" s="9" t="s">
        <v>479</v>
      </c>
      <c r="G710" s="9"/>
      <c r="H710" s="39"/>
      <c r="I710" s="9"/>
      <c r="J710" s="39"/>
      <c r="K710" s="42"/>
      <c r="L710" s="9"/>
      <c r="M710" s="16"/>
      <c r="AA710" s="14">
        <f t="shared" si="22"/>
        <v>6</v>
      </c>
      <c r="AB710" s="47">
        <f t="shared" si="23"/>
        <v>5</v>
      </c>
      <c r="AD710" s="53"/>
      <c r="AE710" s="53"/>
      <c r="AF710" s="53"/>
      <c r="AG710" s="53"/>
    </row>
    <row r="711" spans="1:33" s="46" customFormat="1">
      <c r="A711" s="39">
        <v>41233</v>
      </c>
      <c r="B711" s="9"/>
      <c r="C711" s="15"/>
      <c r="D711" s="41" t="s">
        <v>1416</v>
      </c>
      <c r="E711" s="9" t="s">
        <v>51</v>
      </c>
      <c r="F711" s="9" t="s">
        <v>935</v>
      </c>
      <c r="G711" s="9"/>
      <c r="H711" s="39"/>
      <c r="I711" s="9"/>
      <c r="J711" s="39"/>
      <c r="K711" s="42"/>
      <c r="L711" s="9"/>
      <c r="M711" s="16"/>
      <c r="AA711" s="14">
        <f t="shared" si="22"/>
        <v>-435</v>
      </c>
      <c r="AB711" s="47">
        <f t="shared" si="23"/>
        <v>-436</v>
      </c>
      <c r="AD711" s="53"/>
      <c r="AE711" s="53"/>
      <c r="AF711" s="53"/>
      <c r="AG711" s="53"/>
    </row>
    <row r="712" spans="1:33" s="46" customFormat="1">
      <c r="A712" s="39">
        <v>41233</v>
      </c>
      <c r="B712" s="9"/>
      <c r="C712" s="15"/>
      <c r="D712" s="41" t="s">
        <v>1366</v>
      </c>
      <c r="E712" s="9" t="s">
        <v>51</v>
      </c>
      <c r="F712" s="9" t="s">
        <v>479</v>
      </c>
      <c r="G712" s="9"/>
      <c r="H712" s="39"/>
      <c r="I712" s="9"/>
      <c r="J712" s="39"/>
      <c r="K712" s="42"/>
      <c r="L712" s="9" t="s">
        <v>1367</v>
      </c>
      <c r="M712" s="16"/>
      <c r="AA712" s="14">
        <f t="shared" si="22"/>
        <v>0</v>
      </c>
      <c r="AB712" s="47">
        <f t="shared" si="23"/>
        <v>-1</v>
      </c>
      <c r="AD712" s="53"/>
      <c r="AE712" s="53"/>
      <c r="AF712" s="53"/>
      <c r="AG712" s="53"/>
    </row>
    <row r="713" spans="1:33" s="46" customFormat="1">
      <c r="A713" s="39">
        <v>41233</v>
      </c>
      <c r="B713" s="9" t="s">
        <v>2729</v>
      </c>
      <c r="C713" s="15">
        <v>876</v>
      </c>
      <c r="D713" s="41" t="s">
        <v>1417</v>
      </c>
      <c r="E713" s="9" t="s">
        <v>57</v>
      </c>
      <c r="F713" s="9"/>
      <c r="G713" s="9"/>
      <c r="H713" s="39"/>
      <c r="I713" s="9"/>
      <c r="J713" s="39"/>
      <c r="K713" s="42"/>
      <c r="L713" s="9"/>
      <c r="M713" s="16"/>
      <c r="AA713" s="14">
        <f t="shared" si="22"/>
        <v>876</v>
      </c>
      <c r="AB713" s="47">
        <f t="shared" si="23"/>
        <v>875</v>
      </c>
      <c r="AD713" s="53"/>
      <c r="AE713" s="53"/>
      <c r="AF713" s="53"/>
      <c r="AG713" s="53"/>
    </row>
    <row r="714" spans="1:33" s="46" customFormat="1">
      <c r="A714" s="39">
        <v>41233</v>
      </c>
      <c r="B714" s="9" t="s">
        <v>2928</v>
      </c>
      <c r="C714" s="15">
        <v>954</v>
      </c>
      <c r="D714" s="41" t="s">
        <v>1459</v>
      </c>
      <c r="E714" s="9" t="s">
        <v>1448</v>
      </c>
      <c r="F714" s="9" t="s">
        <v>479</v>
      </c>
      <c r="G714" s="9"/>
      <c r="H714" s="39"/>
      <c r="I714" s="9"/>
      <c r="J714" s="39"/>
      <c r="K714" s="42"/>
      <c r="L714" s="9" t="s">
        <v>1460</v>
      </c>
      <c r="M714" s="16"/>
      <c r="AA714" s="14">
        <f t="shared" si="22"/>
        <v>78</v>
      </c>
      <c r="AB714" s="47">
        <f t="shared" si="23"/>
        <v>77</v>
      </c>
      <c r="AD714" s="53"/>
      <c r="AE714" s="53"/>
      <c r="AF714" s="53"/>
      <c r="AG714" s="53"/>
    </row>
    <row r="715" spans="1:33" s="46" customFormat="1">
      <c r="A715" s="39">
        <v>41233</v>
      </c>
      <c r="B715" s="9"/>
      <c r="C715" s="15"/>
      <c r="D715" s="41" t="s">
        <v>1583</v>
      </c>
      <c r="E715" s="9" t="s">
        <v>96</v>
      </c>
      <c r="F715" s="9" t="s">
        <v>935</v>
      </c>
      <c r="G715" s="9"/>
      <c r="H715" s="39"/>
      <c r="I715" s="9"/>
      <c r="J715" s="39"/>
      <c r="K715" s="42"/>
      <c r="L715" s="9"/>
      <c r="M715" s="16"/>
      <c r="AA715" s="14">
        <f t="shared" si="22"/>
        <v>-954</v>
      </c>
      <c r="AB715" s="47">
        <f t="shared" si="23"/>
        <v>-955</v>
      </c>
      <c r="AD715" s="53"/>
      <c r="AE715" s="53"/>
      <c r="AF715" s="53"/>
      <c r="AG715" s="53"/>
    </row>
    <row r="716" spans="1:33" s="46" customFormat="1">
      <c r="A716" s="39">
        <v>41233</v>
      </c>
      <c r="B716" s="9" t="s">
        <v>2047</v>
      </c>
      <c r="C716" s="15">
        <v>413</v>
      </c>
      <c r="D716" s="41" t="s">
        <v>1419</v>
      </c>
      <c r="E716" s="9" t="s">
        <v>57</v>
      </c>
      <c r="F716" s="9"/>
      <c r="G716" s="9"/>
      <c r="H716" s="39"/>
      <c r="I716" s="9"/>
      <c r="J716" s="39"/>
      <c r="K716" s="42"/>
      <c r="L716" s="9"/>
      <c r="M716" s="16"/>
      <c r="AA716" s="14">
        <f t="shared" si="22"/>
        <v>413</v>
      </c>
      <c r="AB716" s="47">
        <f t="shared" si="23"/>
        <v>412</v>
      </c>
      <c r="AD716" s="53"/>
      <c r="AE716" s="53"/>
      <c r="AF716" s="53"/>
      <c r="AG716" s="53"/>
    </row>
    <row r="717" spans="1:33" s="46" customFormat="1">
      <c r="A717" s="39">
        <v>41233</v>
      </c>
      <c r="B717" s="9" t="s">
        <v>2065</v>
      </c>
      <c r="C717" s="15">
        <v>439</v>
      </c>
      <c r="D717" s="41" t="s">
        <v>1418</v>
      </c>
      <c r="E717" s="9" t="s">
        <v>1420</v>
      </c>
      <c r="F717" s="9"/>
      <c r="G717" s="9"/>
      <c r="H717" s="39"/>
      <c r="I717" s="9"/>
      <c r="J717" s="39"/>
      <c r="K717" s="42"/>
      <c r="L717" s="9"/>
      <c r="M717" s="16"/>
      <c r="AA717" s="14">
        <f t="shared" si="22"/>
        <v>26</v>
      </c>
      <c r="AB717" s="47">
        <f t="shared" si="23"/>
        <v>25</v>
      </c>
      <c r="AD717" s="53"/>
      <c r="AE717" s="53"/>
      <c r="AF717" s="53"/>
      <c r="AG717" s="53"/>
    </row>
    <row r="718" spans="1:33" s="46" customFormat="1">
      <c r="A718" s="39">
        <v>41233</v>
      </c>
      <c r="B718" s="9" t="s">
        <v>1965</v>
      </c>
      <c r="C718" s="15">
        <v>539</v>
      </c>
      <c r="D718" s="41" t="s">
        <v>1581</v>
      </c>
      <c r="E718" s="9" t="s">
        <v>96</v>
      </c>
      <c r="F718" s="9" t="s">
        <v>479</v>
      </c>
      <c r="G718" s="9"/>
      <c r="H718" s="39"/>
      <c r="I718" s="9"/>
      <c r="J718" s="39"/>
      <c r="K718" s="42"/>
      <c r="L718" s="9" t="s">
        <v>1582</v>
      </c>
      <c r="M718" s="16"/>
      <c r="AA718" s="14">
        <f t="shared" si="22"/>
        <v>100</v>
      </c>
      <c r="AB718" s="47">
        <f t="shared" si="23"/>
        <v>99</v>
      </c>
      <c r="AD718" s="53"/>
      <c r="AE718" s="53"/>
      <c r="AF718" s="53"/>
      <c r="AG718" s="53"/>
    </row>
    <row r="719" spans="1:33" s="46" customFormat="1">
      <c r="A719" s="39">
        <v>41233</v>
      </c>
      <c r="B719" s="9" t="s">
        <v>2116</v>
      </c>
      <c r="C719" s="15">
        <v>405</v>
      </c>
      <c r="D719" s="41" t="s">
        <v>2115</v>
      </c>
      <c r="E719" s="9" t="s">
        <v>51</v>
      </c>
      <c r="F719" s="9" t="s">
        <v>479</v>
      </c>
      <c r="G719" s="9"/>
      <c r="H719" s="39"/>
      <c r="I719" s="9"/>
      <c r="J719" s="39"/>
      <c r="K719" s="42"/>
      <c r="L719" s="9"/>
      <c r="M719" s="16"/>
      <c r="AA719" s="14">
        <f t="shared" si="22"/>
        <v>-134</v>
      </c>
      <c r="AB719" s="47">
        <f t="shared" si="23"/>
        <v>-135</v>
      </c>
      <c r="AD719" s="53"/>
      <c r="AE719" s="53"/>
      <c r="AF719" s="53"/>
      <c r="AG719" s="53"/>
    </row>
    <row r="720" spans="1:33" s="46" customFormat="1">
      <c r="A720" s="39">
        <v>41233</v>
      </c>
      <c r="B720" s="9" t="s">
        <v>2067</v>
      </c>
      <c r="C720" s="15">
        <v>440</v>
      </c>
      <c r="D720" s="41" t="s">
        <v>1421</v>
      </c>
      <c r="E720" s="9" t="s">
        <v>1420</v>
      </c>
      <c r="F720" s="9"/>
      <c r="G720" s="9"/>
      <c r="H720" s="39"/>
      <c r="I720" s="9"/>
      <c r="J720" s="39"/>
      <c r="K720" s="42"/>
      <c r="L720" s="9"/>
      <c r="M720" s="16"/>
      <c r="AA720" s="14">
        <f t="shared" si="22"/>
        <v>35</v>
      </c>
      <c r="AB720" s="47">
        <f t="shared" si="23"/>
        <v>34</v>
      </c>
      <c r="AD720" s="53"/>
      <c r="AE720" s="53"/>
      <c r="AF720" s="53"/>
      <c r="AG720" s="53"/>
    </row>
    <row r="721" spans="1:33" s="46" customFormat="1">
      <c r="A721" s="39">
        <v>41233</v>
      </c>
      <c r="B721" s="9" t="s">
        <v>2680</v>
      </c>
      <c r="C721" s="15">
        <v>687</v>
      </c>
      <c r="D721" s="41" t="s">
        <v>1516</v>
      </c>
      <c r="E721" s="9" t="s">
        <v>1420</v>
      </c>
      <c r="F721" s="9" t="s">
        <v>479</v>
      </c>
      <c r="G721" s="9"/>
      <c r="H721" s="39"/>
      <c r="I721" s="9"/>
      <c r="J721" s="39"/>
      <c r="K721" s="42"/>
      <c r="L721" s="9" t="s">
        <v>1517</v>
      </c>
      <c r="M721" s="16"/>
      <c r="AA721" s="14">
        <f t="shared" si="22"/>
        <v>247</v>
      </c>
      <c r="AB721" s="47">
        <f t="shared" si="23"/>
        <v>246</v>
      </c>
      <c r="AD721" s="53"/>
      <c r="AE721" s="53"/>
      <c r="AF721" s="53"/>
      <c r="AG721" s="53"/>
    </row>
    <row r="722" spans="1:33" s="46" customFormat="1">
      <c r="A722" s="39">
        <v>41233</v>
      </c>
      <c r="B722" s="9" t="s">
        <v>2684</v>
      </c>
      <c r="C722" s="15">
        <v>662</v>
      </c>
      <c r="D722" s="41" t="s">
        <v>1515</v>
      </c>
      <c r="E722" s="9" t="s">
        <v>1420</v>
      </c>
      <c r="F722" s="9" t="s">
        <v>479</v>
      </c>
      <c r="G722" s="9"/>
      <c r="H722" s="39"/>
      <c r="I722" s="9"/>
      <c r="J722" s="39"/>
      <c r="K722" s="42"/>
      <c r="L722" s="9"/>
      <c r="M722" s="16" t="s">
        <v>193</v>
      </c>
      <c r="AA722" s="14">
        <f t="shared" si="22"/>
        <v>-25</v>
      </c>
      <c r="AB722" s="47">
        <f t="shared" si="23"/>
        <v>-26</v>
      </c>
      <c r="AD722" s="53"/>
      <c r="AE722" s="53"/>
      <c r="AF722" s="53"/>
      <c r="AG722" s="53"/>
    </row>
    <row r="723" spans="1:33" s="46" customFormat="1">
      <c r="A723" s="39">
        <v>41233</v>
      </c>
      <c r="B723" s="9" t="s">
        <v>1988</v>
      </c>
      <c r="C723" s="15">
        <v>526</v>
      </c>
      <c r="D723" s="41" t="s">
        <v>1518</v>
      </c>
      <c r="E723" s="9" t="s">
        <v>1420</v>
      </c>
      <c r="F723" s="9" t="s">
        <v>479</v>
      </c>
      <c r="G723" s="9"/>
      <c r="H723" s="39"/>
      <c r="I723" s="9"/>
      <c r="J723" s="39"/>
      <c r="K723" s="42"/>
      <c r="L723" s="9"/>
      <c r="M723" s="16"/>
      <c r="AA723" s="14">
        <f t="shared" si="22"/>
        <v>-136</v>
      </c>
      <c r="AB723" s="47">
        <f t="shared" si="23"/>
        <v>-137</v>
      </c>
      <c r="AD723" s="53"/>
      <c r="AE723" s="53"/>
      <c r="AF723" s="53"/>
      <c r="AG723" s="53"/>
    </row>
    <row r="724" spans="1:33" s="46" customFormat="1">
      <c r="A724" s="39">
        <v>41233</v>
      </c>
      <c r="B724" s="9" t="s">
        <v>2437</v>
      </c>
      <c r="C724" s="15"/>
      <c r="D724" s="41" t="s">
        <v>1507</v>
      </c>
      <c r="E724" s="9" t="s">
        <v>22</v>
      </c>
      <c r="F724" s="9" t="s">
        <v>935</v>
      </c>
      <c r="G724" s="9"/>
      <c r="H724" s="39"/>
      <c r="I724" s="9"/>
      <c r="J724" s="39"/>
      <c r="K724" s="42"/>
      <c r="L724" s="9"/>
      <c r="M724" s="16" t="s">
        <v>193</v>
      </c>
      <c r="AA724" s="14">
        <f t="shared" si="22"/>
        <v>-526</v>
      </c>
      <c r="AB724" s="47">
        <f t="shared" si="23"/>
        <v>-527</v>
      </c>
      <c r="AD724" s="53"/>
      <c r="AE724" s="53"/>
      <c r="AF724" s="53"/>
      <c r="AG724" s="53"/>
    </row>
    <row r="725" spans="1:33" s="46" customFormat="1">
      <c r="A725" s="39">
        <v>41233</v>
      </c>
      <c r="B725" s="9" t="s">
        <v>2672</v>
      </c>
      <c r="C725" s="15">
        <v>690</v>
      </c>
      <c r="D725" s="41" t="s">
        <v>1509</v>
      </c>
      <c r="E725" s="9" t="s">
        <v>118</v>
      </c>
      <c r="F725" s="9" t="s">
        <v>479</v>
      </c>
      <c r="G725" s="9"/>
      <c r="H725" s="39"/>
      <c r="I725" s="9"/>
      <c r="J725" s="39"/>
      <c r="K725" s="42"/>
      <c r="L725" s="9" t="s">
        <v>1510</v>
      </c>
      <c r="M725" s="16"/>
      <c r="AA725" s="14">
        <f t="shared" si="22"/>
        <v>690</v>
      </c>
      <c r="AB725" s="47">
        <f t="shared" si="23"/>
        <v>689</v>
      </c>
      <c r="AD725" s="53"/>
      <c r="AE725" s="53"/>
      <c r="AF725" s="53"/>
      <c r="AG725" s="53"/>
    </row>
    <row r="726" spans="1:33" s="46" customFormat="1">
      <c r="A726" s="39">
        <v>41233</v>
      </c>
      <c r="B726" s="9" t="s">
        <v>2082</v>
      </c>
      <c r="C726" s="15">
        <v>458</v>
      </c>
      <c r="D726" s="41" t="s">
        <v>1479</v>
      </c>
      <c r="E726" s="9" t="s">
        <v>1448</v>
      </c>
      <c r="F726" s="9" t="s">
        <v>479</v>
      </c>
      <c r="G726" s="9"/>
      <c r="H726" s="39"/>
      <c r="I726" s="9"/>
      <c r="J726" s="39"/>
      <c r="K726" s="42"/>
      <c r="L726" s="9" t="s">
        <v>1480</v>
      </c>
      <c r="M726" s="16"/>
      <c r="AA726" s="14">
        <f t="shared" si="22"/>
        <v>-232</v>
      </c>
      <c r="AB726" s="47">
        <f t="shared" si="23"/>
        <v>-233</v>
      </c>
      <c r="AD726" s="53"/>
      <c r="AE726" s="53"/>
      <c r="AF726" s="53"/>
      <c r="AG726" s="53"/>
    </row>
    <row r="727" spans="1:33" s="46" customFormat="1">
      <c r="A727" s="39">
        <v>41233</v>
      </c>
      <c r="B727" s="9" t="s">
        <v>2075</v>
      </c>
      <c r="C727" s="15">
        <v>450</v>
      </c>
      <c r="D727" s="41" t="s">
        <v>1490</v>
      </c>
      <c r="E727" s="9" t="s">
        <v>1448</v>
      </c>
      <c r="F727" s="9" t="s">
        <v>479</v>
      </c>
      <c r="G727" s="9"/>
      <c r="H727" s="39"/>
      <c r="I727" s="9"/>
      <c r="J727" s="39"/>
      <c r="K727" s="42"/>
      <c r="L727" s="9" t="s">
        <v>1491</v>
      </c>
      <c r="M727" s="16"/>
      <c r="AA727" s="14">
        <f t="shared" si="22"/>
        <v>-8</v>
      </c>
      <c r="AB727" s="47">
        <f t="shared" si="23"/>
        <v>-9</v>
      </c>
      <c r="AD727" s="53"/>
      <c r="AE727" s="53"/>
      <c r="AF727" s="53"/>
      <c r="AG727" s="53"/>
    </row>
    <row r="728" spans="1:33" s="46" customFormat="1">
      <c r="A728" s="39">
        <v>41233</v>
      </c>
      <c r="B728" s="9" t="s">
        <v>1978</v>
      </c>
      <c r="C728" s="15">
        <v>514</v>
      </c>
      <c r="D728" s="41" t="s">
        <v>1564</v>
      </c>
      <c r="E728" s="9" t="s">
        <v>96</v>
      </c>
      <c r="F728" s="9" t="s">
        <v>479</v>
      </c>
      <c r="G728" s="9"/>
      <c r="H728" s="39"/>
      <c r="I728" s="9"/>
      <c r="J728" s="39"/>
      <c r="K728" s="42"/>
      <c r="L728" s="9" t="s">
        <v>1565</v>
      </c>
      <c r="M728" s="16"/>
      <c r="AA728" s="14">
        <f t="shared" si="22"/>
        <v>64</v>
      </c>
      <c r="AB728" s="47">
        <f t="shared" si="23"/>
        <v>63</v>
      </c>
      <c r="AD728" s="53"/>
      <c r="AE728" s="53"/>
      <c r="AF728" s="53"/>
      <c r="AG728" s="53"/>
    </row>
    <row r="729" spans="1:33" s="46" customFormat="1">
      <c r="A729" s="39">
        <v>41233</v>
      </c>
      <c r="B729" s="9" t="s">
        <v>1989</v>
      </c>
      <c r="C729" s="15">
        <v>528</v>
      </c>
      <c r="D729" s="41" t="s">
        <v>1519</v>
      </c>
      <c r="E729" s="9" t="s">
        <v>51</v>
      </c>
      <c r="F729" s="9" t="s">
        <v>479</v>
      </c>
      <c r="G729" s="9"/>
      <c r="H729" s="39"/>
      <c r="I729" s="9"/>
      <c r="J729" s="39"/>
      <c r="K729" s="42"/>
      <c r="L729" s="9" t="s">
        <v>1520</v>
      </c>
      <c r="M729" s="16"/>
      <c r="AA729" s="14">
        <f t="shared" si="22"/>
        <v>14</v>
      </c>
      <c r="AB729" s="47">
        <f t="shared" si="23"/>
        <v>13</v>
      </c>
      <c r="AD729" s="53"/>
      <c r="AE729" s="53"/>
      <c r="AF729" s="53"/>
      <c r="AG729" s="53"/>
    </row>
    <row r="730" spans="1:33" s="46" customFormat="1">
      <c r="A730" s="39">
        <v>41233</v>
      </c>
      <c r="B730" s="9" t="s">
        <v>1947</v>
      </c>
      <c r="C730" s="15">
        <v>548</v>
      </c>
      <c r="D730" s="41" t="s">
        <v>1500</v>
      </c>
      <c r="E730" s="9" t="s">
        <v>1429</v>
      </c>
      <c r="F730" s="9" t="s">
        <v>479</v>
      </c>
      <c r="G730" s="9"/>
      <c r="H730" s="39"/>
      <c r="I730" s="9"/>
      <c r="J730" s="39"/>
      <c r="K730" s="42"/>
      <c r="L730" s="9" t="s">
        <v>1501</v>
      </c>
      <c r="M730" s="16"/>
      <c r="AA730" s="14">
        <f t="shared" si="22"/>
        <v>20</v>
      </c>
      <c r="AB730" s="47">
        <f t="shared" si="23"/>
        <v>19</v>
      </c>
      <c r="AD730" s="53"/>
      <c r="AE730" s="53"/>
      <c r="AF730" s="53"/>
      <c r="AG730" s="53"/>
    </row>
    <row r="731" spans="1:33" s="46" customFormat="1">
      <c r="A731" s="39">
        <v>41233</v>
      </c>
      <c r="B731" s="9" t="s">
        <v>2113</v>
      </c>
      <c r="C731" s="15">
        <v>463</v>
      </c>
      <c r="D731" s="41" t="s">
        <v>1680</v>
      </c>
      <c r="E731" s="9" t="s">
        <v>313</v>
      </c>
      <c r="F731" s="9" t="s">
        <v>479</v>
      </c>
      <c r="G731" s="9"/>
      <c r="H731" s="39"/>
      <c r="I731" s="9"/>
      <c r="J731" s="39"/>
      <c r="K731" s="42"/>
      <c r="L731" s="9" t="s">
        <v>1681</v>
      </c>
      <c r="M731" s="16"/>
      <c r="AA731" s="14">
        <f t="shared" si="22"/>
        <v>-85</v>
      </c>
      <c r="AB731" s="47">
        <f t="shared" si="23"/>
        <v>-86</v>
      </c>
      <c r="AD731" s="53"/>
      <c r="AE731" s="53"/>
      <c r="AF731" s="53"/>
      <c r="AG731" s="53"/>
    </row>
    <row r="732" spans="1:33" s="46" customFormat="1">
      <c r="A732" s="39">
        <v>41233</v>
      </c>
      <c r="B732" s="9" t="s">
        <v>1982</v>
      </c>
      <c r="C732" s="15">
        <v>519</v>
      </c>
      <c r="D732" s="41" t="s">
        <v>1440</v>
      </c>
      <c r="E732" s="9" t="s">
        <v>1429</v>
      </c>
      <c r="F732" s="9" t="s">
        <v>479</v>
      </c>
      <c r="G732" s="9"/>
      <c r="H732" s="39"/>
      <c r="I732" s="9"/>
      <c r="J732" s="39"/>
      <c r="K732" s="42"/>
      <c r="L732" s="9"/>
      <c r="M732" s="16"/>
      <c r="AA732" s="14">
        <f t="shared" si="22"/>
        <v>56</v>
      </c>
      <c r="AB732" s="47">
        <f t="shared" si="23"/>
        <v>55</v>
      </c>
      <c r="AD732" s="53"/>
      <c r="AE732" s="53"/>
      <c r="AF732" s="53"/>
      <c r="AG732" s="53"/>
    </row>
    <row r="733" spans="1:33" s="46" customFormat="1">
      <c r="A733" s="39">
        <v>41233</v>
      </c>
      <c r="B733" s="9" t="s">
        <v>2049</v>
      </c>
      <c r="C733" s="15">
        <v>415</v>
      </c>
      <c r="D733" s="41" t="s">
        <v>1430</v>
      </c>
      <c r="E733" s="9" t="s">
        <v>1429</v>
      </c>
      <c r="F733" s="9" t="s">
        <v>479</v>
      </c>
      <c r="G733" s="9"/>
      <c r="H733" s="39"/>
      <c r="I733" s="9"/>
      <c r="J733" s="39"/>
      <c r="K733" s="42"/>
      <c r="L733" s="9"/>
      <c r="M733" s="16"/>
      <c r="AA733" s="14">
        <f t="shared" si="22"/>
        <v>-104</v>
      </c>
      <c r="AB733" s="47">
        <f t="shared" si="23"/>
        <v>-105</v>
      </c>
      <c r="AD733" s="53"/>
      <c r="AE733" s="53"/>
      <c r="AF733" s="53"/>
      <c r="AG733" s="53"/>
    </row>
    <row r="734" spans="1:33" s="46" customFormat="1">
      <c r="A734" s="39">
        <v>41233</v>
      </c>
      <c r="B734" s="9" t="s">
        <v>2832</v>
      </c>
      <c r="C734" s="15">
        <v>759</v>
      </c>
      <c r="D734" s="41" t="s">
        <v>1430</v>
      </c>
      <c r="E734" s="9" t="s">
        <v>313</v>
      </c>
      <c r="F734" s="9" t="s">
        <v>479</v>
      </c>
      <c r="G734" s="9"/>
      <c r="H734" s="39"/>
      <c r="I734" s="9"/>
      <c r="J734" s="39"/>
      <c r="K734" s="42"/>
      <c r="L734" s="9"/>
      <c r="M734" s="16"/>
      <c r="AA734" s="14">
        <f t="shared" si="22"/>
        <v>344</v>
      </c>
      <c r="AB734" s="47">
        <f t="shared" si="23"/>
        <v>343</v>
      </c>
      <c r="AD734" s="53"/>
      <c r="AE734" s="53"/>
      <c r="AF734" s="53"/>
      <c r="AG734" s="53"/>
    </row>
    <row r="735" spans="1:33" s="46" customFormat="1">
      <c r="A735" s="39">
        <v>41233</v>
      </c>
      <c r="B735" s="9" t="s">
        <v>2087</v>
      </c>
      <c r="C735" s="15">
        <v>464</v>
      </c>
      <c r="D735" s="41" t="s">
        <v>1481</v>
      </c>
      <c r="E735" s="9" t="s">
        <v>1448</v>
      </c>
      <c r="F735" s="9" t="s">
        <v>479</v>
      </c>
      <c r="G735" s="9"/>
      <c r="H735" s="39"/>
      <c r="I735" s="9"/>
      <c r="J735" s="39"/>
      <c r="K735" s="42"/>
      <c r="L735" s="9" t="s">
        <v>1482</v>
      </c>
      <c r="M735" s="16" t="s">
        <v>194</v>
      </c>
      <c r="AA735" s="14">
        <f t="shared" si="22"/>
        <v>-295</v>
      </c>
      <c r="AB735" s="47">
        <f t="shared" si="23"/>
        <v>-296</v>
      </c>
      <c r="AD735" s="53"/>
      <c r="AE735" s="53"/>
      <c r="AF735" s="53"/>
      <c r="AG735" s="53"/>
    </row>
    <row r="736" spans="1:33" s="46" customFormat="1">
      <c r="A736" s="39">
        <v>41233</v>
      </c>
      <c r="B736" s="9" t="s">
        <v>1972</v>
      </c>
      <c r="C736" s="15">
        <v>527</v>
      </c>
      <c r="D736" s="41" t="s">
        <v>1350</v>
      </c>
      <c r="E736" s="9" t="s">
        <v>51</v>
      </c>
      <c r="F736" s="9" t="s">
        <v>479</v>
      </c>
      <c r="G736" s="9"/>
      <c r="H736" s="39"/>
      <c r="I736" s="9"/>
      <c r="J736" s="39"/>
      <c r="K736" s="42"/>
      <c r="L736" s="9" t="s">
        <v>1351</v>
      </c>
      <c r="M736" s="16"/>
      <c r="AA736" s="14">
        <f t="shared" si="22"/>
        <v>63</v>
      </c>
      <c r="AB736" s="47">
        <f t="shared" si="23"/>
        <v>62</v>
      </c>
      <c r="AD736" s="53"/>
      <c r="AE736" s="53"/>
      <c r="AF736" s="53"/>
      <c r="AG736" s="53"/>
    </row>
    <row r="737" spans="1:33" s="46" customFormat="1">
      <c r="A737" s="39">
        <v>41233</v>
      </c>
      <c r="B737" s="9" t="s">
        <v>2931</v>
      </c>
      <c r="C737" s="15">
        <v>745</v>
      </c>
      <c r="D737" s="41" t="s">
        <v>1385</v>
      </c>
      <c r="E737" s="9" t="s">
        <v>51</v>
      </c>
      <c r="F737" s="9" t="s">
        <v>479</v>
      </c>
      <c r="G737" s="9"/>
      <c r="H737" s="39"/>
      <c r="I737" s="9"/>
      <c r="J737" s="39"/>
      <c r="K737" s="42"/>
      <c r="L737" s="9" t="s">
        <v>1386</v>
      </c>
      <c r="M737" s="16"/>
      <c r="AA737" s="14">
        <f t="shared" si="22"/>
        <v>218</v>
      </c>
      <c r="AB737" s="47">
        <f t="shared" si="23"/>
        <v>217</v>
      </c>
      <c r="AD737" s="53"/>
      <c r="AE737" s="53"/>
      <c r="AF737" s="53"/>
      <c r="AG737" s="53"/>
    </row>
    <row r="738" spans="1:33" s="46" customFormat="1">
      <c r="A738" s="39">
        <v>41233</v>
      </c>
      <c r="B738" s="9" t="s">
        <v>1977</v>
      </c>
      <c r="C738" s="15">
        <v>513</v>
      </c>
      <c r="D738" s="41" t="s">
        <v>1976</v>
      </c>
      <c r="E738" s="9" t="s">
        <v>96</v>
      </c>
      <c r="F738" s="9" t="s">
        <v>479</v>
      </c>
      <c r="G738" s="9"/>
      <c r="H738" s="39"/>
      <c r="I738" s="9"/>
      <c r="J738" s="39"/>
      <c r="K738" s="42"/>
      <c r="L738" s="9" t="s">
        <v>1566</v>
      </c>
      <c r="M738" s="16"/>
      <c r="AA738" s="14">
        <f t="shared" si="22"/>
        <v>-232</v>
      </c>
      <c r="AB738" s="47">
        <f t="shared" si="23"/>
        <v>-233</v>
      </c>
      <c r="AD738" s="53"/>
      <c r="AE738" s="53"/>
      <c r="AF738" s="53"/>
      <c r="AG738" s="53"/>
    </row>
    <row r="739" spans="1:33" s="46" customFormat="1">
      <c r="A739" s="39">
        <v>41233</v>
      </c>
      <c r="B739" s="9" t="s">
        <v>2150</v>
      </c>
      <c r="C739" s="15">
        <v>510</v>
      </c>
      <c r="D739" s="41" t="s">
        <v>1678</v>
      </c>
      <c r="E739" s="9" t="s">
        <v>313</v>
      </c>
      <c r="F739" s="9" t="s">
        <v>479</v>
      </c>
      <c r="G739" s="9"/>
      <c r="H739" s="39"/>
      <c r="I739" s="9"/>
      <c r="J739" s="39"/>
      <c r="K739" s="42"/>
      <c r="L739" s="9" t="s">
        <v>1679</v>
      </c>
      <c r="M739" s="16" t="s">
        <v>193</v>
      </c>
      <c r="AA739" s="14">
        <f t="shared" si="22"/>
        <v>-3</v>
      </c>
      <c r="AB739" s="47">
        <f t="shared" si="23"/>
        <v>-4</v>
      </c>
      <c r="AD739" s="53"/>
      <c r="AE739" s="53"/>
      <c r="AF739" s="53"/>
      <c r="AG739" s="53"/>
    </row>
    <row r="740" spans="1:33" s="46" customFormat="1">
      <c r="A740" s="39">
        <v>41233</v>
      </c>
      <c r="B740" s="9" t="s">
        <v>1961</v>
      </c>
      <c r="C740" s="15">
        <v>543</v>
      </c>
      <c r="D740" s="41" t="s">
        <v>1445</v>
      </c>
      <c r="E740" s="9" t="s">
        <v>1429</v>
      </c>
      <c r="F740" s="9" t="s">
        <v>479</v>
      </c>
      <c r="G740" s="9"/>
      <c r="H740" s="39"/>
      <c r="I740" s="9"/>
      <c r="J740" s="39"/>
      <c r="K740" s="42"/>
      <c r="L740" s="9" t="s">
        <v>1446</v>
      </c>
      <c r="M740" s="16"/>
      <c r="AA740" s="14">
        <f t="shared" si="22"/>
        <v>33</v>
      </c>
      <c r="AB740" s="47">
        <f t="shared" si="23"/>
        <v>32</v>
      </c>
      <c r="AD740" s="53"/>
      <c r="AE740" s="53"/>
      <c r="AF740" s="53"/>
      <c r="AG740" s="53"/>
    </row>
    <row r="741" spans="1:33" s="46" customFormat="1">
      <c r="A741" s="39">
        <v>41233</v>
      </c>
      <c r="B741" s="9" t="s">
        <v>1990</v>
      </c>
      <c r="C741" s="15">
        <v>529</v>
      </c>
      <c r="D741" s="41" t="s">
        <v>1521</v>
      </c>
      <c r="E741" s="9" t="s">
        <v>1420</v>
      </c>
      <c r="F741" s="9" t="s">
        <v>479</v>
      </c>
      <c r="G741" s="9"/>
      <c r="H741" s="39"/>
      <c r="I741" s="9"/>
      <c r="J741" s="39"/>
      <c r="K741" s="42"/>
      <c r="L741" s="9"/>
      <c r="M741" s="16"/>
      <c r="AA741" s="14">
        <f t="shared" si="22"/>
        <v>-14</v>
      </c>
      <c r="AB741" s="47">
        <f t="shared" si="23"/>
        <v>-15</v>
      </c>
      <c r="AD741" s="53"/>
      <c r="AE741" s="53"/>
      <c r="AF741" s="53"/>
      <c r="AG741" s="53"/>
    </row>
    <row r="742" spans="1:33" s="46" customFormat="1">
      <c r="A742" s="39">
        <v>41234</v>
      </c>
      <c r="B742" s="9" t="s">
        <v>2136</v>
      </c>
      <c r="C742" s="15">
        <v>492</v>
      </c>
      <c r="D742" s="41" t="s">
        <v>1685</v>
      </c>
      <c r="E742" s="9" t="s">
        <v>22</v>
      </c>
      <c r="F742" s="9" t="s">
        <v>479</v>
      </c>
      <c r="G742" s="9"/>
      <c r="H742" s="39"/>
      <c r="I742" s="9"/>
      <c r="J742" s="39"/>
      <c r="K742" s="42"/>
      <c r="L742" s="9" t="s">
        <v>1686</v>
      </c>
      <c r="M742" s="16" t="s">
        <v>71</v>
      </c>
      <c r="AA742" s="14">
        <f t="shared" si="22"/>
        <v>-37</v>
      </c>
      <c r="AB742" s="47">
        <f t="shared" si="23"/>
        <v>-38</v>
      </c>
      <c r="AD742" s="53"/>
      <c r="AE742" s="53"/>
      <c r="AF742" s="53"/>
      <c r="AG742" s="53"/>
    </row>
    <row r="743" spans="1:33" s="46" customFormat="1" ht="12" customHeight="1">
      <c r="A743" s="39">
        <v>41234</v>
      </c>
      <c r="B743" s="74"/>
      <c r="C743" s="15"/>
      <c r="D743" s="41" t="s">
        <v>1682</v>
      </c>
      <c r="E743" s="9" t="s">
        <v>1683</v>
      </c>
      <c r="F743" s="9" t="s">
        <v>935</v>
      </c>
      <c r="G743" s="9"/>
      <c r="H743" s="39"/>
      <c r="I743" s="9"/>
      <c r="J743" s="39"/>
      <c r="K743" s="42"/>
      <c r="L743" s="9" t="s">
        <v>1684</v>
      </c>
      <c r="M743" s="16"/>
      <c r="AA743" s="14">
        <f t="shared" si="22"/>
        <v>-492</v>
      </c>
      <c r="AB743" s="47">
        <f t="shared" si="23"/>
        <v>-493</v>
      </c>
      <c r="AD743" s="53"/>
      <c r="AE743" s="53"/>
      <c r="AF743" s="53"/>
      <c r="AG743" s="53"/>
    </row>
    <row r="744" spans="1:33" s="46" customFormat="1" ht="12" customHeight="1">
      <c r="A744" s="39">
        <v>41236</v>
      </c>
      <c r="B744" s="74" t="s">
        <v>2434</v>
      </c>
      <c r="C744" s="15"/>
      <c r="D744" s="41" t="s">
        <v>1746</v>
      </c>
      <c r="E744" s="9" t="s">
        <v>22</v>
      </c>
      <c r="F744" s="9" t="s">
        <v>935</v>
      </c>
      <c r="G744" s="9"/>
      <c r="H744" s="39"/>
      <c r="I744" s="9"/>
      <c r="J744" s="39"/>
      <c r="K744" s="42"/>
      <c r="L744" s="9"/>
      <c r="M744" s="16"/>
      <c r="AA744" s="14">
        <f t="shared" si="22"/>
        <v>0</v>
      </c>
      <c r="AB744" s="47">
        <f t="shared" si="23"/>
        <v>-1</v>
      </c>
      <c r="AD744" s="53"/>
      <c r="AE744" s="53"/>
      <c r="AF744" s="53"/>
      <c r="AG744" s="53"/>
    </row>
    <row r="745" spans="1:33" s="46" customFormat="1">
      <c r="A745" s="39">
        <v>41236</v>
      </c>
      <c r="B745" s="9" t="s">
        <v>2690</v>
      </c>
      <c r="C745" s="15">
        <v>852</v>
      </c>
      <c r="D745" s="41" t="s">
        <v>1810</v>
      </c>
      <c r="E745" s="9" t="s">
        <v>313</v>
      </c>
      <c r="F745" s="9" t="s">
        <v>935</v>
      </c>
      <c r="G745" s="9"/>
      <c r="H745" s="39"/>
      <c r="I745" s="9"/>
      <c r="J745" s="39"/>
      <c r="K745" s="42"/>
      <c r="L745" s="9" t="s">
        <v>1811</v>
      </c>
      <c r="M745" s="16" t="s">
        <v>193</v>
      </c>
      <c r="AA745" s="14">
        <f t="shared" si="22"/>
        <v>852</v>
      </c>
      <c r="AB745" s="47">
        <f t="shared" si="23"/>
        <v>851</v>
      </c>
      <c r="AD745" s="53"/>
      <c r="AE745" s="53"/>
      <c r="AF745" s="53"/>
      <c r="AG745" s="53"/>
    </row>
    <row r="746" spans="1:33" s="46" customFormat="1">
      <c r="A746" s="39">
        <v>41236</v>
      </c>
      <c r="B746" s="9"/>
      <c r="C746" s="15"/>
      <c r="D746" s="41" t="s">
        <v>1776</v>
      </c>
      <c r="E746" s="9" t="s">
        <v>22</v>
      </c>
      <c r="F746" s="9" t="s">
        <v>935</v>
      </c>
      <c r="G746" s="9"/>
      <c r="H746" s="39"/>
      <c r="I746" s="9"/>
      <c r="J746" s="39"/>
      <c r="K746" s="42"/>
      <c r="L746" s="9"/>
      <c r="M746" s="16"/>
      <c r="AA746" s="14">
        <f t="shared" ref="AA746:AA809" si="24">C746-C745</f>
        <v>-852</v>
      </c>
      <c r="AB746" s="47">
        <f t="shared" ref="AB746:AB809" si="25">AA746-1</f>
        <v>-853</v>
      </c>
      <c r="AD746" s="53"/>
      <c r="AE746" s="53"/>
      <c r="AF746" s="53"/>
      <c r="AG746" s="53"/>
    </row>
    <row r="747" spans="1:33" s="46" customFormat="1">
      <c r="A747" s="39">
        <v>41236</v>
      </c>
      <c r="B747" s="9" t="s">
        <v>2889</v>
      </c>
      <c r="C747" s="15">
        <v>816</v>
      </c>
      <c r="D747" s="41" t="s">
        <v>1695</v>
      </c>
      <c r="E747" s="9" t="s">
        <v>22</v>
      </c>
      <c r="F747" s="9" t="s">
        <v>935</v>
      </c>
      <c r="G747" s="9"/>
      <c r="H747" s="39"/>
      <c r="I747" s="9"/>
      <c r="J747" s="39"/>
      <c r="K747" s="42"/>
      <c r="L747" s="9" t="s">
        <v>1696</v>
      </c>
      <c r="M747" s="16"/>
      <c r="AA747" s="14">
        <f t="shared" si="24"/>
        <v>816</v>
      </c>
      <c r="AB747" s="47">
        <f t="shared" si="25"/>
        <v>815</v>
      </c>
      <c r="AD747" s="53"/>
      <c r="AE747" s="53"/>
      <c r="AF747" s="53"/>
      <c r="AG747" s="53"/>
    </row>
    <row r="748" spans="1:33" s="46" customFormat="1">
      <c r="A748" s="39">
        <v>41236</v>
      </c>
      <c r="B748" s="9"/>
      <c r="C748" s="15"/>
      <c r="D748" s="41" t="s">
        <v>2350</v>
      </c>
      <c r="E748" s="9" t="s">
        <v>22</v>
      </c>
      <c r="F748" s="9" t="s">
        <v>935</v>
      </c>
      <c r="G748" s="9"/>
      <c r="H748" s="39"/>
      <c r="I748" s="9"/>
      <c r="J748" s="39"/>
      <c r="K748" s="42"/>
      <c r="L748" s="9" t="s">
        <v>1694</v>
      </c>
      <c r="M748" s="16"/>
      <c r="AA748" s="14">
        <f t="shared" si="24"/>
        <v>-816</v>
      </c>
      <c r="AB748" s="47">
        <f t="shared" si="25"/>
        <v>-817</v>
      </c>
      <c r="AD748" s="53"/>
      <c r="AE748" s="53"/>
      <c r="AF748" s="53"/>
      <c r="AG748" s="53"/>
    </row>
    <row r="749" spans="1:33" s="46" customFormat="1">
      <c r="A749" s="39">
        <v>41236</v>
      </c>
      <c r="B749" s="9" t="s">
        <v>2856</v>
      </c>
      <c r="C749" s="15">
        <v>824</v>
      </c>
      <c r="D749" s="41" t="s">
        <v>1763</v>
      </c>
      <c r="E749" s="9" t="s">
        <v>22</v>
      </c>
      <c r="F749" s="9" t="s">
        <v>479</v>
      </c>
      <c r="G749" s="9"/>
      <c r="H749" s="39"/>
      <c r="I749" s="9"/>
      <c r="J749" s="39"/>
      <c r="K749" s="42"/>
      <c r="L749" s="9" t="s">
        <v>1764</v>
      </c>
      <c r="M749" s="16"/>
      <c r="AA749" s="14">
        <f t="shared" si="24"/>
        <v>824</v>
      </c>
      <c r="AB749" s="47">
        <f t="shared" si="25"/>
        <v>823</v>
      </c>
      <c r="AD749" s="53"/>
      <c r="AE749" s="53"/>
      <c r="AF749" s="53"/>
      <c r="AG749" s="53"/>
    </row>
    <row r="750" spans="1:33" s="46" customFormat="1">
      <c r="A750" s="39">
        <v>41236</v>
      </c>
      <c r="B750" s="9" t="s">
        <v>1930</v>
      </c>
      <c r="C750" s="15">
        <v>565</v>
      </c>
      <c r="D750" s="41" t="s">
        <v>1723</v>
      </c>
      <c r="E750" s="9" t="s">
        <v>22</v>
      </c>
      <c r="F750" s="9" t="s">
        <v>479</v>
      </c>
      <c r="G750" s="9"/>
      <c r="H750" s="39"/>
      <c r="I750" s="9"/>
      <c r="J750" s="39"/>
      <c r="K750" s="42"/>
      <c r="L750" s="9" t="s">
        <v>1724</v>
      </c>
      <c r="M750" s="16"/>
      <c r="AA750" s="14">
        <f t="shared" si="24"/>
        <v>-259</v>
      </c>
      <c r="AB750" s="47">
        <f t="shared" si="25"/>
        <v>-260</v>
      </c>
      <c r="AD750" s="53"/>
      <c r="AE750" s="53"/>
      <c r="AF750" s="53"/>
      <c r="AG750" s="53"/>
    </row>
    <row r="751" spans="1:33" s="46" customFormat="1">
      <c r="A751" s="39">
        <v>41236</v>
      </c>
      <c r="B751" s="9" t="s">
        <v>2694</v>
      </c>
      <c r="C751" s="15">
        <v>674</v>
      </c>
      <c r="D751" s="41" t="s">
        <v>1725</v>
      </c>
      <c r="E751" s="9" t="s">
        <v>22</v>
      </c>
      <c r="F751" s="9" t="s">
        <v>479</v>
      </c>
      <c r="G751" s="9"/>
      <c r="H751" s="39"/>
      <c r="I751" s="9"/>
      <c r="J751" s="39"/>
      <c r="K751" s="42"/>
      <c r="L751" s="9" t="s">
        <v>1724</v>
      </c>
      <c r="M751" s="16"/>
      <c r="AA751" s="14">
        <f t="shared" si="24"/>
        <v>109</v>
      </c>
      <c r="AB751" s="47">
        <f t="shared" si="25"/>
        <v>108</v>
      </c>
      <c r="AD751" s="53"/>
      <c r="AE751" s="53"/>
      <c r="AF751" s="53"/>
      <c r="AG751" s="53"/>
    </row>
    <row r="752" spans="1:33" s="46" customFormat="1">
      <c r="A752" s="39">
        <v>41236</v>
      </c>
      <c r="B752" s="39" t="s">
        <v>2814</v>
      </c>
      <c r="C752" s="15">
        <v>822</v>
      </c>
      <c r="D752" s="41" t="s">
        <v>1849</v>
      </c>
      <c r="E752" s="9" t="s">
        <v>274</v>
      </c>
      <c r="F752" s="9" t="s">
        <v>479</v>
      </c>
      <c r="G752" s="9"/>
      <c r="H752" s="39"/>
      <c r="I752" s="9"/>
      <c r="J752" s="39"/>
      <c r="K752" s="42"/>
      <c r="L752" s="9" t="s">
        <v>1850</v>
      </c>
      <c r="M752" s="16"/>
      <c r="AA752" s="14">
        <f t="shared" si="24"/>
        <v>148</v>
      </c>
      <c r="AB752" s="47">
        <f t="shared" si="25"/>
        <v>147</v>
      </c>
      <c r="AD752" s="53"/>
      <c r="AE752" s="53"/>
      <c r="AF752" s="53"/>
      <c r="AG752" s="53"/>
    </row>
    <row r="753" spans="1:33" s="46" customFormat="1">
      <c r="A753" s="39">
        <v>41236</v>
      </c>
      <c r="B753" s="9" t="s">
        <v>2701</v>
      </c>
      <c r="C753" s="15">
        <v>695</v>
      </c>
      <c r="D753" s="41" t="s">
        <v>1738</v>
      </c>
      <c r="E753" s="9" t="s">
        <v>22</v>
      </c>
      <c r="F753" s="9" t="s">
        <v>479</v>
      </c>
      <c r="G753" s="9"/>
      <c r="H753" s="39"/>
      <c r="I753" s="9"/>
      <c r="J753" s="39"/>
      <c r="K753" s="42"/>
      <c r="L753" s="9" t="s">
        <v>1739</v>
      </c>
      <c r="M753" s="16"/>
      <c r="AA753" s="14">
        <f t="shared" si="24"/>
        <v>-127</v>
      </c>
      <c r="AB753" s="47">
        <f t="shared" si="25"/>
        <v>-128</v>
      </c>
      <c r="AD753" s="53"/>
      <c r="AE753" s="53"/>
      <c r="AF753" s="53"/>
      <c r="AG753" s="53"/>
    </row>
    <row r="754" spans="1:33" s="46" customFormat="1">
      <c r="A754" s="39">
        <v>41236</v>
      </c>
      <c r="B754" s="9"/>
      <c r="C754" s="15"/>
      <c r="D754" s="41" t="s">
        <v>1808</v>
      </c>
      <c r="E754" s="9" t="s">
        <v>802</v>
      </c>
      <c r="F754" s="9" t="s">
        <v>935</v>
      </c>
      <c r="G754" s="9"/>
      <c r="H754" s="39"/>
      <c r="I754" s="9"/>
      <c r="J754" s="39"/>
      <c r="K754" s="42"/>
      <c r="L754" s="9" t="s">
        <v>1809</v>
      </c>
      <c r="M754" s="16"/>
      <c r="AA754" s="14">
        <f t="shared" si="24"/>
        <v>-695</v>
      </c>
      <c r="AB754" s="47">
        <f t="shared" si="25"/>
        <v>-696</v>
      </c>
      <c r="AD754" s="53"/>
      <c r="AE754" s="53"/>
      <c r="AF754" s="53"/>
      <c r="AG754" s="53"/>
    </row>
    <row r="755" spans="1:33" s="46" customFormat="1">
      <c r="A755" s="39">
        <v>41236</v>
      </c>
      <c r="B755" s="9"/>
      <c r="C755" s="15"/>
      <c r="D755" s="41" t="s">
        <v>1704</v>
      </c>
      <c r="E755" s="9" t="s">
        <v>22</v>
      </c>
      <c r="F755" s="9" t="s">
        <v>935</v>
      </c>
      <c r="G755" s="9"/>
      <c r="H755" s="39"/>
      <c r="I755" s="9"/>
      <c r="J755" s="39"/>
      <c r="K755" s="42"/>
      <c r="L755" s="9" t="s">
        <v>1705</v>
      </c>
      <c r="M755" s="16" t="s">
        <v>190</v>
      </c>
      <c r="AA755" s="14">
        <f t="shared" si="24"/>
        <v>0</v>
      </c>
      <c r="AB755" s="47">
        <f t="shared" si="25"/>
        <v>-1</v>
      </c>
      <c r="AD755" s="53"/>
      <c r="AE755" s="53"/>
      <c r="AF755" s="53"/>
      <c r="AG755" s="53"/>
    </row>
    <row r="756" spans="1:33" s="46" customFormat="1">
      <c r="A756" s="39">
        <v>41236</v>
      </c>
      <c r="B756" s="9" t="s">
        <v>1938</v>
      </c>
      <c r="C756" s="15">
        <v>557</v>
      </c>
      <c r="D756" s="41" t="s">
        <v>1769</v>
      </c>
      <c r="E756" s="9" t="s">
        <v>22</v>
      </c>
      <c r="F756" s="9" t="s">
        <v>479</v>
      </c>
      <c r="G756" s="9"/>
      <c r="H756" s="39"/>
      <c r="I756" s="9"/>
      <c r="J756" s="39"/>
      <c r="K756" s="42"/>
      <c r="L756" s="9"/>
      <c r="M756" s="16"/>
      <c r="AA756" s="14">
        <f t="shared" si="24"/>
        <v>557</v>
      </c>
      <c r="AB756" s="47">
        <f t="shared" si="25"/>
        <v>556</v>
      </c>
      <c r="AD756" s="53"/>
      <c r="AE756" s="53"/>
      <c r="AF756" s="53"/>
      <c r="AG756" s="53"/>
    </row>
    <row r="757" spans="1:33" s="46" customFormat="1">
      <c r="A757" s="39">
        <v>41236</v>
      </c>
      <c r="B757" s="9" t="s">
        <v>2797</v>
      </c>
      <c r="C757" s="15">
        <v>784</v>
      </c>
      <c r="D757" s="41" t="s">
        <v>1735</v>
      </c>
      <c r="E757" s="9" t="s">
        <v>22</v>
      </c>
      <c r="F757" s="9" t="s">
        <v>479</v>
      </c>
      <c r="G757" s="9"/>
      <c r="H757" s="39"/>
      <c r="I757" s="9"/>
      <c r="J757" s="39"/>
      <c r="K757" s="42"/>
      <c r="L757" s="9"/>
      <c r="M757" s="16"/>
      <c r="AA757" s="14">
        <f t="shared" si="24"/>
        <v>227</v>
      </c>
      <c r="AB757" s="47">
        <f t="shared" si="25"/>
        <v>226</v>
      </c>
      <c r="AD757" s="53"/>
      <c r="AE757" s="53"/>
      <c r="AF757" s="53"/>
      <c r="AG757" s="53"/>
    </row>
    <row r="758" spans="1:33" s="46" customFormat="1">
      <c r="A758" s="39">
        <v>41236</v>
      </c>
      <c r="B758" s="39" t="s">
        <v>2633</v>
      </c>
      <c r="C758" s="15">
        <v>763</v>
      </c>
      <c r="D758" s="41" t="s">
        <v>1851</v>
      </c>
      <c r="E758" s="9" t="s">
        <v>274</v>
      </c>
      <c r="F758" s="9" t="s">
        <v>479</v>
      </c>
      <c r="G758" s="9"/>
      <c r="H758" s="39"/>
      <c r="I758" s="9"/>
      <c r="J758" s="39"/>
      <c r="K758" s="42"/>
      <c r="L758" s="9"/>
      <c r="M758" s="16"/>
      <c r="AA758" s="14">
        <f t="shared" si="24"/>
        <v>-21</v>
      </c>
      <c r="AB758" s="47">
        <f t="shared" si="25"/>
        <v>-22</v>
      </c>
      <c r="AD758" s="53"/>
      <c r="AE758" s="53"/>
      <c r="AF758" s="53"/>
      <c r="AG758" s="53"/>
    </row>
    <row r="759" spans="1:33" s="46" customFormat="1">
      <c r="A759" s="39">
        <v>41236</v>
      </c>
      <c r="B759" s="9" t="s">
        <v>2784</v>
      </c>
      <c r="C759" s="15">
        <v>719</v>
      </c>
      <c r="D759" s="41" t="s">
        <v>2356</v>
      </c>
      <c r="E759" s="9" t="s">
        <v>22</v>
      </c>
      <c r="F759" s="9" t="s">
        <v>479</v>
      </c>
      <c r="G759" s="9"/>
      <c r="H759" s="39"/>
      <c r="I759" s="9"/>
      <c r="J759" s="39"/>
      <c r="K759" s="42"/>
      <c r="L759" s="9" t="s">
        <v>1756</v>
      </c>
      <c r="M759" s="16"/>
      <c r="AA759" s="14">
        <f t="shared" si="24"/>
        <v>-44</v>
      </c>
      <c r="AB759" s="47">
        <f t="shared" si="25"/>
        <v>-45</v>
      </c>
      <c r="AD759" s="53"/>
      <c r="AE759" s="53"/>
      <c r="AF759" s="53"/>
      <c r="AG759" s="53"/>
    </row>
    <row r="760" spans="1:33" s="46" customFormat="1">
      <c r="A760" s="39">
        <v>41236</v>
      </c>
      <c r="B760" s="39" t="s">
        <v>2809</v>
      </c>
      <c r="C760" s="15">
        <v>801</v>
      </c>
      <c r="D760" s="41" t="s">
        <v>1854</v>
      </c>
      <c r="E760" s="9" t="s">
        <v>274</v>
      </c>
      <c r="F760" s="9" t="s">
        <v>479</v>
      </c>
      <c r="G760" s="9"/>
      <c r="H760" s="39"/>
      <c r="I760" s="9"/>
      <c r="J760" s="39"/>
      <c r="K760" s="42"/>
      <c r="L760" s="9" t="s">
        <v>1855</v>
      </c>
      <c r="M760" s="16"/>
      <c r="AA760" s="14">
        <f t="shared" si="24"/>
        <v>82</v>
      </c>
      <c r="AB760" s="47">
        <f t="shared" si="25"/>
        <v>81</v>
      </c>
      <c r="AD760" s="53"/>
      <c r="AE760" s="53"/>
      <c r="AF760" s="53"/>
      <c r="AG760" s="53"/>
    </row>
    <row r="761" spans="1:33" s="46" customFormat="1" ht="12" customHeight="1">
      <c r="A761" s="39">
        <v>41236</v>
      </c>
      <c r="B761" s="39" t="s">
        <v>2763</v>
      </c>
      <c r="C761" s="15">
        <v>725</v>
      </c>
      <c r="D761" s="41" t="s">
        <v>1856</v>
      </c>
      <c r="E761" s="9" t="s">
        <v>274</v>
      </c>
      <c r="F761" s="9" t="s">
        <v>479</v>
      </c>
      <c r="G761" s="9"/>
      <c r="H761" s="39"/>
      <c r="I761" s="9"/>
      <c r="J761" s="39"/>
      <c r="K761" s="42"/>
      <c r="L761" s="9" t="s">
        <v>1857</v>
      </c>
      <c r="M761" s="16"/>
      <c r="AA761" s="14">
        <f t="shared" si="24"/>
        <v>-76</v>
      </c>
      <c r="AB761" s="47">
        <f t="shared" si="25"/>
        <v>-77</v>
      </c>
      <c r="AD761" s="53"/>
      <c r="AE761" s="53"/>
      <c r="AF761" s="53"/>
      <c r="AG761" s="53"/>
    </row>
    <row r="762" spans="1:33" s="46" customFormat="1" ht="12" customHeight="1">
      <c r="A762" s="39">
        <v>41236</v>
      </c>
      <c r="B762" s="9" t="s">
        <v>2664</v>
      </c>
      <c r="C762" s="15">
        <v>709</v>
      </c>
      <c r="D762" s="41" t="s">
        <v>1863</v>
      </c>
      <c r="E762" s="9" t="s">
        <v>274</v>
      </c>
      <c r="F762" s="9" t="s">
        <v>479</v>
      </c>
      <c r="G762" s="9"/>
      <c r="H762" s="39"/>
      <c r="I762" s="9"/>
      <c r="J762" s="39"/>
      <c r="K762" s="42"/>
      <c r="L762" s="9" t="s">
        <v>1864</v>
      </c>
      <c r="M762" s="16" t="s">
        <v>195</v>
      </c>
      <c r="AA762" s="14">
        <f t="shared" si="24"/>
        <v>-16</v>
      </c>
      <c r="AB762" s="47">
        <f t="shared" si="25"/>
        <v>-17</v>
      </c>
      <c r="AD762" s="53"/>
      <c r="AE762" s="53"/>
      <c r="AF762" s="53"/>
      <c r="AG762" s="53"/>
    </row>
    <row r="763" spans="1:33" s="46" customFormat="1" ht="12" customHeight="1">
      <c r="A763" s="39">
        <v>41236</v>
      </c>
      <c r="B763" s="39" t="s">
        <v>2836</v>
      </c>
      <c r="C763" s="15">
        <v>739</v>
      </c>
      <c r="D763" s="41" t="s">
        <v>1858</v>
      </c>
      <c r="E763" s="9" t="s">
        <v>274</v>
      </c>
      <c r="F763" s="9" t="s">
        <v>479</v>
      </c>
      <c r="G763" s="9"/>
      <c r="H763" s="39"/>
      <c r="I763" s="9"/>
      <c r="J763" s="39"/>
      <c r="K763" s="42"/>
      <c r="L763" s="9"/>
      <c r="M763" s="16"/>
      <c r="AA763" s="14">
        <f t="shared" si="24"/>
        <v>30</v>
      </c>
      <c r="AB763" s="47">
        <f t="shared" si="25"/>
        <v>29</v>
      </c>
      <c r="AD763" s="53"/>
      <c r="AE763" s="53"/>
      <c r="AF763" s="53"/>
      <c r="AG763" s="53"/>
    </row>
    <row r="764" spans="1:33" s="46" customFormat="1">
      <c r="A764" s="39">
        <v>41236</v>
      </c>
      <c r="B764" s="39" t="s">
        <v>2837</v>
      </c>
      <c r="C764" s="15">
        <v>750</v>
      </c>
      <c r="D764" s="41" t="s">
        <v>1852</v>
      </c>
      <c r="E764" s="9" t="s">
        <v>274</v>
      </c>
      <c r="F764" s="9" t="s">
        <v>479</v>
      </c>
      <c r="G764" s="9"/>
      <c r="H764" s="39"/>
      <c r="I764" s="9"/>
      <c r="J764" s="39"/>
      <c r="K764" s="42"/>
      <c r="L764" s="9" t="s">
        <v>1853</v>
      </c>
      <c r="M764" s="16"/>
      <c r="AA764" s="14">
        <f t="shared" si="24"/>
        <v>11</v>
      </c>
      <c r="AB764" s="47">
        <f t="shared" si="25"/>
        <v>10</v>
      </c>
      <c r="AD764" s="53"/>
      <c r="AE764" s="53"/>
      <c r="AF764" s="53"/>
      <c r="AG764" s="53"/>
    </row>
    <row r="765" spans="1:33" s="46" customFormat="1">
      <c r="A765" s="39">
        <v>41236</v>
      </c>
      <c r="B765" s="9" t="s">
        <v>2422</v>
      </c>
      <c r="C765" s="15"/>
      <c r="D765" s="41" t="s">
        <v>1783</v>
      </c>
      <c r="E765" s="9" t="s">
        <v>22</v>
      </c>
      <c r="F765" s="9" t="s">
        <v>935</v>
      </c>
      <c r="G765" s="9"/>
      <c r="H765" s="39"/>
      <c r="I765" s="9"/>
      <c r="J765" s="39"/>
      <c r="K765" s="42"/>
      <c r="L765" s="9"/>
      <c r="M765" s="16"/>
      <c r="AA765" s="14">
        <f t="shared" si="24"/>
        <v>-750</v>
      </c>
      <c r="AB765" s="47">
        <f t="shared" si="25"/>
        <v>-751</v>
      </c>
      <c r="AD765" s="53"/>
      <c r="AE765" s="53"/>
      <c r="AF765" s="53"/>
      <c r="AG765" s="53"/>
    </row>
    <row r="766" spans="1:33" s="46" customFormat="1">
      <c r="A766" s="39">
        <v>41236</v>
      </c>
      <c r="B766" s="9" t="s">
        <v>2578</v>
      </c>
      <c r="C766" s="15">
        <v>892</v>
      </c>
      <c r="D766" s="41" t="s">
        <v>1882</v>
      </c>
      <c r="E766" s="9" t="s">
        <v>77</v>
      </c>
      <c r="F766" s="9" t="s">
        <v>935</v>
      </c>
      <c r="G766" s="9"/>
      <c r="H766" s="39"/>
      <c r="I766" s="9"/>
      <c r="J766" s="39"/>
      <c r="K766" s="42"/>
      <c r="L766" s="9"/>
      <c r="M766" s="16"/>
      <c r="AA766" s="14">
        <f t="shared" si="24"/>
        <v>892</v>
      </c>
      <c r="AB766" s="47">
        <f t="shared" si="25"/>
        <v>891</v>
      </c>
      <c r="AD766" s="53"/>
      <c r="AE766" s="53"/>
      <c r="AF766" s="53"/>
      <c r="AG766" s="53"/>
    </row>
    <row r="767" spans="1:33" s="46" customFormat="1">
      <c r="A767" s="39">
        <v>41236</v>
      </c>
      <c r="B767" s="9" t="s">
        <v>2435</v>
      </c>
      <c r="C767" s="15"/>
      <c r="D767" s="41" t="s">
        <v>1703</v>
      </c>
      <c r="E767" s="9" t="s">
        <v>22</v>
      </c>
      <c r="F767" s="9" t="s">
        <v>935</v>
      </c>
      <c r="G767" s="9"/>
      <c r="H767" s="39"/>
      <c r="I767" s="9"/>
      <c r="J767" s="39"/>
      <c r="K767" s="42"/>
      <c r="L767" s="9"/>
      <c r="M767" s="16" t="s">
        <v>196</v>
      </c>
      <c r="AA767" s="14">
        <f t="shared" si="24"/>
        <v>-892</v>
      </c>
      <c r="AB767" s="47">
        <f t="shared" si="25"/>
        <v>-893</v>
      </c>
      <c r="AD767" s="53"/>
      <c r="AE767" s="53"/>
      <c r="AF767" s="53"/>
      <c r="AG767" s="53"/>
    </row>
    <row r="768" spans="1:33" s="46" customFormat="1">
      <c r="A768" s="39">
        <v>41236</v>
      </c>
      <c r="B768" s="39" t="s">
        <v>2788</v>
      </c>
      <c r="C768" s="15">
        <v>726</v>
      </c>
      <c r="D768" s="41" t="s">
        <v>1861</v>
      </c>
      <c r="E768" s="9" t="s">
        <v>274</v>
      </c>
      <c r="F768" s="9" t="s">
        <v>479</v>
      </c>
      <c r="G768" s="9"/>
      <c r="H768" s="39"/>
      <c r="I768" s="9"/>
      <c r="J768" s="39"/>
      <c r="K768" s="42"/>
      <c r="L768" s="9" t="s">
        <v>1862</v>
      </c>
      <c r="M768" s="16"/>
      <c r="AA768" s="14">
        <f t="shared" si="24"/>
        <v>726</v>
      </c>
      <c r="AB768" s="47">
        <f t="shared" si="25"/>
        <v>725</v>
      </c>
      <c r="AD768" s="53"/>
      <c r="AE768" s="53"/>
      <c r="AF768" s="53"/>
      <c r="AG768" s="53"/>
    </row>
    <row r="769" spans="1:33" s="46" customFormat="1">
      <c r="A769" s="39">
        <v>41236</v>
      </c>
      <c r="B769" s="39" t="s">
        <v>2705</v>
      </c>
      <c r="C769" s="15">
        <v>735</v>
      </c>
      <c r="D769" s="41" t="s">
        <v>1859</v>
      </c>
      <c r="E769" s="9" t="s">
        <v>274</v>
      </c>
      <c r="F769" s="9" t="s">
        <v>479</v>
      </c>
      <c r="G769" s="9"/>
      <c r="H769" s="39"/>
      <c r="I769" s="9"/>
      <c r="J769" s="39"/>
      <c r="K769" s="42"/>
      <c r="L769" s="9" t="s">
        <v>1860</v>
      </c>
      <c r="M769" s="16"/>
      <c r="AA769" s="14">
        <f t="shared" si="24"/>
        <v>9</v>
      </c>
      <c r="AB769" s="47">
        <f t="shared" si="25"/>
        <v>8</v>
      </c>
      <c r="AD769" s="53"/>
      <c r="AE769" s="53"/>
      <c r="AF769" s="53"/>
      <c r="AG769" s="53"/>
    </row>
    <row r="770" spans="1:33" s="46" customFormat="1">
      <c r="A770" s="39">
        <v>41236</v>
      </c>
      <c r="B770" s="9" t="s">
        <v>2666</v>
      </c>
      <c r="C770" s="15">
        <v>691</v>
      </c>
      <c r="D770" s="41" t="s">
        <v>1805</v>
      </c>
      <c r="E770" s="9" t="s">
        <v>80</v>
      </c>
      <c r="F770" s="9" t="s">
        <v>479</v>
      </c>
      <c r="G770" s="9"/>
      <c r="H770" s="39"/>
      <c r="I770" s="9"/>
      <c r="J770" s="39"/>
      <c r="K770" s="42"/>
      <c r="L770" s="9" t="s">
        <v>1806</v>
      </c>
      <c r="M770" s="16"/>
      <c r="AA770" s="14">
        <f t="shared" si="24"/>
        <v>-44</v>
      </c>
      <c r="AB770" s="47">
        <f t="shared" si="25"/>
        <v>-45</v>
      </c>
      <c r="AD770" s="53"/>
      <c r="AE770" s="53"/>
      <c r="AF770" s="53"/>
      <c r="AG770" s="53"/>
    </row>
    <row r="771" spans="1:33" s="46" customFormat="1">
      <c r="A771" s="39">
        <v>41236</v>
      </c>
      <c r="B771" s="9" t="s">
        <v>1944</v>
      </c>
      <c r="C771" s="15">
        <v>551</v>
      </c>
      <c r="D771" s="41" t="s">
        <v>1793</v>
      </c>
      <c r="E771" s="9" t="s">
        <v>802</v>
      </c>
      <c r="F771" s="9" t="s">
        <v>479</v>
      </c>
      <c r="G771" s="9"/>
      <c r="H771" s="39"/>
      <c r="I771" s="9"/>
      <c r="J771" s="39"/>
      <c r="K771" s="42"/>
      <c r="L771" s="9" t="s">
        <v>1794</v>
      </c>
      <c r="M771" s="16"/>
      <c r="AA771" s="14">
        <f t="shared" si="24"/>
        <v>-140</v>
      </c>
      <c r="AB771" s="47">
        <f t="shared" si="25"/>
        <v>-141</v>
      </c>
      <c r="AD771" s="53"/>
      <c r="AE771" s="53"/>
      <c r="AF771" s="53"/>
      <c r="AG771" s="53"/>
    </row>
    <row r="772" spans="1:33" s="46" customFormat="1">
      <c r="A772" s="39">
        <v>41236</v>
      </c>
      <c r="B772" s="9" t="s">
        <v>2921</v>
      </c>
      <c r="C772" s="15">
        <v>960</v>
      </c>
      <c r="D772" s="41" t="s">
        <v>1697</v>
      </c>
      <c r="E772" s="9" t="s">
        <v>22</v>
      </c>
      <c r="F772" s="9" t="s">
        <v>935</v>
      </c>
      <c r="G772" s="9"/>
      <c r="H772" s="39"/>
      <c r="I772" s="9"/>
      <c r="J772" s="39"/>
      <c r="K772" s="42"/>
      <c r="L772" s="9" t="s">
        <v>1528</v>
      </c>
      <c r="M772" s="16"/>
      <c r="AA772" s="14">
        <f t="shared" si="24"/>
        <v>409</v>
      </c>
      <c r="AB772" s="47">
        <f t="shared" si="25"/>
        <v>408</v>
      </c>
      <c r="AD772" s="53"/>
      <c r="AE772" s="53"/>
      <c r="AF772" s="53"/>
      <c r="AG772" s="53"/>
    </row>
    <row r="773" spans="1:33" s="46" customFormat="1">
      <c r="A773" s="39">
        <v>41236</v>
      </c>
      <c r="B773" s="9" t="s">
        <v>2857</v>
      </c>
      <c r="C773" s="15">
        <v>826</v>
      </c>
      <c r="D773" s="41" t="s">
        <v>1689</v>
      </c>
      <c r="E773" s="9" t="s">
        <v>1420</v>
      </c>
      <c r="F773" s="9" t="s">
        <v>479</v>
      </c>
      <c r="G773" s="9"/>
      <c r="H773" s="39"/>
      <c r="I773" s="9"/>
      <c r="J773" s="39"/>
      <c r="K773" s="42"/>
      <c r="L773" s="9"/>
      <c r="M773" s="16"/>
      <c r="AA773" s="14">
        <f t="shared" si="24"/>
        <v>-134</v>
      </c>
      <c r="AB773" s="47">
        <f t="shared" si="25"/>
        <v>-135</v>
      </c>
      <c r="AD773" s="53"/>
      <c r="AE773" s="53"/>
      <c r="AF773" s="53"/>
      <c r="AG773" s="53"/>
    </row>
    <row r="774" spans="1:33" s="46" customFormat="1">
      <c r="A774" s="39">
        <v>41236</v>
      </c>
      <c r="B774" s="9" t="s">
        <v>2704</v>
      </c>
      <c r="C774" s="15">
        <v>733</v>
      </c>
      <c r="D774" s="41" t="s">
        <v>1831</v>
      </c>
      <c r="E774" s="9" t="s">
        <v>274</v>
      </c>
      <c r="F774" s="9" t="s">
        <v>479</v>
      </c>
      <c r="G774" s="9"/>
      <c r="H774" s="39"/>
      <c r="I774" s="9"/>
      <c r="J774" s="39"/>
      <c r="K774" s="42"/>
      <c r="L774" s="9" t="s">
        <v>2703</v>
      </c>
      <c r="M774" s="16"/>
      <c r="AA774" s="14">
        <f t="shared" si="24"/>
        <v>-93</v>
      </c>
      <c r="AB774" s="47">
        <f t="shared" si="25"/>
        <v>-94</v>
      </c>
      <c r="AD774" s="53"/>
      <c r="AE774" s="53"/>
      <c r="AF774" s="53"/>
      <c r="AG774" s="53"/>
    </row>
    <row r="775" spans="1:33" s="46" customFormat="1">
      <c r="A775" s="39">
        <v>41236</v>
      </c>
      <c r="B775" s="39" t="s">
        <v>2793</v>
      </c>
      <c r="C775" s="15">
        <v>747</v>
      </c>
      <c r="D775" s="41" t="s">
        <v>1834</v>
      </c>
      <c r="E775" s="9" t="s">
        <v>274</v>
      </c>
      <c r="F775" s="9" t="s">
        <v>479</v>
      </c>
      <c r="G775" s="9"/>
      <c r="H775" s="39"/>
      <c r="I775" s="9"/>
      <c r="J775" s="39"/>
      <c r="K775" s="42"/>
      <c r="L775" s="9" t="s">
        <v>1835</v>
      </c>
      <c r="M775" s="16"/>
      <c r="AA775" s="14">
        <f t="shared" si="24"/>
        <v>14</v>
      </c>
      <c r="AB775" s="47">
        <f t="shared" si="25"/>
        <v>13</v>
      </c>
      <c r="AD775" s="53"/>
      <c r="AE775" s="53"/>
      <c r="AF775" s="53"/>
      <c r="AG775" s="53"/>
    </row>
    <row r="776" spans="1:33" s="46" customFormat="1">
      <c r="A776" s="39">
        <v>41236</v>
      </c>
      <c r="B776" s="39" t="s">
        <v>2702</v>
      </c>
      <c r="C776" s="15">
        <v>727</v>
      </c>
      <c r="D776" s="41" t="s">
        <v>1832</v>
      </c>
      <c r="E776" s="9" t="s">
        <v>274</v>
      </c>
      <c r="F776" s="9" t="s">
        <v>479</v>
      </c>
      <c r="G776" s="9"/>
      <c r="H776" s="39"/>
      <c r="I776" s="9"/>
      <c r="J776" s="39"/>
      <c r="K776" s="42"/>
      <c r="L776" s="9" t="s">
        <v>1833</v>
      </c>
      <c r="M776" s="16"/>
      <c r="AA776" s="14">
        <f t="shared" si="24"/>
        <v>-20</v>
      </c>
      <c r="AB776" s="47">
        <f t="shared" si="25"/>
        <v>-21</v>
      </c>
      <c r="AD776" s="53"/>
      <c r="AE776" s="53"/>
      <c r="AF776" s="53"/>
      <c r="AG776" s="53"/>
    </row>
    <row r="777" spans="1:33" s="46" customFormat="1">
      <c r="A777" s="39">
        <v>41236</v>
      </c>
      <c r="B777" s="9"/>
      <c r="C777" s="15"/>
      <c r="D777" s="41" t="s">
        <v>1785</v>
      </c>
      <c r="E777" s="9" t="s">
        <v>22</v>
      </c>
      <c r="F777" s="9" t="s">
        <v>935</v>
      </c>
      <c r="G777" s="9"/>
      <c r="H777" s="39"/>
      <c r="I777" s="9"/>
      <c r="J777" s="39"/>
      <c r="K777" s="42"/>
      <c r="L777" s="9"/>
      <c r="M777" s="16"/>
      <c r="AA777" s="14">
        <f t="shared" si="24"/>
        <v>-727</v>
      </c>
      <c r="AB777" s="47">
        <f t="shared" si="25"/>
        <v>-728</v>
      </c>
      <c r="AD777" s="53"/>
      <c r="AE777" s="53"/>
      <c r="AF777" s="53"/>
      <c r="AG777" s="53"/>
    </row>
    <row r="778" spans="1:33" s="46" customFormat="1">
      <c r="A778" s="39">
        <v>41236</v>
      </c>
      <c r="B778" s="9" t="s">
        <v>2189</v>
      </c>
      <c r="C778" s="15">
        <v>590</v>
      </c>
      <c r="D778" s="41" t="s">
        <v>1693</v>
      </c>
      <c r="E778" s="9" t="s">
        <v>1420</v>
      </c>
      <c r="F778" s="9" t="s">
        <v>479</v>
      </c>
      <c r="G778" s="9"/>
      <c r="H778" s="39"/>
      <c r="I778" s="9"/>
      <c r="J778" s="39"/>
      <c r="K778" s="42"/>
      <c r="L778" s="9"/>
      <c r="M778" s="16"/>
      <c r="AA778" s="14">
        <f t="shared" si="24"/>
        <v>590</v>
      </c>
      <c r="AB778" s="47">
        <f t="shared" si="25"/>
        <v>589</v>
      </c>
      <c r="AD778" s="53"/>
      <c r="AE778" s="53"/>
      <c r="AF778" s="53"/>
      <c r="AG778" s="53"/>
    </row>
    <row r="779" spans="1:33" s="46" customFormat="1">
      <c r="A779" s="39">
        <v>41236</v>
      </c>
      <c r="B779" s="39" t="s">
        <v>2190</v>
      </c>
      <c r="C779" s="15">
        <v>591</v>
      </c>
      <c r="D779" s="41" t="s">
        <v>1840</v>
      </c>
      <c r="E779" s="9" t="s">
        <v>274</v>
      </c>
      <c r="F779" s="9" t="s">
        <v>479</v>
      </c>
      <c r="G779" s="9"/>
      <c r="H779" s="39"/>
      <c r="I779" s="9"/>
      <c r="J779" s="39"/>
      <c r="K779" s="42"/>
      <c r="L779" s="9" t="s">
        <v>2301</v>
      </c>
      <c r="M779" s="16"/>
      <c r="AA779" s="14">
        <f t="shared" si="24"/>
        <v>1</v>
      </c>
      <c r="AB779" s="47">
        <f t="shared" si="25"/>
        <v>0</v>
      </c>
      <c r="AD779" s="53"/>
      <c r="AE779" s="53"/>
      <c r="AF779" s="53"/>
      <c r="AG779" s="53"/>
    </row>
    <row r="780" spans="1:33" s="46" customFormat="1">
      <c r="A780" s="39">
        <v>41236</v>
      </c>
      <c r="B780" s="39" t="s">
        <v>2179</v>
      </c>
      <c r="C780" s="15">
        <v>586</v>
      </c>
      <c r="D780" s="41" t="s">
        <v>1838</v>
      </c>
      <c r="E780" s="9" t="s">
        <v>274</v>
      </c>
      <c r="F780" s="9" t="s">
        <v>479</v>
      </c>
      <c r="G780" s="9"/>
      <c r="H780" s="39"/>
      <c r="I780" s="9"/>
      <c r="J780" s="39"/>
      <c r="K780" s="42"/>
      <c r="L780" s="9" t="s">
        <v>1839</v>
      </c>
      <c r="M780" s="16"/>
      <c r="AA780" s="14">
        <f t="shared" si="24"/>
        <v>-5</v>
      </c>
      <c r="AB780" s="47">
        <f t="shared" si="25"/>
        <v>-6</v>
      </c>
      <c r="AD780" s="53"/>
      <c r="AE780" s="53"/>
      <c r="AF780" s="53"/>
      <c r="AG780" s="53"/>
    </row>
    <row r="781" spans="1:33" s="46" customFormat="1">
      <c r="A781" s="39">
        <v>41236</v>
      </c>
      <c r="B781" s="39" t="s">
        <v>2192</v>
      </c>
      <c r="C781" s="15">
        <v>593</v>
      </c>
      <c r="D781" s="41" t="s">
        <v>1836</v>
      </c>
      <c r="E781" s="9" t="s">
        <v>274</v>
      </c>
      <c r="F781" s="9" t="s">
        <v>479</v>
      </c>
      <c r="G781" s="9"/>
      <c r="H781" s="39"/>
      <c r="I781" s="9"/>
      <c r="J781" s="39"/>
      <c r="K781" s="42"/>
      <c r="L781" s="9" t="s">
        <v>1837</v>
      </c>
      <c r="M781" s="16"/>
      <c r="AA781" s="14">
        <f t="shared" si="24"/>
        <v>7</v>
      </c>
      <c r="AB781" s="47">
        <f t="shared" si="25"/>
        <v>6</v>
      </c>
      <c r="AD781" s="53"/>
      <c r="AE781" s="53"/>
      <c r="AF781" s="53"/>
      <c r="AG781" s="53"/>
    </row>
    <row r="782" spans="1:33" s="46" customFormat="1">
      <c r="A782" s="39">
        <v>41236</v>
      </c>
      <c r="B782" s="9" t="s">
        <v>2193</v>
      </c>
      <c r="C782" s="15">
        <v>594</v>
      </c>
      <c r="D782" s="41" t="s">
        <v>1692</v>
      </c>
      <c r="E782" s="9" t="s">
        <v>1420</v>
      </c>
      <c r="F782" s="9" t="s">
        <v>479</v>
      </c>
      <c r="G782" s="9"/>
      <c r="H782" s="39"/>
      <c r="I782" s="9"/>
      <c r="J782" s="39"/>
      <c r="K782" s="42"/>
      <c r="L782" s="9"/>
      <c r="M782" s="16"/>
      <c r="AA782" s="14">
        <f t="shared" si="24"/>
        <v>1</v>
      </c>
      <c r="AB782" s="47">
        <f t="shared" si="25"/>
        <v>0</v>
      </c>
      <c r="AD782" s="53"/>
      <c r="AE782" s="53"/>
      <c r="AF782" s="53"/>
      <c r="AG782" s="53"/>
    </row>
    <row r="783" spans="1:33" s="46" customFormat="1">
      <c r="A783" s="39">
        <v>41236</v>
      </c>
      <c r="B783" s="39" t="s">
        <v>2794</v>
      </c>
      <c r="C783" s="15">
        <v>749</v>
      </c>
      <c r="D783" s="41" t="s">
        <v>1843</v>
      </c>
      <c r="E783" s="9" t="s">
        <v>274</v>
      </c>
      <c r="F783" s="9" t="s">
        <v>479</v>
      </c>
      <c r="G783" s="9"/>
      <c r="H783" s="39"/>
      <c r="I783" s="9"/>
      <c r="J783" s="39"/>
      <c r="K783" s="42"/>
      <c r="L783" s="9" t="s">
        <v>1844</v>
      </c>
      <c r="M783" s="16"/>
      <c r="AA783" s="14">
        <f t="shared" si="24"/>
        <v>155</v>
      </c>
      <c r="AB783" s="47">
        <f t="shared" si="25"/>
        <v>154</v>
      </c>
      <c r="AD783" s="53"/>
      <c r="AE783" s="53"/>
      <c r="AF783" s="53"/>
      <c r="AG783" s="53"/>
    </row>
    <row r="784" spans="1:33" s="46" customFormat="1">
      <c r="A784" s="39">
        <v>41236</v>
      </c>
      <c r="B784" s="39" t="s">
        <v>2196</v>
      </c>
      <c r="C784" s="15">
        <v>597</v>
      </c>
      <c r="D784" s="41" t="s">
        <v>1841</v>
      </c>
      <c r="E784" s="9" t="s">
        <v>274</v>
      </c>
      <c r="F784" s="9" t="s">
        <v>479</v>
      </c>
      <c r="G784" s="9"/>
      <c r="H784" s="39"/>
      <c r="I784" s="9"/>
      <c r="J784" s="39"/>
      <c r="K784" s="42"/>
      <c r="L784" s="9" t="s">
        <v>1842</v>
      </c>
      <c r="M784" s="16"/>
      <c r="AA784" s="14">
        <f t="shared" si="24"/>
        <v>-152</v>
      </c>
      <c r="AB784" s="47">
        <f t="shared" si="25"/>
        <v>-153</v>
      </c>
      <c r="AD784" s="53"/>
      <c r="AE784" s="53"/>
      <c r="AF784" s="53"/>
      <c r="AG784" s="53"/>
    </row>
    <row r="785" spans="1:33" s="46" customFormat="1">
      <c r="A785" s="39">
        <v>41236</v>
      </c>
      <c r="B785" s="9" t="s">
        <v>2203</v>
      </c>
      <c r="C785" s="15">
        <v>598</v>
      </c>
      <c r="D785" s="41" t="s">
        <v>1883</v>
      </c>
      <c r="E785" s="9" t="s">
        <v>31</v>
      </c>
      <c r="F785" s="9" t="s">
        <v>479</v>
      </c>
      <c r="G785" s="9"/>
      <c r="H785" s="39"/>
      <c r="I785" s="9"/>
      <c r="J785" s="39"/>
      <c r="K785" s="42"/>
      <c r="L785" s="9"/>
      <c r="M785" s="16"/>
      <c r="AA785" s="14">
        <f t="shared" si="24"/>
        <v>1</v>
      </c>
      <c r="AB785" s="47">
        <f t="shared" si="25"/>
        <v>0</v>
      </c>
      <c r="AD785" s="53"/>
      <c r="AE785" s="53"/>
      <c r="AF785" s="53"/>
      <c r="AG785" s="53"/>
    </row>
    <row r="786" spans="1:33" s="46" customFormat="1">
      <c r="A786" s="39">
        <v>41236</v>
      </c>
      <c r="B786" s="39" t="s">
        <v>2204</v>
      </c>
      <c r="C786" s="15">
        <v>599</v>
      </c>
      <c r="D786" s="41" t="s">
        <v>1845</v>
      </c>
      <c r="E786" s="9" t="s">
        <v>274</v>
      </c>
      <c r="F786" s="9" t="s">
        <v>479</v>
      </c>
      <c r="G786" s="9"/>
      <c r="H786" s="39"/>
      <c r="I786" s="9"/>
      <c r="J786" s="39"/>
      <c r="K786" s="42"/>
      <c r="L786" s="9" t="s">
        <v>1846</v>
      </c>
      <c r="M786" s="16"/>
      <c r="AA786" s="14">
        <f t="shared" si="24"/>
        <v>1</v>
      </c>
      <c r="AB786" s="47">
        <f t="shared" si="25"/>
        <v>0</v>
      </c>
      <c r="AD786" s="53"/>
      <c r="AE786" s="53"/>
      <c r="AF786" s="53"/>
      <c r="AG786" s="53"/>
    </row>
    <row r="787" spans="1:33" s="46" customFormat="1">
      <c r="A787" s="39">
        <v>41236</v>
      </c>
      <c r="B787" s="39" t="s">
        <v>2770</v>
      </c>
      <c r="C787" s="15">
        <v>715</v>
      </c>
      <c r="D787" s="41" t="s">
        <v>1847</v>
      </c>
      <c r="E787" s="9" t="s">
        <v>274</v>
      </c>
      <c r="F787" s="9" t="s">
        <v>479</v>
      </c>
      <c r="G787" s="9"/>
      <c r="H787" s="39"/>
      <c r="I787" s="9"/>
      <c r="J787" s="39"/>
      <c r="K787" s="42"/>
      <c r="L787" s="9" t="s">
        <v>1848</v>
      </c>
      <c r="M787" s="16"/>
      <c r="AA787" s="14">
        <f t="shared" si="24"/>
        <v>116</v>
      </c>
      <c r="AB787" s="47">
        <f t="shared" si="25"/>
        <v>115</v>
      </c>
      <c r="AD787" s="53"/>
      <c r="AE787" s="53"/>
      <c r="AF787" s="53"/>
      <c r="AG787" s="53"/>
    </row>
    <row r="788" spans="1:33" s="46" customFormat="1">
      <c r="A788" s="39">
        <v>41236</v>
      </c>
      <c r="B788" s="9" t="s">
        <v>2805</v>
      </c>
      <c r="C788" s="15">
        <v>810</v>
      </c>
      <c r="D788" s="41" t="s">
        <v>1829</v>
      </c>
      <c r="E788" s="9" t="s">
        <v>274</v>
      </c>
      <c r="F788" s="9" t="s">
        <v>479</v>
      </c>
      <c r="G788" s="9"/>
      <c r="H788" s="39"/>
      <c r="I788" s="9"/>
      <c r="J788" s="39"/>
      <c r="K788" s="42"/>
      <c r="L788" s="9" t="s">
        <v>1830</v>
      </c>
      <c r="M788" s="16"/>
      <c r="AA788" s="14">
        <f t="shared" si="24"/>
        <v>95</v>
      </c>
      <c r="AB788" s="47">
        <f t="shared" si="25"/>
        <v>94</v>
      </c>
      <c r="AD788" s="53"/>
      <c r="AE788" s="53"/>
      <c r="AF788" s="53"/>
      <c r="AG788" s="53"/>
    </row>
    <row r="789" spans="1:33" s="46" customFormat="1">
      <c r="A789" s="39">
        <v>41236</v>
      </c>
      <c r="B789" s="9" t="s">
        <v>2211</v>
      </c>
      <c r="C789" s="15">
        <v>609</v>
      </c>
      <c r="D789" s="41" t="s">
        <v>1828</v>
      </c>
      <c r="E789" s="9" t="s">
        <v>274</v>
      </c>
      <c r="F789" s="9" t="s">
        <v>479</v>
      </c>
      <c r="G789" s="9"/>
      <c r="H789" s="39"/>
      <c r="I789" s="9"/>
      <c r="J789" s="39"/>
      <c r="K789" s="42"/>
      <c r="L789" s="9"/>
      <c r="M789" s="16"/>
      <c r="AA789" s="14">
        <f t="shared" si="24"/>
        <v>-201</v>
      </c>
      <c r="AB789" s="47">
        <f t="shared" si="25"/>
        <v>-202</v>
      </c>
      <c r="AD789" s="53"/>
      <c r="AE789" s="53"/>
      <c r="AF789" s="53"/>
      <c r="AG789" s="53"/>
    </row>
    <row r="790" spans="1:33" s="46" customFormat="1" ht="12" customHeight="1">
      <c r="A790" s="39">
        <v>41236</v>
      </c>
      <c r="B790" s="9"/>
      <c r="C790" s="15"/>
      <c r="D790" s="41" t="s">
        <v>1827</v>
      </c>
      <c r="E790" s="9" t="s">
        <v>274</v>
      </c>
      <c r="F790" s="9" t="s">
        <v>935</v>
      </c>
      <c r="G790" s="9"/>
      <c r="H790" s="39"/>
      <c r="I790" s="9"/>
      <c r="J790" s="39"/>
      <c r="K790" s="42"/>
      <c r="L790" s="9" t="s">
        <v>2465</v>
      </c>
      <c r="M790" s="16"/>
      <c r="AA790" s="14">
        <f t="shared" si="24"/>
        <v>-609</v>
      </c>
      <c r="AB790" s="47">
        <f t="shared" si="25"/>
        <v>-610</v>
      </c>
      <c r="AD790" s="53"/>
      <c r="AE790" s="53"/>
      <c r="AF790" s="53"/>
      <c r="AG790" s="53"/>
    </row>
    <row r="791" spans="1:33" s="46" customFormat="1" ht="12" customHeight="1">
      <c r="A791" s="39">
        <v>41236</v>
      </c>
      <c r="B791" s="74"/>
      <c r="C791" s="15"/>
      <c r="D791" s="41" t="s">
        <v>1884</v>
      </c>
      <c r="E791" s="9" t="s">
        <v>31</v>
      </c>
      <c r="F791" s="9" t="s">
        <v>935</v>
      </c>
      <c r="G791" s="9"/>
      <c r="H791" s="39"/>
      <c r="I791" s="9"/>
      <c r="J791" s="39"/>
      <c r="K791" s="42"/>
      <c r="L791" s="9"/>
      <c r="M791" s="16"/>
      <c r="AA791" s="14">
        <f t="shared" si="24"/>
        <v>0</v>
      </c>
      <c r="AB791" s="47">
        <f t="shared" si="25"/>
        <v>-1</v>
      </c>
      <c r="AD791" s="53"/>
      <c r="AE791" s="53"/>
      <c r="AF791" s="53"/>
      <c r="AG791" s="53"/>
    </row>
    <row r="792" spans="1:33" s="46" customFormat="1">
      <c r="A792" s="39">
        <v>41236</v>
      </c>
      <c r="B792" s="9" t="s">
        <v>2662</v>
      </c>
      <c r="C792" s="15">
        <v>677</v>
      </c>
      <c r="D792" s="41" t="s">
        <v>1885</v>
      </c>
      <c r="E792" s="9" t="s">
        <v>31</v>
      </c>
      <c r="F792" s="9" t="s">
        <v>479</v>
      </c>
      <c r="G792" s="9"/>
      <c r="H792" s="39"/>
      <c r="I792" s="9"/>
      <c r="J792" s="39"/>
      <c r="K792" s="42"/>
      <c r="L792" s="9"/>
      <c r="M792" s="16"/>
      <c r="AA792" s="14">
        <f t="shared" si="24"/>
        <v>677</v>
      </c>
      <c r="AB792" s="47">
        <f t="shared" si="25"/>
        <v>676</v>
      </c>
      <c r="AD792" s="53"/>
      <c r="AE792" s="53"/>
      <c r="AF792" s="53"/>
      <c r="AG792" s="53"/>
    </row>
    <row r="793" spans="1:33" s="46" customFormat="1">
      <c r="A793" s="39">
        <v>41236</v>
      </c>
      <c r="B793" s="9" t="s">
        <v>2747</v>
      </c>
      <c r="C793" s="15">
        <v>941</v>
      </c>
      <c r="D793" s="41" t="s">
        <v>1730</v>
      </c>
      <c r="E793" s="9" t="s">
        <v>22</v>
      </c>
      <c r="F793" s="9" t="s">
        <v>935</v>
      </c>
      <c r="G793" s="9"/>
      <c r="H793" s="39"/>
      <c r="I793" s="9"/>
      <c r="J793" s="39"/>
      <c r="K793" s="42"/>
      <c r="L793" s="9"/>
      <c r="M793" s="16"/>
      <c r="AA793" s="14">
        <f t="shared" si="24"/>
        <v>264</v>
      </c>
      <c r="AB793" s="47">
        <f t="shared" si="25"/>
        <v>263</v>
      </c>
      <c r="AD793" s="53"/>
      <c r="AE793" s="53"/>
      <c r="AF793" s="53"/>
      <c r="AG793" s="53"/>
    </row>
    <row r="794" spans="1:33" s="46" customFormat="1">
      <c r="A794" s="39">
        <v>41236</v>
      </c>
      <c r="B794" s="9" t="s">
        <v>2214</v>
      </c>
      <c r="C794" s="15">
        <v>614</v>
      </c>
      <c r="D794" s="41" t="s">
        <v>1761</v>
      </c>
      <c r="E794" s="9" t="s">
        <v>22</v>
      </c>
      <c r="F794" s="9" t="s">
        <v>479</v>
      </c>
      <c r="G794" s="9"/>
      <c r="H794" s="39"/>
      <c r="I794" s="9"/>
      <c r="J794" s="39"/>
      <c r="K794" s="42"/>
      <c r="L794" s="9" t="s">
        <v>1762</v>
      </c>
      <c r="M794" s="16"/>
      <c r="AA794" s="14">
        <f t="shared" si="24"/>
        <v>-327</v>
      </c>
      <c r="AB794" s="47">
        <f t="shared" si="25"/>
        <v>-328</v>
      </c>
      <c r="AD794" s="53"/>
      <c r="AE794" s="53"/>
      <c r="AF794" s="53"/>
      <c r="AG794" s="53"/>
    </row>
    <row r="795" spans="1:33" s="46" customFormat="1">
      <c r="A795" s="39">
        <v>41236</v>
      </c>
      <c r="B795" s="9" t="s">
        <v>2739</v>
      </c>
      <c r="C795" s="15">
        <v>936</v>
      </c>
      <c r="D795" s="41" t="s">
        <v>1759</v>
      </c>
      <c r="E795" s="9" t="s">
        <v>22</v>
      </c>
      <c r="F795" s="9" t="s">
        <v>935</v>
      </c>
      <c r="G795" s="9"/>
      <c r="H795" s="39"/>
      <c r="I795" s="9"/>
      <c r="J795" s="39"/>
      <c r="K795" s="42"/>
      <c r="L795" s="9" t="s">
        <v>1760</v>
      </c>
      <c r="M795" s="16"/>
      <c r="AA795" s="14">
        <f t="shared" si="24"/>
        <v>322</v>
      </c>
      <c r="AB795" s="47">
        <f t="shared" si="25"/>
        <v>321</v>
      </c>
      <c r="AD795" s="53"/>
      <c r="AE795" s="53"/>
      <c r="AF795" s="53"/>
      <c r="AG795" s="53"/>
    </row>
    <row r="796" spans="1:33" s="46" customFormat="1">
      <c r="A796" s="39">
        <v>41236</v>
      </c>
      <c r="B796" s="9" t="s">
        <v>2782</v>
      </c>
      <c r="C796" s="15">
        <v>698</v>
      </c>
      <c r="D796" s="41" t="s">
        <v>1800</v>
      </c>
      <c r="E796" s="9" t="s">
        <v>88</v>
      </c>
      <c r="F796" s="9" t="s">
        <v>479</v>
      </c>
      <c r="G796" s="9"/>
      <c r="H796" s="39"/>
      <c r="I796" s="9"/>
      <c r="J796" s="39"/>
      <c r="K796" s="42"/>
      <c r="L796" s="9" t="s">
        <v>1801</v>
      </c>
      <c r="M796" s="16"/>
      <c r="AA796" s="14">
        <f t="shared" si="24"/>
        <v>-238</v>
      </c>
      <c r="AB796" s="47">
        <f t="shared" si="25"/>
        <v>-239</v>
      </c>
      <c r="AD796" s="53"/>
      <c r="AE796" s="53"/>
      <c r="AF796" s="53"/>
      <c r="AG796" s="53"/>
    </row>
    <row r="797" spans="1:33" s="46" customFormat="1">
      <c r="A797" s="39">
        <v>41236</v>
      </c>
      <c r="B797" s="9" t="s">
        <v>2670</v>
      </c>
      <c r="C797" s="15">
        <v>697</v>
      </c>
      <c r="D797" s="41" t="s">
        <v>1889</v>
      </c>
      <c r="E797" s="9" t="s">
        <v>31</v>
      </c>
      <c r="F797" s="9" t="s">
        <v>479</v>
      </c>
      <c r="G797" s="9"/>
      <c r="H797" s="39"/>
      <c r="I797" s="9"/>
      <c r="J797" s="39"/>
      <c r="K797" s="42"/>
      <c r="L797" s="9"/>
      <c r="M797" s="16"/>
      <c r="AA797" s="14">
        <f t="shared" si="24"/>
        <v>-1</v>
      </c>
      <c r="AB797" s="47">
        <f t="shared" si="25"/>
        <v>-2</v>
      </c>
      <c r="AD797" s="53"/>
      <c r="AE797" s="53"/>
      <c r="AF797" s="53"/>
      <c r="AG797" s="53"/>
    </row>
    <row r="798" spans="1:33" s="46" customFormat="1" ht="12" customHeight="1">
      <c r="A798" s="39">
        <v>41236</v>
      </c>
      <c r="B798" s="9" t="s">
        <v>2776</v>
      </c>
      <c r="C798" s="15">
        <v>665</v>
      </c>
      <c r="D798" s="41" t="s">
        <v>1890</v>
      </c>
      <c r="E798" s="9" t="s">
        <v>31</v>
      </c>
      <c r="F798" s="9" t="s">
        <v>479</v>
      </c>
      <c r="G798" s="9"/>
      <c r="H798" s="39"/>
      <c r="I798" s="9"/>
      <c r="J798" s="39"/>
      <c r="K798" s="42"/>
      <c r="L798" s="9"/>
      <c r="M798" s="16"/>
      <c r="AA798" s="14">
        <f t="shared" si="24"/>
        <v>-32</v>
      </c>
      <c r="AB798" s="47">
        <f t="shared" si="25"/>
        <v>-33</v>
      </c>
      <c r="AD798" s="53"/>
      <c r="AE798" s="53"/>
      <c r="AF798" s="53"/>
      <c r="AG798" s="53"/>
    </row>
    <row r="799" spans="1:33" s="46" customFormat="1">
      <c r="A799" s="39">
        <v>41236</v>
      </c>
      <c r="B799" s="9" t="s">
        <v>2217</v>
      </c>
      <c r="C799" s="15">
        <v>619</v>
      </c>
      <c r="D799" s="41" t="s">
        <v>1886</v>
      </c>
      <c r="E799" s="9" t="s">
        <v>31</v>
      </c>
      <c r="F799" s="9" t="s">
        <v>479</v>
      </c>
      <c r="G799" s="9"/>
      <c r="H799" s="39"/>
      <c r="I799" s="9"/>
      <c r="J799" s="39"/>
      <c r="K799" s="42"/>
      <c r="L799" s="9"/>
      <c r="M799" s="16"/>
      <c r="AA799" s="14">
        <f t="shared" si="24"/>
        <v>-46</v>
      </c>
      <c r="AB799" s="47">
        <f t="shared" si="25"/>
        <v>-47</v>
      </c>
      <c r="AD799" s="53"/>
      <c r="AE799" s="53"/>
      <c r="AF799" s="53"/>
      <c r="AG799" s="53"/>
    </row>
    <row r="800" spans="1:33" s="46" customFormat="1">
      <c r="A800" s="39">
        <v>41236</v>
      </c>
      <c r="B800" s="9" t="s">
        <v>2187</v>
      </c>
      <c r="C800" s="15">
        <v>588</v>
      </c>
      <c r="D800" s="41" t="s">
        <v>1887</v>
      </c>
      <c r="E800" s="9" t="s">
        <v>31</v>
      </c>
      <c r="F800" s="9" t="s">
        <v>479</v>
      </c>
      <c r="G800" s="9"/>
      <c r="H800" s="39"/>
      <c r="I800" s="9"/>
      <c r="J800" s="39"/>
      <c r="K800" s="42"/>
      <c r="L800" s="9" t="s">
        <v>1888</v>
      </c>
      <c r="M800" s="16"/>
      <c r="AA800" s="14">
        <f t="shared" si="24"/>
        <v>-31</v>
      </c>
      <c r="AB800" s="47">
        <f t="shared" si="25"/>
        <v>-32</v>
      </c>
      <c r="AD800" s="53"/>
      <c r="AE800" s="53"/>
      <c r="AF800" s="53"/>
      <c r="AG800" s="53"/>
    </row>
    <row r="801" spans="1:33" s="46" customFormat="1">
      <c r="A801" s="39">
        <v>41236</v>
      </c>
      <c r="B801" s="9" t="s">
        <v>2221</v>
      </c>
      <c r="C801" s="15">
        <v>626</v>
      </c>
      <c r="D801" s="41" t="s">
        <v>1701</v>
      </c>
      <c r="E801" s="9" t="s">
        <v>22</v>
      </c>
      <c r="F801" s="9" t="s">
        <v>479</v>
      </c>
      <c r="G801" s="9"/>
      <c r="H801" s="39"/>
      <c r="I801" s="9"/>
      <c r="J801" s="39"/>
      <c r="K801" s="42"/>
      <c r="L801" s="9" t="s">
        <v>1702</v>
      </c>
      <c r="M801" s="16"/>
      <c r="AA801" s="14">
        <f t="shared" si="24"/>
        <v>38</v>
      </c>
      <c r="AB801" s="47">
        <f t="shared" si="25"/>
        <v>37</v>
      </c>
      <c r="AD801" s="53"/>
      <c r="AE801" s="53"/>
      <c r="AF801" s="53"/>
      <c r="AG801" s="53"/>
    </row>
    <row r="802" spans="1:33" s="46" customFormat="1">
      <c r="A802" s="39">
        <v>41236</v>
      </c>
      <c r="B802" s="9" t="s">
        <v>2808</v>
      </c>
      <c r="C802" s="15">
        <v>794</v>
      </c>
      <c r="D802" s="41" t="s">
        <v>1777</v>
      </c>
      <c r="E802" s="9" t="s">
        <v>22</v>
      </c>
      <c r="F802" s="9" t="s">
        <v>479</v>
      </c>
      <c r="G802" s="9"/>
      <c r="H802" s="39"/>
      <c r="I802" s="9"/>
      <c r="J802" s="39"/>
      <c r="K802" s="42"/>
      <c r="L802" s="9"/>
      <c r="M802" s="16"/>
      <c r="AA802" s="14">
        <f t="shared" si="24"/>
        <v>168</v>
      </c>
      <c r="AB802" s="47">
        <f t="shared" si="25"/>
        <v>167</v>
      </c>
      <c r="AD802" s="53"/>
      <c r="AE802" s="53"/>
      <c r="AF802" s="53"/>
      <c r="AG802" s="53"/>
    </row>
    <row r="803" spans="1:33" s="46" customFormat="1" ht="12" customHeight="1">
      <c r="A803" s="39">
        <v>41236</v>
      </c>
      <c r="B803" s="74" t="s">
        <v>2223</v>
      </c>
      <c r="C803" s="15">
        <v>629</v>
      </c>
      <c r="D803" s="41" t="s">
        <v>1748</v>
      </c>
      <c r="E803" s="9" t="s">
        <v>22</v>
      </c>
      <c r="F803" s="9" t="s">
        <v>479</v>
      </c>
      <c r="G803" s="9"/>
      <c r="H803" s="39"/>
      <c r="I803" s="9"/>
      <c r="J803" s="39"/>
      <c r="K803" s="42"/>
      <c r="L803" s="9" t="s">
        <v>1749</v>
      </c>
      <c r="M803" s="16"/>
      <c r="AA803" s="14">
        <f t="shared" si="24"/>
        <v>-165</v>
      </c>
      <c r="AB803" s="47">
        <f t="shared" si="25"/>
        <v>-166</v>
      </c>
      <c r="AD803" s="53"/>
      <c r="AE803" s="53"/>
      <c r="AF803" s="53"/>
      <c r="AG803" s="53"/>
    </row>
    <row r="804" spans="1:33" s="46" customFormat="1">
      <c r="A804" s="39">
        <v>41236</v>
      </c>
      <c r="B804" s="9" t="s">
        <v>2224</v>
      </c>
      <c r="C804" s="15">
        <v>632</v>
      </c>
      <c r="D804" s="41" t="s">
        <v>1765</v>
      </c>
      <c r="E804" s="9" t="s">
        <v>22</v>
      </c>
      <c r="F804" s="9" t="s">
        <v>479</v>
      </c>
      <c r="G804" s="9"/>
      <c r="H804" s="39"/>
      <c r="I804" s="9"/>
      <c r="J804" s="39"/>
      <c r="K804" s="42"/>
      <c r="L804" s="9" t="s">
        <v>1766</v>
      </c>
      <c r="M804" s="16"/>
      <c r="AA804" s="14">
        <f t="shared" si="24"/>
        <v>3</v>
      </c>
      <c r="AB804" s="47">
        <f t="shared" si="25"/>
        <v>2</v>
      </c>
      <c r="AD804" s="53"/>
      <c r="AE804" s="53"/>
      <c r="AF804" s="53"/>
      <c r="AG804" s="53"/>
    </row>
    <row r="805" spans="1:33" s="46" customFormat="1">
      <c r="A805" s="39">
        <v>41236</v>
      </c>
      <c r="B805" s="9" t="s">
        <v>2222</v>
      </c>
      <c r="C805" s="15">
        <v>628</v>
      </c>
      <c r="D805" s="41" t="s">
        <v>1750</v>
      </c>
      <c r="E805" s="9" t="s">
        <v>22</v>
      </c>
      <c r="F805" s="9" t="s">
        <v>479</v>
      </c>
      <c r="G805" s="9"/>
      <c r="H805" s="39"/>
      <c r="I805" s="9"/>
      <c r="J805" s="39"/>
      <c r="K805" s="42"/>
      <c r="L805" s="9" t="s">
        <v>1751</v>
      </c>
      <c r="M805" s="16" t="s">
        <v>193</v>
      </c>
      <c r="AA805" s="14">
        <f t="shared" si="24"/>
        <v>-4</v>
      </c>
      <c r="AB805" s="47">
        <f t="shared" si="25"/>
        <v>-5</v>
      </c>
      <c r="AD805" s="53"/>
      <c r="AE805" s="53"/>
      <c r="AF805" s="53"/>
      <c r="AG805" s="53"/>
    </row>
    <row r="806" spans="1:33" s="46" customFormat="1">
      <c r="A806" s="39">
        <v>41236</v>
      </c>
      <c r="B806" s="9"/>
      <c r="C806" s="15"/>
      <c r="D806" s="41" t="s">
        <v>1698</v>
      </c>
      <c r="E806" s="9" t="s">
        <v>22</v>
      </c>
      <c r="F806" s="9" t="s">
        <v>935</v>
      </c>
      <c r="G806" s="9"/>
      <c r="H806" s="39"/>
      <c r="I806" s="9"/>
      <c r="J806" s="39"/>
      <c r="K806" s="42"/>
      <c r="L806" s="9" t="s">
        <v>1699</v>
      </c>
      <c r="M806" s="16" t="s">
        <v>193</v>
      </c>
      <c r="AA806" s="14">
        <f t="shared" si="24"/>
        <v>-628</v>
      </c>
      <c r="AB806" s="47">
        <f t="shared" si="25"/>
        <v>-629</v>
      </c>
      <c r="AD806" s="53"/>
      <c r="AE806" s="53"/>
      <c r="AF806" s="53"/>
      <c r="AG806" s="53"/>
    </row>
    <row r="807" spans="1:33" s="46" customFormat="1">
      <c r="A807" s="39">
        <v>41236</v>
      </c>
      <c r="B807" s="9" t="s">
        <v>1941</v>
      </c>
      <c r="C807" s="15">
        <v>554</v>
      </c>
      <c r="D807" s="41" t="s">
        <v>1710</v>
      </c>
      <c r="E807" s="9" t="s">
        <v>22</v>
      </c>
      <c r="F807" s="9" t="s">
        <v>479</v>
      </c>
      <c r="G807" s="9"/>
      <c r="H807" s="39"/>
      <c r="I807" s="9"/>
      <c r="J807" s="39"/>
      <c r="K807" s="42"/>
      <c r="L807" s="9" t="s">
        <v>1711</v>
      </c>
      <c r="M807" s="16"/>
      <c r="AA807" s="14">
        <f t="shared" si="24"/>
        <v>554</v>
      </c>
      <c r="AB807" s="47">
        <f t="shared" si="25"/>
        <v>553</v>
      </c>
      <c r="AD807" s="53"/>
      <c r="AE807" s="53"/>
      <c r="AF807" s="53"/>
      <c r="AG807" s="53"/>
    </row>
    <row r="808" spans="1:33" s="46" customFormat="1">
      <c r="A808" s="39">
        <v>41236</v>
      </c>
      <c r="B808" s="9" t="s">
        <v>2423</v>
      </c>
      <c r="C808" s="15"/>
      <c r="D808" s="41" t="s">
        <v>2358</v>
      </c>
      <c r="E808" s="9" t="s">
        <v>22</v>
      </c>
      <c r="F808" s="9" t="s">
        <v>935</v>
      </c>
      <c r="G808" s="9"/>
      <c r="H808" s="39"/>
      <c r="I808" s="9"/>
      <c r="J808" s="39"/>
      <c r="K808" s="42"/>
      <c r="L808" s="9"/>
      <c r="M808" s="16"/>
      <c r="AA808" s="14">
        <f t="shared" si="24"/>
        <v>-554</v>
      </c>
      <c r="AB808" s="47">
        <f t="shared" si="25"/>
        <v>-555</v>
      </c>
      <c r="AD808" s="53"/>
      <c r="AE808" s="53"/>
      <c r="AF808" s="53"/>
      <c r="AG808" s="53"/>
    </row>
    <row r="809" spans="1:33" s="46" customFormat="1">
      <c r="A809" s="39">
        <v>41236</v>
      </c>
      <c r="B809" s="9" t="s">
        <v>2683</v>
      </c>
      <c r="C809" s="15">
        <v>661</v>
      </c>
      <c r="D809" s="41" t="s">
        <v>1757</v>
      </c>
      <c r="E809" s="9" t="s">
        <v>22</v>
      </c>
      <c r="F809" s="9" t="s">
        <v>479</v>
      </c>
      <c r="G809" s="9"/>
      <c r="H809" s="39"/>
      <c r="I809" s="9"/>
      <c r="J809" s="39"/>
      <c r="K809" s="42"/>
      <c r="L809" s="9" t="s">
        <v>1476</v>
      </c>
      <c r="M809" s="16"/>
      <c r="AA809" s="14">
        <f t="shared" si="24"/>
        <v>661</v>
      </c>
      <c r="AB809" s="47">
        <f t="shared" si="25"/>
        <v>660</v>
      </c>
      <c r="AD809" s="53"/>
      <c r="AE809" s="53"/>
      <c r="AF809" s="53"/>
      <c r="AG809" s="53"/>
    </row>
    <row r="810" spans="1:33" s="46" customFormat="1">
      <c r="A810" s="39">
        <v>41236</v>
      </c>
      <c r="B810" s="9" t="s">
        <v>2231</v>
      </c>
      <c r="C810" s="15">
        <v>636</v>
      </c>
      <c r="D810" s="41" t="s">
        <v>2357</v>
      </c>
      <c r="E810" s="9" t="s">
        <v>22</v>
      </c>
      <c r="F810" s="9" t="s">
        <v>479</v>
      </c>
      <c r="G810" s="9"/>
      <c r="H810" s="39"/>
      <c r="I810" s="9"/>
      <c r="J810" s="39"/>
      <c r="K810" s="42"/>
      <c r="L810" s="9" t="s">
        <v>1780</v>
      </c>
      <c r="M810" s="16"/>
      <c r="AA810" s="14">
        <f t="shared" ref="AA810:AA873" si="26">C810-C809</f>
        <v>-25</v>
      </c>
      <c r="AB810" s="47">
        <f t="shared" ref="AB810:AB873" si="27">AA810-1</f>
        <v>-26</v>
      </c>
      <c r="AD810" s="53"/>
      <c r="AE810" s="53"/>
      <c r="AF810" s="53"/>
      <c r="AG810" s="53"/>
    </row>
    <row r="811" spans="1:33" s="46" customFormat="1">
      <c r="A811" s="39">
        <v>41236</v>
      </c>
      <c r="B811" s="9" t="s">
        <v>2180</v>
      </c>
      <c r="C811" s="15">
        <v>578</v>
      </c>
      <c r="D811" s="41" t="s">
        <v>1905</v>
      </c>
      <c r="E811" s="9" t="s">
        <v>31</v>
      </c>
      <c r="F811" s="9" t="s">
        <v>479</v>
      </c>
      <c r="G811" s="9"/>
      <c r="H811" s="39"/>
      <c r="I811" s="9"/>
      <c r="J811" s="39"/>
      <c r="K811" s="42"/>
      <c r="L811" s="9" t="s">
        <v>1906</v>
      </c>
      <c r="M811" s="16"/>
      <c r="AA811" s="14">
        <f t="shared" si="26"/>
        <v>-58</v>
      </c>
      <c r="AB811" s="47">
        <f t="shared" si="27"/>
        <v>-59</v>
      </c>
      <c r="AD811" s="53"/>
      <c r="AE811" s="53"/>
      <c r="AF811" s="53"/>
      <c r="AG811" s="53"/>
    </row>
    <row r="812" spans="1:33" s="46" customFormat="1">
      <c r="A812" s="39">
        <v>41236</v>
      </c>
      <c r="B812" s="9" t="s">
        <v>2855</v>
      </c>
      <c r="C812" s="15">
        <v>833</v>
      </c>
      <c r="D812" s="41" t="s">
        <v>1825</v>
      </c>
      <c r="E812" s="9" t="s">
        <v>274</v>
      </c>
      <c r="F812" s="9" t="s">
        <v>479</v>
      </c>
      <c r="G812" s="9"/>
      <c r="H812" s="39"/>
      <c r="I812" s="9"/>
      <c r="J812" s="39"/>
      <c r="K812" s="42"/>
      <c r="L812" s="9" t="s">
        <v>1826</v>
      </c>
      <c r="M812" s="16"/>
      <c r="AA812" s="14">
        <f t="shared" si="26"/>
        <v>255</v>
      </c>
      <c r="AB812" s="47">
        <f t="shared" si="27"/>
        <v>254</v>
      </c>
      <c r="AD812" s="53"/>
      <c r="AE812" s="53"/>
      <c r="AF812" s="53"/>
      <c r="AG812" s="53"/>
    </row>
    <row r="813" spans="1:33" s="46" customFormat="1" ht="12" customHeight="1">
      <c r="A813" s="39">
        <v>41236</v>
      </c>
      <c r="B813" s="9" t="s">
        <v>1926</v>
      </c>
      <c r="C813" s="15">
        <v>569</v>
      </c>
      <c r="D813" s="41" t="s">
        <v>1719</v>
      </c>
      <c r="E813" s="9" t="s">
        <v>22</v>
      </c>
      <c r="F813" s="9" t="s">
        <v>479</v>
      </c>
      <c r="G813" s="9"/>
      <c r="H813" s="39"/>
      <c r="I813" s="9"/>
      <c r="J813" s="39"/>
      <c r="K813" s="42"/>
      <c r="L813" s="9" t="s">
        <v>1720</v>
      </c>
      <c r="M813" s="16"/>
      <c r="AA813" s="14">
        <f t="shared" si="26"/>
        <v>-264</v>
      </c>
      <c r="AB813" s="47">
        <f t="shared" si="27"/>
        <v>-265</v>
      </c>
      <c r="AD813" s="53"/>
      <c r="AE813" s="53"/>
      <c r="AF813" s="53"/>
      <c r="AG813" s="53"/>
    </row>
    <row r="814" spans="1:33" s="46" customFormat="1">
      <c r="A814" s="39">
        <v>41236</v>
      </c>
      <c r="B814" s="9" t="s">
        <v>2254</v>
      </c>
      <c r="C814" s="15">
        <v>645</v>
      </c>
      <c r="D814" s="41" t="s">
        <v>1726</v>
      </c>
      <c r="E814" s="9" t="s">
        <v>22</v>
      </c>
      <c r="F814" s="9" t="s">
        <v>479</v>
      </c>
      <c r="G814" s="9"/>
      <c r="H814" s="39"/>
      <c r="I814" s="9"/>
      <c r="J814" s="39"/>
      <c r="K814" s="42"/>
      <c r="L814" s="9" t="s">
        <v>1727</v>
      </c>
      <c r="M814" s="16"/>
      <c r="AA814" s="14">
        <f t="shared" si="26"/>
        <v>76</v>
      </c>
      <c r="AB814" s="47">
        <f t="shared" si="27"/>
        <v>75</v>
      </c>
      <c r="AD814" s="53"/>
      <c r="AE814" s="53"/>
      <c r="AF814" s="53"/>
      <c r="AG814" s="53"/>
    </row>
    <row r="815" spans="1:33" s="46" customFormat="1">
      <c r="A815" s="39">
        <v>41236</v>
      </c>
      <c r="B815" s="9" t="s">
        <v>1939</v>
      </c>
      <c r="C815" s="15">
        <v>556</v>
      </c>
      <c r="D815" s="41" t="s">
        <v>1781</v>
      </c>
      <c r="E815" s="9" t="s">
        <v>22</v>
      </c>
      <c r="F815" s="9" t="s">
        <v>479</v>
      </c>
      <c r="G815" s="9"/>
      <c r="H815" s="39"/>
      <c r="I815" s="9"/>
      <c r="J815" s="39"/>
      <c r="K815" s="42"/>
      <c r="L815" s="9"/>
      <c r="M815" s="16"/>
      <c r="AA815" s="14">
        <f t="shared" si="26"/>
        <v>-89</v>
      </c>
      <c r="AB815" s="47">
        <f t="shared" si="27"/>
        <v>-90</v>
      </c>
      <c r="AD815" s="53"/>
      <c r="AE815" s="53"/>
      <c r="AF815" s="53"/>
      <c r="AG815" s="53"/>
    </row>
    <row r="816" spans="1:33" s="46" customFormat="1">
      <c r="A816" s="39">
        <v>41236</v>
      </c>
      <c r="B816" s="9" t="s">
        <v>2182</v>
      </c>
      <c r="C816" s="15">
        <v>580</v>
      </c>
      <c r="D816" s="41" t="s">
        <v>1774</v>
      </c>
      <c r="E816" s="9" t="s">
        <v>22</v>
      </c>
      <c r="F816" s="9" t="s">
        <v>479</v>
      </c>
      <c r="G816" s="9"/>
      <c r="H816" s="39"/>
      <c r="I816" s="9"/>
      <c r="J816" s="39"/>
      <c r="K816" s="42"/>
      <c r="L816" s="9" t="s">
        <v>1775</v>
      </c>
      <c r="M816" s="16"/>
      <c r="AA816" s="14">
        <f t="shared" si="26"/>
        <v>24</v>
      </c>
      <c r="AB816" s="47">
        <f t="shared" si="27"/>
        <v>23</v>
      </c>
      <c r="AD816" s="53"/>
      <c r="AE816" s="53"/>
      <c r="AF816" s="53"/>
      <c r="AG816" s="53"/>
    </row>
    <row r="817" spans="1:33" s="46" customFormat="1">
      <c r="A817" s="39">
        <v>41236</v>
      </c>
      <c r="B817" s="9" t="s">
        <v>2183</v>
      </c>
      <c r="C817" s="15">
        <v>583</v>
      </c>
      <c r="D817" s="41" t="s">
        <v>1742</v>
      </c>
      <c r="E817" s="9" t="s">
        <v>22</v>
      </c>
      <c r="F817" s="9" t="s">
        <v>479</v>
      </c>
      <c r="G817" s="9"/>
      <c r="H817" s="39"/>
      <c r="I817" s="9"/>
      <c r="J817" s="39"/>
      <c r="K817" s="42"/>
      <c r="L817" s="9" t="s">
        <v>1743</v>
      </c>
      <c r="M817" s="16"/>
      <c r="AA817" s="14">
        <f t="shared" si="26"/>
        <v>3</v>
      </c>
      <c r="AB817" s="47">
        <f t="shared" si="27"/>
        <v>2</v>
      </c>
      <c r="AD817" s="53"/>
      <c r="AE817" s="53"/>
      <c r="AF817" s="53"/>
      <c r="AG817" s="53"/>
    </row>
    <row r="818" spans="1:33" s="46" customFormat="1">
      <c r="A818" s="39">
        <v>41236</v>
      </c>
      <c r="B818" s="9" t="s">
        <v>2759</v>
      </c>
      <c r="C818" s="15">
        <v>738</v>
      </c>
      <c r="D818" s="41" t="s">
        <v>1717</v>
      </c>
      <c r="E818" s="9" t="s">
        <v>22</v>
      </c>
      <c r="F818" s="9" t="s">
        <v>479</v>
      </c>
      <c r="G818" s="9"/>
      <c r="H818" s="39"/>
      <c r="I818" s="9"/>
      <c r="J818" s="39"/>
      <c r="K818" s="42"/>
      <c r="L818" s="9" t="s">
        <v>1718</v>
      </c>
      <c r="M818" s="16"/>
      <c r="AA818" s="14">
        <f t="shared" si="26"/>
        <v>155</v>
      </c>
      <c r="AB818" s="47">
        <f t="shared" si="27"/>
        <v>154</v>
      </c>
      <c r="AD818" s="53"/>
      <c r="AE818" s="53"/>
      <c r="AF818" s="53"/>
      <c r="AG818" s="53"/>
    </row>
    <row r="819" spans="1:33" s="46" customFormat="1">
      <c r="A819" s="39">
        <v>41236</v>
      </c>
      <c r="B819" s="9" t="s">
        <v>2184</v>
      </c>
      <c r="C819" s="15">
        <v>584</v>
      </c>
      <c r="D819" s="41" t="s">
        <v>1436</v>
      </c>
      <c r="E819" s="9" t="s">
        <v>274</v>
      </c>
      <c r="F819" s="9" t="s">
        <v>479</v>
      </c>
      <c r="G819" s="9"/>
      <c r="H819" s="39"/>
      <c r="I819" s="9"/>
      <c r="J819" s="39"/>
      <c r="K819" s="42"/>
      <c r="L819" s="9" t="s">
        <v>2303</v>
      </c>
      <c r="M819" s="16"/>
      <c r="AA819" s="14">
        <f t="shared" si="26"/>
        <v>-154</v>
      </c>
      <c r="AB819" s="47">
        <f t="shared" si="27"/>
        <v>-155</v>
      </c>
      <c r="AD819" s="53"/>
      <c r="AE819" s="53"/>
      <c r="AF819" s="53"/>
      <c r="AG819" s="53"/>
    </row>
    <row r="820" spans="1:33" s="46" customFormat="1">
      <c r="A820" s="39">
        <v>41236</v>
      </c>
      <c r="B820" s="9" t="s">
        <v>2926</v>
      </c>
      <c r="C820" s="15">
        <v>956</v>
      </c>
      <c r="D820" s="41" t="s">
        <v>1731</v>
      </c>
      <c r="E820" s="9" t="s">
        <v>22</v>
      </c>
      <c r="F820" s="9" t="s">
        <v>935</v>
      </c>
      <c r="G820" s="9"/>
      <c r="H820" s="39"/>
      <c r="I820" s="9"/>
      <c r="J820" s="39"/>
      <c r="K820" s="42"/>
      <c r="L820" s="9"/>
      <c r="M820" s="16"/>
      <c r="AA820" s="14">
        <f t="shared" si="26"/>
        <v>372</v>
      </c>
      <c r="AB820" s="47">
        <f t="shared" si="27"/>
        <v>371</v>
      </c>
      <c r="AD820" s="53"/>
      <c r="AE820" s="53"/>
      <c r="AF820" s="53"/>
      <c r="AG820" s="53"/>
    </row>
    <row r="821" spans="1:33" s="46" customFormat="1">
      <c r="A821" s="39">
        <v>41236</v>
      </c>
      <c r="B821" s="9" t="s">
        <v>2185</v>
      </c>
      <c r="C821" s="15">
        <v>585</v>
      </c>
      <c r="D821" s="41" t="s">
        <v>1732</v>
      </c>
      <c r="E821" s="9" t="s">
        <v>22</v>
      </c>
      <c r="F821" s="9" t="s">
        <v>479</v>
      </c>
      <c r="G821" s="9"/>
      <c r="H821" s="39"/>
      <c r="I821" s="9"/>
      <c r="J821" s="39"/>
      <c r="K821" s="42"/>
      <c r="L821" s="9" t="s">
        <v>2353</v>
      </c>
      <c r="M821" s="16"/>
      <c r="AA821" s="14">
        <f t="shared" si="26"/>
        <v>-371</v>
      </c>
      <c r="AB821" s="47">
        <f t="shared" si="27"/>
        <v>-372</v>
      </c>
      <c r="AD821" s="53"/>
      <c r="AE821" s="53"/>
      <c r="AF821" s="53"/>
      <c r="AG821" s="53"/>
    </row>
    <row r="822" spans="1:33" s="46" customFormat="1">
      <c r="A822" s="39">
        <v>41236</v>
      </c>
      <c r="B822" s="9"/>
      <c r="C822" s="15"/>
      <c r="D822" s="41" t="s">
        <v>1823</v>
      </c>
      <c r="E822" s="9" t="s">
        <v>274</v>
      </c>
      <c r="F822" s="9" t="s">
        <v>935</v>
      </c>
      <c r="G822" s="9"/>
      <c r="H822" s="39"/>
      <c r="I822" s="9"/>
      <c r="J822" s="39"/>
      <c r="K822" s="42"/>
      <c r="L822" s="9" t="s">
        <v>1824</v>
      </c>
      <c r="M822" s="16"/>
      <c r="AA822" s="14">
        <f t="shared" si="26"/>
        <v>-585</v>
      </c>
      <c r="AB822" s="47">
        <f t="shared" si="27"/>
        <v>-586</v>
      </c>
      <c r="AD822" s="53"/>
      <c r="AE822" s="53"/>
      <c r="AF822" s="53"/>
      <c r="AG822" s="53"/>
    </row>
    <row r="823" spans="1:33" s="46" customFormat="1">
      <c r="A823" s="39">
        <v>41236</v>
      </c>
      <c r="B823" s="9" t="s">
        <v>2247</v>
      </c>
      <c r="C823" s="15">
        <v>638</v>
      </c>
      <c r="D823" s="41" t="s">
        <v>1812</v>
      </c>
      <c r="E823" s="9" t="s">
        <v>274</v>
      </c>
      <c r="F823" s="9" t="s">
        <v>479</v>
      </c>
      <c r="G823" s="9"/>
      <c r="H823" s="39"/>
      <c r="I823" s="9"/>
      <c r="J823" s="39"/>
      <c r="K823" s="42"/>
      <c r="L823" s="9" t="s">
        <v>1813</v>
      </c>
      <c r="M823" s="16"/>
      <c r="AA823" s="14">
        <f t="shared" si="26"/>
        <v>638</v>
      </c>
      <c r="AB823" s="47">
        <f t="shared" si="27"/>
        <v>637</v>
      </c>
      <c r="AD823" s="53"/>
      <c r="AE823" s="53"/>
      <c r="AF823" s="53"/>
      <c r="AG823" s="53"/>
    </row>
    <row r="824" spans="1:33" s="46" customFormat="1">
      <c r="A824" s="39">
        <v>41236</v>
      </c>
      <c r="B824" s="9" t="s">
        <v>2790</v>
      </c>
      <c r="C824" s="15">
        <v>731</v>
      </c>
      <c r="D824" s="41" t="s">
        <v>1821</v>
      </c>
      <c r="E824" s="9" t="s">
        <v>274</v>
      </c>
      <c r="F824" s="9" t="s">
        <v>479</v>
      </c>
      <c r="G824" s="9"/>
      <c r="H824" s="39"/>
      <c r="I824" s="9"/>
      <c r="J824" s="39"/>
      <c r="K824" s="42"/>
      <c r="L824" s="9" t="s">
        <v>1822</v>
      </c>
      <c r="M824" s="16"/>
      <c r="AA824" s="14">
        <f t="shared" si="26"/>
        <v>93</v>
      </c>
      <c r="AB824" s="47">
        <f t="shared" si="27"/>
        <v>92</v>
      </c>
      <c r="AD824" s="53"/>
      <c r="AE824" s="53"/>
      <c r="AF824" s="53"/>
      <c r="AG824" s="53"/>
    </row>
    <row r="825" spans="1:33" s="46" customFormat="1">
      <c r="A825" s="39">
        <v>41236</v>
      </c>
      <c r="B825" s="9" t="s">
        <v>2248</v>
      </c>
      <c r="C825" s="15">
        <v>639</v>
      </c>
      <c r="D825" s="41" t="s">
        <v>1907</v>
      </c>
      <c r="E825" s="9" t="s">
        <v>31</v>
      </c>
      <c r="F825" s="9" t="s">
        <v>479</v>
      </c>
      <c r="G825" s="9"/>
      <c r="H825" s="39"/>
      <c r="I825" s="9"/>
      <c r="J825" s="39"/>
      <c r="K825" s="42"/>
      <c r="L825" s="9"/>
      <c r="M825" s="16"/>
      <c r="AA825" s="14">
        <f t="shared" si="26"/>
        <v>-92</v>
      </c>
      <c r="AB825" s="47">
        <f t="shared" si="27"/>
        <v>-93</v>
      </c>
      <c r="AD825" s="53"/>
      <c r="AE825" s="53"/>
      <c r="AF825" s="53"/>
      <c r="AG825" s="53"/>
    </row>
    <row r="826" spans="1:33" s="46" customFormat="1">
      <c r="A826" s="39">
        <v>41236</v>
      </c>
      <c r="B826" s="9" t="s">
        <v>2260</v>
      </c>
      <c r="C826" s="15">
        <v>652</v>
      </c>
      <c r="D826" s="41" t="s">
        <v>1908</v>
      </c>
      <c r="E826" s="9" t="s">
        <v>31</v>
      </c>
      <c r="F826" s="9" t="s">
        <v>935</v>
      </c>
      <c r="G826" s="9"/>
      <c r="H826" s="39"/>
      <c r="I826" s="9"/>
      <c r="J826" s="39"/>
      <c r="K826" s="42"/>
      <c r="L826" s="9"/>
      <c r="M826" s="16"/>
      <c r="AA826" s="14">
        <f t="shared" si="26"/>
        <v>13</v>
      </c>
      <c r="AB826" s="47">
        <f t="shared" si="27"/>
        <v>12</v>
      </c>
      <c r="AD826" s="53"/>
      <c r="AE826" s="53"/>
      <c r="AF826" s="53"/>
      <c r="AG826" s="53"/>
    </row>
    <row r="827" spans="1:33" s="46" customFormat="1">
      <c r="A827" s="39">
        <v>41236</v>
      </c>
      <c r="B827" s="9" t="s">
        <v>2665</v>
      </c>
      <c r="C827" s="15">
        <v>666</v>
      </c>
      <c r="D827" s="41" t="s">
        <v>1909</v>
      </c>
      <c r="E827" s="9" t="s">
        <v>31</v>
      </c>
      <c r="F827" s="9" t="s">
        <v>479</v>
      </c>
      <c r="G827" s="9"/>
      <c r="H827" s="39"/>
      <c r="I827" s="9"/>
      <c r="J827" s="39"/>
      <c r="K827" s="42"/>
      <c r="L827" s="9" t="s">
        <v>1910</v>
      </c>
      <c r="M827" s="16"/>
      <c r="AA827" s="14">
        <f t="shared" si="26"/>
        <v>14</v>
      </c>
      <c r="AB827" s="47">
        <f t="shared" si="27"/>
        <v>13</v>
      </c>
      <c r="AD827" s="53"/>
      <c r="AE827" s="53"/>
      <c r="AF827" s="53"/>
      <c r="AG827" s="53"/>
    </row>
    <row r="828" spans="1:33" s="46" customFormat="1">
      <c r="A828" s="39">
        <v>41236</v>
      </c>
      <c r="B828" s="9" t="s">
        <v>2740</v>
      </c>
      <c r="C828" s="15">
        <v>937</v>
      </c>
      <c r="D828" s="41" t="s">
        <v>1755</v>
      </c>
      <c r="E828" s="9" t="s">
        <v>22</v>
      </c>
      <c r="F828" s="9" t="s">
        <v>935</v>
      </c>
      <c r="G828" s="9"/>
      <c r="H828" s="39"/>
      <c r="I828" s="9"/>
      <c r="J828" s="39"/>
      <c r="K828" s="42"/>
      <c r="L828" s="9"/>
      <c r="M828" s="16"/>
      <c r="AA828" s="14">
        <f t="shared" si="26"/>
        <v>271</v>
      </c>
      <c r="AB828" s="47">
        <f t="shared" si="27"/>
        <v>270</v>
      </c>
      <c r="AD828" s="53"/>
      <c r="AE828" s="53"/>
      <c r="AF828" s="53"/>
      <c r="AG828" s="53"/>
    </row>
    <row r="829" spans="1:33" s="46" customFormat="1">
      <c r="A829" s="39">
        <v>41236</v>
      </c>
      <c r="B829" s="9" t="s">
        <v>1950</v>
      </c>
      <c r="C829" s="15">
        <v>545</v>
      </c>
      <c r="D829" s="41" t="s">
        <v>1951</v>
      </c>
      <c r="E829" s="9" t="s">
        <v>1420</v>
      </c>
      <c r="F829" s="9" t="s">
        <v>479</v>
      </c>
      <c r="G829" s="9"/>
      <c r="H829" s="39"/>
      <c r="I829" s="9"/>
      <c r="J829" s="39"/>
      <c r="K829" s="42"/>
      <c r="L829" s="9"/>
      <c r="M829" s="16"/>
      <c r="AA829" s="14">
        <f t="shared" si="26"/>
        <v>-392</v>
      </c>
      <c r="AB829" s="47">
        <f t="shared" si="27"/>
        <v>-393</v>
      </c>
      <c r="AD829" s="53"/>
      <c r="AE829" s="53"/>
      <c r="AF829" s="53"/>
      <c r="AG829" s="53"/>
    </row>
    <row r="830" spans="1:33" s="46" customFormat="1">
      <c r="A830" s="39">
        <v>41236</v>
      </c>
      <c r="B830" s="9" t="s">
        <v>2649</v>
      </c>
      <c r="C830" s="15">
        <v>783</v>
      </c>
      <c r="D830" s="41" t="s">
        <v>1816</v>
      </c>
      <c r="E830" s="9" t="s">
        <v>274</v>
      </c>
      <c r="F830" s="9" t="s">
        <v>479</v>
      </c>
      <c r="G830" s="9"/>
      <c r="H830" s="39"/>
      <c r="I830" s="9"/>
      <c r="J830" s="39"/>
      <c r="K830" s="42"/>
      <c r="L830" s="9" t="s">
        <v>1817</v>
      </c>
      <c r="M830" s="16"/>
      <c r="AA830" s="14">
        <f t="shared" si="26"/>
        <v>238</v>
      </c>
      <c r="AB830" s="47">
        <f t="shared" si="27"/>
        <v>237</v>
      </c>
      <c r="AD830" s="53"/>
      <c r="AE830" s="53"/>
      <c r="AF830" s="53"/>
      <c r="AG830" s="53"/>
    </row>
    <row r="831" spans="1:33" s="46" customFormat="1">
      <c r="A831" s="39">
        <v>41236</v>
      </c>
      <c r="B831" s="9" t="s">
        <v>2785</v>
      </c>
      <c r="C831" s="15">
        <v>721</v>
      </c>
      <c r="D831" s="41" t="s">
        <v>1818</v>
      </c>
      <c r="E831" s="9" t="s">
        <v>274</v>
      </c>
      <c r="F831" s="9" t="s">
        <v>479</v>
      </c>
      <c r="G831" s="9"/>
      <c r="H831" s="39"/>
      <c r="I831" s="9"/>
      <c r="J831" s="39"/>
      <c r="K831" s="42"/>
      <c r="L831" s="9" t="s">
        <v>1819</v>
      </c>
      <c r="M831" s="16"/>
      <c r="AA831" s="14">
        <f t="shared" si="26"/>
        <v>-62</v>
      </c>
      <c r="AB831" s="47">
        <f t="shared" si="27"/>
        <v>-63</v>
      </c>
      <c r="AD831" s="53"/>
      <c r="AE831" s="53"/>
      <c r="AF831" s="53"/>
      <c r="AG831" s="53"/>
    </row>
    <row r="832" spans="1:33" s="46" customFormat="1">
      <c r="A832" s="39">
        <v>41236</v>
      </c>
      <c r="B832" s="9" t="s">
        <v>2176</v>
      </c>
      <c r="C832" s="15">
        <v>581</v>
      </c>
      <c r="D832" s="41" t="s">
        <v>1814</v>
      </c>
      <c r="E832" s="9" t="s">
        <v>274</v>
      </c>
      <c r="F832" s="9" t="s">
        <v>479</v>
      </c>
      <c r="G832" s="9"/>
      <c r="H832" s="39"/>
      <c r="I832" s="9"/>
      <c r="J832" s="39"/>
      <c r="K832" s="42"/>
      <c r="L832" s="9" t="s">
        <v>1815</v>
      </c>
      <c r="M832" s="16"/>
      <c r="AA832" s="14">
        <f t="shared" si="26"/>
        <v>-140</v>
      </c>
      <c r="AB832" s="47">
        <f t="shared" si="27"/>
        <v>-141</v>
      </c>
      <c r="AD832" s="53"/>
      <c r="AE832" s="53"/>
      <c r="AF832" s="53"/>
      <c r="AG832" s="53"/>
    </row>
    <row r="833" spans="1:33" s="46" customFormat="1">
      <c r="A833" s="39">
        <v>41236</v>
      </c>
      <c r="B833" s="9" t="s">
        <v>2177</v>
      </c>
      <c r="C833" s="15">
        <v>587</v>
      </c>
      <c r="D833" s="41" t="s">
        <v>1820</v>
      </c>
      <c r="E833" s="9" t="s">
        <v>274</v>
      </c>
      <c r="F833" s="9" t="s">
        <v>479</v>
      </c>
      <c r="G833" s="9"/>
      <c r="H833" s="39"/>
      <c r="I833" s="9"/>
      <c r="J833" s="39"/>
      <c r="K833" s="42"/>
      <c r="L833" s="9" t="s">
        <v>2558</v>
      </c>
      <c r="M833" s="16"/>
      <c r="AA833" s="14">
        <f t="shared" si="26"/>
        <v>6</v>
      </c>
      <c r="AB833" s="47">
        <f t="shared" si="27"/>
        <v>5</v>
      </c>
      <c r="AD833" s="53"/>
      <c r="AE833" s="53"/>
      <c r="AF833" s="53"/>
      <c r="AG833" s="53"/>
    </row>
    <row r="834" spans="1:33" s="46" customFormat="1">
      <c r="A834" s="39">
        <v>41236</v>
      </c>
      <c r="B834" s="9" t="s">
        <v>2829</v>
      </c>
      <c r="C834" s="15">
        <v>779</v>
      </c>
      <c r="D834" s="41" t="s">
        <v>1865</v>
      </c>
      <c r="E834" s="9" t="s">
        <v>274</v>
      </c>
      <c r="F834" s="9" t="s">
        <v>479</v>
      </c>
      <c r="G834" s="9"/>
      <c r="H834" s="39"/>
      <c r="I834" s="9"/>
      <c r="J834" s="39"/>
      <c r="K834" s="42"/>
      <c r="L834" s="9" t="s">
        <v>1866</v>
      </c>
      <c r="M834" s="16"/>
      <c r="AA834" s="14">
        <f t="shared" si="26"/>
        <v>192</v>
      </c>
      <c r="AB834" s="47">
        <f t="shared" si="27"/>
        <v>191</v>
      </c>
      <c r="AD834" s="53"/>
      <c r="AE834" s="53"/>
      <c r="AF834" s="53"/>
      <c r="AG834" s="53"/>
    </row>
    <row r="835" spans="1:33" s="46" customFormat="1">
      <c r="A835" s="39">
        <v>41236</v>
      </c>
      <c r="B835" s="9" t="s">
        <v>2258</v>
      </c>
      <c r="C835" s="15">
        <v>649</v>
      </c>
      <c r="D835" s="41" t="s">
        <v>1867</v>
      </c>
      <c r="E835" s="9" t="s">
        <v>274</v>
      </c>
      <c r="F835" s="9" t="s">
        <v>479</v>
      </c>
      <c r="G835" s="9"/>
      <c r="H835" s="39"/>
      <c r="I835" s="9"/>
      <c r="J835" s="39"/>
      <c r="K835" s="42"/>
      <c r="L835" s="9" t="s">
        <v>1868</v>
      </c>
      <c r="M835" s="16"/>
      <c r="AA835" s="14">
        <f t="shared" si="26"/>
        <v>-130</v>
      </c>
      <c r="AB835" s="47">
        <f t="shared" si="27"/>
        <v>-131</v>
      </c>
      <c r="AD835" s="53"/>
      <c r="AE835" s="53"/>
      <c r="AF835" s="53"/>
      <c r="AG835" s="53"/>
    </row>
    <row r="836" spans="1:33" s="46" customFormat="1">
      <c r="A836" s="39">
        <v>41236</v>
      </c>
      <c r="B836" s="9" t="s">
        <v>2777</v>
      </c>
      <c r="C836" s="15">
        <v>670</v>
      </c>
      <c r="D836" s="41" t="s">
        <v>1869</v>
      </c>
      <c r="E836" s="9" t="s">
        <v>274</v>
      </c>
      <c r="F836" s="9" t="s">
        <v>479</v>
      </c>
      <c r="G836" s="9"/>
      <c r="H836" s="39"/>
      <c r="I836" s="9"/>
      <c r="J836" s="39"/>
      <c r="K836" s="42"/>
      <c r="L836" s="9" t="s">
        <v>1870</v>
      </c>
      <c r="M836" s="16" t="s">
        <v>193</v>
      </c>
      <c r="AA836" s="14">
        <f t="shared" si="26"/>
        <v>21</v>
      </c>
      <c r="AB836" s="47">
        <f t="shared" si="27"/>
        <v>20</v>
      </c>
      <c r="AD836" s="53"/>
      <c r="AE836" s="53"/>
      <c r="AF836" s="53"/>
      <c r="AG836" s="53"/>
    </row>
    <row r="837" spans="1:33" s="46" customFormat="1">
      <c r="A837" s="39">
        <v>41236</v>
      </c>
      <c r="B837" s="9" t="s">
        <v>2153</v>
      </c>
      <c r="C837" s="15">
        <v>575</v>
      </c>
      <c r="D837" s="41" t="s">
        <v>1871</v>
      </c>
      <c r="E837" s="9" t="s">
        <v>274</v>
      </c>
      <c r="F837" s="9" t="s">
        <v>479</v>
      </c>
      <c r="G837" s="9"/>
      <c r="H837" s="39"/>
      <c r="I837" s="9"/>
      <c r="J837" s="39"/>
      <c r="K837" s="42"/>
      <c r="L837" s="9"/>
      <c r="M837" s="16"/>
      <c r="AA837" s="14">
        <f t="shared" si="26"/>
        <v>-95</v>
      </c>
      <c r="AB837" s="47">
        <f t="shared" si="27"/>
        <v>-96</v>
      </c>
      <c r="AD837" s="53"/>
      <c r="AE837" s="53"/>
      <c r="AF837" s="53"/>
      <c r="AG837" s="53"/>
    </row>
    <row r="838" spans="1:33" s="46" customFormat="1">
      <c r="A838" s="39">
        <v>41236</v>
      </c>
      <c r="B838" s="9" t="s">
        <v>1958</v>
      </c>
      <c r="C838" s="15">
        <v>536</v>
      </c>
      <c r="D838" s="41" t="s">
        <v>1795</v>
      </c>
      <c r="E838" s="9" t="s">
        <v>265</v>
      </c>
      <c r="F838" s="9" t="s">
        <v>479</v>
      </c>
      <c r="G838" s="9"/>
      <c r="H838" s="39"/>
      <c r="I838" s="9"/>
      <c r="J838" s="39"/>
      <c r="K838" s="42"/>
      <c r="L838" s="9"/>
      <c r="M838" s="16"/>
      <c r="AA838" s="14">
        <f t="shared" si="26"/>
        <v>-39</v>
      </c>
      <c r="AB838" s="47">
        <f t="shared" si="27"/>
        <v>-40</v>
      </c>
      <c r="AD838" s="53"/>
      <c r="AE838" s="53"/>
      <c r="AF838" s="53"/>
      <c r="AG838" s="53"/>
    </row>
    <row r="839" spans="1:33" s="46" customFormat="1">
      <c r="A839" s="39">
        <v>41236</v>
      </c>
      <c r="B839" s="9"/>
      <c r="C839" s="15"/>
      <c r="D839" s="41" t="s">
        <v>1784</v>
      </c>
      <c r="E839" s="9" t="s">
        <v>22</v>
      </c>
      <c r="F839" s="9" t="s">
        <v>935</v>
      </c>
      <c r="G839" s="9"/>
      <c r="H839" s="39"/>
      <c r="I839" s="9"/>
      <c r="J839" s="39"/>
      <c r="K839" s="42"/>
      <c r="L839" s="9"/>
      <c r="M839" s="16"/>
      <c r="AA839" s="14">
        <f t="shared" si="26"/>
        <v>-536</v>
      </c>
      <c r="AB839" s="47">
        <f t="shared" si="27"/>
        <v>-537</v>
      </c>
      <c r="AD839" s="53"/>
      <c r="AE839" s="53"/>
      <c r="AF839" s="53"/>
      <c r="AG839" s="53"/>
    </row>
    <row r="840" spans="1:33" s="46" customFormat="1">
      <c r="A840" s="39">
        <v>41236</v>
      </c>
      <c r="B840" s="9" t="s">
        <v>2745</v>
      </c>
      <c r="C840" s="15">
        <v>883</v>
      </c>
      <c r="D840" s="41" t="s">
        <v>1798</v>
      </c>
      <c r="E840" s="9" t="s">
        <v>18</v>
      </c>
      <c r="F840" s="9" t="s">
        <v>935</v>
      </c>
      <c r="G840" s="9"/>
      <c r="H840" s="39"/>
      <c r="I840" s="9"/>
      <c r="J840" s="39"/>
      <c r="K840" s="42"/>
      <c r="L840" s="9" t="s">
        <v>1799</v>
      </c>
      <c r="M840" s="16"/>
      <c r="AA840" s="14">
        <f t="shared" si="26"/>
        <v>883</v>
      </c>
      <c r="AB840" s="47">
        <f t="shared" si="27"/>
        <v>882</v>
      </c>
      <c r="AD840" s="53"/>
      <c r="AE840" s="53"/>
      <c r="AF840" s="53"/>
      <c r="AG840" s="53"/>
    </row>
    <row r="841" spans="1:33" s="46" customFormat="1" ht="12" customHeight="1">
      <c r="A841" s="39">
        <v>41236</v>
      </c>
      <c r="B841" s="74" t="s">
        <v>2663</v>
      </c>
      <c r="C841" s="15">
        <v>684</v>
      </c>
      <c r="D841" s="41" t="s">
        <v>1733</v>
      </c>
      <c r="E841" s="9" t="s">
        <v>22</v>
      </c>
      <c r="F841" s="9" t="s">
        <v>479</v>
      </c>
      <c r="G841" s="9"/>
      <c r="H841" s="39"/>
      <c r="I841" s="9"/>
      <c r="J841" s="39"/>
      <c r="K841" s="42"/>
      <c r="L841" s="9" t="s">
        <v>1734</v>
      </c>
      <c r="M841" s="16"/>
      <c r="AA841" s="14">
        <f t="shared" si="26"/>
        <v>-199</v>
      </c>
      <c r="AB841" s="47">
        <f t="shared" si="27"/>
        <v>-200</v>
      </c>
      <c r="AD841" s="53"/>
      <c r="AE841" s="53"/>
      <c r="AF841" s="53"/>
      <c r="AG841" s="53"/>
    </row>
    <row r="842" spans="1:33" s="46" customFormat="1" ht="12" customHeight="1">
      <c r="A842" s="39">
        <v>41236</v>
      </c>
      <c r="B842" s="9" t="s">
        <v>2819</v>
      </c>
      <c r="C842" s="15">
        <v>805</v>
      </c>
      <c r="D842" s="41" t="s">
        <v>1758</v>
      </c>
      <c r="E842" s="9" t="s">
        <v>22</v>
      </c>
      <c r="F842" s="9" t="s">
        <v>479</v>
      </c>
      <c r="G842" s="9"/>
      <c r="H842" s="39"/>
      <c r="I842" s="9"/>
      <c r="J842" s="39"/>
      <c r="K842" s="42"/>
      <c r="L842" s="9"/>
      <c r="M842" s="16"/>
      <c r="AA842" s="14">
        <f t="shared" si="26"/>
        <v>121</v>
      </c>
      <c r="AB842" s="47">
        <f t="shared" si="27"/>
        <v>120</v>
      </c>
      <c r="AD842" s="53"/>
      <c r="AE842" s="53"/>
      <c r="AF842" s="53"/>
      <c r="AG842" s="53"/>
    </row>
    <row r="843" spans="1:33" s="46" customFormat="1">
      <c r="A843" s="39">
        <v>41236</v>
      </c>
      <c r="B843" s="9" t="s">
        <v>2436</v>
      </c>
      <c r="C843" s="15"/>
      <c r="D843" s="41" t="s">
        <v>2354</v>
      </c>
      <c r="E843" s="9" t="s">
        <v>22</v>
      </c>
      <c r="F843" s="9" t="s">
        <v>935</v>
      </c>
      <c r="G843" s="9"/>
      <c r="H843" s="39"/>
      <c r="I843" s="9"/>
      <c r="J843" s="39"/>
      <c r="K843" s="42"/>
      <c r="L843" s="9" t="s">
        <v>1752</v>
      </c>
      <c r="M843" s="16" t="s">
        <v>197</v>
      </c>
      <c r="AA843" s="14">
        <f t="shared" si="26"/>
        <v>-805</v>
      </c>
      <c r="AB843" s="47">
        <f t="shared" si="27"/>
        <v>-806</v>
      </c>
      <c r="AD843" s="53"/>
      <c r="AE843" s="53"/>
      <c r="AF843" s="53"/>
      <c r="AG843" s="53"/>
    </row>
    <row r="844" spans="1:33" s="46" customFormat="1">
      <c r="A844" s="39">
        <v>41236</v>
      </c>
      <c r="B844" s="9" t="s">
        <v>2811</v>
      </c>
      <c r="C844" s="15">
        <v>808</v>
      </c>
      <c r="D844" s="41" t="s">
        <v>1714</v>
      </c>
      <c r="E844" s="9" t="s">
        <v>22</v>
      </c>
      <c r="F844" s="9" t="s">
        <v>479</v>
      </c>
      <c r="G844" s="9"/>
      <c r="H844" s="39"/>
      <c r="I844" s="9"/>
      <c r="J844" s="39"/>
      <c r="K844" s="42"/>
      <c r="L844" s="9"/>
      <c r="M844" s="16"/>
      <c r="AA844" s="14">
        <f t="shared" si="26"/>
        <v>808</v>
      </c>
      <c r="AB844" s="47">
        <f t="shared" si="27"/>
        <v>807</v>
      </c>
      <c r="AD844" s="53"/>
      <c r="AE844" s="53"/>
      <c r="AF844" s="53"/>
      <c r="AG844" s="53"/>
    </row>
    <row r="845" spans="1:33" s="46" customFormat="1" ht="12" customHeight="1">
      <c r="A845" s="39">
        <v>41236</v>
      </c>
      <c r="B845" s="74" t="s">
        <v>2918</v>
      </c>
      <c r="C845" s="15">
        <v>901</v>
      </c>
      <c r="D845" s="41" t="s">
        <v>1700</v>
      </c>
      <c r="E845" s="9" t="s">
        <v>22</v>
      </c>
      <c r="F845" s="9" t="s">
        <v>479</v>
      </c>
      <c r="G845" s="9"/>
      <c r="H845" s="39"/>
      <c r="I845" s="9"/>
      <c r="J845" s="39"/>
      <c r="K845" s="42"/>
      <c r="L845" s="9" t="s">
        <v>1702</v>
      </c>
      <c r="M845" s="16" t="s">
        <v>191</v>
      </c>
      <c r="AA845" s="14">
        <f t="shared" si="26"/>
        <v>93</v>
      </c>
      <c r="AB845" s="47">
        <f t="shared" si="27"/>
        <v>92</v>
      </c>
      <c r="AD845" s="53"/>
      <c r="AE845" s="53"/>
      <c r="AF845" s="53"/>
      <c r="AG845" s="53"/>
    </row>
    <row r="846" spans="1:33" s="46" customFormat="1">
      <c r="A846" s="39">
        <v>41236</v>
      </c>
      <c r="B846" s="9" t="s">
        <v>2791</v>
      </c>
      <c r="C846" s="15">
        <v>744</v>
      </c>
      <c r="D846" s="41" t="s">
        <v>1715</v>
      </c>
      <c r="E846" s="9" t="s">
        <v>22</v>
      </c>
      <c r="F846" s="9" t="s">
        <v>479</v>
      </c>
      <c r="G846" s="9"/>
      <c r="H846" s="39"/>
      <c r="I846" s="9"/>
      <c r="J846" s="39"/>
      <c r="K846" s="42"/>
      <c r="L846" s="9" t="s">
        <v>1716</v>
      </c>
      <c r="M846" s="16"/>
      <c r="AA846" s="14">
        <f t="shared" si="26"/>
        <v>-157</v>
      </c>
      <c r="AB846" s="47">
        <f t="shared" si="27"/>
        <v>-158</v>
      </c>
      <c r="AD846" s="53"/>
      <c r="AE846" s="53"/>
      <c r="AF846" s="53"/>
      <c r="AG846" s="53"/>
    </row>
    <row r="847" spans="1:33" s="46" customFormat="1">
      <c r="A847" s="39">
        <v>41236</v>
      </c>
      <c r="B847" s="9" t="s">
        <v>2781</v>
      </c>
      <c r="C847" s="15">
        <v>692</v>
      </c>
      <c r="D847" s="41" t="s">
        <v>1736</v>
      </c>
      <c r="E847" s="9" t="s">
        <v>22</v>
      </c>
      <c r="F847" s="9" t="s">
        <v>479</v>
      </c>
      <c r="G847" s="9"/>
      <c r="H847" s="39"/>
      <c r="I847" s="9"/>
      <c r="J847" s="39"/>
      <c r="K847" s="42"/>
      <c r="L847" s="9" t="s">
        <v>1737</v>
      </c>
      <c r="M847" s="16"/>
      <c r="AA847" s="14">
        <f t="shared" si="26"/>
        <v>-52</v>
      </c>
      <c r="AB847" s="47">
        <f t="shared" si="27"/>
        <v>-53</v>
      </c>
      <c r="AD847" s="53"/>
      <c r="AE847" s="53"/>
      <c r="AF847" s="53"/>
      <c r="AG847" s="53"/>
    </row>
    <row r="848" spans="1:33" s="46" customFormat="1">
      <c r="A848" s="39">
        <v>41236</v>
      </c>
      <c r="B848" s="9"/>
      <c r="C848" s="15"/>
      <c r="D848" s="41" t="s">
        <v>1740</v>
      </c>
      <c r="E848" s="9" t="s">
        <v>22</v>
      </c>
      <c r="F848" s="9" t="s">
        <v>935</v>
      </c>
      <c r="G848" s="9"/>
      <c r="H848" s="39"/>
      <c r="I848" s="9"/>
      <c r="J848" s="39"/>
      <c r="K848" s="42"/>
      <c r="L848" s="9" t="s">
        <v>1741</v>
      </c>
      <c r="M848" s="16"/>
      <c r="AA848" s="14">
        <f t="shared" si="26"/>
        <v>-692</v>
      </c>
      <c r="AB848" s="47">
        <f t="shared" si="27"/>
        <v>-693</v>
      </c>
      <c r="AD848" s="53"/>
      <c r="AE848" s="53"/>
      <c r="AF848" s="53"/>
      <c r="AG848" s="53"/>
    </row>
    <row r="849" spans="1:33" s="46" customFormat="1">
      <c r="A849" s="39">
        <v>41236</v>
      </c>
      <c r="B849" s="9" t="s">
        <v>1929</v>
      </c>
      <c r="C849" s="15">
        <v>566</v>
      </c>
      <c r="D849" s="41" t="s">
        <v>979</v>
      </c>
      <c r="E849" s="9" t="s">
        <v>22</v>
      </c>
      <c r="F849" s="9" t="s">
        <v>479</v>
      </c>
      <c r="G849" s="9"/>
      <c r="H849" s="39"/>
      <c r="I849" s="9"/>
      <c r="J849" s="39"/>
      <c r="K849" s="42"/>
      <c r="L849" s="9" t="s">
        <v>1721</v>
      </c>
      <c r="M849" s="16"/>
      <c r="AA849" s="14">
        <f t="shared" si="26"/>
        <v>566</v>
      </c>
      <c r="AB849" s="47">
        <f t="shared" si="27"/>
        <v>565</v>
      </c>
      <c r="AD849" s="53"/>
      <c r="AE849" s="53"/>
      <c r="AF849" s="53"/>
      <c r="AG849" s="53"/>
    </row>
    <row r="850" spans="1:33" s="46" customFormat="1">
      <c r="A850" s="39">
        <v>41236</v>
      </c>
      <c r="B850" s="9" t="s">
        <v>2761</v>
      </c>
      <c r="C850" s="15">
        <v>720</v>
      </c>
      <c r="D850" s="41" t="s">
        <v>1753</v>
      </c>
      <c r="E850" s="9" t="s">
        <v>22</v>
      </c>
      <c r="F850" s="9" t="s">
        <v>2762</v>
      </c>
      <c r="G850" s="9"/>
      <c r="H850" s="39"/>
      <c r="I850" s="9"/>
      <c r="J850" s="39"/>
      <c r="K850" s="42"/>
      <c r="L850" s="9" t="s">
        <v>1754</v>
      </c>
      <c r="M850" s="16"/>
      <c r="AA850" s="14">
        <f t="shared" si="26"/>
        <v>154</v>
      </c>
      <c r="AB850" s="47">
        <f t="shared" si="27"/>
        <v>153</v>
      </c>
      <c r="AD850" s="53"/>
      <c r="AE850" s="53"/>
      <c r="AF850" s="53"/>
      <c r="AG850" s="53"/>
    </row>
    <row r="851" spans="1:33" s="46" customFormat="1" ht="12" customHeight="1">
      <c r="A851" s="39">
        <v>41236</v>
      </c>
      <c r="B851" s="74" t="s">
        <v>2118</v>
      </c>
      <c r="C851" s="15">
        <v>574</v>
      </c>
      <c r="D851" s="41" t="s">
        <v>1880</v>
      </c>
      <c r="E851" s="9" t="s">
        <v>274</v>
      </c>
      <c r="F851" s="9" t="s">
        <v>479</v>
      </c>
      <c r="G851" s="9"/>
      <c r="H851" s="39"/>
      <c r="I851" s="9"/>
      <c r="J851" s="39"/>
      <c r="K851" s="42"/>
      <c r="L851" s="9" t="s">
        <v>1881</v>
      </c>
      <c r="M851" s="16"/>
      <c r="AA851" s="14">
        <f t="shared" si="26"/>
        <v>-146</v>
      </c>
      <c r="AB851" s="47">
        <f t="shared" si="27"/>
        <v>-147</v>
      </c>
      <c r="AD851" s="53"/>
      <c r="AE851" s="53"/>
      <c r="AF851" s="53"/>
      <c r="AG851" s="53"/>
    </row>
    <row r="852" spans="1:33" s="46" customFormat="1">
      <c r="A852" s="39">
        <v>41236</v>
      </c>
      <c r="B852" s="9"/>
      <c r="C852" s="15"/>
      <c r="D852" s="41" t="s">
        <v>1744</v>
      </c>
      <c r="E852" s="9" t="s">
        <v>22</v>
      </c>
      <c r="F852" s="9" t="s">
        <v>935</v>
      </c>
      <c r="G852" s="9"/>
      <c r="H852" s="39"/>
      <c r="I852" s="9"/>
      <c r="J852" s="39"/>
      <c r="K852" s="42"/>
      <c r="L852" s="9" t="s">
        <v>1745</v>
      </c>
      <c r="M852" s="16"/>
      <c r="AA852" s="14">
        <f t="shared" si="26"/>
        <v>-574</v>
      </c>
      <c r="AB852" s="47">
        <f t="shared" si="27"/>
        <v>-575</v>
      </c>
      <c r="AD852" s="53"/>
      <c r="AE852" s="53"/>
      <c r="AF852" s="53"/>
      <c r="AG852" s="53"/>
    </row>
    <row r="853" spans="1:33" s="46" customFormat="1">
      <c r="A853" s="39">
        <v>41236</v>
      </c>
      <c r="B853" s="9" t="s">
        <v>2787</v>
      </c>
      <c r="C853" s="15">
        <v>723</v>
      </c>
      <c r="D853" s="41" t="s">
        <v>1874</v>
      </c>
      <c r="E853" s="9" t="s">
        <v>274</v>
      </c>
      <c r="F853" s="9" t="s">
        <v>479</v>
      </c>
      <c r="G853" s="9"/>
      <c r="H853" s="39"/>
      <c r="I853" s="9"/>
      <c r="J853" s="39"/>
      <c r="K853" s="42"/>
      <c r="L853" s="9" t="s">
        <v>1875</v>
      </c>
      <c r="M853" s="16"/>
      <c r="AA853" s="14">
        <f t="shared" si="26"/>
        <v>723</v>
      </c>
      <c r="AB853" s="47">
        <f t="shared" si="27"/>
        <v>722</v>
      </c>
      <c r="AD853" s="53"/>
      <c r="AE853" s="53"/>
      <c r="AF853" s="53"/>
      <c r="AG853" s="53"/>
    </row>
    <row r="854" spans="1:33" s="46" customFormat="1">
      <c r="A854" s="39">
        <v>41236</v>
      </c>
      <c r="B854" s="9" t="s">
        <v>2151</v>
      </c>
      <c r="C854" s="15">
        <v>577</v>
      </c>
      <c r="D854" s="41" t="s">
        <v>1878</v>
      </c>
      <c r="E854" s="9" t="s">
        <v>274</v>
      </c>
      <c r="F854" s="9" t="s">
        <v>479</v>
      </c>
      <c r="G854" s="9"/>
      <c r="H854" s="39"/>
      <c r="I854" s="9"/>
      <c r="J854" s="39"/>
      <c r="K854" s="42"/>
      <c r="L854" s="9" t="s">
        <v>1879</v>
      </c>
      <c r="M854" s="16"/>
      <c r="AA854" s="14">
        <f t="shared" si="26"/>
        <v>-146</v>
      </c>
      <c r="AB854" s="47">
        <f t="shared" si="27"/>
        <v>-147</v>
      </c>
      <c r="AD854" s="53"/>
      <c r="AE854" s="53"/>
      <c r="AF854" s="53"/>
      <c r="AG854" s="53"/>
    </row>
    <row r="855" spans="1:33" s="46" customFormat="1">
      <c r="A855" s="39">
        <v>41236</v>
      </c>
      <c r="B855" s="9" t="s">
        <v>2152</v>
      </c>
      <c r="C855" s="15">
        <v>576</v>
      </c>
      <c r="D855" s="41" t="s">
        <v>1872</v>
      </c>
      <c r="E855" s="9" t="s">
        <v>274</v>
      </c>
      <c r="F855" s="9" t="s">
        <v>479</v>
      </c>
      <c r="G855" s="9"/>
      <c r="H855" s="39"/>
      <c r="I855" s="9"/>
      <c r="J855" s="39"/>
      <c r="K855" s="42"/>
      <c r="L855" s="9" t="s">
        <v>1873</v>
      </c>
      <c r="M855" s="16"/>
      <c r="AA855" s="14">
        <f t="shared" si="26"/>
        <v>-1</v>
      </c>
      <c r="AB855" s="47">
        <f t="shared" si="27"/>
        <v>-2</v>
      </c>
      <c r="AD855" s="53"/>
      <c r="AE855" s="53"/>
      <c r="AF855" s="53"/>
      <c r="AG855" s="53"/>
    </row>
    <row r="856" spans="1:33" s="46" customFormat="1">
      <c r="A856" s="39">
        <v>41236</v>
      </c>
      <c r="B856" s="9" t="s">
        <v>2242</v>
      </c>
      <c r="C856" s="15">
        <v>606</v>
      </c>
      <c r="D856" s="41" t="s">
        <v>1911</v>
      </c>
      <c r="E856" s="9" t="s">
        <v>31</v>
      </c>
      <c r="F856" s="9" t="s">
        <v>479</v>
      </c>
      <c r="G856" s="9"/>
      <c r="H856" s="39"/>
      <c r="I856" s="9"/>
      <c r="J856" s="39"/>
      <c r="K856" s="42"/>
      <c r="L856" s="9" t="s">
        <v>1912</v>
      </c>
      <c r="M856" s="16"/>
      <c r="AA856" s="14">
        <f t="shared" si="26"/>
        <v>30</v>
      </c>
      <c r="AB856" s="47">
        <f t="shared" si="27"/>
        <v>29</v>
      </c>
      <c r="AD856" s="53"/>
      <c r="AE856" s="53"/>
      <c r="AF856" s="53"/>
      <c r="AG856" s="53"/>
    </row>
    <row r="857" spans="1:33" s="46" customFormat="1">
      <c r="A857" s="39">
        <v>41236</v>
      </c>
      <c r="B857" s="9" t="s">
        <v>1931</v>
      </c>
      <c r="C857" s="15">
        <v>564</v>
      </c>
      <c r="D857" s="41" t="s">
        <v>1782</v>
      </c>
      <c r="E857" s="9" t="s">
        <v>22</v>
      </c>
      <c r="F857" s="9" t="s">
        <v>479</v>
      </c>
      <c r="G857" s="9"/>
      <c r="H857" s="39"/>
      <c r="I857" s="9"/>
      <c r="J857" s="39"/>
      <c r="K857" s="42"/>
      <c r="L857" s="9"/>
      <c r="M857" s="16"/>
      <c r="AA857" s="14">
        <f t="shared" si="26"/>
        <v>-42</v>
      </c>
      <c r="AB857" s="47">
        <f t="shared" si="27"/>
        <v>-43</v>
      </c>
      <c r="AD857" s="53"/>
      <c r="AE857" s="53"/>
      <c r="AF857" s="53"/>
      <c r="AG857" s="53"/>
    </row>
    <row r="858" spans="1:33" s="46" customFormat="1">
      <c r="A858" s="39">
        <v>41236</v>
      </c>
      <c r="B858" s="9" t="s">
        <v>2238</v>
      </c>
      <c r="C858" s="15">
        <v>617</v>
      </c>
      <c r="D858" s="41" t="s">
        <v>1778</v>
      </c>
      <c r="E858" s="9" t="s">
        <v>22</v>
      </c>
      <c r="F858" s="9" t="s">
        <v>479</v>
      </c>
      <c r="G858" s="9"/>
      <c r="H858" s="39"/>
      <c r="I858" s="9"/>
      <c r="J858" s="39"/>
      <c r="K858" s="42"/>
      <c r="L858" s="9" t="s">
        <v>1779</v>
      </c>
      <c r="M858" s="16"/>
      <c r="AA858" s="14">
        <f t="shared" si="26"/>
        <v>53</v>
      </c>
      <c r="AB858" s="47">
        <f t="shared" si="27"/>
        <v>52</v>
      </c>
      <c r="AD858" s="53"/>
      <c r="AE858" s="53"/>
      <c r="AF858" s="53"/>
      <c r="AG858" s="53"/>
    </row>
    <row r="859" spans="1:33" s="46" customFormat="1">
      <c r="A859" s="39">
        <v>41236</v>
      </c>
      <c r="B859" s="9" t="s">
        <v>2806</v>
      </c>
      <c r="C859" s="15">
        <v>815</v>
      </c>
      <c r="D859" s="41" t="s">
        <v>1770</v>
      </c>
      <c r="E859" s="9" t="s">
        <v>22</v>
      </c>
      <c r="F859" s="9" t="s">
        <v>479</v>
      </c>
      <c r="G859" s="9"/>
      <c r="H859" s="39"/>
      <c r="I859" s="9"/>
      <c r="J859" s="39"/>
      <c r="K859" s="42"/>
      <c r="L859" s="9" t="s">
        <v>1771</v>
      </c>
      <c r="M859" s="16"/>
      <c r="AA859" s="14">
        <f t="shared" si="26"/>
        <v>198</v>
      </c>
      <c r="AB859" s="47">
        <f t="shared" si="27"/>
        <v>197</v>
      </c>
      <c r="AD859" s="53"/>
      <c r="AE859" s="53"/>
      <c r="AF859" s="53"/>
      <c r="AG859" s="53"/>
    </row>
    <row r="860" spans="1:33" s="46" customFormat="1">
      <c r="A860" s="39">
        <v>41236</v>
      </c>
      <c r="B860" s="9" t="s">
        <v>1942</v>
      </c>
      <c r="C860" s="15">
        <v>553</v>
      </c>
      <c r="D860" s="41" t="s">
        <v>1708</v>
      </c>
      <c r="E860" s="9" t="s">
        <v>22</v>
      </c>
      <c r="F860" s="9" t="s">
        <v>479</v>
      </c>
      <c r="G860" s="9"/>
      <c r="H860" s="39"/>
      <c r="I860" s="9"/>
      <c r="J860" s="39"/>
      <c r="K860" s="42"/>
      <c r="L860" s="9" t="s">
        <v>1709</v>
      </c>
      <c r="M860" s="16"/>
      <c r="AA860" s="14">
        <f t="shared" si="26"/>
        <v>-262</v>
      </c>
      <c r="AB860" s="47">
        <f t="shared" si="27"/>
        <v>-263</v>
      </c>
      <c r="AD860" s="53"/>
      <c r="AE860" s="53"/>
      <c r="AF860" s="53"/>
      <c r="AG860" s="53"/>
    </row>
    <row r="861" spans="1:33" s="46" customFormat="1">
      <c r="A861" s="39">
        <v>41236</v>
      </c>
      <c r="B861" s="9" t="s">
        <v>2239</v>
      </c>
      <c r="C861" s="15">
        <v>612</v>
      </c>
      <c r="D861" s="41" t="s">
        <v>1772</v>
      </c>
      <c r="E861" s="9" t="s">
        <v>22</v>
      </c>
      <c r="F861" s="9" t="s">
        <v>479</v>
      </c>
      <c r="G861" s="9"/>
      <c r="H861" s="39"/>
      <c r="I861" s="9"/>
      <c r="J861" s="39"/>
      <c r="K861" s="42"/>
      <c r="L861" s="9" t="s">
        <v>1773</v>
      </c>
      <c r="M861" s="16"/>
      <c r="AA861" s="14">
        <f t="shared" si="26"/>
        <v>59</v>
      </c>
      <c r="AB861" s="47">
        <f t="shared" si="27"/>
        <v>58</v>
      </c>
      <c r="AD861" s="53"/>
      <c r="AE861" s="53"/>
      <c r="AF861" s="53"/>
      <c r="AG861" s="53"/>
    </row>
    <row r="862" spans="1:33" s="46" customFormat="1">
      <c r="A862" s="39">
        <v>41236</v>
      </c>
      <c r="B862" s="9" t="s">
        <v>2741</v>
      </c>
      <c r="C862" s="15">
        <v>938</v>
      </c>
      <c r="D862" s="41" t="s">
        <v>1722</v>
      </c>
      <c r="E862" s="9" t="s">
        <v>22</v>
      </c>
      <c r="F862" s="9" t="s">
        <v>935</v>
      </c>
      <c r="G862" s="9"/>
      <c r="H862" s="39"/>
      <c r="I862" s="9"/>
      <c r="J862" s="39"/>
      <c r="K862" s="42"/>
      <c r="L862" s="9"/>
      <c r="M862" s="16"/>
      <c r="AA862" s="14">
        <f t="shared" si="26"/>
        <v>326</v>
      </c>
      <c r="AB862" s="47">
        <f t="shared" si="27"/>
        <v>325</v>
      </c>
      <c r="AD862" s="53"/>
      <c r="AE862" s="53"/>
      <c r="AF862" s="53"/>
      <c r="AG862" s="53"/>
    </row>
    <row r="863" spans="1:33" s="46" customFormat="1">
      <c r="A863" s="39">
        <v>41236</v>
      </c>
      <c r="B863" s="9" t="s">
        <v>1952</v>
      </c>
      <c r="C863" s="15">
        <v>544</v>
      </c>
      <c r="D863" s="41" t="s">
        <v>1953</v>
      </c>
      <c r="E863" s="9" t="s">
        <v>265</v>
      </c>
      <c r="F863" s="9" t="s">
        <v>479</v>
      </c>
      <c r="G863" s="9"/>
      <c r="H863" s="39"/>
      <c r="I863" s="9"/>
      <c r="J863" s="39"/>
      <c r="K863" s="42"/>
      <c r="L863" s="9" t="s">
        <v>1954</v>
      </c>
      <c r="M863" s="16"/>
      <c r="AA863" s="14">
        <f t="shared" si="26"/>
        <v>-394</v>
      </c>
      <c r="AB863" s="47">
        <f t="shared" si="27"/>
        <v>-395</v>
      </c>
      <c r="AD863" s="53"/>
      <c r="AE863" s="53"/>
      <c r="AF863" s="53"/>
      <c r="AG863" s="53"/>
    </row>
    <row r="864" spans="1:33" s="46" customFormat="1">
      <c r="A864" s="39">
        <v>41236</v>
      </c>
      <c r="B864" s="9" t="s">
        <v>2927</v>
      </c>
      <c r="C864" s="15">
        <v>955</v>
      </c>
      <c r="D864" s="41" t="s">
        <v>1747</v>
      </c>
      <c r="E864" s="9" t="s">
        <v>265</v>
      </c>
      <c r="F864" s="9" t="s">
        <v>935</v>
      </c>
      <c r="G864" s="9"/>
      <c r="H864" s="39"/>
      <c r="I864" s="9"/>
      <c r="J864" s="39"/>
      <c r="K864" s="42"/>
      <c r="L864" s="9"/>
      <c r="M864" s="16"/>
      <c r="AA864" s="14">
        <f t="shared" si="26"/>
        <v>411</v>
      </c>
      <c r="AB864" s="47">
        <f t="shared" si="27"/>
        <v>410</v>
      </c>
      <c r="AD864" s="53"/>
      <c r="AE864" s="53"/>
      <c r="AF864" s="53"/>
      <c r="AG864" s="53"/>
    </row>
    <row r="865" spans="1:33" s="46" customFormat="1">
      <c r="A865" s="39">
        <v>41236</v>
      </c>
      <c r="B865" s="9"/>
      <c r="C865" s="15"/>
      <c r="D865" s="41" t="s">
        <v>1788</v>
      </c>
      <c r="E865" s="9" t="s">
        <v>1789</v>
      </c>
      <c r="F865" s="9" t="s">
        <v>479</v>
      </c>
      <c r="G865" s="9"/>
      <c r="H865" s="39"/>
      <c r="I865" s="9"/>
      <c r="J865" s="39"/>
      <c r="K865" s="42"/>
      <c r="L865" s="9" t="s">
        <v>1790</v>
      </c>
      <c r="M865" s="16"/>
      <c r="AA865" s="14">
        <f t="shared" si="26"/>
        <v>-955</v>
      </c>
      <c r="AB865" s="47">
        <f t="shared" si="27"/>
        <v>-956</v>
      </c>
      <c r="AD865" s="53"/>
      <c r="AE865" s="53"/>
      <c r="AF865" s="53"/>
      <c r="AG865" s="53"/>
    </row>
    <row r="866" spans="1:33" s="46" customFormat="1">
      <c r="A866" s="39">
        <v>41236</v>
      </c>
      <c r="B866" s="9"/>
      <c r="C866" s="15"/>
      <c r="D866" s="41" t="s">
        <v>1904</v>
      </c>
      <c r="E866" s="9" t="s">
        <v>31</v>
      </c>
      <c r="F866" s="9" t="s">
        <v>935</v>
      </c>
      <c r="G866" s="9"/>
      <c r="H866" s="39"/>
      <c r="I866" s="9"/>
      <c r="J866" s="39"/>
      <c r="K866" s="42"/>
      <c r="L866" s="9"/>
      <c r="M866" s="16"/>
      <c r="AA866" s="14">
        <f t="shared" si="26"/>
        <v>0</v>
      </c>
      <c r="AB866" s="47">
        <f t="shared" si="27"/>
        <v>-1</v>
      </c>
      <c r="AD866" s="53"/>
      <c r="AE866" s="53"/>
      <c r="AF866" s="53"/>
      <c r="AG866" s="53"/>
    </row>
    <row r="867" spans="1:33" s="46" customFormat="1">
      <c r="A867" s="39">
        <v>41236</v>
      </c>
      <c r="B867" s="9" t="s">
        <v>2234</v>
      </c>
      <c r="C867" s="15">
        <v>630</v>
      </c>
      <c r="D867" s="41" t="s">
        <v>1876</v>
      </c>
      <c r="E867" s="9" t="s">
        <v>274</v>
      </c>
      <c r="F867" s="9" t="s">
        <v>479</v>
      </c>
      <c r="G867" s="9"/>
      <c r="H867" s="39"/>
      <c r="I867" s="9"/>
      <c r="J867" s="39"/>
      <c r="K867" s="42"/>
      <c r="L867" s="9"/>
      <c r="M867" s="16"/>
      <c r="AA867" s="14">
        <f t="shared" si="26"/>
        <v>630</v>
      </c>
      <c r="AB867" s="47">
        <f t="shared" si="27"/>
        <v>629</v>
      </c>
      <c r="AD867" s="53"/>
      <c r="AE867" s="53"/>
      <c r="AF867" s="53"/>
      <c r="AG867" s="53"/>
    </row>
    <row r="868" spans="1:33" s="46" customFormat="1" ht="12" customHeight="1">
      <c r="A868" s="39">
        <v>41236</v>
      </c>
      <c r="B868" s="74" t="s">
        <v>2786</v>
      </c>
      <c r="C868" s="15">
        <v>722</v>
      </c>
      <c r="D868" s="41" t="s">
        <v>1877</v>
      </c>
      <c r="E868" s="9" t="s">
        <v>274</v>
      </c>
      <c r="F868" s="9" t="s">
        <v>479</v>
      </c>
      <c r="G868" s="9"/>
      <c r="H868" s="39"/>
      <c r="I868" s="9"/>
      <c r="J868" s="39"/>
      <c r="K868" s="42"/>
      <c r="L868" s="9"/>
      <c r="M868" s="16"/>
      <c r="AA868" s="14">
        <f t="shared" si="26"/>
        <v>92</v>
      </c>
      <c r="AB868" s="47">
        <f t="shared" si="27"/>
        <v>91</v>
      </c>
      <c r="AD868" s="53"/>
      <c r="AE868" s="53"/>
      <c r="AF868" s="53"/>
      <c r="AG868" s="53"/>
    </row>
    <row r="869" spans="1:33" s="46" customFormat="1">
      <c r="A869" s="39">
        <v>41236</v>
      </c>
      <c r="B869" s="9" t="s">
        <v>2669</v>
      </c>
      <c r="C869" s="15">
        <v>696</v>
      </c>
      <c r="D869" s="41" t="s">
        <v>1916</v>
      </c>
      <c r="E869" s="9" t="s">
        <v>31</v>
      </c>
      <c r="F869" s="9" t="s">
        <v>479</v>
      </c>
      <c r="G869" s="9"/>
      <c r="H869" s="39"/>
      <c r="I869" s="9"/>
      <c r="J869" s="39"/>
      <c r="K869" s="42"/>
      <c r="L869" s="9" t="s">
        <v>1917</v>
      </c>
      <c r="M869" s="16"/>
      <c r="AA869" s="14">
        <f t="shared" si="26"/>
        <v>-26</v>
      </c>
      <c r="AB869" s="47">
        <f t="shared" si="27"/>
        <v>-27</v>
      </c>
      <c r="AD869" s="53"/>
      <c r="AE869" s="53"/>
      <c r="AF869" s="53"/>
      <c r="AG869" s="53"/>
    </row>
    <row r="870" spans="1:33" s="46" customFormat="1">
      <c r="A870" s="39">
        <v>41236</v>
      </c>
      <c r="B870" s="9" t="s">
        <v>2233</v>
      </c>
      <c r="C870" s="15">
        <v>633</v>
      </c>
      <c r="D870" s="41" t="s">
        <v>1915</v>
      </c>
      <c r="E870" s="9" t="s">
        <v>31</v>
      </c>
      <c r="F870" s="9" t="s">
        <v>479</v>
      </c>
      <c r="G870" s="9"/>
      <c r="H870" s="39"/>
      <c r="I870" s="9"/>
      <c r="J870" s="39"/>
      <c r="K870" s="42"/>
      <c r="L870" s="9"/>
      <c r="M870" s="16" t="s">
        <v>71</v>
      </c>
      <c r="AA870" s="14">
        <f t="shared" si="26"/>
        <v>-63</v>
      </c>
      <c r="AB870" s="47">
        <f t="shared" si="27"/>
        <v>-64</v>
      </c>
      <c r="AD870" s="53"/>
      <c r="AE870" s="53"/>
      <c r="AF870" s="53"/>
      <c r="AG870" s="53"/>
    </row>
    <row r="871" spans="1:33" s="46" customFormat="1">
      <c r="A871" s="39">
        <v>41236</v>
      </c>
      <c r="B871" s="9"/>
      <c r="C871" s="15"/>
      <c r="D871" s="41" t="s">
        <v>1918</v>
      </c>
      <c r="E871" s="9" t="s">
        <v>1919</v>
      </c>
      <c r="F871" s="9" t="s">
        <v>935</v>
      </c>
      <c r="G871" s="9"/>
      <c r="H871" s="39"/>
      <c r="I871" s="9"/>
      <c r="J871" s="39"/>
      <c r="K871" s="42"/>
      <c r="L871" s="9"/>
      <c r="M871" s="16"/>
      <c r="AA871" s="14">
        <f t="shared" si="26"/>
        <v>-633</v>
      </c>
      <c r="AB871" s="47">
        <f t="shared" si="27"/>
        <v>-634</v>
      </c>
      <c r="AD871" s="53"/>
      <c r="AE871" s="53"/>
      <c r="AF871" s="53"/>
      <c r="AG871" s="53"/>
    </row>
    <row r="872" spans="1:33" s="46" customFormat="1">
      <c r="A872" s="39">
        <v>41236</v>
      </c>
      <c r="B872" s="9" t="s">
        <v>2688</v>
      </c>
      <c r="C872" s="15">
        <v>668</v>
      </c>
      <c r="D872" s="41" t="s">
        <v>1891</v>
      </c>
      <c r="E872" s="9" t="s">
        <v>274</v>
      </c>
      <c r="F872" s="9" t="s">
        <v>479</v>
      </c>
      <c r="G872" s="9"/>
      <c r="H872" s="39"/>
      <c r="I872" s="9"/>
      <c r="J872" s="39"/>
      <c r="K872" s="42"/>
      <c r="L872" s="9" t="s">
        <v>1892</v>
      </c>
      <c r="M872" s="16"/>
      <c r="AA872" s="14">
        <f t="shared" si="26"/>
        <v>668</v>
      </c>
      <c r="AB872" s="47">
        <f t="shared" si="27"/>
        <v>667</v>
      </c>
      <c r="AD872" s="53"/>
      <c r="AE872" s="53"/>
      <c r="AF872" s="53"/>
      <c r="AG872" s="53"/>
    </row>
    <row r="873" spans="1:33" s="46" customFormat="1">
      <c r="A873" s="39">
        <v>41236</v>
      </c>
      <c r="B873" s="9" t="s">
        <v>2742</v>
      </c>
      <c r="C873" s="15">
        <v>940</v>
      </c>
      <c r="D873" s="41" t="s">
        <v>1728</v>
      </c>
      <c r="E873" s="9" t="s">
        <v>22</v>
      </c>
      <c r="F873" s="9" t="s">
        <v>935</v>
      </c>
      <c r="G873" s="9"/>
      <c r="H873" s="39"/>
      <c r="I873" s="9"/>
      <c r="J873" s="39"/>
      <c r="K873" s="42"/>
      <c r="L873" s="9" t="s">
        <v>1729</v>
      </c>
      <c r="M873" s="16"/>
      <c r="AA873" s="14">
        <f t="shared" si="26"/>
        <v>272</v>
      </c>
      <c r="AB873" s="47">
        <f t="shared" si="27"/>
        <v>271</v>
      </c>
      <c r="AD873" s="53"/>
      <c r="AE873" s="53"/>
      <c r="AF873" s="53"/>
      <c r="AG873" s="53"/>
    </row>
    <row r="874" spans="1:33" s="46" customFormat="1">
      <c r="A874" s="39">
        <v>41236</v>
      </c>
      <c r="B874" s="9" t="s">
        <v>1940</v>
      </c>
      <c r="C874" s="15">
        <v>555</v>
      </c>
      <c r="D874" s="41" t="s">
        <v>1712</v>
      </c>
      <c r="E874" s="9" t="s">
        <v>22</v>
      </c>
      <c r="F874" s="9" t="s">
        <v>479</v>
      </c>
      <c r="G874" s="9"/>
      <c r="H874" s="39"/>
      <c r="I874" s="9"/>
      <c r="J874" s="39"/>
      <c r="K874" s="42"/>
      <c r="L874" s="9" t="s">
        <v>1713</v>
      </c>
      <c r="M874" s="16"/>
      <c r="AA874" s="14">
        <f t="shared" ref="AA874:AA937" si="28">C874-C873</f>
        <v>-385</v>
      </c>
      <c r="AB874" s="47">
        <f t="shared" ref="AB874:AB937" si="29">AA874-1</f>
        <v>-386</v>
      </c>
      <c r="AD874" s="53"/>
      <c r="AE874" s="53"/>
      <c r="AF874" s="53"/>
      <c r="AG874" s="53"/>
    </row>
    <row r="875" spans="1:33" s="46" customFormat="1">
      <c r="A875" s="39">
        <v>41236</v>
      </c>
      <c r="B875" s="9" t="s">
        <v>2685</v>
      </c>
      <c r="C875" s="15">
        <v>663</v>
      </c>
      <c r="D875" s="41" t="s">
        <v>1893</v>
      </c>
      <c r="E875" s="9" t="s">
        <v>274</v>
      </c>
      <c r="F875" s="9" t="s">
        <v>479</v>
      </c>
      <c r="G875" s="9"/>
      <c r="H875" s="39"/>
      <c r="I875" s="9"/>
      <c r="J875" s="39"/>
      <c r="K875" s="42"/>
      <c r="L875" s="9" t="s">
        <v>1894</v>
      </c>
      <c r="M875" s="16"/>
      <c r="AA875" s="14">
        <f t="shared" si="28"/>
        <v>108</v>
      </c>
      <c r="AB875" s="47">
        <f t="shared" si="29"/>
        <v>107</v>
      </c>
      <c r="AD875" s="53"/>
      <c r="AE875" s="53"/>
      <c r="AF875" s="53"/>
      <c r="AG875" s="53"/>
    </row>
    <row r="876" spans="1:33" s="46" customFormat="1">
      <c r="A876" s="39">
        <v>41236</v>
      </c>
      <c r="B876" s="9"/>
      <c r="C876" s="15"/>
      <c r="D876" s="41" t="s">
        <v>1786</v>
      </c>
      <c r="E876" s="9" t="s">
        <v>22</v>
      </c>
      <c r="F876" s="9" t="s">
        <v>935</v>
      </c>
      <c r="G876" s="9"/>
      <c r="H876" s="39"/>
      <c r="I876" s="9"/>
      <c r="J876" s="39"/>
      <c r="K876" s="42"/>
      <c r="L876" s="9" t="s">
        <v>1787</v>
      </c>
      <c r="M876" s="16"/>
      <c r="AA876" s="14">
        <f t="shared" si="28"/>
        <v>-663</v>
      </c>
      <c r="AB876" s="47">
        <f t="shared" si="29"/>
        <v>-664</v>
      </c>
      <c r="AD876" s="53"/>
      <c r="AE876" s="53"/>
      <c r="AF876" s="53"/>
      <c r="AG876" s="53"/>
    </row>
    <row r="877" spans="1:33" s="46" customFormat="1">
      <c r="A877" s="39">
        <v>41236</v>
      </c>
      <c r="B877" s="9" t="s">
        <v>2795</v>
      </c>
      <c r="C877" s="15">
        <v>751</v>
      </c>
      <c r="D877" s="41" t="s">
        <v>1690</v>
      </c>
      <c r="E877" s="9" t="s">
        <v>1420</v>
      </c>
      <c r="F877" s="9" t="s">
        <v>479</v>
      </c>
      <c r="G877" s="9"/>
      <c r="H877" s="39"/>
      <c r="I877" s="9"/>
      <c r="J877" s="39"/>
      <c r="K877" s="42"/>
      <c r="L877" s="9" t="s">
        <v>1691</v>
      </c>
      <c r="M877" s="16"/>
      <c r="AA877" s="14">
        <f t="shared" si="28"/>
        <v>751</v>
      </c>
      <c r="AB877" s="47">
        <f t="shared" si="29"/>
        <v>750</v>
      </c>
      <c r="AD877" s="53"/>
      <c r="AE877" s="53"/>
      <c r="AF877" s="53"/>
      <c r="AG877" s="53"/>
    </row>
    <row r="878" spans="1:33" s="46" customFormat="1">
      <c r="A878" s="39">
        <v>41236</v>
      </c>
      <c r="B878" s="9" t="s">
        <v>2265</v>
      </c>
      <c r="C878" s="15">
        <v>656</v>
      </c>
      <c r="D878" s="41" t="s">
        <v>410</v>
      </c>
      <c r="E878" s="9" t="s">
        <v>274</v>
      </c>
      <c r="F878" s="9" t="s">
        <v>479</v>
      </c>
      <c r="G878" s="9"/>
      <c r="H878" s="39"/>
      <c r="I878" s="9"/>
      <c r="J878" s="39"/>
      <c r="K878" s="42"/>
      <c r="L878" s="9" t="s">
        <v>1895</v>
      </c>
      <c r="M878" s="16"/>
      <c r="AA878" s="14">
        <f t="shared" si="28"/>
        <v>-95</v>
      </c>
      <c r="AB878" s="47">
        <f t="shared" si="29"/>
        <v>-96</v>
      </c>
      <c r="AD878" s="53"/>
      <c r="AE878" s="53"/>
      <c r="AF878" s="53"/>
      <c r="AG878" s="53"/>
    </row>
    <row r="879" spans="1:33" s="46" customFormat="1">
      <c r="A879" s="39">
        <v>41236</v>
      </c>
      <c r="B879" s="9" t="s">
        <v>2266</v>
      </c>
      <c r="C879" s="15">
        <v>657</v>
      </c>
      <c r="D879" s="41" t="s">
        <v>1706</v>
      </c>
      <c r="E879" s="9" t="s">
        <v>22</v>
      </c>
      <c r="F879" s="9" t="s">
        <v>479</v>
      </c>
      <c r="G879" s="9"/>
      <c r="H879" s="39"/>
      <c r="I879" s="9"/>
      <c r="J879" s="39"/>
      <c r="K879" s="42"/>
      <c r="L879" s="9" t="s">
        <v>1707</v>
      </c>
      <c r="M879" s="16"/>
      <c r="AA879" s="14">
        <f t="shared" si="28"/>
        <v>1</v>
      </c>
      <c r="AB879" s="47">
        <f t="shared" si="29"/>
        <v>0</v>
      </c>
      <c r="AD879" s="53"/>
      <c r="AE879" s="53"/>
      <c r="AF879" s="53"/>
      <c r="AG879" s="53"/>
    </row>
    <row r="880" spans="1:33" s="46" customFormat="1" ht="12" customHeight="1">
      <c r="A880" s="39">
        <v>41236</v>
      </c>
      <c r="B880" s="9" t="s">
        <v>2891</v>
      </c>
      <c r="C880" s="15">
        <v>821</v>
      </c>
      <c r="D880" s="41" t="s">
        <v>1802</v>
      </c>
      <c r="E880" s="9" t="s">
        <v>134</v>
      </c>
      <c r="F880" s="9" t="s">
        <v>935</v>
      </c>
      <c r="G880" s="9"/>
      <c r="H880" s="39"/>
      <c r="I880" s="9"/>
      <c r="J880" s="39"/>
      <c r="K880" s="42"/>
      <c r="L880" s="9" t="s">
        <v>1803</v>
      </c>
      <c r="M880" s="16"/>
      <c r="AA880" s="14">
        <f t="shared" si="28"/>
        <v>164</v>
      </c>
      <c r="AB880" s="47">
        <f t="shared" si="29"/>
        <v>163</v>
      </c>
      <c r="AD880" s="53"/>
      <c r="AE880" s="53"/>
      <c r="AF880" s="53"/>
      <c r="AG880" s="53"/>
    </row>
    <row r="881" spans="1:33" s="46" customFormat="1" ht="12" customHeight="1">
      <c r="A881" s="39">
        <v>41236</v>
      </c>
      <c r="B881" s="74" t="s">
        <v>2802</v>
      </c>
      <c r="C881" s="15">
        <v>800</v>
      </c>
      <c r="D881" s="41" t="s">
        <v>1804</v>
      </c>
      <c r="E881" s="9" t="s">
        <v>134</v>
      </c>
      <c r="F881" s="9" t="s">
        <v>479</v>
      </c>
      <c r="G881" s="9"/>
      <c r="H881" s="39"/>
      <c r="I881" s="9"/>
      <c r="J881" s="39"/>
      <c r="K881" s="42"/>
      <c r="L881" s="9"/>
      <c r="M881" s="16"/>
      <c r="AA881" s="14">
        <f t="shared" si="28"/>
        <v>-21</v>
      </c>
      <c r="AB881" s="47">
        <f t="shared" si="29"/>
        <v>-22</v>
      </c>
      <c r="AD881" s="53"/>
      <c r="AE881" s="53"/>
      <c r="AF881" s="53"/>
      <c r="AG881" s="53"/>
    </row>
    <row r="882" spans="1:33" s="46" customFormat="1">
      <c r="A882" s="39">
        <v>41236</v>
      </c>
      <c r="B882" s="9" t="s">
        <v>2686</v>
      </c>
      <c r="C882" s="15">
        <v>664</v>
      </c>
      <c r="D882" s="41" t="s">
        <v>1896</v>
      </c>
      <c r="E882" s="9" t="s">
        <v>274</v>
      </c>
      <c r="F882" s="9" t="s">
        <v>479</v>
      </c>
      <c r="G882" s="9"/>
      <c r="H882" s="39"/>
      <c r="I882" s="9"/>
      <c r="J882" s="39"/>
      <c r="K882" s="42"/>
      <c r="L882" s="9" t="s">
        <v>1897</v>
      </c>
      <c r="M882" s="16"/>
      <c r="AA882" s="14">
        <f t="shared" si="28"/>
        <v>-136</v>
      </c>
      <c r="AB882" s="47">
        <f t="shared" si="29"/>
        <v>-137</v>
      </c>
      <c r="AD882" s="53"/>
      <c r="AE882" s="53"/>
      <c r="AF882" s="53"/>
      <c r="AG882" s="53"/>
    </row>
    <row r="883" spans="1:33" s="46" customFormat="1">
      <c r="A883" s="39">
        <v>41236</v>
      </c>
      <c r="B883" s="9"/>
      <c r="C883" s="15"/>
      <c r="D883" s="41" t="s">
        <v>1898</v>
      </c>
      <c r="E883" s="9" t="s">
        <v>274</v>
      </c>
      <c r="F883" s="9" t="s">
        <v>935</v>
      </c>
      <c r="G883" s="9"/>
      <c r="H883" s="39"/>
      <c r="I883" s="9"/>
      <c r="J883" s="39"/>
      <c r="K883" s="42"/>
      <c r="L883" s="9" t="s">
        <v>1899</v>
      </c>
      <c r="M883" s="16"/>
      <c r="AA883" s="14">
        <f t="shared" si="28"/>
        <v>-664</v>
      </c>
      <c r="AB883" s="47">
        <f t="shared" si="29"/>
        <v>-665</v>
      </c>
      <c r="AD883" s="53"/>
      <c r="AE883" s="53"/>
      <c r="AF883" s="53"/>
      <c r="AG883" s="53"/>
    </row>
    <row r="884" spans="1:33" s="46" customFormat="1">
      <c r="A884" s="39">
        <v>41236</v>
      </c>
      <c r="B884" s="9"/>
      <c r="C884" s="15"/>
      <c r="D884" s="41" t="s">
        <v>1791</v>
      </c>
      <c r="E884" s="9" t="s">
        <v>1208</v>
      </c>
      <c r="F884" s="9" t="s">
        <v>935</v>
      </c>
      <c r="G884" s="9"/>
      <c r="H884" s="39"/>
      <c r="I884" s="9"/>
      <c r="J884" s="39"/>
      <c r="K884" s="42"/>
      <c r="L884" s="9" t="s">
        <v>1792</v>
      </c>
      <c r="M884" s="16"/>
      <c r="AA884" s="14">
        <f t="shared" si="28"/>
        <v>0</v>
      </c>
      <c r="AB884" s="47">
        <f t="shared" si="29"/>
        <v>-1</v>
      </c>
      <c r="AD884" s="53"/>
      <c r="AE884" s="53"/>
      <c r="AF884" s="53"/>
      <c r="AG884" s="53"/>
    </row>
    <row r="885" spans="1:33" s="46" customFormat="1">
      <c r="A885" s="39">
        <v>41236</v>
      </c>
      <c r="B885" s="9" t="s">
        <v>2272</v>
      </c>
      <c r="C885" s="15">
        <v>708</v>
      </c>
      <c r="D885" s="41" t="s">
        <v>2271</v>
      </c>
      <c r="E885" s="9" t="s">
        <v>18</v>
      </c>
      <c r="F885" s="9" t="s">
        <v>479</v>
      </c>
      <c r="G885" s="9"/>
      <c r="H885" s="39"/>
      <c r="I885" s="9"/>
      <c r="J885" s="39"/>
      <c r="K885" s="42"/>
      <c r="L885" s="9" t="s">
        <v>1807</v>
      </c>
      <c r="M885" s="16"/>
      <c r="AA885" s="14">
        <f t="shared" si="28"/>
        <v>708</v>
      </c>
      <c r="AB885" s="47">
        <f t="shared" si="29"/>
        <v>707</v>
      </c>
      <c r="AD885" s="53"/>
      <c r="AE885" s="53"/>
      <c r="AF885" s="53"/>
      <c r="AG885" s="53"/>
    </row>
    <row r="886" spans="1:33" s="46" customFormat="1">
      <c r="A886" s="39">
        <v>41236</v>
      </c>
      <c r="B886" s="9" t="s">
        <v>2648</v>
      </c>
      <c r="C886" s="15">
        <v>780</v>
      </c>
      <c r="D886" s="41" t="s">
        <v>1767</v>
      </c>
      <c r="E886" s="9" t="s">
        <v>22</v>
      </c>
      <c r="F886" s="9" t="s">
        <v>479</v>
      </c>
      <c r="G886" s="9"/>
      <c r="H886" s="39"/>
      <c r="I886" s="9"/>
      <c r="J886" s="39"/>
      <c r="K886" s="42"/>
      <c r="L886" s="9" t="s">
        <v>1768</v>
      </c>
      <c r="M886" s="16" t="s">
        <v>191</v>
      </c>
      <c r="AA886" s="14">
        <f t="shared" si="28"/>
        <v>72</v>
      </c>
      <c r="AB886" s="47">
        <f t="shared" si="29"/>
        <v>71</v>
      </c>
      <c r="AD886" s="53"/>
      <c r="AE886" s="53"/>
      <c r="AF886" s="53"/>
      <c r="AG886" s="53"/>
    </row>
    <row r="887" spans="1:33" s="46" customFormat="1" ht="12" customHeight="1">
      <c r="A887" s="39">
        <v>41236</v>
      </c>
      <c r="B887" s="9" t="s">
        <v>2433</v>
      </c>
      <c r="C887" s="15"/>
      <c r="D887" s="41" t="s">
        <v>1921</v>
      </c>
      <c r="E887" s="9" t="s">
        <v>1919</v>
      </c>
      <c r="F887" s="9" t="s">
        <v>935</v>
      </c>
      <c r="G887" s="9"/>
      <c r="H887" s="39"/>
      <c r="I887" s="9"/>
      <c r="J887" s="39"/>
      <c r="K887" s="42"/>
      <c r="L887" s="9"/>
      <c r="M887" s="16"/>
      <c r="AA887" s="14">
        <f t="shared" si="28"/>
        <v>-780</v>
      </c>
      <c r="AB887" s="47">
        <f t="shared" si="29"/>
        <v>-781</v>
      </c>
      <c r="AD887" s="53"/>
      <c r="AE887" s="53"/>
      <c r="AF887" s="53"/>
      <c r="AG887" s="53"/>
    </row>
    <row r="888" spans="1:33" s="46" customFormat="1" ht="12" customHeight="1">
      <c r="A888" s="39">
        <v>41236</v>
      </c>
      <c r="B888" s="9" t="s">
        <v>2264</v>
      </c>
      <c r="C888" s="15">
        <v>655</v>
      </c>
      <c r="D888" s="41" t="s">
        <v>1920</v>
      </c>
      <c r="E888" s="9" t="s">
        <v>1919</v>
      </c>
      <c r="F888" s="9" t="s">
        <v>479</v>
      </c>
      <c r="G888" s="9"/>
      <c r="H888" s="39"/>
      <c r="I888" s="9"/>
      <c r="J888" s="39"/>
      <c r="K888" s="42"/>
      <c r="L888" s="9"/>
      <c r="M888" s="16"/>
      <c r="AA888" s="14">
        <f t="shared" si="28"/>
        <v>655</v>
      </c>
      <c r="AB888" s="47">
        <f t="shared" si="29"/>
        <v>654</v>
      </c>
      <c r="AD888" s="53"/>
      <c r="AE888" s="53"/>
      <c r="AF888" s="53"/>
      <c r="AG888" s="53"/>
    </row>
    <row r="889" spans="1:33" s="46" customFormat="1">
      <c r="A889" s="39">
        <v>41236</v>
      </c>
      <c r="B889" s="9"/>
      <c r="C889" s="15"/>
      <c r="D889" s="41" t="s">
        <v>1913</v>
      </c>
      <c r="E889" s="9" t="s">
        <v>1914</v>
      </c>
      <c r="F889" s="9" t="s">
        <v>935</v>
      </c>
      <c r="G889" s="9"/>
      <c r="H889" s="39"/>
      <c r="I889" s="9"/>
      <c r="J889" s="39"/>
      <c r="K889" s="42"/>
      <c r="L889" s="9"/>
      <c r="M889" s="16"/>
      <c r="AA889" s="14">
        <f t="shared" si="28"/>
        <v>-655</v>
      </c>
      <c r="AB889" s="47">
        <f t="shared" si="29"/>
        <v>-656</v>
      </c>
      <c r="AD889" s="53"/>
      <c r="AE889" s="53"/>
      <c r="AF889" s="53"/>
      <c r="AG889" s="53"/>
    </row>
    <row r="890" spans="1:33" s="46" customFormat="1">
      <c r="A890" s="39">
        <v>41236</v>
      </c>
      <c r="B890" s="9" t="s">
        <v>2262</v>
      </c>
      <c r="C890" s="15">
        <v>653</v>
      </c>
      <c r="D890" s="41" t="s">
        <v>1687</v>
      </c>
      <c r="E890" s="9" t="s">
        <v>22</v>
      </c>
      <c r="F890" s="9" t="s">
        <v>479</v>
      </c>
      <c r="G890" s="9"/>
      <c r="H890" s="39"/>
      <c r="I890" s="9"/>
      <c r="J890" s="39"/>
      <c r="K890" s="42"/>
      <c r="L890" s="9" t="s">
        <v>1688</v>
      </c>
      <c r="M890" s="16"/>
      <c r="AA890" s="14">
        <f t="shared" si="28"/>
        <v>653</v>
      </c>
      <c r="AB890" s="47">
        <f t="shared" si="29"/>
        <v>652</v>
      </c>
      <c r="AD890" s="53"/>
      <c r="AE890" s="53"/>
      <c r="AF890" s="53"/>
      <c r="AG890" s="53"/>
    </row>
    <row r="891" spans="1:33" s="46" customFormat="1" ht="12" customHeight="1">
      <c r="A891" s="39">
        <v>41236</v>
      </c>
      <c r="B891" s="9" t="s">
        <v>2425</v>
      </c>
      <c r="C891" s="15"/>
      <c r="D891" s="41" t="s">
        <v>2424</v>
      </c>
      <c r="E891" s="9" t="s">
        <v>1919</v>
      </c>
      <c r="F891" s="9" t="s">
        <v>935</v>
      </c>
      <c r="G891" s="9"/>
      <c r="H891" s="39"/>
      <c r="I891" s="9"/>
      <c r="J891" s="39"/>
      <c r="K891" s="42"/>
      <c r="L891" s="9"/>
      <c r="M891" s="16"/>
      <c r="AA891" s="14">
        <f t="shared" si="28"/>
        <v>-653</v>
      </c>
      <c r="AB891" s="47">
        <f t="shared" si="29"/>
        <v>-654</v>
      </c>
      <c r="AD891" s="53"/>
      <c r="AE891" s="53"/>
      <c r="AF891" s="53"/>
      <c r="AG891" s="53"/>
    </row>
    <row r="892" spans="1:33" s="46" customFormat="1">
      <c r="A892" s="39">
        <v>41236</v>
      </c>
      <c r="B892" s="9" t="s">
        <v>2834</v>
      </c>
      <c r="C892" s="15">
        <v>762</v>
      </c>
      <c r="D892" s="41" t="s">
        <v>1900</v>
      </c>
      <c r="E892" s="9" t="s">
        <v>274</v>
      </c>
      <c r="F892" s="9" t="s">
        <v>479</v>
      </c>
      <c r="G892" s="9"/>
      <c r="H892" s="39"/>
      <c r="I892" s="9"/>
      <c r="J892" s="39"/>
      <c r="K892" s="42"/>
      <c r="L892" s="9"/>
      <c r="M892" s="16"/>
      <c r="AA892" s="14">
        <f t="shared" si="28"/>
        <v>762</v>
      </c>
      <c r="AB892" s="47">
        <f t="shared" si="29"/>
        <v>761</v>
      </c>
      <c r="AD892" s="53"/>
      <c r="AE892" s="53"/>
      <c r="AF892" s="53"/>
      <c r="AG892" s="53"/>
    </row>
    <row r="893" spans="1:33" s="46" customFormat="1">
      <c r="A893" s="39">
        <v>41236</v>
      </c>
      <c r="B893" s="9"/>
      <c r="C893" s="15"/>
      <c r="D893" s="41" t="s">
        <v>1796</v>
      </c>
      <c r="E893" s="9" t="s">
        <v>300</v>
      </c>
      <c r="F893" s="9" t="s">
        <v>479</v>
      </c>
      <c r="G893" s="9"/>
      <c r="H893" s="39"/>
      <c r="I893" s="9"/>
      <c r="J893" s="39"/>
      <c r="K893" s="42"/>
      <c r="L893" s="9" t="s">
        <v>1797</v>
      </c>
      <c r="M893" s="16"/>
      <c r="AA893" s="14">
        <f t="shared" si="28"/>
        <v>-762</v>
      </c>
      <c r="AB893" s="47">
        <f t="shared" si="29"/>
        <v>-763</v>
      </c>
      <c r="AD893" s="53"/>
      <c r="AE893" s="53"/>
      <c r="AF893" s="53"/>
      <c r="AG893" s="53"/>
    </row>
    <row r="894" spans="1:33" s="46" customFormat="1">
      <c r="A894" s="39">
        <v>41236</v>
      </c>
      <c r="B894" s="9" t="s">
        <v>2178</v>
      </c>
      <c r="C894" s="15">
        <v>582</v>
      </c>
      <c r="D894" s="41" t="s">
        <v>1901</v>
      </c>
      <c r="E894" s="9" t="s">
        <v>274</v>
      </c>
      <c r="F894" s="9" t="s">
        <v>479</v>
      </c>
      <c r="G894" s="9"/>
      <c r="H894" s="39"/>
      <c r="I894" s="9"/>
      <c r="J894" s="39"/>
      <c r="K894" s="42"/>
      <c r="L894" s="9" t="s">
        <v>1902</v>
      </c>
      <c r="M894" s="16"/>
      <c r="AA894" s="14">
        <f t="shared" si="28"/>
        <v>582</v>
      </c>
      <c r="AB894" s="47">
        <f t="shared" si="29"/>
        <v>581</v>
      </c>
      <c r="AD894" s="53"/>
      <c r="AE894" s="53"/>
      <c r="AF894" s="53"/>
      <c r="AG894" s="53"/>
    </row>
    <row r="895" spans="1:33" s="46" customFormat="1">
      <c r="A895" s="39">
        <v>41236</v>
      </c>
      <c r="B895" s="9" t="s">
        <v>2682</v>
      </c>
      <c r="C895" s="15">
        <v>660</v>
      </c>
      <c r="D895" s="41" t="s">
        <v>1903</v>
      </c>
      <c r="E895" s="9" t="s">
        <v>274</v>
      </c>
      <c r="F895" s="15" t="s">
        <v>479</v>
      </c>
      <c r="G895" s="9"/>
      <c r="H895" s="39"/>
      <c r="I895" s="9"/>
      <c r="J895" s="39"/>
      <c r="K895" s="42"/>
      <c r="L895" s="9"/>
      <c r="M895" s="16"/>
      <c r="AA895" s="14">
        <f t="shared" si="28"/>
        <v>78</v>
      </c>
      <c r="AB895" s="47">
        <f t="shared" si="29"/>
        <v>77</v>
      </c>
      <c r="AD895" s="53"/>
      <c r="AE895" s="53"/>
      <c r="AF895" s="53"/>
      <c r="AG895" s="53"/>
    </row>
    <row r="896" spans="1:33" s="46" customFormat="1">
      <c r="A896" s="39">
        <v>41237</v>
      </c>
      <c r="B896" s="9" t="s">
        <v>2888</v>
      </c>
      <c r="C896" s="15">
        <v>802</v>
      </c>
      <c r="D896" s="41" t="s">
        <v>2066</v>
      </c>
      <c r="E896" s="9" t="s">
        <v>1420</v>
      </c>
      <c r="F896" s="9" t="s">
        <v>935</v>
      </c>
      <c r="G896" s="9"/>
      <c r="H896" s="39"/>
      <c r="I896" s="9"/>
      <c r="J896" s="39"/>
      <c r="K896" s="42"/>
      <c r="L896" s="9"/>
      <c r="M896" s="16"/>
      <c r="AA896" s="14">
        <f t="shared" si="28"/>
        <v>142</v>
      </c>
      <c r="AB896" s="47">
        <f t="shared" si="29"/>
        <v>141</v>
      </c>
      <c r="AD896" s="53"/>
      <c r="AE896" s="53"/>
      <c r="AF896" s="53"/>
      <c r="AG896" s="53"/>
    </row>
    <row r="897" spans="1:33" s="46" customFormat="1">
      <c r="A897" s="39">
        <v>41237</v>
      </c>
      <c r="B897" s="9"/>
      <c r="C897" s="15"/>
      <c r="D897" s="41" t="s">
        <v>2186</v>
      </c>
      <c r="E897" s="9" t="s">
        <v>18</v>
      </c>
      <c r="F897" s="9" t="s">
        <v>935</v>
      </c>
      <c r="G897" s="9"/>
      <c r="H897" s="39"/>
      <c r="I897" s="9"/>
      <c r="J897" s="39"/>
      <c r="K897" s="42"/>
      <c r="L897" s="9"/>
      <c r="M897" s="16" t="s">
        <v>193</v>
      </c>
      <c r="AA897" s="14">
        <f t="shared" si="28"/>
        <v>-802</v>
      </c>
      <c r="AB897" s="47">
        <f t="shared" si="29"/>
        <v>-803</v>
      </c>
      <c r="AD897" s="53"/>
      <c r="AE897" s="53"/>
      <c r="AF897" s="53"/>
      <c r="AG897" s="53"/>
    </row>
    <row r="898" spans="1:33" s="46" customFormat="1">
      <c r="A898" s="39">
        <v>41239</v>
      </c>
      <c r="B898" s="9" t="s">
        <v>2746</v>
      </c>
      <c r="C898" s="15">
        <v>895</v>
      </c>
      <c r="D898" s="41" t="s">
        <v>2199</v>
      </c>
      <c r="E898" s="9" t="s">
        <v>2198</v>
      </c>
      <c r="F898" s="9" t="s">
        <v>935</v>
      </c>
      <c r="G898" s="9"/>
      <c r="H898" s="39"/>
      <c r="I898" s="9"/>
      <c r="J898" s="39"/>
      <c r="K898" s="42"/>
      <c r="L898" s="9"/>
      <c r="M898" s="16" t="s">
        <v>193</v>
      </c>
      <c r="AA898" s="14">
        <f t="shared" si="28"/>
        <v>895</v>
      </c>
      <c r="AB898" s="47">
        <f t="shared" si="29"/>
        <v>894</v>
      </c>
      <c r="AD898" s="53"/>
      <c r="AE898" s="53"/>
      <c r="AF898" s="53"/>
      <c r="AG898" s="53"/>
    </row>
    <row r="899" spans="1:33" s="46" customFormat="1">
      <c r="A899" s="39">
        <v>41239</v>
      </c>
      <c r="B899" s="9" t="s">
        <v>2733</v>
      </c>
      <c r="C899" s="15">
        <v>888</v>
      </c>
      <c r="D899" s="41" t="s">
        <v>2197</v>
      </c>
      <c r="E899" s="9" t="s">
        <v>2198</v>
      </c>
      <c r="F899" s="9" t="s">
        <v>935</v>
      </c>
      <c r="G899" s="9"/>
      <c r="H899" s="39"/>
      <c r="I899" s="9"/>
      <c r="J899" s="39"/>
      <c r="K899" s="42"/>
      <c r="L899" s="9"/>
      <c r="M899" s="16"/>
      <c r="AA899" s="14">
        <f t="shared" si="28"/>
        <v>-7</v>
      </c>
      <c r="AB899" s="47">
        <f t="shared" si="29"/>
        <v>-8</v>
      </c>
      <c r="AD899" s="53"/>
      <c r="AE899" s="53"/>
      <c r="AF899" s="53"/>
      <c r="AG899" s="53"/>
    </row>
    <row r="900" spans="1:33" s="46" customFormat="1">
      <c r="A900" s="39">
        <v>41239</v>
      </c>
      <c r="B900" s="9" t="s">
        <v>2734</v>
      </c>
      <c r="C900" s="15">
        <v>891</v>
      </c>
      <c r="D900" s="41" t="s">
        <v>2200</v>
      </c>
      <c r="E900" s="9" t="s">
        <v>2198</v>
      </c>
      <c r="F900" s="9" t="s">
        <v>935</v>
      </c>
      <c r="G900" s="9"/>
      <c r="H900" s="39"/>
      <c r="I900" s="9"/>
      <c r="J900" s="39"/>
      <c r="K900" s="42"/>
      <c r="L900" s="9"/>
      <c r="M900" s="16" t="s">
        <v>191</v>
      </c>
      <c r="AA900" s="14">
        <f t="shared" si="28"/>
        <v>3</v>
      </c>
      <c r="AB900" s="47">
        <f t="shared" si="29"/>
        <v>2</v>
      </c>
      <c r="AD900" s="53"/>
      <c r="AE900" s="53"/>
      <c r="AF900" s="53"/>
      <c r="AG900" s="53"/>
    </row>
    <row r="901" spans="1:33" s="46" customFormat="1">
      <c r="A901" s="39">
        <v>41239</v>
      </c>
      <c r="B901" s="9" t="s">
        <v>2207</v>
      </c>
      <c r="C901" s="15">
        <v>650</v>
      </c>
      <c r="D901" s="73" t="s">
        <v>2206</v>
      </c>
      <c r="E901" s="73" t="s">
        <v>484</v>
      </c>
      <c r="F901" s="73" t="s">
        <v>479</v>
      </c>
      <c r="G901" s="9"/>
      <c r="H901" s="39"/>
      <c r="I901" s="9"/>
      <c r="J901" s="39"/>
      <c r="K901" s="42"/>
      <c r="L901" s="9"/>
      <c r="M901" s="16"/>
      <c r="AA901" s="14">
        <f t="shared" si="28"/>
        <v>-241</v>
      </c>
      <c r="AB901" s="47">
        <f t="shared" si="29"/>
        <v>-242</v>
      </c>
      <c r="AD901" s="53"/>
      <c r="AE901" s="53"/>
      <c r="AF901" s="53"/>
      <c r="AG901" s="53"/>
    </row>
    <row r="902" spans="1:33" s="46" customFormat="1">
      <c r="A902" s="39">
        <v>41240</v>
      </c>
      <c r="B902" s="9" t="s">
        <v>2698</v>
      </c>
      <c r="C902" s="15">
        <v>730</v>
      </c>
      <c r="D902" s="41" t="s">
        <v>2321</v>
      </c>
      <c r="E902" s="9" t="s">
        <v>1789</v>
      </c>
      <c r="F902" s="9" t="s">
        <v>479</v>
      </c>
      <c r="G902" s="9"/>
      <c r="H902" s="39"/>
      <c r="I902" s="9"/>
      <c r="J902" s="39"/>
      <c r="K902" s="42"/>
      <c r="L902" s="9"/>
      <c r="M902" s="16"/>
      <c r="AA902" s="14">
        <f t="shared" si="28"/>
        <v>80</v>
      </c>
      <c r="AB902" s="47">
        <f t="shared" si="29"/>
        <v>79</v>
      </c>
      <c r="AD902" s="53"/>
      <c r="AE902" s="53"/>
      <c r="AF902" s="53"/>
      <c r="AG902" s="53"/>
    </row>
    <row r="903" spans="1:33" s="46" customFormat="1">
      <c r="A903" s="39">
        <v>41240</v>
      </c>
      <c r="B903" s="9" t="s">
        <v>2831</v>
      </c>
      <c r="C903" s="15">
        <v>767</v>
      </c>
      <c r="D903" s="41" t="s">
        <v>2329</v>
      </c>
      <c r="E903" s="9" t="s">
        <v>300</v>
      </c>
      <c r="F903" s="9" t="s">
        <v>479</v>
      </c>
      <c r="G903" s="9"/>
      <c r="H903" s="39"/>
      <c r="I903" s="9"/>
      <c r="J903" s="39"/>
      <c r="K903" s="42"/>
      <c r="L903" s="9" t="s">
        <v>2438</v>
      </c>
      <c r="M903" s="16"/>
      <c r="AA903" s="14">
        <f t="shared" si="28"/>
        <v>37</v>
      </c>
      <c r="AB903" s="47">
        <f t="shared" si="29"/>
        <v>36</v>
      </c>
      <c r="AD903" s="53"/>
      <c r="AE903" s="53"/>
      <c r="AF903" s="53"/>
      <c r="AG903" s="53"/>
    </row>
    <row r="904" spans="1:33" s="46" customFormat="1" ht="12" customHeight="1">
      <c r="A904" s="39">
        <v>41240</v>
      </c>
      <c r="B904" s="9" t="s">
        <v>2639</v>
      </c>
      <c r="C904" s="15">
        <v>770</v>
      </c>
      <c r="D904" s="41" t="s">
        <v>2304</v>
      </c>
      <c r="E904" s="9" t="s">
        <v>931</v>
      </c>
      <c r="F904" s="9" t="s">
        <v>479</v>
      </c>
      <c r="G904" s="9"/>
      <c r="H904" s="39"/>
      <c r="I904" s="9"/>
      <c r="J904" s="39"/>
      <c r="K904" s="42"/>
      <c r="L904" s="9" t="s">
        <v>2305</v>
      </c>
      <c r="M904" s="16"/>
      <c r="AA904" s="14">
        <f t="shared" si="28"/>
        <v>3</v>
      </c>
      <c r="AB904" s="47">
        <f t="shared" si="29"/>
        <v>2</v>
      </c>
      <c r="AD904" s="53"/>
      <c r="AE904" s="53"/>
      <c r="AF904" s="53"/>
      <c r="AG904" s="53"/>
    </row>
    <row r="905" spans="1:33" s="46" customFormat="1">
      <c r="A905" s="39">
        <v>41240</v>
      </c>
      <c r="B905" s="9" t="s">
        <v>2845</v>
      </c>
      <c r="C905" s="15">
        <v>705</v>
      </c>
      <c r="D905" s="41" t="s">
        <v>2281</v>
      </c>
      <c r="E905" s="9" t="s">
        <v>80</v>
      </c>
      <c r="F905" s="9" t="s">
        <v>479</v>
      </c>
      <c r="G905" s="9"/>
      <c r="H905" s="39"/>
      <c r="I905" s="9"/>
      <c r="J905" s="39"/>
      <c r="K905" s="42"/>
      <c r="L905" s="9" t="s">
        <v>2282</v>
      </c>
      <c r="M905" s="16"/>
      <c r="AA905" s="14">
        <f t="shared" si="28"/>
        <v>-65</v>
      </c>
      <c r="AB905" s="47">
        <f t="shared" si="29"/>
        <v>-66</v>
      </c>
      <c r="AD905" s="53"/>
      <c r="AE905" s="53"/>
      <c r="AF905" s="53"/>
      <c r="AG905" s="53"/>
    </row>
    <row r="906" spans="1:33" s="46" customFormat="1" ht="12" customHeight="1">
      <c r="A906" s="39">
        <v>41240</v>
      </c>
      <c r="B906" s="9" t="s">
        <v>2245</v>
      </c>
      <c r="C906" s="15">
        <v>601</v>
      </c>
      <c r="D906" s="41" t="s">
        <v>2246</v>
      </c>
      <c r="E906" s="9" t="s">
        <v>1420</v>
      </c>
      <c r="F906" s="9" t="s">
        <v>479</v>
      </c>
      <c r="G906" s="9"/>
      <c r="H906" s="39"/>
      <c r="I906" s="9"/>
      <c r="J906" s="39"/>
      <c r="K906" s="42"/>
      <c r="L906" s="9"/>
      <c r="M906" s="16"/>
      <c r="AA906" s="14">
        <f t="shared" si="28"/>
        <v>-104</v>
      </c>
      <c r="AB906" s="47">
        <f t="shared" si="29"/>
        <v>-105</v>
      </c>
      <c r="AD906" s="53"/>
      <c r="AE906" s="53"/>
      <c r="AF906" s="53"/>
      <c r="AG906" s="53"/>
    </row>
    <row r="907" spans="1:33" s="46" customFormat="1">
      <c r="A907" s="39">
        <v>41240</v>
      </c>
      <c r="B907" s="9" t="s">
        <v>2637</v>
      </c>
      <c r="C907" s="15">
        <v>765</v>
      </c>
      <c r="D907" s="41" t="s">
        <v>2316</v>
      </c>
      <c r="E907" s="9" t="s">
        <v>1208</v>
      </c>
      <c r="F907" s="9" t="s">
        <v>2317</v>
      </c>
      <c r="G907" s="9"/>
      <c r="H907" s="39"/>
      <c r="I907" s="9"/>
      <c r="J907" s="39"/>
      <c r="K907" s="42"/>
      <c r="L907" s="9" t="s">
        <v>2318</v>
      </c>
      <c r="M907" s="16"/>
      <c r="AA907" s="14">
        <f t="shared" si="28"/>
        <v>164</v>
      </c>
      <c r="AB907" s="47">
        <f t="shared" si="29"/>
        <v>163</v>
      </c>
      <c r="AD907" s="53"/>
      <c r="AE907" s="53"/>
      <c r="AF907" s="53"/>
      <c r="AG907" s="53"/>
    </row>
    <row r="908" spans="1:33" s="46" customFormat="1">
      <c r="A908" s="39">
        <v>41240</v>
      </c>
      <c r="B908" s="9" t="s">
        <v>2699</v>
      </c>
      <c r="C908" s="15">
        <v>724</v>
      </c>
      <c r="D908" s="41" t="s">
        <v>2336</v>
      </c>
      <c r="E908" s="9" t="s">
        <v>300</v>
      </c>
      <c r="F908" s="9" t="s">
        <v>479</v>
      </c>
      <c r="G908" s="9"/>
      <c r="H908" s="39"/>
      <c r="I908" s="9"/>
      <c r="J908" s="39"/>
      <c r="K908" s="42"/>
      <c r="L908" s="9" t="s">
        <v>2337</v>
      </c>
      <c r="M908" s="16"/>
      <c r="AA908" s="14">
        <f t="shared" si="28"/>
        <v>-41</v>
      </c>
      <c r="AB908" s="47">
        <f t="shared" si="29"/>
        <v>-42</v>
      </c>
      <c r="AD908" s="53"/>
      <c r="AE908" s="53"/>
      <c r="AF908" s="53"/>
      <c r="AG908" s="53"/>
    </row>
    <row r="909" spans="1:33" s="46" customFormat="1">
      <c r="A909" s="39">
        <v>41240</v>
      </c>
      <c r="B909" s="9" t="s">
        <v>2773</v>
      </c>
      <c r="C909" s="15">
        <v>748</v>
      </c>
      <c r="D909" s="41" t="s">
        <v>2334</v>
      </c>
      <c r="E909" s="9" t="s">
        <v>300</v>
      </c>
      <c r="F909" s="9" t="s">
        <v>479</v>
      </c>
      <c r="G909" s="9"/>
      <c r="H909" s="39"/>
      <c r="I909" s="9"/>
      <c r="J909" s="39"/>
      <c r="K909" s="42"/>
      <c r="L909" s="9" t="s">
        <v>2335</v>
      </c>
      <c r="M909" s="16"/>
      <c r="AA909" s="14">
        <f t="shared" si="28"/>
        <v>24</v>
      </c>
      <c r="AB909" s="47">
        <f t="shared" si="29"/>
        <v>23</v>
      </c>
      <c r="AD909" s="53"/>
      <c r="AE909" s="53"/>
      <c r="AF909" s="53"/>
      <c r="AG909" s="53"/>
    </row>
    <row r="910" spans="1:33" s="46" customFormat="1">
      <c r="A910" s="39">
        <v>41240</v>
      </c>
      <c r="B910" s="9" t="s">
        <v>2749</v>
      </c>
      <c r="C910" s="15">
        <v>837</v>
      </c>
      <c r="D910" s="41" t="s">
        <v>2274</v>
      </c>
      <c r="E910" s="9" t="s">
        <v>96</v>
      </c>
      <c r="F910" s="9" t="s">
        <v>935</v>
      </c>
      <c r="G910" s="9"/>
      <c r="H910" s="39"/>
      <c r="I910" s="9"/>
      <c r="J910" s="39"/>
      <c r="K910" s="42"/>
      <c r="L910" s="9" t="s">
        <v>2275</v>
      </c>
      <c r="M910" s="16" t="s">
        <v>191</v>
      </c>
      <c r="AA910" s="14">
        <f t="shared" si="28"/>
        <v>89</v>
      </c>
      <c r="AB910" s="47">
        <f t="shared" si="29"/>
        <v>88</v>
      </c>
      <c r="AD910" s="53"/>
      <c r="AE910" s="53"/>
      <c r="AF910" s="53"/>
      <c r="AG910" s="53"/>
    </row>
    <row r="911" spans="1:33" s="46" customFormat="1">
      <c r="A911" s="39">
        <v>41240</v>
      </c>
      <c r="B911" s="9" t="s">
        <v>2840</v>
      </c>
      <c r="C911" s="15">
        <v>699</v>
      </c>
      <c r="D911" s="41" t="s">
        <v>2276</v>
      </c>
      <c r="E911" s="9" t="s">
        <v>274</v>
      </c>
      <c r="F911" s="9" t="s">
        <v>479</v>
      </c>
      <c r="G911" s="9"/>
      <c r="H911" s="39"/>
      <c r="I911" s="9"/>
      <c r="J911" s="39"/>
      <c r="K911" s="42"/>
      <c r="L911" s="9" t="s">
        <v>2277</v>
      </c>
      <c r="M911" s="16"/>
      <c r="AA911" s="14">
        <f t="shared" si="28"/>
        <v>-138</v>
      </c>
      <c r="AB911" s="47">
        <f t="shared" si="29"/>
        <v>-139</v>
      </c>
      <c r="AD911" s="53"/>
      <c r="AE911" s="53"/>
      <c r="AF911" s="53"/>
      <c r="AG911" s="53"/>
    </row>
    <row r="912" spans="1:33" s="46" customFormat="1">
      <c r="A912" s="39">
        <v>41240</v>
      </c>
      <c r="B912" s="9" t="s">
        <v>2671</v>
      </c>
      <c r="C912" s="15">
        <v>712</v>
      </c>
      <c r="D912" s="41" t="s">
        <v>2308</v>
      </c>
      <c r="E912" s="9" t="s">
        <v>931</v>
      </c>
      <c r="F912" s="9" t="s">
        <v>479</v>
      </c>
      <c r="G912" s="9"/>
      <c r="H912" s="39"/>
      <c r="I912" s="9"/>
      <c r="J912" s="39"/>
      <c r="K912" s="42"/>
      <c r="L912" s="9" t="s">
        <v>2309</v>
      </c>
      <c r="M912" s="16"/>
      <c r="AA912" s="14">
        <f t="shared" si="28"/>
        <v>13</v>
      </c>
      <c r="AB912" s="47">
        <f t="shared" si="29"/>
        <v>12</v>
      </c>
      <c r="AD912" s="53"/>
      <c r="AE912" s="53"/>
      <c r="AF912" s="53"/>
      <c r="AG912" s="53"/>
    </row>
    <row r="913" spans="1:33" s="46" customFormat="1">
      <c r="A913" s="39">
        <v>41240</v>
      </c>
      <c r="B913" s="9" t="s">
        <v>2803</v>
      </c>
      <c r="C913" s="15">
        <v>807</v>
      </c>
      <c r="D913" s="41" t="s">
        <v>2307</v>
      </c>
      <c r="E913" s="9" t="s">
        <v>313</v>
      </c>
      <c r="F913" s="9" t="s">
        <v>479</v>
      </c>
      <c r="G913" s="9"/>
      <c r="H913" s="39"/>
      <c r="I913" s="9"/>
      <c r="J913" s="39"/>
      <c r="K913" s="42"/>
      <c r="L913" s="9"/>
      <c r="M913" s="16"/>
      <c r="AA913" s="14">
        <f t="shared" si="28"/>
        <v>95</v>
      </c>
      <c r="AB913" s="47">
        <f t="shared" si="29"/>
        <v>94</v>
      </c>
      <c r="AD913" s="53"/>
      <c r="AE913" s="53"/>
      <c r="AF913" s="53"/>
      <c r="AG913" s="53"/>
    </row>
    <row r="914" spans="1:33" s="46" customFormat="1">
      <c r="A914" s="39">
        <v>41240</v>
      </c>
      <c r="B914" s="9"/>
      <c r="C914" s="15"/>
      <c r="D914" s="41" t="s">
        <v>2327</v>
      </c>
      <c r="E914" s="9" t="s">
        <v>96</v>
      </c>
      <c r="F914" s="9" t="s">
        <v>479</v>
      </c>
      <c r="G914" s="9"/>
      <c r="H914" s="39"/>
      <c r="I914" s="9"/>
      <c r="J914" s="39"/>
      <c r="K914" s="42"/>
      <c r="L914" s="9" t="s">
        <v>1558</v>
      </c>
      <c r="M914" s="16"/>
      <c r="AA914" s="14">
        <f t="shared" si="28"/>
        <v>-807</v>
      </c>
      <c r="AB914" s="47">
        <f t="shared" si="29"/>
        <v>-808</v>
      </c>
      <c r="AD914" s="53"/>
      <c r="AE914" s="53"/>
      <c r="AF914" s="53"/>
      <c r="AG914" s="53"/>
    </row>
    <row r="915" spans="1:33" s="46" customFormat="1">
      <c r="A915" s="39">
        <v>41240</v>
      </c>
      <c r="B915" s="9" t="s">
        <v>2849</v>
      </c>
      <c r="C915" s="15">
        <v>838</v>
      </c>
      <c r="D915" s="41" t="s">
        <v>2291</v>
      </c>
      <c r="E915" s="9" t="s">
        <v>313</v>
      </c>
      <c r="F915" s="9" t="s">
        <v>479</v>
      </c>
      <c r="G915" s="9"/>
      <c r="H915" s="39"/>
      <c r="I915" s="9"/>
      <c r="J915" s="39"/>
      <c r="K915" s="42"/>
      <c r="L915" s="9" t="s">
        <v>2292</v>
      </c>
      <c r="M915" s="16"/>
      <c r="AA915" s="14">
        <f t="shared" si="28"/>
        <v>838</v>
      </c>
      <c r="AB915" s="47">
        <f t="shared" si="29"/>
        <v>837</v>
      </c>
      <c r="AD915" s="53"/>
      <c r="AE915" s="53"/>
      <c r="AF915" s="53"/>
      <c r="AG915" s="53"/>
    </row>
    <row r="916" spans="1:33" s="46" customFormat="1">
      <c r="A916" s="39">
        <v>41240</v>
      </c>
      <c r="B916" s="9" t="s">
        <v>2706</v>
      </c>
      <c r="C916" s="15">
        <v>736</v>
      </c>
      <c r="D916" s="41" t="s">
        <v>2314</v>
      </c>
      <c r="E916" s="9" t="s">
        <v>931</v>
      </c>
      <c r="F916" s="9" t="s">
        <v>479</v>
      </c>
      <c r="G916" s="9"/>
      <c r="H916" s="39"/>
      <c r="I916" s="9"/>
      <c r="J916" s="39"/>
      <c r="K916" s="42"/>
      <c r="L916" s="9" t="s">
        <v>2315</v>
      </c>
      <c r="M916" s="16"/>
      <c r="AA916" s="14">
        <f t="shared" si="28"/>
        <v>-102</v>
      </c>
      <c r="AB916" s="47">
        <f t="shared" si="29"/>
        <v>-103</v>
      </c>
      <c r="AD916" s="53"/>
      <c r="AE916" s="53"/>
      <c r="AF916" s="53"/>
      <c r="AG916" s="53"/>
    </row>
    <row r="917" spans="1:33" s="46" customFormat="1">
      <c r="A917" s="39">
        <v>41240</v>
      </c>
      <c r="B917" s="9" t="s">
        <v>2638</v>
      </c>
      <c r="C917" s="15">
        <v>766</v>
      </c>
      <c r="D917" s="41" t="s">
        <v>2324</v>
      </c>
      <c r="E917" s="9" t="s">
        <v>484</v>
      </c>
      <c r="F917" s="9" t="s">
        <v>479</v>
      </c>
      <c r="G917" s="9"/>
      <c r="H917" s="39"/>
      <c r="I917" s="9"/>
      <c r="J917" s="39"/>
      <c r="K917" s="42"/>
      <c r="L917" s="9" t="s">
        <v>2325</v>
      </c>
      <c r="M917" s="16" t="s">
        <v>193</v>
      </c>
      <c r="AA917" s="14">
        <f t="shared" si="28"/>
        <v>30</v>
      </c>
      <c r="AB917" s="47">
        <f t="shared" si="29"/>
        <v>29</v>
      </c>
      <c r="AD917" s="53"/>
      <c r="AE917" s="53"/>
      <c r="AF917" s="53"/>
      <c r="AG917" s="53"/>
    </row>
    <row r="918" spans="1:33" s="46" customFormat="1">
      <c r="A918" s="39">
        <v>41240</v>
      </c>
      <c r="B918" s="9" t="s">
        <v>2841</v>
      </c>
      <c r="C918" s="15">
        <v>700</v>
      </c>
      <c r="D918" s="41" t="s">
        <v>2278</v>
      </c>
      <c r="E918" s="9" t="s">
        <v>1919</v>
      </c>
      <c r="F918" s="9" t="s">
        <v>479</v>
      </c>
      <c r="G918" s="9"/>
      <c r="H918" s="39"/>
      <c r="I918" s="9"/>
      <c r="J918" s="39"/>
      <c r="K918" s="42"/>
      <c r="L918" s="9"/>
      <c r="M918" s="16"/>
      <c r="AA918" s="14">
        <f t="shared" si="28"/>
        <v>-66</v>
      </c>
      <c r="AB918" s="47">
        <f t="shared" si="29"/>
        <v>-67</v>
      </c>
      <c r="AD918" s="53"/>
      <c r="AE918" s="53"/>
      <c r="AF918" s="53"/>
      <c r="AG918" s="53"/>
    </row>
    <row r="919" spans="1:33" s="46" customFormat="1">
      <c r="A919" s="39">
        <v>41240</v>
      </c>
      <c r="B919" s="9" t="s">
        <v>2774</v>
      </c>
      <c r="C919" s="15">
        <v>752</v>
      </c>
      <c r="D919" s="41" t="s">
        <v>2330</v>
      </c>
      <c r="E919" s="9" t="s">
        <v>300</v>
      </c>
      <c r="F919" s="9" t="s">
        <v>479</v>
      </c>
      <c r="G919" s="9"/>
      <c r="H919" s="39"/>
      <c r="I919" s="9"/>
      <c r="J919" s="39"/>
      <c r="K919" s="42"/>
      <c r="L919" s="9" t="s">
        <v>2331</v>
      </c>
      <c r="M919" s="16"/>
      <c r="AA919" s="14">
        <f t="shared" si="28"/>
        <v>52</v>
      </c>
      <c r="AB919" s="47">
        <f t="shared" si="29"/>
        <v>51</v>
      </c>
      <c r="AD919" s="53"/>
      <c r="AE919" s="53"/>
      <c r="AF919" s="53"/>
      <c r="AG919" s="53"/>
    </row>
    <row r="920" spans="1:33" s="46" customFormat="1" ht="12" customHeight="1">
      <c r="A920" s="39">
        <v>41240</v>
      </c>
      <c r="B920" s="9" t="s">
        <v>2646</v>
      </c>
      <c r="C920" s="15">
        <v>786</v>
      </c>
      <c r="D920" s="41" t="s">
        <v>2302</v>
      </c>
      <c r="E920" s="9" t="s">
        <v>274</v>
      </c>
      <c r="F920" s="9" t="s">
        <v>479</v>
      </c>
      <c r="G920" s="9"/>
      <c r="H920" s="39"/>
      <c r="I920" s="9"/>
      <c r="J920" s="39"/>
      <c r="K920" s="42"/>
      <c r="L920" s="9" t="s">
        <v>2476</v>
      </c>
      <c r="M920" s="16"/>
      <c r="AA920" s="14">
        <f t="shared" si="28"/>
        <v>34</v>
      </c>
      <c r="AB920" s="47">
        <f t="shared" si="29"/>
        <v>33</v>
      </c>
      <c r="AD920" s="53"/>
      <c r="AE920" s="53"/>
      <c r="AF920" s="53"/>
      <c r="AG920" s="53"/>
    </row>
    <row r="921" spans="1:33" s="46" customFormat="1">
      <c r="A921" s="39">
        <v>41240</v>
      </c>
      <c r="B921" s="9" t="s">
        <v>2816</v>
      </c>
      <c r="C921" s="15">
        <v>814</v>
      </c>
      <c r="D921" s="41" t="s">
        <v>2299</v>
      </c>
      <c r="E921" s="9" t="s">
        <v>802</v>
      </c>
      <c r="F921" s="9" t="s">
        <v>479</v>
      </c>
      <c r="G921" s="9"/>
      <c r="H921" s="39"/>
      <c r="I921" s="9"/>
      <c r="J921" s="39"/>
      <c r="K921" s="42"/>
      <c r="L921" s="9" t="s">
        <v>2300</v>
      </c>
      <c r="M921" s="16"/>
      <c r="AA921" s="14">
        <f t="shared" si="28"/>
        <v>28</v>
      </c>
      <c r="AB921" s="47">
        <f t="shared" si="29"/>
        <v>27</v>
      </c>
      <c r="AD921" s="53"/>
      <c r="AE921" s="53"/>
      <c r="AF921" s="53"/>
      <c r="AG921" s="53"/>
    </row>
    <row r="922" spans="1:33" s="46" customFormat="1">
      <c r="A922" s="39">
        <v>41240</v>
      </c>
      <c r="B922" s="9" t="s">
        <v>2822</v>
      </c>
      <c r="C922" s="15">
        <v>798</v>
      </c>
      <c r="D922" s="41" t="s">
        <v>2346</v>
      </c>
      <c r="E922" s="9" t="s">
        <v>300</v>
      </c>
      <c r="F922" s="9" t="s">
        <v>479</v>
      </c>
      <c r="G922" s="9"/>
      <c r="H922" s="39"/>
      <c r="I922" s="9"/>
      <c r="J922" s="39"/>
      <c r="K922" s="42"/>
      <c r="L922" s="9" t="s">
        <v>2347</v>
      </c>
      <c r="M922" s="16"/>
      <c r="AA922" s="14">
        <f t="shared" si="28"/>
        <v>-16</v>
      </c>
      <c r="AB922" s="47">
        <f t="shared" si="29"/>
        <v>-17</v>
      </c>
      <c r="AD922" s="53"/>
      <c r="AE922" s="53"/>
      <c r="AF922" s="53"/>
      <c r="AG922" s="53"/>
    </row>
    <row r="923" spans="1:33" s="46" customFormat="1">
      <c r="A923" s="39">
        <v>41240</v>
      </c>
      <c r="B923" s="9" t="s">
        <v>2645</v>
      </c>
      <c r="C923" s="15">
        <v>785</v>
      </c>
      <c r="D923" s="41" t="s">
        <v>2310</v>
      </c>
      <c r="E923" s="9" t="s">
        <v>931</v>
      </c>
      <c r="F923" s="9" t="s">
        <v>479</v>
      </c>
      <c r="G923" s="9"/>
      <c r="H923" s="39"/>
      <c r="I923" s="9"/>
      <c r="J923" s="39"/>
      <c r="K923" s="42"/>
      <c r="L923" s="9" t="s">
        <v>2311</v>
      </c>
      <c r="M923" s="16"/>
      <c r="AA923" s="14">
        <f t="shared" si="28"/>
        <v>-13</v>
      </c>
      <c r="AB923" s="47">
        <f t="shared" si="29"/>
        <v>-14</v>
      </c>
      <c r="AD923" s="53"/>
      <c r="AE923" s="53"/>
      <c r="AF923" s="53"/>
      <c r="AG923" s="53"/>
    </row>
    <row r="924" spans="1:33" s="46" customFormat="1">
      <c r="A924" s="39">
        <v>41240</v>
      </c>
      <c r="B924" s="9" t="s">
        <v>2818</v>
      </c>
      <c r="C924" s="15">
        <v>820</v>
      </c>
      <c r="D924" s="41" t="s">
        <v>2287</v>
      </c>
      <c r="E924" s="9" t="s">
        <v>274</v>
      </c>
      <c r="F924" s="9" t="s">
        <v>479</v>
      </c>
      <c r="G924" s="9"/>
      <c r="H924" s="39"/>
      <c r="I924" s="9"/>
      <c r="J924" s="39"/>
      <c r="K924" s="42"/>
      <c r="L924" s="9" t="s">
        <v>2288</v>
      </c>
      <c r="M924" s="16"/>
      <c r="AA924" s="14">
        <f t="shared" si="28"/>
        <v>35</v>
      </c>
      <c r="AB924" s="47">
        <f t="shared" si="29"/>
        <v>34</v>
      </c>
      <c r="AD924" s="53"/>
      <c r="AE924" s="53"/>
      <c r="AF924" s="53"/>
      <c r="AG924" s="53"/>
    </row>
    <row r="925" spans="1:33" s="46" customFormat="1">
      <c r="A925" s="39">
        <v>41240</v>
      </c>
      <c r="B925" s="9" t="s">
        <v>2775</v>
      </c>
      <c r="C925" s="15">
        <v>753</v>
      </c>
      <c r="D925" s="41" t="s">
        <v>2328</v>
      </c>
      <c r="E925" s="9" t="s">
        <v>300</v>
      </c>
      <c r="F925" s="9" t="s">
        <v>2317</v>
      </c>
      <c r="G925" s="9"/>
      <c r="H925" s="39"/>
      <c r="I925" s="9"/>
      <c r="J925" s="39"/>
      <c r="K925" s="42"/>
      <c r="L925" s="9"/>
      <c r="M925" s="16"/>
      <c r="AA925" s="14">
        <f t="shared" si="28"/>
        <v>-67</v>
      </c>
      <c r="AB925" s="47">
        <f t="shared" si="29"/>
        <v>-68</v>
      </c>
      <c r="AD925" s="53"/>
      <c r="AE925" s="53"/>
      <c r="AF925" s="53"/>
      <c r="AG925" s="53"/>
    </row>
    <row r="926" spans="1:33" s="46" customFormat="1">
      <c r="A926" s="39">
        <v>41240</v>
      </c>
      <c r="B926" s="9" t="s">
        <v>2825</v>
      </c>
      <c r="C926" s="15">
        <v>793</v>
      </c>
      <c r="D926" s="41" t="s">
        <v>2338</v>
      </c>
      <c r="E926" s="9" t="s">
        <v>300</v>
      </c>
      <c r="F926" s="9" t="s">
        <v>479</v>
      </c>
      <c r="G926" s="9"/>
      <c r="H926" s="39"/>
      <c r="I926" s="9"/>
      <c r="J926" s="39"/>
      <c r="K926" s="42"/>
      <c r="L926" s="9" t="s">
        <v>2339</v>
      </c>
      <c r="M926" s="16"/>
      <c r="AA926" s="14">
        <f t="shared" si="28"/>
        <v>40</v>
      </c>
      <c r="AB926" s="47">
        <f t="shared" si="29"/>
        <v>39</v>
      </c>
      <c r="AD926" s="53"/>
      <c r="AE926" s="53"/>
      <c r="AF926" s="53"/>
      <c r="AG926" s="53"/>
    </row>
    <row r="927" spans="1:33" s="46" customFormat="1">
      <c r="A927" s="39">
        <v>41240</v>
      </c>
      <c r="B927" s="9" t="s">
        <v>2758</v>
      </c>
      <c r="C927" s="15">
        <v>741</v>
      </c>
      <c r="D927" s="41" t="s">
        <v>2322</v>
      </c>
      <c r="E927" s="9" t="s">
        <v>22</v>
      </c>
      <c r="F927" s="9" t="s">
        <v>479</v>
      </c>
      <c r="G927" s="9"/>
      <c r="H927" s="39"/>
      <c r="I927" s="9"/>
      <c r="J927" s="39"/>
      <c r="K927" s="42"/>
      <c r="L927" s="9" t="s">
        <v>1702</v>
      </c>
      <c r="M927" s="16"/>
      <c r="AA927" s="14">
        <f t="shared" si="28"/>
        <v>-52</v>
      </c>
      <c r="AB927" s="47">
        <f t="shared" si="29"/>
        <v>-53</v>
      </c>
      <c r="AD927" s="53"/>
      <c r="AE927" s="53"/>
      <c r="AF927" s="53"/>
      <c r="AG927" s="53"/>
    </row>
    <row r="928" spans="1:33" s="46" customFormat="1">
      <c r="A928" s="39">
        <v>41240</v>
      </c>
      <c r="B928" s="9" t="s">
        <v>2757</v>
      </c>
      <c r="C928" s="15">
        <v>742</v>
      </c>
      <c r="D928" s="41" t="s">
        <v>2312</v>
      </c>
      <c r="E928" s="9" t="s">
        <v>931</v>
      </c>
      <c r="F928" s="9" t="s">
        <v>479</v>
      </c>
      <c r="G928" s="9"/>
      <c r="H928" s="39"/>
      <c r="I928" s="9"/>
      <c r="J928" s="39"/>
      <c r="K928" s="42"/>
      <c r="L928" s="9" t="s">
        <v>2313</v>
      </c>
      <c r="M928" s="16"/>
      <c r="AA928" s="14">
        <f t="shared" si="28"/>
        <v>1</v>
      </c>
      <c r="AB928" s="47">
        <f t="shared" si="29"/>
        <v>0</v>
      </c>
      <c r="AD928" s="53"/>
      <c r="AE928" s="53"/>
      <c r="AF928" s="53"/>
      <c r="AG928" s="53"/>
    </row>
    <row r="929" spans="1:33" s="46" customFormat="1">
      <c r="A929" s="39">
        <v>41240</v>
      </c>
      <c r="B929" s="9" t="s">
        <v>2842</v>
      </c>
      <c r="C929" s="15">
        <v>701</v>
      </c>
      <c r="D929" s="41" t="s">
        <v>2279</v>
      </c>
      <c r="E929" s="9" t="s">
        <v>1919</v>
      </c>
      <c r="F929" s="9" t="s">
        <v>479</v>
      </c>
      <c r="G929" s="9"/>
      <c r="H929" s="39"/>
      <c r="I929" s="9"/>
      <c r="J929" s="39"/>
      <c r="K929" s="42"/>
      <c r="L929" s="9" t="s">
        <v>2280</v>
      </c>
      <c r="M929" s="16"/>
      <c r="AA929" s="14">
        <f t="shared" si="28"/>
        <v>-41</v>
      </c>
      <c r="AB929" s="47">
        <f t="shared" si="29"/>
        <v>-42</v>
      </c>
      <c r="AD929" s="53"/>
      <c r="AE929" s="53"/>
      <c r="AF929" s="53"/>
      <c r="AG929" s="53"/>
    </row>
    <row r="930" spans="1:33" s="46" customFormat="1">
      <c r="A930" s="39">
        <v>41240</v>
      </c>
      <c r="B930" s="9" t="s">
        <v>2429</v>
      </c>
      <c r="C930" s="15"/>
      <c r="D930" s="41" t="s">
        <v>2259</v>
      </c>
      <c r="E930" s="9" t="s">
        <v>2198</v>
      </c>
      <c r="F930" s="9" t="s">
        <v>935</v>
      </c>
      <c r="G930" s="9"/>
      <c r="H930" s="39"/>
      <c r="I930" s="9"/>
      <c r="J930" s="39"/>
      <c r="K930" s="42"/>
      <c r="L930" s="9"/>
      <c r="M930" s="16"/>
      <c r="AA930" s="14">
        <f t="shared" si="28"/>
        <v>-701</v>
      </c>
      <c r="AB930" s="47">
        <f t="shared" si="29"/>
        <v>-702</v>
      </c>
      <c r="AD930" s="53"/>
      <c r="AE930" s="53"/>
      <c r="AF930" s="53"/>
      <c r="AG930" s="53"/>
    </row>
    <row r="931" spans="1:33" s="46" customFormat="1">
      <c r="A931" s="39">
        <v>41240</v>
      </c>
      <c r="B931" s="9" t="s">
        <v>2815</v>
      </c>
      <c r="C931" s="15">
        <v>812</v>
      </c>
      <c r="D931" s="41" t="s">
        <v>2293</v>
      </c>
      <c r="E931" s="9" t="s">
        <v>313</v>
      </c>
      <c r="F931" s="9" t="s">
        <v>479</v>
      </c>
      <c r="G931" s="9"/>
      <c r="H931" s="39"/>
      <c r="I931" s="9"/>
      <c r="J931" s="39"/>
      <c r="K931" s="42"/>
      <c r="L931" s="9" t="s">
        <v>2294</v>
      </c>
      <c r="M931" s="16"/>
      <c r="AA931" s="14">
        <f t="shared" si="28"/>
        <v>812</v>
      </c>
      <c r="AB931" s="47">
        <f t="shared" si="29"/>
        <v>811</v>
      </c>
      <c r="AD931" s="53"/>
      <c r="AE931" s="53"/>
      <c r="AF931" s="53"/>
      <c r="AG931" s="53"/>
    </row>
    <row r="932" spans="1:33" s="46" customFormat="1">
      <c r="A932" s="39">
        <v>41240</v>
      </c>
      <c r="B932" s="9" t="s">
        <v>2707</v>
      </c>
      <c r="C932" s="15">
        <v>737</v>
      </c>
      <c r="D932" s="41" t="s">
        <v>2319</v>
      </c>
      <c r="E932" s="9" t="s">
        <v>1208</v>
      </c>
      <c r="F932" s="9" t="s">
        <v>479</v>
      </c>
      <c r="G932" s="9"/>
      <c r="H932" s="39"/>
      <c r="I932" s="9"/>
      <c r="J932" s="39"/>
      <c r="K932" s="42"/>
      <c r="L932" s="9" t="s">
        <v>2320</v>
      </c>
      <c r="M932" s="16"/>
      <c r="AA932" s="14">
        <f t="shared" si="28"/>
        <v>-75</v>
      </c>
      <c r="AB932" s="47">
        <f t="shared" si="29"/>
        <v>-76</v>
      </c>
      <c r="AD932" s="53"/>
      <c r="AE932" s="53"/>
      <c r="AF932" s="53"/>
      <c r="AG932" s="53"/>
    </row>
    <row r="933" spans="1:33" s="46" customFormat="1">
      <c r="A933" s="39">
        <v>41240</v>
      </c>
      <c r="B933" s="9"/>
      <c r="C933" s="15"/>
      <c r="D933" s="41" t="s">
        <v>2289</v>
      </c>
      <c r="E933" s="9" t="s">
        <v>1420</v>
      </c>
      <c r="F933" s="9" t="s">
        <v>935</v>
      </c>
      <c r="G933" s="9"/>
      <c r="H933" s="39"/>
      <c r="I933" s="9"/>
      <c r="J933" s="39"/>
      <c r="K933" s="42"/>
      <c r="L933" s="9" t="s">
        <v>2290</v>
      </c>
      <c r="M933" s="16"/>
      <c r="AA933" s="14">
        <f t="shared" si="28"/>
        <v>-737</v>
      </c>
      <c r="AB933" s="47">
        <f t="shared" si="29"/>
        <v>-738</v>
      </c>
      <c r="AD933" s="53"/>
      <c r="AE933" s="53"/>
      <c r="AF933" s="53"/>
      <c r="AG933" s="53"/>
    </row>
    <row r="934" spans="1:33" s="46" customFormat="1">
      <c r="A934" s="39">
        <v>41240</v>
      </c>
      <c r="B934" s="9" t="s">
        <v>2772</v>
      </c>
      <c r="C934" s="15">
        <v>754</v>
      </c>
      <c r="D934" s="41" t="s">
        <v>2326</v>
      </c>
      <c r="E934" s="9" t="s">
        <v>1208</v>
      </c>
      <c r="F934" s="9" t="s">
        <v>479</v>
      </c>
      <c r="G934" s="9"/>
      <c r="H934" s="39"/>
      <c r="I934" s="9"/>
      <c r="J934" s="39"/>
      <c r="K934" s="42"/>
      <c r="L934" s="9"/>
      <c r="M934" s="16"/>
      <c r="AA934" s="14">
        <f t="shared" si="28"/>
        <v>754</v>
      </c>
      <c r="AB934" s="47">
        <f t="shared" si="29"/>
        <v>753</v>
      </c>
      <c r="AD934" s="53"/>
      <c r="AE934" s="53"/>
      <c r="AF934" s="53"/>
      <c r="AG934" s="53"/>
    </row>
    <row r="935" spans="1:33" s="46" customFormat="1">
      <c r="A935" s="39">
        <v>41240</v>
      </c>
      <c r="B935" s="9" t="s">
        <v>2827</v>
      </c>
      <c r="C935" s="15">
        <v>777</v>
      </c>
      <c r="D935" s="41" t="s">
        <v>2306</v>
      </c>
      <c r="E935" s="9" t="s">
        <v>18</v>
      </c>
      <c r="F935" s="9" t="s">
        <v>479</v>
      </c>
      <c r="G935" s="9"/>
      <c r="H935" s="39"/>
      <c r="I935" s="9"/>
      <c r="J935" s="39"/>
      <c r="K935" s="42"/>
      <c r="L935" s="9"/>
      <c r="M935" s="16"/>
      <c r="AA935" s="14">
        <f t="shared" si="28"/>
        <v>23</v>
      </c>
      <c r="AB935" s="47">
        <f t="shared" si="29"/>
        <v>22</v>
      </c>
      <c r="AD935" s="53"/>
      <c r="AE935" s="53"/>
      <c r="AF935" s="53"/>
      <c r="AG935" s="53"/>
    </row>
    <row r="936" spans="1:33" s="46" customFormat="1">
      <c r="A936" s="39">
        <v>41240</v>
      </c>
      <c r="B936" s="9" t="s">
        <v>2636</v>
      </c>
      <c r="C936" s="15">
        <v>768</v>
      </c>
      <c r="D936" s="41" t="s">
        <v>2323</v>
      </c>
      <c r="E936" s="9" t="s">
        <v>1789</v>
      </c>
      <c r="F936" s="9" t="s">
        <v>479</v>
      </c>
      <c r="G936" s="9"/>
      <c r="H936" s="39"/>
      <c r="I936" s="9"/>
      <c r="J936" s="39"/>
      <c r="K936" s="42"/>
      <c r="L936" s="9"/>
      <c r="M936" s="16"/>
      <c r="AA936" s="14">
        <f t="shared" si="28"/>
        <v>-9</v>
      </c>
      <c r="AB936" s="47">
        <f t="shared" si="29"/>
        <v>-10</v>
      </c>
      <c r="AD936" s="53"/>
      <c r="AE936" s="53"/>
      <c r="AF936" s="53"/>
      <c r="AG936" s="53"/>
    </row>
    <row r="937" spans="1:33" s="46" customFormat="1">
      <c r="A937" s="39">
        <v>41240</v>
      </c>
      <c r="B937" s="9" t="s">
        <v>2830</v>
      </c>
      <c r="C937" s="15">
        <v>769</v>
      </c>
      <c r="D937" s="41" t="s">
        <v>2348</v>
      </c>
      <c r="E937" s="9" t="s">
        <v>300</v>
      </c>
      <c r="F937" s="9" t="s">
        <v>479</v>
      </c>
      <c r="G937" s="9"/>
      <c r="H937" s="39"/>
      <c r="I937" s="9"/>
      <c r="J937" s="39"/>
      <c r="K937" s="42"/>
      <c r="L937" s="9" t="s">
        <v>2349</v>
      </c>
      <c r="M937" s="16"/>
      <c r="AA937" s="14">
        <f t="shared" si="28"/>
        <v>1</v>
      </c>
      <c r="AB937" s="47">
        <f t="shared" si="29"/>
        <v>0</v>
      </c>
      <c r="AD937" s="53"/>
      <c r="AE937" s="53"/>
      <c r="AF937" s="53"/>
      <c r="AG937" s="53"/>
    </row>
    <row r="938" spans="1:33" s="46" customFormat="1">
      <c r="A938" s="39">
        <v>41240</v>
      </c>
      <c r="B938" s="9"/>
      <c r="C938" s="15"/>
      <c r="D938" s="41" t="s">
        <v>2295</v>
      </c>
      <c r="E938" s="9" t="s">
        <v>1919</v>
      </c>
      <c r="F938" s="9" t="s">
        <v>935</v>
      </c>
      <c r="G938" s="9"/>
      <c r="H938" s="39"/>
      <c r="I938" s="9"/>
      <c r="J938" s="39"/>
      <c r="K938" s="42"/>
      <c r="L938" s="9" t="s">
        <v>2296</v>
      </c>
      <c r="M938" s="16"/>
      <c r="AA938" s="14">
        <f t="shared" ref="AA938:AA1001" si="30">C938-C937</f>
        <v>-769</v>
      </c>
      <c r="AB938" s="47">
        <f t="shared" ref="AB938:AB1001" si="31">AA938-1</f>
        <v>-770</v>
      </c>
      <c r="AD938" s="53"/>
      <c r="AE938" s="53"/>
      <c r="AF938" s="53"/>
      <c r="AG938" s="53"/>
    </row>
    <row r="939" spans="1:33" s="46" customFormat="1">
      <c r="A939" s="39">
        <v>41240</v>
      </c>
      <c r="B939" s="9" t="s">
        <v>2824</v>
      </c>
      <c r="C939" s="15">
        <v>796</v>
      </c>
      <c r="D939" s="41" t="s">
        <v>2340</v>
      </c>
      <c r="E939" s="9" t="s">
        <v>300</v>
      </c>
      <c r="F939" s="9" t="s">
        <v>479</v>
      </c>
      <c r="G939" s="9"/>
      <c r="H939" s="39"/>
      <c r="I939" s="9"/>
      <c r="J939" s="39"/>
      <c r="K939" s="42"/>
      <c r="L939" s="9" t="s">
        <v>2341</v>
      </c>
      <c r="M939" s="16"/>
      <c r="AA939" s="14">
        <f t="shared" si="30"/>
        <v>796</v>
      </c>
      <c r="AB939" s="47">
        <f t="shared" si="31"/>
        <v>795</v>
      </c>
      <c r="AD939" s="53"/>
      <c r="AE939" s="53"/>
      <c r="AF939" s="53"/>
      <c r="AG939" s="53"/>
    </row>
    <row r="940" spans="1:33" s="46" customFormat="1">
      <c r="A940" s="39">
        <v>41240</v>
      </c>
      <c r="B940" s="9" t="s">
        <v>2843</v>
      </c>
      <c r="C940" s="15">
        <v>702</v>
      </c>
      <c r="D940" s="41" t="s">
        <v>2285</v>
      </c>
      <c r="E940" s="9" t="s">
        <v>134</v>
      </c>
      <c r="F940" s="9" t="s">
        <v>479</v>
      </c>
      <c r="G940" s="9"/>
      <c r="H940" s="39"/>
      <c r="I940" s="9"/>
      <c r="J940" s="39"/>
      <c r="K940" s="42"/>
      <c r="L940" s="9" t="s">
        <v>2286</v>
      </c>
      <c r="M940" s="16"/>
      <c r="AA940" s="14">
        <f t="shared" si="30"/>
        <v>-94</v>
      </c>
      <c r="AB940" s="47">
        <f t="shared" si="31"/>
        <v>-95</v>
      </c>
      <c r="AD940" s="53"/>
      <c r="AE940" s="53"/>
      <c r="AF940" s="53"/>
      <c r="AG940" s="53"/>
    </row>
    <row r="941" spans="1:33" s="46" customFormat="1">
      <c r="A941" s="39">
        <v>41240</v>
      </c>
      <c r="B941" s="9" t="s">
        <v>2839</v>
      </c>
      <c r="C941" s="15">
        <v>757</v>
      </c>
      <c r="D941" s="41" t="s">
        <v>2332</v>
      </c>
      <c r="E941" s="9" t="s">
        <v>300</v>
      </c>
      <c r="F941" s="9" t="s">
        <v>2317</v>
      </c>
      <c r="G941" s="9"/>
      <c r="H941" s="39"/>
      <c r="I941" s="9"/>
      <c r="J941" s="39"/>
      <c r="K941" s="42"/>
      <c r="L941" s="9" t="s">
        <v>2333</v>
      </c>
      <c r="M941" s="16" t="s">
        <v>191</v>
      </c>
      <c r="AA941" s="14">
        <f t="shared" si="30"/>
        <v>55</v>
      </c>
      <c r="AB941" s="47">
        <f t="shared" si="31"/>
        <v>54</v>
      </c>
      <c r="AD941" s="53"/>
      <c r="AE941" s="53"/>
      <c r="AF941" s="53"/>
      <c r="AG941" s="53"/>
    </row>
    <row r="942" spans="1:33" s="46" customFormat="1">
      <c r="A942" s="39">
        <v>41240</v>
      </c>
      <c r="B942" s="9" t="s">
        <v>2844</v>
      </c>
      <c r="C942" s="15">
        <v>703</v>
      </c>
      <c r="D942" s="41" t="s">
        <v>2283</v>
      </c>
      <c r="E942" s="9" t="s">
        <v>134</v>
      </c>
      <c r="F942" s="9" t="s">
        <v>479</v>
      </c>
      <c r="G942" s="9"/>
      <c r="H942" s="39"/>
      <c r="I942" s="9"/>
      <c r="J942" s="39"/>
      <c r="K942" s="42"/>
      <c r="L942" s="9" t="s">
        <v>2284</v>
      </c>
      <c r="M942" s="16"/>
      <c r="AA942" s="14">
        <f t="shared" si="30"/>
        <v>-54</v>
      </c>
      <c r="AB942" s="47">
        <f t="shared" si="31"/>
        <v>-55</v>
      </c>
      <c r="AD942" s="53"/>
      <c r="AE942" s="53"/>
      <c r="AF942" s="53"/>
      <c r="AG942" s="53"/>
    </row>
    <row r="943" spans="1:33" s="46" customFormat="1">
      <c r="A943" s="39">
        <v>41240</v>
      </c>
      <c r="B943" s="9" t="s">
        <v>2352</v>
      </c>
      <c r="C943" s="15">
        <v>729</v>
      </c>
      <c r="D943" s="41" t="s">
        <v>2351</v>
      </c>
      <c r="E943" s="9" t="s">
        <v>265</v>
      </c>
      <c r="F943" s="9" t="s">
        <v>479</v>
      </c>
      <c r="G943" s="9"/>
      <c r="H943" s="39"/>
      <c r="I943" s="9"/>
      <c r="J943" s="39"/>
      <c r="K943" s="42"/>
      <c r="L943" s="9"/>
      <c r="M943" s="16"/>
      <c r="AA943" s="14">
        <f t="shared" si="30"/>
        <v>26</v>
      </c>
      <c r="AB943" s="47">
        <f t="shared" si="31"/>
        <v>25</v>
      </c>
      <c r="AD943" s="53"/>
      <c r="AE943" s="53"/>
      <c r="AF943" s="53"/>
      <c r="AG943" s="53"/>
    </row>
    <row r="944" spans="1:33" s="46" customFormat="1">
      <c r="A944" s="39">
        <v>41240</v>
      </c>
      <c r="B944" s="9" t="s">
        <v>2756</v>
      </c>
      <c r="C944" s="15">
        <v>740</v>
      </c>
      <c r="D944" s="41" t="s">
        <v>2344</v>
      </c>
      <c r="E944" s="9" t="s">
        <v>300</v>
      </c>
      <c r="F944" s="9" t="s">
        <v>479</v>
      </c>
      <c r="G944" s="9"/>
      <c r="H944" s="39"/>
      <c r="I944" s="9"/>
      <c r="J944" s="39"/>
      <c r="K944" s="42"/>
      <c r="L944" s="9" t="s">
        <v>2345</v>
      </c>
      <c r="M944" s="16"/>
      <c r="AA944" s="14">
        <f t="shared" si="30"/>
        <v>11</v>
      </c>
      <c r="AB944" s="47">
        <f t="shared" si="31"/>
        <v>10</v>
      </c>
      <c r="AD944" s="53"/>
      <c r="AE944" s="53"/>
      <c r="AF944" s="53"/>
      <c r="AG944" s="53"/>
    </row>
    <row r="945" spans="1:33" s="46" customFormat="1">
      <c r="A945" s="39">
        <v>41240</v>
      </c>
      <c r="B945" s="9" t="s">
        <v>2823</v>
      </c>
      <c r="C945" s="15">
        <v>797</v>
      </c>
      <c r="D945" s="41" t="s">
        <v>2342</v>
      </c>
      <c r="E945" s="9" t="s">
        <v>300</v>
      </c>
      <c r="F945" s="9" t="s">
        <v>479</v>
      </c>
      <c r="G945" s="9"/>
      <c r="H945" s="39"/>
      <c r="I945" s="9"/>
      <c r="J945" s="39"/>
      <c r="K945" s="42"/>
      <c r="L945" s="9" t="s">
        <v>2343</v>
      </c>
      <c r="M945" s="16"/>
      <c r="AA945" s="14">
        <f t="shared" si="30"/>
        <v>57</v>
      </c>
      <c r="AB945" s="47">
        <f t="shared" si="31"/>
        <v>56</v>
      </c>
      <c r="AD945" s="53"/>
      <c r="AE945" s="53"/>
      <c r="AF945" s="53"/>
      <c r="AG945" s="53"/>
    </row>
    <row r="946" spans="1:33" s="46" customFormat="1">
      <c r="A946" s="39">
        <v>41240</v>
      </c>
      <c r="B946" s="9" t="s">
        <v>2817</v>
      </c>
      <c r="C946" s="15">
        <v>818</v>
      </c>
      <c r="D946" s="41" t="s">
        <v>2297</v>
      </c>
      <c r="E946" s="9" t="s">
        <v>931</v>
      </c>
      <c r="F946" s="9" t="s">
        <v>479</v>
      </c>
      <c r="G946" s="9"/>
      <c r="H946" s="39"/>
      <c r="I946" s="9"/>
      <c r="J946" s="39"/>
      <c r="K946" s="42"/>
      <c r="L946" s="9" t="s">
        <v>2298</v>
      </c>
      <c r="M946" s="16" t="s">
        <v>190</v>
      </c>
      <c r="AA946" s="14">
        <f t="shared" si="30"/>
        <v>21</v>
      </c>
      <c r="AB946" s="47">
        <f t="shared" si="31"/>
        <v>20</v>
      </c>
      <c r="AD946" s="53"/>
      <c r="AE946" s="53"/>
      <c r="AF946" s="53"/>
      <c r="AG946" s="53"/>
    </row>
    <row r="947" spans="1:33" s="46" customFormat="1">
      <c r="A947" s="39">
        <v>41241</v>
      </c>
      <c r="B947" s="9"/>
      <c r="C947" s="15"/>
      <c r="D947" s="41" t="s">
        <v>2708</v>
      </c>
      <c r="E947" s="9" t="s">
        <v>22</v>
      </c>
      <c r="F947" s="9" t="s">
        <v>935</v>
      </c>
      <c r="G947" s="9"/>
      <c r="H947" s="39"/>
      <c r="I947" s="9"/>
      <c r="J947" s="39"/>
      <c r="K947" s="42"/>
      <c r="L947" s="9" t="s">
        <v>2359</v>
      </c>
      <c r="M947" s="16"/>
      <c r="AA947" s="14">
        <f t="shared" si="30"/>
        <v>-818</v>
      </c>
      <c r="AB947" s="47">
        <f t="shared" si="31"/>
        <v>-819</v>
      </c>
      <c r="AD947" s="53"/>
      <c r="AE947" s="53"/>
      <c r="AF947" s="53"/>
      <c r="AG947" s="53"/>
    </row>
    <row r="948" spans="1:33" s="46" customFormat="1">
      <c r="A948" s="39">
        <v>41241</v>
      </c>
      <c r="B948" s="9" t="s">
        <v>2614</v>
      </c>
      <c r="C948" s="15">
        <v>868</v>
      </c>
      <c r="D948" s="41" t="s">
        <v>2360</v>
      </c>
      <c r="E948" s="9" t="s">
        <v>134</v>
      </c>
      <c r="F948" s="9" t="s">
        <v>935</v>
      </c>
      <c r="G948" s="9"/>
      <c r="H948" s="39"/>
      <c r="I948" s="9"/>
      <c r="J948" s="39"/>
      <c r="K948" s="42"/>
      <c r="L948" s="9" t="s">
        <v>2361</v>
      </c>
      <c r="M948" s="16"/>
      <c r="AA948" s="14">
        <f t="shared" si="30"/>
        <v>868</v>
      </c>
      <c r="AB948" s="47">
        <f t="shared" si="31"/>
        <v>867</v>
      </c>
      <c r="AD948" s="53"/>
      <c r="AE948" s="53"/>
      <c r="AF948" s="53"/>
      <c r="AG948" s="53"/>
    </row>
    <row r="949" spans="1:33" s="46" customFormat="1">
      <c r="A949" s="39">
        <v>41241</v>
      </c>
      <c r="B949" s="9" t="s">
        <v>2821</v>
      </c>
      <c r="C949" s="15">
        <v>803</v>
      </c>
      <c r="D949" s="41" t="s">
        <v>2362</v>
      </c>
      <c r="E949" s="9" t="s">
        <v>77</v>
      </c>
      <c r="F949" s="9" t="s">
        <v>479</v>
      </c>
      <c r="G949" s="9"/>
      <c r="H949" s="39"/>
      <c r="I949" s="9"/>
      <c r="J949" s="39"/>
      <c r="K949" s="42"/>
      <c r="L949" s="9" t="s">
        <v>2363</v>
      </c>
      <c r="M949" s="16"/>
      <c r="AA949" s="14">
        <f t="shared" si="30"/>
        <v>-65</v>
      </c>
      <c r="AB949" s="47">
        <f t="shared" si="31"/>
        <v>-66</v>
      </c>
      <c r="AD949" s="53"/>
      <c r="AE949" s="53"/>
      <c r="AF949" s="53"/>
      <c r="AG949" s="53"/>
    </row>
    <row r="950" spans="1:33" s="46" customFormat="1">
      <c r="A950" s="39">
        <v>41241</v>
      </c>
      <c r="B950" s="9" t="s">
        <v>2744</v>
      </c>
      <c r="C950" s="15">
        <v>832</v>
      </c>
      <c r="D950" s="41" t="s">
        <v>2364</v>
      </c>
      <c r="E950" s="9" t="s">
        <v>22</v>
      </c>
      <c r="F950" s="9" t="s">
        <v>935</v>
      </c>
      <c r="G950" s="9"/>
      <c r="H950" s="39"/>
      <c r="I950" s="9"/>
      <c r="J950" s="39"/>
      <c r="K950" s="42"/>
      <c r="L950" s="9" t="s">
        <v>2365</v>
      </c>
      <c r="M950" s="16"/>
      <c r="AA950" s="14">
        <f t="shared" si="30"/>
        <v>29</v>
      </c>
      <c r="AB950" s="47">
        <f t="shared" si="31"/>
        <v>28</v>
      </c>
      <c r="AD950" s="53"/>
      <c r="AE950" s="53"/>
      <c r="AF950" s="53"/>
      <c r="AG950" s="53"/>
    </row>
    <row r="951" spans="1:33" s="46" customFormat="1">
      <c r="A951" s="39">
        <v>41241</v>
      </c>
      <c r="B951" s="9" t="s">
        <v>2632</v>
      </c>
      <c r="C951" s="15">
        <v>863</v>
      </c>
      <c r="D951" s="41" t="s">
        <v>2366</v>
      </c>
      <c r="E951" s="9" t="s">
        <v>22</v>
      </c>
      <c r="F951" s="9" t="s">
        <v>935</v>
      </c>
      <c r="G951" s="9"/>
      <c r="H951" s="39"/>
      <c r="I951" s="9"/>
      <c r="J951" s="39"/>
      <c r="K951" s="42"/>
      <c r="L951" s="9" t="s">
        <v>2367</v>
      </c>
      <c r="M951" s="16"/>
      <c r="AA951" s="14">
        <f t="shared" si="30"/>
        <v>31</v>
      </c>
      <c r="AB951" s="47">
        <f t="shared" si="31"/>
        <v>30</v>
      </c>
      <c r="AD951" s="53"/>
      <c r="AE951" s="53"/>
      <c r="AF951" s="53"/>
      <c r="AG951" s="53"/>
    </row>
    <row r="952" spans="1:33" s="46" customFormat="1">
      <c r="A952" s="39">
        <v>41241</v>
      </c>
      <c r="B952" s="9" t="s">
        <v>2893</v>
      </c>
      <c r="C952" s="15">
        <v>844</v>
      </c>
      <c r="D952" s="41" t="s">
        <v>2368</v>
      </c>
      <c r="E952" s="9" t="s">
        <v>274</v>
      </c>
      <c r="F952" s="9" t="s">
        <v>479</v>
      </c>
      <c r="G952" s="9"/>
      <c r="H952" s="39"/>
      <c r="I952" s="9"/>
      <c r="J952" s="39"/>
      <c r="K952" s="42"/>
      <c r="L952" s="9" t="s">
        <v>2369</v>
      </c>
      <c r="M952" s="16"/>
      <c r="AA952" s="14">
        <f t="shared" si="30"/>
        <v>-19</v>
      </c>
      <c r="AB952" s="47">
        <f t="shared" si="31"/>
        <v>-20</v>
      </c>
      <c r="AD952" s="53"/>
      <c r="AE952" s="53"/>
      <c r="AF952" s="53"/>
      <c r="AG952" s="53"/>
    </row>
    <row r="953" spans="1:33" s="46" customFormat="1">
      <c r="A953" s="39">
        <v>41241</v>
      </c>
      <c r="B953" s="9" t="s">
        <v>2850</v>
      </c>
      <c r="C953" s="15">
        <v>845</v>
      </c>
      <c r="D953" s="41" t="s">
        <v>2370</v>
      </c>
      <c r="E953" s="9" t="s">
        <v>802</v>
      </c>
      <c r="F953" s="9" t="s">
        <v>479</v>
      </c>
      <c r="G953" s="9"/>
      <c r="H953" s="39"/>
      <c r="I953" s="9"/>
      <c r="J953" s="39"/>
      <c r="K953" s="42"/>
      <c r="L953" s="9"/>
      <c r="M953" s="16"/>
      <c r="AA953" s="14">
        <f t="shared" si="30"/>
        <v>1</v>
      </c>
      <c r="AB953" s="47">
        <f t="shared" si="31"/>
        <v>0</v>
      </c>
      <c r="AD953" s="53"/>
      <c r="AE953" s="53"/>
      <c r="AF953" s="53"/>
      <c r="AG953" s="53"/>
    </row>
    <row r="954" spans="1:33" s="46" customFormat="1" ht="24">
      <c r="A954" s="39">
        <v>41241</v>
      </c>
      <c r="B954" s="9" t="s">
        <v>2618</v>
      </c>
      <c r="C954" s="15">
        <v>850</v>
      </c>
      <c r="D954" s="41" t="s">
        <v>2371</v>
      </c>
      <c r="E954" s="9" t="s">
        <v>802</v>
      </c>
      <c r="F954" s="9" t="s">
        <v>479</v>
      </c>
      <c r="G954" s="9"/>
      <c r="H954" s="39"/>
      <c r="I954" s="9"/>
      <c r="J954" s="39"/>
      <c r="K954" s="42"/>
      <c r="L954" s="9"/>
      <c r="M954" s="16"/>
      <c r="AA954" s="14">
        <f t="shared" si="30"/>
        <v>5</v>
      </c>
      <c r="AB954" s="47">
        <f t="shared" si="31"/>
        <v>4</v>
      </c>
      <c r="AD954" s="53"/>
      <c r="AE954" s="53"/>
      <c r="AF954" s="53"/>
      <c r="AG954" s="53"/>
    </row>
    <row r="955" spans="1:33" s="46" customFormat="1" ht="24">
      <c r="A955" s="39">
        <v>41241</v>
      </c>
      <c r="B955" s="9" t="s">
        <v>2617</v>
      </c>
      <c r="C955" s="15">
        <v>843</v>
      </c>
      <c r="D955" s="41" t="s">
        <v>2372</v>
      </c>
      <c r="E955" s="9" t="s">
        <v>802</v>
      </c>
      <c r="F955" s="9" t="s">
        <v>479</v>
      </c>
      <c r="G955" s="9"/>
      <c r="H955" s="39"/>
      <c r="I955" s="9"/>
      <c r="J955" s="39"/>
      <c r="K955" s="42"/>
      <c r="L955" s="9" t="s">
        <v>2373</v>
      </c>
      <c r="M955" s="16"/>
      <c r="AA955" s="14">
        <f t="shared" si="30"/>
        <v>-7</v>
      </c>
      <c r="AB955" s="47">
        <f t="shared" si="31"/>
        <v>-8</v>
      </c>
      <c r="AD955" s="53"/>
      <c r="AE955" s="53"/>
      <c r="AF955" s="53"/>
      <c r="AG955" s="53"/>
    </row>
    <row r="956" spans="1:33" s="46" customFormat="1">
      <c r="A956" s="39">
        <v>41241</v>
      </c>
      <c r="B956" s="9"/>
      <c r="C956" s="15"/>
      <c r="D956" s="41" t="s">
        <v>2374</v>
      </c>
      <c r="E956" s="9" t="s">
        <v>22</v>
      </c>
      <c r="F956" s="9" t="s">
        <v>935</v>
      </c>
      <c r="G956" s="9"/>
      <c r="H956" s="39"/>
      <c r="I956" s="9"/>
      <c r="J956" s="39"/>
      <c r="K956" s="42"/>
      <c r="L956" s="9" t="s">
        <v>2375</v>
      </c>
      <c r="M956" s="16" t="s">
        <v>190</v>
      </c>
      <c r="AA956" s="14">
        <f t="shared" si="30"/>
        <v>-843</v>
      </c>
      <c r="AB956" s="47">
        <f t="shared" si="31"/>
        <v>-844</v>
      </c>
      <c r="AD956" s="53"/>
      <c r="AE956" s="53"/>
      <c r="AF956" s="53"/>
      <c r="AG956" s="53"/>
    </row>
    <row r="957" spans="1:33" s="46" customFormat="1">
      <c r="A957" s="39"/>
      <c r="B957" s="9"/>
      <c r="C957" s="15"/>
      <c r="D957" s="41" t="s">
        <v>2376</v>
      </c>
      <c r="E957" s="9" t="s">
        <v>274</v>
      </c>
      <c r="F957" s="9" t="s">
        <v>479</v>
      </c>
      <c r="G957" s="9"/>
      <c r="H957" s="39"/>
      <c r="I957" s="9"/>
      <c r="J957" s="39"/>
      <c r="K957" s="42"/>
      <c r="L957" s="9" t="s">
        <v>1837</v>
      </c>
      <c r="M957" s="16"/>
      <c r="AA957" s="14">
        <f t="shared" si="30"/>
        <v>0</v>
      </c>
      <c r="AB957" s="47">
        <f t="shared" si="31"/>
        <v>-1</v>
      </c>
      <c r="AD957" s="53"/>
      <c r="AE957" s="53"/>
      <c r="AF957" s="53"/>
      <c r="AG957" s="53"/>
    </row>
    <row r="958" spans="1:33" s="46" customFormat="1">
      <c r="A958" s="39">
        <v>41241</v>
      </c>
      <c r="B958" s="9" t="s">
        <v>2820</v>
      </c>
      <c r="C958" s="15">
        <v>809</v>
      </c>
      <c r="D958" s="41" t="s">
        <v>2377</v>
      </c>
      <c r="E958" s="9" t="s">
        <v>51</v>
      </c>
      <c r="F958" s="9" t="s">
        <v>479</v>
      </c>
      <c r="G958" s="9"/>
      <c r="H958" s="39"/>
      <c r="I958" s="9"/>
      <c r="J958" s="39"/>
      <c r="K958" s="42"/>
      <c r="L958" s="9" t="s">
        <v>2378</v>
      </c>
      <c r="M958" s="16"/>
      <c r="AA958" s="14">
        <f t="shared" si="30"/>
        <v>809</v>
      </c>
      <c r="AB958" s="47">
        <f t="shared" si="31"/>
        <v>808</v>
      </c>
      <c r="AD958" s="53"/>
      <c r="AE958" s="53"/>
      <c r="AF958" s="53"/>
      <c r="AG958" s="53"/>
    </row>
    <row r="959" spans="1:33" s="46" customFormat="1">
      <c r="A959" s="39">
        <v>41241</v>
      </c>
      <c r="B959" s="9" t="s">
        <v>2897</v>
      </c>
      <c r="C959" s="15">
        <v>867</v>
      </c>
      <c r="D959" s="41" t="s">
        <v>2379</v>
      </c>
      <c r="E959" s="9" t="s">
        <v>2198</v>
      </c>
      <c r="F959" s="9" t="s">
        <v>479</v>
      </c>
      <c r="G959" s="9"/>
      <c r="H959" s="39"/>
      <c r="I959" s="9"/>
      <c r="J959" s="39"/>
      <c r="K959" s="42"/>
      <c r="L959" s="9" t="s">
        <v>2380</v>
      </c>
      <c r="M959" s="16"/>
      <c r="AA959" s="14">
        <f t="shared" si="30"/>
        <v>58</v>
      </c>
      <c r="AB959" s="47">
        <f t="shared" si="31"/>
        <v>57</v>
      </c>
      <c r="AD959" s="53"/>
      <c r="AE959" s="53"/>
      <c r="AF959" s="53"/>
      <c r="AG959" s="53"/>
    </row>
    <row r="960" spans="1:33" s="46" customFormat="1">
      <c r="A960" s="39">
        <v>41241</v>
      </c>
      <c r="B960" s="9" t="s">
        <v>2846</v>
      </c>
      <c r="C960" s="15">
        <v>828</v>
      </c>
      <c r="D960" s="41" t="s">
        <v>2381</v>
      </c>
      <c r="E960" s="9" t="s">
        <v>1420</v>
      </c>
      <c r="F960" s="9" t="s">
        <v>479</v>
      </c>
      <c r="G960" s="9"/>
      <c r="H960" s="39"/>
      <c r="I960" s="9"/>
      <c r="J960" s="39"/>
      <c r="K960" s="42"/>
      <c r="L960" s="9"/>
      <c r="M960" s="16"/>
      <c r="AA960" s="14">
        <f t="shared" si="30"/>
        <v>-39</v>
      </c>
      <c r="AB960" s="47">
        <f t="shared" si="31"/>
        <v>-40</v>
      </c>
      <c r="AD960" s="53"/>
      <c r="AE960" s="53"/>
      <c r="AF960" s="53"/>
      <c r="AG960" s="53"/>
    </row>
    <row r="961" spans="1:33" s="46" customFormat="1">
      <c r="A961" s="39">
        <v>41241</v>
      </c>
      <c r="B961" s="9" t="s">
        <v>2908</v>
      </c>
      <c r="C961" s="15">
        <v>880</v>
      </c>
      <c r="D961" s="41" t="s">
        <v>2382</v>
      </c>
      <c r="E961" s="9" t="s">
        <v>1420</v>
      </c>
      <c r="F961" s="9" t="s">
        <v>479</v>
      </c>
      <c r="G961" s="9"/>
      <c r="H961" s="39"/>
      <c r="I961" s="9"/>
      <c r="J961" s="39"/>
      <c r="K961" s="42"/>
      <c r="L961" s="9"/>
      <c r="M961" s="16"/>
      <c r="AA961" s="14">
        <f t="shared" si="30"/>
        <v>52</v>
      </c>
      <c r="AB961" s="47">
        <f t="shared" si="31"/>
        <v>51</v>
      </c>
      <c r="AD961" s="53"/>
      <c r="AE961" s="53"/>
      <c r="AF961" s="53"/>
      <c r="AG961" s="53"/>
    </row>
    <row r="962" spans="1:33" s="46" customFormat="1">
      <c r="A962" s="39">
        <v>41241</v>
      </c>
      <c r="B962" s="9" t="s">
        <v>2847</v>
      </c>
      <c r="C962" s="15">
        <v>834</v>
      </c>
      <c r="D962" s="41" t="s">
        <v>2383</v>
      </c>
      <c r="E962" s="9" t="s">
        <v>1420</v>
      </c>
      <c r="F962" s="9" t="s">
        <v>479</v>
      </c>
      <c r="G962" s="9"/>
      <c r="H962" s="39"/>
      <c r="I962" s="9"/>
      <c r="J962" s="39"/>
      <c r="K962" s="42"/>
      <c r="L962" s="9"/>
      <c r="M962" s="16"/>
      <c r="AA962" s="14">
        <f t="shared" si="30"/>
        <v>-46</v>
      </c>
      <c r="AB962" s="47">
        <f t="shared" si="31"/>
        <v>-47</v>
      </c>
      <c r="AD962" s="53"/>
      <c r="AE962" s="53"/>
      <c r="AF962" s="53"/>
      <c r="AG962" s="53"/>
    </row>
    <row r="963" spans="1:33" s="46" customFormat="1">
      <c r="A963" s="39">
        <v>41241</v>
      </c>
      <c r="B963" s="9" t="s">
        <v>2909</v>
      </c>
      <c r="C963" s="15">
        <v>881</v>
      </c>
      <c r="D963" s="41" t="s">
        <v>2384</v>
      </c>
      <c r="E963" s="9" t="s">
        <v>1420</v>
      </c>
      <c r="F963" s="9" t="s">
        <v>479</v>
      </c>
      <c r="G963" s="9"/>
      <c r="H963" s="39"/>
      <c r="I963" s="9"/>
      <c r="J963" s="39"/>
      <c r="K963" s="42"/>
      <c r="L963" s="9"/>
      <c r="M963" s="16"/>
      <c r="AA963" s="14">
        <f t="shared" si="30"/>
        <v>47</v>
      </c>
      <c r="AB963" s="47">
        <f t="shared" si="31"/>
        <v>46</v>
      </c>
      <c r="AD963" s="53"/>
      <c r="AE963" s="53"/>
      <c r="AF963" s="53"/>
      <c r="AG963" s="53"/>
    </row>
    <row r="964" spans="1:33" s="46" customFormat="1">
      <c r="A964" s="39">
        <v>41241</v>
      </c>
      <c r="B964" s="9" t="s">
        <v>2800</v>
      </c>
      <c r="C964" s="15">
        <v>829</v>
      </c>
      <c r="D964" s="41" t="s">
        <v>2385</v>
      </c>
      <c r="E964" s="9" t="s">
        <v>1420</v>
      </c>
      <c r="F964" s="9" t="s">
        <v>479</v>
      </c>
      <c r="G964" s="9"/>
      <c r="H964" s="39"/>
      <c r="I964" s="9"/>
      <c r="J964" s="39"/>
      <c r="K964" s="42"/>
      <c r="L964" s="9"/>
      <c r="M964" s="16"/>
      <c r="AA964" s="14">
        <f t="shared" si="30"/>
        <v>-52</v>
      </c>
      <c r="AB964" s="47">
        <f t="shared" si="31"/>
        <v>-53</v>
      </c>
      <c r="AD964" s="53"/>
      <c r="AE964" s="53"/>
      <c r="AF964" s="53"/>
      <c r="AG964" s="53"/>
    </row>
    <row r="965" spans="1:33" s="46" customFormat="1">
      <c r="A965" s="39">
        <v>41241</v>
      </c>
      <c r="B965" s="9" t="s">
        <v>2910</v>
      </c>
      <c r="C965" s="15">
        <v>882</v>
      </c>
      <c r="D965" s="41" t="s">
        <v>2386</v>
      </c>
      <c r="E965" s="9" t="s">
        <v>2387</v>
      </c>
      <c r="F965" s="9" t="s">
        <v>479</v>
      </c>
      <c r="G965" s="9"/>
      <c r="H965" s="39"/>
      <c r="I965" s="9"/>
      <c r="J965" s="39"/>
      <c r="K965" s="42"/>
      <c r="L965" s="9"/>
      <c r="M965" s="16"/>
      <c r="AA965" s="14">
        <f t="shared" si="30"/>
        <v>53</v>
      </c>
      <c r="AB965" s="47">
        <f t="shared" si="31"/>
        <v>52</v>
      </c>
      <c r="AD965" s="53"/>
      <c r="AE965" s="53"/>
      <c r="AF965" s="53"/>
      <c r="AG965" s="53"/>
    </row>
    <row r="966" spans="1:33" s="46" customFormat="1">
      <c r="A966" s="39">
        <v>41241</v>
      </c>
      <c r="B966" s="9" t="s">
        <v>2801</v>
      </c>
      <c r="C966" s="15">
        <v>827</v>
      </c>
      <c r="D966" s="41" t="s">
        <v>2388</v>
      </c>
      <c r="E966" s="9" t="s">
        <v>1420</v>
      </c>
      <c r="F966" s="9" t="s">
        <v>479</v>
      </c>
      <c r="G966" s="9"/>
      <c r="H966" s="39"/>
      <c r="I966" s="9"/>
      <c r="J966" s="39"/>
      <c r="K966" s="42"/>
      <c r="L966" s="9"/>
      <c r="M966" s="16"/>
      <c r="AA966" s="14">
        <f t="shared" si="30"/>
        <v>-55</v>
      </c>
      <c r="AB966" s="47">
        <f t="shared" si="31"/>
        <v>-56</v>
      </c>
      <c r="AD966" s="53"/>
      <c r="AE966" s="53"/>
      <c r="AF966" s="53"/>
      <c r="AG966" s="53"/>
    </row>
    <row r="967" spans="1:33" s="46" customFormat="1">
      <c r="A967" s="39">
        <v>41241</v>
      </c>
      <c r="B967" s="9" t="s">
        <v>2911</v>
      </c>
      <c r="C967" s="15">
        <v>884</v>
      </c>
      <c r="D967" s="41" t="s">
        <v>2389</v>
      </c>
      <c r="E967" s="9" t="s">
        <v>1420</v>
      </c>
      <c r="F967" s="9" t="s">
        <v>479</v>
      </c>
      <c r="G967" s="9"/>
      <c r="H967" s="39"/>
      <c r="I967" s="9"/>
      <c r="J967" s="39"/>
      <c r="K967" s="42"/>
      <c r="L967" s="9"/>
      <c r="M967" s="16"/>
      <c r="AA967" s="14">
        <f t="shared" si="30"/>
        <v>57</v>
      </c>
      <c r="AB967" s="47">
        <f t="shared" si="31"/>
        <v>56</v>
      </c>
      <c r="AD967" s="53"/>
      <c r="AE967" s="53"/>
      <c r="AF967" s="53"/>
      <c r="AG967" s="53"/>
    </row>
    <row r="968" spans="1:33" s="46" customFormat="1">
      <c r="A968" s="39">
        <v>41241</v>
      </c>
      <c r="B968" s="9" t="s">
        <v>2922</v>
      </c>
      <c r="C968" s="15">
        <v>959</v>
      </c>
      <c r="D968" s="41" t="s">
        <v>2390</v>
      </c>
      <c r="E968" s="9" t="s">
        <v>1420</v>
      </c>
      <c r="F968" s="9" t="s">
        <v>935</v>
      </c>
      <c r="G968" s="9"/>
      <c r="H968" s="39"/>
      <c r="I968" s="9"/>
      <c r="J968" s="39"/>
      <c r="K968" s="42"/>
      <c r="L968" s="9" t="s">
        <v>2391</v>
      </c>
      <c r="M968" s="16"/>
      <c r="AA968" s="14">
        <f t="shared" si="30"/>
        <v>75</v>
      </c>
      <c r="AB968" s="47">
        <f t="shared" si="31"/>
        <v>74</v>
      </c>
      <c r="AD968" s="53"/>
      <c r="AE968" s="53"/>
      <c r="AF968" s="53"/>
      <c r="AG968" s="53"/>
    </row>
    <row r="969" spans="1:33" s="46" customFormat="1">
      <c r="A969" s="39">
        <v>41241</v>
      </c>
      <c r="B969" s="9"/>
      <c r="C969" s="15"/>
      <c r="D969" s="41" t="s">
        <v>2392</v>
      </c>
      <c r="E969" s="9" t="s">
        <v>1420</v>
      </c>
      <c r="F969" s="9" t="s">
        <v>479</v>
      </c>
      <c r="G969" s="9"/>
      <c r="H969" s="39"/>
      <c r="I969" s="9"/>
      <c r="J969" s="39"/>
      <c r="K969" s="42"/>
      <c r="L969" s="9" t="s">
        <v>2393</v>
      </c>
      <c r="M969" s="16"/>
      <c r="AA969" s="14">
        <f t="shared" si="30"/>
        <v>-959</v>
      </c>
      <c r="AB969" s="47">
        <f t="shared" si="31"/>
        <v>-960</v>
      </c>
      <c r="AD969" s="53"/>
      <c r="AE969" s="53"/>
      <c r="AF969" s="53"/>
      <c r="AG969" s="53"/>
    </row>
    <row r="970" spans="1:33" s="46" customFormat="1">
      <c r="A970" s="39">
        <v>41241</v>
      </c>
      <c r="B970" s="9" t="s">
        <v>2912</v>
      </c>
      <c r="C970" s="15">
        <v>885</v>
      </c>
      <c r="D970" s="41" t="s">
        <v>2394</v>
      </c>
      <c r="E970" s="9" t="s">
        <v>1420</v>
      </c>
      <c r="F970" s="9" t="s">
        <v>479</v>
      </c>
      <c r="G970" s="9"/>
      <c r="H970" s="39"/>
      <c r="I970" s="9"/>
      <c r="J970" s="39"/>
      <c r="K970" s="42"/>
      <c r="L970" s="9"/>
      <c r="M970" s="16"/>
      <c r="AA970" s="14">
        <f t="shared" si="30"/>
        <v>885</v>
      </c>
      <c r="AB970" s="47">
        <f t="shared" si="31"/>
        <v>884</v>
      </c>
      <c r="AD970" s="53"/>
      <c r="AE970" s="53"/>
      <c r="AF970" s="53"/>
      <c r="AG970" s="53"/>
    </row>
    <row r="971" spans="1:33" s="46" customFormat="1">
      <c r="A971" s="39">
        <v>41241</v>
      </c>
      <c r="B971" s="9" t="s">
        <v>2799</v>
      </c>
      <c r="C971" s="15">
        <v>830</v>
      </c>
      <c r="D971" s="41" t="s">
        <v>2395</v>
      </c>
      <c r="E971" s="9" t="s">
        <v>1420</v>
      </c>
      <c r="F971" s="9" t="s">
        <v>479</v>
      </c>
      <c r="G971" s="9"/>
      <c r="H971" s="39"/>
      <c r="I971" s="9"/>
      <c r="J971" s="39"/>
      <c r="K971" s="42"/>
      <c r="L971" s="9" t="s">
        <v>2396</v>
      </c>
      <c r="M971" s="16"/>
      <c r="AA971" s="14">
        <f t="shared" si="30"/>
        <v>-55</v>
      </c>
      <c r="AB971" s="47">
        <f t="shared" si="31"/>
        <v>-56</v>
      </c>
      <c r="AD971" s="53"/>
      <c r="AE971" s="53"/>
      <c r="AF971" s="53"/>
      <c r="AG971" s="53"/>
    </row>
    <row r="972" spans="1:33" s="46" customFormat="1">
      <c r="A972" s="39">
        <v>41241</v>
      </c>
      <c r="B972" s="9"/>
      <c r="C972" s="15"/>
      <c r="D972" s="41" t="s">
        <v>2397</v>
      </c>
      <c r="E972" s="9" t="s">
        <v>1420</v>
      </c>
      <c r="F972" s="9" t="s">
        <v>479</v>
      </c>
      <c r="G972" s="9"/>
      <c r="H972" s="39"/>
      <c r="I972" s="9"/>
      <c r="J972" s="39"/>
      <c r="K972" s="42"/>
      <c r="L972" s="9" t="s">
        <v>2398</v>
      </c>
      <c r="M972" s="16"/>
      <c r="AA972" s="14">
        <f t="shared" si="30"/>
        <v>-830</v>
      </c>
      <c r="AB972" s="47">
        <f t="shared" si="31"/>
        <v>-831</v>
      </c>
      <c r="AD972" s="53"/>
      <c r="AE972" s="53"/>
      <c r="AF972" s="53"/>
      <c r="AG972" s="53"/>
    </row>
    <row r="973" spans="1:33" s="46" customFormat="1">
      <c r="A973" s="39">
        <v>41241</v>
      </c>
      <c r="B973" s="9"/>
      <c r="C973" s="15"/>
      <c r="D973" s="41" t="s">
        <v>2399</v>
      </c>
      <c r="E973" s="9" t="s">
        <v>1420</v>
      </c>
      <c r="F973" s="9" t="s">
        <v>479</v>
      </c>
      <c r="G973" s="9"/>
      <c r="H973" s="39"/>
      <c r="I973" s="9"/>
      <c r="J973" s="39"/>
      <c r="K973" s="42"/>
      <c r="L973" s="9"/>
      <c r="M973" s="16"/>
      <c r="AA973" s="14">
        <f t="shared" si="30"/>
        <v>0</v>
      </c>
      <c r="AB973" s="47">
        <f t="shared" si="31"/>
        <v>-1</v>
      </c>
      <c r="AD973" s="53"/>
      <c r="AE973" s="53"/>
      <c r="AF973" s="53"/>
      <c r="AG973" s="53"/>
    </row>
    <row r="974" spans="1:33" s="46" customFormat="1">
      <c r="A974" s="39">
        <v>41241</v>
      </c>
      <c r="B974" s="9"/>
      <c r="C974" s="15"/>
      <c r="D974" s="41" t="s">
        <v>2400</v>
      </c>
      <c r="E974" s="9" t="s">
        <v>1420</v>
      </c>
      <c r="F974" s="9" t="s">
        <v>479</v>
      </c>
      <c r="G974" s="9"/>
      <c r="H974" s="39"/>
      <c r="I974" s="9"/>
      <c r="J974" s="39"/>
      <c r="K974" s="42"/>
      <c r="L974" s="9"/>
      <c r="M974" s="16"/>
      <c r="AA974" s="14">
        <f t="shared" si="30"/>
        <v>0</v>
      </c>
      <c r="AB974" s="47">
        <f t="shared" si="31"/>
        <v>-1</v>
      </c>
      <c r="AD974" s="53"/>
      <c r="AE974" s="53"/>
      <c r="AF974" s="53"/>
      <c r="AG974" s="53"/>
    </row>
    <row r="975" spans="1:33" s="46" customFormat="1">
      <c r="A975" s="39">
        <v>41241</v>
      </c>
      <c r="B975" s="9"/>
      <c r="C975" s="15"/>
      <c r="D975" s="41" t="s">
        <v>2401</v>
      </c>
      <c r="E975" s="9" t="s">
        <v>1420</v>
      </c>
      <c r="F975" s="9" t="s">
        <v>479</v>
      </c>
      <c r="G975" s="9"/>
      <c r="H975" s="39"/>
      <c r="I975" s="9"/>
      <c r="J975" s="39"/>
      <c r="K975" s="42"/>
      <c r="L975" s="9"/>
      <c r="M975" s="16"/>
      <c r="AA975" s="14">
        <f t="shared" si="30"/>
        <v>0</v>
      </c>
      <c r="AB975" s="47">
        <f t="shared" si="31"/>
        <v>-1</v>
      </c>
      <c r="AD975" s="53"/>
      <c r="AE975" s="53"/>
      <c r="AF975" s="53"/>
      <c r="AG975" s="53"/>
    </row>
    <row r="976" spans="1:33" s="46" customFormat="1">
      <c r="A976" s="39">
        <v>41241</v>
      </c>
      <c r="B976" s="9"/>
      <c r="C976" s="15"/>
      <c r="D976" s="41" t="s">
        <v>2402</v>
      </c>
      <c r="E976" s="9" t="s">
        <v>1420</v>
      </c>
      <c r="F976" s="9" t="s">
        <v>935</v>
      </c>
      <c r="G976" s="9"/>
      <c r="H976" s="39"/>
      <c r="I976" s="9"/>
      <c r="J976" s="39"/>
      <c r="K976" s="42"/>
      <c r="L976" s="9"/>
      <c r="M976" s="16"/>
      <c r="AA976" s="14">
        <f t="shared" si="30"/>
        <v>0</v>
      </c>
      <c r="AB976" s="47">
        <f t="shared" si="31"/>
        <v>-1</v>
      </c>
      <c r="AD976" s="53"/>
      <c r="AE976" s="53"/>
      <c r="AF976" s="53"/>
      <c r="AG976" s="53"/>
    </row>
    <row r="977" spans="1:33" s="46" customFormat="1">
      <c r="A977" s="39">
        <v>41241</v>
      </c>
      <c r="B977" s="9" t="s">
        <v>2896</v>
      </c>
      <c r="C977" s="15">
        <v>866</v>
      </c>
      <c r="D977" s="41" t="s">
        <v>2403</v>
      </c>
      <c r="E977" s="9" t="s">
        <v>1420</v>
      </c>
      <c r="F977" s="9" t="s">
        <v>479</v>
      </c>
      <c r="G977" s="9"/>
      <c r="H977" s="39"/>
      <c r="I977" s="9"/>
      <c r="J977" s="39"/>
      <c r="K977" s="42"/>
      <c r="L977" s="9"/>
      <c r="M977" s="16"/>
      <c r="AA977" s="14">
        <f t="shared" si="30"/>
        <v>866</v>
      </c>
      <c r="AB977" s="47">
        <f t="shared" si="31"/>
        <v>865</v>
      </c>
      <c r="AD977" s="53"/>
      <c r="AE977" s="53"/>
      <c r="AF977" s="53"/>
      <c r="AG977" s="53"/>
    </row>
    <row r="978" spans="1:33" s="46" customFormat="1">
      <c r="A978" s="39">
        <v>41241</v>
      </c>
      <c r="B978" s="9"/>
      <c r="C978" s="15"/>
      <c r="D978" s="41" t="s">
        <v>2404</v>
      </c>
      <c r="E978" s="9" t="s">
        <v>1420</v>
      </c>
      <c r="F978" s="9" t="s">
        <v>479</v>
      </c>
      <c r="G978" s="9"/>
      <c r="H978" s="39"/>
      <c r="I978" s="9"/>
      <c r="J978" s="39"/>
      <c r="K978" s="42"/>
      <c r="L978" s="9"/>
      <c r="M978" s="16"/>
      <c r="AA978" s="14">
        <f t="shared" si="30"/>
        <v>-866</v>
      </c>
      <c r="AB978" s="47">
        <f t="shared" si="31"/>
        <v>-867</v>
      </c>
      <c r="AD978" s="53"/>
      <c r="AE978" s="53"/>
      <c r="AF978" s="53"/>
      <c r="AG978" s="53"/>
    </row>
    <row r="979" spans="1:33" s="46" customFormat="1">
      <c r="A979" s="39">
        <v>41241</v>
      </c>
      <c r="B979" s="9" t="s">
        <v>2406</v>
      </c>
      <c r="C979" s="15"/>
      <c r="D979" s="41" t="s">
        <v>2405</v>
      </c>
      <c r="E979" s="9" t="s">
        <v>300</v>
      </c>
      <c r="F979" s="9" t="s">
        <v>935</v>
      </c>
      <c r="G979" s="9"/>
      <c r="H979" s="39"/>
      <c r="I979" s="9"/>
      <c r="J979" s="39"/>
      <c r="K979" s="42"/>
      <c r="L979" s="9"/>
      <c r="M979" s="16"/>
      <c r="AA979" s="14">
        <f t="shared" si="30"/>
        <v>0</v>
      </c>
      <c r="AB979" s="47">
        <f t="shared" si="31"/>
        <v>-1</v>
      </c>
      <c r="AD979" s="53"/>
      <c r="AE979" s="53"/>
      <c r="AF979" s="53"/>
      <c r="AG979" s="53"/>
    </row>
    <row r="980" spans="1:33" s="46" customFormat="1">
      <c r="A980" s="39">
        <v>41241</v>
      </c>
      <c r="B980" s="9"/>
      <c r="C980" s="15"/>
      <c r="D980" s="41" t="s">
        <v>2407</v>
      </c>
      <c r="E980" s="9" t="s">
        <v>77</v>
      </c>
      <c r="F980" s="9" t="s">
        <v>935</v>
      </c>
      <c r="G980" s="9"/>
      <c r="H980" s="39"/>
      <c r="I980" s="9"/>
      <c r="J980" s="39"/>
      <c r="K980" s="42"/>
      <c r="L980" s="9"/>
      <c r="M980" s="16"/>
      <c r="AA980" s="14">
        <f t="shared" si="30"/>
        <v>0</v>
      </c>
      <c r="AB980" s="47">
        <f t="shared" si="31"/>
        <v>-1</v>
      </c>
      <c r="AD980" s="53"/>
      <c r="AE980" s="53"/>
      <c r="AF980" s="53"/>
      <c r="AG980" s="53"/>
    </row>
    <row r="981" spans="1:33" s="46" customFormat="1">
      <c r="A981" s="39">
        <v>41241</v>
      </c>
      <c r="B981" s="9" t="s">
        <v>2916</v>
      </c>
      <c r="C981" s="15">
        <v>894</v>
      </c>
      <c r="D981" s="41" t="s">
        <v>2408</v>
      </c>
      <c r="E981" s="9" t="s">
        <v>2198</v>
      </c>
      <c r="F981" s="9" t="s">
        <v>479</v>
      </c>
      <c r="G981" s="9"/>
      <c r="H981" s="39"/>
      <c r="I981" s="9"/>
      <c r="J981" s="39"/>
      <c r="K981" s="42"/>
      <c r="L981" s="9"/>
      <c r="M981" s="16" t="s">
        <v>193</v>
      </c>
      <c r="AA981" s="14">
        <f t="shared" si="30"/>
        <v>894</v>
      </c>
      <c r="AB981" s="47">
        <f t="shared" si="31"/>
        <v>893</v>
      </c>
      <c r="AD981" s="53"/>
      <c r="AE981" s="53"/>
      <c r="AF981" s="53"/>
      <c r="AG981" s="53"/>
    </row>
    <row r="982" spans="1:33" s="46" customFormat="1">
      <c r="A982" s="39">
        <v>41241</v>
      </c>
      <c r="B982" s="9" t="s">
        <v>2895</v>
      </c>
      <c r="C982" s="15">
        <v>865</v>
      </c>
      <c r="D982" s="41" t="s">
        <v>2409</v>
      </c>
      <c r="E982" s="9" t="s">
        <v>2198</v>
      </c>
      <c r="F982" s="9" t="s">
        <v>479</v>
      </c>
      <c r="G982" s="9"/>
      <c r="H982" s="39"/>
      <c r="I982" s="9"/>
      <c r="J982" s="39"/>
      <c r="K982" s="42"/>
      <c r="L982" s="9" t="s">
        <v>2410</v>
      </c>
      <c r="M982" s="16"/>
      <c r="AA982" s="14">
        <f t="shared" si="30"/>
        <v>-29</v>
      </c>
      <c r="AB982" s="47">
        <f t="shared" si="31"/>
        <v>-30</v>
      </c>
      <c r="AD982" s="53"/>
      <c r="AE982" s="53"/>
      <c r="AF982" s="53"/>
      <c r="AG982" s="53"/>
    </row>
    <row r="983" spans="1:33" s="46" customFormat="1">
      <c r="A983" s="39">
        <v>41241</v>
      </c>
      <c r="B983" s="9" t="s">
        <v>2877</v>
      </c>
      <c r="C983" s="15">
        <v>908</v>
      </c>
      <c r="D983" s="41" t="s">
        <v>2411</v>
      </c>
      <c r="E983" s="9" t="s">
        <v>2198</v>
      </c>
      <c r="F983" s="9" t="s">
        <v>479</v>
      </c>
      <c r="G983" s="9"/>
      <c r="H983" s="39"/>
      <c r="I983" s="9"/>
      <c r="J983" s="39"/>
      <c r="K983" s="42"/>
      <c r="L983" s="9" t="s">
        <v>2412</v>
      </c>
      <c r="M983" s="16"/>
      <c r="AA983" s="14">
        <f t="shared" si="30"/>
        <v>43</v>
      </c>
      <c r="AB983" s="47">
        <f t="shared" si="31"/>
        <v>42</v>
      </c>
      <c r="AD983" s="53"/>
      <c r="AE983" s="53"/>
      <c r="AF983" s="53"/>
      <c r="AG983" s="53"/>
    </row>
    <row r="984" spans="1:33" s="46" customFormat="1">
      <c r="A984" s="39">
        <v>41241</v>
      </c>
      <c r="B984" s="9" t="s">
        <v>2894</v>
      </c>
      <c r="C984" s="15">
        <v>864</v>
      </c>
      <c r="D984" s="41" t="s">
        <v>2413</v>
      </c>
      <c r="E984" s="9" t="s">
        <v>931</v>
      </c>
      <c r="F984" s="9" t="s">
        <v>935</v>
      </c>
      <c r="G984" s="9"/>
      <c r="H984" s="39"/>
      <c r="I984" s="9"/>
      <c r="J984" s="39"/>
      <c r="K984" s="42"/>
      <c r="L984" s="9"/>
      <c r="M984" s="16"/>
      <c r="AA984" s="14">
        <f t="shared" si="30"/>
        <v>-44</v>
      </c>
      <c r="AB984" s="47">
        <f t="shared" si="31"/>
        <v>-45</v>
      </c>
      <c r="AD984" s="53"/>
      <c r="AE984" s="53"/>
      <c r="AF984" s="53"/>
      <c r="AG984" s="53"/>
    </row>
    <row r="985" spans="1:33" s="46" customFormat="1">
      <c r="A985" s="39">
        <v>41241</v>
      </c>
      <c r="B985" s="9" t="s">
        <v>2848</v>
      </c>
      <c r="C985" s="15">
        <v>836</v>
      </c>
      <c r="D985" s="41" t="s">
        <v>2414</v>
      </c>
      <c r="E985" s="9" t="s">
        <v>931</v>
      </c>
      <c r="F985" s="9" t="s">
        <v>479</v>
      </c>
      <c r="G985" s="9"/>
      <c r="H985" s="39"/>
      <c r="I985" s="9"/>
      <c r="J985" s="39"/>
      <c r="K985" s="42"/>
      <c r="L985" s="9" t="s">
        <v>2415</v>
      </c>
      <c r="M985" s="16"/>
      <c r="AA985" s="14">
        <f t="shared" si="30"/>
        <v>-28</v>
      </c>
      <c r="AB985" s="47">
        <f t="shared" si="31"/>
        <v>-29</v>
      </c>
      <c r="AD985" s="53"/>
      <c r="AE985" s="53"/>
      <c r="AF985" s="53"/>
      <c r="AG985" s="53"/>
    </row>
    <row r="986" spans="1:33" s="46" customFormat="1" ht="24">
      <c r="A986" s="39">
        <v>41241</v>
      </c>
      <c r="B986" s="9"/>
      <c r="C986" s="15"/>
      <c r="D986" s="41" t="s">
        <v>2725</v>
      </c>
      <c r="E986" s="9" t="s">
        <v>931</v>
      </c>
      <c r="F986" s="9" t="s">
        <v>935</v>
      </c>
      <c r="G986" s="9"/>
      <c r="H986" s="39"/>
      <c r="I986" s="9"/>
      <c r="J986" s="39"/>
      <c r="K986" s="42"/>
      <c r="L986" s="9"/>
      <c r="M986" s="16"/>
      <c r="AA986" s="14">
        <f t="shared" si="30"/>
        <v>-836</v>
      </c>
      <c r="AB986" s="47">
        <f t="shared" si="31"/>
        <v>-837</v>
      </c>
      <c r="AD986" s="53"/>
      <c r="AE986" s="53"/>
      <c r="AF986" s="53"/>
      <c r="AG986" s="53"/>
    </row>
    <row r="987" spans="1:33" s="46" customFormat="1">
      <c r="A987" s="39">
        <v>41241</v>
      </c>
      <c r="B987" s="9" t="s">
        <v>2851</v>
      </c>
      <c r="C987" s="15">
        <v>849</v>
      </c>
      <c r="D987" s="41" t="s">
        <v>2416</v>
      </c>
      <c r="E987" s="9" t="s">
        <v>300</v>
      </c>
      <c r="F987" s="9" t="s">
        <v>479</v>
      </c>
      <c r="G987" s="9"/>
      <c r="H987" s="39"/>
      <c r="I987" s="9"/>
      <c r="J987" s="39"/>
      <c r="K987" s="42"/>
      <c r="L987" s="9" t="s">
        <v>2417</v>
      </c>
      <c r="M987" s="16"/>
      <c r="AA987" s="14">
        <f t="shared" si="30"/>
        <v>849</v>
      </c>
      <c r="AB987" s="47">
        <f t="shared" si="31"/>
        <v>848</v>
      </c>
      <c r="AD987" s="53"/>
      <c r="AE987" s="53"/>
      <c r="AF987" s="53"/>
      <c r="AG987" s="53"/>
    </row>
    <row r="988" spans="1:33" s="46" customFormat="1">
      <c r="A988" s="39">
        <v>41241</v>
      </c>
      <c r="B988" s="9" t="s">
        <v>2732</v>
      </c>
      <c r="C988" s="15">
        <v>871</v>
      </c>
      <c r="D988" s="41" t="s">
        <v>2418</v>
      </c>
      <c r="E988" s="9" t="s">
        <v>118</v>
      </c>
      <c r="F988" s="9" t="s">
        <v>935</v>
      </c>
      <c r="G988" s="9"/>
      <c r="H988" s="39"/>
      <c r="I988" s="9"/>
      <c r="J988" s="39"/>
      <c r="K988" s="42"/>
      <c r="L988" s="9" t="s">
        <v>2419</v>
      </c>
      <c r="M988" s="16" t="s">
        <v>193</v>
      </c>
      <c r="AA988" s="14">
        <f t="shared" si="30"/>
        <v>22</v>
      </c>
      <c r="AB988" s="47">
        <f t="shared" si="31"/>
        <v>21</v>
      </c>
      <c r="AD988" s="53"/>
      <c r="AE988" s="53"/>
      <c r="AF988" s="53"/>
      <c r="AG988" s="53"/>
    </row>
    <row r="989" spans="1:33" s="46" customFormat="1">
      <c r="A989" s="39">
        <v>41241</v>
      </c>
      <c r="B989" s="9"/>
      <c r="C989" s="15"/>
      <c r="D989" s="41" t="s">
        <v>2420</v>
      </c>
      <c r="E989" s="9" t="s">
        <v>118</v>
      </c>
      <c r="F989" s="9" t="s">
        <v>935</v>
      </c>
      <c r="G989" s="9"/>
      <c r="H989" s="39"/>
      <c r="I989" s="9"/>
      <c r="J989" s="39"/>
      <c r="K989" s="42"/>
      <c r="L989" s="9" t="s">
        <v>2421</v>
      </c>
      <c r="M989" s="16"/>
      <c r="AA989" s="14">
        <f t="shared" si="30"/>
        <v>-871</v>
      </c>
      <c r="AB989" s="47">
        <f t="shared" si="31"/>
        <v>-872</v>
      </c>
      <c r="AD989" s="53"/>
      <c r="AE989" s="53"/>
      <c r="AF989" s="53"/>
      <c r="AG989" s="53"/>
    </row>
    <row r="990" spans="1:33" s="46" customFormat="1">
      <c r="A990" s="39">
        <v>41236</v>
      </c>
      <c r="B990" s="9" t="s">
        <v>2426</v>
      </c>
      <c r="C990" s="15"/>
      <c r="D990" s="41" t="s">
        <v>2427</v>
      </c>
      <c r="E990" s="9" t="s">
        <v>1919</v>
      </c>
      <c r="F990" s="9" t="s">
        <v>935</v>
      </c>
      <c r="G990" s="9"/>
      <c r="H990" s="39"/>
      <c r="I990" s="9"/>
      <c r="J990" s="39"/>
      <c r="K990" s="42"/>
      <c r="L990" s="9"/>
      <c r="M990" s="16"/>
      <c r="AA990" s="14">
        <f t="shared" si="30"/>
        <v>0</v>
      </c>
      <c r="AB990" s="47">
        <f t="shared" si="31"/>
        <v>-1</v>
      </c>
      <c r="AD990" s="53"/>
      <c r="AE990" s="53"/>
      <c r="AF990" s="53"/>
      <c r="AG990" s="53"/>
    </row>
    <row r="991" spans="1:33" s="46" customFormat="1">
      <c r="A991" s="39">
        <v>41241</v>
      </c>
      <c r="B991" s="9" t="s">
        <v>2622</v>
      </c>
      <c r="C991" s="15">
        <v>854</v>
      </c>
      <c r="D991" s="41" t="s">
        <v>2621</v>
      </c>
      <c r="E991" s="9" t="s">
        <v>484</v>
      </c>
      <c r="F991" s="9" t="s">
        <v>479</v>
      </c>
      <c r="G991" s="9"/>
      <c r="H991" s="39"/>
      <c r="I991" s="9"/>
      <c r="J991" s="39"/>
      <c r="K991" s="42"/>
      <c r="L991" s="9"/>
      <c r="M991" s="16"/>
      <c r="AA991" s="14">
        <f t="shared" si="30"/>
        <v>854</v>
      </c>
      <c r="AB991" s="47">
        <f t="shared" si="31"/>
        <v>853</v>
      </c>
      <c r="AD991" s="53"/>
      <c r="AE991" s="53"/>
      <c r="AF991" s="53"/>
      <c r="AG991" s="53"/>
    </row>
    <row r="992" spans="1:33" s="46" customFormat="1">
      <c r="A992" s="39">
        <v>41241</v>
      </c>
      <c r="B992" s="9" t="s">
        <v>2852</v>
      </c>
      <c r="C992" s="15">
        <v>848</v>
      </c>
      <c r="D992" s="41" t="s">
        <v>2439</v>
      </c>
      <c r="E992" s="9" t="s">
        <v>802</v>
      </c>
      <c r="F992" s="9" t="s">
        <v>479</v>
      </c>
      <c r="G992" s="9"/>
      <c r="H992" s="39"/>
      <c r="I992" s="9"/>
      <c r="J992" s="39"/>
      <c r="K992" s="42"/>
      <c r="L992" s="9"/>
      <c r="M992" s="16"/>
      <c r="AA992" s="14">
        <f t="shared" si="30"/>
        <v>-6</v>
      </c>
      <c r="AB992" s="47">
        <f t="shared" si="31"/>
        <v>-7</v>
      </c>
      <c r="AD992" s="53"/>
      <c r="AE992" s="53"/>
      <c r="AF992" s="53"/>
      <c r="AG992" s="53"/>
    </row>
    <row r="993" spans="1:33" s="46" customFormat="1">
      <c r="A993" s="39">
        <v>41241</v>
      </c>
      <c r="B993" s="9" t="s">
        <v>2627</v>
      </c>
      <c r="C993" s="15">
        <v>860</v>
      </c>
      <c r="D993" s="41" t="s">
        <v>2626</v>
      </c>
      <c r="E993" s="9" t="s">
        <v>802</v>
      </c>
      <c r="F993" s="9" t="s">
        <v>479</v>
      </c>
      <c r="G993" s="9"/>
      <c r="H993" s="39"/>
      <c r="I993" s="9"/>
      <c r="J993" s="39"/>
      <c r="K993" s="42"/>
      <c r="L993" s="9"/>
      <c r="M993" s="16" t="s">
        <v>193</v>
      </c>
      <c r="AA993" s="14">
        <f t="shared" si="30"/>
        <v>12</v>
      </c>
      <c r="AB993" s="47">
        <f t="shared" si="31"/>
        <v>11</v>
      </c>
      <c r="AD993" s="53"/>
      <c r="AE993" s="53"/>
      <c r="AF993" s="53"/>
      <c r="AG993" s="53"/>
    </row>
    <row r="994" spans="1:33" s="46" customFormat="1">
      <c r="A994" s="39">
        <v>41241</v>
      </c>
      <c r="B994" s="9" t="s">
        <v>2625</v>
      </c>
      <c r="C994" s="15">
        <v>859</v>
      </c>
      <c r="D994" s="41" t="s">
        <v>2440</v>
      </c>
      <c r="E994" s="9" t="s">
        <v>1789</v>
      </c>
      <c r="F994" s="9" t="s">
        <v>479</v>
      </c>
      <c r="G994" s="9"/>
      <c r="H994" s="39"/>
      <c r="I994" s="9"/>
      <c r="J994" s="39"/>
      <c r="K994" s="42"/>
      <c r="L994" s="9"/>
      <c r="M994" s="16"/>
      <c r="AA994" s="14">
        <f t="shared" si="30"/>
        <v>-1</v>
      </c>
      <c r="AB994" s="47">
        <f t="shared" si="31"/>
        <v>-2</v>
      </c>
      <c r="AD994" s="53"/>
      <c r="AE994" s="53"/>
      <c r="AF994" s="53"/>
      <c r="AG994" s="53"/>
    </row>
    <row r="995" spans="1:33" s="46" customFormat="1">
      <c r="A995" s="39">
        <v>41241</v>
      </c>
      <c r="B995" s="9" t="s">
        <v>2853</v>
      </c>
      <c r="C995" s="15">
        <v>847</v>
      </c>
      <c r="D995" s="41" t="s">
        <v>2441</v>
      </c>
      <c r="E995" s="9" t="s">
        <v>802</v>
      </c>
      <c r="F995" s="9" t="s">
        <v>479</v>
      </c>
      <c r="G995" s="9"/>
      <c r="H995" s="39"/>
      <c r="I995" s="9"/>
      <c r="J995" s="39"/>
      <c r="K995" s="42"/>
      <c r="L995" s="9" t="s">
        <v>2442</v>
      </c>
      <c r="M995" s="16"/>
      <c r="AA995" s="14">
        <f t="shared" si="30"/>
        <v>-12</v>
      </c>
      <c r="AB995" s="47">
        <f t="shared" si="31"/>
        <v>-13</v>
      </c>
      <c r="AD995" s="53"/>
      <c r="AE995" s="53"/>
      <c r="AF995" s="53"/>
      <c r="AG995" s="53"/>
    </row>
    <row r="996" spans="1:33" s="46" customFormat="1">
      <c r="A996" s="39">
        <v>41241</v>
      </c>
      <c r="B996" s="9" t="s">
        <v>2631</v>
      </c>
      <c r="C996" s="15">
        <v>862</v>
      </c>
      <c r="D996" s="41" t="s">
        <v>2630</v>
      </c>
      <c r="E996" s="9" t="s">
        <v>802</v>
      </c>
      <c r="F996" s="9" t="s">
        <v>479</v>
      </c>
      <c r="G996" s="9"/>
      <c r="H996" s="39"/>
      <c r="I996" s="9"/>
      <c r="J996" s="39"/>
      <c r="K996" s="42"/>
      <c r="L996" s="9"/>
      <c r="M996" s="16"/>
      <c r="AA996" s="14">
        <f t="shared" si="30"/>
        <v>15</v>
      </c>
      <c r="AB996" s="47">
        <f t="shared" si="31"/>
        <v>14</v>
      </c>
      <c r="AD996" s="53"/>
      <c r="AE996" s="53"/>
      <c r="AF996" s="53"/>
      <c r="AG996" s="53"/>
    </row>
    <row r="997" spans="1:33" s="46" customFormat="1">
      <c r="A997" s="39">
        <v>41241</v>
      </c>
      <c r="B997" s="9" t="s">
        <v>2616</v>
      </c>
      <c r="C997" s="15">
        <v>841</v>
      </c>
      <c r="D997" s="41" t="s">
        <v>2443</v>
      </c>
      <c r="E997" s="9" t="s">
        <v>802</v>
      </c>
      <c r="F997" s="9" t="s">
        <v>935</v>
      </c>
      <c r="G997" s="9"/>
      <c r="H997" s="39"/>
      <c r="I997" s="9"/>
      <c r="J997" s="39"/>
      <c r="K997" s="42"/>
      <c r="L997" s="9"/>
      <c r="M997" s="16"/>
      <c r="AA997" s="14">
        <f t="shared" si="30"/>
        <v>-21</v>
      </c>
      <c r="AB997" s="47">
        <f t="shared" si="31"/>
        <v>-22</v>
      </c>
      <c r="AD997" s="53"/>
      <c r="AE997" s="53"/>
      <c r="AF997" s="53"/>
      <c r="AG997" s="53"/>
    </row>
    <row r="998" spans="1:33" s="46" customFormat="1">
      <c r="A998" s="39">
        <v>41241</v>
      </c>
      <c r="B998" s="9" t="s">
        <v>2624</v>
      </c>
      <c r="C998" s="15">
        <v>857</v>
      </c>
      <c r="D998" s="41" t="s">
        <v>2444</v>
      </c>
      <c r="E998" s="9" t="s">
        <v>1789</v>
      </c>
      <c r="F998" s="9" t="s">
        <v>479</v>
      </c>
      <c r="G998" s="9"/>
      <c r="H998" s="39"/>
      <c r="I998" s="9"/>
      <c r="J998" s="39"/>
      <c r="K998" s="42"/>
      <c r="L998" s="9"/>
      <c r="M998" s="16"/>
      <c r="AA998" s="14">
        <f t="shared" si="30"/>
        <v>16</v>
      </c>
      <c r="AB998" s="47">
        <f t="shared" si="31"/>
        <v>15</v>
      </c>
      <c r="AD998" s="53"/>
      <c r="AE998" s="53"/>
      <c r="AF998" s="53"/>
      <c r="AG998" s="53"/>
    </row>
    <row r="999" spans="1:33" s="46" customFormat="1">
      <c r="A999" s="39">
        <v>41241</v>
      </c>
      <c r="B999" s="9" t="s">
        <v>2854</v>
      </c>
      <c r="C999" s="15">
        <v>846</v>
      </c>
      <c r="D999" s="41" t="s">
        <v>2445</v>
      </c>
      <c r="E999" s="9" t="s">
        <v>802</v>
      </c>
      <c r="F999" s="9" t="s">
        <v>479</v>
      </c>
      <c r="G999" s="9"/>
      <c r="H999" s="39"/>
      <c r="I999" s="9"/>
      <c r="J999" s="39"/>
      <c r="K999" s="42"/>
      <c r="L999" s="9" t="s">
        <v>2446</v>
      </c>
      <c r="M999" s="16"/>
      <c r="AA999" s="14">
        <f t="shared" si="30"/>
        <v>-11</v>
      </c>
      <c r="AB999" s="47">
        <f t="shared" si="31"/>
        <v>-12</v>
      </c>
      <c r="AD999" s="53"/>
      <c r="AE999" s="53"/>
      <c r="AF999" s="53"/>
      <c r="AG999" s="53"/>
    </row>
    <row r="1000" spans="1:33" s="46" customFormat="1">
      <c r="A1000" s="39">
        <v>41241</v>
      </c>
      <c r="B1000" s="9" t="s">
        <v>2898</v>
      </c>
      <c r="C1000" s="15">
        <v>869</v>
      </c>
      <c r="D1000" s="41" t="s">
        <v>2447</v>
      </c>
      <c r="E1000" s="9" t="s">
        <v>1789</v>
      </c>
      <c r="F1000" s="9" t="s">
        <v>479</v>
      </c>
      <c r="G1000" s="9"/>
      <c r="H1000" s="39"/>
      <c r="I1000" s="9"/>
      <c r="J1000" s="39"/>
      <c r="K1000" s="42"/>
      <c r="L1000" s="9"/>
      <c r="M1000" s="16"/>
      <c r="AA1000" s="14">
        <f t="shared" si="30"/>
        <v>23</v>
      </c>
      <c r="AB1000" s="47">
        <f t="shared" si="31"/>
        <v>22</v>
      </c>
      <c r="AD1000" s="53"/>
      <c r="AE1000" s="53"/>
      <c r="AF1000" s="53"/>
      <c r="AG1000" s="53"/>
    </row>
    <row r="1001" spans="1:33" s="46" customFormat="1">
      <c r="A1001" s="39">
        <v>41241</v>
      </c>
      <c r="B1001" s="9" t="s">
        <v>2615</v>
      </c>
      <c r="C1001" s="15">
        <v>840</v>
      </c>
      <c r="D1001" s="41" t="s">
        <v>2448</v>
      </c>
      <c r="E1001" s="9" t="s">
        <v>802</v>
      </c>
      <c r="F1001" s="9" t="s">
        <v>935</v>
      </c>
      <c r="G1001" s="9"/>
      <c r="H1001" s="39"/>
      <c r="I1001" s="9"/>
      <c r="J1001" s="39"/>
      <c r="K1001" s="42"/>
      <c r="L1001" s="9"/>
      <c r="M1001" s="16"/>
      <c r="AA1001" s="14">
        <f t="shared" si="30"/>
        <v>-29</v>
      </c>
      <c r="AB1001" s="47">
        <f t="shared" si="31"/>
        <v>-30</v>
      </c>
      <c r="AD1001" s="53"/>
      <c r="AE1001" s="53"/>
      <c r="AF1001" s="53"/>
      <c r="AG1001" s="53"/>
    </row>
    <row r="1002" spans="1:33" s="46" customFormat="1">
      <c r="A1002" s="39">
        <v>41241</v>
      </c>
      <c r="B1002" s="9" t="s">
        <v>2623</v>
      </c>
      <c r="C1002" s="15">
        <v>856</v>
      </c>
      <c r="D1002" s="41" t="s">
        <v>2449</v>
      </c>
      <c r="E1002" s="9" t="s">
        <v>1789</v>
      </c>
      <c r="F1002" s="9" t="s">
        <v>479</v>
      </c>
      <c r="G1002" s="9"/>
      <c r="H1002" s="39"/>
      <c r="I1002" s="9"/>
      <c r="J1002" s="39"/>
      <c r="K1002" s="42"/>
      <c r="L1002" s="9"/>
      <c r="M1002" s="16"/>
      <c r="AA1002" s="14">
        <f t="shared" ref="AA1002:AA1064" si="32">C1002-C1001</f>
        <v>16</v>
      </c>
      <c r="AB1002" s="47">
        <f t="shared" ref="AB1002:AB1064" si="33">AA1002-1</f>
        <v>15</v>
      </c>
      <c r="AD1002" s="53"/>
      <c r="AE1002" s="53"/>
      <c r="AF1002" s="53"/>
      <c r="AG1002" s="53"/>
    </row>
    <row r="1003" spans="1:33" s="46" customFormat="1">
      <c r="A1003" s="39">
        <v>41241</v>
      </c>
      <c r="B1003" s="9" t="s">
        <v>2905</v>
      </c>
      <c r="C1003" s="15">
        <v>877</v>
      </c>
      <c r="D1003" s="41" t="s">
        <v>2450</v>
      </c>
      <c r="E1003" s="9" t="s">
        <v>1789</v>
      </c>
      <c r="F1003" s="9" t="s">
        <v>479</v>
      </c>
      <c r="G1003" s="9"/>
      <c r="H1003" s="39"/>
      <c r="I1003" s="9"/>
      <c r="J1003" s="39"/>
      <c r="K1003" s="42"/>
      <c r="L1003" s="9"/>
      <c r="M1003" s="16"/>
      <c r="AA1003" s="14">
        <f t="shared" si="32"/>
        <v>21</v>
      </c>
      <c r="AB1003" s="47">
        <f t="shared" si="33"/>
        <v>20</v>
      </c>
      <c r="AD1003" s="53"/>
      <c r="AE1003" s="53"/>
      <c r="AF1003" s="53"/>
      <c r="AG1003" s="53"/>
    </row>
    <row r="1004" spans="1:33" s="46" customFormat="1">
      <c r="A1004" s="39">
        <v>41241</v>
      </c>
      <c r="B1004" s="9" t="s">
        <v>2859</v>
      </c>
      <c r="C1004" s="15">
        <v>944</v>
      </c>
      <c r="D1004" s="41" t="s">
        <v>2451</v>
      </c>
      <c r="E1004" s="9" t="s">
        <v>1789</v>
      </c>
      <c r="F1004" s="9" t="s">
        <v>479</v>
      </c>
      <c r="G1004" s="9"/>
      <c r="H1004" s="39"/>
      <c r="I1004" s="9"/>
      <c r="J1004" s="39"/>
      <c r="K1004" s="42"/>
      <c r="L1004" s="9"/>
      <c r="M1004" s="16"/>
      <c r="AA1004" s="14">
        <f t="shared" si="32"/>
        <v>67</v>
      </c>
      <c r="AB1004" s="47">
        <f t="shared" si="33"/>
        <v>66</v>
      </c>
      <c r="AD1004" s="53"/>
      <c r="AE1004" s="53"/>
      <c r="AF1004" s="53"/>
      <c r="AG1004" s="53"/>
    </row>
    <row r="1005" spans="1:33" s="46" customFormat="1">
      <c r="A1005" s="39">
        <v>41241</v>
      </c>
      <c r="B1005" s="9" t="s">
        <v>2858</v>
      </c>
      <c r="C1005" s="15">
        <v>945</v>
      </c>
      <c r="D1005" s="41" t="s">
        <v>2452</v>
      </c>
      <c r="E1005" s="9" t="s">
        <v>1789</v>
      </c>
      <c r="F1005" s="9" t="s">
        <v>479</v>
      </c>
      <c r="G1005" s="9"/>
      <c r="H1005" s="39"/>
      <c r="I1005" s="9"/>
      <c r="J1005" s="39"/>
      <c r="K1005" s="42"/>
      <c r="L1005" s="9"/>
      <c r="M1005" s="16"/>
      <c r="AA1005" s="14">
        <f t="shared" si="32"/>
        <v>1</v>
      </c>
      <c r="AB1005" s="47">
        <f t="shared" si="33"/>
        <v>0</v>
      </c>
      <c r="AD1005" s="53"/>
      <c r="AE1005" s="53"/>
      <c r="AF1005" s="53"/>
      <c r="AG1005" s="53"/>
    </row>
    <row r="1006" spans="1:33" s="46" customFormat="1">
      <c r="A1006" s="39">
        <v>41241</v>
      </c>
      <c r="B1006" s="9" t="s">
        <v>2899</v>
      </c>
      <c r="C1006" s="15">
        <v>870</v>
      </c>
      <c r="D1006" s="41" t="s">
        <v>2900</v>
      </c>
      <c r="E1006" s="9" t="s">
        <v>802</v>
      </c>
      <c r="F1006" s="9" t="s">
        <v>479</v>
      </c>
      <c r="G1006" s="9"/>
      <c r="H1006" s="39"/>
      <c r="I1006" s="9"/>
      <c r="J1006" s="39"/>
      <c r="K1006" s="42"/>
      <c r="L1006" s="9"/>
      <c r="M1006" s="16" t="s">
        <v>193</v>
      </c>
      <c r="AA1006" s="14">
        <f t="shared" si="32"/>
        <v>-75</v>
      </c>
      <c r="AB1006" s="47">
        <f t="shared" si="33"/>
        <v>-76</v>
      </c>
      <c r="AD1006" s="53"/>
      <c r="AE1006" s="53"/>
      <c r="AF1006" s="53"/>
      <c r="AG1006" s="53"/>
    </row>
    <row r="1007" spans="1:33" s="46" customFormat="1">
      <c r="A1007" s="39">
        <v>41241</v>
      </c>
      <c r="B1007" s="9" t="s">
        <v>2796</v>
      </c>
      <c r="C1007" s="15">
        <v>835</v>
      </c>
      <c r="D1007" s="41" t="s">
        <v>2453</v>
      </c>
      <c r="E1007" s="9" t="s">
        <v>802</v>
      </c>
      <c r="F1007" s="9" t="s">
        <v>479</v>
      </c>
      <c r="G1007" s="9"/>
      <c r="H1007" s="39"/>
      <c r="I1007" s="9"/>
      <c r="J1007" s="39"/>
      <c r="K1007" s="42"/>
      <c r="L1007" s="9" t="s">
        <v>2454</v>
      </c>
      <c r="M1007" s="16"/>
      <c r="AA1007" s="14">
        <f t="shared" si="32"/>
        <v>-35</v>
      </c>
      <c r="AB1007" s="47">
        <f t="shared" si="33"/>
        <v>-36</v>
      </c>
      <c r="AD1007" s="53"/>
      <c r="AE1007" s="53"/>
      <c r="AF1007" s="53"/>
      <c r="AG1007" s="53"/>
    </row>
    <row r="1008" spans="1:33" s="46" customFormat="1">
      <c r="A1008" s="39">
        <v>41241</v>
      </c>
      <c r="B1008" s="9" t="s">
        <v>2902</v>
      </c>
      <c r="C1008" s="15">
        <v>873</v>
      </c>
      <c r="D1008" s="41" t="s">
        <v>2455</v>
      </c>
      <c r="E1008" s="9" t="s">
        <v>1789</v>
      </c>
      <c r="F1008" s="9" t="s">
        <v>479</v>
      </c>
      <c r="G1008" s="9"/>
      <c r="H1008" s="39"/>
      <c r="I1008" s="9"/>
      <c r="J1008" s="39"/>
      <c r="K1008" s="42"/>
      <c r="L1008" s="9"/>
      <c r="M1008" s="16"/>
      <c r="AA1008" s="14">
        <f t="shared" si="32"/>
        <v>38</v>
      </c>
      <c r="AB1008" s="47">
        <f t="shared" si="33"/>
        <v>37</v>
      </c>
      <c r="AD1008" s="53"/>
      <c r="AE1008" s="53"/>
      <c r="AF1008" s="53"/>
      <c r="AG1008" s="53"/>
    </row>
    <row r="1009" spans="1:33" s="46" customFormat="1">
      <c r="A1009" s="39">
        <v>41241</v>
      </c>
      <c r="B1009" s="9" t="s">
        <v>2738</v>
      </c>
      <c r="C1009" s="15">
        <v>934</v>
      </c>
      <c r="D1009" s="41" t="s">
        <v>2456</v>
      </c>
      <c r="E1009" s="9" t="s">
        <v>300</v>
      </c>
      <c r="F1009" s="9" t="s">
        <v>935</v>
      </c>
      <c r="G1009" s="9"/>
      <c r="H1009" s="39"/>
      <c r="I1009" s="9"/>
      <c r="J1009" s="39"/>
      <c r="K1009" s="42"/>
      <c r="L1009" s="9" t="s">
        <v>2457</v>
      </c>
      <c r="M1009" s="16"/>
      <c r="AA1009" s="14">
        <f t="shared" si="32"/>
        <v>61</v>
      </c>
      <c r="AB1009" s="47">
        <f t="shared" si="33"/>
        <v>60</v>
      </c>
      <c r="AD1009" s="53"/>
      <c r="AE1009" s="53"/>
      <c r="AF1009" s="53"/>
      <c r="AG1009" s="53"/>
    </row>
    <row r="1010" spans="1:33" s="46" customFormat="1">
      <c r="A1010" s="39">
        <v>41241</v>
      </c>
      <c r="B1010" s="9" t="s">
        <v>2913</v>
      </c>
      <c r="C1010" s="15">
        <v>886</v>
      </c>
      <c r="D1010" s="41" t="s">
        <v>2458</v>
      </c>
      <c r="E1010" s="9" t="s">
        <v>931</v>
      </c>
      <c r="F1010" s="9" t="s">
        <v>479</v>
      </c>
      <c r="G1010" s="9"/>
      <c r="H1010" s="39"/>
      <c r="I1010" s="9"/>
      <c r="J1010" s="39"/>
      <c r="K1010" s="42"/>
      <c r="L1010" s="9" t="s">
        <v>2459</v>
      </c>
      <c r="M1010" s="16"/>
      <c r="AA1010" s="14">
        <f t="shared" si="32"/>
        <v>-48</v>
      </c>
      <c r="AB1010" s="47">
        <f t="shared" si="33"/>
        <v>-49</v>
      </c>
      <c r="AD1010" s="53"/>
      <c r="AE1010" s="53"/>
      <c r="AF1010" s="53"/>
      <c r="AG1010" s="53"/>
    </row>
    <row r="1011" spans="1:33" s="46" customFormat="1">
      <c r="A1011" s="39">
        <v>41241</v>
      </c>
      <c r="B1011" s="9" t="s">
        <v>2915</v>
      </c>
      <c r="C1011" s="15">
        <v>889</v>
      </c>
      <c r="D1011" s="41" t="s">
        <v>2461</v>
      </c>
      <c r="E1011" s="9" t="s">
        <v>931</v>
      </c>
      <c r="F1011" s="9" t="s">
        <v>479</v>
      </c>
      <c r="G1011" s="9"/>
      <c r="H1011" s="39"/>
      <c r="I1011" s="9"/>
      <c r="J1011" s="39"/>
      <c r="K1011" s="42"/>
      <c r="L1011" s="9" t="s">
        <v>2462</v>
      </c>
      <c r="M1011" s="16"/>
      <c r="AA1011" s="14">
        <f t="shared" si="32"/>
        <v>3</v>
      </c>
      <c r="AB1011" s="47">
        <f t="shared" si="33"/>
        <v>2</v>
      </c>
      <c r="AD1011" s="53"/>
      <c r="AE1011" s="53"/>
      <c r="AF1011" s="53"/>
      <c r="AG1011" s="53"/>
    </row>
    <row r="1012" spans="1:33" s="46" customFormat="1" ht="24">
      <c r="A1012" s="39">
        <v>41241</v>
      </c>
      <c r="B1012" s="9" t="s">
        <v>2907</v>
      </c>
      <c r="C1012" s="15">
        <v>879</v>
      </c>
      <c r="D1012" s="41" t="s">
        <v>2463</v>
      </c>
      <c r="E1012" s="9" t="s">
        <v>931</v>
      </c>
      <c r="F1012" s="9" t="s">
        <v>479</v>
      </c>
      <c r="G1012" s="9"/>
      <c r="H1012" s="39"/>
      <c r="I1012" s="9"/>
      <c r="J1012" s="39"/>
      <c r="K1012" s="42"/>
      <c r="L1012" s="9" t="s">
        <v>2464</v>
      </c>
      <c r="M1012" s="16"/>
      <c r="AA1012" s="14">
        <f t="shared" si="32"/>
        <v>-10</v>
      </c>
      <c r="AB1012" s="47">
        <f t="shared" si="33"/>
        <v>-11</v>
      </c>
      <c r="AD1012" s="53"/>
      <c r="AE1012" s="53"/>
      <c r="AF1012" s="53"/>
      <c r="AG1012" s="53"/>
    </row>
    <row r="1013" spans="1:33" s="46" customFormat="1">
      <c r="A1013" s="39">
        <v>41241</v>
      </c>
      <c r="B1013" s="9" t="s">
        <v>2906</v>
      </c>
      <c r="C1013" s="15">
        <v>878</v>
      </c>
      <c r="D1013" s="41" t="s">
        <v>2466</v>
      </c>
      <c r="E1013" s="9" t="s">
        <v>1919</v>
      </c>
      <c r="F1013" s="9" t="s">
        <v>479</v>
      </c>
      <c r="G1013" s="9"/>
      <c r="H1013" s="39"/>
      <c r="I1013" s="9"/>
      <c r="J1013" s="39"/>
      <c r="K1013" s="42"/>
      <c r="L1013" s="9" t="s">
        <v>2467</v>
      </c>
      <c r="M1013" s="16"/>
      <c r="AA1013" s="14">
        <f t="shared" si="32"/>
        <v>-1</v>
      </c>
      <c r="AB1013" s="47">
        <f t="shared" si="33"/>
        <v>-2</v>
      </c>
      <c r="AD1013" s="53"/>
      <c r="AE1013" s="53"/>
      <c r="AF1013" s="53"/>
      <c r="AG1013" s="53"/>
    </row>
    <row r="1014" spans="1:33" s="46" customFormat="1">
      <c r="A1014" s="39">
        <v>41241</v>
      </c>
      <c r="B1014" s="9" t="s">
        <v>2904</v>
      </c>
      <c r="C1014" s="15">
        <v>875</v>
      </c>
      <c r="D1014" s="41" t="s">
        <v>2468</v>
      </c>
      <c r="E1014" s="9" t="s">
        <v>1919</v>
      </c>
      <c r="F1014" s="9" t="s">
        <v>479</v>
      </c>
      <c r="G1014" s="9"/>
      <c r="H1014" s="39"/>
      <c r="I1014" s="9"/>
      <c r="J1014" s="39"/>
      <c r="K1014" s="42"/>
      <c r="L1014" s="9" t="s">
        <v>2469</v>
      </c>
      <c r="M1014" s="16"/>
      <c r="AA1014" s="14">
        <f t="shared" si="32"/>
        <v>-3</v>
      </c>
      <c r="AB1014" s="47">
        <f t="shared" si="33"/>
        <v>-4</v>
      </c>
      <c r="AD1014" s="53"/>
      <c r="AE1014" s="53"/>
      <c r="AF1014" s="53"/>
      <c r="AG1014" s="53"/>
    </row>
    <row r="1015" spans="1:33" s="46" customFormat="1">
      <c r="A1015" s="39">
        <v>41241</v>
      </c>
      <c r="B1015" s="9" t="s">
        <v>2914</v>
      </c>
      <c r="C1015" s="15">
        <v>887</v>
      </c>
      <c r="D1015" s="41" t="s">
        <v>2470</v>
      </c>
      <c r="E1015" s="9" t="s">
        <v>274</v>
      </c>
      <c r="F1015" s="9" t="s">
        <v>479</v>
      </c>
      <c r="G1015" s="9"/>
      <c r="H1015" s="39"/>
      <c r="I1015" s="9"/>
      <c r="J1015" s="39"/>
      <c r="K1015" s="42"/>
      <c r="L1015" s="9" t="s">
        <v>2471</v>
      </c>
      <c r="M1015" s="16"/>
      <c r="AA1015" s="14">
        <f t="shared" si="32"/>
        <v>12</v>
      </c>
      <c r="AB1015" s="47">
        <f t="shared" si="33"/>
        <v>11</v>
      </c>
      <c r="AD1015" s="53"/>
      <c r="AE1015" s="53"/>
      <c r="AF1015" s="53"/>
      <c r="AG1015" s="53"/>
    </row>
    <row r="1016" spans="1:33" s="46" customFormat="1">
      <c r="A1016" s="39">
        <v>41241</v>
      </c>
      <c r="B1016" s="9" t="s">
        <v>2919</v>
      </c>
      <c r="C1016" s="15">
        <v>902</v>
      </c>
      <c r="D1016" s="41" t="s">
        <v>2475</v>
      </c>
      <c r="E1016" s="9" t="s">
        <v>88</v>
      </c>
      <c r="F1016" s="9"/>
      <c r="G1016" s="9"/>
      <c r="H1016" s="39"/>
      <c r="I1016" s="9"/>
      <c r="J1016" s="39"/>
      <c r="K1016" s="42"/>
      <c r="L1016" s="9"/>
      <c r="M1016" s="16"/>
      <c r="AA1016" s="14">
        <f t="shared" si="32"/>
        <v>15</v>
      </c>
      <c r="AB1016" s="47">
        <f t="shared" si="33"/>
        <v>14</v>
      </c>
      <c r="AD1016" s="53"/>
      <c r="AE1016" s="53"/>
      <c r="AF1016" s="53"/>
      <c r="AG1016" s="53"/>
    </row>
    <row r="1017" spans="1:33" s="46" customFormat="1">
      <c r="A1017" s="39">
        <v>41241</v>
      </c>
      <c r="B1017" s="9" t="s">
        <v>2743</v>
      </c>
      <c r="C1017" s="15">
        <v>851</v>
      </c>
      <c r="D1017" s="41" t="s">
        <v>2477</v>
      </c>
      <c r="E1017" s="9" t="s">
        <v>22</v>
      </c>
      <c r="F1017" s="9" t="s">
        <v>935</v>
      </c>
      <c r="G1017" s="9"/>
      <c r="H1017" s="39"/>
      <c r="I1017" s="9"/>
      <c r="J1017" s="39"/>
      <c r="K1017" s="42"/>
      <c r="L1017" s="9" t="s">
        <v>2478</v>
      </c>
      <c r="M1017" s="16"/>
      <c r="AA1017" s="14">
        <f t="shared" si="32"/>
        <v>-51</v>
      </c>
      <c r="AB1017" s="47">
        <f t="shared" si="33"/>
        <v>-52</v>
      </c>
      <c r="AD1017" s="53"/>
      <c r="AE1017" s="53"/>
      <c r="AF1017" s="53"/>
      <c r="AG1017" s="53"/>
    </row>
    <row r="1018" spans="1:33" s="46" customFormat="1">
      <c r="A1018" s="39">
        <v>41241</v>
      </c>
      <c r="B1018" s="9" t="s">
        <v>2860</v>
      </c>
      <c r="C1018" s="15">
        <v>932</v>
      </c>
      <c r="D1018" s="41" t="s">
        <v>2480</v>
      </c>
      <c r="E1018" s="9" t="s">
        <v>484</v>
      </c>
      <c r="F1018" s="9" t="s">
        <v>935</v>
      </c>
      <c r="G1018" s="9"/>
      <c r="H1018" s="39"/>
      <c r="I1018" s="9"/>
      <c r="J1018" s="39"/>
      <c r="K1018" s="42"/>
      <c r="L1018" s="9" t="s">
        <v>2481</v>
      </c>
      <c r="M1018" s="16"/>
      <c r="AA1018" s="14">
        <f t="shared" si="32"/>
        <v>81</v>
      </c>
      <c r="AB1018" s="47">
        <f t="shared" si="33"/>
        <v>80</v>
      </c>
      <c r="AD1018" s="53"/>
      <c r="AE1018" s="53"/>
      <c r="AF1018" s="53"/>
      <c r="AG1018" s="53"/>
    </row>
    <row r="1019" spans="1:33" s="46" customFormat="1" ht="24">
      <c r="A1019" s="39">
        <v>41241</v>
      </c>
      <c r="B1019" s="9" t="s">
        <v>2726</v>
      </c>
      <c r="C1019" s="15">
        <v>898</v>
      </c>
      <c r="D1019" s="41" t="s">
        <v>2482</v>
      </c>
      <c r="E1019" s="9" t="s">
        <v>313</v>
      </c>
      <c r="F1019" s="9" t="s">
        <v>935</v>
      </c>
      <c r="G1019" s="9"/>
      <c r="H1019" s="39"/>
      <c r="I1019" s="9"/>
      <c r="J1019" s="39"/>
      <c r="K1019" s="42"/>
      <c r="L1019" s="9" t="s">
        <v>2483</v>
      </c>
      <c r="M1019" s="16"/>
      <c r="AA1019" s="14">
        <f t="shared" si="32"/>
        <v>-34</v>
      </c>
      <c r="AB1019" s="47">
        <f t="shared" si="33"/>
        <v>-35</v>
      </c>
      <c r="AD1019" s="53"/>
      <c r="AE1019" s="53"/>
      <c r="AF1019" s="53"/>
      <c r="AG1019" s="53"/>
    </row>
    <row r="1020" spans="1:33" s="46" customFormat="1">
      <c r="A1020" s="39">
        <v>41241</v>
      </c>
      <c r="B1020" s="9"/>
      <c r="C1020" s="15"/>
      <c r="D1020" s="41" t="s">
        <v>2485</v>
      </c>
      <c r="E1020" s="9" t="s">
        <v>1420</v>
      </c>
      <c r="F1020" s="9" t="s">
        <v>935</v>
      </c>
      <c r="G1020" s="9"/>
      <c r="H1020" s="39"/>
      <c r="I1020" s="9"/>
      <c r="J1020" s="39"/>
      <c r="K1020" s="42"/>
      <c r="L1020" s="9" t="s">
        <v>2486</v>
      </c>
      <c r="M1020" s="16"/>
      <c r="AA1020" s="14">
        <f t="shared" si="32"/>
        <v>-898</v>
      </c>
      <c r="AB1020" s="47">
        <f t="shared" si="33"/>
        <v>-899</v>
      </c>
      <c r="AD1020" s="53"/>
      <c r="AE1020" s="53"/>
      <c r="AF1020" s="53"/>
      <c r="AG1020" s="53"/>
    </row>
    <row r="1021" spans="1:33" s="46" customFormat="1">
      <c r="A1021" s="39">
        <v>41241</v>
      </c>
      <c r="B1021" s="9" t="s">
        <v>2873</v>
      </c>
      <c r="C1021" s="15">
        <v>900</v>
      </c>
      <c r="D1021" s="41" t="s">
        <v>2487</v>
      </c>
      <c r="E1021" s="9" t="s">
        <v>313</v>
      </c>
      <c r="F1021" s="9" t="s">
        <v>479</v>
      </c>
      <c r="G1021" s="9"/>
      <c r="H1021" s="39"/>
      <c r="I1021" s="9"/>
      <c r="J1021" s="39"/>
      <c r="K1021" s="42"/>
      <c r="L1021" s="9"/>
      <c r="M1021" s="16" t="s">
        <v>193</v>
      </c>
      <c r="AA1021" s="14">
        <f t="shared" si="32"/>
        <v>900</v>
      </c>
      <c r="AB1021" s="47">
        <f t="shared" si="33"/>
        <v>899</v>
      </c>
      <c r="AD1021" s="53"/>
      <c r="AE1021" s="53"/>
      <c r="AF1021" s="53"/>
      <c r="AG1021" s="53"/>
    </row>
    <row r="1022" spans="1:33" s="46" customFormat="1">
      <c r="A1022" s="39">
        <v>41241</v>
      </c>
      <c r="B1022" s="9" t="s">
        <v>2901</v>
      </c>
      <c r="C1022" s="15">
        <v>872</v>
      </c>
      <c r="D1022" s="41" t="s">
        <v>2489</v>
      </c>
      <c r="E1022" s="9" t="s">
        <v>931</v>
      </c>
      <c r="F1022" s="9" t="s">
        <v>479</v>
      </c>
      <c r="G1022" s="9"/>
      <c r="H1022" s="39"/>
      <c r="I1022" s="9"/>
      <c r="J1022" s="39"/>
      <c r="K1022" s="42"/>
      <c r="L1022" s="9" t="s">
        <v>2490</v>
      </c>
      <c r="M1022" s="16"/>
      <c r="AA1022" s="14" t="e">
        <f>C1022-#REF!</f>
        <v>#REF!</v>
      </c>
      <c r="AB1022" s="47" t="e">
        <f t="shared" si="33"/>
        <v>#REF!</v>
      </c>
      <c r="AD1022" s="53"/>
      <c r="AE1022" s="53"/>
      <c r="AF1022" s="53"/>
      <c r="AG1022" s="53"/>
    </row>
    <row r="1023" spans="1:33" s="46" customFormat="1">
      <c r="A1023" s="39">
        <v>41241</v>
      </c>
      <c r="B1023" s="9" t="s">
        <v>2868</v>
      </c>
      <c r="C1023" s="15">
        <v>916</v>
      </c>
      <c r="D1023" s="41" t="s">
        <v>2491</v>
      </c>
      <c r="E1023" s="9" t="s">
        <v>22</v>
      </c>
      <c r="F1023" s="9" t="s">
        <v>479</v>
      </c>
      <c r="G1023" s="9"/>
      <c r="H1023" s="39"/>
      <c r="I1023" s="9"/>
      <c r="J1023" s="39"/>
      <c r="K1023" s="42"/>
      <c r="L1023" s="9" t="s">
        <v>2492</v>
      </c>
      <c r="M1023" s="16"/>
      <c r="AA1023" s="14">
        <f t="shared" si="32"/>
        <v>44</v>
      </c>
      <c r="AB1023" s="47">
        <f t="shared" si="33"/>
        <v>43</v>
      </c>
      <c r="AD1023" s="53"/>
      <c r="AE1023" s="53"/>
      <c r="AF1023" s="53"/>
      <c r="AG1023" s="53"/>
    </row>
    <row r="1024" spans="1:33" s="46" customFormat="1">
      <c r="A1024" s="39">
        <v>41241</v>
      </c>
      <c r="B1024" s="9" t="s">
        <v>2903</v>
      </c>
      <c r="C1024" s="15">
        <v>874</v>
      </c>
      <c r="D1024" s="41" t="s">
        <v>2493</v>
      </c>
      <c r="E1024" s="9" t="s">
        <v>1919</v>
      </c>
      <c r="F1024" s="9" t="s">
        <v>479</v>
      </c>
      <c r="G1024" s="9"/>
      <c r="H1024" s="39"/>
      <c r="I1024" s="9"/>
      <c r="J1024" s="39"/>
      <c r="K1024" s="42"/>
      <c r="L1024" s="9"/>
      <c r="M1024" s="16"/>
      <c r="AA1024" s="14">
        <f t="shared" si="32"/>
        <v>-42</v>
      </c>
      <c r="AB1024" s="47">
        <f t="shared" si="33"/>
        <v>-43</v>
      </c>
      <c r="AD1024" s="53"/>
      <c r="AE1024" s="53"/>
      <c r="AF1024" s="53"/>
      <c r="AG1024" s="53"/>
    </row>
    <row r="1025" spans="1:33" s="46" customFormat="1">
      <c r="A1025" s="39">
        <v>41241</v>
      </c>
      <c r="B1025" s="9" t="s">
        <v>2917</v>
      </c>
      <c r="C1025" s="15">
        <v>893</v>
      </c>
      <c r="D1025" s="41" t="s">
        <v>2494</v>
      </c>
      <c r="E1025" s="9" t="s">
        <v>274</v>
      </c>
      <c r="F1025" s="9" t="s">
        <v>479</v>
      </c>
      <c r="G1025" s="9"/>
      <c r="H1025" s="39"/>
      <c r="I1025" s="9"/>
      <c r="J1025" s="39"/>
      <c r="K1025" s="42"/>
      <c r="L1025" s="9" t="s">
        <v>2495</v>
      </c>
      <c r="M1025" s="16"/>
      <c r="AA1025" s="14">
        <f t="shared" si="32"/>
        <v>19</v>
      </c>
      <c r="AB1025" s="47">
        <f t="shared" si="33"/>
        <v>18</v>
      </c>
      <c r="AD1025" s="53"/>
      <c r="AE1025" s="53"/>
      <c r="AF1025" s="53"/>
      <c r="AG1025" s="53"/>
    </row>
    <row r="1026" spans="1:33" s="46" customFormat="1">
      <c r="A1026" s="39">
        <v>41241</v>
      </c>
      <c r="B1026" s="9" t="s">
        <v>2735</v>
      </c>
      <c r="C1026" s="15">
        <v>899</v>
      </c>
      <c r="D1026" s="41" t="s">
        <v>2496</v>
      </c>
      <c r="E1026" s="9" t="s">
        <v>2198</v>
      </c>
      <c r="F1026" s="9" t="s">
        <v>479</v>
      </c>
      <c r="G1026" s="9"/>
      <c r="H1026" s="39"/>
      <c r="I1026" s="9"/>
      <c r="J1026" s="39"/>
      <c r="K1026" s="42"/>
      <c r="L1026" s="9" t="s">
        <v>2497</v>
      </c>
      <c r="M1026" s="16"/>
      <c r="AA1026" s="14">
        <f t="shared" si="32"/>
        <v>6</v>
      </c>
      <c r="AB1026" s="47">
        <f t="shared" si="33"/>
        <v>5</v>
      </c>
      <c r="AD1026" s="53"/>
      <c r="AE1026" s="53"/>
      <c r="AF1026" s="53"/>
      <c r="AG1026" s="53"/>
    </row>
    <row r="1027" spans="1:33" s="46" customFormat="1">
      <c r="A1027" s="39">
        <v>41241</v>
      </c>
      <c r="B1027" s="9" t="s">
        <v>2871</v>
      </c>
      <c r="C1027" s="15">
        <v>912</v>
      </c>
      <c r="D1027" s="41" t="s">
        <v>2498</v>
      </c>
      <c r="E1027" s="9" t="s">
        <v>77</v>
      </c>
      <c r="F1027" s="9" t="s">
        <v>479</v>
      </c>
      <c r="G1027" s="9"/>
      <c r="H1027" s="39"/>
      <c r="I1027" s="9"/>
      <c r="J1027" s="39"/>
      <c r="K1027" s="42"/>
      <c r="L1027" s="9"/>
      <c r="M1027" s="16"/>
      <c r="AA1027" s="14">
        <f t="shared" si="32"/>
        <v>13</v>
      </c>
      <c r="AB1027" s="47">
        <f t="shared" si="33"/>
        <v>12</v>
      </c>
      <c r="AD1027" s="53"/>
      <c r="AE1027" s="53"/>
      <c r="AF1027" s="53"/>
      <c r="AG1027" s="53"/>
    </row>
    <row r="1028" spans="1:33" s="46" customFormat="1">
      <c r="A1028" s="39">
        <v>41241</v>
      </c>
      <c r="B1028" s="9"/>
      <c r="C1028" s="15"/>
      <c r="D1028" s="41" t="s">
        <v>2499</v>
      </c>
      <c r="E1028" s="9" t="s">
        <v>77</v>
      </c>
      <c r="F1028" s="9" t="s">
        <v>935</v>
      </c>
      <c r="G1028" s="9"/>
      <c r="H1028" s="39"/>
      <c r="I1028" s="39"/>
      <c r="J1028" s="39"/>
      <c r="K1028" s="42"/>
      <c r="L1028" s="9"/>
      <c r="M1028" s="16"/>
      <c r="AA1028" s="14">
        <f t="shared" si="32"/>
        <v>-912</v>
      </c>
      <c r="AB1028" s="47">
        <f t="shared" si="33"/>
        <v>-913</v>
      </c>
      <c r="AD1028" s="53"/>
      <c r="AE1028" s="53"/>
      <c r="AF1028" s="53"/>
      <c r="AG1028" s="53"/>
    </row>
    <row r="1029" spans="1:33" s="46" customFormat="1">
      <c r="A1029" s="39">
        <v>41241</v>
      </c>
      <c r="B1029" s="9" t="s">
        <v>2866</v>
      </c>
      <c r="C1029" s="15">
        <v>925</v>
      </c>
      <c r="D1029" s="41" t="s">
        <v>2500</v>
      </c>
      <c r="E1029" s="9" t="s">
        <v>77</v>
      </c>
      <c r="F1029" s="9" t="s">
        <v>935</v>
      </c>
      <c r="G1029" s="9"/>
      <c r="H1029" s="39"/>
      <c r="I1029" s="9"/>
      <c r="J1029" s="39"/>
      <c r="K1029" s="42"/>
      <c r="L1029" s="9" t="s">
        <v>2501</v>
      </c>
      <c r="M1029" s="16"/>
      <c r="AA1029" s="14">
        <f t="shared" si="32"/>
        <v>925</v>
      </c>
      <c r="AB1029" s="47">
        <f t="shared" si="33"/>
        <v>924</v>
      </c>
      <c r="AD1029" s="53"/>
      <c r="AE1029" s="53"/>
      <c r="AF1029" s="53"/>
      <c r="AG1029" s="53"/>
    </row>
    <row r="1030" spans="1:33" s="46" customFormat="1">
      <c r="A1030" s="39">
        <v>41241</v>
      </c>
      <c r="B1030" s="9"/>
      <c r="C1030" s="15"/>
      <c r="D1030" s="41" t="s">
        <v>2502</v>
      </c>
      <c r="E1030" s="9" t="s">
        <v>77</v>
      </c>
      <c r="F1030" s="9" t="s">
        <v>935</v>
      </c>
      <c r="G1030" s="9"/>
      <c r="H1030" s="39"/>
      <c r="I1030" s="9"/>
      <c r="J1030" s="39"/>
      <c r="K1030" s="42"/>
      <c r="L1030" s="9"/>
      <c r="M1030" s="16"/>
      <c r="AA1030" s="14">
        <f t="shared" si="32"/>
        <v>-925</v>
      </c>
      <c r="AB1030" s="47">
        <f t="shared" si="33"/>
        <v>-926</v>
      </c>
      <c r="AD1030" s="53"/>
      <c r="AE1030" s="53"/>
      <c r="AF1030" s="53"/>
      <c r="AG1030" s="53"/>
    </row>
    <row r="1031" spans="1:33" s="46" customFormat="1">
      <c r="A1031" s="39">
        <v>41241</v>
      </c>
      <c r="B1031" s="9"/>
      <c r="C1031" s="15"/>
      <c r="D1031" s="41" t="s">
        <v>2503</v>
      </c>
      <c r="E1031" s="9" t="s">
        <v>77</v>
      </c>
      <c r="F1031" s="9" t="s">
        <v>935</v>
      </c>
      <c r="G1031" s="9"/>
      <c r="H1031" s="39"/>
      <c r="I1031" s="9"/>
      <c r="J1031" s="39"/>
      <c r="K1031" s="42"/>
      <c r="L1031" s="9" t="s">
        <v>2504</v>
      </c>
      <c r="M1031" s="16"/>
      <c r="AA1031" s="14">
        <f t="shared" si="32"/>
        <v>0</v>
      </c>
      <c r="AB1031" s="47">
        <f t="shared" si="33"/>
        <v>-1</v>
      </c>
      <c r="AD1031" s="53"/>
      <c r="AE1031" s="53"/>
      <c r="AF1031" s="53"/>
      <c r="AG1031" s="53"/>
    </row>
    <row r="1032" spans="1:33" s="46" customFormat="1">
      <c r="A1032" s="39">
        <v>41241</v>
      </c>
      <c r="B1032" s="9" t="s">
        <v>2874</v>
      </c>
      <c r="C1032" s="15">
        <v>928</v>
      </c>
      <c r="D1032" s="41" t="s">
        <v>2505</v>
      </c>
      <c r="E1032" s="9" t="s">
        <v>274</v>
      </c>
      <c r="F1032" s="9" t="s">
        <v>479</v>
      </c>
      <c r="G1032" s="9"/>
      <c r="H1032" s="39"/>
      <c r="I1032" s="9"/>
      <c r="J1032" s="39"/>
      <c r="K1032" s="42"/>
      <c r="L1032" s="9"/>
      <c r="M1032" s="16"/>
      <c r="AA1032" s="14">
        <f t="shared" si="32"/>
        <v>928</v>
      </c>
      <c r="AB1032" s="47">
        <f t="shared" si="33"/>
        <v>927</v>
      </c>
      <c r="AD1032" s="53"/>
      <c r="AE1032" s="53"/>
      <c r="AF1032" s="53"/>
      <c r="AG1032" s="53"/>
    </row>
    <row r="1033" spans="1:33" s="46" customFormat="1">
      <c r="A1033" s="39">
        <v>41241</v>
      </c>
      <c r="B1033" s="9" t="s">
        <v>2880</v>
      </c>
      <c r="C1033" s="15">
        <v>915</v>
      </c>
      <c r="D1033" s="41" t="s">
        <v>2506</v>
      </c>
      <c r="E1033" s="9" t="s">
        <v>274</v>
      </c>
      <c r="F1033" s="9" t="s">
        <v>479</v>
      </c>
      <c r="G1033" s="9"/>
      <c r="H1033" s="39"/>
      <c r="I1033" s="9"/>
      <c r="J1033" s="39"/>
      <c r="K1033" s="42"/>
      <c r="L1033" s="9" t="s">
        <v>2507</v>
      </c>
      <c r="M1033" s="16"/>
      <c r="AA1033" s="14">
        <f t="shared" si="32"/>
        <v>-13</v>
      </c>
      <c r="AB1033" s="47">
        <f t="shared" si="33"/>
        <v>-14</v>
      </c>
      <c r="AD1033" s="53"/>
      <c r="AE1033" s="53"/>
      <c r="AF1033" s="53"/>
      <c r="AG1033" s="53"/>
    </row>
    <row r="1034" spans="1:33" s="46" customFormat="1">
      <c r="A1034" s="39">
        <v>41241</v>
      </c>
      <c r="B1034" s="9"/>
      <c r="C1034" s="15"/>
      <c r="D1034" s="41" t="s">
        <v>2508</v>
      </c>
      <c r="E1034" s="9" t="s">
        <v>274</v>
      </c>
      <c r="F1034" s="9" t="s">
        <v>935</v>
      </c>
      <c r="G1034" s="9"/>
      <c r="H1034" s="39"/>
      <c r="I1034" s="9"/>
      <c r="J1034" s="39"/>
      <c r="K1034" s="42"/>
      <c r="L1034" s="9" t="s">
        <v>2509</v>
      </c>
      <c r="M1034" s="16"/>
      <c r="AA1034" s="14">
        <f t="shared" si="32"/>
        <v>-915</v>
      </c>
      <c r="AB1034" s="47">
        <f t="shared" si="33"/>
        <v>-916</v>
      </c>
      <c r="AD1034" s="53"/>
      <c r="AE1034" s="53"/>
      <c r="AF1034" s="53"/>
      <c r="AG1034" s="53"/>
    </row>
    <row r="1035" spans="1:33" s="46" customFormat="1">
      <c r="A1035" s="39">
        <v>41241</v>
      </c>
      <c r="B1035" s="9"/>
      <c r="C1035" s="15"/>
      <c r="D1035" s="41" t="s">
        <v>2510</v>
      </c>
      <c r="E1035" s="9" t="s">
        <v>313</v>
      </c>
      <c r="F1035" s="9" t="s">
        <v>935</v>
      </c>
      <c r="G1035" s="9"/>
      <c r="H1035" s="39"/>
      <c r="I1035" s="9"/>
      <c r="J1035" s="39"/>
      <c r="K1035" s="42"/>
      <c r="L1035" s="9" t="s">
        <v>2511</v>
      </c>
      <c r="M1035" s="16"/>
      <c r="AA1035" s="14">
        <f t="shared" si="32"/>
        <v>0</v>
      </c>
      <c r="AB1035" s="47">
        <f t="shared" si="33"/>
        <v>-1</v>
      </c>
      <c r="AD1035" s="53"/>
      <c r="AE1035" s="53"/>
      <c r="AF1035" s="53"/>
      <c r="AG1035" s="53"/>
    </row>
    <row r="1036" spans="1:33" s="46" customFormat="1">
      <c r="A1036" s="39">
        <v>41241</v>
      </c>
      <c r="B1036" s="9"/>
      <c r="C1036" s="15"/>
      <c r="D1036" s="41" t="s">
        <v>2512</v>
      </c>
      <c r="E1036" s="9" t="s">
        <v>313</v>
      </c>
      <c r="F1036" s="9" t="s">
        <v>935</v>
      </c>
      <c r="G1036" s="9"/>
      <c r="H1036" s="39"/>
      <c r="I1036" s="9"/>
      <c r="J1036" s="39"/>
      <c r="K1036" s="42"/>
      <c r="L1036" s="9" t="s">
        <v>2513</v>
      </c>
      <c r="M1036" s="16"/>
      <c r="AA1036" s="14">
        <f t="shared" si="32"/>
        <v>0</v>
      </c>
      <c r="AB1036" s="47">
        <f t="shared" si="33"/>
        <v>-1</v>
      </c>
      <c r="AD1036" s="53"/>
      <c r="AE1036" s="53"/>
      <c r="AF1036" s="53"/>
      <c r="AG1036" s="53"/>
    </row>
    <row r="1037" spans="1:33" s="46" customFormat="1">
      <c r="A1037" s="39">
        <v>41241</v>
      </c>
      <c r="B1037" s="9" t="s">
        <v>2737</v>
      </c>
      <c r="C1037" s="15">
        <v>896</v>
      </c>
      <c r="D1037" s="41" t="s">
        <v>2514</v>
      </c>
      <c r="E1037" s="9" t="s">
        <v>313</v>
      </c>
      <c r="F1037" s="9" t="s">
        <v>935</v>
      </c>
      <c r="G1037" s="9"/>
      <c r="H1037" s="39"/>
      <c r="I1037" s="9"/>
      <c r="J1037" s="39"/>
      <c r="K1037" s="42"/>
      <c r="L1037" s="9" t="s">
        <v>2515</v>
      </c>
      <c r="M1037" s="16"/>
      <c r="AA1037" s="14">
        <f t="shared" si="32"/>
        <v>896</v>
      </c>
      <c r="AB1037" s="47">
        <f t="shared" si="33"/>
        <v>895</v>
      </c>
      <c r="AD1037" s="53"/>
      <c r="AE1037" s="53"/>
      <c r="AF1037" s="53"/>
      <c r="AG1037" s="53"/>
    </row>
    <row r="1038" spans="1:33" s="46" customFormat="1">
      <c r="A1038" s="39">
        <v>41241</v>
      </c>
      <c r="B1038" s="9"/>
      <c r="C1038" s="15"/>
      <c r="D1038" s="41" t="s">
        <v>2516</v>
      </c>
      <c r="E1038" s="9" t="s">
        <v>22</v>
      </c>
      <c r="F1038" s="9" t="s">
        <v>935</v>
      </c>
      <c r="G1038" s="9"/>
      <c r="H1038" s="39"/>
      <c r="I1038" s="9"/>
      <c r="J1038" s="39"/>
      <c r="K1038" s="42"/>
      <c r="L1038" s="9" t="s">
        <v>2517</v>
      </c>
      <c r="M1038" s="16"/>
      <c r="AA1038" s="14">
        <f t="shared" si="32"/>
        <v>-896</v>
      </c>
      <c r="AB1038" s="47">
        <f t="shared" si="33"/>
        <v>-897</v>
      </c>
      <c r="AD1038" s="53"/>
      <c r="AE1038" s="53"/>
      <c r="AF1038" s="53"/>
      <c r="AG1038" s="53"/>
    </row>
    <row r="1039" spans="1:33" s="46" customFormat="1">
      <c r="A1039" s="39">
        <v>41241</v>
      </c>
      <c r="B1039" s="9" t="s">
        <v>2867</v>
      </c>
      <c r="C1039" s="15">
        <v>926</v>
      </c>
      <c r="D1039" s="41" t="s">
        <v>2518</v>
      </c>
      <c r="E1039" s="9" t="s">
        <v>22</v>
      </c>
      <c r="F1039" s="9" t="s">
        <v>479</v>
      </c>
      <c r="G1039" s="9"/>
      <c r="H1039" s="39"/>
      <c r="I1039" s="9"/>
      <c r="J1039" s="39"/>
      <c r="K1039" s="42"/>
      <c r="L1039" s="9" t="s">
        <v>2519</v>
      </c>
      <c r="M1039" s="16"/>
      <c r="AA1039" s="14">
        <f t="shared" si="32"/>
        <v>926</v>
      </c>
      <c r="AB1039" s="47">
        <f t="shared" si="33"/>
        <v>925</v>
      </c>
      <c r="AD1039" s="53"/>
      <c r="AE1039" s="53"/>
      <c r="AF1039" s="53"/>
      <c r="AG1039" s="53"/>
    </row>
    <row r="1040" spans="1:33" s="46" customFormat="1">
      <c r="A1040" s="39">
        <v>41241</v>
      </c>
      <c r="B1040" s="9" t="s">
        <v>2881</v>
      </c>
      <c r="C1040" s="15">
        <v>917</v>
      </c>
      <c r="D1040" s="41" t="s">
        <v>2520</v>
      </c>
      <c r="E1040" s="9" t="s">
        <v>22</v>
      </c>
      <c r="F1040" s="9" t="s">
        <v>479</v>
      </c>
      <c r="G1040" s="9"/>
      <c r="H1040" s="39"/>
      <c r="I1040" s="9"/>
      <c r="J1040" s="39"/>
      <c r="K1040" s="42"/>
      <c r="L1040" s="9" t="s">
        <v>2521</v>
      </c>
      <c r="M1040" s="16"/>
      <c r="AA1040" s="14">
        <f t="shared" si="32"/>
        <v>-9</v>
      </c>
      <c r="AB1040" s="47">
        <f t="shared" si="33"/>
        <v>-10</v>
      </c>
      <c r="AD1040" s="53"/>
      <c r="AE1040" s="53"/>
      <c r="AF1040" s="53"/>
      <c r="AG1040" s="53"/>
    </row>
    <row r="1041" spans="1:33" s="46" customFormat="1">
      <c r="A1041" s="39">
        <v>41241</v>
      </c>
      <c r="B1041" s="9" t="s">
        <v>2879</v>
      </c>
      <c r="C1041" s="15"/>
      <c r="D1041" s="41" t="s">
        <v>2522</v>
      </c>
      <c r="E1041" s="9" t="s">
        <v>22</v>
      </c>
      <c r="F1041" s="9" t="s">
        <v>479</v>
      </c>
      <c r="G1041" s="9"/>
      <c r="H1041" s="39"/>
      <c r="I1041" s="9"/>
      <c r="J1041" s="39"/>
      <c r="K1041" s="42"/>
      <c r="L1041" s="9" t="s">
        <v>2523</v>
      </c>
      <c r="M1041" s="16"/>
      <c r="AA1041" s="14">
        <f t="shared" si="32"/>
        <v>-917</v>
      </c>
      <c r="AB1041" s="47">
        <f t="shared" si="33"/>
        <v>-918</v>
      </c>
      <c r="AD1041" s="53"/>
      <c r="AE1041" s="53"/>
      <c r="AF1041" s="53"/>
      <c r="AG1041" s="53"/>
    </row>
    <row r="1042" spans="1:33" s="46" customFormat="1">
      <c r="A1042" s="39">
        <v>41241</v>
      </c>
      <c r="B1042" s="9"/>
      <c r="C1042" s="15"/>
      <c r="D1042" s="41" t="s">
        <v>2524</v>
      </c>
      <c r="E1042" s="9" t="s">
        <v>1208</v>
      </c>
      <c r="F1042" s="9" t="s">
        <v>479</v>
      </c>
      <c r="G1042" s="9"/>
      <c r="H1042" s="39"/>
      <c r="I1042" s="9"/>
      <c r="J1042" s="39"/>
      <c r="K1042" s="42"/>
      <c r="L1042" s="9" t="s">
        <v>2525</v>
      </c>
      <c r="M1042" s="16"/>
      <c r="AA1042" s="14">
        <f t="shared" si="32"/>
        <v>0</v>
      </c>
      <c r="AB1042" s="47">
        <f t="shared" si="33"/>
        <v>-1</v>
      </c>
      <c r="AD1042" s="53"/>
      <c r="AE1042" s="53"/>
      <c r="AF1042" s="53"/>
      <c r="AG1042" s="53"/>
    </row>
    <row r="1043" spans="1:33" s="46" customFormat="1">
      <c r="A1043" s="39">
        <v>41241</v>
      </c>
      <c r="B1043" s="9" t="s">
        <v>2736</v>
      </c>
      <c r="C1043" s="15">
        <v>897</v>
      </c>
      <c r="D1043" s="41" t="s">
        <v>2526</v>
      </c>
      <c r="E1043" s="9" t="s">
        <v>77</v>
      </c>
      <c r="F1043" s="9" t="s">
        <v>935</v>
      </c>
      <c r="G1043" s="9"/>
      <c r="H1043" s="39"/>
      <c r="I1043" s="9"/>
      <c r="J1043" s="39"/>
      <c r="K1043" s="42"/>
      <c r="L1043" s="9"/>
      <c r="M1043" s="16"/>
      <c r="AA1043" s="14">
        <f t="shared" si="32"/>
        <v>897</v>
      </c>
      <c r="AB1043" s="47">
        <f t="shared" si="33"/>
        <v>896</v>
      </c>
      <c r="AD1043" s="53"/>
      <c r="AE1043" s="53"/>
      <c r="AF1043" s="53"/>
      <c r="AG1043" s="53"/>
    </row>
    <row r="1044" spans="1:33" s="46" customFormat="1">
      <c r="A1044" s="39">
        <v>41241</v>
      </c>
      <c r="B1044" s="9"/>
      <c r="C1044" s="15"/>
      <c r="D1044" s="41" t="s">
        <v>2527</v>
      </c>
      <c r="E1044" s="9" t="s">
        <v>22</v>
      </c>
      <c r="F1044" s="9" t="s">
        <v>935</v>
      </c>
      <c r="G1044" s="9"/>
      <c r="H1044" s="39"/>
      <c r="I1044" s="9"/>
      <c r="J1044" s="39"/>
      <c r="K1044" s="42"/>
      <c r="L1044" s="9"/>
      <c r="M1044" s="16"/>
      <c r="AA1044" s="14">
        <f t="shared" si="32"/>
        <v>-897</v>
      </c>
      <c r="AB1044" s="47">
        <f t="shared" si="33"/>
        <v>-898</v>
      </c>
      <c r="AD1044" s="53"/>
      <c r="AE1044" s="53"/>
      <c r="AF1044" s="53"/>
      <c r="AG1044" s="53"/>
    </row>
    <row r="1045" spans="1:33" s="46" customFormat="1">
      <c r="A1045" s="39">
        <v>41241</v>
      </c>
      <c r="B1045" s="9"/>
      <c r="C1045" s="15"/>
      <c r="D1045" s="41" t="s">
        <v>2528</v>
      </c>
      <c r="E1045" s="9" t="s">
        <v>313</v>
      </c>
      <c r="F1045" s="9" t="s">
        <v>935</v>
      </c>
      <c r="G1045" s="9"/>
      <c r="H1045" s="39"/>
      <c r="I1045" s="9"/>
      <c r="J1045" s="39"/>
      <c r="K1045" s="42"/>
      <c r="L1045" s="9" t="s">
        <v>2529</v>
      </c>
      <c r="M1045" s="16"/>
      <c r="AA1045" s="14">
        <f t="shared" si="32"/>
        <v>0</v>
      </c>
      <c r="AB1045" s="47">
        <f t="shared" si="33"/>
        <v>-1</v>
      </c>
      <c r="AD1045" s="53"/>
      <c r="AE1045" s="53"/>
      <c r="AF1045" s="53"/>
      <c r="AG1045" s="53"/>
    </row>
    <row r="1046" spans="1:33" s="46" customFormat="1">
      <c r="A1046" s="39">
        <v>41241</v>
      </c>
      <c r="B1046" s="9" t="s">
        <v>2861</v>
      </c>
      <c r="C1046" s="15">
        <v>919</v>
      </c>
      <c r="D1046" s="41" t="s">
        <v>2530</v>
      </c>
      <c r="E1046" s="9" t="s">
        <v>313</v>
      </c>
      <c r="F1046" s="9" t="s">
        <v>935</v>
      </c>
      <c r="G1046" s="9"/>
      <c r="H1046" s="39"/>
      <c r="I1046" s="9"/>
      <c r="J1046" s="39"/>
      <c r="K1046" s="42"/>
      <c r="L1046" s="9" t="s">
        <v>2531</v>
      </c>
      <c r="M1046" s="16"/>
      <c r="AA1046" s="14">
        <f t="shared" si="32"/>
        <v>919</v>
      </c>
      <c r="AB1046" s="47">
        <f t="shared" si="33"/>
        <v>918</v>
      </c>
      <c r="AD1046" s="53"/>
      <c r="AE1046" s="53"/>
      <c r="AF1046" s="53"/>
      <c r="AG1046" s="53"/>
    </row>
    <row r="1047" spans="1:33" s="46" customFormat="1">
      <c r="A1047" s="39">
        <v>41241</v>
      </c>
      <c r="B1047" s="9"/>
      <c r="C1047" s="15"/>
      <c r="D1047" s="41" t="s">
        <v>2532</v>
      </c>
      <c r="E1047" s="9" t="s">
        <v>931</v>
      </c>
      <c r="F1047" s="9" t="s">
        <v>935</v>
      </c>
      <c r="G1047" s="9"/>
      <c r="H1047" s="39"/>
      <c r="I1047" s="9"/>
      <c r="J1047" s="39"/>
      <c r="K1047" s="42"/>
      <c r="L1047" s="9" t="s">
        <v>2533</v>
      </c>
      <c r="M1047" s="16"/>
      <c r="AA1047" s="14">
        <f t="shared" si="32"/>
        <v>-919</v>
      </c>
      <c r="AB1047" s="47">
        <f t="shared" si="33"/>
        <v>-920</v>
      </c>
      <c r="AD1047" s="53"/>
      <c r="AE1047" s="53"/>
      <c r="AF1047" s="53"/>
      <c r="AG1047" s="53"/>
    </row>
    <row r="1048" spans="1:33" s="46" customFormat="1">
      <c r="A1048" s="39">
        <v>41241</v>
      </c>
      <c r="B1048" s="9"/>
      <c r="C1048" s="15"/>
      <c r="D1048" s="41" t="s">
        <v>2534</v>
      </c>
      <c r="E1048" s="9" t="s">
        <v>313</v>
      </c>
      <c r="F1048" s="9" t="s">
        <v>935</v>
      </c>
      <c r="G1048" s="9"/>
      <c r="H1048" s="39"/>
      <c r="I1048" s="9"/>
      <c r="J1048" s="39"/>
      <c r="K1048" s="42"/>
      <c r="L1048" s="9" t="s">
        <v>2535</v>
      </c>
      <c r="M1048" s="16"/>
      <c r="AA1048" s="14">
        <f t="shared" si="32"/>
        <v>0</v>
      </c>
      <c r="AB1048" s="47">
        <f t="shared" si="33"/>
        <v>-1</v>
      </c>
      <c r="AD1048" s="53"/>
      <c r="AE1048" s="53"/>
      <c r="AF1048" s="53"/>
      <c r="AG1048" s="53"/>
    </row>
    <row r="1049" spans="1:33" s="46" customFormat="1">
      <c r="A1049" s="39">
        <v>41241</v>
      </c>
      <c r="B1049" s="9"/>
      <c r="C1049" s="15"/>
      <c r="D1049" s="41" t="s">
        <v>2548</v>
      </c>
      <c r="E1049" s="9" t="s">
        <v>22</v>
      </c>
      <c r="F1049" s="9" t="s">
        <v>935</v>
      </c>
      <c r="G1049" s="9"/>
      <c r="H1049" s="39"/>
      <c r="I1049" s="9"/>
      <c r="J1049" s="39"/>
      <c r="K1049" s="42"/>
      <c r="L1049" s="9" t="s">
        <v>2296</v>
      </c>
      <c r="M1049" s="16"/>
      <c r="AA1049" s="14">
        <f t="shared" si="32"/>
        <v>0</v>
      </c>
      <c r="AB1049" s="47">
        <f t="shared" si="33"/>
        <v>-1</v>
      </c>
      <c r="AD1049" s="53"/>
      <c r="AE1049" s="53"/>
      <c r="AF1049" s="53"/>
      <c r="AG1049" s="53"/>
    </row>
    <row r="1050" spans="1:33" s="46" customFormat="1">
      <c r="A1050" s="39">
        <v>41241</v>
      </c>
      <c r="B1050" s="9"/>
      <c r="C1050" s="15"/>
      <c r="D1050" s="41" t="s">
        <v>2536</v>
      </c>
      <c r="E1050" s="9" t="s">
        <v>22</v>
      </c>
      <c r="F1050" s="9" t="s">
        <v>479</v>
      </c>
      <c r="G1050" s="9"/>
      <c r="H1050" s="39"/>
      <c r="I1050" s="9"/>
      <c r="J1050" s="39"/>
      <c r="K1050" s="42"/>
      <c r="L1050" s="9" t="s">
        <v>2537</v>
      </c>
      <c r="M1050" s="16"/>
      <c r="AA1050" s="14">
        <f t="shared" si="32"/>
        <v>0</v>
      </c>
      <c r="AB1050" s="47">
        <f t="shared" si="33"/>
        <v>-1</v>
      </c>
      <c r="AD1050" s="53"/>
      <c r="AE1050" s="53"/>
      <c r="AF1050" s="53"/>
      <c r="AG1050" s="53"/>
    </row>
    <row r="1051" spans="1:33" s="46" customFormat="1">
      <c r="A1051" s="39">
        <v>41241</v>
      </c>
      <c r="B1051" s="9" t="s">
        <v>2864</v>
      </c>
      <c r="C1051" s="15">
        <v>923</v>
      </c>
      <c r="D1051" s="41" t="s">
        <v>2538</v>
      </c>
      <c r="E1051" s="9" t="s">
        <v>88</v>
      </c>
      <c r="F1051" s="9" t="s">
        <v>479</v>
      </c>
      <c r="G1051" s="9"/>
      <c r="H1051" s="39"/>
      <c r="I1051" s="9"/>
      <c r="J1051" s="39"/>
      <c r="K1051" s="42"/>
      <c r="L1051" s="9" t="s">
        <v>2539</v>
      </c>
      <c r="M1051" s="16"/>
      <c r="AA1051" s="14">
        <f t="shared" si="32"/>
        <v>923</v>
      </c>
      <c r="AB1051" s="47">
        <f t="shared" si="33"/>
        <v>922</v>
      </c>
      <c r="AD1051" s="53"/>
      <c r="AE1051" s="53"/>
      <c r="AF1051" s="53"/>
      <c r="AG1051" s="53"/>
    </row>
    <row r="1052" spans="1:33" s="46" customFormat="1">
      <c r="A1052" s="39">
        <v>41241</v>
      </c>
      <c r="B1052" s="9"/>
      <c r="C1052" s="15"/>
      <c r="D1052" s="41" t="s">
        <v>2540</v>
      </c>
      <c r="E1052" s="9" t="s">
        <v>51</v>
      </c>
      <c r="F1052" s="9" t="s">
        <v>935</v>
      </c>
      <c r="G1052" s="9"/>
      <c r="H1052" s="39"/>
      <c r="I1052" s="9"/>
      <c r="J1052" s="39"/>
      <c r="K1052" s="42"/>
      <c r="L1052" s="9" t="s">
        <v>2541</v>
      </c>
      <c r="M1052" s="16"/>
      <c r="AA1052" s="14">
        <f t="shared" si="32"/>
        <v>-923</v>
      </c>
      <c r="AB1052" s="47">
        <f t="shared" si="33"/>
        <v>-924</v>
      </c>
      <c r="AD1052" s="53"/>
      <c r="AE1052" s="53"/>
      <c r="AF1052" s="53"/>
      <c r="AG1052" s="53"/>
    </row>
    <row r="1053" spans="1:33" s="46" customFormat="1">
      <c r="A1053" s="39">
        <v>41241</v>
      </c>
      <c r="B1053" s="9" t="s">
        <v>2869</v>
      </c>
      <c r="C1053" s="15">
        <v>914</v>
      </c>
      <c r="D1053" s="41" t="s">
        <v>2542</v>
      </c>
      <c r="E1053" s="9" t="s">
        <v>77</v>
      </c>
      <c r="F1053" s="9" t="s">
        <v>479</v>
      </c>
      <c r="G1053" s="9"/>
      <c r="H1053" s="39"/>
      <c r="I1053" s="9"/>
      <c r="J1053" s="39"/>
      <c r="K1053" s="42"/>
      <c r="L1053" s="9" t="s">
        <v>2543</v>
      </c>
      <c r="M1053" s="16"/>
      <c r="AA1053" s="14">
        <f t="shared" si="32"/>
        <v>914</v>
      </c>
      <c r="AB1053" s="47">
        <f t="shared" si="33"/>
        <v>913</v>
      </c>
      <c r="AD1053" s="53"/>
      <c r="AE1053" s="53"/>
      <c r="AF1053" s="53"/>
      <c r="AG1053" s="53"/>
    </row>
    <row r="1054" spans="1:33" s="46" customFormat="1">
      <c r="A1054" s="39">
        <v>41241</v>
      </c>
      <c r="B1054" s="9" t="s">
        <v>2863</v>
      </c>
      <c r="C1054" s="15">
        <v>922</v>
      </c>
      <c r="D1054" s="41" t="s">
        <v>2545</v>
      </c>
      <c r="E1054" s="9" t="s">
        <v>313</v>
      </c>
      <c r="F1054" s="9" t="s">
        <v>479</v>
      </c>
      <c r="G1054" s="9"/>
      <c r="H1054" s="39"/>
      <c r="I1054" s="9"/>
      <c r="J1054" s="39"/>
      <c r="K1054" s="42"/>
      <c r="L1054" s="9" t="s">
        <v>1588</v>
      </c>
      <c r="M1054" s="16"/>
      <c r="AA1054" s="14">
        <f t="shared" si="32"/>
        <v>8</v>
      </c>
      <c r="AB1054" s="47">
        <f t="shared" si="33"/>
        <v>7</v>
      </c>
      <c r="AD1054" s="53"/>
      <c r="AE1054" s="53"/>
      <c r="AF1054" s="53"/>
      <c r="AG1054" s="53"/>
    </row>
    <row r="1055" spans="1:33" s="46" customFormat="1">
      <c r="A1055" s="39">
        <v>41241</v>
      </c>
      <c r="B1055" s="9"/>
      <c r="C1055" s="15"/>
      <c r="D1055" s="41" t="s">
        <v>2546</v>
      </c>
      <c r="E1055" s="9" t="s">
        <v>313</v>
      </c>
      <c r="F1055" s="9" t="s">
        <v>479</v>
      </c>
      <c r="G1055" s="9"/>
      <c r="H1055" s="39"/>
      <c r="I1055" s="9"/>
      <c r="J1055" s="39"/>
      <c r="K1055" s="42"/>
      <c r="L1055" s="9" t="s">
        <v>2547</v>
      </c>
      <c r="M1055" s="16"/>
      <c r="AA1055" s="14">
        <f t="shared" si="32"/>
        <v>-922</v>
      </c>
      <c r="AB1055" s="47">
        <f t="shared" si="33"/>
        <v>-923</v>
      </c>
      <c r="AD1055" s="53"/>
      <c r="AE1055" s="53"/>
      <c r="AF1055" s="53"/>
      <c r="AG1055" s="53"/>
    </row>
    <row r="1056" spans="1:33" s="46" customFormat="1">
      <c r="A1056" s="39">
        <v>41241</v>
      </c>
      <c r="B1056" s="9" t="s">
        <v>2872</v>
      </c>
      <c r="C1056" s="15">
        <v>910</v>
      </c>
      <c r="D1056" s="41" t="s">
        <v>2550</v>
      </c>
      <c r="E1056" s="9" t="s">
        <v>300</v>
      </c>
      <c r="F1056" s="9" t="s">
        <v>479</v>
      </c>
      <c r="G1056" s="9"/>
      <c r="H1056" s="39"/>
      <c r="I1056" s="9"/>
      <c r="J1056" s="39"/>
      <c r="K1056" s="42"/>
      <c r="L1056" s="9" t="s">
        <v>2551</v>
      </c>
      <c r="M1056" s="16"/>
      <c r="AA1056" s="14">
        <f t="shared" si="32"/>
        <v>910</v>
      </c>
      <c r="AB1056" s="47">
        <f t="shared" si="33"/>
        <v>909</v>
      </c>
      <c r="AD1056" s="53"/>
      <c r="AE1056" s="53"/>
      <c r="AF1056" s="53"/>
      <c r="AG1056" s="53"/>
    </row>
    <row r="1057" spans="1:33" s="46" customFormat="1">
      <c r="A1057" s="39">
        <v>41241</v>
      </c>
      <c r="B1057" s="9" t="s">
        <v>2870</v>
      </c>
      <c r="C1057" s="15">
        <v>913</v>
      </c>
      <c r="D1057" s="41" t="s">
        <v>2552</v>
      </c>
      <c r="E1057" s="9" t="s">
        <v>300</v>
      </c>
      <c r="F1057" s="9" t="s">
        <v>479</v>
      </c>
      <c r="G1057" s="9"/>
      <c r="H1057" s="39"/>
      <c r="I1057" s="9"/>
      <c r="J1057" s="39"/>
      <c r="K1057" s="42"/>
      <c r="L1057" s="9" t="s">
        <v>2553</v>
      </c>
      <c r="M1057" s="16"/>
      <c r="AA1057" s="14">
        <f t="shared" si="32"/>
        <v>3</v>
      </c>
      <c r="AB1057" s="47">
        <f t="shared" si="33"/>
        <v>2</v>
      </c>
      <c r="AD1057" s="53"/>
      <c r="AE1057" s="53"/>
      <c r="AF1057" s="53"/>
      <c r="AG1057" s="53"/>
    </row>
    <row r="1058" spans="1:33" s="46" customFormat="1">
      <c r="A1058" s="39">
        <v>41241</v>
      </c>
      <c r="B1058" s="9"/>
      <c r="C1058" s="15"/>
      <c r="D1058" s="41" t="s">
        <v>2554</v>
      </c>
      <c r="E1058" s="9" t="s">
        <v>22</v>
      </c>
      <c r="F1058" s="9" t="s">
        <v>935</v>
      </c>
      <c r="G1058" s="9"/>
      <c r="H1058" s="39"/>
      <c r="I1058" s="9"/>
      <c r="J1058" s="39"/>
      <c r="K1058" s="42"/>
      <c r="L1058" s="9" t="s">
        <v>2555</v>
      </c>
      <c r="M1058" s="16"/>
      <c r="AA1058" s="14">
        <f t="shared" si="32"/>
        <v>-913</v>
      </c>
      <c r="AB1058" s="47">
        <f t="shared" si="33"/>
        <v>-914</v>
      </c>
      <c r="AD1058" s="53"/>
      <c r="AE1058" s="53"/>
      <c r="AF1058" s="53"/>
      <c r="AG1058" s="53"/>
    </row>
    <row r="1059" spans="1:33" s="46" customFormat="1">
      <c r="A1059" s="39">
        <v>41241</v>
      </c>
      <c r="B1059" s="9"/>
      <c r="C1059" s="15"/>
      <c r="D1059" s="41" t="s">
        <v>2556</v>
      </c>
      <c r="E1059" s="9" t="s">
        <v>22</v>
      </c>
      <c r="F1059" s="9" t="s">
        <v>479</v>
      </c>
      <c r="G1059" s="9"/>
      <c r="H1059" s="39"/>
      <c r="I1059" s="9"/>
      <c r="J1059" s="39"/>
      <c r="K1059" s="42"/>
      <c r="L1059" s="9" t="s">
        <v>497</v>
      </c>
      <c r="M1059" s="16"/>
      <c r="AA1059" s="14">
        <f t="shared" si="32"/>
        <v>0</v>
      </c>
      <c r="AB1059" s="47">
        <f t="shared" si="33"/>
        <v>-1</v>
      </c>
      <c r="AD1059" s="53"/>
      <c r="AE1059" s="53"/>
      <c r="AF1059" s="53"/>
      <c r="AG1059" s="53"/>
    </row>
    <row r="1060" spans="1:33" s="46" customFormat="1">
      <c r="A1060" s="39">
        <v>41241</v>
      </c>
      <c r="B1060" s="9" t="s">
        <v>2862</v>
      </c>
      <c r="C1060" s="15">
        <v>920</v>
      </c>
      <c r="D1060" s="41" t="s">
        <v>2557</v>
      </c>
      <c r="E1060" s="9" t="s">
        <v>1919</v>
      </c>
      <c r="F1060" s="9" t="s">
        <v>935</v>
      </c>
      <c r="G1060" s="9"/>
      <c r="H1060" s="39"/>
      <c r="I1060" s="9"/>
      <c r="J1060" s="39"/>
      <c r="K1060" s="42"/>
      <c r="L1060" s="9"/>
      <c r="M1060" s="16"/>
      <c r="AA1060" s="14">
        <f t="shared" si="32"/>
        <v>920</v>
      </c>
      <c r="AB1060" s="47">
        <f t="shared" si="33"/>
        <v>919</v>
      </c>
      <c r="AD1060" s="53"/>
      <c r="AE1060" s="53"/>
      <c r="AF1060" s="53"/>
      <c r="AG1060" s="53"/>
    </row>
    <row r="1061" spans="1:33" s="46" customFormat="1">
      <c r="A1061" s="39">
        <v>41241</v>
      </c>
      <c r="B1061" s="9"/>
      <c r="C1061" s="15"/>
      <c r="D1061" s="41" t="s">
        <v>2559</v>
      </c>
      <c r="E1061" s="9" t="s">
        <v>1208</v>
      </c>
      <c r="F1061" s="9" t="s">
        <v>935</v>
      </c>
      <c r="G1061" s="9"/>
      <c r="H1061" s="39"/>
      <c r="I1061" s="9"/>
      <c r="J1061" s="39"/>
      <c r="K1061" s="42"/>
      <c r="L1061" s="9" t="s">
        <v>2560</v>
      </c>
      <c r="M1061" s="16"/>
      <c r="AA1061" s="14">
        <f t="shared" si="32"/>
        <v>-920</v>
      </c>
      <c r="AB1061" s="47">
        <f t="shared" si="33"/>
        <v>-921</v>
      </c>
      <c r="AD1061" s="53"/>
      <c r="AE1061" s="53"/>
      <c r="AF1061" s="53"/>
      <c r="AG1061" s="53"/>
    </row>
    <row r="1062" spans="1:33" s="46" customFormat="1">
      <c r="A1062" s="39">
        <v>41241</v>
      </c>
      <c r="B1062" s="9"/>
      <c r="C1062" s="15"/>
      <c r="D1062" s="41" t="s">
        <v>2562</v>
      </c>
      <c r="E1062" s="9" t="s">
        <v>88</v>
      </c>
      <c r="F1062" s="9" t="s">
        <v>479</v>
      </c>
      <c r="G1062" s="9"/>
      <c r="H1062" s="39"/>
      <c r="I1062" s="9"/>
      <c r="J1062" s="39"/>
      <c r="K1062" s="42"/>
      <c r="L1062" s="9"/>
      <c r="M1062" s="16"/>
      <c r="AA1062" s="14">
        <f t="shared" si="32"/>
        <v>0</v>
      </c>
      <c r="AB1062" s="47">
        <f t="shared" si="33"/>
        <v>-1</v>
      </c>
      <c r="AD1062" s="53"/>
      <c r="AE1062" s="53"/>
      <c r="AF1062" s="53"/>
      <c r="AG1062" s="53"/>
    </row>
    <row r="1063" spans="1:33" s="46" customFormat="1">
      <c r="A1063" s="39">
        <v>41241</v>
      </c>
      <c r="B1063" s="9" t="s">
        <v>2865</v>
      </c>
      <c r="C1063" s="15">
        <v>924</v>
      </c>
      <c r="D1063" s="41" t="s">
        <v>2563</v>
      </c>
      <c r="E1063" s="9" t="s">
        <v>274</v>
      </c>
      <c r="F1063" s="9" t="s">
        <v>479</v>
      </c>
      <c r="G1063" s="9"/>
      <c r="H1063" s="39"/>
      <c r="I1063" s="9"/>
      <c r="J1063" s="39"/>
      <c r="K1063" s="42"/>
      <c r="L1063" s="9" t="s">
        <v>2564</v>
      </c>
      <c r="M1063" s="16"/>
      <c r="AA1063" s="14">
        <f t="shared" si="32"/>
        <v>924</v>
      </c>
      <c r="AB1063" s="47">
        <f t="shared" si="33"/>
        <v>923</v>
      </c>
      <c r="AD1063" s="53"/>
      <c r="AE1063" s="53"/>
      <c r="AF1063" s="53"/>
      <c r="AG1063" s="53"/>
    </row>
    <row r="1064" spans="1:33" s="46" customFormat="1">
      <c r="A1064" s="39">
        <v>41241</v>
      </c>
      <c r="B1064" s="9"/>
      <c r="C1064" s="15"/>
      <c r="D1064" s="41" t="s">
        <v>2565</v>
      </c>
      <c r="E1064" s="9" t="s">
        <v>22</v>
      </c>
      <c r="F1064" s="9" t="s">
        <v>479</v>
      </c>
      <c r="G1064" s="9"/>
      <c r="H1064" s="39"/>
      <c r="I1064" s="9"/>
      <c r="J1064" s="39"/>
      <c r="K1064" s="42"/>
      <c r="L1064" s="9" t="s">
        <v>495</v>
      </c>
      <c r="M1064" s="16"/>
      <c r="AA1064" s="14">
        <f t="shared" si="32"/>
        <v>-924</v>
      </c>
      <c r="AB1064" s="47">
        <f t="shared" si="33"/>
        <v>-925</v>
      </c>
      <c r="AD1064" s="53"/>
      <c r="AE1064" s="53"/>
      <c r="AF1064" s="53"/>
      <c r="AG1064" s="53"/>
    </row>
    <row r="1065" spans="1:33" s="46" customFormat="1">
      <c r="A1065" s="39">
        <v>41241</v>
      </c>
      <c r="B1065" s="9" t="s">
        <v>2875</v>
      </c>
      <c r="C1065" s="15">
        <v>929</v>
      </c>
      <c r="D1065" s="41" t="s">
        <v>2566</v>
      </c>
      <c r="E1065" s="9" t="s">
        <v>300</v>
      </c>
      <c r="F1065" s="9" t="s">
        <v>479</v>
      </c>
      <c r="G1065" s="9"/>
      <c r="H1065" s="39"/>
      <c r="I1065" s="9"/>
      <c r="J1065" s="39"/>
      <c r="K1065" s="42"/>
      <c r="L1065" s="9" t="s">
        <v>2567</v>
      </c>
      <c r="M1065" s="16"/>
      <c r="AA1065" s="14">
        <f t="shared" ref="AA1065:AA1127" si="34">C1065-C1064</f>
        <v>929</v>
      </c>
      <c r="AB1065" s="47">
        <f t="shared" ref="AB1065:AB1127" si="35">AA1065-1</f>
        <v>928</v>
      </c>
      <c r="AD1065" s="53"/>
      <c r="AE1065" s="53"/>
      <c r="AF1065" s="53"/>
      <c r="AG1065" s="53"/>
    </row>
    <row r="1066" spans="1:33" s="46" customFormat="1">
      <c r="A1066" s="39">
        <v>41241</v>
      </c>
      <c r="B1066" s="9" t="s">
        <v>2920</v>
      </c>
      <c r="C1066" s="15">
        <v>904</v>
      </c>
      <c r="D1066" s="41" t="s">
        <v>2569</v>
      </c>
      <c r="E1066" s="9" t="s">
        <v>80</v>
      </c>
      <c r="F1066" s="9" t="s">
        <v>479</v>
      </c>
      <c r="G1066" s="9"/>
      <c r="H1066" s="39"/>
      <c r="I1066" s="9"/>
      <c r="J1066" s="39"/>
      <c r="K1066" s="42"/>
      <c r="L1066" s="9" t="s">
        <v>2570</v>
      </c>
      <c r="M1066" s="16"/>
      <c r="AA1066" s="14">
        <f t="shared" si="34"/>
        <v>-25</v>
      </c>
      <c r="AB1066" s="47">
        <f t="shared" si="35"/>
        <v>-26</v>
      </c>
      <c r="AD1066" s="53"/>
      <c r="AE1066" s="53"/>
      <c r="AF1066" s="53"/>
      <c r="AG1066" s="53"/>
    </row>
    <row r="1067" spans="1:33" s="46" customFormat="1">
      <c r="A1067" s="39">
        <v>41241</v>
      </c>
      <c r="B1067" s="9"/>
      <c r="C1067" s="15"/>
      <c r="D1067" s="41" t="s">
        <v>2572</v>
      </c>
      <c r="E1067" s="9" t="s">
        <v>931</v>
      </c>
      <c r="F1067" s="9" t="s">
        <v>479</v>
      </c>
      <c r="G1067" s="9"/>
      <c r="H1067" s="39"/>
      <c r="I1067" s="9"/>
      <c r="J1067" s="39"/>
      <c r="K1067" s="42"/>
      <c r="L1067" s="9" t="s">
        <v>2573</v>
      </c>
      <c r="M1067" s="16"/>
      <c r="AA1067" s="14">
        <f t="shared" si="34"/>
        <v>-904</v>
      </c>
      <c r="AB1067" s="47">
        <f t="shared" si="35"/>
        <v>-905</v>
      </c>
      <c r="AD1067" s="53"/>
      <c r="AE1067" s="53"/>
      <c r="AF1067" s="53"/>
      <c r="AG1067" s="53"/>
    </row>
    <row r="1068" spans="1:33" s="46" customFormat="1">
      <c r="A1068" s="39">
        <v>41241</v>
      </c>
      <c r="B1068" s="9"/>
      <c r="C1068" s="15"/>
      <c r="D1068" s="41" t="s">
        <v>2574</v>
      </c>
      <c r="E1068" s="9" t="s">
        <v>22</v>
      </c>
      <c r="F1068" s="9" t="s">
        <v>935</v>
      </c>
      <c r="G1068" s="9"/>
      <c r="H1068" s="39"/>
      <c r="I1068" s="9"/>
      <c r="J1068" s="39"/>
      <c r="K1068" s="42"/>
      <c r="L1068" s="9" t="s">
        <v>2575</v>
      </c>
      <c r="M1068" s="16"/>
      <c r="AA1068" s="14">
        <f t="shared" si="34"/>
        <v>0</v>
      </c>
      <c r="AB1068" s="47">
        <f t="shared" si="35"/>
        <v>-1</v>
      </c>
      <c r="AD1068" s="53"/>
      <c r="AE1068" s="53"/>
      <c r="AF1068" s="53"/>
      <c r="AG1068" s="53"/>
    </row>
    <row r="1069" spans="1:33" s="46" customFormat="1">
      <c r="A1069" s="39">
        <v>41241</v>
      </c>
      <c r="B1069" s="9"/>
      <c r="C1069" s="15"/>
      <c r="D1069" s="41" t="s">
        <v>2576</v>
      </c>
      <c r="E1069" s="9" t="s">
        <v>22</v>
      </c>
      <c r="F1069" s="9" t="s">
        <v>935</v>
      </c>
      <c r="G1069" s="9"/>
      <c r="H1069" s="39"/>
      <c r="I1069" s="39"/>
      <c r="J1069" s="39"/>
      <c r="K1069" s="42"/>
      <c r="L1069" s="9" t="s">
        <v>2577</v>
      </c>
      <c r="M1069" s="16" t="s">
        <v>191</v>
      </c>
      <c r="AA1069" s="14">
        <f t="shared" si="34"/>
        <v>0</v>
      </c>
      <c r="AB1069" s="47">
        <f t="shared" si="35"/>
        <v>-1</v>
      </c>
      <c r="AD1069" s="53"/>
      <c r="AE1069" s="53"/>
      <c r="AF1069" s="53"/>
      <c r="AG1069" s="53"/>
    </row>
    <row r="1070" spans="1:33" s="46" customFormat="1">
      <c r="A1070" s="39">
        <v>41241</v>
      </c>
      <c r="B1070" s="9" t="s">
        <v>2878</v>
      </c>
      <c r="C1070" s="15">
        <v>909</v>
      </c>
      <c r="D1070" s="41" t="s">
        <v>2579</v>
      </c>
      <c r="E1070" s="9" t="s">
        <v>274</v>
      </c>
      <c r="F1070" s="9" t="s">
        <v>479</v>
      </c>
      <c r="G1070" s="9"/>
      <c r="H1070" s="39"/>
      <c r="I1070" s="9"/>
      <c r="J1070" s="39"/>
      <c r="K1070" s="42"/>
      <c r="L1070" s="9" t="s">
        <v>2580</v>
      </c>
      <c r="M1070" s="16"/>
      <c r="AA1070" s="14">
        <f t="shared" si="34"/>
        <v>909</v>
      </c>
      <c r="AB1070" s="47">
        <f t="shared" si="35"/>
        <v>908</v>
      </c>
      <c r="AD1070" s="53"/>
      <c r="AE1070" s="53"/>
      <c r="AF1070" s="53"/>
      <c r="AG1070" s="53"/>
    </row>
    <row r="1071" spans="1:33" s="46" customFormat="1">
      <c r="A1071" s="39">
        <v>41241</v>
      </c>
      <c r="B1071" s="9" t="s">
        <v>2876</v>
      </c>
      <c r="C1071" s="15">
        <v>906</v>
      </c>
      <c r="D1071" s="41" t="s">
        <v>2581</v>
      </c>
      <c r="E1071" s="9" t="s">
        <v>274</v>
      </c>
      <c r="F1071" s="9" t="s">
        <v>479</v>
      </c>
      <c r="G1071" s="9"/>
      <c r="H1071" s="39"/>
      <c r="I1071" s="9"/>
      <c r="J1071" s="39"/>
      <c r="K1071" s="42"/>
      <c r="L1071" s="9" t="s">
        <v>2582</v>
      </c>
      <c r="M1071" s="16" t="s">
        <v>193</v>
      </c>
      <c r="AA1071" s="14">
        <f t="shared" si="34"/>
        <v>-3</v>
      </c>
      <c r="AB1071" s="47">
        <f t="shared" si="35"/>
        <v>-4</v>
      </c>
      <c r="AD1071" s="53"/>
      <c r="AE1071" s="53"/>
      <c r="AF1071" s="53"/>
      <c r="AG1071" s="53"/>
    </row>
    <row r="1072" spans="1:33" s="46" customFormat="1">
      <c r="A1072" s="39">
        <v>41241</v>
      </c>
      <c r="B1072" s="9" t="s">
        <v>2584</v>
      </c>
      <c r="C1072" s="15">
        <v>905</v>
      </c>
      <c r="D1072" s="41" t="s">
        <v>2585</v>
      </c>
      <c r="E1072" s="9" t="s">
        <v>931</v>
      </c>
      <c r="F1072" s="9" t="s">
        <v>479</v>
      </c>
      <c r="G1072" s="9"/>
      <c r="H1072" s="39"/>
      <c r="I1072" s="9"/>
      <c r="J1072" s="39"/>
      <c r="K1072" s="42"/>
      <c r="L1072" s="9" t="s">
        <v>2586</v>
      </c>
      <c r="M1072" s="16"/>
      <c r="AA1072" s="14">
        <f t="shared" si="34"/>
        <v>-1</v>
      </c>
      <c r="AB1072" s="47">
        <f t="shared" si="35"/>
        <v>-2</v>
      </c>
      <c r="AD1072" s="53"/>
      <c r="AE1072" s="53"/>
      <c r="AF1072" s="53"/>
      <c r="AG1072" s="53"/>
    </row>
    <row r="1073" spans="1:33" s="46" customFormat="1">
      <c r="A1073" s="39">
        <v>41241</v>
      </c>
      <c r="B1073" s="9" t="s">
        <v>2587</v>
      </c>
      <c r="C1073" s="15">
        <v>921</v>
      </c>
      <c r="D1073" s="41" t="s">
        <v>2588</v>
      </c>
      <c r="E1073" s="9" t="s">
        <v>931</v>
      </c>
      <c r="F1073" s="9"/>
      <c r="G1073" s="9"/>
      <c r="H1073" s="39"/>
      <c r="I1073" s="9"/>
      <c r="J1073" s="39"/>
      <c r="K1073" s="42"/>
      <c r="L1073" s="9" t="s">
        <v>2589</v>
      </c>
      <c r="M1073" s="16"/>
      <c r="AA1073" s="14">
        <f t="shared" si="34"/>
        <v>16</v>
      </c>
      <c r="AB1073" s="47">
        <f t="shared" si="35"/>
        <v>15</v>
      </c>
      <c r="AD1073" s="53"/>
      <c r="AE1073" s="53"/>
      <c r="AF1073" s="53"/>
      <c r="AG1073" s="53"/>
    </row>
    <row r="1074" spans="1:33" s="46" customFormat="1">
      <c r="A1074" s="39">
        <v>41241</v>
      </c>
      <c r="B1074" s="9" t="s">
        <v>2590</v>
      </c>
      <c r="C1074" s="15"/>
      <c r="D1074" s="41" t="s">
        <v>2591</v>
      </c>
      <c r="E1074" s="9" t="s">
        <v>274</v>
      </c>
      <c r="F1074" s="9" t="s">
        <v>935</v>
      </c>
      <c r="G1074" s="9"/>
      <c r="H1074" s="39"/>
      <c r="I1074" s="9"/>
      <c r="J1074" s="39"/>
      <c r="K1074" s="42"/>
      <c r="L1074" s="9" t="s">
        <v>2592</v>
      </c>
      <c r="M1074" s="16"/>
      <c r="AA1074" s="14">
        <f t="shared" si="34"/>
        <v>-921</v>
      </c>
      <c r="AB1074" s="47">
        <f t="shared" si="35"/>
        <v>-922</v>
      </c>
      <c r="AD1074" s="53"/>
      <c r="AE1074" s="53"/>
      <c r="AF1074" s="53"/>
      <c r="AG1074" s="53"/>
    </row>
    <row r="1075" spans="1:33" s="46" customFormat="1">
      <c r="A1075" s="39">
        <v>41241</v>
      </c>
      <c r="B1075" s="9" t="s">
        <v>2593</v>
      </c>
      <c r="C1075" s="15"/>
      <c r="D1075" s="41" t="s">
        <v>2594</v>
      </c>
      <c r="E1075" s="9" t="s">
        <v>931</v>
      </c>
      <c r="F1075" s="9" t="s">
        <v>935</v>
      </c>
      <c r="G1075" s="9"/>
      <c r="H1075" s="39"/>
      <c r="I1075" s="9"/>
      <c r="J1075" s="39"/>
      <c r="K1075" s="42"/>
      <c r="L1075" s="9" t="s">
        <v>2595</v>
      </c>
      <c r="M1075" s="16"/>
      <c r="AA1075" s="14">
        <f t="shared" si="34"/>
        <v>0</v>
      </c>
      <c r="AB1075" s="47">
        <f t="shared" si="35"/>
        <v>-1</v>
      </c>
      <c r="AD1075" s="53"/>
      <c r="AE1075" s="53"/>
      <c r="AF1075" s="53"/>
      <c r="AG1075" s="53"/>
    </row>
    <row r="1076" spans="1:33" s="46" customFormat="1">
      <c r="A1076" s="39">
        <v>41241</v>
      </c>
      <c r="B1076" s="9" t="s">
        <v>2596</v>
      </c>
      <c r="C1076" s="15"/>
      <c r="D1076" s="41" t="s">
        <v>2597</v>
      </c>
      <c r="E1076" s="9" t="s">
        <v>300</v>
      </c>
      <c r="F1076" s="9" t="s">
        <v>935</v>
      </c>
      <c r="G1076" s="9"/>
      <c r="H1076" s="39"/>
      <c r="I1076" s="9"/>
      <c r="J1076" s="39"/>
      <c r="K1076" s="42"/>
      <c r="L1076" s="9" t="s">
        <v>2598</v>
      </c>
      <c r="M1076" s="16"/>
      <c r="AA1076" s="14">
        <f t="shared" si="34"/>
        <v>0</v>
      </c>
      <c r="AB1076" s="47">
        <f t="shared" si="35"/>
        <v>-1</v>
      </c>
      <c r="AD1076" s="53"/>
      <c r="AE1076" s="53"/>
      <c r="AF1076" s="53"/>
      <c r="AG1076" s="53"/>
    </row>
    <row r="1077" spans="1:33" s="46" customFormat="1">
      <c r="A1077" s="39">
        <v>41241</v>
      </c>
      <c r="B1077" s="9" t="s">
        <v>2599</v>
      </c>
      <c r="C1077" s="15">
        <v>903</v>
      </c>
      <c r="D1077" s="41" t="s">
        <v>2600</v>
      </c>
      <c r="E1077" s="9" t="s">
        <v>51</v>
      </c>
      <c r="F1077" s="9" t="s">
        <v>479</v>
      </c>
      <c r="G1077" s="9"/>
      <c r="H1077" s="39"/>
      <c r="I1077" s="9"/>
      <c r="J1077" s="39"/>
      <c r="K1077" s="42"/>
      <c r="L1077" s="9" t="s">
        <v>2601</v>
      </c>
      <c r="M1077" s="16"/>
      <c r="AA1077" s="14">
        <f t="shared" si="34"/>
        <v>903</v>
      </c>
      <c r="AB1077" s="47">
        <f t="shared" si="35"/>
        <v>902</v>
      </c>
      <c r="AD1077" s="53"/>
      <c r="AE1077" s="53"/>
      <c r="AF1077" s="53"/>
      <c r="AG1077" s="53"/>
    </row>
    <row r="1078" spans="1:33" s="46" customFormat="1">
      <c r="A1078" s="39">
        <v>41241</v>
      </c>
      <c r="B1078" s="9" t="s">
        <v>2602</v>
      </c>
      <c r="C1078" s="15">
        <v>918</v>
      </c>
      <c r="D1078" s="41" t="s">
        <v>2603</v>
      </c>
      <c r="E1078" s="9" t="s">
        <v>88</v>
      </c>
      <c r="F1078" s="9" t="s">
        <v>479</v>
      </c>
      <c r="G1078" s="9"/>
      <c r="H1078" s="39"/>
      <c r="I1078" s="9"/>
      <c r="J1078" s="39"/>
      <c r="K1078" s="42"/>
      <c r="L1078" s="9"/>
      <c r="M1078" s="16"/>
      <c r="AA1078" s="14">
        <f t="shared" si="34"/>
        <v>15</v>
      </c>
      <c r="AB1078" s="47">
        <f t="shared" si="35"/>
        <v>14</v>
      </c>
      <c r="AD1078" s="53"/>
      <c r="AE1078" s="53"/>
      <c r="AF1078" s="53"/>
      <c r="AG1078" s="53"/>
    </row>
    <row r="1079" spans="1:33" s="46" customFormat="1">
      <c r="A1079" s="39">
        <v>41241</v>
      </c>
      <c r="B1079" s="9" t="s">
        <v>2604</v>
      </c>
      <c r="C1079" s="15"/>
      <c r="D1079" s="41" t="s">
        <v>2605</v>
      </c>
      <c r="E1079" s="9" t="s">
        <v>1919</v>
      </c>
      <c r="F1079" s="9" t="s">
        <v>935</v>
      </c>
      <c r="G1079" s="9"/>
      <c r="H1079" s="39"/>
      <c r="I1079" s="9"/>
      <c r="J1079" s="39"/>
      <c r="K1079" s="42"/>
      <c r="L1079" s="9" t="s">
        <v>2606</v>
      </c>
      <c r="M1079" s="16"/>
      <c r="AA1079" s="14">
        <f t="shared" si="34"/>
        <v>-918</v>
      </c>
      <c r="AB1079" s="47">
        <f t="shared" si="35"/>
        <v>-919</v>
      </c>
      <c r="AD1079" s="53"/>
      <c r="AE1079" s="53"/>
      <c r="AF1079" s="53"/>
      <c r="AG1079" s="53"/>
    </row>
    <row r="1080" spans="1:33" s="46" customFormat="1">
      <c r="A1080" s="39">
        <v>41241</v>
      </c>
      <c r="B1080" s="9" t="s">
        <v>2607</v>
      </c>
      <c r="C1080" s="15">
        <v>907</v>
      </c>
      <c r="D1080" s="41" t="s">
        <v>2608</v>
      </c>
      <c r="E1080" s="9" t="s">
        <v>1448</v>
      </c>
      <c r="F1080" s="9" t="s">
        <v>479</v>
      </c>
      <c r="G1080" s="9"/>
      <c r="H1080" s="39"/>
      <c r="I1080" s="9"/>
      <c r="J1080" s="39"/>
      <c r="K1080" s="42"/>
      <c r="L1080" s="9"/>
      <c r="M1080" s="16"/>
      <c r="AA1080" s="14">
        <f t="shared" si="34"/>
        <v>907</v>
      </c>
      <c r="AB1080" s="47">
        <f t="shared" si="35"/>
        <v>906</v>
      </c>
      <c r="AD1080" s="53"/>
      <c r="AE1080" s="53"/>
      <c r="AF1080" s="53"/>
      <c r="AG1080" s="53"/>
    </row>
    <row r="1081" spans="1:33" s="46" customFormat="1">
      <c r="A1081" s="39">
        <v>41241</v>
      </c>
      <c r="B1081" s="9" t="s">
        <v>2609</v>
      </c>
      <c r="C1081" s="15"/>
      <c r="D1081" s="41" t="s">
        <v>2610</v>
      </c>
      <c r="E1081" s="9" t="s">
        <v>1919</v>
      </c>
      <c r="F1081" s="9" t="s">
        <v>479</v>
      </c>
      <c r="G1081" s="9"/>
      <c r="H1081" s="39"/>
      <c r="I1081" s="9"/>
      <c r="J1081" s="39"/>
      <c r="K1081" s="42"/>
      <c r="L1081" s="9"/>
      <c r="M1081" s="16" t="s">
        <v>193</v>
      </c>
      <c r="AA1081" s="14">
        <f t="shared" si="34"/>
        <v>-907</v>
      </c>
      <c r="AB1081" s="47">
        <f t="shared" si="35"/>
        <v>-908</v>
      </c>
      <c r="AD1081" s="53"/>
      <c r="AE1081" s="53"/>
      <c r="AF1081" s="53"/>
      <c r="AG1081" s="53"/>
    </row>
    <row r="1082" spans="1:33" s="46" customFormat="1">
      <c r="A1082" s="39">
        <v>41241</v>
      </c>
      <c r="B1082" s="9"/>
      <c r="C1082" s="15"/>
      <c r="D1082" s="41" t="s">
        <v>2612</v>
      </c>
      <c r="E1082" s="9" t="s">
        <v>2198</v>
      </c>
      <c r="F1082" s="9" t="s">
        <v>935</v>
      </c>
      <c r="G1082" s="9"/>
      <c r="H1082" s="39"/>
      <c r="I1082" s="9"/>
      <c r="J1082" s="39"/>
      <c r="K1082" s="42"/>
      <c r="L1082" s="9" t="s">
        <v>2613</v>
      </c>
      <c r="M1082" s="16"/>
      <c r="AA1082" s="14">
        <f t="shared" si="34"/>
        <v>0</v>
      </c>
      <c r="AB1082" s="47">
        <f t="shared" si="35"/>
        <v>-1</v>
      </c>
      <c r="AD1082" s="53"/>
      <c r="AE1082" s="53"/>
      <c r="AF1082" s="53"/>
      <c r="AG1082" s="53"/>
    </row>
    <row r="1083" spans="1:33" s="46" customFormat="1">
      <c r="A1083" s="39">
        <v>41241</v>
      </c>
      <c r="B1083" s="9" t="s">
        <v>2628</v>
      </c>
      <c r="C1083" s="15">
        <v>861</v>
      </c>
      <c r="D1083" s="41" t="s">
        <v>2629</v>
      </c>
      <c r="E1083" s="9" t="s">
        <v>1789</v>
      </c>
      <c r="F1083" s="9" t="s">
        <v>935</v>
      </c>
      <c r="G1083" s="9"/>
      <c r="H1083" s="39"/>
      <c r="I1083" s="9"/>
      <c r="J1083" s="39"/>
      <c r="K1083" s="42"/>
      <c r="L1083" s="9"/>
      <c r="M1083" s="16" t="s">
        <v>193</v>
      </c>
      <c r="AA1083" s="14" t="e">
        <f>C1083-#REF!</f>
        <v>#REF!</v>
      </c>
      <c r="AB1083" s="47" t="e">
        <f t="shared" si="35"/>
        <v>#REF!</v>
      </c>
      <c r="AD1083" s="53"/>
      <c r="AE1083" s="53"/>
      <c r="AF1083" s="53"/>
      <c r="AG1083" s="53"/>
    </row>
    <row r="1084" spans="1:33" s="46" customFormat="1">
      <c r="A1084" s="39">
        <v>41242</v>
      </c>
      <c r="B1084" s="9"/>
      <c r="C1084" s="15"/>
      <c r="D1084" s="41" t="s">
        <v>2654</v>
      </c>
      <c r="E1084" s="9" t="s">
        <v>22</v>
      </c>
      <c r="F1084" s="9" t="s">
        <v>479</v>
      </c>
      <c r="G1084" s="9"/>
      <c r="H1084" s="39"/>
      <c r="I1084" s="9"/>
      <c r="J1084" s="39"/>
      <c r="K1084" s="42"/>
      <c r="L1084" s="9" t="s">
        <v>2655</v>
      </c>
      <c r="M1084" s="16"/>
      <c r="AA1084" s="14">
        <f t="shared" si="34"/>
        <v>-861</v>
      </c>
      <c r="AB1084" s="47">
        <f t="shared" si="35"/>
        <v>-862</v>
      </c>
      <c r="AD1084" s="53"/>
      <c r="AE1084" s="53"/>
      <c r="AF1084" s="53"/>
      <c r="AG1084" s="53"/>
    </row>
    <row r="1085" spans="1:33" s="46" customFormat="1" ht="24">
      <c r="A1085" s="39">
        <v>41242</v>
      </c>
      <c r="B1085" s="9"/>
      <c r="C1085" s="15"/>
      <c r="D1085" s="41" t="s">
        <v>2656</v>
      </c>
      <c r="E1085" s="9" t="s">
        <v>22</v>
      </c>
      <c r="F1085" s="9" t="s">
        <v>479</v>
      </c>
      <c r="G1085" s="9"/>
      <c r="H1085" s="39"/>
      <c r="I1085" s="9"/>
      <c r="J1085" s="39"/>
      <c r="K1085" s="42"/>
      <c r="L1085" s="9" t="s">
        <v>2657</v>
      </c>
      <c r="M1085" s="16" t="s">
        <v>193</v>
      </c>
      <c r="AA1085" s="14">
        <f t="shared" si="34"/>
        <v>0</v>
      </c>
      <c r="AB1085" s="47">
        <f t="shared" si="35"/>
        <v>-1</v>
      </c>
      <c r="AD1085" s="53"/>
      <c r="AE1085" s="53"/>
      <c r="AF1085" s="53"/>
      <c r="AG1085" s="53"/>
    </row>
    <row r="1086" spans="1:33" s="46" customFormat="1">
      <c r="A1086" s="39">
        <v>41242</v>
      </c>
      <c r="B1086" s="9"/>
      <c r="C1086" s="15"/>
      <c r="D1086" s="41" t="s">
        <v>2658</v>
      </c>
      <c r="E1086" s="9" t="s">
        <v>2198</v>
      </c>
      <c r="F1086" s="9" t="s">
        <v>479</v>
      </c>
      <c r="G1086" s="9"/>
      <c r="H1086" s="39"/>
      <c r="I1086" s="9"/>
      <c r="J1086" s="39"/>
      <c r="K1086" s="42"/>
      <c r="L1086" s="9" t="s">
        <v>2659</v>
      </c>
      <c r="M1086" s="16"/>
      <c r="AA1086" s="14">
        <f t="shared" si="34"/>
        <v>0</v>
      </c>
      <c r="AB1086" s="47">
        <f t="shared" si="35"/>
        <v>-1</v>
      </c>
      <c r="AD1086" s="53"/>
      <c r="AE1086" s="53"/>
      <c r="AF1086" s="53"/>
      <c r="AG1086" s="53"/>
    </row>
    <row r="1087" spans="1:33" s="46" customFormat="1">
      <c r="A1087" s="39">
        <v>41242</v>
      </c>
      <c r="B1087" s="9" t="s">
        <v>2674</v>
      </c>
      <c r="C1087" s="15">
        <v>679</v>
      </c>
      <c r="D1087" s="41" t="s">
        <v>2675</v>
      </c>
      <c r="E1087" s="9" t="s">
        <v>484</v>
      </c>
      <c r="F1087" s="9" t="s">
        <v>479</v>
      </c>
      <c r="G1087" s="9"/>
      <c r="H1087" s="39"/>
      <c r="I1087" s="9"/>
      <c r="J1087" s="39"/>
      <c r="K1087" s="42"/>
      <c r="L1087" s="9" t="s">
        <v>2481</v>
      </c>
      <c r="M1087" s="16"/>
      <c r="AA1087" s="14">
        <f t="shared" si="34"/>
        <v>679</v>
      </c>
      <c r="AB1087" s="47">
        <f t="shared" si="35"/>
        <v>678</v>
      </c>
      <c r="AD1087" s="53"/>
      <c r="AE1087" s="53"/>
      <c r="AF1087" s="53"/>
      <c r="AG1087" s="53"/>
    </row>
    <row r="1088" spans="1:33" s="46" customFormat="1">
      <c r="A1088" s="39">
        <v>41236</v>
      </c>
      <c r="B1088" s="9" t="s">
        <v>2689</v>
      </c>
      <c r="C1088" s="15">
        <v>669</v>
      </c>
      <c r="D1088" s="41" t="s">
        <v>2691</v>
      </c>
      <c r="E1088" s="9" t="s">
        <v>1208</v>
      </c>
      <c r="F1088" s="9" t="s">
        <v>479</v>
      </c>
      <c r="G1088" s="9"/>
      <c r="H1088" s="39"/>
      <c r="I1088" s="9"/>
      <c r="J1088" s="39"/>
      <c r="K1088" s="42"/>
      <c r="L1088" s="9"/>
      <c r="M1088" s="16"/>
      <c r="AA1088" s="14">
        <f t="shared" si="34"/>
        <v>-10</v>
      </c>
      <c r="AB1088" s="47">
        <f t="shared" si="35"/>
        <v>-11</v>
      </c>
      <c r="AD1088" s="53"/>
      <c r="AE1088" s="53"/>
      <c r="AF1088" s="53"/>
      <c r="AG1088" s="53"/>
    </row>
    <row r="1089" spans="1:33" s="46" customFormat="1">
      <c r="A1089" s="39">
        <v>41243</v>
      </c>
      <c r="B1089" s="9" t="s">
        <v>2710</v>
      </c>
      <c r="C1089" s="15">
        <v>930</v>
      </c>
      <c r="D1089" s="41" t="s">
        <v>2711</v>
      </c>
      <c r="E1089" s="9" t="s">
        <v>118</v>
      </c>
      <c r="F1089" s="9" t="s">
        <v>479</v>
      </c>
      <c r="G1089" s="9"/>
      <c r="H1089" s="39"/>
      <c r="I1089" s="9"/>
      <c r="J1089" s="39"/>
      <c r="K1089" s="42"/>
      <c r="L1089" s="9" t="s">
        <v>429</v>
      </c>
      <c r="M1089" s="16"/>
      <c r="AA1089" s="14">
        <f t="shared" si="34"/>
        <v>261</v>
      </c>
      <c r="AB1089" s="47">
        <f t="shared" si="35"/>
        <v>260</v>
      </c>
      <c r="AD1089" s="53"/>
      <c r="AE1089" s="53"/>
      <c r="AF1089" s="53"/>
      <c r="AG1089" s="53"/>
    </row>
    <row r="1090" spans="1:33" s="46" customFormat="1">
      <c r="A1090" s="39">
        <v>41243</v>
      </c>
      <c r="B1090" s="9"/>
      <c r="C1090" s="15"/>
      <c r="D1090" s="41" t="s">
        <v>2712</v>
      </c>
      <c r="E1090" s="9" t="s">
        <v>51</v>
      </c>
      <c r="F1090" s="9" t="s">
        <v>935</v>
      </c>
      <c r="G1090" s="9"/>
      <c r="H1090" s="39"/>
      <c r="I1090" s="9"/>
      <c r="J1090" s="39"/>
      <c r="K1090" s="42"/>
      <c r="L1090" s="9"/>
      <c r="M1090" s="16"/>
      <c r="AA1090" s="14">
        <f t="shared" si="34"/>
        <v>-930</v>
      </c>
      <c r="AB1090" s="47">
        <f t="shared" si="35"/>
        <v>-931</v>
      </c>
      <c r="AD1090" s="53"/>
      <c r="AE1090" s="53"/>
      <c r="AF1090" s="53"/>
      <c r="AG1090" s="53"/>
    </row>
    <row r="1091" spans="1:33" s="46" customFormat="1">
      <c r="A1091" s="39">
        <v>41243</v>
      </c>
      <c r="B1091" s="9" t="s">
        <v>2753</v>
      </c>
      <c r="C1091" s="15">
        <v>949</v>
      </c>
      <c r="D1091" s="41" t="s">
        <v>2714</v>
      </c>
      <c r="E1091" s="9" t="s">
        <v>88</v>
      </c>
      <c r="F1091" s="9" t="s">
        <v>479</v>
      </c>
      <c r="G1091" s="9"/>
      <c r="H1091" s="39"/>
      <c r="I1091" s="9"/>
      <c r="J1091" s="39"/>
      <c r="K1091" s="42"/>
      <c r="L1091" s="9"/>
      <c r="M1091" s="16"/>
      <c r="AA1091" s="14">
        <f t="shared" si="34"/>
        <v>949</v>
      </c>
      <c r="AB1091" s="47">
        <f t="shared" si="35"/>
        <v>948</v>
      </c>
      <c r="AD1091" s="53"/>
      <c r="AE1091" s="53"/>
      <c r="AF1091" s="53"/>
      <c r="AG1091" s="53"/>
    </row>
    <row r="1092" spans="1:33" s="46" customFormat="1">
      <c r="A1092" s="39">
        <v>41243</v>
      </c>
      <c r="B1092" s="9"/>
      <c r="C1092" s="15"/>
      <c r="D1092" s="41" t="s">
        <v>2715</v>
      </c>
      <c r="E1092" s="9" t="s">
        <v>88</v>
      </c>
      <c r="F1092" s="9" t="s">
        <v>935</v>
      </c>
      <c r="G1092" s="9"/>
      <c r="H1092" s="39"/>
      <c r="I1092" s="9"/>
      <c r="J1092" s="39"/>
      <c r="K1092" s="42"/>
      <c r="L1092" s="9" t="s">
        <v>2716</v>
      </c>
      <c r="M1092" s="16"/>
      <c r="AA1092" s="14">
        <f t="shared" si="34"/>
        <v>-949</v>
      </c>
      <c r="AB1092" s="47">
        <f t="shared" si="35"/>
        <v>-950</v>
      </c>
      <c r="AD1092" s="53"/>
      <c r="AE1092" s="53"/>
      <c r="AF1092" s="53"/>
      <c r="AG1092" s="53"/>
    </row>
    <row r="1093" spans="1:33" s="46" customFormat="1">
      <c r="A1093" s="39">
        <v>41243</v>
      </c>
      <c r="B1093" s="9" t="s">
        <v>2752</v>
      </c>
      <c r="C1093" s="15">
        <v>948</v>
      </c>
      <c r="D1093" s="41" t="s">
        <v>2751</v>
      </c>
      <c r="E1093" s="9" t="s">
        <v>265</v>
      </c>
      <c r="F1093" s="9" t="s">
        <v>479</v>
      </c>
      <c r="G1093" s="9"/>
      <c r="H1093" s="39"/>
      <c r="I1093" s="9"/>
      <c r="J1093" s="39"/>
      <c r="K1093" s="42"/>
      <c r="L1093" s="9"/>
      <c r="M1093" s="16"/>
      <c r="AA1093" s="14">
        <f t="shared" si="34"/>
        <v>948</v>
      </c>
      <c r="AB1093" s="47">
        <f t="shared" si="35"/>
        <v>947</v>
      </c>
      <c r="AD1093" s="53"/>
      <c r="AE1093" s="53"/>
      <c r="AF1093" s="53"/>
      <c r="AG1093" s="53"/>
    </row>
    <row r="1094" spans="1:33" s="46" customFormat="1">
      <c r="A1094" s="39">
        <v>41243</v>
      </c>
      <c r="B1094" s="9"/>
      <c r="C1094" s="15"/>
      <c r="D1094" s="41" t="s">
        <v>2717</v>
      </c>
      <c r="E1094" s="9" t="s">
        <v>88</v>
      </c>
      <c r="F1094" s="9" t="s">
        <v>935</v>
      </c>
      <c r="G1094" s="9"/>
      <c r="H1094" s="39"/>
      <c r="I1094" s="9"/>
      <c r="J1094" s="39"/>
      <c r="K1094" s="42"/>
      <c r="L1094" s="9" t="s">
        <v>2718</v>
      </c>
      <c r="M1094" s="16"/>
      <c r="AA1094" s="14">
        <f t="shared" si="34"/>
        <v>-948</v>
      </c>
      <c r="AB1094" s="47">
        <f t="shared" si="35"/>
        <v>-949</v>
      </c>
      <c r="AD1094" s="53"/>
      <c r="AE1094" s="53"/>
      <c r="AF1094" s="53"/>
      <c r="AG1094" s="53"/>
    </row>
    <row r="1095" spans="1:33" s="46" customFormat="1">
      <c r="A1095" s="39">
        <v>41243</v>
      </c>
      <c r="B1095" s="9" t="s">
        <v>2750</v>
      </c>
      <c r="C1095" s="15">
        <v>946</v>
      </c>
      <c r="D1095" s="41" t="s">
        <v>2719</v>
      </c>
      <c r="E1095" s="9" t="s">
        <v>88</v>
      </c>
      <c r="F1095" s="9" t="s">
        <v>479</v>
      </c>
      <c r="G1095" s="9"/>
      <c r="H1095" s="39"/>
      <c r="I1095" s="9"/>
      <c r="J1095" s="39"/>
      <c r="K1095" s="42"/>
      <c r="L1095" s="9"/>
      <c r="M1095" s="16"/>
      <c r="AA1095" s="14">
        <f t="shared" si="34"/>
        <v>946</v>
      </c>
      <c r="AB1095" s="47">
        <f t="shared" si="35"/>
        <v>945</v>
      </c>
      <c r="AD1095" s="53"/>
      <c r="AE1095" s="53"/>
      <c r="AF1095" s="53"/>
      <c r="AG1095" s="53"/>
    </row>
    <row r="1096" spans="1:33" s="46" customFormat="1">
      <c r="A1096" s="39">
        <v>41243</v>
      </c>
      <c r="B1096" s="9"/>
      <c r="C1096" s="15"/>
      <c r="D1096" s="41" t="s">
        <v>2720</v>
      </c>
      <c r="E1096" s="9" t="s">
        <v>2198</v>
      </c>
      <c r="F1096" s="9" t="s">
        <v>935</v>
      </c>
      <c r="G1096" s="9"/>
      <c r="H1096" s="39"/>
      <c r="I1096" s="9"/>
      <c r="J1096" s="39"/>
      <c r="K1096" s="42"/>
      <c r="L1096" s="9" t="s">
        <v>2721</v>
      </c>
      <c r="M1096" s="16"/>
      <c r="AA1096" s="14">
        <f t="shared" si="34"/>
        <v>-946</v>
      </c>
      <c r="AB1096" s="47">
        <f t="shared" si="35"/>
        <v>-947</v>
      </c>
      <c r="AD1096" s="53"/>
      <c r="AE1096" s="53"/>
      <c r="AF1096" s="53"/>
      <c r="AG1096" s="53"/>
    </row>
    <row r="1097" spans="1:33" s="46" customFormat="1" ht="24">
      <c r="A1097" s="39">
        <v>41243</v>
      </c>
      <c r="B1097" s="9"/>
      <c r="C1097" s="15"/>
      <c r="D1097" s="41" t="s">
        <v>2722</v>
      </c>
      <c r="E1097" s="9" t="s">
        <v>2198</v>
      </c>
      <c r="F1097" s="9" t="s">
        <v>935</v>
      </c>
      <c r="G1097" s="9"/>
      <c r="H1097" s="39"/>
      <c r="I1097" s="9"/>
      <c r="J1097" s="39"/>
      <c r="K1097" s="42"/>
      <c r="L1097" s="9"/>
      <c r="M1097" s="16"/>
      <c r="AA1097" s="14">
        <f t="shared" si="34"/>
        <v>0</v>
      </c>
      <c r="AB1097" s="47">
        <f t="shared" si="35"/>
        <v>-1</v>
      </c>
      <c r="AD1097" s="53"/>
      <c r="AE1097" s="53"/>
      <c r="AF1097" s="53"/>
      <c r="AG1097" s="53"/>
    </row>
    <row r="1098" spans="1:33" s="46" customFormat="1" ht="24">
      <c r="A1098" s="39">
        <v>41243</v>
      </c>
      <c r="B1098" s="9"/>
      <c r="C1098" s="15"/>
      <c r="D1098" s="41" t="s">
        <v>2723</v>
      </c>
      <c r="E1098" s="9" t="s">
        <v>88</v>
      </c>
      <c r="F1098" s="9" t="s">
        <v>935</v>
      </c>
      <c r="G1098" s="9"/>
      <c r="H1098" s="39"/>
      <c r="I1098" s="9"/>
      <c r="J1098" s="39"/>
      <c r="K1098" s="42"/>
      <c r="L1098" s="9" t="s">
        <v>2724</v>
      </c>
      <c r="M1098" s="16"/>
      <c r="AA1098" s="14">
        <f t="shared" si="34"/>
        <v>0</v>
      </c>
      <c r="AB1098" s="47">
        <f t="shared" si="35"/>
        <v>-1</v>
      </c>
      <c r="AD1098" s="53"/>
      <c r="AE1098" s="53"/>
      <c r="AF1098" s="53"/>
      <c r="AG1098" s="53"/>
    </row>
    <row r="1099" spans="1:33" s="46" customFormat="1">
      <c r="A1099" s="39">
        <v>41244</v>
      </c>
      <c r="B1099" s="9" t="s">
        <v>2768</v>
      </c>
      <c r="C1099" s="15">
        <v>713</v>
      </c>
      <c r="D1099" s="41" t="s">
        <v>2769</v>
      </c>
      <c r="E1099" s="9" t="s">
        <v>77</v>
      </c>
      <c r="F1099" s="9" t="s">
        <v>479</v>
      </c>
      <c r="G1099" s="9"/>
      <c r="H1099" s="39"/>
      <c r="I1099" s="9"/>
      <c r="J1099" s="39"/>
      <c r="K1099" s="42"/>
      <c r="L1099" s="9"/>
      <c r="M1099" s="16"/>
      <c r="AA1099" s="14">
        <f t="shared" si="34"/>
        <v>713</v>
      </c>
      <c r="AB1099" s="47">
        <f t="shared" si="35"/>
        <v>712</v>
      </c>
      <c r="AD1099" s="53"/>
      <c r="AE1099" s="53"/>
      <c r="AF1099" s="53"/>
      <c r="AG1099" s="53"/>
    </row>
    <row r="1100" spans="1:33" s="46" customFormat="1">
      <c r="A1100" s="39">
        <v>41244</v>
      </c>
      <c r="B1100" s="9" t="s">
        <v>2833</v>
      </c>
      <c r="C1100" s="15">
        <v>761</v>
      </c>
      <c r="D1100" s="41" t="s">
        <v>1430</v>
      </c>
      <c r="E1100" s="9" t="s">
        <v>484</v>
      </c>
      <c r="F1100" s="9" t="s">
        <v>479</v>
      </c>
      <c r="G1100" s="9"/>
      <c r="H1100" s="39"/>
      <c r="I1100" s="9"/>
      <c r="J1100" s="39"/>
      <c r="K1100" s="42"/>
      <c r="L1100" s="9"/>
      <c r="M1100" s="16" t="s">
        <v>193</v>
      </c>
      <c r="AA1100" s="14">
        <f t="shared" si="34"/>
        <v>48</v>
      </c>
      <c r="AB1100" s="47">
        <f t="shared" si="35"/>
        <v>47</v>
      </c>
      <c r="AD1100" s="53"/>
      <c r="AE1100" s="53"/>
      <c r="AF1100" s="53"/>
      <c r="AG1100" s="53"/>
    </row>
    <row r="1101" spans="1:33" s="46" customFormat="1">
      <c r="A1101" s="39"/>
      <c r="B1101" s="9"/>
      <c r="C1101" s="15"/>
      <c r="D1101" s="41"/>
      <c r="E1101" s="9"/>
      <c r="F1101" s="9"/>
      <c r="G1101" s="9"/>
      <c r="H1101" s="39"/>
      <c r="I1101" s="9"/>
      <c r="J1101" s="39"/>
      <c r="K1101" s="42"/>
      <c r="L1101" s="9"/>
      <c r="M1101" s="16" t="s">
        <v>193</v>
      </c>
      <c r="AA1101" s="14">
        <f t="shared" si="34"/>
        <v>-761</v>
      </c>
      <c r="AB1101" s="47">
        <f t="shared" si="35"/>
        <v>-762</v>
      </c>
      <c r="AD1101" s="53"/>
      <c r="AE1101" s="53"/>
      <c r="AF1101" s="53"/>
      <c r="AG1101" s="53"/>
    </row>
    <row r="1102" spans="1:33" s="46" customFormat="1">
      <c r="A1102" s="39"/>
      <c r="B1102" s="9"/>
      <c r="C1102" s="15"/>
      <c r="D1102" s="41"/>
      <c r="E1102" s="9"/>
      <c r="F1102" s="9"/>
      <c r="G1102" s="9"/>
      <c r="H1102" s="39"/>
      <c r="I1102" s="9"/>
      <c r="J1102" s="39"/>
      <c r="K1102" s="42"/>
      <c r="L1102" s="9"/>
      <c r="M1102" s="16"/>
      <c r="AA1102" s="14">
        <f t="shared" si="34"/>
        <v>0</v>
      </c>
      <c r="AB1102" s="47">
        <f t="shared" si="35"/>
        <v>-1</v>
      </c>
      <c r="AD1102" s="53"/>
      <c r="AE1102" s="53"/>
      <c r="AF1102" s="53"/>
      <c r="AG1102" s="53"/>
    </row>
    <row r="1103" spans="1:33" s="46" customFormat="1">
      <c r="A1103" s="39"/>
      <c r="B1103" s="9"/>
      <c r="C1103" s="15"/>
      <c r="D1103" s="41"/>
      <c r="E1103" s="9"/>
      <c r="F1103" s="9"/>
      <c r="G1103" s="9"/>
      <c r="H1103" s="39"/>
      <c r="I1103" s="9"/>
      <c r="J1103" s="39"/>
      <c r="K1103" s="42"/>
      <c r="L1103" s="9"/>
      <c r="M1103" s="16"/>
      <c r="AA1103" s="14">
        <f t="shared" si="34"/>
        <v>0</v>
      </c>
      <c r="AB1103" s="47">
        <f t="shared" si="35"/>
        <v>-1</v>
      </c>
      <c r="AD1103" s="53"/>
      <c r="AE1103" s="53"/>
      <c r="AF1103" s="53"/>
      <c r="AG1103" s="53"/>
    </row>
    <row r="1104" spans="1:33" s="46" customFormat="1">
      <c r="A1104" s="39"/>
      <c r="B1104" s="9"/>
      <c r="C1104" s="15"/>
      <c r="D1104" s="41"/>
      <c r="E1104" s="9"/>
      <c r="F1104" s="9"/>
      <c r="G1104" s="9"/>
      <c r="H1104" s="39"/>
      <c r="I1104" s="9"/>
      <c r="J1104" s="39"/>
      <c r="K1104" s="42"/>
      <c r="L1104" s="9"/>
      <c r="M1104" s="16"/>
      <c r="AA1104" s="14">
        <f t="shared" si="34"/>
        <v>0</v>
      </c>
      <c r="AB1104" s="47">
        <f t="shared" si="35"/>
        <v>-1</v>
      </c>
      <c r="AD1104" s="53"/>
      <c r="AE1104" s="53"/>
      <c r="AF1104" s="53"/>
      <c r="AG1104" s="53"/>
    </row>
    <row r="1105" spans="1:33" s="46" customFormat="1">
      <c r="A1105" s="39"/>
      <c r="B1105" s="9"/>
      <c r="C1105" s="15"/>
      <c r="D1105" s="41"/>
      <c r="E1105" s="9"/>
      <c r="F1105" s="9"/>
      <c r="G1105" s="9"/>
      <c r="H1105" s="39"/>
      <c r="I1105" s="9"/>
      <c r="J1105" s="39"/>
      <c r="K1105" s="42"/>
      <c r="L1105" s="9"/>
      <c r="M1105" s="16"/>
      <c r="AA1105" s="14">
        <f t="shared" si="34"/>
        <v>0</v>
      </c>
      <c r="AB1105" s="47">
        <f t="shared" si="35"/>
        <v>-1</v>
      </c>
      <c r="AD1105" s="53"/>
      <c r="AE1105" s="53"/>
      <c r="AF1105" s="53"/>
      <c r="AG1105" s="53"/>
    </row>
    <row r="1106" spans="1:33" s="46" customFormat="1">
      <c r="A1106" s="39"/>
      <c r="B1106" s="9"/>
      <c r="C1106" s="15"/>
      <c r="D1106" s="41"/>
      <c r="E1106" s="9"/>
      <c r="F1106" s="9"/>
      <c r="G1106" s="9"/>
      <c r="H1106" s="39"/>
      <c r="I1106" s="9"/>
      <c r="J1106" s="39"/>
      <c r="K1106" s="42"/>
      <c r="L1106" s="9"/>
      <c r="M1106" s="16"/>
      <c r="AA1106" s="14">
        <f t="shared" si="34"/>
        <v>0</v>
      </c>
      <c r="AB1106" s="47">
        <f t="shared" si="35"/>
        <v>-1</v>
      </c>
      <c r="AD1106" s="53"/>
      <c r="AE1106" s="53"/>
      <c r="AF1106" s="53"/>
      <c r="AG1106" s="53"/>
    </row>
    <row r="1107" spans="1:33" s="46" customFormat="1">
      <c r="A1107" s="39"/>
      <c r="B1107" s="9"/>
      <c r="C1107" s="15"/>
      <c r="D1107" s="41"/>
      <c r="E1107" s="9"/>
      <c r="F1107" s="9"/>
      <c r="G1107" s="9"/>
      <c r="H1107" s="39"/>
      <c r="I1107" s="9"/>
      <c r="J1107" s="39"/>
      <c r="K1107" s="42"/>
      <c r="L1107" s="9"/>
      <c r="M1107" s="16"/>
      <c r="AA1107" s="14">
        <f t="shared" si="34"/>
        <v>0</v>
      </c>
      <c r="AB1107" s="47">
        <f t="shared" si="35"/>
        <v>-1</v>
      </c>
      <c r="AD1107" s="53"/>
      <c r="AE1107" s="53"/>
      <c r="AF1107" s="53"/>
      <c r="AG1107" s="53"/>
    </row>
    <row r="1108" spans="1:33" s="46" customFormat="1">
      <c r="A1108" s="39"/>
      <c r="B1108" s="9"/>
      <c r="C1108" s="15"/>
      <c r="D1108" s="41"/>
      <c r="E1108" s="9"/>
      <c r="F1108" s="9"/>
      <c r="G1108" s="9"/>
      <c r="H1108" s="39"/>
      <c r="I1108" s="9"/>
      <c r="J1108" s="39"/>
      <c r="K1108" s="42"/>
      <c r="L1108" s="9"/>
      <c r="M1108" s="16"/>
      <c r="AA1108" s="14">
        <f t="shared" si="34"/>
        <v>0</v>
      </c>
      <c r="AB1108" s="47">
        <f t="shared" si="35"/>
        <v>-1</v>
      </c>
      <c r="AD1108" s="53"/>
      <c r="AE1108" s="53"/>
      <c r="AF1108" s="53"/>
      <c r="AG1108" s="53"/>
    </row>
    <row r="1109" spans="1:33" s="46" customFormat="1">
      <c r="A1109" s="39"/>
      <c r="B1109" s="9"/>
      <c r="C1109" s="15"/>
      <c r="D1109" s="41"/>
      <c r="E1109" s="9"/>
      <c r="F1109" s="9"/>
      <c r="G1109" s="9"/>
      <c r="H1109" s="39"/>
      <c r="I1109" s="9"/>
      <c r="J1109" s="39"/>
      <c r="K1109" s="42"/>
      <c r="L1109" s="9"/>
      <c r="M1109" s="16"/>
      <c r="AA1109" s="14">
        <f t="shared" si="34"/>
        <v>0</v>
      </c>
      <c r="AB1109" s="47">
        <f t="shared" si="35"/>
        <v>-1</v>
      </c>
      <c r="AD1109" s="53"/>
      <c r="AE1109" s="53"/>
      <c r="AF1109" s="53"/>
      <c r="AG1109" s="53"/>
    </row>
    <row r="1110" spans="1:33" s="46" customFormat="1">
      <c r="A1110" s="39"/>
      <c r="B1110" s="9"/>
      <c r="C1110" s="15"/>
      <c r="D1110" s="41"/>
      <c r="E1110" s="9"/>
      <c r="F1110" s="9"/>
      <c r="G1110" s="9"/>
      <c r="H1110" s="39"/>
      <c r="I1110" s="9"/>
      <c r="J1110" s="39"/>
      <c r="K1110" s="42"/>
      <c r="L1110" s="9"/>
      <c r="M1110" s="16"/>
      <c r="AA1110" s="14">
        <f t="shared" si="34"/>
        <v>0</v>
      </c>
      <c r="AB1110" s="47">
        <f t="shared" si="35"/>
        <v>-1</v>
      </c>
      <c r="AD1110" s="53"/>
      <c r="AE1110" s="53"/>
      <c r="AF1110" s="53"/>
      <c r="AG1110" s="53"/>
    </row>
    <row r="1111" spans="1:33" s="46" customFormat="1">
      <c r="A1111" s="39"/>
      <c r="B1111" s="9"/>
      <c r="C1111" s="15"/>
      <c r="D1111" s="41"/>
      <c r="E1111" s="9"/>
      <c r="F1111" s="9"/>
      <c r="G1111" s="9"/>
      <c r="H1111" s="39"/>
      <c r="I1111" s="9"/>
      <c r="J1111" s="39"/>
      <c r="K1111" s="42"/>
      <c r="L1111" s="9"/>
      <c r="M1111" s="16"/>
      <c r="AA1111" s="14">
        <f t="shared" si="34"/>
        <v>0</v>
      </c>
      <c r="AB1111" s="47">
        <f t="shared" si="35"/>
        <v>-1</v>
      </c>
      <c r="AD1111" s="53"/>
      <c r="AE1111" s="53"/>
      <c r="AF1111" s="53"/>
      <c r="AG1111" s="53"/>
    </row>
    <row r="1112" spans="1:33" s="46" customFormat="1">
      <c r="A1112" s="39"/>
      <c r="B1112" s="9"/>
      <c r="C1112" s="15"/>
      <c r="D1112" s="41"/>
      <c r="E1112" s="9"/>
      <c r="F1112" s="9"/>
      <c r="G1112" s="9"/>
      <c r="H1112" s="39"/>
      <c r="I1112" s="9"/>
      <c r="J1112" s="39"/>
      <c r="K1112" s="42"/>
      <c r="L1112" s="9"/>
      <c r="M1112" s="16" t="s">
        <v>193</v>
      </c>
      <c r="AA1112" s="14">
        <f t="shared" si="34"/>
        <v>0</v>
      </c>
      <c r="AB1112" s="47">
        <f t="shared" si="35"/>
        <v>-1</v>
      </c>
      <c r="AD1112" s="53"/>
      <c r="AE1112" s="53"/>
      <c r="AF1112" s="53"/>
      <c r="AG1112" s="53"/>
    </row>
    <row r="1113" spans="1:33" s="46" customFormat="1">
      <c r="A1113" s="39"/>
      <c r="B1113" s="9"/>
      <c r="C1113" s="15"/>
      <c r="D1113" s="41"/>
      <c r="E1113" s="9"/>
      <c r="F1113" s="9"/>
      <c r="G1113" s="9"/>
      <c r="H1113" s="39"/>
      <c r="I1113" s="9"/>
      <c r="J1113" s="39"/>
      <c r="K1113" s="42"/>
      <c r="L1113" s="9"/>
      <c r="M1113" s="16"/>
      <c r="AA1113" s="14">
        <f t="shared" si="34"/>
        <v>0</v>
      </c>
      <c r="AB1113" s="47">
        <f t="shared" si="35"/>
        <v>-1</v>
      </c>
      <c r="AD1113" s="53"/>
      <c r="AE1113" s="53"/>
      <c r="AF1113" s="53"/>
      <c r="AG1113" s="53"/>
    </row>
    <row r="1114" spans="1:33" s="46" customFormat="1">
      <c r="A1114" s="39"/>
      <c r="B1114" s="9"/>
      <c r="C1114" s="15"/>
      <c r="D1114" s="41"/>
      <c r="E1114" s="9"/>
      <c r="F1114" s="9"/>
      <c r="G1114" s="9"/>
      <c r="H1114" s="39"/>
      <c r="I1114" s="9"/>
      <c r="J1114" s="39"/>
      <c r="K1114" s="42"/>
      <c r="L1114" s="9"/>
      <c r="M1114" s="16"/>
      <c r="AA1114" s="14">
        <f t="shared" si="34"/>
        <v>0</v>
      </c>
      <c r="AB1114" s="47">
        <f t="shared" si="35"/>
        <v>-1</v>
      </c>
      <c r="AD1114" s="53"/>
      <c r="AE1114" s="53"/>
      <c r="AF1114" s="53"/>
      <c r="AG1114" s="53"/>
    </row>
    <row r="1115" spans="1:33" s="46" customFormat="1">
      <c r="A1115" s="39"/>
      <c r="B1115" s="9"/>
      <c r="C1115" s="15"/>
      <c r="D1115" s="41"/>
      <c r="E1115" s="9"/>
      <c r="F1115" s="9"/>
      <c r="G1115" s="9"/>
      <c r="H1115" s="39"/>
      <c r="I1115" s="9"/>
      <c r="J1115" s="39"/>
      <c r="K1115" s="42"/>
      <c r="L1115" s="9"/>
      <c r="M1115" s="16"/>
      <c r="AA1115" s="14">
        <f t="shared" si="34"/>
        <v>0</v>
      </c>
      <c r="AB1115" s="47">
        <f t="shared" si="35"/>
        <v>-1</v>
      </c>
      <c r="AD1115" s="53"/>
      <c r="AE1115" s="53"/>
      <c r="AF1115" s="53"/>
      <c r="AG1115" s="53"/>
    </row>
    <row r="1116" spans="1:33" s="46" customFormat="1">
      <c r="A1116" s="39"/>
      <c r="B1116" s="9"/>
      <c r="C1116" s="15"/>
      <c r="D1116" s="41"/>
      <c r="E1116" s="9"/>
      <c r="F1116" s="9"/>
      <c r="G1116" s="9"/>
      <c r="H1116" s="39"/>
      <c r="I1116" s="9"/>
      <c r="J1116" s="39"/>
      <c r="K1116" s="42"/>
      <c r="L1116" s="9"/>
      <c r="M1116" s="16"/>
      <c r="AA1116" s="14">
        <f t="shared" si="34"/>
        <v>0</v>
      </c>
      <c r="AB1116" s="47">
        <f t="shared" si="35"/>
        <v>-1</v>
      </c>
      <c r="AD1116" s="53"/>
      <c r="AE1116" s="53"/>
      <c r="AF1116" s="53"/>
      <c r="AG1116" s="53"/>
    </row>
    <row r="1117" spans="1:33" s="46" customFormat="1">
      <c r="A1117" s="39"/>
      <c r="B1117" s="9"/>
      <c r="C1117" s="15"/>
      <c r="D1117" s="41"/>
      <c r="E1117" s="9"/>
      <c r="F1117" s="9"/>
      <c r="G1117" s="9"/>
      <c r="H1117" s="39"/>
      <c r="I1117" s="9"/>
      <c r="J1117" s="39"/>
      <c r="K1117" s="42"/>
      <c r="L1117" s="9"/>
      <c r="M1117" s="16"/>
      <c r="AA1117" s="14">
        <f t="shared" si="34"/>
        <v>0</v>
      </c>
      <c r="AB1117" s="47">
        <f t="shared" si="35"/>
        <v>-1</v>
      </c>
      <c r="AD1117" s="53"/>
      <c r="AE1117" s="53"/>
      <c r="AF1117" s="53"/>
      <c r="AG1117" s="53"/>
    </row>
    <row r="1118" spans="1:33" s="46" customFormat="1">
      <c r="A1118" s="39"/>
      <c r="B1118" s="9"/>
      <c r="C1118" s="15"/>
      <c r="D1118" s="41"/>
      <c r="E1118" s="9"/>
      <c r="F1118" s="9"/>
      <c r="G1118" s="9"/>
      <c r="H1118" s="39"/>
      <c r="I1118" s="9"/>
      <c r="J1118" s="39"/>
      <c r="K1118" s="42"/>
      <c r="L1118" s="9"/>
      <c r="M1118" s="16"/>
      <c r="AA1118" s="14">
        <f t="shared" si="34"/>
        <v>0</v>
      </c>
      <c r="AB1118" s="47">
        <f t="shared" si="35"/>
        <v>-1</v>
      </c>
      <c r="AD1118" s="53"/>
      <c r="AE1118" s="53"/>
      <c r="AF1118" s="53"/>
      <c r="AG1118" s="53"/>
    </row>
    <row r="1119" spans="1:33" s="46" customFormat="1">
      <c r="A1119" s="39"/>
      <c r="B1119" s="9"/>
      <c r="C1119" s="15"/>
      <c r="D1119" s="41"/>
      <c r="E1119" s="9"/>
      <c r="F1119" s="9"/>
      <c r="G1119" s="9"/>
      <c r="H1119" s="39"/>
      <c r="I1119" s="9"/>
      <c r="J1119" s="39"/>
      <c r="K1119" s="42"/>
      <c r="L1119" s="9"/>
      <c r="M1119" s="16"/>
      <c r="AA1119" s="14">
        <f t="shared" si="34"/>
        <v>0</v>
      </c>
      <c r="AB1119" s="47">
        <f t="shared" si="35"/>
        <v>-1</v>
      </c>
      <c r="AD1119" s="53"/>
      <c r="AE1119" s="53"/>
      <c r="AF1119" s="53"/>
      <c r="AG1119" s="53"/>
    </row>
    <row r="1120" spans="1:33" s="46" customFormat="1">
      <c r="A1120" s="39"/>
      <c r="B1120" s="9"/>
      <c r="C1120" s="15"/>
      <c r="D1120" s="41"/>
      <c r="E1120" s="9"/>
      <c r="F1120" s="9"/>
      <c r="G1120" s="9"/>
      <c r="H1120" s="39"/>
      <c r="I1120" s="9"/>
      <c r="J1120" s="39"/>
      <c r="K1120" s="42"/>
      <c r="L1120" s="9"/>
      <c r="M1120" s="16"/>
      <c r="AA1120" s="14">
        <f t="shared" si="34"/>
        <v>0</v>
      </c>
      <c r="AB1120" s="47">
        <f t="shared" si="35"/>
        <v>-1</v>
      </c>
      <c r="AD1120" s="53"/>
      <c r="AE1120" s="53"/>
      <c r="AF1120" s="53"/>
      <c r="AG1120" s="53"/>
    </row>
    <row r="1121" spans="1:33" s="46" customFormat="1">
      <c r="A1121" s="39"/>
      <c r="B1121" s="9"/>
      <c r="C1121" s="15"/>
      <c r="D1121" s="41"/>
      <c r="E1121" s="9"/>
      <c r="F1121" s="9"/>
      <c r="G1121" s="9"/>
      <c r="H1121" s="39"/>
      <c r="I1121" s="9"/>
      <c r="J1121" s="39"/>
      <c r="K1121" s="42"/>
      <c r="L1121" s="9"/>
      <c r="M1121" s="16"/>
      <c r="AA1121" s="14">
        <f t="shared" si="34"/>
        <v>0</v>
      </c>
      <c r="AB1121" s="47">
        <f t="shared" si="35"/>
        <v>-1</v>
      </c>
      <c r="AD1121" s="53"/>
      <c r="AE1121" s="53"/>
      <c r="AF1121" s="53"/>
      <c r="AG1121" s="53"/>
    </row>
    <row r="1122" spans="1:33" s="46" customFormat="1">
      <c r="A1122" s="39"/>
      <c r="B1122" s="9"/>
      <c r="C1122" s="15"/>
      <c r="D1122" s="41"/>
      <c r="E1122" s="9"/>
      <c r="F1122" s="9"/>
      <c r="G1122" s="9"/>
      <c r="H1122" s="39"/>
      <c r="I1122" s="9"/>
      <c r="J1122" s="39"/>
      <c r="K1122" s="42"/>
      <c r="L1122" s="9"/>
      <c r="M1122" s="16"/>
      <c r="AA1122" s="14">
        <f t="shared" si="34"/>
        <v>0</v>
      </c>
      <c r="AB1122" s="47">
        <f t="shared" si="35"/>
        <v>-1</v>
      </c>
      <c r="AD1122" s="53"/>
      <c r="AE1122" s="53"/>
      <c r="AF1122" s="53"/>
      <c r="AG1122" s="53"/>
    </row>
    <row r="1123" spans="1:33" s="46" customFormat="1">
      <c r="A1123" s="39"/>
      <c r="B1123" s="9"/>
      <c r="C1123" s="15"/>
      <c r="D1123" s="41"/>
      <c r="E1123" s="9"/>
      <c r="F1123" s="9"/>
      <c r="G1123" s="9"/>
      <c r="H1123" s="39"/>
      <c r="I1123" s="9"/>
      <c r="J1123" s="39"/>
      <c r="K1123" s="42"/>
      <c r="L1123" s="9"/>
      <c r="M1123" s="16"/>
      <c r="AA1123" s="14">
        <f t="shared" si="34"/>
        <v>0</v>
      </c>
      <c r="AB1123" s="47">
        <f t="shared" si="35"/>
        <v>-1</v>
      </c>
      <c r="AD1123" s="53"/>
      <c r="AE1123" s="53"/>
      <c r="AF1123" s="53"/>
      <c r="AG1123" s="53"/>
    </row>
    <row r="1124" spans="1:33" s="46" customFormat="1">
      <c r="A1124" s="39"/>
      <c r="B1124" s="9"/>
      <c r="C1124" s="15"/>
      <c r="D1124" s="41"/>
      <c r="E1124" s="9"/>
      <c r="F1124" s="9"/>
      <c r="G1124" s="9"/>
      <c r="H1124" s="39"/>
      <c r="I1124" s="9"/>
      <c r="J1124" s="39"/>
      <c r="K1124" s="42"/>
      <c r="L1124" s="9"/>
      <c r="M1124" s="16" t="s">
        <v>196</v>
      </c>
      <c r="AA1124" s="14">
        <f t="shared" si="34"/>
        <v>0</v>
      </c>
      <c r="AB1124" s="47">
        <f t="shared" si="35"/>
        <v>-1</v>
      </c>
      <c r="AD1124" s="53"/>
      <c r="AE1124" s="53"/>
      <c r="AF1124" s="53"/>
      <c r="AG1124" s="53"/>
    </row>
    <row r="1125" spans="1:33" s="46" customFormat="1">
      <c r="A1125" s="39"/>
      <c r="B1125" s="9"/>
      <c r="C1125" s="15"/>
      <c r="D1125" s="41"/>
      <c r="E1125" s="9"/>
      <c r="F1125" s="9"/>
      <c r="G1125" s="9"/>
      <c r="H1125" s="39"/>
      <c r="I1125" s="9"/>
      <c r="J1125" s="39"/>
      <c r="K1125" s="42"/>
      <c r="L1125" s="9"/>
      <c r="M1125" s="16"/>
      <c r="AA1125" s="14">
        <f t="shared" si="34"/>
        <v>0</v>
      </c>
      <c r="AB1125" s="47">
        <f t="shared" si="35"/>
        <v>-1</v>
      </c>
      <c r="AD1125" s="53"/>
      <c r="AE1125" s="53"/>
      <c r="AF1125" s="53"/>
      <c r="AG1125" s="53"/>
    </row>
    <row r="1126" spans="1:33" s="46" customFormat="1">
      <c r="A1126" s="39"/>
      <c r="B1126" s="9"/>
      <c r="C1126" s="15"/>
      <c r="D1126" s="41"/>
      <c r="E1126" s="9"/>
      <c r="F1126" s="9"/>
      <c r="G1126" s="9"/>
      <c r="H1126" s="39"/>
      <c r="I1126" s="9"/>
      <c r="J1126" s="39"/>
      <c r="K1126" s="42"/>
      <c r="L1126" s="9"/>
      <c r="M1126" s="16"/>
      <c r="AA1126" s="14">
        <f t="shared" si="34"/>
        <v>0</v>
      </c>
      <c r="AB1126" s="47">
        <f t="shared" si="35"/>
        <v>-1</v>
      </c>
      <c r="AD1126" s="53"/>
      <c r="AE1126" s="53"/>
      <c r="AF1126" s="53"/>
      <c r="AG1126" s="53"/>
    </row>
    <row r="1127" spans="1:33" s="46" customFormat="1">
      <c r="A1127" s="39"/>
      <c r="B1127" s="9"/>
      <c r="C1127" s="15"/>
      <c r="D1127" s="41"/>
      <c r="E1127" s="9"/>
      <c r="F1127" s="9"/>
      <c r="G1127" s="9"/>
      <c r="H1127" s="39"/>
      <c r="I1127" s="9"/>
      <c r="J1127" s="39"/>
      <c r="K1127" s="42"/>
      <c r="L1127" s="9"/>
      <c r="M1127" s="16"/>
      <c r="AA1127" s="14">
        <f t="shared" si="34"/>
        <v>0</v>
      </c>
      <c r="AB1127" s="47">
        <f t="shared" si="35"/>
        <v>-1</v>
      </c>
      <c r="AD1127" s="53"/>
      <c r="AE1127" s="53"/>
      <c r="AF1127" s="53"/>
      <c r="AG1127" s="53"/>
    </row>
    <row r="1128" spans="1:33" s="46" customFormat="1">
      <c r="A1128" s="39"/>
      <c r="B1128" s="9"/>
      <c r="C1128" s="15"/>
      <c r="D1128" s="41"/>
      <c r="E1128" s="9"/>
      <c r="F1128" s="9"/>
      <c r="G1128" s="9"/>
      <c r="H1128" s="39"/>
      <c r="I1128" s="9"/>
      <c r="J1128" s="39"/>
      <c r="K1128" s="42"/>
      <c r="L1128" s="9"/>
      <c r="M1128" s="16"/>
      <c r="AA1128" s="14">
        <f t="shared" ref="AA1128:AA1191" si="36">C1128-C1127</f>
        <v>0</v>
      </c>
      <c r="AB1128" s="47">
        <f t="shared" ref="AB1128:AB1191" si="37">AA1128-1</f>
        <v>-1</v>
      </c>
      <c r="AD1128" s="53"/>
      <c r="AE1128" s="53"/>
      <c r="AF1128" s="53"/>
      <c r="AG1128" s="53"/>
    </row>
    <row r="1129" spans="1:33" s="46" customFormat="1">
      <c r="A1129" s="39"/>
      <c r="B1129" s="9"/>
      <c r="C1129" s="15"/>
      <c r="D1129" s="41"/>
      <c r="E1129" s="9"/>
      <c r="F1129" s="9"/>
      <c r="G1129" s="9"/>
      <c r="H1129" s="39"/>
      <c r="I1129" s="9"/>
      <c r="J1129" s="39"/>
      <c r="K1129" s="42"/>
      <c r="L1129" s="9"/>
      <c r="M1129" s="16"/>
      <c r="AA1129" s="14">
        <f t="shared" si="36"/>
        <v>0</v>
      </c>
      <c r="AB1129" s="47">
        <f t="shared" si="37"/>
        <v>-1</v>
      </c>
      <c r="AD1129" s="53"/>
      <c r="AE1129" s="53"/>
      <c r="AF1129" s="53"/>
      <c r="AG1129" s="53"/>
    </row>
    <row r="1130" spans="1:33" s="46" customFormat="1">
      <c r="A1130" s="39"/>
      <c r="B1130" s="9"/>
      <c r="C1130" s="15"/>
      <c r="D1130" s="41"/>
      <c r="E1130" s="9"/>
      <c r="F1130" s="9"/>
      <c r="G1130" s="9"/>
      <c r="H1130" s="39"/>
      <c r="I1130" s="9"/>
      <c r="J1130" s="39"/>
      <c r="K1130" s="42"/>
      <c r="L1130" s="9"/>
      <c r="M1130" s="16"/>
      <c r="AA1130" s="14">
        <f t="shared" si="36"/>
        <v>0</v>
      </c>
      <c r="AB1130" s="47">
        <f t="shared" si="37"/>
        <v>-1</v>
      </c>
      <c r="AD1130" s="53"/>
      <c r="AE1130" s="53"/>
      <c r="AF1130" s="53"/>
      <c r="AG1130" s="53"/>
    </row>
    <row r="1131" spans="1:33" s="46" customFormat="1">
      <c r="A1131" s="39"/>
      <c r="B1131" s="9"/>
      <c r="C1131" s="15"/>
      <c r="D1131" s="41"/>
      <c r="E1131" s="9"/>
      <c r="F1131" s="9"/>
      <c r="G1131" s="9"/>
      <c r="H1131" s="39"/>
      <c r="I1131" s="9"/>
      <c r="J1131" s="39"/>
      <c r="K1131" s="42"/>
      <c r="L1131" s="9"/>
      <c r="M1131" s="16"/>
      <c r="AA1131" s="14">
        <f t="shared" si="36"/>
        <v>0</v>
      </c>
      <c r="AB1131" s="47">
        <f t="shared" si="37"/>
        <v>-1</v>
      </c>
      <c r="AD1131" s="53"/>
      <c r="AE1131" s="53"/>
      <c r="AF1131" s="53"/>
      <c r="AG1131" s="53"/>
    </row>
    <row r="1132" spans="1:33" s="46" customFormat="1">
      <c r="A1132" s="39"/>
      <c r="B1132" s="9"/>
      <c r="C1132" s="15"/>
      <c r="D1132" s="41"/>
      <c r="E1132" s="9"/>
      <c r="F1132" s="9"/>
      <c r="G1132" s="9"/>
      <c r="H1132" s="39"/>
      <c r="I1132" s="9"/>
      <c r="J1132" s="39"/>
      <c r="K1132" s="42"/>
      <c r="L1132" s="9"/>
      <c r="M1132" s="16"/>
      <c r="AA1132" s="14">
        <f t="shared" si="36"/>
        <v>0</v>
      </c>
      <c r="AB1132" s="47">
        <f t="shared" si="37"/>
        <v>-1</v>
      </c>
      <c r="AD1132" s="53"/>
      <c r="AE1132" s="53"/>
      <c r="AF1132" s="53"/>
      <c r="AG1132" s="53"/>
    </row>
    <row r="1133" spans="1:33" s="46" customFormat="1">
      <c r="A1133" s="39"/>
      <c r="B1133" s="9"/>
      <c r="C1133" s="15"/>
      <c r="D1133" s="41"/>
      <c r="E1133" s="9"/>
      <c r="F1133" s="9"/>
      <c r="G1133" s="9"/>
      <c r="H1133" s="39"/>
      <c r="I1133" s="9"/>
      <c r="J1133" s="39"/>
      <c r="K1133" s="42"/>
      <c r="L1133" s="9"/>
      <c r="M1133" s="16"/>
      <c r="AA1133" s="14">
        <f t="shared" si="36"/>
        <v>0</v>
      </c>
      <c r="AB1133" s="47">
        <f t="shared" si="37"/>
        <v>-1</v>
      </c>
      <c r="AD1133" s="53"/>
      <c r="AE1133" s="53"/>
      <c r="AF1133" s="53"/>
      <c r="AG1133" s="53"/>
    </row>
    <row r="1134" spans="1:33" s="46" customFormat="1">
      <c r="A1134" s="39"/>
      <c r="B1134" s="9"/>
      <c r="C1134" s="15"/>
      <c r="D1134" s="41"/>
      <c r="E1134" s="9"/>
      <c r="F1134" s="9"/>
      <c r="G1134" s="9"/>
      <c r="H1134" s="39"/>
      <c r="I1134" s="9"/>
      <c r="J1134" s="39"/>
      <c r="K1134" s="42"/>
      <c r="L1134" s="9"/>
      <c r="M1134" s="16" t="s">
        <v>71</v>
      </c>
      <c r="AA1134" s="14">
        <f t="shared" si="36"/>
        <v>0</v>
      </c>
      <c r="AB1134" s="47">
        <f t="shared" si="37"/>
        <v>-1</v>
      </c>
      <c r="AD1134" s="53"/>
      <c r="AE1134" s="53"/>
      <c r="AF1134" s="53"/>
      <c r="AG1134" s="53"/>
    </row>
    <row r="1135" spans="1:33" s="46" customFormat="1">
      <c r="A1135" s="39"/>
      <c r="B1135" s="9"/>
      <c r="C1135" s="15"/>
      <c r="D1135" s="41"/>
      <c r="E1135" s="9"/>
      <c r="F1135" s="9"/>
      <c r="G1135" s="9"/>
      <c r="H1135" s="39"/>
      <c r="I1135" s="9"/>
      <c r="J1135" s="39"/>
      <c r="K1135" s="42"/>
      <c r="L1135" s="9"/>
      <c r="M1135" s="16"/>
      <c r="AA1135" s="14">
        <f t="shared" si="36"/>
        <v>0</v>
      </c>
      <c r="AB1135" s="47">
        <f t="shared" si="37"/>
        <v>-1</v>
      </c>
      <c r="AD1135" s="53"/>
      <c r="AE1135" s="53"/>
      <c r="AF1135" s="53"/>
      <c r="AG1135" s="53"/>
    </row>
    <row r="1136" spans="1:33" s="46" customFormat="1">
      <c r="A1136" s="39"/>
      <c r="B1136" s="9"/>
      <c r="C1136" s="15"/>
      <c r="D1136" s="41"/>
      <c r="E1136" s="9"/>
      <c r="F1136" s="9"/>
      <c r="G1136" s="9"/>
      <c r="H1136" s="39"/>
      <c r="I1136" s="9"/>
      <c r="J1136" s="39"/>
      <c r="K1136" s="42"/>
      <c r="L1136" s="9"/>
      <c r="M1136" s="16"/>
      <c r="AA1136" s="14">
        <f t="shared" si="36"/>
        <v>0</v>
      </c>
      <c r="AB1136" s="47">
        <f t="shared" si="37"/>
        <v>-1</v>
      </c>
      <c r="AD1136" s="53"/>
      <c r="AE1136" s="53"/>
      <c r="AF1136" s="53"/>
      <c r="AG1136" s="53"/>
    </row>
    <row r="1137" spans="1:33" s="46" customFormat="1">
      <c r="A1137" s="39"/>
      <c r="B1137" s="9"/>
      <c r="C1137" s="15"/>
      <c r="D1137" s="41"/>
      <c r="E1137" s="9"/>
      <c r="F1137" s="9"/>
      <c r="G1137" s="9"/>
      <c r="H1137" s="39"/>
      <c r="I1137" s="9"/>
      <c r="J1137" s="39"/>
      <c r="K1137" s="42"/>
      <c r="L1137" s="9"/>
      <c r="M1137" s="16"/>
      <c r="AA1137" s="14">
        <f t="shared" si="36"/>
        <v>0</v>
      </c>
      <c r="AB1137" s="47">
        <f t="shared" si="37"/>
        <v>-1</v>
      </c>
      <c r="AD1137" s="53"/>
      <c r="AE1137" s="53"/>
      <c r="AF1137" s="53"/>
      <c r="AG1137" s="53"/>
    </row>
    <row r="1138" spans="1:33" s="46" customFormat="1">
      <c r="A1138" s="39"/>
      <c r="B1138" s="9"/>
      <c r="C1138" s="15"/>
      <c r="D1138" s="41"/>
      <c r="E1138" s="9"/>
      <c r="F1138" s="9"/>
      <c r="G1138" s="9"/>
      <c r="H1138" s="39"/>
      <c r="I1138" s="9"/>
      <c r="J1138" s="39"/>
      <c r="K1138" s="42"/>
      <c r="L1138" s="9"/>
      <c r="M1138" s="16"/>
      <c r="AA1138" s="14">
        <f t="shared" si="36"/>
        <v>0</v>
      </c>
      <c r="AB1138" s="47">
        <f t="shared" si="37"/>
        <v>-1</v>
      </c>
      <c r="AD1138" s="53"/>
      <c r="AE1138" s="53"/>
      <c r="AF1138" s="53"/>
      <c r="AG1138" s="53"/>
    </row>
    <row r="1139" spans="1:33" s="46" customFormat="1">
      <c r="A1139" s="39"/>
      <c r="B1139" s="9"/>
      <c r="C1139" s="15"/>
      <c r="D1139" s="41"/>
      <c r="E1139" s="9"/>
      <c r="F1139" s="9"/>
      <c r="G1139" s="9"/>
      <c r="H1139" s="39"/>
      <c r="I1139" s="9"/>
      <c r="J1139" s="39"/>
      <c r="K1139" s="42"/>
      <c r="L1139" s="9"/>
      <c r="M1139" s="16"/>
      <c r="AA1139" s="14">
        <f t="shared" si="36"/>
        <v>0</v>
      </c>
      <c r="AB1139" s="47">
        <f t="shared" si="37"/>
        <v>-1</v>
      </c>
      <c r="AD1139" s="53"/>
      <c r="AE1139" s="53"/>
      <c r="AF1139" s="53"/>
      <c r="AG1139" s="53"/>
    </row>
    <row r="1140" spans="1:33" s="46" customFormat="1">
      <c r="A1140" s="39"/>
      <c r="B1140" s="9"/>
      <c r="C1140" s="15"/>
      <c r="D1140" s="41"/>
      <c r="E1140" s="9"/>
      <c r="F1140" s="9"/>
      <c r="G1140" s="9"/>
      <c r="H1140" s="39"/>
      <c r="I1140" s="9"/>
      <c r="J1140" s="39"/>
      <c r="K1140" s="42"/>
      <c r="L1140" s="9"/>
      <c r="M1140" s="16"/>
      <c r="AA1140" s="14">
        <f t="shared" si="36"/>
        <v>0</v>
      </c>
      <c r="AB1140" s="47">
        <f t="shared" si="37"/>
        <v>-1</v>
      </c>
      <c r="AD1140" s="53"/>
      <c r="AE1140" s="53"/>
      <c r="AF1140" s="53"/>
      <c r="AG1140" s="53"/>
    </row>
    <row r="1141" spans="1:33" s="46" customFormat="1">
      <c r="A1141" s="39"/>
      <c r="B1141" s="9"/>
      <c r="C1141" s="15"/>
      <c r="D1141" s="41"/>
      <c r="E1141" s="9"/>
      <c r="F1141" s="9"/>
      <c r="G1141" s="9"/>
      <c r="H1141" s="39"/>
      <c r="I1141" s="9"/>
      <c r="J1141" s="39"/>
      <c r="K1141" s="42"/>
      <c r="L1141" s="9"/>
      <c r="M1141" s="16"/>
      <c r="AA1141" s="14">
        <f t="shared" si="36"/>
        <v>0</v>
      </c>
      <c r="AB1141" s="47">
        <f t="shared" si="37"/>
        <v>-1</v>
      </c>
      <c r="AD1141" s="53"/>
      <c r="AE1141" s="53"/>
      <c r="AF1141" s="53"/>
      <c r="AG1141" s="53"/>
    </row>
    <row r="1142" spans="1:33" s="46" customFormat="1">
      <c r="A1142" s="39"/>
      <c r="B1142" s="9"/>
      <c r="C1142" s="15"/>
      <c r="D1142" s="41"/>
      <c r="E1142" s="9"/>
      <c r="F1142" s="9"/>
      <c r="G1142" s="9"/>
      <c r="H1142" s="39"/>
      <c r="I1142" s="9"/>
      <c r="J1142" s="39"/>
      <c r="K1142" s="42"/>
      <c r="L1142" s="9"/>
      <c r="M1142" s="16" t="s">
        <v>193</v>
      </c>
      <c r="AA1142" s="14">
        <f t="shared" si="36"/>
        <v>0</v>
      </c>
      <c r="AB1142" s="47">
        <f t="shared" si="37"/>
        <v>-1</v>
      </c>
      <c r="AD1142" s="53"/>
      <c r="AE1142" s="53"/>
      <c r="AF1142" s="53"/>
      <c r="AG1142" s="53"/>
    </row>
    <row r="1143" spans="1:33" s="46" customFormat="1">
      <c r="A1143" s="39"/>
      <c r="B1143" s="9"/>
      <c r="C1143" s="15"/>
      <c r="D1143" s="41"/>
      <c r="E1143" s="9"/>
      <c r="F1143" s="9"/>
      <c r="G1143" s="9"/>
      <c r="H1143" s="39"/>
      <c r="I1143" s="9"/>
      <c r="J1143" s="39"/>
      <c r="K1143" s="42"/>
      <c r="L1143" s="9"/>
      <c r="M1143" s="16"/>
      <c r="AA1143" s="14">
        <f t="shared" si="36"/>
        <v>0</v>
      </c>
      <c r="AB1143" s="47">
        <f t="shared" si="37"/>
        <v>-1</v>
      </c>
      <c r="AD1143" s="53"/>
      <c r="AE1143" s="53"/>
      <c r="AF1143" s="53"/>
      <c r="AG1143" s="53"/>
    </row>
    <row r="1144" spans="1:33" s="46" customFormat="1">
      <c r="A1144" s="39"/>
      <c r="B1144" s="9"/>
      <c r="C1144" s="15"/>
      <c r="D1144" s="41"/>
      <c r="E1144" s="9"/>
      <c r="F1144" s="9"/>
      <c r="G1144" s="9"/>
      <c r="H1144" s="39"/>
      <c r="I1144" s="9"/>
      <c r="J1144" s="39"/>
      <c r="K1144" s="42"/>
      <c r="L1144" s="9"/>
      <c r="M1144" s="16"/>
      <c r="AA1144" s="14">
        <f t="shared" si="36"/>
        <v>0</v>
      </c>
      <c r="AB1144" s="47">
        <f t="shared" si="37"/>
        <v>-1</v>
      </c>
      <c r="AD1144" s="53"/>
      <c r="AE1144" s="53"/>
      <c r="AF1144" s="53"/>
      <c r="AG1144" s="53"/>
    </row>
    <row r="1145" spans="1:33" s="46" customFormat="1">
      <c r="A1145" s="39"/>
      <c r="B1145" s="9"/>
      <c r="C1145" s="15"/>
      <c r="D1145" s="41"/>
      <c r="E1145" s="9"/>
      <c r="F1145" s="9"/>
      <c r="G1145" s="9"/>
      <c r="H1145" s="39"/>
      <c r="I1145" s="9"/>
      <c r="J1145" s="39"/>
      <c r="K1145" s="42"/>
      <c r="L1145" s="9"/>
      <c r="M1145" s="16"/>
      <c r="AA1145" s="14">
        <f t="shared" si="36"/>
        <v>0</v>
      </c>
      <c r="AB1145" s="47">
        <f t="shared" si="37"/>
        <v>-1</v>
      </c>
      <c r="AD1145" s="53"/>
      <c r="AE1145" s="53"/>
      <c r="AF1145" s="53"/>
      <c r="AG1145" s="53"/>
    </row>
    <row r="1146" spans="1:33" s="46" customFormat="1">
      <c r="A1146" s="39"/>
      <c r="B1146" s="9"/>
      <c r="C1146" s="15"/>
      <c r="D1146" s="41"/>
      <c r="E1146" s="9"/>
      <c r="F1146" s="9"/>
      <c r="G1146" s="9"/>
      <c r="H1146" s="39"/>
      <c r="I1146" s="9"/>
      <c r="J1146" s="39"/>
      <c r="K1146" s="42"/>
      <c r="L1146" s="9"/>
      <c r="M1146" s="16"/>
      <c r="AA1146" s="14">
        <f t="shared" si="36"/>
        <v>0</v>
      </c>
      <c r="AB1146" s="47">
        <f t="shared" si="37"/>
        <v>-1</v>
      </c>
      <c r="AD1146" s="53"/>
      <c r="AE1146" s="53"/>
      <c r="AF1146" s="53"/>
      <c r="AG1146" s="53"/>
    </row>
    <row r="1147" spans="1:33" s="46" customFormat="1">
      <c r="A1147" s="39"/>
      <c r="B1147" s="9"/>
      <c r="C1147" s="15"/>
      <c r="D1147" s="41"/>
      <c r="E1147" s="9"/>
      <c r="F1147" s="9"/>
      <c r="G1147" s="9"/>
      <c r="H1147" s="39"/>
      <c r="I1147" s="9"/>
      <c r="J1147" s="39"/>
      <c r="K1147" s="42"/>
      <c r="L1147" s="9"/>
      <c r="M1147" s="16" t="s">
        <v>191</v>
      </c>
      <c r="AA1147" s="14">
        <f t="shared" si="36"/>
        <v>0</v>
      </c>
      <c r="AB1147" s="47">
        <f t="shared" si="37"/>
        <v>-1</v>
      </c>
      <c r="AD1147" s="53"/>
      <c r="AE1147" s="53"/>
      <c r="AF1147" s="53"/>
      <c r="AG1147" s="53"/>
    </row>
    <row r="1148" spans="1:33" s="46" customFormat="1">
      <c r="A1148" s="39"/>
      <c r="B1148" s="9"/>
      <c r="C1148" s="15"/>
      <c r="D1148" s="41"/>
      <c r="E1148" s="9"/>
      <c r="F1148" s="9"/>
      <c r="G1148" s="9"/>
      <c r="H1148" s="39"/>
      <c r="I1148" s="9"/>
      <c r="J1148" s="39"/>
      <c r="K1148" s="42"/>
      <c r="L1148" s="9"/>
      <c r="M1148" s="16"/>
      <c r="AA1148" s="14">
        <f t="shared" si="36"/>
        <v>0</v>
      </c>
      <c r="AB1148" s="47">
        <f t="shared" si="37"/>
        <v>-1</v>
      </c>
      <c r="AD1148" s="53"/>
      <c r="AE1148" s="53"/>
      <c r="AF1148" s="53"/>
      <c r="AG1148" s="53"/>
    </row>
    <row r="1149" spans="1:33" s="46" customFormat="1">
      <c r="A1149" s="39"/>
      <c r="B1149" s="9"/>
      <c r="C1149" s="15"/>
      <c r="D1149" s="41"/>
      <c r="E1149" s="9"/>
      <c r="F1149" s="9"/>
      <c r="G1149" s="9"/>
      <c r="H1149" s="39"/>
      <c r="I1149" s="9"/>
      <c r="J1149" s="39"/>
      <c r="K1149" s="42"/>
      <c r="L1149" s="9"/>
      <c r="M1149" s="16"/>
      <c r="AA1149" s="14">
        <f t="shared" si="36"/>
        <v>0</v>
      </c>
      <c r="AB1149" s="47">
        <f t="shared" si="37"/>
        <v>-1</v>
      </c>
      <c r="AD1149" s="53"/>
      <c r="AE1149" s="53"/>
      <c r="AF1149" s="53"/>
      <c r="AG1149" s="53"/>
    </row>
    <row r="1150" spans="1:33" s="46" customFormat="1">
      <c r="A1150" s="39"/>
      <c r="B1150" s="9"/>
      <c r="C1150" s="15"/>
      <c r="D1150" s="41"/>
      <c r="E1150" s="9"/>
      <c r="F1150" s="9"/>
      <c r="G1150" s="9"/>
      <c r="H1150" s="39"/>
      <c r="I1150" s="9"/>
      <c r="J1150" s="39"/>
      <c r="K1150" s="42"/>
      <c r="L1150" s="9"/>
      <c r="M1150" s="16"/>
      <c r="AA1150" s="14">
        <f t="shared" si="36"/>
        <v>0</v>
      </c>
      <c r="AB1150" s="47">
        <f t="shared" si="37"/>
        <v>-1</v>
      </c>
      <c r="AD1150" s="53"/>
      <c r="AE1150" s="53"/>
      <c r="AF1150" s="53"/>
      <c r="AG1150" s="53"/>
    </row>
    <row r="1151" spans="1:33" s="46" customFormat="1">
      <c r="A1151" s="39"/>
      <c r="B1151" s="9"/>
      <c r="C1151" s="15"/>
      <c r="D1151" s="41"/>
      <c r="E1151" s="9"/>
      <c r="F1151" s="9"/>
      <c r="G1151" s="9"/>
      <c r="H1151" s="39"/>
      <c r="I1151" s="9"/>
      <c r="J1151" s="39"/>
      <c r="K1151" s="42"/>
      <c r="L1151" s="9"/>
      <c r="M1151" s="16"/>
      <c r="AA1151" s="14">
        <f t="shared" si="36"/>
        <v>0</v>
      </c>
      <c r="AB1151" s="47">
        <f t="shared" si="37"/>
        <v>-1</v>
      </c>
      <c r="AD1151" s="53"/>
      <c r="AE1151" s="53"/>
      <c r="AF1151" s="53"/>
      <c r="AG1151" s="53"/>
    </row>
    <row r="1152" spans="1:33" s="46" customFormat="1">
      <c r="A1152" s="39"/>
      <c r="B1152" s="9"/>
      <c r="C1152" s="15"/>
      <c r="D1152" s="41"/>
      <c r="E1152" s="9"/>
      <c r="F1152" s="9"/>
      <c r="G1152" s="9"/>
      <c r="H1152" s="39"/>
      <c r="I1152" s="9"/>
      <c r="J1152" s="39"/>
      <c r="K1152" s="42"/>
      <c r="L1152" s="9"/>
      <c r="M1152" s="16"/>
      <c r="AA1152" s="14">
        <f t="shared" si="36"/>
        <v>0</v>
      </c>
      <c r="AB1152" s="47">
        <f t="shared" si="37"/>
        <v>-1</v>
      </c>
      <c r="AD1152" s="53"/>
      <c r="AE1152" s="53"/>
      <c r="AF1152" s="53"/>
      <c r="AG1152" s="53"/>
    </row>
    <row r="1153" spans="1:33" s="46" customFormat="1">
      <c r="A1153" s="39"/>
      <c r="B1153" s="9"/>
      <c r="C1153" s="15"/>
      <c r="D1153" s="41"/>
      <c r="E1153" s="9"/>
      <c r="F1153" s="9"/>
      <c r="G1153" s="9"/>
      <c r="H1153" s="39"/>
      <c r="I1153" s="9"/>
      <c r="J1153" s="39"/>
      <c r="K1153" s="42"/>
      <c r="L1153" s="9"/>
      <c r="M1153" s="16"/>
      <c r="AA1153" s="14">
        <f t="shared" si="36"/>
        <v>0</v>
      </c>
      <c r="AB1153" s="47">
        <f t="shared" si="37"/>
        <v>-1</v>
      </c>
      <c r="AD1153" s="53"/>
      <c r="AE1153" s="53"/>
      <c r="AF1153" s="53"/>
      <c r="AG1153" s="53"/>
    </row>
    <row r="1154" spans="1:33" s="46" customFormat="1">
      <c r="A1154" s="39"/>
      <c r="B1154" s="9"/>
      <c r="C1154" s="15"/>
      <c r="D1154" s="41"/>
      <c r="E1154" s="9"/>
      <c r="F1154" s="9"/>
      <c r="G1154" s="9"/>
      <c r="H1154" s="39"/>
      <c r="I1154" s="9"/>
      <c r="J1154" s="39"/>
      <c r="K1154" s="42"/>
      <c r="L1154" s="9"/>
      <c r="M1154" s="16"/>
      <c r="AA1154" s="14">
        <f t="shared" si="36"/>
        <v>0</v>
      </c>
      <c r="AB1154" s="47">
        <f t="shared" si="37"/>
        <v>-1</v>
      </c>
      <c r="AD1154" s="53"/>
      <c r="AE1154" s="53"/>
      <c r="AF1154" s="53"/>
      <c r="AG1154" s="53"/>
    </row>
    <row r="1155" spans="1:33" s="46" customFormat="1">
      <c r="A1155" s="39"/>
      <c r="B1155" s="9"/>
      <c r="C1155" s="15"/>
      <c r="D1155" s="41"/>
      <c r="E1155" s="9"/>
      <c r="F1155" s="9"/>
      <c r="G1155" s="9"/>
      <c r="H1155" s="39"/>
      <c r="I1155" s="9"/>
      <c r="J1155" s="39"/>
      <c r="K1155" s="42"/>
      <c r="L1155" s="9"/>
      <c r="M1155" s="16"/>
      <c r="AA1155" s="14">
        <f t="shared" si="36"/>
        <v>0</v>
      </c>
      <c r="AB1155" s="47">
        <f t="shared" si="37"/>
        <v>-1</v>
      </c>
      <c r="AD1155" s="53"/>
      <c r="AE1155" s="53"/>
      <c r="AF1155" s="53"/>
      <c r="AG1155" s="53"/>
    </row>
    <row r="1156" spans="1:33" s="46" customFormat="1">
      <c r="A1156" s="39"/>
      <c r="B1156" s="9"/>
      <c r="C1156" s="15"/>
      <c r="D1156" s="41"/>
      <c r="E1156" s="9"/>
      <c r="F1156" s="9"/>
      <c r="G1156" s="9"/>
      <c r="H1156" s="39"/>
      <c r="I1156" s="9"/>
      <c r="J1156" s="39"/>
      <c r="K1156" s="42"/>
      <c r="L1156" s="9"/>
      <c r="M1156" s="16"/>
      <c r="AA1156" s="14">
        <f t="shared" si="36"/>
        <v>0</v>
      </c>
      <c r="AB1156" s="47">
        <f t="shared" si="37"/>
        <v>-1</v>
      </c>
      <c r="AD1156" s="53"/>
      <c r="AE1156" s="53"/>
      <c r="AF1156" s="53"/>
      <c r="AG1156" s="53"/>
    </row>
    <row r="1157" spans="1:33" s="46" customFormat="1">
      <c r="A1157" s="39"/>
      <c r="B1157" s="9"/>
      <c r="C1157" s="15"/>
      <c r="D1157" s="41"/>
      <c r="E1157" s="9"/>
      <c r="F1157" s="9"/>
      <c r="G1157" s="9"/>
      <c r="H1157" s="39"/>
      <c r="I1157" s="9"/>
      <c r="J1157" s="39"/>
      <c r="K1157" s="42"/>
      <c r="L1157" s="9"/>
      <c r="M1157" s="16"/>
      <c r="AA1157" s="14">
        <f t="shared" si="36"/>
        <v>0</v>
      </c>
      <c r="AB1157" s="47">
        <f t="shared" si="37"/>
        <v>-1</v>
      </c>
      <c r="AD1157" s="53"/>
      <c r="AE1157" s="53"/>
      <c r="AF1157" s="53"/>
      <c r="AG1157" s="53"/>
    </row>
    <row r="1158" spans="1:33" s="46" customFormat="1">
      <c r="A1158" s="39"/>
      <c r="B1158" s="9"/>
      <c r="C1158" s="15"/>
      <c r="D1158" s="41"/>
      <c r="E1158" s="9"/>
      <c r="F1158" s="9"/>
      <c r="G1158" s="9"/>
      <c r="H1158" s="39"/>
      <c r="I1158" s="9"/>
      <c r="J1158" s="39"/>
      <c r="K1158" s="42"/>
      <c r="L1158" s="9"/>
      <c r="M1158" s="16"/>
      <c r="AA1158" s="14">
        <f t="shared" si="36"/>
        <v>0</v>
      </c>
      <c r="AB1158" s="47">
        <f t="shared" si="37"/>
        <v>-1</v>
      </c>
      <c r="AD1158" s="53"/>
      <c r="AE1158" s="53"/>
      <c r="AF1158" s="53"/>
      <c r="AG1158" s="53"/>
    </row>
    <row r="1159" spans="1:33" s="46" customFormat="1">
      <c r="A1159" s="39"/>
      <c r="B1159" s="9"/>
      <c r="C1159" s="15"/>
      <c r="D1159" s="41"/>
      <c r="E1159" s="9"/>
      <c r="F1159" s="9"/>
      <c r="G1159" s="9"/>
      <c r="H1159" s="39"/>
      <c r="I1159" s="9"/>
      <c r="J1159" s="39"/>
      <c r="K1159" s="42"/>
      <c r="L1159" s="9"/>
      <c r="M1159" s="16" t="s">
        <v>198</v>
      </c>
      <c r="AA1159" s="14">
        <f t="shared" si="36"/>
        <v>0</v>
      </c>
      <c r="AB1159" s="47">
        <f t="shared" si="37"/>
        <v>-1</v>
      </c>
      <c r="AD1159" s="53"/>
      <c r="AE1159" s="53"/>
      <c r="AF1159" s="53"/>
      <c r="AG1159" s="53"/>
    </row>
    <row r="1160" spans="1:33" s="46" customFormat="1">
      <c r="A1160" s="39"/>
      <c r="B1160" s="9"/>
      <c r="C1160" s="15"/>
      <c r="D1160" s="41"/>
      <c r="E1160" s="9"/>
      <c r="F1160" s="9"/>
      <c r="G1160" s="9"/>
      <c r="H1160" s="39"/>
      <c r="I1160" s="9"/>
      <c r="J1160" s="39"/>
      <c r="K1160" s="42"/>
      <c r="L1160" s="9"/>
      <c r="M1160" s="16" t="s">
        <v>198</v>
      </c>
      <c r="AA1160" s="14">
        <f t="shared" si="36"/>
        <v>0</v>
      </c>
      <c r="AB1160" s="47">
        <f t="shared" si="37"/>
        <v>-1</v>
      </c>
      <c r="AD1160" s="53"/>
      <c r="AE1160" s="53"/>
      <c r="AF1160" s="53"/>
      <c r="AG1160" s="53"/>
    </row>
    <row r="1161" spans="1:33" s="46" customFormat="1">
      <c r="A1161" s="39"/>
      <c r="B1161" s="9"/>
      <c r="C1161" s="15"/>
      <c r="D1161" s="41"/>
      <c r="E1161" s="9"/>
      <c r="F1161" s="9"/>
      <c r="G1161" s="9"/>
      <c r="H1161" s="39"/>
      <c r="I1161" s="9"/>
      <c r="J1161" s="39"/>
      <c r="K1161" s="42"/>
      <c r="L1161" s="9"/>
      <c r="M1161" s="16"/>
      <c r="AA1161" s="14">
        <f t="shared" si="36"/>
        <v>0</v>
      </c>
      <c r="AB1161" s="47">
        <f t="shared" si="37"/>
        <v>-1</v>
      </c>
      <c r="AD1161" s="53"/>
      <c r="AE1161" s="53"/>
      <c r="AF1161" s="53"/>
      <c r="AG1161" s="53"/>
    </row>
    <row r="1162" spans="1:33" s="46" customFormat="1">
      <c r="A1162" s="39"/>
      <c r="B1162" s="9"/>
      <c r="C1162" s="15"/>
      <c r="D1162" s="41"/>
      <c r="E1162" s="9"/>
      <c r="F1162" s="9"/>
      <c r="G1162" s="9"/>
      <c r="H1162" s="39"/>
      <c r="I1162" s="9"/>
      <c r="J1162" s="39"/>
      <c r="K1162" s="42"/>
      <c r="L1162" s="9"/>
      <c r="M1162" s="16"/>
      <c r="AA1162" s="14">
        <f t="shared" si="36"/>
        <v>0</v>
      </c>
      <c r="AB1162" s="47">
        <f t="shared" si="37"/>
        <v>-1</v>
      </c>
      <c r="AD1162" s="53"/>
      <c r="AE1162" s="53"/>
      <c r="AF1162" s="53"/>
      <c r="AG1162" s="53"/>
    </row>
    <row r="1163" spans="1:33" s="46" customFormat="1">
      <c r="A1163" s="39"/>
      <c r="B1163" s="9"/>
      <c r="C1163" s="15"/>
      <c r="D1163" s="41"/>
      <c r="E1163" s="9"/>
      <c r="F1163" s="9"/>
      <c r="G1163" s="9"/>
      <c r="H1163" s="39"/>
      <c r="I1163" s="9"/>
      <c r="J1163" s="39"/>
      <c r="K1163" s="42"/>
      <c r="L1163" s="9"/>
      <c r="M1163" s="16"/>
      <c r="AA1163" s="14">
        <f t="shared" si="36"/>
        <v>0</v>
      </c>
      <c r="AB1163" s="47">
        <f t="shared" si="37"/>
        <v>-1</v>
      </c>
      <c r="AD1163" s="53"/>
      <c r="AE1163" s="53"/>
      <c r="AF1163" s="53"/>
      <c r="AG1163" s="53"/>
    </row>
    <row r="1164" spans="1:33" s="46" customFormat="1">
      <c r="A1164" s="39"/>
      <c r="B1164" s="9"/>
      <c r="C1164" s="15"/>
      <c r="D1164" s="41"/>
      <c r="E1164" s="9"/>
      <c r="F1164" s="9"/>
      <c r="G1164" s="9"/>
      <c r="H1164" s="39"/>
      <c r="I1164" s="9"/>
      <c r="J1164" s="39"/>
      <c r="K1164" s="42"/>
      <c r="L1164" s="9"/>
      <c r="M1164" s="16" t="s">
        <v>198</v>
      </c>
      <c r="AA1164" s="14">
        <f t="shared" si="36"/>
        <v>0</v>
      </c>
      <c r="AB1164" s="47">
        <f t="shared" si="37"/>
        <v>-1</v>
      </c>
      <c r="AD1164" s="53"/>
      <c r="AE1164" s="53"/>
      <c r="AF1164" s="53"/>
      <c r="AG1164" s="53"/>
    </row>
    <row r="1165" spans="1:33" s="46" customFormat="1">
      <c r="A1165" s="39"/>
      <c r="B1165" s="9"/>
      <c r="C1165" s="15"/>
      <c r="D1165" s="41"/>
      <c r="E1165" s="9"/>
      <c r="F1165" s="9"/>
      <c r="G1165" s="9"/>
      <c r="H1165" s="39"/>
      <c r="I1165" s="9"/>
      <c r="J1165" s="39"/>
      <c r="K1165" s="42"/>
      <c r="L1165" s="9"/>
      <c r="M1165" s="16" t="s">
        <v>198</v>
      </c>
      <c r="AA1165" s="14">
        <f t="shared" si="36"/>
        <v>0</v>
      </c>
      <c r="AB1165" s="47">
        <f t="shared" si="37"/>
        <v>-1</v>
      </c>
      <c r="AD1165" s="53"/>
      <c r="AE1165" s="53"/>
      <c r="AF1165" s="53"/>
      <c r="AG1165" s="53"/>
    </row>
    <row r="1166" spans="1:33" s="46" customFormat="1">
      <c r="A1166" s="39"/>
      <c r="B1166" s="9"/>
      <c r="C1166" s="15"/>
      <c r="D1166" s="41"/>
      <c r="E1166" s="9"/>
      <c r="F1166" s="9"/>
      <c r="G1166" s="9"/>
      <c r="H1166" s="39"/>
      <c r="I1166" s="9"/>
      <c r="J1166" s="39"/>
      <c r="K1166" s="42"/>
      <c r="L1166" s="9"/>
      <c r="M1166" s="16"/>
      <c r="AA1166" s="14">
        <f t="shared" si="36"/>
        <v>0</v>
      </c>
      <c r="AB1166" s="47">
        <f t="shared" si="37"/>
        <v>-1</v>
      </c>
      <c r="AD1166" s="53"/>
      <c r="AE1166" s="53"/>
      <c r="AF1166" s="53"/>
      <c r="AG1166" s="53"/>
    </row>
    <row r="1167" spans="1:33" s="46" customFormat="1">
      <c r="A1167" s="39"/>
      <c r="B1167" s="9"/>
      <c r="C1167" s="15"/>
      <c r="D1167" s="41"/>
      <c r="E1167" s="9"/>
      <c r="F1167" s="9"/>
      <c r="G1167" s="9"/>
      <c r="H1167" s="39"/>
      <c r="I1167" s="9"/>
      <c r="J1167" s="39"/>
      <c r="K1167" s="42"/>
      <c r="L1167" s="9"/>
      <c r="M1167" s="16"/>
      <c r="AA1167" s="14">
        <f t="shared" si="36"/>
        <v>0</v>
      </c>
      <c r="AB1167" s="47">
        <f t="shared" si="37"/>
        <v>-1</v>
      </c>
      <c r="AD1167" s="53"/>
      <c r="AE1167" s="53"/>
      <c r="AF1167" s="53"/>
      <c r="AG1167" s="53"/>
    </row>
    <row r="1168" spans="1:33" s="46" customFormat="1">
      <c r="A1168" s="39"/>
      <c r="B1168" s="9"/>
      <c r="C1168" s="15"/>
      <c r="D1168" s="41"/>
      <c r="E1168" s="9"/>
      <c r="F1168" s="9"/>
      <c r="G1168" s="9"/>
      <c r="H1168" s="39"/>
      <c r="I1168" s="9"/>
      <c r="J1168" s="39"/>
      <c r="K1168" s="42"/>
      <c r="L1168" s="9"/>
      <c r="M1168" s="16"/>
      <c r="AA1168" s="14">
        <f t="shared" si="36"/>
        <v>0</v>
      </c>
      <c r="AB1168" s="47">
        <f t="shared" si="37"/>
        <v>-1</v>
      </c>
      <c r="AD1168" s="53"/>
      <c r="AE1168" s="53"/>
      <c r="AF1168" s="53"/>
      <c r="AG1168" s="53"/>
    </row>
    <row r="1169" spans="1:33" s="46" customFormat="1">
      <c r="A1169" s="39"/>
      <c r="B1169" s="9"/>
      <c r="C1169" s="15"/>
      <c r="D1169" s="41"/>
      <c r="E1169" s="9"/>
      <c r="F1169" s="9"/>
      <c r="G1169" s="9"/>
      <c r="H1169" s="39"/>
      <c r="I1169" s="9"/>
      <c r="J1169" s="39"/>
      <c r="K1169" s="42"/>
      <c r="L1169" s="9"/>
      <c r="M1169" s="16"/>
      <c r="AA1169" s="14">
        <f t="shared" si="36"/>
        <v>0</v>
      </c>
      <c r="AB1169" s="47">
        <f t="shared" si="37"/>
        <v>-1</v>
      </c>
      <c r="AD1169" s="53"/>
      <c r="AE1169" s="53"/>
      <c r="AF1169" s="53"/>
      <c r="AG1169" s="53"/>
    </row>
    <row r="1170" spans="1:33" s="46" customFormat="1">
      <c r="A1170" s="39"/>
      <c r="B1170" s="9"/>
      <c r="C1170" s="15"/>
      <c r="D1170" s="41"/>
      <c r="E1170" s="9"/>
      <c r="F1170" s="9"/>
      <c r="G1170" s="9"/>
      <c r="H1170" s="39"/>
      <c r="I1170" s="9"/>
      <c r="J1170" s="39"/>
      <c r="K1170" s="42"/>
      <c r="L1170" s="9"/>
      <c r="M1170" s="16"/>
      <c r="AA1170" s="14">
        <f t="shared" si="36"/>
        <v>0</v>
      </c>
      <c r="AB1170" s="47">
        <f t="shared" si="37"/>
        <v>-1</v>
      </c>
      <c r="AD1170" s="53"/>
      <c r="AE1170" s="53"/>
      <c r="AF1170" s="53"/>
      <c r="AG1170" s="53"/>
    </row>
    <row r="1171" spans="1:33" s="46" customFormat="1">
      <c r="A1171" s="39"/>
      <c r="B1171" s="9"/>
      <c r="C1171" s="15"/>
      <c r="D1171" s="41"/>
      <c r="E1171" s="9"/>
      <c r="F1171" s="9"/>
      <c r="G1171" s="9"/>
      <c r="H1171" s="39"/>
      <c r="I1171" s="9"/>
      <c r="J1171" s="39"/>
      <c r="K1171" s="42"/>
      <c r="L1171" s="9"/>
      <c r="M1171" s="16"/>
      <c r="AA1171" s="14">
        <f t="shared" si="36"/>
        <v>0</v>
      </c>
      <c r="AB1171" s="47">
        <f t="shared" si="37"/>
        <v>-1</v>
      </c>
      <c r="AD1171" s="53"/>
      <c r="AE1171" s="53"/>
      <c r="AF1171" s="53"/>
      <c r="AG1171" s="53"/>
    </row>
    <row r="1172" spans="1:33" s="46" customFormat="1">
      <c r="A1172" s="39"/>
      <c r="B1172" s="9"/>
      <c r="C1172" s="15"/>
      <c r="D1172" s="41"/>
      <c r="E1172" s="9"/>
      <c r="F1172" s="9"/>
      <c r="G1172" s="9"/>
      <c r="H1172" s="39"/>
      <c r="I1172" s="9"/>
      <c r="J1172" s="39"/>
      <c r="K1172" s="42"/>
      <c r="L1172" s="9"/>
      <c r="M1172" s="16"/>
      <c r="AA1172" s="14">
        <f t="shared" si="36"/>
        <v>0</v>
      </c>
      <c r="AB1172" s="47">
        <f t="shared" si="37"/>
        <v>-1</v>
      </c>
      <c r="AD1172" s="53"/>
      <c r="AE1172" s="53"/>
      <c r="AF1172" s="53"/>
      <c r="AG1172" s="53"/>
    </row>
    <row r="1173" spans="1:33" s="46" customFormat="1">
      <c r="A1173" s="39"/>
      <c r="B1173" s="9"/>
      <c r="C1173" s="15"/>
      <c r="D1173" s="41"/>
      <c r="E1173" s="9"/>
      <c r="F1173" s="9"/>
      <c r="G1173" s="9"/>
      <c r="H1173" s="39"/>
      <c r="I1173" s="9"/>
      <c r="J1173" s="39"/>
      <c r="K1173" s="42"/>
      <c r="L1173" s="9"/>
      <c r="M1173" s="16"/>
      <c r="AA1173" s="14">
        <f t="shared" si="36"/>
        <v>0</v>
      </c>
      <c r="AB1173" s="47">
        <f t="shared" si="37"/>
        <v>-1</v>
      </c>
      <c r="AD1173" s="53"/>
      <c r="AE1173" s="53"/>
      <c r="AF1173" s="53"/>
      <c r="AG1173" s="53"/>
    </row>
    <row r="1174" spans="1:33" s="46" customFormat="1">
      <c r="A1174" s="39"/>
      <c r="B1174" s="9"/>
      <c r="C1174" s="15"/>
      <c r="D1174" s="41"/>
      <c r="E1174" s="9"/>
      <c r="F1174" s="9"/>
      <c r="G1174" s="9"/>
      <c r="H1174" s="39"/>
      <c r="I1174" s="9"/>
      <c r="J1174" s="39"/>
      <c r="K1174" s="42"/>
      <c r="L1174" s="9"/>
      <c r="M1174" s="16"/>
      <c r="AA1174" s="14">
        <f t="shared" si="36"/>
        <v>0</v>
      </c>
      <c r="AB1174" s="47">
        <f t="shared" si="37"/>
        <v>-1</v>
      </c>
      <c r="AD1174" s="53"/>
      <c r="AE1174" s="53"/>
      <c r="AF1174" s="53"/>
      <c r="AG1174" s="53"/>
    </row>
    <row r="1175" spans="1:33" s="46" customFormat="1">
      <c r="A1175" s="39"/>
      <c r="B1175" s="9"/>
      <c r="C1175" s="15"/>
      <c r="D1175" s="41"/>
      <c r="E1175" s="9"/>
      <c r="F1175" s="9"/>
      <c r="G1175" s="9"/>
      <c r="H1175" s="39"/>
      <c r="I1175" s="9"/>
      <c r="J1175" s="39"/>
      <c r="K1175" s="42"/>
      <c r="L1175" s="9"/>
      <c r="M1175" s="16"/>
      <c r="AA1175" s="14">
        <f t="shared" si="36"/>
        <v>0</v>
      </c>
      <c r="AB1175" s="47">
        <f t="shared" si="37"/>
        <v>-1</v>
      </c>
      <c r="AD1175" s="53"/>
      <c r="AE1175" s="53"/>
      <c r="AF1175" s="53"/>
      <c r="AG1175" s="53"/>
    </row>
    <row r="1176" spans="1:33" s="46" customFormat="1">
      <c r="A1176" s="39"/>
      <c r="B1176" s="9"/>
      <c r="C1176" s="15"/>
      <c r="D1176" s="41"/>
      <c r="E1176" s="9"/>
      <c r="F1176" s="9"/>
      <c r="G1176" s="9"/>
      <c r="H1176" s="39"/>
      <c r="I1176" s="9"/>
      <c r="J1176" s="39"/>
      <c r="K1176" s="42"/>
      <c r="L1176" s="9"/>
      <c r="M1176" s="16"/>
      <c r="AA1176" s="14">
        <f t="shared" si="36"/>
        <v>0</v>
      </c>
      <c r="AB1176" s="47">
        <f t="shared" si="37"/>
        <v>-1</v>
      </c>
      <c r="AD1176" s="53"/>
      <c r="AE1176" s="53"/>
      <c r="AF1176" s="53"/>
      <c r="AG1176" s="53"/>
    </row>
    <row r="1177" spans="1:33" s="46" customFormat="1">
      <c r="A1177" s="39"/>
      <c r="B1177" s="9"/>
      <c r="C1177" s="15"/>
      <c r="D1177" s="41"/>
      <c r="E1177" s="9"/>
      <c r="F1177" s="9"/>
      <c r="G1177" s="9"/>
      <c r="H1177" s="39"/>
      <c r="I1177" s="9"/>
      <c r="J1177" s="39"/>
      <c r="K1177" s="42"/>
      <c r="L1177" s="9"/>
      <c r="M1177" s="16"/>
      <c r="AA1177" s="14">
        <f t="shared" si="36"/>
        <v>0</v>
      </c>
      <c r="AB1177" s="47">
        <f t="shared" si="37"/>
        <v>-1</v>
      </c>
      <c r="AD1177" s="53"/>
      <c r="AE1177" s="53"/>
      <c r="AF1177" s="53"/>
      <c r="AG1177" s="53"/>
    </row>
    <row r="1178" spans="1:33" s="46" customFormat="1">
      <c r="A1178" s="39"/>
      <c r="B1178" s="9"/>
      <c r="C1178" s="15"/>
      <c r="D1178" s="41"/>
      <c r="E1178" s="9"/>
      <c r="F1178" s="9"/>
      <c r="G1178" s="9"/>
      <c r="H1178" s="39"/>
      <c r="I1178" s="9"/>
      <c r="J1178" s="39"/>
      <c r="K1178" s="42"/>
      <c r="L1178" s="9"/>
      <c r="M1178" s="16"/>
      <c r="AA1178" s="14">
        <f t="shared" si="36"/>
        <v>0</v>
      </c>
      <c r="AB1178" s="47">
        <f t="shared" si="37"/>
        <v>-1</v>
      </c>
      <c r="AD1178" s="53"/>
      <c r="AE1178" s="53"/>
      <c r="AF1178" s="53"/>
      <c r="AG1178" s="53"/>
    </row>
    <row r="1179" spans="1:33" s="46" customFormat="1">
      <c r="A1179" s="39"/>
      <c r="B1179" s="9"/>
      <c r="C1179" s="15"/>
      <c r="D1179" s="41"/>
      <c r="E1179" s="9"/>
      <c r="F1179" s="9"/>
      <c r="G1179" s="9"/>
      <c r="H1179" s="39"/>
      <c r="I1179" s="9"/>
      <c r="J1179" s="39"/>
      <c r="K1179" s="42"/>
      <c r="L1179" s="9"/>
      <c r="M1179" s="16" t="s">
        <v>71</v>
      </c>
      <c r="AA1179" s="14">
        <f t="shared" si="36"/>
        <v>0</v>
      </c>
      <c r="AB1179" s="47">
        <f t="shared" si="37"/>
        <v>-1</v>
      </c>
      <c r="AD1179" s="53"/>
      <c r="AE1179" s="53"/>
      <c r="AF1179" s="53"/>
      <c r="AG1179" s="53"/>
    </row>
    <row r="1180" spans="1:33" s="46" customFormat="1">
      <c r="A1180" s="39"/>
      <c r="B1180" s="9"/>
      <c r="C1180" s="15"/>
      <c r="D1180" s="41"/>
      <c r="E1180" s="9"/>
      <c r="F1180" s="9"/>
      <c r="G1180" s="9"/>
      <c r="H1180" s="39"/>
      <c r="I1180" s="9"/>
      <c r="J1180" s="39"/>
      <c r="K1180" s="42"/>
      <c r="L1180" s="9"/>
      <c r="M1180" s="16"/>
      <c r="AA1180" s="14">
        <f t="shared" si="36"/>
        <v>0</v>
      </c>
      <c r="AB1180" s="47">
        <f t="shared" si="37"/>
        <v>-1</v>
      </c>
      <c r="AD1180" s="53"/>
      <c r="AE1180" s="53"/>
      <c r="AF1180" s="53"/>
      <c r="AG1180" s="53"/>
    </row>
    <row r="1181" spans="1:33" s="46" customFormat="1">
      <c r="A1181" s="39"/>
      <c r="B1181" s="9"/>
      <c r="C1181" s="15"/>
      <c r="D1181" s="41"/>
      <c r="E1181" s="9"/>
      <c r="F1181" s="9"/>
      <c r="G1181" s="9"/>
      <c r="H1181" s="39"/>
      <c r="I1181" s="9"/>
      <c r="J1181" s="39"/>
      <c r="K1181" s="42"/>
      <c r="L1181" s="9"/>
      <c r="M1181" s="16"/>
      <c r="AA1181" s="14">
        <f t="shared" si="36"/>
        <v>0</v>
      </c>
      <c r="AB1181" s="47">
        <f t="shared" si="37"/>
        <v>-1</v>
      </c>
      <c r="AD1181" s="53"/>
      <c r="AE1181" s="53"/>
      <c r="AF1181" s="53"/>
      <c r="AG1181" s="53"/>
    </row>
    <row r="1182" spans="1:33" s="46" customFormat="1">
      <c r="A1182" s="39"/>
      <c r="B1182" s="9"/>
      <c r="C1182" s="15"/>
      <c r="D1182" s="41"/>
      <c r="E1182" s="9"/>
      <c r="F1182" s="9"/>
      <c r="G1182" s="9"/>
      <c r="H1182" s="39"/>
      <c r="I1182" s="9"/>
      <c r="J1182" s="39"/>
      <c r="K1182" s="42"/>
      <c r="L1182" s="9"/>
      <c r="M1182" s="16"/>
      <c r="AA1182" s="14">
        <f t="shared" si="36"/>
        <v>0</v>
      </c>
      <c r="AB1182" s="47">
        <f t="shared" si="37"/>
        <v>-1</v>
      </c>
      <c r="AD1182" s="53"/>
      <c r="AE1182" s="53"/>
      <c r="AF1182" s="53"/>
      <c r="AG1182" s="53"/>
    </row>
    <row r="1183" spans="1:33" s="46" customFormat="1">
      <c r="A1183" s="39"/>
      <c r="B1183" s="9"/>
      <c r="C1183" s="15"/>
      <c r="D1183" s="41"/>
      <c r="E1183" s="9"/>
      <c r="F1183" s="9"/>
      <c r="G1183" s="9"/>
      <c r="H1183" s="39"/>
      <c r="I1183" s="9"/>
      <c r="J1183" s="39"/>
      <c r="K1183" s="42"/>
      <c r="L1183" s="9"/>
      <c r="M1183" s="16"/>
      <c r="AA1183" s="14">
        <f t="shared" si="36"/>
        <v>0</v>
      </c>
      <c r="AB1183" s="47">
        <f t="shared" si="37"/>
        <v>-1</v>
      </c>
      <c r="AD1183" s="53"/>
      <c r="AE1183" s="53"/>
      <c r="AF1183" s="53"/>
      <c r="AG1183" s="53"/>
    </row>
    <row r="1184" spans="1:33" s="46" customFormat="1">
      <c r="A1184" s="39"/>
      <c r="B1184" s="9"/>
      <c r="C1184" s="15"/>
      <c r="D1184" s="41"/>
      <c r="E1184" s="9"/>
      <c r="F1184" s="9"/>
      <c r="G1184" s="9"/>
      <c r="H1184" s="39"/>
      <c r="I1184" s="9"/>
      <c r="J1184" s="39"/>
      <c r="K1184" s="42"/>
      <c r="L1184" s="9"/>
      <c r="M1184" s="16"/>
      <c r="AA1184" s="14">
        <f t="shared" si="36"/>
        <v>0</v>
      </c>
      <c r="AB1184" s="47">
        <f t="shared" si="37"/>
        <v>-1</v>
      </c>
      <c r="AD1184" s="53"/>
      <c r="AE1184" s="53"/>
      <c r="AF1184" s="53"/>
      <c r="AG1184" s="53"/>
    </row>
    <row r="1185" spans="1:33" s="46" customFormat="1">
      <c r="A1185" s="39"/>
      <c r="B1185" s="9"/>
      <c r="C1185" s="15"/>
      <c r="D1185" s="41"/>
      <c r="E1185" s="9"/>
      <c r="F1185" s="9"/>
      <c r="G1185" s="9"/>
      <c r="H1185" s="39"/>
      <c r="I1185" s="9"/>
      <c r="J1185" s="39"/>
      <c r="K1185" s="42"/>
      <c r="L1185" s="9"/>
      <c r="M1185" s="16"/>
      <c r="AA1185" s="14">
        <f t="shared" si="36"/>
        <v>0</v>
      </c>
      <c r="AB1185" s="47">
        <f t="shared" si="37"/>
        <v>-1</v>
      </c>
      <c r="AD1185" s="53"/>
      <c r="AE1185" s="53"/>
      <c r="AF1185" s="53"/>
      <c r="AG1185" s="53"/>
    </row>
    <row r="1186" spans="1:33" s="46" customFormat="1">
      <c r="A1186" s="39"/>
      <c r="B1186" s="9"/>
      <c r="C1186" s="15"/>
      <c r="D1186" s="41"/>
      <c r="E1186" s="9"/>
      <c r="F1186" s="9"/>
      <c r="G1186" s="9"/>
      <c r="H1186" s="39"/>
      <c r="I1186" s="9"/>
      <c r="J1186" s="39"/>
      <c r="K1186" s="42"/>
      <c r="L1186" s="9"/>
      <c r="M1186" s="16"/>
      <c r="AA1186" s="14">
        <f t="shared" si="36"/>
        <v>0</v>
      </c>
      <c r="AB1186" s="47">
        <f t="shared" si="37"/>
        <v>-1</v>
      </c>
      <c r="AD1186" s="53"/>
      <c r="AE1186" s="53"/>
      <c r="AF1186" s="53"/>
      <c r="AG1186" s="53"/>
    </row>
    <row r="1187" spans="1:33" s="46" customFormat="1">
      <c r="A1187" s="39"/>
      <c r="B1187" s="9"/>
      <c r="C1187" s="15"/>
      <c r="D1187" s="41"/>
      <c r="E1187" s="9"/>
      <c r="F1187" s="9"/>
      <c r="G1187" s="9"/>
      <c r="H1187" s="39"/>
      <c r="I1187" s="9"/>
      <c r="J1187" s="39"/>
      <c r="K1187" s="42"/>
      <c r="L1187" s="9"/>
      <c r="M1187" s="16"/>
      <c r="AA1187" s="14">
        <f t="shared" si="36"/>
        <v>0</v>
      </c>
      <c r="AB1187" s="47">
        <f t="shared" si="37"/>
        <v>-1</v>
      </c>
      <c r="AD1187" s="53"/>
      <c r="AE1187" s="53"/>
      <c r="AF1187" s="53"/>
      <c r="AG1187" s="53"/>
    </row>
    <row r="1188" spans="1:33" s="46" customFormat="1">
      <c r="A1188" s="39"/>
      <c r="B1188" s="9"/>
      <c r="C1188" s="15"/>
      <c r="D1188" s="41"/>
      <c r="E1188" s="9"/>
      <c r="F1188" s="9"/>
      <c r="G1188" s="9"/>
      <c r="H1188" s="39"/>
      <c r="I1188" s="9"/>
      <c r="J1188" s="39"/>
      <c r="K1188" s="42"/>
      <c r="L1188" s="9"/>
      <c r="M1188" s="16" t="s">
        <v>191</v>
      </c>
      <c r="AA1188" s="14">
        <f t="shared" si="36"/>
        <v>0</v>
      </c>
      <c r="AB1188" s="47">
        <f t="shared" si="37"/>
        <v>-1</v>
      </c>
      <c r="AD1188" s="53"/>
      <c r="AE1188" s="53"/>
      <c r="AF1188" s="53"/>
      <c r="AG1188" s="53"/>
    </row>
    <row r="1189" spans="1:33" s="46" customFormat="1">
      <c r="A1189" s="39"/>
      <c r="B1189" s="9"/>
      <c r="C1189" s="15"/>
      <c r="D1189" s="41"/>
      <c r="E1189" s="9"/>
      <c r="F1189" s="9"/>
      <c r="G1189" s="9"/>
      <c r="H1189" s="39"/>
      <c r="I1189" s="9"/>
      <c r="J1189" s="39"/>
      <c r="K1189" s="42"/>
      <c r="L1189" s="9"/>
      <c r="M1189" s="16" t="s">
        <v>191</v>
      </c>
      <c r="AA1189" s="14">
        <f t="shared" si="36"/>
        <v>0</v>
      </c>
      <c r="AB1189" s="47">
        <f t="shared" si="37"/>
        <v>-1</v>
      </c>
      <c r="AD1189" s="53"/>
      <c r="AE1189" s="53"/>
      <c r="AF1189" s="53"/>
      <c r="AG1189" s="53"/>
    </row>
    <row r="1190" spans="1:33" s="46" customFormat="1">
      <c r="A1190" s="39"/>
      <c r="B1190" s="9"/>
      <c r="C1190" s="15"/>
      <c r="D1190" s="41"/>
      <c r="E1190" s="9"/>
      <c r="F1190" s="9"/>
      <c r="G1190" s="9"/>
      <c r="H1190" s="39"/>
      <c r="I1190" s="9"/>
      <c r="J1190" s="39"/>
      <c r="K1190" s="42"/>
      <c r="L1190" s="9"/>
      <c r="M1190" s="16"/>
      <c r="AA1190" s="14">
        <f t="shared" si="36"/>
        <v>0</v>
      </c>
      <c r="AB1190" s="47">
        <f t="shared" si="37"/>
        <v>-1</v>
      </c>
      <c r="AD1190" s="53"/>
      <c r="AE1190" s="53"/>
      <c r="AF1190" s="53"/>
      <c r="AG1190" s="53"/>
    </row>
    <row r="1191" spans="1:33" s="46" customFormat="1">
      <c r="A1191" s="39"/>
      <c r="B1191" s="9"/>
      <c r="C1191" s="15"/>
      <c r="D1191" s="41"/>
      <c r="E1191" s="9"/>
      <c r="F1191" s="9"/>
      <c r="G1191" s="9"/>
      <c r="H1191" s="39"/>
      <c r="I1191" s="9"/>
      <c r="J1191" s="39"/>
      <c r="K1191" s="42"/>
      <c r="L1191" s="9"/>
      <c r="M1191" s="16"/>
      <c r="AA1191" s="14">
        <f t="shared" si="36"/>
        <v>0</v>
      </c>
      <c r="AB1191" s="47">
        <f t="shared" si="37"/>
        <v>-1</v>
      </c>
      <c r="AD1191" s="53"/>
      <c r="AE1191" s="53"/>
      <c r="AF1191" s="53"/>
      <c r="AG1191" s="53"/>
    </row>
    <row r="1192" spans="1:33" s="46" customFormat="1">
      <c r="A1192" s="39"/>
      <c r="B1192" s="9"/>
      <c r="C1192" s="15"/>
      <c r="D1192" s="41"/>
      <c r="E1192" s="9"/>
      <c r="F1192" s="9"/>
      <c r="G1192" s="9"/>
      <c r="H1192" s="39"/>
      <c r="I1192" s="9"/>
      <c r="J1192" s="39"/>
      <c r="K1192" s="42"/>
      <c r="L1192" s="9"/>
      <c r="M1192" s="16"/>
      <c r="AA1192" s="14">
        <f t="shared" ref="AA1192:AA1255" si="38">C1192-C1191</f>
        <v>0</v>
      </c>
      <c r="AB1192" s="47">
        <f t="shared" ref="AB1192:AB1255" si="39">AA1192-1</f>
        <v>-1</v>
      </c>
      <c r="AD1192" s="53"/>
      <c r="AE1192" s="53"/>
      <c r="AF1192" s="53"/>
      <c r="AG1192" s="53"/>
    </row>
    <row r="1193" spans="1:33" s="46" customFormat="1">
      <c r="A1193" s="39"/>
      <c r="B1193" s="9"/>
      <c r="C1193" s="15"/>
      <c r="D1193" s="41"/>
      <c r="E1193" s="9"/>
      <c r="F1193" s="9"/>
      <c r="G1193" s="9"/>
      <c r="H1193" s="39"/>
      <c r="I1193" s="9"/>
      <c r="J1193" s="39"/>
      <c r="K1193" s="42"/>
      <c r="L1193" s="9"/>
      <c r="M1193" s="16"/>
      <c r="AA1193" s="14">
        <f t="shared" si="38"/>
        <v>0</v>
      </c>
      <c r="AB1193" s="47">
        <f t="shared" si="39"/>
        <v>-1</v>
      </c>
      <c r="AD1193" s="53"/>
      <c r="AE1193" s="53"/>
      <c r="AF1193" s="53"/>
      <c r="AG1193" s="53"/>
    </row>
    <row r="1194" spans="1:33" s="46" customFormat="1">
      <c r="A1194" s="39"/>
      <c r="B1194" s="9"/>
      <c r="C1194" s="15"/>
      <c r="D1194" s="41"/>
      <c r="E1194" s="9"/>
      <c r="F1194" s="9"/>
      <c r="G1194" s="9"/>
      <c r="H1194" s="39"/>
      <c r="I1194" s="9"/>
      <c r="J1194" s="39"/>
      <c r="K1194" s="42"/>
      <c r="L1194" s="9"/>
      <c r="M1194" s="16"/>
      <c r="AA1194" s="14">
        <f t="shared" si="38"/>
        <v>0</v>
      </c>
      <c r="AB1194" s="47">
        <f t="shared" si="39"/>
        <v>-1</v>
      </c>
      <c r="AD1194" s="53"/>
      <c r="AE1194" s="53"/>
      <c r="AF1194" s="53"/>
      <c r="AG1194" s="53"/>
    </row>
    <row r="1195" spans="1:33" s="46" customFormat="1">
      <c r="A1195" s="39"/>
      <c r="B1195" s="9"/>
      <c r="C1195" s="15"/>
      <c r="D1195" s="41"/>
      <c r="E1195" s="9"/>
      <c r="F1195" s="9"/>
      <c r="G1195" s="9"/>
      <c r="H1195" s="39"/>
      <c r="I1195" s="9"/>
      <c r="J1195" s="39"/>
      <c r="K1195" s="42"/>
      <c r="L1195" s="9"/>
      <c r="M1195" s="16"/>
      <c r="AA1195" s="14">
        <f t="shared" si="38"/>
        <v>0</v>
      </c>
      <c r="AB1195" s="47">
        <f t="shared" si="39"/>
        <v>-1</v>
      </c>
      <c r="AD1195" s="53"/>
      <c r="AE1195" s="53"/>
      <c r="AF1195" s="53"/>
      <c r="AG1195" s="53"/>
    </row>
    <row r="1196" spans="1:33" s="46" customFormat="1">
      <c r="A1196" s="39"/>
      <c r="B1196" s="9"/>
      <c r="C1196" s="15"/>
      <c r="D1196" s="41"/>
      <c r="E1196" s="9"/>
      <c r="F1196" s="9"/>
      <c r="G1196" s="9"/>
      <c r="H1196" s="39"/>
      <c r="I1196" s="9"/>
      <c r="J1196" s="39"/>
      <c r="K1196" s="42"/>
      <c r="L1196" s="9"/>
      <c r="M1196" s="16"/>
      <c r="AA1196" s="14">
        <f t="shared" si="38"/>
        <v>0</v>
      </c>
      <c r="AB1196" s="47">
        <f t="shared" si="39"/>
        <v>-1</v>
      </c>
      <c r="AD1196" s="53"/>
      <c r="AE1196" s="53"/>
      <c r="AF1196" s="53"/>
      <c r="AG1196" s="53"/>
    </row>
    <row r="1197" spans="1:33" s="46" customFormat="1">
      <c r="A1197" s="39"/>
      <c r="B1197" s="9"/>
      <c r="C1197" s="15"/>
      <c r="D1197" s="41"/>
      <c r="E1197" s="9"/>
      <c r="F1197" s="9"/>
      <c r="G1197" s="9"/>
      <c r="H1197" s="39"/>
      <c r="I1197" s="9"/>
      <c r="J1197" s="39"/>
      <c r="K1197" s="42"/>
      <c r="L1197" s="9"/>
      <c r="M1197" s="16"/>
      <c r="AA1197" s="14">
        <f t="shared" si="38"/>
        <v>0</v>
      </c>
      <c r="AB1197" s="47">
        <f t="shared" si="39"/>
        <v>-1</v>
      </c>
      <c r="AD1197" s="53"/>
      <c r="AE1197" s="53"/>
      <c r="AF1197" s="53"/>
      <c r="AG1197" s="53"/>
    </row>
    <row r="1198" spans="1:33" s="46" customFormat="1">
      <c r="A1198" s="39"/>
      <c r="B1198" s="9"/>
      <c r="C1198" s="15"/>
      <c r="D1198" s="41"/>
      <c r="E1198" s="9"/>
      <c r="F1198" s="9"/>
      <c r="G1198" s="9"/>
      <c r="H1198" s="39"/>
      <c r="I1198" s="9"/>
      <c r="J1198" s="39"/>
      <c r="K1198" s="42"/>
      <c r="L1198" s="9"/>
      <c r="M1198" s="16"/>
      <c r="AA1198" s="14">
        <f t="shared" si="38"/>
        <v>0</v>
      </c>
      <c r="AB1198" s="47">
        <f t="shared" si="39"/>
        <v>-1</v>
      </c>
      <c r="AD1198" s="53"/>
      <c r="AE1198" s="53"/>
      <c r="AF1198" s="53"/>
      <c r="AG1198" s="53"/>
    </row>
    <row r="1199" spans="1:33" s="46" customFormat="1">
      <c r="A1199" s="39"/>
      <c r="B1199" s="9"/>
      <c r="C1199" s="15"/>
      <c r="D1199" s="41"/>
      <c r="E1199" s="9"/>
      <c r="F1199" s="9"/>
      <c r="G1199" s="9"/>
      <c r="H1199" s="39"/>
      <c r="I1199" s="9"/>
      <c r="J1199" s="39"/>
      <c r="K1199" s="42"/>
      <c r="L1199" s="9"/>
      <c r="M1199" s="16"/>
      <c r="AA1199" s="14">
        <f t="shared" si="38"/>
        <v>0</v>
      </c>
      <c r="AB1199" s="47">
        <f t="shared" si="39"/>
        <v>-1</v>
      </c>
      <c r="AD1199" s="53"/>
      <c r="AE1199" s="53"/>
      <c r="AF1199" s="53"/>
      <c r="AG1199" s="53"/>
    </row>
    <row r="1200" spans="1:33" s="46" customFormat="1">
      <c r="A1200" s="39"/>
      <c r="B1200" s="9"/>
      <c r="C1200" s="15"/>
      <c r="D1200" s="41"/>
      <c r="E1200" s="9"/>
      <c r="F1200" s="9"/>
      <c r="G1200" s="9"/>
      <c r="H1200" s="39"/>
      <c r="I1200" s="9"/>
      <c r="J1200" s="39"/>
      <c r="K1200" s="42"/>
      <c r="L1200" s="9"/>
      <c r="M1200" s="16"/>
      <c r="AA1200" s="14">
        <f t="shared" si="38"/>
        <v>0</v>
      </c>
      <c r="AB1200" s="47">
        <f t="shared" si="39"/>
        <v>-1</v>
      </c>
      <c r="AD1200" s="53"/>
      <c r="AE1200" s="53"/>
      <c r="AF1200" s="53"/>
      <c r="AG1200" s="53"/>
    </row>
    <row r="1201" spans="1:33" s="46" customFormat="1">
      <c r="A1201" s="39"/>
      <c r="B1201" s="9"/>
      <c r="C1201" s="15"/>
      <c r="D1201" s="41"/>
      <c r="E1201" s="9"/>
      <c r="F1201" s="9"/>
      <c r="G1201" s="9"/>
      <c r="H1201" s="39"/>
      <c r="I1201" s="9"/>
      <c r="J1201" s="39"/>
      <c r="K1201" s="42"/>
      <c r="L1201" s="9"/>
      <c r="M1201" s="16"/>
      <c r="AA1201" s="14">
        <f t="shared" si="38"/>
        <v>0</v>
      </c>
      <c r="AB1201" s="47">
        <f t="shared" si="39"/>
        <v>-1</v>
      </c>
      <c r="AD1201" s="53"/>
      <c r="AE1201" s="53"/>
      <c r="AF1201" s="53"/>
      <c r="AG1201" s="53"/>
    </row>
    <row r="1202" spans="1:33" s="46" customFormat="1">
      <c r="A1202" s="39"/>
      <c r="B1202" s="9"/>
      <c r="C1202" s="15"/>
      <c r="D1202" s="41"/>
      <c r="E1202" s="9"/>
      <c r="F1202" s="9"/>
      <c r="G1202" s="9"/>
      <c r="H1202" s="39"/>
      <c r="I1202" s="9"/>
      <c r="J1202" s="39"/>
      <c r="K1202" s="42"/>
      <c r="L1202" s="9"/>
      <c r="M1202" s="16"/>
      <c r="AA1202" s="14">
        <f t="shared" si="38"/>
        <v>0</v>
      </c>
      <c r="AB1202" s="47">
        <f t="shared" si="39"/>
        <v>-1</v>
      </c>
      <c r="AD1202" s="53"/>
      <c r="AE1202" s="53"/>
      <c r="AF1202" s="53"/>
      <c r="AG1202" s="53"/>
    </row>
    <row r="1203" spans="1:33" s="46" customFormat="1">
      <c r="A1203" s="39"/>
      <c r="B1203" s="9"/>
      <c r="C1203" s="15"/>
      <c r="D1203" s="41"/>
      <c r="E1203" s="9"/>
      <c r="F1203" s="9"/>
      <c r="G1203" s="9"/>
      <c r="H1203" s="39"/>
      <c r="I1203" s="9"/>
      <c r="J1203" s="39"/>
      <c r="K1203" s="42"/>
      <c r="L1203" s="9"/>
      <c r="M1203" s="16"/>
      <c r="AA1203" s="14">
        <f t="shared" si="38"/>
        <v>0</v>
      </c>
      <c r="AB1203" s="47">
        <f t="shared" si="39"/>
        <v>-1</v>
      </c>
      <c r="AD1203" s="53"/>
      <c r="AE1203" s="53"/>
      <c r="AF1203" s="53"/>
      <c r="AG1203" s="53"/>
    </row>
    <row r="1204" spans="1:33" s="46" customFormat="1">
      <c r="A1204" s="39"/>
      <c r="B1204" s="9"/>
      <c r="C1204" s="15"/>
      <c r="D1204" s="41"/>
      <c r="E1204" s="9"/>
      <c r="F1204" s="9"/>
      <c r="G1204" s="9"/>
      <c r="H1204" s="39"/>
      <c r="I1204" s="9"/>
      <c r="J1204" s="39"/>
      <c r="K1204" s="42"/>
      <c r="L1204" s="9"/>
      <c r="M1204" s="16"/>
      <c r="AA1204" s="14">
        <f t="shared" si="38"/>
        <v>0</v>
      </c>
      <c r="AB1204" s="47">
        <f t="shared" si="39"/>
        <v>-1</v>
      </c>
      <c r="AD1204" s="53"/>
      <c r="AE1204" s="53"/>
      <c r="AF1204" s="53"/>
      <c r="AG1204" s="53"/>
    </row>
    <row r="1205" spans="1:33" s="46" customFormat="1">
      <c r="A1205" s="39"/>
      <c r="B1205" s="9"/>
      <c r="C1205" s="15"/>
      <c r="D1205" s="41"/>
      <c r="E1205" s="9"/>
      <c r="F1205" s="9"/>
      <c r="G1205" s="9"/>
      <c r="H1205" s="39"/>
      <c r="I1205" s="9"/>
      <c r="J1205" s="39"/>
      <c r="K1205" s="42"/>
      <c r="L1205" s="9"/>
      <c r="M1205" s="16"/>
      <c r="AA1205" s="14">
        <f t="shared" si="38"/>
        <v>0</v>
      </c>
      <c r="AB1205" s="47">
        <f t="shared" si="39"/>
        <v>-1</v>
      </c>
      <c r="AD1205" s="53"/>
      <c r="AE1205" s="53"/>
      <c r="AF1205" s="53"/>
      <c r="AG1205" s="53"/>
    </row>
    <row r="1206" spans="1:33" s="46" customFormat="1">
      <c r="A1206" s="39"/>
      <c r="B1206" s="9"/>
      <c r="C1206" s="15"/>
      <c r="D1206" s="41"/>
      <c r="E1206" s="9"/>
      <c r="F1206" s="9"/>
      <c r="G1206" s="9"/>
      <c r="H1206" s="39"/>
      <c r="I1206" s="9"/>
      <c r="J1206" s="39"/>
      <c r="K1206" s="42"/>
      <c r="L1206" s="9"/>
      <c r="M1206" s="16"/>
      <c r="AA1206" s="14">
        <f t="shared" si="38"/>
        <v>0</v>
      </c>
      <c r="AB1206" s="47">
        <f t="shared" si="39"/>
        <v>-1</v>
      </c>
      <c r="AD1206" s="53"/>
      <c r="AE1206" s="53"/>
      <c r="AF1206" s="53"/>
      <c r="AG1206" s="53"/>
    </row>
    <row r="1207" spans="1:33" s="46" customFormat="1">
      <c r="A1207" s="39"/>
      <c r="B1207" s="9"/>
      <c r="C1207" s="15"/>
      <c r="D1207" s="41"/>
      <c r="E1207" s="9"/>
      <c r="F1207" s="9"/>
      <c r="G1207" s="9"/>
      <c r="H1207" s="39"/>
      <c r="I1207" s="9"/>
      <c r="J1207" s="39"/>
      <c r="K1207" s="42"/>
      <c r="L1207" s="9"/>
      <c r="M1207" s="16"/>
      <c r="AA1207" s="14">
        <f t="shared" si="38"/>
        <v>0</v>
      </c>
      <c r="AB1207" s="47">
        <f t="shared" si="39"/>
        <v>-1</v>
      </c>
      <c r="AD1207" s="53"/>
      <c r="AE1207" s="53"/>
      <c r="AF1207" s="53"/>
      <c r="AG1207" s="53"/>
    </row>
    <row r="1208" spans="1:33" s="46" customFormat="1">
      <c r="A1208" s="39"/>
      <c r="B1208" s="9"/>
      <c r="C1208" s="15"/>
      <c r="D1208" s="41"/>
      <c r="E1208" s="9"/>
      <c r="F1208" s="9"/>
      <c r="G1208" s="9"/>
      <c r="H1208" s="39"/>
      <c r="I1208" s="9"/>
      <c r="J1208" s="39"/>
      <c r="K1208" s="42"/>
      <c r="L1208" s="9"/>
      <c r="M1208" s="16"/>
      <c r="AA1208" s="14">
        <f t="shared" si="38"/>
        <v>0</v>
      </c>
      <c r="AB1208" s="47">
        <f t="shared" si="39"/>
        <v>-1</v>
      </c>
      <c r="AD1208" s="53"/>
      <c r="AE1208" s="53"/>
      <c r="AF1208" s="53"/>
      <c r="AG1208" s="53"/>
    </row>
    <row r="1209" spans="1:33" s="46" customFormat="1">
      <c r="A1209" s="39"/>
      <c r="B1209" s="9"/>
      <c r="C1209" s="15"/>
      <c r="D1209" s="41"/>
      <c r="E1209" s="9"/>
      <c r="F1209" s="9"/>
      <c r="G1209" s="9"/>
      <c r="H1209" s="39"/>
      <c r="I1209" s="9"/>
      <c r="J1209" s="39"/>
      <c r="K1209" s="42"/>
      <c r="L1209" s="9"/>
      <c r="M1209" s="16"/>
      <c r="AA1209" s="14">
        <f t="shared" si="38"/>
        <v>0</v>
      </c>
      <c r="AB1209" s="47">
        <f t="shared" si="39"/>
        <v>-1</v>
      </c>
      <c r="AD1209" s="53"/>
      <c r="AE1209" s="53"/>
      <c r="AF1209" s="53"/>
      <c r="AG1209" s="53"/>
    </row>
    <row r="1210" spans="1:33" s="46" customFormat="1">
      <c r="A1210" s="39"/>
      <c r="B1210" s="9"/>
      <c r="C1210" s="15"/>
      <c r="D1210" s="41"/>
      <c r="E1210" s="9"/>
      <c r="F1210" s="9"/>
      <c r="G1210" s="9"/>
      <c r="H1210" s="39"/>
      <c r="I1210" s="9"/>
      <c r="J1210" s="39"/>
      <c r="K1210" s="42"/>
      <c r="L1210" s="9"/>
      <c r="M1210" s="16"/>
      <c r="AA1210" s="14">
        <f t="shared" si="38"/>
        <v>0</v>
      </c>
      <c r="AB1210" s="47">
        <f t="shared" si="39"/>
        <v>-1</v>
      </c>
      <c r="AD1210" s="53"/>
      <c r="AE1210" s="53"/>
      <c r="AF1210" s="53"/>
      <c r="AG1210" s="53"/>
    </row>
    <row r="1211" spans="1:33" s="46" customFormat="1">
      <c r="A1211" s="39"/>
      <c r="B1211" s="9"/>
      <c r="C1211" s="15"/>
      <c r="D1211" s="41"/>
      <c r="E1211" s="9"/>
      <c r="F1211" s="9"/>
      <c r="G1211" s="9"/>
      <c r="H1211" s="39"/>
      <c r="I1211" s="9"/>
      <c r="J1211" s="39"/>
      <c r="K1211" s="42"/>
      <c r="L1211" s="9"/>
      <c r="M1211" s="16"/>
      <c r="AA1211" s="14">
        <f t="shared" si="38"/>
        <v>0</v>
      </c>
      <c r="AB1211" s="47">
        <f t="shared" si="39"/>
        <v>-1</v>
      </c>
      <c r="AD1211" s="53"/>
      <c r="AE1211" s="53"/>
      <c r="AF1211" s="53"/>
      <c r="AG1211" s="53"/>
    </row>
    <row r="1212" spans="1:33" s="46" customFormat="1">
      <c r="A1212" s="39"/>
      <c r="B1212" s="9"/>
      <c r="C1212" s="15"/>
      <c r="D1212" s="41"/>
      <c r="E1212" s="9"/>
      <c r="F1212" s="9"/>
      <c r="G1212" s="9"/>
      <c r="H1212" s="39"/>
      <c r="I1212" s="9"/>
      <c r="J1212" s="39"/>
      <c r="K1212" s="42"/>
      <c r="L1212" s="9"/>
      <c r="M1212" s="16"/>
      <c r="AA1212" s="14">
        <f t="shared" si="38"/>
        <v>0</v>
      </c>
      <c r="AB1212" s="47">
        <f t="shared" si="39"/>
        <v>-1</v>
      </c>
      <c r="AD1212" s="53"/>
      <c r="AE1212" s="53"/>
      <c r="AF1212" s="53"/>
      <c r="AG1212" s="53"/>
    </row>
    <row r="1213" spans="1:33" s="46" customFormat="1">
      <c r="A1213" s="39"/>
      <c r="B1213" s="9"/>
      <c r="C1213" s="15"/>
      <c r="D1213" s="41"/>
      <c r="E1213" s="9"/>
      <c r="F1213" s="9"/>
      <c r="G1213" s="9"/>
      <c r="H1213" s="39"/>
      <c r="I1213" s="9"/>
      <c r="J1213" s="39"/>
      <c r="K1213" s="42"/>
      <c r="L1213" s="9"/>
      <c r="M1213" s="16"/>
      <c r="AA1213" s="14">
        <f t="shared" si="38"/>
        <v>0</v>
      </c>
      <c r="AB1213" s="47">
        <f t="shared" si="39"/>
        <v>-1</v>
      </c>
      <c r="AD1213" s="53"/>
      <c r="AE1213" s="53"/>
      <c r="AF1213" s="53"/>
      <c r="AG1213" s="53"/>
    </row>
    <row r="1214" spans="1:33" s="46" customFormat="1">
      <c r="A1214" s="39"/>
      <c r="B1214" s="9"/>
      <c r="C1214" s="15"/>
      <c r="D1214" s="41"/>
      <c r="E1214" s="9"/>
      <c r="F1214" s="9"/>
      <c r="G1214" s="9"/>
      <c r="H1214" s="39"/>
      <c r="I1214" s="9"/>
      <c r="J1214" s="39"/>
      <c r="K1214" s="42"/>
      <c r="L1214" s="9"/>
      <c r="M1214" s="16"/>
      <c r="AA1214" s="14">
        <f t="shared" si="38"/>
        <v>0</v>
      </c>
      <c r="AB1214" s="47">
        <f t="shared" si="39"/>
        <v>-1</v>
      </c>
      <c r="AD1214" s="53"/>
      <c r="AE1214" s="53"/>
      <c r="AF1214" s="53"/>
      <c r="AG1214" s="53"/>
    </row>
    <row r="1215" spans="1:33" s="46" customFormat="1">
      <c r="A1215" s="39"/>
      <c r="B1215" s="9"/>
      <c r="C1215" s="15"/>
      <c r="D1215" s="41"/>
      <c r="E1215" s="9"/>
      <c r="F1215" s="9"/>
      <c r="G1215" s="9"/>
      <c r="H1215" s="39"/>
      <c r="I1215" s="9"/>
      <c r="J1215" s="39"/>
      <c r="K1215" s="42"/>
      <c r="L1215" s="9"/>
      <c r="M1215" s="16"/>
      <c r="AA1215" s="14">
        <f t="shared" si="38"/>
        <v>0</v>
      </c>
      <c r="AB1215" s="47">
        <f t="shared" si="39"/>
        <v>-1</v>
      </c>
      <c r="AD1215" s="53"/>
      <c r="AE1215" s="53"/>
      <c r="AF1215" s="53"/>
      <c r="AG1215" s="53"/>
    </row>
    <row r="1216" spans="1:33" s="46" customFormat="1">
      <c r="A1216" s="39"/>
      <c r="B1216" s="9"/>
      <c r="C1216" s="15"/>
      <c r="D1216" s="41"/>
      <c r="E1216" s="9"/>
      <c r="F1216" s="9"/>
      <c r="G1216" s="9"/>
      <c r="H1216" s="39"/>
      <c r="I1216" s="9"/>
      <c r="J1216" s="39"/>
      <c r="K1216" s="42"/>
      <c r="L1216" s="9"/>
      <c r="M1216" s="16"/>
      <c r="AA1216" s="14">
        <f t="shared" si="38"/>
        <v>0</v>
      </c>
      <c r="AB1216" s="47">
        <f t="shared" si="39"/>
        <v>-1</v>
      </c>
      <c r="AD1216" s="53"/>
      <c r="AE1216" s="53"/>
      <c r="AF1216" s="53"/>
      <c r="AG1216" s="53"/>
    </row>
    <row r="1217" spans="1:33" s="46" customFormat="1">
      <c r="A1217" s="39"/>
      <c r="B1217" s="9"/>
      <c r="C1217" s="15"/>
      <c r="D1217" s="41"/>
      <c r="E1217" s="9"/>
      <c r="F1217" s="9"/>
      <c r="G1217" s="9"/>
      <c r="H1217" s="39"/>
      <c r="I1217" s="9"/>
      <c r="J1217" s="39"/>
      <c r="K1217" s="42"/>
      <c r="L1217" s="9"/>
      <c r="M1217" s="16"/>
      <c r="AA1217" s="14">
        <f t="shared" si="38"/>
        <v>0</v>
      </c>
      <c r="AB1217" s="47">
        <f t="shared" si="39"/>
        <v>-1</v>
      </c>
      <c r="AD1217" s="53"/>
      <c r="AE1217" s="53"/>
      <c r="AF1217" s="53"/>
      <c r="AG1217" s="53"/>
    </row>
    <row r="1218" spans="1:33" s="46" customFormat="1">
      <c r="A1218" s="39"/>
      <c r="B1218" s="9"/>
      <c r="C1218" s="15"/>
      <c r="D1218" s="41"/>
      <c r="E1218" s="9"/>
      <c r="F1218" s="9"/>
      <c r="G1218" s="9"/>
      <c r="H1218" s="39"/>
      <c r="I1218" s="9"/>
      <c r="J1218" s="39"/>
      <c r="K1218" s="42"/>
      <c r="L1218" s="9"/>
      <c r="M1218" s="16"/>
      <c r="AA1218" s="14">
        <f t="shared" si="38"/>
        <v>0</v>
      </c>
      <c r="AB1218" s="47">
        <f t="shared" si="39"/>
        <v>-1</v>
      </c>
      <c r="AD1218" s="53"/>
      <c r="AE1218" s="53"/>
      <c r="AF1218" s="53"/>
      <c r="AG1218" s="53"/>
    </row>
    <row r="1219" spans="1:33" s="46" customFormat="1">
      <c r="A1219" s="39"/>
      <c r="B1219" s="9"/>
      <c r="C1219" s="15"/>
      <c r="D1219" s="41"/>
      <c r="E1219" s="9"/>
      <c r="F1219" s="9"/>
      <c r="G1219" s="9"/>
      <c r="H1219" s="39"/>
      <c r="I1219" s="9"/>
      <c r="J1219" s="39"/>
      <c r="K1219" s="42"/>
      <c r="L1219" s="9"/>
      <c r="M1219" s="16"/>
      <c r="AA1219" s="14">
        <f t="shared" si="38"/>
        <v>0</v>
      </c>
      <c r="AB1219" s="47">
        <f t="shared" si="39"/>
        <v>-1</v>
      </c>
      <c r="AD1219" s="53"/>
      <c r="AE1219" s="53"/>
      <c r="AF1219" s="53"/>
      <c r="AG1219" s="53"/>
    </row>
    <row r="1220" spans="1:33" s="46" customFormat="1">
      <c r="A1220" s="39"/>
      <c r="B1220" s="9"/>
      <c r="C1220" s="15"/>
      <c r="D1220" s="41"/>
      <c r="E1220" s="9"/>
      <c r="F1220" s="9"/>
      <c r="G1220" s="9"/>
      <c r="H1220" s="39"/>
      <c r="I1220" s="9"/>
      <c r="J1220" s="39"/>
      <c r="K1220" s="42"/>
      <c r="L1220" s="9"/>
      <c r="M1220" s="16" t="s">
        <v>191</v>
      </c>
      <c r="AA1220" s="14">
        <f t="shared" si="38"/>
        <v>0</v>
      </c>
      <c r="AB1220" s="47">
        <f t="shared" si="39"/>
        <v>-1</v>
      </c>
      <c r="AD1220" s="53"/>
      <c r="AE1220" s="53"/>
      <c r="AF1220" s="53"/>
      <c r="AG1220" s="53"/>
    </row>
    <row r="1221" spans="1:33" s="46" customFormat="1">
      <c r="A1221" s="39"/>
      <c r="B1221" s="9"/>
      <c r="C1221" s="15"/>
      <c r="D1221" s="41"/>
      <c r="E1221" s="9"/>
      <c r="F1221" s="9"/>
      <c r="G1221" s="9"/>
      <c r="H1221" s="39"/>
      <c r="I1221" s="9"/>
      <c r="J1221" s="39"/>
      <c r="K1221" s="42"/>
      <c r="L1221" s="9"/>
      <c r="M1221" s="16"/>
      <c r="AA1221" s="14">
        <f t="shared" si="38"/>
        <v>0</v>
      </c>
      <c r="AB1221" s="47">
        <f t="shared" si="39"/>
        <v>-1</v>
      </c>
      <c r="AD1221" s="53"/>
      <c r="AE1221" s="53"/>
      <c r="AF1221" s="53"/>
      <c r="AG1221" s="53"/>
    </row>
    <row r="1222" spans="1:33" s="46" customFormat="1">
      <c r="A1222" s="39"/>
      <c r="B1222" s="9"/>
      <c r="C1222" s="15"/>
      <c r="D1222" s="41"/>
      <c r="E1222" s="9"/>
      <c r="F1222" s="9"/>
      <c r="G1222" s="9"/>
      <c r="H1222" s="39"/>
      <c r="I1222" s="9"/>
      <c r="J1222" s="39"/>
      <c r="K1222" s="42"/>
      <c r="L1222" s="9"/>
      <c r="M1222" s="16"/>
      <c r="AA1222" s="14">
        <f t="shared" si="38"/>
        <v>0</v>
      </c>
      <c r="AB1222" s="47">
        <f t="shared" si="39"/>
        <v>-1</v>
      </c>
      <c r="AD1222" s="53"/>
      <c r="AE1222" s="53"/>
      <c r="AF1222" s="53"/>
      <c r="AG1222" s="53"/>
    </row>
    <row r="1223" spans="1:33" s="46" customFormat="1">
      <c r="A1223" s="39"/>
      <c r="B1223" s="9"/>
      <c r="C1223" s="15"/>
      <c r="D1223" s="41"/>
      <c r="E1223" s="9"/>
      <c r="F1223" s="9"/>
      <c r="G1223" s="9"/>
      <c r="H1223" s="39"/>
      <c r="I1223" s="9"/>
      <c r="J1223" s="39"/>
      <c r="K1223" s="42"/>
      <c r="L1223" s="9"/>
      <c r="M1223" s="16"/>
      <c r="AA1223" s="14">
        <f t="shared" si="38"/>
        <v>0</v>
      </c>
      <c r="AB1223" s="47">
        <f t="shared" si="39"/>
        <v>-1</v>
      </c>
      <c r="AD1223" s="53"/>
      <c r="AE1223" s="53"/>
      <c r="AF1223" s="53"/>
      <c r="AG1223" s="53"/>
    </row>
    <row r="1224" spans="1:33" s="46" customFormat="1">
      <c r="A1224" s="39"/>
      <c r="B1224" s="9"/>
      <c r="C1224" s="15"/>
      <c r="D1224" s="41"/>
      <c r="E1224" s="9"/>
      <c r="F1224" s="9"/>
      <c r="G1224" s="9"/>
      <c r="H1224" s="39"/>
      <c r="I1224" s="9"/>
      <c r="J1224" s="39"/>
      <c r="K1224" s="42"/>
      <c r="L1224" s="9"/>
      <c r="M1224" s="16"/>
      <c r="AA1224" s="14">
        <f t="shared" si="38"/>
        <v>0</v>
      </c>
      <c r="AB1224" s="47">
        <f t="shared" si="39"/>
        <v>-1</v>
      </c>
      <c r="AD1224" s="53"/>
      <c r="AE1224" s="53"/>
      <c r="AF1224" s="53"/>
      <c r="AG1224" s="53"/>
    </row>
    <row r="1225" spans="1:33" s="46" customFormat="1">
      <c r="A1225" s="39"/>
      <c r="B1225" s="9"/>
      <c r="C1225" s="15"/>
      <c r="D1225" s="41"/>
      <c r="E1225" s="9"/>
      <c r="F1225" s="9"/>
      <c r="G1225" s="9"/>
      <c r="H1225" s="39"/>
      <c r="I1225" s="9"/>
      <c r="J1225" s="39"/>
      <c r="K1225" s="42"/>
      <c r="L1225" s="9"/>
      <c r="M1225" s="16"/>
      <c r="AA1225" s="14">
        <f t="shared" si="38"/>
        <v>0</v>
      </c>
      <c r="AB1225" s="47">
        <f t="shared" si="39"/>
        <v>-1</v>
      </c>
      <c r="AD1225" s="53"/>
      <c r="AE1225" s="53"/>
      <c r="AF1225" s="53"/>
      <c r="AG1225" s="53"/>
    </row>
    <row r="1226" spans="1:33" s="46" customFormat="1">
      <c r="A1226" s="39"/>
      <c r="B1226" s="9"/>
      <c r="C1226" s="15"/>
      <c r="D1226" s="41"/>
      <c r="E1226" s="9"/>
      <c r="F1226" s="9"/>
      <c r="G1226" s="9"/>
      <c r="H1226" s="39"/>
      <c r="I1226" s="9"/>
      <c r="J1226" s="39"/>
      <c r="K1226" s="42"/>
      <c r="L1226" s="9"/>
      <c r="M1226" s="16"/>
      <c r="AA1226" s="14">
        <f t="shared" si="38"/>
        <v>0</v>
      </c>
      <c r="AB1226" s="47">
        <f t="shared" si="39"/>
        <v>-1</v>
      </c>
      <c r="AD1226" s="53"/>
      <c r="AE1226" s="53"/>
      <c r="AF1226" s="53"/>
      <c r="AG1226" s="53"/>
    </row>
    <row r="1227" spans="1:33" s="46" customFormat="1">
      <c r="A1227" s="39"/>
      <c r="B1227" s="9"/>
      <c r="C1227" s="15"/>
      <c r="D1227" s="41"/>
      <c r="E1227" s="9"/>
      <c r="F1227" s="9"/>
      <c r="G1227" s="9"/>
      <c r="H1227" s="39"/>
      <c r="I1227" s="9"/>
      <c r="J1227" s="39"/>
      <c r="K1227" s="42"/>
      <c r="L1227" s="9"/>
      <c r="M1227" s="16" t="s">
        <v>193</v>
      </c>
      <c r="AA1227" s="14">
        <f t="shared" si="38"/>
        <v>0</v>
      </c>
      <c r="AB1227" s="47">
        <f t="shared" si="39"/>
        <v>-1</v>
      </c>
      <c r="AD1227" s="53"/>
      <c r="AE1227" s="53"/>
      <c r="AF1227" s="53"/>
      <c r="AG1227" s="53"/>
    </row>
    <row r="1228" spans="1:33" s="46" customFormat="1">
      <c r="A1228" s="39"/>
      <c r="B1228" s="9"/>
      <c r="C1228" s="15"/>
      <c r="D1228" s="41"/>
      <c r="E1228" s="9"/>
      <c r="F1228" s="9"/>
      <c r="G1228" s="9"/>
      <c r="H1228" s="39"/>
      <c r="I1228" s="9"/>
      <c r="J1228" s="39"/>
      <c r="K1228" s="42"/>
      <c r="L1228" s="9"/>
      <c r="M1228" s="16"/>
      <c r="AA1228" s="14">
        <f t="shared" si="38"/>
        <v>0</v>
      </c>
      <c r="AB1228" s="47">
        <f t="shared" si="39"/>
        <v>-1</v>
      </c>
      <c r="AD1228" s="53"/>
      <c r="AE1228" s="53"/>
      <c r="AF1228" s="53"/>
      <c r="AG1228" s="53"/>
    </row>
    <row r="1229" spans="1:33" s="46" customFormat="1">
      <c r="A1229" s="39"/>
      <c r="B1229" s="9"/>
      <c r="C1229" s="15"/>
      <c r="D1229" s="41"/>
      <c r="E1229" s="9"/>
      <c r="F1229" s="9"/>
      <c r="G1229" s="9"/>
      <c r="H1229" s="39"/>
      <c r="I1229" s="9"/>
      <c r="J1229" s="39"/>
      <c r="K1229" s="42"/>
      <c r="L1229" s="9"/>
      <c r="M1229" s="16" t="s">
        <v>193</v>
      </c>
      <c r="AA1229" s="14">
        <f t="shared" si="38"/>
        <v>0</v>
      </c>
      <c r="AB1229" s="47">
        <f t="shared" si="39"/>
        <v>-1</v>
      </c>
      <c r="AD1229" s="53"/>
      <c r="AE1229" s="53"/>
      <c r="AF1229" s="53"/>
      <c r="AG1229" s="53"/>
    </row>
    <row r="1230" spans="1:33" s="46" customFormat="1">
      <c r="A1230" s="39"/>
      <c r="B1230" s="9"/>
      <c r="C1230" s="15"/>
      <c r="D1230" s="41"/>
      <c r="E1230" s="9"/>
      <c r="F1230" s="9"/>
      <c r="G1230" s="9"/>
      <c r="H1230" s="39"/>
      <c r="I1230" s="9"/>
      <c r="J1230" s="39"/>
      <c r="K1230" s="42"/>
      <c r="L1230" s="9"/>
      <c r="M1230" s="16"/>
      <c r="AA1230" s="14">
        <f t="shared" si="38"/>
        <v>0</v>
      </c>
      <c r="AB1230" s="47">
        <f t="shared" si="39"/>
        <v>-1</v>
      </c>
      <c r="AD1230" s="53"/>
      <c r="AE1230" s="53"/>
      <c r="AF1230" s="53"/>
      <c r="AG1230" s="53"/>
    </row>
    <row r="1231" spans="1:33" s="46" customFormat="1">
      <c r="A1231" s="39"/>
      <c r="B1231" s="9"/>
      <c r="C1231" s="15"/>
      <c r="D1231" s="41"/>
      <c r="E1231" s="9"/>
      <c r="F1231" s="9"/>
      <c r="G1231" s="9"/>
      <c r="H1231" s="39"/>
      <c r="I1231" s="9"/>
      <c r="J1231" s="39"/>
      <c r="K1231" s="42"/>
      <c r="L1231" s="9"/>
      <c r="M1231" s="16"/>
      <c r="AA1231" s="14">
        <f t="shared" si="38"/>
        <v>0</v>
      </c>
      <c r="AB1231" s="47">
        <f t="shared" si="39"/>
        <v>-1</v>
      </c>
      <c r="AD1231" s="53"/>
      <c r="AE1231" s="53"/>
      <c r="AF1231" s="53"/>
      <c r="AG1231" s="53"/>
    </row>
    <row r="1232" spans="1:33" s="46" customFormat="1">
      <c r="A1232" s="39"/>
      <c r="B1232" s="9"/>
      <c r="C1232" s="15"/>
      <c r="D1232" s="41"/>
      <c r="E1232" s="9"/>
      <c r="F1232" s="9"/>
      <c r="G1232" s="9"/>
      <c r="H1232" s="39"/>
      <c r="I1232" s="9"/>
      <c r="J1232" s="39"/>
      <c r="K1232" s="42"/>
      <c r="L1232" s="9"/>
      <c r="M1232" s="16"/>
      <c r="AA1232" s="14">
        <f t="shared" si="38"/>
        <v>0</v>
      </c>
      <c r="AB1232" s="47">
        <f t="shared" si="39"/>
        <v>-1</v>
      </c>
      <c r="AD1232" s="53"/>
      <c r="AE1232" s="53"/>
      <c r="AF1232" s="53"/>
      <c r="AG1232" s="53"/>
    </row>
    <row r="1233" spans="1:33" s="46" customFormat="1">
      <c r="A1233" s="39"/>
      <c r="B1233" s="9"/>
      <c r="C1233" s="15"/>
      <c r="D1233" s="41"/>
      <c r="E1233" s="9"/>
      <c r="F1233" s="9"/>
      <c r="G1233" s="9"/>
      <c r="H1233" s="39"/>
      <c r="I1233" s="9"/>
      <c r="J1233" s="39"/>
      <c r="K1233" s="42"/>
      <c r="L1233" s="9"/>
      <c r="M1233" s="16" t="s">
        <v>190</v>
      </c>
      <c r="AA1233" s="14">
        <f t="shared" si="38"/>
        <v>0</v>
      </c>
      <c r="AB1233" s="47">
        <f t="shared" si="39"/>
        <v>-1</v>
      </c>
      <c r="AD1233" s="53"/>
      <c r="AE1233" s="53"/>
      <c r="AF1233" s="53"/>
      <c r="AG1233" s="53"/>
    </row>
    <row r="1234" spans="1:33" s="46" customFormat="1">
      <c r="A1234" s="39"/>
      <c r="B1234" s="9"/>
      <c r="C1234" s="15"/>
      <c r="D1234" s="41"/>
      <c r="E1234" s="9"/>
      <c r="F1234" s="9"/>
      <c r="G1234" s="9"/>
      <c r="H1234" s="39"/>
      <c r="I1234" s="9"/>
      <c r="J1234" s="39"/>
      <c r="K1234" s="42"/>
      <c r="L1234" s="9"/>
      <c r="M1234" s="16" t="s">
        <v>190</v>
      </c>
      <c r="AA1234" s="14">
        <f t="shared" si="38"/>
        <v>0</v>
      </c>
      <c r="AB1234" s="47">
        <f t="shared" si="39"/>
        <v>-1</v>
      </c>
      <c r="AD1234" s="53"/>
      <c r="AE1234" s="53"/>
      <c r="AF1234" s="53"/>
      <c r="AG1234" s="53"/>
    </row>
    <row r="1235" spans="1:33" s="46" customFormat="1">
      <c r="A1235" s="39"/>
      <c r="B1235" s="9"/>
      <c r="C1235" s="15"/>
      <c r="D1235" s="41"/>
      <c r="E1235" s="9"/>
      <c r="F1235" s="9"/>
      <c r="G1235" s="9"/>
      <c r="H1235" s="39"/>
      <c r="I1235" s="9"/>
      <c r="J1235" s="39"/>
      <c r="K1235" s="42"/>
      <c r="L1235" s="9"/>
      <c r="M1235" s="16"/>
      <c r="AA1235" s="14">
        <f t="shared" si="38"/>
        <v>0</v>
      </c>
      <c r="AB1235" s="47">
        <f t="shared" si="39"/>
        <v>-1</v>
      </c>
      <c r="AD1235" s="53"/>
      <c r="AE1235" s="53"/>
      <c r="AF1235" s="53"/>
      <c r="AG1235" s="53"/>
    </row>
    <row r="1236" spans="1:33" s="46" customFormat="1">
      <c r="A1236" s="39"/>
      <c r="B1236" s="9"/>
      <c r="C1236" s="15"/>
      <c r="D1236" s="41"/>
      <c r="E1236" s="9"/>
      <c r="F1236" s="9"/>
      <c r="G1236" s="9"/>
      <c r="H1236" s="39"/>
      <c r="I1236" s="9"/>
      <c r="J1236" s="39"/>
      <c r="K1236" s="42"/>
      <c r="L1236" s="9"/>
      <c r="M1236" s="16"/>
      <c r="AA1236" s="14">
        <f t="shared" si="38"/>
        <v>0</v>
      </c>
      <c r="AB1236" s="47">
        <f t="shared" si="39"/>
        <v>-1</v>
      </c>
      <c r="AD1236" s="53"/>
      <c r="AE1236" s="53"/>
      <c r="AF1236" s="53"/>
      <c r="AG1236" s="53"/>
    </row>
    <row r="1237" spans="1:33" s="46" customFormat="1">
      <c r="A1237" s="39"/>
      <c r="B1237" s="9"/>
      <c r="C1237" s="15"/>
      <c r="D1237" s="41"/>
      <c r="E1237" s="9"/>
      <c r="F1237" s="9"/>
      <c r="G1237" s="9"/>
      <c r="H1237" s="39"/>
      <c r="I1237" s="9"/>
      <c r="J1237" s="39"/>
      <c r="K1237" s="42"/>
      <c r="L1237" s="9"/>
      <c r="M1237" s="16"/>
      <c r="AA1237" s="14">
        <f t="shared" si="38"/>
        <v>0</v>
      </c>
      <c r="AB1237" s="47">
        <f t="shared" si="39"/>
        <v>-1</v>
      </c>
      <c r="AD1237" s="53"/>
      <c r="AE1237" s="53"/>
      <c r="AF1237" s="53"/>
      <c r="AG1237" s="53"/>
    </row>
    <row r="1238" spans="1:33" s="46" customFormat="1">
      <c r="A1238" s="39"/>
      <c r="B1238" s="9"/>
      <c r="C1238" s="15"/>
      <c r="D1238" s="41"/>
      <c r="E1238" s="9"/>
      <c r="F1238" s="9"/>
      <c r="G1238" s="9"/>
      <c r="H1238" s="39"/>
      <c r="I1238" s="9"/>
      <c r="J1238" s="39"/>
      <c r="K1238" s="42"/>
      <c r="L1238" s="9"/>
      <c r="M1238" s="16"/>
      <c r="AA1238" s="14">
        <f t="shared" si="38"/>
        <v>0</v>
      </c>
      <c r="AB1238" s="47">
        <f t="shared" si="39"/>
        <v>-1</v>
      </c>
      <c r="AD1238" s="53"/>
      <c r="AE1238" s="53"/>
      <c r="AF1238" s="53"/>
      <c r="AG1238" s="53"/>
    </row>
    <row r="1239" spans="1:33" s="46" customFormat="1">
      <c r="A1239" s="39"/>
      <c r="B1239" s="9"/>
      <c r="C1239" s="15"/>
      <c r="D1239" s="41"/>
      <c r="E1239" s="9"/>
      <c r="F1239" s="9"/>
      <c r="G1239" s="9"/>
      <c r="H1239" s="39"/>
      <c r="I1239" s="9"/>
      <c r="J1239" s="39"/>
      <c r="K1239" s="42"/>
      <c r="L1239" s="9"/>
      <c r="M1239" s="16"/>
      <c r="AA1239" s="14">
        <f t="shared" si="38"/>
        <v>0</v>
      </c>
      <c r="AB1239" s="47">
        <f t="shared" si="39"/>
        <v>-1</v>
      </c>
      <c r="AD1239" s="53"/>
      <c r="AE1239" s="53"/>
      <c r="AF1239" s="53"/>
      <c r="AG1239" s="53"/>
    </row>
    <row r="1240" spans="1:33" s="46" customFormat="1">
      <c r="A1240" s="39"/>
      <c r="B1240" s="9"/>
      <c r="C1240" s="15"/>
      <c r="D1240" s="41"/>
      <c r="E1240" s="9"/>
      <c r="F1240" s="9"/>
      <c r="G1240" s="9"/>
      <c r="H1240" s="39"/>
      <c r="I1240" s="9"/>
      <c r="J1240" s="39"/>
      <c r="K1240" s="42"/>
      <c r="L1240" s="9"/>
      <c r="M1240" s="16"/>
      <c r="AA1240" s="14">
        <f t="shared" si="38"/>
        <v>0</v>
      </c>
      <c r="AB1240" s="47">
        <f t="shared" si="39"/>
        <v>-1</v>
      </c>
      <c r="AD1240" s="53"/>
      <c r="AE1240" s="53"/>
      <c r="AF1240" s="53"/>
      <c r="AG1240" s="53"/>
    </row>
    <row r="1241" spans="1:33" s="46" customFormat="1">
      <c r="A1241" s="39"/>
      <c r="B1241" s="9"/>
      <c r="C1241" s="15"/>
      <c r="D1241" s="41"/>
      <c r="E1241" s="9"/>
      <c r="F1241" s="9"/>
      <c r="G1241" s="9"/>
      <c r="H1241" s="39"/>
      <c r="I1241" s="9"/>
      <c r="J1241" s="39"/>
      <c r="K1241" s="42"/>
      <c r="L1241" s="9"/>
      <c r="M1241" s="16"/>
      <c r="AA1241" s="14">
        <f t="shared" si="38"/>
        <v>0</v>
      </c>
      <c r="AB1241" s="47">
        <f t="shared" si="39"/>
        <v>-1</v>
      </c>
      <c r="AD1241" s="53"/>
      <c r="AE1241" s="53"/>
      <c r="AF1241" s="53"/>
      <c r="AG1241" s="53"/>
    </row>
    <row r="1242" spans="1:33" s="46" customFormat="1">
      <c r="A1242" s="39"/>
      <c r="B1242" s="9"/>
      <c r="C1242" s="15"/>
      <c r="D1242" s="41"/>
      <c r="E1242" s="9"/>
      <c r="F1242" s="9"/>
      <c r="G1242" s="9"/>
      <c r="H1242" s="39"/>
      <c r="I1242" s="9"/>
      <c r="J1242" s="39"/>
      <c r="K1242" s="42"/>
      <c r="L1242" s="9"/>
      <c r="M1242" s="16"/>
      <c r="AA1242" s="14">
        <f t="shared" si="38"/>
        <v>0</v>
      </c>
      <c r="AB1242" s="47">
        <f t="shared" si="39"/>
        <v>-1</v>
      </c>
      <c r="AD1242" s="53"/>
      <c r="AE1242" s="53"/>
      <c r="AF1242" s="53"/>
      <c r="AG1242" s="53"/>
    </row>
    <row r="1243" spans="1:33" s="46" customFormat="1">
      <c r="A1243" s="39"/>
      <c r="B1243" s="9"/>
      <c r="C1243" s="15"/>
      <c r="D1243" s="41"/>
      <c r="E1243" s="9"/>
      <c r="F1243" s="9"/>
      <c r="G1243" s="9"/>
      <c r="H1243" s="39"/>
      <c r="I1243" s="9"/>
      <c r="J1243" s="39"/>
      <c r="K1243" s="42"/>
      <c r="L1243" s="9"/>
      <c r="M1243" s="16"/>
      <c r="AA1243" s="14">
        <f t="shared" si="38"/>
        <v>0</v>
      </c>
      <c r="AB1243" s="47">
        <f t="shared" si="39"/>
        <v>-1</v>
      </c>
      <c r="AD1243" s="53"/>
      <c r="AE1243" s="53"/>
      <c r="AF1243" s="53"/>
      <c r="AG1243" s="53"/>
    </row>
    <row r="1244" spans="1:33" s="46" customFormat="1">
      <c r="A1244" s="39"/>
      <c r="B1244" s="9"/>
      <c r="C1244" s="15"/>
      <c r="D1244" s="41"/>
      <c r="E1244" s="9"/>
      <c r="F1244" s="9"/>
      <c r="G1244" s="9"/>
      <c r="H1244" s="39"/>
      <c r="I1244" s="9"/>
      <c r="J1244" s="39"/>
      <c r="K1244" s="42"/>
      <c r="L1244" s="9"/>
      <c r="M1244" s="16"/>
      <c r="AA1244" s="14">
        <f t="shared" si="38"/>
        <v>0</v>
      </c>
      <c r="AB1244" s="47">
        <f t="shared" si="39"/>
        <v>-1</v>
      </c>
      <c r="AD1244" s="53"/>
      <c r="AE1244" s="53"/>
      <c r="AF1244" s="53"/>
      <c r="AG1244" s="53"/>
    </row>
    <row r="1245" spans="1:33" s="46" customFormat="1">
      <c r="A1245" s="39"/>
      <c r="B1245" s="9"/>
      <c r="C1245" s="15"/>
      <c r="D1245" s="41"/>
      <c r="E1245" s="9"/>
      <c r="F1245" s="9"/>
      <c r="G1245" s="9"/>
      <c r="H1245" s="39"/>
      <c r="I1245" s="9"/>
      <c r="J1245" s="39"/>
      <c r="K1245" s="42"/>
      <c r="L1245" s="9"/>
      <c r="M1245" s="16"/>
      <c r="AA1245" s="14">
        <f t="shared" si="38"/>
        <v>0</v>
      </c>
      <c r="AB1245" s="47">
        <f t="shared" si="39"/>
        <v>-1</v>
      </c>
      <c r="AD1245" s="53"/>
      <c r="AE1245" s="53"/>
      <c r="AF1245" s="53"/>
      <c r="AG1245" s="53"/>
    </row>
    <row r="1246" spans="1:33" s="46" customFormat="1">
      <c r="A1246" s="39"/>
      <c r="B1246" s="9"/>
      <c r="C1246" s="15"/>
      <c r="D1246" s="41"/>
      <c r="E1246" s="9"/>
      <c r="F1246" s="9"/>
      <c r="G1246" s="9"/>
      <c r="H1246" s="39"/>
      <c r="I1246" s="9"/>
      <c r="J1246" s="39"/>
      <c r="K1246" s="42"/>
      <c r="L1246" s="9"/>
      <c r="M1246" s="16"/>
      <c r="AA1246" s="14">
        <f t="shared" si="38"/>
        <v>0</v>
      </c>
      <c r="AB1246" s="47">
        <f t="shared" si="39"/>
        <v>-1</v>
      </c>
      <c r="AD1246" s="53"/>
      <c r="AE1246" s="53"/>
      <c r="AF1246" s="53"/>
      <c r="AG1246" s="53"/>
    </row>
    <row r="1247" spans="1:33" s="46" customFormat="1">
      <c r="A1247" s="39"/>
      <c r="B1247" s="9"/>
      <c r="C1247" s="15"/>
      <c r="D1247" s="41"/>
      <c r="E1247" s="9"/>
      <c r="F1247" s="9"/>
      <c r="G1247" s="9"/>
      <c r="H1247" s="39"/>
      <c r="I1247" s="9"/>
      <c r="J1247" s="39"/>
      <c r="K1247" s="42"/>
      <c r="L1247" s="9"/>
      <c r="M1247" s="16"/>
      <c r="AA1247" s="14">
        <f t="shared" si="38"/>
        <v>0</v>
      </c>
      <c r="AB1247" s="47">
        <f t="shared" si="39"/>
        <v>-1</v>
      </c>
      <c r="AD1247" s="53"/>
      <c r="AE1247" s="53"/>
      <c r="AF1247" s="53"/>
      <c r="AG1247" s="53"/>
    </row>
    <row r="1248" spans="1:33" s="46" customFormat="1">
      <c r="A1248" s="39"/>
      <c r="B1248" s="9"/>
      <c r="C1248" s="15"/>
      <c r="D1248" s="41"/>
      <c r="E1248" s="9"/>
      <c r="F1248" s="9"/>
      <c r="G1248" s="9"/>
      <c r="H1248" s="39"/>
      <c r="I1248" s="9"/>
      <c r="J1248" s="39"/>
      <c r="K1248" s="42"/>
      <c r="L1248" s="9"/>
      <c r="M1248" s="16"/>
      <c r="AA1248" s="14">
        <f t="shared" si="38"/>
        <v>0</v>
      </c>
      <c r="AB1248" s="47">
        <f t="shared" si="39"/>
        <v>-1</v>
      </c>
      <c r="AD1248" s="53"/>
      <c r="AE1248" s="53"/>
      <c r="AF1248" s="53"/>
      <c r="AG1248" s="53"/>
    </row>
    <row r="1249" spans="1:33" s="46" customFormat="1">
      <c r="A1249" s="39"/>
      <c r="B1249" s="9"/>
      <c r="C1249" s="15"/>
      <c r="D1249" s="41"/>
      <c r="E1249" s="9"/>
      <c r="F1249" s="9"/>
      <c r="G1249" s="9"/>
      <c r="H1249" s="39"/>
      <c r="I1249" s="9"/>
      <c r="J1249" s="39"/>
      <c r="K1249" s="42"/>
      <c r="L1249" s="9"/>
      <c r="M1249" s="16"/>
      <c r="AA1249" s="14">
        <f t="shared" si="38"/>
        <v>0</v>
      </c>
      <c r="AB1249" s="47">
        <f t="shared" si="39"/>
        <v>-1</v>
      </c>
      <c r="AD1249" s="53"/>
      <c r="AE1249" s="53"/>
      <c r="AF1249" s="53"/>
      <c r="AG1249" s="53"/>
    </row>
    <row r="1250" spans="1:33" s="46" customFormat="1">
      <c r="A1250" s="39"/>
      <c r="B1250" s="9"/>
      <c r="C1250" s="15"/>
      <c r="D1250" s="41"/>
      <c r="E1250" s="9"/>
      <c r="F1250" s="9"/>
      <c r="G1250" s="9"/>
      <c r="H1250" s="39"/>
      <c r="I1250" s="9"/>
      <c r="J1250" s="39"/>
      <c r="K1250" s="42"/>
      <c r="L1250" s="9"/>
      <c r="M1250" s="16" t="s">
        <v>191</v>
      </c>
      <c r="AA1250" s="14">
        <f t="shared" si="38"/>
        <v>0</v>
      </c>
      <c r="AB1250" s="47">
        <f t="shared" si="39"/>
        <v>-1</v>
      </c>
      <c r="AD1250" s="53"/>
      <c r="AE1250" s="53"/>
      <c r="AF1250" s="53"/>
      <c r="AG1250" s="53"/>
    </row>
    <row r="1251" spans="1:33" s="46" customFormat="1">
      <c r="A1251" s="39"/>
      <c r="B1251" s="9"/>
      <c r="C1251" s="15"/>
      <c r="D1251" s="41"/>
      <c r="E1251" s="9"/>
      <c r="F1251" s="9"/>
      <c r="G1251" s="9"/>
      <c r="H1251" s="39"/>
      <c r="I1251" s="9"/>
      <c r="J1251" s="39"/>
      <c r="K1251" s="42"/>
      <c r="L1251" s="9"/>
      <c r="M1251" s="16"/>
      <c r="AA1251" s="14">
        <f t="shared" si="38"/>
        <v>0</v>
      </c>
      <c r="AB1251" s="47">
        <f t="shared" si="39"/>
        <v>-1</v>
      </c>
      <c r="AD1251" s="53"/>
      <c r="AE1251" s="53"/>
      <c r="AF1251" s="53"/>
      <c r="AG1251" s="53"/>
    </row>
    <row r="1252" spans="1:33" s="46" customFormat="1">
      <c r="A1252" s="39"/>
      <c r="B1252" s="9"/>
      <c r="C1252" s="15"/>
      <c r="D1252" s="41"/>
      <c r="E1252" s="9"/>
      <c r="F1252" s="9"/>
      <c r="G1252" s="9"/>
      <c r="H1252" s="39"/>
      <c r="I1252" s="9"/>
      <c r="J1252" s="39"/>
      <c r="K1252" s="42"/>
      <c r="L1252" s="9"/>
      <c r="M1252" s="16" t="s">
        <v>191</v>
      </c>
      <c r="AA1252" s="14">
        <f t="shared" si="38"/>
        <v>0</v>
      </c>
      <c r="AB1252" s="47">
        <f t="shared" si="39"/>
        <v>-1</v>
      </c>
      <c r="AD1252" s="53"/>
      <c r="AE1252" s="53"/>
      <c r="AF1252" s="53"/>
      <c r="AG1252" s="53"/>
    </row>
    <row r="1253" spans="1:33" s="46" customFormat="1">
      <c r="A1253" s="39"/>
      <c r="B1253" s="9"/>
      <c r="C1253" s="15"/>
      <c r="D1253" s="41"/>
      <c r="E1253" s="9"/>
      <c r="F1253" s="9"/>
      <c r="G1253" s="9"/>
      <c r="H1253" s="39"/>
      <c r="I1253" s="9"/>
      <c r="J1253" s="39"/>
      <c r="K1253" s="42"/>
      <c r="L1253" s="9"/>
      <c r="M1253" s="16"/>
      <c r="AA1253" s="14">
        <f t="shared" si="38"/>
        <v>0</v>
      </c>
      <c r="AB1253" s="47">
        <f t="shared" si="39"/>
        <v>-1</v>
      </c>
      <c r="AD1253" s="53"/>
      <c r="AE1253" s="53"/>
      <c r="AF1253" s="53"/>
      <c r="AG1253" s="53"/>
    </row>
    <row r="1254" spans="1:33" s="46" customFormat="1">
      <c r="A1254" s="39"/>
      <c r="B1254" s="9"/>
      <c r="C1254" s="15"/>
      <c r="D1254" s="41"/>
      <c r="E1254" s="9"/>
      <c r="F1254" s="9"/>
      <c r="G1254" s="9"/>
      <c r="H1254" s="39"/>
      <c r="I1254" s="9"/>
      <c r="J1254" s="39"/>
      <c r="K1254" s="42"/>
      <c r="L1254" s="9"/>
      <c r="M1254" s="16"/>
      <c r="AA1254" s="14">
        <f t="shared" si="38"/>
        <v>0</v>
      </c>
      <c r="AB1254" s="47">
        <f t="shared" si="39"/>
        <v>-1</v>
      </c>
      <c r="AD1254" s="53"/>
      <c r="AE1254" s="53"/>
      <c r="AF1254" s="53"/>
      <c r="AG1254" s="53"/>
    </row>
    <row r="1255" spans="1:33" s="46" customFormat="1">
      <c r="A1255" s="39"/>
      <c r="B1255" s="9"/>
      <c r="C1255" s="15"/>
      <c r="D1255" s="41"/>
      <c r="E1255" s="9"/>
      <c r="F1255" s="9"/>
      <c r="G1255" s="9"/>
      <c r="H1255" s="39"/>
      <c r="I1255" s="9"/>
      <c r="J1255" s="39"/>
      <c r="K1255" s="42"/>
      <c r="L1255" s="9"/>
      <c r="M1255" s="16"/>
      <c r="AA1255" s="14">
        <f t="shared" si="38"/>
        <v>0</v>
      </c>
      <c r="AB1255" s="47">
        <f t="shared" si="39"/>
        <v>-1</v>
      </c>
      <c r="AD1255" s="53"/>
      <c r="AE1255" s="53"/>
      <c r="AF1255" s="53"/>
      <c r="AG1255" s="53"/>
    </row>
    <row r="1256" spans="1:33" s="46" customFormat="1">
      <c r="A1256" s="39"/>
      <c r="B1256" s="9"/>
      <c r="C1256" s="15"/>
      <c r="D1256" s="41"/>
      <c r="E1256" s="9"/>
      <c r="F1256" s="9"/>
      <c r="G1256" s="9"/>
      <c r="H1256" s="39"/>
      <c r="I1256" s="9"/>
      <c r="J1256" s="39"/>
      <c r="K1256" s="42"/>
      <c r="L1256" s="9"/>
      <c r="M1256" s="16"/>
      <c r="AA1256" s="14">
        <f t="shared" ref="AA1256:AA1319" si="40">C1256-C1255</f>
        <v>0</v>
      </c>
      <c r="AB1256" s="47">
        <f t="shared" ref="AB1256:AB1319" si="41">AA1256-1</f>
        <v>-1</v>
      </c>
      <c r="AD1256" s="53"/>
      <c r="AE1256" s="53"/>
      <c r="AF1256" s="53"/>
      <c r="AG1256" s="53"/>
    </row>
    <row r="1257" spans="1:33" s="46" customFormat="1">
      <c r="A1257" s="39"/>
      <c r="B1257" s="9"/>
      <c r="C1257" s="15"/>
      <c r="D1257" s="41"/>
      <c r="E1257" s="9"/>
      <c r="F1257" s="9"/>
      <c r="G1257" s="9"/>
      <c r="H1257" s="39"/>
      <c r="I1257" s="9"/>
      <c r="J1257" s="39"/>
      <c r="K1257" s="42"/>
      <c r="L1257" s="9"/>
      <c r="M1257" s="16"/>
      <c r="AA1257" s="14">
        <f t="shared" si="40"/>
        <v>0</v>
      </c>
      <c r="AB1257" s="47">
        <f t="shared" si="41"/>
        <v>-1</v>
      </c>
      <c r="AD1257" s="53"/>
      <c r="AE1257" s="53"/>
      <c r="AF1257" s="53"/>
      <c r="AG1257" s="53"/>
    </row>
    <row r="1258" spans="1:33" s="46" customFormat="1">
      <c r="A1258" s="39"/>
      <c r="B1258" s="9"/>
      <c r="C1258" s="15"/>
      <c r="D1258" s="41"/>
      <c r="E1258" s="9"/>
      <c r="F1258" s="9"/>
      <c r="G1258" s="9"/>
      <c r="H1258" s="39"/>
      <c r="I1258" s="9"/>
      <c r="J1258" s="39"/>
      <c r="K1258" s="42"/>
      <c r="L1258" s="9"/>
      <c r="M1258" s="16"/>
      <c r="AA1258" s="14">
        <f t="shared" si="40"/>
        <v>0</v>
      </c>
      <c r="AB1258" s="47">
        <f t="shared" si="41"/>
        <v>-1</v>
      </c>
      <c r="AD1258" s="53"/>
      <c r="AE1258" s="53"/>
      <c r="AF1258" s="53"/>
      <c r="AG1258" s="53"/>
    </row>
    <row r="1259" spans="1:33" s="46" customFormat="1">
      <c r="A1259" s="39"/>
      <c r="B1259" s="9"/>
      <c r="C1259" s="15"/>
      <c r="D1259" s="41"/>
      <c r="E1259" s="9"/>
      <c r="F1259" s="9"/>
      <c r="G1259" s="9"/>
      <c r="H1259" s="39"/>
      <c r="I1259" s="9"/>
      <c r="J1259" s="39"/>
      <c r="K1259" s="42"/>
      <c r="L1259" s="9"/>
      <c r="M1259" s="16"/>
      <c r="AA1259" s="14">
        <f t="shared" si="40"/>
        <v>0</v>
      </c>
      <c r="AB1259" s="47">
        <f t="shared" si="41"/>
        <v>-1</v>
      </c>
      <c r="AD1259" s="53"/>
      <c r="AE1259" s="53"/>
      <c r="AF1259" s="53"/>
      <c r="AG1259" s="53"/>
    </row>
    <row r="1260" spans="1:33" s="46" customFormat="1">
      <c r="A1260" s="39"/>
      <c r="B1260" s="9"/>
      <c r="C1260" s="15"/>
      <c r="D1260" s="41"/>
      <c r="E1260" s="9"/>
      <c r="F1260" s="9"/>
      <c r="G1260" s="9"/>
      <c r="H1260" s="39"/>
      <c r="I1260" s="9"/>
      <c r="J1260" s="39"/>
      <c r="K1260" s="42"/>
      <c r="L1260" s="9"/>
      <c r="M1260" s="16"/>
      <c r="AA1260" s="14">
        <f t="shared" si="40"/>
        <v>0</v>
      </c>
      <c r="AB1260" s="47">
        <f t="shared" si="41"/>
        <v>-1</v>
      </c>
      <c r="AD1260" s="53"/>
      <c r="AE1260" s="53"/>
      <c r="AF1260" s="53"/>
      <c r="AG1260" s="53"/>
    </row>
    <row r="1261" spans="1:33" s="46" customFormat="1">
      <c r="A1261" s="39"/>
      <c r="B1261" s="9"/>
      <c r="C1261" s="15"/>
      <c r="D1261" s="41"/>
      <c r="E1261" s="9"/>
      <c r="F1261" s="9"/>
      <c r="G1261" s="9"/>
      <c r="H1261" s="39"/>
      <c r="I1261" s="9"/>
      <c r="J1261" s="39"/>
      <c r="K1261" s="42"/>
      <c r="L1261" s="9"/>
      <c r="M1261" s="16"/>
      <c r="AA1261" s="14">
        <f t="shared" si="40"/>
        <v>0</v>
      </c>
      <c r="AB1261" s="47">
        <f t="shared" si="41"/>
        <v>-1</v>
      </c>
      <c r="AD1261" s="53"/>
      <c r="AE1261" s="53"/>
      <c r="AF1261" s="53"/>
      <c r="AG1261" s="53"/>
    </row>
    <row r="1262" spans="1:33" s="46" customFormat="1">
      <c r="A1262" s="39"/>
      <c r="B1262" s="9"/>
      <c r="C1262" s="15"/>
      <c r="D1262" s="41"/>
      <c r="E1262" s="9"/>
      <c r="F1262" s="9"/>
      <c r="G1262" s="9"/>
      <c r="H1262" s="39"/>
      <c r="I1262" s="9"/>
      <c r="J1262" s="39"/>
      <c r="K1262" s="42"/>
      <c r="L1262" s="9"/>
      <c r="M1262" s="16"/>
      <c r="AA1262" s="14">
        <f t="shared" si="40"/>
        <v>0</v>
      </c>
      <c r="AB1262" s="47">
        <f t="shared" si="41"/>
        <v>-1</v>
      </c>
      <c r="AD1262" s="53"/>
      <c r="AE1262" s="53"/>
      <c r="AF1262" s="53"/>
      <c r="AG1262" s="53"/>
    </row>
    <row r="1263" spans="1:33" s="46" customFormat="1">
      <c r="A1263" s="39"/>
      <c r="B1263" s="9"/>
      <c r="C1263" s="15"/>
      <c r="D1263" s="41"/>
      <c r="E1263" s="9"/>
      <c r="F1263" s="9"/>
      <c r="G1263" s="9"/>
      <c r="H1263" s="39"/>
      <c r="I1263" s="9"/>
      <c r="J1263" s="39"/>
      <c r="K1263" s="42"/>
      <c r="L1263" s="9"/>
      <c r="M1263" s="16"/>
      <c r="AA1263" s="14">
        <f t="shared" si="40"/>
        <v>0</v>
      </c>
      <c r="AB1263" s="47">
        <f t="shared" si="41"/>
        <v>-1</v>
      </c>
      <c r="AD1263" s="53"/>
      <c r="AE1263" s="53"/>
      <c r="AF1263" s="53"/>
      <c r="AG1263" s="53"/>
    </row>
    <row r="1264" spans="1:33" s="46" customFormat="1">
      <c r="A1264" s="39"/>
      <c r="B1264" s="9"/>
      <c r="C1264" s="15"/>
      <c r="D1264" s="41"/>
      <c r="E1264" s="9"/>
      <c r="F1264" s="9"/>
      <c r="G1264" s="9"/>
      <c r="H1264" s="39"/>
      <c r="I1264" s="9"/>
      <c r="J1264" s="39"/>
      <c r="K1264" s="42"/>
      <c r="L1264" s="9"/>
      <c r="M1264" s="16"/>
      <c r="AA1264" s="14">
        <f t="shared" si="40"/>
        <v>0</v>
      </c>
      <c r="AB1264" s="47">
        <f t="shared" si="41"/>
        <v>-1</v>
      </c>
      <c r="AD1264" s="53"/>
      <c r="AE1264" s="53"/>
      <c r="AF1264" s="53"/>
      <c r="AG1264" s="53"/>
    </row>
    <row r="1265" spans="1:33" s="46" customFormat="1">
      <c r="A1265" s="39"/>
      <c r="B1265" s="9"/>
      <c r="C1265" s="15"/>
      <c r="D1265" s="41"/>
      <c r="E1265" s="9"/>
      <c r="F1265" s="9"/>
      <c r="G1265" s="9"/>
      <c r="H1265" s="39"/>
      <c r="I1265" s="9"/>
      <c r="J1265" s="39"/>
      <c r="K1265" s="42"/>
      <c r="L1265" s="9"/>
      <c r="M1265" s="16"/>
      <c r="AA1265" s="14">
        <f t="shared" si="40"/>
        <v>0</v>
      </c>
      <c r="AB1265" s="47">
        <f t="shared" si="41"/>
        <v>-1</v>
      </c>
      <c r="AD1265" s="53"/>
      <c r="AE1265" s="53"/>
      <c r="AF1265" s="53"/>
      <c r="AG1265" s="53"/>
    </row>
    <row r="1266" spans="1:33" s="46" customFormat="1">
      <c r="A1266" s="39"/>
      <c r="B1266" s="9"/>
      <c r="C1266" s="15"/>
      <c r="D1266" s="41"/>
      <c r="E1266" s="9"/>
      <c r="F1266" s="9"/>
      <c r="G1266" s="9"/>
      <c r="H1266" s="39"/>
      <c r="I1266" s="9"/>
      <c r="J1266" s="39"/>
      <c r="K1266" s="42"/>
      <c r="L1266" s="9"/>
      <c r="M1266" s="16"/>
      <c r="AA1266" s="14">
        <f t="shared" si="40"/>
        <v>0</v>
      </c>
      <c r="AB1266" s="47">
        <f t="shared" si="41"/>
        <v>-1</v>
      </c>
      <c r="AD1266" s="53"/>
      <c r="AE1266" s="53"/>
      <c r="AF1266" s="53"/>
      <c r="AG1266" s="53"/>
    </row>
    <row r="1267" spans="1:33" s="46" customFormat="1">
      <c r="A1267" s="39"/>
      <c r="B1267" s="9"/>
      <c r="C1267" s="15"/>
      <c r="D1267" s="41"/>
      <c r="E1267" s="9"/>
      <c r="F1267" s="9"/>
      <c r="G1267" s="9"/>
      <c r="H1267" s="39"/>
      <c r="I1267" s="9"/>
      <c r="J1267" s="39"/>
      <c r="K1267" s="42"/>
      <c r="L1267" s="9"/>
      <c r="M1267" s="16" t="s">
        <v>190</v>
      </c>
      <c r="AA1267" s="14">
        <f t="shared" si="40"/>
        <v>0</v>
      </c>
      <c r="AB1267" s="47">
        <f t="shared" si="41"/>
        <v>-1</v>
      </c>
      <c r="AD1267" s="53"/>
      <c r="AE1267" s="53"/>
      <c r="AF1267" s="53"/>
      <c r="AG1267" s="53"/>
    </row>
    <row r="1268" spans="1:33" s="46" customFormat="1">
      <c r="A1268" s="39"/>
      <c r="B1268" s="9"/>
      <c r="C1268" s="15"/>
      <c r="D1268" s="41"/>
      <c r="E1268" s="9"/>
      <c r="F1268" s="9"/>
      <c r="G1268" s="9"/>
      <c r="H1268" s="39"/>
      <c r="I1268" s="9"/>
      <c r="J1268" s="39"/>
      <c r="K1268" s="42"/>
      <c r="L1268" s="9"/>
      <c r="M1268" s="16"/>
      <c r="AA1268" s="14">
        <f t="shared" si="40"/>
        <v>0</v>
      </c>
      <c r="AB1268" s="47">
        <f t="shared" si="41"/>
        <v>-1</v>
      </c>
      <c r="AD1268" s="53"/>
      <c r="AE1268" s="53"/>
      <c r="AF1268" s="53"/>
      <c r="AG1268" s="53"/>
    </row>
    <row r="1269" spans="1:33" s="46" customFormat="1">
      <c r="A1269" s="39"/>
      <c r="B1269" s="9"/>
      <c r="C1269" s="15"/>
      <c r="D1269" s="41"/>
      <c r="E1269" s="9"/>
      <c r="F1269" s="9"/>
      <c r="G1269" s="9"/>
      <c r="H1269" s="39"/>
      <c r="I1269" s="9"/>
      <c r="J1269" s="39"/>
      <c r="K1269" s="42"/>
      <c r="L1269" s="9"/>
      <c r="M1269" s="16"/>
      <c r="AA1269" s="14">
        <f t="shared" si="40"/>
        <v>0</v>
      </c>
      <c r="AB1269" s="47">
        <f t="shared" si="41"/>
        <v>-1</v>
      </c>
      <c r="AD1269" s="53"/>
      <c r="AE1269" s="53"/>
      <c r="AF1269" s="53"/>
      <c r="AG1269" s="53"/>
    </row>
    <row r="1270" spans="1:33" s="46" customFormat="1">
      <c r="A1270" s="39"/>
      <c r="B1270" s="9"/>
      <c r="C1270" s="15"/>
      <c r="D1270" s="41"/>
      <c r="E1270" s="9"/>
      <c r="F1270" s="9"/>
      <c r="G1270" s="9"/>
      <c r="H1270" s="39"/>
      <c r="I1270" s="9"/>
      <c r="J1270" s="39"/>
      <c r="K1270" s="42"/>
      <c r="L1270" s="9"/>
      <c r="M1270" s="16"/>
      <c r="AA1270" s="14">
        <f t="shared" si="40"/>
        <v>0</v>
      </c>
      <c r="AB1270" s="47">
        <f t="shared" si="41"/>
        <v>-1</v>
      </c>
      <c r="AD1270" s="53"/>
      <c r="AE1270" s="53"/>
      <c r="AF1270" s="53"/>
      <c r="AG1270" s="53"/>
    </row>
    <row r="1271" spans="1:33" s="46" customFormat="1">
      <c r="A1271" s="39"/>
      <c r="B1271" s="9"/>
      <c r="C1271" s="15"/>
      <c r="D1271" s="41"/>
      <c r="E1271" s="9"/>
      <c r="F1271" s="9"/>
      <c r="G1271" s="9"/>
      <c r="H1271" s="39"/>
      <c r="I1271" s="9"/>
      <c r="J1271" s="39"/>
      <c r="K1271" s="42"/>
      <c r="L1271" s="9"/>
      <c r="M1271" s="16"/>
      <c r="AA1271" s="14">
        <f t="shared" si="40"/>
        <v>0</v>
      </c>
      <c r="AB1271" s="47">
        <f t="shared" si="41"/>
        <v>-1</v>
      </c>
      <c r="AD1271" s="53"/>
      <c r="AE1271" s="53"/>
      <c r="AF1271" s="53"/>
      <c r="AG1271" s="53"/>
    </row>
    <row r="1272" spans="1:33" s="46" customFormat="1">
      <c r="A1272" s="39"/>
      <c r="B1272" s="9"/>
      <c r="C1272" s="15"/>
      <c r="D1272" s="41"/>
      <c r="E1272" s="9"/>
      <c r="F1272" s="9"/>
      <c r="G1272" s="9"/>
      <c r="H1272" s="39"/>
      <c r="I1272" s="9"/>
      <c r="J1272" s="39"/>
      <c r="K1272" s="42"/>
      <c r="L1272" s="9"/>
      <c r="M1272" s="16"/>
      <c r="AA1272" s="14">
        <f t="shared" si="40"/>
        <v>0</v>
      </c>
      <c r="AB1272" s="47">
        <f t="shared" si="41"/>
        <v>-1</v>
      </c>
      <c r="AD1272" s="53"/>
      <c r="AE1272" s="53"/>
      <c r="AF1272" s="53"/>
      <c r="AG1272" s="53"/>
    </row>
    <row r="1273" spans="1:33" s="46" customFormat="1">
      <c r="A1273" s="39"/>
      <c r="B1273" s="9"/>
      <c r="C1273" s="15"/>
      <c r="D1273" s="41"/>
      <c r="E1273" s="9"/>
      <c r="F1273" s="9"/>
      <c r="G1273" s="9"/>
      <c r="H1273" s="39"/>
      <c r="I1273" s="9"/>
      <c r="J1273" s="39"/>
      <c r="K1273" s="42"/>
      <c r="L1273" s="9"/>
      <c r="M1273" s="16"/>
      <c r="AA1273" s="14">
        <f t="shared" si="40"/>
        <v>0</v>
      </c>
      <c r="AB1273" s="47">
        <f t="shared" si="41"/>
        <v>-1</v>
      </c>
      <c r="AD1273" s="53"/>
      <c r="AE1273" s="53"/>
      <c r="AF1273" s="53"/>
      <c r="AG1273" s="53"/>
    </row>
    <row r="1274" spans="1:33" s="46" customFormat="1">
      <c r="A1274" s="39"/>
      <c r="B1274" s="9"/>
      <c r="C1274" s="15"/>
      <c r="D1274" s="41"/>
      <c r="E1274" s="9"/>
      <c r="F1274" s="9"/>
      <c r="G1274" s="9"/>
      <c r="H1274" s="39"/>
      <c r="I1274" s="9"/>
      <c r="J1274" s="39"/>
      <c r="K1274" s="42"/>
      <c r="L1274" s="9"/>
      <c r="M1274" s="16"/>
      <c r="AA1274" s="14">
        <f t="shared" si="40"/>
        <v>0</v>
      </c>
      <c r="AB1274" s="47">
        <f t="shared" si="41"/>
        <v>-1</v>
      </c>
      <c r="AD1274" s="53"/>
      <c r="AE1274" s="53"/>
      <c r="AF1274" s="53"/>
      <c r="AG1274" s="53"/>
    </row>
    <row r="1275" spans="1:33" s="46" customFormat="1">
      <c r="A1275" s="39"/>
      <c r="B1275" s="9"/>
      <c r="C1275" s="15"/>
      <c r="D1275" s="41"/>
      <c r="E1275" s="9"/>
      <c r="F1275" s="9"/>
      <c r="G1275" s="9"/>
      <c r="H1275" s="39"/>
      <c r="I1275" s="9"/>
      <c r="J1275" s="39"/>
      <c r="K1275" s="42"/>
      <c r="L1275" s="9"/>
      <c r="M1275" s="16"/>
      <c r="AA1275" s="14">
        <f t="shared" si="40"/>
        <v>0</v>
      </c>
      <c r="AB1275" s="47">
        <f t="shared" si="41"/>
        <v>-1</v>
      </c>
      <c r="AD1275" s="53"/>
      <c r="AE1275" s="53"/>
      <c r="AF1275" s="53"/>
      <c r="AG1275" s="53"/>
    </row>
    <row r="1276" spans="1:33" s="46" customFormat="1">
      <c r="A1276" s="39"/>
      <c r="B1276" s="9"/>
      <c r="C1276" s="15"/>
      <c r="D1276" s="41"/>
      <c r="E1276" s="9"/>
      <c r="F1276" s="9"/>
      <c r="G1276" s="9"/>
      <c r="H1276" s="39"/>
      <c r="I1276" s="9"/>
      <c r="J1276" s="39"/>
      <c r="K1276" s="42"/>
      <c r="L1276" s="9"/>
      <c r="M1276" s="16"/>
      <c r="AA1276" s="14">
        <f t="shared" si="40"/>
        <v>0</v>
      </c>
      <c r="AB1276" s="47">
        <f t="shared" si="41"/>
        <v>-1</v>
      </c>
      <c r="AD1276" s="53"/>
      <c r="AE1276" s="53"/>
      <c r="AF1276" s="53"/>
      <c r="AG1276" s="53"/>
    </row>
    <row r="1277" spans="1:33" s="46" customFormat="1">
      <c r="A1277" s="39"/>
      <c r="B1277" s="9"/>
      <c r="C1277" s="15"/>
      <c r="D1277" s="41"/>
      <c r="E1277" s="9"/>
      <c r="F1277" s="9"/>
      <c r="G1277" s="9"/>
      <c r="H1277" s="39"/>
      <c r="I1277" s="9"/>
      <c r="J1277" s="39"/>
      <c r="K1277" s="42"/>
      <c r="L1277" s="9"/>
      <c r="M1277" s="16"/>
      <c r="AA1277" s="14">
        <f t="shared" si="40"/>
        <v>0</v>
      </c>
      <c r="AB1277" s="47">
        <f t="shared" si="41"/>
        <v>-1</v>
      </c>
      <c r="AD1277" s="53"/>
      <c r="AE1277" s="53"/>
      <c r="AF1277" s="53"/>
      <c r="AG1277" s="53"/>
    </row>
    <row r="1278" spans="1:33" s="46" customFormat="1">
      <c r="A1278" s="39"/>
      <c r="B1278" s="9"/>
      <c r="C1278" s="15"/>
      <c r="D1278" s="41"/>
      <c r="E1278" s="9"/>
      <c r="F1278" s="9"/>
      <c r="G1278" s="9"/>
      <c r="H1278" s="39"/>
      <c r="I1278" s="9"/>
      <c r="J1278" s="39"/>
      <c r="K1278" s="42"/>
      <c r="L1278" s="9"/>
      <c r="M1278" s="16"/>
      <c r="AA1278" s="14">
        <f t="shared" si="40"/>
        <v>0</v>
      </c>
      <c r="AB1278" s="47">
        <f t="shared" si="41"/>
        <v>-1</v>
      </c>
      <c r="AD1278" s="53"/>
      <c r="AE1278" s="53"/>
      <c r="AF1278" s="53"/>
      <c r="AG1278" s="53"/>
    </row>
    <row r="1279" spans="1:33" s="46" customFormat="1">
      <c r="A1279" s="39"/>
      <c r="B1279" s="9"/>
      <c r="C1279" s="15"/>
      <c r="D1279" s="41"/>
      <c r="E1279" s="9"/>
      <c r="F1279" s="9"/>
      <c r="G1279" s="9"/>
      <c r="H1279" s="39"/>
      <c r="I1279" s="9"/>
      <c r="J1279" s="39"/>
      <c r="K1279" s="42"/>
      <c r="L1279" s="9"/>
      <c r="M1279" s="16"/>
      <c r="AA1279" s="14">
        <f t="shared" si="40"/>
        <v>0</v>
      </c>
      <c r="AB1279" s="47">
        <f t="shared" si="41"/>
        <v>-1</v>
      </c>
      <c r="AD1279" s="53"/>
      <c r="AE1279" s="53"/>
      <c r="AF1279" s="53"/>
      <c r="AG1279" s="53"/>
    </row>
    <row r="1280" spans="1:33" s="46" customFormat="1">
      <c r="A1280" s="39"/>
      <c r="B1280" s="9"/>
      <c r="C1280" s="15"/>
      <c r="D1280" s="41"/>
      <c r="E1280" s="9"/>
      <c r="F1280" s="9"/>
      <c r="G1280" s="9"/>
      <c r="H1280" s="39"/>
      <c r="I1280" s="9"/>
      <c r="J1280" s="39"/>
      <c r="K1280" s="42"/>
      <c r="L1280" s="9"/>
      <c r="M1280" s="16"/>
      <c r="AA1280" s="14">
        <f t="shared" si="40"/>
        <v>0</v>
      </c>
      <c r="AB1280" s="47">
        <f t="shared" si="41"/>
        <v>-1</v>
      </c>
      <c r="AD1280" s="53"/>
      <c r="AE1280" s="53"/>
      <c r="AF1280" s="53"/>
      <c r="AG1280" s="53"/>
    </row>
    <row r="1281" spans="1:33" s="46" customFormat="1">
      <c r="A1281" s="39"/>
      <c r="B1281" s="9"/>
      <c r="C1281" s="15"/>
      <c r="D1281" s="41"/>
      <c r="E1281" s="9"/>
      <c r="F1281" s="9"/>
      <c r="G1281" s="9"/>
      <c r="H1281" s="39"/>
      <c r="I1281" s="9"/>
      <c r="J1281" s="39"/>
      <c r="K1281" s="42"/>
      <c r="L1281" s="9"/>
      <c r="M1281" s="16"/>
      <c r="AA1281" s="14">
        <f t="shared" si="40"/>
        <v>0</v>
      </c>
      <c r="AB1281" s="47">
        <f t="shared" si="41"/>
        <v>-1</v>
      </c>
      <c r="AD1281" s="53"/>
      <c r="AE1281" s="53"/>
      <c r="AF1281" s="53"/>
      <c r="AG1281" s="53"/>
    </row>
    <row r="1282" spans="1:33" s="46" customFormat="1">
      <c r="A1282" s="39"/>
      <c r="B1282" s="9"/>
      <c r="C1282" s="15"/>
      <c r="D1282" s="41"/>
      <c r="E1282" s="9"/>
      <c r="F1282" s="9"/>
      <c r="G1282" s="9"/>
      <c r="H1282" s="39"/>
      <c r="I1282" s="9"/>
      <c r="J1282" s="39"/>
      <c r="K1282" s="42"/>
      <c r="L1282" s="9"/>
      <c r="M1282" s="16"/>
      <c r="AA1282" s="14">
        <f t="shared" si="40"/>
        <v>0</v>
      </c>
      <c r="AB1282" s="47">
        <f t="shared" si="41"/>
        <v>-1</v>
      </c>
      <c r="AD1282" s="53"/>
      <c r="AE1282" s="53"/>
      <c r="AF1282" s="53"/>
      <c r="AG1282" s="53"/>
    </row>
    <row r="1283" spans="1:33" s="46" customFormat="1">
      <c r="A1283" s="39"/>
      <c r="B1283" s="9"/>
      <c r="C1283" s="15"/>
      <c r="D1283" s="41"/>
      <c r="E1283" s="9"/>
      <c r="F1283" s="9"/>
      <c r="G1283" s="9"/>
      <c r="H1283" s="39"/>
      <c r="I1283" s="9"/>
      <c r="J1283" s="39"/>
      <c r="K1283" s="42"/>
      <c r="L1283" s="9"/>
      <c r="M1283" s="16"/>
      <c r="AA1283" s="14">
        <f t="shared" si="40"/>
        <v>0</v>
      </c>
      <c r="AB1283" s="47">
        <f t="shared" si="41"/>
        <v>-1</v>
      </c>
      <c r="AD1283" s="53"/>
      <c r="AE1283" s="53"/>
      <c r="AF1283" s="53"/>
      <c r="AG1283" s="53"/>
    </row>
    <row r="1284" spans="1:33" s="46" customFormat="1">
      <c r="A1284" s="39"/>
      <c r="B1284" s="9"/>
      <c r="C1284" s="15"/>
      <c r="D1284" s="41"/>
      <c r="E1284" s="9"/>
      <c r="F1284" s="9"/>
      <c r="G1284" s="9"/>
      <c r="H1284" s="39"/>
      <c r="I1284" s="9"/>
      <c r="J1284" s="39"/>
      <c r="K1284" s="42"/>
      <c r="L1284" s="9"/>
      <c r="M1284" s="16"/>
      <c r="AA1284" s="14">
        <f t="shared" si="40"/>
        <v>0</v>
      </c>
      <c r="AB1284" s="47">
        <f t="shared" si="41"/>
        <v>-1</v>
      </c>
      <c r="AD1284" s="53"/>
      <c r="AE1284" s="53"/>
      <c r="AF1284" s="53"/>
      <c r="AG1284" s="53"/>
    </row>
    <row r="1285" spans="1:33" s="46" customFormat="1">
      <c r="A1285" s="39"/>
      <c r="B1285" s="9"/>
      <c r="C1285" s="15"/>
      <c r="D1285" s="41"/>
      <c r="E1285" s="9"/>
      <c r="F1285" s="9"/>
      <c r="G1285" s="9"/>
      <c r="H1285" s="39"/>
      <c r="I1285" s="9"/>
      <c r="J1285" s="39"/>
      <c r="K1285" s="42"/>
      <c r="L1285" s="9"/>
      <c r="M1285" s="16"/>
      <c r="AA1285" s="14">
        <f t="shared" si="40"/>
        <v>0</v>
      </c>
      <c r="AB1285" s="47">
        <f t="shared" si="41"/>
        <v>-1</v>
      </c>
      <c r="AD1285" s="53"/>
      <c r="AE1285" s="53"/>
      <c r="AF1285" s="53"/>
      <c r="AG1285" s="53"/>
    </row>
    <row r="1286" spans="1:33" s="46" customFormat="1">
      <c r="A1286" s="39"/>
      <c r="B1286" s="9"/>
      <c r="C1286" s="15"/>
      <c r="D1286" s="41"/>
      <c r="E1286" s="9"/>
      <c r="F1286" s="9"/>
      <c r="G1286" s="9"/>
      <c r="H1286" s="39"/>
      <c r="I1286" s="9"/>
      <c r="J1286" s="39"/>
      <c r="K1286" s="42"/>
      <c r="L1286" s="9"/>
      <c r="M1286" s="16"/>
      <c r="AA1286" s="14">
        <f t="shared" si="40"/>
        <v>0</v>
      </c>
      <c r="AB1286" s="47">
        <f t="shared" si="41"/>
        <v>-1</v>
      </c>
      <c r="AD1286" s="53"/>
      <c r="AE1286" s="53"/>
      <c r="AF1286" s="53"/>
      <c r="AG1286" s="53"/>
    </row>
    <row r="1287" spans="1:33" s="46" customFormat="1">
      <c r="A1287" s="39"/>
      <c r="B1287" s="9"/>
      <c r="C1287" s="15"/>
      <c r="D1287" s="41"/>
      <c r="E1287" s="9"/>
      <c r="F1287" s="9"/>
      <c r="G1287" s="9"/>
      <c r="H1287" s="39"/>
      <c r="I1287" s="9"/>
      <c r="J1287" s="39"/>
      <c r="K1287" s="42"/>
      <c r="L1287" s="9"/>
      <c r="M1287" s="16"/>
      <c r="AA1287" s="14">
        <f t="shared" si="40"/>
        <v>0</v>
      </c>
      <c r="AB1287" s="47">
        <f t="shared" si="41"/>
        <v>-1</v>
      </c>
      <c r="AD1287" s="53"/>
      <c r="AE1287" s="53"/>
      <c r="AF1287" s="53"/>
      <c r="AG1287" s="53"/>
    </row>
    <row r="1288" spans="1:33" s="46" customFormat="1">
      <c r="A1288" s="39"/>
      <c r="B1288" s="9"/>
      <c r="C1288" s="15"/>
      <c r="D1288" s="41"/>
      <c r="E1288" s="9"/>
      <c r="F1288" s="9"/>
      <c r="G1288" s="9"/>
      <c r="H1288" s="39"/>
      <c r="I1288" s="9"/>
      <c r="J1288" s="39"/>
      <c r="K1288" s="42"/>
      <c r="L1288" s="9"/>
      <c r="M1288" s="16"/>
      <c r="AA1288" s="14">
        <f t="shared" si="40"/>
        <v>0</v>
      </c>
      <c r="AB1288" s="47">
        <f t="shared" si="41"/>
        <v>-1</v>
      </c>
      <c r="AD1288" s="53"/>
      <c r="AE1288" s="53"/>
      <c r="AF1288" s="53"/>
      <c r="AG1288" s="53"/>
    </row>
    <row r="1289" spans="1:33" s="46" customFormat="1">
      <c r="A1289" s="39"/>
      <c r="B1289" s="9"/>
      <c r="C1289" s="15"/>
      <c r="D1289" s="41"/>
      <c r="E1289" s="9"/>
      <c r="F1289" s="9"/>
      <c r="G1289" s="9"/>
      <c r="H1289" s="39"/>
      <c r="I1289" s="9"/>
      <c r="J1289" s="39"/>
      <c r="K1289" s="42"/>
      <c r="L1289" s="9"/>
      <c r="M1289" s="16"/>
      <c r="AA1289" s="14">
        <f t="shared" si="40"/>
        <v>0</v>
      </c>
      <c r="AB1289" s="47">
        <f t="shared" si="41"/>
        <v>-1</v>
      </c>
      <c r="AD1289" s="53"/>
      <c r="AE1289" s="53"/>
      <c r="AF1289" s="53"/>
      <c r="AG1289" s="53"/>
    </row>
    <row r="1290" spans="1:33" s="46" customFormat="1">
      <c r="A1290" s="39"/>
      <c r="B1290" s="9"/>
      <c r="C1290" s="15"/>
      <c r="D1290" s="41"/>
      <c r="E1290" s="9"/>
      <c r="F1290" s="9"/>
      <c r="G1290" s="9"/>
      <c r="H1290" s="39"/>
      <c r="I1290" s="9"/>
      <c r="J1290" s="39"/>
      <c r="K1290" s="42"/>
      <c r="L1290" s="9"/>
      <c r="M1290" s="16"/>
      <c r="AA1290" s="14">
        <f t="shared" si="40"/>
        <v>0</v>
      </c>
      <c r="AB1290" s="47">
        <f t="shared" si="41"/>
        <v>-1</v>
      </c>
      <c r="AD1290" s="53"/>
      <c r="AE1290" s="53"/>
      <c r="AF1290" s="53"/>
      <c r="AG1290" s="53"/>
    </row>
    <row r="1291" spans="1:33" s="46" customFormat="1">
      <c r="A1291" s="39"/>
      <c r="B1291" s="9"/>
      <c r="C1291" s="15"/>
      <c r="D1291" s="41"/>
      <c r="E1291" s="9"/>
      <c r="F1291" s="9"/>
      <c r="G1291" s="9"/>
      <c r="H1291" s="39"/>
      <c r="I1291" s="9"/>
      <c r="J1291" s="39"/>
      <c r="K1291" s="42"/>
      <c r="L1291" s="9"/>
      <c r="M1291" s="16"/>
      <c r="AA1291" s="14">
        <f t="shared" si="40"/>
        <v>0</v>
      </c>
      <c r="AB1291" s="47">
        <f t="shared" si="41"/>
        <v>-1</v>
      </c>
      <c r="AD1291" s="53"/>
      <c r="AE1291" s="53"/>
      <c r="AF1291" s="53"/>
      <c r="AG1291" s="53"/>
    </row>
    <row r="1292" spans="1:33" s="46" customFormat="1">
      <c r="A1292" s="39"/>
      <c r="B1292" s="9"/>
      <c r="C1292" s="15"/>
      <c r="D1292" s="41"/>
      <c r="E1292" s="9"/>
      <c r="F1292" s="9"/>
      <c r="G1292" s="9"/>
      <c r="H1292" s="39"/>
      <c r="I1292" s="9"/>
      <c r="J1292" s="39"/>
      <c r="K1292" s="42"/>
      <c r="L1292" s="9"/>
      <c r="M1292" s="16"/>
      <c r="AA1292" s="14">
        <f t="shared" si="40"/>
        <v>0</v>
      </c>
      <c r="AB1292" s="47">
        <f t="shared" si="41"/>
        <v>-1</v>
      </c>
      <c r="AD1292" s="53"/>
      <c r="AE1292" s="53"/>
      <c r="AF1292" s="53"/>
      <c r="AG1292" s="53"/>
    </row>
    <row r="1293" spans="1:33" s="46" customFormat="1">
      <c r="A1293" s="39"/>
      <c r="B1293" s="9"/>
      <c r="C1293" s="15"/>
      <c r="D1293" s="41"/>
      <c r="E1293" s="9"/>
      <c r="F1293" s="9"/>
      <c r="G1293" s="9"/>
      <c r="H1293" s="39"/>
      <c r="I1293" s="9"/>
      <c r="J1293" s="39"/>
      <c r="K1293" s="42"/>
      <c r="L1293" s="9"/>
      <c r="M1293" s="16" t="s">
        <v>190</v>
      </c>
      <c r="AA1293" s="14">
        <f t="shared" si="40"/>
        <v>0</v>
      </c>
      <c r="AB1293" s="47">
        <f t="shared" si="41"/>
        <v>-1</v>
      </c>
      <c r="AD1293" s="53"/>
      <c r="AE1293" s="53"/>
      <c r="AF1293" s="53"/>
      <c r="AG1293" s="53"/>
    </row>
    <row r="1294" spans="1:33" s="46" customFormat="1">
      <c r="A1294" s="39"/>
      <c r="B1294" s="9"/>
      <c r="C1294" s="15"/>
      <c r="D1294" s="41"/>
      <c r="E1294" s="9"/>
      <c r="F1294" s="9"/>
      <c r="G1294" s="9"/>
      <c r="H1294" s="39"/>
      <c r="I1294" s="9"/>
      <c r="J1294" s="39"/>
      <c r="K1294" s="42"/>
      <c r="L1294" s="9"/>
      <c r="M1294" s="16"/>
      <c r="AA1294" s="14">
        <f t="shared" si="40"/>
        <v>0</v>
      </c>
      <c r="AB1294" s="47">
        <f t="shared" si="41"/>
        <v>-1</v>
      </c>
      <c r="AD1294" s="53"/>
      <c r="AE1294" s="53"/>
      <c r="AF1294" s="53"/>
      <c r="AG1294" s="53"/>
    </row>
    <row r="1295" spans="1:33" s="46" customFormat="1">
      <c r="A1295" s="39"/>
      <c r="B1295" s="9"/>
      <c r="C1295" s="15"/>
      <c r="D1295" s="41"/>
      <c r="E1295" s="9"/>
      <c r="F1295" s="9"/>
      <c r="G1295" s="9"/>
      <c r="H1295" s="39"/>
      <c r="I1295" s="9"/>
      <c r="J1295" s="39"/>
      <c r="K1295" s="42"/>
      <c r="L1295" s="9"/>
      <c r="M1295" s="16"/>
      <c r="AA1295" s="14">
        <f t="shared" si="40"/>
        <v>0</v>
      </c>
      <c r="AB1295" s="47">
        <f t="shared" si="41"/>
        <v>-1</v>
      </c>
      <c r="AD1295" s="53"/>
      <c r="AE1295" s="53"/>
      <c r="AF1295" s="53"/>
      <c r="AG1295" s="53"/>
    </row>
    <row r="1296" spans="1:33" s="46" customFormat="1">
      <c r="A1296" s="39"/>
      <c r="B1296" s="9"/>
      <c r="C1296" s="15"/>
      <c r="D1296" s="41"/>
      <c r="E1296" s="9"/>
      <c r="F1296" s="9"/>
      <c r="G1296" s="9"/>
      <c r="H1296" s="39"/>
      <c r="I1296" s="9"/>
      <c r="J1296" s="39"/>
      <c r="K1296" s="42"/>
      <c r="L1296" s="9"/>
      <c r="M1296" s="16"/>
      <c r="AA1296" s="14">
        <f t="shared" si="40"/>
        <v>0</v>
      </c>
      <c r="AB1296" s="47">
        <f t="shared" si="41"/>
        <v>-1</v>
      </c>
      <c r="AD1296" s="53"/>
      <c r="AE1296" s="53"/>
      <c r="AF1296" s="53"/>
      <c r="AG1296" s="53"/>
    </row>
    <row r="1297" spans="1:33" s="46" customFormat="1">
      <c r="A1297" s="39"/>
      <c r="B1297" s="9"/>
      <c r="C1297" s="15"/>
      <c r="D1297" s="41"/>
      <c r="E1297" s="9"/>
      <c r="F1297" s="9"/>
      <c r="G1297" s="9"/>
      <c r="H1297" s="39"/>
      <c r="I1297" s="9"/>
      <c r="J1297" s="39"/>
      <c r="K1297" s="42"/>
      <c r="L1297" s="9"/>
      <c r="M1297" s="16"/>
      <c r="AA1297" s="14">
        <f t="shared" si="40"/>
        <v>0</v>
      </c>
      <c r="AB1297" s="47">
        <f t="shared" si="41"/>
        <v>-1</v>
      </c>
      <c r="AD1297" s="53"/>
      <c r="AE1297" s="53"/>
      <c r="AF1297" s="53"/>
      <c r="AG1297" s="53"/>
    </row>
    <row r="1298" spans="1:33" s="46" customFormat="1">
      <c r="A1298" s="39"/>
      <c r="B1298" s="9"/>
      <c r="C1298" s="15"/>
      <c r="D1298" s="41"/>
      <c r="E1298" s="9"/>
      <c r="F1298" s="9"/>
      <c r="G1298" s="9"/>
      <c r="H1298" s="39"/>
      <c r="I1298" s="9"/>
      <c r="J1298" s="39"/>
      <c r="K1298" s="42"/>
      <c r="L1298" s="9"/>
      <c r="M1298" s="16"/>
      <c r="AA1298" s="14">
        <f t="shared" si="40"/>
        <v>0</v>
      </c>
      <c r="AB1298" s="47">
        <f t="shared" si="41"/>
        <v>-1</v>
      </c>
      <c r="AD1298" s="53"/>
      <c r="AE1298" s="53"/>
      <c r="AF1298" s="53"/>
      <c r="AG1298" s="53"/>
    </row>
    <row r="1299" spans="1:33" s="46" customFormat="1">
      <c r="A1299" s="39"/>
      <c r="B1299" s="9"/>
      <c r="C1299" s="15"/>
      <c r="D1299" s="41"/>
      <c r="E1299" s="9"/>
      <c r="F1299" s="9"/>
      <c r="G1299" s="9"/>
      <c r="H1299" s="39"/>
      <c r="I1299" s="9"/>
      <c r="J1299" s="39"/>
      <c r="K1299" s="42"/>
      <c r="L1299" s="9"/>
      <c r="M1299" s="16"/>
      <c r="AA1299" s="14">
        <f t="shared" si="40"/>
        <v>0</v>
      </c>
      <c r="AB1299" s="47">
        <f t="shared" si="41"/>
        <v>-1</v>
      </c>
      <c r="AD1299" s="53"/>
      <c r="AE1299" s="53"/>
      <c r="AF1299" s="53"/>
      <c r="AG1299" s="53"/>
    </row>
    <row r="1300" spans="1:33" s="46" customFormat="1">
      <c r="A1300" s="39"/>
      <c r="B1300" s="9"/>
      <c r="C1300" s="15"/>
      <c r="D1300" s="41"/>
      <c r="E1300" s="9"/>
      <c r="F1300" s="9"/>
      <c r="G1300" s="9"/>
      <c r="H1300" s="39"/>
      <c r="I1300" s="9"/>
      <c r="J1300" s="39"/>
      <c r="K1300" s="42"/>
      <c r="L1300" s="9"/>
      <c r="M1300" s="16"/>
      <c r="AA1300" s="14">
        <f t="shared" si="40"/>
        <v>0</v>
      </c>
      <c r="AB1300" s="47">
        <f t="shared" si="41"/>
        <v>-1</v>
      </c>
      <c r="AD1300" s="53"/>
      <c r="AE1300" s="53"/>
      <c r="AF1300" s="53"/>
      <c r="AG1300" s="53"/>
    </row>
    <row r="1301" spans="1:33" s="46" customFormat="1">
      <c r="A1301" s="39"/>
      <c r="B1301" s="9"/>
      <c r="C1301" s="15"/>
      <c r="D1301" s="41"/>
      <c r="E1301" s="9"/>
      <c r="F1301" s="9"/>
      <c r="G1301" s="9"/>
      <c r="H1301" s="39"/>
      <c r="I1301" s="9"/>
      <c r="J1301" s="39"/>
      <c r="K1301" s="42"/>
      <c r="L1301" s="9"/>
      <c r="M1301" s="16"/>
      <c r="AA1301" s="14">
        <f t="shared" si="40"/>
        <v>0</v>
      </c>
      <c r="AB1301" s="47">
        <f t="shared" si="41"/>
        <v>-1</v>
      </c>
      <c r="AD1301" s="53"/>
      <c r="AE1301" s="53"/>
      <c r="AF1301" s="53"/>
      <c r="AG1301" s="53"/>
    </row>
    <row r="1302" spans="1:33" s="46" customFormat="1">
      <c r="A1302" s="39"/>
      <c r="B1302" s="9"/>
      <c r="C1302" s="15"/>
      <c r="D1302" s="41"/>
      <c r="E1302" s="9"/>
      <c r="F1302" s="9"/>
      <c r="G1302" s="9"/>
      <c r="H1302" s="39"/>
      <c r="I1302" s="9"/>
      <c r="J1302" s="39"/>
      <c r="K1302" s="42"/>
      <c r="L1302" s="9"/>
      <c r="M1302" s="16"/>
      <c r="AA1302" s="14">
        <f t="shared" si="40"/>
        <v>0</v>
      </c>
      <c r="AB1302" s="47">
        <f t="shared" si="41"/>
        <v>-1</v>
      </c>
      <c r="AD1302" s="53"/>
      <c r="AE1302" s="53"/>
      <c r="AF1302" s="53"/>
      <c r="AG1302" s="53"/>
    </row>
    <row r="1303" spans="1:33" s="46" customFormat="1">
      <c r="A1303" s="39"/>
      <c r="B1303" s="9"/>
      <c r="C1303" s="15"/>
      <c r="D1303" s="41"/>
      <c r="E1303" s="9"/>
      <c r="F1303" s="9"/>
      <c r="G1303" s="9"/>
      <c r="H1303" s="39"/>
      <c r="I1303" s="9"/>
      <c r="J1303" s="39"/>
      <c r="K1303" s="42"/>
      <c r="L1303" s="9"/>
      <c r="M1303" s="16" t="s">
        <v>193</v>
      </c>
      <c r="AA1303" s="14">
        <f t="shared" si="40"/>
        <v>0</v>
      </c>
      <c r="AB1303" s="47">
        <f t="shared" si="41"/>
        <v>-1</v>
      </c>
      <c r="AD1303" s="53"/>
      <c r="AE1303" s="53"/>
      <c r="AF1303" s="53"/>
      <c r="AG1303" s="53"/>
    </row>
    <row r="1304" spans="1:33" s="46" customFormat="1">
      <c r="A1304" s="39"/>
      <c r="B1304" s="9"/>
      <c r="C1304" s="15"/>
      <c r="D1304" s="41"/>
      <c r="E1304" s="9"/>
      <c r="F1304" s="9"/>
      <c r="G1304" s="9"/>
      <c r="H1304" s="39"/>
      <c r="I1304" s="9"/>
      <c r="J1304" s="39"/>
      <c r="K1304" s="42"/>
      <c r="L1304" s="9"/>
      <c r="M1304" s="16"/>
      <c r="AA1304" s="14">
        <f t="shared" si="40"/>
        <v>0</v>
      </c>
      <c r="AB1304" s="47">
        <f t="shared" si="41"/>
        <v>-1</v>
      </c>
      <c r="AD1304" s="53"/>
      <c r="AE1304" s="53"/>
      <c r="AF1304" s="53"/>
      <c r="AG1304" s="53"/>
    </row>
    <row r="1305" spans="1:33" s="46" customFormat="1">
      <c r="A1305" s="39"/>
      <c r="B1305" s="9"/>
      <c r="C1305" s="15"/>
      <c r="D1305" s="41"/>
      <c r="E1305" s="9"/>
      <c r="F1305" s="9"/>
      <c r="G1305" s="9"/>
      <c r="H1305" s="39"/>
      <c r="I1305" s="9"/>
      <c r="J1305" s="39"/>
      <c r="K1305" s="42"/>
      <c r="L1305" s="9"/>
      <c r="M1305" s="16"/>
      <c r="AA1305" s="14">
        <f t="shared" si="40"/>
        <v>0</v>
      </c>
      <c r="AB1305" s="47">
        <f t="shared" si="41"/>
        <v>-1</v>
      </c>
      <c r="AD1305" s="53"/>
      <c r="AE1305" s="53"/>
      <c r="AF1305" s="53"/>
      <c r="AG1305" s="53"/>
    </row>
    <row r="1306" spans="1:33" s="46" customFormat="1">
      <c r="A1306" s="39"/>
      <c r="B1306" s="9"/>
      <c r="C1306" s="15"/>
      <c r="D1306" s="41"/>
      <c r="E1306" s="9"/>
      <c r="F1306" s="9"/>
      <c r="G1306" s="9"/>
      <c r="H1306" s="39"/>
      <c r="I1306" s="9"/>
      <c r="J1306" s="39"/>
      <c r="K1306" s="42"/>
      <c r="L1306" s="9"/>
      <c r="M1306" s="16"/>
      <c r="AA1306" s="14">
        <f t="shared" si="40"/>
        <v>0</v>
      </c>
      <c r="AB1306" s="47">
        <f t="shared" si="41"/>
        <v>-1</v>
      </c>
      <c r="AD1306" s="53"/>
      <c r="AE1306" s="53"/>
      <c r="AF1306" s="53"/>
      <c r="AG1306" s="53"/>
    </row>
    <row r="1307" spans="1:33" s="46" customFormat="1">
      <c r="A1307" s="39"/>
      <c r="B1307" s="9"/>
      <c r="C1307" s="15"/>
      <c r="D1307" s="41"/>
      <c r="E1307" s="9"/>
      <c r="F1307" s="9"/>
      <c r="G1307" s="9"/>
      <c r="H1307" s="39"/>
      <c r="I1307" s="9"/>
      <c r="J1307" s="39"/>
      <c r="K1307" s="42"/>
      <c r="L1307" s="9"/>
      <c r="M1307" s="16"/>
      <c r="AA1307" s="14">
        <f t="shared" si="40"/>
        <v>0</v>
      </c>
      <c r="AB1307" s="47">
        <f t="shared" si="41"/>
        <v>-1</v>
      </c>
      <c r="AD1307" s="53"/>
      <c r="AE1307" s="53"/>
      <c r="AF1307" s="53"/>
      <c r="AG1307" s="53"/>
    </row>
    <row r="1308" spans="1:33" s="46" customFormat="1">
      <c r="A1308" s="39"/>
      <c r="B1308" s="9"/>
      <c r="C1308" s="15"/>
      <c r="D1308" s="41"/>
      <c r="E1308" s="9"/>
      <c r="F1308" s="9"/>
      <c r="G1308" s="9"/>
      <c r="H1308" s="39"/>
      <c r="I1308" s="9"/>
      <c r="J1308" s="39"/>
      <c r="K1308" s="42"/>
      <c r="L1308" s="9"/>
      <c r="M1308" s="16"/>
      <c r="AA1308" s="14">
        <f t="shared" si="40"/>
        <v>0</v>
      </c>
      <c r="AB1308" s="47">
        <f t="shared" si="41"/>
        <v>-1</v>
      </c>
      <c r="AD1308" s="53"/>
      <c r="AE1308" s="53"/>
      <c r="AF1308" s="53"/>
      <c r="AG1308" s="53"/>
    </row>
    <row r="1309" spans="1:33" s="46" customFormat="1">
      <c r="A1309" s="39"/>
      <c r="B1309" s="9"/>
      <c r="C1309" s="15"/>
      <c r="D1309" s="41"/>
      <c r="E1309" s="9"/>
      <c r="F1309" s="9"/>
      <c r="G1309" s="9"/>
      <c r="H1309" s="39"/>
      <c r="I1309" s="9"/>
      <c r="J1309" s="39"/>
      <c r="K1309" s="42"/>
      <c r="L1309" s="9"/>
      <c r="M1309" s="16"/>
      <c r="AA1309" s="14">
        <f t="shared" si="40"/>
        <v>0</v>
      </c>
      <c r="AB1309" s="47">
        <f t="shared" si="41"/>
        <v>-1</v>
      </c>
      <c r="AD1309" s="53"/>
      <c r="AE1309" s="53"/>
      <c r="AF1309" s="53"/>
      <c r="AG1309" s="53"/>
    </row>
    <row r="1310" spans="1:33" s="46" customFormat="1">
      <c r="A1310" s="39"/>
      <c r="B1310" s="9"/>
      <c r="C1310" s="15"/>
      <c r="D1310" s="41"/>
      <c r="E1310" s="9"/>
      <c r="F1310" s="9"/>
      <c r="G1310" s="9"/>
      <c r="H1310" s="39"/>
      <c r="I1310" s="9"/>
      <c r="J1310" s="39"/>
      <c r="K1310" s="42"/>
      <c r="L1310" s="9"/>
      <c r="M1310" s="16"/>
      <c r="AA1310" s="14">
        <f t="shared" si="40"/>
        <v>0</v>
      </c>
      <c r="AB1310" s="47">
        <f t="shared" si="41"/>
        <v>-1</v>
      </c>
      <c r="AD1310" s="53"/>
      <c r="AE1310" s="53"/>
      <c r="AF1310" s="53"/>
      <c r="AG1310" s="53"/>
    </row>
    <row r="1311" spans="1:33" s="46" customFormat="1">
      <c r="A1311" s="39"/>
      <c r="B1311" s="9"/>
      <c r="C1311" s="15"/>
      <c r="D1311" s="41"/>
      <c r="E1311" s="9"/>
      <c r="F1311" s="9"/>
      <c r="G1311" s="9"/>
      <c r="H1311" s="39"/>
      <c r="I1311" s="9"/>
      <c r="J1311" s="39"/>
      <c r="K1311" s="42"/>
      <c r="L1311" s="9"/>
      <c r="M1311" s="16" t="s">
        <v>193</v>
      </c>
      <c r="AA1311" s="14">
        <f t="shared" si="40"/>
        <v>0</v>
      </c>
      <c r="AB1311" s="47">
        <f t="shared" si="41"/>
        <v>-1</v>
      </c>
      <c r="AD1311" s="53"/>
      <c r="AE1311" s="53"/>
      <c r="AF1311" s="53"/>
      <c r="AG1311" s="53"/>
    </row>
    <row r="1312" spans="1:33" s="46" customFormat="1">
      <c r="A1312" s="39"/>
      <c r="B1312" s="9"/>
      <c r="C1312" s="15"/>
      <c r="D1312" s="41"/>
      <c r="E1312" s="9"/>
      <c r="F1312" s="9"/>
      <c r="G1312" s="9"/>
      <c r="H1312" s="39"/>
      <c r="I1312" s="9"/>
      <c r="J1312" s="39"/>
      <c r="K1312" s="42"/>
      <c r="L1312" s="9"/>
      <c r="M1312" s="16"/>
      <c r="AA1312" s="14">
        <f t="shared" si="40"/>
        <v>0</v>
      </c>
      <c r="AB1312" s="47">
        <f t="shared" si="41"/>
        <v>-1</v>
      </c>
      <c r="AD1312" s="53"/>
      <c r="AE1312" s="53"/>
      <c r="AF1312" s="53"/>
      <c r="AG1312" s="53"/>
    </row>
    <row r="1313" spans="1:33" s="46" customFormat="1">
      <c r="A1313" s="39"/>
      <c r="B1313" s="9"/>
      <c r="C1313" s="15"/>
      <c r="D1313" s="41"/>
      <c r="E1313" s="9"/>
      <c r="F1313" s="9"/>
      <c r="G1313" s="9"/>
      <c r="H1313" s="39"/>
      <c r="I1313" s="9"/>
      <c r="J1313" s="39"/>
      <c r="K1313" s="42"/>
      <c r="L1313" s="9"/>
      <c r="M1313" s="16"/>
      <c r="AA1313" s="14">
        <f t="shared" si="40"/>
        <v>0</v>
      </c>
      <c r="AB1313" s="47">
        <f t="shared" si="41"/>
        <v>-1</v>
      </c>
      <c r="AD1313" s="53"/>
      <c r="AE1313" s="53"/>
      <c r="AF1313" s="53"/>
      <c r="AG1313" s="53"/>
    </row>
    <row r="1314" spans="1:33" s="46" customFormat="1">
      <c r="A1314" s="39"/>
      <c r="B1314" s="9"/>
      <c r="C1314" s="15"/>
      <c r="D1314" s="41"/>
      <c r="E1314" s="9"/>
      <c r="F1314" s="9"/>
      <c r="G1314" s="9"/>
      <c r="H1314" s="39"/>
      <c r="I1314" s="9"/>
      <c r="J1314" s="39"/>
      <c r="K1314" s="42"/>
      <c r="L1314" s="9"/>
      <c r="M1314" s="16"/>
      <c r="AA1314" s="14">
        <f t="shared" si="40"/>
        <v>0</v>
      </c>
      <c r="AB1314" s="47">
        <f t="shared" si="41"/>
        <v>-1</v>
      </c>
      <c r="AD1314" s="53"/>
      <c r="AE1314" s="53"/>
      <c r="AF1314" s="53"/>
      <c r="AG1314" s="53"/>
    </row>
    <row r="1315" spans="1:33" s="46" customFormat="1">
      <c r="A1315" s="39"/>
      <c r="B1315" s="9"/>
      <c r="C1315" s="15"/>
      <c r="D1315" s="41"/>
      <c r="E1315" s="9"/>
      <c r="F1315" s="9"/>
      <c r="G1315" s="9"/>
      <c r="H1315" s="39"/>
      <c r="I1315" s="9"/>
      <c r="J1315" s="39"/>
      <c r="K1315" s="42"/>
      <c r="L1315" s="9"/>
      <c r="M1315" s="16"/>
      <c r="AA1315" s="14">
        <f t="shared" si="40"/>
        <v>0</v>
      </c>
      <c r="AB1315" s="47">
        <f t="shared" si="41"/>
        <v>-1</v>
      </c>
      <c r="AD1315" s="53"/>
      <c r="AE1315" s="53"/>
      <c r="AF1315" s="53"/>
      <c r="AG1315" s="53"/>
    </row>
    <row r="1316" spans="1:33" s="46" customFormat="1">
      <c r="A1316" s="39"/>
      <c r="B1316" s="9"/>
      <c r="C1316" s="15"/>
      <c r="D1316" s="41"/>
      <c r="E1316" s="9"/>
      <c r="F1316" s="9"/>
      <c r="G1316" s="9"/>
      <c r="H1316" s="39"/>
      <c r="I1316" s="9"/>
      <c r="J1316" s="39"/>
      <c r="K1316" s="42"/>
      <c r="L1316" s="9"/>
      <c r="M1316" s="16"/>
      <c r="AA1316" s="14">
        <f t="shared" si="40"/>
        <v>0</v>
      </c>
      <c r="AB1316" s="47">
        <f t="shared" si="41"/>
        <v>-1</v>
      </c>
      <c r="AD1316" s="53"/>
      <c r="AE1316" s="53"/>
      <c r="AF1316" s="53"/>
      <c r="AG1316" s="53"/>
    </row>
    <row r="1317" spans="1:33" s="46" customFormat="1">
      <c r="A1317" s="39"/>
      <c r="B1317" s="9"/>
      <c r="C1317" s="15"/>
      <c r="D1317" s="41"/>
      <c r="E1317" s="9"/>
      <c r="F1317" s="9"/>
      <c r="G1317" s="9"/>
      <c r="H1317" s="39"/>
      <c r="I1317" s="9"/>
      <c r="J1317" s="39"/>
      <c r="K1317" s="42"/>
      <c r="L1317" s="9"/>
      <c r="M1317" s="16"/>
      <c r="AA1317" s="14">
        <f t="shared" si="40"/>
        <v>0</v>
      </c>
      <c r="AB1317" s="47">
        <f t="shared" si="41"/>
        <v>-1</v>
      </c>
      <c r="AD1317" s="53"/>
      <c r="AE1317" s="53"/>
      <c r="AF1317" s="53"/>
      <c r="AG1317" s="53"/>
    </row>
    <row r="1318" spans="1:33" s="46" customFormat="1">
      <c r="A1318" s="39"/>
      <c r="B1318" s="9"/>
      <c r="C1318" s="15"/>
      <c r="D1318" s="41"/>
      <c r="E1318" s="9"/>
      <c r="F1318" s="9"/>
      <c r="G1318" s="9"/>
      <c r="H1318" s="39"/>
      <c r="I1318" s="9"/>
      <c r="J1318" s="39"/>
      <c r="K1318" s="42"/>
      <c r="L1318" s="9"/>
      <c r="M1318" s="16"/>
      <c r="AA1318" s="14">
        <f t="shared" si="40"/>
        <v>0</v>
      </c>
      <c r="AB1318" s="47">
        <f t="shared" si="41"/>
        <v>-1</v>
      </c>
      <c r="AD1318" s="53"/>
      <c r="AE1318" s="53"/>
      <c r="AF1318" s="53"/>
      <c r="AG1318" s="53"/>
    </row>
    <row r="1319" spans="1:33" s="46" customFormat="1">
      <c r="A1319" s="39"/>
      <c r="B1319" s="9"/>
      <c r="C1319" s="15"/>
      <c r="D1319" s="41"/>
      <c r="E1319" s="9"/>
      <c r="F1319" s="9"/>
      <c r="G1319" s="9"/>
      <c r="H1319" s="39"/>
      <c r="I1319" s="9"/>
      <c r="J1319" s="39"/>
      <c r="K1319" s="42"/>
      <c r="L1319" s="9"/>
      <c r="M1319" s="16"/>
      <c r="AA1319" s="14">
        <f t="shared" si="40"/>
        <v>0</v>
      </c>
      <c r="AB1319" s="47">
        <f t="shared" si="41"/>
        <v>-1</v>
      </c>
      <c r="AD1319" s="53"/>
      <c r="AE1319" s="53"/>
      <c r="AF1319" s="53"/>
      <c r="AG1319" s="53"/>
    </row>
    <row r="1320" spans="1:33" s="46" customFormat="1">
      <c r="A1320" s="39"/>
      <c r="B1320" s="9"/>
      <c r="C1320" s="15"/>
      <c r="D1320" s="41"/>
      <c r="E1320" s="9"/>
      <c r="F1320" s="9"/>
      <c r="G1320" s="9"/>
      <c r="H1320" s="39"/>
      <c r="I1320" s="9"/>
      <c r="J1320" s="39"/>
      <c r="K1320" s="42"/>
      <c r="L1320" s="9"/>
      <c r="M1320" s="16"/>
      <c r="AA1320" s="14">
        <f t="shared" ref="AA1320:AA1383" si="42">C1320-C1319</f>
        <v>0</v>
      </c>
      <c r="AB1320" s="47">
        <f t="shared" ref="AB1320:AB1383" si="43">AA1320-1</f>
        <v>-1</v>
      </c>
      <c r="AD1320" s="53"/>
      <c r="AE1320" s="53"/>
      <c r="AF1320" s="53"/>
      <c r="AG1320" s="53"/>
    </row>
    <row r="1321" spans="1:33" s="46" customFormat="1">
      <c r="A1321" s="39"/>
      <c r="B1321" s="9"/>
      <c r="C1321" s="15"/>
      <c r="D1321" s="41"/>
      <c r="E1321" s="9"/>
      <c r="F1321" s="9"/>
      <c r="G1321" s="9"/>
      <c r="H1321" s="39"/>
      <c r="I1321" s="9"/>
      <c r="J1321" s="39"/>
      <c r="K1321" s="42"/>
      <c r="L1321" s="9"/>
      <c r="M1321" s="16"/>
      <c r="AA1321" s="14">
        <f t="shared" si="42"/>
        <v>0</v>
      </c>
      <c r="AB1321" s="47">
        <f t="shared" si="43"/>
        <v>-1</v>
      </c>
      <c r="AD1321" s="53"/>
      <c r="AE1321" s="53"/>
      <c r="AF1321" s="53"/>
      <c r="AG1321" s="53"/>
    </row>
    <row r="1322" spans="1:33" s="46" customFormat="1">
      <c r="A1322" s="39"/>
      <c r="B1322" s="9"/>
      <c r="C1322" s="15"/>
      <c r="D1322" s="41"/>
      <c r="E1322" s="9"/>
      <c r="F1322" s="9"/>
      <c r="G1322" s="9"/>
      <c r="H1322" s="39"/>
      <c r="I1322" s="9"/>
      <c r="J1322" s="39"/>
      <c r="K1322" s="42"/>
      <c r="L1322" s="9"/>
      <c r="M1322" s="16"/>
      <c r="AA1322" s="14">
        <f t="shared" si="42"/>
        <v>0</v>
      </c>
      <c r="AB1322" s="47">
        <f t="shared" si="43"/>
        <v>-1</v>
      </c>
      <c r="AD1322" s="53"/>
      <c r="AE1322" s="53"/>
      <c r="AF1322" s="53"/>
      <c r="AG1322" s="53"/>
    </row>
    <row r="1323" spans="1:33" s="46" customFormat="1">
      <c r="A1323" s="39"/>
      <c r="B1323" s="9"/>
      <c r="C1323" s="15"/>
      <c r="D1323" s="41"/>
      <c r="E1323" s="9"/>
      <c r="F1323" s="9"/>
      <c r="G1323" s="9"/>
      <c r="H1323" s="39"/>
      <c r="I1323" s="9"/>
      <c r="J1323" s="39"/>
      <c r="K1323" s="42"/>
      <c r="L1323" s="9"/>
      <c r="M1323" s="16"/>
      <c r="AA1323" s="14">
        <f t="shared" si="42"/>
        <v>0</v>
      </c>
      <c r="AB1323" s="47">
        <f t="shared" si="43"/>
        <v>-1</v>
      </c>
      <c r="AD1323" s="53"/>
      <c r="AE1323" s="53"/>
      <c r="AF1323" s="53"/>
      <c r="AG1323" s="53"/>
    </row>
    <row r="1324" spans="1:33" s="46" customFormat="1">
      <c r="A1324" s="39"/>
      <c r="B1324" s="9"/>
      <c r="C1324" s="15"/>
      <c r="D1324" s="41"/>
      <c r="E1324" s="9"/>
      <c r="F1324" s="9"/>
      <c r="G1324" s="9"/>
      <c r="H1324" s="39"/>
      <c r="I1324" s="9"/>
      <c r="J1324" s="39"/>
      <c r="K1324" s="42"/>
      <c r="L1324" s="9"/>
      <c r="M1324" s="16"/>
      <c r="AA1324" s="14">
        <f t="shared" si="42"/>
        <v>0</v>
      </c>
      <c r="AB1324" s="47">
        <f t="shared" si="43"/>
        <v>-1</v>
      </c>
      <c r="AD1324" s="53"/>
      <c r="AE1324" s="53"/>
      <c r="AF1324" s="53"/>
      <c r="AG1324" s="53"/>
    </row>
    <row r="1325" spans="1:33" s="46" customFormat="1">
      <c r="A1325" s="39"/>
      <c r="B1325" s="9"/>
      <c r="C1325" s="15"/>
      <c r="D1325" s="41"/>
      <c r="E1325" s="9"/>
      <c r="F1325" s="9"/>
      <c r="G1325" s="9"/>
      <c r="H1325" s="39"/>
      <c r="I1325" s="9"/>
      <c r="J1325" s="39"/>
      <c r="K1325" s="42"/>
      <c r="L1325" s="9"/>
      <c r="M1325" s="16"/>
      <c r="AA1325" s="14">
        <f t="shared" si="42"/>
        <v>0</v>
      </c>
      <c r="AB1325" s="47">
        <f t="shared" si="43"/>
        <v>-1</v>
      </c>
      <c r="AD1325" s="53"/>
      <c r="AE1325" s="53"/>
      <c r="AF1325" s="53"/>
      <c r="AG1325" s="53"/>
    </row>
    <row r="1326" spans="1:33" s="46" customFormat="1">
      <c r="A1326" s="39"/>
      <c r="B1326" s="9"/>
      <c r="C1326" s="15"/>
      <c r="D1326" s="41"/>
      <c r="E1326" s="9"/>
      <c r="F1326" s="9"/>
      <c r="G1326" s="9"/>
      <c r="H1326" s="39"/>
      <c r="I1326" s="9"/>
      <c r="J1326" s="39"/>
      <c r="K1326" s="42"/>
      <c r="L1326" s="9"/>
      <c r="M1326" s="16"/>
      <c r="AA1326" s="14">
        <f t="shared" si="42"/>
        <v>0</v>
      </c>
      <c r="AB1326" s="47">
        <f t="shared" si="43"/>
        <v>-1</v>
      </c>
      <c r="AD1326" s="53"/>
      <c r="AE1326" s="53"/>
      <c r="AF1326" s="53"/>
      <c r="AG1326" s="53"/>
    </row>
    <row r="1327" spans="1:33" s="46" customFormat="1">
      <c r="A1327" s="39"/>
      <c r="B1327" s="9"/>
      <c r="C1327" s="15"/>
      <c r="D1327" s="41"/>
      <c r="E1327" s="9"/>
      <c r="F1327" s="9"/>
      <c r="G1327" s="9"/>
      <c r="H1327" s="39"/>
      <c r="I1327" s="9"/>
      <c r="J1327" s="39"/>
      <c r="K1327" s="42"/>
      <c r="L1327" s="9"/>
      <c r="M1327" s="16"/>
      <c r="AA1327" s="14">
        <f t="shared" si="42"/>
        <v>0</v>
      </c>
      <c r="AB1327" s="47">
        <f t="shared" si="43"/>
        <v>-1</v>
      </c>
      <c r="AD1327" s="53"/>
      <c r="AE1327" s="53"/>
      <c r="AF1327" s="53"/>
      <c r="AG1327" s="53"/>
    </row>
    <row r="1328" spans="1:33" s="46" customFormat="1">
      <c r="A1328" s="39"/>
      <c r="B1328" s="9"/>
      <c r="C1328" s="15"/>
      <c r="D1328" s="41"/>
      <c r="E1328" s="9"/>
      <c r="F1328" s="9"/>
      <c r="G1328" s="9"/>
      <c r="H1328" s="39"/>
      <c r="I1328" s="9"/>
      <c r="J1328" s="39"/>
      <c r="K1328" s="42"/>
      <c r="L1328" s="9"/>
      <c r="M1328" s="16"/>
      <c r="AA1328" s="14">
        <f t="shared" si="42"/>
        <v>0</v>
      </c>
      <c r="AB1328" s="47">
        <f t="shared" si="43"/>
        <v>-1</v>
      </c>
      <c r="AD1328" s="53"/>
      <c r="AE1328" s="53"/>
      <c r="AF1328" s="53"/>
      <c r="AG1328" s="53"/>
    </row>
    <row r="1329" spans="1:33" s="46" customFormat="1">
      <c r="A1329" s="39"/>
      <c r="B1329" s="9"/>
      <c r="C1329" s="15"/>
      <c r="D1329" s="41"/>
      <c r="E1329" s="9"/>
      <c r="F1329" s="9"/>
      <c r="G1329" s="9"/>
      <c r="H1329" s="39"/>
      <c r="I1329" s="9"/>
      <c r="J1329" s="39"/>
      <c r="K1329" s="42"/>
      <c r="L1329" s="9"/>
      <c r="M1329" s="16"/>
      <c r="AA1329" s="14">
        <f t="shared" si="42"/>
        <v>0</v>
      </c>
      <c r="AB1329" s="47">
        <f t="shared" si="43"/>
        <v>-1</v>
      </c>
      <c r="AD1329" s="53"/>
      <c r="AE1329" s="53"/>
      <c r="AF1329" s="53"/>
      <c r="AG1329" s="53"/>
    </row>
    <row r="1330" spans="1:33" s="46" customFormat="1">
      <c r="A1330" s="39"/>
      <c r="B1330" s="9"/>
      <c r="C1330" s="15"/>
      <c r="D1330" s="41"/>
      <c r="E1330" s="9"/>
      <c r="F1330" s="9"/>
      <c r="G1330" s="9"/>
      <c r="H1330" s="39"/>
      <c r="I1330" s="9"/>
      <c r="J1330" s="39"/>
      <c r="K1330" s="42"/>
      <c r="L1330" s="9"/>
      <c r="M1330" s="16"/>
      <c r="AA1330" s="14">
        <f t="shared" si="42"/>
        <v>0</v>
      </c>
      <c r="AB1330" s="47">
        <f t="shared" si="43"/>
        <v>-1</v>
      </c>
      <c r="AD1330" s="53"/>
      <c r="AE1330" s="53"/>
      <c r="AF1330" s="53"/>
      <c r="AG1330" s="53"/>
    </row>
    <row r="1331" spans="1:33" s="46" customFormat="1">
      <c r="A1331" s="39"/>
      <c r="B1331" s="9"/>
      <c r="C1331" s="15"/>
      <c r="D1331" s="41"/>
      <c r="E1331" s="9"/>
      <c r="F1331" s="9"/>
      <c r="G1331" s="9"/>
      <c r="H1331" s="39"/>
      <c r="I1331" s="9"/>
      <c r="J1331" s="39"/>
      <c r="K1331" s="42"/>
      <c r="L1331" s="9"/>
      <c r="M1331" s="16"/>
      <c r="AA1331" s="14">
        <f t="shared" si="42"/>
        <v>0</v>
      </c>
      <c r="AB1331" s="47">
        <f t="shared" si="43"/>
        <v>-1</v>
      </c>
      <c r="AD1331" s="53"/>
      <c r="AE1331" s="53"/>
      <c r="AF1331" s="53"/>
      <c r="AG1331" s="53"/>
    </row>
    <row r="1332" spans="1:33" s="46" customFormat="1">
      <c r="A1332" s="39"/>
      <c r="B1332" s="9"/>
      <c r="C1332" s="15"/>
      <c r="D1332" s="41"/>
      <c r="E1332" s="9"/>
      <c r="F1332" s="9"/>
      <c r="G1332" s="9"/>
      <c r="H1332" s="39"/>
      <c r="I1332" s="9"/>
      <c r="J1332" s="39"/>
      <c r="K1332" s="42"/>
      <c r="L1332" s="9"/>
      <c r="M1332" s="16"/>
      <c r="AA1332" s="14">
        <f t="shared" si="42"/>
        <v>0</v>
      </c>
      <c r="AB1332" s="47">
        <f t="shared" si="43"/>
        <v>-1</v>
      </c>
      <c r="AD1332" s="53"/>
      <c r="AE1332" s="53"/>
      <c r="AF1332" s="53"/>
      <c r="AG1332" s="53"/>
    </row>
    <row r="1333" spans="1:33" s="46" customFormat="1">
      <c r="A1333" s="39"/>
      <c r="B1333" s="9"/>
      <c r="C1333" s="15"/>
      <c r="D1333" s="41"/>
      <c r="E1333" s="9"/>
      <c r="F1333" s="9"/>
      <c r="G1333" s="9"/>
      <c r="H1333" s="39"/>
      <c r="I1333" s="9"/>
      <c r="J1333" s="39"/>
      <c r="K1333" s="42"/>
      <c r="L1333" s="9"/>
      <c r="M1333" s="16"/>
      <c r="AA1333" s="14">
        <f t="shared" si="42"/>
        <v>0</v>
      </c>
      <c r="AB1333" s="47">
        <f t="shared" si="43"/>
        <v>-1</v>
      </c>
      <c r="AD1333" s="53"/>
      <c r="AE1333" s="53"/>
      <c r="AF1333" s="53"/>
      <c r="AG1333" s="53"/>
    </row>
    <row r="1334" spans="1:33" s="46" customFormat="1">
      <c r="A1334" s="39"/>
      <c r="B1334" s="9"/>
      <c r="C1334" s="15"/>
      <c r="D1334" s="41"/>
      <c r="E1334" s="9"/>
      <c r="F1334" s="9"/>
      <c r="G1334" s="9"/>
      <c r="H1334" s="39"/>
      <c r="I1334" s="9"/>
      <c r="J1334" s="39"/>
      <c r="K1334" s="42"/>
      <c r="L1334" s="9"/>
      <c r="M1334" s="16"/>
      <c r="AA1334" s="14">
        <f t="shared" si="42"/>
        <v>0</v>
      </c>
      <c r="AB1334" s="47">
        <f t="shared" si="43"/>
        <v>-1</v>
      </c>
      <c r="AD1334" s="53"/>
      <c r="AE1334" s="53"/>
      <c r="AF1334" s="53"/>
      <c r="AG1334" s="53"/>
    </row>
    <row r="1335" spans="1:33" s="46" customFormat="1">
      <c r="A1335" s="39"/>
      <c r="B1335" s="9"/>
      <c r="C1335" s="15"/>
      <c r="D1335" s="41"/>
      <c r="E1335" s="9"/>
      <c r="F1335" s="9"/>
      <c r="G1335" s="9"/>
      <c r="H1335" s="39"/>
      <c r="I1335" s="9"/>
      <c r="J1335" s="39"/>
      <c r="K1335" s="42"/>
      <c r="L1335" s="9"/>
      <c r="M1335" s="16"/>
      <c r="AA1335" s="14">
        <f t="shared" si="42"/>
        <v>0</v>
      </c>
      <c r="AB1335" s="47">
        <f t="shared" si="43"/>
        <v>-1</v>
      </c>
      <c r="AD1335" s="53"/>
      <c r="AE1335" s="53"/>
      <c r="AF1335" s="53"/>
      <c r="AG1335" s="53"/>
    </row>
    <row r="1336" spans="1:33" s="46" customFormat="1">
      <c r="A1336" s="39"/>
      <c r="B1336" s="9"/>
      <c r="C1336" s="15"/>
      <c r="D1336" s="41"/>
      <c r="E1336" s="9"/>
      <c r="F1336" s="9"/>
      <c r="G1336" s="9"/>
      <c r="H1336" s="39"/>
      <c r="I1336" s="9"/>
      <c r="J1336" s="39"/>
      <c r="K1336" s="42"/>
      <c r="L1336" s="9"/>
      <c r="M1336" s="16"/>
      <c r="AA1336" s="14">
        <f t="shared" si="42"/>
        <v>0</v>
      </c>
      <c r="AB1336" s="47">
        <f t="shared" si="43"/>
        <v>-1</v>
      </c>
      <c r="AD1336" s="53"/>
      <c r="AE1336" s="53"/>
      <c r="AF1336" s="53"/>
      <c r="AG1336" s="53"/>
    </row>
    <row r="1337" spans="1:33" s="46" customFormat="1">
      <c r="A1337" s="39"/>
      <c r="B1337" s="9"/>
      <c r="C1337" s="15"/>
      <c r="D1337" s="41"/>
      <c r="E1337" s="9"/>
      <c r="F1337" s="9"/>
      <c r="G1337" s="9"/>
      <c r="H1337" s="39"/>
      <c r="I1337" s="9"/>
      <c r="J1337" s="39"/>
      <c r="K1337" s="42"/>
      <c r="L1337" s="9"/>
      <c r="M1337" s="16"/>
      <c r="AA1337" s="14">
        <f t="shared" si="42"/>
        <v>0</v>
      </c>
      <c r="AB1337" s="47">
        <f t="shared" si="43"/>
        <v>-1</v>
      </c>
      <c r="AD1337" s="53"/>
      <c r="AE1337" s="53"/>
      <c r="AF1337" s="53"/>
      <c r="AG1337" s="53"/>
    </row>
    <row r="1338" spans="1:33" s="46" customFormat="1">
      <c r="A1338" s="39"/>
      <c r="B1338" s="9"/>
      <c r="C1338" s="15"/>
      <c r="D1338" s="41"/>
      <c r="E1338" s="9"/>
      <c r="F1338" s="9"/>
      <c r="G1338" s="9"/>
      <c r="H1338" s="39"/>
      <c r="I1338" s="9"/>
      <c r="J1338" s="39"/>
      <c r="K1338" s="42"/>
      <c r="L1338" s="9"/>
      <c r="M1338" s="16"/>
      <c r="AA1338" s="14">
        <f t="shared" si="42"/>
        <v>0</v>
      </c>
      <c r="AB1338" s="47">
        <f t="shared" si="43"/>
        <v>-1</v>
      </c>
      <c r="AD1338" s="53"/>
      <c r="AE1338" s="53"/>
      <c r="AF1338" s="53"/>
      <c r="AG1338" s="53"/>
    </row>
    <row r="1339" spans="1:33" s="46" customFormat="1">
      <c r="A1339" s="39"/>
      <c r="B1339" s="9"/>
      <c r="C1339" s="15"/>
      <c r="D1339" s="41"/>
      <c r="E1339" s="9"/>
      <c r="F1339" s="9"/>
      <c r="G1339" s="9"/>
      <c r="H1339" s="39"/>
      <c r="I1339" s="9"/>
      <c r="J1339" s="39"/>
      <c r="K1339" s="42"/>
      <c r="L1339" s="9"/>
      <c r="M1339" s="16"/>
      <c r="AA1339" s="14">
        <f t="shared" si="42"/>
        <v>0</v>
      </c>
      <c r="AB1339" s="47">
        <f t="shared" si="43"/>
        <v>-1</v>
      </c>
      <c r="AD1339" s="53"/>
      <c r="AE1339" s="53"/>
      <c r="AF1339" s="53"/>
      <c r="AG1339" s="53"/>
    </row>
    <row r="1340" spans="1:33" s="46" customFormat="1">
      <c r="A1340" s="39"/>
      <c r="B1340" s="9"/>
      <c r="C1340" s="15"/>
      <c r="D1340" s="41"/>
      <c r="E1340" s="9"/>
      <c r="F1340" s="9"/>
      <c r="G1340" s="9"/>
      <c r="H1340" s="39"/>
      <c r="I1340" s="9"/>
      <c r="J1340" s="39"/>
      <c r="K1340" s="42"/>
      <c r="L1340" s="9"/>
      <c r="M1340" s="16"/>
      <c r="AA1340" s="14">
        <f t="shared" si="42"/>
        <v>0</v>
      </c>
      <c r="AB1340" s="47">
        <f t="shared" si="43"/>
        <v>-1</v>
      </c>
      <c r="AD1340" s="53"/>
      <c r="AE1340" s="53"/>
      <c r="AF1340" s="53"/>
      <c r="AG1340" s="53"/>
    </row>
    <row r="1341" spans="1:33" s="46" customFormat="1">
      <c r="A1341" s="39"/>
      <c r="B1341" s="9"/>
      <c r="C1341" s="15"/>
      <c r="D1341" s="41"/>
      <c r="E1341" s="9"/>
      <c r="F1341" s="9"/>
      <c r="G1341" s="9"/>
      <c r="H1341" s="39"/>
      <c r="I1341" s="9"/>
      <c r="J1341" s="39"/>
      <c r="K1341" s="42"/>
      <c r="L1341" s="9"/>
      <c r="M1341" s="16"/>
      <c r="AA1341" s="14">
        <f t="shared" si="42"/>
        <v>0</v>
      </c>
      <c r="AB1341" s="47">
        <f t="shared" si="43"/>
        <v>-1</v>
      </c>
      <c r="AD1341" s="53"/>
      <c r="AE1341" s="53"/>
      <c r="AF1341" s="53"/>
      <c r="AG1341" s="53"/>
    </row>
    <row r="1342" spans="1:33" s="46" customFormat="1">
      <c r="A1342" s="54"/>
      <c r="B1342" s="16"/>
      <c r="C1342" s="55"/>
      <c r="D1342" s="56"/>
      <c r="E1342" s="16"/>
      <c r="F1342" s="16"/>
      <c r="G1342" s="16"/>
      <c r="H1342" s="54"/>
      <c r="I1342" s="16"/>
      <c r="J1342" s="54"/>
      <c r="K1342" s="42"/>
      <c r="L1342" s="16"/>
      <c r="M1342" s="16"/>
      <c r="AA1342" s="14">
        <f t="shared" si="42"/>
        <v>0</v>
      </c>
      <c r="AB1342" s="47">
        <f t="shared" si="43"/>
        <v>-1</v>
      </c>
      <c r="AD1342" s="53"/>
      <c r="AE1342" s="53"/>
      <c r="AF1342" s="53"/>
      <c r="AG1342" s="53"/>
    </row>
    <row r="1343" spans="1:33" s="46" customFormat="1">
      <c r="A1343" s="54"/>
      <c r="B1343" s="16"/>
      <c r="C1343" s="55"/>
      <c r="D1343" s="56"/>
      <c r="E1343" s="16"/>
      <c r="F1343" s="16"/>
      <c r="G1343" s="16"/>
      <c r="H1343" s="54"/>
      <c r="I1343" s="16"/>
      <c r="J1343" s="54"/>
      <c r="K1343" s="42"/>
      <c r="L1343" s="16"/>
      <c r="M1343" s="16"/>
      <c r="AA1343" s="14">
        <f t="shared" si="42"/>
        <v>0</v>
      </c>
      <c r="AB1343" s="47">
        <f t="shared" si="43"/>
        <v>-1</v>
      </c>
      <c r="AD1343" s="53"/>
      <c r="AE1343" s="53"/>
      <c r="AF1343" s="53"/>
      <c r="AG1343" s="53"/>
    </row>
    <row r="1344" spans="1:33" s="46" customFormat="1">
      <c r="A1344" s="54"/>
      <c r="B1344" s="16"/>
      <c r="C1344" s="55"/>
      <c r="D1344" s="56"/>
      <c r="E1344" s="16"/>
      <c r="F1344" s="16"/>
      <c r="G1344" s="16"/>
      <c r="H1344" s="54"/>
      <c r="I1344" s="16"/>
      <c r="J1344" s="54"/>
      <c r="K1344" s="42"/>
      <c r="L1344" s="16"/>
      <c r="M1344" s="16"/>
      <c r="AA1344" s="14">
        <f t="shared" si="42"/>
        <v>0</v>
      </c>
      <c r="AB1344" s="47">
        <f t="shared" si="43"/>
        <v>-1</v>
      </c>
      <c r="AD1344" s="53"/>
      <c r="AE1344" s="53"/>
      <c r="AF1344" s="53"/>
      <c r="AG1344" s="53"/>
    </row>
    <row r="1345" spans="1:33" s="46" customFormat="1">
      <c r="A1345" s="54"/>
      <c r="B1345" s="16"/>
      <c r="C1345" s="55"/>
      <c r="D1345" s="56"/>
      <c r="E1345" s="16"/>
      <c r="F1345" s="16"/>
      <c r="G1345" s="16"/>
      <c r="H1345" s="54"/>
      <c r="I1345" s="16"/>
      <c r="J1345" s="54"/>
      <c r="K1345" s="42"/>
      <c r="L1345" s="16"/>
      <c r="M1345" s="16"/>
      <c r="AA1345" s="14">
        <f t="shared" si="42"/>
        <v>0</v>
      </c>
      <c r="AB1345" s="47">
        <f t="shared" si="43"/>
        <v>-1</v>
      </c>
      <c r="AD1345" s="53"/>
      <c r="AE1345" s="53"/>
      <c r="AF1345" s="53"/>
      <c r="AG1345" s="53"/>
    </row>
    <row r="1346" spans="1:33" s="46" customFormat="1">
      <c r="A1346" s="54"/>
      <c r="B1346" s="16"/>
      <c r="C1346" s="55"/>
      <c r="D1346" s="56"/>
      <c r="E1346" s="16"/>
      <c r="F1346" s="16"/>
      <c r="G1346" s="16"/>
      <c r="H1346" s="54"/>
      <c r="I1346" s="16"/>
      <c r="J1346" s="54"/>
      <c r="K1346" s="42"/>
      <c r="L1346" s="16"/>
      <c r="M1346" s="16"/>
      <c r="AA1346" s="14">
        <f t="shared" si="42"/>
        <v>0</v>
      </c>
      <c r="AB1346" s="47">
        <f t="shared" si="43"/>
        <v>-1</v>
      </c>
      <c r="AD1346" s="53"/>
      <c r="AE1346" s="53"/>
      <c r="AF1346" s="53"/>
      <c r="AG1346" s="53"/>
    </row>
    <row r="1347" spans="1:33" s="46" customFormat="1">
      <c r="A1347" s="54"/>
      <c r="B1347" s="16"/>
      <c r="C1347" s="55"/>
      <c r="D1347" s="56"/>
      <c r="E1347" s="16"/>
      <c r="F1347" s="16"/>
      <c r="G1347" s="16"/>
      <c r="H1347" s="54"/>
      <c r="I1347" s="16"/>
      <c r="J1347" s="54"/>
      <c r="K1347" s="42"/>
      <c r="L1347" s="16"/>
      <c r="M1347" s="16"/>
      <c r="AA1347" s="14">
        <f t="shared" si="42"/>
        <v>0</v>
      </c>
      <c r="AB1347" s="47">
        <f t="shared" si="43"/>
        <v>-1</v>
      </c>
      <c r="AD1347" s="53"/>
      <c r="AE1347" s="53"/>
      <c r="AF1347" s="53"/>
      <c r="AG1347" s="53"/>
    </row>
    <row r="1348" spans="1:33" s="46" customFormat="1">
      <c r="A1348" s="54"/>
      <c r="B1348" s="16"/>
      <c r="C1348" s="55"/>
      <c r="D1348" s="56"/>
      <c r="E1348" s="16"/>
      <c r="F1348" s="16"/>
      <c r="G1348" s="16"/>
      <c r="H1348" s="54"/>
      <c r="I1348" s="16"/>
      <c r="J1348" s="54"/>
      <c r="K1348" s="42"/>
      <c r="L1348" s="16"/>
      <c r="M1348" s="16"/>
      <c r="AA1348" s="14">
        <f t="shared" si="42"/>
        <v>0</v>
      </c>
      <c r="AB1348" s="47">
        <f t="shared" si="43"/>
        <v>-1</v>
      </c>
      <c r="AD1348" s="53"/>
      <c r="AE1348" s="53"/>
      <c r="AF1348" s="53"/>
      <c r="AG1348" s="53"/>
    </row>
    <row r="1349" spans="1:33" s="46" customFormat="1">
      <c r="A1349" s="54"/>
      <c r="B1349" s="16"/>
      <c r="C1349" s="55"/>
      <c r="D1349" s="56"/>
      <c r="E1349" s="16"/>
      <c r="F1349" s="16"/>
      <c r="G1349" s="16"/>
      <c r="H1349" s="54"/>
      <c r="I1349" s="16"/>
      <c r="J1349" s="54"/>
      <c r="K1349" s="42"/>
      <c r="L1349" s="16"/>
      <c r="M1349" s="16"/>
      <c r="AA1349" s="14">
        <f t="shared" si="42"/>
        <v>0</v>
      </c>
      <c r="AB1349" s="47">
        <f t="shared" si="43"/>
        <v>-1</v>
      </c>
      <c r="AD1349" s="53"/>
      <c r="AE1349" s="53"/>
      <c r="AF1349" s="53"/>
      <c r="AG1349" s="53"/>
    </row>
    <row r="1350" spans="1:33" s="46" customFormat="1">
      <c r="A1350" s="54"/>
      <c r="B1350" s="16"/>
      <c r="C1350" s="55"/>
      <c r="D1350" s="56"/>
      <c r="E1350" s="16"/>
      <c r="F1350" s="16"/>
      <c r="G1350" s="16"/>
      <c r="H1350" s="54"/>
      <c r="I1350" s="16"/>
      <c r="J1350" s="54"/>
      <c r="K1350" s="42"/>
      <c r="L1350" s="16"/>
      <c r="M1350" s="16"/>
      <c r="AA1350" s="14">
        <f t="shared" si="42"/>
        <v>0</v>
      </c>
      <c r="AB1350" s="47">
        <f t="shared" si="43"/>
        <v>-1</v>
      </c>
      <c r="AD1350" s="53"/>
      <c r="AE1350" s="53"/>
      <c r="AF1350" s="53"/>
      <c r="AG1350" s="53"/>
    </row>
    <row r="1351" spans="1:33" s="46" customFormat="1">
      <c r="A1351" s="54"/>
      <c r="B1351" s="16"/>
      <c r="C1351" s="55"/>
      <c r="D1351" s="56"/>
      <c r="E1351" s="16"/>
      <c r="F1351" s="16"/>
      <c r="G1351" s="16"/>
      <c r="H1351" s="54"/>
      <c r="I1351" s="16"/>
      <c r="J1351" s="54"/>
      <c r="K1351" s="42"/>
      <c r="L1351" s="16"/>
      <c r="M1351" s="16"/>
      <c r="AA1351" s="14">
        <f t="shared" si="42"/>
        <v>0</v>
      </c>
      <c r="AB1351" s="47">
        <f t="shared" si="43"/>
        <v>-1</v>
      </c>
      <c r="AD1351" s="53"/>
      <c r="AE1351" s="53"/>
      <c r="AF1351" s="53"/>
      <c r="AG1351" s="53"/>
    </row>
    <row r="1352" spans="1:33" s="46" customFormat="1">
      <c r="A1352" s="54"/>
      <c r="B1352" s="16"/>
      <c r="C1352" s="55"/>
      <c r="D1352" s="56"/>
      <c r="E1352" s="16"/>
      <c r="F1352" s="16"/>
      <c r="G1352" s="16"/>
      <c r="H1352" s="54"/>
      <c r="I1352" s="16"/>
      <c r="J1352" s="54"/>
      <c r="K1352" s="42"/>
      <c r="L1352" s="16"/>
      <c r="M1352" s="16"/>
      <c r="AA1352" s="14">
        <f t="shared" si="42"/>
        <v>0</v>
      </c>
      <c r="AB1352" s="47">
        <f t="shared" si="43"/>
        <v>-1</v>
      </c>
      <c r="AD1352" s="53"/>
      <c r="AE1352" s="53"/>
      <c r="AF1352" s="53"/>
      <c r="AG1352" s="53"/>
    </row>
    <row r="1353" spans="1:33" s="46" customFormat="1">
      <c r="A1353" s="54"/>
      <c r="B1353" s="16"/>
      <c r="C1353" s="55"/>
      <c r="D1353" s="56"/>
      <c r="E1353" s="16"/>
      <c r="F1353" s="16"/>
      <c r="G1353" s="16"/>
      <c r="H1353" s="54"/>
      <c r="I1353" s="16"/>
      <c r="J1353" s="54"/>
      <c r="K1353" s="42"/>
      <c r="L1353" s="16"/>
      <c r="M1353" s="16"/>
      <c r="AA1353" s="14">
        <f t="shared" si="42"/>
        <v>0</v>
      </c>
      <c r="AB1353" s="47">
        <f t="shared" si="43"/>
        <v>-1</v>
      </c>
      <c r="AD1353" s="53"/>
      <c r="AE1353" s="53"/>
      <c r="AF1353" s="53"/>
      <c r="AG1353" s="53"/>
    </row>
    <row r="1354" spans="1:33" s="46" customFormat="1">
      <c r="A1354" s="54"/>
      <c r="B1354" s="16"/>
      <c r="C1354" s="55"/>
      <c r="D1354" s="56"/>
      <c r="E1354" s="16"/>
      <c r="F1354" s="16"/>
      <c r="G1354" s="16"/>
      <c r="H1354" s="54"/>
      <c r="I1354" s="16"/>
      <c r="J1354" s="54"/>
      <c r="K1354" s="42"/>
      <c r="L1354" s="16"/>
      <c r="M1354" s="16"/>
      <c r="AA1354" s="14">
        <f t="shared" si="42"/>
        <v>0</v>
      </c>
      <c r="AB1354" s="47">
        <f t="shared" si="43"/>
        <v>-1</v>
      </c>
      <c r="AD1354" s="53"/>
      <c r="AE1354" s="53"/>
      <c r="AF1354" s="53"/>
      <c r="AG1354" s="53"/>
    </row>
    <row r="1355" spans="1:33" s="46" customFormat="1">
      <c r="A1355" s="54"/>
      <c r="B1355" s="16"/>
      <c r="C1355" s="55"/>
      <c r="D1355" s="56"/>
      <c r="E1355" s="16"/>
      <c r="F1355" s="16"/>
      <c r="G1355" s="16"/>
      <c r="H1355" s="54"/>
      <c r="I1355" s="16"/>
      <c r="J1355" s="54"/>
      <c r="K1355" s="42"/>
      <c r="L1355" s="16"/>
      <c r="M1355" s="16"/>
      <c r="AA1355" s="14">
        <f t="shared" si="42"/>
        <v>0</v>
      </c>
      <c r="AB1355" s="47">
        <f t="shared" si="43"/>
        <v>-1</v>
      </c>
      <c r="AD1355" s="53"/>
      <c r="AE1355" s="53"/>
      <c r="AF1355" s="53"/>
      <c r="AG1355" s="53"/>
    </row>
    <row r="1356" spans="1:33" s="46" customFormat="1">
      <c r="A1356" s="54"/>
      <c r="B1356" s="16"/>
      <c r="C1356" s="55"/>
      <c r="D1356" s="56"/>
      <c r="E1356" s="16"/>
      <c r="F1356" s="16"/>
      <c r="G1356" s="16"/>
      <c r="H1356" s="54"/>
      <c r="I1356" s="16"/>
      <c r="J1356" s="54"/>
      <c r="K1356" s="42"/>
      <c r="L1356" s="16"/>
      <c r="M1356" s="16"/>
      <c r="AA1356" s="14">
        <f t="shared" si="42"/>
        <v>0</v>
      </c>
      <c r="AB1356" s="47">
        <f t="shared" si="43"/>
        <v>-1</v>
      </c>
      <c r="AD1356" s="53"/>
      <c r="AE1356" s="53"/>
      <c r="AF1356" s="53"/>
      <c r="AG1356" s="53"/>
    </row>
    <row r="1357" spans="1:33" s="46" customFormat="1">
      <c r="A1357" s="54"/>
      <c r="B1357" s="16"/>
      <c r="C1357" s="55"/>
      <c r="D1357" s="56"/>
      <c r="E1357" s="16"/>
      <c r="F1357" s="16"/>
      <c r="G1357" s="16"/>
      <c r="H1357" s="54"/>
      <c r="I1357" s="16"/>
      <c r="J1357" s="54"/>
      <c r="K1357" s="42"/>
      <c r="L1357" s="16"/>
      <c r="M1357" s="16"/>
      <c r="AA1357" s="14">
        <f t="shared" si="42"/>
        <v>0</v>
      </c>
      <c r="AB1357" s="47">
        <f t="shared" si="43"/>
        <v>-1</v>
      </c>
      <c r="AD1357" s="53"/>
      <c r="AE1357" s="53"/>
      <c r="AF1357" s="53"/>
      <c r="AG1357" s="53"/>
    </row>
    <row r="1358" spans="1:33" s="46" customFormat="1">
      <c r="A1358" s="54"/>
      <c r="B1358" s="16"/>
      <c r="C1358" s="55"/>
      <c r="D1358" s="56"/>
      <c r="E1358" s="16"/>
      <c r="F1358" s="16"/>
      <c r="G1358" s="16"/>
      <c r="H1358" s="54"/>
      <c r="I1358" s="16"/>
      <c r="J1358" s="54"/>
      <c r="K1358" s="42"/>
      <c r="L1358" s="16"/>
      <c r="M1358" s="16"/>
      <c r="AA1358" s="14">
        <f t="shared" si="42"/>
        <v>0</v>
      </c>
      <c r="AB1358" s="47">
        <f t="shared" si="43"/>
        <v>-1</v>
      </c>
      <c r="AD1358" s="53"/>
      <c r="AE1358" s="53"/>
      <c r="AF1358" s="53"/>
      <c r="AG1358" s="53"/>
    </row>
    <row r="1359" spans="1:33" s="46" customFormat="1">
      <c r="A1359" s="54"/>
      <c r="B1359" s="16"/>
      <c r="C1359" s="55"/>
      <c r="D1359" s="56"/>
      <c r="E1359" s="16"/>
      <c r="F1359" s="16"/>
      <c r="G1359" s="16"/>
      <c r="H1359" s="54"/>
      <c r="I1359" s="16"/>
      <c r="J1359" s="54"/>
      <c r="K1359" s="42"/>
      <c r="L1359" s="16"/>
      <c r="M1359" s="16"/>
      <c r="AA1359" s="14">
        <f t="shared" si="42"/>
        <v>0</v>
      </c>
      <c r="AB1359" s="47">
        <f t="shared" si="43"/>
        <v>-1</v>
      </c>
      <c r="AD1359" s="53"/>
      <c r="AE1359" s="53"/>
      <c r="AF1359" s="53"/>
      <c r="AG1359" s="53"/>
    </row>
    <row r="1360" spans="1:33" s="46" customFormat="1">
      <c r="A1360" s="54"/>
      <c r="B1360" s="16"/>
      <c r="C1360" s="55"/>
      <c r="D1360" s="56"/>
      <c r="E1360" s="16"/>
      <c r="F1360" s="16"/>
      <c r="G1360" s="16"/>
      <c r="H1360" s="54"/>
      <c r="I1360" s="16"/>
      <c r="J1360" s="54"/>
      <c r="K1360" s="42"/>
      <c r="L1360" s="16"/>
      <c r="M1360" s="16"/>
      <c r="AA1360" s="14">
        <f t="shared" si="42"/>
        <v>0</v>
      </c>
      <c r="AB1360" s="47">
        <f t="shared" si="43"/>
        <v>-1</v>
      </c>
      <c r="AD1360" s="53"/>
      <c r="AE1360" s="53"/>
      <c r="AF1360" s="53"/>
      <c r="AG1360" s="53"/>
    </row>
    <row r="1361" spans="1:33" s="46" customFormat="1">
      <c r="A1361" s="54"/>
      <c r="B1361" s="16"/>
      <c r="C1361" s="55"/>
      <c r="D1361" s="56"/>
      <c r="E1361" s="16"/>
      <c r="F1361" s="16"/>
      <c r="G1361" s="16"/>
      <c r="H1361" s="54"/>
      <c r="I1361" s="16"/>
      <c r="J1361" s="54"/>
      <c r="K1361" s="42"/>
      <c r="L1361" s="16"/>
      <c r="M1361" s="16"/>
      <c r="AA1361" s="14">
        <f t="shared" si="42"/>
        <v>0</v>
      </c>
      <c r="AB1361" s="47">
        <f t="shared" si="43"/>
        <v>-1</v>
      </c>
      <c r="AD1361" s="53"/>
      <c r="AE1361" s="53"/>
      <c r="AF1361" s="53"/>
      <c r="AG1361" s="53"/>
    </row>
    <row r="1362" spans="1:33" s="46" customFormat="1">
      <c r="A1362" s="54"/>
      <c r="B1362" s="16"/>
      <c r="C1362" s="55"/>
      <c r="D1362" s="56"/>
      <c r="E1362" s="16"/>
      <c r="F1362" s="16"/>
      <c r="G1362" s="16"/>
      <c r="H1362" s="54"/>
      <c r="I1362" s="16"/>
      <c r="J1362" s="54"/>
      <c r="K1362" s="42"/>
      <c r="L1362" s="16"/>
      <c r="M1362" s="16"/>
      <c r="AA1362" s="14">
        <f t="shared" si="42"/>
        <v>0</v>
      </c>
      <c r="AB1362" s="47">
        <f t="shared" si="43"/>
        <v>-1</v>
      </c>
      <c r="AD1362" s="53"/>
      <c r="AE1362" s="53"/>
      <c r="AF1362" s="53"/>
      <c r="AG1362" s="53"/>
    </row>
    <row r="1363" spans="1:33" s="46" customFormat="1">
      <c r="A1363" s="54"/>
      <c r="B1363" s="16"/>
      <c r="C1363" s="55"/>
      <c r="D1363" s="56"/>
      <c r="E1363" s="16"/>
      <c r="F1363" s="16"/>
      <c r="G1363" s="16"/>
      <c r="H1363" s="54"/>
      <c r="I1363" s="16"/>
      <c r="J1363" s="54"/>
      <c r="K1363" s="42"/>
      <c r="L1363" s="16"/>
      <c r="M1363" s="16"/>
      <c r="AA1363" s="14">
        <f t="shared" si="42"/>
        <v>0</v>
      </c>
      <c r="AB1363" s="47">
        <f t="shared" si="43"/>
        <v>-1</v>
      </c>
      <c r="AD1363" s="53"/>
      <c r="AE1363" s="53"/>
      <c r="AF1363" s="53"/>
      <c r="AG1363" s="53"/>
    </row>
    <row r="1364" spans="1:33" s="46" customFormat="1">
      <c r="A1364" s="54"/>
      <c r="B1364" s="16"/>
      <c r="C1364" s="55"/>
      <c r="D1364" s="56"/>
      <c r="E1364" s="16"/>
      <c r="F1364" s="16"/>
      <c r="G1364" s="16"/>
      <c r="H1364" s="54"/>
      <c r="I1364" s="16"/>
      <c r="J1364" s="54"/>
      <c r="K1364" s="42"/>
      <c r="L1364" s="16"/>
      <c r="M1364" s="16"/>
      <c r="AA1364" s="14">
        <f t="shared" si="42"/>
        <v>0</v>
      </c>
      <c r="AB1364" s="47">
        <f t="shared" si="43"/>
        <v>-1</v>
      </c>
      <c r="AD1364" s="53"/>
      <c r="AE1364" s="53"/>
      <c r="AF1364" s="53"/>
      <c r="AG1364" s="53"/>
    </row>
    <row r="1365" spans="1:33" s="46" customFormat="1">
      <c r="A1365" s="54"/>
      <c r="B1365" s="16"/>
      <c r="C1365" s="55"/>
      <c r="D1365" s="56"/>
      <c r="E1365" s="16"/>
      <c r="F1365" s="16"/>
      <c r="G1365" s="16"/>
      <c r="H1365" s="54"/>
      <c r="I1365" s="16"/>
      <c r="J1365" s="54"/>
      <c r="K1365" s="42"/>
      <c r="L1365" s="16"/>
      <c r="M1365" s="16"/>
      <c r="AA1365" s="14">
        <f t="shared" si="42"/>
        <v>0</v>
      </c>
      <c r="AB1365" s="47">
        <f t="shared" si="43"/>
        <v>-1</v>
      </c>
      <c r="AD1365" s="53"/>
      <c r="AE1365" s="53"/>
      <c r="AF1365" s="53"/>
      <c r="AG1365" s="53"/>
    </row>
    <row r="1366" spans="1:33" s="46" customFormat="1">
      <c r="A1366" s="54"/>
      <c r="B1366" s="16"/>
      <c r="C1366" s="55"/>
      <c r="D1366" s="56"/>
      <c r="E1366" s="16"/>
      <c r="F1366" s="16"/>
      <c r="G1366" s="16"/>
      <c r="H1366" s="54"/>
      <c r="I1366" s="16"/>
      <c r="J1366" s="54"/>
      <c r="K1366" s="42"/>
      <c r="L1366" s="16"/>
      <c r="M1366" s="16"/>
      <c r="AA1366" s="14">
        <f t="shared" si="42"/>
        <v>0</v>
      </c>
      <c r="AB1366" s="47">
        <f t="shared" si="43"/>
        <v>-1</v>
      </c>
      <c r="AD1366" s="53"/>
      <c r="AE1366" s="53"/>
      <c r="AF1366" s="53"/>
      <c r="AG1366" s="53"/>
    </row>
    <row r="1367" spans="1:33" s="46" customFormat="1">
      <c r="A1367" s="54"/>
      <c r="B1367" s="16"/>
      <c r="C1367" s="55"/>
      <c r="D1367" s="56"/>
      <c r="E1367" s="16"/>
      <c r="F1367" s="16"/>
      <c r="G1367" s="16"/>
      <c r="H1367" s="54"/>
      <c r="I1367" s="16"/>
      <c r="J1367" s="54"/>
      <c r="K1367" s="42"/>
      <c r="L1367" s="16"/>
      <c r="M1367" s="16"/>
      <c r="AA1367" s="14">
        <f t="shared" si="42"/>
        <v>0</v>
      </c>
      <c r="AB1367" s="47">
        <f t="shared" si="43"/>
        <v>-1</v>
      </c>
      <c r="AD1367" s="53"/>
      <c r="AE1367" s="53"/>
      <c r="AF1367" s="53"/>
      <c r="AG1367" s="53"/>
    </row>
    <row r="1368" spans="1:33" s="46" customFormat="1">
      <c r="A1368" s="54"/>
      <c r="B1368" s="16"/>
      <c r="C1368" s="55"/>
      <c r="D1368" s="56"/>
      <c r="E1368" s="16"/>
      <c r="F1368" s="16"/>
      <c r="G1368" s="16"/>
      <c r="H1368" s="54"/>
      <c r="I1368" s="16"/>
      <c r="J1368" s="54"/>
      <c r="K1368" s="42"/>
      <c r="L1368" s="16"/>
      <c r="M1368" s="16"/>
      <c r="AA1368" s="14">
        <f t="shared" si="42"/>
        <v>0</v>
      </c>
      <c r="AB1368" s="47">
        <f t="shared" si="43"/>
        <v>-1</v>
      </c>
      <c r="AD1368" s="53"/>
      <c r="AE1368" s="53"/>
      <c r="AF1368" s="53"/>
      <c r="AG1368" s="53"/>
    </row>
    <row r="1369" spans="1:33" s="46" customFormat="1">
      <c r="A1369" s="54"/>
      <c r="B1369" s="16"/>
      <c r="C1369" s="55"/>
      <c r="D1369" s="56"/>
      <c r="E1369" s="16"/>
      <c r="F1369" s="16"/>
      <c r="G1369" s="16"/>
      <c r="H1369" s="54"/>
      <c r="I1369" s="16"/>
      <c r="J1369" s="54"/>
      <c r="K1369" s="42"/>
      <c r="L1369" s="16"/>
      <c r="M1369" s="16"/>
      <c r="AA1369" s="14">
        <f t="shared" si="42"/>
        <v>0</v>
      </c>
      <c r="AB1369" s="47">
        <f t="shared" si="43"/>
        <v>-1</v>
      </c>
      <c r="AD1369" s="53"/>
      <c r="AE1369" s="53"/>
      <c r="AF1369" s="53"/>
      <c r="AG1369" s="53"/>
    </row>
    <row r="1370" spans="1:33" s="46" customFormat="1">
      <c r="A1370" s="54"/>
      <c r="B1370" s="16"/>
      <c r="C1370" s="55"/>
      <c r="D1370" s="56"/>
      <c r="E1370" s="16"/>
      <c r="F1370" s="16"/>
      <c r="G1370" s="16"/>
      <c r="H1370" s="54"/>
      <c r="I1370" s="16"/>
      <c r="J1370" s="54"/>
      <c r="K1370" s="42"/>
      <c r="L1370" s="16"/>
      <c r="M1370" s="16"/>
      <c r="AA1370" s="14">
        <f t="shared" si="42"/>
        <v>0</v>
      </c>
      <c r="AB1370" s="47">
        <f t="shared" si="43"/>
        <v>-1</v>
      </c>
      <c r="AD1370" s="53"/>
      <c r="AE1370" s="53"/>
      <c r="AF1370" s="53"/>
      <c r="AG1370" s="53"/>
    </row>
    <row r="1371" spans="1:33" s="46" customFormat="1">
      <c r="A1371" s="54"/>
      <c r="B1371" s="16"/>
      <c r="C1371" s="55"/>
      <c r="D1371" s="56"/>
      <c r="E1371" s="16"/>
      <c r="F1371" s="16"/>
      <c r="G1371" s="16"/>
      <c r="H1371" s="54"/>
      <c r="I1371" s="16"/>
      <c r="J1371" s="54"/>
      <c r="K1371" s="42"/>
      <c r="L1371" s="16"/>
      <c r="M1371" s="16"/>
      <c r="AA1371" s="14">
        <f t="shared" si="42"/>
        <v>0</v>
      </c>
      <c r="AB1371" s="47">
        <f t="shared" si="43"/>
        <v>-1</v>
      </c>
      <c r="AD1371" s="53"/>
      <c r="AE1371" s="53"/>
      <c r="AF1371" s="53"/>
      <c r="AG1371" s="53"/>
    </row>
    <row r="1372" spans="1:33" s="46" customFormat="1">
      <c r="A1372" s="54"/>
      <c r="B1372" s="16"/>
      <c r="C1372" s="55"/>
      <c r="D1372" s="56"/>
      <c r="E1372" s="16"/>
      <c r="F1372" s="16"/>
      <c r="G1372" s="16"/>
      <c r="H1372" s="54"/>
      <c r="I1372" s="16"/>
      <c r="J1372" s="54"/>
      <c r="K1372" s="42"/>
      <c r="L1372" s="16"/>
      <c r="M1372" s="16"/>
      <c r="AA1372" s="14">
        <f t="shared" si="42"/>
        <v>0</v>
      </c>
      <c r="AB1372" s="47">
        <f t="shared" si="43"/>
        <v>-1</v>
      </c>
      <c r="AD1372" s="53"/>
      <c r="AE1372" s="53"/>
      <c r="AF1372" s="53"/>
      <c r="AG1372" s="53"/>
    </row>
    <row r="1373" spans="1:33" s="46" customFormat="1">
      <c r="A1373" s="54"/>
      <c r="B1373" s="16"/>
      <c r="C1373" s="55"/>
      <c r="D1373" s="56"/>
      <c r="E1373" s="16"/>
      <c r="F1373" s="16"/>
      <c r="G1373" s="16"/>
      <c r="H1373" s="54"/>
      <c r="I1373" s="16"/>
      <c r="J1373" s="54"/>
      <c r="K1373" s="42"/>
      <c r="L1373" s="16"/>
      <c r="M1373" s="16"/>
      <c r="AA1373" s="14">
        <f t="shared" si="42"/>
        <v>0</v>
      </c>
      <c r="AB1373" s="47">
        <f t="shared" si="43"/>
        <v>-1</v>
      </c>
      <c r="AD1373" s="53"/>
      <c r="AE1373" s="53"/>
      <c r="AF1373" s="53"/>
      <c r="AG1373" s="53"/>
    </row>
    <row r="1374" spans="1:33" s="46" customFormat="1">
      <c r="A1374" s="54"/>
      <c r="B1374" s="16"/>
      <c r="C1374" s="55"/>
      <c r="D1374" s="56"/>
      <c r="E1374" s="16"/>
      <c r="F1374" s="16"/>
      <c r="G1374" s="16"/>
      <c r="H1374" s="54"/>
      <c r="I1374" s="16"/>
      <c r="J1374" s="54"/>
      <c r="K1374" s="42"/>
      <c r="L1374" s="16"/>
      <c r="M1374" s="16"/>
      <c r="AA1374" s="14">
        <f t="shared" si="42"/>
        <v>0</v>
      </c>
      <c r="AB1374" s="47">
        <f t="shared" si="43"/>
        <v>-1</v>
      </c>
      <c r="AD1374" s="53"/>
      <c r="AE1374" s="53"/>
      <c r="AF1374" s="53"/>
      <c r="AG1374" s="53"/>
    </row>
    <row r="1375" spans="1:33" s="46" customFormat="1">
      <c r="A1375" s="54"/>
      <c r="B1375" s="16"/>
      <c r="C1375" s="55"/>
      <c r="D1375" s="56"/>
      <c r="E1375" s="16"/>
      <c r="F1375" s="16"/>
      <c r="G1375" s="16"/>
      <c r="H1375" s="54"/>
      <c r="I1375" s="16"/>
      <c r="J1375" s="54"/>
      <c r="K1375" s="42"/>
      <c r="L1375" s="16"/>
      <c r="M1375" s="16"/>
      <c r="AA1375" s="14">
        <f t="shared" si="42"/>
        <v>0</v>
      </c>
      <c r="AB1375" s="47">
        <f t="shared" si="43"/>
        <v>-1</v>
      </c>
      <c r="AD1375" s="53"/>
      <c r="AE1375" s="53"/>
      <c r="AF1375" s="53"/>
      <c r="AG1375" s="53"/>
    </row>
    <row r="1376" spans="1:33" s="46" customFormat="1">
      <c r="A1376" s="54"/>
      <c r="B1376" s="16"/>
      <c r="C1376" s="55"/>
      <c r="D1376" s="56"/>
      <c r="E1376" s="16"/>
      <c r="F1376" s="16"/>
      <c r="G1376" s="16"/>
      <c r="H1376" s="54"/>
      <c r="I1376" s="16"/>
      <c r="J1376" s="54"/>
      <c r="K1376" s="42"/>
      <c r="L1376" s="16"/>
      <c r="M1376" s="16"/>
      <c r="AA1376" s="14">
        <f t="shared" si="42"/>
        <v>0</v>
      </c>
      <c r="AB1376" s="47">
        <f t="shared" si="43"/>
        <v>-1</v>
      </c>
      <c r="AD1376" s="53"/>
      <c r="AE1376" s="53"/>
      <c r="AF1376" s="53"/>
      <c r="AG1376" s="53"/>
    </row>
    <row r="1377" spans="1:33" s="46" customFormat="1">
      <c r="A1377" s="54"/>
      <c r="B1377" s="16"/>
      <c r="C1377" s="55"/>
      <c r="D1377" s="56"/>
      <c r="E1377" s="16"/>
      <c r="F1377" s="16"/>
      <c r="G1377" s="16"/>
      <c r="H1377" s="54"/>
      <c r="I1377" s="16"/>
      <c r="J1377" s="54"/>
      <c r="K1377" s="42"/>
      <c r="L1377" s="16"/>
      <c r="M1377" s="16"/>
      <c r="AA1377" s="14">
        <f t="shared" si="42"/>
        <v>0</v>
      </c>
      <c r="AB1377" s="47">
        <f t="shared" si="43"/>
        <v>-1</v>
      </c>
      <c r="AD1377" s="53"/>
      <c r="AE1377" s="53"/>
      <c r="AF1377" s="53"/>
      <c r="AG1377" s="53"/>
    </row>
    <row r="1378" spans="1:33" s="46" customFormat="1">
      <c r="A1378" s="54"/>
      <c r="B1378" s="16"/>
      <c r="C1378" s="55"/>
      <c r="D1378" s="56"/>
      <c r="E1378" s="16"/>
      <c r="F1378" s="16"/>
      <c r="G1378" s="16"/>
      <c r="H1378" s="54"/>
      <c r="I1378" s="16"/>
      <c r="J1378" s="54"/>
      <c r="K1378" s="42"/>
      <c r="L1378" s="16"/>
      <c r="M1378" s="16"/>
      <c r="AA1378" s="14">
        <f t="shared" si="42"/>
        <v>0</v>
      </c>
      <c r="AB1378" s="47">
        <f t="shared" si="43"/>
        <v>-1</v>
      </c>
      <c r="AD1378" s="53"/>
      <c r="AE1378" s="53"/>
      <c r="AF1378" s="53"/>
      <c r="AG1378" s="53"/>
    </row>
    <row r="1379" spans="1:33" s="46" customFormat="1">
      <c r="A1379" s="54"/>
      <c r="B1379" s="16"/>
      <c r="C1379" s="55"/>
      <c r="D1379" s="56"/>
      <c r="E1379" s="16"/>
      <c r="F1379" s="16"/>
      <c r="G1379" s="16"/>
      <c r="H1379" s="54"/>
      <c r="I1379" s="16"/>
      <c r="J1379" s="54"/>
      <c r="K1379" s="42"/>
      <c r="L1379" s="16"/>
      <c r="M1379" s="16"/>
      <c r="AA1379" s="14">
        <f t="shared" si="42"/>
        <v>0</v>
      </c>
      <c r="AB1379" s="47">
        <f t="shared" si="43"/>
        <v>-1</v>
      </c>
      <c r="AD1379" s="53"/>
      <c r="AE1379" s="53"/>
      <c r="AF1379" s="53"/>
      <c r="AG1379" s="53"/>
    </row>
    <row r="1380" spans="1:33" s="46" customFormat="1">
      <c r="A1380" s="54"/>
      <c r="B1380" s="16"/>
      <c r="C1380" s="55"/>
      <c r="D1380" s="56"/>
      <c r="E1380" s="16"/>
      <c r="F1380" s="16"/>
      <c r="G1380" s="16"/>
      <c r="H1380" s="54"/>
      <c r="I1380" s="16"/>
      <c r="J1380" s="54"/>
      <c r="K1380" s="42"/>
      <c r="L1380" s="16"/>
      <c r="M1380" s="16"/>
      <c r="AA1380" s="14">
        <f t="shared" si="42"/>
        <v>0</v>
      </c>
      <c r="AB1380" s="47">
        <f t="shared" si="43"/>
        <v>-1</v>
      </c>
      <c r="AD1380" s="53"/>
      <c r="AE1380" s="53"/>
      <c r="AF1380" s="53"/>
      <c r="AG1380" s="53"/>
    </row>
    <row r="1381" spans="1:33" s="46" customFormat="1">
      <c r="A1381" s="54"/>
      <c r="B1381" s="16"/>
      <c r="C1381" s="55"/>
      <c r="D1381" s="56"/>
      <c r="E1381" s="16"/>
      <c r="F1381" s="16"/>
      <c r="G1381" s="16"/>
      <c r="H1381" s="54"/>
      <c r="I1381" s="16"/>
      <c r="J1381" s="54"/>
      <c r="K1381" s="42"/>
      <c r="L1381" s="16"/>
      <c r="M1381" s="16"/>
      <c r="AA1381" s="14">
        <f t="shared" si="42"/>
        <v>0</v>
      </c>
      <c r="AB1381" s="47">
        <f t="shared" si="43"/>
        <v>-1</v>
      </c>
      <c r="AD1381" s="53"/>
      <c r="AE1381" s="53"/>
      <c r="AF1381" s="53"/>
      <c r="AG1381" s="53"/>
    </row>
    <row r="1382" spans="1:33" s="46" customFormat="1">
      <c r="A1382" s="54"/>
      <c r="B1382" s="16"/>
      <c r="C1382" s="55"/>
      <c r="D1382" s="56"/>
      <c r="E1382" s="16"/>
      <c r="F1382" s="16"/>
      <c r="G1382" s="16"/>
      <c r="H1382" s="54"/>
      <c r="I1382" s="16"/>
      <c r="J1382" s="54"/>
      <c r="K1382" s="42"/>
      <c r="L1382" s="16"/>
      <c r="M1382" s="16"/>
      <c r="AA1382" s="14">
        <f t="shared" si="42"/>
        <v>0</v>
      </c>
      <c r="AB1382" s="47">
        <f t="shared" si="43"/>
        <v>-1</v>
      </c>
      <c r="AD1382" s="53"/>
      <c r="AE1382" s="53"/>
      <c r="AF1382" s="53"/>
      <c r="AG1382" s="53"/>
    </row>
    <row r="1383" spans="1:33" s="46" customFormat="1">
      <c r="A1383" s="54"/>
      <c r="B1383" s="16"/>
      <c r="C1383" s="55"/>
      <c r="D1383" s="56"/>
      <c r="E1383" s="16"/>
      <c r="F1383" s="16"/>
      <c r="G1383" s="16"/>
      <c r="H1383" s="54"/>
      <c r="I1383" s="16"/>
      <c r="J1383" s="54"/>
      <c r="K1383" s="42"/>
      <c r="L1383" s="16"/>
      <c r="M1383" s="16"/>
      <c r="AA1383" s="14">
        <f t="shared" si="42"/>
        <v>0</v>
      </c>
      <c r="AB1383" s="47">
        <f t="shared" si="43"/>
        <v>-1</v>
      </c>
      <c r="AD1383" s="53"/>
      <c r="AE1383" s="53"/>
      <c r="AF1383" s="53"/>
      <c r="AG1383" s="53"/>
    </row>
    <row r="1384" spans="1:33" s="46" customFormat="1">
      <c r="A1384" s="54"/>
      <c r="B1384" s="16"/>
      <c r="C1384" s="55"/>
      <c r="D1384" s="56"/>
      <c r="E1384" s="16"/>
      <c r="F1384" s="16"/>
      <c r="G1384" s="16"/>
      <c r="H1384" s="54"/>
      <c r="I1384" s="16"/>
      <c r="J1384" s="54"/>
      <c r="K1384" s="42"/>
      <c r="L1384" s="16"/>
      <c r="M1384" s="16"/>
      <c r="AA1384" s="14">
        <f t="shared" ref="AA1384:AA1447" si="44">C1384-C1383</f>
        <v>0</v>
      </c>
      <c r="AB1384" s="47">
        <f t="shared" ref="AB1384:AB1447" si="45">AA1384-1</f>
        <v>-1</v>
      </c>
      <c r="AD1384" s="53"/>
      <c r="AE1384" s="53"/>
      <c r="AF1384" s="53"/>
      <c r="AG1384" s="53"/>
    </row>
    <row r="1385" spans="1:33" s="46" customFormat="1">
      <c r="A1385" s="54"/>
      <c r="B1385" s="16"/>
      <c r="C1385" s="55"/>
      <c r="D1385" s="56"/>
      <c r="E1385" s="16"/>
      <c r="F1385" s="16"/>
      <c r="G1385" s="16"/>
      <c r="H1385" s="54"/>
      <c r="I1385" s="16"/>
      <c r="J1385" s="54"/>
      <c r="K1385" s="42"/>
      <c r="L1385" s="16"/>
      <c r="M1385" s="16"/>
      <c r="AA1385" s="14">
        <f t="shared" si="44"/>
        <v>0</v>
      </c>
      <c r="AB1385" s="47">
        <f t="shared" si="45"/>
        <v>-1</v>
      </c>
      <c r="AD1385" s="53"/>
      <c r="AE1385" s="53"/>
      <c r="AF1385" s="53"/>
      <c r="AG1385" s="53"/>
    </row>
    <row r="1386" spans="1:33" s="46" customFormat="1">
      <c r="A1386" s="54"/>
      <c r="B1386" s="16"/>
      <c r="C1386" s="55"/>
      <c r="D1386" s="56"/>
      <c r="E1386" s="16"/>
      <c r="F1386" s="16"/>
      <c r="G1386" s="16"/>
      <c r="H1386" s="54"/>
      <c r="I1386" s="16"/>
      <c r="J1386" s="54"/>
      <c r="K1386" s="42"/>
      <c r="L1386" s="16"/>
      <c r="M1386" s="16"/>
      <c r="AA1386" s="14">
        <f t="shared" si="44"/>
        <v>0</v>
      </c>
      <c r="AB1386" s="47">
        <f t="shared" si="45"/>
        <v>-1</v>
      </c>
      <c r="AD1386" s="53"/>
      <c r="AE1386" s="53"/>
      <c r="AF1386" s="53"/>
      <c r="AG1386" s="53"/>
    </row>
    <row r="1387" spans="1:33" s="46" customFormat="1">
      <c r="A1387" s="54"/>
      <c r="B1387" s="16"/>
      <c r="C1387" s="55"/>
      <c r="D1387" s="56"/>
      <c r="E1387" s="16"/>
      <c r="F1387" s="16"/>
      <c r="G1387" s="16"/>
      <c r="H1387" s="54"/>
      <c r="I1387" s="16"/>
      <c r="J1387" s="54"/>
      <c r="K1387" s="42"/>
      <c r="L1387" s="16"/>
      <c r="M1387" s="16"/>
      <c r="AA1387" s="14">
        <f t="shared" si="44"/>
        <v>0</v>
      </c>
      <c r="AB1387" s="47">
        <f t="shared" si="45"/>
        <v>-1</v>
      </c>
      <c r="AD1387" s="53"/>
      <c r="AE1387" s="53"/>
      <c r="AF1387" s="53"/>
      <c r="AG1387" s="53"/>
    </row>
    <row r="1388" spans="1:33" s="46" customFormat="1">
      <c r="A1388" s="54"/>
      <c r="B1388" s="16"/>
      <c r="C1388" s="55"/>
      <c r="D1388" s="56"/>
      <c r="E1388" s="16"/>
      <c r="F1388" s="16"/>
      <c r="G1388" s="16"/>
      <c r="H1388" s="54"/>
      <c r="I1388" s="16"/>
      <c r="J1388" s="54"/>
      <c r="K1388" s="42"/>
      <c r="L1388" s="16"/>
      <c r="M1388" s="16"/>
      <c r="AA1388" s="14">
        <f t="shared" si="44"/>
        <v>0</v>
      </c>
      <c r="AB1388" s="47">
        <f t="shared" si="45"/>
        <v>-1</v>
      </c>
      <c r="AD1388" s="53"/>
      <c r="AE1388" s="53"/>
      <c r="AF1388" s="53"/>
      <c r="AG1388" s="53"/>
    </row>
    <row r="1389" spans="1:33" s="46" customFormat="1">
      <c r="A1389" s="54"/>
      <c r="B1389" s="16"/>
      <c r="C1389" s="55"/>
      <c r="D1389" s="56"/>
      <c r="E1389" s="16"/>
      <c r="F1389" s="16"/>
      <c r="G1389" s="16"/>
      <c r="H1389" s="54"/>
      <c r="I1389" s="16"/>
      <c r="J1389" s="54"/>
      <c r="K1389" s="42"/>
      <c r="L1389" s="16"/>
      <c r="M1389" s="16"/>
      <c r="AA1389" s="14">
        <f t="shared" si="44"/>
        <v>0</v>
      </c>
      <c r="AB1389" s="47">
        <f t="shared" si="45"/>
        <v>-1</v>
      </c>
      <c r="AD1389" s="53"/>
      <c r="AE1389" s="53"/>
      <c r="AF1389" s="53"/>
      <c r="AG1389" s="53"/>
    </row>
    <row r="1390" spans="1:33" s="46" customFormat="1">
      <c r="A1390" s="54"/>
      <c r="B1390" s="16"/>
      <c r="C1390" s="55"/>
      <c r="D1390" s="56"/>
      <c r="E1390" s="16"/>
      <c r="F1390" s="16"/>
      <c r="G1390" s="16"/>
      <c r="H1390" s="54"/>
      <c r="I1390" s="16"/>
      <c r="J1390" s="54"/>
      <c r="K1390" s="42"/>
      <c r="L1390" s="16"/>
      <c r="M1390" s="16"/>
      <c r="AA1390" s="14">
        <f t="shared" si="44"/>
        <v>0</v>
      </c>
      <c r="AB1390" s="47">
        <f t="shared" si="45"/>
        <v>-1</v>
      </c>
      <c r="AD1390" s="53"/>
      <c r="AE1390" s="53"/>
      <c r="AF1390" s="53"/>
      <c r="AG1390" s="53"/>
    </row>
    <row r="1391" spans="1:33" s="46" customFormat="1">
      <c r="A1391" s="54"/>
      <c r="B1391" s="16"/>
      <c r="C1391" s="55"/>
      <c r="D1391" s="56"/>
      <c r="E1391" s="16"/>
      <c r="F1391" s="16"/>
      <c r="G1391" s="16"/>
      <c r="H1391" s="54"/>
      <c r="I1391" s="16"/>
      <c r="J1391" s="54"/>
      <c r="K1391" s="42"/>
      <c r="L1391" s="16"/>
      <c r="M1391" s="16"/>
      <c r="AA1391" s="14">
        <f t="shared" si="44"/>
        <v>0</v>
      </c>
      <c r="AB1391" s="47">
        <f t="shared" si="45"/>
        <v>-1</v>
      </c>
      <c r="AD1391" s="53"/>
      <c r="AE1391" s="53"/>
      <c r="AF1391" s="53"/>
      <c r="AG1391" s="53"/>
    </row>
    <row r="1392" spans="1:33" s="46" customFormat="1">
      <c r="A1392" s="54"/>
      <c r="B1392" s="16"/>
      <c r="C1392" s="55"/>
      <c r="D1392" s="56"/>
      <c r="E1392" s="16"/>
      <c r="F1392" s="16"/>
      <c r="G1392" s="16"/>
      <c r="H1392" s="54"/>
      <c r="I1392" s="16"/>
      <c r="J1392" s="54"/>
      <c r="K1392" s="42"/>
      <c r="L1392" s="16"/>
      <c r="M1392" s="16"/>
      <c r="AA1392" s="14">
        <f t="shared" si="44"/>
        <v>0</v>
      </c>
      <c r="AB1392" s="47">
        <f t="shared" si="45"/>
        <v>-1</v>
      </c>
      <c r="AD1392" s="53"/>
      <c r="AE1392" s="53"/>
      <c r="AF1392" s="53"/>
      <c r="AG1392" s="53"/>
    </row>
    <row r="1393" spans="1:33" s="46" customFormat="1">
      <c r="A1393" s="54"/>
      <c r="B1393" s="16"/>
      <c r="C1393" s="55"/>
      <c r="D1393" s="56"/>
      <c r="E1393" s="16"/>
      <c r="F1393" s="16"/>
      <c r="G1393" s="16"/>
      <c r="H1393" s="54"/>
      <c r="I1393" s="16"/>
      <c r="J1393" s="54"/>
      <c r="K1393" s="42"/>
      <c r="L1393" s="16"/>
      <c r="M1393" s="16"/>
      <c r="AA1393" s="14">
        <f t="shared" si="44"/>
        <v>0</v>
      </c>
      <c r="AB1393" s="47">
        <f t="shared" si="45"/>
        <v>-1</v>
      </c>
      <c r="AD1393" s="53"/>
      <c r="AE1393" s="53"/>
      <c r="AF1393" s="53"/>
      <c r="AG1393" s="53"/>
    </row>
    <row r="1394" spans="1:33" s="46" customFormat="1">
      <c r="A1394" s="54"/>
      <c r="B1394" s="16"/>
      <c r="C1394" s="55"/>
      <c r="D1394" s="56"/>
      <c r="E1394" s="16"/>
      <c r="F1394" s="16"/>
      <c r="G1394" s="16"/>
      <c r="H1394" s="54"/>
      <c r="I1394" s="16"/>
      <c r="J1394" s="54"/>
      <c r="K1394" s="42"/>
      <c r="L1394" s="16"/>
      <c r="M1394" s="16"/>
      <c r="AA1394" s="14">
        <f t="shared" si="44"/>
        <v>0</v>
      </c>
      <c r="AB1394" s="47">
        <f t="shared" si="45"/>
        <v>-1</v>
      </c>
      <c r="AD1394" s="53"/>
      <c r="AE1394" s="53"/>
      <c r="AF1394" s="53"/>
      <c r="AG1394" s="53"/>
    </row>
    <row r="1395" spans="1:33" s="46" customFormat="1">
      <c r="A1395" s="54"/>
      <c r="B1395" s="16"/>
      <c r="C1395" s="55"/>
      <c r="D1395" s="56"/>
      <c r="E1395" s="16"/>
      <c r="F1395" s="16"/>
      <c r="G1395" s="16"/>
      <c r="H1395" s="54"/>
      <c r="I1395" s="16"/>
      <c r="J1395" s="54"/>
      <c r="K1395" s="42"/>
      <c r="L1395" s="16"/>
      <c r="M1395" s="16"/>
      <c r="AA1395" s="14">
        <f t="shared" si="44"/>
        <v>0</v>
      </c>
      <c r="AB1395" s="47">
        <f t="shared" si="45"/>
        <v>-1</v>
      </c>
      <c r="AD1395" s="53"/>
      <c r="AE1395" s="53"/>
      <c r="AF1395" s="53"/>
      <c r="AG1395" s="53"/>
    </row>
    <row r="1396" spans="1:33" s="46" customFormat="1">
      <c r="A1396" s="54"/>
      <c r="B1396" s="16"/>
      <c r="C1396" s="55"/>
      <c r="D1396" s="56"/>
      <c r="E1396" s="16"/>
      <c r="F1396" s="16"/>
      <c r="G1396" s="16"/>
      <c r="H1396" s="54"/>
      <c r="I1396" s="16"/>
      <c r="J1396" s="54"/>
      <c r="K1396" s="42"/>
      <c r="L1396" s="16"/>
      <c r="M1396" s="16"/>
      <c r="AA1396" s="14">
        <f t="shared" si="44"/>
        <v>0</v>
      </c>
      <c r="AB1396" s="47">
        <f t="shared" si="45"/>
        <v>-1</v>
      </c>
      <c r="AD1396" s="53"/>
      <c r="AE1396" s="53"/>
      <c r="AF1396" s="53"/>
      <c r="AG1396" s="53"/>
    </row>
    <row r="1397" spans="1:33" s="46" customFormat="1">
      <c r="A1397" s="54"/>
      <c r="B1397" s="16"/>
      <c r="C1397" s="55"/>
      <c r="D1397" s="56"/>
      <c r="E1397" s="16"/>
      <c r="F1397" s="16"/>
      <c r="G1397" s="16"/>
      <c r="H1397" s="54"/>
      <c r="I1397" s="16"/>
      <c r="J1397" s="54"/>
      <c r="K1397" s="42"/>
      <c r="L1397" s="16"/>
      <c r="M1397" s="16"/>
      <c r="AA1397" s="14">
        <f t="shared" si="44"/>
        <v>0</v>
      </c>
      <c r="AB1397" s="47">
        <f t="shared" si="45"/>
        <v>-1</v>
      </c>
      <c r="AD1397" s="53"/>
      <c r="AE1397" s="53"/>
      <c r="AF1397" s="53"/>
      <c r="AG1397" s="53"/>
    </row>
    <row r="1398" spans="1:33" s="46" customFormat="1">
      <c r="A1398" s="54"/>
      <c r="B1398" s="16"/>
      <c r="C1398" s="55"/>
      <c r="D1398" s="56"/>
      <c r="E1398" s="16"/>
      <c r="F1398" s="16"/>
      <c r="G1398" s="16"/>
      <c r="H1398" s="54"/>
      <c r="I1398" s="16"/>
      <c r="J1398" s="54"/>
      <c r="K1398" s="42"/>
      <c r="L1398" s="16"/>
      <c r="M1398" s="16"/>
      <c r="AA1398" s="14">
        <f t="shared" si="44"/>
        <v>0</v>
      </c>
      <c r="AB1398" s="47">
        <f t="shared" si="45"/>
        <v>-1</v>
      </c>
      <c r="AD1398" s="53"/>
      <c r="AE1398" s="53"/>
      <c r="AF1398" s="53"/>
      <c r="AG1398" s="53"/>
    </row>
    <row r="1399" spans="1:33" s="46" customFormat="1">
      <c r="A1399" s="54"/>
      <c r="B1399" s="16"/>
      <c r="C1399" s="55"/>
      <c r="D1399" s="56"/>
      <c r="E1399" s="16"/>
      <c r="F1399" s="16"/>
      <c r="G1399" s="16"/>
      <c r="H1399" s="54"/>
      <c r="I1399" s="16"/>
      <c r="J1399" s="54"/>
      <c r="K1399" s="42"/>
      <c r="L1399" s="16"/>
      <c r="M1399" s="16"/>
      <c r="AA1399" s="14">
        <f t="shared" si="44"/>
        <v>0</v>
      </c>
      <c r="AB1399" s="47">
        <f t="shared" si="45"/>
        <v>-1</v>
      </c>
      <c r="AD1399" s="53"/>
      <c r="AE1399" s="53"/>
      <c r="AF1399" s="53"/>
      <c r="AG1399" s="53"/>
    </row>
    <row r="1400" spans="1:33" s="46" customFormat="1">
      <c r="A1400" s="54"/>
      <c r="B1400" s="16"/>
      <c r="C1400" s="55"/>
      <c r="D1400" s="56"/>
      <c r="E1400" s="16"/>
      <c r="F1400" s="16"/>
      <c r="G1400" s="16"/>
      <c r="H1400" s="54"/>
      <c r="I1400" s="16"/>
      <c r="J1400" s="54"/>
      <c r="K1400" s="42"/>
      <c r="L1400" s="16"/>
      <c r="M1400" s="16"/>
      <c r="AA1400" s="14">
        <f t="shared" si="44"/>
        <v>0</v>
      </c>
      <c r="AB1400" s="47">
        <f t="shared" si="45"/>
        <v>-1</v>
      </c>
      <c r="AD1400" s="53"/>
      <c r="AE1400" s="53"/>
      <c r="AF1400" s="53"/>
      <c r="AG1400" s="53"/>
    </row>
    <row r="1401" spans="1:33" s="46" customFormat="1">
      <c r="A1401" s="54"/>
      <c r="B1401" s="16"/>
      <c r="C1401" s="55"/>
      <c r="D1401" s="56"/>
      <c r="E1401" s="16"/>
      <c r="F1401" s="16"/>
      <c r="G1401" s="16"/>
      <c r="H1401" s="54"/>
      <c r="I1401" s="16"/>
      <c r="J1401" s="54"/>
      <c r="K1401" s="42"/>
      <c r="L1401" s="16"/>
      <c r="M1401" s="16"/>
      <c r="AA1401" s="14">
        <f t="shared" si="44"/>
        <v>0</v>
      </c>
      <c r="AB1401" s="47">
        <f t="shared" si="45"/>
        <v>-1</v>
      </c>
      <c r="AD1401" s="53"/>
      <c r="AE1401" s="53"/>
      <c r="AF1401" s="53"/>
      <c r="AG1401" s="53"/>
    </row>
    <row r="1402" spans="1:33" s="46" customFormat="1">
      <c r="A1402" s="54"/>
      <c r="B1402" s="16"/>
      <c r="C1402" s="55"/>
      <c r="D1402" s="56"/>
      <c r="E1402" s="16"/>
      <c r="F1402" s="16"/>
      <c r="G1402" s="16"/>
      <c r="H1402" s="54"/>
      <c r="I1402" s="16"/>
      <c r="J1402" s="54"/>
      <c r="K1402" s="42"/>
      <c r="L1402" s="16"/>
      <c r="M1402" s="16"/>
      <c r="AA1402" s="14">
        <f t="shared" si="44"/>
        <v>0</v>
      </c>
      <c r="AB1402" s="47">
        <f t="shared" si="45"/>
        <v>-1</v>
      </c>
      <c r="AD1402" s="53"/>
      <c r="AE1402" s="53"/>
      <c r="AF1402" s="53"/>
      <c r="AG1402" s="53"/>
    </row>
    <row r="1403" spans="1:33" s="46" customFormat="1">
      <c r="A1403" s="54"/>
      <c r="B1403" s="16"/>
      <c r="C1403" s="55"/>
      <c r="D1403" s="56"/>
      <c r="E1403" s="16"/>
      <c r="F1403" s="16"/>
      <c r="G1403" s="16"/>
      <c r="H1403" s="54"/>
      <c r="I1403" s="16"/>
      <c r="J1403" s="54"/>
      <c r="K1403" s="42"/>
      <c r="L1403" s="16"/>
      <c r="M1403" s="16"/>
      <c r="AA1403" s="14">
        <f t="shared" si="44"/>
        <v>0</v>
      </c>
      <c r="AB1403" s="47">
        <f t="shared" si="45"/>
        <v>-1</v>
      </c>
      <c r="AD1403" s="53"/>
      <c r="AE1403" s="53"/>
      <c r="AF1403" s="53"/>
      <c r="AG1403" s="53"/>
    </row>
    <row r="1404" spans="1:33" s="46" customFormat="1">
      <c r="A1404" s="54"/>
      <c r="B1404" s="16"/>
      <c r="C1404" s="55"/>
      <c r="D1404" s="56"/>
      <c r="E1404" s="16"/>
      <c r="F1404" s="16"/>
      <c r="G1404" s="16"/>
      <c r="H1404" s="54"/>
      <c r="I1404" s="16"/>
      <c r="J1404" s="54"/>
      <c r="K1404" s="42"/>
      <c r="L1404" s="16"/>
      <c r="M1404" s="16"/>
      <c r="AA1404" s="14">
        <f t="shared" si="44"/>
        <v>0</v>
      </c>
      <c r="AB1404" s="47">
        <f t="shared" si="45"/>
        <v>-1</v>
      </c>
      <c r="AD1404" s="53"/>
      <c r="AE1404" s="53"/>
      <c r="AF1404" s="53"/>
      <c r="AG1404" s="53"/>
    </row>
    <row r="1405" spans="1:33" s="46" customFormat="1">
      <c r="A1405" s="54"/>
      <c r="B1405" s="16"/>
      <c r="C1405" s="55"/>
      <c r="D1405" s="56"/>
      <c r="E1405" s="16"/>
      <c r="F1405" s="16"/>
      <c r="G1405" s="16"/>
      <c r="H1405" s="54"/>
      <c r="I1405" s="16"/>
      <c r="J1405" s="54"/>
      <c r="K1405" s="42"/>
      <c r="L1405" s="16"/>
      <c r="M1405" s="16"/>
      <c r="AA1405" s="14">
        <f t="shared" si="44"/>
        <v>0</v>
      </c>
      <c r="AB1405" s="47">
        <f t="shared" si="45"/>
        <v>-1</v>
      </c>
      <c r="AD1405" s="53"/>
      <c r="AE1405" s="53"/>
      <c r="AF1405" s="53"/>
      <c r="AG1405" s="53"/>
    </row>
    <row r="1406" spans="1:33" s="46" customFormat="1">
      <c r="A1406" s="54"/>
      <c r="B1406" s="16"/>
      <c r="C1406" s="55"/>
      <c r="D1406" s="56"/>
      <c r="E1406" s="16"/>
      <c r="F1406" s="16"/>
      <c r="G1406" s="16"/>
      <c r="H1406" s="54"/>
      <c r="I1406" s="16"/>
      <c r="J1406" s="54"/>
      <c r="K1406" s="42"/>
      <c r="L1406" s="16"/>
      <c r="M1406" s="16"/>
      <c r="AA1406" s="14">
        <f t="shared" si="44"/>
        <v>0</v>
      </c>
      <c r="AB1406" s="47">
        <f t="shared" si="45"/>
        <v>-1</v>
      </c>
      <c r="AD1406" s="53"/>
      <c r="AE1406" s="53"/>
      <c r="AF1406" s="53"/>
      <c r="AG1406" s="53"/>
    </row>
    <row r="1407" spans="1:33" s="46" customFormat="1">
      <c r="A1407" s="54"/>
      <c r="B1407" s="16"/>
      <c r="C1407" s="55"/>
      <c r="D1407" s="56"/>
      <c r="E1407" s="16"/>
      <c r="F1407" s="16"/>
      <c r="G1407" s="16"/>
      <c r="H1407" s="54"/>
      <c r="I1407" s="16"/>
      <c r="J1407" s="54"/>
      <c r="K1407" s="42"/>
      <c r="L1407" s="16"/>
      <c r="M1407" s="16"/>
      <c r="AA1407" s="14">
        <f t="shared" si="44"/>
        <v>0</v>
      </c>
      <c r="AB1407" s="47">
        <f t="shared" si="45"/>
        <v>-1</v>
      </c>
      <c r="AD1407" s="53"/>
      <c r="AE1407" s="53"/>
      <c r="AF1407" s="53"/>
      <c r="AG1407" s="53"/>
    </row>
    <row r="1408" spans="1:33" s="46" customFormat="1">
      <c r="A1408" s="54"/>
      <c r="B1408" s="16"/>
      <c r="C1408" s="55"/>
      <c r="D1408" s="56"/>
      <c r="E1408" s="16"/>
      <c r="F1408" s="16"/>
      <c r="G1408" s="16"/>
      <c r="H1408" s="54"/>
      <c r="I1408" s="16"/>
      <c r="J1408" s="54"/>
      <c r="K1408" s="42"/>
      <c r="L1408" s="16"/>
      <c r="M1408" s="16"/>
      <c r="AA1408" s="14">
        <f t="shared" si="44"/>
        <v>0</v>
      </c>
      <c r="AB1408" s="47">
        <f t="shared" si="45"/>
        <v>-1</v>
      </c>
      <c r="AD1408" s="53"/>
      <c r="AE1408" s="53"/>
      <c r="AF1408" s="53"/>
      <c r="AG1408" s="53"/>
    </row>
    <row r="1409" spans="1:33" s="46" customFormat="1">
      <c r="A1409" s="54"/>
      <c r="B1409" s="16"/>
      <c r="C1409" s="55"/>
      <c r="D1409" s="56"/>
      <c r="E1409" s="16"/>
      <c r="F1409" s="16"/>
      <c r="G1409" s="16"/>
      <c r="H1409" s="54"/>
      <c r="I1409" s="16"/>
      <c r="J1409" s="54"/>
      <c r="K1409" s="42"/>
      <c r="L1409" s="16"/>
      <c r="M1409" s="16"/>
      <c r="AA1409" s="14">
        <f t="shared" si="44"/>
        <v>0</v>
      </c>
      <c r="AB1409" s="47">
        <f t="shared" si="45"/>
        <v>-1</v>
      </c>
      <c r="AD1409" s="53"/>
      <c r="AE1409" s="53"/>
      <c r="AF1409" s="53"/>
      <c r="AG1409" s="53"/>
    </row>
    <row r="1410" spans="1:33" s="46" customFormat="1">
      <c r="A1410" s="54"/>
      <c r="B1410" s="16"/>
      <c r="C1410" s="55"/>
      <c r="D1410" s="56"/>
      <c r="E1410" s="16"/>
      <c r="F1410" s="16"/>
      <c r="G1410" s="16"/>
      <c r="H1410" s="54"/>
      <c r="I1410" s="16"/>
      <c r="J1410" s="54"/>
      <c r="K1410" s="42"/>
      <c r="L1410" s="16"/>
      <c r="M1410" s="16"/>
      <c r="AA1410" s="14">
        <f t="shared" si="44"/>
        <v>0</v>
      </c>
      <c r="AB1410" s="47">
        <f t="shared" si="45"/>
        <v>-1</v>
      </c>
      <c r="AD1410" s="53"/>
      <c r="AE1410" s="53"/>
      <c r="AF1410" s="53"/>
      <c r="AG1410" s="53"/>
    </row>
    <row r="1411" spans="1:33" s="46" customFormat="1">
      <c r="A1411" s="54"/>
      <c r="B1411" s="16"/>
      <c r="C1411" s="55"/>
      <c r="D1411" s="56"/>
      <c r="E1411" s="16"/>
      <c r="F1411" s="16"/>
      <c r="G1411" s="16"/>
      <c r="H1411" s="54"/>
      <c r="I1411" s="16"/>
      <c r="J1411" s="54"/>
      <c r="K1411" s="42"/>
      <c r="L1411" s="16"/>
      <c r="M1411" s="16"/>
      <c r="AA1411" s="14">
        <f t="shared" si="44"/>
        <v>0</v>
      </c>
      <c r="AB1411" s="47">
        <f t="shared" si="45"/>
        <v>-1</v>
      </c>
      <c r="AD1411" s="53"/>
      <c r="AE1411" s="53"/>
      <c r="AF1411" s="53"/>
      <c r="AG1411" s="53"/>
    </row>
    <row r="1412" spans="1:33" s="46" customFormat="1">
      <c r="A1412" s="54"/>
      <c r="B1412" s="16"/>
      <c r="C1412" s="55"/>
      <c r="D1412" s="56"/>
      <c r="E1412" s="16"/>
      <c r="F1412" s="16"/>
      <c r="G1412" s="16"/>
      <c r="H1412" s="54"/>
      <c r="I1412" s="16"/>
      <c r="J1412" s="54"/>
      <c r="K1412" s="42"/>
      <c r="L1412" s="16"/>
      <c r="M1412" s="16"/>
      <c r="AA1412" s="14">
        <f t="shared" si="44"/>
        <v>0</v>
      </c>
      <c r="AB1412" s="47">
        <f t="shared" si="45"/>
        <v>-1</v>
      </c>
      <c r="AD1412" s="53"/>
      <c r="AE1412" s="53"/>
      <c r="AF1412" s="53"/>
      <c r="AG1412" s="53"/>
    </row>
    <row r="1413" spans="1:33" s="46" customFormat="1">
      <c r="A1413" s="54"/>
      <c r="B1413" s="16"/>
      <c r="C1413" s="55"/>
      <c r="D1413" s="56"/>
      <c r="E1413" s="16"/>
      <c r="F1413" s="16"/>
      <c r="G1413" s="16"/>
      <c r="H1413" s="54"/>
      <c r="I1413" s="16"/>
      <c r="J1413" s="54"/>
      <c r="K1413" s="42"/>
      <c r="L1413" s="16"/>
      <c r="M1413" s="16"/>
      <c r="AA1413" s="14">
        <f t="shared" si="44"/>
        <v>0</v>
      </c>
      <c r="AB1413" s="47">
        <f t="shared" si="45"/>
        <v>-1</v>
      </c>
      <c r="AD1413" s="53"/>
      <c r="AE1413" s="53"/>
      <c r="AF1413" s="53"/>
      <c r="AG1413" s="53"/>
    </row>
    <row r="1414" spans="1:33" s="46" customFormat="1">
      <c r="A1414" s="54"/>
      <c r="B1414" s="16"/>
      <c r="C1414" s="55"/>
      <c r="D1414" s="56"/>
      <c r="E1414" s="16"/>
      <c r="F1414" s="16"/>
      <c r="G1414" s="16"/>
      <c r="H1414" s="54"/>
      <c r="I1414" s="16"/>
      <c r="J1414" s="54"/>
      <c r="K1414" s="42"/>
      <c r="L1414" s="16"/>
      <c r="M1414" s="16"/>
      <c r="AA1414" s="14">
        <f t="shared" si="44"/>
        <v>0</v>
      </c>
      <c r="AB1414" s="47">
        <f t="shared" si="45"/>
        <v>-1</v>
      </c>
      <c r="AD1414" s="53"/>
      <c r="AE1414" s="53"/>
      <c r="AF1414" s="53"/>
      <c r="AG1414" s="53"/>
    </row>
    <row r="1415" spans="1:33" s="46" customFormat="1">
      <c r="A1415" s="54"/>
      <c r="B1415" s="16"/>
      <c r="C1415" s="55"/>
      <c r="D1415" s="56"/>
      <c r="E1415" s="16"/>
      <c r="F1415" s="16"/>
      <c r="G1415" s="16"/>
      <c r="H1415" s="54"/>
      <c r="I1415" s="16"/>
      <c r="J1415" s="54"/>
      <c r="K1415" s="42"/>
      <c r="L1415" s="16"/>
      <c r="M1415" s="16"/>
      <c r="AA1415" s="14">
        <f t="shared" si="44"/>
        <v>0</v>
      </c>
      <c r="AB1415" s="47">
        <f t="shared" si="45"/>
        <v>-1</v>
      </c>
      <c r="AD1415" s="53"/>
      <c r="AE1415" s="53"/>
      <c r="AF1415" s="53"/>
      <c r="AG1415" s="53"/>
    </row>
    <row r="1416" spans="1:33" s="46" customFormat="1">
      <c r="A1416" s="54"/>
      <c r="B1416" s="16"/>
      <c r="C1416" s="55"/>
      <c r="D1416" s="56"/>
      <c r="E1416" s="16"/>
      <c r="F1416" s="16"/>
      <c r="G1416" s="16"/>
      <c r="H1416" s="54"/>
      <c r="I1416" s="16"/>
      <c r="J1416" s="54"/>
      <c r="K1416" s="42"/>
      <c r="L1416" s="16"/>
      <c r="M1416" s="16"/>
      <c r="AA1416" s="14">
        <f t="shared" si="44"/>
        <v>0</v>
      </c>
      <c r="AB1416" s="47">
        <f t="shared" si="45"/>
        <v>-1</v>
      </c>
      <c r="AD1416" s="53"/>
      <c r="AE1416" s="53"/>
      <c r="AF1416" s="53"/>
      <c r="AG1416" s="53"/>
    </row>
    <row r="1417" spans="1:33" s="46" customFormat="1">
      <c r="A1417" s="54"/>
      <c r="B1417" s="16"/>
      <c r="C1417" s="55"/>
      <c r="D1417" s="56"/>
      <c r="E1417" s="16"/>
      <c r="F1417" s="16"/>
      <c r="G1417" s="16"/>
      <c r="H1417" s="54"/>
      <c r="I1417" s="16"/>
      <c r="J1417" s="54"/>
      <c r="K1417" s="42"/>
      <c r="L1417" s="16"/>
      <c r="M1417" s="16"/>
      <c r="AA1417" s="14">
        <f t="shared" si="44"/>
        <v>0</v>
      </c>
      <c r="AB1417" s="47">
        <f t="shared" si="45"/>
        <v>-1</v>
      </c>
      <c r="AD1417" s="53"/>
      <c r="AE1417" s="53"/>
      <c r="AF1417" s="53"/>
      <c r="AG1417" s="53"/>
    </row>
    <row r="1418" spans="1:33" s="46" customFormat="1">
      <c r="A1418" s="54"/>
      <c r="B1418" s="16"/>
      <c r="C1418" s="55"/>
      <c r="D1418" s="56"/>
      <c r="E1418" s="16"/>
      <c r="F1418" s="16"/>
      <c r="G1418" s="16"/>
      <c r="H1418" s="54"/>
      <c r="I1418" s="16"/>
      <c r="J1418" s="54"/>
      <c r="K1418" s="42"/>
      <c r="L1418" s="16"/>
      <c r="M1418" s="16"/>
      <c r="AA1418" s="14">
        <f t="shared" si="44"/>
        <v>0</v>
      </c>
      <c r="AB1418" s="47">
        <f t="shared" si="45"/>
        <v>-1</v>
      </c>
      <c r="AD1418" s="53"/>
      <c r="AE1418" s="53"/>
      <c r="AF1418" s="53"/>
      <c r="AG1418" s="53"/>
    </row>
    <row r="1419" spans="1:33" s="46" customFormat="1">
      <c r="A1419" s="54"/>
      <c r="B1419" s="16"/>
      <c r="C1419" s="55"/>
      <c r="D1419" s="56"/>
      <c r="E1419" s="16"/>
      <c r="F1419" s="16"/>
      <c r="G1419" s="16"/>
      <c r="H1419" s="54"/>
      <c r="I1419" s="16"/>
      <c r="J1419" s="54"/>
      <c r="K1419" s="42"/>
      <c r="L1419" s="16"/>
      <c r="M1419" s="16"/>
      <c r="AA1419" s="14">
        <f t="shared" si="44"/>
        <v>0</v>
      </c>
      <c r="AB1419" s="47">
        <f t="shared" si="45"/>
        <v>-1</v>
      </c>
      <c r="AD1419" s="53"/>
      <c r="AE1419" s="53"/>
      <c r="AF1419" s="53"/>
      <c r="AG1419" s="53"/>
    </row>
    <row r="1420" spans="1:33" s="46" customFormat="1">
      <c r="A1420" s="54"/>
      <c r="B1420" s="16"/>
      <c r="C1420" s="55"/>
      <c r="D1420" s="56"/>
      <c r="E1420" s="16"/>
      <c r="F1420" s="16"/>
      <c r="G1420" s="16"/>
      <c r="H1420" s="54"/>
      <c r="I1420" s="16"/>
      <c r="J1420" s="54"/>
      <c r="K1420" s="42"/>
      <c r="L1420" s="16"/>
      <c r="M1420" s="16"/>
      <c r="AA1420" s="14">
        <f t="shared" si="44"/>
        <v>0</v>
      </c>
      <c r="AB1420" s="47">
        <f t="shared" si="45"/>
        <v>-1</v>
      </c>
      <c r="AD1420" s="53"/>
      <c r="AE1420" s="53"/>
      <c r="AF1420" s="53"/>
      <c r="AG1420" s="53"/>
    </row>
    <row r="1421" spans="1:33" s="46" customFormat="1">
      <c r="A1421" s="54"/>
      <c r="B1421" s="16"/>
      <c r="C1421" s="55"/>
      <c r="D1421" s="56"/>
      <c r="E1421" s="16"/>
      <c r="F1421" s="16"/>
      <c r="G1421" s="16"/>
      <c r="H1421" s="54"/>
      <c r="I1421" s="16"/>
      <c r="J1421" s="54"/>
      <c r="K1421" s="42"/>
      <c r="L1421" s="16"/>
      <c r="M1421" s="16"/>
      <c r="AA1421" s="14">
        <f t="shared" si="44"/>
        <v>0</v>
      </c>
      <c r="AB1421" s="47">
        <f t="shared" si="45"/>
        <v>-1</v>
      </c>
      <c r="AD1421" s="53"/>
      <c r="AE1421" s="53"/>
      <c r="AF1421" s="53"/>
      <c r="AG1421" s="53"/>
    </row>
    <row r="1422" spans="1:33" s="46" customFormat="1">
      <c r="A1422" s="54"/>
      <c r="B1422" s="16"/>
      <c r="C1422" s="55"/>
      <c r="D1422" s="56"/>
      <c r="E1422" s="16"/>
      <c r="F1422" s="16"/>
      <c r="G1422" s="16"/>
      <c r="H1422" s="54"/>
      <c r="I1422" s="16"/>
      <c r="J1422" s="54"/>
      <c r="K1422" s="42"/>
      <c r="L1422" s="16"/>
      <c r="M1422" s="16"/>
      <c r="AA1422" s="14">
        <f t="shared" si="44"/>
        <v>0</v>
      </c>
      <c r="AB1422" s="47">
        <f t="shared" si="45"/>
        <v>-1</v>
      </c>
      <c r="AD1422" s="53"/>
      <c r="AE1422" s="53"/>
      <c r="AF1422" s="53"/>
      <c r="AG1422" s="53"/>
    </row>
    <row r="1423" spans="1:33" s="46" customFormat="1">
      <c r="A1423" s="54"/>
      <c r="B1423" s="16"/>
      <c r="C1423" s="55"/>
      <c r="D1423" s="56"/>
      <c r="E1423" s="16"/>
      <c r="F1423" s="16"/>
      <c r="G1423" s="16"/>
      <c r="H1423" s="54"/>
      <c r="I1423" s="16"/>
      <c r="J1423" s="54"/>
      <c r="K1423" s="42"/>
      <c r="L1423" s="16"/>
      <c r="M1423" s="16"/>
      <c r="AA1423" s="14">
        <f t="shared" si="44"/>
        <v>0</v>
      </c>
      <c r="AB1423" s="47">
        <f t="shared" si="45"/>
        <v>-1</v>
      </c>
      <c r="AD1423" s="53"/>
      <c r="AE1423" s="53"/>
      <c r="AF1423" s="53"/>
      <c r="AG1423" s="53"/>
    </row>
    <row r="1424" spans="1:33" s="46" customFormat="1">
      <c r="A1424" s="54"/>
      <c r="B1424" s="16"/>
      <c r="C1424" s="55"/>
      <c r="D1424" s="56"/>
      <c r="E1424" s="16"/>
      <c r="F1424" s="16"/>
      <c r="G1424" s="16"/>
      <c r="H1424" s="54"/>
      <c r="I1424" s="16"/>
      <c r="J1424" s="54"/>
      <c r="K1424" s="42"/>
      <c r="L1424" s="16"/>
      <c r="M1424" s="16"/>
      <c r="AA1424" s="14">
        <f t="shared" si="44"/>
        <v>0</v>
      </c>
      <c r="AB1424" s="47">
        <f t="shared" si="45"/>
        <v>-1</v>
      </c>
      <c r="AD1424" s="53"/>
      <c r="AE1424" s="53"/>
      <c r="AF1424" s="53"/>
      <c r="AG1424" s="53"/>
    </row>
    <row r="1425" spans="1:33" s="46" customFormat="1">
      <c r="A1425" s="54"/>
      <c r="B1425" s="16"/>
      <c r="C1425" s="55"/>
      <c r="D1425" s="56"/>
      <c r="E1425" s="16"/>
      <c r="F1425" s="16"/>
      <c r="G1425" s="16"/>
      <c r="H1425" s="54"/>
      <c r="I1425" s="16"/>
      <c r="J1425" s="54"/>
      <c r="K1425" s="42"/>
      <c r="L1425" s="16"/>
      <c r="M1425" s="16"/>
      <c r="AA1425" s="14">
        <f t="shared" si="44"/>
        <v>0</v>
      </c>
      <c r="AB1425" s="47">
        <f t="shared" si="45"/>
        <v>-1</v>
      </c>
      <c r="AD1425" s="53"/>
      <c r="AE1425" s="53"/>
      <c r="AF1425" s="53"/>
      <c r="AG1425" s="53"/>
    </row>
    <row r="1426" spans="1:33" s="46" customFormat="1">
      <c r="A1426" s="54"/>
      <c r="B1426" s="16"/>
      <c r="C1426" s="55"/>
      <c r="D1426" s="56"/>
      <c r="E1426" s="16"/>
      <c r="F1426" s="16"/>
      <c r="G1426" s="16"/>
      <c r="H1426" s="54"/>
      <c r="I1426" s="16"/>
      <c r="J1426" s="54"/>
      <c r="K1426" s="42"/>
      <c r="L1426" s="16"/>
      <c r="M1426" s="16"/>
      <c r="AA1426" s="14">
        <f t="shared" si="44"/>
        <v>0</v>
      </c>
      <c r="AB1426" s="47">
        <f t="shared" si="45"/>
        <v>-1</v>
      </c>
      <c r="AD1426" s="53"/>
      <c r="AE1426" s="53"/>
      <c r="AF1426" s="53"/>
      <c r="AG1426" s="53"/>
    </row>
    <row r="1427" spans="1:33" s="46" customFormat="1">
      <c r="A1427" s="54"/>
      <c r="B1427" s="16"/>
      <c r="C1427" s="55"/>
      <c r="D1427" s="56"/>
      <c r="E1427" s="16"/>
      <c r="F1427" s="16"/>
      <c r="G1427" s="16"/>
      <c r="H1427" s="54"/>
      <c r="I1427" s="16"/>
      <c r="J1427" s="54"/>
      <c r="K1427" s="42"/>
      <c r="L1427" s="16"/>
      <c r="M1427" s="16"/>
      <c r="AA1427" s="14">
        <f t="shared" si="44"/>
        <v>0</v>
      </c>
      <c r="AB1427" s="47">
        <f t="shared" si="45"/>
        <v>-1</v>
      </c>
      <c r="AD1427" s="53"/>
      <c r="AE1427" s="53"/>
      <c r="AF1427" s="53"/>
      <c r="AG1427" s="53"/>
    </row>
    <row r="1428" spans="1:33" s="46" customFormat="1">
      <c r="A1428" s="54"/>
      <c r="B1428" s="16"/>
      <c r="C1428" s="55"/>
      <c r="D1428" s="56"/>
      <c r="E1428" s="16"/>
      <c r="F1428" s="16"/>
      <c r="G1428" s="16"/>
      <c r="H1428" s="54"/>
      <c r="I1428" s="16"/>
      <c r="J1428" s="54"/>
      <c r="K1428" s="42"/>
      <c r="L1428" s="16"/>
      <c r="M1428" s="16"/>
      <c r="AA1428" s="14">
        <f t="shared" si="44"/>
        <v>0</v>
      </c>
      <c r="AB1428" s="47">
        <f t="shared" si="45"/>
        <v>-1</v>
      </c>
      <c r="AD1428" s="53"/>
      <c r="AE1428" s="53"/>
      <c r="AF1428" s="53"/>
      <c r="AG1428" s="53"/>
    </row>
    <row r="1429" spans="1:33" s="46" customFormat="1">
      <c r="A1429" s="54"/>
      <c r="B1429" s="16"/>
      <c r="C1429" s="55"/>
      <c r="D1429" s="56"/>
      <c r="E1429" s="16"/>
      <c r="F1429" s="16"/>
      <c r="G1429" s="16"/>
      <c r="H1429" s="54"/>
      <c r="I1429" s="16"/>
      <c r="J1429" s="54"/>
      <c r="K1429" s="42"/>
      <c r="L1429" s="16"/>
      <c r="M1429" s="16"/>
      <c r="AA1429" s="14">
        <f t="shared" si="44"/>
        <v>0</v>
      </c>
      <c r="AB1429" s="47">
        <f t="shared" si="45"/>
        <v>-1</v>
      </c>
      <c r="AD1429" s="53"/>
      <c r="AE1429" s="53"/>
      <c r="AF1429" s="53"/>
      <c r="AG1429" s="53"/>
    </row>
    <row r="1430" spans="1:33" s="46" customFormat="1">
      <c r="A1430" s="54"/>
      <c r="B1430" s="16"/>
      <c r="C1430" s="55"/>
      <c r="D1430" s="56"/>
      <c r="E1430" s="16"/>
      <c r="F1430" s="16"/>
      <c r="G1430" s="16"/>
      <c r="H1430" s="54"/>
      <c r="I1430" s="16"/>
      <c r="J1430" s="54"/>
      <c r="K1430" s="42"/>
      <c r="L1430" s="16"/>
      <c r="M1430" s="16"/>
      <c r="AA1430" s="14">
        <f t="shared" si="44"/>
        <v>0</v>
      </c>
      <c r="AB1430" s="47">
        <f t="shared" si="45"/>
        <v>-1</v>
      </c>
      <c r="AD1430" s="53"/>
      <c r="AE1430" s="53"/>
      <c r="AF1430" s="53"/>
      <c r="AG1430" s="53"/>
    </row>
    <row r="1431" spans="1:33" s="46" customFormat="1">
      <c r="A1431" s="54"/>
      <c r="B1431" s="16"/>
      <c r="C1431" s="55"/>
      <c r="D1431" s="56"/>
      <c r="E1431" s="16"/>
      <c r="F1431" s="16"/>
      <c r="G1431" s="16"/>
      <c r="H1431" s="54"/>
      <c r="I1431" s="16"/>
      <c r="J1431" s="54"/>
      <c r="K1431" s="42"/>
      <c r="L1431" s="16"/>
      <c r="M1431" s="16"/>
      <c r="AA1431" s="14">
        <f t="shared" si="44"/>
        <v>0</v>
      </c>
      <c r="AB1431" s="47">
        <f t="shared" si="45"/>
        <v>-1</v>
      </c>
      <c r="AD1431" s="53"/>
      <c r="AE1431" s="53"/>
      <c r="AF1431" s="53"/>
      <c r="AG1431" s="53"/>
    </row>
    <row r="1432" spans="1:33" s="46" customFormat="1">
      <c r="A1432" s="54"/>
      <c r="B1432" s="16"/>
      <c r="C1432" s="55"/>
      <c r="D1432" s="56"/>
      <c r="E1432" s="16"/>
      <c r="F1432" s="16"/>
      <c r="G1432" s="16"/>
      <c r="H1432" s="54"/>
      <c r="I1432" s="16"/>
      <c r="J1432" s="54"/>
      <c r="K1432" s="42"/>
      <c r="L1432" s="16"/>
      <c r="M1432" s="16"/>
      <c r="AA1432" s="14">
        <f t="shared" si="44"/>
        <v>0</v>
      </c>
      <c r="AB1432" s="47">
        <f t="shared" si="45"/>
        <v>-1</v>
      </c>
      <c r="AD1432" s="53"/>
      <c r="AE1432" s="53"/>
      <c r="AF1432" s="53"/>
      <c r="AG1432" s="53"/>
    </row>
    <row r="1433" spans="1:33" s="46" customFormat="1">
      <c r="A1433" s="54"/>
      <c r="B1433" s="16"/>
      <c r="C1433" s="55"/>
      <c r="D1433" s="56"/>
      <c r="E1433" s="16"/>
      <c r="F1433" s="16"/>
      <c r="G1433" s="16"/>
      <c r="H1433" s="54"/>
      <c r="I1433" s="16"/>
      <c r="J1433" s="54"/>
      <c r="K1433" s="42"/>
      <c r="L1433" s="16"/>
      <c r="M1433" s="16"/>
      <c r="AA1433" s="14">
        <f t="shared" si="44"/>
        <v>0</v>
      </c>
      <c r="AB1433" s="47">
        <f t="shared" si="45"/>
        <v>-1</v>
      </c>
      <c r="AD1433" s="53"/>
      <c r="AE1433" s="53"/>
      <c r="AF1433" s="53"/>
      <c r="AG1433" s="53"/>
    </row>
    <row r="1434" spans="1:33" s="46" customFormat="1">
      <c r="A1434" s="54"/>
      <c r="B1434" s="16"/>
      <c r="C1434" s="55"/>
      <c r="D1434" s="56"/>
      <c r="E1434" s="16"/>
      <c r="F1434" s="16"/>
      <c r="G1434" s="16"/>
      <c r="H1434" s="54"/>
      <c r="I1434" s="16"/>
      <c r="J1434" s="54"/>
      <c r="K1434" s="42"/>
      <c r="L1434" s="16"/>
      <c r="M1434" s="16"/>
      <c r="AA1434" s="14">
        <f t="shared" si="44"/>
        <v>0</v>
      </c>
      <c r="AB1434" s="47">
        <f t="shared" si="45"/>
        <v>-1</v>
      </c>
      <c r="AD1434" s="53"/>
      <c r="AE1434" s="53"/>
      <c r="AF1434" s="53"/>
      <c r="AG1434" s="53"/>
    </row>
    <row r="1435" spans="1:33" s="46" customFormat="1">
      <c r="A1435" s="54"/>
      <c r="B1435" s="16"/>
      <c r="C1435" s="55"/>
      <c r="D1435" s="56"/>
      <c r="E1435" s="16"/>
      <c r="F1435" s="16"/>
      <c r="G1435" s="16"/>
      <c r="H1435" s="54"/>
      <c r="I1435" s="16"/>
      <c r="J1435" s="54"/>
      <c r="K1435" s="42"/>
      <c r="L1435" s="16"/>
      <c r="M1435" s="16"/>
      <c r="AA1435" s="14">
        <f t="shared" si="44"/>
        <v>0</v>
      </c>
      <c r="AB1435" s="47">
        <f t="shared" si="45"/>
        <v>-1</v>
      </c>
      <c r="AD1435" s="53"/>
      <c r="AE1435" s="53"/>
      <c r="AF1435" s="53"/>
      <c r="AG1435" s="53"/>
    </row>
    <row r="1436" spans="1:33" s="46" customFormat="1">
      <c r="A1436" s="54"/>
      <c r="B1436" s="16"/>
      <c r="C1436" s="55"/>
      <c r="D1436" s="56"/>
      <c r="E1436" s="16"/>
      <c r="F1436" s="16"/>
      <c r="G1436" s="16"/>
      <c r="H1436" s="54"/>
      <c r="I1436" s="16"/>
      <c r="J1436" s="54"/>
      <c r="K1436" s="42"/>
      <c r="L1436" s="16"/>
      <c r="M1436" s="16"/>
      <c r="AA1436" s="14">
        <f t="shared" si="44"/>
        <v>0</v>
      </c>
      <c r="AB1436" s="47">
        <f t="shared" si="45"/>
        <v>-1</v>
      </c>
      <c r="AD1436" s="53"/>
      <c r="AE1436" s="53"/>
      <c r="AF1436" s="53"/>
      <c r="AG1436" s="53"/>
    </row>
    <row r="1437" spans="1:33" s="46" customFormat="1">
      <c r="A1437" s="54"/>
      <c r="B1437" s="16"/>
      <c r="C1437" s="55"/>
      <c r="D1437" s="56"/>
      <c r="E1437" s="16"/>
      <c r="F1437" s="16"/>
      <c r="G1437" s="16"/>
      <c r="H1437" s="54"/>
      <c r="I1437" s="16"/>
      <c r="J1437" s="54"/>
      <c r="K1437" s="42"/>
      <c r="L1437" s="16"/>
      <c r="M1437" s="16"/>
      <c r="AA1437" s="14">
        <f t="shared" si="44"/>
        <v>0</v>
      </c>
      <c r="AB1437" s="47">
        <f t="shared" si="45"/>
        <v>-1</v>
      </c>
      <c r="AD1437" s="53"/>
      <c r="AE1437" s="53"/>
      <c r="AF1437" s="53"/>
      <c r="AG1437" s="53"/>
    </row>
    <row r="1438" spans="1:33" s="46" customFormat="1">
      <c r="A1438" s="54"/>
      <c r="B1438" s="16"/>
      <c r="C1438" s="55"/>
      <c r="D1438" s="56"/>
      <c r="E1438" s="16"/>
      <c r="F1438" s="16"/>
      <c r="G1438" s="16"/>
      <c r="H1438" s="54"/>
      <c r="I1438" s="16"/>
      <c r="J1438" s="54"/>
      <c r="K1438" s="42"/>
      <c r="L1438" s="16"/>
      <c r="M1438" s="16"/>
      <c r="AA1438" s="14">
        <f t="shared" si="44"/>
        <v>0</v>
      </c>
      <c r="AB1438" s="47">
        <f t="shared" si="45"/>
        <v>-1</v>
      </c>
      <c r="AD1438" s="53"/>
      <c r="AE1438" s="53"/>
      <c r="AF1438" s="53"/>
      <c r="AG1438" s="53"/>
    </row>
    <row r="1439" spans="1:33" s="46" customFormat="1">
      <c r="A1439" s="54"/>
      <c r="B1439" s="16"/>
      <c r="C1439" s="55"/>
      <c r="D1439" s="56"/>
      <c r="E1439" s="16"/>
      <c r="F1439" s="16"/>
      <c r="G1439" s="16"/>
      <c r="H1439" s="54"/>
      <c r="I1439" s="16"/>
      <c r="J1439" s="54"/>
      <c r="K1439" s="42"/>
      <c r="L1439" s="16"/>
      <c r="M1439" s="16"/>
      <c r="AA1439" s="14">
        <f t="shared" si="44"/>
        <v>0</v>
      </c>
      <c r="AB1439" s="47">
        <f t="shared" si="45"/>
        <v>-1</v>
      </c>
      <c r="AD1439" s="53"/>
      <c r="AE1439" s="53"/>
      <c r="AF1439" s="53"/>
      <c r="AG1439" s="53"/>
    </row>
    <row r="1440" spans="1:33" s="46" customFormat="1">
      <c r="A1440" s="54"/>
      <c r="B1440" s="16"/>
      <c r="C1440" s="55"/>
      <c r="D1440" s="56"/>
      <c r="E1440" s="16"/>
      <c r="F1440" s="16"/>
      <c r="G1440" s="16"/>
      <c r="H1440" s="54"/>
      <c r="I1440" s="16"/>
      <c r="J1440" s="54"/>
      <c r="K1440" s="42"/>
      <c r="L1440" s="16"/>
      <c r="M1440" s="16"/>
      <c r="AA1440" s="14">
        <f t="shared" si="44"/>
        <v>0</v>
      </c>
      <c r="AB1440" s="47">
        <f t="shared" si="45"/>
        <v>-1</v>
      </c>
      <c r="AD1440" s="53"/>
      <c r="AE1440" s="53"/>
      <c r="AF1440" s="53"/>
      <c r="AG1440" s="53"/>
    </row>
    <row r="1441" spans="1:33" s="46" customFormat="1">
      <c r="A1441" s="54"/>
      <c r="B1441" s="16"/>
      <c r="C1441" s="55"/>
      <c r="D1441" s="56"/>
      <c r="E1441" s="16"/>
      <c r="F1441" s="16"/>
      <c r="G1441" s="16"/>
      <c r="H1441" s="54"/>
      <c r="I1441" s="16"/>
      <c r="J1441" s="54"/>
      <c r="K1441" s="42"/>
      <c r="L1441" s="16"/>
      <c r="M1441" s="16"/>
      <c r="AA1441" s="14">
        <f t="shared" si="44"/>
        <v>0</v>
      </c>
      <c r="AB1441" s="47">
        <f t="shared" si="45"/>
        <v>-1</v>
      </c>
      <c r="AD1441" s="53"/>
      <c r="AE1441" s="53"/>
      <c r="AF1441" s="53"/>
      <c r="AG1441" s="53"/>
    </row>
    <row r="1442" spans="1:33" s="46" customFormat="1">
      <c r="A1442" s="54"/>
      <c r="B1442" s="16"/>
      <c r="C1442" s="55"/>
      <c r="D1442" s="56"/>
      <c r="E1442" s="16"/>
      <c r="F1442" s="16"/>
      <c r="G1442" s="16"/>
      <c r="H1442" s="54"/>
      <c r="I1442" s="16"/>
      <c r="J1442" s="54"/>
      <c r="K1442" s="42"/>
      <c r="L1442" s="16"/>
      <c r="M1442" s="16"/>
      <c r="AA1442" s="14">
        <f t="shared" si="44"/>
        <v>0</v>
      </c>
      <c r="AB1442" s="47">
        <f t="shared" si="45"/>
        <v>-1</v>
      </c>
      <c r="AD1442" s="53"/>
      <c r="AE1442" s="53"/>
      <c r="AF1442" s="53"/>
      <c r="AG1442" s="53"/>
    </row>
    <row r="1443" spans="1:33" s="46" customFormat="1">
      <c r="A1443" s="54"/>
      <c r="B1443" s="16"/>
      <c r="C1443" s="55"/>
      <c r="D1443" s="56"/>
      <c r="E1443" s="16"/>
      <c r="F1443" s="16"/>
      <c r="G1443" s="16"/>
      <c r="H1443" s="54"/>
      <c r="I1443" s="16"/>
      <c r="J1443" s="54"/>
      <c r="K1443" s="42"/>
      <c r="L1443" s="16"/>
      <c r="M1443" s="16"/>
      <c r="AA1443" s="14">
        <f t="shared" si="44"/>
        <v>0</v>
      </c>
      <c r="AB1443" s="47">
        <f t="shared" si="45"/>
        <v>-1</v>
      </c>
      <c r="AD1443" s="53"/>
      <c r="AE1443" s="53"/>
      <c r="AF1443" s="53"/>
      <c r="AG1443" s="53"/>
    </row>
    <row r="1444" spans="1:33" s="46" customFormat="1">
      <c r="A1444" s="54"/>
      <c r="B1444" s="16"/>
      <c r="C1444" s="55"/>
      <c r="D1444" s="56"/>
      <c r="E1444" s="16"/>
      <c r="F1444" s="16"/>
      <c r="G1444" s="16"/>
      <c r="H1444" s="54"/>
      <c r="I1444" s="16"/>
      <c r="J1444" s="54"/>
      <c r="K1444" s="42"/>
      <c r="L1444" s="16"/>
      <c r="M1444" s="16"/>
      <c r="AA1444" s="14">
        <f t="shared" si="44"/>
        <v>0</v>
      </c>
      <c r="AB1444" s="47">
        <f t="shared" si="45"/>
        <v>-1</v>
      </c>
      <c r="AD1444" s="53"/>
      <c r="AE1444" s="53"/>
      <c r="AF1444" s="53"/>
      <c r="AG1444" s="53"/>
    </row>
    <row r="1445" spans="1:33" s="46" customFormat="1">
      <c r="A1445" s="54"/>
      <c r="B1445" s="16"/>
      <c r="C1445" s="55"/>
      <c r="D1445" s="56"/>
      <c r="E1445" s="16"/>
      <c r="F1445" s="16"/>
      <c r="G1445" s="16"/>
      <c r="H1445" s="54"/>
      <c r="I1445" s="16"/>
      <c r="J1445" s="54"/>
      <c r="K1445" s="42"/>
      <c r="L1445" s="16"/>
      <c r="M1445" s="16"/>
      <c r="AA1445" s="14">
        <f t="shared" si="44"/>
        <v>0</v>
      </c>
      <c r="AB1445" s="47">
        <f t="shared" si="45"/>
        <v>-1</v>
      </c>
      <c r="AD1445" s="53"/>
      <c r="AE1445" s="53"/>
      <c r="AF1445" s="53"/>
      <c r="AG1445" s="53"/>
    </row>
    <row r="1446" spans="1:33" s="46" customFormat="1">
      <c r="A1446" s="54"/>
      <c r="B1446" s="16"/>
      <c r="C1446" s="55"/>
      <c r="D1446" s="56"/>
      <c r="E1446" s="16"/>
      <c r="F1446" s="16"/>
      <c r="G1446" s="16"/>
      <c r="H1446" s="54"/>
      <c r="I1446" s="16"/>
      <c r="J1446" s="54"/>
      <c r="K1446" s="42"/>
      <c r="L1446" s="16"/>
      <c r="M1446" s="16"/>
      <c r="AA1446" s="14">
        <f t="shared" si="44"/>
        <v>0</v>
      </c>
      <c r="AB1446" s="47">
        <f t="shared" si="45"/>
        <v>-1</v>
      </c>
      <c r="AD1446" s="53"/>
      <c r="AE1446" s="53"/>
      <c r="AF1446" s="53"/>
      <c r="AG1446" s="53"/>
    </row>
    <row r="1447" spans="1:33" s="46" customFormat="1">
      <c r="A1447" s="54"/>
      <c r="B1447" s="16"/>
      <c r="C1447" s="55"/>
      <c r="D1447" s="56"/>
      <c r="E1447" s="16"/>
      <c r="F1447" s="16"/>
      <c r="G1447" s="16"/>
      <c r="H1447" s="54"/>
      <c r="I1447" s="16"/>
      <c r="J1447" s="54"/>
      <c r="K1447" s="42"/>
      <c r="L1447" s="16"/>
      <c r="M1447" s="16"/>
      <c r="AA1447" s="14">
        <f t="shared" si="44"/>
        <v>0</v>
      </c>
      <c r="AB1447" s="47">
        <f t="shared" si="45"/>
        <v>-1</v>
      </c>
      <c r="AD1447" s="53"/>
      <c r="AE1447" s="53"/>
      <c r="AF1447" s="53"/>
      <c r="AG1447" s="53"/>
    </row>
    <row r="1448" spans="1:33" s="46" customFormat="1">
      <c r="A1448" s="54"/>
      <c r="B1448" s="16"/>
      <c r="C1448" s="55"/>
      <c r="D1448" s="56"/>
      <c r="E1448" s="16"/>
      <c r="F1448" s="16"/>
      <c r="G1448" s="16"/>
      <c r="H1448" s="54"/>
      <c r="I1448" s="16"/>
      <c r="J1448" s="54"/>
      <c r="K1448" s="42"/>
      <c r="L1448" s="16"/>
      <c r="M1448" s="16"/>
      <c r="AA1448" s="14">
        <f t="shared" ref="AA1448:AA1511" si="46">C1448-C1447</f>
        <v>0</v>
      </c>
      <c r="AB1448" s="47">
        <f t="shared" ref="AB1448:AB1511" si="47">AA1448-1</f>
        <v>-1</v>
      </c>
      <c r="AD1448" s="53"/>
      <c r="AE1448" s="53"/>
      <c r="AF1448" s="53"/>
      <c r="AG1448" s="53"/>
    </row>
    <row r="1449" spans="1:33" s="46" customFormat="1">
      <c r="A1449" s="54"/>
      <c r="B1449" s="16"/>
      <c r="C1449" s="55"/>
      <c r="D1449" s="56"/>
      <c r="E1449" s="16"/>
      <c r="F1449" s="16"/>
      <c r="G1449" s="16"/>
      <c r="H1449" s="54"/>
      <c r="I1449" s="16"/>
      <c r="J1449" s="54"/>
      <c r="K1449" s="42"/>
      <c r="L1449" s="16"/>
      <c r="M1449" s="16"/>
      <c r="AA1449" s="14">
        <f t="shared" si="46"/>
        <v>0</v>
      </c>
      <c r="AB1449" s="47">
        <f t="shared" si="47"/>
        <v>-1</v>
      </c>
      <c r="AD1449" s="53"/>
      <c r="AE1449" s="53"/>
      <c r="AF1449" s="53"/>
      <c r="AG1449" s="53"/>
    </row>
    <row r="1450" spans="1:33" s="46" customFormat="1">
      <c r="A1450" s="54"/>
      <c r="B1450" s="16"/>
      <c r="C1450" s="55"/>
      <c r="D1450" s="56"/>
      <c r="E1450" s="16"/>
      <c r="F1450" s="16"/>
      <c r="G1450" s="16"/>
      <c r="H1450" s="54"/>
      <c r="I1450" s="16"/>
      <c r="J1450" s="54"/>
      <c r="K1450" s="42"/>
      <c r="L1450" s="16"/>
      <c r="M1450" s="16"/>
      <c r="AA1450" s="14">
        <f t="shared" si="46"/>
        <v>0</v>
      </c>
      <c r="AB1450" s="47">
        <f t="shared" si="47"/>
        <v>-1</v>
      </c>
      <c r="AD1450" s="53"/>
      <c r="AE1450" s="53"/>
      <c r="AF1450" s="53"/>
      <c r="AG1450" s="53"/>
    </row>
    <row r="1451" spans="1:33" s="46" customFormat="1">
      <c r="A1451" s="54"/>
      <c r="B1451" s="16"/>
      <c r="C1451" s="55"/>
      <c r="D1451" s="56"/>
      <c r="E1451" s="16"/>
      <c r="F1451" s="16"/>
      <c r="G1451" s="16"/>
      <c r="H1451" s="54"/>
      <c r="I1451" s="16"/>
      <c r="J1451" s="54"/>
      <c r="K1451" s="42"/>
      <c r="L1451" s="16"/>
      <c r="M1451" s="16"/>
      <c r="AA1451" s="14">
        <f t="shared" si="46"/>
        <v>0</v>
      </c>
      <c r="AB1451" s="47">
        <f t="shared" si="47"/>
        <v>-1</v>
      </c>
      <c r="AD1451" s="53"/>
      <c r="AE1451" s="53"/>
      <c r="AF1451" s="53"/>
      <c r="AG1451" s="53"/>
    </row>
    <row r="1452" spans="1:33" s="46" customFormat="1">
      <c r="A1452" s="54"/>
      <c r="B1452" s="16"/>
      <c r="C1452" s="55"/>
      <c r="D1452" s="56"/>
      <c r="E1452" s="16"/>
      <c r="F1452" s="16"/>
      <c r="G1452" s="16"/>
      <c r="H1452" s="54"/>
      <c r="I1452" s="16"/>
      <c r="J1452" s="54"/>
      <c r="K1452" s="42"/>
      <c r="L1452" s="16"/>
      <c r="M1452" s="16"/>
      <c r="AA1452" s="14">
        <f t="shared" si="46"/>
        <v>0</v>
      </c>
      <c r="AB1452" s="47">
        <f t="shared" si="47"/>
        <v>-1</v>
      </c>
      <c r="AD1452" s="53"/>
      <c r="AE1452" s="53"/>
      <c r="AF1452" s="53"/>
      <c r="AG1452" s="53"/>
    </row>
    <row r="1453" spans="1:33" s="46" customFormat="1">
      <c r="A1453" s="54"/>
      <c r="B1453" s="16"/>
      <c r="C1453" s="55"/>
      <c r="D1453" s="56"/>
      <c r="E1453" s="16"/>
      <c r="F1453" s="16"/>
      <c r="G1453" s="16"/>
      <c r="H1453" s="54"/>
      <c r="I1453" s="16"/>
      <c r="J1453" s="54"/>
      <c r="K1453" s="42"/>
      <c r="L1453" s="16"/>
      <c r="M1453" s="16"/>
      <c r="AA1453" s="14">
        <f t="shared" si="46"/>
        <v>0</v>
      </c>
      <c r="AB1453" s="47">
        <f t="shared" si="47"/>
        <v>-1</v>
      </c>
      <c r="AD1453" s="53"/>
      <c r="AE1453" s="53"/>
      <c r="AF1453" s="53"/>
      <c r="AG1453" s="53"/>
    </row>
    <row r="1454" spans="1:33" s="46" customFormat="1">
      <c r="A1454" s="54"/>
      <c r="B1454" s="16"/>
      <c r="C1454" s="55"/>
      <c r="D1454" s="56"/>
      <c r="E1454" s="16"/>
      <c r="F1454" s="16"/>
      <c r="G1454" s="16"/>
      <c r="H1454" s="54"/>
      <c r="I1454" s="16"/>
      <c r="J1454" s="54"/>
      <c r="K1454" s="42"/>
      <c r="L1454" s="16"/>
      <c r="M1454" s="16"/>
      <c r="AA1454" s="14">
        <f t="shared" si="46"/>
        <v>0</v>
      </c>
      <c r="AB1454" s="47">
        <f t="shared" si="47"/>
        <v>-1</v>
      </c>
      <c r="AD1454" s="53"/>
      <c r="AE1454" s="53"/>
      <c r="AF1454" s="53"/>
      <c r="AG1454" s="53"/>
    </row>
    <row r="1455" spans="1:33" s="46" customFormat="1">
      <c r="A1455" s="54"/>
      <c r="B1455" s="16"/>
      <c r="C1455" s="55"/>
      <c r="D1455" s="56"/>
      <c r="E1455" s="16"/>
      <c r="F1455" s="16"/>
      <c r="G1455" s="16"/>
      <c r="H1455" s="54"/>
      <c r="I1455" s="16"/>
      <c r="J1455" s="54"/>
      <c r="K1455" s="42"/>
      <c r="L1455" s="16"/>
      <c r="M1455" s="16"/>
      <c r="AA1455" s="14">
        <f t="shared" si="46"/>
        <v>0</v>
      </c>
      <c r="AB1455" s="47">
        <f t="shared" si="47"/>
        <v>-1</v>
      </c>
      <c r="AD1455" s="53"/>
      <c r="AE1455" s="53"/>
      <c r="AF1455" s="53"/>
      <c r="AG1455" s="53"/>
    </row>
    <row r="1456" spans="1:33" s="46" customFormat="1">
      <c r="A1456" s="54"/>
      <c r="B1456" s="16"/>
      <c r="C1456" s="55"/>
      <c r="D1456" s="56"/>
      <c r="E1456" s="16"/>
      <c r="F1456" s="16"/>
      <c r="G1456" s="16"/>
      <c r="H1456" s="54"/>
      <c r="I1456" s="16"/>
      <c r="J1456" s="54"/>
      <c r="K1456" s="42"/>
      <c r="L1456" s="16"/>
      <c r="M1456" s="16"/>
      <c r="AA1456" s="14">
        <f t="shared" si="46"/>
        <v>0</v>
      </c>
      <c r="AB1456" s="47">
        <f t="shared" si="47"/>
        <v>-1</v>
      </c>
      <c r="AD1456" s="53"/>
      <c r="AE1456" s="53"/>
      <c r="AF1456" s="53"/>
      <c r="AG1456" s="53"/>
    </row>
    <row r="1457" spans="1:33" s="46" customFormat="1">
      <c r="A1457" s="54"/>
      <c r="B1457" s="16"/>
      <c r="C1457" s="55"/>
      <c r="D1457" s="56"/>
      <c r="E1457" s="16"/>
      <c r="F1457" s="16"/>
      <c r="G1457" s="16"/>
      <c r="H1457" s="54"/>
      <c r="I1457" s="16"/>
      <c r="J1457" s="54"/>
      <c r="K1457" s="42"/>
      <c r="L1457" s="16"/>
      <c r="M1457" s="16"/>
      <c r="AA1457" s="14">
        <f t="shared" si="46"/>
        <v>0</v>
      </c>
      <c r="AB1457" s="47">
        <f t="shared" si="47"/>
        <v>-1</v>
      </c>
      <c r="AD1457" s="53"/>
      <c r="AE1457" s="53"/>
      <c r="AF1457" s="53"/>
      <c r="AG1457" s="53"/>
    </row>
    <row r="1458" spans="1:33" s="46" customFormat="1">
      <c r="A1458" s="54"/>
      <c r="B1458" s="16"/>
      <c r="C1458" s="55"/>
      <c r="D1458" s="56"/>
      <c r="E1458" s="16"/>
      <c r="F1458" s="16"/>
      <c r="G1458" s="16"/>
      <c r="H1458" s="54"/>
      <c r="I1458" s="16"/>
      <c r="J1458" s="54"/>
      <c r="K1458" s="42"/>
      <c r="L1458" s="16"/>
      <c r="M1458" s="16"/>
      <c r="AA1458" s="14">
        <f t="shared" si="46"/>
        <v>0</v>
      </c>
      <c r="AB1458" s="47">
        <f t="shared" si="47"/>
        <v>-1</v>
      </c>
      <c r="AD1458" s="53"/>
      <c r="AE1458" s="53"/>
      <c r="AF1458" s="53"/>
      <c r="AG1458" s="53"/>
    </row>
    <row r="1459" spans="1:33" s="46" customFormat="1">
      <c r="A1459" s="54"/>
      <c r="B1459" s="16"/>
      <c r="C1459" s="55"/>
      <c r="D1459" s="56"/>
      <c r="E1459" s="16"/>
      <c r="F1459" s="16"/>
      <c r="G1459" s="16"/>
      <c r="H1459" s="54"/>
      <c r="I1459" s="16"/>
      <c r="J1459" s="54"/>
      <c r="K1459" s="42"/>
      <c r="L1459" s="16"/>
      <c r="M1459" s="16"/>
      <c r="AA1459" s="14">
        <f t="shared" si="46"/>
        <v>0</v>
      </c>
      <c r="AB1459" s="47">
        <f t="shared" si="47"/>
        <v>-1</v>
      </c>
      <c r="AD1459" s="53"/>
      <c r="AE1459" s="53"/>
      <c r="AF1459" s="53"/>
      <c r="AG1459" s="53"/>
    </row>
    <row r="1460" spans="1:33" s="46" customFormat="1">
      <c r="A1460" s="54"/>
      <c r="B1460" s="16"/>
      <c r="C1460" s="55"/>
      <c r="D1460" s="56"/>
      <c r="E1460" s="16"/>
      <c r="F1460" s="16"/>
      <c r="G1460" s="16"/>
      <c r="H1460" s="54"/>
      <c r="I1460" s="16"/>
      <c r="J1460" s="54"/>
      <c r="K1460" s="42"/>
      <c r="L1460" s="16"/>
      <c r="M1460" s="16"/>
      <c r="AA1460" s="14">
        <f t="shared" si="46"/>
        <v>0</v>
      </c>
      <c r="AB1460" s="47">
        <f t="shared" si="47"/>
        <v>-1</v>
      </c>
      <c r="AD1460" s="53"/>
      <c r="AE1460" s="53"/>
      <c r="AF1460" s="53"/>
      <c r="AG1460" s="53"/>
    </row>
    <row r="1461" spans="1:33" s="46" customFormat="1">
      <c r="A1461" s="54"/>
      <c r="B1461" s="16"/>
      <c r="C1461" s="55"/>
      <c r="D1461" s="56"/>
      <c r="E1461" s="16"/>
      <c r="F1461" s="16"/>
      <c r="G1461" s="16"/>
      <c r="H1461" s="54"/>
      <c r="I1461" s="16"/>
      <c r="J1461" s="54"/>
      <c r="K1461" s="42"/>
      <c r="L1461" s="16"/>
      <c r="M1461" s="16"/>
      <c r="AA1461" s="14">
        <f t="shared" si="46"/>
        <v>0</v>
      </c>
      <c r="AB1461" s="47">
        <f t="shared" si="47"/>
        <v>-1</v>
      </c>
      <c r="AD1461" s="53"/>
      <c r="AE1461" s="53"/>
      <c r="AF1461" s="53"/>
      <c r="AG1461" s="53"/>
    </row>
    <row r="1462" spans="1:33" s="46" customFormat="1">
      <c r="A1462" s="54"/>
      <c r="B1462" s="16"/>
      <c r="C1462" s="55"/>
      <c r="D1462" s="56"/>
      <c r="E1462" s="16"/>
      <c r="F1462" s="16"/>
      <c r="G1462" s="16"/>
      <c r="H1462" s="54"/>
      <c r="I1462" s="16"/>
      <c r="J1462" s="54"/>
      <c r="K1462" s="42"/>
      <c r="L1462" s="16"/>
      <c r="M1462" s="16"/>
      <c r="AA1462" s="14">
        <f t="shared" si="46"/>
        <v>0</v>
      </c>
      <c r="AB1462" s="47">
        <f t="shared" si="47"/>
        <v>-1</v>
      </c>
      <c r="AD1462" s="53"/>
      <c r="AE1462" s="53"/>
      <c r="AF1462" s="53"/>
      <c r="AG1462" s="53"/>
    </row>
    <row r="1463" spans="1:33" s="46" customFormat="1">
      <c r="A1463" s="54"/>
      <c r="B1463" s="16"/>
      <c r="C1463" s="55"/>
      <c r="D1463" s="56"/>
      <c r="E1463" s="16"/>
      <c r="F1463" s="16"/>
      <c r="G1463" s="16"/>
      <c r="H1463" s="54"/>
      <c r="I1463" s="16"/>
      <c r="J1463" s="54"/>
      <c r="K1463" s="42"/>
      <c r="L1463" s="16"/>
      <c r="M1463" s="16"/>
      <c r="AA1463" s="14">
        <f t="shared" si="46"/>
        <v>0</v>
      </c>
      <c r="AB1463" s="47">
        <f t="shared" si="47"/>
        <v>-1</v>
      </c>
      <c r="AD1463" s="53"/>
      <c r="AE1463" s="53"/>
      <c r="AF1463" s="53"/>
      <c r="AG1463" s="53"/>
    </row>
    <row r="1464" spans="1:33" s="46" customFormat="1">
      <c r="A1464" s="54"/>
      <c r="B1464" s="16"/>
      <c r="C1464" s="55"/>
      <c r="D1464" s="56"/>
      <c r="E1464" s="16"/>
      <c r="F1464" s="16"/>
      <c r="G1464" s="16"/>
      <c r="H1464" s="54"/>
      <c r="I1464" s="16"/>
      <c r="J1464" s="54"/>
      <c r="K1464" s="42"/>
      <c r="L1464" s="16"/>
      <c r="M1464" s="16"/>
      <c r="AA1464" s="14">
        <f t="shared" si="46"/>
        <v>0</v>
      </c>
      <c r="AB1464" s="47">
        <f t="shared" si="47"/>
        <v>-1</v>
      </c>
      <c r="AD1464" s="53"/>
      <c r="AE1464" s="53"/>
      <c r="AF1464" s="53"/>
      <c r="AG1464" s="53"/>
    </row>
    <row r="1465" spans="1:33" s="46" customFormat="1">
      <c r="A1465" s="54"/>
      <c r="B1465" s="16"/>
      <c r="C1465" s="55"/>
      <c r="D1465" s="56"/>
      <c r="E1465" s="16"/>
      <c r="F1465" s="16"/>
      <c r="G1465" s="16"/>
      <c r="H1465" s="54"/>
      <c r="I1465" s="16"/>
      <c r="J1465" s="54"/>
      <c r="K1465" s="42"/>
      <c r="L1465" s="16"/>
      <c r="M1465" s="16"/>
      <c r="AA1465" s="14">
        <f t="shared" si="46"/>
        <v>0</v>
      </c>
      <c r="AB1465" s="47">
        <f t="shared" si="47"/>
        <v>-1</v>
      </c>
      <c r="AD1465" s="53"/>
      <c r="AE1465" s="53"/>
      <c r="AF1465" s="53"/>
      <c r="AG1465" s="53"/>
    </row>
    <row r="1466" spans="1:33" s="46" customFormat="1">
      <c r="A1466" s="54"/>
      <c r="B1466" s="16"/>
      <c r="C1466" s="55"/>
      <c r="D1466" s="56"/>
      <c r="E1466" s="16"/>
      <c r="F1466" s="16"/>
      <c r="G1466" s="16"/>
      <c r="H1466" s="54"/>
      <c r="I1466" s="16"/>
      <c r="J1466" s="54"/>
      <c r="K1466" s="42"/>
      <c r="L1466" s="16"/>
      <c r="M1466" s="16"/>
      <c r="AA1466" s="14">
        <f t="shared" si="46"/>
        <v>0</v>
      </c>
      <c r="AB1466" s="47">
        <f t="shared" si="47"/>
        <v>-1</v>
      </c>
      <c r="AD1466" s="53"/>
      <c r="AE1466" s="53"/>
      <c r="AF1466" s="53"/>
      <c r="AG1466" s="53"/>
    </row>
    <row r="1467" spans="1:33" s="46" customFormat="1">
      <c r="A1467" s="54"/>
      <c r="B1467" s="16"/>
      <c r="C1467" s="55"/>
      <c r="D1467" s="56"/>
      <c r="E1467" s="16"/>
      <c r="F1467" s="16"/>
      <c r="G1467" s="16"/>
      <c r="H1467" s="54"/>
      <c r="I1467" s="16"/>
      <c r="J1467" s="54"/>
      <c r="K1467" s="42"/>
      <c r="L1467" s="16"/>
      <c r="M1467" s="16"/>
      <c r="AA1467" s="14">
        <f t="shared" si="46"/>
        <v>0</v>
      </c>
      <c r="AB1467" s="47">
        <f t="shared" si="47"/>
        <v>-1</v>
      </c>
      <c r="AD1467" s="53"/>
      <c r="AE1467" s="53"/>
      <c r="AF1467" s="53"/>
      <c r="AG1467" s="53"/>
    </row>
    <row r="1468" spans="1:33" s="46" customFormat="1">
      <c r="A1468" s="54"/>
      <c r="B1468" s="16"/>
      <c r="C1468" s="55"/>
      <c r="D1468" s="56"/>
      <c r="E1468" s="16"/>
      <c r="F1468" s="16"/>
      <c r="G1468" s="16"/>
      <c r="H1468" s="54"/>
      <c r="I1468" s="16"/>
      <c r="J1468" s="54"/>
      <c r="K1468" s="42"/>
      <c r="L1468" s="16"/>
      <c r="M1468" s="16"/>
      <c r="AA1468" s="14">
        <f t="shared" si="46"/>
        <v>0</v>
      </c>
      <c r="AB1468" s="47">
        <f t="shared" si="47"/>
        <v>-1</v>
      </c>
      <c r="AD1468" s="53"/>
      <c r="AE1468" s="53"/>
      <c r="AF1468" s="53"/>
      <c r="AG1468" s="53"/>
    </row>
    <row r="1469" spans="1:33" s="46" customFormat="1">
      <c r="A1469" s="54"/>
      <c r="B1469" s="16"/>
      <c r="C1469" s="55"/>
      <c r="D1469" s="56"/>
      <c r="E1469" s="16"/>
      <c r="F1469" s="16"/>
      <c r="G1469" s="16"/>
      <c r="H1469" s="54"/>
      <c r="I1469" s="16"/>
      <c r="J1469" s="54"/>
      <c r="K1469" s="42"/>
      <c r="L1469" s="16"/>
      <c r="M1469" s="16"/>
      <c r="AA1469" s="14">
        <f t="shared" si="46"/>
        <v>0</v>
      </c>
      <c r="AB1469" s="47">
        <f t="shared" si="47"/>
        <v>-1</v>
      </c>
      <c r="AD1469" s="53"/>
      <c r="AE1469" s="53"/>
      <c r="AF1469" s="53"/>
      <c r="AG1469" s="53"/>
    </row>
    <row r="1470" spans="1:33" s="46" customFormat="1">
      <c r="A1470" s="54"/>
      <c r="B1470" s="16"/>
      <c r="C1470" s="55"/>
      <c r="D1470" s="56"/>
      <c r="E1470" s="16"/>
      <c r="F1470" s="16"/>
      <c r="G1470" s="16"/>
      <c r="H1470" s="54"/>
      <c r="I1470" s="16"/>
      <c r="J1470" s="54"/>
      <c r="K1470" s="42"/>
      <c r="L1470" s="16"/>
      <c r="M1470" s="16"/>
      <c r="AA1470" s="14">
        <f t="shared" si="46"/>
        <v>0</v>
      </c>
      <c r="AB1470" s="47">
        <f t="shared" si="47"/>
        <v>-1</v>
      </c>
      <c r="AD1470" s="53"/>
      <c r="AE1470" s="53"/>
      <c r="AF1470" s="53"/>
      <c r="AG1470" s="53"/>
    </row>
    <row r="1471" spans="1:33" s="46" customFormat="1">
      <c r="A1471" s="54"/>
      <c r="B1471" s="16"/>
      <c r="C1471" s="55"/>
      <c r="D1471" s="56"/>
      <c r="E1471" s="16"/>
      <c r="F1471" s="16"/>
      <c r="G1471" s="16"/>
      <c r="H1471" s="54"/>
      <c r="I1471" s="16"/>
      <c r="J1471" s="54"/>
      <c r="K1471" s="42"/>
      <c r="L1471" s="16"/>
      <c r="M1471" s="16"/>
      <c r="AA1471" s="14">
        <f t="shared" si="46"/>
        <v>0</v>
      </c>
      <c r="AB1471" s="47">
        <f t="shared" si="47"/>
        <v>-1</v>
      </c>
      <c r="AD1471" s="53"/>
      <c r="AE1471" s="53"/>
      <c r="AF1471" s="53"/>
      <c r="AG1471" s="53"/>
    </row>
    <row r="1472" spans="1:33" s="46" customFormat="1">
      <c r="A1472" s="54"/>
      <c r="B1472" s="16"/>
      <c r="C1472" s="55"/>
      <c r="D1472" s="56"/>
      <c r="E1472" s="16"/>
      <c r="F1472" s="16"/>
      <c r="G1472" s="16"/>
      <c r="H1472" s="54"/>
      <c r="I1472" s="16"/>
      <c r="J1472" s="54"/>
      <c r="K1472" s="42"/>
      <c r="L1472" s="16"/>
      <c r="M1472" s="16"/>
      <c r="AA1472" s="14">
        <f t="shared" si="46"/>
        <v>0</v>
      </c>
      <c r="AB1472" s="47">
        <f t="shared" si="47"/>
        <v>-1</v>
      </c>
      <c r="AD1472" s="53"/>
      <c r="AE1472" s="53"/>
      <c r="AF1472" s="53"/>
      <c r="AG1472" s="53"/>
    </row>
    <row r="1473" spans="1:33" s="46" customFormat="1">
      <c r="A1473" s="54"/>
      <c r="B1473" s="16"/>
      <c r="C1473" s="55"/>
      <c r="D1473" s="56"/>
      <c r="E1473" s="16"/>
      <c r="F1473" s="16"/>
      <c r="G1473" s="16"/>
      <c r="H1473" s="54"/>
      <c r="I1473" s="16"/>
      <c r="J1473" s="54"/>
      <c r="K1473" s="42"/>
      <c r="L1473" s="16"/>
      <c r="M1473" s="16"/>
      <c r="AA1473" s="14">
        <f t="shared" si="46"/>
        <v>0</v>
      </c>
      <c r="AB1473" s="47">
        <f t="shared" si="47"/>
        <v>-1</v>
      </c>
      <c r="AD1473" s="53"/>
      <c r="AE1473" s="53"/>
      <c r="AF1473" s="53"/>
      <c r="AG1473" s="53"/>
    </row>
    <row r="1474" spans="1:33" s="46" customFormat="1">
      <c r="A1474" s="54"/>
      <c r="B1474" s="16"/>
      <c r="C1474" s="55"/>
      <c r="D1474" s="56"/>
      <c r="E1474" s="16"/>
      <c r="F1474" s="16"/>
      <c r="G1474" s="16"/>
      <c r="H1474" s="54"/>
      <c r="I1474" s="16"/>
      <c r="J1474" s="54"/>
      <c r="K1474" s="42"/>
      <c r="L1474" s="16"/>
      <c r="M1474" s="16"/>
      <c r="AA1474" s="14">
        <f t="shared" si="46"/>
        <v>0</v>
      </c>
      <c r="AB1474" s="47">
        <f t="shared" si="47"/>
        <v>-1</v>
      </c>
      <c r="AD1474" s="53"/>
      <c r="AE1474" s="53"/>
      <c r="AF1474" s="53"/>
      <c r="AG1474" s="53"/>
    </row>
    <row r="1475" spans="1:33" s="46" customFormat="1">
      <c r="A1475" s="54"/>
      <c r="B1475" s="16"/>
      <c r="C1475" s="55"/>
      <c r="D1475" s="56"/>
      <c r="E1475" s="16"/>
      <c r="F1475" s="16"/>
      <c r="G1475" s="16"/>
      <c r="H1475" s="54"/>
      <c r="I1475" s="16"/>
      <c r="J1475" s="54"/>
      <c r="K1475" s="42"/>
      <c r="L1475" s="16"/>
      <c r="M1475" s="16"/>
      <c r="AA1475" s="14">
        <f t="shared" si="46"/>
        <v>0</v>
      </c>
      <c r="AB1475" s="47">
        <f t="shared" si="47"/>
        <v>-1</v>
      </c>
      <c r="AD1475" s="53"/>
      <c r="AE1475" s="53"/>
      <c r="AF1475" s="53"/>
      <c r="AG1475" s="53"/>
    </row>
    <row r="1476" spans="1:33" s="46" customFormat="1">
      <c r="A1476" s="54"/>
      <c r="B1476" s="16"/>
      <c r="C1476" s="55"/>
      <c r="D1476" s="56"/>
      <c r="E1476" s="16"/>
      <c r="F1476" s="16"/>
      <c r="G1476" s="16"/>
      <c r="H1476" s="54"/>
      <c r="I1476" s="16"/>
      <c r="J1476" s="54"/>
      <c r="K1476" s="42"/>
      <c r="L1476" s="16"/>
      <c r="M1476" s="16"/>
      <c r="AA1476" s="14">
        <f t="shared" si="46"/>
        <v>0</v>
      </c>
      <c r="AB1476" s="47">
        <f t="shared" si="47"/>
        <v>-1</v>
      </c>
      <c r="AD1476" s="53"/>
      <c r="AE1476" s="53"/>
      <c r="AF1476" s="53"/>
      <c r="AG1476" s="53"/>
    </row>
    <row r="1477" spans="1:33" s="46" customFormat="1">
      <c r="A1477" s="54"/>
      <c r="B1477" s="16"/>
      <c r="C1477" s="55"/>
      <c r="D1477" s="56"/>
      <c r="E1477" s="16"/>
      <c r="F1477" s="16"/>
      <c r="G1477" s="16"/>
      <c r="H1477" s="54"/>
      <c r="I1477" s="16"/>
      <c r="J1477" s="54"/>
      <c r="K1477" s="42"/>
      <c r="L1477" s="16"/>
      <c r="M1477" s="16"/>
      <c r="AA1477" s="14">
        <f t="shared" si="46"/>
        <v>0</v>
      </c>
      <c r="AB1477" s="47">
        <f t="shared" si="47"/>
        <v>-1</v>
      </c>
      <c r="AD1477" s="53"/>
      <c r="AE1477" s="53"/>
      <c r="AF1477" s="53"/>
      <c r="AG1477" s="53"/>
    </row>
    <row r="1478" spans="1:33" s="46" customFormat="1">
      <c r="A1478" s="54"/>
      <c r="B1478" s="16"/>
      <c r="C1478" s="55"/>
      <c r="D1478" s="56"/>
      <c r="E1478" s="16"/>
      <c r="F1478" s="16"/>
      <c r="G1478" s="16"/>
      <c r="H1478" s="54"/>
      <c r="I1478" s="16"/>
      <c r="J1478" s="54"/>
      <c r="K1478" s="42"/>
      <c r="L1478" s="16"/>
      <c r="M1478" s="16"/>
      <c r="AA1478" s="14">
        <f t="shared" si="46"/>
        <v>0</v>
      </c>
      <c r="AB1478" s="47">
        <f t="shared" si="47"/>
        <v>-1</v>
      </c>
      <c r="AD1478" s="53"/>
      <c r="AE1478" s="53"/>
      <c r="AF1478" s="53"/>
      <c r="AG1478" s="53"/>
    </row>
    <row r="1479" spans="1:33" s="46" customFormat="1">
      <c r="A1479" s="54"/>
      <c r="B1479" s="16"/>
      <c r="C1479" s="55"/>
      <c r="D1479" s="56"/>
      <c r="E1479" s="16"/>
      <c r="F1479" s="16"/>
      <c r="G1479" s="16"/>
      <c r="H1479" s="54"/>
      <c r="I1479" s="16"/>
      <c r="J1479" s="54"/>
      <c r="K1479" s="42"/>
      <c r="L1479" s="16"/>
      <c r="M1479" s="16"/>
      <c r="AA1479" s="14">
        <f t="shared" si="46"/>
        <v>0</v>
      </c>
      <c r="AB1479" s="47">
        <f t="shared" si="47"/>
        <v>-1</v>
      </c>
      <c r="AD1479" s="53"/>
      <c r="AE1479" s="53"/>
      <c r="AF1479" s="53"/>
      <c r="AG1479" s="53"/>
    </row>
    <row r="1480" spans="1:33" s="46" customFormat="1">
      <c r="A1480" s="54"/>
      <c r="B1480" s="16"/>
      <c r="C1480" s="55"/>
      <c r="D1480" s="56"/>
      <c r="E1480" s="16"/>
      <c r="F1480" s="16"/>
      <c r="G1480" s="16"/>
      <c r="H1480" s="54"/>
      <c r="I1480" s="16"/>
      <c r="J1480" s="54"/>
      <c r="K1480" s="42"/>
      <c r="L1480" s="16"/>
      <c r="M1480" s="16"/>
      <c r="AA1480" s="14">
        <f t="shared" si="46"/>
        <v>0</v>
      </c>
      <c r="AB1480" s="47">
        <f t="shared" si="47"/>
        <v>-1</v>
      </c>
      <c r="AD1480" s="53"/>
      <c r="AE1480" s="53"/>
      <c r="AF1480" s="53"/>
      <c r="AG1480" s="53"/>
    </row>
    <row r="1481" spans="1:33" s="46" customFormat="1">
      <c r="A1481" s="54"/>
      <c r="B1481" s="16"/>
      <c r="C1481" s="55"/>
      <c r="D1481" s="56"/>
      <c r="E1481" s="16"/>
      <c r="F1481" s="16"/>
      <c r="G1481" s="16"/>
      <c r="H1481" s="54"/>
      <c r="I1481" s="16"/>
      <c r="J1481" s="54"/>
      <c r="K1481" s="42"/>
      <c r="L1481" s="16"/>
      <c r="M1481" s="16"/>
      <c r="AA1481" s="14">
        <f t="shared" si="46"/>
        <v>0</v>
      </c>
      <c r="AB1481" s="47">
        <f t="shared" si="47"/>
        <v>-1</v>
      </c>
      <c r="AD1481" s="53"/>
      <c r="AE1481" s="53"/>
      <c r="AF1481" s="53"/>
      <c r="AG1481" s="53"/>
    </row>
    <row r="1482" spans="1:33" s="46" customFormat="1">
      <c r="A1482" s="54"/>
      <c r="B1482" s="16"/>
      <c r="C1482" s="55"/>
      <c r="D1482" s="56"/>
      <c r="E1482" s="16"/>
      <c r="F1482" s="16"/>
      <c r="G1482" s="16"/>
      <c r="H1482" s="54"/>
      <c r="I1482" s="16"/>
      <c r="J1482" s="54"/>
      <c r="K1482" s="42"/>
      <c r="L1482" s="16"/>
      <c r="M1482" s="16"/>
      <c r="AA1482" s="14">
        <f t="shared" si="46"/>
        <v>0</v>
      </c>
      <c r="AB1482" s="47">
        <f t="shared" si="47"/>
        <v>-1</v>
      </c>
      <c r="AD1482" s="53"/>
      <c r="AE1482" s="53"/>
      <c r="AF1482" s="53"/>
      <c r="AG1482" s="53"/>
    </row>
    <row r="1483" spans="1:33" s="46" customFormat="1">
      <c r="A1483" s="54"/>
      <c r="B1483" s="16"/>
      <c r="C1483" s="55"/>
      <c r="D1483" s="56"/>
      <c r="E1483" s="16"/>
      <c r="F1483" s="16"/>
      <c r="G1483" s="16"/>
      <c r="H1483" s="54"/>
      <c r="I1483" s="16"/>
      <c r="J1483" s="54"/>
      <c r="K1483" s="42"/>
      <c r="L1483" s="16"/>
      <c r="M1483" s="16"/>
      <c r="AA1483" s="14">
        <f t="shared" si="46"/>
        <v>0</v>
      </c>
      <c r="AB1483" s="47">
        <f t="shared" si="47"/>
        <v>-1</v>
      </c>
      <c r="AD1483" s="53"/>
      <c r="AE1483" s="53"/>
      <c r="AF1483" s="53"/>
      <c r="AG1483" s="53"/>
    </row>
    <row r="1484" spans="1:33" s="46" customFormat="1">
      <c r="A1484" s="54"/>
      <c r="B1484" s="16"/>
      <c r="C1484" s="55"/>
      <c r="D1484" s="56"/>
      <c r="E1484" s="16"/>
      <c r="F1484" s="16"/>
      <c r="G1484" s="16"/>
      <c r="H1484" s="54"/>
      <c r="I1484" s="16"/>
      <c r="J1484" s="54"/>
      <c r="K1484" s="42"/>
      <c r="L1484" s="16"/>
      <c r="M1484" s="16"/>
      <c r="AA1484" s="14">
        <f t="shared" si="46"/>
        <v>0</v>
      </c>
      <c r="AB1484" s="47">
        <f t="shared" si="47"/>
        <v>-1</v>
      </c>
      <c r="AD1484" s="53"/>
      <c r="AE1484" s="53"/>
      <c r="AF1484" s="53"/>
      <c r="AG1484" s="53"/>
    </row>
    <row r="1485" spans="1:33" s="46" customFormat="1">
      <c r="A1485" s="54"/>
      <c r="B1485" s="16"/>
      <c r="C1485" s="55"/>
      <c r="D1485" s="56"/>
      <c r="E1485" s="16"/>
      <c r="F1485" s="16"/>
      <c r="G1485" s="16"/>
      <c r="H1485" s="54"/>
      <c r="I1485" s="16"/>
      <c r="J1485" s="54"/>
      <c r="K1485" s="42"/>
      <c r="L1485" s="16"/>
      <c r="M1485" s="16"/>
      <c r="AA1485" s="14">
        <f t="shared" si="46"/>
        <v>0</v>
      </c>
      <c r="AB1485" s="47">
        <f t="shared" si="47"/>
        <v>-1</v>
      </c>
      <c r="AD1485" s="53"/>
      <c r="AE1485" s="53"/>
      <c r="AF1485" s="53"/>
      <c r="AG1485" s="53"/>
    </row>
    <row r="1486" spans="1:33" s="46" customFormat="1">
      <c r="A1486" s="54"/>
      <c r="B1486" s="16"/>
      <c r="C1486" s="55"/>
      <c r="D1486" s="56"/>
      <c r="E1486" s="16"/>
      <c r="F1486" s="16"/>
      <c r="G1486" s="16"/>
      <c r="H1486" s="54"/>
      <c r="I1486" s="16"/>
      <c r="J1486" s="54"/>
      <c r="K1486" s="42"/>
      <c r="L1486" s="16"/>
      <c r="M1486" s="16"/>
      <c r="AA1486" s="14">
        <f t="shared" si="46"/>
        <v>0</v>
      </c>
      <c r="AB1486" s="47">
        <f t="shared" si="47"/>
        <v>-1</v>
      </c>
      <c r="AD1486" s="53"/>
      <c r="AE1486" s="53"/>
      <c r="AF1486" s="53"/>
      <c r="AG1486" s="53"/>
    </row>
    <row r="1487" spans="1:33" s="46" customFormat="1">
      <c r="A1487" s="54"/>
      <c r="B1487" s="16"/>
      <c r="C1487" s="55"/>
      <c r="D1487" s="56"/>
      <c r="E1487" s="16"/>
      <c r="F1487" s="16"/>
      <c r="G1487" s="16"/>
      <c r="H1487" s="54"/>
      <c r="I1487" s="16"/>
      <c r="J1487" s="54"/>
      <c r="K1487" s="42"/>
      <c r="L1487" s="16"/>
      <c r="M1487" s="16"/>
      <c r="AA1487" s="14">
        <f t="shared" si="46"/>
        <v>0</v>
      </c>
      <c r="AB1487" s="47">
        <f t="shared" si="47"/>
        <v>-1</v>
      </c>
      <c r="AD1487" s="53"/>
      <c r="AE1487" s="53"/>
      <c r="AF1487" s="53"/>
      <c r="AG1487" s="53"/>
    </row>
    <row r="1488" spans="1:33" s="46" customFormat="1">
      <c r="A1488" s="54"/>
      <c r="B1488" s="16"/>
      <c r="C1488" s="55"/>
      <c r="D1488" s="56"/>
      <c r="E1488" s="16"/>
      <c r="F1488" s="16"/>
      <c r="G1488" s="16"/>
      <c r="H1488" s="54"/>
      <c r="I1488" s="16"/>
      <c r="J1488" s="54"/>
      <c r="K1488" s="42"/>
      <c r="L1488" s="16"/>
      <c r="M1488" s="16"/>
      <c r="AA1488" s="14">
        <f t="shared" si="46"/>
        <v>0</v>
      </c>
      <c r="AB1488" s="47">
        <f t="shared" si="47"/>
        <v>-1</v>
      </c>
      <c r="AD1488" s="53"/>
      <c r="AE1488" s="53"/>
      <c r="AF1488" s="53"/>
      <c r="AG1488" s="53"/>
    </row>
    <row r="1489" spans="1:33" s="46" customFormat="1">
      <c r="A1489" s="54"/>
      <c r="B1489" s="16"/>
      <c r="C1489" s="55"/>
      <c r="D1489" s="56"/>
      <c r="E1489" s="16"/>
      <c r="F1489" s="16"/>
      <c r="G1489" s="16"/>
      <c r="H1489" s="54"/>
      <c r="I1489" s="16"/>
      <c r="J1489" s="54"/>
      <c r="K1489" s="42"/>
      <c r="L1489" s="16"/>
      <c r="M1489" s="16"/>
      <c r="AA1489" s="14">
        <f t="shared" si="46"/>
        <v>0</v>
      </c>
      <c r="AB1489" s="47">
        <f t="shared" si="47"/>
        <v>-1</v>
      </c>
      <c r="AD1489" s="53"/>
      <c r="AE1489" s="53"/>
      <c r="AF1489" s="53"/>
      <c r="AG1489" s="53"/>
    </row>
    <row r="1490" spans="1:33" s="46" customFormat="1">
      <c r="A1490" s="54"/>
      <c r="B1490" s="16"/>
      <c r="C1490" s="55"/>
      <c r="D1490" s="56"/>
      <c r="E1490" s="16"/>
      <c r="F1490" s="16"/>
      <c r="G1490" s="16"/>
      <c r="H1490" s="54"/>
      <c r="I1490" s="16"/>
      <c r="J1490" s="54"/>
      <c r="K1490" s="42"/>
      <c r="L1490" s="16"/>
      <c r="M1490" s="16"/>
      <c r="AA1490" s="14">
        <f t="shared" si="46"/>
        <v>0</v>
      </c>
      <c r="AB1490" s="47">
        <f t="shared" si="47"/>
        <v>-1</v>
      </c>
      <c r="AD1490" s="53"/>
      <c r="AE1490" s="53"/>
      <c r="AF1490" s="53"/>
      <c r="AG1490" s="53"/>
    </row>
    <row r="1491" spans="1:33" s="46" customFormat="1">
      <c r="A1491" s="54"/>
      <c r="B1491" s="16"/>
      <c r="C1491" s="55"/>
      <c r="D1491" s="56"/>
      <c r="E1491" s="16"/>
      <c r="F1491" s="16"/>
      <c r="G1491" s="16"/>
      <c r="H1491" s="54"/>
      <c r="I1491" s="16"/>
      <c r="J1491" s="54"/>
      <c r="K1491" s="42"/>
      <c r="L1491" s="16"/>
      <c r="M1491" s="16"/>
      <c r="AA1491" s="14">
        <f t="shared" si="46"/>
        <v>0</v>
      </c>
      <c r="AB1491" s="47">
        <f t="shared" si="47"/>
        <v>-1</v>
      </c>
      <c r="AD1491" s="53"/>
      <c r="AE1491" s="53"/>
      <c r="AF1491" s="53"/>
      <c r="AG1491" s="53"/>
    </row>
    <row r="1492" spans="1:33" s="46" customFormat="1">
      <c r="A1492" s="54"/>
      <c r="B1492" s="16"/>
      <c r="C1492" s="55"/>
      <c r="D1492" s="56"/>
      <c r="E1492" s="16"/>
      <c r="F1492" s="16"/>
      <c r="G1492" s="16"/>
      <c r="H1492" s="54"/>
      <c r="I1492" s="16"/>
      <c r="J1492" s="54"/>
      <c r="K1492" s="42"/>
      <c r="L1492" s="16"/>
      <c r="M1492" s="16"/>
      <c r="AA1492" s="14">
        <f t="shared" si="46"/>
        <v>0</v>
      </c>
      <c r="AB1492" s="47">
        <f t="shared" si="47"/>
        <v>-1</v>
      </c>
      <c r="AD1492" s="53"/>
      <c r="AE1492" s="53"/>
      <c r="AF1492" s="53"/>
      <c r="AG1492" s="53"/>
    </row>
    <row r="1493" spans="1:33" s="46" customFormat="1">
      <c r="A1493" s="54"/>
      <c r="B1493" s="16"/>
      <c r="C1493" s="55"/>
      <c r="D1493" s="56"/>
      <c r="E1493" s="16"/>
      <c r="F1493" s="16"/>
      <c r="G1493" s="16"/>
      <c r="H1493" s="54"/>
      <c r="I1493" s="16"/>
      <c r="J1493" s="54"/>
      <c r="K1493" s="42"/>
      <c r="L1493" s="16"/>
      <c r="M1493" s="16"/>
      <c r="AA1493" s="14">
        <f t="shared" si="46"/>
        <v>0</v>
      </c>
      <c r="AB1493" s="47">
        <f t="shared" si="47"/>
        <v>-1</v>
      </c>
      <c r="AD1493" s="53"/>
      <c r="AE1493" s="53"/>
      <c r="AF1493" s="53"/>
      <c r="AG1493" s="53"/>
    </row>
    <row r="1494" spans="1:33" s="46" customFormat="1">
      <c r="A1494" s="54"/>
      <c r="B1494" s="16"/>
      <c r="C1494" s="55"/>
      <c r="D1494" s="56"/>
      <c r="E1494" s="16"/>
      <c r="F1494" s="16"/>
      <c r="G1494" s="16"/>
      <c r="H1494" s="54"/>
      <c r="I1494" s="16"/>
      <c r="J1494" s="54"/>
      <c r="K1494" s="42"/>
      <c r="L1494" s="16"/>
      <c r="M1494" s="16"/>
      <c r="AA1494" s="14">
        <f t="shared" si="46"/>
        <v>0</v>
      </c>
      <c r="AB1494" s="47">
        <f t="shared" si="47"/>
        <v>-1</v>
      </c>
      <c r="AD1494" s="53"/>
      <c r="AE1494" s="53"/>
      <c r="AF1494" s="53"/>
      <c r="AG1494" s="53"/>
    </row>
    <row r="1495" spans="1:33" s="46" customFormat="1">
      <c r="A1495" s="54"/>
      <c r="B1495" s="16"/>
      <c r="C1495" s="55"/>
      <c r="D1495" s="56"/>
      <c r="E1495" s="16"/>
      <c r="F1495" s="16"/>
      <c r="G1495" s="16"/>
      <c r="H1495" s="54"/>
      <c r="I1495" s="16"/>
      <c r="J1495" s="54"/>
      <c r="K1495" s="42"/>
      <c r="L1495" s="16"/>
      <c r="M1495" s="16"/>
      <c r="AA1495" s="14">
        <f t="shared" si="46"/>
        <v>0</v>
      </c>
      <c r="AB1495" s="47">
        <f t="shared" si="47"/>
        <v>-1</v>
      </c>
      <c r="AD1495" s="53"/>
      <c r="AE1495" s="53"/>
      <c r="AF1495" s="53"/>
      <c r="AG1495" s="53"/>
    </row>
    <row r="1496" spans="1:33" s="46" customFormat="1">
      <c r="A1496" s="54"/>
      <c r="B1496" s="16"/>
      <c r="C1496" s="55"/>
      <c r="D1496" s="56"/>
      <c r="E1496" s="16"/>
      <c r="F1496" s="16"/>
      <c r="G1496" s="16"/>
      <c r="H1496" s="54"/>
      <c r="I1496" s="16"/>
      <c r="J1496" s="54"/>
      <c r="K1496" s="42"/>
      <c r="L1496" s="16"/>
      <c r="M1496" s="16"/>
      <c r="AA1496" s="14">
        <f t="shared" si="46"/>
        <v>0</v>
      </c>
      <c r="AB1496" s="47">
        <f t="shared" si="47"/>
        <v>-1</v>
      </c>
      <c r="AD1496" s="53"/>
      <c r="AE1496" s="53"/>
      <c r="AF1496" s="53"/>
      <c r="AG1496" s="53"/>
    </row>
    <row r="1497" spans="1:33" s="46" customFormat="1">
      <c r="A1497" s="54"/>
      <c r="B1497" s="16"/>
      <c r="C1497" s="55"/>
      <c r="D1497" s="56"/>
      <c r="E1497" s="16"/>
      <c r="F1497" s="16"/>
      <c r="G1497" s="16"/>
      <c r="H1497" s="54"/>
      <c r="I1497" s="16"/>
      <c r="J1497" s="54"/>
      <c r="K1497" s="42"/>
      <c r="L1497" s="16"/>
      <c r="M1497" s="16"/>
      <c r="AA1497" s="14">
        <f t="shared" si="46"/>
        <v>0</v>
      </c>
      <c r="AB1497" s="47">
        <f t="shared" si="47"/>
        <v>-1</v>
      </c>
      <c r="AD1497" s="53"/>
      <c r="AE1497" s="53"/>
      <c r="AF1497" s="53"/>
      <c r="AG1497" s="53"/>
    </row>
    <row r="1498" spans="1:33" s="46" customFormat="1">
      <c r="A1498" s="54"/>
      <c r="B1498" s="16"/>
      <c r="C1498" s="55"/>
      <c r="D1498" s="56"/>
      <c r="E1498" s="16"/>
      <c r="F1498" s="16"/>
      <c r="G1498" s="16"/>
      <c r="H1498" s="54"/>
      <c r="I1498" s="16"/>
      <c r="J1498" s="54"/>
      <c r="K1498" s="42"/>
      <c r="L1498" s="16"/>
      <c r="M1498" s="16"/>
      <c r="AA1498" s="14">
        <f t="shared" si="46"/>
        <v>0</v>
      </c>
      <c r="AB1498" s="47">
        <f t="shared" si="47"/>
        <v>-1</v>
      </c>
      <c r="AD1498" s="53"/>
      <c r="AE1498" s="53"/>
      <c r="AF1498" s="53"/>
      <c r="AG1498" s="53"/>
    </row>
    <row r="1499" spans="1:33" s="46" customFormat="1">
      <c r="A1499" s="54"/>
      <c r="B1499" s="16"/>
      <c r="C1499" s="55"/>
      <c r="D1499" s="56"/>
      <c r="E1499" s="16"/>
      <c r="F1499" s="16"/>
      <c r="G1499" s="16"/>
      <c r="H1499" s="54"/>
      <c r="I1499" s="16"/>
      <c r="J1499" s="54"/>
      <c r="K1499" s="42"/>
      <c r="L1499" s="16"/>
      <c r="M1499" s="16"/>
      <c r="AA1499" s="14">
        <f t="shared" si="46"/>
        <v>0</v>
      </c>
      <c r="AB1499" s="47">
        <f t="shared" si="47"/>
        <v>-1</v>
      </c>
      <c r="AD1499" s="53"/>
      <c r="AE1499" s="53"/>
      <c r="AF1499" s="53"/>
      <c r="AG1499" s="53"/>
    </row>
    <row r="1500" spans="1:33" s="46" customFormat="1">
      <c r="A1500" s="54"/>
      <c r="B1500" s="16"/>
      <c r="C1500" s="55"/>
      <c r="D1500" s="56"/>
      <c r="E1500" s="16"/>
      <c r="F1500" s="16"/>
      <c r="G1500" s="16"/>
      <c r="H1500" s="54"/>
      <c r="I1500" s="16"/>
      <c r="J1500" s="54"/>
      <c r="K1500" s="42"/>
      <c r="L1500" s="16"/>
      <c r="M1500" s="16"/>
      <c r="AA1500" s="14">
        <f t="shared" si="46"/>
        <v>0</v>
      </c>
      <c r="AB1500" s="47">
        <f t="shared" si="47"/>
        <v>-1</v>
      </c>
      <c r="AD1500" s="53"/>
      <c r="AE1500" s="53"/>
      <c r="AF1500" s="53"/>
      <c r="AG1500" s="53"/>
    </row>
    <row r="1501" spans="1:33" s="46" customFormat="1">
      <c r="A1501" s="54"/>
      <c r="B1501" s="16"/>
      <c r="C1501" s="55"/>
      <c r="D1501" s="56"/>
      <c r="E1501" s="16"/>
      <c r="F1501" s="16"/>
      <c r="G1501" s="16"/>
      <c r="H1501" s="54"/>
      <c r="I1501" s="16"/>
      <c r="J1501" s="54"/>
      <c r="K1501" s="42"/>
      <c r="L1501" s="16"/>
      <c r="M1501" s="16"/>
      <c r="AA1501" s="14">
        <f t="shared" si="46"/>
        <v>0</v>
      </c>
      <c r="AB1501" s="47">
        <f t="shared" si="47"/>
        <v>-1</v>
      </c>
      <c r="AD1501" s="53"/>
      <c r="AE1501" s="53"/>
      <c r="AF1501" s="53"/>
      <c r="AG1501" s="53"/>
    </row>
    <row r="1502" spans="1:33" s="46" customFormat="1">
      <c r="A1502" s="54"/>
      <c r="B1502" s="16"/>
      <c r="C1502" s="55"/>
      <c r="D1502" s="56"/>
      <c r="E1502" s="16"/>
      <c r="F1502" s="16"/>
      <c r="G1502" s="16"/>
      <c r="H1502" s="54"/>
      <c r="I1502" s="16"/>
      <c r="J1502" s="54"/>
      <c r="K1502" s="42"/>
      <c r="L1502" s="16"/>
      <c r="M1502" s="16"/>
      <c r="AA1502" s="14">
        <f t="shared" si="46"/>
        <v>0</v>
      </c>
      <c r="AB1502" s="47">
        <f t="shared" si="47"/>
        <v>-1</v>
      </c>
      <c r="AD1502" s="53"/>
      <c r="AE1502" s="53"/>
      <c r="AF1502" s="53"/>
      <c r="AG1502" s="53"/>
    </row>
    <row r="1503" spans="1:33" s="46" customFormat="1">
      <c r="A1503" s="54"/>
      <c r="B1503" s="16"/>
      <c r="C1503" s="55"/>
      <c r="D1503" s="56"/>
      <c r="E1503" s="16"/>
      <c r="F1503" s="16"/>
      <c r="G1503" s="16"/>
      <c r="H1503" s="54"/>
      <c r="I1503" s="16"/>
      <c r="J1503" s="54"/>
      <c r="K1503" s="42"/>
      <c r="L1503" s="16"/>
      <c r="M1503" s="16"/>
      <c r="AA1503" s="14">
        <f t="shared" si="46"/>
        <v>0</v>
      </c>
      <c r="AB1503" s="47">
        <f t="shared" si="47"/>
        <v>-1</v>
      </c>
      <c r="AD1503" s="53"/>
      <c r="AE1503" s="53"/>
      <c r="AF1503" s="53"/>
      <c r="AG1503" s="53"/>
    </row>
    <row r="1504" spans="1:33" s="46" customFormat="1">
      <c r="A1504" s="54"/>
      <c r="B1504" s="16"/>
      <c r="C1504" s="55"/>
      <c r="D1504" s="56"/>
      <c r="E1504" s="16"/>
      <c r="F1504" s="16"/>
      <c r="G1504" s="16"/>
      <c r="H1504" s="54"/>
      <c r="I1504" s="16"/>
      <c r="J1504" s="54"/>
      <c r="K1504" s="42"/>
      <c r="L1504" s="16"/>
      <c r="M1504" s="16"/>
      <c r="AA1504" s="14">
        <f t="shared" si="46"/>
        <v>0</v>
      </c>
      <c r="AB1504" s="47">
        <f t="shared" si="47"/>
        <v>-1</v>
      </c>
      <c r="AD1504" s="53"/>
      <c r="AE1504" s="53"/>
      <c r="AF1504" s="53"/>
      <c r="AG1504" s="53"/>
    </row>
    <row r="1505" spans="1:33" s="46" customFormat="1">
      <c r="A1505" s="54"/>
      <c r="B1505" s="16"/>
      <c r="C1505" s="55"/>
      <c r="D1505" s="56"/>
      <c r="E1505" s="16"/>
      <c r="F1505" s="16"/>
      <c r="G1505" s="16"/>
      <c r="H1505" s="54"/>
      <c r="I1505" s="16"/>
      <c r="J1505" s="54"/>
      <c r="K1505" s="42"/>
      <c r="L1505" s="16"/>
      <c r="M1505" s="16"/>
      <c r="AA1505" s="14">
        <f t="shared" si="46"/>
        <v>0</v>
      </c>
      <c r="AB1505" s="47">
        <f t="shared" si="47"/>
        <v>-1</v>
      </c>
      <c r="AD1505" s="53"/>
      <c r="AE1505" s="53"/>
      <c r="AF1505" s="53"/>
      <c r="AG1505" s="53"/>
    </row>
    <row r="1506" spans="1:33" s="46" customFormat="1">
      <c r="A1506" s="54"/>
      <c r="B1506" s="16"/>
      <c r="C1506" s="55"/>
      <c r="D1506" s="56"/>
      <c r="E1506" s="16"/>
      <c r="F1506" s="16"/>
      <c r="G1506" s="16"/>
      <c r="H1506" s="54"/>
      <c r="I1506" s="16"/>
      <c r="J1506" s="54"/>
      <c r="K1506" s="42"/>
      <c r="L1506" s="16"/>
      <c r="M1506" s="16"/>
      <c r="AA1506" s="14">
        <f t="shared" si="46"/>
        <v>0</v>
      </c>
      <c r="AB1506" s="47">
        <f t="shared" si="47"/>
        <v>-1</v>
      </c>
      <c r="AD1506" s="53"/>
      <c r="AE1506" s="53"/>
      <c r="AF1506" s="53"/>
      <c r="AG1506" s="53"/>
    </row>
    <row r="1507" spans="1:33" s="46" customFormat="1">
      <c r="A1507" s="54"/>
      <c r="B1507" s="16"/>
      <c r="C1507" s="55"/>
      <c r="D1507" s="56"/>
      <c r="E1507" s="16"/>
      <c r="F1507" s="16"/>
      <c r="G1507" s="16"/>
      <c r="H1507" s="54"/>
      <c r="I1507" s="16"/>
      <c r="J1507" s="54"/>
      <c r="K1507" s="42"/>
      <c r="L1507" s="16"/>
      <c r="M1507" s="16"/>
      <c r="AA1507" s="14">
        <f t="shared" si="46"/>
        <v>0</v>
      </c>
      <c r="AB1507" s="47">
        <f t="shared" si="47"/>
        <v>-1</v>
      </c>
      <c r="AD1507" s="53"/>
      <c r="AE1507" s="53"/>
      <c r="AF1507" s="53"/>
      <c r="AG1507" s="53"/>
    </row>
    <row r="1508" spans="1:33" s="46" customFormat="1">
      <c r="A1508" s="54"/>
      <c r="B1508" s="16"/>
      <c r="C1508" s="55"/>
      <c r="D1508" s="56"/>
      <c r="E1508" s="16"/>
      <c r="F1508" s="16"/>
      <c r="G1508" s="16"/>
      <c r="H1508" s="54"/>
      <c r="I1508" s="16"/>
      <c r="J1508" s="54"/>
      <c r="K1508" s="42"/>
      <c r="L1508" s="16"/>
      <c r="M1508" s="16"/>
      <c r="AA1508" s="14">
        <f t="shared" si="46"/>
        <v>0</v>
      </c>
      <c r="AB1508" s="47">
        <f t="shared" si="47"/>
        <v>-1</v>
      </c>
      <c r="AD1508" s="53"/>
      <c r="AE1508" s="53"/>
      <c r="AF1508" s="53"/>
      <c r="AG1508" s="53"/>
    </row>
    <row r="1509" spans="1:33" s="46" customFormat="1">
      <c r="A1509" s="54"/>
      <c r="B1509" s="16"/>
      <c r="C1509" s="55"/>
      <c r="D1509" s="56"/>
      <c r="E1509" s="16"/>
      <c r="F1509" s="16"/>
      <c r="G1509" s="16"/>
      <c r="H1509" s="54"/>
      <c r="I1509" s="16"/>
      <c r="J1509" s="54"/>
      <c r="K1509" s="42"/>
      <c r="L1509" s="16"/>
      <c r="M1509" s="16"/>
      <c r="AA1509" s="14">
        <f t="shared" si="46"/>
        <v>0</v>
      </c>
      <c r="AB1509" s="47">
        <f t="shared" si="47"/>
        <v>-1</v>
      </c>
      <c r="AD1509" s="53"/>
      <c r="AE1509" s="53"/>
      <c r="AF1509" s="53"/>
      <c r="AG1509" s="53"/>
    </row>
    <row r="1510" spans="1:33" s="46" customFormat="1">
      <c r="A1510" s="54"/>
      <c r="B1510" s="16"/>
      <c r="C1510" s="55"/>
      <c r="D1510" s="56"/>
      <c r="E1510" s="16"/>
      <c r="F1510" s="16"/>
      <c r="G1510" s="16"/>
      <c r="H1510" s="54"/>
      <c r="I1510" s="16"/>
      <c r="J1510" s="54"/>
      <c r="K1510" s="42"/>
      <c r="L1510" s="16"/>
      <c r="M1510" s="16"/>
      <c r="AA1510" s="14">
        <f t="shared" si="46"/>
        <v>0</v>
      </c>
      <c r="AB1510" s="47">
        <f t="shared" si="47"/>
        <v>-1</v>
      </c>
      <c r="AD1510" s="53"/>
      <c r="AE1510" s="53"/>
      <c r="AF1510" s="53"/>
      <c r="AG1510" s="53"/>
    </row>
    <row r="1511" spans="1:33" s="46" customFormat="1">
      <c r="A1511" s="54"/>
      <c r="B1511" s="16"/>
      <c r="C1511" s="55"/>
      <c r="D1511" s="56"/>
      <c r="E1511" s="16"/>
      <c r="F1511" s="16"/>
      <c r="G1511" s="16"/>
      <c r="H1511" s="54"/>
      <c r="I1511" s="16"/>
      <c r="J1511" s="54"/>
      <c r="K1511" s="42"/>
      <c r="L1511" s="16"/>
      <c r="M1511" s="16"/>
      <c r="AA1511" s="14">
        <f t="shared" si="46"/>
        <v>0</v>
      </c>
      <c r="AB1511" s="47">
        <f t="shared" si="47"/>
        <v>-1</v>
      </c>
      <c r="AD1511" s="53"/>
      <c r="AE1511" s="53"/>
      <c r="AF1511" s="53"/>
      <c r="AG1511" s="53"/>
    </row>
    <row r="1512" spans="1:33" s="46" customFormat="1">
      <c r="A1512" s="54"/>
      <c r="B1512" s="16"/>
      <c r="C1512" s="55"/>
      <c r="D1512" s="56"/>
      <c r="E1512" s="16"/>
      <c r="F1512" s="16"/>
      <c r="G1512" s="16"/>
      <c r="H1512" s="54"/>
      <c r="I1512" s="16"/>
      <c r="J1512" s="54"/>
      <c r="K1512" s="42"/>
      <c r="L1512" s="16"/>
      <c r="M1512" s="16"/>
      <c r="AA1512" s="14">
        <f t="shared" ref="AA1512:AA1575" si="48">C1512-C1511</f>
        <v>0</v>
      </c>
      <c r="AB1512" s="47">
        <f t="shared" ref="AB1512:AB1575" si="49">AA1512-1</f>
        <v>-1</v>
      </c>
      <c r="AD1512" s="53"/>
      <c r="AE1512" s="53"/>
      <c r="AF1512" s="53"/>
      <c r="AG1512" s="53"/>
    </row>
    <row r="1513" spans="1:33" s="46" customFormat="1">
      <c r="A1513" s="54"/>
      <c r="B1513" s="16"/>
      <c r="C1513" s="55"/>
      <c r="D1513" s="56"/>
      <c r="E1513" s="16"/>
      <c r="F1513" s="16"/>
      <c r="G1513" s="16"/>
      <c r="H1513" s="54"/>
      <c r="I1513" s="16"/>
      <c r="J1513" s="54"/>
      <c r="K1513" s="42"/>
      <c r="L1513" s="16"/>
      <c r="M1513" s="16"/>
      <c r="AA1513" s="14">
        <f t="shared" si="48"/>
        <v>0</v>
      </c>
      <c r="AB1513" s="47">
        <f t="shared" si="49"/>
        <v>-1</v>
      </c>
      <c r="AD1513" s="53"/>
      <c r="AE1513" s="53"/>
      <c r="AF1513" s="53"/>
      <c r="AG1513" s="53"/>
    </row>
    <row r="1514" spans="1:33" s="46" customFormat="1">
      <c r="A1514" s="54"/>
      <c r="B1514" s="16"/>
      <c r="C1514" s="55"/>
      <c r="D1514" s="56"/>
      <c r="E1514" s="16"/>
      <c r="F1514" s="16"/>
      <c r="G1514" s="16"/>
      <c r="H1514" s="54"/>
      <c r="I1514" s="16"/>
      <c r="J1514" s="54"/>
      <c r="K1514" s="42"/>
      <c r="L1514" s="16"/>
      <c r="M1514" s="16"/>
      <c r="AA1514" s="14">
        <f t="shared" si="48"/>
        <v>0</v>
      </c>
      <c r="AB1514" s="47">
        <f t="shared" si="49"/>
        <v>-1</v>
      </c>
      <c r="AD1514" s="53"/>
      <c r="AE1514" s="53"/>
      <c r="AF1514" s="53"/>
      <c r="AG1514" s="53"/>
    </row>
    <row r="1515" spans="1:33" s="46" customFormat="1">
      <c r="A1515" s="54"/>
      <c r="B1515" s="16"/>
      <c r="C1515" s="55"/>
      <c r="D1515" s="56"/>
      <c r="E1515" s="16"/>
      <c r="F1515" s="16"/>
      <c r="G1515" s="16"/>
      <c r="H1515" s="54"/>
      <c r="I1515" s="16"/>
      <c r="J1515" s="54"/>
      <c r="K1515" s="42"/>
      <c r="L1515" s="16"/>
      <c r="M1515" s="16"/>
      <c r="AA1515" s="14">
        <f t="shared" si="48"/>
        <v>0</v>
      </c>
      <c r="AB1515" s="47">
        <f t="shared" si="49"/>
        <v>-1</v>
      </c>
      <c r="AD1515" s="53"/>
      <c r="AE1515" s="53"/>
      <c r="AF1515" s="53"/>
      <c r="AG1515" s="53"/>
    </row>
    <row r="1516" spans="1:33" s="46" customFormat="1">
      <c r="A1516" s="54"/>
      <c r="B1516" s="16"/>
      <c r="C1516" s="55"/>
      <c r="D1516" s="56"/>
      <c r="E1516" s="16"/>
      <c r="F1516" s="16"/>
      <c r="G1516" s="16"/>
      <c r="H1516" s="54"/>
      <c r="I1516" s="16"/>
      <c r="J1516" s="54"/>
      <c r="K1516" s="42"/>
      <c r="L1516" s="16"/>
      <c r="M1516" s="16"/>
      <c r="AA1516" s="14">
        <f t="shared" si="48"/>
        <v>0</v>
      </c>
      <c r="AB1516" s="47">
        <f t="shared" si="49"/>
        <v>-1</v>
      </c>
      <c r="AD1516" s="53"/>
      <c r="AE1516" s="53"/>
      <c r="AF1516" s="53"/>
      <c r="AG1516" s="53"/>
    </row>
    <row r="1517" spans="1:33" s="46" customFormat="1">
      <c r="A1517" s="54"/>
      <c r="B1517" s="16"/>
      <c r="C1517" s="55"/>
      <c r="D1517" s="56"/>
      <c r="E1517" s="16"/>
      <c r="F1517" s="16"/>
      <c r="G1517" s="16"/>
      <c r="H1517" s="54"/>
      <c r="I1517" s="16"/>
      <c r="J1517" s="54"/>
      <c r="K1517" s="42"/>
      <c r="L1517" s="16"/>
      <c r="M1517" s="16"/>
      <c r="AA1517" s="14">
        <f t="shared" si="48"/>
        <v>0</v>
      </c>
      <c r="AB1517" s="47">
        <f t="shared" si="49"/>
        <v>-1</v>
      </c>
      <c r="AD1517" s="53"/>
      <c r="AE1517" s="53"/>
      <c r="AF1517" s="53"/>
      <c r="AG1517" s="53"/>
    </row>
    <row r="1518" spans="1:33" s="46" customFormat="1">
      <c r="A1518" s="54"/>
      <c r="B1518" s="16"/>
      <c r="C1518" s="55"/>
      <c r="D1518" s="56"/>
      <c r="E1518" s="16"/>
      <c r="F1518" s="16"/>
      <c r="G1518" s="16"/>
      <c r="H1518" s="54"/>
      <c r="I1518" s="16"/>
      <c r="J1518" s="54"/>
      <c r="K1518" s="42"/>
      <c r="L1518" s="16"/>
      <c r="M1518" s="16"/>
      <c r="AA1518" s="14">
        <f t="shared" si="48"/>
        <v>0</v>
      </c>
      <c r="AB1518" s="47">
        <f t="shared" si="49"/>
        <v>-1</v>
      </c>
      <c r="AD1518" s="53"/>
      <c r="AE1518" s="53"/>
      <c r="AF1518" s="53"/>
      <c r="AG1518" s="53"/>
    </row>
    <row r="1519" spans="1:33" s="46" customFormat="1">
      <c r="A1519" s="54"/>
      <c r="B1519" s="16"/>
      <c r="C1519" s="55"/>
      <c r="D1519" s="56"/>
      <c r="E1519" s="16"/>
      <c r="F1519" s="16"/>
      <c r="G1519" s="16"/>
      <c r="H1519" s="54"/>
      <c r="I1519" s="16"/>
      <c r="J1519" s="54"/>
      <c r="K1519" s="42"/>
      <c r="L1519" s="16"/>
      <c r="M1519" s="16"/>
      <c r="AA1519" s="14">
        <f t="shared" si="48"/>
        <v>0</v>
      </c>
      <c r="AB1519" s="47">
        <f t="shared" si="49"/>
        <v>-1</v>
      </c>
      <c r="AD1519" s="53"/>
      <c r="AE1519" s="53"/>
      <c r="AF1519" s="53"/>
      <c r="AG1519" s="53"/>
    </row>
    <row r="1520" spans="1:33" s="46" customFormat="1">
      <c r="A1520" s="54"/>
      <c r="B1520" s="16"/>
      <c r="C1520" s="55"/>
      <c r="D1520" s="56"/>
      <c r="E1520" s="16"/>
      <c r="F1520" s="16"/>
      <c r="G1520" s="16"/>
      <c r="H1520" s="54"/>
      <c r="I1520" s="16"/>
      <c r="J1520" s="54"/>
      <c r="K1520" s="42"/>
      <c r="L1520" s="16"/>
      <c r="M1520" s="16"/>
      <c r="AA1520" s="14">
        <f t="shared" si="48"/>
        <v>0</v>
      </c>
      <c r="AB1520" s="47">
        <f t="shared" si="49"/>
        <v>-1</v>
      </c>
      <c r="AD1520" s="53"/>
      <c r="AE1520" s="53"/>
      <c r="AF1520" s="53"/>
      <c r="AG1520" s="53"/>
    </row>
    <row r="1521" spans="1:33" s="46" customFormat="1">
      <c r="A1521" s="54"/>
      <c r="B1521" s="16"/>
      <c r="C1521" s="55"/>
      <c r="D1521" s="56"/>
      <c r="E1521" s="16"/>
      <c r="F1521" s="16"/>
      <c r="G1521" s="16"/>
      <c r="H1521" s="54"/>
      <c r="I1521" s="16"/>
      <c r="J1521" s="54"/>
      <c r="K1521" s="42"/>
      <c r="L1521" s="16"/>
      <c r="M1521" s="16"/>
      <c r="AA1521" s="14">
        <f t="shared" si="48"/>
        <v>0</v>
      </c>
      <c r="AB1521" s="47">
        <f t="shared" si="49"/>
        <v>-1</v>
      </c>
      <c r="AD1521" s="53"/>
      <c r="AE1521" s="53"/>
      <c r="AF1521" s="53"/>
      <c r="AG1521" s="53"/>
    </row>
    <row r="1522" spans="1:33" s="46" customFormat="1">
      <c r="A1522" s="54"/>
      <c r="B1522" s="16"/>
      <c r="C1522" s="55"/>
      <c r="D1522" s="56"/>
      <c r="E1522" s="16"/>
      <c r="F1522" s="16"/>
      <c r="G1522" s="16"/>
      <c r="H1522" s="54"/>
      <c r="I1522" s="16"/>
      <c r="J1522" s="54"/>
      <c r="K1522" s="42"/>
      <c r="L1522" s="16"/>
      <c r="M1522" s="16"/>
      <c r="AA1522" s="14">
        <f t="shared" si="48"/>
        <v>0</v>
      </c>
      <c r="AB1522" s="47">
        <f t="shared" si="49"/>
        <v>-1</v>
      </c>
      <c r="AD1522" s="53"/>
      <c r="AE1522" s="53"/>
      <c r="AF1522" s="53"/>
      <c r="AG1522" s="53"/>
    </row>
    <row r="1523" spans="1:33" s="46" customFormat="1">
      <c r="A1523" s="54"/>
      <c r="B1523" s="16"/>
      <c r="C1523" s="55"/>
      <c r="D1523" s="56"/>
      <c r="E1523" s="16"/>
      <c r="F1523" s="16"/>
      <c r="G1523" s="16"/>
      <c r="H1523" s="54"/>
      <c r="I1523" s="16"/>
      <c r="J1523" s="54"/>
      <c r="K1523" s="42"/>
      <c r="L1523" s="16"/>
      <c r="M1523" s="16"/>
      <c r="AA1523" s="14">
        <f t="shared" si="48"/>
        <v>0</v>
      </c>
      <c r="AB1523" s="47">
        <f t="shared" si="49"/>
        <v>-1</v>
      </c>
      <c r="AD1523" s="53"/>
      <c r="AE1523" s="53"/>
      <c r="AF1523" s="53"/>
      <c r="AG1523" s="53"/>
    </row>
    <row r="1524" spans="1:33" s="46" customFormat="1">
      <c r="A1524" s="54"/>
      <c r="B1524" s="16"/>
      <c r="C1524" s="55"/>
      <c r="D1524" s="56"/>
      <c r="E1524" s="16"/>
      <c r="F1524" s="16"/>
      <c r="G1524" s="16"/>
      <c r="H1524" s="54"/>
      <c r="I1524" s="16"/>
      <c r="J1524" s="54"/>
      <c r="K1524" s="42"/>
      <c r="L1524" s="16"/>
      <c r="M1524" s="16"/>
      <c r="AA1524" s="14">
        <f t="shared" si="48"/>
        <v>0</v>
      </c>
      <c r="AB1524" s="47">
        <f t="shared" si="49"/>
        <v>-1</v>
      </c>
      <c r="AD1524" s="53"/>
      <c r="AE1524" s="53"/>
      <c r="AF1524" s="53"/>
      <c r="AG1524" s="53"/>
    </row>
    <row r="1525" spans="1:33" s="46" customFormat="1">
      <c r="A1525" s="54"/>
      <c r="B1525" s="16"/>
      <c r="C1525" s="55"/>
      <c r="D1525" s="56"/>
      <c r="E1525" s="16"/>
      <c r="F1525" s="16"/>
      <c r="G1525" s="16"/>
      <c r="H1525" s="54"/>
      <c r="I1525" s="16"/>
      <c r="J1525" s="54"/>
      <c r="K1525" s="42"/>
      <c r="L1525" s="16"/>
      <c r="M1525" s="16"/>
      <c r="AA1525" s="14">
        <f t="shared" si="48"/>
        <v>0</v>
      </c>
      <c r="AB1525" s="47">
        <f t="shared" si="49"/>
        <v>-1</v>
      </c>
      <c r="AD1525" s="53"/>
      <c r="AE1525" s="53"/>
      <c r="AF1525" s="53"/>
      <c r="AG1525" s="53"/>
    </row>
    <row r="1526" spans="1:33" s="46" customFormat="1">
      <c r="A1526" s="54"/>
      <c r="B1526" s="16"/>
      <c r="C1526" s="55"/>
      <c r="D1526" s="56"/>
      <c r="E1526" s="16"/>
      <c r="F1526" s="16"/>
      <c r="G1526" s="16"/>
      <c r="H1526" s="54"/>
      <c r="I1526" s="16"/>
      <c r="J1526" s="54"/>
      <c r="K1526" s="42"/>
      <c r="L1526" s="16"/>
      <c r="M1526" s="16"/>
      <c r="AA1526" s="14">
        <f t="shared" si="48"/>
        <v>0</v>
      </c>
      <c r="AB1526" s="47">
        <f t="shared" si="49"/>
        <v>-1</v>
      </c>
      <c r="AD1526" s="53"/>
      <c r="AE1526" s="53"/>
      <c r="AF1526" s="53"/>
      <c r="AG1526" s="53"/>
    </row>
    <row r="1527" spans="1:33" s="46" customFormat="1">
      <c r="A1527" s="54"/>
      <c r="B1527" s="16"/>
      <c r="C1527" s="55"/>
      <c r="D1527" s="56"/>
      <c r="E1527" s="16"/>
      <c r="F1527" s="16"/>
      <c r="G1527" s="16"/>
      <c r="H1527" s="54"/>
      <c r="I1527" s="16"/>
      <c r="J1527" s="54"/>
      <c r="K1527" s="42"/>
      <c r="L1527" s="16"/>
      <c r="M1527" s="16"/>
      <c r="AA1527" s="14">
        <f t="shared" si="48"/>
        <v>0</v>
      </c>
      <c r="AB1527" s="47">
        <f t="shared" si="49"/>
        <v>-1</v>
      </c>
      <c r="AD1527" s="53"/>
      <c r="AE1527" s="53"/>
      <c r="AF1527" s="53"/>
      <c r="AG1527" s="53"/>
    </row>
    <row r="1528" spans="1:33" s="46" customFormat="1">
      <c r="A1528" s="54"/>
      <c r="B1528" s="16"/>
      <c r="C1528" s="55"/>
      <c r="D1528" s="56"/>
      <c r="E1528" s="16"/>
      <c r="F1528" s="16"/>
      <c r="G1528" s="16"/>
      <c r="H1528" s="54"/>
      <c r="I1528" s="16"/>
      <c r="J1528" s="54"/>
      <c r="K1528" s="42"/>
      <c r="L1528" s="16"/>
      <c r="M1528" s="16"/>
      <c r="AA1528" s="14">
        <f t="shared" si="48"/>
        <v>0</v>
      </c>
      <c r="AB1528" s="47">
        <f t="shared" si="49"/>
        <v>-1</v>
      </c>
      <c r="AD1528" s="53"/>
      <c r="AE1528" s="53"/>
      <c r="AF1528" s="53"/>
      <c r="AG1528" s="53"/>
    </row>
    <row r="1529" spans="1:33" s="46" customFormat="1">
      <c r="A1529" s="54"/>
      <c r="B1529" s="16"/>
      <c r="C1529" s="55"/>
      <c r="D1529" s="56"/>
      <c r="E1529" s="16"/>
      <c r="F1529" s="16"/>
      <c r="G1529" s="16"/>
      <c r="H1529" s="54"/>
      <c r="I1529" s="16"/>
      <c r="J1529" s="54"/>
      <c r="K1529" s="42"/>
      <c r="L1529" s="16"/>
      <c r="M1529" s="16"/>
      <c r="AA1529" s="14">
        <f t="shared" si="48"/>
        <v>0</v>
      </c>
      <c r="AB1529" s="47">
        <f t="shared" si="49"/>
        <v>-1</v>
      </c>
      <c r="AD1529" s="53"/>
      <c r="AE1529" s="53"/>
      <c r="AF1529" s="53"/>
      <c r="AG1529" s="53"/>
    </row>
    <row r="1530" spans="1:33" s="46" customFormat="1">
      <c r="A1530" s="54"/>
      <c r="B1530" s="16"/>
      <c r="C1530" s="55"/>
      <c r="D1530" s="56"/>
      <c r="E1530" s="16"/>
      <c r="F1530" s="16"/>
      <c r="G1530" s="16"/>
      <c r="H1530" s="54"/>
      <c r="I1530" s="16"/>
      <c r="J1530" s="54"/>
      <c r="K1530" s="42"/>
      <c r="L1530" s="16"/>
      <c r="M1530" s="16"/>
      <c r="AA1530" s="14">
        <f t="shared" si="48"/>
        <v>0</v>
      </c>
      <c r="AB1530" s="47">
        <f t="shared" si="49"/>
        <v>-1</v>
      </c>
      <c r="AD1530" s="53"/>
      <c r="AE1530" s="53"/>
      <c r="AF1530" s="53"/>
      <c r="AG1530" s="53"/>
    </row>
    <row r="1531" spans="1:33" s="46" customFormat="1">
      <c r="A1531" s="54"/>
      <c r="B1531" s="16"/>
      <c r="C1531" s="55"/>
      <c r="D1531" s="56"/>
      <c r="E1531" s="16"/>
      <c r="F1531" s="16"/>
      <c r="G1531" s="16"/>
      <c r="H1531" s="54"/>
      <c r="I1531" s="16"/>
      <c r="J1531" s="54"/>
      <c r="K1531" s="42"/>
      <c r="L1531" s="16"/>
      <c r="M1531" s="16"/>
      <c r="AA1531" s="14">
        <f t="shared" si="48"/>
        <v>0</v>
      </c>
      <c r="AB1531" s="47">
        <f t="shared" si="49"/>
        <v>-1</v>
      </c>
      <c r="AD1531" s="53"/>
      <c r="AE1531" s="53"/>
      <c r="AF1531" s="53"/>
      <c r="AG1531" s="53"/>
    </row>
    <row r="1532" spans="1:33" s="46" customFormat="1">
      <c r="A1532" s="54"/>
      <c r="B1532" s="16"/>
      <c r="C1532" s="55"/>
      <c r="D1532" s="56"/>
      <c r="E1532" s="16"/>
      <c r="F1532" s="16"/>
      <c r="G1532" s="16"/>
      <c r="H1532" s="54"/>
      <c r="I1532" s="16"/>
      <c r="J1532" s="54"/>
      <c r="K1532" s="42"/>
      <c r="L1532" s="16"/>
      <c r="M1532" s="16"/>
      <c r="AA1532" s="14">
        <f t="shared" si="48"/>
        <v>0</v>
      </c>
      <c r="AB1532" s="47">
        <f t="shared" si="49"/>
        <v>-1</v>
      </c>
      <c r="AD1532" s="53"/>
      <c r="AE1532" s="53"/>
      <c r="AF1532" s="53"/>
      <c r="AG1532" s="53"/>
    </row>
    <row r="1533" spans="1:33" s="46" customFormat="1">
      <c r="A1533" s="54"/>
      <c r="B1533" s="16"/>
      <c r="C1533" s="55"/>
      <c r="D1533" s="56"/>
      <c r="E1533" s="16"/>
      <c r="F1533" s="16"/>
      <c r="G1533" s="16"/>
      <c r="H1533" s="54"/>
      <c r="I1533" s="16"/>
      <c r="J1533" s="54"/>
      <c r="K1533" s="42"/>
      <c r="L1533" s="16"/>
      <c r="M1533" s="16"/>
      <c r="AA1533" s="14">
        <f t="shared" si="48"/>
        <v>0</v>
      </c>
      <c r="AB1533" s="47">
        <f t="shared" si="49"/>
        <v>-1</v>
      </c>
      <c r="AD1533" s="53"/>
      <c r="AE1533" s="53"/>
      <c r="AF1533" s="53"/>
      <c r="AG1533" s="53"/>
    </row>
    <row r="1534" spans="1:33" s="46" customFormat="1">
      <c r="A1534" s="54"/>
      <c r="B1534" s="16"/>
      <c r="C1534" s="55"/>
      <c r="D1534" s="56"/>
      <c r="E1534" s="16"/>
      <c r="F1534" s="16"/>
      <c r="G1534" s="16"/>
      <c r="H1534" s="54"/>
      <c r="I1534" s="16"/>
      <c r="J1534" s="54"/>
      <c r="K1534" s="42"/>
      <c r="L1534" s="16"/>
      <c r="M1534" s="16"/>
      <c r="AA1534" s="14">
        <f t="shared" si="48"/>
        <v>0</v>
      </c>
      <c r="AB1534" s="47">
        <f t="shared" si="49"/>
        <v>-1</v>
      </c>
      <c r="AD1534" s="53"/>
      <c r="AE1534" s="53"/>
      <c r="AF1534" s="53"/>
      <c r="AG1534" s="53"/>
    </row>
    <row r="1535" spans="1:33" s="46" customFormat="1">
      <c r="A1535" s="54"/>
      <c r="B1535" s="16"/>
      <c r="C1535" s="55"/>
      <c r="D1535" s="56"/>
      <c r="E1535" s="16"/>
      <c r="F1535" s="16"/>
      <c r="G1535" s="16"/>
      <c r="H1535" s="54"/>
      <c r="I1535" s="16"/>
      <c r="J1535" s="54"/>
      <c r="K1535" s="42"/>
      <c r="L1535" s="16"/>
      <c r="M1535" s="16"/>
      <c r="AA1535" s="14">
        <f t="shared" si="48"/>
        <v>0</v>
      </c>
      <c r="AB1535" s="47">
        <f t="shared" si="49"/>
        <v>-1</v>
      </c>
      <c r="AD1535" s="53"/>
      <c r="AE1535" s="53"/>
      <c r="AF1535" s="53"/>
      <c r="AG1535" s="53"/>
    </row>
    <row r="1536" spans="1:33" s="46" customFormat="1">
      <c r="A1536" s="54"/>
      <c r="B1536" s="16"/>
      <c r="C1536" s="55"/>
      <c r="D1536" s="56"/>
      <c r="E1536" s="16"/>
      <c r="F1536" s="16"/>
      <c r="G1536" s="16"/>
      <c r="H1536" s="54"/>
      <c r="I1536" s="16"/>
      <c r="J1536" s="54"/>
      <c r="K1536" s="42"/>
      <c r="L1536" s="16"/>
      <c r="M1536" s="16"/>
      <c r="AA1536" s="14">
        <f t="shared" si="48"/>
        <v>0</v>
      </c>
      <c r="AB1536" s="47">
        <f t="shared" si="49"/>
        <v>-1</v>
      </c>
      <c r="AD1536" s="53"/>
      <c r="AE1536" s="53"/>
      <c r="AF1536" s="53"/>
      <c r="AG1536" s="53"/>
    </row>
    <row r="1537" spans="1:33" s="46" customFormat="1">
      <c r="A1537" s="54"/>
      <c r="B1537" s="16"/>
      <c r="C1537" s="55"/>
      <c r="D1537" s="56"/>
      <c r="E1537" s="16"/>
      <c r="F1537" s="16"/>
      <c r="G1537" s="16"/>
      <c r="H1537" s="54"/>
      <c r="I1537" s="16"/>
      <c r="J1537" s="54"/>
      <c r="K1537" s="42"/>
      <c r="L1537" s="16"/>
      <c r="M1537" s="16"/>
      <c r="AA1537" s="14">
        <f t="shared" si="48"/>
        <v>0</v>
      </c>
      <c r="AB1537" s="47">
        <f t="shared" si="49"/>
        <v>-1</v>
      </c>
      <c r="AD1537" s="53"/>
      <c r="AE1537" s="53"/>
      <c r="AF1537" s="53"/>
      <c r="AG1537" s="53"/>
    </row>
    <row r="1538" spans="1:33" s="46" customFormat="1">
      <c r="A1538" s="54"/>
      <c r="B1538" s="16"/>
      <c r="C1538" s="55"/>
      <c r="D1538" s="56"/>
      <c r="E1538" s="16"/>
      <c r="F1538" s="16"/>
      <c r="G1538" s="16"/>
      <c r="H1538" s="54"/>
      <c r="I1538" s="16"/>
      <c r="J1538" s="54"/>
      <c r="K1538" s="42"/>
      <c r="L1538" s="16"/>
      <c r="M1538" s="16"/>
      <c r="AA1538" s="14">
        <f t="shared" si="48"/>
        <v>0</v>
      </c>
      <c r="AB1538" s="47">
        <f t="shared" si="49"/>
        <v>-1</v>
      </c>
      <c r="AD1538" s="53"/>
      <c r="AE1538" s="53"/>
      <c r="AF1538" s="53"/>
      <c r="AG1538" s="53"/>
    </row>
    <row r="1539" spans="1:33" s="46" customFormat="1">
      <c r="A1539" s="54"/>
      <c r="B1539" s="16"/>
      <c r="C1539" s="55"/>
      <c r="D1539" s="56"/>
      <c r="E1539" s="16"/>
      <c r="F1539" s="16"/>
      <c r="G1539" s="16"/>
      <c r="H1539" s="54"/>
      <c r="I1539" s="16"/>
      <c r="J1539" s="54"/>
      <c r="K1539" s="42"/>
      <c r="L1539" s="16"/>
      <c r="M1539" s="16"/>
      <c r="AA1539" s="14">
        <f t="shared" si="48"/>
        <v>0</v>
      </c>
      <c r="AB1539" s="47">
        <f t="shared" si="49"/>
        <v>-1</v>
      </c>
      <c r="AD1539" s="53"/>
      <c r="AE1539" s="53"/>
      <c r="AF1539" s="53"/>
      <c r="AG1539" s="53"/>
    </row>
    <row r="1540" spans="1:33" s="46" customFormat="1">
      <c r="A1540" s="54"/>
      <c r="B1540" s="16"/>
      <c r="C1540" s="55"/>
      <c r="D1540" s="56"/>
      <c r="E1540" s="16"/>
      <c r="F1540" s="16"/>
      <c r="G1540" s="16"/>
      <c r="H1540" s="54"/>
      <c r="I1540" s="16"/>
      <c r="J1540" s="54"/>
      <c r="K1540" s="42"/>
      <c r="L1540" s="16"/>
      <c r="M1540" s="16"/>
      <c r="AA1540" s="14">
        <f t="shared" si="48"/>
        <v>0</v>
      </c>
      <c r="AB1540" s="47">
        <f t="shared" si="49"/>
        <v>-1</v>
      </c>
      <c r="AD1540" s="53"/>
      <c r="AE1540" s="53"/>
      <c r="AF1540" s="53"/>
      <c r="AG1540" s="53"/>
    </row>
    <row r="1541" spans="1:33" s="46" customFormat="1">
      <c r="A1541" s="54"/>
      <c r="B1541" s="16"/>
      <c r="C1541" s="55"/>
      <c r="D1541" s="56"/>
      <c r="E1541" s="16"/>
      <c r="F1541" s="16"/>
      <c r="G1541" s="16"/>
      <c r="H1541" s="54"/>
      <c r="I1541" s="16"/>
      <c r="J1541" s="54"/>
      <c r="K1541" s="42"/>
      <c r="L1541" s="16"/>
      <c r="M1541" s="16"/>
      <c r="AA1541" s="14">
        <f t="shared" si="48"/>
        <v>0</v>
      </c>
      <c r="AB1541" s="47">
        <f t="shared" si="49"/>
        <v>-1</v>
      </c>
      <c r="AD1541" s="53"/>
      <c r="AE1541" s="53"/>
      <c r="AF1541" s="53"/>
      <c r="AG1541" s="53"/>
    </row>
    <row r="1542" spans="1:33" s="46" customFormat="1">
      <c r="A1542" s="54"/>
      <c r="B1542" s="16"/>
      <c r="C1542" s="55"/>
      <c r="D1542" s="56"/>
      <c r="E1542" s="16"/>
      <c r="F1542" s="16"/>
      <c r="G1542" s="16"/>
      <c r="H1542" s="54"/>
      <c r="I1542" s="16"/>
      <c r="J1542" s="54"/>
      <c r="K1542" s="42"/>
      <c r="L1542" s="16"/>
      <c r="M1542" s="16"/>
      <c r="AA1542" s="14">
        <f t="shared" si="48"/>
        <v>0</v>
      </c>
      <c r="AB1542" s="47">
        <f t="shared" si="49"/>
        <v>-1</v>
      </c>
      <c r="AD1542" s="53"/>
      <c r="AE1542" s="53"/>
      <c r="AF1542" s="53"/>
      <c r="AG1542" s="53"/>
    </row>
    <row r="1543" spans="1:33" s="46" customFormat="1">
      <c r="A1543" s="54"/>
      <c r="B1543" s="16"/>
      <c r="C1543" s="55"/>
      <c r="D1543" s="56"/>
      <c r="E1543" s="16"/>
      <c r="F1543" s="16"/>
      <c r="G1543" s="16"/>
      <c r="H1543" s="54"/>
      <c r="I1543" s="16"/>
      <c r="J1543" s="54"/>
      <c r="K1543" s="42"/>
      <c r="L1543" s="16"/>
      <c r="M1543" s="16"/>
      <c r="AA1543" s="14">
        <f t="shared" si="48"/>
        <v>0</v>
      </c>
      <c r="AB1543" s="47">
        <f t="shared" si="49"/>
        <v>-1</v>
      </c>
      <c r="AD1543" s="53"/>
      <c r="AE1543" s="53"/>
      <c r="AF1543" s="53"/>
      <c r="AG1543" s="53"/>
    </row>
    <row r="1544" spans="1:33" s="46" customFormat="1">
      <c r="A1544" s="54"/>
      <c r="B1544" s="16"/>
      <c r="C1544" s="55"/>
      <c r="D1544" s="56"/>
      <c r="E1544" s="16"/>
      <c r="F1544" s="16"/>
      <c r="G1544" s="16"/>
      <c r="H1544" s="54"/>
      <c r="I1544" s="16"/>
      <c r="J1544" s="54"/>
      <c r="K1544" s="42"/>
      <c r="L1544" s="16"/>
      <c r="M1544" s="16"/>
      <c r="AA1544" s="14">
        <f t="shared" si="48"/>
        <v>0</v>
      </c>
      <c r="AB1544" s="47">
        <f t="shared" si="49"/>
        <v>-1</v>
      </c>
      <c r="AD1544" s="53"/>
      <c r="AE1544" s="53"/>
      <c r="AF1544" s="53"/>
      <c r="AG1544" s="53"/>
    </row>
    <row r="1545" spans="1:33" s="46" customFormat="1">
      <c r="A1545" s="54"/>
      <c r="B1545" s="16"/>
      <c r="C1545" s="55"/>
      <c r="D1545" s="56"/>
      <c r="E1545" s="16"/>
      <c r="F1545" s="16"/>
      <c r="G1545" s="16"/>
      <c r="H1545" s="54"/>
      <c r="I1545" s="16"/>
      <c r="J1545" s="54"/>
      <c r="K1545" s="42"/>
      <c r="L1545" s="16"/>
      <c r="M1545" s="16"/>
      <c r="AA1545" s="14">
        <f t="shared" si="48"/>
        <v>0</v>
      </c>
      <c r="AB1545" s="47">
        <f t="shared" si="49"/>
        <v>-1</v>
      </c>
      <c r="AD1545" s="53"/>
      <c r="AE1545" s="53"/>
      <c r="AF1545" s="53"/>
      <c r="AG1545" s="53"/>
    </row>
    <row r="1546" spans="1:33" s="46" customFormat="1">
      <c r="A1546" s="54"/>
      <c r="B1546" s="16"/>
      <c r="C1546" s="55"/>
      <c r="D1546" s="56"/>
      <c r="E1546" s="16"/>
      <c r="F1546" s="16"/>
      <c r="G1546" s="16"/>
      <c r="H1546" s="54"/>
      <c r="I1546" s="16"/>
      <c r="J1546" s="54"/>
      <c r="K1546" s="42"/>
      <c r="L1546" s="16"/>
      <c r="M1546" s="16"/>
      <c r="AA1546" s="14">
        <f t="shared" si="48"/>
        <v>0</v>
      </c>
      <c r="AB1546" s="47">
        <f t="shared" si="49"/>
        <v>-1</v>
      </c>
      <c r="AD1546" s="53"/>
      <c r="AE1546" s="53"/>
      <c r="AF1546" s="53"/>
      <c r="AG1546" s="53"/>
    </row>
    <row r="1547" spans="1:33" s="46" customFormat="1">
      <c r="A1547" s="54"/>
      <c r="B1547" s="16"/>
      <c r="C1547" s="55"/>
      <c r="D1547" s="56"/>
      <c r="E1547" s="16"/>
      <c r="F1547" s="16"/>
      <c r="G1547" s="16"/>
      <c r="H1547" s="54"/>
      <c r="I1547" s="16"/>
      <c r="J1547" s="54"/>
      <c r="K1547" s="42"/>
      <c r="L1547" s="16"/>
      <c r="M1547" s="16"/>
      <c r="AA1547" s="14">
        <f t="shared" si="48"/>
        <v>0</v>
      </c>
      <c r="AB1547" s="47">
        <f t="shared" si="49"/>
        <v>-1</v>
      </c>
      <c r="AD1547" s="53"/>
      <c r="AE1547" s="53"/>
      <c r="AF1547" s="53"/>
      <c r="AG1547" s="53"/>
    </row>
    <row r="1548" spans="1:33" s="46" customFormat="1">
      <c r="A1548" s="54"/>
      <c r="B1548" s="16"/>
      <c r="C1548" s="55"/>
      <c r="D1548" s="56"/>
      <c r="E1548" s="16"/>
      <c r="F1548" s="16"/>
      <c r="G1548" s="16"/>
      <c r="H1548" s="54"/>
      <c r="I1548" s="16"/>
      <c r="J1548" s="54"/>
      <c r="K1548" s="42"/>
      <c r="L1548" s="16"/>
      <c r="M1548" s="16"/>
      <c r="AA1548" s="14">
        <f t="shared" si="48"/>
        <v>0</v>
      </c>
      <c r="AB1548" s="47">
        <f t="shared" si="49"/>
        <v>-1</v>
      </c>
      <c r="AD1548" s="53"/>
      <c r="AE1548" s="53"/>
      <c r="AF1548" s="53"/>
      <c r="AG1548" s="53"/>
    </row>
    <row r="1549" spans="1:33" s="46" customFormat="1">
      <c r="A1549" s="54"/>
      <c r="B1549" s="16"/>
      <c r="C1549" s="55"/>
      <c r="D1549" s="56"/>
      <c r="E1549" s="16"/>
      <c r="F1549" s="16"/>
      <c r="G1549" s="16"/>
      <c r="H1549" s="54"/>
      <c r="I1549" s="16"/>
      <c r="J1549" s="54"/>
      <c r="K1549" s="42"/>
      <c r="L1549" s="16"/>
      <c r="M1549" s="16"/>
      <c r="AA1549" s="14">
        <f t="shared" si="48"/>
        <v>0</v>
      </c>
      <c r="AB1549" s="47">
        <f t="shared" si="49"/>
        <v>-1</v>
      </c>
      <c r="AD1549" s="53"/>
      <c r="AE1549" s="53"/>
      <c r="AF1549" s="53"/>
      <c r="AG1549" s="53"/>
    </row>
    <row r="1550" spans="1:33" s="46" customFormat="1">
      <c r="A1550" s="54"/>
      <c r="B1550" s="16"/>
      <c r="C1550" s="55"/>
      <c r="D1550" s="56"/>
      <c r="E1550" s="16"/>
      <c r="F1550" s="16"/>
      <c r="G1550" s="16"/>
      <c r="H1550" s="54"/>
      <c r="I1550" s="16"/>
      <c r="J1550" s="54"/>
      <c r="K1550" s="42"/>
      <c r="L1550" s="16"/>
      <c r="M1550" s="16"/>
      <c r="AA1550" s="14">
        <f t="shared" si="48"/>
        <v>0</v>
      </c>
      <c r="AB1550" s="47">
        <f t="shared" si="49"/>
        <v>-1</v>
      </c>
      <c r="AD1550" s="53"/>
      <c r="AE1550" s="53"/>
      <c r="AF1550" s="53"/>
      <c r="AG1550" s="53"/>
    </row>
    <row r="1551" spans="1:33" s="46" customFormat="1">
      <c r="A1551" s="54"/>
      <c r="B1551" s="16"/>
      <c r="C1551" s="55"/>
      <c r="D1551" s="56"/>
      <c r="E1551" s="16"/>
      <c r="F1551" s="16"/>
      <c r="G1551" s="16"/>
      <c r="H1551" s="54"/>
      <c r="I1551" s="16"/>
      <c r="J1551" s="54"/>
      <c r="K1551" s="42"/>
      <c r="L1551" s="16"/>
      <c r="M1551" s="16"/>
      <c r="AA1551" s="14">
        <f t="shared" si="48"/>
        <v>0</v>
      </c>
      <c r="AB1551" s="47">
        <f t="shared" si="49"/>
        <v>-1</v>
      </c>
      <c r="AD1551" s="53"/>
      <c r="AE1551" s="53"/>
      <c r="AF1551" s="53"/>
      <c r="AG1551" s="53"/>
    </row>
    <row r="1552" spans="1:33" s="46" customFormat="1">
      <c r="A1552" s="54"/>
      <c r="B1552" s="16"/>
      <c r="C1552" s="55"/>
      <c r="D1552" s="56"/>
      <c r="E1552" s="16"/>
      <c r="F1552" s="16"/>
      <c r="G1552" s="16"/>
      <c r="H1552" s="54"/>
      <c r="I1552" s="16"/>
      <c r="J1552" s="54"/>
      <c r="K1552" s="42"/>
      <c r="L1552" s="16"/>
      <c r="M1552" s="16"/>
      <c r="AA1552" s="14">
        <f t="shared" si="48"/>
        <v>0</v>
      </c>
      <c r="AB1552" s="47">
        <f t="shared" si="49"/>
        <v>-1</v>
      </c>
      <c r="AD1552" s="53"/>
      <c r="AE1552" s="53"/>
      <c r="AF1552" s="53"/>
      <c r="AG1552" s="53"/>
    </row>
    <row r="1553" spans="1:33" s="46" customFormat="1">
      <c r="A1553" s="54"/>
      <c r="B1553" s="16"/>
      <c r="C1553" s="55"/>
      <c r="D1553" s="56"/>
      <c r="E1553" s="16"/>
      <c r="F1553" s="16"/>
      <c r="G1553" s="16"/>
      <c r="H1553" s="54"/>
      <c r="I1553" s="16"/>
      <c r="J1553" s="54"/>
      <c r="K1553" s="42"/>
      <c r="L1553" s="16"/>
      <c r="M1553" s="16"/>
      <c r="AA1553" s="14">
        <f t="shared" si="48"/>
        <v>0</v>
      </c>
      <c r="AB1553" s="47">
        <f t="shared" si="49"/>
        <v>-1</v>
      </c>
      <c r="AD1553" s="53"/>
      <c r="AE1553" s="53"/>
      <c r="AF1553" s="53"/>
      <c r="AG1553" s="53"/>
    </row>
    <row r="1554" spans="1:33" s="46" customFormat="1">
      <c r="A1554" s="54"/>
      <c r="B1554" s="16"/>
      <c r="C1554" s="55"/>
      <c r="D1554" s="56"/>
      <c r="E1554" s="16"/>
      <c r="F1554" s="16"/>
      <c r="G1554" s="16"/>
      <c r="H1554" s="54"/>
      <c r="I1554" s="16"/>
      <c r="J1554" s="54"/>
      <c r="K1554" s="42"/>
      <c r="L1554" s="16"/>
      <c r="M1554" s="16"/>
      <c r="AA1554" s="14">
        <f t="shared" si="48"/>
        <v>0</v>
      </c>
      <c r="AB1554" s="47">
        <f t="shared" si="49"/>
        <v>-1</v>
      </c>
      <c r="AD1554" s="53"/>
      <c r="AE1554" s="53"/>
      <c r="AF1554" s="53"/>
      <c r="AG1554" s="53"/>
    </row>
    <row r="1555" spans="1:33" s="46" customFormat="1">
      <c r="A1555" s="54"/>
      <c r="B1555" s="16"/>
      <c r="C1555" s="55"/>
      <c r="D1555" s="56"/>
      <c r="E1555" s="16"/>
      <c r="F1555" s="16"/>
      <c r="G1555" s="16"/>
      <c r="H1555" s="54"/>
      <c r="I1555" s="16"/>
      <c r="J1555" s="54"/>
      <c r="K1555" s="42"/>
      <c r="L1555" s="16"/>
      <c r="M1555" s="16"/>
      <c r="AA1555" s="14">
        <f t="shared" si="48"/>
        <v>0</v>
      </c>
      <c r="AB1555" s="47">
        <f t="shared" si="49"/>
        <v>-1</v>
      </c>
      <c r="AD1555" s="53"/>
      <c r="AE1555" s="53"/>
      <c r="AF1555" s="53"/>
      <c r="AG1555" s="53"/>
    </row>
    <row r="1556" spans="1:33" s="46" customFormat="1">
      <c r="A1556" s="54"/>
      <c r="B1556" s="16"/>
      <c r="C1556" s="55"/>
      <c r="D1556" s="56"/>
      <c r="E1556" s="16"/>
      <c r="F1556" s="16"/>
      <c r="G1556" s="16"/>
      <c r="H1556" s="54"/>
      <c r="I1556" s="16"/>
      <c r="J1556" s="54"/>
      <c r="K1556" s="42"/>
      <c r="L1556" s="16"/>
      <c r="M1556" s="16"/>
      <c r="AA1556" s="14">
        <f t="shared" si="48"/>
        <v>0</v>
      </c>
      <c r="AB1556" s="47">
        <f t="shared" si="49"/>
        <v>-1</v>
      </c>
      <c r="AD1556" s="53"/>
      <c r="AE1556" s="53"/>
      <c r="AF1556" s="53"/>
      <c r="AG1556" s="53"/>
    </row>
    <row r="1557" spans="1:33" s="46" customFormat="1">
      <c r="A1557" s="54"/>
      <c r="B1557" s="16"/>
      <c r="C1557" s="55"/>
      <c r="D1557" s="56"/>
      <c r="E1557" s="16"/>
      <c r="F1557" s="16"/>
      <c r="G1557" s="16"/>
      <c r="H1557" s="54"/>
      <c r="I1557" s="16"/>
      <c r="J1557" s="54"/>
      <c r="K1557" s="42"/>
      <c r="L1557" s="16"/>
      <c r="M1557" s="16"/>
      <c r="AA1557" s="14">
        <f t="shared" si="48"/>
        <v>0</v>
      </c>
      <c r="AB1557" s="47">
        <f t="shared" si="49"/>
        <v>-1</v>
      </c>
      <c r="AD1557" s="53"/>
      <c r="AE1557" s="53"/>
      <c r="AF1557" s="53"/>
      <c r="AG1557" s="53"/>
    </row>
    <row r="1558" spans="1:33" s="46" customFormat="1">
      <c r="A1558" s="54"/>
      <c r="B1558" s="16"/>
      <c r="C1558" s="55"/>
      <c r="D1558" s="56"/>
      <c r="E1558" s="16"/>
      <c r="F1558" s="16"/>
      <c r="G1558" s="16"/>
      <c r="H1558" s="54"/>
      <c r="I1558" s="16"/>
      <c r="J1558" s="54"/>
      <c r="K1558" s="42"/>
      <c r="L1558" s="16"/>
      <c r="M1558" s="16"/>
      <c r="AA1558" s="14">
        <f t="shared" si="48"/>
        <v>0</v>
      </c>
      <c r="AB1558" s="47">
        <f t="shared" si="49"/>
        <v>-1</v>
      </c>
      <c r="AD1558" s="53"/>
      <c r="AE1558" s="53"/>
      <c r="AF1558" s="53"/>
      <c r="AG1558" s="53"/>
    </row>
    <row r="1559" spans="1:33" s="46" customFormat="1">
      <c r="A1559" s="54"/>
      <c r="B1559" s="16"/>
      <c r="C1559" s="55"/>
      <c r="D1559" s="56"/>
      <c r="E1559" s="16"/>
      <c r="F1559" s="16"/>
      <c r="G1559" s="16"/>
      <c r="H1559" s="54"/>
      <c r="I1559" s="16"/>
      <c r="J1559" s="54"/>
      <c r="K1559" s="42"/>
      <c r="L1559" s="16"/>
      <c r="M1559" s="16"/>
      <c r="AA1559" s="14">
        <f t="shared" si="48"/>
        <v>0</v>
      </c>
      <c r="AB1559" s="47">
        <f t="shared" si="49"/>
        <v>-1</v>
      </c>
      <c r="AD1559" s="53"/>
      <c r="AE1559" s="53"/>
      <c r="AF1559" s="53"/>
      <c r="AG1559" s="53"/>
    </row>
    <row r="1560" spans="1:33" s="46" customFormat="1">
      <c r="A1560" s="54"/>
      <c r="B1560" s="16"/>
      <c r="C1560" s="55"/>
      <c r="D1560" s="56"/>
      <c r="E1560" s="16"/>
      <c r="F1560" s="16"/>
      <c r="G1560" s="16"/>
      <c r="H1560" s="54"/>
      <c r="I1560" s="16"/>
      <c r="J1560" s="54"/>
      <c r="K1560" s="42"/>
      <c r="L1560" s="16"/>
      <c r="M1560" s="16"/>
      <c r="AA1560" s="14">
        <f t="shared" si="48"/>
        <v>0</v>
      </c>
      <c r="AB1560" s="47">
        <f t="shared" si="49"/>
        <v>-1</v>
      </c>
      <c r="AD1560" s="53"/>
      <c r="AE1560" s="53"/>
      <c r="AF1560" s="53"/>
      <c r="AG1560" s="53"/>
    </row>
    <row r="1561" spans="1:33" s="46" customFormat="1">
      <c r="A1561" s="54"/>
      <c r="B1561" s="16"/>
      <c r="C1561" s="55"/>
      <c r="D1561" s="56"/>
      <c r="E1561" s="16"/>
      <c r="F1561" s="16"/>
      <c r="G1561" s="16"/>
      <c r="H1561" s="54"/>
      <c r="I1561" s="16"/>
      <c r="J1561" s="54"/>
      <c r="K1561" s="42"/>
      <c r="L1561" s="16"/>
      <c r="M1561" s="16"/>
      <c r="AA1561" s="14">
        <f t="shared" si="48"/>
        <v>0</v>
      </c>
      <c r="AB1561" s="47">
        <f t="shared" si="49"/>
        <v>-1</v>
      </c>
      <c r="AD1561" s="53"/>
      <c r="AE1561" s="53"/>
      <c r="AF1561" s="53"/>
      <c r="AG1561" s="53"/>
    </row>
    <row r="1562" spans="1:33" s="46" customFormat="1">
      <c r="A1562" s="54"/>
      <c r="B1562" s="16"/>
      <c r="C1562" s="55"/>
      <c r="D1562" s="56"/>
      <c r="E1562" s="16"/>
      <c r="F1562" s="16"/>
      <c r="G1562" s="16"/>
      <c r="H1562" s="54"/>
      <c r="I1562" s="16"/>
      <c r="J1562" s="54"/>
      <c r="K1562" s="42"/>
      <c r="L1562" s="16"/>
      <c r="M1562" s="16"/>
      <c r="AA1562" s="14">
        <f t="shared" si="48"/>
        <v>0</v>
      </c>
      <c r="AB1562" s="47">
        <f t="shared" si="49"/>
        <v>-1</v>
      </c>
      <c r="AD1562" s="53"/>
      <c r="AE1562" s="53"/>
      <c r="AF1562" s="53"/>
      <c r="AG1562" s="53"/>
    </row>
    <row r="1563" spans="1:33" s="46" customFormat="1">
      <c r="A1563" s="54"/>
      <c r="B1563" s="16"/>
      <c r="C1563" s="55"/>
      <c r="D1563" s="56"/>
      <c r="E1563" s="16"/>
      <c r="F1563" s="16"/>
      <c r="G1563" s="16"/>
      <c r="H1563" s="54"/>
      <c r="I1563" s="16"/>
      <c r="J1563" s="54"/>
      <c r="K1563" s="42"/>
      <c r="L1563" s="16"/>
      <c r="M1563" s="16"/>
      <c r="AA1563" s="14">
        <f t="shared" si="48"/>
        <v>0</v>
      </c>
      <c r="AB1563" s="47">
        <f t="shared" si="49"/>
        <v>-1</v>
      </c>
      <c r="AD1563" s="53"/>
      <c r="AE1563" s="53"/>
      <c r="AF1563" s="53"/>
      <c r="AG1563" s="53"/>
    </row>
    <row r="1564" spans="1:33" s="46" customFormat="1">
      <c r="A1564" s="54"/>
      <c r="B1564" s="16"/>
      <c r="C1564" s="55"/>
      <c r="D1564" s="56"/>
      <c r="E1564" s="16"/>
      <c r="F1564" s="16"/>
      <c r="G1564" s="16"/>
      <c r="H1564" s="54"/>
      <c r="I1564" s="16"/>
      <c r="J1564" s="54"/>
      <c r="K1564" s="42"/>
      <c r="L1564" s="16"/>
      <c r="M1564" s="16"/>
      <c r="AA1564" s="14">
        <f t="shared" si="48"/>
        <v>0</v>
      </c>
      <c r="AB1564" s="47">
        <f t="shared" si="49"/>
        <v>-1</v>
      </c>
      <c r="AD1564" s="53"/>
      <c r="AE1564" s="53"/>
      <c r="AF1564" s="53"/>
      <c r="AG1564" s="53"/>
    </row>
    <row r="1565" spans="1:33" s="46" customFormat="1">
      <c r="A1565" s="54"/>
      <c r="B1565" s="16"/>
      <c r="C1565" s="55"/>
      <c r="D1565" s="56"/>
      <c r="E1565" s="16"/>
      <c r="F1565" s="16"/>
      <c r="G1565" s="16"/>
      <c r="H1565" s="54"/>
      <c r="I1565" s="16"/>
      <c r="J1565" s="54"/>
      <c r="K1565" s="42"/>
      <c r="L1565" s="16"/>
      <c r="M1565" s="16"/>
      <c r="AA1565" s="14">
        <f t="shared" si="48"/>
        <v>0</v>
      </c>
      <c r="AB1565" s="47">
        <f t="shared" si="49"/>
        <v>-1</v>
      </c>
      <c r="AD1565" s="53"/>
      <c r="AE1565" s="53"/>
      <c r="AF1565" s="53"/>
      <c r="AG1565" s="53"/>
    </row>
    <row r="1566" spans="1:33" s="46" customFormat="1">
      <c r="A1566" s="54"/>
      <c r="B1566" s="16"/>
      <c r="C1566" s="55"/>
      <c r="D1566" s="56"/>
      <c r="E1566" s="16"/>
      <c r="F1566" s="16"/>
      <c r="G1566" s="16"/>
      <c r="H1566" s="54"/>
      <c r="I1566" s="16"/>
      <c r="J1566" s="54"/>
      <c r="K1566" s="42"/>
      <c r="L1566" s="16"/>
      <c r="M1566" s="16"/>
      <c r="AA1566" s="14">
        <f t="shared" si="48"/>
        <v>0</v>
      </c>
      <c r="AB1566" s="47">
        <f t="shared" si="49"/>
        <v>-1</v>
      </c>
      <c r="AD1566" s="53"/>
      <c r="AE1566" s="53"/>
      <c r="AF1566" s="53"/>
      <c r="AG1566" s="53"/>
    </row>
    <row r="1567" spans="1:33" s="46" customFormat="1">
      <c r="A1567" s="54"/>
      <c r="B1567" s="16"/>
      <c r="C1567" s="55"/>
      <c r="D1567" s="56"/>
      <c r="E1567" s="16"/>
      <c r="F1567" s="16"/>
      <c r="G1567" s="16"/>
      <c r="H1567" s="54"/>
      <c r="I1567" s="16"/>
      <c r="J1567" s="54"/>
      <c r="K1567" s="42"/>
      <c r="L1567" s="16"/>
      <c r="M1567" s="16"/>
      <c r="AA1567" s="14">
        <f t="shared" si="48"/>
        <v>0</v>
      </c>
      <c r="AB1567" s="47">
        <f t="shared" si="49"/>
        <v>-1</v>
      </c>
      <c r="AD1567" s="53"/>
      <c r="AE1567" s="53"/>
      <c r="AF1567" s="53"/>
      <c r="AG1567" s="53"/>
    </row>
    <row r="1568" spans="1:33" s="46" customFormat="1">
      <c r="A1568" s="54"/>
      <c r="B1568" s="16"/>
      <c r="C1568" s="55"/>
      <c r="D1568" s="56"/>
      <c r="E1568" s="16"/>
      <c r="F1568" s="16"/>
      <c r="G1568" s="16"/>
      <c r="H1568" s="54"/>
      <c r="I1568" s="16"/>
      <c r="J1568" s="54"/>
      <c r="K1568" s="42"/>
      <c r="L1568" s="16"/>
      <c r="M1568" s="16"/>
      <c r="AA1568" s="14">
        <f t="shared" si="48"/>
        <v>0</v>
      </c>
      <c r="AB1568" s="47">
        <f t="shared" si="49"/>
        <v>-1</v>
      </c>
      <c r="AD1568" s="53"/>
      <c r="AE1568" s="53"/>
      <c r="AF1568" s="53"/>
      <c r="AG1568" s="53"/>
    </row>
    <row r="1569" spans="1:33" s="46" customFormat="1">
      <c r="A1569" s="54"/>
      <c r="B1569" s="16"/>
      <c r="C1569" s="55"/>
      <c r="D1569" s="56"/>
      <c r="E1569" s="16"/>
      <c r="F1569" s="16"/>
      <c r="G1569" s="16"/>
      <c r="H1569" s="54"/>
      <c r="I1569" s="16"/>
      <c r="J1569" s="54"/>
      <c r="K1569" s="42"/>
      <c r="L1569" s="16"/>
      <c r="M1569" s="16"/>
      <c r="AA1569" s="14">
        <f t="shared" si="48"/>
        <v>0</v>
      </c>
      <c r="AB1569" s="47">
        <f t="shared" si="49"/>
        <v>-1</v>
      </c>
      <c r="AD1569" s="53"/>
      <c r="AE1569" s="53"/>
      <c r="AF1569" s="53"/>
      <c r="AG1569" s="53"/>
    </row>
    <row r="1570" spans="1:33" s="46" customFormat="1">
      <c r="A1570" s="54"/>
      <c r="B1570" s="16"/>
      <c r="C1570" s="55"/>
      <c r="D1570" s="56"/>
      <c r="E1570" s="16"/>
      <c r="F1570" s="16"/>
      <c r="G1570" s="16"/>
      <c r="H1570" s="54"/>
      <c r="I1570" s="16"/>
      <c r="J1570" s="54"/>
      <c r="K1570" s="42"/>
      <c r="L1570" s="16"/>
      <c r="M1570" s="16"/>
      <c r="AA1570" s="14">
        <f t="shared" si="48"/>
        <v>0</v>
      </c>
      <c r="AB1570" s="47">
        <f t="shared" si="49"/>
        <v>-1</v>
      </c>
      <c r="AD1570" s="53"/>
      <c r="AE1570" s="53"/>
      <c r="AF1570" s="53"/>
      <c r="AG1570" s="53"/>
    </row>
    <row r="1571" spans="1:33" s="46" customFormat="1">
      <c r="A1571" s="54"/>
      <c r="B1571" s="16"/>
      <c r="C1571" s="55"/>
      <c r="D1571" s="56"/>
      <c r="E1571" s="16"/>
      <c r="F1571" s="16"/>
      <c r="G1571" s="16"/>
      <c r="H1571" s="54"/>
      <c r="I1571" s="16"/>
      <c r="J1571" s="54"/>
      <c r="K1571" s="42"/>
      <c r="L1571" s="16"/>
      <c r="M1571" s="16"/>
      <c r="AA1571" s="14">
        <f t="shared" si="48"/>
        <v>0</v>
      </c>
      <c r="AB1571" s="47">
        <f t="shared" si="49"/>
        <v>-1</v>
      </c>
      <c r="AD1571" s="53"/>
      <c r="AE1571" s="53"/>
      <c r="AF1571" s="53"/>
      <c r="AG1571" s="53"/>
    </row>
    <row r="1572" spans="1:33" s="46" customFormat="1">
      <c r="A1572" s="54"/>
      <c r="B1572" s="16"/>
      <c r="C1572" s="55"/>
      <c r="D1572" s="56"/>
      <c r="E1572" s="16"/>
      <c r="F1572" s="16"/>
      <c r="G1572" s="16"/>
      <c r="H1572" s="54"/>
      <c r="I1572" s="16"/>
      <c r="J1572" s="54"/>
      <c r="K1572" s="42"/>
      <c r="L1572" s="16"/>
      <c r="M1572" s="16"/>
      <c r="AA1572" s="14">
        <f t="shared" si="48"/>
        <v>0</v>
      </c>
      <c r="AB1572" s="47">
        <f t="shared" si="49"/>
        <v>-1</v>
      </c>
      <c r="AD1572" s="53"/>
      <c r="AE1572" s="53"/>
      <c r="AF1572" s="53"/>
      <c r="AG1572" s="53"/>
    </row>
    <row r="1573" spans="1:33" s="46" customFormat="1">
      <c r="A1573" s="54"/>
      <c r="B1573" s="16"/>
      <c r="C1573" s="55"/>
      <c r="D1573" s="56"/>
      <c r="E1573" s="16"/>
      <c r="F1573" s="16"/>
      <c r="G1573" s="16"/>
      <c r="H1573" s="54"/>
      <c r="I1573" s="16"/>
      <c r="J1573" s="54"/>
      <c r="K1573" s="42"/>
      <c r="L1573" s="16"/>
      <c r="M1573" s="16"/>
      <c r="AA1573" s="14">
        <f t="shared" si="48"/>
        <v>0</v>
      </c>
      <c r="AB1573" s="47">
        <f t="shared" si="49"/>
        <v>-1</v>
      </c>
      <c r="AD1573" s="53"/>
      <c r="AE1573" s="53"/>
      <c r="AF1573" s="53"/>
      <c r="AG1573" s="53"/>
    </row>
    <row r="1574" spans="1:33" s="46" customFormat="1">
      <c r="A1574" s="54"/>
      <c r="B1574" s="16"/>
      <c r="C1574" s="55"/>
      <c r="D1574" s="56"/>
      <c r="E1574" s="16"/>
      <c r="F1574" s="16"/>
      <c r="G1574" s="16"/>
      <c r="H1574" s="54"/>
      <c r="I1574" s="16"/>
      <c r="J1574" s="54"/>
      <c r="K1574" s="42"/>
      <c r="L1574" s="16"/>
      <c r="M1574" s="16"/>
      <c r="AA1574" s="14">
        <f t="shared" si="48"/>
        <v>0</v>
      </c>
      <c r="AB1574" s="47">
        <f t="shared" si="49"/>
        <v>-1</v>
      </c>
      <c r="AD1574" s="53"/>
      <c r="AE1574" s="53"/>
      <c r="AF1574" s="53"/>
      <c r="AG1574" s="53"/>
    </row>
    <row r="1575" spans="1:33" s="46" customFormat="1">
      <c r="A1575" s="54"/>
      <c r="B1575" s="16"/>
      <c r="C1575" s="55"/>
      <c r="D1575" s="56"/>
      <c r="E1575" s="16"/>
      <c r="F1575" s="16"/>
      <c r="G1575" s="16"/>
      <c r="H1575" s="54"/>
      <c r="I1575" s="16"/>
      <c r="J1575" s="54"/>
      <c r="K1575" s="42"/>
      <c r="L1575" s="16"/>
      <c r="M1575" s="16"/>
      <c r="AA1575" s="14">
        <f t="shared" si="48"/>
        <v>0</v>
      </c>
      <c r="AB1575" s="47">
        <f t="shared" si="49"/>
        <v>-1</v>
      </c>
      <c r="AD1575" s="53"/>
      <c r="AE1575" s="53"/>
      <c r="AF1575" s="53"/>
      <c r="AG1575" s="53"/>
    </row>
    <row r="1576" spans="1:33" s="46" customFormat="1">
      <c r="A1576" s="54"/>
      <c r="B1576" s="16"/>
      <c r="C1576" s="55"/>
      <c r="D1576" s="56"/>
      <c r="E1576" s="16"/>
      <c r="F1576" s="16"/>
      <c r="G1576" s="16"/>
      <c r="H1576" s="54"/>
      <c r="I1576" s="16"/>
      <c r="J1576" s="54"/>
      <c r="K1576" s="42"/>
      <c r="L1576" s="16"/>
      <c r="M1576" s="16"/>
      <c r="AA1576" s="14">
        <f t="shared" ref="AA1576:AA1639" si="50">C1576-C1575</f>
        <v>0</v>
      </c>
      <c r="AB1576" s="47">
        <f t="shared" ref="AB1576:AB1639" si="51">AA1576-1</f>
        <v>-1</v>
      </c>
      <c r="AD1576" s="53"/>
      <c r="AE1576" s="53"/>
      <c r="AF1576" s="53"/>
      <c r="AG1576" s="53"/>
    </row>
    <row r="1577" spans="1:33" s="46" customFormat="1">
      <c r="A1577" s="54"/>
      <c r="B1577" s="16"/>
      <c r="C1577" s="55"/>
      <c r="D1577" s="56"/>
      <c r="E1577" s="16"/>
      <c r="F1577" s="16"/>
      <c r="G1577" s="16"/>
      <c r="H1577" s="54"/>
      <c r="I1577" s="16"/>
      <c r="J1577" s="54"/>
      <c r="K1577" s="42"/>
      <c r="L1577" s="16"/>
      <c r="M1577" s="16"/>
      <c r="AA1577" s="14">
        <f t="shared" si="50"/>
        <v>0</v>
      </c>
      <c r="AB1577" s="47">
        <f t="shared" si="51"/>
        <v>-1</v>
      </c>
      <c r="AD1577" s="53"/>
      <c r="AE1577" s="53"/>
      <c r="AF1577" s="53"/>
      <c r="AG1577" s="53"/>
    </row>
    <row r="1578" spans="1:33" s="46" customFormat="1">
      <c r="A1578" s="54"/>
      <c r="B1578" s="16"/>
      <c r="C1578" s="55"/>
      <c r="D1578" s="56"/>
      <c r="E1578" s="16"/>
      <c r="F1578" s="16"/>
      <c r="G1578" s="16"/>
      <c r="H1578" s="54"/>
      <c r="I1578" s="16"/>
      <c r="J1578" s="54"/>
      <c r="K1578" s="42"/>
      <c r="L1578" s="16"/>
      <c r="M1578" s="16"/>
      <c r="AA1578" s="14">
        <f t="shared" si="50"/>
        <v>0</v>
      </c>
      <c r="AB1578" s="47">
        <f t="shared" si="51"/>
        <v>-1</v>
      </c>
      <c r="AD1578" s="53"/>
      <c r="AE1578" s="53"/>
      <c r="AF1578" s="53"/>
      <c r="AG1578" s="53"/>
    </row>
    <row r="1579" spans="1:33" s="46" customFormat="1">
      <c r="A1579" s="54"/>
      <c r="B1579" s="16"/>
      <c r="C1579" s="55"/>
      <c r="D1579" s="56"/>
      <c r="E1579" s="16"/>
      <c r="F1579" s="16"/>
      <c r="G1579" s="16"/>
      <c r="H1579" s="54"/>
      <c r="I1579" s="16"/>
      <c r="J1579" s="54"/>
      <c r="K1579" s="42"/>
      <c r="L1579" s="16"/>
      <c r="M1579" s="16"/>
      <c r="AA1579" s="14">
        <f t="shared" si="50"/>
        <v>0</v>
      </c>
      <c r="AB1579" s="47">
        <f t="shared" si="51"/>
        <v>-1</v>
      </c>
      <c r="AD1579" s="53"/>
      <c r="AE1579" s="53"/>
      <c r="AF1579" s="53"/>
      <c r="AG1579" s="53"/>
    </row>
    <row r="1580" spans="1:33" s="46" customFormat="1">
      <c r="A1580" s="54"/>
      <c r="B1580" s="16"/>
      <c r="C1580" s="55"/>
      <c r="D1580" s="56"/>
      <c r="E1580" s="16"/>
      <c r="F1580" s="16"/>
      <c r="G1580" s="16"/>
      <c r="H1580" s="54"/>
      <c r="I1580" s="16"/>
      <c r="J1580" s="54"/>
      <c r="K1580" s="42"/>
      <c r="L1580" s="16"/>
      <c r="M1580" s="16"/>
      <c r="AA1580" s="14">
        <f t="shared" si="50"/>
        <v>0</v>
      </c>
      <c r="AB1580" s="47">
        <f t="shared" si="51"/>
        <v>-1</v>
      </c>
      <c r="AD1580" s="53"/>
      <c r="AE1580" s="53"/>
      <c r="AF1580" s="53"/>
      <c r="AG1580" s="53"/>
    </row>
    <row r="1581" spans="1:33" s="46" customFormat="1">
      <c r="A1581" s="54"/>
      <c r="B1581" s="16"/>
      <c r="C1581" s="55"/>
      <c r="D1581" s="56"/>
      <c r="E1581" s="16"/>
      <c r="F1581" s="16"/>
      <c r="G1581" s="16"/>
      <c r="H1581" s="54"/>
      <c r="I1581" s="16"/>
      <c r="J1581" s="54"/>
      <c r="K1581" s="42"/>
      <c r="L1581" s="16"/>
      <c r="M1581" s="16"/>
      <c r="AA1581" s="14">
        <f t="shared" si="50"/>
        <v>0</v>
      </c>
      <c r="AB1581" s="47">
        <f t="shared" si="51"/>
        <v>-1</v>
      </c>
      <c r="AD1581" s="53"/>
      <c r="AE1581" s="53"/>
      <c r="AF1581" s="53"/>
      <c r="AG1581" s="53"/>
    </row>
    <row r="1582" spans="1:33" s="46" customFormat="1">
      <c r="A1582" s="54"/>
      <c r="B1582" s="16"/>
      <c r="C1582" s="55"/>
      <c r="D1582" s="56"/>
      <c r="E1582" s="16"/>
      <c r="F1582" s="16"/>
      <c r="G1582" s="16"/>
      <c r="H1582" s="54"/>
      <c r="I1582" s="16"/>
      <c r="J1582" s="54"/>
      <c r="K1582" s="42"/>
      <c r="L1582" s="16"/>
      <c r="M1582" s="16"/>
      <c r="AA1582" s="14">
        <f t="shared" si="50"/>
        <v>0</v>
      </c>
      <c r="AB1582" s="47">
        <f t="shared" si="51"/>
        <v>-1</v>
      </c>
      <c r="AD1582" s="53"/>
      <c r="AE1582" s="53"/>
      <c r="AF1582" s="53"/>
      <c r="AG1582" s="53"/>
    </row>
    <row r="1583" spans="1:33" s="46" customFormat="1">
      <c r="A1583" s="54"/>
      <c r="B1583" s="16"/>
      <c r="C1583" s="55"/>
      <c r="D1583" s="56"/>
      <c r="E1583" s="16"/>
      <c r="F1583" s="16"/>
      <c r="G1583" s="16"/>
      <c r="H1583" s="54"/>
      <c r="I1583" s="16"/>
      <c r="J1583" s="54"/>
      <c r="K1583" s="42"/>
      <c r="L1583" s="16"/>
      <c r="M1583" s="16"/>
      <c r="AA1583" s="14">
        <f t="shared" si="50"/>
        <v>0</v>
      </c>
      <c r="AB1583" s="47">
        <f t="shared" si="51"/>
        <v>-1</v>
      </c>
      <c r="AD1583" s="53"/>
      <c r="AE1583" s="53"/>
      <c r="AF1583" s="53"/>
      <c r="AG1583" s="53"/>
    </row>
    <row r="1584" spans="1:33" s="46" customFormat="1">
      <c r="A1584" s="54"/>
      <c r="B1584" s="16"/>
      <c r="C1584" s="55"/>
      <c r="D1584" s="56"/>
      <c r="E1584" s="16"/>
      <c r="F1584" s="16"/>
      <c r="G1584" s="16"/>
      <c r="H1584" s="54"/>
      <c r="I1584" s="16"/>
      <c r="J1584" s="54"/>
      <c r="K1584" s="42"/>
      <c r="L1584" s="16"/>
      <c r="M1584" s="16"/>
      <c r="AA1584" s="14">
        <f t="shared" si="50"/>
        <v>0</v>
      </c>
      <c r="AB1584" s="47">
        <f t="shared" si="51"/>
        <v>-1</v>
      </c>
      <c r="AD1584" s="53"/>
      <c r="AE1584" s="53"/>
      <c r="AF1584" s="53"/>
      <c r="AG1584" s="53"/>
    </row>
    <row r="1585" spans="1:33" s="46" customFormat="1">
      <c r="A1585" s="54"/>
      <c r="B1585" s="16"/>
      <c r="C1585" s="55"/>
      <c r="D1585" s="56"/>
      <c r="E1585" s="16"/>
      <c r="F1585" s="16"/>
      <c r="G1585" s="16"/>
      <c r="H1585" s="54"/>
      <c r="I1585" s="16"/>
      <c r="J1585" s="54"/>
      <c r="K1585" s="42"/>
      <c r="L1585" s="16"/>
      <c r="M1585" s="16"/>
      <c r="AA1585" s="14">
        <f t="shared" si="50"/>
        <v>0</v>
      </c>
      <c r="AB1585" s="47">
        <f t="shared" si="51"/>
        <v>-1</v>
      </c>
      <c r="AD1585" s="53"/>
      <c r="AE1585" s="53"/>
      <c r="AF1585" s="53"/>
      <c r="AG1585" s="53"/>
    </row>
    <row r="1586" spans="1:33" s="46" customFormat="1">
      <c r="A1586" s="54"/>
      <c r="B1586" s="16"/>
      <c r="C1586" s="55"/>
      <c r="D1586" s="56"/>
      <c r="E1586" s="16"/>
      <c r="F1586" s="16"/>
      <c r="G1586" s="16"/>
      <c r="H1586" s="54"/>
      <c r="I1586" s="16"/>
      <c r="J1586" s="54"/>
      <c r="K1586" s="42"/>
      <c r="L1586" s="16"/>
      <c r="M1586" s="16"/>
      <c r="AA1586" s="14">
        <f t="shared" si="50"/>
        <v>0</v>
      </c>
      <c r="AB1586" s="47">
        <f t="shared" si="51"/>
        <v>-1</v>
      </c>
      <c r="AD1586" s="53"/>
      <c r="AE1586" s="53"/>
      <c r="AF1586" s="53"/>
      <c r="AG1586" s="53"/>
    </row>
    <row r="1587" spans="1:33" s="46" customFormat="1">
      <c r="A1587" s="54"/>
      <c r="B1587" s="16"/>
      <c r="C1587" s="55"/>
      <c r="D1587" s="56"/>
      <c r="E1587" s="16"/>
      <c r="F1587" s="16"/>
      <c r="G1587" s="16"/>
      <c r="H1587" s="54"/>
      <c r="I1587" s="16"/>
      <c r="J1587" s="54"/>
      <c r="K1587" s="42"/>
      <c r="L1587" s="16"/>
      <c r="M1587" s="16"/>
      <c r="AA1587" s="14">
        <f t="shared" si="50"/>
        <v>0</v>
      </c>
      <c r="AB1587" s="47">
        <f t="shared" si="51"/>
        <v>-1</v>
      </c>
      <c r="AD1587" s="53"/>
      <c r="AE1587" s="53"/>
      <c r="AF1587" s="53"/>
      <c r="AG1587" s="53"/>
    </row>
    <row r="1588" spans="1:33" s="46" customFormat="1">
      <c r="A1588" s="54"/>
      <c r="B1588" s="16"/>
      <c r="C1588" s="55"/>
      <c r="D1588" s="56"/>
      <c r="E1588" s="16"/>
      <c r="F1588" s="16"/>
      <c r="G1588" s="16"/>
      <c r="H1588" s="54"/>
      <c r="I1588" s="16"/>
      <c r="J1588" s="54"/>
      <c r="K1588" s="42"/>
      <c r="L1588" s="16"/>
      <c r="M1588" s="16"/>
      <c r="AA1588" s="14">
        <f t="shared" si="50"/>
        <v>0</v>
      </c>
      <c r="AB1588" s="47">
        <f t="shared" si="51"/>
        <v>-1</v>
      </c>
      <c r="AD1588" s="53"/>
      <c r="AE1588" s="53"/>
      <c r="AF1588" s="53"/>
      <c r="AG1588" s="53"/>
    </row>
    <row r="1589" spans="1:33" s="46" customFormat="1">
      <c r="A1589" s="54"/>
      <c r="B1589" s="16"/>
      <c r="C1589" s="55"/>
      <c r="D1589" s="56"/>
      <c r="E1589" s="16"/>
      <c r="F1589" s="16"/>
      <c r="G1589" s="16"/>
      <c r="H1589" s="54"/>
      <c r="I1589" s="16"/>
      <c r="J1589" s="54"/>
      <c r="K1589" s="42"/>
      <c r="L1589" s="16"/>
      <c r="M1589" s="16"/>
      <c r="AA1589" s="14">
        <f t="shared" si="50"/>
        <v>0</v>
      </c>
      <c r="AB1589" s="47">
        <f t="shared" si="51"/>
        <v>-1</v>
      </c>
      <c r="AD1589" s="53"/>
      <c r="AE1589" s="53"/>
      <c r="AF1589" s="53"/>
      <c r="AG1589" s="53"/>
    </row>
    <row r="1590" spans="1:33" s="46" customFormat="1">
      <c r="A1590" s="54"/>
      <c r="B1590" s="16"/>
      <c r="C1590" s="55"/>
      <c r="D1590" s="56"/>
      <c r="E1590" s="16"/>
      <c r="F1590" s="16"/>
      <c r="G1590" s="16"/>
      <c r="H1590" s="54"/>
      <c r="I1590" s="16"/>
      <c r="J1590" s="54"/>
      <c r="K1590" s="42"/>
      <c r="L1590" s="16"/>
      <c r="M1590" s="16"/>
      <c r="AA1590" s="14">
        <f t="shared" si="50"/>
        <v>0</v>
      </c>
      <c r="AB1590" s="47">
        <f t="shared" si="51"/>
        <v>-1</v>
      </c>
      <c r="AD1590" s="53"/>
      <c r="AE1590" s="53"/>
      <c r="AF1590" s="53"/>
      <c r="AG1590" s="53"/>
    </row>
    <row r="1591" spans="1:33" s="46" customFormat="1">
      <c r="A1591" s="54"/>
      <c r="B1591" s="16"/>
      <c r="C1591" s="55"/>
      <c r="D1591" s="56"/>
      <c r="E1591" s="16"/>
      <c r="F1591" s="16"/>
      <c r="G1591" s="16"/>
      <c r="H1591" s="54"/>
      <c r="I1591" s="16"/>
      <c r="J1591" s="54"/>
      <c r="K1591" s="42"/>
      <c r="L1591" s="16"/>
      <c r="M1591" s="16"/>
      <c r="AA1591" s="14">
        <f t="shared" si="50"/>
        <v>0</v>
      </c>
      <c r="AB1591" s="47">
        <f t="shared" si="51"/>
        <v>-1</v>
      </c>
      <c r="AD1591" s="53"/>
      <c r="AE1591" s="53"/>
      <c r="AF1591" s="53"/>
      <c r="AG1591" s="53"/>
    </row>
    <row r="1592" spans="1:33" s="46" customFormat="1">
      <c r="A1592" s="54"/>
      <c r="B1592" s="16"/>
      <c r="C1592" s="55"/>
      <c r="D1592" s="56"/>
      <c r="E1592" s="16"/>
      <c r="F1592" s="16"/>
      <c r="G1592" s="16"/>
      <c r="H1592" s="54"/>
      <c r="I1592" s="16"/>
      <c r="J1592" s="54"/>
      <c r="K1592" s="42"/>
      <c r="L1592" s="16"/>
      <c r="M1592" s="16"/>
      <c r="AA1592" s="14">
        <f t="shared" si="50"/>
        <v>0</v>
      </c>
      <c r="AB1592" s="47">
        <f t="shared" si="51"/>
        <v>-1</v>
      </c>
      <c r="AD1592" s="53"/>
      <c r="AE1592" s="53"/>
      <c r="AF1592" s="53"/>
      <c r="AG1592" s="53"/>
    </row>
    <row r="1593" spans="1:33" s="46" customFormat="1">
      <c r="A1593" s="54"/>
      <c r="B1593" s="16"/>
      <c r="C1593" s="55"/>
      <c r="D1593" s="56"/>
      <c r="E1593" s="16"/>
      <c r="F1593" s="16"/>
      <c r="G1593" s="16"/>
      <c r="H1593" s="54"/>
      <c r="I1593" s="16"/>
      <c r="J1593" s="54"/>
      <c r="K1593" s="42"/>
      <c r="L1593" s="16"/>
      <c r="M1593" s="16"/>
      <c r="AA1593" s="14">
        <f t="shared" si="50"/>
        <v>0</v>
      </c>
      <c r="AB1593" s="47">
        <f t="shared" si="51"/>
        <v>-1</v>
      </c>
      <c r="AD1593" s="53"/>
      <c r="AE1593" s="53"/>
      <c r="AF1593" s="53"/>
      <c r="AG1593" s="53"/>
    </row>
    <row r="1594" spans="1:33" s="46" customFormat="1">
      <c r="A1594" s="54"/>
      <c r="B1594" s="16"/>
      <c r="C1594" s="55"/>
      <c r="D1594" s="56"/>
      <c r="E1594" s="16"/>
      <c r="F1594" s="16"/>
      <c r="G1594" s="16"/>
      <c r="H1594" s="54"/>
      <c r="I1594" s="16"/>
      <c r="J1594" s="54"/>
      <c r="K1594" s="42"/>
      <c r="L1594" s="16"/>
      <c r="M1594" s="16"/>
      <c r="AA1594" s="14">
        <f t="shared" si="50"/>
        <v>0</v>
      </c>
      <c r="AB1594" s="47">
        <f t="shared" si="51"/>
        <v>-1</v>
      </c>
      <c r="AD1594" s="53"/>
      <c r="AE1594" s="53"/>
      <c r="AF1594" s="53"/>
      <c r="AG1594" s="53"/>
    </row>
    <row r="1595" spans="1:33" s="46" customFormat="1">
      <c r="A1595" s="54"/>
      <c r="B1595" s="16"/>
      <c r="C1595" s="55"/>
      <c r="D1595" s="56"/>
      <c r="E1595" s="16"/>
      <c r="F1595" s="16"/>
      <c r="G1595" s="16"/>
      <c r="H1595" s="54"/>
      <c r="I1595" s="16"/>
      <c r="J1595" s="54"/>
      <c r="K1595" s="42"/>
      <c r="L1595" s="16"/>
      <c r="M1595" s="16"/>
      <c r="AA1595" s="14">
        <f t="shared" si="50"/>
        <v>0</v>
      </c>
      <c r="AB1595" s="47">
        <f t="shared" si="51"/>
        <v>-1</v>
      </c>
      <c r="AD1595" s="53"/>
      <c r="AE1595" s="53"/>
      <c r="AF1595" s="53"/>
      <c r="AG1595" s="53"/>
    </row>
    <row r="1596" spans="1:33" s="46" customFormat="1">
      <c r="A1596" s="54"/>
      <c r="B1596" s="16"/>
      <c r="C1596" s="55"/>
      <c r="D1596" s="56"/>
      <c r="E1596" s="16"/>
      <c r="F1596" s="16"/>
      <c r="G1596" s="16"/>
      <c r="H1596" s="54"/>
      <c r="I1596" s="16"/>
      <c r="J1596" s="54"/>
      <c r="K1596" s="42"/>
      <c r="L1596" s="16"/>
      <c r="M1596" s="16"/>
      <c r="AA1596" s="14">
        <f t="shared" si="50"/>
        <v>0</v>
      </c>
      <c r="AB1596" s="47">
        <f t="shared" si="51"/>
        <v>-1</v>
      </c>
      <c r="AD1596" s="53"/>
      <c r="AE1596" s="53"/>
      <c r="AF1596" s="53"/>
      <c r="AG1596" s="53"/>
    </row>
    <row r="1597" spans="1:33" s="46" customFormat="1">
      <c r="A1597" s="54"/>
      <c r="B1597" s="16"/>
      <c r="C1597" s="55"/>
      <c r="D1597" s="56"/>
      <c r="E1597" s="16"/>
      <c r="F1597" s="16"/>
      <c r="G1597" s="16"/>
      <c r="H1597" s="54"/>
      <c r="I1597" s="16"/>
      <c r="J1597" s="54"/>
      <c r="K1597" s="42"/>
      <c r="L1597" s="16"/>
      <c r="M1597" s="16"/>
      <c r="AA1597" s="14">
        <f t="shared" si="50"/>
        <v>0</v>
      </c>
      <c r="AB1597" s="47">
        <f t="shared" si="51"/>
        <v>-1</v>
      </c>
      <c r="AD1597" s="53"/>
      <c r="AE1597" s="53"/>
      <c r="AF1597" s="53"/>
      <c r="AG1597" s="53"/>
    </row>
    <row r="1598" spans="1:33" s="46" customFormat="1">
      <c r="A1598" s="54"/>
      <c r="B1598" s="16"/>
      <c r="C1598" s="55"/>
      <c r="D1598" s="56"/>
      <c r="E1598" s="16"/>
      <c r="F1598" s="16"/>
      <c r="G1598" s="16"/>
      <c r="H1598" s="54"/>
      <c r="I1598" s="16"/>
      <c r="J1598" s="54"/>
      <c r="K1598" s="42"/>
      <c r="L1598" s="16"/>
      <c r="M1598" s="16"/>
      <c r="AA1598" s="14">
        <f t="shared" si="50"/>
        <v>0</v>
      </c>
      <c r="AB1598" s="47">
        <f t="shared" si="51"/>
        <v>-1</v>
      </c>
      <c r="AD1598" s="53"/>
      <c r="AE1598" s="53"/>
      <c r="AF1598" s="53"/>
      <c r="AG1598" s="53"/>
    </row>
    <row r="1599" spans="1:33" s="46" customFormat="1">
      <c r="A1599" s="54"/>
      <c r="B1599" s="16"/>
      <c r="C1599" s="55"/>
      <c r="D1599" s="56"/>
      <c r="E1599" s="16"/>
      <c r="F1599" s="16"/>
      <c r="G1599" s="16"/>
      <c r="H1599" s="54"/>
      <c r="I1599" s="16"/>
      <c r="J1599" s="54"/>
      <c r="K1599" s="42"/>
      <c r="L1599" s="16"/>
      <c r="M1599" s="16"/>
      <c r="AA1599" s="14">
        <f t="shared" si="50"/>
        <v>0</v>
      </c>
      <c r="AB1599" s="47">
        <f t="shared" si="51"/>
        <v>-1</v>
      </c>
      <c r="AD1599" s="53"/>
      <c r="AE1599" s="53"/>
      <c r="AF1599" s="53"/>
      <c r="AG1599" s="53"/>
    </row>
    <row r="1600" spans="1:33" s="46" customFormat="1">
      <c r="A1600" s="54"/>
      <c r="B1600" s="16"/>
      <c r="C1600" s="55"/>
      <c r="D1600" s="56"/>
      <c r="E1600" s="16"/>
      <c r="F1600" s="16"/>
      <c r="G1600" s="16"/>
      <c r="H1600" s="54"/>
      <c r="I1600" s="16"/>
      <c r="J1600" s="54"/>
      <c r="K1600" s="42"/>
      <c r="L1600" s="16"/>
      <c r="M1600" s="16"/>
      <c r="AA1600" s="14">
        <f t="shared" si="50"/>
        <v>0</v>
      </c>
      <c r="AB1600" s="47">
        <f t="shared" si="51"/>
        <v>-1</v>
      </c>
      <c r="AD1600" s="53"/>
      <c r="AE1600" s="53"/>
      <c r="AF1600" s="53"/>
      <c r="AG1600" s="53"/>
    </row>
    <row r="1601" spans="1:33" s="46" customFormat="1">
      <c r="A1601" s="54"/>
      <c r="B1601" s="16"/>
      <c r="C1601" s="55"/>
      <c r="D1601" s="56"/>
      <c r="E1601" s="16"/>
      <c r="F1601" s="16"/>
      <c r="G1601" s="16"/>
      <c r="H1601" s="54"/>
      <c r="I1601" s="16"/>
      <c r="J1601" s="54"/>
      <c r="K1601" s="42"/>
      <c r="L1601" s="16"/>
      <c r="M1601" s="16"/>
      <c r="AA1601" s="14">
        <f t="shared" si="50"/>
        <v>0</v>
      </c>
      <c r="AB1601" s="47">
        <f t="shared" si="51"/>
        <v>-1</v>
      </c>
      <c r="AD1601" s="53"/>
      <c r="AE1601" s="53"/>
      <c r="AF1601" s="53"/>
      <c r="AG1601" s="53"/>
    </row>
    <row r="1602" spans="1:33" s="46" customFormat="1">
      <c r="A1602" s="54"/>
      <c r="B1602" s="16"/>
      <c r="C1602" s="55"/>
      <c r="D1602" s="56"/>
      <c r="E1602" s="16"/>
      <c r="F1602" s="16"/>
      <c r="G1602" s="16"/>
      <c r="H1602" s="54"/>
      <c r="I1602" s="16"/>
      <c r="J1602" s="54"/>
      <c r="K1602" s="42"/>
      <c r="L1602" s="16"/>
      <c r="M1602" s="16"/>
      <c r="AA1602" s="14">
        <f t="shared" si="50"/>
        <v>0</v>
      </c>
      <c r="AB1602" s="47">
        <f t="shared" si="51"/>
        <v>-1</v>
      </c>
      <c r="AD1602" s="53"/>
      <c r="AE1602" s="53"/>
      <c r="AF1602" s="53"/>
      <c r="AG1602" s="53"/>
    </row>
    <row r="1603" spans="1:33" s="46" customFormat="1">
      <c r="A1603" s="54"/>
      <c r="B1603" s="16"/>
      <c r="C1603" s="55"/>
      <c r="D1603" s="56"/>
      <c r="E1603" s="16"/>
      <c r="F1603" s="16"/>
      <c r="G1603" s="16"/>
      <c r="H1603" s="54"/>
      <c r="I1603" s="16"/>
      <c r="J1603" s="54"/>
      <c r="K1603" s="42"/>
      <c r="L1603" s="16"/>
      <c r="M1603" s="16"/>
      <c r="AA1603" s="14">
        <f t="shared" si="50"/>
        <v>0</v>
      </c>
      <c r="AB1603" s="47">
        <f t="shared" si="51"/>
        <v>-1</v>
      </c>
      <c r="AD1603" s="53"/>
      <c r="AE1603" s="53"/>
      <c r="AF1603" s="53"/>
      <c r="AG1603" s="53"/>
    </row>
    <row r="1604" spans="1:33" s="46" customFormat="1">
      <c r="A1604" s="54"/>
      <c r="B1604" s="16"/>
      <c r="C1604" s="55"/>
      <c r="D1604" s="56"/>
      <c r="E1604" s="16"/>
      <c r="F1604" s="16"/>
      <c r="G1604" s="16"/>
      <c r="H1604" s="54"/>
      <c r="I1604" s="16"/>
      <c r="J1604" s="54"/>
      <c r="K1604" s="42"/>
      <c r="L1604" s="16"/>
      <c r="M1604" s="16"/>
      <c r="AA1604" s="14">
        <f t="shared" si="50"/>
        <v>0</v>
      </c>
      <c r="AB1604" s="47">
        <f t="shared" si="51"/>
        <v>-1</v>
      </c>
      <c r="AD1604" s="53"/>
      <c r="AE1604" s="53"/>
      <c r="AF1604" s="53"/>
      <c r="AG1604" s="53"/>
    </row>
    <row r="1605" spans="1:33" s="46" customFormat="1">
      <c r="A1605" s="54"/>
      <c r="B1605" s="16"/>
      <c r="C1605" s="55"/>
      <c r="D1605" s="56"/>
      <c r="E1605" s="16"/>
      <c r="F1605" s="16"/>
      <c r="G1605" s="16"/>
      <c r="H1605" s="54"/>
      <c r="I1605" s="16"/>
      <c r="J1605" s="54"/>
      <c r="K1605" s="42"/>
      <c r="L1605" s="16"/>
      <c r="M1605" s="16"/>
      <c r="AA1605" s="14">
        <f t="shared" si="50"/>
        <v>0</v>
      </c>
      <c r="AB1605" s="47">
        <f t="shared" si="51"/>
        <v>-1</v>
      </c>
      <c r="AD1605" s="53"/>
      <c r="AE1605" s="53"/>
      <c r="AF1605" s="53"/>
      <c r="AG1605" s="53"/>
    </row>
    <row r="1606" spans="1:33" s="46" customFormat="1">
      <c r="A1606" s="54"/>
      <c r="B1606" s="16"/>
      <c r="C1606" s="55"/>
      <c r="D1606" s="56"/>
      <c r="E1606" s="16"/>
      <c r="F1606" s="16"/>
      <c r="G1606" s="16"/>
      <c r="H1606" s="54"/>
      <c r="I1606" s="16"/>
      <c r="J1606" s="54"/>
      <c r="K1606" s="42"/>
      <c r="L1606" s="16"/>
      <c r="M1606" s="16"/>
      <c r="AA1606" s="14">
        <f t="shared" si="50"/>
        <v>0</v>
      </c>
      <c r="AB1606" s="47">
        <f t="shared" si="51"/>
        <v>-1</v>
      </c>
      <c r="AD1606" s="53"/>
      <c r="AE1606" s="53"/>
      <c r="AF1606" s="53"/>
      <c r="AG1606" s="53"/>
    </row>
    <row r="1607" spans="1:33" s="46" customFormat="1">
      <c r="A1607" s="54"/>
      <c r="B1607" s="16"/>
      <c r="C1607" s="55"/>
      <c r="D1607" s="56"/>
      <c r="E1607" s="16"/>
      <c r="F1607" s="16"/>
      <c r="G1607" s="16"/>
      <c r="H1607" s="54"/>
      <c r="I1607" s="16"/>
      <c r="J1607" s="54"/>
      <c r="K1607" s="42"/>
      <c r="L1607" s="16"/>
      <c r="M1607" s="16"/>
      <c r="AA1607" s="14">
        <f t="shared" si="50"/>
        <v>0</v>
      </c>
      <c r="AB1607" s="47">
        <f t="shared" si="51"/>
        <v>-1</v>
      </c>
      <c r="AD1607" s="53"/>
      <c r="AE1607" s="53"/>
      <c r="AF1607" s="53"/>
      <c r="AG1607" s="53"/>
    </row>
    <row r="1608" spans="1:33" s="46" customFormat="1">
      <c r="A1608" s="54"/>
      <c r="B1608" s="16"/>
      <c r="C1608" s="55"/>
      <c r="D1608" s="56"/>
      <c r="E1608" s="16"/>
      <c r="F1608" s="16"/>
      <c r="G1608" s="16"/>
      <c r="H1608" s="54"/>
      <c r="I1608" s="16"/>
      <c r="J1608" s="54"/>
      <c r="K1608" s="42"/>
      <c r="L1608" s="16"/>
      <c r="M1608" s="16"/>
      <c r="AA1608" s="14">
        <f t="shared" si="50"/>
        <v>0</v>
      </c>
      <c r="AB1608" s="47">
        <f t="shared" si="51"/>
        <v>-1</v>
      </c>
      <c r="AD1608" s="53"/>
      <c r="AE1608" s="53"/>
      <c r="AF1608" s="53"/>
      <c r="AG1608" s="53"/>
    </row>
    <row r="1609" spans="1:33" s="46" customFormat="1">
      <c r="A1609" s="54"/>
      <c r="B1609" s="16"/>
      <c r="C1609" s="55"/>
      <c r="D1609" s="56"/>
      <c r="E1609" s="16"/>
      <c r="F1609" s="16"/>
      <c r="G1609" s="16"/>
      <c r="H1609" s="54"/>
      <c r="I1609" s="16"/>
      <c r="J1609" s="54"/>
      <c r="K1609" s="42"/>
      <c r="L1609" s="16"/>
      <c r="M1609" s="16"/>
      <c r="AA1609" s="14">
        <f t="shared" si="50"/>
        <v>0</v>
      </c>
      <c r="AB1609" s="47">
        <f t="shared" si="51"/>
        <v>-1</v>
      </c>
      <c r="AD1609" s="53"/>
      <c r="AE1609" s="53"/>
      <c r="AF1609" s="53"/>
      <c r="AG1609" s="53"/>
    </row>
    <row r="1610" spans="1:33" s="46" customFormat="1">
      <c r="A1610" s="54"/>
      <c r="B1610" s="16"/>
      <c r="C1610" s="55"/>
      <c r="D1610" s="56"/>
      <c r="E1610" s="16"/>
      <c r="F1610" s="16"/>
      <c r="G1610" s="16"/>
      <c r="H1610" s="54"/>
      <c r="I1610" s="16"/>
      <c r="J1610" s="54"/>
      <c r="K1610" s="42"/>
      <c r="L1610" s="16"/>
      <c r="M1610" s="16"/>
      <c r="AA1610" s="14">
        <f t="shared" si="50"/>
        <v>0</v>
      </c>
      <c r="AB1610" s="47">
        <f t="shared" si="51"/>
        <v>-1</v>
      </c>
      <c r="AD1610" s="53"/>
      <c r="AE1610" s="53"/>
      <c r="AF1610" s="53"/>
      <c r="AG1610" s="53"/>
    </row>
    <row r="1611" spans="1:33" s="46" customFormat="1">
      <c r="A1611" s="54"/>
      <c r="B1611" s="16"/>
      <c r="C1611" s="55"/>
      <c r="D1611" s="56"/>
      <c r="E1611" s="16"/>
      <c r="F1611" s="16"/>
      <c r="G1611" s="16"/>
      <c r="H1611" s="54"/>
      <c r="I1611" s="16"/>
      <c r="J1611" s="54"/>
      <c r="K1611" s="42"/>
      <c r="L1611" s="16"/>
      <c r="M1611" s="16"/>
      <c r="AA1611" s="14">
        <f t="shared" si="50"/>
        <v>0</v>
      </c>
      <c r="AB1611" s="47">
        <f t="shared" si="51"/>
        <v>-1</v>
      </c>
      <c r="AD1611" s="53"/>
      <c r="AE1611" s="53"/>
      <c r="AF1611" s="53"/>
      <c r="AG1611" s="53"/>
    </row>
    <row r="1612" spans="1:33" s="46" customFormat="1">
      <c r="A1612" s="54"/>
      <c r="B1612" s="16"/>
      <c r="C1612" s="55"/>
      <c r="D1612" s="56"/>
      <c r="E1612" s="16"/>
      <c r="F1612" s="16"/>
      <c r="G1612" s="16"/>
      <c r="H1612" s="54"/>
      <c r="I1612" s="16"/>
      <c r="J1612" s="54"/>
      <c r="K1612" s="42"/>
      <c r="L1612" s="16"/>
      <c r="M1612" s="16"/>
      <c r="AA1612" s="14">
        <f t="shared" si="50"/>
        <v>0</v>
      </c>
      <c r="AB1612" s="47">
        <f t="shared" si="51"/>
        <v>-1</v>
      </c>
      <c r="AD1612" s="53"/>
      <c r="AE1612" s="53"/>
      <c r="AF1612" s="53"/>
      <c r="AG1612" s="53"/>
    </row>
    <row r="1613" spans="1:33" s="46" customFormat="1">
      <c r="A1613" s="54"/>
      <c r="B1613" s="16"/>
      <c r="C1613" s="55"/>
      <c r="D1613" s="56"/>
      <c r="E1613" s="16"/>
      <c r="F1613" s="16"/>
      <c r="G1613" s="16"/>
      <c r="H1613" s="54"/>
      <c r="I1613" s="16"/>
      <c r="J1613" s="54"/>
      <c r="K1613" s="42"/>
      <c r="L1613" s="16"/>
      <c r="M1613" s="16"/>
      <c r="AA1613" s="14">
        <f t="shared" si="50"/>
        <v>0</v>
      </c>
      <c r="AB1613" s="47">
        <f t="shared" si="51"/>
        <v>-1</v>
      </c>
      <c r="AD1613" s="53"/>
      <c r="AE1613" s="53"/>
      <c r="AF1613" s="53"/>
      <c r="AG1613" s="53"/>
    </row>
    <row r="1614" spans="1:33" s="46" customFormat="1">
      <c r="A1614" s="54"/>
      <c r="B1614" s="16"/>
      <c r="C1614" s="55"/>
      <c r="D1614" s="56"/>
      <c r="E1614" s="16"/>
      <c r="F1614" s="16"/>
      <c r="G1614" s="16"/>
      <c r="H1614" s="54"/>
      <c r="I1614" s="16"/>
      <c r="J1614" s="54"/>
      <c r="K1614" s="42"/>
      <c r="L1614" s="16"/>
      <c r="M1614" s="16"/>
      <c r="AA1614" s="14">
        <f t="shared" si="50"/>
        <v>0</v>
      </c>
      <c r="AB1614" s="47">
        <f t="shared" si="51"/>
        <v>-1</v>
      </c>
      <c r="AD1614" s="53"/>
      <c r="AE1614" s="53"/>
      <c r="AF1614" s="53"/>
      <c r="AG1614" s="53"/>
    </row>
    <row r="1615" spans="1:33" s="46" customFormat="1">
      <c r="A1615" s="54"/>
      <c r="B1615" s="16"/>
      <c r="C1615" s="55"/>
      <c r="D1615" s="56"/>
      <c r="E1615" s="16"/>
      <c r="F1615" s="16"/>
      <c r="G1615" s="16"/>
      <c r="H1615" s="54"/>
      <c r="I1615" s="16"/>
      <c r="J1615" s="54"/>
      <c r="K1615" s="42"/>
      <c r="L1615" s="16"/>
      <c r="M1615" s="16"/>
      <c r="AA1615" s="14">
        <f t="shared" si="50"/>
        <v>0</v>
      </c>
      <c r="AB1615" s="47">
        <f t="shared" si="51"/>
        <v>-1</v>
      </c>
      <c r="AD1615" s="53"/>
      <c r="AE1615" s="53"/>
      <c r="AF1615" s="53"/>
      <c r="AG1615" s="53"/>
    </row>
    <row r="1616" spans="1:33" s="46" customFormat="1">
      <c r="A1616" s="54"/>
      <c r="B1616" s="16"/>
      <c r="C1616" s="55"/>
      <c r="D1616" s="56"/>
      <c r="E1616" s="16"/>
      <c r="F1616" s="16"/>
      <c r="G1616" s="16"/>
      <c r="H1616" s="54"/>
      <c r="I1616" s="16"/>
      <c r="J1616" s="54"/>
      <c r="K1616" s="42"/>
      <c r="L1616" s="16"/>
      <c r="M1616" s="16"/>
      <c r="AA1616" s="14">
        <f t="shared" si="50"/>
        <v>0</v>
      </c>
      <c r="AB1616" s="47">
        <f t="shared" si="51"/>
        <v>-1</v>
      </c>
      <c r="AD1616" s="53"/>
      <c r="AE1616" s="53"/>
      <c r="AF1616" s="53"/>
      <c r="AG1616" s="53"/>
    </row>
    <row r="1617" spans="1:33" s="46" customFormat="1">
      <c r="A1617" s="54"/>
      <c r="B1617" s="16"/>
      <c r="C1617" s="55"/>
      <c r="D1617" s="56"/>
      <c r="E1617" s="16"/>
      <c r="F1617" s="16"/>
      <c r="G1617" s="16"/>
      <c r="H1617" s="54"/>
      <c r="I1617" s="16"/>
      <c r="J1617" s="54"/>
      <c r="K1617" s="42"/>
      <c r="L1617" s="16"/>
      <c r="M1617" s="16"/>
      <c r="AA1617" s="14">
        <f t="shared" si="50"/>
        <v>0</v>
      </c>
      <c r="AB1617" s="47">
        <f t="shared" si="51"/>
        <v>-1</v>
      </c>
      <c r="AD1617" s="53"/>
      <c r="AE1617" s="53"/>
      <c r="AF1617" s="53"/>
      <c r="AG1617" s="53"/>
    </row>
    <row r="1618" spans="1:33" s="46" customFormat="1">
      <c r="A1618" s="54"/>
      <c r="B1618" s="16"/>
      <c r="C1618" s="55"/>
      <c r="D1618" s="56"/>
      <c r="E1618" s="16"/>
      <c r="F1618" s="16"/>
      <c r="G1618" s="16"/>
      <c r="H1618" s="54"/>
      <c r="I1618" s="16"/>
      <c r="J1618" s="54"/>
      <c r="K1618" s="42"/>
      <c r="L1618" s="16"/>
      <c r="M1618" s="16"/>
      <c r="AA1618" s="14">
        <f t="shared" si="50"/>
        <v>0</v>
      </c>
      <c r="AB1618" s="47">
        <f t="shared" si="51"/>
        <v>-1</v>
      </c>
      <c r="AD1618" s="53"/>
      <c r="AE1618" s="53"/>
      <c r="AF1618" s="53"/>
      <c r="AG1618" s="53"/>
    </row>
    <row r="1619" spans="1:33" s="46" customFormat="1">
      <c r="A1619" s="54"/>
      <c r="B1619" s="16"/>
      <c r="C1619" s="55"/>
      <c r="D1619" s="56"/>
      <c r="E1619" s="16"/>
      <c r="F1619" s="16"/>
      <c r="G1619" s="16"/>
      <c r="H1619" s="54"/>
      <c r="I1619" s="16"/>
      <c r="J1619" s="54"/>
      <c r="K1619" s="42"/>
      <c r="L1619" s="16"/>
      <c r="M1619" s="16"/>
      <c r="AA1619" s="14">
        <f t="shared" si="50"/>
        <v>0</v>
      </c>
      <c r="AB1619" s="47">
        <f t="shared" si="51"/>
        <v>-1</v>
      </c>
      <c r="AD1619" s="53"/>
      <c r="AE1619" s="53"/>
      <c r="AF1619" s="53"/>
      <c r="AG1619" s="53"/>
    </row>
    <row r="1620" spans="1:33" s="46" customFormat="1">
      <c r="A1620" s="54"/>
      <c r="B1620" s="16"/>
      <c r="C1620" s="55"/>
      <c r="D1620" s="56"/>
      <c r="E1620" s="16"/>
      <c r="F1620" s="16"/>
      <c r="G1620" s="16"/>
      <c r="H1620" s="54"/>
      <c r="I1620" s="16"/>
      <c r="J1620" s="54"/>
      <c r="K1620" s="42"/>
      <c r="L1620" s="16"/>
      <c r="M1620" s="16"/>
      <c r="AA1620" s="14">
        <f t="shared" si="50"/>
        <v>0</v>
      </c>
      <c r="AB1620" s="47">
        <f t="shared" si="51"/>
        <v>-1</v>
      </c>
      <c r="AD1620" s="53"/>
      <c r="AE1620" s="53"/>
      <c r="AF1620" s="53"/>
      <c r="AG1620" s="53"/>
    </row>
    <row r="1621" spans="1:33" s="46" customFormat="1">
      <c r="A1621" s="54"/>
      <c r="B1621" s="16"/>
      <c r="C1621" s="55"/>
      <c r="D1621" s="56"/>
      <c r="E1621" s="16"/>
      <c r="F1621" s="16"/>
      <c r="G1621" s="16"/>
      <c r="H1621" s="54"/>
      <c r="I1621" s="16"/>
      <c r="J1621" s="54"/>
      <c r="K1621" s="42"/>
      <c r="L1621" s="16"/>
      <c r="M1621" s="16"/>
      <c r="AA1621" s="14">
        <f t="shared" si="50"/>
        <v>0</v>
      </c>
      <c r="AB1621" s="47">
        <f t="shared" si="51"/>
        <v>-1</v>
      </c>
      <c r="AD1621" s="53"/>
      <c r="AE1621" s="53"/>
      <c r="AF1621" s="53"/>
      <c r="AG1621" s="53"/>
    </row>
    <row r="1622" spans="1:33" s="46" customFormat="1">
      <c r="A1622" s="54"/>
      <c r="B1622" s="16"/>
      <c r="C1622" s="55"/>
      <c r="D1622" s="56"/>
      <c r="E1622" s="16"/>
      <c r="F1622" s="16"/>
      <c r="G1622" s="16"/>
      <c r="H1622" s="54"/>
      <c r="I1622" s="16"/>
      <c r="J1622" s="54"/>
      <c r="K1622" s="42"/>
      <c r="L1622" s="16"/>
      <c r="M1622" s="16"/>
      <c r="AA1622" s="14">
        <f t="shared" si="50"/>
        <v>0</v>
      </c>
      <c r="AB1622" s="47">
        <f t="shared" si="51"/>
        <v>-1</v>
      </c>
      <c r="AD1622" s="53"/>
      <c r="AE1622" s="53"/>
      <c r="AF1622" s="53"/>
      <c r="AG1622" s="53"/>
    </row>
    <row r="1623" spans="1:33" s="46" customFormat="1">
      <c r="A1623" s="54"/>
      <c r="B1623" s="16"/>
      <c r="C1623" s="55"/>
      <c r="D1623" s="56"/>
      <c r="E1623" s="16"/>
      <c r="F1623" s="16"/>
      <c r="G1623" s="16"/>
      <c r="H1623" s="54"/>
      <c r="I1623" s="16"/>
      <c r="J1623" s="54"/>
      <c r="K1623" s="42"/>
      <c r="L1623" s="16"/>
      <c r="M1623" s="16"/>
      <c r="AA1623" s="14">
        <f t="shared" si="50"/>
        <v>0</v>
      </c>
      <c r="AB1623" s="47">
        <f t="shared" si="51"/>
        <v>-1</v>
      </c>
      <c r="AD1623" s="53"/>
      <c r="AE1623" s="53"/>
      <c r="AF1623" s="53"/>
      <c r="AG1623" s="53"/>
    </row>
    <row r="1624" spans="1:33" s="46" customFormat="1">
      <c r="A1624" s="54"/>
      <c r="B1624" s="16"/>
      <c r="C1624" s="55"/>
      <c r="D1624" s="56"/>
      <c r="E1624" s="16"/>
      <c r="F1624" s="16"/>
      <c r="G1624" s="16"/>
      <c r="H1624" s="54"/>
      <c r="I1624" s="16"/>
      <c r="J1624" s="54"/>
      <c r="K1624" s="42"/>
      <c r="L1624" s="16"/>
      <c r="M1624" s="16"/>
      <c r="AA1624" s="14">
        <f t="shared" si="50"/>
        <v>0</v>
      </c>
      <c r="AB1624" s="47">
        <f t="shared" si="51"/>
        <v>-1</v>
      </c>
      <c r="AD1624" s="53"/>
      <c r="AE1624" s="53"/>
      <c r="AF1624" s="53"/>
      <c r="AG1624" s="53"/>
    </row>
    <row r="1625" spans="1:33" s="46" customFormat="1">
      <c r="A1625" s="54"/>
      <c r="B1625" s="16"/>
      <c r="C1625" s="55"/>
      <c r="D1625" s="56"/>
      <c r="E1625" s="16"/>
      <c r="F1625" s="16"/>
      <c r="G1625" s="16"/>
      <c r="H1625" s="54"/>
      <c r="I1625" s="16"/>
      <c r="J1625" s="54"/>
      <c r="K1625" s="42"/>
      <c r="L1625" s="16"/>
      <c r="M1625" s="16"/>
      <c r="AA1625" s="14">
        <f t="shared" si="50"/>
        <v>0</v>
      </c>
      <c r="AB1625" s="47">
        <f t="shared" si="51"/>
        <v>-1</v>
      </c>
      <c r="AD1625" s="53"/>
      <c r="AE1625" s="53"/>
      <c r="AF1625" s="53"/>
      <c r="AG1625" s="53"/>
    </row>
    <row r="1626" spans="1:33" s="46" customFormat="1">
      <c r="A1626" s="54"/>
      <c r="B1626" s="16"/>
      <c r="C1626" s="55"/>
      <c r="D1626" s="56"/>
      <c r="E1626" s="16"/>
      <c r="F1626" s="16"/>
      <c r="G1626" s="16"/>
      <c r="H1626" s="54"/>
      <c r="I1626" s="16"/>
      <c r="J1626" s="54"/>
      <c r="K1626" s="42"/>
      <c r="L1626" s="16"/>
      <c r="M1626" s="16"/>
      <c r="AA1626" s="14">
        <f t="shared" si="50"/>
        <v>0</v>
      </c>
      <c r="AB1626" s="47">
        <f t="shared" si="51"/>
        <v>-1</v>
      </c>
      <c r="AD1626" s="53"/>
      <c r="AE1626" s="53"/>
      <c r="AF1626" s="53"/>
      <c r="AG1626" s="53"/>
    </row>
    <row r="1627" spans="1:33" s="46" customFormat="1">
      <c r="A1627" s="54"/>
      <c r="B1627" s="16"/>
      <c r="C1627" s="55"/>
      <c r="D1627" s="56"/>
      <c r="E1627" s="16"/>
      <c r="F1627" s="16"/>
      <c r="G1627" s="16"/>
      <c r="H1627" s="54"/>
      <c r="I1627" s="16"/>
      <c r="J1627" s="54"/>
      <c r="K1627" s="42"/>
      <c r="L1627" s="16"/>
      <c r="M1627" s="16"/>
      <c r="AA1627" s="14">
        <f t="shared" si="50"/>
        <v>0</v>
      </c>
      <c r="AB1627" s="47">
        <f t="shared" si="51"/>
        <v>-1</v>
      </c>
      <c r="AD1627" s="53"/>
      <c r="AE1627" s="53"/>
      <c r="AF1627" s="53"/>
      <c r="AG1627" s="53"/>
    </row>
    <row r="1628" spans="1:33" s="46" customFormat="1">
      <c r="A1628" s="54"/>
      <c r="B1628" s="16"/>
      <c r="C1628" s="55"/>
      <c r="D1628" s="56"/>
      <c r="E1628" s="16"/>
      <c r="F1628" s="16"/>
      <c r="G1628" s="16"/>
      <c r="H1628" s="54"/>
      <c r="I1628" s="16"/>
      <c r="J1628" s="54"/>
      <c r="K1628" s="42"/>
      <c r="L1628" s="16"/>
      <c r="M1628" s="16"/>
      <c r="AA1628" s="14">
        <f t="shared" si="50"/>
        <v>0</v>
      </c>
      <c r="AB1628" s="47">
        <f t="shared" si="51"/>
        <v>-1</v>
      </c>
      <c r="AD1628" s="53"/>
      <c r="AE1628" s="53"/>
      <c r="AF1628" s="53"/>
      <c r="AG1628" s="53"/>
    </row>
    <row r="1629" spans="1:33" s="46" customFormat="1">
      <c r="A1629" s="54"/>
      <c r="B1629" s="16"/>
      <c r="C1629" s="55"/>
      <c r="D1629" s="56"/>
      <c r="E1629" s="16"/>
      <c r="F1629" s="16"/>
      <c r="G1629" s="16"/>
      <c r="H1629" s="54"/>
      <c r="I1629" s="16"/>
      <c r="J1629" s="54"/>
      <c r="K1629" s="42"/>
      <c r="L1629" s="16"/>
      <c r="M1629" s="16"/>
      <c r="AA1629" s="14">
        <f t="shared" si="50"/>
        <v>0</v>
      </c>
      <c r="AB1629" s="47">
        <f t="shared" si="51"/>
        <v>-1</v>
      </c>
      <c r="AD1629" s="53"/>
      <c r="AE1629" s="53"/>
      <c r="AF1629" s="53"/>
      <c r="AG1629" s="53"/>
    </row>
    <row r="1630" spans="1:33" s="46" customFormat="1">
      <c r="A1630" s="54"/>
      <c r="B1630" s="16"/>
      <c r="C1630" s="55"/>
      <c r="D1630" s="56"/>
      <c r="E1630" s="16"/>
      <c r="F1630" s="16"/>
      <c r="G1630" s="16"/>
      <c r="H1630" s="54"/>
      <c r="I1630" s="16"/>
      <c r="J1630" s="54"/>
      <c r="K1630" s="42"/>
      <c r="L1630" s="16"/>
      <c r="M1630" s="16"/>
      <c r="AA1630" s="14">
        <f t="shared" si="50"/>
        <v>0</v>
      </c>
      <c r="AB1630" s="47">
        <f t="shared" si="51"/>
        <v>-1</v>
      </c>
      <c r="AD1630" s="53"/>
      <c r="AE1630" s="53"/>
      <c r="AF1630" s="53"/>
      <c r="AG1630" s="53"/>
    </row>
    <row r="1631" spans="1:33" s="46" customFormat="1">
      <c r="A1631" s="54"/>
      <c r="B1631" s="16"/>
      <c r="C1631" s="55"/>
      <c r="D1631" s="56"/>
      <c r="E1631" s="16"/>
      <c r="F1631" s="16"/>
      <c r="G1631" s="16"/>
      <c r="H1631" s="54"/>
      <c r="I1631" s="16"/>
      <c r="J1631" s="54"/>
      <c r="K1631" s="42"/>
      <c r="L1631" s="16"/>
      <c r="M1631" s="16"/>
      <c r="AA1631" s="14">
        <f t="shared" si="50"/>
        <v>0</v>
      </c>
      <c r="AB1631" s="47">
        <f t="shared" si="51"/>
        <v>-1</v>
      </c>
      <c r="AD1631" s="53"/>
      <c r="AE1631" s="53"/>
      <c r="AF1631" s="53"/>
      <c r="AG1631" s="53"/>
    </row>
    <row r="1632" spans="1:33" s="46" customFormat="1">
      <c r="A1632" s="54"/>
      <c r="B1632" s="16"/>
      <c r="C1632" s="55"/>
      <c r="D1632" s="56"/>
      <c r="E1632" s="16"/>
      <c r="F1632" s="16"/>
      <c r="G1632" s="16"/>
      <c r="H1632" s="54"/>
      <c r="I1632" s="16"/>
      <c r="J1632" s="54"/>
      <c r="K1632" s="42"/>
      <c r="L1632" s="16"/>
      <c r="M1632" s="16"/>
      <c r="AA1632" s="14">
        <f t="shared" si="50"/>
        <v>0</v>
      </c>
      <c r="AB1632" s="47">
        <f t="shared" si="51"/>
        <v>-1</v>
      </c>
      <c r="AD1632" s="53"/>
      <c r="AE1632" s="53"/>
      <c r="AF1632" s="53"/>
      <c r="AG1632" s="53"/>
    </row>
    <row r="1633" spans="1:33" s="46" customFormat="1">
      <c r="A1633" s="54"/>
      <c r="B1633" s="16"/>
      <c r="C1633" s="55"/>
      <c r="D1633" s="56"/>
      <c r="E1633" s="16"/>
      <c r="F1633" s="16"/>
      <c r="G1633" s="16"/>
      <c r="H1633" s="54"/>
      <c r="I1633" s="16"/>
      <c r="J1633" s="54"/>
      <c r="K1633" s="42"/>
      <c r="L1633" s="16"/>
      <c r="M1633" s="16"/>
      <c r="AA1633" s="14">
        <f t="shared" si="50"/>
        <v>0</v>
      </c>
      <c r="AB1633" s="47">
        <f t="shared" si="51"/>
        <v>-1</v>
      </c>
      <c r="AD1633" s="53"/>
      <c r="AE1633" s="53"/>
      <c r="AF1633" s="53"/>
      <c r="AG1633" s="53"/>
    </row>
    <row r="1634" spans="1:33" s="46" customFormat="1">
      <c r="A1634" s="54"/>
      <c r="B1634" s="16"/>
      <c r="C1634" s="55"/>
      <c r="D1634" s="56"/>
      <c r="E1634" s="16"/>
      <c r="F1634" s="16"/>
      <c r="G1634" s="16"/>
      <c r="H1634" s="54"/>
      <c r="I1634" s="16"/>
      <c r="J1634" s="54"/>
      <c r="K1634" s="42"/>
      <c r="L1634" s="16"/>
      <c r="M1634" s="16"/>
      <c r="AA1634" s="14">
        <f t="shared" si="50"/>
        <v>0</v>
      </c>
      <c r="AB1634" s="47">
        <f t="shared" si="51"/>
        <v>-1</v>
      </c>
      <c r="AD1634" s="53"/>
      <c r="AE1634" s="53"/>
      <c r="AF1634" s="53"/>
      <c r="AG1634" s="53"/>
    </row>
    <row r="1635" spans="1:33" s="46" customFormat="1">
      <c r="A1635" s="54"/>
      <c r="B1635" s="16"/>
      <c r="C1635" s="55"/>
      <c r="D1635" s="56"/>
      <c r="E1635" s="16"/>
      <c r="F1635" s="16"/>
      <c r="G1635" s="16"/>
      <c r="H1635" s="54"/>
      <c r="I1635" s="16"/>
      <c r="J1635" s="54"/>
      <c r="K1635" s="42"/>
      <c r="L1635" s="16"/>
      <c r="M1635" s="16"/>
      <c r="AA1635" s="14">
        <f t="shared" si="50"/>
        <v>0</v>
      </c>
      <c r="AB1635" s="47">
        <f t="shared" si="51"/>
        <v>-1</v>
      </c>
      <c r="AD1635" s="53"/>
      <c r="AE1635" s="53"/>
      <c r="AF1635" s="53"/>
      <c r="AG1635" s="53"/>
    </row>
    <row r="1636" spans="1:33" s="46" customFormat="1">
      <c r="A1636" s="54"/>
      <c r="B1636" s="16"/>
      <c r="C1636" s="55"/>
      <c r="D1636" s="56"/>
      <c r="E1636" s="16"/>
      <c r="F1636" s="16"/>
      <c r="G1636" s="16"/>
      <c r="H1636" s="54"/>
      <c r="I1636" s="16"/>
      <c r="J1636" s="54"/>
      <c r="K1636" s="42"/>
      <c r="L1636" s="16"/>
      <c r="M1636" s="16"/>
      <c r="AA1636" s="14">
        <f t="shared" si="50"/>
        <v>0</v>
      </c>
      <c r="AB1636" s="47">
        <f t="shared" si="51"/>
        <v>-1</v>
      </c>
      <c r="AD1636" s="53"/>
      <c r="AE1636" s="53"/>
      <c r="AF1636" s="53"/>
      <c r="AG1636" s="53"/>
    </row>
    <row r="1637" spans="1:33" s="46" customFormat="1">
      <c r="A1637" s="54"/>
      <c r="B1637" s="16"/>
      <c r="C1637" s="55"/>
      <c r="D1637" s="56"/>
      <c r="E1637" s="16"/>
      <c r="F1637" s="16"/>
      <c r="G1637" s="16"/>
      <c r="H1637" s="54"/>
      <c r="I1637" s="16"/>
      <c r="J1637" s="54"/>
      <c r="K1637" s="42"/>
      <c r="L1637" s="16"/>
      <c r="M1637" s="16"/>
      <c r="AA1637" s="14">
        <f t="shared" si="50"/>
        <v>0</v>
      </c>
      <c r="AB1637" s="47">
        <f t="shared" si="51"/>
        <v>-1</v>
      </c>
      <c r="AD1637" s="53"/>
      <c r="AE1637" s="53"/>
      <c r="AF1637" s="53"/>
      <c r="AG1637" s="53"/>
    </row>
    <row r="1638" spans="1:33" s="46" customFormat="1">
      <c r="A1638" s="54"/>
      <c r="B1638" s="16"/>
      <c r="C1638" s="55"/>
      <c r="D1638" s="56"/>
      <c r="E1638" s="16"/>
      <c r="F1638" s="16"/>
      <c r="G1638" s="16"/>
      <c r="H1638" s="54"/>
      <c r="I1638" s="16"/>
      <c r="J1638" s="54"/>
      <c r="K1638" s="42"/>
      <c r="L1638" s="16"/>
      <c r="M1638" s="16"/>
      <c r="AA1638" s="14">
        <f t="shared" si="50"/>
        <v>0</v>
      </c>
      <c r="AB1638" s="47">
        <f t="shared" si="51"/>
        <v>-1</v>
      </c>
      <c r="AD1638" s="53"/>
      <c r="AE1638" s="53"/>
      <c r="AF1638" s="53"/>
      <c r="AG1638" s="53"/>
    </row>
    <row r="1639" spans="1:33" s="46" customFormat="1">
      <c r="A1639" s="54"/>
      <c r="B1639" s="16"/>
      <c r="C1639" s="55"/>
      <c r="D1639" s="56"/>
      <c r="E1639" s="16"/>
      <c r="F1639" s="16"/>
      <c r="G1639" s="16"/>
      <c r="H1639" s="54"/>
      <c r="I1639" s="16"/>
      <c r="J1639" s="54"/>
      <c r="K1639" s="42"/>
      <c r="L1639" s="16"/>
      <c r="M1639" s="16"/>
      <c r="AA1639" s="14">
        <f t="shared" si="50"/>
        <v>0</v>
      </c>
      <c r="AB1639" s="47">
        <f t="shared" si="51"/>
        <v>-1</v>
      </c>
      <c r="AD1639" s="53"/>
      <c r="AE1639" s="53"/>
      <c r="AF1639" s="53"/>
      <c r="AG1639" s="53"/>
    </row>
    <row r="1640" spans="1:33" s="46" customFormat="1">
      <c r="A1640" s="54"/>
      <c r="B1640" s="16"/>
      <c r="C1640" s="55"/>
      <c r="D1640" s="56"/>
      <c r="E1640" s="16"/>
      <c r="F1640" s="16"/>
      <c r="G1640" s="16"/>
      <c r="H1640" s="54"/>
      <c r="I1640" s="16"/>
      <c r="J1640" s="54"/>
      <c r="K1640" s="42"/>
      <c r="L1640" s="16"/>
      <c r="M1640" s="16"/>
      <c r="AA1640" s="14">
        <f t="shared" ref="AA1640:AA1703" si="52">C1640-C1639</f>
        <v>0</v>
      </c>
      <c r="AB1640" s="47">
        <f t="shared" ref="AB1640:AB1703" si="53">AA1640-1</f>
        <v>-1</v>
      </c>
      <c r="AD1640" s="53"/>
      <c r="AE1640" s="53"/>
      <c r="AF1640" s="53"/>
      <c r="AG1640" s="53"/>
    </row>
    <row r="1641" spans="1:33" s="46" customFormat="1">
      <c r="A1641" s="54"/>
      <c r="B1641" s="16"/>
      <c r="C1641" s="55"/>
      <c r="D1641" s="56"/>
      <c r="E1641" s="16"/>
      <c r="F1641" s="16"/>
      <c r="G1641" s="16"/>
      <c r="H1641" s="54"/>
      <c r="I1641" s="16"/>
      <c r="J1641" s="54"/>
      <c r="K1641" s="42"/>
      <c r="L1641" s="16"/>
      <c r="M1641" s="16"/>
      <c r="AA1641" s="14">
        <f t="shared" si="52"/>
        <v>0</v>
      </c>
      <c r="AB1641" s="47">
        <f t="shared" si="53"/>
        <v>-1</v>
      </c>
      <c r="AD1641" s="53"/>
      <c r="AE1641" s="53"/>
      <c r="AF1641" s="53"/>
      <c r="AG1641" s="53"/>
    </row>
    <row r="1642" spans="1:33" s="46" customFormat="1">
      <c r="A1642" s="54"/>
      <c r="B1642" s="16"/>
      <c r="C1642" s="55"/>
      <c r="D1642" s="56"/>
      <c r="E1642" s="16"/>
      <c r="F1642" s="16"/>
      <c r="G1642" s="16"/>
      <c r="H1642" s="54"/>
      <c r="I1642" s="16"/>
      <c r="J1642" s="54"/>
      <c r="K1642" s="42"/>
      <c r="L1642" s="16"/>
      <c r="M1642" s="16"/>
      <c r="AA1642" s="14">
        <f t="shared" si="52"/>
        <v>0</v>
      </c>
      <c r="AB1642" s="47">
        <f t="shared" si="53"/>
        <v>-1</v>
      </c>
      <c r="AD1642" s="53"/>
      <c r="AE1642" s="53"/>
      <c r="AF1642" s="53"/>
      <c r="AG1642" s="53"/>
    </row>
    <row r="1643" spans="1:33" s="46" customFormat="1">
      <c r="A1643" s="54"/>
      <c r="B1643" s="16"/>
      <c r="C1643" s="55"/>
      <c r="D1643" s="56"/>
      <c r="E1643" s="16"/>
      <c r="F1643" s="16"/>
      <c r="G1643" s="16"/>
      <c r="H1643" s="54"/>
      <c r="I1643" s="16"/>
      <c r="J1643" s="54"/>
      <c r="K1643" s="42"/>
      <c r="L1643" s="16"/>
      <c r="M1643" s="16"/>
      <c r="AA1643" s="14">
        <f t="shared" si="52"/>
        <v>0</v>
      </c>
      <c r="AB1643" s="47">
        <f t="shared" si="53"/>
        <v>-1</v>
      </c>
      <c r="AD1643" s="53"/>
      <c r="AE1643" s="53"/>
      <c r="AF1643" s="53"/>
      <c r="AG1643" s="53"/>
    </row>
    <row r="1644" spans="1:33" s="46" customFormat="1">
      <c r="A1644" s="54"/>
      <c r="B1644" s="16"/>
      <c r="C1644" s="55"/>
      <c r="D1644" s="56"/>
      <c r="E1644" s="16"/>
      <c r="F1644" s="16"/>
      <c r="G1644" s="16"/>
      <c r="H1644" s="54"/>
      <c r="I1644" s="16"/>
      <c r="J1644" s="54"/>
      <c r="K1644" s="42"/>
      <c r="L1644" s="16"/>
      <c r="M1644" s="16"/>
      <c r="AA1644" s="14">
        <f t="shared" si="52"/>
        <v>0</v>
      </c>
      <c r="AB1644" s="47">
        <f t="shared" si="53"/>
        <v>-1</v>
      </c>
      <c r="AD1644" s="53"/>
      <c r="AE1644" s="53"/>
      <c r="AF1644" s="53"/>
      <c r="AG1644" s="53"/>
    </row>
    <row r="1645" spans="1:33" s="46" customFormat="1">
      <c r="A1645" s="54"/>
      <c r="B1645" s="16"/>
      <c r="C1645" s="55"/>
      <c r="D1645" s="56"/>
      <c r="E1645" s="16"/>
      <c r="F1645" s="16"/>
      <c r="G1645" s="16"/>
      <c r="H1645" s="54"/>
      <c r="I1645" s="16"/>
      <c r="J1645" s="54"/>
      <c r="K1645" s="42"/>
      <c r="L1645" s="16"/>
      <c r="M1645" s="16"/>
      <c r="AA1645" s="14">
        <f t="shared" si="52"/>
        <v>0</v>
      </c>
      <c r="AB1645" s="47">
        <f t="shared" si="53"/>
        <v>-1</v>
      </c>
      <c r="AD1645" s="53"/>
      <c r="AE1645" s="53"/>
      <c r="AF1645" s="53"/>
      <c r="AG1645" s="53"/>
    </row>
    <row r="1646" spans="1:33" s="46" customFormat="1">
      <c r="A1646" s="54"/>
      <c r="B1646" s="16"/>
      <c r="C1646" s="55"/>
      <c r="D1646" s="56"/>
      <c r="E1646" s="16"/>
      <c r="F1646" s="16"/>
      <c r="G1646" s="16"/>
      <c r="H1646" s="54"/>
      <c r="I1646" s="16"/>
      <c r="J1646" s="54"/>
      <c r="K1646" s="42"/>
      <c r="L1646" s="16"/>
      <c r="M1646" s="16"/>
      <c r="AA1646" s="14">
        <f t="shared" si="52"/>
        <v>0</v>
      </c>
      <c r="AB1646" s="47">
        <f t="shared" si="53"/>
        <v>-1</v>
      </c>
      <c r="AD1646" s="53"/>
      <c r="AE1646" s="53"/>
      <c r="AF1646" s="53"/>
      <c r="AG1646" s="53"/>
    </row>
    <row r="1647" spans="1:33" s="46" customFormat="1">
      <c r="A1647" s="54"/>
      <c r="B1647" s="16"/>
      <c r="C1647" s="55"/>
      <c r="D1647" s="56"/>
      <c r="E1647" s="16"/>
      <c r="F1647" s="16"/>
      <c r="G1647" s="16"/>
      <c r="H1647" s="54"/>
      <c r="I1647" s="16"/>
      <c r="J1647" s="54"/>
      <c r="K1647" s="42"/>
      <c r="L1647" s="16"/>
      <c r="M1647" s="16"/>
      <c r="AA1647" s="14">
        <f t="shared" si="52"/>
        <v>0</v>
      </c>
      <c r="AB1647" s="47">
        <f t="shared" si="53"/>
        <v>-1</v>
      </c>
      <c r="AD1647" s="53"/>
      <c r="AE1647" s="53"/>
      <c r="AF1647" s="53"/>
      <c r="AG1647" s="53"/>
    </row>
    <row r="1648" spans="1:33" s="46" customFormat="1">
      <c r="A1648" s="54"/>
      <c r="B1648" s="16"/>
      <c r="C1648" s="55"/>
      <c r="D1648" s="56"/>
      <c r="E1648" s="16"/>
      <c r="F1648" s="16"/>
      <c r="G1648" s="16"/>
      <c r="H1648" s="54"/>
      <c r="I1648" s="16"/>
      <c r="J1648" s="54"/>
      <c r="K1648" s="42"/>
      <c r="L1648" s="16"/>
      <c r="M1648" s="16"/>
      <c r="AA1648" s="14">
        <f t="shared" si="52"/>
        <v>0</v>
      </c>
      <c r="AB1648" s="47">
        <f t="shared" si="53"/>
        <v>-1</v>
      </c>
      <c r="AD1648" s="53"/>
      <c r="AE1648" s="53"/>
      <c r="AF1648" s="53"/>
      <c r="AG1648" s="53"/>
    </row>
    <row r="1649" spans="1:33" s="46" customFormat="1">
      <c r="A1649" s="54"/>
      <c r="B1649" s="16"/>
      <c r="C1649" s="55"/>
      <c r="D1649" s="56"/>
      <c r="E1649" s="16"/>
      <c r="F1649" s="16"/>
      <c r="G1649" s="16"/>
      <c r="H1649" s="54"/>
      <c r="I1649" s="16"/>
      <c r="J1649" s="54"/>
      <c r="K1649" s="42"/>
      <c r="L1649" s="16"/>
      <c r="M1649" s="16"/>
      <c r="AA1649" s="14">
        <f t="shared" si="52"/>
        <v>0</v>
      </c>
      <c r="AB1649" s="47">
        <f t="shared" si="53"/>
        <v>-1</v>
      </c>
      <c r="AD1649" s="53"/>
      <c r="AE1649" s="53"/>
      <c r="AF1649" s="53"/>
      <c r="AG1649" s="53"/>
    </row>
    <row r="1650" spans="1:33" s="46" customFormat="1">
      <c r="A1650" s="54"/>
      <c r="B1650" s="16"/>
      <c r="C1650" s="55"/>
      <c r="D1650" s="56"/>
      <c r="E1650" s="16"/>
      <c r="F1650" s="16"/>
      <c r="G1650" s="16"/>
      <c r="H1650" s="54"/>
      <c r="I1650" s="16"/>
      <c r="J1650" s="54"/>
      <c r="K1650" s="42"/>
      <c r="L1650" s="16"/>
      <c r="M1650" s="16"/>
      <c r="AA1650" s="14">
        <f t="shared" si="52"/>
        <v>0</v>
      </c>
      <c r="AB1650" s="47">
        <f t="shared" si="53"/>
        <v>-1</v>
      </c>
      <c r="AD1650" s="53"/>
      <c r="AE1650" s="53"/>
      <c r="AF1650" s="53"/>
      <c r="AG1650" s="53"/>
    </row>
    <row r="1651" spans="1:33" s="46" customFormat="1">
      <c r="A1651" s="54"/>
      <c r="B1651" s="16"/>
      <c r="C1651" s="55"/>
      <c r="D1651" s="56"/>
      <c r="E1651" s="16"/>
      <c r="F1651" s="16"/>
      <c r="G1651" s="16"/>
      <c r="H1651" s="54"/>
      <c r="I1651" s="16"/>
      <c r="J1651" s="54"/>
      <c r="K1651" s="42"/>
      <c r="L1651" s="16"/>
      <c r="M1651" s="16"/>
      <c r="AA1651" s="14">
        <f t="shared" si="52"/>
        <v>0</v>
      </c>
      <c r="AB1651" s="47">
        <f t="shared" si="53"/>
        <v>-1</v>
      </c>
      <c r="AD1651" s="53"/>
      <c r="AE1651" s="53"/>
      <c r="AF1651" s="53"/>
      <c r="AG1651" s="53"/>
    </row>
    <row r="1652" spans="1:33" s="46" customFormat="1">
      <c r="A1652" s="54"/>
      <c r="B1652" s="16"/>
      <c r="C1652" s="55"/>
      <c r="D1652" s="56"/>
      <c r="E1652" s="16"/>
      <c r="F1652" s="16"/>
      <c r="G1652" s="16"/>
      <c r="H1652" s="54"/>
      <c r="I1652" s="16"/>
      <c r="J1652" s="54"/>
      <c r="K1652" s="42"/>
      <c r="L1652" s="16"/>
      <c r="M1652" s="16"/>
      <c r="AA1652" s="14">
        <f t="shared" si="52"/>
        <v>0</v>
      </c>
      <c r="AB1652" s="47">
        <f t="shared" si="53"/>
        <v>-1</v>
      </c>
      <c r="AD1652" s="53"/>
      <c r="AE1652" s="53"/>
      <c r="AF1652" s="53"/>
      <c r="AG1652" s="53"/>
    </row>
    <row r="1653" spans="1:33" s="46" customFormat="1">
      <c r="A1653" s="54"/>
      <c r="B1653" s="16"/>
      <c r="C1653" s="55"/>
      <c r="D1653" s="56"/>
      <c r="E1653" s="16"/>
      <c r="F1653" s="16"/>
      <c r="G1653" s="16"/>
      <c r="H1653" s="54"/>
      <c r="I1653" s="16"/>
      <c r="J1653" s="54"/>
      <c r="K1653" s="42"/>
      <c r="L1653" s="16"/>
      <c r="M1653" s="16"/>
      <c r="AA1653" s="14">
        <f t="shared" si="52"/>
        <v>0</v>
      </c>
      <c r="AB1653" s="47">
        <f t="shared" si="53"/>
        <v>-1</v>
      </c>
      <c r="AD1653" s="53"/>
      <c r="AE1653" s="53"/>
      <c r="AF1653" s="53"/>
      <c r="AG1653" s="53"/>
    </row>
    <row r="1654" spans="1:33" s="46" customFormat="1">
      <c r="A1654" s="54"/>
      <c r="B1654" s="16"/>
      <c r="C1654" s="55"/>
      <c r="D1654" s="56"/>
      <c r="E1654" s="16"/>
      <c r="F1654" s="16"/>
      <c r="G1654" s="16"/>
      <c r="H1654" s="54"/>
      <c r="I1654" s="16"/>
      <c r="J1654" s="54"/>
      <c r="K1654" s="42"/>
      <c r="L1654" s="16"/>
      <c r="M1654" s="16"/>
      <c r="AA1654" s="14">
        <f t="shared" si="52"/>
        <v>0</v>
      </c>
      <c r="AB1654" s="47">
        <f t="shared" si="53"/>
        <v>-1</v>
      </c>
      <c r="AD1654" s="53"/>
      <c r="AE1654" s="53"/>
      <c r="AF1654" s="53"/>
      <c r="AG1654" s="53"/>
    </row>
    <row r="1655" spans="1:33" s="46" customFormat="1">
      <c r="A1655" s="54"/>
      <c r="B1655" s="16"/>
      <c r="C1655" s="55"/>
      <c r="D1655" s="56"/>
      <c r="E1655" s="16"/>
      <c r="F1655" s="16"/>
      <c r="G1655" s="16"/>
      <c r="H1655" s="54"/>
      <c r="I1655" s="16"/>
      <c r="J1655" s="54"/>
      <c r="K1655" s="42"/>
      <c r="L1655" s="16"/>
      <c r="M1655" s="16"/>
      <c r="AA1655" s="14">
        <f t="shared" si="52"/>
        <v>0</v>
      </c>
      <c r="AB1655" s="47">
        <f t="shared" si="53"/>
        <v>-1</v>
      </c>
      <c r="AD1655" s="53"/>
      <c r="AE1655" s="53"/>
      <c r="AF1655" s="53"/>
      <c r="AG1655" s="53"/>
    </row>
    <row r="1656" spans="1:33" s="46" customFormat="1">
      <c r="A1656" s="54"/>
      <c r="B1656" s="16"/>
      <c r="C1656" s="55"/>
      <c r="D1656" s="56"/>
      <c r="E1656" s="16"/>
      <c r="F1656" s="16"/>
      <c r="G1656" s="16"/>
      <c r="H1656" s="54"/>
      <c r="I1656" s="16"/>
      <c r="J1656" s="54"/>
      <c r="K1656" s="42"/>
      <c r="L1656" s="16"/>
      <c r="M1656" s="16"/>
      <c r="AA1656" s="14">
        <f t="shared" si="52"/>
        <v>0</v>
      </c>
      <c r="AB1656" s="47">
        <f t="shared" si="53"/>
        <v>-1</v>
      </c>
      <c r="AD1656" s="53"/>
      <c r="AE1656" s="53"/>
      <c r="AF1656" s="53"/>
      <c r="AG1656" s="53"/>
    </row>
    <row r="1657" spans="1:33" s="46" customFormat="1">
      <c r="A1657" s="54"/>
      <c r="B1657" s="16"/>
      <c r="C1657" s="55"/>
      <c r="D1657" s="56"/>
      <c r="E1657" s="16"/>
      <c r="F1657" s="16"/>
      <c r="G1657" s="16"/>
      <c r="H1657" s="54"/>
      <c r="I1657" s="16"/>
      <c r="J1657" s="54"/>
      <c r="K1657" s="42"/>
      <c r="L1657" s="16"/>
      <c r="M1657" s="16"/>
      <c r="AA1657" s="14">
        <f t="shared" si="52"/>
        <v>0</v>
      </c>
      <c r="AB1657" s="47">
        <f t="shared" si="53"/>
        <v>-1</v>
      </c>
      <c r="AD1657" s="53"/>
      <c r="AE1657" s="53"/>
      <c r="AF1657" s="53"/>
      <c r="AG1657" s="53"/>
    </row>
    <row r="1658" spans="1:33" s="46" customFormat="1">
      <c r="A1658" s="54"/>
      <c r="B1658" s="16"/>
      <c r="C1658" s="55"/>
      <c r="D1658" s="56"/>
      <c r="E1658" s="16"/>
      <c r="F1658" s="16"/>
      <c r="G1658" s="16"/>
      <c r="H1658" s="54"/>
      <c r="I1658" s="16"/>
      <c r="J1658" s="54"/>
      <c r="K1658" s="42"/>
      <c r="L1658" s="16"/>
      <c r="M1658" s="16"/>
      <c r="AA1658" s="14">
        <f t="shared" si="52"/>
        <v>0</v>
      </c>
      <c r="AB1658" s="47">
        <f t="shared" si="53"/>
        <v>-1</v>
      </c>
      <c r="AD1658" s="53"/>
      <c r="AE1658" s="53"/>
      <c r="AF1658" s="53"/>
      <c r="AG1658" s="53"/>
    </row>
    <row r="1659" spans="1:33" s="46" customFormat="1">
      <c r="A1659" s="54"/>
      <c r="B1659" s="16"/>
      <c r="C1659" s="55"/>
      <c r="D1659" s="56"/>
      <c r="E1659" s="16"/>
      <c r="F1659" s="16"/>
      <c r="G1659" s="16"/>
      <c r="H1659" s="54"/>
      <c r="I1659" s="16"/>
      <c r="J1659" s="54"/>
      <c r="K1659" s="42"/>
      <c r="L1659" s="16"/>
      <c r="M1659" s="16"/>
      <c r="AA1659" s="14">
        <f t="shared" si="52"/>
        <v>0</v>
      </c>
      <c r="AB1659" s="47">
        <f t="shared" si="53"/>
        <v>-1</v>
      </c>
      <c r="AD1659" s="53"/>
      <c r="AE1659" s="53"/>
      <c r="AF1659" s="53"/>
      <c r="AG1659" s="53"/>
    </row>
    <row r="1660" spans="1:33" s="46" customFormat="1">
      <c r="A1660" s="54"/>
      <c r="B1660" s="16"/>
      <c r="C1660" s="55"/>
      <c r="D1660" s="56"/>
      <c r="E1660" s="16"/>
      <c r="F1660" s="16"/>
      <c r="G1660" s="16"/>
      <c r="H1660" s="54"/>
      <c r="I1660" s="16"/>
      <c r="J1660" s="54"/>
      <c r="K1660" s="42"/>
      <c r="L1660" s="16"/>
      <c r="M1660" s="16"/>
      <c r="AA1660" s="14">
        <f t="shared" si="52"/>
        <v>0</v>
      </c>
      <c r="AB1660" s="47">
        <f t="shared" si="53"/>
        <v>-1</v>
      </c>
      <c r="AD1660" s="53"/>
      <c r="AE1660" s="53"/>
      <c r="AF1660" s="53"/>
      <c r="AG1660" s="53"/>
    </row>
    <row r="1661" spans="1:33" s="46" customFormat="1">
      <c r="A1661" s="54"/>
      <c r="B1661" s="16"/>
      <c r="C1661" s="55"/>
      <c r="D1661" s="56"/>
      <c r="E1661" s="16"/>
      <c r="F1661" s="16"/>
      <c r="G1661" s="16"/>
      <c r="H1661" s="54"/>
      <c r="I1661" s="16"/>
      <c r="J1661" s="54"/>
      <c r="K1661" s="42"/>
      <c r="L1661" s="16"/>
      <c r="M1661" s="16"/>
      <c r="AA1661" s="14">
        <f t="shared" si="52"/>
        <v>0</v>
      </c>
      <c r="AB1661" s="47">
        <f t="shared" si="53"/>
        <v>-1</v>
      </c>
      <c r="AD1661" s="53"/>
      <c r="AE1661" s="53"/>
      <c r="AF1661" s="53"/>
      <c r="AG1661" s="53"/>
    </row>
    <row r="1662" spans="1:33" s="46" customFormat="1">
      <c r="A1662" s="54"/>
      <c r="B1662" s="16"/>
      <c r="C1662" s="55"/>
      <c r="D1662" s="56"/>
      <c r="E1662" s="16"/>
      <c r="F1662" s="16"/>
      <c r="G1662" s="16"/>
      <c r="H1662" s="54"/>
      <c r="I1662" s="16"/>
      <c r="J1662" s="54"/>
      <c r="K1662" s="42"/>
      <c r="L1662" s="16"/>
      <c r="M1662" s="16"/>
      <c r="AA1662" s="14">
        <f t="shared" si="52"/>
        <v>0</v>
      </c>
      <c r="AB1662" s="47">
        <f t="shared" si="53"/>
        <v>-1</v>
      </c>
      <c r="AD1662" s="53"/>
      <c r="AE1662" s="53"/>
      <c r="AF1662" s="53"/>
      <c r="AG1662" s="53"/>
    </row>
    <row r="1663" spans="1:33" s="46" customFormat="1">
      <c r="A1663" s="54"/>
      <c r="B1663" s="16"/>
      <c r="C1663" s="55"/>
      <c r="D1663" s="56"/>
      <c r="E1663" s="16"/>
      <c r="F1663" s="16"/>
      <c r="G1663" s="16"/>
      <c r="H1663" s="54"/>
      <c r="I1663" s="16"/>
      <c r="J1663" s="54"/>
      <c r="K1663" s="42"/>
      <c r="L1663" s="16"/>
      <c r="M1663" s="16"/>
      <c r="AA1663" s="14">
        <f t="shared" si="52"/>
        <v>0</v>
      </c>
      <c r="AB1663" s="47">
        <f t="shared" si="53"/>
        <v>-1</v>
      </c>
      <c r="AD1663" s="53"/>
      <c r="AE1663" s="53"/>
      <c r="AF1663" s="53"/>
      <c r="AG1663" s="53"/>
    </row>
    <row r="1664" spans="1:33" s="46" customFormat="1">
      <c r="A1664" s="54"/>
      <c r="B1664" s="16"/>
      <c r="C1664" s="55"/>
      <c r="D1664" s="56"/>
      <c r="E1664" s="16"/>
      <c r="F1664" s="16"/>
      <c r="G1664" s="16"/>
      <c r="H1664" s="54"/>
      <c r="I1664" s="16"/>
      <c r="J1664" s="54"/>
      <c r="K1664" s="42"/>
      <c r="L1664" s="16"/>
      <c r="M1664" s="16"/>
      <c r="AA1664" s="14">
        <f t="shared" si="52"/>
        <v>0</v>
      </c>
      <c r="AB1664" s="47">
        <f t="shared" si="53"/>
        <v>-1</v>
      </c>
      <c r="AD1664" s="53"/>
      <c r="AE1664" s="53"/>
      <c r="AF1664" s="53"/>
      <c r="AG1664" s="53"/>
    </row>
    <row r="1665" spans="1:33" s="46" customFormat="1">
      <c r="A1665" s="54"/>
      <c r="B1665" s="16"/>
      <c r="C1665" s="55"/>
      <c r="D1665" s="56"/>
      <c r="E1665" s="16"/>
      <c r="F1665" s="16"/>
      <c r="G1665" s="16"/>
      <c r="H1665" s="54"/>
      <c r="I1665" s="16"/>
      <c r="J1665" s="54"/>
      <c r="K1665" s="42"/>
      <c r="L1665" s="16"/>
      <c r="M1665" s="16"/>
      <c r="AA1665" s="14">
        <f t="shared" si="52"/>
        <v>0</v>
      </c>
      <c r="AB1665" s="47">
        <f t="shared" si="53"/>
        <v>-1</v>
      </c>
      <c r="AD1665" s="53"/>
      <c r="AE1665" s="53"/>
      <c r="AF1665" s="53"/>
      <c r="AG1665" s="53"/>
    </row>
    <row r="1666" spans="1:33" s="46" customFormat="1">
      <c r="A1666" s="54"/>
      <c r="B1666" s="16"/>
      <c r="C1666" s="55"/>
      <c r="D1666" s="56"/>
      <c r="E1666" s="16"/>
      <c r="F1666" s="16"/>
      <c r="G1666" s="16"/>
      <c r="H1666" s="54"/>
      <c r="I1666" s="16"/>
      <c r="J1666" s="54"/>
      <c r="K1666" s="42"/>
      <c r="L1666" s="16"/>
      <c r="M1666" s="16"/>
      <c r="AA1666" s="14">
        <f t="shared" si="52"/>
        <v>0</v>
      </c>
      <c r="AB1666" s="47">
        <f t="shared" si="53"/>
        <v>-1</v>
      </c>
      <c r="AD1666" s="53"/>
      <c r="AE1666" s="53"/>
      <c r="AF1666" s="53"/>
      <c r="AG1666" s="53"/>
    </row>
    <row r="1667" spans="1:33" s="46" customFormat="1">
      <c r="A1667" s="54"/>
      <c r="B1667" s="16"/>
      <c r="C1667" s="55"/>
      <c r="D1667" s="56"/>
      <c r="E1667" s="16"/>
      <c r="F1667" s="16"/>
      <c r="G1667" s="16"/>
      <c r="H1667" s="54"/>
      <c r="I1667" s="16"/>
      <c r="J1667" s="54"/>
      <c r="K1667" s="42"/>
      <c r="L1667" s="16"/>
      <c r="M1667" s="16"/>
      <c r="AA1667" s="14">
        <f t="shared" si="52"/>
        <v>0</v>
      </c>
      <c r="AB1667" s="47">
        <f t="shared" si="53"/>
        <v>-1</v>
      </c>
      <c r="AD1667" s="53"/>
      <c r="AE1667" s="53"/>
      <c r="AF1667" s="53"/>
      <c r="AG1667" s="53"/>
    </row>
    <row r="1668" spans="1:33" s="46" customFormat="1">
      <c r="A1668" s="54"/>
      <c r="B1668" s="16"/>
      <c r="C1668" s="55"/>
      <c r="D1668" s="56"/>
      <c r="E1668" s="16"/>
      <c r="F1668" s="16"/>
      <c r="G1668" s="16"/>
      <c r="H1668" s="54"/>
      <c r="I1668" s="16"/>
      <c r="J1668" s="54"/>
      <c r="K1668" s="42"/>
      <c r="L1668" s="16"/>
      <c r="M1668" s="16"/>
      <c r="AA1668" s="14">
        <f t="shared" si="52"/>
        <v>0</v>
      </c>
      <c r="AB1668" s="47">
        <f t="shared" si="53"/>
        <v>-1</v>
      </c>
      <c r="AD1668" s="53"/>
      <c r="AE1668" s="53"/>
      <c r="AF1668" s="53"/>
      <c r="AG1668" s="53"/>
    </row>
    <row r="1669" spans="1:33" s="46" customFormat="1">
      <c r="A1669" s="54"/>
      <c r="B1669" s="16"/>
      <c r="C1669" s="55"/>
      <c r="D1669" s="56"/>
      <c r="E1669" s="16"/>
      <c r="F1669" s="16"/>
      <c r="G1669" s="16"/>
      <c r="H1669" s="54"/>
      <c r="I1669" s="16"/>
      <c r="J1669" s="54"/>
      <c r="K1669" s="42"/>
      <c r="L1669" s="16"/>
      <c r="M1669" s="16"/>
      <c r="AA1669" s="14">
        <f t="shared" si="52"/>
        <v>0</v>
      </c>
      <c r="AB1669" s="47">
        <f t="shared" si="53"/>
        <v>-1</v>
      </c>
      <c r="AD1669" s="53"/>
      <c r="AE1669" s="53"/>
      <c r="AF1669" s="53"/>
      <c r="AG1669" s="53"/>
    </row>
    <row r="1670" spans="1:33" s="46" customFormat="1">
      <c r="A1670" s="54"/>
      <c r="B1670" s="16"/>
      <c r="C1670" s="55"/>
      <c r="D1670" s="56"/>
      <c r="E1670" s="16"/>
      <c r="F1670" s="16"/>
      <c r="G1670" s="16"/>
      <c r="H1670" s="54"/>
      <c r="I1670" s="16"/>
      <c r="J1670" s="54"/>
      <c r="K1670" s="42"/>
      <c r="L1670" s="16"/>
      <c r="M1670" s="16"/>
      <c r="AA1670" s="14">
        <f t="shared" si="52"/>
        <v>0</v>
      </c>
      <c r="AB1670" s="47">
        <f t="shared" si="53"/>
        <v>-1</v>
      </c>
      <c r="AD1670" s="53"/>
      <c r="AE1670" s="53"/>
      <c r="AF1670" s="53"/>
      <c r="AG1670" s="53"/>
    </row>
    <row r="1671" spans="1:33" s="46" customFormat="1">
      <c r="A1671" s="54"/>
      <c r="B1671" s="16"/>
      <c r="C1671" s="55"/>
      <c r="D1671" s="56"/>
      <c r="E1671" s="16"/>
      <c r="F1671" s="16"/>
      <c r="G1671" s="16"/>
      <c r="H1671" s="54"/>
      <c r="I1671" s="16"/>
      <c r="J1671" s="54"/>
      <c r="K1671" s="42"/>
      <c r="L1671" s="16"/>
      <c r="M1671" s="16"/>
      <c r="AA1671" s="14">
        <f t="shared" si="52"/>
        <v>0</v>
      </c>
      <c r="AB1671" s="47">
        <f t="shared" si="53"/>
        <v>-1</v>
      </c>
      <c r="AD1671" s="53"/>
      <c r="AE1671" s="53"/>
      <c r="AF1671" s="53"/>
      <c r="AG1671" s="53"/>
    </row>
    <row r="1672" spans="1:33" s="46" customFormat="1">
      <c r="A1672" s="54"/>
      <c r="B1672" s="16"/>
      <c r="C1672" s="55"/>
      <c r="D1672" s="56"/>
      <c r="E1672" s="16"/>
      <c r="F1672" s="16"/>
      <c r="G1672" s="16"/>
      <c r="H1672" s="54"/>
      <c r="I1672" s="16"/>
      <c r="J1672" s="54"/>
      <c r="K1672" s="42"/>
      <c r="L1672" s="16"/>
      <c r="M1672" s="16"/>
      <c r="AA1672" s="14">
        <f t="shared" si="52"/>
        <v>0</v>
      </c>
      <c r="AB1672" s="47">
        <f t="shared" si="53"/>
        <v>-1</v>
      </c>
      <c r="AD1672" s="53"/>
      <c r="AE1672" s="53"/>
      <c r="AF1672" s="53"/>
      <c r="AG1672" s="53"/>
    </row>
    <row r="1673" spans="1:33" s="46" customFormat="1">
      <c r="A1673" s="54"/>
      <c r="B1673" s="16"/>
      <c r="C1673" s="55"/>
      <c r="D1673" s="56"/>
      <c r="E1673" s="16"/>
      <c r="F1673" s="16"/>
      <c r="G1673" s="16"/>
      <c r="H1673" s="54"/>
      <c r="I1673" s="16"/>
      <c r="J1673" s="54"/>
      <c r="K1673" s="42"/>
      <c r="L1673" s="16"/>
      <c r="M1673" s="16"/>
      <c r="AA1673" s="14">
        <f t="shared" si="52"/>
        <v>0</v>
      </c>
      <c r="AB1673" s="47">
        <f t="shared" si="53"/>
        <v>-1</v>
      </c>
      <c r="AD1673" s="53"/>
      <c r="AE1673" s="53"/>
      <c r="AF1673" s="53"/>
      <c r="AG1673" s="53"/>
    </row>
    <row r="1674" spans="1:33" s="46" customFormat="1">
      <c r="A1674" s="54"/>
      <c r="B1674" s="16"/>
      <c r="C1674" s="55"/>
      <c r="D1674" s="56"/>
      <c r="E1674" s="16"/>
      <c r="F1674" s="16"/>
      <c r="G1674" s="16"/>
      <c r="H1674" s="54"/>
      <c r="I1674" s="16"/>
      <c r="J1674" s="54"/>
      <c r="K1674" s="42"/>
      <c r="L1674" s="16"/>
      <c r="M1674" s="16"/>
      <c r="AA1674" s="14">
        <f t="shared" si="52"/>
        <v>0</v>
      </c>
      <c r="AB1674" s="47">
        <f t="shared" si="53"/>
        <v>-1</v>
      </c>
      <c r="AD1674" s="53"/>
      <c r="AE1674" s="53"/>
      <c r="AF1674" s="53"/>
      <c r="AG1674" s="53"/>
    </row>
    <row r="1675" spans="1:33" s="46" customFormat="1">
      <c r="A1675" s="54"/>
      <c r="B1675" s="16"/>
      <c r="C1675" s="55"/>
      <c r="D1675" s="56"/>
      <c r="E1675" s="16"/>
      <c r="F1675" s="16"/>
      <c r="G1675" s="16"/>
      <c r="H1675" s="54"/>
      <c r="I1675" s="16"/>
      <c r="J1675" s="54"/>
      <c r="K1675" s="42"/>
      <c r="L1675" s="16"/>
      <c r="M1675" s="16"/>
      <c r="AA1675" s="14">
        <f t="shared" si="52"/>
        <v>0</v>
      </c>
      <c r="AB1675" s="47">
        <f t="shared" si="53"/>
        <v>-1</v>
      </c>
      <c r="AD1675" s="53"/>
      <c r="AE1675" s="53"/>
      <c r="AF1675" s="53"/>
      <c r="AG1675" s="53"/>
    </row>
    <row r="1676" spans="1:33" s="46" customFormat="1">
      <c r="A1676" s="54"/>
      <c r="B1676" s="16"/>
      <c r="C1676" s="55"/>
      <c r="D1676" s="56"/>
      <c r="E1676" s="16"/>
      <c r="F1676" s="16"/>
      <c r="G1676" s="16"/>
      <c r="H1676" s="54"/>
      <c r="I1676" s="16"/>
      <c r="J1676" s="54"/>
      <c r="K1676" s="42"/>
      <c r="L1676" s="16"/>
      <c r="M1676" s="16"/>
      <c r="AA1676" s="14">
        <f t="shared" si="52"/>
        <v>0</v>
      </c>
      <c r="AB1676" s="47">
        <f t="shared" si="53"/>
        <v>-1</v>
      </c>
      <c r="AD1676" s="53"/>
      <c r="AE1676" s="53"/>
      <c r="AF1676" s="53"/>
      <c r="AG1676" s="53"/>
    </row>
    <row r="1677" spans="1:33" s="46" customFormat="1">
      <c r="A1677" s="54"/>
      <c r="B1677" s="16"/>
      <c r="C1677" s="55"/>
      <c r="D1677" s="56"/>
      <c r="E1677" s="16"/>
      <c r="F1677" s="16"/>
      <c r="G1677" s="16"/>
      <c r="H1677" s="54"/>
      <c r="I1677" s="16"/>
      <c r="J1677" s="54"/>
      <c r="K1677" s="42"/>
      <c r="L1677" s="16"/>
      <c r="M1677" s="16"/>
      <c r="AA1677" s="14">
        <f t="shared" si="52"/>
        <v>0</v>
      </c>
      <c r="AB1677" s="47">
        <f t="shared" si="53"/>
        <v>-1</v>
      </c>
      <c r="AD1677" s="53"/>
      <c r="AE1677" s="53"/>
      <c r="AF1677" s="53"/>
      <c r="AG1677" s="53"/>
    </row>
    <row r="1678" spans="1:33" s="46" customFormat="1">
      <c r="A1678" s="54"/>
      <c r="B1678" s="16"/>
      <c r="C1678" s="55"/>
      <c r="D1678" s="56"/>
      <c r="E1678" s="16"/>
      <c r="F1678" s="16"/>
      <c r="G1678" s="16"/>
      <c r="H1678" s="54"/>
      <c r="I1678" s="16"/>
      <c r="J1678" s="54"/>
      <c r="K1678" s="42"/>
      <c r="L1678" s="16"/>
      <c r="M1678" s="16"/>
      <c r="AA1678" s="14">
        <f t="shared" si="52"/>
        <v>0</v>
      </c>
      <c r="AB1678" s="47">
        <f t="shared" si="53"/>
        <v>-1</v>
      </c>
      <c r="AD1678" s="53"/>
      <c r="AE1678" s="53"/>
      <c r="AF1678" s="53"/>
      <c r="AG1678" s="53"/>
    </row>
    <row r="1679" spans="1:33" s="46" customFormat="1">
      <c r="A1679" s="54"/>
      <c r="B1679" s="16"/>
      <c r="C1679" s="55"/>
      <c r="D1679" s="56"/>
      <c r="E1679" s="16"/>
      <c r="F1679" s="16"/>
      <c r="G1679" s="16"/>
      <c r="H1679" s="54"/>
      <c r="I1679" s="16"/>
      <c r="J1679" s="54"/>
      <c r="K1679" s="42"/>
      <c r="L1679" s="16"/>
      <c r="M1679" s="16"/>
      <c r="AA1679" s="14">
        <f t="shared" si="52"/>
        <v>0</v>
      </c>
      <c r="AB1679" s="47">
        <f t="shared" si="53"/>
        <v>-1</v>
      </c>
      <c r="AD1679" s="53"/>
      <c r="AE1679" s="53"/>
      <c r="AF1679" s="53"/>
      <c r="AG1679" s="53"/>
    </row>
    <row r="1680" spans="1:33" s="46" customFormat="1">
      <c r="A1680" s="54"/>
      <c r="B1680" s="16"/>
      <c r="C1680" s="55"/>
      <c r="D1680" s="56"/>
      <c r="E1680" s="16"/>
      <c r="F1680" s="16"/>
      <c r="G1680" s="16"/>
      <c r="H1680" s="54"/>
      <c r="I1680" s="16"/>
      <c r="J1680" s="54"/>
      <c r="K1680" s="42"/>
      <c r="L1680" s="16"/>
      <c r="M1680" s="16"/>
      <c r="AA1680" s="14">
        <f t="shared" si="52"/>
        <v>0</v>
      </c>
      <c r="AB1680" s="47">
        <f t="shared" si="53"/>
        <v>-1</v>
      </c>
      <c r="AD1680" s="53"/>
      <c r="AE1680" s="53"/>
      <c r="AF1680" s="53"/>
      <c r="AG1680" s="53"/>
    </row>
    <row r="1681" spans="1:33" s="46" customFormat="1">
      <c r="A1681" s="54"/>
      <c r="B1681" s="16"/>
      <c r="C1681" s="55"/>
      <c r="D1681" s="56"/>
      <c r="E1681" s="16"/>
      <c r="F1681" s="16"/>
      <c r="G1681" s="16"/>
      <c r="H1681" s="54"/>
      <c r="I1681" s="16"/>
      <c r="J1681" s="54"/>
      <c r="K1681" s="42"/>
      <c r="L1681" s="16"/>
      <c r="M1681" s="16"/>
      <c r="AA1681" s="14">
        <f t="shared" si="52"/>
        <v>0</v>
      </c>
      <c r="AB1681" s="47">
        <f t="shared" si="53"/>
        <v>-1</v>
      </c>
      <c r="AD1681" s="53"/>
      <c r="AE1681" s="53"/>
      <c r="AF1681" s="53"/>
      <c r="AG1681" s="53"/>
    </row>
    <row r="1682" spans="1:33" s="46" customFormat="1">
      <c r="A1682" s="54"/>
      <c r="B1682" s="16"/>
      <c r="C1682" s="55"/>
      <c r="D1682" s="56"/>
      <c r="E1682" s="16"/>
      <c r="F1682" s="16"/>
      <c r="G1682" s="16"/>
      <c r="H1682" s="54"/>
      <c r="I1682" s="16"/>
      <c r="J1682" s="54"/>
      <c r="K1682" s="42"/>
      <c r="L1682" s="16"/>
      <c r="M1682" s="16"/>
      <c r="AA1682" s="14">
        <f t="shared" si="52"/>
        <v>0</v>
      </c>
      <c r="AB1682" s="47">
        <f t="shared" si="53"/>
        <v>-1</v>
      </c>
      <c r="AD1682" s="53"/>
      <c r="AE1682" s="53"/>
      <c r="AF1682" s="53"/>
      <c r="AG1682" s="53"/>
    </row>
    <row r="1683" spans="1:33" s="46" customFormat="1">
      <c r="A1683" s="54"/>
      <c r="B1683" s="16"/>
      <c r="C1683" s="55"/>
      <c r="D1683" s="56"/>
      <c r="E1683" s="16"/>
      <c r="F1683" s="16"/>
      <c r="G1683" s="16"/>
      <c r="H1683" s="54"/>
      <c r="I1683" s="16"/>
      <c r="J1683" s="54"/>
      <c r="K1683" s="42"/>
      <c r="L1683" s="16"/>
      <c r="M1683" s="16"/>
      <c r="AA1683" s="14">
        <f t="shared" si="52"/>
        <v>0</v>
      </c>
      <c r="AB1683" s="47">
        <f t="shared" si="53"/>
        <v>-1</v>
      </c>
      <c r="AD1683" s="53"/>
      <c r="AE1683" s="53"/>
      <c r="AF1683" s="53"/>
      <c r="AG1683" s="53"/>
    </row>
    <row r="1684" spans="1:33" s="46" customFormat="1">
      <c r="A1684" s="54"/>
      <c r="B1684" s="16"/>
      <c r="C1684" s="55"/>
      <c r="D1684" s="56"/>
      <c r="E1684" s="16"/>
      <c r="F1684" s="16"/>
      <c r="G1684" s="16"/>
      <c r="H1684" s="54"/>
      <c r="I1684" s="16"/>
      <c r="J1684" s="54"/>
      <c r="K1684" s="42"/>
      <c r="L1684" s="16"/>
      <c r="M1684" s="16"/>
      <c r="AA1684" s="14">
        <f t="shared" si="52"/>
        <v>0</v>
      </c>
      <c r="AB1684" s="47">
        <f t="shared" si="53"/>
        <v>-1</v>
      </c>
      <c r="AD1684" s="53"/>
      <c r="AE1684" s="53"/>
      <c r="AF1684" s="53"/>
      <c r="AG1684" s="53"/>
    </row>
    <row r="1685" spans="1:33" s="46" customFormat="1">
      <c r="A1685" s="54"/>
      <c r="B1685" s="16"/>
      <c r="C1685" s="55"/>
      <c r="D1685" s="56"/>
      <c r="E1685" s="16"/>
      <c r="F1685" s="16"/>
      <c r="G1685" s="16"/>
      <c r="H1685" s="54"/>
      <c r="I1685" s="16"/>
      <c r="J1685" s="54"/>
      <c r="K1685" s="42"/>
      <c r="L1685" s="16"/>
      <c r="M1685" s="16"/>
      <c r="AA1685" s="14">
        <f t="shared" si="52"/>
        <v>0</v>
      </c>
      <c r="AB1685" s="47">
        <f t="shared" si="53"/>
        <v>-1</v>
      </c>
      <c r="AD1685" s="53"/>
      <c r="AE1685" s="53"/>
      <c r="AF1685" s="53"/>
      <c r="AG1685" s="53"/>
    </row>
    <row r="1686" spans="1:33" s="46" customFormat="1">
      <c r="A1686" s="54"/>
      <c r="B1686" s="16"/>
      <c r="C1686" s="55"/>
      <c r="D1686" s="56"/>
      <c r="E1686" s="16"/>
      <c r="F1686" s="16"/>
      <c r="G1686" s="16"/>
      <c r="H1686" s="54"/>
      <c r="I1686" s="16"/>
      <c r="J1686" s="54"/>
      <c r="K1686" s="42"/>
      <c r="L1686" s="16"/>
      <c r="M1686" s="16"/>
      <c r="AA1686" s="14">
        <f t="shared" si="52"/>
        <v>0</v>
      </c>
      <c r="AB1686" s="47">
        <f t="shared" si="53"/>
        <v>-1</v>
      </c>
      <c r="AD1686" s="53"/>
      <c r="AE1686" s="53"/>
      <c r="AF1686" s="53"/>
      <c r="AG1686" s="53"/>
    </row>
    <row r="1687" spans="1:33" s="46" customFormat="1">
      <c r="A1687" s="54"/>
      <c r="B1687" s="16"/>
      <c r="C1687" s="55"/>
      <c r="D1687" s="56"/>
      <c r="E1687" s="16"/>
      <c r="F1687" s="16"/>
      <c r="G1687" s="16"/>
      <c r="H1687" s="54"/>
      <c r="I1687" s="16"/>
      <c r="J1687" s="54"/>
      <c r="K1687" s="42"/>
      <c r="L1687" s="16"/>
      <c r="M1687" s="16"/>
      <c r="AA1687" s="14">
        <f t="shared" si="52"/>
        <v>0</v>
      </c>
      <c r="AB1687" s="47">
        <f t="shared" si="53"/>
        <v>-1</v>
      </c>
      <c r="AD1687" s="53"/>
      <c r="AE1687" s="53"/>
      <c r="AF1687" s="53"/>
      <c r="AG1687" s="53"/>
    </row>
    <row r="1688" spans="1:33" s="46" customFormat="1">
      <c r="A1688" s="54"/>
      <c r="B1688" s="16"/>
      <c r="C1688" s="55"/>
      <c r="D1688" s="56"/>
      <c r="E1688" s="16"/>
      <c r="F1688" s="16"/>
      <c r="G1688" s="16"/>
      <c r="H1688" s="54"/>
      <c r="I1688" s="16"/>
      <c r="J1688" s="54"/>
      <c r="K1688" s="42"/>
      <c r="L1688" s="16"/>
      <c r="M1688" s="16"/>
      <c r="AA1688" s="14">
        <f t="shared" si="52"/>
        <v>0</v>
      </c>
      <c r="AB1688" s="47">
        <f t="shared" si="53"/>
        <v>-1</v>
      </c>
      <c r="AD1688" s="53"/>
      <c r="AE1688" s="53"/>
      <c r="AF1688" s="53"/>
      <c r="AG1688" s="53"/>
    </row>
    <row r="1689" spans="1:33" s="46" customFormat="1">
      <c r="A1689" s="54"/>
      <c r="B1689" s="16"/>
      <c r="C1689" s="55"/>
      <c r="D1689" s="56"/>
      <c r="E1689" s="16"/>
      <c r="F1689" s="16"/>
      <c r="G1689" s="16"/>
      <c r="H1689" s="54"/>
      <c r="I1689" s="16"/>
      <c r="J1689" s="54"/>
      <c r="K1689" s="42"/>
      <c r="L1689" s="16"/>
      <c r="M1689" s="16"/>
      <c r="AA1689" s="14">
        <f t="shared" si="52"/>
        <v>0</v>
      </c>
      <c r="AB1689" s="47">
        <f t="shared" si="53"/>
        <v>-1</v>
      </c>
      <c r="AD1689" s="53"/>
      <c r="AE1689" s="53"/>
      <c r="AF1689" s="53"/>
      <c r="AG1689" s="53"/>
    </row>
    <row r="1690" spans="1:33" s="46" customFormat="1">
      <c r="A1690" s="54"/>
      <c r="B1690" s="16"/>
      <c r="C1690" s="55"/>
      <c r="D1690" s="56"/>
      <c r="E1690" s="16"/>
      <c r="F1690" s="16"/>
      <c r="G1690" s="16"/>
      <c r="H1690" s="54"/>
      <c r="I1690" s="16"/>
      <c r="J1690" s="54"/>
      <c r="K1690" s="42"/>
      <c r="L1690" s="16"/>
      <c r="M1690" s="16"/>
      <c r="AA1690" s="14">
        <f t="shared" si="52"/>
        <v>0</v>
      </c>
      <c r="AB1690" s="47">
        <f t="shared" si="53"/>
        <v>-1</v>
      </c>
      <c r="AD1690" s="53"/>
      <c r="AE1690" s="53"/>
      <c r="AF1690" s="53"/>
      <c r="AG1690" s="53"/>
    </row>
    <row r="1691" spans="1:33" s="46" customFormat="1">
      <c r="A1691" s="54"/>
      <c r="B1691" s="16"/>
      <c r="C1691" s="55"/>
      <c r="D1691" s="56"/>
      <c r="E1691" s="16"/>
      <c r="F1691" s="16"/>
      <c r="G1691" s="16"/>
      <c r="H1691" s="54"/>
      <c r="I1691" s="16"/>
      <c r="J1691" s="54"/>
      <c r="K1691" s="42"/>
      <c r="L1691" s="16"/>
      <c r="M1691" s="16"/>
      <c r="AA1691" s="14">
        <f t="shared" si="52"/>
        <v>0</v>
      </c>
      <c r="AB1691" s="47">
        <f t="shared" si="53"/>
        <v>-1</v>
      </c>
      <c r="AD1691" s="53"/>
      <c r="AE1691" s="53"/>
      <c r="AF1691" s="53"/>
      <c r="AG1691" s="53"/>
    </row>
    <row r="1692" spans="1:33" s="46" customFormat="1">
      <c r="A1692" s="54"/>
      <c r="B1692" s="16"/>
      <c r="C1692" s="55"/>
      <c r="D1692" s="56"/>
      <c r="E1692" s="16"/>
      <c r="F1692" s="16"/>
      <c r="G1692" s="16"/>
      <c r="H1692" s="54"/>
      <c r="I1692" s="16"/>
      <c r="J1692" s="54"/>
      <c r="K1692" s="42"/>
      <c r="L1692" s="16"/>
      <c r="M1692" s="16"/>
      <c r="AA1692" s="14">
        <f t="shared" si="52"/>
        <v>0</v>
      </c>
      <c r="AB1692" s="47">
        <f t="shared" si="53"/>
        <v>-1</v>
      </c>
      <c r="AD1692" s="53"/>
      <c r="AE1692" s="53"/>
      <c r="AF1692" s="53"/>
      <c r="AG1692" s="53"/>
    </row>
    <row r="1693" spans="1:33" s="46" customFormat="1">
      <c r="A1693" s="54"/>
      <c r="B1693" s="16"/>
      <c r="C1693" s="55"/>
      <c r="D1693" s="56"/>
      <c r="E1693" s="16"/>
      <c r="F1693" s="16"/>
      <c r="G1693" s="16"/>
      <c r="H1693" s="54"/>
      <c r="I1693" s="16"/>
      <c r="J1693" s="54"/>
      <c r="K1693" s="42"/>
      <c r="L1693" s="16"/>
      <c r="M1693" s="16"/>
      <c r="AA1693" s="14">
        <f t="shared" si="52"/>
        <v>0</v>
      </c>
      <c r="AB1693" s="47">
        <f t="shared" si="53"/>
        <v>-1</v>
      </c>
      <c r="AD1693" s="53"/>
      <c r="AE1693" s="53"/>
      <c r="AF1693" s="53"/>
      <c r="AG1693" s="53"/>
    </row>
    <row r="1694" spans="1:33" s="46" customFormat="1">
      <c r="A1694" s="54"/>
      <c r="B1694" s="16"/>
      <c r="C1694" s="55"/>
      <c r="D1694" s="56"/>
      <c r="E1694" s="16"/>
      <c r="F1694" s="16"/>
      <c r="G1694" s="16"/>
      <c r="H1694" s="54"/>
      <c r="I1694" s="16"/>
      <c r="J1694" s="54"/>
      <c r="K1694" s="42"/>
      <c r="L1694" s="16"/>
      <c r="M1694" s="16"/>
      <c r="AA1694" s="14">
        <f t="shared" si="52"/>
        <v>0</v>
      </c>
      <c r="AB1694" s="47">
        <f t="shared" si="53"/>
        <v>-1</v>
      </c>
      <c r="AD1694" s="53"/>
      <c r="AE1694" s="53"/>
      <c r="AF1694" s="53"/>
      <c r="AG1694" s="53"/>
    </row>
    <row r="1695" spans="1:33" s="46" customFormat="1">
      <c r="A1695" s="54"/>
      <c r="B1695" s="16"/>
      <c r="C1695" s="55"/>
      <c r="D1695" s="56"/>
      <c r="E1695" s="16"/>
      <c r="F1695" s="16"/>
      <c r="G1695" s="16"/>
      <c r="H1695" s="54"/>
      <c r="I1695" s="16"/>
      <c r="J1695" s="54"/>
      <c r="K1695" s="42"/>
      <c r="L1695" s="16"/>
      <c r="M1695" s="16"/>
      <c r="AA1695" s="14">
        <f t="shared" si="52"/>
        <v>0</v>
      </c>
      <c r="AB1695" s="47">
        <f t="shared" si="53"/>
        <v>-1</v>
      </c>
      <c r="AD1695" s="53"/>
      <c r="AE1695" s="53"/>
      <c r="AF1695" s="53"/>
      <c r="AG1695" s="53"/>
    </row>
    <row r="1696" spans="1:33" s="46" customFormat="1">
      <c r="A1696" s="54"/>
      <c r="B1696" s="16"/>
      <c r="C1696" s="55"/>
      <c r="D1696" s="56"/>
      <c r="E1696" s="16"/>
      <c r="F1696" s="16"/>
      <c r="G1696" s="16"/>
      <c r="H1696" s="54"/>
      <c r="I1696" s="16"/>
      <c r="J1696" s="54"/>
      <c r="K1696" s="42"/>
      <c r="L1696" s="16"/>
      <c r="M1696" s="16"/>
      <c r="AA1696" s="14">
        <f t="shared" si="52"/>
        <v>0</v>
      </c>
      <c r="AB1696" s="47">
        <f t="shared" si="53"/>
        <v>-1</v>
      </c>
      <c r="AD1696" s="53"/>
      <c r="AE1696" s="53"/>
      <c r="AF1696" s="53"/>
      <c r="AG1696" s="53"/>
    </row>
    <row r="1697" spans="1:33" s="46" customFormat="1">
      <c r="A1697" s="54"/>
      <c r="B1697" s="16"/>
      <c r="C1697" s="55"/>
      <c r="D1697" s="56"/>
      <c r="E1697" s="16"/>
      <c r="F1697" s="16"/>
      <c r="G1697" s="16"/>
      <c r="H1697" s="54"/>
      <c r="I1697" s="16"/>
      <c r="J1697" s="54"/>
      <c r="K1697" s="42"/>
      <c r="L1697" s="16"/>
      <c r="M1697" s="16"/>
      <c r="AA1697" s="14">
        <f t="shared" si="52"/>
        <v>0</v>
      </c>
      <c r="AB1697" s="47">
        <f t="shared" si="53"/>
        <v>-1</v>
      </c>
      <c r="AD1697" s="53"/>
      <c r="AE1697" s="53"/>
      <c r="AF1697" s="53"/>
      <c r="AG1697" s="53"/>
    </row>
    <row r="1698" spans="1:33" s="46" customFormat="1">
      <c r="A1698" s="54"/>
      <c r="B1698" s="16"/>
      <c r="C1698" s="55"/>
      <c r="D1698" s="56"/>
      <c r="E1698" s="16"/>
      <c r="F1698" s="16"/>
      <c r="G1698" s="16"/>
      <c r="H1698" s="54"/>
      <c r="I1698" s="16"/>
      <c r="J1698" s="54"/>
      <c r="K1698" s="42"/>
      <c r="L1698" s="16"/>
      <c r="M1698" s="16"/>
      <c r="AA1698" s="14">
        <f t="shared" si="52"/>
        <v>0</v>
      </c>
      <c r="AB1698" s="47">
        <f t="shared" si="53"/>
        <v>-1</v>
      </c>
      <c r="AD1698" s="53"/>
      <c r="AE1698" s="53"/>
      <c r="AF1698" s="53"/>
      <c r="AG1698" s="53"/>
    </row>
    <row r="1699" spans="1:33" s="46" customFormat="1">
      <c r="A1699" s="54"/>
      <c r="B1699" s="16"/>
      <c r="C1699" s="55"/>
      <c r="D1699" s="56"/>
      <c r="E1699" s="16"/>
      <c r="F1699" s="16"/>
      <c r="G1699" s="16"/>
      <c r="H1699" s="54"/>
      <c r="I1699" s="16"/>
      <c r="J1699" s="54"/>
      <c r="K1699" s="42"/>
      <c r="L1699" s="16"/>
      <c r="M1699" s="16"/>
      <c r="AA1699" s="14">
        <f t="shared" si="52"/>
        <v>0</v>
      </c>
      <c r="AB1699" s="47">
        <f t="shared" si="53"/>
        <v>-1</v>
      </c>
      <c r="AD1699" s="53"/>
      <c r="AE1699" s="53"/>
      <c r="AF1699" s="53"/>
      <c r="AG1699" s="53"/>
    </row>
    <row r="1700" spans="1:33" s="46" customFormat="1">
      <c r="A1700" s="54"/>
      <c r="B1700" s="16"/>
      <c r="C1700" s="55"/>
      <c r="D1700" s="56"/>
      <c r="E1700" s="16"/>
      <c r="F1700" s="16"/>
      <c r="G1700" s="16"/>
      <c r="H1700" s="54"/>
      <c r="I1700" s="16"/>
      <c r="J1700" s="54"/>
      <c r="K1700" s="42"/>
      <c r="L1700" s="16"/>
      <c r="M1700" s="16"/>
      <c r="AA1700" s="14">
        <f t="shared" si="52"/>
        <v>0</v>
      </c>
      <c r="AB1700" s="47">
        <f t="shared" si="53"/>
        <v>-1</v>
      </c>
      <c r="AD1700" s="53"/>
      <c r="AE1700" s="53"/>
      <c r="AF1700" s="53"/>
      <c r="AG1700" s="53"/>
    </row>
    <row r="1701" spans="1:33" s="46" customFormat="1">
      <c r="A1701" s="54"/>
      <c r="B1701" s="16"/>
      <c r="C1701" s="55"/>
      <c r="D1701" s="56"/>
      <c r="E1701" s="16"/>
      <c r="F1701" s="16"/>
      <c r="G1701" s="16"/>
      <c r="H1701" s="54"/>
      <c r="I1701" s="16"/>
      <c r="J1701" s="54"/>
      <c r="K1701" s="42"/>
      <c r="L1701" s="16"/>
      <c r="M1701" s="16"/>
      <c r="AA1701" s="14">
        <f t="shared" si="52"/>
        <v>0</v>
      </c>
      <c r="AB1701" s="47">
        <f t="shared" si="53"/>
        <v>-1</v>
      </c>
      <c r="AD1701" s="53"/>
      <c r="AE1701" s="53"/>
      <c r="AF1701" s="53"/>
      <c r="AG1701" s="53"/>
    </row>
    <row r="1702" spans="1:33" s="46" customFormat="1">
      <c r="A1702" s="54"/>
      <c r="B1702" s="16"/>
      <c r="C1702" s="55"/>
      <c r="D1702" s="56"/>
      <c r="E1702" s="16"/>
      <c r="F1702" s="16"/>
      <c r="G1702" s="16"/>
      <c r="H1702" s="54"/>
      <c r="I1702" s="16"/>
      <c r="J1702" s="54"/>
      <c r="K1702" s="42"/>
      <c r="L1702" s="16"/>
      <c r="M1702" s="16"/>
      <c r="AA1702" s="14">
        <f t="shared" si="52"/>
        <v>0</v>
      </c>
      <c r="AB1702" s="47">
        <f t="shared" si="53"/>
        <v>-1</v>
      </c>
      <c r="AD1702" s="53"/>
      <c r="AE1702" s="53"/>
      <c r="AF1702" s="53"/>
      <c r="AG1702" s="53"/>
    </row>
    <row r="1703" spans="1:33" s="46" customFormat="1">
      <c r="A1703" s="54"/>
      <c r="B1703" s="16"/>
      <c r="C1703" s="55"/>
      <c r="D1703" s="56"/>
      <c r="E1703" s="16"/>
      <c r="F1703" s="16"/>
      <c r="G1703" s="16"/>
      <c r="H1703" s="54"/>
      <c r="I1703" s="16"/>
      <c r="J1703" s="54"/>
      <c r="K1703" s="42"/>
      <c r="L1703" s="16"/>
      <c r="M1703" s="16"/>
      <c r="AA1703" s="14">
        <f t="shared" si="52"/>
        <v>0</v>
      </c>
      <c r="AB1703" s="47">
        <f t="shared" si="53"/>
        <v>-1</v>
      </c>
      <c r="AD1703" s="53"/>
      <c r="AE1703" s="53"/>
      <c r="AF1703" s="53"/>
      <c r="AG1703" s="53"/>
    </row>
    <row r="1704" spans="1:33" s="46" customFormat="1">
      <c r="A1704" s="54"/>
      <c r="B1704" s="16"/>
      <c r="C1704" s="55"/>
      <c r="D1704" s="56"/>
      <c r="E1704" s="16"/>
      <c r="F1704" s="16"/>
      <c r="G1704" s="16"/>
      <c r="H1704" s="54"/>
      <c r="I1704" s="16"/>
      <c r="J1704" s="54"/>
      <c r="K1704" s="42"/>
      <c r="L1704" s="16"/>
      <c r="M1704" s="16"/>
      <c r="AA1704" s="14">
        <f t="shared" ref="AA1704:AA1767" si="54">C1704-C1703</f>
        <v>0</v>
      </c>
      <c r="AB1704" s="47">
        <f t="shared" ref="AB1704:AB1767" si="55">AA1704-1</f>
        <v>-1</v>
      </c>
      <c r="AD1704" s="53"/>
      <c r="AE1704" s="53"/>
      <c r="AF1704" s="53"/>
      <c r="AG1704" s="53"/>
    </row>
    <row r="1705" spans="1:33" s="46" customFormat="1">
      <c r="A1705" s="54"/>
      <c r="B1705" s="16"/>
      <c r="C1705" s="55"/>
      <c r="D1705" s="56"/>
      <c r="E1705" s="16"/>
      <c r="F1705" s="16"/>
      <c r="G1705" s="16"/>
      <c r="H1705" s="54"/>
      <c r="I1705" s="16"/>
      <c r="J1705" s="54"/>
      <c r="K1705" s="42"/>
      <c r="L1705" s="16"/>
      <c r="M1705" s="16"/>
      <c r="AA1705" s="14">
        <f t="shared" si="54"/>
        <v>0</v>
      </c>
      <c r="AB1705" s="47">
        <f t="shared" si="55"/>
        <v>-1</v>
      </c>
      <c r="AD1705" s="53"/>
      <c r="AE1705" s="53"/>
      <c r="AF1705" s="53"/>
      <c r="AG1705" s="53"/>
    </row>
    <row r="1706" spans="1:33" s="46" customFormat="1">
      <c r="A1706" s="54"/>
      <c r="B1706" s="16"/>
      <c r="C1706" s="55"/>
      <c r="D1706" s="56"/>
      <c r="E1706" s="16"/>
      <c r="F1706" s="16"/>
      <c r="G1706" s="16"/>
      <c r="H1706" s="54"/>
      <c r="I1706" s="16"/>
      <c r="J1706" s="54"/>
      <c r="K1706" s="42"/>
      <c r="L1706" s="16"/>
      <c r="M1706" s="16"/>
      <c r="AA1706" s="14">
        <f t="shared" si="54"/>
        <v>0</v>
      </c>
      <c r="AB1706" s="47">
        <f t="shared" si="55"/>
        <v>-1</v>
      </c>
      <c r="AD1706" s="53"/>
      <c r="AE1706" s="53"/>
      <c r="AF1706" s="53"/>
      <c r="AG1706" s="53"/>
    </row>
    <row r="1707" spans="1:33" s="46" customFormat="1">
      <c r="A1707" s="54"/>
      <c r="B1707" s="16"/>
      <c r="C1707" s="55"/>
      <c r="D1707" s="56"/>
      <c r="E1707" s="16"/>
      <c r="F1707" s="16"/>
      <c r="G1707" s="16"/>
      <c r="H1707" s="54"/>
      <c r="I1707" s="16"/>
      <c r="J1707" s="54"/>
      <c r="K1707" s="42"/>
      <c r="L1707" s="16"/>
      <c r="M1707" s="16"/>
      <c r="AA1707" s="14">
        <f t="shared" si="54"/>
        <v>0</v>
      </c>
      <c r="AB1707" s="47">
        <f t="shared" si="55"/>
        <v>-1</v>
      </c>
      <c r="AD1707" s="53"/>
      <c r="AE1707" s="53"/>
      <c r="AF1707" s="53"/>
      <c r="AG1707" s="53"/>
    </row>
    <row r="1708" spans="1:33" s="46" customFormat="1">
      <c r="A1708" s="54"/>
      <c r="B1708" s="16"/>
      <c r="C1708" s="55"/>
      <c r="D1708" s="56"/>
      <c r="E1708" s="16"/>
      <c r="F1708" s="16"/>
      <c r="G1708" s="16"/>
      <c r="H1708" s="54"/>
      <c r="I1708" s="16"/>
      <c r="J1708" s="54"/>
      <c r="K1708" s="42"/>
      <c r="L1708" s="16"/>
      <c r="M1708" s="16"/>
      <c r="AA1708" s="14">
        <f t="shared" si="54"/>
        <v>0</v>
      </c>
      <c r="AB1708" s="47">
        <f t="shared" si="55"/>
        <v>-1</v>
      </c>
      <c r="AD1708" s="53"/>
      <c r="AE1708" s="53"/>
      <c r="AF1708" s="53"/>
      <c r="AG1708" s="53"/>
    </row>
    <row r="1709" spans="1:33" s="46" customFormat="1">
      <c r="A1709" s="54"/>
      <c r="B1709" s="16"/>
      <c r="C1709" s="55"/>
      <c r="D1709" s="56"/>
      <c r="E1709" s="16"/>
      <c r="F1709" s="16"/>
      <c r="G1709" s="16"/>
      <c r="H1709" s="54"/>
      <c r="I1709" s="16"/>
      <c r="J1709" s="54"/>
      <c r="K1709" s="42"/>
      <c r="L1709" s="16"/>
      <c r="M1709" s="16"/>
      <c r="AA1709" s="14">
        <f t="shared" si="54"/>
        <v>0</v>
      </c>
      <c r="AB1709" s="47">
        <f t="shared" si="55"/>
        <v>-1</v>
      </c>
      <c r="AD1709" s="53"/>
      <c r="AE1709" s="53"/>
      <c r="AF1709" s="53"/>
      <c r="AG1709" s="53"/>
    </row>
    <row r="1710" spans="1:33" s="46" customFormat="1">
      <c r="A1710" s="54"/>
      <c r="B1710" s="16"/>
      <c r="C1710" s="55"/>
      <c r="D1710" s="56"/>
      <c r="E1710" s="16"/>
      <c r="F1710" s="16"/>
      <c r="G1710" s="16"/>
      <c r="H1710" s="54"/>
      <c r="I1710" s="16"/>
      <c r="J1710" s="54"/>
      <c r="K1710" s="42"/>
      <c r="L1710" s="16"/>
      <c r="M1710" s="16"/>
      <c r="AA1710" s="14">
        <f t="shared" si="54"/>
        <v>0</v>
      </c>
      <c r="AB1710" s="47">
        <f t="shared" si="55"/>
        <v>-1</v>
      </c>
      <c r="AD1710" s="53"/>
      <c r="AE1710" s="53"/>
      <c r="AF1710" s="53"/>
      <c r="AG1710" s="53"/>
    </row>
    <row r="1711" spans="1:33" s="46" customFormat="1">
      <c r="A1711" s="54"/>
      <c r="B1711" s="16"/>
      <c r="C1711" s="55"/>
      <c r="D1711" s="56"/>
      <c r="E1711" s="16"/>
      <c r="F1711" s="16"/>
      <c r="G1711" s="16"/>
      <c r="H1711" s="54"/>
      <c r="I1711" s="16"/>
      <c r="J1711" s="54"/>
      <c r="K1711" s="42"/>
      <c r="L1711" s="16"/>
      <c r="M1711" s="16"/>
      <c r="AA1711" s="14">
        <f t="shared" si="54"/>
        <v>0</v>
      </c>
      <c r="AB1711" s="47">
        <f t="shared" si="55"/>
        <v>-1</v>
      </c>
      <c r="AD1711" s="53"/>
      <c r="AE1711" s="53"/>
      <c r="AF1711" s="53"/>
      <c r="AG1711" s="53"/>
    </row>
    <row r="1712" spans="1:33" s="46" customFormat="1">
      <c r="A1712" s="54"/>
      <c r="B1712" s="16"/>
      <c r="C1712" s="55"/>
      <c r="D1712" s="56"/>
      <c r="E1712" s="16"/>
      <c r="F1712" s="16"/>
      <c r="G1712" s="16"/>
      <c r="H1712" s="54"/>
      <c r="I1712" s="16"/>
      <c r="J1712" s="54"/>
      <c r="K1712" s="42"/>
      <c r="L1712" s="16"/>
      <c r="M1712" s="16"/>
      <c r="AA1712" s="14">
        <f t="shared" si="54"/>
        <v>0</v>
      </c>
      <c r="AB1712" s="47">
        <f t="shared" si="55"/>
        <v>-1</v>
      </c>
      <c r="AD1712" s="53"/>
      <c r="AE1712" s="53"/>
      <c r="AF1712" s="53"/>
      <c r="AG1712" s="53"/>
    </row>
    <row r="1713" spans="1:33" s="46" customFormat="1">
      <c r="A1713" s="54"/>
      <c r="B1713" s="16"/>
      <c r="C1713" s="55"/>
      <c r="D1713" s="56"/>
      <c r="E1713" s="16"/>
      <c r="F1713" s="16"/>
      <c r="G1713" s="16"/>
      <c r="H1713" s="54"/>
      <c r="I1713" s="16"/>
      <c r="J1713" s="54"/>
      <c r="K1713" s="42"/>
      <c r="L1713" s="16"/>
      <c r="M1713" s="16"/>
      <c r="AA1713" s="14">
        <f t="shared" si="54"/>
        <v>0</v>
      </c>
      <c r="AB1713" s="47">
        <f t="shared" si="55"/>
        <v>-1</v>
      </c>
      <c r="AD1713" s="53"/>
      <c r="AE1713" s="53"/>
      <c r="AF1713" s="53"/>
      <c r="AG1713" s="53"/>
    </row>
    <row r="1714" spans="1:33" s="46" customFormat="1">
      <c r="A1714" s="54"/>
      <c r="B1714" s="16"/>
      <c r="C1714" s="55"/>
      <c r="D1714" s="56"/>
      <c r="E1714" s="16"/>
      <c r="F1714" s="16"/>
      <c r="G1714" s="16"/>
      <c r="H1714" s="54"/>
      <c r="I1714" s="16"/>
      <c r="J1714" s="54"/>
      <c r="K1714" s="42"/>
      <c r="L1714" s="16"/>
      <c r="M1714" s="16"/>
      <c r="AA1714" s="14">
        <f t="shared" si="54"/>
        <v>0</v>
      </c>
      <c r="AB1714" s="47">
        <f t="shared" si="55"/>
        <v>-1</v>
      </c>
      <c r="AD1714" s="53"/>
      <c r="AE1714" s="53"/>
      <c r="AF1714" s="53"/>
      <c r="AG1714" s="53"/>
    </row>
    <row r="1715" spans="1:33" s="46" customFormat="1">
      <c r="A1715" s="54"/>
      <c r="B1715" s="16"/>
      <c r="C1715" s="55"/>
      <c r="D1715" s="56"/>
      <c r="E1715" s="16"/>
      <c r="F1715" s="16"/>
      <c r="G1715" s="16"/>
      <c r="H1715" s="54"/>
      <c r="I1715" s="16"/>
      <c r="J1715" s="54"/>
      <c r="K1715" s="42"/>
      <c r="L1715" s="16"/>
      <c r="M1715" s="16"/>
      <c r="AA1715" s="14">
        <f t="shared" si="54"/>
        <v>0</v>
      </c>
      <c r="AB1715" s="47">
        <f t="shared" si="55"/>
        <v>-1</v>
      </c>
      <c r="AD1715" s="53"/>
      <c r="AE1715" s="53"/>
      <c r="AF1715" s="53"/>
      <c r="AG1715" s="53"/>
    </row>
    <row r="1716" spans="1:33" s="46" customFormat="1">
      <c r="A1716" s="54"/>
      <c r="B1716" s="16"/>
      <c r="C1716" s="55"/>
      <c r="D1716" s="56"/>
      <c r="E1716" s="16"/>
      <c r="F1716" s="16"/>
      <c r="G1716" s="16"/>
      <c r="H1716" s="54"/>
      <c r="I1716" s="16"/>
      <c r="J1716" s="54"/>
      <c r="K1716" s="42"/>
      <c r="L1716" s="16"/>
      <c r="M1716" s="16"/>
      <c r="AA1716" s="14">
        <f t="shared" si="54"/>
        <v>0</v>
      </c>
      <c r="AB1716" s="47">
        <f t="shared" si="55"/>
        <v>-1</v>
      </c>
      <c r="AD1716" s="53"/>
      <c r="AE1716" s="53"/>
      <c r="AF1716" s="53"/>
      <c r="AG1716" s="53"/>
    </row>
    <row r="1717" spans="1:33" s="46" customFormat="1">
      <c r="A1717" s="54"/>
      <c r="B1717" s="16"/>
      <c r="C1717" s="55"/>
      <c r="D1717" s="56"/>
      <c r="E1717" s="16"/>
      <c r="F1717" s="16"/>
      <c r="G1717" s="16"/>
      <c r="H1717" s="54"/>
      <c r="I1717" s="16"/>
      <c r="J1717" s="54"/>
      <c r="K1717" s="42"/>
      <c r="L1717" s="16"/>
      <c r="M1717" s="16"/>
      <c r="AA1717" s="14">
        <f t="shared" si="54"/>
        <v>0</v>
      </c>
      <c r="AB1717" s="47">
        <f t="shared" si="55"/>
        <v>-1</v>
      </c>
      <c r="AD1717" s="53"/>
      <c r="AE1717" s="53"/>
      <c r="AF1717" s="53"/>
      <c r="AG1717" s="53"/>
    </row>
    <row r="1718" spans="1:33" s="46" customFormat="1">
      <c r="A1718" s="54"/>
      <c r="B1718" s="16"/>
      <c r="C1718" s="55"/>
      <c r="D1718" s="56"/>
      <c r="E1718" s="16"/>
      <c r="F1718" s="16"/>
      <c r="G1718" s="16"/>
      <c r="H1718" s="54"/>
      <c r="I1718" s="16"/>
      <c r="J1718" s="54"/>
      <c r="K1718" s="42"/>
      <c r="L1718" s="16"/>
      <c r="M1718" s="16"/>
      <c r="AA1718" s="14">
        <f t="shared" si="54"/>
        <v>0</v>
      </c>
      <c r="AB1718" s="47">
        <f t="shared" si="55"/>
        <v>-1</v>
      </c>
      <c r="AD1718" s="53"/>
      <c r="AE1718" s="53"/>
      <c r="AF1718" s="53"/>
      <c r="AG1718" s="53"/>
    </row>
    <row r="1719" spans="1:33" s="46" customFormat="1">
      <c r="A1719" s="54"/>
      <c r="B1719" s="16"/>
      <c r="C1719" s="55"/>
      <c r="D1719" s="56"/>
      <c r="E1719" s="16"/>
      <c r="F1719" s="16"/>
      <c r="G1719" s="16"/>
      <c r="H1719" s="54"/>
      <c r="I1719" s="16"/>
      <c r="J1719" s="54"/>
      <c r="K1719" s="42"/>
      <c r="L1719" s="16"/>
      <c r="M1719" s="16"/>
      <c r="AA1719" s="14">
        <f t="shared" si="54"/>
        <v>0</v>
      </c>
      <c r="AB1719" s="47">
        <f t="shared" si="55"/>
        <v>-1</v>
      </c>
      <c r="AD1719" s="53"/>
      <c r="AE1719" s="53"/>
      <c r="AF1719" s="53"/>
      <c r="AG1719" s="53"/>
    </row>
    <row r="1720" spans="1:33" s="46" customFormat="1">
      <c r="A1720" s="54"/>
      <c r="B1720" s="16"/>
      <c r="C1720" s="55"/>
      <c r="D1720" s="56"/>
      <c r="E1720" s="16"/>
      <c r="F1720" s="16"/>
      <c r="G1720" s="16"/>
      <c r="H1720" s="54"/>
      <c r="I1720" s="16"/>
      <c r="J1720" s="54"/>
      <c r="K1720" s="42"/>
      <c r="L1720" s="16"/>
      <c r="M1720" s="16"/>
      <c r="AA1720" s="14">
        <f t="shared" si="54"/>
        <v>0</v>
      </c>
      <c r="AB1720" s="47">
        <f t="shared" si="55"/>
        <v>-1</v>
      </c>
      <c r="AD1720" s="53"/>
      <c r="AE1720" s="53"/>
      <c r="AF1720" s="53"/>
      <c r="AG1720" s="53"/>
    </row>
    <row r="1721" spans="1:33" s="46" customFormat="1">
      <c r="A1721" s="54"/>
      <c r="B1721" s="16"/>
      <c r="C1721" s="55"/>
      <c r="D1721" s="56"/>
      <c r="E1721" s="16"/>
      <c r="F1721" s="16"/>
      <c r="G1721" s="16"/>
      <c r="H1721" s="54"/>
      <c r="I1721" s="16"/>
      <c r="J1721" s="54"/>
      <c r="K1721" s="42"/>
      <c r="L1721" s="16"/>
      <c r="M1721" s="16"/>
      <c r="AA1721" s="14">
        <f t="shared" si="54"/>
        <v>0</v>
      </c>
      <c r="AB1721" s="47">
        <f t="shared" si="55"/>
        <v>-1</v>
      </c>
      <c r="AD1721" s="53"/>
      <c r="AE1721" s="53"/>
      <c r="AF1721" s="53"/>
      <c r="AG1721" s="53"/>
    </row>
    <row r="1722" spans="1:33" s="46" customFormat="1">
      <c r="A1722" s="54"/>
      <c r="B1722" s="16"/>
      <c r="C1722" s="55"/>
      <c r="D1722" s="56"/>
      <c r="E1722" s="16"/>
      <c r="F1722" s="16"/>
      <c r="G1722" s="16"/>
      <c r="H1722" s="54"/>
      <c r="I1722" s="16"/>
      <c r="J1722" s="54"/>
      <c r="K1722" s="42"/>
      <c r="L1722" s="16"/>
      <c r="M1722" s="16"/>
      <c r="AA1722" s="14">
        <f t="shared" si="54"/>
        <v>0</v>
      </c>
      <c r="AB1722" s="47">
        <f t="shared" si="55"/>
        <v>-1</v>
      </c>
      <c r="AD1722" s="53"/>
      <c r="AE1722" s="53"/>
      <c r="AF1722" s="53"/>
      <c r="AG1722" s="53"/>
    </row>
    <row r="1723" spans="1:33" s="46" customFormat="1">
      <c r="A1723" s="54"/>
      <c r="B1723" s="16"/>
      <c r="C1723" s="55"/>
      <c r="D1723" s="56"/>
      <c r="E1723" s="16"/>
      <c r="F1723" s="16"/>
      <c r="G1723" s="16"/>
      <c r="H1723" s="54"/>
      <c r="I1723" s="16"/>
      <c r="J1723" s="54"/>
      <c r="K1723" s="42"/>
      <c r="L1723" s="16"/>
      <c r="M1723" s="16"/>
      <c r="AA1723" s="14">
        <f t="shared" si="54"/>
        <v>0</v>
      </c>
      <c r="AB1723" s="47">
        <f t="shared" si="55"/>
        <v>-1</v>
      </c>
      <c r="AD1723" s="53"/>
      <c r="AE1723" s="53"/>
      <c r="AF1723" s="53"/>
      <c r="AG1723" s="53"/>
    </row>
    <row r="1724" spans="1:33" s="46" customFormat="1">
      <c r="A1724" s="54"/>
      <c r="B1724" s="16"/>
      <c r="C1724" s="55"/>
      <c r="D1724" s="56"/>
      <c r="E1724" s="16"/>
      <c r="F1724" s="16"/>
      <c r="G1724" s="16"/>
      <c r="H1724" s="54"/>
      <c r="I1724" s="16"/>
      <c r="J1724" s="54"/>
      <c r="K1724" s="42"/>
      <c r="L1724" s="16"/>
      <c r="M1724" s="16"/>
      <c r="AA1724" s="14">
        <f t="shared" si="54"/>
        <v>0</v>
      </c>
      <c r="AB1724" s="47">
        <f t="shared" si="55"/>
        <v>-1</v>
      </c>
      <c r="AD1724" s="53"/>
      <c r="AE1724" s="53"/>
      <c r="AF1724" s="53"/>
      <c r="AG1724" s="53"/>
    </row>
    <row r="1725" spans="1:33" s="46" customFormat="1">
      <c r="A1725" s="54"/>
      <c r="B1725" s="16"/>
      <c r="C1725" s="55"/>
      <c r="D1725" s="56"/>
      <c r="E1725" s="16"/>
      <c r="F1725" s="16"/>
      <c r="G1725" s="16"/>
      <c r="H1725" s="54"/>
      <c r="I1725" s="16"/>
      <c r="J1725" s="54"/>
      <c r="K1725" s="42"/>
      <c r="L1725" s="16"/>
      <c r="M1725" s="16"/>
      <c r="AA1725" s="14">
        <f t="shared" si="54"/>
        <v>0</v>
      </c>
      <c r="AB1725" s="47">
        <f t="shared" si="55"/>
        <v>-1</v>
      </c>
      <c r="AD1725" s="53"/>
      <c r="AE1725" s="53"/>
      <c r="AF1725" s="53"/>
      <c r="AG1725" s="53"/>
    </row>
    <row r="1726" spans="1:33" s="46" customFormat="1">
      <c r="A1726" s="54"/>
      <c r="B1726" s="16"/>
      <c r="C1726" s="55"/>
      <c r="D1726" s="56"/>
      <c r="E1726" s="16"/>
      <c r="F1726" s="16"/>
      <c r="G1726" s="16"/>
      <c r="H1726" s="54"/>
      <c r="I1726" s="16"/>
      <c r="J1726" s="54"/>
      <c r="K1726" s="42"/>
      <c r="L1726" s="16"/>
      <c r="M1726" s="16"/>
      <c r="AA1726" s="14">
        <f t="shared" si="54"/>
        <v>0</v>
      </c>
      <c r="AB1726" s="47">
        <f t="shared" si="55"/>
        <v>-1</v>
      </c>
      <c r="AD1726" s="53"/>
      <c r="AE1726" s="53"/>
      <c r="AF1726" s="53"/>
      <c r="AG1726" s="53"/>
    </row>
    <row r="1727" spans="1:33" s="46" customFormat="1">
      <c r="A1727" s="54"/>
      <c r="B1727" s="16"/>
      <c r="C1727" s="55"/>
      <c r="D1727" s="56"/>
      <c r="E1727" s="16"/>
      <c r="F1727" s="16"/>
      <c r="G1727" s="16"/>
      <c r="H1727" s="54"/>
      <c r="I1727" s="16"/>
      <c r="J1727" s="54"/>
      <c r="K1727" s="42"/>
      <c r="L1727" s="16"/>
      <c r="M1727" s="16"/>
      <c r="AA1727" s="14">
        <f t="shared" si="54"/>
        <v>0</v>
      </c>
      <c r="AB1727" s="47">
        <f t="shared" si="55"/>
        <v>-1</v>
      </c>
      <c r="AD1727" s="53"/>
      <c r="AE1727" s="53"/>
      <c r="AF1727" s="53"/>
      <c r="AG1727" s="53"/>
    </row>
    <row r="1728" spans="1:33" s="46" customFormat="1">
      <c r="A1728" s="54"/>
      <c r="B1728" s="16"/>
      <c r="C1728" s="55"/>
      <c r="D1728" s="56"/>
      <c r="E1728" s="16"/>
      <c r="F1728" s="16"/>
      <c r="G1728" s="16"/>
      <c r="H1728" s="54"/>
      <c r="I1728" s="16"/>
      <c r="J1728" s="54"/>
      <c r="K1728" s="42"/>
      <c r="L1728" s="16"/>
      <c r="M1728" s="16"/>
      <c r="AA1728" s="14">
        <f t="shared" si="54"/>
        <v>0</v>
      </c>
      <c r="AB1728" s="47">
        <f t="shared" si="55"/>
        <v>-1</v>
      </c>
      <c r="AD1728" s="53"/>
      <c r="AE1728" s="53"/>
      <c r="AF1728" s="53"/>
      <c r="AG1728" s="53"/>
    </row>
    <row r="1729" spans="1:33" s="46" customFormat="1">
      <c r="A1729" s="54"/>
      <c r="B1729" s="16"/>
      <c r="C1729" s="55"/>
      <c r="D1729" s="56"/>
      <c r="E1729" s="16"/>
      <c r="F1729" s="16"/>
      <c r="G1729" s="16"/>
      <c r="H1729" s="54"/>
      <c r="I1729" s="16"/>
      <c r="J1729" s="54"/>
      <c r="K1729" s="42"/>
      <c r="L1729" s="16"/>
      <c r="M1729" s="16"/>
      <c r="AA1729" s="14">
        <f t="shared" si="54"/>
        <v>0</v>
      </c>
      <c r="AB1729" s="47">
        <f t="shared" si="55"/>
        <v>-1</v>
      </c>
      <c r="AD1729" s="53"/>
      <c r="AE1729" s="53"/>
      <c r="AF1729" s="53"/>
      <c r="AG1729" s="53"/>
    </row>
    <row r="1730" spans="1:33" s="46" customFormat="1">
      <c r="A1730" s="54"/>
      <c r="B1730" s="16"/>
      <c r="C1730" s="55"/>
      <c r="D1730" s="56"/>
      <c r="E1730" s="16"/>
      <c r="F1730" s="16"/>
      <c r="G1730" s="16"/>
      <c r="H1730" s="54"/>
      <c r="I1730" s="16"/>
      <c r="J1730" s="54"/>
      <c r="K1730" s="42"/>
      <c r="L1730" s="16"/>
      <c r="M1730" s="16"/>
      <c r="AA1730" s="14">
        <f t="shared" si="54"/>
        <v>0</v>
      </c>
      <c r="AB1730" s="47">
        <f t="shared" si="55"/>
        <v>-1</v>
      </c>
      <c r="AD1730" s="53"/>
      <c r="AE1730" s="53"/>
      <c r="AF1730" s="53"/>
      <c r="AG1730" s="53"/>
    </row>
    <row r="1731" spans="1:33" s="46" customFormat="1">
      <c r="A1731" s="54"/>
      <c r="B1731" s="16"/>
      <c r="C1731" s="55"/>
      <c r="D1731" s="56"/>
      <c r="E1731" s="16"/>
      <c r="F1731" s="16"/>
      <c r="G1731" s="16"/>
      <c r="H1731" s="54"/>
      <c r="I1731" s="16"/>
      <c r="J1731" s="54"/>
      <c r="K1731" s="42"/>
      <c r="L1731" s="16"/>
      <c r="M1731" s="16"/>
      <c r="AA1731" s="14">
        <f t="shared" si="54"/>
        <v>0</v>
      </c>
      <c r="AB1731" s="47">
        <f t="shared" si="55"/>
        <v>-1</v>
      </c>
      <c r="AD1731" s="53"/>
      <c r="AE1731" s="53"/>
      <c r="AF1731" s="53"/>
      <c r="AG1731" s="53"/>
    </row>
    <row r="1732" spans="1:33" s="46" customFormat="1">
      <c r="A1732" s="54"/>
      <c r="B1732" s="16"/>
      <c r="C1732" s="55"/>
      <c r="D1732" s="56"/>
      <c r="E1732" s="16"/>
      <c r="F1732" s="16"/>
      <c r="G1732" s="16"/>
      <c r="H1732" s="54"/>
      <c r="I1732" s="16"/>
      <c r="J1732" s="54"/>
      <c r="K1732" s="42"/>
      <c r="L1732" s="16"/>
      <c r="M1732" s="16"/>
      <c r="AA1732" s="14">
        <f t="shared" si="54"/>
        <v>0</v>
      </c>
      <c r="AB1732" s="47">
        <f t="shared" si="55"/>
        <v>-1</v>
      </c>
      <c r="AD1732" s="53"/>
      <c r="AE1732" s="53"/>
      <c r="AF1732" s="53"/>
      <c r="AG1732" s="53"/>
    </row>
    <row r="1733" spans="1:33" s="46" customFormat="1">
      <c r="A1733" s="54"/>
      <c r="B1733" s="16"/>
      <c r="C1733" s="55"/>
      <c r="D1733" s="56"/>
      <c r="E1733" s="16"/>
      <c r="F1733" s="16"/>
      <c r="G1733" s="16"/>
      <c r="H1733" s="54"/>
      <c r="I1733" s="16"/>
      <c r="J1733" s="54"/>
      <c r="K1733" s="42"/>
      <c r="L1733" s="16"/>
      <c r="M1733" s="16"/>
      <c r="AA1733" s="14">
        <f t="shared" si="54"/>
        <v>0</v>
      </c>
      <c r="AB1733" s="47">
        <f t="shared" si="55"/>
        <v>-1</v>
      </c>
      <c r="AD1733" s="53"/>
      <c r="AE1733" s="53"/>
      <c r="AF1733" s="53"/>
      <c r="AG1733" s="53"/>
    </row>
    <row r="1734" spans="1:33" s="46" customFormat="1">
      <c r="A1734" s="54"/>
      <c r="B1734" s="16"/>
      <c r="C1734" s="55"/>
      <c r="D1734" s="56"/>
      <c r="E1734" s="16"/>
      <c r="F1734" s="16"/>
      <c r="G1734" s="16"/>
      <c r="H1734" s="54"/>
      <c r="I1734" s="16"/>
      <c r="J1734" s="54"/>
      <c r="K1734" s="42"/>
      <c r="L1734" s="16"/>
      <c r="M1734" s="16"/>
      <c r="AA1734" s="14">
        <f t="shared" si="54"/>
        <v>0</v>
      </c>
      <c r="AB1734" s="47">
        <f t="shared" si="55"/>
        <v>-1</v>
      </c>
      <c r="AD1734" s="53"/>
      <c r="AE1734" s="53"/>
      <c r="AF1734" s="53"/>
      <c r="AG1734" s="53"/>
    </row>
    <row r="1735" spans="1:33" s="46" customFormat="1">
      <c r="A1735" s="54"/>
      <c r="B1735" s="16"/>
      <c r="C1735" s="55"/>
      <c r="D1735" s="56"/>
      <c r="E1735" s="16"/>
      <c r="F1735" s="16"/>
      <c r="G1735" s="16"/>
      <c r="H1735" s="54"/>
      <c r="I1735" s="16"/>
      <c r="J1735" s="54"/>
      <c r="K1735" s="42"/>
      <c r="L1735" s="16"/>
      <c r="M1735" s="16"/>
      <c r="AA1735" s="14">
        <f t="shared" si="54"/>
        <v>0</v>
      </c>
      <c r="AB1735" s="47">
        <f t="shared" si="55"/>
        <v>-1</v>
      </c>
      <c r="AD1735" s="53"/>
      <c r="AE1735" s="53"/>
      <c r="AF1735" s="53"/>
      <c r="AG1735" s="53"/>
    </row>
    <row r="1736" spans="1:33" s="46" customFormat="1">
      <c r="A1736" s="54"/>
      <c r="B1736" s="16"/>
      <c r="C1736" s="55"/>
      <c r="D1736" s="56"/>
      <c r="E1736" s="16"/>
      <c r="F1736" s="16"/>
      <c r="G1736" s="16"/>
      <c r="H1736" s="54"/>
      <c r="I1736" s="16"/>
      <c r="J1736" s="54"/>
      <c r="K1736" s="42"/>
      <c r="L1736" s="16"/>
      <c r="M1736" s="16"/>
      <c r="AA1736" s="14">
        <f t="shared" si="54"/>
        <v>0</v>
      </c>
      <c r="AB1736" s="47">
        <f t="shared" si="55"/>
        <v>-1</v>
      </c>
      <c r="AD1736" s="53"/>
      <c r="AE1736" s="53"/>
      <c r="AF1736" s="53"/>
      <c r="AG1736" s="53"/>
    </row>
    <row r="1737" spans="1:33" s="46" customFormat="1">
      <c r="A1737" s="54"/>
      <c r="B1737" s="16"/>
      <c r="C1737" s="55"/>
      <c r="D1737" s="56"/>
      <c r="E1737" s="16"/>
      <c r="F1737" s="16"/>
      <c r="G1737" s="16"/>
      <c r="H1737" s="54"/>
      <c r="I1737" s="16"/>
      <c r="J1737" s="54"/>
      <c r="K1737" s="42"/>
      <c r="L1737" s="16"/>
      <c r="M1737" s="16"/>
      <c r="AA1737" s="14">
        <f t="shared" si="54"/>
        <v>0</v>
      </c>
      <c r="AB1737" s="47">
        <f t="shared" si="55"/>
        <v>-1</v>
      </c>
      <c r="AD1737" s="53"/>
      <c r="AE1737" s="53"/>
      <c r="AF1737" s="53"/>
      <c r="AG1737" s="53"/>
    </row>
    <row r="1738" spans="1:33" s="46" customFormat="1">
      <c r="A1738" s="54"/>
      <c r="B1738" s="16"/>
      <c r="C1738" s="55"/>
      <c r="D1738" s="56"/>
      <c r="E1738" s="16"/>
      <c r="F1738" s="16"/>
      <c r="G1738" s="16"/>
      <c r="H1738" s="54"/>
      <c r="I1738" s="16"/>
      <c r="J1738" s="54"/>
      <c r="K1738" s="42"/>
      <c r="L1738" s="16"/>
      <c r="M1738" s="16"/>
      <c r="AA1738" s="14">
        <f t="shared" si="54"/>
        <v>0</v>
      </c>
      <c r="AB1738" s="47">
        <f t="shared" si="55"/>
        <v>-1</v>
      </c>
      <c r="AD1738" s="53"/>
      <c r="AE1738" s="53"/>
      <c r="AF1738" s="53"/>
      <c r="AG1738" s="53"/>
    </row>
    <row r="1739" spans="1:33" s="46" customFormat="1">
      <c r="A1739" s="54"/>
      <c r="B1739" s="16"/>
      <c r="C1739" s="55"/>
      <c r="D1739" s="56"/>
      <c r="E1739" s="16"/>
      <c r="F1739" s="16"/>
      <c r="G1739" s="16"/>
      <c r="H1739" s="54"/>
      <c r="I1739" s="16"/>
      <c r="J1739" s="54"/>
      <c r="K1739" s="42"/>
      <c r="L1739" s="16"/>
      <c r="M1739" s="16"/>
      <c r="AA1739" s="14">
        <f t="shared" si="54"/>
        <v>0</v>
      </c>
      <c r="AB1739" s="47">
        <f t="shared" si="55"/>
        <v>-1</v>
      </c>
      <c r="AD1739" s="53"/>
      <c r="AE1739" s="53"/>
      <c r="AF1739" s="53"/>
      <c r="AG1739" s="53"/>
    </row>
    <row r="1740" spans="1:33" s="46" customFormat="1">
      <c r="A1740" s="54"/>
      <c r="B1740" s="16"/>
      <c r="C1740" s="55"/>
      <c r="D1740" s="56"/>
      <c r="E1740" s="16"/>
      <c r="F1740" s="16"/>
      <c r="G1740" s="16"/>
      <c r="H1740" s="54"/>
      <c r="I1740" s="16"/>
      <c r="J1740" s="54"/>
      <c r="K1740" s="42"/>
      <c r="L1740" s="16"/>
      <c r="M1740" s="16"/>
      <c r="AA1740" s="14">
        <f t="shared" si="54"/>
        <v>0</v>
      </c>
      <c r="AB1740" s="47">
        <f t="shared" si="55"/>
        <v>-1</v>
      </c>
      <c r="AD1740" s="53"/>
      <c r="AE1740" s="53"/>
      <c r="AF1740" s="53"/>
      <c r="AG1740" s="53"/>
    </row>
    <row r="1741" spans="1:33" s="46" customFormat="1">
      <c r="A1741" s="54"/>
      <c r="B1741" s="16"/>
      <c r="C1741" s="55"/>
      <c r="D1741" s="56"/>
      <c r="E1741" s="16"/>
      <c r="F1741" s="16"/>
      <c r="G1741" s="16"/>
      <c r="H1741" s="54"/>
      <c r="I1741" s="16"/>
      <c r="J1741" s="54"/>
      <c r="K1741" s="42"/>
      <c r="L1741" s="16"/>
      <c r="M1741" s="16"/>
      <c r="AA1741" s="14">
        <f t="shared" si="54"/>
        <v>0</v>
      </c>
      <c r="AB1741" s="47">
        <f t="shared" si="55"/>
        <v>-1</v>
      </c>
      <c r="AD1741" s="53"/>
      <c r="AE1741" s="53"/>
      <c r="AF1741" s="53"/>
      <c r="AG1741" s="53"/>
    </row>
    <row r="1742" spans="1:33" s="46" customFormat="1">
      <c r="A1742" s="54"/>
      <c r="B1742" s="16"/>
      <c r="C1742" s="55"/>
      <c r="D1742" s="56"/>
      <c r="E1742" s="16"/>
      <c r="F1742" s="16"/>
      <c r="G1742" s="16"/>
      <c r="H1742" s="54"/>
      <c r="I1742" s="16"/>
      <c r="J1742" s="54"/>
      <c r="K1742" s="42"/>
      <c r="L1742" s="16"/>
      <c r="M1742" s="16"/>
      <c r="AA1742" s="14">
        <f t="shared" si="54"/>
        <v>0</v>
      </c>
      <c r="AB1742" s="47">
        <f t="shared" si="55"/>
        <v>-1</v>
      </c>
      <c r="AD1742" s="53"/>
      <c r="AE1742" s="53"/>
      <c r="AF1742" s="53"/>
      <c r="AG1742" s="53"/>
    </row>
    <row r="1743" spans="1:33" s="46" customFormat="1">
      <c r="A1743" s="54"/>
      <c r="B1743" s="16"/>
      <c r="C1743" s="55"/>
      <c r="D1743" s="56"/>
      <c r="E1743" s="16"/>
      <c r="F1743" s="16"/>
      <c r="G1743" s="16"/>
      <c r="H1743" s="54"/>
      <c r="I1743" s="16"/>
      <c r="J1743" s="54"/>
      <c r="K1743" s="42"/>
      <c r="L1743" s="16"/>
      <c r="M1743" s="16"/>
      <c r="AA1743" s="14">
        <f t="shared" si="54"/>
        <v>0</v>
      </c>
      <c r="AB1743" s="47">
        <f t="shared" si="55"/>
        <v>-1</v>
      </c>
      <c r="AD1743" s="53"/>
      <c r="AE1743" s="53"/>
      <c r="AF1743" s="53"/>
      <c r="AG1743" s="53"/>
    </row>
    <row r="1744" spans="1:33" s="46" customFormat="1">
      <c r="A1744" s="54"/>
      <c r="B1744" s="16"/>
      <c r="C1744" s="55"/>
      <c r="D1744" s="56"/>
      <c r="E1744" s="16"/>
      <c r="F1744" s="16"/>
      <c r="G1744" s="16"/>
      <c r="H1744" s="54"/>
      <c r="I1744" s="16"/>
      <c r="J1744" s="54"/>
      <c r="K1744" s="42"/>
      <c r="L1744" s="16"/>
      <c r="M1744" s="16"/>
      <c r="AA1744" s="14">
        <f t="shared" si="54"/>
        <v>0</v>
      </c>
      <c r="AB1744" s="47">
        <f t="shared" si="55"/>
        <v>-1</v>
      </c>
      <c r="AD1744" s="53"/>
      <c r="AE1744" s="53"/>
      <c r="AF1744" s="53"/>
      <c r="AG1744" s="53"/>
    </row>
    <row r="1745" spans="1:33" s="46" customFormat="1">
      <c r="A1745" s="54"/>
      <c r="B1745" s="16"/>
      <c r="C1745" s="55"/>
      <c r="D1745" s="56"/>
      <c r="E1745" s="16"/>
      <c r="F1745" s="16"/>
      <c r="G1745" s="16"/>
      <c r="H1745" s="54"/>
      <c r="I1745" s="16"/>
      <c r="J1745" s="54"/>
      <c r="K1745" s="42"/>
      <c r="L1745" s="16"/>
      <c r="M1745" s="16"/>
      <c r="AA1745" s="14">
        <f t="shared" si="54"/>
        <v>0</v>
      </c>
      <c r="AB1745" s="47">
        <f t="shared" si="55"/>
        <v>-1</v>
      </c>
      <c r="AD1745" s="53"/>
      <c r="AE1745" s="53"/>
      <c r="AF1745" s="53"/>
      <c r="AG1745" s="53"/>
    </row>
    <row r="1746" spans="1:33" s="46" customFormat="1">
      <c r="A1746" s="54"/>
      <c r="B1746" s="16"/>
      <c r="C1746" s="55"/>
      <c r="D1746" s="56"/>
      <c r="E1746" s="16"/>
      <c r="F1746" s="16"/>
      <c r="G1746" s="16"/>
      <c r="H1746" s="54"/>
      <c r="I1746" s="16"/>
      <c r="J1746" s="54"/>
      <c r="K1746" s="42"/>
      <c r="L1746" s="16"/>
      <c r="M1746" s="16"/>
      <c r="AA1746" s="14">
        <f t="shared" si="54"/>
        <v>0</v>
      </c>
      <c r="AB1746" s="47">
        <f t="shared" si="55"/>
        <v>-1</v>
      </c>
      <c r="AD1746" s="53"/>
      <c r="AE1746" s="53"/>
      <c r="AF1746" s="53"/>
      <c r="AG1746" s="53"/>
    </row>
    <row r="1747" spans="1:33" s="46" customFormat="1">
      <c r="A1747" s="54"/>
      <c r="B1747" s="16"/>
      <c r="C1747" s="55"/>
      <c r="D1747" s="56"/>
      <c r="E1747" s="16"/>
      <c r="F1747" s="16"/>
      <c r="G1747" s="16"/>
      <c r="H1747" s="54"/>
      <c r="I1747" s="16"/>
      <c r="J1747" s="54"/>
      <c r="K1747" s="42"/>
      <c r="L1747" s="16"/>
      <c r="M1747" s="16"/>
      <c r="AA1747" s="14">
        <f t="shared" si="54"/>
        <v>0</v>
      </c>
      <c r="AB1747" s="47">
        <f t="shared" si="55"/>
        <v>-1</v>
      </c>
      <c r="AD1747" s="53"/>
      <c r="AE1747" s="53"/>
      <c r="AF1747" s="53"/>
      <c r="AG1747" s="53"/>
    </row>
    <row r="1748" spans="1:33" s="46" customFormat="1">
      <c r="A1748" s="54"/>
      <c r="B1748" s="16"/>
      <c r="C1748" s="55"/>
      <c r="D1748" s="56"/>
      <c r="E1748" s="16"/>
      <c r="F1748" s="16"/>
      <c r="G1748" s="16"/>
      <c r="H1748" s="54"/>
      <c r="I1748" s="16"/>
      <c r="J1748" s="54"/>
      <c r="K1748" s="42"/>
      <c r="L1748" s="16"/>
      <c r="M1748" s="16"/>
      <c r="AA1748" s="14">
        <f t="shared" si="54"/>
        <v>0</v>
      </c>
      <c r="AB1748" s="47">
        <f t="shared" si="55"/>
        <v>-1</v>
      </c>
      <c r="AD1748" s="53"/>
      <c r="AE1748" s="53"/>
      <c r="AF1748" s="53"/>
      <c r="AG1748" s="53"/>
    </row>
    <row r="1749" spans="1:33" s="46" customFormat="1">
      <c r="A1749" s="54"/>
      <c r="B1749" s="16"/>
      <c r="C1749" s="55"/>
      <c r="D1749" s="56"/>
      <c r="E1749" s="16"/>
      <c r="F1749" s="16"/>
      <c r="G1749" s="16"/>
      <c r="H1749" s="54"/>
      <c r="I1749" s="16"/>
      <c r="J1749" s="54"/>
      <c r="K1749" s="42"/>
      <c r="L1749" s="16"/>
      <c r="M1749" s="16"/>
      <c r="AA1749" s="14">
        <f t="shared" si="54"/>
        <v>0</v>
      </c>
      <c r="AB1749" s="47">
        <f t="shared" si="55"/>
        <v>-1</v>
      </c>
      <c r="AD1749" s="53"/>
      <c r="AE1749" s="53"/>
      <c r="AF1749" s="53"/>
      <c r="AG1749" s="53"/>
    </row>
    <row r="1750" spans="1:33" s="46" customFormat="1">
      <c r="A1750" s="54"/>
      <c r="B1750" s="16"/>
      <c r="C1750" s="55"/>
      <c r="D1750" s="56"/>
      <c r="E1750" s="16"/>
      <c r="F1750" s="16"/>
      <c r="G1750" s="16"/>
      <c r="H1750" s="54"/>
      <c r="I1750" s="16"/>
      <c r="J1750" s="54"/>
      <c r="K1750" s="42"/>
      <c r="L1750" s="16"/>
      <c r="M1750" s="16"/>
      <c r="AA1750" s="14">
        <f t="shared" si="54"/>
        <v>0</v>
      </c>
      <c r="AB1750" s="47">
        <f t="shared" si="55"/>
        <v>-1</v>
      </c>
      <c r="AD1750" s="53"/>
      <c r="AE1750" s="53"/>
      <c r="AF1750" s="53"/>
      <c r="AG1750" s="53"/>
    </row>
    <row r="1751" spans="1:33" s="46" customFormat="1">
      <c r="A1751" s="54"/>
      <c r="B1751" s="16"/>
      <c r="C1751" s="55"/>
      <c r="D1751" s="56"/>
      <c r="E1751" s="16"/>
      <c r="F1751" s="16"/>
      <c r="G1751" s="16"/>
      <c r="H1751" s="54"/>
      <c r="I1751" s="16"/>
      <c r="J1751" s="54"/>
      <c r="K1751" s="42"/>
      <c r="L1751" s="16"/>
      <c r="M1751" s="16"/>
      <c r="AA1751" s="14">
        <f t="shared" si="54"/>
        <v>0</v>
      </c>
      <c r="AB1751" s="47">
        <f t="shared" si="55"/>
        <v>-1</v>
      </c>
      <c r="AD1751" s="53"/>
      <c r="AE1751" s="53"/>
      <c r="AF1751" s="53"/>
      <c r="AG1751" s="53"/>
    </row>
    <row r="1752" spans="1:33" s="46" customFormat="1">
      <c r="A1752" s="54"/>
      <c r="B1752" s="16"/>
      <c r="C1752" s="55"/>
      <c r="D1752" s="56"/>
      <c r="E1752" s="16"/>
      <c r="F1752" s="16"/>
      <c r="G1752" s="16"/>
      <c r="H1752" s="54"/>
      <c r="I1752" s="16"/>
      <c r="J1752" s="54"/>
      <c r="K1752" s="42"/>
      <c r="L1752" s="16"/>
      <c r="M1752" s="16"/>
      <c r="AA1752" s="14">
        <f t="shared" si="54"/>
        <v>0</v>
      </c>
      <c r="AB1752" s="47">
        <f t="shared" si="55"/>
        <v>-1</v>
      </c>
      <c r="AD1752" s="53"/>
      <c r="AE1752" s="53"/>
      <c r="AF1752" s="53"/>
      <c r="AG1752" s="53"/>
    </row>
    <row r="1753" spans="1:33" s="46" customFormat="1">
      <c r="A1753" s="54"/>
      <c r="B1753" s="16"/>
      <c r="C1753" s="55"/>
      <c r="D1753" s="56"/>
      <c r="E1753" s="16"/>
      <c r="F1753" s="16"/>
      <c r="G1753" s="16"/>
      <c r="H1753" s="54"/>
      <c r="I1753" s="16"/>
      <c r="J1753" s="54"/>
      <c r="K1753" s="42"/>
      <c r="L1753" s="16"/>
      <c r="M1753" s="16"/>
      <c r="AA1753" s="14">
        <f t="shared" si="54"/>
        <v>0</v>
      </c>
      <c r="AB1753" s="47">
        <f t="shared" si="55"/>
        <v>-1</v>
      </c>
      <c r="AD1753" s="53"/>
      <c r="AE1753" s="53"/>
      <c r="AF1753" s="53"/>
      <c r="AG1753" s="53"/>
    </row>
    <row r="1754" spans="1:33" s="46" customFormat="1">
      <c r="A1754" s="54"/>
      <c r="B1754" s="16"/>
      <c r="C1754" s="55"/>
      <c r="D1754" s="56"/>
      <c r="E1754" s="16"/>
      <c r="F1754" s="16"/>
      <c r="G1754" s="16"/>
      <c r="H1754" s="54"/>
      <c r="I1754" s="16"/>
      <c r="J1754" s="54"/>
      <c r="K1754" s="42"/>
      <c r="L1754" s="16"/>
      <c r="M1754" s="16"/>
      <c r="AA1754" s="14">
        <f t="shared" si="54"/>
        <v>0</v>
      </c>
      <c r="AB1754" s="47">
        <f t="shared" si="55"/>
        <v>-1</v>
      </c>
      <c r="AD1754" s="53"/>
      <c r="AE1754" s="53"/>
      <c r="AF1754" s="53"/>
      <c r="AG1754" s="53"/>
    </row>
    <row r="1755" spans="1:33" s="46" customFormat="1">
      <c r="A1755" s="54"/>
      <c r="B1755" s="16"/>
      <c r="C1755" s="55"/>
      <c r="D1755" s="56"/>
      <c r="E1755" s="16"/>
      <c r="F1755" s="16"/>
      <c r="G1755" s="16"/>
      <c r="H1755" s="54"/>
      <c r="I1755" s="16"/>
      <c r="J1755" s="54"/>
      <c r="K1755" s="42"/>
      <c r="L1755" s="16"/>
      <c r="M1755" s="16"/>
      <c r="AA1755" s="14">
        <f t="shared" si="54"/>
        <v>0</v>
      </c>
      <c r="AB1755" s="47">
        <f t="shared" si="55"/>
        <v>-1</v>
      </c>
      <c r="AD1755" s="53"/>
      <c r="AE1755" s="53"/>
      <c r="AF1755" s="53"/>
      <c r="AG1755" s="53"/>
    </row>
    <row r="1756" spans="1:33" s="46" customFormat="1">
      <c r="A1756" s="54"/>
      <c r="B1756" s="16"/>
      <c r="C1756" s="55"/>
      <c r="D1756" s="56"/>
      <c r="E1756" s="16"/>
      <c r="F1756" s="16"/>
      <c r="G1756" s="16"/>
      <c r="H1756" s="54"/>
      <c r="I1756" s="16"/>
      <c r="J1756" s="54"/>
      <c r="K1756" s="42"/>
      <c r="L1756" s="16"/>
      <c r="M1756" s="16"/>
      <c r="AA1756" s="14">
        <f t="shared" si="54"/>
        <v>0</v>
      </c>
      <c r="AB1756" s="47">
        <f t="shared" si="55"/>
        <v>-1</v>
      </c>
      <c r="AD1756" s="53"/>
      <c r="AE1756" s="53"/>
      <c r="AF1756" s="53"/>
      <c r="AG1756" s="53"/>
    </row>
    <row r="1757" spans="1:33" s="46" customFormat="1">
      <c r="A1757" s="54"/>
      <c r="B1757" s="16"/>
      <c r="C1757" s="55"/>
      <c r="D1757" s="56"/>
      <c r="E1757" s="16"/>
      <c r="F1757" s="16"/>
      <c r="G1757" s="16"/>
      <c r="H1757" s="54"/>
      <c r="I1757" s="16"/>
      <c r="J1757" s="54"/>
      <c r="K1757" s="42"/>
      <c r="L1757" s="16"/>
      <c r="M1757" s="16"/>
      <c r="AA1757" s="14">
        <f t="shared" si="54"/>
        <v>0</v>
      </c>
      <c r="AB1757" s="47">
        <f t="shared" si="55"/>
        <v>-1</v>
      </c>
      <c r="AD1757" s="53"/>
      <c r="AE1757" s="53"/>
      <c r="AF1757" s="53"/>
      <c r="AG1757" s="53"/>
    </row>
    <row r="1758" spans="1:33" s="46" customFormat="1">
      <c r="A1758" s="54"/>
      <c r="B1758" s="16"/>
      <c r="C1758" s="55"/>
      <c r="D1758" s="56"/>
      <c r="E1758" s="16"/>
      <c r="F1758" s="16"/>
      <c r="G1758" s="16"/>
      <c r="H1758" s="54"/>
      <c r="I1758" s="16"/>
      <c r="J1758" s="54"/>
      <c r="K1758" s="42"/>
      <c r="L1758" s="16"/>
      <c r="M1758" s="16"/>
      <c r="AA1758" s="14">
        <f t="shared" si="54"/>
        <v>0</v>
      </c>
      <c r="AB1758" s="47">
        <f t="shared" si="55"/>
        <v>-1</v>
      </c>
      <c r="AD1758" s="53"/>
      <c r="AE1758" s="53"/>
      <c r="AF1758" s="53"/>
      <c r="AG1758" s="53"/>
    </row>
    <row r="1759" spans="1:33" s="46" customFormat="1">
      <c r="A1759" s="54"/>
      <c r="B1759" s="16"/>
      <c r="C1759" s="55"/>
      <c r="D1759" s="56"/>
      <c r="E1759" s="16"/>
      <c r="F1759" s="16"/>
      <c r="G1759" s="16"/>
      <c r="H1759" s="54"/>
      <c r="I1759" s="16"/>
      <c r="J1759" s="54"/>
      <c r="K1759" s="42"/>
      <c r="L1759" s="16"/>
      <c r="M1759" s="16"/>
      <c r="AA1759" s="14">
        <f t="shared" si="54"/>
        <v>0</v>
      </c>
      <c r="AB1759" s="47">
        <f t="shared" si="55"/>
        <v>-1</v>
      </c>
      <c r="AD1759" s="53"/>
      <c r="AE1759" s="53"/>
      <c r="AF1759" s="53"/>
      <c r="AG1759" s="53"/>
    </row>
    <row r="1760" spans="1:33" s="46" customFormat="1">
      <c r="A1760" s="54"/>
      <c r="B1760" s="16"/>
      <c r="C1760" s="55"/>
      <c r="D1760" s="56"/>
      <c r="E1760" s="16"/>
      <c r="F1760" s="16"/>
      <c r="G1760" s="16"/>
      <c r="H1760" s="54"/>
      <c r="I1760" s="16"/>
      <c r="J1760" s="54"/>
      <c r="K1760" s="42"/>
      <c r="L1760" s="16"/>
      <c r="M1760" s="16"/>
      <c r="AA1760" s="14">
        <f t="shared" si="54"/>
        <v>0</v>
      </c>
      <c r="AB1760" s="47">
        <f t="shared" si="55"/>
        <v>-1</v>
      </c>
      <c r="AD1760" s="53"/>
      <c r="AE1760" s="53"/>
      <c r="AF1760" s="53"/>
      <c r="AG1760" s="53"/>
    </row>
    <row r="1761" spans="1:33" s="46" customFormat="1">
      <c r="A1761" s="54"/>
      <c r="B1761" s="16"/>
      <c r="C1761" s="55"/>
      <c r="D1761" s="56"/>
      <c r="E1761" s="16"/>
      <c r="F1761" s="16"/>
      <c r="G1761" s="16"/>
      <c r="H1761" s="54"/>
      <c r="I1761" s="16"/>
      <c r="J1761" s="54"/>
      <c r="K1761" s="42"/>
      <c r="L1761" s="16"/>
      <c r="M1761" s="16"/>
      <c r="AA1761" s="14">
        <f t="shared" si="54"/>
        <v>0</v>
      </c>
      <c r="AB1761" s="47">
        <f t="shared" si="55"/>
        <v>-1</v>
      </c>
      <c r="AD1761" s="53"/>
      <c r="AE1761" s="53"/>
      <c r="AF1761" s="53"/>
      <c r="AG1761" s="53"/>
    </row>
    <row r="1762" spans="1:33" s="46" customFormat="1">
      <c r="A1762" s="54"/>
      <c r="B1762" s="16"/>
      <c r="C1762" s="55"/>
      <c r="D1762" s="56"/>
      <c r="E1762" s="16"/>
      <c r="F1762" s="16"/>
      <c r="G1762" s="16"/>
      <c r="H1762" s="54"/>
      <c r="I1762" s="16"/>
      <c r="J1762" s="54"/>
      <c r="K1762" s="42"/>
      <c r="L1762" s="16"/>
      <c r="M1762" s="16"/>
      <c r="AA1762" s="14">
        <f t="shared" si="54"/>
        <v>0</v>
      </c>
      <c r="AB1762" s="47">
        <f t="shared" si="55"/>
        <v>-1</v>
      </c>
      <c r="AD1762" s="53"/>
      <c r="AE1762" s="53"/>
      <c r="AF1762" s="53"/>
      <c r="AG1762" s="53"/>
    </row>
    <row r="1763" spans="1:33" s="46" customFormat="1">
      <c r="A1763" s="54"/>
      <c r="B1763" s="16"/>
      <c r="C1763" s="55"/>
      <c r="D1763" s="56"/>
      <c r="E1763" s="16"/>
      <c r="F1763" s="16"/>
      <c r="G1763" s="16"/>
      <c r="H1763" s="54"/>
      <c r="I1763" s="16"/>
      <c r="J1763" s="54"/>
      <c r="K1763" s="42"/>
      <c r="L1763" s="16"/>
      <c r="M1763" s="16"/>
      <c r="AA1763" s="14">
        <f t="shared" si="54"/>
        <v>0</v>
      </c>
      <c r="AB1763" s="47">
        <f t="shared" si="55"/>
        <v>-1</v>
      </c>
      <c r="AD1763" s="53"/>
      <c r="AE1763" s="53"/>
      <c r="AF1763" s="53"/>
      <c r="AG1763" s="53"/>
    </row>
    <row r="1764" spans="1:33" s="46" customFormat="1">
      <c r="A1764" s="54"/>
      <c r="B1764" s="16"/>
      <c r="C1764" s="55"/>
      <c r="D1764" s="56"/>
      <c r="E1764" s="16"/>
      <c r="F1764" s="16"/>
      <c r="G1764" s="16"/>
      <c r="H1764" s="54"/>
      <c r="I1764" s="16"/>
      <c r="J1764" s="54"/>
      <c r="K1764" s="42"/>
      <c r="L1764" s="16"/>
      <c r="M1764" s="16"/>
      <c r="AA1764" s="14">
        <f t="shared" si="54"/>
        <v>0</v>
      </c>
      <c r="AB1764" s="47">
        <f t="shared" si="55"/>
        <v>-1</v>
      </c>
      <c r="AD1764" s="53"/>
      <c r="AE1764" s="53"/>
      <c r="AF1764" s="53"/>
      <c r="AG1764" s="53"/>
    </row>
    <row r="1765" spans="1:33" s="46" customFormat="1">
      <c r="A1765" s="54"/>
      <c r="B1765" s="16"/>
      <c r="C1765" s="55"/>
      <c r="D1765" s="56"/>
      <c r="E1765" s="16"/>
      <c r="F1765" s="16"/>
      <c r="G1765" s="16"/>
      <c r="H1765" s="54"/>
      <c r="I1765" s="16"/>
      <c r="J1765" s="54"/>
      <c r="K1765" s="42"/>
      <c r="L1765" s="16"/>
      <c r="M1765" s="16"/>
      <c r="AA1765" s="14">
        <f t="shared" si="54"/>
        <v>0</v>
      </c>
      <c r="AB1765" s="47">
        <f t="shared" si="55"/>
        <v>-1</v>
      </c>
      <c r="AD1765" s="53"/>
      <c r="AE1765" s="53"/>
      <c r="AF1765" s="53"/>
      <c r="AG1765" s="53"/>
    </row>
    <row r="1766" spans="1:33" s="46" customFormat="1">
      <c r="A1766" s="54"/>
      <c r="B1766" s="16"/>
      <c r="C1766" s="55"/>
      <c r="D1766" s="56"/>
      <c r="E1766" s="16"/>
      <c r="F1766" s="16"/>
      <c r="G1766" s="16"/>
      <c r="H1766" s="54"/>
      <c r="I1766" s="16"/>
      <c r="J1766" s="54"/>
      <c r="K1766" s="42"/>
      <c r="L1766" s="16"/>
      <c r="M1766" s="16"/>
      <c r="AA1766" s="14">
        <f t="shared" si="54"/>
        <v>0</v>
      </c>
      <c r="AB1766" s="47">
        <f t="shared" si="55"/>
        <v>-1</v>
      </c>
      <c r="AD1766" s="53"/>
      <c r="AE1766" s="53"/>
      <c r="AF1766" s="53"/>
      <c r="AG1766" s="53"/>
    </row>
    <row r="1767" spans="1:33" s="46" customFormat="1">
      <c r="A1767" s="54"/>
      <c r="B1767" s="16"/>
      <c r="C1767" s="55"/>
      <c r="D1767" s="56"/>
      <c r="E1767" s="16"/>
      <c r="F1767" s="16"/>
      <c r="G1767" s="16"/>
      <c r="H1767" s="54"/>
      <c r="I1767" s="16"/>
      <c r="J1767" s="54"/>
      <c r="K1767" s="42"/>
      <c r="L1767" s="16"/>
      <c r="M1767" s="16"/>
      <c r="AA1767" s="14">
        <f t="shared" si="54"/>
        <v>0</v>
      </c>
      <c r="AB1767" s="47">
        <f t="shared" si="55"/>
        <v>-1</v>
      </c>
      <c r="AD1767" s="53"/>
      <c r="AE1767" s="53"/>
      <c r="AF1767" s="53"/>
      <c r="AG1767" s="53"/>
    </row>
    <row r="1768" spans="1:33" s="46" customFormat="1">
      <c r="A1768" s="54"/>
      <c r="B1768" s="16"/>
      <c r="C1768" s="55"/>
      <c r="D1768" s="56"/>
      <c r="E1768" s="16"/>
      <c r="F1768" s="16"/>
      <c r="G1768" s="16"/>
      <c r="H1768" s="54"/>
      <c r="I1768" s="16"/>
      <c r="J1768" s="54"/>
      <c r="K1768" s="42"/>
      <c r="L1768" s="16"/>
      <c r="M1768" s="16"/>
      <c r="AA1768" s="14">
        <f t="shared" ref="AA1768:AA1831" si="56">C1768-C1767</f>
        <v>0</v>
      </c>
      <c r="AB1768" s="47">
        <f t="shared" ref="AB1768:AB1831" si="57">AA1768-1</f>
        <v>-1</v>
      </c>
      <c r="AD1768" s="53"/>
      <c r="AE1768" s="53"/>
      <c r="AF1768" s="53"/>
      <c r="AG1768" s="53"/>
    </row>
    <row r="1769" spans="1:33" s="46" customFormat="1">
      <c r="A1769" s="54"/>
      <c r="B1769" s="16"/>
      <c r="C1769" s="55"/>
      <c r="D1769" s="56"/>
      <c r="E1769" s="16"/>
      <c r="F1769" s="16"/>
      <c r="G1769" s="16"/>
      <c r="H1769" s="54"/>
      <c r="I1769" s="16"/>
      <c r="J1769" s="54"/>
      <c r="K1769" s="42"/>
      <c r="L1769" s="16"/>
      <c r="M1769" s="16"/>
      <c r="AA1769" s="14">
        <f t="shared" si="56"/>
        <v>0</v>
      </c>
      <c r="AB1769" s="47">
        <f t="shared" si="57"/>
        <v>-1</v>
      </c>
      <c r="AD1769" s="53"/>
      <c r="AE1769" s="53"/>
      <c r="AF1769" s="53"/>
      <c r="AG1769" s="53"/>
    </row>
    <row r="1770" spans="1:33" s="46" customFormat="1">
      <c r="A1770" s="54"/>
      <c r="B1770" s="16"/>
      <c r="C1770" s="55"/>
      <c r="D1770" s="56"/>
      <c r="E1770" s="16"/>
      <c r="F1770" s="16"/>
      <c r="G1770" s="16"/>
      <c r="H1770" s="54"/>
      <c r="I1770" s="16"/>
      <c r="J1770" s="54"/>
      <c r="K1770" s="42"/>
      <c r="L1770" s="16"/>
      <c r="M1770" s="16"/>
      <c r="AA1770" s="14">
        <f t="shared" si="56"/>
        <v>0</v>
      </c>
      <c r="AB1770" s="47">
        <f t="shared" si="57"/>
        <v>-1</v>
      </c>
      <c r="AD1770" s="53"/>
      <c r="AE1770" s="53"/>
      <c r="AF1770" s="53"/>
      <c r="AG1770" s="53"/>
    </row>
    <row r="1771" spans="1:33" s="46" customFormat="1">
      <c r="A1771" s="54"/>
      <c r="B1771" s="16"/>
      <c r="C1771" s="55"/>
      <c r="D1771" s="56"/>
      <c r="E1771" s="16"/>
      <c r="F1771" s="16"/>
      <c r="G1771" s="16"/>
      <c r="H1771" s="54"/>
      <c r="I1771" s="16"/>
      <c r="J1771" s="54"/>
      <c r="K1771" s="42"/>
      <c r="L1771" s="16"/>
      <c r="M1771" s="16"/>
      <c r="AA1771" s="14">
        <f t="shared" si="56"/>
        <v>0</v>
      </c>
      <c r="AB1771" s="47">
        <f t="shared" si="57"/>
        <v>-1</v>
      </c>
      <c r="AD1771" s="53"/>
      <c r="AE1771" s="53"/>
      <c r="AF1771" s="53"/>
      <c r="AG1771" s="53"/>
    </row>
    <row r="1772" spans="1:33" s="46" customFormat="1">
      <c r="A1772" s="54"/>
      <c r="B1772" s="16"/>
      <c r="C1772" s="55"/>
      <c r="D1772" s="56"/>
      <c r="E1772" s="16"/>
      <c r="F1772" s="16"/>
      <c r="G1772" s="16"/>
      <c r="H1772" s="54"/>
      <c r="I1772" s="16"/>
      <c r="J1772" s="54"/>
      <c r="K1772" s="42"/>
      <c r="L1772" s="16"/>
      <c r="M1772" s="16"/>
      <c r="AA1772" s="14">
        <f t="shared" si="56"/>
        <v>0</v>
      </c>
      <c r="AB1772" s="47">
        <f t="shared" si="57"/>
        <v>-1</v>
      </c>
      <c r="AD1772" s="53"/>
      <c r="AE1772" s="53"/>
      <c r="AF1772" s="53"/>
      <c r="AG1772" s="53"/>
    </row>
    <row r="1773" spans="1:33" s="46" customFormat="1">
      <c r="A1773" s="54"/>
      <c r="B1773" s="16"/>
      <c r="C1773" s="55"/>
      <c r="D1773" s="56"/>
      <c r="E1773" s="16"/>
      <c r="F1773" s="16"/>
      <c r="G1773" s="16"/>
      <c r="H1773" s="54"/>
      <c r="I1773" s="16"/>
      <c r="J1773" s="54"/>
      <c r="K1773" s="42"/>
      <c r="L1773" s="16"/>
      <c r="M1773" s="16"/>
      <c r="AA1773" s="14">
        <f t="shared" si="56"/>
        <v>0</v>
      </c>
      <c r="AB1773" s="47">
        <f t="shared" si="57"/>
        <v>-1</v>
      </c>
      <c r="AD1773" s="53"/>
      <c r="AE1773" s="53"/>
      <c r="AF1773" s="53"/>
      <c r="AG1773" s="53"/>
    </row>
    <row r="1774" spans="1:33" s="46" customFormat="1">
      <c r="A1774" s="54"/>
      <c r="B1774" s="16"/>
      <c r="C1774" s="55"/>
      <c r="D1774" s="56"/>
      <c r="E1774" s="16"/>
      <c r="F1774" s="16"/>
      <c r="G1774" s="16"/>
      <c r="H1774" s="54"/>
      <c r="I1774" s="16"/>
      <c r="J1774" s="54"/>
      <c r="K1774" s="42"/>
      <c r="L1774" s="16"/>
      <c r="M1774" s="16"/>
      <c r="AA1774" s="14">
        <f t="shared" si="56"/>
        <v>0</v>
      </c>
      <c r="AB1774" s="47">
        <f t="shared" si="57"/>
        <v>-1</v>
      </c>
      <c r="AD1774" s="53"/>
      <c r="AE1774" s="53"/>
      <c r="AF1774" s="53"/>
      <c r="AG1774" s="53"/>
    </row>
    <row r="1775" spans="1:33" s="46" customFormat="1">
      <c r="A1775" s="54"/>
      <c r="B1775" s="16"/>
      <c r="C1775" s="55"/>
      <c r="D1775" s="56"/>
      <c r="E1775" s="16"/>
      <c r="F1775" s="16"/>
      <c r="G1775" s="16"/>
      <c r="H1775" s="54"/>
      <c r="I1775" s="16"/>
      <c r="J1775" s="54"/>
      <c r="K1775" s="42"/>
      <c r="L1775" s="16"/>
      <c r="M1775" s="16"/>
      <c r="AA1775" s="14">
        <f t="shared" si="56"/>
        <v>0</v>
      </c>
      <c r="AB1775" s="47">
        <f t="shared" si="57"/>
        <v>-1</v>
      </c>
      <c r="AD1775" s="53"/>
      <c r="AE1775" s="53"/>
      <c r="AF1775" s="53"/>
      <c r="AG1775" s="53"/>
    </row>
    <row r="1776" spans="1:33" s="46" customFormat="1">
      <c r="A1776" s="54"/>
      <c r="B1776" s="16"/>
      <c r="C1776" s="55"/>
      <c r="D1776" s="56"/>
      <c r="E1776" s="16"/>
      <c r="F1776" s="16"/>
      <c r="G1776" s="16"/>
      <c r="H1776" s="54"/>
      <c r="I1776" s="16"/>
      <c r="J1776" s="54"/>
      <c r="K1776" s="42"/>
      <c r="L1776" s="16"/>
      <c r="M1776" s="16"/>
      <c r="AA1776" s="14">
        <f t="shared" si="56"/>
        <v>0</v>
      </c>
      <c r="AB1776" s="47">
        <f t="shared" si="57"/>
        <v>-1</v>
      </c>
      <c r="AD1776" s="53"/>
      <c r="AE1776" s="53"/>
      <c r="AF1776" s="53"/>
      <c r="AG1776" s="53"/>
    </row>
    <row r="1777" spans="1:33" s="46" customFormat="1">
      <c r="A1777" s="54"/>
      <c r="B1777" s="16"/>
      <c r="C1777" s="55"/>
      <c r="D1777" s="56"/>
      <c r="E1777" s="16"/>
      <c r="F1777" s="16"/>
      <c r="G1777" s="16"/>
      <c r="H1777" s="54"/>
      <c r="I1777" s="16"/>
      <c r="J1777" s="54"/>
      <c r="K1777" s="42"/>
      <c r="L1777" s="16"/>
      <c r="M1777" s="16"/>
      <c r="AA1777" s="14">
        <f t="shared" si="56"/>
        <v>0</v>
      </c>
      <c r="AB1777" s="47">
        <f t="shared" si="57"/>
        <v>-1</v>
      </c>
      <c r="AD1777" s="53"/>
      <c r="AE1777" s="53"/>
      <c r="AF1777" s="53"/>
      <c r="AG1777" s="53"/>
    </row>
    <row r="1778" spans="1:33" s="46" customFormat="1">
      <c r="A1778" s="54"/>
      <c r="B1778" s="16"/>
      <c r="C1778" s="55"/>
      <c r="D1778" s="56"/>
      <c r="E1778" s="16"/>
      <c r="F1778" s="16"/>
      <c r="G1778" s="16"/>
      <c r="H1778" s="54"/>
      <c r="I1778" s="16"/>
      <c r="J1778" s="54"/>
      <c r="K1778" s="42"/>
      <c r="L1778" s="16"/>
      <c r="M1778" s="16"/>
      <c r="AA1778" s="14">
        <f t="shared" si="56"/>
        <v>0</v>
      </c>
      <c r="AB1778" s="47">
        <f t="shared" si="57"/>
        <v>-1</v>
      </c>
      <c r="AD1778" s="53"/>
      <c r="AE1778" s="53"/>
      <c r="AF1778" s="53"/>
      <c r="AG1778" s="53"/>
    </row>
    <row r="1779" spans="1:33" s="46" customFormat="1">
      <c r="A1779" s="54"/>
      <c r="B1779" s="16"/>
      <c r="C1779" s="55"/>
      <c r="D1779" s="56"/>
      <c r="E1779" s="16"/>
      <c r="F1779" s="16"/>
      <c r="G1779" s="16"/>
      <c r="H1779" s="54"/>
      <c r="I1779" s="16"/>
      <c r="J1779" s="54"/>
      <c r="K1779" s="42"/>
      <c r="L1779" s="16"/>
      <c r="M1779" s="16"/>
      <c r="AA1779" s="14">
        <f t="shared" si="56"/>
        <v>0</v>
      </c>
      <c r="AB1779" s="47">
        <f t="shared" si="57"/>
        <v>-1</v>
      </c>
      <c r="AD1779" s="53"/>
      <c r="AE1779" s="53"/>
      <c r="AF1779" s="53"/>
      <c r="AG1779" s="53"/>
    </row>
    <row r="1780" spans="1:33" s="46" customFormat="1">
      <c r="A1780" s="54"/>
      <c r="B1780" s="16"/>
      <c r="C1780" s="55"/>
      <c r="D1780" s="56"/>
      <c r="E1780" s="16"/>
      <c r="F1780" s="16"/>
      <c r="G1780" s="16"/>
      <c r="H1780" s="54"/>
      <c r="I1780" s="16"/>
      <c r="J1780" s="54"/>
      <c r="K1780" s="42"/>
      <c r="L1780" s="16"/>
      <c r="M1780" s="16"/>
      <c r="AA1780" s="14">
        <f t="shared" si="56"/>
        <v>0</v>
      </c>
      <c r="AB1780" s="47">
        <f t="shared" si="57"/>
        <v>-1</v>
      </c>
      <c r="AD1780" s="53"/>
      <c r="AE1780" s="53"/>
      <c r="AF1780" s="53"/>
      <c r="AG1780" s="53"/>
    </row>
    <row r="1781" spans="1:33" s="46" customFormat="1">
      <c r="A1781" s="54"/>
      <c r="B1781" s="16"/>
      <c r="C1781" s="55"/>
      <c r="D1781" s="56"/>
      <c r="E1781" s="16"/>
      <c r="F1781" s="16"/>
      <c r="G1781" s="16"/>
      <c r="H1781" s="54"/>
      <c r="I1781" s="16"/>
      <c r="J1781" s="54"/>
      <c r="K1781" s="42"/>
      <c r="L1781" s="16"/>
      <c r="M1781" s="16"/>
      <c r="AA1781" s="14">
        <f t="shared" si="56"/>
        <v>0</v>
      </c>
      <c r="AB1781" s="47">
        <f t="shared" si="57"/>
        <v>-1</v>
      </c>
      <c r="AD1781" s="53"/>
      <c r="AE1781" s="53"/>
      <c r="AF1781" s="53"/>
      <c r="AG1781" s="53"/>
    </row>
    <row r="1782" spans="1:33" s="46" customFormat="1">
      <c r="A1782" s="54"/>
      <c r="B1782" s="16"/>
      <c r="C1782" s="55"/>
      <c r="D1782" s="56"/>
      <c r="E1782" s="16"/>
      <c r="F1782" s="16"/>
      <c r="G1782" s="16"/>
      <c r="H1782" s="54"/>
      <c r="I1782" s="16"/>
      <c r="J1782" s="54"/>
      <c r="K1782" s="42"/>
      <c r="L1782" s="16"/>
      <c r="M1782" s="16"/>
      <c r="AA1782" s="14">
        <f t="shared" si="56"/>
        <v>0</v>
      </c>
      <c r="AB1782" s="47">
        <f t="shared" si="57"/>
        <v>-1</v>
      </c>
      <c r="AD1782" s="53"/>
      <c r="AE1782" s="53"/>
      <c r="AF1782" s="53"/>
      <c r="AG1782" s="53"/>
    </row>
    <row r="1783" spans="1:33" s="46" customFormat="1">
      <c r="A1783" s="54"/>
      <c r="B1783" s="16"/>
      <c r="C1783" s="55"/>
      <c r="D1783" s="56"/>
      <c r="E1783" s="16"/>
      <c r="F1783" s="16"/>
      <c r="G1783" s="16"/>
      <c r="H1783" s="54"/>
      <c r="I1783" s="16"/>
      <c r="J1783" s="54"/>
      <c r="K1783" s="42"/>
      <c r="L1783" s="16"/>
      <c r="M1783" s="16"/>
      <c r="AA1783" s="14">
        <f t="shared" si="56"/>
        <v>0</v>
      </c>
      <c r="AB1783" s="47">
        <f t="shared" si="57"/>
        <v>-1</v>
      </c>
      <c r="AD1783" s="53"/>
      <c r="AE1783" s="53"/>
      <c r="AF1783" s="53"/>
      <c r="AG1783" s="53"/>
    </row>
    <row r="1784" spans="1:33" s="46" customFormat="1">
      <c r="A1784" s="54"/>
      <c r="B1784" s="16"/>
      <c r="C1784" s="55"/>
      <c r="D1784" s="56"/>
      <c r="E1784" s="16"/>
      <c r="F1784" s="16"/>
      <c r="G1784" s="16"/>
      <c r="H1784" s="54"/>
      <c r="I1784" s="16"/>
      <c r="J1784" s="54"/>
      <c r="K1784" s="42"/>
      <c r="L1784" s="16"/>
      <c r="M1784" s="16"/>
      <c r="AA1784" s="14">
        <f t="shared" si="56"/>
        <v>0</v>
      </c>
      <c r="AB1784" s="47">
        <f t="shared" si="57"/>
        <v>-1</v>
      </c>
      <c r="AD1784" s="53"/>
      <c r="AE1784" s="53"/>
      <c r="AF1784" s="53"/>
      <c r="AG1784" s="53"/>
    </row>
    <row r="1785" spans="1:33" s="46" customFormat="1">
      <c r="A1785" s="54"/>
      <c r="B1785" s="16"/>
      <c r="C1785" s="55"/>
      <c r="D1785" s="56"/>
      <c r="E1785" s="16"/>
      <c r="F1785" s="16"/>
      <c r="G1785" s="16"/>
      <c r="H1785" s="54"/>
      <c r="I1785" s="16"/>
      <c r="J1785" s="54"/>
      <c r="K1785" s="42"/>
      <c r="L1785" s="16"/>
      <c r="M1785" s="16"/>
      <c r="AA1785" s="14">
        <f t="shared" si="56"/>
        <v>0</v>
      </c>
      <c r="AB1785" s="47">
        <f t="shared" si="57"/>
        <v>-1</v>
      </c>
      <c r="AD1785" s="53"/>
      <c r="AE1785" s="53"/>
      <c r="AF1785" s="53"/>
      <c r="AG1785" s="53"/>
    </row>
    <row r="1786" spans="1:33" s="46" customFormat="1">
      <c r="A1786" s="54"/>
      <c r="B1786" s="16"/>
      <c r="C1786" s="55"/>
      <c r="D1786" s="56"/>
      <c r="E1786" s="16"/>
      <c r="F1786" s="16"/>
      <c r="G1786" s="16"/>
      <c r="H1786" s="54"/>
      <c r="I1786" s="16"/>
      <c r="J1786" s="54"/>
      <c r="K1786" s="42"/>
      <c r="L1786" s="16"/>
      <c r="M1786" s="16"/>
      <c r="AA1786" s="14">
        <f t="shared" si="56"/>
        <v>0</v>
      </c>
      <c r="AB1786" s="47">
        <f t="shared" si="57"/>
        <v>-1</v>
      </c>
      <c r="AD1786" s="53"/>
      <c r="AE1786" s="53"/>
      <c r="AF1786" s="53"/>
      <c r="AG1786" s="53"/>
    </row>
    <row r="1787" spans="1:33" s="46" customFormat="1">
      <c r="A1787" s="54"/>
      <c r="B1787" s="16"/>
      <c r="C1787" s="55"/>
      <c r="D1787" s="56"/>
      <c r="E1787" s="16"/>
      <c r="F1787" s="16"/>
      <c r="G1787" s="16"/>
      <c r="H1787" s="54"/>
      <c r="I1787" s="16"/>
      <c r="J1787" s="54"/>
      <c r="K1787" s="42"/>
      <c r="L1787" s="16"/>
      <c r="M1787" s="16"/>
      <c r="AA1787" s="14">
        <f t="shared" si="56"/>
        <v>0</v>
      </c>
      <c r="AB1787" s="47">
        <f t="shared" si="57"/>
        <v>-1</v>
      </c>
      <c r="AD1787" s="53"/>
      <c r="AE1787" s="53"/>
      <c r="AF1787" s="53"/>
      <c r="AG1787" s="53"/>
    </row>
    <row r="1788" spans="1:33" s="46" customFormat="1">
      <c r="A1788" s="54"/>
      <c r="B1788" s="16"/>
      <c r="C1788" s="55"/>
      <c r="D1788" s="56"/>
      <c r="E1788" s="16"/>
      <c r="F1788" s="16"/>
      <c r="G1788" s="16"/>
      <c r="H1788" s="54"/>
      <c r="I1788" s="16"/>
      <c r="J1788" s="54"/>
      <c r="K1788" s="42"/>
      <c r="L1788" s="16"/>
      <c r="M1788" s="16"/>
      <c r="AA1788" s="14">
        <f t="shared" si="56"/>
        <v>0</v>
      </c>
      <c r="AB1788" s="47">
        <f t="shared" si="57"/>
        <v>-1</v>
      </c>
      <c r="AD1788" s="53"/>
      <c r="AE1788" s="53"/>
      <c r="AF1788" s="53"/>
      <c r="AG1788" s="53"/>
    </row>
    <row r="1789" spans="1:33" s="46" customFormat="1">
      <c r="A1789" s="54"/>
      <c r="B1789" s="16"/>
      <c r="C1789" s="55"/>
      <c r="D1789" s="56"/>
      <c r="E1789" s="16"/>
      <c r="F1789" s="16"/>
      <c r="G1789" s="16"/>
      <c r="H1789" s="54"/>
      <c r="I1789" s="16"/>
      <c r="J1789" s="54"/>
      <c r="K1789" s="42"/>
      <c r="L1789" s="16"/>
      <c r="M1789" s="16"/>
      <c r="AA1789" s="14">
        <f t="shared" si="56"/>
        <v>0</v>
      </c>
      <c r="AB1789" s="47">
        <f t="shared" si="57"/>
        <v>-1</v>
      </c>
      <c r="AD1789" s="53"/>
      <c r="AE1789" s="53"/>
      <c r="AF1789" s="53"/>
      <c r="AG1789" s="53"/>
    </row>
    <row r="1790" spans="1:33" s="46" customFormat="1">
      <c r="A1790" s="54"/>
      <c r="B1790" s="16"/>
      <c r="C1790" s="55"/>
      <c r="D1790" s="56"/>
      <c r="E1790" s="16"/>
      <c r="F1790" s="16"/>
      <c r="G1790" s="16"/>
      <c r="H1790" s="54"/>
      <c r="I1790" s="16"/>
      <c r="J1790" s="54"/>
      <c r="K1790" s="42"/>
      <c r="L1790" s="16"/>
      <c r="M1790" s="16"/>
      <c r="AA1790" s="14">
        <f t="shared" si="56"/>
        <v>0</v>
      </c>
      <c r="AB1790" s="47">
        <f t="shared" si="57"/>
        <v>-1</v>
      </c>
      <c r="AD1790" s="53"/>
      <c r="AE1790" s="53"/>
      <c r="AF1790" s="53"/>
      <c r="AG1790" s="53"/>
    </row>
    <row r="1791" spans="1:33" s="46" customFormat="1">
      <c r="A1791" s="54"/>
      <c r="B1791" s="16"/>
      <c r="C1791" s="55"/>
      <c r="D1791" s="56"/>
      <c r="E1791" s="16"/>
      <c r="F1791" s="16"/>
      <c r="G1791" s="16"/>
      <c r="H1791" s="54"/>
      <c r="I1791" s="16"/>
      <c r="J1791" s="54"/>
      <c r="K1791" s="42"/>
      <c r="L1791" s="16"/>
      <c r="M1791" s="16"/>
      <c r="AA1791" s="14">
        <f t="shared" si="56"/>
        <v>0</v>
      </c>
      <c r="AB1791" s="47">
        <f t="shared" si="57"/>
        <v>-1</v>
      </c>
      <c r="AD1791" s="53"/>
      <c r="AE1791" s="53"/>
      <c r="AF1791" s="53"/>
      <c r="AG1791" s="53"/>
    </row>
    <row r="1792" spans="1:33" s="46" customFormat="1">
      <c r="A1792" s="54"/>
      <c r="B1792" s="16"/>
      <c r="C1792" s="55"/>
      <c r="D1792" s="56"/>
      <c r="E1792" s="16"/>
      <c r="F1792" s="16"/>
      <c r="G1792" s="16"/>
      <c r="H1792" s="54"/>
      <c r="I1792" s="16"/>
      <c r="J1792" s="54"/>
      <c r="K1792" s="42"/>
      <c r="L1792" s="16"/>
      <c r="M1792" s="16"/>
      <c r="AA1792" s="14">
        <f t="shared" si="56"/>
        <v>0</v>
      </c>
      <c r="AB1792" s="47">
        <f t="shared" si="57"/>
        <v>-1</v>
      </c>
      <c r="AD1792" s="53"/>
      <c r="AE1792" s="53"/>
      <c r="AF1792" s="53"/>
      <c r="AG1792" s="53"/>
    </row>
    <row r="1793" spans="1:33" s="46" customFormat="1">
      <c r="A1793" s="54"/>
      <c r="B1793" s="16"/>
      <c r="C1793" s="55"/>
      <c r="D1793" s="56"/>
      <c r="E1793" s="16"/>
      <c r="F1793" s="16"/>
      <c r="G1793" s="16"/>
      <c r="H1793" s="54"/>
      <c r="I1793" s="16"/>
      <c r="J1793" s="54"/>
      <c r="K1793" s="42"/>
      <c r="L1793" s="16"/>
      <c r="M1793" s="16"/>
      <c r="AA1793" s="14">
        <f t="shared" si="56"/>
        <v>0</v>
      </c>
      <c r="AB1793" s="47">
        <f t="shared" si="57"/>
        <v>-1</v>
      </c>
      <c r="AD1793" s="53"/>
      <c r="AE1793" s="53"/>
      <c r="AF1793" s="53"/>
      <c r="AG1793" s="53"/>
    </row>
    <row r="1794" spans="1:33" s="46" customFormat="1">
      <c r="A1794" s="54"/>
      <c r="B1794" s="16"/>
      <c r="C1794" s="55"/>
      <c r="D1794" s="56"/>
      <c r="E1794" s="16"/>
      <c r="F1794" s="16"/>
      <c r="G1794" s="16"/>
      <c r="H1794" s="54"/>
      <c r="I1794" s="16"/>
      <c r="J1794" s="54"/>
      <c r="K1794" s="42"/>
      <c r="L1794" s="16"/>
      <c r="M1794" s="16"/>
      <c r="AA1794" s="14">
        <f t="shared" si="56"/>
        <v>0</v>
      </c>
      <c r="AB1794" s="47">
        <f t="shared" si="57"/>
        <v>-1</v>
      </c>
      <c r="AD1794" s="53"/>
      <c r="AE1794" s="53"/>
      <c r="AF1794" s="53"/>
      <c r="AG1794" s="53"/>
    </row>
    <row r="1795" spans="1:33" s="46" customFormat="1">
      <c r="A1795" s="54"/>
      <c r="B1795" s="16"/>
      <c r="C1795" s="55"/>
      <c r="D1795" s="56"/>
      <c r="E1795" s="16"/>
      <c r="F1795" s="16"/>
      <c r="G1795" s="16"/>
      <c r="H1795" s="54"/>
      <c r="I1795" s="16"/>
      <c r="J1795" s="54"/>
      <c r="K1795" s="42"/>
      <c r="L1795" s="16"/>
      <c r="M1795" s="16"/>
      <c r="AA1795" s="14">
        <f t="shared" si="56"/>
        <v>0</v>
      </c>
      <c r="AB1795" s="47">
        <f t="shared" si="57"/>
        <v>-1</v>
      </c>
      <c r="AD1795" s="53"/>
      <c r="AE1795" s="53"/>
      <c r="AF1795" s="53"/>
      <c r="AG1795" s="53"/>
    </row>
    <row r="1796" spans="1:33" s="46" customFormat="1">
      <c r="A1796" s="54"/>
      <c r="B1796" s="16"/>
      <c r="C1796" s="55"/>
      <c r="D1796" s="56"/>
      <c r="E1796" s="16"/>
      <c r="F1796" s="16"/>
      <c r="G1796" s="16"/>
      <c r="H1796" s="54"/>
      <c r="I1796" s="16"/>
      <c r="J1796" s="54"/>
      <c r="K1796" s="42"/>
      <c r="L1796" s="16"/>
      <c r="M1796" s="16"/>
      <c r="AA1796" s="14">
        <f t="shared" si="56"/>
        <v>0</v>
      </c>
      <c r="AB1796" s="47">
        <f t="shared" si="57"/>
        <v>-1</v>
      </c>
      <c r="AD1796" s="53"/>
      <c r="AE1796" s="53"/>
      <c r="AF1796" s="53"/>
      <c r="AG1796" s="53"/>
    </row>
    <row r="1797" spans="1:33" s="46" customFormat="1">
      <c r="A1797" s="54"/>
      <c r="B1797" s="16"/>
      <c r="C1797" s="55"/>
      <c r="D1797" s="56"/>
      <c r="E1797" s="16"/>
      <c r="F1797" s="16"/>
      <c r="G1797" s="16"/>
      <c r="H1797" s="54"/>
      <c r="I1797" s="16"/>
      <c r="J1797" s="54"/>
      <c r="K1797" s="42"/>
      <c r="L1797" s="16"/>
      <c r="M1797" s="16"/>
      <c r="AA1797" s="14">
        <f t="shared" si="56"/>
        <v>0</v>
      </c>
      <c r="AB1797" s="47">
        <f t="shared" si="57"/>
        <v>-1</v>
      </c>
      <c r="AD1797" s="53"/>
      <c r="AE1797" s="53"/>
      <c r="AF1797" s="53"/>
      <c r="AG1797" s="53"/>
    </row>
    <row r="1798" spans="1:33" s="46" customFormat="1">
      <c r="A1798" s="54"/>
      <c r="B1798" s="16"/>
      <c r="C1798" s="55"/>
      <c r="D1798" s="56"/>
      <c r="E1798" s="16"/>
      <c r="F1798" s="16"/>
      <c r="G1798" s="16"/>
      <c r="H1798" s="54"/>
      <c r="I1798" s="16"/>
      <c r="J1798" s="54"/>
      <c r="K1798" s="42"/>
      <c r="L1798" s="16"/>
      <c r="M1798" s="16"/>
      <c r="AA1798" s="14">
        <f t="shared" si="56"/>
        <v>0</v>
      </c>
      <c r="AB1798" s="47">
        <f t="shared" si="57"/>
        <v>-1</v>
      </c>
      <c r="AD1798" s="53"/>
      <c r="AE1798" s="53"/>
      <c r="AF1798" s="53"/>
      <c r="AG1798" s="53"/>
    </row>
    <row r="1799" spans="1:33" s="46" customFormat="1">
      <c r="A1799" s="54"/>
      <c r="B1799" s="16"/>
      <c r="C1799" s="55"/>
      <c r="D1799" s="56"/>
      <c r="E1799" s="16"/>
      <c r="F1799" s="16"/>
      <c r="G1799" s="16"/>
      <c r="H1799" s="54"/>
      <c r="I1799" s="16"/>
      <c r="J1799" s="54"/>
      <c r="K1799" s="42"/>
      <c r="L1799" s="16"/>
      <c r="M1799" s="16"/>
      <c r="AA1799" s="14">
        <f t="shared" si="56"/>
        <v>0</v>
      </c>
      <c r="AB1799" s="47">
        <f t="shared" si="57"/>
        <v>-1</v>
      </c>
      <c r="AD1799" s="53"/>
      <c r="AE1799" s="53"/>
      <c r="AF1799" s="53"/>
      <c r="AG1799" s="53"/>
    </row>
    <row r="1800" spans="1:33" s="46" customFormat="1">
      <c r="A1800" s="54"/>
      <c r="B1800" s="16"/>
      <c r="C1800" s="55"/>
      <c r="D1800" s="56"/>
      <c r="E1800" s="16"/>
      <c r="F1800" s="16"/>
      <c r="G1800" s="16"/>
      <c r="H1800" s="54"/>
      <c r="I1800" s="16"/>
      <c r="J1800" s="54"/>
      <c r="K1800" s="42"/>
      <c r="L1800" s="16"/>
      <c r="M1800" s="16"/>
      <c r="AA1800" s="14">
        <f t="shared" si="56"/>
        <v>0</v>
      </c>
      <c r="AB1800" s="47">
        <f t="shared" si="57"/>
        <v>-1</v>
      </c>
      <c r="AD1800" s="53"/>
      <c r="AE1800" s="53"/>
      <c r="AF1800" s="53"/>
      <c r="AG1800" s="53"/>
    </row>
    <row r="1801" spans="1:33" s="46" customFormat="1">
      <c r="A1801" s="54"/>
      <c r="B1801" s="16"/>
      <c r="C1801" s="55"/>
      <c r="D1801" s="56"/>
      <c r="E1801" s="16"/>
      <c r="F1801" s="16"/>
      <c r="G1801" s="16"/>
      <c r="H1801" s="54"/>
      <c r="I1801" s="16"/>
      <c r="J1801" s="54"/>
      <c r="K1801" s="42"/>
      <c r="L1801" s="16"/>
      <c r="M1801" s="16"/>
      <c r="AA1801" s="14">
        <f t="shared" si="56"/>
        <v>0</v>
      </c>
      <c r="AB1801" s="47">
        <f t="shared" si="57"/>
        <v>-1</v>
      </c>
      <c r="AD1801" s="53"/>
      <c r="AE1801" s="53"/>
      <c r="AF1801" s="53"/>
      <c r="AG1801" s="53"/>
    </row>
    <row r="1802" spans="1:33" s="46" customFormat="1">
      <c r="A1802" s="54"/>
      <c r="B1802" s="16"/>
      <c r="C1802" s="55"/>
      <c r="D1802" s="56"/>
      <c r="E1802" s="16"/>
      <c r="F1802" s="16"/>
      <c r="G1802" s="16"/>
      <c r="H1802" s="54"/>
      <c r="I1802" s="16"/>
      <c r="J1802" s="54"/>
      <c r="K1802" s="42"/>
      <c r="L1802" s="16"/>
      <c r="M1802" s="16"/>
      <c r="AA1802" s="14">
        <f t="shared" si="56"/>
        <v>0</v>
      </c>
      <c r="AB1802" s="47">
        <f t="shared" si="57"/>
        <v>-1</v>
      </c>
      <c r="AD1802" s="53"/>
      <c r="AE1802" s="53"/>
      <c r="AF1802" s="53"/>
      <c r="AG1802" s="53"/>
    </row>
    <row r="1803" spans="1:33" s="46" customFormat="1">
      <c r="A1803" s="54"/>
      <c r="B1803" s="16"/>
      <c r="C1803" s="55"/>
      <c r="D1803" s="56"/>
      <c r="E1803" s="16"/>
      <c r="F1803" s="16"/>
      <c r="G1803" s="16"/>
      <c r="H1803" s="54"/>
      <c r="I1803" s="16"/>
      <c r="J1803" s="54"/>
      <c r="K1803" s="42"/>
      <c r="L1803" s="16"/>
      <c r="M1803" s="16"/>
      <c r="AA1803" s="14">
        <f t="shared" si="56"/>
        <v>0</v>
      </c>
      <c r="AB1803" s="47">
        <f t="shared" si="57"/>
        <v>-1</v>
      </c>
      <c r="AD1803" s="53"/>
      <c r="AE1803" s="53"/>
      <c r="AF1803" s="53"/>
      <c r="AG1803" s="53"/>
    </row>
    <row r="1804" spans="1:33" s="46" customFormat="1">
      <c r="A1804" s="54"/>
      <c r="B1804" s="16"/>
      <c r="C1804" s="55"/>
      <c r="D1804" s="56"/>
      <c r="E1804" s="16"/>
      <c r="F1804" s="16"/>
      <c r="G1804" s="16"/>
      <c r="H1804" s="54"/>
      <c r="I1804" s="16"/>
      <c r="J1804" s="54"/>
      <c r="K1804" s="42"/>
      <c r="L1804" s="16"/>
      <c r="M1804" s="16"/>
      <c r="AA1804" s="14">
        <f t="shared" si="56"/>
        <v>0</v>
      </c>
      <c r="AB1804" s="47">
        <f t="shared" si="57"/>
        <v>-1</v>
      </c>
      <c r="AD1804" s="53"/>
      <c r="AE1804" s="53"/>
      <c r="AF1804" s="53"/>
      <c r="AG1804" s="53"/>
    </row>
    <row r="1805" spans="1:33" s="46" customFormat="1">
      <c r="A1805" s="54"/>
      <c r="B1805" s="16"/>
      <c r="C1805" s="55"/>
      <c r="D1805" s="56"/>
      <c r="E1805" s="16"/>
      <c r="F1805" s="16"/>
      <c r="G1805" s="16"/>
      <c r="H1805" s="54"/>
      <c r="I1805" s="16"/>
      <c r="J1805" s="54"/>
      <c r="K1805" s="42"/>
      <c r="L1805" s="16"/>
      <c r="M1805" s="16"/>
      <c r="AA1805" s="14">
        <f t="shared" si="56"/>
        <v>0</v>
      </c>
      <c r="AB1805" s="47">
        <f t="shared" si="57"/>
        <v>-1</v>
      </c>
      <c r="AD1805" s="53"/>
      <c r="AE1805" s="53"/>
      <c r="AF1805" s="53"/>
      <c r="AG1805" s="53"/>
    </row>
    <row r="1806" spans="1:33" s="46" customFormat="1">
      <c r="A1806" s="54"/>
      <c r="B1806" s="16"/>
      <c r="C1806" s="55"/>
      <c r="D1806" s="56"/>
      <c r="E1806" s="16"/>
      <c r="F1806" s="16"/>
      <c r="G1806" s="16"/>
      <c r="H1806" s="54"/>
      <c r="I1806" s="16"/>
      <c r="J1806" s="54"/>
      <c r="K1806" s="42"/>
      <c r="L1806" s="16"/>
      <c r="M1806" s="16"/>
      <c r="AA1806" s="14">
        <f t="shared" si="56"/>
        <v>0</v>
      </c>
      <c r="AB1806" s="47">
        <f t="shared" si="57"/>
        <v>-1</v>
      </c>
      <c r="AD1806" s="53"/>
      <c r="AE1806" s="53"/>
      <c r="AF1806" s="53"/>
      <c r="AG1806" s="53"/>
    </row>
    <row r="1807" spans="1:33" s="46" customFormat="1">
      <c r="A1807" s="54"/>
      <c r="B1807" s="16"/>
      <c r="C1807" s="55"/>
      <c r="D1807" s="56"/>
      <c r="E1807" s="16"/>
      <c r="F1807" s="16"/>
      <c r="G1807" s="16"/>
      <c r="H1807" s="54"/>
      <c r="I1807" s="16"/>
      <c r="J1807" s="54"/>
      <c r="K1807" s="42"/>
      <c r="L1807" s="16"/>
      <c r="M1807" s="16"/>
      <c r="AA1807" s="14">
        <f t="shared" si="56"/>
        <v>0</v>
      </c>
      <c r="AB1807" s="47">
        <f t="shared" si="57"/>
        <v>-1</v>
      </c>
      <c r="AD1807" s="53"/>
      <c r="AE1807" s="53"/>
      <c r="AF1807" s="53"/>
      <c r="AG1807" s="53"/>
    </row>
    <row r="1808" spans="1:33" s="46" customFormat="1">
      <c r="A1808" s="54"/>
      <c r="B1808" s="16"/>
      <c r="C1808" s="55"/>
      <c r="D1808" s="56"/>
      <c r="E1808" s="16"/>
      <c r="F1808" s="16"/>
      <c r="G1808" s="16"/>
      <c r="H1808" s="54"/>
      <c r="I1808" s="16"/>
      <c r="J1808" s="54"/>
      <c r="K1808" s="42"/>
      <c r="L1808" s="16"/>
      <c r="M1808" s="16"/>
      <c r="AA1808" s="14">
        <f t="shared" si="56"/>
        <v>0</v>
      </c>
      <c r="AB1808" s="47">
        <f t="shared" si="57"/>
        <v>-1</v>
      </c>
      <c r="AD1808" s="53"/>
      <c r="AE1808" s="53"/>
      <c r="AF1808" s="53"/>
      <c r="AG1808" s="53"/>
    </row>
    <row r="1809" spans="1:33" s="46" customFormat="1">
      <c r="A1809" s="54"/>
      <c r="B1809" s="16"/>
      <c r="C1809" s="55"/>
      <c r="D1809" s="56"/>
      <c r="E1809" s="16"/>
      <c r="F1809" s="16"/>
      <c r="G1809" s="16"/>
      <c r="H1809" s="54"/>
      <c r="I1809" s="16"/>
      <c r="J1809" s="54"/>
      <c r="K1809" s="42"/>
      <c r="L1809" s="16"/>
      <c r="M1809" s="16"/>
      <c r="AA1809" s="14">
        <f t="shared" si="56"/>
        <v>0</v>
      </c>
      <c r="AB1809" s="47">
        <f t="shared" si="57"/>
        <v>-1</v>
      </c>
      <c r="AD1809" s="53"/>
      <c r="AE1809" s="53"/>
      <c r="AF1809" s="53"/>
      <c r="AG1809" s="53"/>
    </row>
    <row r="1810" spans="1:33" s="46" customFormat="1">
      <c r="A1810" s="54"/>
      <c r="B1810" s="16"/>
      <c r="C1810" s="55"/>
      <c r="D1810" s="56"/>
      <c r="E1810" s="16"/>
      <c r="F1810" s="16"/>
      <c r="G1810" s="16"/>
      <c r="H1810" s="54"/>
      <c r="I1810" s="16"/>
      <c r="J1810" s="54"/>
      <c r="K1810" s="42"/>
      <c r="L1810" s="16"/>
      <c r="M1810" s="16"/>
      <c r="AA1810" s="14">
        <f t="shared" si="56"/>
        <v>0</v>
      </c>
      <c r="AB1810" s="47">
        <f t="shared" si="57"/>
        <v>-1</v>
      </c>
      <c r="AD1810" s="53"/>
      <c r="AE1810" s="53"/>
      <c r="AF1810" s="53"/>
      <c r="AG1810" s="53"/>
    </row>
    <row r="1811" spans="1:33" s="46" customFormat="1">
      <c r="A1811" s="54"/>
      <c r="B1811" s="16"/>
      <c r="C1811" s="55"/>
      <c r="D1811" s="56"/>
      <c r="E1811" s="16"/>
      <c r="F1811" s="16"/>
      <c r="G1811" s="16"/>
      <c r="H1811" s="54"/>
      <c r="I1811" s="16"/>
      <c r="J1811" s="54"/>
      <c r="K1811" s="42"/>
      <c r="L1811" s="16"/>
      <c r="M1811" s="16"/>
      <c r="AA1811" s="14">
        <f t="shared" si="56"/>
        <v>0</v>
      </c>
      <c r="AB1811" s="47">
        <f t="shared" si="57"/>
        <v>-1</v>
      </c>
      <c r="AD1811" s="53"/>
      <c r="AE1811" s="53"/>
      <c r="AF1811" s="53"/>
      <c r="AG1811" s="53"/>
    </row>
    <row r="1812" spans="1:33" s="46" customFormat="1">
      <c r="A1812" s="54"/>
      <c r="B1812" s="16"/>
      <c r="C1812" s="55"/>
      <c r="D1812" s="56"/>
      <c r="E1812" s="16"/>
      <c r="F1812" s="16"/>
      <c r="G1812" s="16"/>
      <c r="H1812" s="54"/>
      <c r="I1812" s="16"/>
      <c r="J1812" s="54"/>
      <c r="K1812" s="42"/>
      <c r="L1812" s="16"/>
      <c r="M1812" s="16"/>
      <c r="AA1812" s="14">
        <f t="shared" si="56"/>
        <v>0</v>
      </c>
      <c r="AB1812" s="47">
        <f t="shared" si="57"/>
        <v>-1</v>
      </c>
      <c r="AD1812" s="53"/>
      <c r="AE1812" s="53"/>
      <c r="AF1812" s="53"/>
      <c r="AG1812" s="53"/>
    </row>
    <row r="1813" spans="1:33" s="46" customFormat="1">
      <c r="A1813" s="54"/>
      <c r="B1813" s="16"/>
      <c r="C1813" s="55"/>
      <c r="D1813" s="56"/>
      <c r="E1813" s="16"/>
      <c r="F1813" s="16"/>
      <c r="G1813" s="16"/>
      <c r="H1813" s="54"/>
      <c r="I1813" s="16"/>
      <c r="J1813" s="54"/>
      <c r="K1813" s="42"/>
      <c r="L1813" s="16"/>
      <c r="M1813" s="16"/>
      <c r="AA1813" s="14">
        <f t="shared" si="56"/>
        <v>0</v>
      </c>
      <c r="AB1813" s="47">
        <f t="shared" si="57"/>
        <v>-1</v>
      </c>
      <c r="AD1813" s="53"/>
      <c r="AE1813" s="53"/>
      <c r="AF1813" s="53"/>
      <c r="AG1813" s="53"/>
    </row>
    <row r="1814" spans="1:33" s="46" customFormat="1">
      <c r="A1814" s="54"/>
      <c r="B1814" s="16"/>
      <c r="C1814" s="55"/>
      <c r="D1814" s="56"/>
      <c r="E1814" s="16"/>
      <c r="F1814" s="16"/>
      <c r="G1814" s="16"/>
      <c r="H1814" s="54"/>
      <c r="I1814" s="16"/>
      <c r="J1814" s="54"/>
      <c r="K1814" s="42"/>
      <c r="L1814" s="16"/>
      <c r="M1814" s="16"/>
      <c r="AA1814" s="14">
        <f t="shared" si="56"/>
        <v>0</v>
      </c>
      <c r="AB1814" s="47">
        <f t="shared" si="57"/>
        <v>-1</v>
      </c>
      <c r="AD1814" s="53"/>
      <c r="AE1814" s="53"/>
      <c r="AF1814" s="53"/>
      <c r="AG1814" s="53"/>
    </row>
    <row r="1815" spans="1:33" s="46" customFormat="1">
      <c r="A1815" s="54"/>
      <c r="B1815" s="16"/>
      <c r="C1815" s="55"/>
      <c r="D1815" s="56"/>
      <c r="E1815" s="16"/>
      <c r="F1815" s="16"/>
      <c r="G1815" s="16"/>
      <c r="H1815" s="54"/>
      <c r="I1815" s="16"/>
      <c r="J1815" s="54"/>
      <c r="K1815" s="42"/>
      <c r="L1815" s="16"/>
      <c r="M1815" s="16"/>
      <c r="AA1815" s="14">
        <f t="shared" si="56"/>
        <v>0</v>
      </c>
      <c r="AB1815" s="47">
        <f t="shared" si="57"/>
        <v>-1</v>
      </c>
      <c r="AD1815" s="53"/>
      <c r="AE1815" s="53"/>
      <c r="AF1815" s="53"/>
      <c r="AG1815" s="53"/>
    </row>
    <row r="1816" spans="1:33" s="46" customFormat="1">
      <c r="A1816" s="54"/>
      <c r="B1816" s="16"/>
      <c r="C1816" s="55"/>
      <c r="D1816" s="56"/>
      <c r="E1816" s="16"/>
      <c r="F1816" s="16"/>
      <c r="G1816" s="16"/>
      <c r="H1816" s="54"/>
      <c r="I1816" s="16"/>
      <c r="J1816" s="54"/>
      <c r="K1816" s="42"/>
      <c r="L1816" s="16"/>
      <c r="M1816" s="16"/>
      <c r="AA1816" s="14">
        <f t="shared" si="56"/>
        <v>0</v>
      </c>
      <c r="AB1816" s="47">
        <f t="shared" si="57"/>
        <v>-1</v>
      </c>
      <c r="AD1816" s="53"/>
      <c r="AE1816" s="53"/>
      <c r="AF1816" s="53"/>
      <c r="AG1816" s="53"/>
    </row>
    <row r="1817" spans="1:33" s="46" customFormat="1">
      <c r="A1817" s="54"/>
      <c r="B1817" s="16"/>
      <c r="C1817" s="55"/>
      <c r="D1817" s="56"/>
      <c r="E1817" s="16"/>
      <c r="F1817" s="16"/>
      <c r="G1817" s="16"/>
      <c r="H1817" s="54"/>
      <c r="I1817" s="16"/>
      <c r="J1817" s="54"/>
      <c r="K1817" s="42"/>
      <c r="L1817" s="16"/>
      <c r="M1817" s="16"/>
      <c r="AA1817" s="14">
        <f t="shared" si="56"/>
        <v>0</v>
      </c>
      <c r="AB1817" s="47">
        <f t="shared" si="57"/>
        <v>-1</v>
      </c>
      <c r="AD1817" s="53"/>
      <c r="AE1817" s="53"/>
      <c r="AF1817" s="53"/>
      <c r="AG1817" s="53"/>
    </row>
    <row r="1818" spans="1:33" s="46" customFormat="1">
      <c r="A1818" s="54"/>
      <c r="B1818" s="16"/>
      <c r="C1818" s="55"/>
      <c r="D1818" s="56"/>
      <c r="E1818" s="16"/>
      <c r="F1818" s="16"/>
      <c r="G1818" s="16"/>
      <c r="H1818" s="54"/>
      <c r="I1818" s="16"/>
      <c r="J1818" s="54"/>
      <c r="K1818" s="42"/>
      <c r="L1818" s="16"/>
      <c r="M1818" s="16"/>
      <c r="AA1818" s="14">
        <f t="shared" si="56"/>
        <v>0</v>
      </c>
      <c r="AB1818" s="47">
        <f t="shared" si="57"/>
        <v>-1</v>
      </c>
      <c r="AD1818" s="53"/>
      <c r="AE1818" s="53"/>
      <c r="AF1818" s="53"/>
      <c r="AG1818" s="53"/>
    </row>
    <row r="1819" spans="1:33" s="46" customFormat="1">
      <c r="A1819" s="54"/>
      <c r="B1819" s="16"/>
      <c r="C1819" s="55"/>
      <c r="D1819" s="56"/>
      <c r="E1819" s="16"/>
      <c r="F1819" s="16"/>
      <c r="G1819" s="16"/>
      <c r="H1819" s="54"/>
      <c r="I1819" s="16"/>
      <c r="J1819" s="54"/>
      <c r="K1819" s="42"/>
      <c r="L1819" s="16"/>
      <c r="M1819" s="16"/>
      <c r="AA1819" s="14">
        <f t="shared" si="56"/>
        <v>0</v>
      </c>
      <c r="AB1819" s="47">
        <f t="shared" si="57"/>
        <v>-1</v>
      </c>
      <c r="AD1819" s="53"/>
      <c r="AE1819" s="53"/>
      <c r="AF1819" s="53"/>
      <c r="AG1819" s="53"/>
    </row>
    <row r="1820" spans="1:33" s="46" customFormat="1">
      <c r="A1820" s="54"/>
      <c r="B1820" s="16"/>
      <c r="C1820" s="55"/>
      <c r="D1820" s="56"/>
      <c r="E1820" s="16"/>
      <c r="F1820" s="16"/>
      <c r="G1820" s="16"/>
      <c r="H1820" s="54"/>
      <c r="I1820" s="16"/>
      <c r="J1820" s="54"/>
      <c r="K1820" s="42"/>
      <c r="L1820" s="16"/>
      <c r="M1820" s="16"/>
      <c r="AA1820" s="14">
        <f t="shared" si="56"/>
        <v>0</v>
      </c>
      <c r="AB1820" s="47">
        <f t="shared" si="57"/>
        <v>-1</v>
      </c>
      <c r="AD1820" s="53"/>
      <c r="AE1820" s="53"/>
      <c r="AF1820" s="53"/>
      <c r="AG1820" s="53"/>
    </row>
    <row r="1821" spans="1:33" s="46" customFormat="1">
      <c r="A1821" s="54"/>
      <c r="B1821" s="16"/>
      <c r="C1821" s="55"/>
      <c r="D1821" s="56"/>
      <c r="E1821" s="16"/>
      <c r="F1821" s="16"/>
      <c r="G1821" s="16"/>
      <c r="H1821" s="54"/>
      <c r="I1821" s="16"/>
      <c r="J1821" s="54"/>
      <c r="K1821" s="42"/>
      <c r="L1821" s="16"/>
      <c r="M1821" s="16"/>
      <c r="AA1821" s="14">
        <f t="shared" si="56"/>
        <v>0</v>
      </c>
      <c r="AB1821" s="47">
        <f t="shared" si="57"/>
        <v>-1</v>
      </c>
      <c r="AD1821" s="53"/>
      <c r="AE1821" s="53"/>
      <c r="AF1821" s="53"/>
      <c r="AG1821" s="53"/>
    </row>
    <row r="1822" spans="1:33" s="46" customFormat="1">
      <c r="A1822" s="54"/>
      <c r="B1822" s="16"/>
      <c r="C1822" s="55"/>
      <c r="D1822" s="56"/>
      <c r="E1822" s="16"/>
      <c r="F1822" s="16"/>
      <c r="G1822" s="16"/>
      <c r="H1822" s="54"/>
      <c r="I1822" s="16"/>
      <c r="J1822" s="54"/>
      <c r="K1822" s="42"/>
      <c r="L1822" s="16"/>
      <c r="M1822" s="16"/>
      <c r="AA1822" s="14">
        <f t="shared" si="56"/>
        <v>0</v>
      </c>
      <c r="AB1822" s="47">
        <f t="shared" si="57"/>
        <v>-1</v>
      </c>
      <c r="AD1822" s="53"/>
      <c r="AE1822" s="53"/>
      <c r="AF1822" s="53"/>
      <c r="AG1822" s="53"/>
    </row>
    <row r="1823" spans="1:33" s="46" customFormat="1">
      <c r="A1823" s="54"/>
      <c r="B1823" s="16"/>
      <c r="C1823" s="55"/>
      <c r="D1823" s="56"/>
      <c r="E1823" s="16"/>
      <c r="F1823" s="16"/>
      <c r="G1823" s="16"/>
      <c r="H1823" s="54"/>
      <c r="I1823" s="16"/>
      <c r="J1823" s="54"/>
      <c r="K1823" s="42"/>
      <c r="L1823" s="16"/>
      <c r="M1823" s="16"/>
      <c r="AA1823" s="14">
        <f t="shared" si="56"/>
        <v>0</v>
      </c>
      <c r="AB1823" s="47">
        <f t="shared" si="57"/>
        <v>-1</v>
      </c>
      <c r="AD1823" s="53"/>
      <c r="AE1823" s="53"/>
      <c r="AF1823" s="53"/>
      <c r="AG1823" s="53"/>
    </row>
    <row r="1824" spans="1:33" s="46" customFormat="1">
      <c r="A1824" s="54"/>
      <c r="B1824" s="16"/>
      <c r="C1824" s="55"/>
      <c r="D1824" s="56"/>
      <c r="E1824" s="16"/>
      <c r="F1824" s="16"/>
      <c r="G1824" s="16"/>
      <c r="H1824" s="54"/>
      <c r="I1824" s="16"/>
      <c r="J1824" s="54"/>
      <c r="K1824" s="42"/>
      <c r="L1824" s="16"/>
      <c r="M1824" s="16"/>
      <c r="AA1824" s="14">
        <f t="shared" si="56"/>
        <v>0</v>
      </c>
      <c r="AB1824" s="47">
        <f t="shared" si="57"/>
        <v>-1</v>
      </c>
      <c r="AD1824" s="53"/>
      <c r="AE1824" s="53"/>
      <c r="AF1824" s="53"/>
      <c r="AG1824" s="53"/>
    </row>
    <row r="1825" spans="1:33" s="46" customFormat="1">
      <c r="A1825" s="54"/>
      <c r="B1825" s="16"/>
      <c r="C1825" s="55"/>
      <c r="D1825" s="56"/>
      <c r="E1825" s="16"/>
      <c r="F1825" s="16"/>
      <c r="G1825" s="16"/>
      <c r="H1825" s="54"/>
      <c r="I1825" s="16"/>
      <c r="J1825" s="54"/>
      <c r="K1825" s="42"/>
      <c r="L1825" s="16"/>
      <c r="M1825" s="16"/>
      <c r="AA1825" s="14">
        <f t="shared" si="56"/>
        <v>0</v>
      </c>
      <c r="AB1825" s="47">
        <f t="shared" si="57"/>
        <v>-1</v>
      </c>
      <c r="AD1825" s="53"/>
      <c r="AE1825" s="53"/>
      <c r="AF1825" s="53"/>
      <c r="AG1825" s="53"/>
    </row>
    <row r="1826" spans="1:33" s="46" customFormat="1">
      <c r="A1826" s="54"/>
      <c r="B1826" s="16"/>
      <c r="C1826" s="55"/>
      <c r="D1826" s="56"/>
      <c r="E1826" s="16"/>
      <c r="F1826" s="16"/>
      <c r="G1826" s="16"/>
      <c r="H1826" s="54"/>
      <c r="I1826" s="16"/>
      <c r="J1826" s="54"/>
      <c r="K1826" s="42"/>
      <c r="L1826" s="16"/>
      <c r="M1826" s="16"/>
      <c r="AA1826" s="14">
        <f t="shared" si="56"/>
        <v>0</v>
      </c>
      <c r="AB1826" s="47">
        <f t="shared" si="57"/>
        <v>-1</v>
      </c>
      <c r="AD1826" s="53"/>
      <c r="AE1826" s="53"/>
      <c r="AF1826" s="53"/>
      <c r="AG1826" s="53"/>
    </row>
    <row r="1827" spans="1:33" s="46" customFormat="1">
      <c r="A1827" s="54"/>
      <c r="B1827" s="16"/>
      <c r="C1827" s="55"/>
      <c r="D1827" s="56"/>
      <c r="E1827" s="16"/>
      <c r="F1827" s="16"/>
      <c r="G1827" s="16"/>
      <c r="H1827" s="54"/>
      <c r="I1827" s="16"/>
      <c r="J1827" s="54"/>
      <c r="K1827" s="42"/>
      <c r="L1827" s="16"/>
      <c r="M1827" s="16"/>
      <c r="AA1827" s="14">
        <f t="shared" si="56"/>
        <v>0</v>
      </c>
      <c r="AB1827" s="47">
        <f t="shared" si="57"/>
        <v>-1</v>
      </c>
      <c r="AD1827" s="53"/>
      <c r="AE1827" s="53"/>
      <c r="AF1827" s="53"/>
      <c r="AG1827" s="53"/>
    </row>
    <row r="1828" spans="1:33" s="46" customFormat="1">
      <c r="A1828" s="54"/>
      <c r="B1828" s="16"/>
      <c r="C1828" s="55"/>
      <c r="D1828" s="56"/>
      <c r="E1828" s="16"/>
      <c r="F1828" s="16"/>
      <c r="G1828" s="16"/>
      <c r="H1828" s="54"/>
      <c r="I1828" s="16"/>
      <c r="J1828" s="54"/>
      <c r="K1828" s="42"/>
      <c r="L1828" s="16"/>
      <c r="M1828" s="16"/>
      <c r="AA1828" s="14">
        <f t="shared" si="56"/>
        <v>0</v>
      </c>
      <c r="AB1828" s="47">
        <f t="shared" si="57"/>
        <v>-1</v>
      </c>
      <c r="AD1828" s="53"/>
      <c r="AE1828" s="53"/>
      <c r="AF1828" s="53"/>
      <c r="AG1828" s="53"/>
    </row>
    <row r="1829" spans="1:33" s="46" customFormat="1">
      <c r="A1829" s="54"/>
      <c r="B1829" s="16"/>
      <c r="C1829" s="55"/>
      <c r="D1829" s="56"/>
      <c r="E1829" s="16"/>
      <c r="F1829" s="16"/>
      <c r="G1829" s="16"/>
      <c r="H1829" s="54"/>
      <c r="I1829" s="16"/>
      <c r="J1829" s="54"/>
      <c r="K1829" s="42"/>
      <c r="L1829" s="16"/>
      <c r="M1829" s="16"/>
      <c r="AA1829" s="14">
        <f t="shared" si="56"/>
        <v>0</v>
      </c>
      <c r="AB1829" s="47">
        <f t="shared" si="57"/>
        <v>-1</v>
      </c>
      <c r="AD1829" s="53"/>
      <c r="AE1829" s="53"/>
      <c r="AF1829" s="53"/>
      <c r="AG1829" s="53"/>
    </row>
    <row r="1830" spans="1:33" s="46" customFormat="1">
      <c r="A1830" s="54"/>
      <c r="B1830" s="16"/>
      <c r="C1830" s="55"/>
      <c r="D1830" s="56"/>
      <c r="E1830" s="16"/>
      <c r="F1830" s="16"/>
      <c r="G1830" s="16"/>
      <c r="H1830" s="54"/>
      <c r="I1830" s="16"/>
      <c r="J1830" s="54"/>
      <c r="K1830" s="42"/>
      <c r="L1830" s="16"/>
      <c r="M1830" s="16"/>
      <c r="AA1830" s="14">
        <f t="shared" si="56"/>
        <v>0</v>
      </c>
      <c r="AB1830" s="47">
        <f t="shared" si="57"/>
        <v>-1</v>
      </c>
      <c r="AD1830" s="53"/>
      <c r="AE1830" s="53"/>
      <c r="AF1830" s="53"/>
      <c r="AG1830" s="53"/>
    </row>
    <row r="1831" spans="1:33" s="46" customFormat="1">
      <c r="A1831" s="54"/>
      <c r="B1831" s="16"/>
      <c r="C1831" s="55"/>
      <c r="D1831" s="56"/>
      <c r="E1831" s="16"/>
      <c r="F1831" s="16"/>
      <c r="G1831" s="16"/>
      <c r="H1831" s="54"/>
      <c r="I1831" s="16"/>
      <c r="J1831" s="54"/>
      <c r="K1831" s="42"/>
      <c r="L1831" s="16"/>
      <c r="M1831" s="16"/>
      <c r="AA1831" s="14">
        <f t="shared" si="56"/>
        <v>0</v>
      </c>
      <c r="AB1831" s="47">
        <f t="shared" si="57"/>
        <v>-1</v>
      </c>
      <c r="AD1831" s="53"/>
      <c r="AE1831" s="53"/>
      <c r="AF1831" s="53"/>
      <c r="AG1831" s="53"/>
    </row>
    <row r="1832" spans="1:33" s="46" customFormat="1">
      <c r="A1832" s="54"/>
      <c r="B1832" s="16"/>
      <c r="C1832" s="55"/>
      <c r="D1832" s="56"/>
      <c r="E1832" s="16"/>
      <c r="F1832" s="16"/>
      <c r="G1832" s="16"/>
      <c r="H1832" s="54"/>
      <c r="I1832" s="16"/>
      <c r="J1832" s="54"/>
      <c r="K1832" s="42"/>
      <c r="L1832" s="16"/>
      <c r="M1832" s="16"/>
      <c r="AA1832" s="14">
        <f t="shared" ref="AA1832:AA1895" si="58">C1832-C1831</f>
        <v>0</v>
      </c>
      <c r="AB1832" s="47">
        <f t="shared" ref="AB1832:AB1895" si="59">AA1832-1</f>
        <v>-1</v>
      </c>
      <c r="AD1832" s="53"/>
      <c r="AE1832" s="53"/>
      <c r="AF1832" s="53"/>
      <c r="AG1832" s="53"/>
    </row>
    <row r="1833" spans="1:33" s="46" customFormat="1">
      <c r="A1833" s="54"/>
      <c r="B1833" s="16"/>
      <c r="C1833" s="55"/>
      <c r="D1833" s="56"/>
      <c r="E1833" s="16"/>
      <c r="F1833" s="16"/>
      <c r="G1833" s="16"/>
      <c r="H1833" s="54"/>
      <c r="I1833" s="16"/>
      <c r="J1833" s="54"/>
      <c r="K1833" s="42"/>
      <c r="L1833" s="16"/>
      <c r="M1833" s="16"/>
      <c r="AA1833" s="14">
        <f t="shared" si="58"/>
        <v>0</v>
      </c>
      <c r="AB1833" s="47">
        <f t="shared" si="59"/>
        <v>-1</v>
      </c>
      <c r="AD1833" s="53"/>
      <c r="AE1833" s="53"/>
      <c r="AF1833" s="53"/>
      <c r="AG1833" s="53"/>
    </row>
    <row r="1834" spans="1:33" s="46" customFormat="1">
      <c r="A1834" s="54"/>
      <c r="B1834" s="16"/>
      <c r="C1834" s="55"/>
      <c r="D1834" s="56"/>
      <c r="E1834" s="16"/>
      <c r="F1834" s="16"/>
      <c r="G1834" s="16"/>
      <c r="H1834" s="54"/>
      <c r="I1834" s="16"/>
      <c r="J1834" s="54"/>
      <c r="K1834" s="42"/>
      <c r="L1834" s="16"/>
      <c r="M1834" s="16"/>
      <c r="AA1834" s="14">
        <f t="shared" si="58"/>
        <v>0</v>
      </c>
      <c r="AB1834" s="47">
        <f t="shared" si="59"/>
        <v>-1</v>
      </c>
      <c r="AD1834" s="53"/>
      <c r="AE1834" s="53"/>
      <c r="AF1834" s="53"/>
      <c r="AG1834" s="53"/>
    </row>
    <row r="1835" spans="1:33" s="46" customFormat="1">
      <c r="A1835" s="54"/>
      <c r="B1835" s="16"/>
      <c r="C1835" s="55"/>
      <c r="D1835" s="56"/>
      <c r="E1835" s="16"/>
      <c r="F1835" s="16"/>
      <c r="G1835" s="16"/>
      <c r="H1835" s="54"/>
      <c r="I1835" s="16"/>
      <c r="J1835" s="54"/>
      <c r="K1835" s="42"/>
      <c r="L1835" s="16"/>
      <c r="M1835" s="16"/>
      <c r="AA1835" s="14">
        <f t="shared" si="58"/>
        <v>0</v>
      </c>
      <c r="AB1835" s="47">
        <f t="shared" si="59"/>
        <v>-1</v>
      </c>
      <c r="AD1835" s="53"/>
      <c r="AE1835" s="53"/>
      <c r="AF1835" s="53"/>
      <c r="AG1835" s="53"/>
    </row>
    <row r="1836" spans="1:33" s="46" customFormat="1">
      <c r="A1836" s="54"/>
      <c r="B1836" s="16"/>
      <c r="C1836" s="55"/>
      <c r="D1836" s="56"/>
      <c r="E1836" s="16"/>
      <c r="F1836" s="16"/>
      <c r="G1836" s="16"/>
      <c r="H1836" s="54"/>
      <c r="I1836" s="16"/>
      <c r="J1836" s="54"/>
      <c r="K1836" s="42"/>
      <c r="L1836" s="16"/>
      <c r="M1836" s="16"/>
      <c r="AA1836" s="14">
        <f t="shared" si="58"/>
        <v>0</v>
      </c>
      <c r="AB1836" s="47">
        <f t="shared" si="59"/>
        <v>-1</v>
      </c>
      <c r="AD1836" s="53"/>
      <c r="AE1836" s="53"/>
      <c r="AF1836" s="53"/>
      <c r="AG1836" s="53"/>
    </row>
    <row r="1837" spans="1:33" s="46" customFormat="1">
      <c r="A1837" s="54"/>
      <c r="B1837" s="16"/>
      <c r="C1837" s="55"/>
      <c r="D1837" s="56"/>
      <c r="E1837" s="16"/>
      <c r="F1837" s="16"/>
      <c r="G1837" s="16"/>
      <c r="H1837" s="54"/>
      <c r="I1837" s="16"/>
      <c r="J1837" s="54"/>
      <c r="K1837" s="42"/>
      <c r="L1837" s="16"/>
      <c r="M1837" s="16"/>
      <c r="AA1837" s="14">
        <f t="shared" si="58"/>
        <v>0</v>
      </c>
      <c r="AB1837" s="47">
        <f t="shared" si="59"/>
        <v>-1</v>
      </c>
      <c r="AD1837" s="53"/>
      <c r="AE1837" s="53"/>
      <c r="AF1837" s="53"/>
      <c r="AG1837" s="53"/>
    </row>
    <row r="1838" spans="1:33" s="46" customFormat="1">
      <c r="A1838" s="54"/>
      <c r="B1838" s="16"/>
      <c r="C1838" s="55"/>
      <c r="D1838" s="56"/>
      <c r="E1838" s="16"/>
      <c r="F1838" s="16"/>
      <c r="G1838" s="16"/>
      <c r="H1838" s="54"/>
      <c r="I1838" s="16"/>
      <c r="J1838" s="54"/>
      <c r="K1838" s="42"/>
      <c r="L1838" s="16"/>
      <c r="M1838" s="16"/>
      <c r="AA1838" s="14">
        <f t="shared" si="58"/>
        <v>0</v>
      </c>
      <c r="AB1838" s="47">
        <f t="shared" si="59"/>
        <v>-1</v>
      </c>
      <c r="AD1838" s="53"/>
      <c r="AE1838" s="53"/>
      <c r="AF1838" s="53"/>
      <c r="AG1838" s="53"/>
    </row>
    <row r="1839" spans="1:33" s="46" customFormat="1">
      <c r="A1839" s="54"/>
      <c r="B1839" s="16"/>
      <c r="C1839" s="55"/>
      <c r="D1839" s="56"/>
      <c r="E1839" s="16"/>
      <c r="F1839" s="16"/>
      <c r="G1839" s="16"/>
      <c r="H1839" s="54"/>
      <c r="I1839" s="16"/>
      <c r="J1839" s="54"/>
      <c r="K1839" s="42"/>
      <c r="L1839" s="16"/>
      <c r="M1839" s="16"/>
      <c r="AA1839" s="14">
        <f t="shared" si="58"/>
        <v>0</v>
      </c>
      <c r="AB1839" s="47">
        <f t="shared" si="59"/>
        <v>-1</v>
      </c>
      <c r="AD1839" s="53"/>
      <c r="AE1839" s="53"/>
      <c r="AF1839" s="53"/>
      <c r="AG1839" s="53"/>
    </row>
    <row r="1840" spans="1:33" s="46" customFormat="1">
      <c r="A1840" s="54"/>
      <c r="B1840" s="16"/>
      <c r="C1840" s="55"/>
      <c r="D1840" s="56"/>
      <c r="E1840" s="16"/>
      <c r="F1840" s="16"/>
      <c r="G1840" s="16"/>
      <c r="H1840" s="54"/>
      <c r="I1840" s="16"/>
      <c r="J1840" s="54"/>
      <c r="K1840" s="42"/>
      <c r="L1840" s="16"/>
      <c r="M1840" s="16"/>
      <c r="AA1840" s="14">
        <f t="shared" si="58"/>
        <v>0</v>
      </c>
      <c r="AB1840" s="47">
        <f t="shared" si="59"/>
        <v>-1</v>
      </c>
      <c r="AD1840" s="53"/>
      <c r="AE1840" s="53"/>
      <c r="AF1840" s="53"/>
      <c r="AG1840" s="53"/>
    </row>
    <row r="1841" spans="1:33" s="46" customFormat="1">
      <c r="A1841" s="54"/>
      <c r="B1841" s="16"/>
      <c r="C1841" s="55"/>
      <c r="D1841" s="56"/>
      <c r="E1841" s="16"/>
      <c r="F1841" s="16"/>
      <c r="G1841" s="16"/>
      <c r="H1841" s="54"/>
      <c r="I1841" s="16"/>
      <c r="J1841" s="54"/>
      <c r="K1841" s="42"/>
      <c r="L1841" s="16"/>
      <c r="M1841" s="16"/>
      <c r="AA1841" s="14">
        <f t="shared" si="58"/>
        <v>0</v>
      </c>
      <c r="AB1841" s="47">
        <f t="shared" si="59"/>
        <v>-1</v>
      </c>
      <c r="AD1841" s="53"/>
      <c r="AE1841" s="53"/>
      <c r="AF1841" s="53"/>
      <c r="AG1841" s="53"/>
    </row>
    <row r="1842" spans="1:33" s="46" customFormat="1">
      <c r="A1842" s="54"/>
      <c r="B1842" s="16"/>
      <c r="C1842" s="55"/>
      <c r="D1842" s="56"/>
      <c r="E1842" s="16"/>
      <c r="F1842" s="16"/>
      <c r="G1842" s="16"/>
      <c r="H1842" s="54"/>
      <c r="I1842" s="16"/>
      <c r="J1842" s="54"/>
      <c r="K1842" s="42"/>
      <c r="L1842" s="16"/>
      <c r="M1842" s="16"/>
      <c r="AA1842" s="14">
        <f t="shared" si="58"/>
        <v>0</v>
      </c>
      <c r="AB1842" s="47">
        <f t="shared" si="59"/>
        <v>-1</v>
      </c>
      <c r="AD1842" s="53"/>
      <c r="AE1842" s="53"/>
      <c r="AF1842" s="53"/>
      <c r="AG1842" s="53"/>
    </row>
    <row r="1843" spans="1:33" s="46" customFormat="1">
      <c r="A1843" s="54"/>
      <c r="B1843" s="16"/>
      <c r="C1843" s="55"/>
      <c r="D1843" s="56"/>
      <c r="E1843" s="16"/>
      <c r="F1843" s="16"/>
      <c r="G1843" s="16"/>
      <c r="H1843" s="54"/>
      <c r="I1843" s="16"/>
      <c r="J1843" s="54"/>
      <c r="K1843" s="42"/>
      <c r="L1843" s="16"/>
      <c r="M1843" s="16"/>
      <c r="AA1843" s="14">
        <f t="shared" si="58"/>
        <v>0</v>
      </c>
      <c r="AB1843" s="47">
        <f t="shared" si="59"/>
        <v>-1</v>
      </c>
      <c r="AD1843" s="53"/>
      <c r="AE1843" s="53"/>
      <c r="AF1843" s="53"/>
      <c r="AG1843" s="53"/>
    </row>
    <row r="1844" spans="1:33" s="46" customFormat="1">
      <c r="A1844" s="54"/>
      <c r="B1844" s="16"/>
      <c r="C1844" s="55"/>
      <c r="D1844" s="56"/>
      <c r="E1844" s="16"/>
      <c r="F1844" s="16"/>
      <c r="G1844" s="16"/>
      <c r="H1844" s="54"/>
      <c r="I1844" s="16"/>
      <c r="J1844" s="54"/>
      <c r="K1844" s="42"/>
      <c r="L1844" s="16"/>
      <c r="M1844" s="16"/>
      <c r="AA1844" s="14">
        <f t="shared" si="58"/>
        <v>0</v>
      </c>
      <c r="AB1844" s="47">
        <f t="shared" si="59"/>
        <v>-1</v>
      </c>
      <c r="AD1844" s="53"/>
      <c r="AE1844" s="53"/>
      <c r="AF1844" s="53"/>
      <c r="AG1844" s="53"/>
    </row>
    <row r="1845" spans="1:33" s="46" customFormat="1">
      <c r="A1845" s="54"/>
      <c r="B1845" s="16"/>
      <c r="C1845" s="55"/>
      <c r="D1845" s="56"/>
      <c r="E1845" s="16"/>
      <c r="F1845" s="16"/>
      <c r="G1845" s="16"/>
      <c r="H1845" s="54"/>
      <c r="I1845" s="16"/>
      <c r="J1845" s="54"/>
      <c r="K1845" s="42"/>
      <c r="L1845" s="16"/>
      <c r="M1845" s="16"/>
      <c r="AA1845" s="14">
        <f t="shared" si="58"/>
        <v>0</v>
      </c>
      <c r="AB1845" s="47">
        <f t="shared" si="59"/>
        <v>-1</v>
      </c>
      <c r="AD1845" s="53"/>
      <c r="AE1845" s="53"/>
      <c r="AF1845" s="53"/>
      <c r="AG1845" s="53"/>
    </row>
    <row r="1846" spans="1:33" s="46" customFormat="1">
      <c r="A1846" s="54"/>
      <c r="B1846" s="16"/>
      <c r="C1846" s="55"/>
      <c r="D1846" s="56"/>
      <c r="E1846" s="16"/>
      <c r="F1846" s="16"/>
      <c r="G1846" s="16"/>
      <c r="H1846" s="54"/>
      <c r="I1846" s="16"/>
      <c r="J1846" s="54"/>
      <c r="K1846" s="42"/>
      <c r="L1846" s="16"/>
      <c r="M1846" s="16"/>
      <c r="AA1846" s="14">
        <f t="shared" si="58"/>
        <v>0</v>
      </c>
      <c r="AB1846" s="47">
        <f t="shared" si="59"/>
        <v>-1</v>
      </c>
      <c r="AD1846" s="53"/>
      <c r="AE1846" s="53"/>
      <c r="AF1846" s="53"/>
      <c r="AG1846" s="53"/>
    </row>
    <row r="1847" spans="1:33" s="46" customFormat="1">
      <c r="A1847" s="54"/>
      <c r="B1847" s="16"/>
      <c r="C1847" s="55"/>
      <c r="D1847" s="56"/>
      <c r="E1847" s="16"/>
      <c r="F1847" s="16"/>
      <c r="G1847" s="16"/>
      <c r="H1847" s="54"/>
      <c r="I1847" s="16"/>
      <c r="J1847" s="54"/>
      <c r="K1847" s="42"/>
      <c r="L1847" s="16"/>
      <c r="M1847" s="16"/>
      <c r="AA1847" s="14">
        <f t="shared" si="58"/>
        <v>0</v>
      </c>
      <c r="AB1847" s="47">
        <f t="shared" si="59"/>
        <v>-1</v>
      </c>
      <c r="AD1847" s="53"/>
      <c r="AE1847" s="53"/>
      <c r="AF1847" s="53"/>
      <c r="AG1847" s="53"/>
    </row>
    <row r="1848" spans="1:33" s="46" customFormat="1">
      <c r="A1848" s="54"/>
      <c r="B1848" s="16"/>
      <c r="C1848" s="55"/>
      <c r="D1848" s="56"/>
      <c r="E1848" s="16"/>
      <c r="F1848" s="16"/>
      <c r="G1848" s="16"/>
      <c r="H1848" s="54"/>
      <c r="I1848" s="16"/>
      <c r="J1848" s="54"/>
      <c r="K1848" s="42"/>
      <c r="L1848" s="16"/>
      <c r="M1848" s="16"/>
      <c r="AA1848" s="14">
        <f t="shared" si="58"/>
        <v>0</v>
      </c>
      <c r="AB1848" s="47">
        <f t="shared" si="59"/>
        <v>-1</v>
      </c>
      <c r="AD1848" s="53"/>
      <c r="AE1848" s="53"/>
      <c r="AF1848" s="53"/>
      <c r="AG1848" s="53"/>
    </row>
    <row r="1849" spans="1:33" s="46" customFormat="1">
      <c r="A1849" s="54"/>
      <c r="B1849" s="16"/>
      <c r="C1849" s="55"/>
      <c r="D1849" s="56"/>
      <c r="E1849" s="16"/>
      <c r="F1849" s="16"/>
      <c r="G1849" s="16"/>
      <c r="H1849" s="54"/>
      <c r="I1849" s="16"/>
      <c r="J1849" s="54"/>
      <c r="K1849" s="42"/>
      <c r="L1849" s="16"/>
      <c r="M1849" s="16"/>
      <c r="AA1849" s="14">
        <f t="shared" si="58"/>
        <v>0</v>
      </c>
      <c r="AB1849" s="47">
        <f t="shared" si="59"/>
        <v>-1</v>
      </c>
      <c r="AD1849" s="53"/>
      <c r="AE1849" s="53"/>
      <c r="AF1849" s="53"/>
      <c r="AG1849" s="53"/>
    </row>
    <row r="1850" spans="1:33" s="46" customFormat="1">
      <c r="A1850" s="54"/>
      <c r="B1850" s="16"/>
      <c r="C1850" s="55"/>
      <c r="D1850" s="56"/>
      <c r="E1850" s="16"/>
      <c r="F1850" s="16"/>
      <c r="G1850" s="16"/>
      <c r="H1850" s="54"/>
      <c r="I1850" s="16"/>
      <c r="J1850" s="54"/>
      <c r="K1850" s="42"/>
      <c r="L1850" s="16"/>
      <c r="M1850" s="16"/>
      <c r="AA1850" s="14">
        <f t="shared" si="58"/>
        <v>0</v>
      </c>
      <c r="AB1850" s="47">
        <f t="shared" si="59"/>
        <v>-1</v>
      </c>
      <c r="AD1850" s="53"/>
      <c r="AE1850" s="53"/>
      <c r="AF1850" s="53"/>
      <c r="AG1850" s="53"/>
    </row>
    <row r="1851" spans="1:33" s="46" customFormat="1">
      <c r="A1851" s="54"/>
      <c r="B1851" s="16"/>
      <c r="C1851" s="55"/>
      <c r="D1851" s="56"/>
      <c r="E1851" s="16"/>
      <c r="F1851" s="16"/>
      <c r="G1851" s="16"/>
      <c r="H1851" s="54"/>
      <c r="I1851" s="16"/>
      <c r="J1851" s="54"/>
      <c r="K1851" s="42"/>
      <c r="L1851" s="16"/>
      <c r="M1851" s="16"/>
      <c r="AA1851" s="14">
        <f t="shared" si="58"/>
        <v>0</v>
      </c>
      <c r="AB1851" s="47">
        <f t="shared" si="59"/>
        <v>-1</v>
      </c>
      <c r="AD1851" s="53"/>
      <c r="AE1851" s="53"/>
      <c r="AF1851" s="53"/>
      <c r="AG1851" s="53"/>
    </row>
    <row r="1852" spans="1:33" s="46" customFormat="1">
      <c r="A1852" s="54"/>
      <c r="B1852" s="16"/>
      <c r="C1852" s="55"/>
      <c r="D1852" s="56"/>
      <c r="E1852" s="16"/>
      <c r="F1852" s="16"/>
      <c r="G1852" s="16"/>
      <c r="H1852" s="54"/>
      <c r="I1852" s="16"/>
      <c r="J1852" s="54"/>
      <c r="K1852" s="42"/>
      <c r="L1852" s="16"/>
      <c r="M1852" s="16"/>
      <c r="AA1852" s="14">
        <f t="shared" si="58"/>
        <v>0</v>
      </c>
      <c r="AB1852" s="47">
        <f t="shared" si="59"/>
        <v>-1</v>
      </c>
      <c r="AD1852" s="53"/>
      <c r="AE1852" s="53"/>
      <c r="AF1852" s="53"/>
      <c r="AG1852" s="53"/>
    </row>
    <row r="1853" spans="1:33" s="46" customFormat="1">
      <c r="A1853" s="54"/>
      <c r="B1853" s="16"/>
      <c r="C1853" s="55"/>
      <c r="D1853" s="56"/>
      <c r="E1853" s="16"/>
      <c r="F1853" s="16"/>
      <c r="G1853" s="16"/>
      <c r="H1853" s="54"/>
      <c r="I1853" s="16"/>
      <c r="J1853" s="54"/>
      <c r="K1853" s="42"/>
      <c r="L1853" s="16"/>
      <c r="M1853" s="16"/>
      <c r="AA1853" s="14">
        <f t="shared" si="58"/>
        <v>0</v>
      </c>
      <c r="AB1853" s="47">
        <f t="shared" si="59"/>
        <v>-1</v>
      </c>
      <c r="AD1853" s="53"/>
      <c r="AE1853" s="53"/>
      <c r="AF1853" s="53"/>
      <c r="AG1853" s="53"/>
    </row>
    <row r="1854" spans="1:33" s="46" customFormat="1">
      <c r="A1854" s="54"/>
      <c r="B1854" s="16"/>
      <c r="C1854" s="55"/>
      <c r="D1854" s="56"/>
      <c r="E1854" s="16"/>
      <c r="F1854" s="16"/>
      <c r="G1854" s="16"/>
      <c r="H1854" s="54"/>
      <c r="I1854" s="16"/>
      <c r="J1854" s="54"/>
      <c r="K1854" s="42"/>
      <c r="L1854" s="16"/>
      <c r="M1854" s="16"/>
      <c r="AA1854" s="14">
        <f t="shared" si="58"/>
        <v>0</v>
      </c>
      <c r="AB1854" s="47">
        <f t="shared" si="59"/>
        <v>-1</v>
      </c>
      <c r="AD1854" s="53"/>
      <c r="AE1854" s="53"/>
      <c r="AF1854" s="53"/>
      <c r="AG1854" s="53"/>
    </row>
    <row r="1855" spans="1:33" s="46" customFormat="1">
      <c r="A1855" s="54"/>
      <c r="B1855" s="16"/>
      <c r="C1855" s="55"/>
      <c r="D1855" s="56"/>
      <c r="E1855" s="16"/>
      <c r="F1855" s="16"/>
      <c r="G1855" s="16"/>
      <c r="H1855" s="54"/>
      <c r="I1855" s="16"/>
      <c r="J1855" s="54"/>
      <c r="K1855" s="42"/>
      <c r="L1855" s="16"/>
      <c r="M1855" s="16"/>
      <c r="AA1855" s="14">
        <f t="shared" si="58"/>
        <v>0</v>
      </c>
      <c r="AB1855" s="47">
        <f t="shared" si="59"/>
        <v>-1</v>
      </c>
      <c r="AD1855" s="53"/>
      <c r="AE1855" s="53"/>
      <c r="AF1855" s="53"/>
      <c r="AG1855" s="53"/>
    </row>
    <row r="1856" spans="1:33" s="46" customFormat="1">
      <c r="A1856" s="54"/>
      <c r="B1856" s="16"/>
      <c r="C1856" s="55"/>
      <c r="D1856" s="56"/>
      <c r="E1856" s="16"/>
      <c r="F1856" s="16"/>
      <c r="G1856" s="16"/>
      <c r="H1856" s="54"/>
      <c r="I1856" s="16"/>
      <c r="J1856" s="54"/>
      <c r="K1856" s="42"/>
      <c r="L1856" s="16"/>
      <c r="M1856" s="16"/>
      <c r="AA1856" s="14">
        <f t="shared" si="58"/>
        <v>0</v>
      </c>
      <c r="AB1856" s="47">
        <f t="shared" si="59"/>
        <v>-1</v>
      </c>
      <c r="AD1856" s="53"/>
      <c r="AE1856" s="53"/>
      <c r="AF1856" s="53"/>
      <c r="AG1856" s="53"/>
    </row>
    <row r="1857" spans="1:33" s="46" customFormat="1">
      <c r="A1857" s="54"/>
      <c r="B1857" s="16"/>
      <c r="C1857" s="55"/>
      <c r="D1857" s="56"/>
      <c r="E1857" s="16"/>
      <c r="F1857" s="16"/>
      <c r="G1857" s="16"/>
      <c r="H1857" s="54"/>
      <c r="I1857" s="16"/>
      <c r="J1857" s="54"/>
      <c r="K1857" s="42"/>
      <c r="L1857" s="16"/>
      <c r="M1857" s="16"/>
      <c r="AA1857" s="14">
        <f t="shared" si="58"/>
        <v>0</v>
      </c>
      <c r="AB1857" s="47">
        <f t="shared" si="59"/>
        <v>-1</v>
      </c>
      <c r="AD1857" s="53"/>
      <c r="AE1857" s="53"/>
      <c r="AF1857" s="53"/>
      <c r="AG1857" s="53"/>
    </row>
    <row r="1858" spans="1:33" s="46" customFormat="1">
      <c r="A1858" s="54"/>
      <c r="B1858" s="16"/>
      <c r="C1858" s="55"/>
      <c r="D1858" s="56"/>
      <c r="E1858" s="16"/>
      <c r="F1858" s="16"/>
      <c r="G1858" s="16"/>
      <c r="H1858" s="54"/>
      <c r="I1858" s="16"/>
      <c r="J1858" s="54"/>
      <c r="K1858" s="42"/>
      <c r="L1858" s="16"/>
      <c r="M1858" s="16"/>
      <c r="AA1858" s="14">
        <f t="shared" si="58"/>
        <v>0</v>
      </c>
      <c r="AB1858" s="47">
        <f t="shared" si="59"/>
        <v>-1</v>
      </c>
      <c r="AD1858" s="53"/>
      <c r="AE1858" s="53"/>
      <c r="AF1858" s="53"/>
      <c r="AG1858" s="53"/>
    </row>
    <row r="1859" spans="1:33" s="46" customFormat="1">
      <c r="A1859" s="54"/>
      <c r="B1859" s="16"/>
      <c r="C1859" s="55"/>
      <c r="D1859" s="56"/>
      <c r="E1859" s="16"/>
      <c r="F1859" s="16"/>
      <c r="G1859" s="16"/>
      <c r="H1859" s="54"/>
      <c r="I1859" s="16"/>
      <c r="J1859" s="54"/>
      <c r="K1859" s="42"/>
      <c r="L1859" s="16"/>
      <c r="M1859" s="16"/>
      <c r="AA1859" s="14">
        <f t="shared" si="58"/>
        <v>0</v>
      </c>
      <c r="AB1859" s="47">
        <f t="shared" si="59"/>
        <v>-1</v>
      </c>
      <c r="AD1859" s="53"/>
      <c r="AE1859" s="53"/>
      <c r="AF1859" s="53"/>
      <c r="AG1859" s="53"/>
    </row>
    <row r="1860" spans="1:33" s="46" customFormat="1">
      <c r="A1860" s="54"/>
      <c r="B1860" s="16"/>
      <c r="C1860" s="55"/>
      <c r="D1860" s="56"/>
      <c r="E1860" s="16"/>
      <c r="F1860" s="16"/>
      <c r="G1860" s="16"/>
      <c r="H1860" s="54"/>
      <c r="I1860" s="16"/>
      <c r="J1860" s="54"/>
      <c r="K1860" s="42"/>
      <c r="L1860" s="16"/>
      <c r="M1860" s="16"/>
      <c r="AA1860" s="14">
        <f t="shared" si="58"/>
        <v>0</v>
      </c>
      <c r="AB1860" s="47">
        <f t="shared" si="59"/>
        <v>-1</v>
      </c>
      <c r="AD1860" s="53"/>
      <c r="AE1860" s="53"/>
      <c r="AF1860" s="53"/>
      <c r="AG1860" s="53"/>
    </row>
    <row r="1861" spans="1:33" s="46" customFormat="1">
      <c r="A1861" s="54"/>
      <c r="B1861" s="16"/>
      <c r="C1861" s="55"/>
      <c r="D1861" s="56"/>
      <c r="E1861" s="16"/>
      <c r="F1861" s="16"/>
      <c r="G1861" s="16"/>
      <c r="H1861" s="54"/>
      <c r="I1861" s="16"/>
      <c r="J1861" s="54"/>
      <c r="K1861" s="42"/>
      <c r="L1861" s="16"/>
      <c r="M1861" s="16"/>
      <c r="AA1861" s="14">
        <f t="shared" si="58"/>
        <v>0</v>
      </c>
      <c r="AB1861" s="47">
        <f t="shared" si="59"/>
        <v>-1</v>
      </c>
      <c r="AD1861" s="53"/>
      <c r="AE1861" s="53"/>
      <c r="AF1861" s="53"/>
      <c r="AG1861" s="53"/>
    </row>
    <row r="1862" spans="1:33" s="46" customFormat="1">
      <c r="A1862" s="54"/>
      <c r="B1862" s="16"/>
      <c r="C1862" s="55"/>
      <c r="D1862" s="56"/>
      <c r="E1862" s="16"/>
      <c r="F1862" s="16"/>
      <c r="G1862" s="16"/>
      <c r="H1862" s="54"/>
      <c r="I1862" s="16"/>
      <c r="J1862" s="54"/>
      <c r="K1862" s="42"/>
      <c r="L1862" s="16"/>
      <c r="M1862" s="16"/>
      <c r="AA1862" s="14">
        <f t="shared" si="58"/>
        <v>0</v>
      </c>
      <c r="AB1862" s="47">
        <f t="shared" si="59"/>
        <v>-1</v>
      </c>
      <c r="AD1862" s="53"/>
      <c r="AE1862" s="53"/>
      <c r="AF1862" s="53"/>
      <c r="AG1862" s="53"/>
    </row>
    <row r="1863" spans="1:33" s="46" customFormat="1">
      <c r="A1863" s="54"/>
      <c r="B1863" s="16"/>
      <c r="C1863" s="55"/>
      <c r="D1863" s="56"/>
      <c r="E1863" s="16"/>
      <c r="F1863" s="16"/>
      <c r="G1863" s="16"/>
      <c r="H1863" s="54"/>
      <c r="I1863" s="16"/>
      <c r="J1863" s="54"/>
      <c r="K1863" s="42"/>
      <c r="L1863" s="16"/>
      <c r="M1863" s="16"/>
      <c r="AA1863" s="14">
        <f t="shared" si="58"/>
        <v>0</v>
      </c>
      <c r="AB1863" s="47">
        <f t="shared" si="59"/>
        <v>-1</v>
      </c>
      <c r="AD1863" s="53"/>
      <c r="AE1863" s="53"/>
      <c r="AF1863" s="53"/>
      <c r="AG1863" s="53"/>
    </row>
    <row r="1864" spans="1:33" s="46" customFormat="1">
      <c r="A1864" s="54"/>
      <c r="B1864" s="16"/>
      <c r="C1864" s="55"/>
      <c r="D1864" s="56"/>
      <c r="E1864" s="16"/>
      <c r="F1864" s="16"/>
      <c r="G1864" s="16"/>
      <c r="H1864" s="54"/>
      <c r="I1864" s="16"/>
      <c r="J1864" s="54"/>
      <c r="K1864" s="42"/>
      <c r="L1864" s="16"/>
      <c r="M1864" s="16"/>
      <c r="AA1864" s="14">
        <f t="shared" si="58"/>
        <v>0</v>
      </c>
      <c r="AB1864" s="47">
        <f t="shared" si="59"/>
        <v>-1</v>
      </c>
      <c r="AD1864" s="53"/>
      <c r="AE1864" s="53"/>
      <c r="AF1864" s="53"/>
      <c r="AG1864" s="53"/>
    </row>
    <row r="1865" spans="1:33" s="46" customFormat="1">
      <c r="A1865" s="54"/>
      <c r="B1865" s="16"/>
      <c r="C1865" s="55"/>
      <c r="D1865" s="56"/>
      <c r="E1865" s="16"/>
      <c r="F1865" s="16"/>
      <c r="G1865" s="16"/>
      <c r="H1865" s="54"/>
      <c r="I1865" s="16"/>
      <c r="J1865" s="54"/>
      <c r="K1865" s="42"/>
      <c r="L1865" s="16"/>
      <c r="M1865" s="16"/>
      <c r="AA1865" s="14">
        <f t="shared" si="58"/>
        <v>0</v>
      </c>
      <c r="AB1865" s="47">
        <f t="shared" si="59"/>
        <v>-1</v>
      </c>
      <c r="AD1865" s="53"/>
      <c r="AE1865" s="53"/>
      <c r="AF1865" s="53"/>
      <c r="AG1865" s="53"/>
    </row>
    <row r="1866" spans="1:33" s="46" customFormat="1">
      <c r="A1866" s="54"/>
      <c r="B1866" s="16"/>
      <c r="C1866" s="55"/>
      <c r="D1866" s="56"/>
      <c r="E1866" s="16"/>
      <c r="F1866" s="16"/>
      <c r="G1866" s="16"/>
      <c r="H1866" s="54"/>
      <c r="I1866" s="16"/>
      <c r="J1866" s="54"/>
      <c r="K1866" s="42"/>
      <c r="L1866" s="16"/>
      <c r="M1866" s="16"/>
      <c r="AA1866" s="14">
        <f t="shared" si="58"/>
        <v>0</v>
      </c>
      <c r="AB1866" s="47">
        <f t="shared" si="59"/>
        <v>-1</v>
      </c>
      <c r="AD1866" s="53"/>
      <c r="AE1866" s="53"/>
      <c r="AF1866" s="53"/>
      <c r="AG1866" s="53"/>
    </row>
    <row r="1867" spans="1:33" s="46" customFormat="1">
      <c r="A1867" s="54"/>
      <c r="B1867" s="16"/>
      <c r="C1867" s="55"/>
      <c r="D1867" s="56"/>
      <c r="E1867" s="16"/>
      <c r="F1867" s="16"/>
      <c r="G1867" s="16"/>
      <c r="H1867" s="54"/>
      <c r="I1867" s="16"/>
      <c r="J1867" s="54"/>
      <c r="K1867" s="42"/>
      <c r="L1867" s="16"/>
      <c r="M1867" s="16"/>
      <c r="AA1867" s="14">
        <f t="shared" si="58"/>
        <v>0</v>
      </c>
      <c r="AB1867" s="47">
        <f t="shared" si="59"/>
        <v>-1</v>
      </c>
      <c r="AD1867" s="53"/>
      <c r="AE1867" s="53"/>
      <c r="AF1867" s="53"/>
      <c r="AG1867" s="53"/>
    </row>
    <row r="1868" spans="1:33" s="46" customFormat="1">
      <c r="A1868" s="54"/>
      <c r="B1868" s="16"/>
      <c r="C1868" s="55"/>
      <c r="D1868" s="56"/>
      <c r="E1868" s="16"/>
      <c r="F1868" s="16"/>
      <c r="G1868" s="16"/>
      <c r="H1868" s="54"/>
      <c r="I1868" s="16"/>
      <c r="J1868" s="54"/>
      <c r="K1868" s="42"/>
      <c r="L1868" s="16"/>
      <c r="M1868" s="16"/>
      <c r="AA1868" s="14">
        <f t="shared" si="58"/>
        <v>0</v>
      </c>
      <c r="AB1868" s="47">
        <f t="shared" si="59"/>
        <v>-1</v>
      </c>
      <c r="AD1868" s="53"/>
      <c r="AE1868" s="53"/>
      <c r="AF1868" s="53"/>
      <c r="AG1868" s="53"/>
    </row>
    <row r="1869" spans="1:33" s="46" customFormat="1">
      <c r="A1869" s="54"/>
      <c r="B1869" s="16"/>
      <c r="C1869" s="55"/>
      <c r="D1869" s="56"/>
      <c r="E1869" s="16"/>
      <c r="F1869" s="16"/>
      <c r="G1869" s="16"/>
      <c r="H1869" s="54"/>
      <c r="I1869" s="16"/>
      <c r="J1869" s="54"/>
      <c r="K1869" s="42"/>
      <c r="L1869" s="16"/>
      <c r="M1869" s="16"/>
      <c r="AA1869" s="14">
        <f t="shared" si="58"/>
        <v>0</v>
      </c>
      <c r="AB1869" s="47">
        <f t="shared" si="59"/>
        <v>-1</v>
      </c>
      <c r="AD1869" s="53"/>
      <c r="AE1869" s="53"/>
      <c r="AF1869" s="53"/>
      <c r="AG1869" s="53"/>
    </row>
    <row r="1870" spans="1:33" s="46" customFormat="1">
      <c r="A1870" s="54"/>
      <c r="B1870" s="16"/>
      <c r="C1870" s="55"/>
      <c r="D1870" s="56"/>
      <c r="E1870" s="16"/>
      <c r="F1870" s="16"/>
      <c r="G1870" s="16"/>
      <c r="H1870" s="54"/>
      <c r="I1870" s="16"/>
      <c r="J1870" s="54"/>
      <c r="K1870" s="42"/>
      <c r="L1870" s="16"/>
      <c r="M1870" s="16"/>
      <c r="AA1870" s="14">
        <f t="shared" si="58"/>
        <v>0</v>
      </c>
      <c r="AB1870" s="47">
        <f t="shared" si="59"/>
        <v>-1</v>
      </c>
      <c r="AD1870" s="53"/>
      <c r="AE1870" s="53"/>
      <c r="AF1870" s="53"/>
      <c r="AG1870" s="53"/>
    </row>
    <row r="1871" spans="1:33" s="46" customFormat="1">
      <c r="A1871" s="54"/>
      <c r="B1871" s="16"/>
      <c r="C1871" s="55"/>
      <c r="D1871" s="56"/>
      <c r="E1871" s="16"/>
      <c r="F1871" s="16"/>
      <c r="G1871" s="16"/>
      <c r="H1871" s="54"/>
      <c r="I1871" s="16"/>
      <c r="J1871" s="54"/>
      <c r="K1871" s="42"/>
      <c r="L1871" s="16"/>
      <c r="M1871" s="16"/>
      <c r="AA1871" s="14">
        <f t="shared" si="58"/>
        <v>0</v>
      </c>
      <c r="AB1871" s="47">
        <f t="shared" si="59"/>
        <v>-1</v>
      </c>
      <c r="AD1871" s="53"/>
      <c r="AE1871" s="53"/>
      <c r="AF1871" s="53"/>
      <c r="AG1871" s="53"/>
    </row>
    <row r="1872" spans="1:33" s="46" customFormat="1">
      <c r="A1872" s="54"/>
      <c r="B1872" s="16"/>
      <c r="C1872" s="55"/>
      <c r="D1872" s="56"/>
      <c r="E1872" s="16"/>
      <c r="F1872" s="16"/>
      <c r="G1872" s="16"/>
      <c r="H1872" s="54"/>
      <c r="I1872" s="16"/>
      <c r="J1872" s="54"/>
      <c r="K1872" s="42"/>
      <c r="L1872" s="16"/>
      <c r="M1872" s="16"/>
      <c r="AA1872" s="14">
        <f t="shared" si="58"/>
        <v>0</v>
      </c>
      <c r="AB1872" s="47">
        <f t="shared" si="59"/>
        <v>-1</v>
      </c>
      <c r="AD1872" s="53"/>
      <c r="AE1872" s="53"/>
      <c r="AF1872" s="53"/>
      <c r="AG1872" s="53"/>
    </row>
    <row r="1873" spans="1:33" s="46" customFormat="1">
      <c r="A1873" s="54"/>
      <c r="B1873" s="16"/>
      <c r="C1873" s="55"/>
      <c r="D1873" s="56"/>
      <c r="E1873" s="16"/>
      <c r="F1873" s="16"/>
      <c r="G1873" s="16"/>
      <c r="H1873" s="54"/>
      <c r="I1873" s="16"/>
      <c r="J1873" s="54"/>
      <c r="K1873" s="42"/>
      <c r="L1873" s="16"/>
      <c r="M1873" s="16"/>
      <c r="AA1873" s="14">
        <f t="shared" si="58"/>
        <v>0</v>
      </c>
      <c r="AB1873" s="47">
        <f t="shared" si="59"/>
        <v>-1</v>
      </c>
      <c r="AD1873" s="53"/>
      <c r="AE1873" s="53"/>
      <c r="AF1873" s="53"/>
      <c r="AG1873" s="53"/>
    </row>
    <row r="1874" spans="1:33" s="46" customFormat="1">
      <c r="A1874" s="54"/>
      <c r="B1874" s="16"/>
      <c r="C1874" s="55"/>
      <c r="D1874" s="56"/>
      <c r="E1874" s="16"/>
      <c r="F1874" s="16"/>
      <c r="G1874" s="16"/>
      <c r="H1874" s="54"/>
      <c r="I1874" s="16"/>
      <c r="J1874" s="54"/>
      <c r="K1874" s="42"/>
      <c r="L1874" s="16"/>
      <c r="M1874" s="16"/>
      <c r="AA1874" s="14">
        <f t="shared" si="58"/>
        <v>0</v>
      </c>
      <c r="AB1874" s="47">
        <f t="shared" si="59"/>
        <v>-1</v>
      </c>
      <c r="AD1874" s="53"/>
      <c r="AE1874" s="53"/>
      <c r="AF1874" s="53"/>
      <c r="AG1874" s="53"/>
    </row>
    <row r="1875" spans="1:33" s="46" customFormat="1">
      <c r="A1875" s="54"/>
      <c r="B1875" s="16"/>
      <c r="C1875" s="55"/>
      <c r="D1875" s="56"/>
      <c r="E1875" s="16"/>
      <c r="F1875" s="16"/>
      <c r="G1875" s="16"/>
      <c r="H1875" s="54"/>
      <c r="I1875" s="16"/>
      <c r="J1875" s="54"/>
      <c r="K1875" s="42"/>
      <c r="L1875" s="16"/>
      <c r="M1875" s="16"/>
      <c r="AA1875" s="14">
        <f t="shared" si="58"/>
        <v>0</v>
      </c>
      <c r="AB1875" s="47">
        <f t="shared" si="59"/>
        <v>-1</v>
      </c>
      <c r="AD1875" s="53"/>
      <c r="AE1875" s="53"/>
      <c r="AF1875" s="53"/>
      <c r="AG1875" s="53"/>
    </row>
    <row r="1876" spans="1:33" s="46" customFormat="1">
      <c r="A1876" s="54"/>
      <c r="B1876" s="16"/>
      <c r="C1876" s="55"/>
      <c r="D1876" s="56"/>
      <c r="E1876" s="16"/>
      <c r="F1876" s="16"/>
      <c r="G1876" s="16"/>
      <c r="H1876" s="54"/>
      <c r="I1876" s="16"/>
      <c r="J1876" s="54"/>
      <c r="K1876" s="42"/>
      <c r="L1876" s="16"/>
      <c r="M1876" s="16"/>
      <c r="AA1876" s="14">
        <f t="shared" si="58"/>
        <v>0</v>
      </c>
      <c r="AB1876" s="47">
        <f t="shared" si="59"/>
        <v>-1</v>
      </c>
      <c r="AD1876" s="53"/>
      <c r="AE1876" s="53"/>
      <c r="AF1876" s="53"/>
      <c r="AG1876" s="53"/>
    </row>
    <row r="1877" spans="1:33" s="46" customFormat="1">
      <c r="A1877" s="54"/>
      <c r="B1877" s="16"/>
      <c r="C1877" s="55"/>
      <c r="D1877" s="56"/>
      <c r="E1877" s="16"/>
      <c r="F1877" s="16"/>
      <c r="G1877" s="16"/>
      <c r="H1877" s="54"/>
      <c r="I1877" s="16"/>
      <c r="J1877" s="54"/>
      <c r="K1877" s="42"/>
      <c r="L1877" s="16"/>
      <c r="M1877" s="16"/>
      <c r="AA1877" s="14">
        <f t="shared" si="58"/>
        <v>0</v>
      </c>
      <c r="AB1877" s="47">
        <f t="shared" si="59"/>
        <v>-1</v>
      </c>
      <c r="AD1877" s="53"/>
      <c r="AE1877" s="53"/>
      <c r="AF1877" s="53"/>
      <c r="AG1877" s="53"/>
    </row>
    <row r="1878" spans="1:33" s="46" customFormat="1">
      <c r="A1878" s="54"/>
      <c r="B1878" s="16"/>
      <c r="C1878" s="55"/>
      <c r="D1878" s="56"/>
      <c r="E1878" s="16"/>
      <c r="F1878" s="16"/>
      <c r="G1878" s="16"/>
      <c r="H1878" s="54"/>
      <c r="I1878" s="16"/>
      <c r="J1878" s="54"/>
      <c r="K1878" s="42"/>
      <c r="L1878" s="16"/>
      <c r="M1878" s="16"/>
      <c r="AA1878" s="14">
        <f t="shared" si="58"/>
        <v>0</v>
      </c>
      <c r="AB1878" s="47">
        <f t="shared" si="59"/>
        <v>-1</v>
      </c>
      <c r="AD1878" s="53"/>
      <c r="AE1878" s="53"/>
      <c r="AF1878" s="53"/>
      <c r="AG1878" s="53"/>
    </row>
    <row r="1879" spans="1:33" s="46" customFormat="1">
      <c r="A1879" s="54"/>
      <c r="B1879" s="16"/>
      <c r="C1879" s="55"/>
      <c r="D1879" s="56"/>
      <c r="E1879" s="16"/>
      <c r="F1879" s="16"/>
      <c r="G1879" s="16"/>
      <c r="H1879" s="54"/>
      <c r="I1879" s="16"/>
      <c r="J1879" s="54"/>
      <c r="K1879" s="42"/>
      <c r="L1879" s="16"/>
      <c r="M1879" s="16"/>
      <c r="AA1879" s="14">
        <f t="shared" si="58"/>
        <v>0</v>
      </c>
      <c r="AB1879" s="47">
        <f t="shared" si="59"/>
        <v>-1</v>
      </c>
      <c r="AD1879" s="53"/>
      <c r="AE1879" s="53"/>
      <c r="AF1879" s="53"/>
      <c r="AG1879" s="53"/>
    </row>
    <row r="1880" spans="1:33" s="46" customFormat="1">
      <c r="A1880" s="54"/>
      <c r="B1880" s="16"/>
      <c r="C1880" s="55"/>
      <c r="D1880" s="56"/>
      <c r="E1880" s="16"/>
      <c r="F1880" s="16"/>
      <c r="G1880" s="16"/>
      <c r="H1880" s="54"/>
      <c r="I1880" s="16"/>
      <c r="J1880" s="54"/>
      <c r="K1880" s="42"/>
      <c r="L1880" s="16"/>
      <c r="M1880" s="16"/>
      <c r="AA1880" s="14">
        <f t="shared" si="58"/>
        <v>0</v>
      </c>
      <c r="AB1880" s="47">
        <f t="shared" si="59"/>
        <v>-1</v>
      </c>
      <c r="AD1880" s="53"/>
      <c r="AE1880" s="53"/>
      <c r="AF1880" s="53"/>
      <c r="AG1880" s="53"/>
    </row>
    <row r="1881" spans="1:33" s="46" customFormat="1">
      <c r="A1881" s="54"/>
      <c r="B1881" s="16"/>
      <c r="C1881" s="55"/>
      <c r="D1881" s="56"/>
      <c r="E1881" s="16"/>
      <c r="F1881" s="16"/>
      <c r="G1881" s="16"/>
      <c r="H1881" s="54"/>
      <c r="I1881" s="16"/>
      <c r="J1881" s="54"/>
      <c r="K1881" s="42"/>
      <c r="L1881" s="16"/>
      <c r="M1881" s="16"/>
      <c r="AA1881" s="14">
        <f t="shared" si="58"/>
        <v>0</v>
      </c>
      <c r="AB1881" s="47">
        <f t="shared" si="59"/>
        <v>-1</v>
      </c>
      <c r="AD1881" s="53"/>
      <c r="AE1881" s="53"/>
      <c r="AF1881" s="53"/>
      <c r="AG1881" s="53"/>
    </row>
    <row r="1882" spans="1:33" s="46" customFormat="1">
      <c r="A1882" s="54"/>
      <c r="B1882" s="16"/>
      <c r="C1882" s="55"/>
      <c r="D1882" s="56"/>
      <c r="E1882" s="16"/>
      <c r="F1882" s="16"/>
      <c r="G1882" s="16"/>
      <c r="H1882" s="54"/>
      <c r="I1882" s="16"/>
      <c r="J1882" s="54"/>
      <c r="K1882" s="42"/>
      <c r="L1882" s="16"/>
      <c r="M1882" s="16"/>
      <c r="AA1882" s="14">
        <f t="shared" si="58"/>
        <v>0</v>
      </c>
      <c r="AB1882" s="47">
        <f t="shared" si="59"/>
        <v>-1</v>
      </c>
      <c r="AD1882" s="53"/>
      <c r="AE1882" s="53"/>
      <c r="AF1882" s="53"/>
      <c r="AG1882" s="53"/>
    </row>
    <row r="1883" spans="1:33" s="46" customFormat="1">
      <c r="A1883" s="54"/>
      <c r="B1883" s="16"/>
      <c r="C1883" s="55"/>
      <c r="D1883" s="56"/>
      <c r="E1883" s="16"/>
      <c r="F1883" s="16"/>
      <c r="G1883" s="16"/>
      <c r="H1883" s="54"/>
      <c r="I1883" s="16"/>
      <c r="J1883" s="54"/>
      <c r="K1883" s="42"/>
      <c r="L1883" s="16"/>
      <c r="M1883" s="16"/>
      <c r="AA1883" s="14">
        <f t="shared" si="58"/>
        <v>0</v>
      </c>
      <c r="AB1883" s="47">
        <f t="shared" si="59"/>
        <v>-1</v>
      </c>
      <c r="AD1883" s="53"/>
      <c r="AE1883" s="53"/>
      <c r="AF1883" s="53"/>
      <c r="AG1883" s="53"/>
    </row>
    <row r="1884" spans="1:33" s="46" customFormat="1">
      <c r="A1884" s="54"/>
      <c r="B1884" s="16"/>
      <c r="C1884" s="55"/>
      <c r="D1884" s="56"/>
      <c r="E1884" s="16"/>
      <c r="F1884" s="16"/>
      <c r="G1884" s="16"/>
      <c r="H1884" s="54"/>
      <c r="I1884" s="16"/>
      <c r="J1884" s="54"/>
      <c r="K1884" s="42"/>
      <c r="L1884" s="16"/>
      <c r="M1884" s="16"/>
      <c r="AA1884" s="14">
        <f t="shared" si="58"/>
        <v>0</v>
      </c>
      <c r="AB1884" s="47">
        <f t="shared" si="59"/>
        <v>-1</v>
      </c>
      <c r="AD1884" s="53"/>
      <c r="AE1884" s="53"/>
      <c r="AF1884" s="53"/>
      <c r="AG1884" s="53"/>
    </row>
    <row r="1885" spans="1:33" s="46" customFormat="1">
      <c r="A1885" s="54"/>
      <c r="B1885" s="16"/>
      <c r="C1885" s="55"/>
      <c r="D1885" s="56"/>
      <c r="E1885" s="16"/>
      <c r="F1885" s="16"/>
      <c r="G1885" s="16"/>
      <c r="H1885" s="54"/>
      <c r="I1885" s="16"/>
      <c r="J1885" s="54"/>
      <c r="K1885" s="42"/>
      <c r="L1885" s="16"/>
      <c r="M1885" s="16"/>
      <c r="AA1885" s="14">
        <f t="shared" si="58"/>
        <v>0</v>
      </c>
      <c r="AB1885" s="47">
        <f t="shared" si="59"/>
        <v>-1</v>
      </c>
      <c r="AD1885" s="53"/>
      <c r="AE1885" s="53"/>
      <c r="AF1885" s="53"/>
      <c r="AG1885" s="53"/>
    </row>
    <row r="1886" spans="1:33" s="46" customFormat="1">
      <c r="A1886" s="54"/>
      <c r="B1886" s="16"/>
      <c r="C1886" s="55"/>
      <c r="D1886" s="56"/>
      <c r="E1886" s="16"/>
      <c r="F1886" s="16"/>
      <c r="G1886" s="16"/>
      <c r="H1886" s="54"/>
      <c r="I1886" s="16"/>
      <c r="J1886" s="54"/>
      <c r="K1886" s="42"/>
      <c r="L1886" s="16"/>
      <c r="M1886" s="16"/>
      <c r="AA1886" s="14">
        <f t="shared" si="58"/>
        <v>0</v>
      </c>
      <c r="AB1886" s="47">
        <f t="shared" si="59"/>
        <v>-1</v>
      </c>
      <c r="AD1886" s="53"/>
      <c r="AE1886" s="53"/>
      <c r="AF1886" s="53"/>
      <c r="AG1886" s="53"/>
    </row>
    <row r="1887" spans="1:33" s="46" customFormat="1">
      <c r="A1887" s="54"/>
      <c r="B1887" s="16"/>
      <c r="C1887" s="55"/>
      <c r="D1887" s="56"/>
      <c r="E1887" s="16"/>
      <c r="F1887" s="16"/>
      <c r="G1887" s="16"/>
      <c r="H1887" s="54"/>
      <c r="I1887" s="16"/>
      <c r="J1887" s="54"/>
      <c r="K1887" s="42"/>
      <c r="L1887" s="16"/>
      <c r="M1887" s="16"/>
      <c r="AA1887" s="14">
        <f t="shared" si="58"/>
        <v>0</v>
      </c>
      <c r="AB1887" s="47">
        <f t="shared" si="59"/>
        <v>-1</v>
      </c>
      <c r="AD1887" s="53"/>
      <c r="AE1887" s="53"/>
      <c r="AF1887" s="53"/>
      <c r="AG1887" s="53"/>
    </row>
    <row r="1888" spans="1:33" s="46" customFormat="1">
      <c r="A1888" s="54"/>
      <c r="B1888" s="16"/>
      <c r="C1888" s="55"/>
      <c r="D1888" s="56"/>
      <c r="E1888" s="16"/>
      <c r="F1888" s="16"/>
      <c r="G1888" s="16"/>
      <c r="H1888" s="54"/>
      <c r="I1888" s="16"/>
      <c r="J1888" s="54"/>
      <c r="K1888" s="42"/>
      <c r="L1888" s="16"/>
      <c r="M1888" s="16"/>
      <c r="AA1888" s="14">
        <f t="shared" si="58"/>
        <v>0</v>
      </c>
      <c r="AB1888" s="47">
        <f t="shared" si="59"/>
        <v>-1</v>
      </c>
      <c r="AD1888" s="53"/>
      <c r="AE1888" s="53"/>
      <c r="AF1888" s="53"/>
      <c r="AG1888" s="53"/>
    </row>
    <row r="1889" spans="1:33" s="46" customFormat="1">
      <c r="A1889" s="54"/>
      <c r="B1889" s="16"/>
      <c r="C1889" s="55"/>
      <c r="D1889" s="56"/>
      <c r="E1889" s="16"/>
      <c r="F1889" s="16"/>
      <c r="G1889" s="16"/>
      <c r="H1889" s="54"/>
      <c r="I1889" s="16"/>
      <c r="J1889" s="54"/>
      <c r="K1889" s="42"/>
      <c r="L1889" s="16"/>
      <c r="M1889" s="16"/>
      <c r="AA1889" s="14">
        <f t="shared" si="58"/>
        <v>0</v>
      </c>
      <c r="AB1889" s="47">
        <f t="shared" si="59"/>
        <v>-1</v>
      </c>
      <c r="AD1889" s="53"/>
      <c r="AE1889" s="53"/>
      <c r="AF1889" s="53"/>
      <c r="AG1889" s="53"/>
    </row>
    <row r="1890" spans="1:33" s="46" customFormat="1">
      <c r="A1890" s="54"/>
      <c r="B1890" s="16"/>
      <c r="C1890" s="55"/>
      <c r="D1890" s="56"/>
      <c r="E1890" s="16"/>
      <c r="F1890" s="16"/>
      <c r="G1890" s="16"/>
      <c r="H1890" s="54"/>
      <c r="I1890" s="16"/>
      <c r="J1890" s="54"/>
      <c r="K1890" s="42"/>
      <c r="L1890" s="16"/>
      <c r="M1890" s="16"/>
      <c r="AA1890" s="14">
        <f t="shared" si="58"/>
        <v>0</v>
      </c>
      <c r="AB1890" s="47">
        <f t="shared" si="59"/>
        <v>-1</v>
      </c>
      <c r="AD1890" s="53"/>
      <c r="AE1890" s="53"/>
      <c r="AF1890" s="53"/>
      <c r="AG1890" s="53"/>
    </row>
    <row r="1891" spans="1:33" s="46" customFormat="1">
      <c r="A1891" s="54"/>
      <c r="B1891" s="16"/>
      <c r="C1891" s="55"/>
      <c r="D1891" s="56"/>
      <c r="E1891" s="16"/>
      <c r="F1891" s="16"/>
      <c r="G1891" s="16"/>
      <c r="H1891" s="54"/>
      <c r="I1891" s="16"/>
      <c r="J1891" s="54"/>
      <c r="K1891" s="42"/>
      <c r="L1891" s="16"/>
      <c r="M1891" s="16"/>
      <c r="AA1891" s="14">
        <f t="shared" si="58"/>
        <v>0</v>
      </c>
      <c r="AB1891" s="47">
        <f t="shared" si="59"/>
        <v>-1</v>
      </c>
      <c r="AD1891" s="53"/>
      <c r="AE1891" s="53"/>
      <c r="AF1891" s="53"/>
      <c r="AG1891" s="53"/>
    </row>
    <row r="1892" spans="1:33" s="46" customFormat="1">
      <c r="A1892" s="54"/>
      <c r="B1892" s="16"/>
      <c r="C1892" s="55"/>
      <c r="D1892" s="56"/>
      <c r="E1892" s="16"/>
      <c r="F1892" s="16"/>
      <c r="G1892" s="16"/>
      <c r="H1892" s="54"/>
      <c r="I1892" s="16"/>
      <c r="J1892" s="54"/>
      <c r="K1892" s="42"/>
      <c r="L1892" s="16"/>
      <c r="M1892" s="16"/>
      <c r="AA1892" s="14">
        <f t="shared" si="58"/>
        <v>0</v>
      </c>
      <c r="AB1892" s="47">
        <f t="shared" si="59"/>
        <v>-1</v>
      </c>
      <c r="AD1892" s="53"/>
      <c r="AE1892" s="53"/>
      <c r="AF1892" s="53"/>
      <c r="AG1892" s="53"/>
    </row>
    <row r="1893" spans="1:33" s="46" customFormat="1">
      <c r="A1893" s="54"/>
      <c r="B1893" s="16"/>
      <c r="C1893" s="55"/>
      <c r="D1893" s="56"/>
      <c r="E1893" s="16"/>
      <c r="F1893" s="16"/>
      <c r="G1893" s="16"/>
      <c r="H1893" s="54"/>
      <c r="I1893" s="16"/>
      <c r="J1893" s="54"/>
      <c r="K1893" s="42"/>
      <c r="L1893" s="16"/>
      <c r="M1893" s="16"/>
      <c r="AA1893" s="14">
        <f t="shared" si="58"/>
        <v>0</v>
      </c>
      <c r="AB1893" s="47">
        <f t="shared" si="59"/>
        <v>-1</v>
      </c>
      <c r="AD1893" s="53"/>
      <c r="AE1893" s="53"/>
      <c r="AF1893" s="53"/>
      <c r="AG1893" s="53"/>
    </row>
    <row r="1894" spans="1:33" s="46" customFormat="1">
      <c r="A1894" s="54"/>
      <c r="B1894" s="16"/>
      <c r="C1894" s="55"/>
      <c r="D1894" s="56"/>
      <c r="E1894" s="16"/>
      <c r="F1894" s="16"/>
      <c r="G1894" s="16"/>
      <c r="H1894" s="54"/>
      <c r="I1894" s="16"/>
      <c r="J1894" s="54"/>
      <c r="K1894" s="42"/>
      <c r="L1894" s="16"/>
      <c r="M1894" s="16"/>
      <c r="AA1894" s="14">
        <f t="shared" si="58"/>
        <v>0</v>
      </c>
      <c r="AB1894" s="47">
        <f t="shared" si="59"/>
        <v>-1</v>
      </c>
      <c r="AD1894" s="53"/>
      <c r="AE1894" s="53"/>
      <c r="AF1894" s="53"/>
      <c r="AG1894" s="53"/>
    </row>
    <row r="1895" spans="1:33" s="46" customFormat="1">
      <c r="A1895" s="54"/>
      <c r="B1895" s="16"/>
      <c r="C1895" s="55"/>
      <c r="D1895" s="56"/>
      <c r="E1895" s="16"/>
      <c r="F1895" s="16"/>
      <c r="G1895" s="16"/>
      <c r="H1895" s="54"/>
      <c r="I1895" s="16"/>
      <c r="J1895" s="54"/>
      <c r="K1895" s="42"/>
      <c r="L1895" s="16"/>
      <c r="M1895" s="16"/>
      <c r="AA1895" s="14">
        <f t="shared" si="58"/>
        <v>0</v>
      </c>
      <c r="AB1895" s="47">
        <f t="shared" si="59"/>
        <v>-1</v>
      </c>
      <c r="AD1895" s="53"/>
      <c r="AE1895" s="53"/>
      <c r="AF1895" s="53"/>
      <c r="AG1895" s="53"/>
    </row>
    <row r="1896" spans="1:33" s="46" customFormat="1">
      <c r="A1896" s="54"/>
      <c r="B1896" s="16"/>
      <c r="C1896" s="55"/>
      <c r="D1896" s="56"/>
      <c r="E1896" s="16"/>
      <c r="F1896" s="16"/>
      <c r="G1896" s="16"/>
      <c r="H1896" s="54"/>
      <c r="I1896" s="16"/>
      <c r="J1896" s="54"/>
      <c r="K1896" s="42"/>
      <c r="L1896" s="16"/>
      <c r="M1896" s="16"/>
      <c r="AA1896" s="14">
        <f t="shared" ref="AA1896:AA1959" si="60">C1896-C1895</f>
        <v>0</v>
      </c>
      <c r="AB1896" s="47">
        <f t="shared" ref="AB1896:AB1959" si="61">AA1896-1</f>
        <v>-1</v>
      </c>
      <c r="AD1896" s="53"/>
      <c r="AE1896" s="53"/>
      <c r="AF1896" s="53"/>
      <c r="AG1896" s="53"/>
    </row>
    <row r="1897" spans="1:33" s="46" customFormat="1">
      <c r="A1897" s="54"/>
      <c r="B1897" s="16"/>
      <c r="C1897" s="55"/>
      <c r="D1897" s="56"/>
      <c r="E1897" s="16"/>
      <c r="F1897" s="16"/>
      <c r="G1897" s="16"/>
      <c r="H1897" s="54"/>
      <c r="I1897" s="16"/>
      <c r="J1897" s="54"/>
      <c r="K1897" s="42"/>
      <c r="L1897" s="16"/>
      <c r="M1897" s="16"/>
      <c r="AA1897" s="14">
        <f t="shared" si="60"/>
        <v>0</v>
      </c>
      <c r="AB1897" s="47">
        <f t="shared" si="61"/>
        <v>-1</v>
      </c>
      <c r="AD1897" s="53"/>
      <c r="AE1897" s="53"/>
      <c r="AF1897" s="53"/>
      <c r="AG1897" s="53"/>
    </row>
    <row r="1898" spans="1:33" s="46" customFormat="1">
      <c r="A1898" s="54"/>
      <c r="B1898" s="16"/>
      <c r="C1898" s="55"/>
      <c r="D1898" s="56"/>
      <c r="E1898" s="16"/>
      <c r="F1898" s="16"/>
      <c r="G1898" s="16"/>
      <c r="H1898" s="54"/>
      <c r="I1898" s="16"/>
      <c r="J1898" s="54"/>
      <c r="K1898" s="42"/>
      <c r="L1898" s="16"/>
      <c r="M1898" s="16"/>
      <c r="AA1898" s="14">
        <f t="shared" si="60"/>
        <v>0</v>
      </c>
      <c r="AB1898" s="47">
        <f t="shared" si="61"/>
        <v>-1</v>
      </c>
      <c r="AD1898" s="53"/>
      <c r="AE1898" s="53"/>
      <c r="AF1898" s="53"/>
      <c r="AG1898" s="53"/>
    </row>
    <row r="1899" spans="1:33" s="46" customFormat="1">
      <c r="A1899" s="54"/>
      <c r="B1899" s="16"/>
      <c r="C1899" s="55"/>
      <c r="D1899" s="56"/>
      <c r="E1899" s="16"/>
      <c r="F1899" s="16"/>
      <c r="G1899" s="16"/>
      <c r="H1899" s="54"/>
      <c r="I1899" s="16"/>
      <c r="J1899" s="54"/>
      <c r="K1899" s="42"/>
      <c r="L1899" s="16"/>
      <c r="M1899" s="16"/>
      <c r="AA1899" s="14">
        <f t="shared" si="60"/>
        <v>0</v>
      </c>
      <c r="AB1899" s="47">
        <f t="shared" si="61"/>
        <v>-1</v>
      </c>
      <c r="AD1899" s="53"/>
      <c r="AE1899" s="53"/>
      <c r="AF1899" s="53"/>
      <c r="AG1899" s="53"/>
    </row>
    <row r="1900" spans="1:33" s="46" customFormat="1">
      <c r="A1900" s="54"/>
      <c r="B1900" s="16"/>
      <c r="C1900" s="55"/>
      <c r="D1900" s="56"/>
      <c r="E1900" s="16"/>
      <c r="F1900" s="16"/>
      <c r="G1900" s="16"/>
      <c r="H1900" s="54"/>
      <c r="I1900" s="16"/>
      <c r="J1900" s="54"/>
      <c r="K1900" s="42"/>
      <c r="L1900" s="16"/>
      <c r="M1900" s="16"/>
      <c r="AA1900" s="14">
        <f t="shared" si="60"/>
        <v>0</v>
      </c>
      <c r="AB1900" s="47">
        <f t="shared" si="61"/>
        <v>-1</v>
      </c>
      <c r="AD1900" s="53"/>
      <c r="AE1900" s="53"/>
      <c r="AF1900" s="53"/>
      <c r="AG1900" s="53"/>
    </row>
    <row r="1901" spans="1:33" s="46" customFormat="1">
      <c r="A1901" s="54"/>
      <c r="B1901" s="16"/>
      <c r="C1901" s="55"/>
      <c r="D1901" s="56"/>
      <c r="E1901" s="16"/>
      <c r="F1901" s="16"/>
      <c r="G1901" s="16"/>
      <c r="H1901" s="54"/>
      <c r="I1901" s="16"/>
      <c r="J1901" s="54"/>
      <c r="K1901" s="42"/>
      <c r="L1901" s="16"/>
      <c r="M1901" s="16"/>
      <c r="AA1901" s="14">
        <f t="shared" si="60"/>
        <v>0</v>
      </c>
      <c r="AB1901" s="47">
        <f t="shared" si="61"/>
        <v>-1</v>
      </c>
      <c r="AD1901" s="53"/>
      <c r="AE1901" s="53"/>
      <c r="AF1901" s="53"/>
      <c r="AG1901" s="53"/>
    </row>
    <row r="1902" spans="1:33" s="46" customFormat="1">
      <c r="A1902" s="54"/>
      <c r="B1902" s="16"/>
      <c r="C1902" s="55"/>
      <c r="D1902" s="56"/>
      <c r="E1902" s="16"/>
      <c r="F1902" s="16"/>
      <c r="G1902" s="16"/>
      <c r="H1902" s="54"/>
      <c r="I1902" s="16"/>
      <c r="J1902" s="54"/>
      <c r="K1902" s="42"/>
      <c r="L1902" s="16"/>
      <c r="M1902" s="16"/>
      <c r="AA1902" s="14">
        <f t="shared" si="60"/>
        <v>0</v>
      </c>
      <c r="AB1902" s="47">
        <f t="shared" si="61"/>
        <v>-1</v>
      </c>
      <c r="AD1902" s="53"/>
      <c r="AE1902" s="53"/>
      <c r="AF1902" s="53"/>
      <c r="AG1902" s="53"/>
    </row>
    <row r="1903" spans="1:33" s="46" customFormat="1">
      <c r="A1903" s="54"/>
      <c r="B1903" s="16"/>
      <c r="C1903" s="55"/>
      <c r="D1903" s="56"/>
      <c r="E1903" s="16"/>
      <c r="F1903" s="16"/>
      <c r="G1903" s="16"/>
      <c r="H1903" s="54"/>
      <c r="I1903" s="16"/>
      <c r="J1903" s="54"/>
      <c r="K1903" s="42"/>
      <c r="L1903" s="16"/>
      <c r="M1903" s="16"/>
      <c r="AA1903" s="14">
        <f t="shared" si="60"/>
        <v>0</v>
      </c>
      <c r="AB1903" s="47">
        <f t="shared" si="61"/>
        <v>-1</v>
      </c>
      <c r="AD1903" s="53"/>
      <c r="AE1903" s="53"/>
      <c r="AF1903" s="53"/>
      <c r="AG1903" s="53"/>
    </row>
    <row r="1904" spans="1:33" s="46" customFormat="1">
      <c r="A1904" s="54"/>
      <c r="B1904" s="16"/>
      <c r="C1904" s="55"/>
      <c r="D1904" s="56"/>
      <c r="E1904" s="16"/>
      <c r="F1904" s="16"/>
      <c r="G1904" s="16"/>
      <c r="H1904" s="54"/>
      <c r="I1904" s="16"/>
      <c r="J1904" s="54"/>
      <c r="K1904" s="42"/>
      <c r="L1904" s="16"/>
      <c r="M1904" s="16"/>
      <c r="AA1904" s="14">
        <f t="shared" si="60"/>
        <v>0</v>
      </c>
      <c r="AB1904" s="47">
        <f t="shared" si="61"/>
        <v>-1</v>
      </c>
      <c r="AD1904" s="53"/>
      <c r="AE1904" s="53"/>
      <c r="AF1904" s="53"/>
      <c r="AG1904" s="53"/>
    </row>
    <row r="1905" spans="1:33" s="46" customFormat="1">
      <c r="A1905" s="54"/>
      <c r="B1905" s="16"/>
      <c r="C1905" s="55"/>
      <c r="D1905" s="56"/>
      <c r="E1905" s="16"/>
      <c r="F1905" s="16"/>
      <c r="G1905" s="16"/>
      <c r="H1905" s="54"/>
      <c r="I1905" s="16"/>
      <c r="J1905" s="54"/>
      <c r="K1905" s="42"/>
      <c r="L1905" s="16"/>
      <c r="M1905" s="16"/>
      <c r="AA1905" s="14">
        <f t="shared" si="60"/>
        <v>0</v>
      </c>
      <c r="AB1905" s="47">
        <f t="shared" si="61"/>
        <v>-1</v>
      </c>
      <c r="AD1905" s="53"/>
      <c r="AE1905" s="53"/>
      <c r="AF1905" s="53"/>
      <c r="AG1905" s="53"/>
    </row>
    <row r="1906" spans="1:33" s="46" customFormat="1">
      <c r="A1906" s="54"/>
      <c r="B1906" s="16"/>
      <c r="C1906" s="55"/>
      <c r="D1906" s="56"/>
      <c r="E1906" s="16"/>
      <c r="F1906" s="16"/>
      <c r="G1906" s="16"/>
      <c r="H1906" s="54"/>
      <c r="I1906" s="16"/>
      <c r="J1906" s="54"/>
      <c r="K1906" s="42"/>
      <c r="L1906" s="16"/>
      <c r="M1906" s="16"/>
      <c r="AA1906" s="14">
        <f t="shared" si="60"/>
        <v>0</v>
      </c>
      <c r="AB1906" s="47">
        <f t="shared" si="61"/>
        <v>-1</v>
      </c>
      <c r="AD1906" s="53"/>
      <c r="AE1906" s="53"/>
      <c r="AF1906" s="53"/>
      <c r="AG1906" s="53"/>
    </row>
    <row r="1907" spans="1:33" s="46" customFormat="1">
      <c r="A1907" s="54"/>
      <c r="B1907" s="16"/>
      <c r="C1907" s="55"/>
      <c r="D1907" s="56"/>
      <c r="E1907" s="16"/>
      <c r="F1907" s="16"/>
      <c r="G1907" s="16"/>
      <c r="H1907" s="54"/>
      <c r="I1907" s="16"/>
      <c r="J1907" s="54"/>
      <c r="K1907" s="42"/>
      <c r="L1907" s="16"/>
      <c r="M1907" s="16"/>
      <c r="AA1907" s="14">
        <f t="shared" si="60"/>
        <v>0</v>
      </c>
      <c r="AB1907" s="47">
        <f t="shared" si="61"/>
        <v>-1</v>
      </c>
      <c r="AD1907" s="53"/>
      <c r="AE1907" s="53"/>
      <c r="AF1907" s="53"/>
      <c r="AG1907" s="53"/>
    </row>
    <row r="1908" spans="1:33" s="46" customFormat="1">
      <c r="A1908" s="54"/>
      <c r="B1908" s="16"/>
      <c r="C1908" s="55"/>
      <c r="D1908" s="56"/>
      <c r="E1908" s="16"/>
      <c r="F1908" s="16"/>
      <c r="G1908" s="16"/>
      <c r="H1908" s="54"/>
      <c r="I1908" s="16"/>
      <c r="J1908" s="54"/>
      <c r="K1908" s="42"/>
      <c r="L1908" s="16"/>
      <c r="M1908" s="16"/>
      <c r="AA1908" s="14">
        <f t="shared" si="60"/>
        <v>0</v>
      </c>
      <c r="AB1908" s="47">
        <f t="shared" si="61"/>
        <v>-1</v>
      </c>
      <c r="AD1908" s="53"/>
      <c r="AE1908" s="53"/>
      <c r="AF1908" s="53"/>
      <c r="AG1908" s="53"/>
    </row>
    <row r="1909" spans="1:33" s="46" customFormat="1">
      <c r="A1909" s="54"/>
      <c r="B1909" s="16"/>
      <c r="C1909" s="55"/>
      <c r="D1909" s="56"/>
      <c r="E1909" s="16"/>
      <c r="F1909" s="16"/>
      <c r="G1909" s="16"/>
      <c r="H1909" s="54"/>
      <c r="I1909" s="16"/>
      <c r="J1909" s="54"/>
      <c r="K1909" s="42"/>
      <c r="L1909" s="16"/>
      <c r="M1909" s="16"/>
      <c r="AA1909" s="14">
        <f t="shared" si="60"/>
        <v>0</v>
      </c>
      <c r="AB1909" s="47">
        <f t="shared" si="61"/>
        <v>-1</v>
      </c>
      <c r="AD1909" s="53"/>
      <c r="AE1909" s="53"/>
      <c r="AF1909" s="53"/>
      <c r="AG1909" s="53"/>
    </row>
    <row r="1910" spans="1:33" s="46" customFormat="1">
      <c r="A1910" s="54"/>
      <c r="B1910" s="16"/>
      <c r="C1910" s="55"/>
      <c r="D1910" s="56"/>
      <c r="E1910" s="16"/>
      <c r="F1910" s="16"/>
      <c r="G1910" s="16"/>
      <c r="H1910" s="54"/>
      <c r="I1910" s="16"/>
      <c r="J1910" s="54"/>
      <c r="K1910" s="42"/>
      <c r="L1910" s="16"/>
      <c r="M1910" s="16"/>
      <c r="AA1910" s="14">
        <f t="shared" si="60"/>
        <v>0</v>
      </c>
      <c r="AB1910" s="47">
        <f t="shared" si="61"/>
        <v>-1</v>
      </c>
      <c r="AD1910" s="53"/>
      <c r="AE1910" s="53"/>
      <c r="AF1910" s="53"/>
      <c r="AG1910" s="53"/>
    </row>
    <row r="1911" spans="1:33" s="46" customFormat="1">
      <c r="A1911" s="54"/>
      <c r="B1911" s="16"/>
      <c r="C1911" s="55"/>
      <c r="D1911" s="56"/>
      <c r="E1911" s="16"/>
      <c r="F1911" s="16"/>
      <c r="G1911" s="16"/>
      <c r="H1911" s="54"/>
      <c r="I1911" s="16"/>
      <c r="J1911" s="54"/>
      <c r="K1911" s="42"/>
      <c r="L1911" s="16"/>
      <c r="M1911" s="16"/>
      <c r="AA1911" s="14">
        <f t="shared" si="60"/>
        <v>0</v>
      </c>
      <c r="AB1911" s="47">
        <f t="shared" si="61"/>
        <v>-1</v>
      </c>
      <c r="AD1911" s="53"/>
      <c r="AE1911" s="53"/>
      <c r="AF1911" s="53"/>
      <c r="AG1911" s="53"/>
    </row>
    <row r="1912" spans="1:33" s="46" customFormat="1">
      <c r="A1912" s="54"/>
      <c r="B1912" s="16"/>
      <c r="C1912" s="55"/>
      <c r="D1912" s="56"/>
      <c r="E1912" s="16"/>
      <c r="F1912" s="16"/>
      <c r="G1912" s="16"/>
      <c r="H1912" s="54"/>
      <c r="I1912" s="16"/>
      <c r="J1912" s="54"/>
      <c r="K1912" s="42"/>
      <c r="L1912" s="16"/>
      <c r="M1912" s="16"/>
      <c r="AA1912" s="14">
        <f t="shared" si="60"/>
        <v>0</v>
      </c>
      <c r="AB1912" s="47">
        <f t="shared" si="61"/>
        <v>-1</v>
      </c>
      <c r="AD1912" s="53"/>
      <c r="AE1912" s="53"/>
      <c r="AF1912" s="53"/>
      <c r="AG1912" s="53"/>
    </row>
    <row r="1913" spans="1:33" s="46" customFormat="1">
      <c r="A1913" s="54"/>
      <c r="B1913" s="16"/>
      <c r="C1913" s="55"/>
      <c r="D1913" s="56"/>
      <c r="E1913" s="16"/>
      <c r="F1913" s="16"/>
      <c r="G1913" s="16"/>
      <c r="H1913" s="54"/>
      <c r="I1913" s="16"/>
      <c r="J1913" s="54"/>
      <c r="K1913" s="42"/>
      <c r="L1913" s="16"/>
      <c r="M1913" s="16"/>
      <c r="AA1913" s="14">
        <f t="shared" si="60"/>
        <v>0</v>
      </c>
      <c r="AB1913" s="47">
        <f t="shared" si="61"/>
        <v>-1</v>
      </c>
      <c r="AD1913" s="53"/>
      <c r="AE1913" s="53"/>
      <c r="AF1913" s="53"/>
      <c r="AG1913" s="53"/>
    </row>
    <row r="1914" spans="1:33" s="46" customFormat="1">
      <c r="A1914" s="54"/>
      <c r="B1914" s="16"/>
      <c r="C1914" s="55"/>
      <c r="D1914" s="56"/>
      <c r="E1914" s="16"/>
      <c r="F1914" s="16"/>
      <c r="G1914" s="16"/>
      <c r="H1914" s="54"/>
      <c r="I1914" s="16"/>
      <c r="J1914" s="54"/>
      <c r="K1914" s="42"/>
      <c r="L1914" s="16"/>
      <c r="M1914" s="16"/>
      <c r="AA1914" s="14">
        <f t="shared" si="60"/>
        <v>0</v>
      </c>
      <c r="AB1914" s="47">
        <f t="shared" si="61"/>
        <v>-1</v>
      </c>
      <c r="AD1914" s="53"/>
      <c r="AE1914" s="53"/>
      <c r="AF1914" s="53"/>
      <c r="AG1914" s="53"/>
    </row>
    <row r="1915" spans="1:33" s="46" customFormat="1">
      <c r="A1915" s="54"/>
      <c r="B1915" s="16"/>
      <c r="C1915" s="55"/>
      <c r="D1915" s="56"/>
      <c r="E1915" s="16"/>
      <c r="F1915" s="16"/>
      <c r="G1915" s="16"/>
      <c r="H1915" s="54"/>
      <c r="I1915" s="16"/>
      <c r="J1915" s="54"/>
      <c r="K1915" s="42"/>
      <c r="L1915" s="16"/>
      <c r="M1915" s="16"/>
      <c r="AA1915" s="14">
        <f t="shared" si="60"/>
        <v>0</v>
      </c>
      <c r="AB1915" s="47">
        <f t="shared" si="61"/>
        <v>-1</v>
      </c>
      <c r="AD1915" s="53"/>
      <c r="AE1915" s="53"/>
      <c r="AF1915" s="53"/>
      <c r="AG1915" s="53"/>
    </row>
    <row r="1916" spans="1:33" s="46" customFormat="1">
      <c r="A1916" s="54"/>
      <c r="B1916" s="16"/>
      <c r="C1916" s="55"/>
      <c r="D1916" s="56"/>
      <c r="E1916" s="16"/>
      <c r="F1916" s="16"/>
      <c r="G1916" s="16"/>
      <c r="H1916" s="54"/>
      <c r="I1916" s="16"/>
      <c r="J1916" s="54"/>
      <c r="K1916" s="42"/>
      <c r="L1916" s="16"/>
      <c r="M1916" s="16"/>
      <c r="AA1916" s="14">
        <f t="shared" si="60"/>
        <v>0</v>
      </c>
      <c r="AB1916" s="47">
        <f t="shared" si="61"/>
        <v>-1</v>
      </c>
      <c r="AD1916" s="53"/>
      <c r="AE1916" s="53"/>
      <c r="AF1916" s="53"/>
      <c r="AG1916" s="53"/>
    </row>
    <row r="1917" spans="1:33" s="46" customFormat="1">
      <c r="A1917" s="54"/>
      <c r="B1917" s="16"/>
      <c r="C1917" s="55"/>
      <c r="D1917" s="56"/>
      <c r="E1917" s="16"/>
      <c r="F1917" s="16"/>
      <c r="G1917" s="16"/>
      <c r="H1917" s="54"/>
      <c r="I1917" s="16"/>
      <c r="J1917" s="54"/>
      <c r="K1917" s="42"/>
      <c r="L1917" s="16"/>
      <c r="M1917" s="16"/>
      <c r="AA1917" s="14">
        <f t="shared" si="60"/>
        <v>0</v>
      </c>
      <c r="AB1917" s="47">
        <f t="shared" si="61"/>
        <v>-1</v>
      </c>
      <c r="AD1917" s="53"/>
      <c r="AE1917" s="53"/>
      <c r="AF1917" s="53"/>
      <c r="AG1917" s="53"/>
    </row>
    <row r="1918" spans="1:33" s="46" customFormat="1">
      <c r="A1918" s="54"/>
      <c r="B1918" s="16"/>
      <c r="C1918" s="55"/>
      <c r="D1918" s="56"/>
      <c r="E1918" s="16"/>
      <c r="F1918" s="16"/>
      <c r="G1918" s="16"/>
      <c r="H1918" s="54"/>
      <c r="I1918" s="16"/>
      <c r="J1918" s="54"/>
      <c r="K1918" s="42"/>
      <c r="L1918" s="16"/>
      <c r="M1918" s="16"/>
      <c r="AA1918" s="14">
        <f t="shared" si="60"/>
        <v>0</v>
      </c>
      <c r="AB1918" s="47">
        <f t="shared" si="61"/>
        <v>-1</v>
      </c>
      <c r="AD1918" s="53"/>
      <c r="AE1918" s="53"/>
      <c r="AF1918" s="53"/>
      <c r="AG1918" s="53"/>
    </row>
    <row r="1919" spans="1:33" s="46" customFormat="1">
      <c r="A1919" s="54"/>
      <c r="B1919" s="16"/>
      <c r="C1919" s="55"/>
      <c r="D1919" s="56"/>
      <c r="E1919" s="16"/>
      <c r="F1919" s="16"/>
      <c r="G1919" s="16"/>
      <c r="H1919" s="54"/>
      <c r="I1919" s="16"/>
      <c r="J1919" s="54"/>
      <c r="K1919" s="42"/>
      <c r="L1919" s="16"/>
      <c r="M1919" s="16"/>
      <c r="AA1919" s="14">
        <f t="shared" si="60"/>
        <v>0</v>
      </c>
      <c r="AB1919" s="47">
        <f t="shared" si="61"/>
        <v>-1</v>
      </c>
      <c r="AD1919" s="53"/>
      <c r="AE1919" s="53"/>
      <c r="AF1919" s="53"/>
      <c r="AG1919" s="53"/>
    </row>
    <row r="1920" spans="1:33" s="46" customFormat="1">
      <c r="A1920" s="54"/>
      <c r="B1920" s="16"/>
      <c r="C1920" s="55"/>
      <c r="D1920" s="56"/>
      <c r="E1920" s="16"/>
      <c r="F1920" s="16"/>
      <c r="G1920" s="16"/>
      <c r="H1920" s="54"/>
      <c r="I1920" s="16"/>
      <c r="J1920" s="54"/>
      <c r="K1920" s="42"/>
      <c r="L1920" s="16"/>
      <c r="M1920" s="16"/>
      <c r="AA1920" s="14">
        <f t="shared" si="60"/>
        <v>0</v>
      </c>
      <c r="AB1920" s="47">
        <f t="shared" si="61"/>
        <v>-1</v>
      </c>
      <c r="AD1920" s="53"/>
      <c r="AE1920" s="53"/>
      <c r="AF1920" s="53"/>
      <c r="AG1920" s="53"/>
    </row>
    <row r="1921" spans="1:33" s="46" customFormat="1">
      <c r="A1921" s="54"/>
      <c r="B1921" s="16"/>
      <c r="C1921" s="55"/>
      <c r="D1921" s="56"/>
      <c r="E1921" s="16"/>
      <c r="F1921" s="16"/>
      <c r="G1921" s="16"/>
      <c r="H1921" s="54"/>
      <c r="I1921" s="16"/>
      <c r="J1921" s="54"/>
      <c r="K1921" s="42"/>
      <c r="L1921" s="16"/>
      <c r="M1921" s="16"/>
      <c r="AA1921" s="14">
        <f t="shared" si="60"/>
        <v>0</v>
      </c>
      <c r="AB1921" s="47">
        <f t="shared" si="61"/>
        <v>-1</v>
      </c>
      <c r="AD1921" s="53"/>
      <c r="AE1921" s="53"/>
      <c r="AF1921" s="53"/>
      <c r="AG1921" s="53"/>
    </row>
    <row r="1922" spans="1:33" s="46" customFormat="1">
      <c r="A1922" s="54"/>
      <c r="B1922" s="16"/>
      <c r="C1922" s="55"/>
      <c r="D1922" s="56"/>
      <c r="E1922" s="16"/>
      <c r="F1922" s="16"/>
      <c r="G1922" s="16"/>
      <c r="H1922" s="54"/>
      <c r="I1922" s="16"/>
      <c r="J1922" s="54"/>
      <c r="K1922" s="42"/>
      <c r="L1922" s="16"/>
      <c r="M1922" s="16"/>
      <c r="AA1922" s="14">
        <f t="shared" si="60"/>
        <v>0</v>
      </c>
      <c r="AB1922" s="47">
        <f t="shared" si="61"/>
        <v>-1</v>
      </c>
      <c r="AD1922" s="53"/>
      <c r="AE1922" s="53"/>
      <c r="AF1922" s="53"/>
      <c r="AG1922" s="53"/>
    </row>
    <row r="1923" spans="1:33" s="46" customFormat="1">
      <c r="A1923" s="54"/>
      <c r="B1923" s="16"/>
      <c r="C1923" s="55"/>
      <c r="D1923" s="56"/>
      <c r="E1923" s="16"/>
      <c r="F1923" s="16"/>
      <c r="G1923" s="16"/>
      <c r="H1923" s="54"/>
      <c r="I1923" s="16"/>
      <c r="J1923" s="54"/>
      <c r="K1923" s="42"/>
      <c r="L1923" s="16"/>
      <c r="M1923" s="16"/>
      <c r="AA1923" s="14">
        <f t="shared" si="60"/>
        <v>0</v>
      </c>
      <c r="AB1923" s="47">
        <f t="shared" si="61"/>
        <v>-1</v>
      </c>
      <c r="AD1923" s="53"/>
      <c r="AE1923" s="53"/>
      <c r="AF1923" s="53"/>
      <c r="AG1923" s="53"/>
    </row>
    <row r="1924" spans="1:33" s="46" customFormat="1">
      <c r="A1924" s="54"/>
      <c r="B1924" s="16"/>
      <c r="C1924" s="55"/>
      <c r="D1924" s="56"/>
      <c r="E1924" s="16"/>
      <c r="F1924" s="16"/>
      <c r="G1924" s="16"/>
      <c r="H1924" s="54"/>
      <c r="I1924" s="16"/>
      <c r="J1924" s="54"/>
      <c r="K1924" s="42"/>
      <c r="L1924" s="16"/>
      <c r="M1924" s="16"/>
      <c r="AA1924" s="14">
        <f t="shared" si="60"/>
        <v>0</v>
      </c>
      <c r="AB1924" s="47">
        <f t="shared" si="61"/>
        <v>-1</v>
      </c>
      <c r="AD1924" s="53"/>
      <c r="AE1924" s="53"/>
      <c r="AF1924" s="53"/>
      <c r="AG1924" s="53"/>
    </row>
    <row r="1925" spans="1:33" s="46" customFormat="1">
      <c r="A1925" s="54"/>
      <c r="B1925" s="16"/>
      <c r="C1925" s="55"/>
      <c r="D1925" s="56"/>
      <c r="E1925" s="16"/>
      <c r="F1925" s="16"/>
      <c r="G1925" s="16"/>
      <c r="H1925" s="54"/>
      <c r="I1925" s="16"/>
      <c r="J1925" s="54"/>
      <c r="K1925" s="42"/>
      <c r="L1925" s="16"/>
      <c r="M1925" s="16"/>
      <c r="AA1925" s="14">
        <f t="shared" si="60"/>
        <v>0</v>
      </c>
      <c r="AB1925" s="47">
        <f t="shared" si="61"/>
        <v>-1</v>
      </c>
      <c r="AD1925" s="53"/>
      <c r="AE1925" s="53"/>
      <c r="AF1925" s="53"/>
      <c r="AG1925" s="53"/>
    </row>
    <row r="1926" spans="1:33" s="46" customFormat="1">
      <c r="A1926" s="54"/>
      <c r="B1926" s="16"/>
      <c r="C1926" s="55"/>
      <c r="D1926" s="56"/>
      <c r="E1926" s="16"/>
      <c r="F1926" s="16"/>
      <c r="G1926" s="16"/>
      <c r="H1926" s="54"/>
      <c r="I1926" s="16"/>
      <c r="J1926" s="54"/>
      <c r="K1926" s="42"/>
      <c r="L1926" s="16"/>
      <c r="M1926" s="16"/>
      <c r="AA1926" s="14">
        <f t="shared" si="60"/>
        <v>0</v>
      </c>
      <c r="AB1926" s="47">
        <f t="shared" si="61"/>
        <v>-1</v>
      </c>
      <c r="AD1926" s="53"/>
      <c r="AE1926" s="53"/>
      <c r="AF1926" s="53"/>
      <c r="AG1926" s="53"/>
    </row>
    <row r="1927" spans="1:33" s="46" customFormat="1">
      <c r="A1927" s="54"/>
      <c r="B1927" s="16"/>
      <c r="C1927" s="55"/>
      <c r="D1927" s="56"/>
      <c r="E1927" s="16"/>
      <c r="F1927" s="16"/>
      <c r="G1927" s="16"/>
      <c r="H1927" s="54"/>
      <c r="I1927" s="16"/>
      <c r="J1927" s="54"/>
      <c r="K1927" s="42"/>
      <c r="L1927" s="16"/>
      <c r="M1927" s="16"/>
      <c r="AA1927" s="14">
        <f t="shared" si="60"/>
        <v>0</v>
      </c>
      <c r="AB1927" s="47">
        <f t="shared" si="61"/>
        <v>-1</v>
      </c>
      <c r="AD1927" s="53"/>
      <c r="AE1927" s="53"/>
      <c r="AF1927" s="53"/>
      <c r="AG1927" s="53"/>
    </row>
    <row r="1928" spans="1:33" s="46" customFormat="1">
      <c r="A1928" s="54"/>
      <c r="B1928" s="16"/>
      <c r="C1928" s="55"/>
      <c r="D1928" s="56"/>
      <c r="E1928" s="16"/>
      <c r="F1928" s="16"/>
      <c r="G1928" s="16"/>
      <c r="H1928" s="54"/>
      <c r="I1928" s="16"/>
      <c r="J1928" s="54"/>
      <c r="K1928" s="42"/>
      <c r="L1928" s="16"/>
      <c r="M1928" s="16"/>
      <c r="AA1928" s="14">
        <f t="shared" si="60"/>
        <v>0</v>
      </c>
      <c r="AB1928" s="47">
        <f t="shared" si="61"/>
        <v>-1</v>
      </c>
      <c r="AD1928" s="53"/>
      <c r="AE1928" s="53"/>
      <c r="AF1928" s="53"/>
      <c r="AG1928" s="53"/>
    </row>
    <row r="1929" spans="1:33" s="46" customFormat="1">
      <c r="A1929" s="54"/>
      <c r="B1929" s="16"/>
      <c r="C1929" s="55"/>
      <c r="D1929" s="56"/>
      <c r="E1929" s="16"/>
      <c r="F1929" s="16"/>
      <c r="G1929" s="16"/>
      <c r="H1929" s="54"/>
      <c r="I1929" s="16"/>
      <c r="J1929" s="54"/>
      <c r="K1929" s="42"/>
      <c r="L1929" s="16"/>
      <c r="M1929" s="16"/>
      <c r="AA1929" s="14">
        <f t="shared" si="60"/>
        <v>0</v>
      </c>
      <c r="AB1929" s="47">
        <f t="shared" si="61"/>
        <v>-1</v>
      </c>
      <c r="AD1929" s="53"/>
      <c r="AE1929" s="53"/>
      <c r="AF1929" s="53"/>
      <c r="AG1929" s="53"/>
    </row>
    <row r="1930" spans="1:33" s="46" customFormat="1">
      <c r="A1930" s="54"/>
      <c r="B1930" s="16"/>
      <c r="C1930" s="55"/>
      <c r="D1930" s="56"/>
      <c r="E1930" s="16"/>
      <c r="F1930" s="16"/>
      <c r="G1930" s="16"/>
      <c r="H1930" s="54"/>
      <c r="I1930" s="16"/>
      <c r="J1930" s="54"/>
      <c r="K1930" s="42"/>
      <c r="L1930" s="16"/>
      <c r="M1930" s="16"/>
      <c r="AA1930" s="14">
        <f t="shared" si="60"/>
        <v>0</v>
      </c>
      <c r="AB1930" s="47">
        <f t="shared" si="61"/>
        <v>-1</v>
      </c>
      <c r="AD1930" s="53"/>
      <c r="AE1930" s="53"/>
      <c r="AF1930" s="53"/>
      <c r="AG1930" s="53"/>
    </row>
    <row r="1931" spans="1:33" s="46" customFormat="1">
      <c r="A1931" s="54"/>
      <c r="B1931" s="16"/>
      <c r="C1931" s="55"/>
      <c r="D1931" s="56"/>
      <c r="E1931" s="16"/>
      <c r="F1931" s="16"/>
      <c r="G1931" s="16"/>
      <c r="H1931" s="54"/>
      <c r="I1931" s="16"/>
      <c r="J1931" s="54"/>
      <c r="K1931" s="42"/>
      <c r="L1931" s="16"/>
      <c r="M1931" s="16"/>
      <c r="AA1931" s="14">
        <f t="shared" si="60"/>
        <v>0</v>
      </c>
      <c r="AB1931" s="47">
        <f t="shared" si="61"/>
        <v>-1</v>
      </c>
      <c r="AD1931" s="53"/>
      <c r="AE1931" s="53"/>
      <c r="AF1931" s="53"/>
      <c r="AG1931" s="53"/>
    </row>
    <row r="1932" spans="1:33" s="46" customFormat="1">
      <c r="A1932" s="54"/>
      <c r="B1932" s="16"/>
      <c r="C1932" s="55"/>
      <c r="D1932" s="56"/>
      <c r="E1932" s="16"/>
      <c r="F1932" s="16"/>
      <c r="G1932" s="16"/>
      <c r="H1932" s="54"/>
      <c r="I1932" s="16"/>
      <c r="J1932" s="54"/>
      <c r="K1932" s="42"/>
      <c r="L1932" s="16"/>
      <c r="M1932" s="16"/>
      <c r="AA1932" s="14">
        <f t="shared" si="60"/>
        <v>0</v>
      </c>
      <c r="AB1932" s="47">
        <f t="shared" si="61"/>
        <v>-1</v>
      </c>
      <c r="AD1932" s="53"/>
      <c r="AE1932" s="53"/>
      <c r="AF1932" s="53"/>
      <c r="AG1932" s="53"/>
    </row>
    <row r="1933" spans="1:33" s="46" customFormat="1">
      <c r="A1933" s="54"/>
      <c r="B1933" s="16"/>
      <c r="C1933" s="55"/>
      <c r="D1933" s="56"/>
      <c r="E1933" s="16"/>
      <c r="F1933" s="16"/>
      <c r="G1933" s="16"/>
      <c r="H1933" s="54"/>
      <c r="I1933" s="16"/>
      <c r="J1933" s="54"/>
      <c r="K1933" s="42"/>
      <c r="L1933" s="16"/>
      <c r="M1933" s="16"/>
      <c r="AA1933" s="14">
        <f t="shared" si="60"/>
        <v>0</v>
      </c>
      <c r="AB1933" s="47">
        <f t="shared" si="61"/>
        <v>-1</v>
      </c>
      <c r="AD1933" s="53"/>
      <c r="AE1933" s="53"/>
      <c r="AF1933" s="53"/>
      <c r="AG1933" s="53"/>
    </row>
    <row r="1934" spans="1:33" s="46" customFormat="1">
      <c r="A1934" s="54"/>
      <c r="B1934" s="16"/>
      <c r="C1934" s="55"/>
      <c r="D1934" s="56"/>
      <c r="E1934" s="16"/>
      <c r="F1934" s="16"/>
      <c r="G1934" s="16"/>
      <c r="H1934" s="54"/>
      <c r="I1934" s="16"/>
      <c r="J1934" s="54"/>
      <c r="K1934" s="42"/>
      <c r="L1934" s="16"/>
      <c r="M1934" s="16"/>
      <c r="AA1934" s="14">
        <f t="shared" si="60"/>
        <v>0</v>
      </c>
      <c r="AB1934" s="47">
        <f t="shared" si="61"/>
        <v>-1</v>
      </c>
      <c r="AD1934" s="53"/>
      <c r="AE1934" s="53"/>
      <c r="AF1934" s="53"/>
      <c r="AG1934" s="53"/>
    </row>
    <row r="1935" spans="1:33" s="46" customFormat="1">
      <c r="A1935" s="54"/>
      <c r="B1935" s="16"/>
      <c r="C1935" s="55"/>
      <c r="D1935" s="56"/>
      <c r="E1935" s="16"/>
      <c r="F1935" s="16"/>
      <c r="G1935" s="16"/>
      <c r="H1935" s="54"/>
      <c r="I1935" s="16"/>
      <c r="J1935" s="54"/>
      <c r="K1935" s="42"/>
      <c r="L1935" s="16"/>
      <c r="M1935" s="16"/>
      <c r="AA1935" s="14">
        <f t="shared" si="60"/>
        <v>0</v>
      </c>
      <c r="AB1935" s="47">
        <f t="shared" si="61"/>
        <v>-1</v>
      </c>
      <c r="AD1935" s="53"/>
      <c r="AE1935" s="53"/>
      <c r="AF1935" s="53"/>
      <c r="AG1935" s="53"/>
    </row>
    <row r="1936" spans="1:33" s="46" customFormat="1">
      <c r="A1936" s="54"/>
      <c r="B1936" s="16"/>
      <c r="C1936" s="55"/>
      <c r="D1936" s="56"/>
      <c r="E1936" s="16"/>
      <c r="F1936" s="16"/>
      <c r="G1936" s="16"/>
      <c r="H1936" s="54"/>
      <c r="I1936" s="16"/>
      <c r="J1936" s="54"/>
      <c r="K1936" s="42"/>
      <c r="L1936" s="16"/>
      <c r="M1936" s="16"/>
      <c r="AA1936" s="14">
        <f t="shared" si="60"/>
        <v>0</v>
      </c>
      <c r="AB1936" s="47">
        <f t="shared" si="61"/>
        <v>-1</v>
      </c>
      <c r="AD1936" s="53"/>
      <c r="AE1936" s="53"/>
      <c r="AF1936" s="53"/>
      <c r="AG1936" s="53"/>
    </row>
    <row r="1937" spans="1:33" s="46" customFormat="1">
      <c r="A1937" s="54"/>
      <c r="B1937" s="16"/>
      <c r="C1937" s="55"/>
      <c r="D1937" s="56"/>
      <c r="E1937" s="16"/>
      <c r="F1937" s="16"/>
      <c r="G1937" s="16"/>
      <c r="H1937" s="54"/>
      <c r="I1937" s="16"/>
      <c r="J1937" s="54"/>
      <c r="K1937" s="42"/>
      <c r="L1937" s="16"/>
      <c r="M1937" s="16"/>
      <c r="AA1937" s="14">
        <f t="shared" si="60"/>
        <v>0</v>
      </c>
      <c r="AB1937" s="47">
        <f t="shared" si="61"/>
        <v>-1</v>
      </c>
      <c r="AD1937" s="53"/>
      <c r="AE1937" s="53"/>
      <c r="AF1937" s="53"/>
      <c r="AG1937" s="53"/>
    </row>
    <row r="1938" spans="1:33" s="46" customFormat="1">
      <c r="A1938" s="54"/>
      <c r="B1938" s="16"/>
      <c r="C1938" s="55"/>
      <c r="D1938" s="56"/>
      <c r="E1938" s="16"/>
      <c r="F1938" s="16"/>
      <c r="G1938" s="16"/>
      <c r="H1938" s="54"/>
      <c r="I1938" s="16"/>
      <c r="J1938" s="54"/>
      <c r="K1938" s="42"/>
      <c r="L1938" s="16"/>
      <c r="M1938" s="16"/>
      <c r="AA1938" s="14">
        <f t="shared" si="60"/>
        <v>0</v>
      </c>
      <c r="AB1938" s="47">
        <f t="shared" si="61"/>
        <v>-1</v>
      </c>
      <c r="AD1938" s="53"/>
      <c r="AE1938" s="53"/>
      <c r="AF1938" s="53"/>
      <c r="AG1938" s="53"/>
    </row>
    <row r="1939" spans="1:33" s="46" customFormat="1">
      <c r="A1939" s="54"/>
      <c r="B1939" s="16"/>
      <c r="C1939" s="55"/>
      <c r="D1939" s="56"/>
      <c r="E1939" s="16"/>
      <c r="F1939" s="16"/>
      <c r="G1939" s="16"/>
      <c r="H1939" s="54"/>
      <c r="I1939" s="16"/>
      <c r="J1939" s="54"/>
      <c r="K1939" s="42"/>
      <c r="L1939" s="16"/>
      <c r="M1939" s="16"/>
      <c r="AA1939" s="14">
        <f t="shared" si="60"/>
        <v>0</v>
      </c>
      <c r="AB1939" s="47">
        <f t="shared" si="61"/>
        <v>-1</v>
      </c>
      <c r="AD1939" s="53"/>
      <c r="AE1939" s="53"/>
      <c r="AF1939" s="53"/>
      <c r="AG1939" s="53"/>
    </row>
    <row r="1940" spans="1:33" s="46" customFormat="1">
      <c r="A1940" s="54"/>
      <c r="B1940" s="16"/>
      <c r="C1940" s="55"/>
      <c r="D1940" s="56"/>
      <c r="E1940" s="16"/>
      <c r="F1940" s="16"/>
      <c r="G1940" s="16"/>
      <c r="H1940" s="54"/>
      <c r="I1940" s="16"/>
      <c r="J1940" s="54"/>
      <c r="K1940" s="42"/>
      <c r="L1940" s="16"/>
      <c r="M1940" s="16"/>
      <c r="AA1940" s="14">
        <f t="shared" si="60"/>
        <v>0</v>
      </c>
      <c r="AB1940" s="47">
        <f t="shared" si="61"/>
        <v>-1</v>
      </c>
      <c r="AD1940" s="53"/>
      <c r="AE1940" s="53"/>
      <c r="AF1940" s="53"/>
      <c r="AG1940" s="53"/>
    </row>
    <row r="1941" spans="1:33" s="46" customFormat="1">
      <c r="A1941" s="54"/>
      <c r="B1941" s="16"/>
      <c r="C1941" s="55"/>
      <c r="D1941" s="56"/>
      <c r="E1941" s="16"/>
      <c r="F1941" s="16"/>
      <c r="G1941" s="16"/>
      <c r="H1941" s="54"/>
      <c r="I1941" s="16"/>
      <c r="J1941" s="54"/>
      <c r="K1941" s="42"/>
      <c r="L1941" s="16"/>
      <c r="M1941" s="16"/>
      <c r="AA1941" s="14">
        <f t="shared" si="60"/>
        <v>0</v>
      </c>
      <c r="AB1941" s="47">
        <f t="shared" si="61"/>
        <v>-1</v>
      </c>
      <c r="AD1941" s="53"/>
      <c r="AE1941" s="53"/>
      <c r="AF1941" s="53"/>
      <c r="AG1941" s="53"/>
    </row>
    <row r="1942" spans="1:33" s="46" customFormat="1">
      <c r="A1942" s="54"/>
      <c r="B1942" s="16"/>
      <c r="C1942" s="55"/>
      <c r="D1942" s="56"/>
      <c r="E1942" s="16"/>
      <c r="F1942" s="16"/>
      <c r="G1942" s="16"/>
      <c r="H1942" s="54"/>
      <c r="I1942" s="16"/>
      <c r="J1942" s="54"/>
      <c r="K1942" s="42"/>
      <c r="L1942" s="16"/>
      <c r="M1942" s="16"/>
      <c r="AA1942" s="14">
        <f t="shared" si="60"/>
        <v>0</v>
      </c>
      <c r="AB1942" s="47">
        <f t="shared" si="61"/>
        <v>-1</v>
      </c>
      <c r="AD1942" s="53"/>
      <c r="AE1942" s="53"/>
      <c r="AF1942" s="53"/>
      <c r="AG1942" s="53"/>
    </row>
    <row r="1943" spans="1:33" s="46" customFormat="1">
      <c r="A1943" s="54"/>
      <c r="B1943" s="16"/>
      <c r="C1943" s="55"/>
      <c r="D1943" s="56"/>
      <c r="E1943" s="16"/>
      <c r="F1943" s="16"/>
      <c r="G1943" s="16"/>
      <c r="H1943" s="54"/>
      <c r="I1943" s="16"/>
      <c r="J1943" s="54"/>
      <c r="K1943" s="42"/>
      <c r="L1943" s="16"/>
      <c r="M1943" s="16"/>
      <c r="AA1943" s="14">
        <f t="shared" si="60"/>
        <v>0</v>
      </c>
      <c r="AB1943" s="47">
        <f t="shared" si="61"/>
        <v>-1</v>
      </c>
      <c r="AD1943" s="53"/>
      <c r="AE1943" s="53"/>
      <c r="AF1943" s="53"/>
      <c r="AG1943" s="53"/>
    </row>
    <row r="1944" spans="1:33" s="46" customFormat="1">
      <c r="A1944" s="54"/>
      <c r="B1944" s="16"/>
      <c r="C1944" s="55"/>
      <c r="D1944" s="56"/>
      <c r="E1944" s="16"/>
      <c r="F1944" s="16"/>
      <c r="G1944" s="16"/>
      <c r="H1944" s="54"/>
      <c r="I1944" s="16"/>
      <c r="J1944" s="54"/>
      <c r="K1944" s="42"/>
      <c r="L1944" s="16"/>
      <c r="M1944" s="16"/>
      <c r="AA1944" s="14">
        <f t="shared" si="60"/>
        <v>0</v>
      </c>
      <c r="AB1944" s="47">
        <f t="shared" si="61"/>
        <v>-1</v>
      </c>
      <c r="AD1944" s="53"/>
      <c r="AE1944" s="53"/>
      <c r="AF1944" s="53"/>
      <c r="AG1944" s="53"/>
    </row>
    <row r="1945" spans="1:33" s="46" customFormat="1">
      <c r="A1945" s="54"/>
      <c r="B1945" s="16"/>
      <c r="C1945" s="55"/>
      <c r="D1945" s="56"/>
      <c r="E1945" s="16"/>
      <c r="F1945" s="16"/>
      <c r="G1945" s="16"/>
      <c r="H1945" s="54"/>
      <c r="I1945" s="16"/>
      <c r="J1945" s="54"/>
      <c r="K1945" s="42"/>
      <c r="L1945" s="16"/>
      <c r="M1945" s="16"/>
      <c r="AA1945" s="14">
        <f t="shared" si="60"/>
        <v>0</v>
      </c>
      <c r="AB1945" s="47">
        <f t="shared" si="61"/>
        <v>-1</v>
      </c>
      <c r="AD1945" s="53"/>
      <c r="AE1945" s="53"/>
      <c r="AF1945" s="53"/>
      <c r="AG1945" s="53"/>
    </row>
    <row r="1946" spans="1:33" s="46" customFormat="1">
      <c r="A1946" s="54"/>
      <c r="B1946" s="16"/>
      <c r="C1946" s="55"/>
      <c r="D1946" s="56"/>
      <c r="E1946" s="16"/>
      <c r="F1946" s="16"/>
      <c r="G1946" s="16"/>
      <c r="H1946" s="54"/>
      <c r="I1946" s="16"/>
      <c r="J1946" s="54"/>
      <c r="K1946" s="42"/>
      <c r="L1946" s="16"/>
      <c r="M1946" s="16"/>
      <c r="AA1946" s="14">
        <f t="shared" si="60"/>
        <v>0</v>
      </c>
      <c r="AB1946" s="47">
        <f t="shared" si="61"/>
        <v>-1</v>
      </c>
      <c r="AD1946" s="53"/>
      <c r="AE1946" s="53"/>
      <c r="AF1946" s="53"/>
      <c r="AG1946" s="53"/>
    </row>
    <row r="1947" spans="1:33" s="46" customFormat="1">
      <c r="A1947" s="54"/>
      <c r="B1947" s="16"/>
      <c r="C1947" s="55"/>
      <c r="D1947" s="56"/>
      <c r="E1947" s="16"/>
      <c r="F1947" s="16"/>
      <c r="G1947" s="16"/>
      <c r="H1947" s="54"/>
      <c r="I1947" s="16"/>
      <c r="J1947" s="54"/>
      <c r="K1947" s="42"/>
      <c r="L1947" s="16"/>
      <c r="M1947" s="16"/>
      <c r="AA1947" s="14">
        <f t="shared" si="60"/>
        <v>0</v>
      </c>
      <c r="AB1947" s="47">
        <f t="shared" si="61"/>
        <v>-1</v>
      </c>
      <c r="AD1947" s="53"/>
      <c r="AE1947" s="53"/>
      <c r="AF1947" s="53"/>
      <c r="AG1947" s="53"/>
    </row>
    <row r="1948" spans="1:33" s="46" customFormat="1">
      <c r="A1948" s="54"/>
      <c r="B1948" s="16"/>
      <c r="C1948" s="55"/>
      <c r="D1948" s="56"/>
      <c r="E1948" s="16"/>
      <c r="F1948" s="16"/>
      <c r="G1948" s="16"/>
      <c r="H1948" s="54"/>
      <c r="I1948" s="16"/>
      <c r="J1948" s="54"/>
      <c r="K1948" s="42"/>
      <c r="L1948" s="16"/>
      <c r="M1948" s="16"/>
      <c r="AA1948" s="14">
        <f t="shared" si="60"/>
        <v>0</v>
      </c>
      <c r="AB1948" s="47">
        <f t="shared" si="61"/>
        <v>-1</v>
      </c>
      <c r="AD1948" s="53"/>
      <c r="AE1948" s="53"/>
      <c r="AF1948" s="53"/>
      <c r="AG1948" s="53"/>
    </row>
    <row r="1949" spans="1:33" s="46" customFormat="1">
      <c r="A1949" s="54"/>
      <c r="B1949" s="16"/>
      <c r="C1949" s="55"/>
      <c r="D1949" s="56"/>
      <c r="E1949" s="16"/>
      <c r="F1949" s="16"/>
      <c r="G1949" s="16"/>
      <c r="H1949" s="54"/>
      <c r="I1949" s="16"/>
      <c r="J1949" s="54"/>
      <c r="K1949" s="42"/>
      <c r="L1949" s="16"/>
      <c r="M1949" s="16"/>
      <c r="AA1949" s="14">
        <f t="shared" si="60"/>
        <v>0</v>
      </c>
      <c r="AB1949" s="47">
        <f t="shared" si="61"/>
        <v>-1</v>
      </c>
      <c r="AD1949" s="53"/>
      <c r="AE1949" s="53"/>
      <c r="AF1949" s="53"/>
      <c r="AG1949" s="53"/>
    </row>
    <row r="1950" spans="1:33" s="46" customFormat="1">
      <c r="A1950" s="54"/>
      <c r="B1950" s="16"/>
      <c r="C1950" s="55"/>
      <c r="D1950" s="56"/>
      <c r="E1950" s="16"/>
      <c r="F1950" s="16"/>
      <c r="G1950" s="16"/>
      <c r="H1950" s="54"/>
      <c r="I1950" s="16"/>
      <c r="J1950" s="54"/>
      <c r="K1950" s="42"/>
      <c r="L1950" s="16"/>
      <c r="M1950" s="16"/>
      <c r="AA1950" s="14">
        <f t="shared" si="60"/>
        <v>0</v>
      </c>
      <c r="AB1950" s="47">
        <f t="shared" si="61"/>
        <v>-1</v>
      </c>
      <c r="AD1950" s="53"/>
      <c r="AE1950" s="53"/>
      <c r="AF1950" s="53"/>
      <c r="AG1950" s="53"/>
    </row>
    <row r="1951" spans="1:33" s="46" customFormat="1">
      <c r="A1951" s="54"/>
      <c r="B1951" s="16"/>
      <c r="C1951" s="55"/>
      <c r="D1951" s="56"/>
      <c r="E1951" s="16"/>
      <c r="F1951" s="16"/>
      <c r="G1951" s="16"/>
      <c r="H1951" s="54"/>
      <c r="I1951" s="16"/>
      <c r="J1951" s="54"/>
      <c r="K1951" s="42"/>
      <c r="L1951" s="16"/>
      <c r="M1951" s="16"/>
      <c r="AA1951" s="14">
        <f t="shared" si="60"/>
        <v>0</v>
      </c>
      <c r="AB1951" s="47">
        <f t="shared" si="61"/>
        <v>-1</v>
      </c>
      <c r="AD1951" s="53"/>
      <c r="AE1951" s="53"/>
      <c r="AF1951" s="53"/>
      <c r="AG1951" s="53"/>
    </row>
    <row r="1952" spans="1:33" s="46" customFormat="1">
      <c r="A1952" s="54"/>
      <c r="B1952" s="16"/>
      <c r="C1952" s="55"/>
      <c r="D1952" s="56"/>
      <c r="E1952" s="16"/>
      <c r="F1952" s="16"/>
      <c r="G1952" s="16"/>
      <c r="H1952" s="54"/>
      <c r="I1952" s="16"/>
      <c r="J1952" s="54"/>
      <c r="K1952" s="42"/>
      <c r="L1952" s="16"/>
      <c r="M1952" s="16"/>
      <c r="AA1952" s="14">
        <f t="shared" si="60"/>
        <v>0</v>
      </c>
      <c r="AB1952" s="47">
        <f t="shared" si="61"/>
        <v>-1</v>
      </c>
      <c r="AD1952" s="53"/>
      <c r="AE1952" s="53"/>
      <c r="AF1952" s="53"/>
      <c r="AG1952" s="53"/>
    </row>
    <row r="1953" spans="1:33" s="46" customFormat="1">
      <c r="A1953" s="54"/>
      <c r="B1953" s="16"/>
      <c r="C1953" s="55"/>
      <c r="D1953" s="56"/>
      <c r="E1953" s="16"/>
      <c r="F1953" s="16"/>
      <c r="G1953" s="16"/>
      <c r="H1953" s="54"/>
      <c r="I1953" s="16"/>
      <c r="J1953" s="54"/>
      <c r="K1953" s="42"/>
      <c r="L1953" s="16"/>
      <c r="M1953" s="16"/>
      <c r="AA1953" s="14">
        <f t="shared" si="60"/>
        <v>0</v>
      </c>
      <c r="AB1953" s="47">
        <f t="shared" si="61"/>
        <v>-1</v>
      </c>
      <c r="AD1953" s="53"/>
      <c r="AE1953" s="53"/>
      <c r="AF1953" s="53"/>
      <c r="AG1953" s="53"/>
    </row>
    <row r="1954" spans="1:33" s="46" customFormat="1">
      <c r="A1954" s="54"/>
      <c r="B1954" s="16"/>
      <c r="C1954" s="55"/>
      <c r="D1954" s="56"/>
      <c r="E1954" s="16"/>
      <c r="F1954" s="16"/>
      <c r="G1954" s="16"/>
      <c r="H1954" s="54"/>
      <c r="I1954" s="16"/>
      <c r="J1954" s="54"/>
      <c r="K1954" s="42"/>
      <c r="L1954" s="16"/>
      <c r="M1954" s="16"/>
      <c r="AA1954" s="14">
        <f t="shared" si="60"/>
        <v>0</v>
      </c>
      <c r="AB1954" s="47">
        <f t="shared" si="61"/>
        <v>-1</v>
      </c>
      <c r="AD1954" s="53"/>
      <c r="AE1954" s="53"/>
      <c r="AF1954" s="53"/>
      <c r="AG1954" s="53"/>
    </row>
    <row r="1955" spans="1:33" s="46" customFormat="1">
      <c r="A1955" s="54"/>
      <c r="B1955" s="16"/>
      <c r="C1955" s="55"/>
      <c r="D1955" s="56"/>
      <c r="E1955" s="16"/>
      <c r="F1955" s="16"/>
      <c r="G1955" s="16"/>
      <c r="H1955" s="54"/>
      <c r="I1955" s="16"/>
      <c r="J1955" s="54"/>
      <c r="K1955" s="42"/>
      <c r="L1955" s="16"/>
      <c r="M1955" s="16"/>
      <c r="AA1955" s="14">
        <f t="shared" si="60"/>
        <v>0</v>
      </c>
      <c r="AB1955" s="47">
        <f t="shared" si="61"/>
        <v>-1</v>
      </c>
      <c r="AD1955" s="53"/>
      <c r="AE1955" s="53"/>
      <c r="AF1955" s="53"/>
      <c r="AG1955" s="53"/>
    </row>
    <row r="1956" spans="1:33" s="46" customFormat="1">
      <c r="A1956" s="54"/>
      <c r="B1956" s="16"/>
      <c r="C1956" s="55"/>
      <c r="D1956" s="56"/>
      <c r="E1956" s="16"/>
      <c r="F1956" s="16"/>
      <c r="G1956" s="16"/>
      <c r="H1956" s="54"/>
      <c r="I1956" s="16"/>
      <c r="J1956" s="54"/>
      <c r="K1956" s="42"/>
      <c r="L1956" s="16"/>
      <c r="M1956" s="16"/>
      <c r="AA1956" s="14">
        <f t="shared" si="60"/>
        <v>0</v>
      </c>
      <c r="AB1956" s="47">
        <f t="shared" si="61"/>
        <v>-1</v>
      </c>
      <c r="AD1956" s="53"/>
      <c r="AE1956" s="53"/>
      <c r="AF1956" s="53"/>
      <c r="AG1956" s="53"/>
    </row>
    <row r="1957" spans="1:33" s="46" customFormat="1">
      <c r="A1957" s="54"/>
      <c r="B1957" s="16"/>
      <c r="C1957" s="55"/>
      <c r="D1957" s="56"/>
      <c r="E1957" s="16"/>
      <c r="F1957" s="16"/>
      <c r="G1957" s="16"/>
      <c r="H1957" s="54"/>
      <c r="I1957" s="16"/>
      <c r="J1957" s="54"/>
      <c r="K1957" s="42"/>
      <c r="L1957" s="16"/>
      <c r="M1957" s="16"/>
      <c r="AA1957" s="14">
        <f t="shared" si="60"/>
        <v>0</v>
      </c>
      <c r="AB1957" s="47">
        <f t="shared" si="61"/>
        <v>-1</v>
      </c>
      <c r="AD1957" s="53"/>
      <c r="AE1957" s="53"/>
      <c r="AF1957" s="53"/>
      <c r="AG1957" s="53"/>
    </row>
    <row r="1958" spans="1:33" s="46" customFormat="1">
      <c r="A1958" s="54"/>
      <c r="B1958" s="16"/>
      <c r="C1958" s="55"/>
      <c r="D1958" s="56"/>
      <c r="E1958" s="16"/>
      <c r="F1958" s="16"/>
      <c r="G1958" s="16"/>
      <c r="H1958" s="54"/>
      <c r="I1958" s="16"/>
      <c r="J1958" s="54"/>
      <c r="K1958" s="42"/>
      <c r="L1958" s="16"/>
      <c r="M1958" s="16"/>
      <c r="AA1958" s="14">
        <f t="shared" si="60"/>
        <v>0</v>
      </c>
      <c r="AB1958" s="47">
        <f t="shared" si="61"/>
        <v>-1</v>
      </c>
      <c r="AD1958" s="53"/>
      <c r="AE1958" s="53"/>
      <c r="AF1958" s="53"/>
      <c r="AG1958" s="53"/>
    </row>
    <row r="1959" spans="1:33" s="46" customFormat="1">
      <c r="A1959" s="54"/>
      <c r="B1959" s="16"/>
      <c r="C1959" s="55"/>
      <c r="D1959" s="56"/>
      <c r="E1959" s="16"/>
      <c r="F1959" s="16"/>
      <c r="G1959" s="16"/>
      <c r="H1959" s="54"/>
      <c r="I1959" s="16"/>
      <c r="J1959" s="54"/>
      <c r="K1959" s="42"/>
      <c r="L1959" s="16"/>
      <c r="M1959" s="16"/>
      <c r="AA1959" s="14">
        <f t="shared" si="60"/>
        <v>0</v>
      </c>
      <c r="AB1959" s="47">
        <f t="shared" si="61"/>
        <v>-1</v>
      </c>
      <c r="AD1959" s="53"/>
      <c r="AE1959" s="53"/>
      <c r="AF1959" s="53"/>
      <c r="AG1959" s="53"/>
    </row>
    <row r="1960" spans="1:33" s="46" customFormat="1">
      <c r="A1960" s="54"/>
      <c r="B1960" s="16"/>
      <c r="C1960" s="55"/>
      <c r="D1960" s="56"/>
      <c r="E1960" s="16"/>
      <c r="F1960" s="16"/>
      <c r="G1960" s="16"/>
      <c r="H1960" s="54"/>
      <c r="I1960" s="16"/>
      <c r="J1960" s="54"/>
      <c r="K1960" s="42"/>
      <c r="L1960" s="16"/>
      <c r="M1960" s="16"/>
      <c r="AA1960" s="14">
        <f t="shared" ref="AA1960:AA2023" si="62">C1960-C1959</f>
        <v>0</v>
      </c>
      <c r="AB1960" s="47">
        <f t="shared" ref="AB1960:AB2023" si="63">AA1960-1</f>
        <v>-1</v>
      </c>
      <c r="AD1960" s="53"/>
      <c r="AE1960" s="53"/>
      <c r="AF1960" s="53"/>
      <c r="AG1960" s="53"/>
    </row>
    <row r="1961" spans="1:33" s="46" customFormat="1">
      <c r="A1961" s="54"/>
      <c r="B1961" s="16"/>
      <c r="C1961" s="55"/>
      <c r="D1961" s="56"/>
      <c r="E1961" s="16"/>
      <c r="F1961" s="16"/>
      <c r="G1961" s="16"/>
      <c r="H1961" s="54"/>
      <c r="I1961" s="16"/>
      <c r="J1961" s="54"/>
      <c r="K1961" s="42"/>
      <c r="L1961" s="16"/>
      <c r="M1961" s="16"/>
      <c r="AA1961" s="14">
        <f t="shared" si="62"/>
        <v>0</v>
      </c>
      <c r="AB1961" s="47">
        <f t="shared" si="63"/>
        <v>-1</v>
      </c>
      <c r="AD1961" s="53"/>
      <c r="AE1961" s="53"/>
      <c r="AF1961" s="53"/>
      <c r="AG1961" s="53"/>
    </row>
    <row r="1962" spans="1:33" s="46" customFormat="1">
      <c r="A1962" s="54"/>
      <c r="B1962" s="16"/>
      <c r="C1962" s="55"/>
      <c r="D1962" s="56"/>
      <c r="E1962" s="16"/>
      <c r="F1962" s="16"/>
      <c r="G1962" s="16"/>
      <c r="H1962" s="54"/>
      <c r="I1962" s="16"/>
      <c r="J1962" s="54"/>
      <c r="K1962" s="42"/>
      <c r="L1962" s="16"/>
      <c r="M1962" s="16"/>
      <c r="AA1962" s="14">
        <f t="shared" si="62"/>
        <v>0</v>
      </c>
      <c r="AB1962" s="47">
        <f t="shared" si="63"/>
        <v>-1</v>
      </c>
      <c r="AD1962" s="53"/>
      <c r="AE1962" s="53"/>
      <c r="AF1962" s="53"/>
      <c r="AG1962" s="53"/>
    </row>
    <row r="1963" spans="1:33" s="46" customFormat="1">
      <c r="A1963" s="54"/>
      <c r="B1963" s="16"/>
      <c r="C1963" s="55"/>
      <c r="D1963" s="56"/>
      <c r="E1963" s="16"/>
      <c r="F1963" s="16"/>
      <c r="G1963" s="16"/>
      <c r="H1963" s="54"/>
      <c r="I1963" s="16"/>
      <c r="J1963" s="54"/>
      <c r="K1963" s="42"/>
      <c r="L1963" s="16"/>
      <c r="M1963" s="16"/>
      <c r="AA1963" s="14">
        <f t="shared" si="62"/>
        <v>0</v>
      </c>
      <c r="AB1963" s="47">
        <f t="shared" si="63"/>
        <v>-1</v>
      </c>
      <c r="AD1963" s="53"/>
      <c r="AE1963" s="53"/>
      <c r="AF1963" s="53"/>
      <c r="AG1963" s="53"/>
    </row>
    <row r="1964" spans="1:33" s="46" customFormat="1">
      <c r="A1964" s="54"/>
      <c r="B1964" s="16"/>
      <c r="C1964" s="55"/>
      <c r="D1964" s="56"/>
      <c r="E1964" s="16"/>
      <c r="F1964" s="16"/>
      <c r="G1964" s="16"/>
      <c r="H1964" s="54"/>
      <c r="I1964" s="16"/>
      <c r="J1964" s="54"/>
      <c r="K1964" s="42"/>
      <c r="L1964" s="16"/>
      <c r="M1964" s="16"/>
      <c r="AA1964" s="14">
        <f t="shared" si="62"/>
        <v>0</v>
      </c>
      <c r="AB1964" s="47">
        <f t="shared" si="63"/>
        <v>-1</v>
      </c>
      <c r="AD1964" s="53"/>
      <c r="AE1964" s="53"/>
      <c r="AF1964" s="53"/>
      <c r="AG1964" s="53"/>
    </row>
    <row r="1965" spans="1:33" s="46" customFormat="1">
      <c r="A1965" s="54"/>
      <c r="B1965" s="16"/>
      <c r="C1965" s="55"/>
      <c r="D1965" s="56"/>
      <c r="E1965" s="16"/>
      <c r="F1965" s="16"/>
      <c r="G1965" s="16"/>
      <c r="H1965" s="54"/>
      <c r="I1965" s="16"/>
      <c r="J1965" s="54"/>
      <c r="K1965" s="42"/>
      <c r="L1965" s="16"/>
      <c r="M1965" s="16"/>
      <c r="AA1965" s="14">
        <f t="shared" si="62"/>
        <v>0</v>
      </c>
      <c r="AB1965" s="47">
        <f t="shared" si="63"/>
        <v>-1</v>
      </c>
      <c r="AD1965" s="53"/>
      <c r="AE1965" s="53"/>
      <c r="AF1965" s="53"/>
      <c r="AG1965" s="53"/>
    </row>
    <row r="1966" spans="1:33" s="46" customFormat="1">
      <c r="A1966" s="54"/>
      <c r="B1966" s="16"/>
      <c r="C1966" s="55"/>
      <c r="D1966" s="56"/>
      <c r="E1966" s="16"/>
      <c r="F1966" s="16"/>
      <c r="G1966" s="16"/>
      <c r="H1966" s="54"/>
      <c r="I1966" s="16"/>
      <c r="J1966" s="54"/>
      <c r="K1966" s="42"/>
      <c r="L1966" s="16"/>
      <c r="M1966" s="16"/>
      <c r="AA1966" s="14">
        <f t="shared" si="62"/>
        <v>0</v>
      </c>
      <c r="AB1966" s="47">
        <f t="shared" si="63"/>
        <v>-1</v>
      </c>
      <c r="AD1966" s="53"/>
      <c r="AE1966" s="53"/>
      <c r="AF1966" s="53"/>
      <c r="AG1966" s="53"/>
    </row>
    <row r="1967" spans="1:33" s="46" customFormat="1">
      <c r="A1967" s="54"/>
      <c r="B1967" s="16"/>
      <c r="C1967" s="55"/>
      <c r="D1967" s="56"/>
      <c r="E1967" s="16"/>
      <c r="F1967" s="16"/>
      <c r="G1967" s="16"/>
      <c r="H1967" s="54"/>
      <c r="I1967" s="16"/>
      <c r="J1967" s="54"/>
      <c r="K1967" s="42"/>
      <c r="L1967" s="16"/>
      <c r="M1967" s="16"/>
      <c r="AA1967" s="14">
        <f t="shared" si="62"/>
        <v>0</v>
      </c>
      <c r="AB1967" s="47">
        <f t="shared" si="63"/>
        <v>-1</v>
      </c>
      <c r="AD1967" s="53"/>
      <c r="AE1967" s="53"/>
      <c r="AF1967" s="53"/>
      <c r="AG1967" s="53"/>
    </row>
    <row r="1968" spans="1:33" s="46" customFormat="1">
      <c r="A1968" s="54"/>
      <c r="B1968" s="16"/>
      <c r="C1968" s="55"/>
      <c r="D1968" s="56"/>
      <c r="E1968" s="16"/>
      <c r="F1968" s="16"/>
      <c r="G1968" s="16"/>
      <c r="H1968" s="54"/>
      <c r="I1968" s="16"/>
      <c r="J1968" s="54"/>
      <c r="K1968" s="42"/>
      <c r="L1968" s="16"/>
      <c r="M1968" s="16"/>
      <c r="AA1968" s="14">
        <f t="shared" si="62"/>
        <v>0</v>
      </c>
      <c r="AB1968" s="47">
        <f t="shared" si="63"/>
        <v>-1</v>
      </c>
      <c r="AD1968" s="53"/>
      <c r="AE1968" s="53"/>
      <c r="AF1968" s="53"/>
      <c r="AG1968" s="53"/>
    </row>
    <row r="1969" spans="1:33" s="46" customFormat="1">
      <c r="A1969" s="54"/>
      <c r="B1969" s="16"/>
      <c r="C1969" s="55"/>
      <c r="D1969" s="56"/>
      <c r="E1969" s="16"/>
      <c r="F1969" s="16"/>
      <c r="G1969" s="16"/>
      <c r="H1969" s="54"/>
      <c r="I1969" s="16"/>
      <c r="J1969" s="54"/>
      <c r="K1969" s="42"/>
      <c r="L1969" s="16"/>
      <c r="M1969" s="16"/>
      <c r="AA1969" s="14">
        <f t="shared" si="62"/>
        <v>0</v>
      </c>
      <c r="AB1969" s="47">
        <f t="shared" si="63"/>
        <v>-1</v>
      </c>
      <c r="AD1969" s="53"/>
      <c r="AE1969" s="53"/>
      <c r="AF1969" s="53"/>
      <c r="AG1969" s="53"/>
    </row>
    <row r="1970" spans="1:33" s="46" customFormat="1">
      <c r="A1970" s="54"/>
      <c r="B1970" s="16"/>
      <c r="C1970" s="55"/>
      <c r="D1970" s="56"/>
      <c r="E1970" s="16"/>
      <c r="F1970" s="16"/>
      <c r="G1970" s="16"/>
      <c r="H1970" s="54"/>
      <c r="I1970" s="16"/>
      <c r="J1970" s="54"/>
      <c r="K1970" s="42"/>
      <c r="L1970" s="16"/>
      <c r="M1970" s="16"/>
      <c r="AA1970" s="14">
        <f t="shared" si="62"/>
        <v>0</v>
      </c>
      <c r="AB1970" s="47">
        <f t="shared" si="63"/>
        <v>-1</v>
      </c>
      <c r="AD1970" s="53"/>
      <c r="AE1970" s="53"/>
      <c r="AF1970" s="53"/>
      <c r="AG1970" s="53"/>
    </row>
    <row r="1971" spans="1:33" s="46" customFormat="1">
      <c r="A1971" s="54"/>
      <c r="B1971" s="16"/>
      <c r="C1971" s="55"/>
      <c r="D1971" s="56"/>
      <c r="E1971" s="16"/>
      <c r="F1971" s="16"/>
      <c r="G1971" s="16"/>
      <c r="H1971" s="54"/>
      <c r="I1971" s="16"/>
      <c r="J1971" s="54"/>
      <c r="K1971" s="42"/>
      <c r="L1971" s="16"/>
      <c r="M1971" s="16"/>
      <c r="AA1971" s="14">
        <f t="shared" si="62"/>
        <v>0</v>
      </c>
      <c r="AB1971" s="47">
        <f t="shared" si="63"/>
        <v>-1</v>
      </c>
      <c r="AD1971" s="53"/>
      <c r="AE1971" s="53"/>
      <c r="AF1971" s="53"/>
      <c r="AG1971" s="53"/>
    </row>
    <row r="1972" spans="1:33" s="46" customFormat="1">
      <c r="A1972" s="54"/>
      <c r="B1972" s="16"/>
      <c r="C1972" s="55"/>
      <c r="D1972" s="56"/>
      <c r="E1972" s="16"/>
      <c r="F1972" s="16"/>
      <c r="G1972" s="16"/>
      <c r="H1972" s="54"/>
      <c r="I1972" s="16"/>
      <c r="J1972" s="54"/>
      <c r="K1972" s="42"/>
      <c r="L1972" s="16"/>
      <c r="M1972" s="16"/>
      <c r="AA1972" s="14">
        <f t="shared" si="62"/>
        <v>0</v>
      </c>
      <c r="AB1972" s="47">
        <f t="shared" si="63"/>
        <v>-1</v>
      </c>
      <c r="AD1972" s="53"/>
      <c r="AE1972" s="53"/>
      <c r="AF1972" s="53"/>
      <c r="AG1972" s="53"/>
    </row>
    <row r="1973" spans="1:33" s="46" customFormat="1">
      <c r="A1973" s="54"/>
      <c r="B1973" s="16"/>
      <c r="C1973" s="55"/>
      <c r="D1973" s="56"/>
      <c r="E1973" s="16"/>
      <c r="F1973" s="16"/>
      <c r="G1973" s="16"/>
      <c r="H1973" s="54"/>
      <c r="I1973" s="16"/>
      <c r="J1973" s="54"/>
      <c r="K1973" s="42"/>
      <c r="L1973" s="16"/>
      <c r="M1973" s="16"/>
      <c r="AA1973" s="14">
        <f t="shared" si="62"/>
        <v>0</v>
      </c>
      <c r="AB1973" s="47">
        <f t="shared" si="63"/>
        <v>-1</v>
      </c>
      <c r="AD1973" s="53"/>
      <c r="AE1973" s="53"/>
      <c r="AF1973" s="53"/>
      <c r="AG1973" s="53"/>
    </row>
    <row r="1974" spans="1:33" s="46" customFormat="1">
      <c r="A1974" s="54"/>
      <c r="B1974" s="16"/>
      <c r="C1974" s="55"/>
      <c r="D1974" s="56"/>
      <c r="E1974" s="16"/>
      <c r="F1974" s="16"/>
      <c r="G1974" s="16"/>
      <c r="H1974" s="54"/>
      <c r="I1974" s="16"/>
      <c r="J1974" s="54"/>
      <c r="K1974" s="42"/>
      <c r="L1974" s="16"/>
      <c r="M1974" s="16"/>
      <c r="AA1974" s="14">
        <f t="shared" si="62"/>
        <v>0</v>
      </c>
      <c r="AB1974" s="47">
        <f t="shared" si="63"/>
        <v>-1</v>
      </c>
      <c r="AD1974" s="53"/>
      <c r="AE1974" s="53"/>
      <c r="AF1974" s="53"/>
      <c r="AG1974" s="53"/>
    </row>
    <row r="1975" spans="1:33" s="46" customFormat="1">
      <c r="A1975" s="54"/>
      <c r="B1975" s="16"/>
      <c r="C1975" s="55"/>
      <c r="D1975" s="56"/>
      <c r="E1975" s="16"/>
      <c r="F1975" s="16"/>
      <c r="G1975" s="16"/>
      <c r="H1975" s="54"/>
      <c r="I1975" s="16"/>
      <c r="J1975" s="54"/>
      <c r="K1975" s="42"/>
      <c r="L1975" s="16"/>
      <c r="M1975" s="16"/>
      <c r="AA1975" s="14">
        <f t="shared" si="62"/>
        <v>0</v>
      </c>
      <c r="AB1975" s="47">
        <f t="shared" si="63"/>
        <v>-1</v>
      </c>
      <c r="AD1975" s="53"/>
      <c r="AE1975" s="53"/>
      <c r="AF1975" s="53"/>
      <c r="AG1975" s="53"/>
    </row>
    <row r="1976" spans="1:33" s="46" customFormat="1">
      <c r="A1976" s="54"/>
      <c r="B1976" s="16"/>
      <c r="C1976" s="55"/>
      <c r="D1976" s="56"/>
      <c r="E1976" s="16"/>
      <c r="F1976" s="16"/>
      <c r="G1976" s="16"/>
      <c r="H1976" s="54"/>
      <c r="I1976" s="16"/>
      <c r="J1976" s="54"/>
      <c r="K1976" s="42"/>
      <c r="L1976" s="16"/>
      <c r="M1976" s="16"/>
      <c r="AA1976" s="14">
        <f t="shared" si="62"/>
        <v>0</v>
      </c>
      <c r="AB1976" s="47">
        <f t="shared" si="63"/>
        <v>-1</v>
      </c>
      <c r="AD1976" s="53"/>
      <c r="AE1976" s="53"/>
      <c r="AF1976" s="53"/>
      <c r="AG1976" s="53"/>
    </row>
    <row r="1977" spans="1:33" s="46" customFormat="1">
      <c r="A1977" s="54"/>
      <c r="B1977" s="16"/>
      <c r="C1977" s="55"/>
      <c r="D1977" s="56"/>
      <c r="E1977" s="16"/>
      <c r="F1977" s="16"/>
      <c r="G1977" s="16"/>
      <c r="H1977" s="54"/>
      <c r="I1977" s="16"/>
      <c r="J1977" s="54"/>
      <c r="K1977" s="42"/>
      <c r="L1977" s="16"/>
      <c r="M1977" s="16"/>
      <c r="AA1977" s="14">
        <f t="shared" si="62"/>
        <v>0</v>
      </c>
      <c r="AB1977" s="47">
        <f t="shared" si="63"/>
        <v>-1</v>
      </c>
      <c r="AD1977" s="53"/>
      <c r="AE1977" s="53"/>
      <c r="AF1977" s="53"/>
      <c r="AG1977" s="53"/>
    </row>
    <row r="1978" spans="1:33" s="46" customFormat="1">
      <c r="A1978" s="54"/>
      <c r="B1978" s="16"/>
      <c r="C1978" s="55"/>
      <c r="D1978" s="56"/>
      <c r="E1978" s="16"/>
      <c r="F1978" s="16"/>
      <c r="G1978" s="16"/>
      <c r="H1978" s="54"/>
      <c r="I1978" s="16"/>
      <c r="J1978" s="54"/>
      <c r="K1978" s="42"/>
      <c r="L1978" s="16"/>
      <c r="M1978" s="16"/>
      <c r="AA1978" s="14">
        <f t="shared" si="62"/>
        <v>0</v>
      </c>
      <c r="AB1978" s="47">
        <f t="shared" si="63"/>
        <v>-1</v>
      </c>
      <c r="AD1978" s="53"/>
      <c r="AE1978" s="53"/>
      <c r="AF1978" s="53"/>
      <c r="AG1978" s="53"/>
    </row>
    <row r="1979" spans="1:33" s="46" customFormat="1">
      <c r="A1979" s="54"/>
      <c r="B1979" s="16"/>
      <c r="C1979" s="55"/>
      <c r="D1979" s="56"/>
      <c r="E1979" s="16"/>
      <c r="F1979" s="16"/>
      <c r="G1979" s="16"/>
      <c r="H1979" s="54"/>
      <c r="I1979" s="16"/>
      <c r="J1979" s="54"/>
      <c r="K1979" s="42"/>
      <c r="L1979" s="16"/>
      <c r="M1979" s="16"/>
      <c r="AA1979" s="14">
        <f t="shared" si="62"/>
        <v>0</v>
      </c>
      <c r="AB1979" s="47">
        <f t="shared" si="63"/>
        <v>-1</v>
      </c>
      <c r="AD1979" s="53"/>
      <c r="AE1979" s="53"/>
      <c r="AF1979" s="53"/>
      <c r="AG1979" s="53"/>
    </row>
    <row r="1980" spans="1:33" s="46" customFormat="1">
      <c r="A1980" s="54"/>
      <c r="B1980" s="16"/>
      <c r="C1980" s="55"/>
      <c r="D1980" s="56"/>
      <c r="E1980" s="16"/>
      <c r="F1980" s="16"/>
      <c r="G1980" s="16"/>
      <c r="H1980" s="54"/>
      <c r="I1980" s="16"/>
      <c r="J1980" s="54"/>
      <c r="K1980" s="42"/>
      <c r="L1980" s="16"/>
      <c r="M1980" s="16"/>
      <c r="AA1980" s="14">
        <f t="shared" si="62"/>
        <v>0</v>
      </c>
      <c r="AB1980" s="47">
        <f t="shared" si="63"/>
        <v>-1</v>
      </c>
      <c r="AD1980" s="53"/>
      <c r="AE1980" s="53"/>
      <c r="AF1980" s="53"/>
      <c r="AG1980" s="53"/>
    </row>
    <row r="1981" spans="1:33" s="46" customFormat="1">
      <c r="A1981" s="54"/>
      <c r="B1981" s="16"/>
      <c r="C1981" s="55"/>
      <c r="D1981" s="56"/>
      <c r="E1981" s="16"/>
      <c r="F1981" s="16"/>
      <c r="G1981" s="16"/>
      <c r="H1981" s="54"/>
      <c r="I1981" s="16"/>
      <c r="J1981" s="54"/>
      <c r="K1981" s="42"/>
      <c r="L1981" s="16"/>
      <c r="M1981" s="16"/>
      <c r="AA1981" s="14">
        <f t="shared" si="62"/>
        <v>0</v>
      </c>
      <c r="AB1981" s="47">
        <f t="shared" si="63"/>
        <v>-1</v>
      </c>
      <c r="AD1981" s="53"/>
      <c r="AE1981" s="53"/>
      <c r="AF1981" s="53"/>
      <c r="AG1981" s="53"/>
    </row>
    <row r="1982" spans="1:33" s="46" customFormat="1">
      <c r="A1982" s="54"/>
      <c r="B1982" s="16"/>
      <c r="C1982" s="55"/>
      <c r="D1982" s="56"/>
      <c r="E1982" s="16"/>
      <c r="F1982" s="16"/>
      <c r="G1982" s="16"/>
      <c r="H1982" s="54"/>
      <c r="I1982" s="16"/>
      <c r="J1982" s="54"/>
      <c r="K1982" s="42"/>
      <c r="L1982" s="16"/>
      <c r="M1982" s="16"/>
      <c r="AA1982" s="14">
        <f t="shared" si="62"/>
        <v>0</v>
      </c>
      <c r="AB1982" s="47">
        <f t="shared" si="63"/>
        <v>-1</v>
      </c>
      <c r="AD1982" s="53"/>
      <c r="AE1982" s="53"/>
      <c r="AF1982" s="53"/>
      <c r="AG1982" s="53"/>
    </row>
    <row r="1983" spans="1:33" s="46" customFormat="1">
      <c r="A1983" s="54"/>
      <c r="B1983" s="16"/>
      <c r="C1983" s="55"/>
      <c r="D1983" s="56"/>
      <c r="E1983" s="16"/>
      <c r="F1983" s="16"/>
      <c r="G1983" s="16"/>
      <c r="H1983" s="54"/>
      <c r="I1983" s="16"/>
      <c r="J1983" s="54"/>
      <c r="K1983" s="42"/>
      <c r="L1983" s="16"/>
      <c r="M1983" s="16"/>
      <c r="AA1983" s="14">
        <f t="shared" si="62"/>
        <v>0</v>
      </c>
      <c r="AB1983" s="47">
        <f t="shared" si="63"/>
        <v>-1</v>
      </c>
      <c r="AD1983" s="53"/>
      <c r="AE1983" s="53"/>
      <c r="AF1983" s="53"/>
      <c r="AG1983" s="53"/>
    </row>
    <row r="1984" spans="1:33" s="46" customFormat="1">
      <c r="A1984" s="54"/>
      <c r="B1984" s="16"/>
      <c r="C1984" s="55"/>
      <c r="D1984" s="56"/>
      <c r="E1984" s="16"/>
      <c r="F1984" s="16"/>
      <c r="G1984" s="16"/>
      <c r="H1984" s="54"/>
      <c r="I1984" s="16"/>
      <c r="J1984" s="54"/>
      <c r="K1984" s="42"/>
      <c r="L1984" s="16"/>
      <c r="M1984" s="16"/>
      <c r="AA1984" s="14">
        <f t="shared" si="62"/>
        <v>0</v>
      </c>
      <c r="AB1984" s="47">
        <f t="shared" si="63"/>
        <v>-1</v>
      </c>
      <c r="AD1984" s="53"/>
      <c r="AE1984" s="53"/>
      <c r="AF1984" s="53"/>
      <c r="AG1984" s="53"/>
    </row>
    <row r="1985" spans="1:33" s="46" customFormat="1">
      <c r="A1985" s="54"/>
      <c r="B1985" s="16"/>
      <c r="C1985" s="55"/>
      <c r="D1985" s="56"/>
      <c r="E1985" s="16"/>
      <c r="F1985" s="16"/>
      <c r="G1985" s="16"/>
      <c r="H1985" s="54"/>
      <c r="I1985" s="16"/>
      <c r="J1985" s="54"/>
      <c r="K1985" s="42"/>
      <c r="L1985" s="16"/>
      <c r="M1985" s="16"/>
      <c r="AA1985" s="14">
        <f t="shared" si="62"/>
        <v>0</v>
      </c>
      <c r="AB1985" s="47">
        <f t="shared" si="63"/>
        <v>-1</v>
      </c>
      <c r="AD1985" s="53"/>
      <c r="AE1985" s="53"/>
      <c r="AF1985" s="53"/>
      <c r="AG1985" s="53"/>
    </row>
    <row r="1986" spans="1:33" s="46" customFormat="1">
      <c r="A1986" s="54"/>
      <c r="B1986" s="16"/>
      <c r="C1986" s="55"/>
      <c r="D1986" s="56"/>
      <c r="E1986" s="16"/>
      <c r="F1986" s="16"/>
      <c r="G1986" s="16"/>
      <c r="H1986" s="54"/>
      <c r="I1986" s="16"/>
      <c r="J1986" s="54"/>
      <c r="K1986" s="42"/>
      <c r="L1986" s="16"/>
      <c r="M1986" s="16"/>
      <c r="AA1986" s="14">
        <f t="shared" si="62"/>
        <v>0</v>
      </c>
      <c r="AB1986" s="47">
        <f t="shared" si="63"/>
        <v>-1</v>
      </c>
      <c r="AD1986" s="53"/>
      <c r="AE1986" s="53"/>
      <c r="AF1986" s="53"/>
      <c r="AG1986" s="53"/>
    </row>
    <row r="1987" spans="1:33" s="46" customFormat="1">
      <c r="A1987" s="54"/>
      <c r="B1987" s="16"/>
      <c r="C1987" s="55"/>
      <c r="D1987" s="56"/>
      <c r="E1987" s="16"/>
      <c r="F1987" s="16"/>
      <c r="G1987" s="16"/>
      <c r="H1987" s="54"/>
      <c r="I1987" s="16"/>
      <c r="J1987" s="54"/>
      <c r="K1987" s="42"/>
      <c r="L1987" s="16"/>
      <c r="M1987" s="16"/>
      <c r="AA1987" s="14">
        <f t="shared" si="62"/>
        <v>0</v>
      </c>
      <c r="AB1987" s="47">
        <f t="shared" si="63"/>
        <v>-1</v>
      </c>
      <c r="AD1987" s="53"/>
      <c r="AE1987" s="53"/>
      <c r="AF1987" s="53"/>
      <c r="AG1987" s="53"/>
    </row>
    <row r="1988" spans="1:33" s="46" customFormat="1">
      <c r="A1988" s="54"/>
      <c r="B1988" s="16"/>
      <c r="C1988" s="55"/>
      <c r="D1988" s="56"/>
      <c r="E1988" s="16"/>
      <c r="F1988" s="16"/>
      <c r="G1988" s="16"/>
      <c r="H1988" s="54"/>
      <c r="I1988" s="16"/>
      <c r="J1988" s="54"/>
      <c r="K1988" s="42"/>
      <c r="L1988" s="16"/>
      <c r="M1988" s="16"/>
      <c r="AA1988" s="14">
        <f t="shared" si="62"/>
        <v>0</v>
      </c>
      <c r="AB1988" s="47">
        <f t="shared" si="63"/>
        <v>-1</v>
      </c>
      <c r="AD1988" s="53"/>
      <c r="AE1988" s="53"/>
      <c r="AF1988" s="53"/>
      <c r="AG1988" s="53"/>
    </row>
    <row r="1989" spans="1:33" s="46" customFormat="1">
      <c r="A1989" s="54"/>
      <c r="B1989" s="16"/>
      <c r="C1989" s="55"/>
      <c r="D1989" s="56"/>
      <c r="E1989" s="16"/>
      <c r="F1989" s="16"/>
      <c r="G1989" s="16"/>
      <c r="H1989" s="54"/>
      <c r="I1989" s="16"/>
      <c r="J1989" s="54"/>
      <c r="K1989" s="42"/>
      <c r="L1989" s="16"/>
      <c r="M1989" s="16"/>
      <c r="AA1989" s="14">
        <f t="shared" si="62"/>
        <v>0</v>
      </c>
      <c r="AB1989" s="47">
        <f t="shared" si="63"/>
        <v>-1</v>
      </c>
      <c r="AD1989" s="53"/>
      <c r="AE1989" s="53"/>
      <c r="AF1989" s="53"/>
      <c r="AG1989" s="53"/>
    </row>
    <row r="1990" spans="1:33" s="46" customFormat="1">
      <c r="A1990" s="54"/>
      <c r="B1990" s="16"/>
      <c r="C1990" s="55"/>
      <c r="D1990" s="56"/>
      <c r="E1990" s="16"/>
      <c r="F1990" s="16"/>
      <c r="G1990" s="16"/>
      <c r="H1990" s="54"/>
      <c r="I1990" s="16"/>
      <c r="J1990" s="54"/>
      <c r="K1990" s="42"/>
      <c r="L1990" s="16"/>
      <c r="M1990" s="16"/>
      <c r="AA1990" s="14">
        <f t="shared" si="62"/>
        <v>0</v>
      </c>
      <c r="AB1990" s="47">
        <f t="shared" si="63"/>
        <v>-1</v>
      </c>
      <c r="AD1990" s="53"/>
      <c r="AE1990" s="53"/>
      <c r="AF1990" s="53"/>
      <c r="AG1990" s="53"/>
    </row>
    <row r="1991" spans="1:33" s="46" customFormat="1">
      <c r="A1991" s="54"/>
      <c r="B1991" s="16"/>
      <c r="C1991" s="55"/>
      <c r="D1991" s="56"/>
      <c r="E1991" s="16"/>
      <c r="F1991" s="16"/>
      <c r="G1991" s="16"/>
      <c r="H1991" s="54"/>
      <c r="I1991" s="16"/>
      <c r="J1991" s="54"/>
      <c r="K1991" s="42"/>
      <c r="L1991" s="16"/>
      <c r="M1991" s="16"/>
      <c r="AA1991" s="14">
        <f t="shared" si="62"/>
        <v>0</v>
      </c>
      <c r="AB1991" s="47">
        <f t="shared" si="63"/>
        <v>-1</v>
      </c>
      <c r="AD1991" s="53"/>
      <c r="AE1991" s="53"/>
      <c r="AF1991" s="53"/>
      <c r="AG1991" s="53"/>
    </row>
    <row r="1992" spans="1:33" s="46" customFormat="1">
      <c r="A1992" s="54"/>
      <c r="B1992" s="16"/>
      <c r="C1992" s="55"/>
      <c r="D1992" s="56"/>
      <c r="E1992" s="16"/>
      <c r="F1992" s="16"/>
      <c r="G1992" s="16"/>
      <c r="H1992" s="54"/>
      <c r="I1992" s="16"/>
      <c r="J1992" s="54"/>
      <c r="K1992" s="42"/>
      <c r="L1992" s="16"/>
      <c r="M1992" s="16"/>
      <c r="AA1992" s="14">
        <f t="shared" si="62"/>
        <v>0</v>
      </c>
      <c r="AB1992" s="47">
        <f t="shared" si="63"/>
        <v>-1</v>
      </c>
      <c r="AD1992" s="53"/>
      <c r="AE1992" s="53"/>
      <c r="AF1992" s="53"/>
      <c r="AG1992" s="53"/>
    </row>
    <row r="1993" spans="1:33" s="46" customFormat="1">
      <c r="A1993" s="54"/>
      <c r="B1993" s="16"/>
      <c r="C1993" s="55"/>
      <c r="D1993" s="56"/>
      <c r="E1993" s="16"/>
      <c r="F1993" s="16"/>
      <c r="G1993" s="16"/>
      <c r="H1993" s="54"/>
      <c r="I1993" s="16"/>
      <c r="J1993" s="54"/>
      <c r="K1993" s="42"/>
      <c r="L1993" s="16"/>
      <c r="M1993" s="16"/>
      <c r="AA1993" s="14">
        <f t="shared" si="62"/>
        <v>0</v>
      </c>
      <c r="AB1993" s="47">
        <f t="shared" si="63"/>
        <v>-1</v>
      </c>
      <c r="AD1993" s="53"/>
      <c r="AE1993" s="53"/>
      <c r="AF1993" s="53"/>
      <c r="AG1993" s="53"/>
    </row>
    <row r="1994" spans="1:33" s="46" customFormat="1">
      <c r="A1994" s="54"/>
      <c r="B1994" s="16"/>
      <c r="C1994" s="55"/>
      <c r="D1994" s="56"/>
      <c r="E1994" s="16"/>
      <c r="F1994" s="16"/>
      <c r="G1994" s="16"/>
      <c r="H1994" s="54"/>
      <c r="I1994" s="16"/>
      <c r="J1994" s="54"/>
      <c r="K1994" s="42"/>
      <c r="L1994" s="16"/>
      <c r="M1994" s="16"/>
      <c r="AA1994" s="14">
        <f t="shared" si="62"/>
        <v>0</v>
      </c>
      <c r="AB1994" s="47">
        <f t="shared" si="63"/>
        <v>-1</v>
      </c>
      <c r="AD1994" s="53"/>
      <c r="AE1994" s="53"/>
      <c r="AF1994" s="53"/>
      <c r="AG1994" s="53"/>
    </row>
    <row r="1995" spans="1:33" s="46" customFormat="1">
      <c r="A1995" s="54"/>
      <c r="B1995" s="16"/>
      <c r="C1995" s="55"/>
      <c r="D1995" s="56"/>
      <c r="E1995" s="16"/>
      <c r="F1995" s="16"/>
      <c r="G1995" s="16"/>
      <c r="H1995" s="54"/>
      <c r="I1995" s="16"/>
      <c r="J1995" s="54"/>
      <c r="K1995" s="42"/>
      <c r="L1995" s="16"/>
      <c r="M1995" s="16"/>
      <c r="AA1995" s="14">
        <f t="shared" si="62"/>
        <v>0</v>
      </c>
      <c r="AB1995" s="47">
        <f t="shared" si="63"/>
        <v>-1</v>
      </c>
      <c r="AD1995" s="53"/>
      <c r="AE1995" s="53"/>
      <c r="AF1995" s="53"/>
      <c r="AG1995" s="53"/>
    </row>
    <row r="1996" spans="1:33" s="46" customFormat="1">
      <c r="A1996" s="54"/>
      <c r="B1996" s="16"/>
      <c r="C1996" s="55"/>
      <c r="D1996" s="56"/>
      <c r="E1996" s="16"/>
      <c r="F1996" s="16"/>
      <c r="G1996" s="16"/>
      <c r="H1996" s="54"/>
      <c r="I1996" s="16"/>
      <c r="J1996" s="54"/>
      <c r="K1996" s="42"/>
      <c r="L1996" s="16"/>
      <c r="M1996" s="16"/>
      <c r="AA1996" s="14">
        <f t="shared" si="62"/>
        <v>0</v>
      </c>
      <c r="AB1996" s="47">
        <f t="shared" si="63"/>
        <v>-1</v>
      </c>
      <c r="AD1996" s="53"/>
      <c r="AE1996" s="53"/>
      <c r="AF1996" s="53"/>
      <c r="AG1996" s="53"/>
    </row>
    <row r="1997" spans="1:33" s="46" customFormat="1">
      <c r="A1997" s="54"/>
      <c r="B1997" s="16"/>
      <c r="C1997" s="55"/>
      <c r="D1997" s="56"/>
      <c r="E1997" s="16"/>
      <c r="F1997" s="16"/>
      <c r="G1997" s="16"/>
      <c r="H1997" s="54"/>
      <c r="I1997" s="16"/>
      <c r="J1997" s="54"/>
      <c r="K1997" s="42"/>
      <c r="L1997" s="16"/>
      <c r="M1997" s="16"/>
      <c r="AA1997" s="14">
        <f t="shared" si="62"/>
        <v>0</v>
      </c>
      <c r="AB1997" s="47">
        <f t="shared" si="63"/>
        <v>-1</v>
      </c>
      <c r="AD1997" s="53"/>
      <c r="AE1997" s="53"/>
      <c r="AF1997" s="53"/>
      <c r="AG1997" s="53"/>
    </row>
    <row r="1998" spans="1:33" s="46" customFormat="1">
      <c r="A1998" s="54"/>
      <c r="B1998" s="16"/>
      <c r="C1998" s="55"/>
      <c r="D1998" s="56"/>
      <c r="E1998" s="16"/>
      <c r="F1998" s="16"/>
      <c r="G1998" s="16"/>
      <c r="H1998" s="54"/>
      <c r="I1998" s="16"/>
      <c r="J1998" s="54"/>
      <c r="K1998" s="42"/>
      <c r="L1998" s="16"/>
      <c r="M1998" s="16"/>
      <c r="AA1998" s="14">
        <f t="shared" si="62"/>
        <v>0</v>
      </c>
      <c r="AB1998" s="47">
        <f t="shared" si="63"/>
        <v>-1</v>
      </c>
      <c r="AD1998" s="53"/>
      <c r="AE1998" s="53"/>
      <c r="AF1998" s="53"/>
      <c r="AG1998" s="53"/>
    </row>
    <row r="1999" spans="1:33" s="46" customFormat="1">
      <c r="A1999" s="54"/>
      <c r="B1999" s="16"/>
      <c r="C1999" s="55"/>
      <c r="D1999" s="56"/>
      <c r="E1999" s="16"/>
      <c r="F1999" s="16"/>
      <c r="G1999" s="16"/>
      <c r="H1999" s="54"/>
      <c r="I1999" s="16"/>
      <c r="J1999" s="54"/>
      <c r="K1999" s="42"/>
      <c r="L1999" s="16"/>
      <c r="M1999" s="16"/>
      <c r="AA1999" s="14">
        <f t="shared" si="62"/>
        <v>0</v>
      </c>
      <c r="AB1999" s="47">
        <f t="shared" si="63"/>
        <v>-1</v>
      </c>
      <c r="AD1999" s="53"/>
      <c r="AE1999" s="53"/>
      <c r="AF1999" s="53"/>
      <c r="AG1999" s="53"/>
    </row>
    <row r="2000" spans="1:33" s="46" customFormat="1">
      <c r="A2000" s="54"/>
      <c r="B2000" s="16"/>
      <c r="C2000" s="55"/>
      <c r="D2000" s="56"/>
      <c r="E2000" s="16"/>
      <c r="F2000" s="16"/>
      <c r="G2000" s="16"/>
      <c r="H2000" s="54"/>
      <c r="I2000" s="16"/>
      <c r="J2000" s="54"/>
      <c r="K2000" s="42"/>
      <c r="L2000" s="16"/>
      <c r="M2000" s="16"/>
      <c r="AA2000" s="14">
        <f t="shared" si="62"/>
        <v>0</v>
      </c>
      <c r="AB2000" s="47">
        <f t="shared" si="63"/>
        <v>-1</v>
      </c>
      <c r="AD2000" s="53"/>
      <c r="AE2000" s="53"/>
      <c r="AF2000" s="53"/>
      <c r="AG2000" s="53"/>
    </row>
    <row r="2001" spans="1:33" s="46" customFormat="1">
      <c r="A2001" s="54"/>
      <c r="B2001" s="16"/>
      <c r="C2001" s="55"/>
      <c r="D2001" s="56"/>
      <c r="E2001" s="16"/>
      <c r="F2001" s="16"/>
      <c r="G2001" s="16"/>
      <c r="H2001" s="54"/>
      <c r="I2001" s="16"/>
      <c r="J2001" s="54"/>
      <c r="K2001" s="42"/>
      <c r="L2001" s="16"/>
      <c r="M2001" s="16"/>
      <c r="AA2001" s="14">
        <f t="shared" si="62"/>
        <v>0</v>
      </c>
      <c r="AB2001" s="47">
        <f t="shared" si="63"/>
        <v>-1</v>
      </c>
      <c r="AD2001" s="53"/>
      <c r="AE2001" s="53"/>
      <c r="AF2001" s="53"/>
      <c r="AG2001" s="53"/>
    </row>
    <row r="2002" spans="1:33" s="46" customFormat="1">
      <c r="A2002" s="54"/>
      <c r="B2002" s="16"/>
      <c r="C2002" s="55"/>
      <c r="D2002" s="56"/>
      <c r="E2002" s="16"/>
      <c r="F2002" s="16"/>
      <c r="G2002" s="16"/>
      <c r="H2002" s="54"/>
      <c r="I2002" s="16"/>
      <c r="J2002" s="54"/>
      <c r="K2002" s="42"/>
      <c r="L2002" s="16"/>
      <c r="M2002" s="16"/>
      <c r="AA2002" s="14">
        <f t="shared" si="62"/>
        <v>0</v>
      </c>
      <c r="AB2002" s="47">
        <f t="shared" si="63"/>
        <v>-1</v>
      </c>
      <c r="AD2002" s="53"/>
      <c r="AE2002" s="53"/>
      <c r="AF2002" s="53"/>
      <c r="AG2002" s="53"/>
    </row>
    <row r="2003" spans="1:33" s="46" customFormat="1">
      <c r="A2003" s="54"/>
      <c r="B2003" s="16"/>
      <c r="C2003" s="55"/>
      <c r="D2003" s="56"/>
      <c r="E2003" s="16"/>
      <c r="F2003" s="16"/>
      <c r="G2003" s="16"/>
      <c r="H2003" s="54"/>
      <c r="I2003" s="16"/>
      <c r="J2003" s="54"/>
      <c r="K2003" s="42"/>
      <c r="L2003" s="16"/>
      <c r="M2003" s="16"/>
      <c r="AA2003" s="14">
        <f t="shared" si="62"/>
        <v>0</v>
      </c>
      <c r="AB2003" s="47">
        <f t="shared" si="63"/>
        <v>-1</v>
      </c>
      <c r="AD2003" s="53"/>
      <c r="AE2003" s="53"/>
      <c r="AF2003" s="53"/>
      <c r="AG2003" s="53"/>
    </row>
    <row r="2004" spans="1:33" s="46" customFormat="1">
      <c r="A2004" s="54"/>
      <c r="B2004" s="16"/>
      <c r="C2004" s="55"/>
      <c r="D2004" s="56"/>
      <c r="E2004" s="16"/>
      <c r="F2004" s="16"/>
      <c r="G2004" s="16"/>
      <c r="H2004" s="54"/>
      <c r="I2004" s="16"/>
      <c r="J2004" s="54"/>
      <c r="K2004" s="42"/>
      <c r="L2004" s="16"/>
      <c r="M2004" s="16"/>
      <c r="AA2004" s="14">
        <f t="shared" si="62"/>
        <v>0</v>
      </c>
      <c r="AB2004" s="47">
        <f t="shared" si="63"/>
        <v>-1</v>
      </c>
      <c r="AD2004" s="53"/>
      <c r="AE2004" s="53"/>
      <c r="AF2004" s="53"/>
      <c r="AG2004" s="53"/>
    </row>
    <row r="2005" spans="1:33" s="46" customFormat="1">
      <c r="A2005" s="54"/>
      <c r="B2005" s="16"/>
      <c r="C2005" s="55"/>
      <c r="D2005" s="56"/>
      <c r="E2005" s="16"/>
      <c r="F2005" s="16"/>
      <c r="G2005" s="16"/>
      <c r="H2005" s="54"/>
      <c r="I2005" s="16"/>
      <c r="J2005" s="54"/>
      <c r="K2005" s="42"/>
      <c r="L2005" s="16"/>
      <c r="M2005" s="16"/>
      <c r="AA2005" s="14">
        <f t="shared" si="62"/>
        <v>0</v>
      </c>
      <c r="AB2005" s="47">
        <f t="shared" si="63"/>
        <v>-1</v>
      </c>
      <c r="AD2005" s="53"/>
      <c r="AE2005" s="53"/>
      <c r="AF2005" s="53"/>
      <c r="AG2005" s="53"/>
    </row>
    <row r="2006" spans="1:33" s="46" customFormat="1">
      <c r="A2006" s="54"/>
      <c r="B2006" s="16"/>
      <c r="C2006" s="55"/>
      <c r="D2006" s="56"/>
      <c r="E2006" s="16"/>
      <c r="F2006" s="16"/>
      <c r="G2006" s="16"/>
      <c r="H2006" s="54"/>
      <c r="I2006" s="16"/>
      <c r="J2006" s="54"/>
      <c r="K2006" s="42"/>
      <c r="L2006" s="16"/>
      <c r="M2006" s="16"/>
      <c r="AA2006" s="14">
        <f t="shared" si="62"/>
        <v>0</v>
      </c>
      <c r="AB2006" s="47">
        <f t="shared" si="63"/>
        <v>-1</v>
      </c>
      <c r="AD2006" s="53"/>
      <c r="AE2006" s="53"/>
      <c r="AF2006" s="53"/>
      <c r="AG2006" s="53"/>
    </row>
    <row r="2007" spans="1:33" s="46" customFormat="1">
      <c r="A2007" s="54"/>
      <c r="B2007" s="16"/>
      <c r="C2007" s="55"/>
      <c r="D2007" s="56"/>
      <c r="E2007" s="16"/>
      <c r="F2007" s="16"/>
      <c r="G2007" s="16"/>
      <c r="H2007" s="54"/>
      <c r="I2007" s="16"/>
      <c r="J2007" s="54"/>
      <c r="K2007" s="42"/>
      <c r="L2007" s="16"/>
      <c r="M2007" s="16"/>
      <c r="AA2007" s="14">
        <f t="shared" si="62"/>
        <v>0</v>
      </c>
      <c r="AB2007" s="47">
        <f t="shared" si="63"/>
        <v>-1</v>
      </c>
      <c r="AD2007" s="53"/>
      <c r="AE2007" s="53"/>
      <c r="AF2007" s="53"/>
      <c r="AG2007" s="53"/>
    </row>
    <row r="2008" spans="1:33" s="46" customFormat="1">
      <c r="A2008" s="54"/>
      <c r="B2008" s="16"/>
      <c r="C2008" s="55"/>
      <c r="D2008" s="56"/>
      <c r="E2008" s="16"/>
      <c r="F2008" s="16"/>
      <c r="G2008" s="16"/>
      <c r="H2008" s="54"/>
      <c r="I2008" s="16"/>
      <c r="J2008" s="54"/>
      <c r="K2008" s="42"/>
      <c r="L2008" s="16"/>
      <c r="M2008" s="16"/>
      <c r="AA2008" s="14">
        <f t="shared" si="62"/>
        <v>0</v>
      </c>
      <c r="AB2008" s="47">
        <f t="shared" si="63"/>
        <v>-1</v>
      </c>
      <c r="AD2008" s="53"/>
      <c r="AE2008" s="53"/>
      <c r="AF2008" s="53"/>
      <c r="AG2008" s="53"/>
    </row>
    <row r="2009" spans="1:33" s="46" customFormat="1">
      <c r="A2009" s="54"/>
      <c r="B2009" s="16"/>
      <c r="C2009" s="55"/>
      <c r="D2009" s="56"/>
      <c r="E2009" s="16"/>
      <c r="F2009" s="16"/>
      <c r="G2009" s="16"/>
      <c r="H2009" s="54"/>
      <c r="I2009" s="16"/>
      <c r="J2009" s="54"/>
      <c r="K2009" s="42"/>
      <c r="L2009" s="16"/>
      <c r="M2009" s="16"/>
      <c r="AA2009" s="14">
        <f t="shared" si="62"/>
        <v>0</v>
      </c>
      <c r="AB2009" s="47">
        <f t="shared" si="63"/>
        <v>-1</v>
      </c>
      <c r="AD2009" s="53"/>
      <c r="AE2009" s="53"/>
      <c r="AF2009" s="53"/>
      <c r="AG2009" s="53"/>
    </row>
    <row r="2010" spans="1:33" s="46" customFormat="1">
      <c r="A2010" s="54"/>
      <c r="B2010" s="16"/>
      <c r="C2010" s="55"/>
      <c r="D2010" s="56"/>
      <c r="E2010" s="16"/>
      <c r="F2010" s="16"/>
      <c r="G2010" s="16"/>
      <c r="H2010" s="54"/>
      <c r="I2010" s="16"/>
      <c r="J2010" s="54"/>
      <c r="K2010" s="42"/>
      <c r="L2010" s="16"/>
      <c r="M2010" s="16"/>
      <c r="AA2010" s="14">
        <f t="shared" si="62"/>
        <v>0</v>
      </c>
      <c r="AB2010" s="47">
        <f t="shared" si="63"/>
        <v>-1</v>
      </c>
      <c r="AD2010" s="53"/>
      <c r="AE2010" s="53"/>
      <c r="AF2010" s="53"/>
      <c r="AG2010" s="53"/>
    </row>
    <row r="2011" spans="1:33" s="46" customFormat="1">
      <c r="A2011" s="54"/>
      <c r="B2011" s="16"/>
      <c r="C2011" s="55"/>
      <c r="D2011" s="56"/>
      <c r="E2011" s="16"/>
      <c r="F2011" s="16"/>
      <c r="G2011" s="16"/>
      <c r="H2011" s="54"/>
      <c r="I2011" s="16"/>
      <c r="J2011" s="54"/>
      <c r="K2011" s="42"/>
      <c r="L2011" s="16"/>
      <c r="M2011" s="16"/>
      <c r="AA2011" s="14">
        <f t="shared" si="62"/>
        <v>0</v>
      </c>
      <c r="AB2011" s="47">
        <f t="shared" si="63"/>
        <v>-1</v>
      </c>
      <c r="AD2011" s="53"/>
      <c r="AE2011" s="53"/>
      <c r="AF2011" s="53"/>
      <c r="AG2011" s="53"/>
    </row>
    <row r="2012" spans="1:33" s="46" customFormat="1">
      <c r="A2012" s="54"/>
      <c r="B2012" s="16"/>
      <c r="C2012" s="55"/>
      <c r="D2012" s="56"/>
      <c r="E2012" s="16"/>
      <c r="F2012" s="16"/>
      <c r="G2012" s="16"/>
      <c r="H2012" s="54"/>
      <c r="I2012" s="16"/>
      <c r="J2012" s="54"/>
      <c r="K2012" s="42"/>
      <c r="L2012" s="16"/>
      <c r="M2012" s="16"/>
      <c r="AA2012" s="14">
        <f t="shared" si="62"/>
        <v>0</v>
      </c>
      <c r="AB2012" s="47">
        <f t="shared" si="63"/>
        <v>-1</v>
      </c>
      <c r="AD2012" s="53"/>
      <c r="AE2012" s="53"/>
      <c r="AF2012" s="53"/>
      <c r="AG2012" s="53"/>
    </row>
    <row r="2013" spans="1:33" s="46" customFormat="1">
      <c r="A2013" s="54"/>
      <c r="B2013" s="16"/>
      <c r="C2013" s="55"/>
      <c r="D2013" s="56"/>
      <c r="E2013" s="16"/>
      <c r="F2013" s="16"/>
      <c r="G2013" s="16"/>
      <c r="H2013" s="54"/>
      <c r="I2013" s="16"/>
      <c r="J2013" s="54"/>
      <c r="K2013" s="42"/>
      <c r="L2013" s="16"/>
      <c r="M2013" s="16"/>
      <c r="AA2013" s="14">
        <f t="shared" si="62"/>
        <v>0</v>
      </c>
      <c r="AB2013" s="47">
        <f t="shared" si="63"/>
        <v>-1</v>
      </c>
      <c r="AD2013" s="53"/>
      <c r="AE2013" s="53"/>
      <c r="AF2013" s="53"/>
      <c r="AG2013" s="53"/>
    </row>
    <row r="2014" spans="1:33" s="46" customFormat="1">
      <c r="A2014" s="54"/>
      <c r="B2014" s="16"/>
      <c r="C2014" s="55"/>
      <c r="D2014" s="56"/>
      <c r="E2014" s="16"/>
      <c r="F2014" s="16"/>
      <c r="G2014" s="16"/>
      <c r="H2014" s="54"/>
      <c r="I2014" s="16"/>
      <c r="J2014" s="54"/>
      <c r="K2014" s="42"/>
      <c r="L2014" s="16"/>
      <c r="M2014" s="16"/>
      <c r="AA2014" s="14">
        <f t="shared" si="62"/>
        <v>0</v>
      </c>
      <c r="AB2014" s="47">
        <f t="shared" si="63"/>
        <v>-1</v>
      </c>
      <c r="AD2014" s="53"/>
      <c r="AE2014" s="53"/>
      <c r="AF2014" s="53"/>
      <c r="AG2014" s="53"/>
    </row>
    <row r="2015" spans="1:33" s="46" customFormat="1">
      <c r="A2015" s="54"/>
      <c r="B2015" s="16"/>
      <c r="C2015" s="55"/>
      <c r="D2015" s="56"/>
      <c r="E2015" s="16"/>
      <c r="F2015" s="16"/>
      <c r="G2015" s="16"/>
      <c r="H2015" s="54"/>
      <c r="I2015" s="16"/>
      <c r="J2015" s="54"/>
      <c r="K2015" s="42"/>
      <c r="L2015" s="16"/>
      <c r="M2015" s="16"/>
      <c r="AA2015" s="14">
        <f t="shared" si="62"/>
        <v>0</v>
      </c>
      <c r="AB2015" s="47">
        <f t="shared" si="63"/>
        <v>-1</v>
      </c>
      <c r="AD2015" s="53"/>
      <c r="AE2015" s="53"/>
      <c r="AF2015" s="53"/>
      <c r="AG2015" s="53"/>
    </row>
    <row r="2016" spans="1:33" s="46" customFormat="1">
      <c r="A2016" s="54"/>
      <c r="B2016" s="16"/>
      <c r="C2016" s="55"/>
      <c r="D2016" s="56"/>
      <c r="E2016" s="16"/>
      <c r="F2016" s="16"/>
      <c r="G2016" s="16"/>
      <c r="H2016" s="54"/>
      <c r="I2016" s="16"/>
      <c r="J2016" s="54"/>
      <c r="K2016" s="42"/>
      <c r="L2016" s="16"/>
      <c r="M2016" s="16"/>
      <c r="AA2016" s="14">
        <f t="shared" si="62"/>
        <v>0</v>
      </c>
      <c r="AB2016" s="47">
        <f t="shared" si="63"/>
        <v>-1</v>
      </c>
      <c r="AD2016" s="53"/>
      <c r="AE2016" s="53"/>
      <c r="AF2016" s="53"/>
      <c r="AG2016" s="53"/>
    </row>
    <row r="2017" spans="1:33" s="46" customFormat="1">
      <c r="A2017" s="54"/>
      <c r="B2017" s="16"/>
      <c r="C2017" s="55"/>
      <c r="D2017" s="56"/>
      <c r="E2017" s="16"/>
      <c r="F2017" s="16"/>
      <c r="G2017" s="16"/>
      <c r="H2017" s="54"/>
      <c r="I2017" s="16"/>
      <c r="J2017" s="54"/>
      <c r="K2017" s="42"/>
      <c r="L2017" s="16"/>
      <c r="M2017" s="16"/>
      <c r="AA2017" s="14">
        <f t="shared" si="62"/>
        <v>0</v>
      </c>
      <c r="AB2017" s="47">
        <f t="shared" si="63"/>
        <v>-1</v>
      </c>
      <c r="AD2017" s="53"/>
      <c r="AE2017" s="53"/>
      <c r="AF2017" s="53"/>
      <c r="AG2017" s="53"/>
    </row>
    <row r="2018" spans="1:33" s="46" customFormat="1">
      <c r="A2018" s="54"/>
      <c r="B2018" s="16"/>
      <c r="C2018" s="55"/>
      <c r="D2018" s="56"/>
      <c r="E2018" s="16"/>
      <c r="F2018" s="16"/>
      <c r="G2018" s="16"/>
      <c r="H2018" s="54"/>
      <c r="I2018" s="16"/>
      <c r="J2018" s="54"/>
      <c r="K2018" s="42"/>
      <c r="L2018" s="16"/>
      <c r="M2018" s="16"/>
      <c r="AA2018" s="14">
        <f t="shared" si="62"/>
        <v>0</v>
      </c>
      <c r="AB2018" s="47">
        <f t="shared" si="63"/>
        <v>-1</v>
      </c>
      <c r="AD2018" s="53"/>
      <c r="AE2018" s="53"/>
      <c r="AF2018" s="53"/>
      <c r="AG2018" s="53"/>
    </row>
    <row r="2019" spans="1:33" s="46" customFormat="1">
      <c r="A2019" s="54"/>
      <c r="B2019" s="16"/>
      <c r="C2019" s="55"/>
      <c r="D2019" s="56"/>
      <c r="E2019" s="16"/>
      <c r="F2019" s="16"/>
      <c r="G2019" s="16"/>
      <c r="H2019" s="54"/>
      <c r="I2019" s="16"/>
      <c r="J2019" s="54"/>
      <c r="K2019" s="42"/>
      <c r="L2019" s="16"/>
      <c r="M2019" s="16"/>
      <c r="AA2019" s="14">
        <f t="shared" si="62"/>
        <v>0</v>
      </c>
      <c r="AB2019" s="47">
        <f t="shared" si="63"/>
        <v>-1</v>
      </c>
      <c r="AD2019" s="53"/>
      <c r="AE2019" s="53"/>
      <c r="AF2019" s="53"/>
      <c r="AG2019" s="53"/>
    </row>
    <row r="2020" spans="1:33" s="46" customFormat="1">
      <c r="A2020" s="54"/>
      <c r="B2020" s="16"/>
      <c r="C2020" s="55"/>
      <c r="D2020" s="56"/>
      <c r="E2020" s="16"/>
      <c r="F2020" s="16"/>
      <c r="G2020" s="16"/>
      <c r="H2020" s="54"/>
      <c r="I2020" s="16"/>
      <c r="J2020" s="54"/>
      <c r="K2020" s="42"/>
      <c r="L2020" s="16"/>
      <c r="M2020" s="16"/>
      <c r="AA2020" s="14">
        <f t="shared" si="62"/>
        <v>0</v>
      </c>
      <c r="AB2020" s="47">
        <f t="shared" si="63"/>
        <v>-1</v>
      </c>
      <c r="AD2020" s="53"/>
      <c r="AE2020" s="53"/>
      <c r="AF2020" s="53"/>
      <c r="AG2020" s="53"/>
    </row>
    <row r="2021" spans="1:33" s="46" customFormat="1">
      <c r="A2021" s="54"/>
      <c r="B2021" s="16"/>
      <c r="C2021" s="55"/>
      <c r="D2021" s="56"/>
      <c r="E2021" s="16"/>
      <c r="F2021" s="16"/>
      <c r="G2021" s="16"/>
      <c r="H2021" s="54"/>
      <c r="I2021" s="16"/>
      <c r="J2021" s="54"/>
      <c r="K2021" s="42"/>
      <c r="L2021" s="16"/>
      <c r="M2021" s="16"/>
      <c r="AA2021" s="14">
        <f t="shared" si="62"/>
        <v>0</v>
      </c>
      <c r="AB2021" s="47">
        <f t="shared" si="63"/>
        <v>-1</v>
      </c>
      <c r="AD2021" s="53"/>
      <c r="AE2021" s="53"/>
      <c r="AF2021" s="53"/>
      <c r="AG2021" s="53"/>
    </row>
    <row r="2022" spans="1:33" s="46" customFormat="1">
      <c r="A2022" s="54"/>
      <c r="B2022" s="16"/>
      <c r="C2022" s="55"/>
      <c r="D2022" s="56"/>
      <c r="E2022" s="16"/>
      <c r="F2022" s="16"/>
      <c r="G2022" s="16"/>
      <c r="H2022" s="54"/>
      <c r="I2022" s="16"/>
      <c r="J2022" s="54"/>
      <c r="K2022" s="42"/>
      <c r="L2022" s="16"/>
      <c r="M2022" s="16"/>
      <c r="AA2022" s="14">
        <f t="shared" si="62"/>
        <v>0</v>
      </c>
      <c r="AB2022" s="47">
        <f t="shared" si="63"/>
        <v>-1</v>
      </c>
      <c r="AD2022" s="53"/>
      <c r="AE2022" s="53"/>
      <c r="AF2022" s="53"/>
      <c r="AG2022" s="53"/>
    </row>
    <row r="2023" spans="1:33" s="46" customFormat="1">
      <c r="A2023" s="54"/>
      <c r="B2023" s="16"/>
      <c r="C2023" s="55"/>
      <c r="D2023" s="56"/>
      <c r="E2023" s="16"/>
      <c r="F2023" s="16"/>
      <c r="G2023" s="16"/>
      <c r="H2023" s="54"/>
      <c r="I2023" s="16"/>
      <c r="J2023" s="54"/>
      <c r="K2023" s="42"/>
      <c r="L2023" s="16"/>
      <c r="M2023" s="16"/>
      <c r="AA2023" s="14">
        <f t="shared" si="62"/>
        <v>0</v>
      </c>
      <c r="AB2023" s="47">
        <f t="shared" si="63"/>
        <v>-1</v>
      </c>
      <c r="AD2023" s="53"/>
      <c r="AE2023" s="53"/>
      <c r="AF2023" s="53"/>
      <c r="AG2023" s="53"/>
    </row>
    <row r="2024" spans="1:33" s="46" customFormat="1">
      <c r="A2024" s="54"/>
      <c r="B2024" s="16"/>
      <c r="C2024" s="55"/>
      <c r="D2024" s="56"/>
      <c r="E2024" s="16"/>
      <c r="F2024" s="16"/>
      <c r="G2024" s="16"/>
      <c r="H2024" s="54"/>
      <c r="I2024" s="16"/>
      <c r="J2024" s="54"/>
      <c r="K2024" s="42"/>
      <c r="L2024" s="16"/>
      <c r="M2024" s="16"/>
      <c r="AA2024" s="14">
        <f t="shared" ref="AA2024:AA2087" si="64">C2024-C2023</f>
        <v>0</v>
      </c>
      <c r="AB2024" s="47">
        <f t="shared" ref="AB2024:AB2087" si="65">AA2024-1</f>
        <v>-1</v>
      </c>
      <c r="AD2024" s="53"/>
      <c r="AE2024" s="53"/>
      <c r="AF2024" s="53"/>
      <c r="AG2024" s="53"/>
    </row>
    <row r="2025" spans="1:33" s="46" customFormat="1">
      <c r="A2025" s="54"/>
      <c r="B2025" s="16"/>
      <c r="C2025" s="55"/>
      <c r="D2025" s="56"/>
      <c r="E2025" s="16"/>
      <c r="F2025" s="16"/>
      <c r="G2025" s="16"/>
      <c r="H2025" s="54"/>
      <c r="I2025" s="16"/>
      <c r="J2025" s="54"/>
      <c r="K2025" s="42"/>
      <c r="L2025" s="16"/>
      <c r="M2025" s="16"/>
      <c r="AA2025" s="14">
        <f t="shared" si="64"/>
        <v>0</v>
      </c>
      <c r="AB2025" s="47">
        <f t="shared" si="65"/>
        <v>-1</v>
      </c>
      <c r="AD2025" s="53"/>
      <c r="AE2025" s="53"/>
      <c r="AF2025" s="53"/>
      <c r="AG2025" s="53"/>
    </row>
    <row r="2026" spans="1:33" s="46" customFormat="1">
      <c r="A2026" s="54"/>
      <c r="B2026" s="16"/>
      <c r="C2026" s="55"/>
      <c r="D2026" s="56"/>
      <c r="E2026" s="16"/>
      <c r="F2026" s="16"/>
      <c r="G2026" s="16"/>
      <c r="H2026" s="54"/>
      <c r="I2026" s="16"/>
      <c r="J2026" s="54"/>
      <c r="K2026" s="42"/>
      <c r="L2026" s="16"/>
      <c r="M2026" s="16"/>
      <c r="AA2026" s="14">
        <f t="shared" si="64"/>
        <v>0</v>
      </c>
      <c r="AB2026" s="47">
        <f t="shared" si="65"/>
        <v>-1</v>
      </c>
      <c r="AD2026" s="53"/>
      <c r="AE2026" s="53"/>
      <c r="AF2026" s="53"/>
      <c r="AG2026" s="53"/>
    </row>
    <row r="2027" spans="1:33" s="46" customFormat="1">
      <c r="A2027" s="54"/>
      <c r="B2027" s="16"/>
      <c r="C2027" s="55"/>
      <c r="D2027" s="56"/>
      <c r="E2027" s="16"/>
      <c r="F2027" s="16"/>
      <c r="G2027" s="16"/>
      <c r="H2027" s="54"/>
      <c r="I2027" s="16"/>
      <c r="J2027" s="54"/>
      <c r="K2027" s="42"/>
      <c r="L2027" s="16"/>
      <c r="M2027" s="16"/>
      <c r="AA2027" s="14">
        <f t="shared" si="64"/>
        <v>0</v>
      </c>
      <c r="AB2027" s="47">
        <f t="shared" si="65"/>
        <v>-1</v>
      </c>
      <c r="AD2027" s="53"/>
      <c r="AE2027" s="53"/>
      <c r="AF2027" s="53"/>
      <c r="AG2027" s="53"/>
    </row>
    <row r="2028" spans="1:33" s="46" customFormat="1">
      <c r="A2028" s="54"/>
      <c r="B2028" s="16"/>
      <c r="C2028" s="55"/>
      <c r="D2028" s="56"/>
      <c r="E2028" s="16"/>
      <c r="F2028" s="16"/>
      <c r="G2028" s="16"/>
      <c r="H2028" s="54"/>
      <c r="I2028" s="16"/>
      <c r="J2028" s="54"/>
      <c r="K2028" s="42"/>
      <c r="L2028" s="16"/>
      <c r="M2028" s="16"/>
      <c r="AA2028" s="14">
        <f t="shared" si="64"/>
        <v>0</v>
      </c>
      <c r="AB2028" s="47">
        <f t="shared" si="65"/>
        <v>-1</v>
      </c>
      <c r="AD2028" s="53"/>
      <c r="AE2028" s="53"/>
      <c r="AF2028" s="53"/>
      <c r="AG2028" s="53"/>
    </row>
    <row r="2029" spans="1:33" s="46" customFormat="1">
      <c r="A2029" s="54"/>
      <c r="B2029" s="16"/>
      <c r="C2029" s="55"/>
      <c r="D2029" s="56"/>
      <c r="E2029" s="16"/>
      <c r="F2029" s="16"/>
      <c r="G2029" s="16"/>
      <c r="H2029" s="54"/>
      <c r="I2029" s="16"/>
      <c r="J2029" s="54"/>
      <c r="K2029" s="42"/>
      <c r="L2029" s="16"/>
      <c r="M2029" s="16"/>
      <c r="AA2029" s="14">
        <f t="shared" si="64"/>
        <v>0</v>
      </c>
      <c r="AB2029" s="47">
        <f t="shared" si="65"/>
        <v>-1</v>
      </c>
      <c r="AD2029" s="53"/>
      <c r="AE2029" s="53"/>
      <c r="AF2029" s="53"/>
      <c r="AG2029" s="53"/>
    </row>
    <row r="2030" spans="1:33" s="46" customFormat="1">
      <c r="A2030" s="54"/>
      <c r="B2030" s="16"/>
      <c r="C2030" s="55"/>
      <c r="D2030" s="56"/>
      <c r="E2030" s="16"/>
      <c r="F2030" s="16"/>
      <c r="G2030" s="16"/>
      <c r="H2030" s="54"/>
      <c r="I2030" s="16"/>
      <c r="J2030" s="54"/>
      <c r="K2030" s="42"/>
      <c r="L2030" s="16"/>
      <c r="M2030" s="16"/>
      <c r="AA2030" s="14">
        <f t="shared" si="64"/>
        <v>0</v>
      </c>
      <c r="AB2030" s="47">
        <f t="shared" si="65"/>
        <v>-1</v>
      </c>
      <c r="AD2030" s="53"/>
      <c r="AE2030" s="53"/>
      <c r="AF2030" s="53"/>
      <c r="AG2030" s="53"/>
    </row>
    <row r="2031" spans="1:33" s="46" customFormat="1">
      <c r="A2031" s="54"/>
      <c r="B2031" s="16"/>
      <c r="C2031" s="55"/>
      <c r="D2031" s="56"/>
      <c r="E2031" s="16"/>
      <c r="F2031" s="16"/>
      <c r="G2031" s="16"/>
      <c r="H2031" s="54"/>
      <c r="I2031" s="16"/>
      <c r="J2031" s="54"/>
      <c r="K2031" s="42"/>
      <c r="L2031" s="16"/>
      <c r="M2031" s="16"/>
      <c r="AA2031" s="14">
        <f t="shared" si="64"/>
        <v>0</v>
      </c>
      <c r="AB2031" s="47">
        <f t="shared" si="65"/>
        <v>-1</v>
      </c>
      <c r="AD2031" s="53"/>
      <c r="AE2031" s="53"/>
      <c r="AF2031" s="53"/>
      <c r="AG2031" s="53"/>
    </row>
    <row r="2032" spans="1:33" s="46" customFormat="1">
      <c r="A2032" s="54"/>
      <c r="B2032" s="16"/>
      <c r="C2032" s="55"/>
      <c r="D2032" s="56"/>
      <c r="E2032" s="16"/>
      <c r="F2032" s="16"/>
      <c r="G2032" s="16"/>
      <c r="H2032" s="54"/>
      <c r="I2032" s="16"/>
      <c r="J2032" s="54"/>
      <c r="K2032" s="42"/>
      <c r="L2032" s="16"/>
      <c r="M2032" s="16"/>
      <c r="AA2032" s="14">
        <f t="shared" si="64"/>
        <v>0</v>
      </c>
      <c r="AB2032" s="47">
        <f t="shared" si="65"/>
        <v>-1</v>
      </c>
      <c r="AD2032" s="53"/>
      <c r="AE2032" s="53"/>
      <c r="AF2032" s="53"/>
      <c r="AG2032" s="53"/>
    </row>
    <row r="2033" spans="1:33" s="46" customFormat="1">
      <c r="A2033" s="54"/>
      <c r="B2033" s="16"/>
      <c r="C2033" s="55"/>
      <c r="D2033" s="56"/>
      <c r="E2033" s="16"/>
      <c r="F2033" s="16"/>
      <c r="G2033" s="16"/>
      <c r="H2033" s="54"/>
      <c r="I2033" s="16"/>
      <c r="J2033" s="54"/>
      <c r="K2033" s="42"/>
      <c r="L2033" s="16"/>
      <c r="M2033" s="16"/>
      <c r="AA2033" s="14">
        <f t="shared" si="64"/>
        <v>0</v>
      </c>
      <c r="AB2033" s="47">
        <f t="shared" si="65"/>
        <v>-1</v>
      </c>
      <c r="AD2033" s="53"/>
      <c r="AE2033" s="53"/>
      <c r="AF2033" s="53"/>
      <c r="AG2033" s="53"/>
    </row>
    <row r="2034" spans="1:33" s="46" customFormat="1">
      <c r="A2034" s="54"/>
      <c r="B2034" s="16"/>
      <c r="C2034" s="55"/>
      <c r="D2034" s="56"/>
      <c r="E2034" s="16"/>
      <c r="F2034" s="16"/>
      <c r="G2034" s="16"/>
      <c r="H2034" s="54"/>
      <c r="I2034" s="16"/>
      <c r="J2034" s="54"/>
      <c r="K2034" s="42"/>
      <c r="L2034" s="16"/>
      <c r="M2034" s="16"/>
      <c r="AA2034" s="14">
        <f t="shared" si="64"/>
        <v>0</v>
      </c>
      <c r="AB2034" s="47">
        <f t="shared" si="65"/>
        <v>-1</v>
      </c>
      <c r="AD2034" s="53"/>
      <c r="AE2034" s="53"/>
      <c r="AF2034" s="53"/>
      <c r="AG2034" s="53"/>
    </row>
    <row r="2035" spans="1:33" s="46" customFormat="1">
      <c r="A2035" s="54"/>
      <c r="B2035" s="16"/>
      <c r="C2035" s="55"/>
      <c r="D2035" s="56"/>
      <c r="E2035" s="16"/>
      <c r="F2035" s="16"/>
      <c r="G2035" s="16"/>
      <c r="H2035" s="54"/>
      <c r="I2035" s="16"/>
      <c r="J2035" s="54"/>
      <c r="K2035" s="42"/>
      <c r="L2035" s="16"/>
      <c r="M2035" s="16"/>
      <c r="AA2035" s="14">
        <f t="shared" si="64"/>
        <v>0</v>
      </c>
      <c r="AB2035" s="47">
        <f t="shared" si="65"/>
        <v>-1</v>
      </c>
      <c r="AD2035" s="53"/>
      <c r="AE2035" s="53"/>
      <c r="AF2035" s="53"/>
      <c r="AG2035" s="53"/>
    </row>
    <row r="2036" spans="1:33" s="46" customFormat="1">
      <c r="A2036" s="54"/>
      <c r="B2036" s="16"/>
      <c r="C2036" s="55"/>
      <c r="D2036" s="56"/>
      <c r="E2036" s="16"/>
      <c r="F2036" s="16"/>
      <c r="G2036" s="16"/>
      <c r="H2036" s="54"/>
      <c r="I2036" s="16"/>
      <c r="J2036" s="54"/>
      <c r="K2036" s="42"/>
      <c r="L2036" s="16"/>
      <c r="M2036" s="16"/>
      <c r="AA2036" s="14">
        <f t="shared" si="64"/>
        <v>0</v>
      </c>
      <c r="AB2036" s="47">
        <f t="shared" si="65"/>
        <v>-1</v>
      </c>
      <c r="AD2036" s="53"/>
      <c r="AE2036" s="53"/>
      <c r="AF2036" s="53"/>
      <c r="AG2036" s="53"/>
    </row>
    <row r="2037" spans="1:33" s="46" customFormat="1">
      <c r="A2037" s="54"/>
      <c r="B2037" s="16"/>
      <c r="C2037" s="55"/>
      <c r="D2037" s="56"/>
      <c r="E2037" s="16"/>
      <c r="F2037" s="16"/>
      <c r="G2037" s="16"/>
      <c r="H2037" s="54"/>
      <c r="I2037" s="16"/>
      <c r="J2037" s="54"/>
      <c r="K2037" s="42"/>
      <c r="L2037" s="16"/>
      <c r="M2037" s="16"/>
      <c r="AA2037" s="14">
        <f t="shared" si="64"/>
        <v>0</v>
      </c>
      <c r="AB2037" s="47">
        <f t="shared" si="65"/>
        <v>-1</v>
      </c>
      <c r="AD2037" s="53"/>
      <c r="AE2037" s="53"/>
      <c r="AF2037" s="53"/>
      <c r="AG2037" s="53"/>
    </row>
    <row r="2038" spans="1:33" s="46" customFormat="1">
      <c r="A2038" s="54"/>
      <c r="B2038" s="16"/>
      <c r="C2038" s="55"/>
      <c r="D2038" s="56"/>
      <c r="E2038" s="16"/>
      <c r="F2038" s="16"/>
      <c r="G2038" s="16"/>
      <c r="H2038" s="54"/>
      <c r="I2038" s="16"/>
      <c r="J2038" s="54"/>
      <c r="K2038" s="42"/>
      <c r="L2038" s="16"/>
      <c r="M2038" s="16"/>
      <c r="AA2038" s="14">
        <f t="shared" si="64"/>
        <v>0</v>
      </c>
      <c r="AB2038" s="47">
        <f t="shared" si="65"/>
        <v>-1</v>
      </c>
      <c r="AD2038" s="53"/>
      <c r="AE2038" s="53"/>
      <c r="AF2038" s="53"/>
      <c r="AG2038" s="53"/>
    </row>
    <row r="2039" spans="1:33" s="46" customFormat="1">
      <c r="A2039" s="54"/>
      <c r="B2039" s="16"/>
      <c r="C2039" s="55"/>
      <c r="D2039" s="56"/>
      <c r="E2039" s="16"/>
      <c r="F2039" s="16"/>
      <c r="G2039" s="16"/>
      <c r="H2039" s="54"/>
      <c r="I2039" s="16"/>
      <c r="J2039" s="54"/>
      <c r="K2039" s="42"/>
      <c r="L2039" s="16"/>
      <c r="M2039" s="16"/>
      <c r="AA2039" s="14">
        <f t="shared" si="64"/>
        <v>0</v>
      </c>
      <c r="AB2039" s="47">
        <f t="shared" si="65"/>
        <v>-1</v>
      </c>
      <c r="AD2039" s="53"/>
      <c r="AE2039" s="53"/>
      <c r="AF2039" s="53"/>
      <c r="AG2039" s="53"/>
    </row>
    <row r="2040" spans="1:33" s="46" customFormat="1">
      <c r="A2040" s="54"/>
      <c r="B2040" s="16"/>
      <c r="C2040" s="55"/>
      <c r="D2040" s="56"/>
      <c r="E2040" s="16"/>
      <c r="F2040" s="16"/>
      <c r="G2040" s="16"/>
      <c r="H2040" s="54"/>
      <c r="I2040" s="16"/>
      <c r="J2040" s="54"/>
      <c r="K2040" s="42"/>
      <c r="L2040" s="16"/>
      <c r="M2040" s="16"/>
      <c r="AA2040" s="14">
        <f t="shared" si="64"/>
        <v>0</v>
      </c>
      <c r="AB2040" s="47">
        <f t="shared" si="65"/>
        <v>-1</v>
      </c>
      <c r="AD2040" s="53"/>
      <c r="AE2040" s="53"/>
      <c r="AF2040" s="53"/>
      <c r="AG2040" s="53"/>
    </row>
    <row r="2041" spans="1:33" s="46" customFormat="1">
      <c r="A2041" s="54"/>
      <c r="B2041" s="16"/>
      <c r="C2041" s="55"/>
      <c r="D2041" s="56"/>
      <c r="E2041" s="16"/>
      <c r="F2041" s="16"/>
      <c r="G2041" s="16"/>
      <c r="H2041" s="54"/>
      <c r="I2041" s="16"/>
      <c r="J2041" s="54"/>
      <c r="K2041" s="42"/>
      <c r="L2041" s="16"/>
      <c r="M2041" s="16"/>
      <c r="AA2041" s="14">
        <f t="shared" si="64"/>
        <v>0</v>
      </c>
      <c r="AB2041" s="47">
        <f t="shared" si="65"/>
        <v>-1</v>
      </c>
      <c r="AD2041" s="53"/>
      <c r="AE2041" s="53"/>
      <c r="AF2041" s="53"/>
      <c r="AG2041" s="53"/>
    </row>
    <row r="2042" spans="1:33" s="46" customFormat="1">
      <c r="A2042" s="54"/>
      <c r="B2042" s="16"/>
      <c r="C2042" s="55"/>
      <c r="D2042" s="56"/>
      <c r="E2042" s="16"/>
      <c r="F2042" s="16"/>
      <c r="G2042" s="16"/>
      <c r="H2042" s="54"/>
      <c r="I2042" s="16"/>
      <c r="J2042" s="54"/>
      <c r="K2042" s="42"/>
      <c r="L2042" s="16"/>
      <c r="M2042" s="16"/>
      <c r="AA2042" s="14">
        <f t="shared" si="64"/>
        <v>0</v>
      </c>
      <c r="AB2042" s="47">
        <f t="shared" si="65"/>
        <v>-1</v>
      </c>
      <c r="AD2042" s="53"/>
      <c r="AE2042" s="53"/>
      <c r="AF2042" s="53"/>
      <c r="AG2042" s="53"/>
    </row>
    <row r="2043" spans="1:33" s="46" customFormat="1">
      <c r="A2043" s="54"/>
      <c r="B2043" s="16"/>
      <c r="C2043" s="55"/>
      <c r="D2043" s="56"/>
      <c r="E2043" s="16"/>
      <c r="F2043" s="16"/>
      <c r="G2043" s="16"/>
      <c r="H2043" s="54"/>
      <c r="I2043" s="16"/>
      <c r="J2043" s="54"/>
      <c r="K2043" s="42"/>
      <c r="L2043" s="16"/>
      <c r="M2043" s="16"/>
      <c r="AA2043" s="14">
        <f t="shared" si="64"/>
        <v>0</v>
      </c>
      <c r="AB2043" s="47">
        <f t="shared" si="65"/>
        <v>-1</v>
      </c>
      <c r="AD2043" s="53"/>
      <c r="AE2043" s="53"/>
      <c r="AF2043" s="53"/>
      <c r="AG2043" s="53"/>
    </row>
    <row r="2044" spans="1:33" s="46" customFormat="1">
      <c r="A2044" s="54"/>
      <c r="B2044" s="16"/>
      <c r="C2044" s="55"/>
      <c r="D2044" s="56"/>
      <c r="E2044" s="16"/>
      <c r="F2044" s="16"/>
      <c r="G2044" s="16"/>
      <c r="H2044" s="54"/>
      <c r="I2044" s="16"/>
      <c r="J2044" s="54"/>
      <c r="K2044" s="42"/>
      <c r="L2044" s="16"/>
      <c r="M2044" s="16"/>
      <c r="AA2044" s="14">
        <f t="shared" si="64"/>
        <v>0</v>
      </c>
      <c r="AB2044" s="47">
        <f t="shared" si="65"/>
        <v>-1</v>
      </c>
      <c r="AD2044" s="53"/>
      <c r="AE2044" s="53"/>
      <c r="AF2044" s="53"/>
      <c r="AG2044" s="53"/>
    </row>
    <row r="2045" spans="1:33" s="46" customFormat="1">
      <c r="A2045" s="54"/>
      <c r="B2045" s="16"/>
      <c r="C2045" s="55"/>
      <c r="D2045" s="56"/>
      <c r="E2045" s="16"/>
      <c r="F2045" s="16"/>
      <c r="G2045" s="16"/>
      <c r="H2045" s="54"/>
      <c r="I2045" s="16"/>
      <c r="J2045" s="54"/>
      <c r="K2045" s="42"/>
      <c r="L2045" s="16"/>
      <c r="M2045" s="16"/>
      <c r="AA2045" s="14">
        <f t="shared" si="64"/>
        <v>0</v>
      </c>
      <c r="AB2045" s="47">
        <f t="shared" si="65"/>
        <v>-1</v>
      </c>
      <c r="AD2045" s="53"/>
      <c r="AE2045" s="53"/>
      <c r="AF2045" s="53"/>
      <c r="AG2045" s="53"/>
    </row>
    <row r="2046" spans="1:33" s="46" customFormat="1">
      <c r="A2046" s="54"/>
      <c r="B2046" s="16"/>
      <c r="C2046" s="55"/>
      <c r="D2046" s="56"/>
      <c r="E2046" s="16"/>
      <c r="F2046" s="16"/>
      <c r="G2046" s="16"/>
      <c r="H2046" s="54"/>
      <c r="I2046" s="16"/>
      <c r="J2046" s="54"/>
      <c r="K2046" s="42"/>
      <c r="L2046" s="16"/>
      <c r="M2046" s="16"/>
      <c r="AA2046" s="14">
        <f t="shared" si="64"/>
        <v>0</v>
      </c>
      <c r="AB2046" s="47">
        <f t="shared" si="65"/>
        <v>-1</v>
      </c>
      <c r="AD2046" s="53"/>
      <c r="AE2046" s="53"/>
      <c r="AF2046" s="53"/>
      <c r="AG2046" s="53"/>
    </row>
    <row r="2047" spans="1:33" s="46" customFormat="1">
      <c r="A2047" s="54"/>
      <c r="B2047" s="16"/>
      <c r="C2047" s="55"/>
      <c r="D2047" s="56"/>
      <c r="E2047" s="16"/>
      <c r="F2047" s="16"/>
      <c r="G2047" s="16"/>
      <c r="H2047" s="54"/>
      <c r="I2047" s="16"/>
      <c r="J2047" s="54"/>
      <c r="K2047" s="42"/>
      <c r="L2047" s="16"/>
      <c r="M2047" s="16"/>
      <c r="AA2047" s="14">
        <f t="shared" si="64"/>
        <v>0</v>
      </c>
      <c r="AB2047" s="47">
        <f t="shared" si="65"/>
        <v>-1</v>
      </c>
      <c r="AD2047" s="53"/>
      <c r="AE2047" s="53"/>
      <c r="AF2047" s="53"/>
      <c r="AG2047" s="53"/>
    </row>
    <row r="2048" spans="1:33" s="46" customFormat="1">
      <c r="A2048" s="54"/>
      <c r="B2048" s="16"/>
      <c r="C2048" s="55"/>
      <c r="D2048" s="56"/>
      <c r="E2048" s="16"/>
      <c r="F2048" s="16"/>
      <c r="G2048" s="16"/>
      <c r="H2048" s="54"/>
      <c r="I2048" s="16"/>
      <c r="J2048" s="54"/>
      <c r="K2048" s="42"/>
      <c r="L2048" s="16"/>
      <c r="M2048" s="16"/>
      <c r="AA2048" s="14">
        <f t="shared" si="64"/>
        <v>0</v>
      </c>
      <c r="AB2048" s="47">
        <f t="shared" si="65"/>
        <v>-1</v>
      </c>
      <c r="AD2048" s="53"/>
      <c r="AE2048" s="53"/>
      <c r="AF2048" s="53"/>
      <c r="AG2048" s="53"/>
    </row>
    <row r="2049" spans="1:33" s="46" customFormat="1">
      <c r="A2049" s="54"/>
      <c r="B2049" s="16"/>
      <c r="C2049" s="55"/>
      <c r="D2049" s="56"/>
      <c r="E2049" s="16"/>
      <c r="F2049" s="16"/>
      <c r="G2049" s="16"/>
      <c r="H2049" s="54"/>
      <c r="I2049" s="16"/>
      <c r="J2049" s="54"/>
      <c r="K2049" s="42"/>
      <c r="L2049" s="16"/>
      <c r="M2049" s="16"/>
      <c r="AA2049" s="14">
        <f t="shared" si="64"/>
        <v>0</v>
      </c>
      <c r="AB2049" s="47">
        <f t="shared" si="65"/>
        <v>-1</v>
      </c>
      <c r="AD2049" s="53"/>
      <c r="AE2049" s="53"/>
      <c r="AF2049" s="53"/>
      <c r="AG2049" s="53"/>
    </row>
    <row r="2050" spans="1:33" s="46" customFormat="1">
      <c r="A2050" s="54"/>
      <c r="B2050" s="16"/>
      <c r="C2050" s="55"/>
      <c r="D2050" s="56"/>
      <c r="E2050" s="16"/>
      <c r="F2050" s="16"/>
      <c r="G2050" s="16"/>
      <c r="H2050" s="54"/>
      <c r="I2050" s="16"/>
      <c r="J2050" s="54"/>
      <c r="K2050" s="42"/>
      <c r="L2050" s="16"/>
      <c r="M2050" s="16"/>
      <c r="AA2050" s="14">
        <f t="shared" si="64"/>
        <v>0</v>
      </c>
      <c r="AB2050" s="47">
        <f t="shared" si="65"/>
        <v>-1</v>
      </c>
      <c r="AD2050" s="53"/>
      <c r="AE2050" s="53"/>
      <c r="AF2050" s="53"/>
      <c r="AG2050" s="53"/>
    </row>
    <row r="2051" spans="1:33" s="46" customFormat="1">
      <c r="A2051" s="54"/>
      <c r="B2051" s="16"/>
      <c r="C2051" s="55"/>
      <c r="D2051" s="56"/>
      <c r="E2051" s="16"/>
      <c r="F2051" s="16"/>
      <c r="G2051" s="16"/>
      <c r="H2051" s="54"/>
      <c r="I2051" s="16"/>
      <c r="J2051" s="54"/>
      <c r="K2051" s="42"/>
      <c r="L2051" s="16"/>
      <c r="M2051" s="16"/>
      <c r="AA2051" s="14">
        <f t="shared" si="64"/>
        <v>0</v>
      </c>
      <c r="AB2051" s="47">
        <f t="shared" si="65"/>
        <v>-1</v>
      </c>
      <c r="AD2051" s="53"/>
      <c r="AE2051" s="53"/>
      <c r="AF2051" s="53"/>
      <c r="AG2051" s="53"/>
    </row>
    <row r="2052" spans="1:33" s="46" customFormat="1">
      <c r="A2052" s="54"/>
      <c r="B2052" s="16"/>
      <c r="C2052" s="55"/>
      <c r="D2052" s="56"/>
      <c r="E2052" s="16"/>
      <c r="F2052" s="16"/>
      <c r="G2052" s="16"/>
      <c r="H2052" s="54"/>
      <c r="I2052" s="16"/>
      <c r="J2052" s="54"/>
      <c r="K2052" s="42"/>
      <c r="L2052" s="16"/>
      <c r="M2052" s="16"/>
      <c r="AA2052" s="14">
        <f t="shared" si="64"/>
        <v>0</v>
      </c>
      <c r="AB2052" s="47">
        <f t="shared" si="65"/>
        <v>-1</v>
      </c>
      <c r="AD2052" s="53"/>
      <c r="AE2052" s="53"/>
      <c r="AF2052" s="53"/>
      <c r="AG2052" s="53"/>
    </row>
    <row r="2053" spans="1:33" s="46" customFormat="1">
      <c r="A2053" s="54"/>
      <c r="B2053" s="16"/>
      <c r="C2053" s="55"/>
      <c r="D2053" s="56"/>
      <c r="E2053" s="16"/>
      <c r="F2053" s="16"/>
      <c r="G2053" s="16"/>
      <c r="H2053" s="54"/>
      <c r="I2053" s="16"/>
      <c r="J2053" s="54"/>
      <c r="K2053" s="42"/>
      <c r="L2053" s="16"/>
      <c r="M2053" s="16"/>
      <c r="AA2053" s="14">
        <f t="shared" si="64"/>
        <v>0</v>
      </c>
      <c r="AB2053" s="47">
        <f t="shared" si="65"/>
        <v>-1</v>
      </c>
      <c r="AD2053" s="53"/>
      <c r="AE2053" s="53"/>
      <c r="AF2053" s="53"/>
      <c r="AG2053" s="53"/>
    </row>
    <row r="2054" spans="1:33" s="46" customFormat="1">
      <c r="A2054" s="54"/>
      <c r="B2054" s="16"/>
      <c r="C2054" s="55"/>
      <c r="D2054" s="56"/>
      <c r="E2054" s="16"/>
      <c r="F2054" s="16"/>
      <c r="G2054" s="16"/>
      <c r="H2054" s="54"/>
      <c r="I2054" s="16"/>
      <c r="J2054" s="54"/>
      <c r="K2054" s="42"/>
      <c r="L2054" s="16"/>
      <c r="M2054" s="16"/>
      <c r="AA2054" s="14">
        <f t="shared" si="64"/>
        <v>0</v>
      </c>
      <c r="AB2054" s="47">
        <f t="shared" si="65"/>
        <v>-1</v>
      </c>
      <c r="AD2054" s="53"/>
      <c r="AE2054" s="53"/>
      <c r="AF2054" s="53"/>
      <c r="AG2054" s="53"/>
    </row>
    <row r="2055" spans="1:33" s="46" customFormat="1">
      <c r="A2055" s="54"/>
      <c r="B2055" s="16"/>
      <c r="C2055" s="55"/>
      <c r="D2055" s="56"/>
      <c r="E2055" s="16"/>
      <c r="F2055" s="16"/>
      <c r="G2055" s="16"/>
      <c r="H2055" s="54"/>
      <c r="I2055" s="16"/>
      <c r="J2055" s="54"/>
      <c r="K2055" s="42"/>
      <c r="L2055" s="16"/>
      <c r="M2055" s="16"/>
      <c r="AA2055" s="14">
        <f t="shared" si="64"/>
        <v>0</v>
      </c>
      <c r="AB2055" s="47">
        <f t="shared" si="65"/>
        <v>-1</v>
      </c>
      <c r="AD2055" s="53"/>
      <c r="AE2055" s="53"/>
      <c r="AF2055" s="53"/>
      <c r="AG2055" s="53"/>
    </row>
    <row r="2056" spans="1:33" s="46" customFormat="1">
      <c r="A2056" s="54"/>
      <c r="B2056" s="16"/>
      <c r="C2056" s="55"/>
      <c r="D2056" s="56"/>
      <c r="E2056" s="16"/>
      <c r="F2056" s="16"/>
      <c r="G2056" s="16"/>
      <c r="H2056" s="54"/>
      <c r="I2056" s="16"/>
      <c r="J2056" s="54"/>
      <c r="K2056" s="42"/>
      <c r="L2056" s="16"/>
      <c r="M2056" s="16"/>
      <c r="AA2056" s="14">
        <f t="shared" si="64"/>
        <v>0</v>
      </c>
      <c r="AB2056" s="47">
        <f t="shared" si="65"/>
        <v>-1</v>
      </c>
      <c r="AD2056" s="53"/>
      <c r="AE2056" s="53"/>
      <c r="AF2056" s="53"/>
      <c r="AG2056" s="53"/>
    </row>
    <row r="2057" spans="1:33" s="46" customFormat="1">
      <c r="A2057" s="54"/>
      <c r="B2057" s="16"/>
      <c r="C2057" s="55"/>
      <c r="D2057" s="56"/>
      <c r="E2057" s="16"/>
      <c r="F2057" s="16"/>
      <c r="G2057" s="16"/>
      <c r="H2057" s="54"/>
      <c r="I2057" s="16"/>
      <c r="J2057" s="54"/>
      <c r="K2057" s="42"/>
      <c r="L2057" s="16"/>
      <c r="M2057" s="16"/>
      <c r="AA2057" s="14">
        <f t="shared" si="64"/>
        <v>0</v>
      </c>
      <c r="AB2057" s="47">
        <f t="shared" si="65"/>
        <v>-1</v>
      </c>
      <c r="AD2057" s="53"/>
      <c r="AE2057" s="53"/>
      <c r="AF2057" s="53"/>
      <c r="AG2057" s="53"/>
    </row>
    <row r="2058" spans="1:33" s="46" customFormat="1">
      <c r="A2058" s="54"/>
      <c r="B2058" s="16"/>
      <c r="C2058" s="55"/>
      <c r="D2058" s="56"/>
      <c r="E2058" s="16"/>
      <c r="F2058" s="16"/>
      <c r="G2058" s="16"/>
      <c r="H2058" s="54"/>
      <c r="I2058" s="16"/>
      <c r="J2058" s="54"/>
      <c r="K2058" s="42"/>
      <c r="L2058" s="16"/>
      <c r="M2058" s="16"/>
      <c r="AA2058" s="14">
        <f t="shared" si="64"/>
        <v>0</v>
      </c>
      <c r="AB2058" s="47">
        <f t="shared" si="65"/>
        <v>-1</v>
      </c>
      <c r="AD2058" s="53"/>
      <c r="AE2058" s="53"/>
      <c r="AF2058" s="53"/>
      <c r="AG2058" s="53"/>
    </row>
    <row r="2059" spans="1:33" s="46" customFormat="1">
      <c r="A2059" s="54"/>
      <c r="B2059" s="16"/>
      <c r="C2059" s="55"/>
      <c r="D2059" s="56"/>
      <c r="E2059" s="16"/>
      <c r="F2059" s="16"/>
      <c r="G2059" s="16"/>
      <c r="H2059" s="54"/>
      <c r="I2059" s="16"/>
      <c r="J2059" s="54"/>
      <c r="K2059" s="42"/>
      <c r="L2059" s="16"/>
      <c r="M2059" s="16"/>
      <c r="AA2059" s="14">
        <f t="shared" si="64"/>
        <v>0</v>
      </c>
      <c r="AB2059" s="47">
        <f t="shared" si="65"/>
        <v>-1</v>
      </c>
      <c r="AD2059" s="53"/>
      <c r="AE2059" s="53"/>
      <c r="AF2059" s="53"/>
      <c r="AG2059" s="53"/>
    </row>
    <row r="2060" spans="1:33" s="46" customFormat="1">
      <c r="A2060" s="54"/>
      <c r="B2060" s="16"/>
      <c r="C2060" s="55"/>
      <c r="D2060" s="56"/>
      <c r="E2060" s="16"/>
      <c r="F2060" s="16"/>
      <c r="G2060" s="16"/>
      <c r="H2060" s="54"/>
      <c r="I2060" s="16"/>
      <c r="J2060" s="54"/>
      <c r="K2060" s="42"/>
      <c r="L2060" s="16"/>
      <c r="M2060" s="16"/>
      <c r="AA2060" s="14">
        <f t="shared" si="64"/>
        <v>0</v>
      </c>
      <c r="AB2060" s="47">
        <f t="shared" si="65"/>
        <v>-1</v>
      </c>
      <c r="AD2060" s="53"/>
      <c r="AE2060" s="53"/>
      <c r="AF2060" s="53"/>
      <c r="AG2060" s="53"/>
    </row>
    <row r="2061" spans="1:33" s="46" customFormat="1">
      <c r="A2061" s="54"/>
      <c r="B2061" s="16"/>
      <c r="C2061" s="55"/>
      <c r="D2061" s="56"/>
      <c r="E2061" s="16"/>
      <c r="F2061" s="16"/>
      <c r="G2061" s="16"/>
      <c r="H2061" s="54"/>
      <c r="I2061" s="16"/>
      <c r="J2061" s="54"/>
      <c r="K2061" s="42"/>
      <c r="L2061" s="16"/>
      <c r="M2061" s="16"/>
      <c r="AA2061" s="14">
        <f t="shared" si="64"/>
        <v>0</v>
      </c>
      <c r="AB2061" s="47">
        <f t="shared" si="65"/>
        <v>-1</v>
      </c>
      <c r="AD2061" s="53"/>
      <c r="AE2061" s="53"/>
      <c r="AF2061" s="53"/>
      <c r="AG2061" s="53"/>
    </row>
    <row r="2062" spans="1:33" s="46" customFormat="1">
      <c r="A2062" s="54"/>
      <c r="B2062" s="16"/>
      <c r="C2062" s="55"/>
      <c r="D2062" s="56"/>
      <c r="E2062" s="16"/>
      <c r="F2062" s="16"/>
      <c r="G2062" s="16"/>
      <c r="H2062" s="54"/>
      <c r="I2062" s="16"/>
      <c r="J2062" s="54"/>
      <c r="K2062" s="42"/>
      <c r="L2062" s="16"/>
      <c r="M2062" s="16"/>
      <c r="AA2062" s="14">
        <f t="shared" si="64"/>
        <v>0</v>
      </c>
      <c r="AB2062" s="47">
        <f t="shared" si="65"/>
        <v>-1</v>
      </c>
      <c r="AD2062" s="53"/>
      <c r="AE2062" s="53"/>
      <c r="AF2062" s="53"/>
      <c r="AG2062" s="53"/>
    </row>
    <row r="2063" spans="1:33" s="46" customFormat="1">
      <c r="A2063" s="54"/>
      <c r="B2063" s="16"/>
      <c r="C2063" s="55"/>
      <c r="D2063" s="56"/>
      <c r="E2063" s="16"/>
      <c r="F2063" s="16"/>
      <c r="G2063" s="16"/>
      <c r="H2063" s="54"/>
      <c r="I2063" s="16"/>
      <c r="J2063" s="54"/>
      <c r="K2063" s="42"/>
      <c r="L2063" s="16"/>
      <c r="M2063" s="16"/>
      <c r="AA2063" s="14">
        <f t="shared" si="64"/>
        <v>0</v>
      </c>
      <c r="AB2063" s="47">
        <f t="shared" si="65"/>
        <v>-1</v>
      </c>
      <c r="AD2063" s="53"/>
      <c r="AE2063" s="53"/>
      <c r="AF2063" s="53"/>
      <c r="AG2063" s="53"/>
    </row>
    <row r="2064" spans="1:33" s="46" customFormat="1">
      <c r="A2064" s="54"/>
      <c r="B2064" s="16"/>
      <c r="C2064" s="55"/>
      <c r="D2064" s="56"/>
      <c r="E2064" s="16"/>
      <c r="F2064" s="16"/>
      <c r="G2064" s="16"/>
      <c r="H2064" s="54"/>
      <c r="I2064" s="16"/>
      <c r="J2064" s="54"/>
      <c r="K2064" s="42"/>
      <c r="L2064" s="16"/>
      <c r="M2064" s="16"/>
      <c r="AA2064" s="14">
        <f t="shared" si="64"/>
        <v>0</v>
      </c>
      <c r="AB2064" s="47">
        <f t="shared" si="65"/>
        <v>-1</v>
      </c>
      <c r="AD2064" s="53"/>
      <c r="AE2064" s="53"/>
      <c r="AF2064" s="53"/>
      <c r="AG2064" s="53"/>
    </row>
    <row r="2065" spans="1:33" s="46" customFormat="1">
      <c r="A2065" s="54"/>
      <c r="B2065" s="16"/>
      <c r="C2065" s="55"/>
      <c r="D2065" s="56"/>
      <c r="E2065" s="16"/>
      <c r="F2065" s="16"/>
      <c r="G2065" s="16"/>
      <c r="H2065" s="54"/>
      <c r="I2065" s="16"/>
      <c r="J2065" s="54"/>
      <c r="K2065" s="42"/>
      <c r="L2065" s="16"/>
      <c r="M2065" s="16"/>
      <c r="AA2065" s="14">
        <f t="shared" si="64"/>
        <v>0</v>
      </c>
      <c r="AB2065" s="47">
        <f t="shared" si="65"/>
        <v>-1</v>
      </c>
      <c r="AD2065" s="53"/>
      <c r="AE2065" s="53"/>
      <c r="AF2065" s="53"/>
      <c r="AG2065" s="53"/>
    </row>
    <row r="2066" spans="1:33" s="46" customFormat="1">
      <c r="A2066" s="54"/>
      <c r="B2066" s="16"/>
      <c r="C2066" s="55"/>
      <c r="D2066" s="56"/>
      <c r="E2066" s="16"/>
      <c r="F2066" s="16"/>
      <c r="G2066" s="16"/>
      <c r="H2066" s="54"/>
      <c r="I2066" s="16"/>
      <c r="J2066" s="54"/>
      <c r="K2066" s="42"/>
      <c r="L2066" s="16"/>
      <c r="M2066" s="16"/>
      <c r="AA2066" s="14">
        <f t="shared" si="64"/>
        <v>0</v>
      </c>
      <c r="AB2066" s="47">
        <f t="shared" si="65"/>
        <v>-1</v>
      </c>
      <c r="AD2066" s="53"/>
      <c r="AE2066" s="53"/>
      <c r="AF2066" s="53"/>
      <c r="AG2066" s="53"/>
    </row>
    <row r="2067" spans="1:33" s="46" customFormat="1">
      <c r="A2067" s="54"/>
      <c r="B2067" s="16"/>
      <c r="C2067" s="55"/>
      <c r="D2067" s="56"/>
      <c r="E2067" s="16"/>
      <c r="F2067" s="16"/>
      <c r="G2067" s="16"/>
      <c r="H2067" s="54"/>
      <c r="I2067" s="16"/>
      <c r="J2067" s="54"/>
      <c r="K2067" s="42"/>
      <c r="L2067" s="16"/>
      <c r="M2067" s="16"/>
      <c r="AA2067" s="14">
        <f t="shared" si="64"/>
        <v>0</v>
      </c>
      <c r="AB2067" s="47">
        <f t="shared" si="65"/>
        <v>-1</v>
      </c>
      <c r="AD2067" s="53"/>
      <c r="AE2067" s="53"/>
      <c r="AF2067" s="53"/>
      <c r="AG2067" s="53"/>
    </row>
    <row r="2068" spans="1:33" s="46" customFormat="1">
      <c r="A2068" s="54"/>
      <c r="B2068" s="16"/>
      <c r="C2068" s="55"/>
      <c r="D2068" s="56"/>
      <c r="E2068" s="16"/>
      <c r="F2068" s="16"/>
      <c r="G2068" s="16"/>
      <c r="H2068" s="54"/>
      <c r="I2068" s="16"/>
      <c r="J2068" s="54"/>
      <c r="K2068" s="42"/>
      <c r="L2068" s="16"/>
      <c r="M2068" s="16"/>
      <c r="AA2068" s="14">
        <f t="shared" si="64"/>
        <v>0</v>
      </c>
      <c r="AB2068" s="47">
        <f t="shared" si="65"/>
        <v>-1</v>
      </c>
      <c r="AD2068" s="53"/>
      <c r="AE2068" s="53"/>
      <c r="AF2068" s="53"/>
      <c r="AG2068" s="53"/>
    </row>
    <row r="2069" spans="1:33" s="46" customFormat="1">
      <c r="A2069" s="54"/>
      <c r="B2069" s="16"/>
      <c r="C2069" s="55"/>
      <c r="D2069" s="56"/>
      <c r="E2069" s="16"/>
      <c r="F2069" s="16"/>
      <c r="G2069" s="16"/>
      <c r="H2069" s="54"/>
      <c r="I2069" s="16"/>
      <c r="J2069" s="54"/>
      <c r="K2069" s="42"/>
      <c r="L2069" s="16"/>
      <c r="M2069" s="16"/>
      <c r="AA2069" s="14">
        <f t="shared" si="64"/>
        <v>0</v>
      </c>
      <c r="AB2069" s="47">
        <f t="shared" si="65"/>
        <v>-1</v>
      </c>
      <c r="AD2069" s="53"/>
      <c r="AE2069" s="53"/>
      <c r="AF2069" s="53"/>
      <c r="AG2069" s="53"/>
    </row>
    <row r="2070" spans="1:33" s="46" customFormat="1">
      <c r="A2070" s="54"/>
      <c r="B2070" s="16"/>
      <c r="C2070" s="55"/>
      <c r="D2070" s="56"/>
      <c r="E2070" s="16"/>
      <c r="F2070" s="16"/>
      <c r="G2070" s="16"/>
      <c r="H2070" s="54"/>
      <c r="I2070" s="16"/>
      <c r="J2070" s="54"/>
      <c r="K2070" s="42"/>
      <c r="L2070" s="16"/>
      <c r="M2070" s="16"/>
      <c r="AA2070" s="14">
        <f t="shared" si="64"/>
        <v>0</v>
      </c>
      <c r="AB2070" s="47">
        <f t="shared" si="65"/>
        <v>-1</v>
      </c>
      <c r="AD2070" s="53"/>
      <c r="AE2070" s="53"/>
      <c r="AF2070" s="53"/>
      <c r="AG2070" s="53"/>
    </row>
    <row r="2071" spans="1:33" s="46" customFormat="1">
      <c r="A2071" s="54"/>
      <c r="B2071" s="16"/>
      <c r="C2071" s="55"/>
      <c r="D2071" s="56"/>
      <c r="E2071" s="16"/>
      <c r="F2071" s="16"/>
      <c r="G2071" s="16"/>
      <c r="H2071" s="54"/>
      <c r="I2071" s="16"/>
      <c r="J2071" s="54"/>
      <c r="K2071" s="42"/>
      <c r="L2071" s="16"/>
      <c r="M2071" s="16"/>
      <c r="AA2071" s="14">
        <f t="shared" si="64"/>
        <v>0</v>
      </c>
      <c r="AB2071" s="47">
        <f t="shared" si="65"/>
        <v>-1</v>
      </c>
      <c r="AD2071" s="53"/>
      <c r="AE2071" s="53"/>
      <c r="AF2071" s="53"/>
      <c r="AG2071" s="53"/>
    </row>
    <row r="2072" spans="1:33" s="46" customFormat="1">
      <c r="A2072" s="54"/>
      <c r="B2072" s="16"/>
      <c r="C2072" s="55"/>
      <c r="D2072" s="56"/>
      <c r="E2072" s="16"/>
      <c r="F2072" s="16"/>
      <c r="G2072" s="16"/>
      <c r="H2072" s="54"/>
      <c r="I2072" s="16"/>
      <c r="J2072" s="54"/>
      <c r="K2072" s="42"/>
      <c r="L2072" s="16"/>
      <c r="M2072" s="16"/>
      <c r="AA2072" s="14">
        <f t="shared" si="64"/>
        <v>0</v>
      </c>
      <c r="AB2072" s="47">
        <f t="shared" si="65"/>
        <v>-1</v>
      </c>
      <c r="AD2072" s="53"/>
      <c r="AE2072" s="53"/>
      <c r="AF2072" s="53"/>
      <c r="AG2072" s="53"/>
    </row>
    <row r="2073" spans="1:33" s="46" customFormat="1">
      <c r="A2073" s="54"/>
      <c r="B2073" s="16"/>
      <c r="C2073" s="55"/>
      <c r="D2073" s="56"/>
      <c r="E2073" s="16"/>
      <c r="F2073" s="16"/>
      <c r="G2073" s="16"/>
      <c r="H2073" s="54"/>
      <c r="I2073" s="16"/>
      <c r="J2073" s="54"/>
      <c r="K2073" s="42"/>
      <c r="L2073" s="16"/>
      <c r="M2073" s="16"/>
      <c r="AA2073" s="14">
        <f t="shared" si="64"/>
        <v>0</v>
      </c>
      <c r="AB2073" s="47">
        <f t="shared" si="65"/>
        <v>-1</v>
      </c>
      <c r="AD2073" s="53"/>
      <c r="AE2073" s="53"/>
      <c r="AF2073" s="53"/>
      <c r="AG2073" s="53"/>
    </row>
    <row r="2074" spans="1:33" s="46" customFormat="1">
      <c r="A2074" s="54"/>
      <c r="B2074" s="16"/>
      <c r="C2074" s="55"/>
      <c r="D2074" s="56"/>
      <c r="E2074" s="16"/>
      <c r="F2074" s="16"/>
      <c r="G2074" s="16"/>
      <c r="H2074" s="54"/>
      <c r="I2074" s="16"/>
      <c r="J2074" s="54"/>
      <c r="K2074" s="42"/>
      <c r="L2074" s="16"/>
      <c r="M2074" s="16"/>
      <c r="AA2074" s="14">
        <f t="shared" si="64"/>
        <v>0</v>
      </c>
      <c r="AB2074" s="47">
        <f t="shared" si="65"/>
        <v>-1</v>
      </c>
      <c r="AD2074" s="53"/>
      <c r="AE2074" s="53"/>
      <c r="AF2074" s="53"/>
      <c r="AG2074" s="53"/>
    </row>
    <row r="2075" spans="1:33" s="46" customFormat="1">
      <c r="A2075" s="54"/>
      <c r="B2075" s="16"/>
      <c r="C2075" s="55"/>
      <c r="D2075" s="56"/>
      <c r="E2075" s="16"/>
      <c r="F2075" s="16"/>
      <c r="G2075" s="16"/>
      <c r="H2075" s="54"/>
      <c r="I2075" s="16"/>
      <c r="J2075" s="54"/>
      <c r="K2075" s="42"/>
      <c r="L2075" s="16"/>
      <c r="M2075" s="16"/>
      <c r="AA2075" s="14">
        <f t="shared" si="64"/>
        <v>0</v>
      </c>
      <c r="AB2075" s="47">
        <f t="shared" si="65"/>
        <v>-1</v>
      </c>
      <c r="AD2075" s="53"/>
      <c r="AE2075" s="53"/>
      <c r="AF2075" s="53"/>
      <c r="AG2075" s="53"/>
    </row>
    <row r="2076" spans="1:33" s="46" customFormat="1">
      <c r="A2076" s="54"/>
      <c r="B2076" s="16"/>
      <c r="C2076" s="55"/>
      <c r="D2076" s="56"/>
      <c r="E2076" s="16"/>
      <c r="F2076" s="16"/>
      <c r="G2076" s="16"/>
      <c r="H2076" s="54"/>
      <c r="I2076" s="16"/>
      <c r="J2076" s="54"/>
      <c r="K2076" s="42"/>
      <c r="L2076" s="16"/>
      <c r="M2076" s="16"/>
      <c r="AA2076" s="14">
        <f t="shared" si="64"/>
        <v>0</v>
      </c>
      <c r="AB2076" s="47">
        <f t="shared" si="65"/>
        <v>-1</v>
      </c>
      <c r="AD2076" s="53"/>
      <c r="AE2076" s="53"/>
      <c r="AF2076" s="53"/>
      <c r="AG2076" s="53"/>
    </row>
    <row r="2077" spans="1:33" s="46" customFormat="1">
      <c r="A2077" s="54"/>
      <c r="B2077" s="16"/>
      <c r="C2077" s="55"/>
      <c r="D2077" s="56"/>
      <c r="E2077" s="16"/>
      <c r="F2077" s="16"/>
      <c r="G2077" s="16"/>
      <c r="H2077" s="54"/>
      <c r="I2077" s="16"/>
      <c r="J2077" s="54"/>
      <c r="K2077" s="42"/>
      <c r="L2077" s="16"/>
      <c r="M2077" s="16"/>
      <c r="AA2077" s="14">
        <f t="shared" si="64"/>
        <v>0</v>
      </c>
      <c r="AB2077" s="47">
        <f t="shared" si="65"/>
        <v>-1</v>
      </c>
      <c r="AD2077" s="53"/>
      <c r="AE2077" s="53"/>
      <c r="AF2077" s="53"/>
      <c r="AG2077" s="53"/>
    </row>
    <row r="2078" spans="1:33" s="46" customFormat="1">
      <c r="A2078" s="54"/>
      <c r="B2078" s="16"/>
      <c r="C2078" s="55"/>
      <c r="D2078" s="56"/>
      <c r="E2078" s="16"/>
      <c r="F2078" s="16"/>
      <c r="G2078" s="16"/>
      <c r="H2078" s="54"/>
      <c r="I2078" s="16"/>
      <c r="J2078" s="54"/>
      <c r="K2078" s="42"/>
      <c r="L2078" s="16"/>
      <c r="M2078" s="16"/>
      <c r="AA2078" s="14">
        <f t="shared" si="64"/>
        <v>0</v>
      </c>
      <c r="AB2078" s="47">
        <f t="shared" si="65"/>
        <v>-1</v>
      </c>
      <c r="AD2078" s="53"/>
      <c r="AE2078" s="53"/>
      <c r="AF2078" s="53"/>
      <c r="AG2078" s="53"/>
    </row>
    <row r="2079" spans="1:33" s="46" customFormat="1">
      <c r="A2079" s="54"/>
      <c r="B2079" s="16"/>
      <c r="C2079" s="55"/>
      <c r="D2079" s="56"/>
      <c r="E2079" s="16"/>
      <c r="F2079" s="16"/>
      <c r="G2079" s="16"/>
      <c r="H2079" s="54"/>
      <c r="I2079" s="16"/>
      <c r="J2079" s="54"/>
      <c r="K2079" s="42"/>
      <c r="L2079" s="16"/>
      <c r="M2079" s="16"/>
      <c r="AA2079" s="14">
        <f t="shared" si="64"/>
        <v>0</v>
      </c>
      <c r="AB2079" s="47">
        <f t="shared" si="65"/>
        <v>-1</v>
      </c>
      <c r="AD2079" s="53"/>
      <c r="AE2079" s="53"/>
      <c r="AF2079" s="53"/>
      <c r="AG2079" s="53"/>
    </row>
    <row r="2080" spans="1:33" s="46" customFormat="1">
      <c r="A2080" s="54"/>
      <c r="B2080" s="16"/>
      <c r="C2080" s="55"/>
      <c r="D2080" s="56"/>
      <c r="E2080" s="16"/>
      <c r="F2080" s="16"/>
      <c r="G2080" s="16"/>
      <c r="H2080" s="54"/>
      <c r="I2080" s="16"/>
      <c r="J2080" s="54"/>
      <c r="K2080" s="42"/>
      <c r="L2080" s="16"/>
      <c r="M2080" s="16"/>
      <c r="AA2080" s="14">
        <f t="shared" si="64"/>
        <v>0</v>
      </c>
      <c r="AB2080" s="47">
        <f t="shared" si="65"/>
        <v>-1</v>
      </c>
      <c r="AD2080" s="53"/>
      <c r="AE2080" s="53"/>
      <c r="AF2080" s="53"/>
      <c r="AG2080" s="53"/>
    </row>
    <row r="2081" spans="1:33" s="46" customFormat="1">
      <c r="A2081" s="54"/>
      <c r="B2081" s="16"/>
      <c r="C2081" s="55"/>
      <c r="D2081" s="56"/>
      <c r="E2081" s="16"/>
      <c r="F2081" s="16"/>
      <c r="G2081" s="16"/>
      <c r="H2081" s="54"/>
      <c r="I2081" s="16"/>
      <c r="J2081" s="54"/>
      <c r="K2081" s="42"/>
      <c r="L2081" s="16"/>
      <c r="M2081" s="16"/>
      <c r="AA2081" s="14">
        <f t="shared" si="64"/>
        <v>0</v>
      </c>
      <c r="AB2081" s="47">
        <f t="shared" si="65"/>
        <v>-1</v>
      </c>
      <c r="AD2081" s="53"/>
      <c r="AE2081" s="53"/>
      <c r="AF2081" s="53"/>
      <c r="AG2081" s="53"/>
    </row>
    <row r="2082" spans="1:33" s="46" customFormat="1">
      <c r="A2082" s="54"/>
      <c r="B2082" s="16"/>
      <c r="C2082" s="55"/>
      <c r="D2082" s="56"/>
      <c r="E2082" s="16"/>
      <c r="F2082" s="16"/>
      <c r="G2082" s="16"/>
      <c r="H2082" s="54"/>
      <c r="I2082" s="16"/>
      <c r="J2082" s="54"/>
      <c r="K2082" s="42"/>
      <c r="L2082" s="16"/>
      <c r="M2082" s="16"/>
      <c r="AA2082" s="14">
        <f t="shared" si="64"/>
        <v>0</v>
      </c>
      <c r="AB2082" s="47">
        <f t="shared" si="65"/>
        <v>-1</v>
      </c>
      <c r="AD2082" s="53"/>
      <c r="AE2082" s="53"/>
      <c r="AF2082" s="53"/>
      <c r="AG2082" s="53"/>
    </row>
    <row r="2083" spans="1:33" s="46" customFormat="1">
      <c r="A2083" s="54"/>
      <c r="B2083" s="16"/>
      <c r="C2083" s="55"/>
      <c r="D2083" s="56"/>
      <c r="E2083" s="16"/>
      <c r="F2083" s="16"/>
      <c r="G2083" s="16"/>
      <c r="H2083" s="54"/>
      <c r="I2083" s="16"/>
      <c r="J2083" s="54"/>
      <c r="K2083" s="42"/>
      <c r="L2083" s="16"/>
      <c r="M2083" s="16"/>
      <c r="AA2083" s="14">
        <f t="shared" si="64"/>
        <v>0</v>
      </c>
      <c r="AB2083" s="47">
        <f t="shared" si="65"/>
        <v>-1</v>
      </c>
      <c r="AD2083" s="53"/>
      <c r="AE2083" s="53"/>
      <c r="AF2083" s="53"/>
      <c r="AG2083" s="53"/>
    </row>
    <row r="2084" spans="1:33" s="46" customFormat="1">
      <c r="A2084" s="54"/>
      <c r="B2084" s="16"/>
      <c r="C2084" s="55"/>
      <c r="D2084" s="56"/>
      <c r="E2084" s="16"/>
      <c r="F2084" s="16"/>
      <c r="G2084" s="16"/>
      <c r="H2084" s="54"/>
      <c r="I2084" s="16"/>
      <c r="J2084" s="54"/>
      <c r="K2084" s="42"/>
      <c r="L2084" s="16"/>
      <c r="M2084" s="16"/>
      <c r="AA2084" s="14">
        <f t="shared" si="64"/>
        <v>0</v>
      </c>
      <c r="AB2084" s="47">
        <f t="shared" si="65"/>
        <v>-1</v>
      </c>
      <c r="AD2084" s="53"/>
      <c r="AE2084" s="53"/>
      <c r="AF2084" s="53"/>
      <c r="AG2084" s="53"/>
    </row>
    <row r="2085" spans="1:33" s="46" customFormat="1">
      <c r="A2085" s="54"/>
      <c r="B2085" s="16"/>
      <c r="C2085" s="55"/>
      <c r="D2085" s="56"/>
      <c r="E2085" s="16"/>
      <c r="F2085" s="16"/>
      <c r="G2085" s="16"/>
      <c r="H2085" s="54"/>
      <c r="I2085" s="16"/>
      <c r="J2085" s="54"/>
      <c r="K2085" s="42"/>
      <c r="L2085" s="16"/>
      <c r="M2085" s="16"/>
      <c r="AA2085" s="14">
        <f t="shared" si="64"/>
        <v>0</v>
      </c>
      <c r="AB2085" s="47">
        <f t="shared" si="65"/>
        <v>-1</v>
      </c>
      <c r="AD2085" s="53"/>
      <c r="AE2085" s="53"/>
      <c r="AF2085" s="53"/>
      <c r="AG2085" s="53"/>
    </row>
    <row r="2086" spans="1:33" s="46" customFormat="1">
      <c r="A2086" s="54"/>
      <c r="B2086" s="16"/>
      <c r="C2086" s="55"/>
      <c r="D2086" s="56"/>
      <c r="E2086" s="16"/>
      <c r="F2086" s="16"/>
      <c r="G2086" s="16"/>
      <c r="H2086" s="54"/>
      <c r="I2086" s="16"/>
      <c r="J2086" s="54"/>
      <c r="K2086" s="42"/>
      <c r="L2086" s="16"/>
      <c r="M2086" s="16"/>
      <c r="AA2086" s="14">
        <f t="shared" si="64"/>
        <v>0</v>
      </c>
      <c r="AB2086" s="47">
        <f t="shared" si="65"/>
        <v>-1</v>
      </c>
      <c r="AD2086" s="53"/>
      <c r="AE2086" s="53"/>
      <c r="AF2086" s="53"/>
      <c r="AG2086" s="53"/>
    </row>
    <row r="2087" spans="1:33" s="46" customFormat="1">
      <c r="A2087" s="54"/>
      <c r="B2087" s="16"/>
      <c r="C2087" s="55"/>
      <c r="D2087" s="56"/>
      <c r="E2087" s="16"/>
      <c r="F2087" s="16"/>
      <c r="G2087" s="16"/>
      <c r="H2087" s="54"/>
      <c r="I2087" s="16"/>
      <c r="J2087" s="54"/>
      <c r="K2087" s="42"/>
      <c r="L2087" s="16"/>
      <c r="M2087" s="16"/>
      <c r="AA2087" s="14">
        <f t="shared" si="64"/>
        <v>0</v>
      </c>
      <c r="AB2087" s="47">
        <f t="shared" si="65"/>
        <v>-1</v>
      </c>
      <c r="AD2087" s="53"/>
      <c r="AE2087" s="53"/>
      <c r="AF2087" s="53"/>
      <c r="AG2087" s="53"/>
    </row>
    <row r="2088" spans="1:33" s="46" customFormat="1">
      <c r="A2088" s="54"/>
      <c r="B2088" s="16"/>
      <c r="C2088" s="55"/>
      <c r="D2088" s="56"/>
      <c r="E2088" s="16"/>
      <c r="F2088" s="16"/>
      <c r="G2088" s="16"/>
      <c r="H2088" s="54"/>
      <c r="I2088" s="16"/>
      <c r="J2088" s="54"/>
      <c r="K2088" s="42"/>
      <c r="L2088" s="16"/>
      <c r="M2088" s="16"/>
      <c r="AA2088" s="14">
        <f t="shared" ref="AA2088:AA2151" si="66">C2088-C2087</f>
        <v>0</v>
      </c>
      <c r="AB2088" s="47">
        <f t="shared" ref="AB2088:AB2151" si="67">AA2088-1</f>
        <v>-1</v>
      </c>
      <c r="AD2088" s="53"/>
      <c r="AE2088" s="53"/>
      <c r="AF2088" s="53"/>
      <c r="AG2088" s="53"/>
    </row>
    <row r="2089" spans="1:33" s="46" customFormat="1">
      <c r="A2089" s="54"/>
      <c r="B2089" s="16"/>
      <c r="C2089" s="55"/>
      <c r="D2089" s="56"/>
      <c r="E2089" s="16"/>
      <c r="F2089" s="16"/>
      <c r="G2089" s="16"/>
      <c r="H2089" s="54"/>
      <c r="I2089" s="16"/>
      <c r="J2089" s="54"/>
      <c r="K2089" s="42"/>
      <c r="L2089" s="16"/>
      <c r="M2089" s="16"/>
      <c r="AA2089" s="14">
        <f t="shared" si="66"/>
        <v>0</v>
      </c>
      <c r="AB2089" s="47">
        <f t="shared" si="67"/>
        <v>-1</v>
      </c>
      <c r="AD2089" s="53"/>
      <c r="AE2089" s="53"/>
      <c r="AF2089" s="53"/>
      <c r="AG2089" s="53"/>
    </row>
    <row r="2090" spans="1:33" s="46" customFormat="1">
      <c r="A2090" s="54"/>
      <c r="B2090" s="16"/>
      <c r="C2090" s="55"/>
      <c r="D2090" s="56"/>
      <c r="E2090" s="16"/>
      <c r="F2090" s="16"/>
      <c r="G2090" s="16"/>
      <c r="H2090" s="54"/>
      <c r="I2090" s="16"/>
      <c r="J2090" s="54"/>
      <c r="K2090" s="42"/>
      <c r="L2090" s="16"/>
      <c r="M2090" s="16"/>
      <c r="AA2090" s="14">
        <f t="shared" si="66"/>
        <v>0</v>
      </c>
      <c r="AB2090" s="47">
        <f t="shared" si="67"/>
        <v>-1</v>
      </c>
      <c r="AD2090" s="53"/>
      <c r="AE2090" s="53"/>
      <c r="AF2090" s="53"/>
      <c r="AG2090" s="53"/>
    </row>
    <row r="2091" spans="1:33" s="46" customFormat="1">
      <c r="A2091" s="54"/>
      <c r="B2091" s="16"/>
      <c r="C2091" s="55"/>
      <c r="D2091" s="56"/>
      <c r="E2091" s="16"/>
      <c r="F2091" s="16"/>
      <c r="G2091" s="16"/>
      <c r="H2091" s="54"/>
      <c r="I2091" s="16"/>
      <c r="J2091" s="54"/>
      <c r="K2091" s="42"/>
      <c r="L2091" s="16"/>
      <c r="M2091" s="16"/>
      <c r="AA2091" s="14">
        <f t="shared" si="66"/>
        <v>0</v>
      </c>
      <c r="AB2091" s="47">
        <f t="shared" si="67"/>
        <v>-1</v>
      </c>
      <c r="AD2091" s="53"/>
      <c r="AE2091" s="53"/>
      <c r="AF2091" s="53"/>
      <c r="AG2091" s="53"/>
    </row>
    <row r="2092" spans="1:33" s="46" customFormat="1">
      <c r="A2092" s="54"/>
      <c r="B2092" s="16"/>
      <c r="C2092" s="55"/>
      <c r="D2092" s="56"/>
      <c r="E2092" s="16"/>
      <c r="F2092" s="16"/>
      <c r="G2092" s="16"/>
      <c r="H2092" s="54"/>
      <c r="I2092" s="16"/>
      <c r="J2092" s="54"/>
      <c r="K2092" s="42"/>
      <c r="L2092" s="16"/>
      <c r="M2092" s="16"/>
      <c r="AA2092" s="14">
        <f t="shared" si="66"/>
        <v>0</v>
      </c>
      <c r="AB2092" s="47">
        <f t="shared" si="67"/>
        <v>-1</v>
      </c>
      <c r="AD2092" s="53"/>
      <c r="AE2092" s="53"/>
      <c r="AF2092" s="53"/>
      <c r="AG2092" s="53"/>
    </row>
    <row r="2093" spans="1:33" s="46" customFormat="1">
      <c r="A2093" s="54"/>
      <c r="B2093" s="16"/>
      <c r="C2093" s="55"/>
      <c r="D2093" s="56"/>
      <c r="E2093" s="16"/>
      <c r="F2093" s="16"/>
      <c r="G2093" s="16"/>
      <c r="H2093" s="54"/>
      <c r="I2093" s="16"/>
      <c r="J2093" s="54"/>
      <c r="K2093" s="42"/>
      <c r="L2093" s="16"/>
      <c r="M2093" s="16"/>
      <c r="AA2093" s="14">
        <f t="shared" si="66"/>
        <v>0</v>
      </c>
      <c r="AB2093" s="47">
        <f t="shared" si="67"/>
        <v>-1</v>
      </c>
      <c r="AD2093" s="53"/>
      <c r="AE2093" s="53"/>
      <c r="AF2093" s="53"/>
      <c r="AG2093" s="53"/>
    </row>
    <row r="2094" spans="1:33" s="46" customFormat="1">
      <c r="A2094" s="54"/>
      <c r="B2094" s="16"/>
      <c r="C2094" s="55"/>
      <c r="D2094" s="56"/>
      <c r="E2094" s="16"/>
      <c r="F2094" s="16"/>
      <c r="G2094" s="16"/>
      <c r="H2094" s="54"/>
      <c r="I2094" s="16"/>
      <c r="J2094" s="54"/>
      <c r="K2094" s="42"/>
      <c r="L2094" s="16"/>
      <c r="M2094" s="16"/>
      <c r="AA2094" s="14">
        <f t="shared" si="66"/>
        <v>0</v>
      </c>
      <c r="AB2094" s="47">
        <f t="shared" si="67"/>
        <v>-1</v>
      </c>
      <c r="AD2094" s="53"/>
      <c r="AE2094" s="53"/>
      <c r="AF2094" s="53"/>
      <c r="AG2094" s="53"/>
    </row>
    <row r="2095" spans="1:33" s="46" customFormat="1">
      <c r="A2095" s="54"/>
      <c r="B2095" s="16"/>
      <c r="C2095" s="55"/>
      <c r="D2095" s="56"/>
      <c r="E2095" s="16"/>
      <c r="F2095" s="16"/>
      <c r="G2095" s="16"/>
      <c r="H2095" s="54"/>
      <c r="I2095" s="16"/>
      <c r="J2095" s="54"/>
      <c r="K2095" s="42"/>
      <c r="L2095" s="16"/>
      <c r="M2095" s="16"/>
      <c r="AA2095" s="14">
        <f t="shared" si="66"/>
        <v>0</v>
      </c>
      <c r="AB2095" s="47">
        <f t="shared" si="67"/>
        <v>-1</v>
      </c>
      <c r="AD2095" s="53"/>
      <c r="AE2095" s="53"/>
      <c r="AF2095" s="53"/>
      <c r="AG2095" s="53"/>
    </row>
    <row r="2096" spans="1:33" s="46" customFormat="1">
      <c r="A2096" s="54"/>
      <c r="B2096" s="16"/>
      <c r="C2096" s="55"/>
      <c r="D2096" s="56"/>
      <c r="E2096" s="16"/>
      <c r="F2096" s="16"/>
      <c r="G2096" s="16"/>
      <c r="H2096" s="54"/>
      <c r="I2096" s="16"/>
      <c r="J2096" s="54"/>
      <c r="K2096" s="42"/>
      <c r="L2096" s="16"/>
      <c r="M2096" s="16"/>
      <c r="AA2096" s="14">
        <f t="shared" si="66"/>
        <v>0</v>
      </c>
      <c r="AB2096" s="47">
        <f t="shared" si="67"/>
        <v>-1</v>
      </c>
      <c r="AD2096" s="53"/>
      <c r="AE2096" s="53"/>
      <c r="AF2096" s="53"/>
      <c r="AG2096" s="53"/>
    </row>
    <row r="2097" spans="1:33" s="46" customFormat="1">
      <c r="A2097" s="54"/>
      <c r="B2097" s="16"/>
      <c r="C2097" s="55"/>
      <c r="D2097" s="56"/>
      <c r="E2097" s="16"/>
      <c r="F2097" s="16"/>
      <c r="G2097" s="16"/>
      <c r="H2097" s="54"/>
      <c r="I2097" s="16"/>
      <c r="J2097" s="54"/>
      <c r="K2097" s="42"/>
      <c r="L2097" s="16"/>
      <c r="M2097" s="16"/>
      <c r="AA2097" s="14">
        <f t="shared" si="66"/>
        <v>0</v>
      </c>
      <c r="AB2097" s="47">
        <f t="shared" si="67"/>
        <v>-1</v>
      </c>
      <c r="AD2097" s="53"/>
      <c r="AE2097" s="53"/>
      <c r="AF2097" s="53"/>
      <c r="AG2097" s="53"/>
    </row>
    <row r="2098" spans="1:33" s="46" customFormat="1">
      <c r="A2098" s="54"/>
      <c r="B2098" s="16"/>
      <c r="C2098" s="55"/>
      <c r="D2098" s="56"/>
      <c r="E2098" s="16"/>
      <c r="F2098" s="16"/>
      <c r="G2098" s="16"/>
      <c r="H2098" s="54"/>
      <c r="I2098" s="16"/>
      <c r="J2098" s="54"/>
      <c r="K2098" s="42"/>
      <c r="L2098" s="16"/>
      <c r="M2098" s="16"/>
      <c r="AA2098" s="14">
        <f t="shared" si="66"/>
        <v>0</v>
      </c>
      <c r="AB2098" s="47">
        <f t="shared" si="67"/>
        <v>-1</v>
      </c>
      <c r="AD2098" s="53"/>
      <c r="AE2098" s="53"/>
      <c r="AF2098" s="53"/>
      <c r="AG2098" s="53"/>
    </row>
    <row r="2099" spans="1:33" s="46" customFormat="1">
      <c r="A2099" s="54"/>
      <c r="B2099" s="16"/>
      <c r="C2099" s="55"/>
      <c r="D2099" s="56"/>
      <c r="E2099" s="16"/>
      <c r="F2099" s="16"/>
      <c r="G2099" s="16"/>
      <c r="H2099" s="54"/>
      <c r="I2099" s="16"/>
      <c r="J2099" s="54"/>
      <c r="K2099" s="42"/>
      <c r="L2099" s="16"/>
      <c r="M2099" s="16"/>
      <c r="AA2099" s="14">
        <f t="shared" si="66"/>
        <v>0</v>
      </c>
      <c r="AB2099" s="47">
        <f t="shared" si="67"/>
        <v>-1</v>
      </c>
      <c r="AD2099" s="53"/>
      <c r="AE2099" s="53"/>
      <c r="AF2099" s="53"/>
      <c r="AG2099" s="53"/>
    </row>
    <row r="2100" spans="1:33" s="46" customFormat="1">
      <c r="A2100" s="54"/>
      <c r="B2100" s="16"/>
      <c r="C2100" s="55"/>
      <c r="D2100" s="56"/>
      <c r="E2100" s="16"/>
      <c r="F2100" s="16"/>
      <c r="G2100" s="16"/>
      <c r="H2100" s="54"/>
      <c r="I2100" s="16"/>
      <c r="J2100" s="54"/>
      <c r="K2100" s="42"/>
      <c r="L2100" s="16"/>
      <c r="M2100" s="16"/>
      <c r="AA2100" s="14">
        <f t="shared" si="66"/>
        <v>0</v>
      </c>
      <c r="AB2100" s="47">
        <f t="shared" si="67"/>
        <v>-1</v>
      </c>
      <c r="AD2100" s="53"/>
      <c r="AE2100" s="53"/>
      <c r="AF2100" s="53"/>
      <c r="AG2100" s="53"/>
    </row>
    <row r="2101" spans="1:33" s="46" customFormat="1">
      <c r="A2101" s="54"/>
      <c r="B2101" s="16"/>
      <c r="C2101" s="55"/>
      <c r="D2101" s="56"/>
      <c r="E2101" s="16"/>
      <c r="F2101" s="16"/>
      <c r="G2101" s="16"/>
      <c r="H2101" s="54"/>
      <c r="I2101" s="16"/>
      <c r="J2101" s="54"/>
      <c r="K2101" s="42"/>
      <c r="L2101" s="16"/>
      <c r="M2101" s="16"/>
      <c r="AA2101" s="14">
        <f t="shared" si="66"/>
        <v>0</v>
      </c>
      <c r="AB2101" s="47">
        <f t="shared" si="67"/>
        <v>-1</v>
      </c>
      <c r="AD2101" s="53"/>
      <c r="AE2101" s="53"/>
      <c r="AF2101" s="53"/>
      <c r="AG2101" s="53"/>
    </row>
    <row r="2102" spans="1:33" s="46" customFormat="1">
      <c r="A2102" s="54"/>
      <c r="B2102" s="16"/>
      <c r="C2102" s="55"/>
      <c r="D2102" s="56"/>
      <c r="E2102" s="16"/>
      <c r="F2102" s="16"/>
      <c r="G2102" s="16"/>
      <c r="H2102" s="54"/>
      <c r="I2102" s="16"/>
      <c r="J2102" s="54"/>
      <c r="K2102" s="42"/>
      <c r="L2102" s="16"/>
      <c r="M2102" s="16"/>
      <c r="AA2102" s="14">
        <f t="shared" si="66"/>
        <v>0</v>
      </c>
      <c r="AB2102" s="47">
        <f t="shared" si="67"/>
        <v>-1</v>
      </c>
      <c r="AD2102" s="53"/>
      <c r="AE2102" s="53"/>
      <c r="AF2102" s="53"/>
      <c r="AG2102" s="53"/>
    </row>
    <row r="2103" spans="1:33" s="46" customFormat="1">
      <c r="A2103" s="54"/>
      <c r="B2103" s="16"/>
      <c r="C2103" s="55"/>
      <c r="D2103" s="56"/>
      <c r="E2103" s="16"/>
      <c r="F2103" s="16"/>
      <c r="G2103" s="16"/>
      <c r="H2103" s="54"/>
      <c r="I2103" s="16"/>
      <c r="J2103" s="54"/>
      <c r="K2103" s="42"/>
      <c r="L2103" s="16"/>
      <c r="M2103" s="16"/>
      <c r="AA2103" s="14">
        <f t="shared" si="66"/>
        <v>0</v>
      </c>
      <c r="AB2103" s="47">
        <f t="shared" si="67"/>
        <v>-1</v>
      </c>
      <c r="AD2103" s="53"/>
      <c r="AE2103" s="53"/>
      <c r="AF2103" s="53"/>
      <c r="AG2103" s="53"/>
    </row>
    <row r="2104" spans="1:33" s="46" customFormat="1">
      <c r="A2104" s="54"/>
      <c r="B2104" s="16"/>
      <c r="C2104" s="55"/>
      <c r="D2104" s="56"/>
      <c r="E2104" s="16"/>
      <c r="F2104" s="16"/>
      <c r="G2104" s="16"/>
      <c r="H2104" s="54"/>
      <c r="I2104" s="16"/>
      <c r="J2104" s="54"/>
      <c r="K2104" s="42"/>
      <c r="L2104" s="16"/>
      <c r="M2104" s="16"/>
      <c r="AA2104" s="14">
        <f t="shared" si="66"/>
        <v>0</v>
      </c>
      <c r="AB2104" s="47">
        <f t="shared" si="67"/>
        <v>-1</v>
      </c>
      <c r="AD2104" s="53"/>
      <c r="AE2104" s="53"/>
      <c r="AF2104" s="53"/>
      <c r="AG2104" s="53"/>
    </row>
    <row r="2105" spans="1:33" s="46" customFormat="1">
      <c r="A2105" s="54"/>
      <c r="B2105" s="16"/>
      <c r="C2105" s="55"/>
      <c r="D2105" s="56"/>
      <c r="E2105" s="16"/>
      <c r="F2105" s="16"/>
      <c r="G2105" s="16"/>
      <c r="H2105" s="54"/>
      <c r="I2105" s="16"/>
      <c r="J2105" s="54"/>
      <c r="K2105" s="42"/>
      <c r="L2105" s="16"/>
      <c r="M2105" s="16"/>
      <c r="AA2105" s="14">
        <f t="shared" si="66"/>
        <v>0</v>
      </c>
      <c r="AB2105" s="47">
        <f t="shared" si="67"/>
        <v>-1</v>
      </c>
      <c r="AD2105" s="53"/>
      <c r="AE2105" s="53"/>
      <c r="AF2105" s="53"/>
      <c r="AG2105" s="53"/>
    </row>
    <row r="2106" spans="1:33" s="46" customFormat="1">
      <c r="A2106" s="54"/>
      <c r="B2106" s="16"/>
      <c r="C2106" s="55"/>
      <c r="D2106" s="56"/>
      <c r="E2106" s="16"/>
      <c r="F2106" s="16"/>
      <c r="G2106" s="16"/>
      <c r="H2106" s="54"/>
      <c r="I2106" s="16"/>
      <c r="J2106" s="54"/>
      <c r="K2106" s="42"/>
      <c r="L2106" s="16"/>
      <c r="M2106" s="16"/>
      <c r="AA2106" s="14">
        <f t="shared" si="66"/>
        <v>0</v>
      </c>
      <c r="AB2106" s="47">
        <f t="shared" si="67"/>
        <v>-1</v>
      </c>
      <c r="AD2106" s="53"/>
      <c r="AE2106" s="53"/>
      <c r="AF2106" s="53"/>
      <c r="AG2106" s="53"/>
    </row>
    <row r="2107" spans="1:33" s="46" customFormat="1">
      <c r="A2107" s="54"/>
      <c r="B2107" s="16"/>
      <c r="C2107" s="55"/>
      <c r="D2107" s="56"/>
      <c r="E2107" s="16"/>
      <c r="F2107" s="16"/>
      <c r="G2107" s="16"/>
      <c r="H2107" s="54"/>
      <c r="I2107" s="16"/>
      <c r="J2107" s="54"/>
      <c r="K2107" s="42"/>
      <c r="L2107" s="16"/>
      <c r="M2107" s="16"/>
      <c r="AA2107" s="14">
        <f t="shared" si="66"/>
        <v>0</v>
      </c>
      <c r="AB2107" s="47">
        <f t="shared" si="67"/>
        <v>-1</v>
      </c>
      <c r="AD2107" s="53"/>
      <c r="AE2107" s="53"/>
      <c r="AF2107" s="53"/>
      <c r="AG2107" s="53"/>
    </row>
    <row r="2108" spans="1:33" s="46" customFormat="1">
      <c r="A2108" s="54"/>
      <c r="B2108" s="16"/>
      <c r="C2108" s="55"/>
      <c r="D2108" s="56"/>
      <c r="E2108" s="16"/>
      <c r="F2108" s="16"/>
      <c r="G2108" s="16"/>
      <c r="H2108" s="54"/>
      <c r="I2108" s="16"/>
      <c r="J2108" s="54"/>
      <c r="K2108" s="42"/>
      <c r="L2108" s="16"/>
      <c r="M2108" s="16"/>
      <c r="AA2108" s="14">
        <f t="shared" si="66"/>
        <v>0</v>
      </c>
      <c r="AB2108" s="47">
        <f t="shared" si="67"/>
        <v>-1</v>
      </c>
      <c r="AD2108" s="53"/>
      <c r="AE2108" s="53"/>
      <c r="AF2108" s="53"/>
      <c r="AG2108" s="53"/>
    </row>
    <row r="2109" spans="1:33" s="46" customFormat="1">
      <c r="A2109" s="54"/>
      <c r="B2109" s="16"/>
      <c r="C2109" s="55"/>
      <c r="D2109" s="56"/>
      <c r="E2109" s="16"/>
      <c r="F2109" s="16"/>
      <c r="G2109" s="16"/>
      <c r="H2109" s="54"/>
      <c r="I2109" s="16"/>
      <c r="J2109" s="54"/>
      <c r="K2109" s="42"/>
      <c r="L2109" s="16"/>
      <c r="M2109" s="16"/>
      <c r="AA2109" s="14">
        <f t="shared" si="66"/>
        <v>0</v>
      </c>
      <c r="AB2109" s="47">
        <f t="shared" si="67"/>
        <v>-1</v>
      </c>
      <c r="AD2109" s="53"/>
      <c r="AE2109" s="53"/>
      <c r="AF2109" s="53"/>
      <c r="AG2109" s="53"/>
    </row>
    <row r="2110" spans="1:33" s="46" customFormat="1">
      <c r="A2110" s="54"/>
      <c r="B2110" s="16"/>
      <c r="C2110" s="55"/>
      <c r="D2110" s="56"/>
      <c r="E2110" s="16"/>
      <c r="F2110" s="16"/>
      <c r="G2110" s="16"/>
      <c r="H2110" s="54"/>
      <c r="I2110" s="16"/>
      <c r="J2110" s="54"/>
      <c r="K2110" s="42"/>
      <c r="L2110" s="16"/>
      <c r="M2110" s="16"/>
      <c r="AA2110" s="14">
        <f t="shared" si="66"/>
        <v>0</v>
      </c>
      <c r="AB2110" s="47">
        <f t="shared" si="67"/>
        <v>-1</v>
      </c>
      <c r="AD2110" s="53"/>
      <c r="AE2110" s="53"/>
      <c r="AF2110" s="53"/>
      <c r="AG2110" s="53"/>
    </row>
    <row r="2111" spans="1:33" s="46" customFormat="1">
      <c r="A2111" s="54"/>
      <c r="B2111" s="16"/>
      <c r="C2111" s="55"/>
      <c r="D2111" s="56"/>
      <c r="E2111" s="16"/>
      <c r="F2111" s="16"/>
      <c r="G2111" s="16"/>
      <c r="H2111" s="54"/>
      <c r="I2111" s="16"/>
      <c r="J2111" s="54"/>
      <c r="K2111" s="42"/>
      <c r="L2111" s="16"/>
      <c r="M2111" s="16"/>
      <c r="AA2111" s="14">
        <f t="shared" si="66"/>
        <v>0</v>
      </c>
      <c r="AB2111" s="47">
        <f t="shared" si="67"/>
        <v>-1</v>
      </c>
      <c r="AD2111" s="53"/>
      <c r="AE2111" s="53"/>
      <c r="AF2111" s="53"/>
      <c r="AG2111" s="53"/>
    </row>
    <row r="2112" spans="1:33" s="46" customFormat="1">
      <c r="A2112" s="54"/>
      <c r="B2112" s="16"/>
      <c r="C2112" s="55"/>
      <c r="D2112" s="56"/>
      <c r="E2112" s="16"/>
      <c r="F2112" s="16"/>
      <c r="G2112" s="16"/>
      <c r="H2112" s="54"/>
      <c r="I2112" s="16"/>
      <c r="J2112" s="54"/>
      <c r="K2112" s="42"/>
      <c r="L2112" s="16"/>
      <c r="M2112" s="16"/>
      <c r="AA2112" s="14">
        <f t="shared" si="66"/>
        <v>0</v>
      </c>
      <c r="AB2112" s="47">
        <f t="shared" si="67"/>
        <v>-1</v>
      </c>
      <c r="AD2112" s="53"/>
      <c r="AE2112" s="53"/>
      <c r="AF2112" s="53"/>
      <c r="AG2112" s="53"/>
    </row>
    <row r="2113" spans="1:33" s="46" customFormat="1">
      <c r="A2113" s="54"/>
      <c r="B2113" s="16"/>
      <c r="C2113" s="55"/>
      <c r="D2113" s="56"/>
      <c r="E2113" s="16"/>
      <c r="F2113" s="16"/>
      <c r="G2113" s="16"/>
      <c r="H2113" s="54"/>
      <c r="I2113" s="16"/>
      <c r="J2113" s="54"/>
      <c r="K2113" s="42"/>
      <c r="L2113" s="16"/>
      <c r="M2113" s="16"/>
      <c r="AA2113" s="14">
        <f t="shared" si="66"/>
        <v>0</v>
      </c>
      <c r="AB2113" s="47">
        <f t="shared" si="67"/>
        <v>-1</v>
      </c>
      <c r="AD2113" s="53"/>
      <c r="AE2113" s="53"/>
      <c r="AF2113" s="53"/>
      <c r="AG2113" s="53"/>
    </row>
    <row r="2114" spans="1:33" s="46" customFormat="1">
      <c r="A2114" s="54"/>
      <c r="B2114" s="16"/>
      <c r="C2114" s="55"/>
      <c r="D2114" s="56"/>
      <c r="E2114" s="16"/>
      <c r="F2114" s="16"/>
      <c r="G2114" s="16"/>
      <c r="H2114" s="54"/>
      <c r="I2114" s="16"/>
      <c r="J2114" s="54"/>
      <c r="K2114" s="42"/>
      <c r="L2114" s="16"/>
      <c r="M2114" s="16"/>
      <c r="AA2114" s="14">
        <f t="shared" si="66"/>
        <v>0</v>
      </c>
      <c r="AB2114" s="47">
        <f t="shared" si="67"/>
        <v>-1</v>
      </c>
      <c r="AD2114" s="53"/>
      <c r="AE2114" s="53"/>
      <c r="AF2114" s="53"/>
      <c r="AG2114" s="53"/>
    </row>
    <row r="2115" spans="1:33" s="46" customFormat="1">
      <c r="A2115" s="54"/>
      <c r="B2115" s="16"/>
      <c r="C2115" s="55"/>
      <c r="D2115" s="56"/>
      <c r="E2115" s="16"/>
      <c r="F2115" s="16"/>
      <c r="G2115" s="16"/>
      <c r="H2115" s="54"/>
      <c r="I2115" s="16"/>
      <c r="J2115" s="54"/>
      <c r="K2115" s="42"/>
      <c r="L2115" s="16"/>
      <c r="M2115" s="16"/>
      <c r="AA2115" s="14">
        <f t="shared" si="66"/>
        <v>0</v>
      </c>
      <c r="AB2115" s="47">
        <f t="shared" si="67"/>
        <v>-1</v>
      </c>
      <c r="AD2115" s="53"/>
      <c r="AE2115" s="53"/>
      <c r="AF2115" s="53"/>
      <c r="AG2115" s="53"/>
    </row>
    <row r="2116" spans="1:33" s="46" customFormat="1">
      <c r="A2116" s="54"/>
      <c r="B2116" s="16"/>
      <c r="C2116" s="55"/>
      <c r="D2116" s="56"/>
      <c r="E2116" s="16"/>
      <c r="F2116" s="16"/>
      <c r="G2116" s="16"/>
      <c r="H2116" s="54"/>
      <c r="I2116" s="16"/>
      <c r="J2116" s="54"/>
      <c r="K2116" s="42"/>
      <c r="L2116" s="16"/>
      <c r="M2116" s="16"/>
      <c r="AA2116" s="14">
        <f t="shared" si="66"/>
        <v>0</v>
      </c>
      <c r="AB2116" s="47">
        <f t="shared" si="67"/>
        <v>-1</v>
      </c>
      <c r="AD2116" s="53"/>
      <c r="AE2116" s="53"/>
      <c r="AF2116" s="53"/>
      <c r="AG2116" s="53"/>
    </row>
    <row r="2117" spans="1:33" s="46" customFormat="1">
      <c r="A2117" s="54"/>
      <c r="B2117" s="16"/>
      <c r="C2117" s="55"/>
      <c r="D2117" s="56"/>
      <c r="E2117" s="16"/>
      <c r="F2117" s="16"/>
      <c r="G2117" s="16"/>
      <c r="H2117" s="54"/>
      <c r="I2117" s="16"/>
      <c r="J2117" s="54"/>
      <c r="K2117" s="42"/>
      <c r="L2117" s="16"/>
      <c r="M2117" s="16"/>
      <c r="AA2117" s="14">
        <f t="shared" si="66"/>
        <v>0</v>
      </c>
      <c r="AB2117" s="47">
        <f t="shared" si="67"/>
        <v>-1</v>
      </c>
      <c r="AD2117" s="53"/>
      <c r="AE2117" s="53"/>
      <c r="AF2117" s="53"/>
      <c r="AG2117" s="53"/>
    </row>
    <row r="2118" spans="1:33" s="46" customFormat="1">
      <c r="A2118" s="54"/>
      <c r="B2118" s="16"/>
      <c r="C2118" s="55"/>
      <c r="D2118" s="56"/>
      <c r="E2118" s="16"/>
      <c r="F2118" s="16"/>
      <c r="G2118" s="16"/>
      <c r="H2118" s="54"/>
      <c r="I2118" s="16"/>
      <c r="J2118" s="54"/>
      <c r="K2118" s="42"/>
      <c r="L2118" s="16"/>
      <c r="M2118" s="16"/>
      <c r="AA2118" s="14">
        <f t="shared" si="66"/>
        <v>0</v>
      </c>
      <c r="AB2118" s="47">
        <f t="shared" si="67"/>
        <v>-1</v>
      </c>
      <c r="AD2118" s="53"/>
      <c r="AE2118" s="53"/>
      <c r="AF2118" s="53"/>
      <c r="AG2118" s="53"/>
    </row>
    <row r="2119" spans="1:33" s="46" customFormat="1">
      <c r="A2119" s="54"/>
      <c r="B2119" s="16"/>
      <c r="C2119" s="55"/>
      <c r="D2119" s="56"/>
      <c r="E2119" s="16"/>
      <c r="F2119" s="16"/>
      <c r="G2119" s="16"/>
      <c r="H2119" s="54"/>
      <c r="I2119" s="16"/>
      <c r="J2119" s="54"/>
      <c r="K2119" s="42"/>
      <c r="L2119" s="16"/>
      <c r="M2119" s="16"/>
      <c r="AA2119" s="14">
        <f t="shared" si="66"/>
        <v>0</v>
      </c>
      <c r="AB2119" s="47">
        <f t="shared" si="67"/>
        <v>-1</v>
      </c>
      <c r="AD2119" s="53"/>
      <c r="AE2119" s="53"/>
      <c r="AF2119" s="53"/>
      <c r="AG2119" s="53"/>
    </row>
    <row r="2120" spans="1:33" s="46" customFormat="1">
      <c r="A2120" s="54"/>
      <c r="B2120" s="16"/>
      <c r="C2120" s="55"/>
      <c r="D2120" s="56"/>
      <c r="E2120" s="16"/>
      <c r="F2120" s="16"/>
      <c r="G2120" s="16"/>
      <c r="H2120" s="54"/>
      <c r="I2120" s="16"/>
      <c r="J2120" s="54"/>
      <c r="K2120" s="42"/>
      <c r="L2120" s="16"/>
      <c r="M2120" s="16"/>
      <c r="AA2120" s="14">
        <f t="shared" si="66"/>
        <v>0</v>
      </c>
      <c r="AB2120" s="47">
        <f t="shared" si="67"/>
        <v>-1</v>
      </c>
      <c r="AD2120" s="53"/>
      <c r="AE2120" s="53"/>
      <c r="AF2120" s="53"/>
      <c r="AG2120" s="53"/>
    </row>
    <row r="2121" spans="1:33" s="46" customFormat="1">
      <c r="A2121" s="54"/>
      <c r="B2121" s="16"/>
      <c r="C2121" s="55"/>
      <c r="D2121" s="56"/>
      <c r="E2121" s="16"/>
      <c r="F2121" s="16"/>
      <c r="G2121" s="16"/>
      <c r="H2121" s="54"/>
      <c r="I2121" s="16"/>
      <c r="J2121" s="54"/>
      <c r="K2121" s="42"/>
      <c r="L2121" s="16"/>
      <c r="M2121" s="16"/>
      <c r="AA2121" s="14">
        <f t="shared" si="66"/>
        <v>0</v>
      </c>
      <c r="AB2121" s="47">
        <f t="shared" si="67"/>
        <v>-1</v>
      </c>
      <c r="AD2121" s="53"/>
      <c r="AE2121" s="53"/>
      <c r="AF2121" s="53"/>
      <c r="AG2121" s="53"/>
    </row>
    <row r="2122" spans="1:33" s="46" customFormat="1">
      <c r="A2122" s="54"/>
      <c r="B2122" s="16"/>
      <c r="C2122" s="55"/>
      <c r="D2122" s="56"/>
      <c r="E2122" s="16"/>
      <c r="F2122" s="16"/>
      <c r="G2122" s="16"/>
      <c r="H2122" s="54"/>
      <c r="I2122" s="16"/>
      <c r="J2122" s="54"/>
      <c r="K2122" s="42"/>
      <c r="L2122" s="16"/>
      <c r="M2122" s="16"/>
      <c r="AA2122" s="14">
        <f t="shared" si="66"/>
        <v>0</v>
      </c>
      <c r="AB2122" s="47">
        <f t="shared" si="67"/>
        <v>-1</v>
      </c>
      <c r="AD2122" s="53"/>
      <c r="AE2122" s="53"/>
      <c r="AF2122" s="53"/>
      <c r="AG2122" s="53"/>
    </row>
    <row r="2123" spans="1:33" s="46" customFormat="1">
      <c r="A2123" s="54"/>
      <c r="B2123" s="16"/>
      <c r="C2123" s="55"/>
      <c r="D2123" s="56"/>
      <c r="E2123" s="16"/>
      <c r="F2123" s="16"/>
      <c r="G2123" s="16"/>
      <c r="H2123" s="54"/>
      <c r="I2123" s="16"/>
      <c r="J2123" s="54"/>
      <c r="K2123" s="42"/>
      <c r="L2123" s="16"/>
      <c r="M2123" s="16"/>
      <c r="AA2123" s="14">
        <f t="shared" si="66"/>
        <v>0</v>
      </c>
      <c r="AB2123" s="47">
        <f t="shared" si="67"/>
        <v>-1</v>
      </c>
      <c r="AD2123" s="53"/>
      <c r="AE2123" s="53"/>
      <c r="AF2123" s="53"/>
      <c r="AG2123" s="53"/>
    </row>
    <row r="2124" spans="1:33" s="46" customFormat="1">
      <c r="A2124" s="54"/>
      <c r="B2124" s="16"/>
      <c r="C2124" s="55"/>
      <c r="D2124" s="56"/>
      <c r="E2124" s="16"/>
      <c r="F2124" s="16"/>
      <c r="G2124" s="16"/>
      <c r="H2124" s="54"/>
      <c r="I2124" s="16"/>
      <c r="J2124" s="54"/>
      <c r="K2124" s="42"/>
      <c r="L2124" s="16"/>
      <c r="M2124" s="16"/>
      <c r="AA2124" s="14">
        <f t="shared" si="66"/>
        <v>0</v>
      </c>
      <c r="AB2124" s="47">
        <f t="shared" si="67"/>
        <v>-1</v>
      </c>
      <c r="AD2124" s="53"/>
      <c r="AE2124" s="53"/>
      <c r="AF2124" s="53"/>
      <c r="AG2124" s="53"/>
    </row>
    <row r="2125" spans="1:33" s="46" customFormat="1">
      <c r="A2125" s="54"/>
      <c r="B2125" s="16"/>
      <c r="C2125" s="55"/>
      <c r="D2125" s="56"/>
      <c r="E2125" s="16"/>
      <c r="F2125" s="16"/>
      <c r="G2125" s="16"/>
      <c r="H2125" s="54"/>
      <c r="I2125" s="16"/>
      <c r="J2125" s="54"/>
      <c r="K2125" s="42"/>
      <c r="L2125" s="16"/>
      <c r="M2125" s="16"/>
      <c r="AA2125" s="14">
        <f t="shared" si="66"/>
        <v>0</v>
      </c>
      <c r="AB2125" s="47">
        <f t="shared" si="67"/>
        <v>-1</v>
      </c>
      <c r="AD2125" s="53"/>
      <c r="AE2125" s="53"/>
      <c r="AF2125" s="53"/>
      <c r="AG2125" s="53"/>
    </row>
    <row r="2126" spans="1:33" s="46" customFormat="1">
      <c r="A2126" s="54"/>
      <c r="B2126" s="16"/>
      <c r="C2126" s="55"/>
      <c r="D2126" s="56"/>
      <c r="E2126" s="16"/>
      <c r="F2126" s="16"/>
      <c r="G2126" s="16"/>
      <c r="H2126" s="54"/>
      <c r="I2126" s="16"/>
      <c r="J2126" s="54"/>
      <c r="K2126" s="42"/>
      <c r="L2126" s="16"/>
      <c r="M2126" s="16"/>
      <c r="AA2126" s="14">
        <f t="shared" si="66"/>
        <v>0</v>
      </c>
      <c r="AB2126" s="47">
        <f t="shared" si="67"/>
        <v>-1</v>
      </c>
      <c r="AD2126" s="53"/>
      <c r="AE2126" s="53"/>
      <c r="AF2126" s="53"/>
      <c r="AG2126" s="53"/>
    </row>
    <row r="2127" spans="1:33" s="46" customFormat="1">
      <c r="A2127" s="54"/>
      <c r="B2127" s="16"/>
      <c r="C2127" s="55"/>
      <c r="D2127" s="56"/>
      <c r="E2127" s="16"/>
      <c r="F2127" s="16"/>
      <c r="G2127" s="16"/>
      <c r="H2127" s="54"/>
      <c r="I2127" s="16"/>
      <c r="J2127" s="54"/>
      <c r="K2127" s="42"/>
      <c r="L2127" s="16"/>
      <c r="M2127" s="16"/>
      <c r="AA2127" s="14">
        <f t="shared" si="66"/>
        <v>0</v>
      </c>
      <c r="AB2127" s="47">
        <f t="shared" si="67"/>
        <v>-1</v>
      </c>
      <c r="AD2127" s="53"/>
      <c r="AE2127" s="53"/>
      <c r="AF2127" s="53"/>
      <c r="AG2127" s="53"/>
    </row>
    <row r="2128" spans="1:33" s="46" customFormat="1">
      <c r="A2128" s="54"/>
      <c r="B2128" s="16"/>
      <c r="C2128" s="55"/>
      <c r="D2128" s="56"/>
      <c r="E2128" s="16"/>
      <c r="F2128" s="16"/>
      <c r="G2128" s="16"/>
      <c r="H2128" s="54"/>
      <c r="I2128" s="16"/>
      <c r="J2128" s="54"/>
      <c r="K2128" s="42"/>
      <c r="L2128" s="16"/>
      <c r="M2128" s="16"/>
      <c r="AA2128" s="14">
        <f t="shared" si="66"/>
        <v>0</v>
      </c>
      <c r="AB2128" s="47">
        <f t="shared" si="67"/>
        <v>-1</v>
      </c>
      <c r="AD2128" s="53"/>
      <c r="AE2128" s="53"/>
      <c r="AF2128" s="53"/>
      <c r="AG2128" s="53"/>
    </row>
    <row r="2129" spans="1:33" s="46" customFormat="1">
      <c r="A2129" s="54"/>
      <c r="B2129" s="16"/>
      <c r="C2129" s="55"/>
      <c r="D2129" s="56"/>
      <c r="E2129" s="16"/>
      <c r="F2129" s="16"/>
      <c r="G2129" s="16"/>
      <c r="H2129" s="54"/>
      <c r="I2129" s="16"/>
      <c r="J2129" s="54"/>
      <c r="K2129" s="42"/>
      <c r="L2129" s="16"/>
      <c r="M2129" s="16"/>
      <c r="AA2129" s="14">
        <f t="shared" si="66"/>
        <v>0</v>
      </c>
      <c r="AB2129" s="47">
        <f t="shared" si="67"/>
        <v>-1</v>
      </c>
      <c r="AD2129" s="53"/>
      <c r="AE2129" s="53"/>
      <c r="AF2129" s="53"/>
      <c r="AG2129" s="53"/>
    </row>
    <row r="2130" spans="1:33" s="46" customFormat="1">
      <c r="A2130" s="54"/>
      <c r="B2130" s="16"/>
      <c r="C2130" s="55"/>
      <c r="D2130" s="56"/>
      <c r="E2130" s="16"/>
      <c r="F2130" s="16"/>
      <c r="G2130" s="16"/>
      <c r="H2130" s="54"/>
      <c r="I2130" s="16"/>
      <c r="J2130" s="54"/>
      <c r="K2130" s="42"/>
      <c r="L2130" s="16"/>
      <c r="M2130" s="16"/>
      <c r="AA2130" s="14">
        <f t="shared" si="66"/>
        <v>0</v>
      </c>
      <c r="AB2130" s="47">
        <f t="shared" si="67"/>
        <v>-1</v>
      </c>
      <c r="AD2130" s="53"/>
      <c r="AE2130" s="53"/>
      <c r="AF2130" s="53"/>
      <c r="AG2130" s="53"/>
    </row>
    <row r="2131" spans="1:33" s="46" customFormat="1">
      <c r="A2131" s="54"/>
      <c r="B2131" s="16"/>
      <c r="C2131" s="55"/>
      <c r="D2131" s="56"/>
      <c r="E2131" s="16"/>
      <c r="F2131" s="16"/>
      <c r="G2131" s="16"/>
      <c r="H2131" s="54"/>
      <c r="I2131" s="16"/>
      <c r="J2131" s="54"/>
      <c r="K2131" s="42"/>
      <c r="L2131" s="16"/>
      <c r="M2131" s="16"/>
      <c r="AA2131" s="14">
        <f t="shared" si="66"/>
        <v>0</v>
      </c>
      <c r="AB2131" s="47">
        <f t="shared" si="67"/>
        <v>-1</v>
      </c>
      <c r="AD2131" s="53"/>
      <c r="AE2131" s="53"/>
      <c r="AF2131" s="53"/>
      <c r="AG2131" s="53"/>
    </row>
    <row r="2132" spans="1:33" s="46" customFormat="1">
      <c r="A2132" s="54"/>
      <c r="B2132" s="16"/>
      <c r="C2132" s="55"/>
      <c r="D2132" s="56"/>
      <c r="E2132" s="16"/>
      <c r="F2132" s="16"/>
      <c r="G2132" s="16"/>
      <c r="H2132" s="54"/>
      <c r="I2132" s="16"/>
      <c r="J2132" s="54"/>
      <c r="K2132" s="42"/>
      <c r="L2132" s="16"/>
      <c r="M2132" s="16"/>
      <c r="AA2132" s="14">
        <f t="shared" si="66"/>
        <v>0</v>
      </c>
      <c r="AB2132" s="47">
        <f t="shared" si="67"/>
        <v>-1</v>
      </c>
      <c r="AD2132" s="53"/>
      <c r="AE2132" s="53"/>
      <c r="AF2132" s="53"/>
      <c r="AG2132" s="53"/>
    </row>
    <row r="2133" spans="1:33" s="46" customFormat="1">
      <c r="A2133" s="54"/>
      <c r="B2133" s="16"/>
      <c r="C2133" s="55"/>
      <c r="D2133" s="56"/>
      <c r="E2133" s="16"/>
      <c r="F2133" s="16"/>
      <c r="G2133" s="16"/>
      <c r="H2133" s="54"/>
      <c r="I2133" s="16"/>
      <c r="J2133" s="54"/>
      <c r="K2133" s="42"/>
      <c r="L2133" s="16"/>
      <c r="M2133" s="16"/>
      <c r="AA2133" s="14">
        <f t="shared" si="66"/>
        <v>0</v>
      </c>
      <c r="AB2133" s="47">
        <f t="shared" si="67"/>
        <v>-1</v>
      </c>
      <c r="AD2133" s="53"/>
      <c r="AE2133" s="53"/>
      <c r="AF2133" s="53"/>
      <c r="AG2133" s="53"/>
    </row>
    <row r="2134" spans="1:33" s="46" customFormat="1">
      <c r="A2134" s="54"/>
      <c r="B2134" s="16"/>
      <c r="C2134" s="55"/>
      <c r="D2134" s="56"/>
      <c r="E2134" s="16"/>
      <c r="F2134" s="16"/>
      <c r="G2134" s="16"/>
      <c r="H2134" s="54"/>
      <c r="I2134" s="16"/>
      <c r="J2134" s="54"/>
      <c r="K2134" s="42"/>
      <c r="L2134" s="16"/>
      <c r="M2134" s="16"/>
      <c r="AA2134" s="14">
        <f t="shared" si="66"/>
        <v>0</v>
      </c>
      <c r="AB2134" s="47">
        <f t="shared" si="67"/>
        <v>-1</v>
      </c>
      <c r="AD2134" s="53"/>
      <c r="AE2134" s="53"/>
      <c r="AF2134" s="53"/>
      <c r="AG2134" s="53"/>
    </row>
    <row r="2135" spans="1:33" s="46" customFormat="1">
      <c r="A2135" s="54"/>
      <c r="B2135" s="16"/>
      <c r="C2135" s="55"/>
      <c r="D2135" s="56"/>
      <c r="E2135" s="16"/>
      <c r="F2135" s="16"/>
      <c r="G2135" s="16"/>
      <c r="H2135" s="54"/>
      <c r="I2135" s="16"/>
      <c r="J2135" s="54"/>
      <c r="K2135" s="42"/>
      <c r="L2135" s="16"/>
      <c r="M2135" s="16"/>
      <c r="AA2135" s="14">
        <f t="shared" si="66"/>
        <v>0</v>
      </c>
      <c r="AB2135" s="47">
        <f t="shared" si="67"/>
        <v>-1</v>
      </c>
      <c r="AD2135" s="53"/>
      <c r="AE2135" s="53"/>
      <c r="AF2135" s="53"/>
      <c r="AG2135" s="53"/>
    </row>
    <row r="2136" spans="1:33" s="46" customFormat="1">
      <c r="A2136" s="54"/>
      <c r="B2136" s="16"/>
      <c r="C2136" s="55"/>
      <c r="D2136" s="56"/>
      <c r="E2136" s="16"/>
      <c r="F2136" s="16"/>
      <c r="G2136" s="16"/>
      <c r="H2136" s="54"/>
      <c r="I2136" s="16"/>
      <c r="J2136" s="54"/>
      <c r="K2136" s="42"/>
      <c r="L2136" s="16"/>
      <c r="M2136" s="16"/>
      <c r="AA2136" s="14">
        <f t="shared" si="66"/>
        <v>0</v>
      </c>
      <c r="AB2136" s="47">
        <f t="shared" si="67"/>
        <v>-1</v>
      </c>
      <c r="AD2136" s="53"/>
      <c r="AE2136" s="53"/>
      <c r="AF2136" s="53"/>
      <c r="AG2136" s="53"/>
    </row>
    <row r="2137" spans="1:33" s="46" customFormat="1">
      <c r="A2137" s="54"/>
      <c r="B2137" s="16"/>
      <c r="C2137" s="55"/>
      <c r="D2137" s="56"/>
      <c r="E2137" s="16"/>
      <c r="F2137" s="16"/>
      <c r="G2137" s="16"/>
      <c r="H2137" s="54"/>
      <c r="I2137" s="16"/>
      <c r="J2137" s="54"/>
      <c r="K2137" s="42"/>
      <c r="L2137" s="16"/>
      <c r="M2137" s="16"/>
      <c r="AA2137" s="14">
        <f t="shared" si="66"/>
        <v>0</v>
      </c>
      <c r="AB2137" s="47">
        <f t="shared" si="67"/>
        <v>-1</v>
      </c>
      <c r="AD2137" s="53"/>
      <c r="AE2137" s="53"/>
      <c r="AF2137" s="53"/>
      <c r="AG2137" s="53"/>
    </row>
    <row r="2138" spans="1:33" s="46" customFormat="1">
      <c r="A2138" s="54"/>
      <c r="B2138" s="16"/>
      <c r="C2138" s="55"/>
      <c r="D2138" s="56"/>
      <c r="E2138" s="16"/>
      <c r="F2138" s="16"/>
      <c r="G2138" s="16"/>
      <c r="H2138" s="54"/>
      <c r="I2138" s="16"/>
      <c r="J2138" s="54"/>
      <c r="K2138" s="42"/>
      <c r="L2138" s="16"/>
      <c r="M2138" s="16"/>
      <c r="AA2138" s="14">
        <f t="shared" si="66"/>
        <v>0</v>
      </c>
      <c r="AB2138" s="47">
        <f t="shared" si="67"/>
        <v>-1</v>
      </c>
      <c r="AD2138" s="53"/>
      <c r="AE2138" s="53"/>
      <c r="AF2138" s="53"/>
      <c r="AG2138" s="53"/>
    </row>
    <row r="2139" spans="1:33" s="46" customFormat="1">
      <c r="A2139" s="54"/>
      <c r="B2139" s="16"/>
      <c r="C2139" s="55"/>
      <c r="D2139" s="56"/>
      <c r="E2139" s="16"/>
      <c r="F2139" s="16"/>
      <c r="G2139" s="16"/>
      <c r="H2139" s="54"/>
      <c r="I2139" s="16"/>
      <c r="J2139" s="54"/>
      <c r="K2139" s="42"/>
      <c r="L2139" s="16"/>
      <c r="M2139" s="16"/>
      <c r="AA2139" s="14">
        <f t="shared" si="66"/>
        <v>0</v>
      </c>
      <c r="AB2139" s="47">
        <f t="shared" si="67"/>
        <v>-1</v>
      </c>
      <c r="AD2139" s="53"/>
      <c r="AE2139" s="53"/>
      <c r="AF2139" s="53"/>
      <c r="AG2139" s="53"/>
    </row>
    <row r="2140" spans="1:33" s="46" customFormat="1">
      <c r="A2140" s="54"/>
      <c r="B2140" s="16"/>
      <c r="C2140" s="55"/>
      <c r="D2140" s="56"/>
      <c r="E2140" s="16"/>
      <c r="F2140" s="16"/>
      <c r="G2140" s="16"/>
      <c r="H2140" s="54"/>
      <c r="I2140" s="16"/>
      <c r="J2140" s="54"/>
      <c r="K2140" s="42"/>
      <c r="L2140" s="16"/>
      <c r="M2140" s="16"/>
      <c r="AA2140" s="14">
        <f t="shared" si="66"/>
        <v>0</v>
      </c>
      <c r="AB2140" s="47">
        <f t="shared" si="67"/>
        <v>-1</v>
      </c>
      <c r="AD2140" s="53"/>
      <c r="AE2140" s="53"/>
      <c r="AF2140" s="53"/>
      <c r="AG2140" s="53"/>
    </row>
    <row r="2141" spans="1:33" s="46" customFormat="1">
      <c r="A2141" s="54"/>
      <c r="B2141" s="16"/>
      <c r="C2141" s="55"/>
      <c r="D2141" s="56"/>
      <c r="E2141" s="16"/>
      <c r="F2141" s="16"/>
      <c r="G2141" s="16"/>
      <c r="H2141" s="54"/>
      <c r="I2141" s="16"/>
      <c r="J2141" s="54"/>
      <c r="K2141" s="42"/>
      <c r="L2141" s="16"/>
      <c r="M2141" s="16"/>
      <c r="AA2141" s="14">
        <f t="shared" si="66"/>
        <v>0</v>
      </c>
      <c r="AB2141" s="47">
        <f t="shared" si="67"/>
        <v>-1</v>
      </c>
      <c r="AD2141" s="53"/>
      <c r="AE2141" s="53"/>
      <c r="AF2141" s="53"/>
      <c r="AG2141" s="53"/>
    </row>
    <row r="2142" spans="1:33" s="46" customFormat="1">
      <c r="A2142" s="54"/>
      <c r="B2142" s="16"/>
      <c r="C2142" s="55"/>
      <c r="D2142" s="56"/>
      <c r="E2142" s="16"/>
      <c r="F2142" s="16"/>
      <c r="G2142" s="16"/>
      <c r="H2142" s="54"/>
      <c r="I2142" s="16"/>
      <c r="J2142" s="54"/>
      <c r="K2142" s="42"/>
      <c r="L2142" s="16"/>
      <c r="M2142" s="16"/>
      <c r="AA2142" s="14">
        <f t="shared" si="66"/>
        <v>0</v>
      </c>
      <c r="AB2142" s="47">
        <f t="shared" si="67"/>
        <v>-1</v>
      </c>
      <c r="AD2142" s="53"/>
      <c r="AE2142" s="53"/>
      <c r="AF2142" s="53"/>
      <c r="AG2142" s="53"/>
    </row>
    <row r="2143" spans="1:33" s="46" customFormat="1">
      <c r="A2143" s="54"/>
      <c r="B2143" s="16"/>
      <c r="C2143" s="55"/>
      <c r="D2143" s="56"/>
      <c r="E2143" s="16"/>
      <c r="F2143" s="16"/>
      <c r="G2143" s="16"/>
      <c r="H2143" s="54"/>
      <c r="I2143" s="16"/>
      <c r="J2143" s="54"/>
      <c r="K2143" s="42"/>
      <c r="L2143" s="16"/>
      <c r="M2143" s="16"/>
      <c r="AA2143" s="14">
        <f t="shared" si="66"/>
        <v>0</v>
      </c>
      <c r="AB2143" s="47">
        <f t="shared" si="67"/>
        <v>-1</v>
      </c>
      <c r="AD2143" s="53"/>
      <c r="AE2143" s="53"/>
      <c r="AF2143" s="53"/>
      <c r="AG2143" s="53"/>
    </row>
    <row r="2144" spans="1:33" s="46" customFormat="1">
      <c r="A2144" s="54"/>
      <c r="B2144" s="16"/>
      <c r="C2144" s="55"/>
      <c r="D2144" s="56"/>
      <c r="E2144" s="16"/>
      <c r="F2144" s="16"/>
      <c r="G2144" s="16"/>
      <c r="H2144" s="54"/>
      <c r="I2144" s="16"/>
      <c r="J2144" s="54"/>
      <c r="K2144" s="42"/>
      <c r="L2144" s="16"/>
      <c r="M2144" s="16"/>
      <c r="AA2144" s="14">
        <f t="shared" si="66"/>
        <v>0</v>
      </c>
      <c r="AB2144" s="47">
        <f t="shared" si="67"/>
        <v>-1</v>
      </c>
      <c r="AD2144" s="53"/>
      <c r="AE2144" s="53"/>
      <c r="AF2144" s="53"/>
      <c r="AG2144" s="53"/>
    </row>
    <row r="2145" spans="1:33" s="46" customFormat="1">
      <c r="A2145" s="54"/>
      <c r="B2145" s="16"/>
      <c r="C2145" s="55"/>
      <c r="D2145" s="56"/>
      <c r="E2145" s="16"/>
      <c r="F2145" s="16"/>
      <c r="G2145" s="16"/>
      <c r="H2145" s="54"/>
      <c r="I2145" s="16"/>
      <c r="J2145" s="54"/>
      <c r="K2145" s="42"/>
      <c r="L2145" s="16"/>
      <c r="M2145" s="16"/>
      <c r="AA2145" s="14">
        <f t="shared" si="66"/>
        <v>0</v>
      </c>
      <c r="AB2145" s="47">
        <f t="shared" si="67"/>
        <v>-1</v>
      </c>
      <c r="AD2145" s="53"/>
      <c r="AE2145" s="53"/>
      <c r="AF2145" s="53"/>
      <c r="AG2145" s="53"/>
    </row>
    <row r="2146" spans="1:33" s="46" customFormat="1">
      <c r="A2146" s="54"/>
      <c r="B2146" s="16"/>
      <c r="C2146" s="55"/>
      <c r="D2146" s="56"/>
      <c r="E2146" s="16"/>
      <c r="F2146" s="16"/>
      <c r="G2146" s="16"/>
      <c r="H2146" s="54"/>
      <c r="I2146" s="16"/>
      <c r="J2146" s="54"/>
      <c r="K2146" s="42"/>
      <c r="L2146" s="16"/>
      <c r="M2146" s="16"/>
      <c r="AA2146" s="14">
        <f t="shared" si="66"/>
        <v>0</v>
      </c>
      <c r="AB2146" s="47">
        <f t="shared" si="67"/>
        <v>-1</v>
      </c>
      <c r="AD2146" s="53"/>
      <c r="AE2146" s="53"/>
      <c r="AF2146" s="53"/>
      <c r="AG2146" s="53"/>
    </row>
    <row r="2147" spans="1:33" s="46" customFormat="1">
      <c r="A2147" s="54"/>
      <c r="B2147" s="16"/>
      <c r="C2147" s="55"/>
      <c r="D2147" s="56"/>
      <c r="E2147" s="16"/>
      <c r="F2147" s="16"/>
      <c r="G2147" s="16"/>
      <c r="H2147" s="54"/>
      <c r="I2147" s="16"/>
      <c r="J2147" s="54"/>
      <c r="K2147" s="42"/>
      <c r="L2147" s="16"/>
      <c r="M2147" s="16"/>
      <c r="AA2147" s="14">
        <f t="shared" si="66"/>
        <v>0</v>
      </c>
      <c r="AB2147" s="47">
        <f t="shared" si="67"/>
        <v>-1</v>
      </c>
      <c r="AD2147" s="53"/>
      <c r="AE2147" s="53"/>
      <c r="AF2147" s="53"/>
      <c r="AG2147" s="53"/>
    </row>
    <row r="2148" spans="1:33" s="46" customFormat="1">
      <c r="A2148" s="54"/>
      <c r="B2148" s="16"/>
      <c r="C2148" s="55"/>
      <c r="D2148" s="56"/>
      <c r="E2148" s="16"/>
      <c r="F2148" s="16"/>
      <c r="G2148" s="16"/>
      <c r="H2148" s="54"/>
      <c r="I2148" s="16"/>
      <c r="J2148" s="54"/>
      <c r="K2148" s="42"/>
      <c r="L2148" s="16"/>
      <c r="M2148" s="16"/>
      <c r="AA2148" s="14">
        <f t="shared" si="66"/>
        <v>0</v>
      </c>
      <c r="AB2148" s="47">
        <f t="shared" si="67"/>
        <v>-1</v>
      </c>
      <c r="AD2148" s="53"/>
      <c r="AE2148" s="53"/>
      <c r="AF2148" s="53"/>
      <c r="AG2148" s="53"/>
    </row>
    <row r="2149" spans="1:33" s="46" customFormat="1">
      <c r="A2149" s="54"/>
      <c r="B2149" s="16"/>
      <c r="C2149" s="55"/>
      <c r="D2149" s="56"/>
      <c r="E2149" s="16"/>
      <c r="F2149" s="16"/>
      <c r="G2149" s="16"/>
      <c r="H2149" s="54"/>
      <c r="I2149" s="16"/>
      <c r="J2149" s="54"/>
      <c r="K2149" s="42"/>
      <c r="L2149" s="16"/>
      <c r="M2149" s="16"/>
      <c r="AA2149" s="14">
        <f t="shared" si="66"/>
        <v>0</v>
      </c>
      <c r="AB2149" s="47">
        <f t="shared" si="67"/>
        <v>-1</v>
      </c>
      <c r="AD2149" s="53"/>
      <c r="AE2149" s="53"/>
      <c r="AF2149" s="53"/>
      <c r="AG2149" s="53"/>
    </row>
    <row r="2150" spans="1:33" s="46" customFormat="1">
      <c r="A2150" s="54"/>
      <c r="B2150" s="16"/>
      <c r="C2150" s="55"/>
      <c r="D2150" s="56"/>
      <c r="E2150" s="16"/>
      <c r="F2150" s="16"/>
      <c r="G2150" s="16"/>
      <c r="H2150" s="54"/>
      <c r="I2150" s="16"/>
      <c r="J2150" s="54"/>
      <c r="K2150" s="42"/>
      <c r="L2150" s="16"/>
      <c r="M2150" s="16"/>
      <c r="AA2150" s="14">
        <f t="shared" si="66"/>
        <v>0</v>
      </c>
      <c r="AB2150" s="47">
        <f t="shared" si="67"/>
        <v>-1</v>
      </c>
      <c r="AD2150" s="53"/>
      <c r="AE2150" s="53"/>
      <c r="AF2150" s="53"/>
      <c r="AG2150" s="53"/>
    </row>
    <row r="2151" spans="1:33" s="46" customFormat="1">
      <c r="A2151" s="54"/>
      <c r="B2151" s="16"/>
      <c r="C2151" s="55"/>
      <c r="D2151" s="56"/>
      <c r="E2151" s="16"/>
      <c r="F2151" s="16"/>
      <c r="G2151" s="16"/>
      <c r="H2151" s="54"/>
      <c r="I2151" s="16"/>
      <c r="J2151" s="54"/>
      <c r="K2151" s="42"/>
      <c r="L2151" s="16"/>
      <c r="M2151" s="16"/>
      <c r="AA2151" s="14">
        <f t="shared" si="66"/>
        <v>0</v>
      </c>
      <c r="AB2151" s="47">
        <f t="shared" si="67"/>
        <v>-1</v>
      </c>
      <c r="AD2151" s="53"/>
      <c r="AE2151" s="53"/>
      <c r="AF2151" s="53"/>
      <c r="AG2151" s="53"/>
    </row>
    <row r="2152" spans="1:33" s="46" customFormat="1">
      <c r="A2152" s="54"/>
      <c r="B2152" s="16"/>
      <c r="C2152" s="55"/>
      <c r="D2152" s="56"/>
      <c r="E2152" s="16"/>
      <c r="F2152" s="16"/>
      <c r="G2152" s="16"/>
      <c r="H2152" s="54"/>
      <c r="I2152" s="16"/>
      <c r="J2152" s="54"/>
      <c r="K2152" s="42"/>
      <c r="L2152" s="16"/>
      <c r="M2152" s="16"/>
      <c r="AA2152" s="14">
        <f t="shared" ref="AA2152:AA2215" si="68">C2152-C2151</f>
        <v>0</v>
      </c>
      <c r="AB2152" s="47">
        <f t="shared" ref="AB2152:AB2215" si="69">AA2152-1</f>
        <v>-1</v>
      </c>
      <c r="AD2152" s="53"/>
      <c r="AE2152" s="53"/>
      <c r="AF2152" s="53"/>
      <c r="AG2152" s="53"/>
    </row>
    <row r="2153" spans="1:33" s="46" customFormat="1">
      <c r="A2153" s="54"/>
      <c r="B2153" s="16"/>
      <c r="C2153" s="55"/>
      <c r="D2153" s="56"/>
      <c r="E2153" s="16"/>
      <c r="F2153" s="16"/>
      <c r="G2153" s="16"/>
      <c r="H2153" s="54"/>
      <c r="I2153" s="16"/>
      <c r="J2153" s="54"/>
      <c r="K2153" s="42"/>
      <c r="L2153" s="16"/>
      <c r="M2153" s="16"/>
      <c r="AA2153" s="14">
        <f t="shared" si="68"/>
        <v>0</v>
      </c>
      <c r="AB2153" s="47">
        <f t="shared" si="69"/>
        <v>-1</v>
      </c>
      <c r="AD2153" s="53"/>
      <c r="AE2153" s="53"/>
      <c r="AF2153" s="53"/>
      <c r="AG2153" s="53"/>
    </row>
    <row r="2154" spans="1:33" s="46" customFormat="1">
      <c r="A2154" s="54"/>
      <c r="B2154" s="16"/>
      <c r="C2154" s="55"/>
      <c r="D2154" s="56"/>
      <c r="E2154" s="16"/>
      <c r="F2154" s="16"/>
      <c r="G2154" s="16"/>
      <c r="H2154" s="54"/>
      <c r="I2154" s="16"/>
      <c r="J2154" s="54"/>
      <c r="K2154" s="42"/>
      <c r="L2154" s="16"/>
      <c r="M2154" s="16"/>
      <c r="AA2154" s="14">
        <f t="shared" si="68"/>
        <v>0</v>
      </c>
      <c r="AB2154" s="47">
        <f t="shared" si="69"/>
        <v>-1</v>
      </c>
      <c r="AD2154" s="53"/>
      <c r="AE2154" s="53"/>
      <c r="AF2154" s="53"/>
      <c r="AG2154" s="53"/>
    </row>
    <row r="2155" spans="1:33" s="46" customFormat="1">
      <c r="A2155" s="54"/>
      <c r="B2155" s="16"/>
      <c r="C2155" s="55"/>
      <c r="D2155" s="56"/>
      <c r="E2155" s="16"/>
      <c r="F2155" s="16"/>
      <c r="G2155" s="16"/>
      <c r="H2155" s="54"/>
      <c r="I2155" s="16"/>
      <c r="J2155" s="54"/>
      <c r="K2155" s="42"/>
      <c r="L2155" s="16"/>
      <c r="M2155" s="16"/>
      <c r="AA2155" s="14">
        <f t="shared" si="68"/>
        <v>0</v>
      </c>
      <c r="AB2155" s="47">
        <f t="shared" si="69"/>
        <v>-1</v>
      </c>
      <c r="AD2155" s="53"/>
      <c r="AE2155" s="53"/>
      <c r="AF2155" s="53"/>
      <c r="AG2155" s="53"/>
    </row>
    <row r="2156" spans="1:33" s="46" customFormat="1">
      <c r="A2156" s="54"/>
      <c r="B2156" s="16"/>
      <c r="C2156" s="55"/>
      <c r="D2156" s="56"/>
      <c r="E2156" s="16"/>
      <c r="F2156" s="16"/>
      <c r="G2156" s="16"/>
      <c r="H2156" s="54"/>
      <c r="I2156" s="16"/>
      <c r="J2156" s="54"/>
      <c r="K2156" s="42"/>
      <c r="L2156" s="16"/>
      <c r="M2156" s="16"/>
      <c r="AA2156" s="14">
        <f t="shared" si="68"/>
        <v>0</v>
      </c>
      <c r="AB2156" s="47">
        <f t="shared" si="69"/>
        <v>-1</v>
      </c>
      <c r="AD2156" s="53"/>
      <c r="AE2156" s="53"/>
      <c r="AF2156" s="53"/>
      <c r="AG2156" s="53"/>
    </row>
    <row r="2157" spans="1:33" s="46" customFormat="1">
      <c r="A2157" s="54"/>
      <c r="B2157" s="16"/>
      <c r="C2157" s="55"/>
      <c r="D2157" s="56"/>
      <c r="E2157" s="16"/>
      <c r="F2157" s="16"/>
      <c r="G2157" s="16"/>
      <c r="H2157" s="54"/>
      <c r="I2157" s="16"/>
      <c r="J2157" s="54"/>
      <c r="K2157" s="42"/>
      <c r="L2157" s="16"/>
      <c r="M2157" s="16"/>
      <c r="AA2157" s="14">
        <f t="shared" si="68"/>
        <v>0</v>
      </c>
      <c r="AB2157" s="47">
        <f t="shared" si="69"/>
        <v>-1</v>
      </c>
      <c r="AD2157" s="53"/>
      <c r="AE2157" s="53"/>
      <c r="AF2157" s="53"/>
      <c r="AG2157" s="53"/>
    </row>
    <row r="2158" spans="1:33" s="46" customFormat="1">
      <c r="A2158" s="54"/>
      <c r="B2158" s="16"/>
      <c r="C2158" s="55"/>
      <c r="D2158" s="56"/>
      <c r="E2158" s="16"/>
      <c r="F2158" s="16"/>
      <c r="G2158" s="16"/>
      <c r="H2158" s="54"/>
      <c r="I2158" s="16"/>
      <c r="J2158" s="54"/>
      <c r="K2158" s="42"/>
      <c r="L2158" s="16"/>
      <c r="M2158" s="16"/>
      <c r="AA2158" s="14">
        <f t="shared" si="68"/>
        <v>0</v>
      </c>
      <c r="AB2158" s="47">
        <f t="shared" si="69"/>
        <v>-1</v>
      </c>
      <c r="AD2158" s="53"/>
      <c r="AE2158" s="53"/>
      <c r="AF2158" s="53"/>
      <c r="AG2158" s="53"/>
    </row>
    <row r="2159" spans="1:33" s="46" customFormat="1">
      <c r="A2159" s="54"/>
      <c r="B2159" s="16"/>
      <c r="C2159" s="55"/>
      <c r="D2159" s="56"/>
      <c r="E2159" s="16"/>
      <c r="F2159" s="16"/>
      <c r="G2159" s="16"/>
      <c r="H2159" s="54"/>
      <c r="I2159" s="16"/>
      <c r="J2159" s="54"/>
      <c r="K2159" s="42"/>
      <c r="L2159" s="16"/>
      <c r="M2159" s="16"/>
      <c r="AA2159" s="14">
        <f t="shared" si="68"/>
        <v>0</v>
      </c>
      <c r="AB2159" s="47">
        <f t="shared" si="69"/>
        <v>-1</v>
      </c>
      <c r="AD2159" s="53"/>
      <c r="AE2159" s="53"/>
      <c r="AF2159" s="53"/>
      <c r="AG2159" s="53"/>
    </row>
    <row r="2160" spans="1:33" s="46" customFormat="1">
      <c r="A2160" s="54"/>
      <c r="B2160" s="16"/>
      <c r="C2160" s="55"/>
      <c r="D2160" s="56"/>
      <c r="E2160" s="16"/>
      <c r="F2160" s="16"/>
      <c r="G2160" s="16"/>
      <c r="H2160" s="54"/>
      <c r="I2160" s="16"/>
      <c r="J2160" s="54"/>
      <c r="K2160" s="42"/>
      <c r="L2160" s="16"/>
      <c r="M2160" s="16"/>
      <c r="AA2160" s="14">
        <f t="shared" si="68"/>
        <v>0</v>
      </c>
      <c r="AB2160" s="47">
        <f t="shared" si="69"/>
        <v>-1</v>
      </c>
      <c r="AD2160" s="53"/>
      <c r="AE2160" s="53"/>
      <c r="AF2160" s="53"/>
      <c r="AG2160" s="53"/>
    </row>
    <row r="2161" spans="1:33" s="46" customFormat="1">
      <c r="A2161" s="54"/>
      <c r="B2161" s="16"/>
      <c r="C2161" s="55"/>
      <c r="D2161" s="56"/>
      <c r="E2161" s="16"/>
      <c r="F2161" s="16"/>
      <c r="G2161" s="16"/>
      <c r="H2161" s="54"/>
      <c r="I2161" s="16"/>
      <c r="J2161" s="54"/>
      <c r="K2161" s="42"/>
      <c r="L2161" s="16"/>
      <c r="M2161" s="16"/>
      <c r="AA2161" s="14">
        <f t="shared" si="68"/>
        <v>0</v>
      </c>
      <c r="AB2161" s="47">
        <f t="shared" si="69"/>
        <v>-1</v>
      </c>
      <c r="AD2161" s="53"/>
      <c r="AE2161" s="53"/>
      <c r="AF2161" s="53"/>
      <c r="AG2161" s="53"/>
    </row>
    <row r="2162" spans="1:33" s="46" customFormat="1">
      <c r="A2162" s="54"/>
      <c r="B2162" s="16"/>
      <c r="C2162" s="55"/>
      <c r="D2162" s="56"/>
      <c r="E2162" s="16"/>
      <c r="F2162" s="16"/>
      <c r="G2162" s="16"/>
      <c r="H2162" s="54"/>
      <c r="I2162" s="16"/>
      <c r="J2162" s="54"/>
      <c r="K2162" s="42"/>
      <c r="L2162" s="16"/>
      <c r="M2162" s="16"/>
      <c r="AA2162" s="14">
        <f t="shared" si="68"/>
        <v>0</v>
      </c>
      <c r="AB2162" s="47">
        <f t="shared" si="69"/>
        <v>-1</v>
      </c>
      <c r="AD2162" s="53"/>
      <c r="AE2162" s="53"/>
      <c r="AF2162" s="53"/>
      <c r="AG2162" s="53"/>
    </row>
    <row r="2163" spans="1:33" s="46" customFormat="1">
      <c r="A2163" s="54"/>
      <c r="B2163" s="16"/>
      <c r="C2163" s="55"/>
      <c r="D2163" s="56"/>
      <c r="E2163" s="16"/>
      <c r="F2163" s="16"/>
      <c r="G2163" s="16"/>
      <c r="H2163" s="54"/>
      <c r="I2163" s="16"/>
      <c r="J2163" s="54"/>
      <c r="K2163" s="42"/>
      <c r="L2163" s="16"/>
      <c r="M2163" s="16"/>
      <c r="AA2163" s="14">
        <f t="shared" si="68"/>
        <v>0</v>
      </c>
      <c r="AB2163" s="47">
        <f t="shared" si="69"/>
        <v>-1</v>
      </c>
      <c r="AD2163" s="53"/>
      <c r="AE2163" s="53"/>
      <c r="AF2163" s="53"/>
      <c r="AG2163" s="53"/>
    </row>
    <row r="2164" spans="1:33" s="46" customFormat="1">
      <c r="A2164" s="54"/>
      <c r="B2164" s="16"/>
      <c r="C2164" s="55"/>
      <c r="D2164" s="56"/>
      <c r="E2164" s="16"/>
      <c r="F2164" s="16"/>
      <c r="G2164" s="16"/>
      <c r="H2164" s="54"/>
      <c r="I2164" s="16"/>
      <c r="J2164" s="54"/>
      <c r="K2164" s="42"/>
      <c r="L2164" s="16"/>
      <c r="M2164" s="16"/>
      <c r="AA2164" s="14">
        <f t="shared" si="68"/>
        <v>0</v>
      </c>
      <c r="AB2164" s="47">
        <f t="shared" si="69"/>
        <v>-1</v>
      </c>
      <c r="AD2164" s="53"/>
      <c r="AE2164" s="53"/>
      <c r="AF2164" s="53"/>
      <c r="AG2164" s="53"/>
    </row>
    <row r="2165" spans="1:33" s="46" customFormat="1">
      <c r="A2165" s="54"/>
      <c r="B2165" s="16"/>
      <c r="C2165" s="55"/>
      <c r="D2165" s="56"/>
      <c r="E2165" s="16"/>
      <c r="F2165" s="16"/>
      <c r="G2165" s="16"/>
      <c r="H2165" s="54"/>
      <c r="I2165" s="16"/>
      <c r="J2165" s="54"/>
      <c r="K2165" s="42"/>
      <c r="L2165" s="16"/>
      <c r="M2165" s="16"/>
      <c r="AA2165" s="14">
        <f t="shared" si="68"/>
        <v>0</v>
      </c>
      <c r="AB2165" s="47">
        <f t="shared" si="69"/>
        <v>-1</v>
      </c>
      <c r="AD2165" s="53"/>
      <c r="AE2165" s="53"/>
      <c r="AF2165" s="53"/>
      <c r="AG2165" s="53"/>
    </row>
    <row r="2166" spans="1:33" s="46" customFormat="1">
      <c r="A2166" s="54"/>
      <c r="B2166" s="16"/>
      <c r="C2166" s="55"/>
      <c r="D2166" s="56"/>
      <c r="E2166" s="16"/>
      <c r="F2166" s="16"/>
      <c r="G2166" s="16"/>
      <c r="H2166" s="54"/>
      <c r="I2166" s="16"/>
      <c r="J2166" s="54"/>
      <c r="K2166" s="42"/>
      <c r="L2166" s="16"/>
      <c r="M2166" s="16"/>
      <c r="AA2166" s="14">
        <f t="shared" si="68"/>
        <v>0</v>
      </c>
      <c r="AB2166" s="47">
        <f t="shared" si="69"/>
        <v>-1</v>
      </c>
      <c r="AD2166" s="53"/>
      <c r="AE2166" s="53"/>
      <c r="AF2166" s="53"/>
      <c r="AG2166" s="53"/>
    </row>
    <row r="2167" spans="1:33" s="46" customFormat="1">
      <c r="A2167" s="54"/>
      <c r="B2167" s="16"/>
      <c r="C2167" s="55"/>
      <c r="D2167" s="56"/>
      <c r="E2167" s="16"/>
      <c r="F2167" s="16"/>
      <c r="G2167" s="16"/>
      <c r="H2167" s="54"/>
      <c r="I2167" s="16"/>
      <c r="J2167" s="54"/>
      <c r="K2167" s="42"/>
      <c r="L2167" s="16"/>
      <c r="M2167" s="16"/>
      <c r="AA2167" s="14">
        <f t="shared" si="68"/>
        <v>0</v>
      </c>
      <c r="AB2167" s="47">
        <f t="shared" si="69"/>
        <v>-1</v>
      </c>
      <c r="AD2167" s="53"/>
      <c r="AE2167" s="53"/>
      <c r="AF2167" s="53"/>
      <c r="AG2167" s="53"/>
    </row>
    <row r="2168" spans="1:33" s="46" customFormat="1">
      <c r="A2168" s="54"/>
      <c r="B2168" s="16"/>
      <c r="C2168" s="55"/>
      <c r="D2168" s="56"/>
      <c r="E2168" s="16"/>
      <c r="F2168" s="16"/>
      <c r="G2168" s="16"/>
      <c r="H2168" s="54"/>
      <c r="I2168" s="16"/>
      <c r="J2168" s="54"/>
      <c r="K2168" s="42"/>
      <c r="L2168" s="16"/>
      <c r="M2168" s="16"/>
      <c r="AA2168" s="14">
        <f t="shared" si="68"/>
        <v>0</v>
      </c>
      <c r="AB2168" s="47">
        <f t="shared" si="69"/>
        <v>-1</v>
      </c>
      <c r="AD2168" s="53"/>
      <c r="AE2168" s="53"/>
      <c r="AF2168" s="53"/>
      <c r="AG2168" s="53"/>
    </row>
    <row r="2169" spans="1:33" s="46" customFormat="1">
      <c r="A2169" s="54"/>
      <c r="B2169" s="16"/>
      <c r="C2169" s="55"/>
      <c r="D2169" s="56"/>
      <c r="E2169" s="16"/>
      <c r="F2169" s="16"/>
      <c r="G2169" s="16"/>
      <c r="H2169" s="54"/>
      <c r="I2169" s="16"/>
      <c r="J2169" s="54"/>
      <c r="K2169" s="42"/>
      <c r="L2169" s="16"/>
      <c r="M2169" s="16"/>
      <c r="AA2169" s="14">
        <f t="shared" si="68"/>
        <v>0</v>
      </c>
      <c r="AB2169" s="47">
        <f t="shared" si="69"/>
        <v>-1</v>
      </c>
      <c r="AD2169" s="53"/>
      <c r="AE2169" s="53"/>
      <c r="AF2169" s="53"/>
      <c r="AG2169" s="53"/>
    </row>
    <row r="2170" spans="1:33" s="46" customFormat="1">
      <c r="A2170" s="54"/>
      <c r="B2170" s="16"/>
      <c r="C2170" s="55"/>
      <c r="D2170" s="56"/>
      <c r="E2170" s="16"/>
      <c r="F2170" s="16"/>
      <c r="G2170" s="16"/>
      <c r="H2170" s="54"/>
      <c r="I2170" s="16"/>
      <c r="J2170" s="54"/>
      <c r="K2170" s="42"/>
      <c r="L2170" s="16"/>
      <c r="M2170" s="16"/>
      <c r="AA2170" s="14">
        <f t="shared" si="68"/>
        <v>0</v>
      </c>
      <c r="AB2170" s="47">
        <f t="shared" si="69"/>
        <v>-1</v>
      </c>
      <c r="AD2170" s="53"/>
      <c r="AE2170" s="53"/>
      <c r="AF2170" s="53"/>
      <c r="AG2170" s="53"/>
    </row>
    <row r="2171" spans="1:33" s="46" customFormat="1">
      <c r="A2171" s="54"/>
      <c r="B2171" s="16"/>
      <c r="C2171" s="55"/>
      <c r="D2171" s="56"/>
      <c r="E2171" s="16"/>
      <c r="F2171" s="16"/>
      <c r="G2171" s="16"/>
      <c r="H2171" s="54"/>
      <c r="I2171" s="16"/>
      <c r="J2171" s="54"/>
      <c r="K2171" s="42"/>
      <c r="L2171" s="16"/>
      <c r="M2171" s="16"/>
      <c r="AA2171" s="14">
        <f t="shared" si="68"/>
        <v>0</v>
      </c>
      <c r="AB2171" s="47">
        <f t="shared" si="69"/>
        <v>-1</v>
      </c>
      <c r="AD2171" s="53"/>
      <c r="AE2171" s="53"/>
      <c r="AF2171" s="53"/>
      <c r="AG2171" s="53"/>
    </row>
    <row r="2172" spans="1:33" s="46" customFormat="1">
      <c r="A2172" s="54"/>
      <c r="B2172" s="16"/>
      <c r="C2172" s="55"/>
      <c r="D2172" s="56"/>
      <c r="E2172" s="16"/>
      <c r="F2172" s="16"/>
      <c r="G2172" s="16"/>
      <c r="H2172" s="54"/>
      <c r="I2172" s="16"/>
      <c r="J2172" s="54"/>
      <c r="K2172" s="42"/>
      <c r="L2172" s="16"/>
      <c r="M2172" s="16"/>
      <c r="AA2172" s="14">
        <f t="shared" si="68"/>
        <v>0</v>
      </c>
      <c r="AB2172" s="47">
        <f t="shared" si="69"/>
        <v>-1</v>
      </c>
      <c r="AD2172" s="53"/>
      <c r="AE2172" s="53"/>
      <c r="AF2172" s="53"/>
      <c r="AG2172" s="53"/>
    </row>
    <row r="2173" spans="1:33" s="46" customFormat="1">
      <c r="A2173" s="54"/>
      <c r="B2173" s="16"/>
      <c r="C2173" s="55"/>
      <c r="D2173" s="56"/>
      <c r="E2173" s="16"/>
      <c r="F2173" s="16"/>
      <c r="G2173" s="16"/>
      <c r="H2173" s="54"/>
      <c r="I2173" s="16"/>
      <c r="J2173" s="54"/>
      <c r="K2173" s="42"/>
      <c r="L2173" s="16"/>
      <c r="M2173" s="16"/>
      <c r="AA2173" s="14">
        <f t="shared" si="68"/>
        <v>0</v>
      </c>
      <c r="AB2173" s="47">
        <f t="shared" si="69"/>
        <v>-1</v>
      </c>
      <c r="AD2173" s="53"/>
      <c r="AE2173" s="53"/>
      <c r="AF2173" s="53"/>
      <c r="AG2173" s="53"/>
    </row>
    <row r="2174" spans="1:33" s="46" customFormat="1">
      <c r="A2174" s="54"/>
      <c r="B2174" s="16"/>
      <c r="C2174" s="55"/>
      <c r="D2174" s="56"/>
      <c r="E2174" s="16"/>
      <c r="F2174" s="16"/>
      <c r="G2174" s="16"/>
      <c r="H2174" s="54"/>
      <c r="I2174" s="16"/>
      <c r="J2174" s="54"/>
      <c r="K2174" s="42"/>
      <c r="L2174" s="16"/>
      <c r="M2174" s="16"/>
      <c r="AA2174" s="14">
        <f t="shared" si="68"/>
        <v>0</v>
      </c>
      <c r="AB2174" s="47">
        <f t="shared" si="69"/>
        <v>-1</v>
      </c>
      <c r="AD2174" s="53"/>
      <c r="AE2174" s="53"/>
      <c r="AF2174" s="53"/>
      <c r="AG2174" s="53"/>
    </row>
    <row r="2175" spans="1:33" s="46" customFormat="1">
      <c r="A2175" s="54"/>
      <c r="B2175" s="16"/>
      <c r="C2175" s="55"/>
      <c r="D2175" s="56"/>
      <c r="E2175" s="16"/>
      <c r="F2175" s="16"/>
      <c r="G2175" s="16"/>
      <c r="H2175" s="54"/>
      <c r="I2175" s="16"/>
      <c r="J2175" s="54"/>
      <c r="K2175" s="42"/>
      <c r="L2175" s="16"/>
      <c r="M2175" s="16"/>
      <c r="AA2175" s="14">
        <f t="shared" si="68"/>
        <v>0</v>
      </c>
      <c r="AB2175" s="47">
        <f t="shared" si="69"/>
        <v>-1</v>
      </c>
      <c r="AD2175" s="53"/>
      <c r="AE2175" s="53"/>
      <c r="AF2175" s="53"/>
      <c r="AG2175" s="53"/>
    </row>
    <row r="2176" spans="1:33" s="46" customFormat="1">
      <c r="A2176" s="54"/>
      <c r="B2176" s="16"/>
      <c r="C2176" s="55"/>
      <c r="D2176" s="56"/>
      <c r="E2176" s="16"/>
      <c r="F2176" s="16"/>
      <c r="G2176" s="16"/>
      <c r="H2176" s="54"/>
      <c r="I2176" s="16"/>
      <c r="J2176" s="54"/>
      <c r="K2176" s="42"/>
      <c r="L2176" s="16"/>
      <c r="M2176" s="16"/>
      <c r="AA2176" s="14">
        <f t="shared" si="68"/>
        <v>0</v>
      </c>
      <c r="AB2176" s="47">
        <f t="shared" si="69"/>
        <v>-1</v>
      </c>
      <c r="AD2176" s="53"/>
      <c r="AE2176" s="53"/>
      <c r="AF2176" s="53"/>
      <c r="AG2176" s="53"/>
    </row>
    <row r="2177" spans="1:33" s="46" customFormat="1">
      <c r="A2177" s="54"/>
      <c r="B2177" s="16"/>
      <c r="C2177" s="55"/>
      <c r="D2177" s="56"/>
      <c r="E2177" s="16"/>
      <c r="F2177" s="16"/>
      <c r="G2177" s="16"/>
      <c r="H2177" s="54"/>
      <c r="I2177" s="16"/>
      <c r="J2177" s="54"/>
      <c r="K2177" s="42"/>
      <c r="L2177" s="16"/>
      <c r="M2177" s="16"/>
      <c r="AA2177" s="14">
        <f t="shared" si="68"/>
        <v>0</v>
      </c>
      <c r="AB2177" s="47">
        <f t="shared" si="69"/>
        <v>-1</v>
      </c>
      <c r="AD2177" s="53"/>
      <c r="AE2177" s="53"/>
      <c r="AF2177" s="53"/>
      <c r="AG2177" s="53"/>
    </row>
    <row r="2178" spans="1:33" s="46" customFormat="1">
      <c r="A2178" s="54"/>
      <c r="B2178" s="16"/>
      <c r="C2178" s="55"/>
      <c r="D2178" s="56"/>
      <c r="E2178" s="16"/>
      <c r="F2178" s="16"/>
      <c r="G2178" s="16"/>
      <c r="H2178" s="54"/>
      <c r="I2178" s="16"/>
      <c r="J2178" s="54"/>
      <c r="K2178" s="42"/>
      <c r="L2178" s="16"/>
      <c r="M2178" s="16"/>
      <c r="AA2178" s="14">
        <f t="shared" si="68"/>
        <v>0</v>
      </c>
      <c r="AB2178" s="47">
        <f t="shared" si="69"/>
        <v>-1</v>
      </c>
      <c r="AD2178" s="53"/>
      <c r="AE2178" s="53"/>
      <c r="AF2178" s="53"/>
      <c r="AG2178" s="53"/>
    </row>
    <row r="2179" spans="1:33" s="46" customFormat="1">
      <c r="A2179" s="54"/>
      <c r="B2179" s="16"/>
      <c r="C2179" s="55"/>
      <c r="D2179" s="56"/>
      <c r="E2179" s="16"/>
      <c r="F2179" s="16"/>
      <c r="G2179" s="16"/>
      <c r="H2179" s="54"/>
      <c r="I2179" s="16"/>
      <c r="J2179" s="54"/>
      <c r="K2179" s="42"/>
      <c r="L2179" s="16"/>
      <c r="M2179" s="16"/>
      <c r="AA2179" s="14">
        <f t="shared" si="68"/>
        <v>0</v>
      </c>
      <c r="AB2179" s="47">
        <f t="shared" si="69"/>
        <v>-1</v>
      </c>
      <c r="AD2179" s="53"/>
      <c r="AE2179" s="53"/>
      <c r="AF2179" s="53"/>
      <c r="AG2179" s="53"/>
    </row>
    <row r="2180" spans="1:33" s="46" customFormat="1">
      <c r="A2180" s="54"/>
      <c r="B2180" s="16"/>
      <c r="C2180" s="55"/>
      <c r="D2180" s="56"/>
      <c r="E2180" s="16"/>
      <c r="F2180" s="16"/>
      <c r="G2180" s="16"/>
      <c r="H2180" s="54"/>
      <c r="I2180" s="16"/>
      <c r="J2180" s="54"/>
      <c r="K2180" s="42"/>
      <c r="L2180" s="16"/>
      <c r="M2180" s="16"/>
      <c r="AA2180" s="14">
        <f t="shared" si="68"/>
        <v>0</v>
      </c>
      <c r="AB2180" s="47">
        <f t="shared" si="69"/>
        <v>-1</v>
      </c>
      <c r="AD2180" s="53"/>
      <c r="AE2180" s="53"/>
      <c r="AF2180" s="53"/>
      <c r="AG2180" s="53"/>
    </row>
    <row r="2181" spans="1:33" s="46" customFormat="1">
      <c r="A2181" s="54"/>
      <c r="B2181" s="16"/>
      <c r="C2181" s="55"/>
      <c r="D2181" s="56"/>
      <c r="E2181" s="16"/>
      <c r="F2181" s="16"/>
      <c r="G2181" s="16"/>
      <c r="H2181" s="54"/>
      <c r="I2181" s="16"/>
      <c r="J2181" s="54"/>
      <c r="K2181" s="42"/>
      <c r="L2181" s="16"/>
      <c r="M2181" s="16"/>
      <c r="AA2181" s="14">
        <f t="shared" si="68"/>
        <v>0</v>
      </c>
      <c r="AB2181" s="47">
        <f t="shared" si="69"/>
        <v>-1</v>
      </c>
      <c r="AD2181" s="53"/>
      <c r="AE2181" s="53"/>
      <c r="AF2181" s="53"/>
      <c r="AG2181" s="53"/>
    </row>
    <row r="2182" spans="1:33" s="46" customFormat="1">
      <c r="A2182" s="54"/>
      <c r="B2182" s="16"/>
      <c r="C2182" s="55"/>
      <c r="D2182" s="56"/>
      <c r="E2182" s="16"/>
      <c r="F2182" s="16"/>
      <c r="G2182" s="16"/>
      <c r="H2182" s="54"/>
      <c r="I2182" s="16"/>
      <c r="J2182" s="54"/>
      <c r="K2182" s="42"/>
      <c r="L2182" s="16"/>
      <c r="M2182" s="16"/>
      <c r="AA2182" s="14">
        <f t="shared" si="68"/>
        <v>0</v>
      </c>
      <c r="AB2182" s="47">
        <f t="shared" si="69"/>
        <v>-1</v>
      </c>
      <c r="AD2182" s="53"/>
      <c r="AE2182" s="53"/>
      <c r="AF2182" s="53"/>
      <c r="AG2182" s="53"/>
    </row>
    <row r="2183" spans="1:33" s="46" customFormat="1">
      <c r="A2183" s="54"/>
      <c r="B2183" s="16"/>
      <c r="C2183" s="55"/>
      <c r="D2183" s="56"/>
      <c r="E2183" s="16"/>
      <c r="F2183" s="16"/>
      <c r="G2183" s="16"/>
      <c r="H2183" s="54"/>
      <c r="I2183" s="16"/>
      <c r="J2183" s="54"/>
      <c r="K2183" s="42"/>
      <c r="L2183" s="16"/>
      <c r="M2183" s="16"/>
      <c r="AA2183" s="14">
        <f t="shared" si="68"/>
        <v>0</v>
      </c>
      <c r="AB2183" s="47">
        <f t="shared" si="69"/>
        <v>-1</v>
      </c>
      <c r="AD2183" s="53"/>
      <c r="AE2183" s="53"/>
      <c r="AF2183" s="53"/>
      <c r="AG2183" s="53"/>
    </row>
    <row r="2184" spans="1:33" s="46" customFormat="1">
      <c r="A2184" s="54"/>
      <c r="B2184" s="16"/>
      <c r="C2184" s="55"/>
      <c r="D2184" s="56"/>
      <c r="E2184" s="16"/>
      <c r="F2184" s="16"/>
      <c r="G2184" s="16"/>
      <c r="H2184" s="54"/>
      <c r="I2184" s="16"/>
      <c r="J2184" s="54"/>
      <c r="K2184" s="42"/>
      <c r="L2184" s="16"/>
      <c r="M2184" s="16"/>
      <c r="AA2184" s="14">
        <f t="shared" si="68"/>
        <v>0</v>
      </c>
      <c r="AB2184" s="47">
        <f t="shared" si="69"/>
        <v>-1</v>
      </c>
      <c r="AD2184" s="53"/>
      <c r="AE2184" s="53"/>
      <c r="AF2184" s="53"/>
      <c r="AG2184" s="53"/>
    </row>
    <row r="2185" spans="1:33" s="46" customFormat="1">
      <c r="A2185" s="54"/>
      <c r="B2185" s="16"/>
      <c r="C2185" s="55"/>
      <c r="D2185" s="56"/>
      <c r="E2185" s="16"/>
      <c r="F2185" s="16"/>
      <c r="G2185" s="16"/>
      <c r="H2185" s="54"/>
      <c r="I2185" s="16"/>
      <c r="J2185" s="54"/>
      <c r="K2185" s="42"/>
      <c r="L2185" s="16"/>
      <c r="M2185" s="16"/>
      <c r="AA2185" s="14">
        <f t="shared" si="68"/>
        <v>0</v>
      </c>
      <c r="AB2185" s="47">
        <f t="shared" si="69"/>
        <v>-1</v>
      </c>
      <c r="AD2185" s="53"/>
      <c r="AE2185" s="53"/>
      <c r="AF2185" s="53"/>
      <c r="AG2185" s="53"/>
    </row>
    <row r="2186" spans="1:33" s="46" customFormat="1">
      <c r="A2186" s="54"/>
      <c r="B2186" s="16"/>
      <c r="C2186" s="55"/>
      <c r="D2186" s="56"/>
      <c r="E2186" s="16"/>
      <c r="F2186" s="16"/>
      <c r="G2186" s="16"/>
      <c r="H2186" s="54"/>
      <c r="I2186" s="16"/>
      <c r="J2186" s="54"/>
      <c r="K2186" s="42"/>
      <c r="L2186" s="16"/>
      <c r="M2186" s="16"/>
      <c r="AA2186" s="14">
        <f t="shared" si="68"/>
        <v>0</v>
      </c>
      <c r="AB2186" s="47">
        <f t="shared" si="69"/>
        <v>-1</v>
      </c>
      <c r="AD2186" s="53"/>
      <c r="AE2186" s="53"/>
      <c r="AF2186" s="53"/>
      <c r="AG2186" s="53"/>
    </row>
    <row r="2187" spans="1:33" s="46" customFormat="1">
      <c r="A2187" s="54"/>
      <c r="B2187" s="16"/>
      <c r="C2187" s="55"/>
      <c r="D2187" s="56"/>
      <c r="E2187" s="16"/>
      <c r="F2187" s="16"/>
      <c r="G2187" s="16"/>
      <c r="H2187" s="54"/>
      <c r="I2187" s="16"/>
      <c r="J2187" s="54"/>
      <c r="K2187" s="42"/>
      <c r="L2187" s="16"/>
      <c r="M2187" s="16"/>
      <c r="AA2187" s="14">
        <f t="shared" si="68"/>
        <v>0</v>
      </c>
      <c r="AB2187" s="47">
        <f t="shared" si="69"/>
        <v>-1</v>
      </c>
      <c r="AD2187" s="53"/>
      <c r="AE2187" s="53"/>
      <c r="AF2187" s="53"/>
      <c r="AG2187" s="53"/>
    </row>
    <row r="2188" spans="1:33" s="46" customFormat="1">
      <c r="A2188" s="54"/>
      <c r="B2188" s="16"/>
      <c r="C2188" s="55"/>
      <c r="D2188" s="56"/>
      <c r="E2188" s="16"/>
      <c r="F2188" s="16"/>
      <c r="G2188" s="16"/>
      <c r="H2188" s="54"/>
      <c r="I2188" s="16"/>
      <c r="J2188" s="54"/>
      <c r="K2188" s="42"/>
      <c r="L2188" s="16"/>
      <c r="M2188" s="16"/>
      <c r="AA2188" s="14">
        <f t="shared" si="68"/>
        <v>0</v>
      </c>
      <c r="AB2188" s="47">
        <f t="shared" si="69"/>
        <v>-1</v>
      </c>
      <c r="AD2188" s="53"/>
      <c r="AE2188" s="53"/>
      <c r="AF2188" s="53"/>
      <c r="AG2188" s="53"/>
    </row>
    <row r="2189" spans="1:33" s="46" customFormat="1">
      <c r="A2189" s="54"/>
      <c r="B2189" s="16"/>
      <c r="C2189" s="55"/>
      <c r="D2189" s="56"/>
      <c r="E2189" s="16"/>
      <c r="F2189" s="16"/>
      <c r="G2189" s="16"/>
      <c r="H2189" s="54"/>
      <c r="I2189" s="16"/>
      <c r="J2189" s="54"/>
      <c r="K2189" s="42"/>
      <c r="L2189" s="16"/>
      <c r="M2189" s="16"/>
      <c r="AA2189" s="14">
        <f t="shared" si="68"/>
        <v>0</v>
      </c>
      <c r="AB2189" s="47">
        <f t="shared" si="69"/>
        <v>-1</v>
      </c>
      <c r="AD2189" s="53"/>
      <c r="AE2189" s="53"/>
      <c r="AF2189" s="53"/>
      <c r="AG2189" s="53"/>
    </row>
    <row r="2190" spans="1:33" s="46" customFormat="1">
      <c r="A2190" s="54"/>
      <c r="B2190" s="16"/>
      <c r="C2190" s="55"/>
      <c r="D2190" s="56"/>
      <c r="E2190" s="16"/>
      <c r="F2190" s="16"/>
      <c r="G2190" s="16"/>
      <c r="H2190" s="54"/>
      <c r="I2190" s="16"/>
      <c r="J2190" s="54"/>
      <c r="K2190" s="42"/>
      <c r="L2190" s="16"/>
      <c r="M2190" s="16"/>
      <c r="AA2190" s="14">
        <f t="shared" si="68"/>
        <v>0</v>
      </c>
      <c r="AB2190" s="47">
        <f t="shared" si="69"/>
        <v>-1</v>
      </c>
      <c r="AD2190" s="53"/>
      <c r="AE2190" s="53"/>
      <c r="AF2190" s="53"/>
      <c r="AG2190" s="53"/>
    </row>
    <row r="2191" spans="1:33" s="46" customFormat="1">
      <c r="A2191" s="54"/>
      <c r="B2191" s="16"/>
      <c r="C2191" s="55"/>
      <c r="D2191" s="56"/>
      <c r="E2191" s="16"/>
      <c r="F2191" s="16"/>
      <c r="G2191" s="16"/>
      <c r="H2191" s="54"/>
      <c r="I2191" s="16"/>
      <c r="J2191" s="54"/>
      <c r="K2191" s="42"/>
      <c r="L2191" s="16"/>
      <c r="M2191" s="16"/>
      <c r="AA2191" s="14">
        <f t="shared" si="68"/>
        <v>0</v>
      </c>
      <c r="AB2191" s="47">
        <f t="shared" si="69"/>
        <v>-1</v>
      </c>
      <c r="AD2191" s="53"/>
      <c r="AE2191" s="53"/>
      <c r="AF2191" s="53"/>
      <c r="AG2191" s="53"/>
    </row>
    <row r="2192" spans="1:33" s="46" customFormat="1">
      <c r="A2192" s="54"/>
      <c r="B2192" s="16"/>
      <c r="C2192" s="55"/>
      <c r="D2192" s="56"/>
      <c r="E2192" s="16"/>
      <c r="F2192" s="16"/>
      <c r="G2192" s="16"/>
      <c r="H2192" s="54"/>
      <c r="I2192" s="16"/>
      <c r="J2192" s="54"/>
      <c r="K2192" s="42"/>
      <c r="L2192" s="16"/>
      <c r="M2192" s="16"/>
      <c r="AA2192" s="14">
        <f t="shared" si="68"/>
        <v>0</v>
      </c>
      <c r="AB2192" s="47">
        <f t="shared" si="69"/>
        <v>-1</v>
      </c>
      <c r="AD2192" s="53"/>
      <c r="AE2192" s="53"/>
      <c r="AF2192" s="53"/>
      <c r="AG2192" s="53"/>
    </row>
    <row r="2193" spans="1:33" s="46" customFormat="1">
      <c r="A2193" s="54"/>
      <c r="B2193" s="16"/>
      <c r="C2193" s="55"/>
      <c r="D2193" s="56"/>
      <c r="E2193" s="16"/>
      <c r="F2193" s="16"/>
      <c r="G2193" s="16"/>
      <c r="H2193" s="54"/>
      <c r="I2193" s="16"/>
      <c r="J2193" s="54"/>
      <c r="K2193" s="42"/>
      <c r="L2193" s="16"/>
      <c r="M2193" s="16"/>
      <c r="AA2193" s="14">
        <f t="shared" si="68"/>
        <v>0</v>
      </c>
      <c r="AB2193" s="47">
        <f t="shared" si="69"/>
        <v>-1</v>
      </c>
      <c r="AD2193" s="53"/>
      <c r="AE2193" s="53"/>
      <c r="AF2193" s="53"/>
      <c r="AG2193" s="53"/>
    </row>
    <row r="2194" spans="1:33" s="46" customFormat="1">
      <c r="A2194" s="54"/>
      <c r="B2194" s="16"/>
      <c r="C2194" s="55"/>
      <c r="D2194" s="56"/>
      <c r="E2194" s="16"/>
      <c r="F2194" s="16"/>
      <c r="G2194" s="16"/>
      <c r="H2194" s="54"/>
      <c r="I2194" s="16"/>
      <c r="J2194" s="54"/>
      <c r="K2194" s="42"/>
      <c r="L2194" s="16"/>
      <c r="M2194" s="16"/>
      <c r="AA2194" s="14">
        <f t="shared" si="68"/>
        <v>0</v>
      </c>
      <c r="AB2194" s="47">
        <f t="shared" si="69"/>
        <v>-1</v>
      </c>
      <c r="AD2194" s="53"/>
      <c r="AE2194" s="53"/>
      <c r="AF2194" s="53"/>
      <c r="AG2194" s="53"/>
    </row>
    <row r="2195" spans="1:33" s="46" customFormat="1">
      <c r="A2195" s="54"/>
      <c r="B2195" s="16"/>
      <c r="C2195" s="55"/>
      <c r="D2195" s="56"/>
      <c r="E2195" s="16"/>
      <c r="F2195" s="16"/>
      <c r="G2195" s="16"/>
      <c r="H2195" s="54"/>
      <c r="I2195" s="16"/>
      <c r="J2195" s="54"/>
      <c r="K2195" s="42"/>
      <c r="L2195" s="16"/>
      <c r="M2195" s="16"/>
      <c r="AA2195" s="14">
        <f t="shared" si="68"/>
        <v>0</v>
      </c>
      <c r="AB2195" s="47">
        <f t="shared" si="69"/>
        <v>-1</v>
      </c>
      <c r="AD2195" s="53"/>
      <c r="AE2195" s="53"/>
      <c r="AF2195" s="53"/>
      <c r="AG2195" s="53"/>
    </row>
    <row r="2196" spans="1:33" s="46" customFormat="1">
      <c r="A2196" s="54"/>
      <c r="B2196" s="16"/>
      <c r="C2196" s="55"/>
      <c r="D2196" s="56"/>
      <c r="E2196" s="16"/>
      <c r="F2196" s="16"/>
      <c r="G2196" s="16"/>
      <c r="H2196" s="54"/>
      <c r="I2196" s="16"/>
      <c r="J2196" s="54"/>
      <c r="K2196" s="42"/>
      <c r="L2196" s="16"/>
      <c r="M2196" s="16"/>
      <c r="AA2196" s="14">
        <f t="shared" si="68"/>
        <v>0</v>
      </c>
      <c r="AB2196" s="47">
        <f t="shared" si="69"/>
        <v>-1</v>
      </c>
      <c r="AD2196" s="53"/>
      <c r="AE2196" s="53"/>
      <c r="AF2196" s="53"/>
      <c r="AG2196" s="53"/>
    </row>
    <row r="2197" spans="1:33" s="46" customFormat="1">
      <c r="A2197" s="54"/>
      <c r="B2197" s="16"/>
      <c r="C2197" s="55"/>
      <c r="D2197" s="56"/>
      <c r="E2197" s="16"/>
      <c r="F2197" s="16"/>
      <c r="G2197" s="16"/>
      <c r="H2197" s="54"/>
      <c r="I2197" s="16"/>
      <c r="J2197" s="54"/>
      <c r="K2197" s="42"/>
      <c r="L2197" s="16"/>
      <c r="M2197" s="16"/>
      <c r="AA2197" s="14">
        <f t="shared" si="68"/>
        <v>0</v>
      </c>
      <c r="AB2197" s="47">
        <f t="shared" si="69"/>
        <v>-1</v>
      </c>
      <c r="AD2197" s="53"/>
      <c r="AE2197" s="53"/>
      <c r="AF2197" s="53"/>
      <c r="AG2197" s="53"/>
    </row>
    <row r="2198" spans="1:33" s="46" customFormat="1">
      <c r="A2198" s="54"/>
      <c r="B2198" s="16"/>
      <c r="C2198" s="55"/>
      <c r="D2198" s="56"/>
      <c r="E2198" s="16"/>
      <c r="F2198" s="16"/>
      <c r="G2198" s="16"/>
      <c r="H2198" s="54"/>
      <c r="I2198" s="16"/>
      <c r="J2198" s="54"/>
      <c r="K2198" s="42"/>
      <c r="L2198" s="16"/>
      <c r="M2198" s="16"/>
      <c r="AA2198" s="14">
        <f t="shared" si="68"/>
        <v>0</v>
      </c>
      <c r="AB2198" s="47">
        <f t="shared" si="69"/>
        <v>-1</v>
      </c>
      <c r="AD2198" s="53"/>
      <c r="AE2198" s="53"/>
      <c r="AF2198" s="53"/>
      <c r="AG2198" s="53"/>
    </row>
    <row r="2199" spans="1:33" s="46" customFormat="1">
      <c r="A2199" s="54"/>
      <c r="B2199" s="16"/>
      <c r="C2199" s="55"/>
      <c r="D2199" s="56"/>
      <c r="E2199" s="16"/>
      <c r="F2199" s="16"/>
      <c r="G2199" s="16"/>
      <c r="H2199" s="54"/>
      <c r="I2199" s="16"/>
      <c r="J2199" s="54"/>
      <c r="K2199" s="42"/>
      <c r="L2199" s="16"/>
      <c r="M2199" s="16"/>
      <c r="AA2199" s="14">
        <f t="shared" si="68"/>
        <v>0</v>
      </c>
      <c r="AB2199" s="47">
        <f t="shared" si="69"/>
        <v>-1</v>
      </c>
      <c r="AD2199" s="53"/>
      <c r="AE2199" s="53"/>
      <c r="AF2199" s="53"/>
      <c r="AG2199" s="53"/>
    </row>
    <row r="2200" spans="1:33" s="46" customFormat="1">
      <c r="A2200" s="54"/>
      <c r="B2200" s="16"/>
      <c r="C2200" s="55"/>
      <c r="D2200" s="56"/>
      <c r="E2200" s="16"/>
      <c r="F2200" s="16"/>
      <c r="G2200" s="16"/>
      <c r="H2200" s="54"/>
      <c r="I2200" s="16"/>
      <c r="J2200" s="54"/>
      <c r="K2200" s="42"/>
      <c r="L2200" s="16"/>
      <c r="M2200" s="16"/>
      <c r="AA2200" s="14">
        <f t="shared" si="68"/>
        <v>0</v>
      </c>
      <c r="AB2200" s="47">
        <f t="shared" si="69"/>
        <v>-1</v>
      </c>
      <c r="AD2200" s="53"/>
      <c r="AE2200" s="53"/>
      <c r="AF2200" s="53"/>
      <c r="AG2200" s="53"/>
    </row>
    <row r="2201" spans="1:33" s="46" customFormat="1">
      <c r="A2201" s="54"/>
      <c r="B2201" s="16"/>
      <c r="C2201" s="55"/>
      <c r="D2201" s="56"/>
      <c r="E2201" s="16"/>
      <c r="F2201" s="16"/>
      <c r="G2201" s="16"/>
      <c r="H2201" s="54"/>
      <c r="I2201" s="16"/>
      <c r="J2201" s="54"/>
      <c r="K2201" s="42"/>
      <c r="L2201" s="16"/>
      <c r="M2201" s="16"/>
      <c r="AA2201" s="14">
        <f t="shared" si="68"/>
        <v>0</v>
      </c>
      <c r="AB2201" s="47">
        <f t="shared" si="69"/>
        <v>-1</v>
      </c>
      <c r="AD2201" s="53"/>
      <c r="AE2201" s="53"/>
      <c r="AF2201" s="53"/>
      <c r="AG2201" s="53"/>
    </row>
    <row r="2202" spans="1:33" s="46" customFormat="1">
      <c r="A2202" s="54"/>
      <c r="B2202" s="16"/>
      <c r="C2202" s="55"/>
      <c r="D2202" s="56"/>
      <c r="E2202" s="16"/>
      <c r="F2202" s="16"/>
      <c r="G2202" s="16"/>
      <c r="H2202" s="54"/>
      <c r="I2202" s="16"/>
      <c r="J2202" s="54"/>
      <c r="K2202" s="42"/>
      <c r="L2202" s="16"/>
      <c r="M2202" s="16"/>
      <c r="AA2202" s="14">
        <f t="shared" si="68"/>
        <v>0</v>
      </c>
      <c r="AB2202" s="47">
        <f t="shared" si="69"/>
        <v>-1</v>
      </c>
      <c r="AD2202" s="53"/>
      <c r="AE2202" s="53"/>
      <c r="AF2202" s="53"/>
      <c r="AG2202" s="53"/>
    </row>
    <row r="2203" spans="1:33" s="46" customFormat="1">
      <c r="A2203" s="54"/>
      <c r="B2203" s="16"/>
      <c r="C2203" s="55"/>
      <c r="D2203" s="56"/>
      <c r="E2203" s="16"/>
      <c r="F2203" s="16"/>
      <c r="G2203" s="16"/>
      <c r="H2203" s="54"/>
      <c r="I2203" s="16"/>
      <c r="J2203" s="54"/>
      <c r="K2203" s="42"/>
      <c r="L2203" s="16"/>
      <c r="M2203" s="16"/>
      <c r="AA2203" s="14">
        <f t="shared" si="68"/>
        <v>0</v>
      </c>
      <c r="AB2203" s="47">
        <f t="shared" si="69"/>
        <v>-1</v>
      </c>
      <c r="AD2203" s="53"/>
      <c r="AE2203" s="53"/>
      <c r="AF2203" s="53"/>
      <c r="AG2203" s="53"/>
    </row>
    <row r="2204" spans="1:33" s="46" customFormat="1">
      <c r="A2204" s="54"/>
      <c r="B2204" s="16"/>
      <c r="C2204" s="55"/>
      <c r="D2204" s="56"/>
      <c r="E2204" s="16"/>
      <c r="F2204" s="16"/>
      <c r="G2204" s="16"/>
      <c r="H2204" s="54"/>
      <c r="I2204" s="16"/>
      <c r="J2204" s="54"/>
      <c r="K2204" s="42"/>
      <c r="L2204" s="16"/>
      <c r="M2204" s="16"/>
      <c r="AA2204" s="14">
        <f t="shared" si="68"/>
        <v>0</v>
      </c>
      <c r="AB2204" s="47">
        <f t="shared" si="69"/>
        <v>-1</v>
      </c>
      <c r="AD2204" s="53"/>
      <c r="AE2204" s="53"/>
      <c r="AF2204" s="53"/>
      <c r="AG2204" s="53"/>
    </row>
    <row r="2205" spans="1:33" s="46" customFormat="1">
      <c r="A2205" s="54"/>
      <c r="B2205" s="16"/>
      <c r="C2205" s="55"/>
      <c r="D2205" s="56"/>
      <c r="E2205" s="16"/>
      <c r="F2205" s="16"/>
      <c r="G2205" s="16"/>
      <c r="H2205" s="54"/>
      <c r="I2205" s="16"/>
      <c r="J2205" s="54"/>
      <c r="K2205" s="42"/>
      <c r="L2205" s="16"/>
      <c r="M2205" s="16"/>
      <c r="AA2205" s="14">
        <f t="shared" si="68"/>
        <v>0</v>
      </c>
      <c r="AB2205" s="47">
        <f t="shared" si="69"/>
        <v>-1</v>
      </c>
      <c r="AD2205" s="53"/>
      <c r="AE2205" s="53"/>
      <c r="AF2205" s="53"/>
      <c r="AG2205" s="53"/>
    </row>
    <row r="2206" spans="1:33" s="46" customFormat="1">
      <c r="A2206" s="54"/>
      <c r="B2206" s="16"/>
      <c r="C2206" s="55"/>
      <c r="D2206" s="56"/>
      <c r="E2206" s="16"/>
      <c r="F2206" s="16"/>
      <c r="G2206" s="16"/>
      <c r="H2206" s="54"/>
      <c r="I2206" s="16"/>
      <c r="J2206" s="54"/>
      <c r="K2206" s="42"/>
      <c r="L2206" s="16"/>
      <c r="M2206" s="16"/>
      <c r="AA2206" s="14">
        <f t="shared" si="68"/>
        <v>0</v>
      </c>
      <c r="AB2206" s="47">
        <f t="shared" si="69"/>
        <v>-1</v>
      </c>
      <c r="AD2206" s="53"/>
      <c r="AE2206" s="53"/>
      <c r="AF2206" s="53"/>
      <c r="AG2206" s="53"/>
    </row>
    <row r="2207" spans="1:33" s="46" customFormat="1">
      <c r="A2207" s="54"/>
      <c r="B2207" s="16"/>
      <c r="C2207" s="55"/>
      <c r="D2207" s="56"/>
      <c r="E2207" s="16"/>
      <c r="F2207" s="16"/>
      <c r="G2207" s="16"/>
      <c r="H2207" s="54"/>
      <c r="I2207" s="16"/>
      <c r="J2207" s="54"/>
      <c r="K2207" s="42"/>
      <c r="L2207" s="16"/>
      <c r="M2207" s="16"/>
      <c r="AA2207" s="14">
        <f t="shared" si="68"/>
        <v>0</v>
      </c>
      <c r="AB2207" s="47">
        <f t="shared" si="69"/>
        <v>-1</v>
      </c>
      <c r="AD2207" s="53"/>
      <c r="AE2207" s="53"/>
      <c r="AF2207" s="53"/>
      <c r="AG2207" s="53"/>
    </row>
    <row r="2208" spans="1:33" s="46" customFormat="1">
      <c r="A2208" s="54"/>
      <c r="B2208" s="16"/>
      <c r="C2208" s="55"/>
      <c r="D2208" s="56"/>
      <c r="E2208" s="16"/>
      <c r="F2208" s="16"/>
      <c r="G2208" s="16"/>
      <c r="H2208" s="54"/>
      <c r="I2208" s="16"/>
      <c r="J2208" s="54"/>
      <c r="K2208" s="42"/>
      <c r="L2208" s="16"/>
      <c r="M2208" s="16"/>
      <c r="AA2208" s="14">
        <f t="shared" si="68"/>
        <v>0</v>
      </c>
      <c r="AB2208" s="47">
        <f t="shared" si="69"/>
        <v>-1</v>
      </c>
      <c r="AD2208" s="53"/>
      <c r="AE2208" s="53"/>
      <c r="AF2208" s="53"/>
      <c r="AG2208" s="53"/>
    </row>
    <row r="2209" spans="1:33" s="46" customFormat="1">
      <c r="A2209" s="54"/>
      <c r="B2209" s="16"/>
      <c r="C2209" s="55"/>
      <c r="D2209" s="56"/>
      <c r="E2209" s="16"/>
      <c r="F2209" s="16"/>
      <c r="G2209" s="16"/>
      <c r="H2209" s="54"/>
      <c r="I2209" s="16"/>
      <c r="J2209" s="54"/>
      <c r="K2209" s="42"/>
      <c r="L2209" s="16"/>
      <c r="M2209" s="16"/>
      <c r="AA2209" s="14">
        <f t="shared" si="68"/>
        <v>0</v>
      </c>
      <c r="AB2209" s="47">
        <f t="shared" si="69"/>
        <v>-1</v>
      </c>
      <c r="AD2209" s="53"/>
      <c r="AE2209" s="53"/>
      <c r="AF2209" s="53"/>
      <c r="AG2209" s="53"/>
    </row>
    <row r="2210" spans="1:33" s="46" customFormat="1">
      <c r="A2210" s="54"/>
      <c r="B2210" s="16"/>
      <c r="C2210" s="55"/>
      <c r="D2210" s="56"/>
      <c r="E2210" s="16"/>
      <c r="F2210" s="16"/>
      <c r="G2210" s="16"/>
      <c r="H2210" s="54"/>
      <c r="I2210" s="16"/>
      <c r="J2210" s="54"/>
      <c r="K2210" s="42"/>
      <c r="L2210" s="16"/>
      <c r="M2210" s="16"/>
      <c r="AA2210" s="14">
        <f t="shared" si="68"/>
        <v>0</v>
      </c>
      <c r="AB2210" s="47">
        <f t="shared" si="69"/>
        <v>-1</v>
      </c>
      <c r="AD2210" s="53"/>
      <c r="AE2210" s="53"/>
      <c r="AF2210" s="53"/>
      <c r="AG2210" s="53"/>
    </row>
    <row r="2211" spans="1:33" s="46" customFormat="1">
      <c r="A2211" s="54"/>
      <c r="B2211" s="16"/>
      <c r="C2211" s="55"/>
      <c r="D2211" s="56"/>
      <c r="E2211" s="16"/>
      <c r="F2211" s="16"/>
      <c r="G2211" s="16"/>
      <c r="H2211" s="54"/>
      <c r="I2211" s="16"/>
      <c r="J2211" s="54"/>
      <c r="K2211" s="42"/>
      <c r="L2211" s="16"/>
      <c r="M2211" s="16"/>
      <c r="AA2211" s="14">
        <f t="shared" si="68"/>
        <v>0</v>
      </c>
      <c r="AB2211" s="47">
        <f t="shared" si="69"/>
        <v>-1</v>
      </c>
      <c r="AD2211" s="53"/>
      <c r="AE2211" s="53"/>
      <c r="AF2211" s="53"/>
      <c r="AG2211" s="53"/>
    </row>
    <row r="2212" spans="1:33" s="46" customFormat="1">
      <c r="A2212" s="54"/>
      <c r="B2212" s="16"/>
      <c r="C2212" s="55"/>
      <c r="D2212" s="56"/>
      <c r="E2212" s="16"/>
      <c r="F2212" s="16"/>
      <c r="G2212" s="16"/>
      <c r="H2212" s="54"/>
      <c r="I2212" s="16"/>
      <c r="J2212" s="54"/>
      <c r="K2212" s="42"/>
      <c r="L2212" s="16"/>
      <c r="M2212" s="16"/>
      <c r="AA2212" s="14">
        <f t="shared" si="68"/>
        <v>0</v>
      </c>
      <c r="AB2212" s="47">
        <f t="shared" si="69"/>
        <v>-1</v>
      </c>
      <c r="AD2212" s="53"/>
      <c r="AE2212" s="53"/>
      <c r="AF2212" s="53"/>
      <c r="AG2212" s="53"/>
    </row>
    <row r="2213" spans="1:33" s="46" customFormat="1">
      <c r="A2213" s="54"/>
      <c r="B2213" s="16"/>
      <c r="C2213" s="55"/>
      <c r="D2213" s="56"/>
      <c r="E2213" s="16"/>
      <c r="F2213" s="16"/>
      <c r="G2213" s="16"/>
      <c r="H2213" s="54"/>
      <c r="I2213" s="16"/>
      <c r="J2213" s="54"/>
      <c r="K2213" s="42"/>
      <c r="L2213" s="16"/>
      <c r="M2213" s="16"/>
      <c r="AA2213" s="14">
        <f t="shared" si="68"/>
        <v>0</v>
      </c>
      <c r="AB2213" s="47">
        <f t="shared" si="69"/>
        <v>-1</v>
      </c>
      <c r="AD2213" s="53"/>
      <c r="AE2213" s="53"/>
      <c r="AF2213" s="53"/>
      <c r="AG2213" s="53"/>
    </row>
    <row r="2214" spans="1:33" s="46" customFormat="1">
      <c r="A2214" s="54"/>
      <c r="B2214" s="16"/>
      <c r="C2214" s="55"/>
      <c r="D2214" s="56"/>
      <c r="E2214" s="16"/>
      <c r="F2214" s="16"/>
      <c r="G2214" s="16"/>
      <c r="H2214" s="54"/>
      <c r="I2214" s="16"/>
      <c r="J2214" s="54"/>
      <c r="K2214" s="42"/>
      <c r="L2214" s="16"/>
      <c r="M2214" s="16"/>
      <c r="AA2214" s="14">
        <f t="shared" si="68"/>
        <v>0</v>
      </c>
      <c r="AB2214" s="47">
        <f t="shared" si="69"/>
        <v>-1</v>
      </c>
      <c r="AD2214" s="53"/>
      <c r="AE2214" s="53"/>
      <c r="AF2214" s="53"/>
      <c r="AG2214" s="53"/>
    </row>
    <row r="2215" spans="1:33" s="46" customFormat="1">
      <c r="A2215" s="54"/>
      <c r="B2215" s="16"/>
      <c r="C2215" s="55"/>
      <c r="D2215" s="56"/>
      <c r="E2215" s="16"/>
      <c r="F2215" s="16"/>
      <c r="G2215" s="16"/>
      <c r="H2215" s="54"/>
      <c r="I2215" s="16"/>
      <c r="J2215" s="54"/>
      <c r="K2215" s="42"/>
      <c r="L2215" s="16"/>
      <c r="M2215" s="16"/>
      <c r="AA2215" s="14">
        <f t="shared" si="68"/>
        <v>0</v>
      </c>
      <c r="AB2215" s="47">
        <f t="shared" si="69"/>
        <v>-1</v>
      </c>
      <c r="AD2215" s="53"/>
      <c r="AE2215" s="53"/>
      <c r="AF2215" s="53"/>
      <c r="AG2215" s="53"/>
    </row>
    <row r="2216" spans="1:33" s="46" customFormat="1">
      <c r="A2216" s="54"/>
      <c r="B2216" s="16"/>
      <c r="C2216" s="55"/>
      <c r="D2216" s="56"/>
      <c r="E2216" s="16"/>
      <c r="F2216" s="16"/>
      <c r="G2216" s="16"/>
      <c r="H2216" s="54"/>
      <c r="I2216" s="16"/>
      <c r="J2216" s="54"/>
      <c r="K2216" s="42"/>
      <c r="L2216" s="16"/>
      <c r="M2216" s="16"/>
      <c r="AA2216" s="14">
        <f t="shared" ref="AA2216:AA2279" si="70">C2216-C2215</f>
        <v>0</v>
      </c>
      <c r="AB2216" s="47">
        <f t="shared" ref="AB2216:AB2279" si="71">AA2216-1</f>
        <v>-1</v>
      </c>
      <c r="AD2216" s="53"/>
      <c r="AE2216" s="53"/>
      <c r="AF2216" s="53"/>
      <c r="AG2216" s="53"/>
    </row>
    <row r="2217" spans="1:33" s="46" customFormat="1">
      <c r="A2217" s="54"/>
      <c r="B2217" s="16"/>
      <c r="C2217" s="55"/>
      <c r="D2217" s="56"/>
      <c r="E2217" s="16"/>
      <c r="F2217" s="16"/>
      <c r="G2217" s="16"/>
      <c r="H2217" s="54"/>
      <c r="I2217" s="16"/>
      <c r="J2217" s="54"/>
      <c r="K2217" s="42"/>
      <c r="L2217" s="16"/>
      <c r="M2217" s="16"/>
      <c r="AA2217" s="14">
        <f t="shared" si="70"/>
        <v>0</v>
      </c>
      <c r="AB2217" s="47">
        <f t="shared" si="71"/>
        <v>-1</v>
      </c>
      <c r="AD2217" s="53"/>
      <c r="AE2217" s="53"/>
      <c r="AF2217" s="53"/>
      <c r="AG2217" s="53"/>
    </row>
    <row r="2218" spans="1:33" s="46" customFormat="1">
      <c r="A2218" s="54"/>
      <c r="B2218" s="16"/>
      <c r="C2218" s="55"/>
      <c r="D2218" s="56"/>
      <c r="E2218" s="16"/>
      <c r="F2218" s="16"/>
      <c r="G2218" s="16"/>
      <c r="H2218" s="54"/>
      <c r="I2218" s="16"/>
      <c r="J2218" s="54"/>
      <c r="K2218" s="42"/>
      <c r="L2218" s="16"/>
      <c r="M2218" s="16"/>
      <c r="AA2218" s="14">
        <f t="shared" si="70"/>
        <v>0</v>
      </c>
      <c r="AB2218" s="47">
        <f t="shared" si="71"/>
        <v>-1</v>
      </c>
      <c r="AD2218" s="53"/>
      <c r="AE2218" s="53"/>
      <c r="AF2218" s="53"/>
      <c r="AG2218" s="53"/>
    </row>
    <row r="2219" spans="1:33" s="46" customFormat="1">
      <c r="A2219" s="54"/>
      <c r="B2219" s="16"/>
      <c r="C2219" s="55"/>
      <c r="D2219" s="56"/>
      <c r="E2219" s="16"/>
      <c r="F2219" s="16"/>
      <c r="G2219" s="16"/>
      <c r="H2219" s="54"/>
      <c r="I2219" s="16"/>
      <c r="J2219" s="54"/>
      <c r="K2219" s="42"/>
      <c r="L2219" s="16"/>
      <c r="M2219" s="16"/>
      <c r="AA2219" s="14">
        <f t="shared" si="70"/>
        <v>0</v>
      </c>
      <c r="AB2219" s="47">
        <f t="shared" si="71"/>
        <v>-1</v>
      </c>
      <c r="AD2219" s="53"/>
      <c r="AE2219" s="53"/>
      <c r="AF2219" s="53"/>
      <c r="AG2219" s="53"/>
    </row>
    <row r="2220" spans="1:33" s="46" customFormat="1">
      <c r="A2220" s="54"/>
      <c r="B2220" s="16"/>
      <c r="C2220" s="55"/>
      <c r="D2220" s="56"/>
      <c r="E2220" s="16"/>
      <c r="F2220" s="16"/>
      <c r="G2220" s="16"/>
      <c r="H2220" s="54"/>
      <c r="I2220" s="16"/>
      <c r="J2220" s="54"/>
      <c r="K2220" s="42"/>
      <c r="L2220" s="16"/>
      <c r="M2220" s="16"/>
      <c r="AA2220" s="14">
        <f t="shared" si="70"/>
        <v>0</v>
      </c>
      <c r="AB2220" s="47">
        <f t="shared" si="71"/>
        <v>-1</v>
      </c>
      <c r="AD2220" s="53"/>
      <c r="AE2220" s="53"/>
      <c r="AF2220" s="53"/>
      <c r="AG2220" s="53"/>
    </row>
    <row r="2221" spans="1:33" s="46" customFormat="1">
      <c r="A2221" s="54"/>
      <c r="B2221" s="16"/>
      <c r="C2221" s="55"/>
      <c r="D2221" s="56"/>
      <c r="E2221" s="16"/>
      <c r="F2221" s="16"/>
      <c r="G2221" s="16"/>
      <c r="H2221" s="54"/>
      <c r="I2221" s="16"/>
      <c r="J2221" s="54"/>
      <c r="K2221" s="42"/>
      <c r="L2221" s="16"/>
      <c r="M2221" s="16"/>
      <c r="AA2221" s="14">
        <f t="shared" si="70"/>
        <v>0</v>
      </c>
      <c r="AB2221" s="47">
        <f t="shared" si="71"/>
        <v>-1</v>
      </c>
      <c r="AD2221" s="53"/>
      <c r="AE2221" s="53"/>
      <c r="AF2221" s="53"/>
      <c r="AG2221" s="53"/>
    </row>
    <row r="2222" spans="1:33" s="46" customFormat="1">
      <c r="A2222" s="54"/>
      <c r="B2222" s="16"/>
      <c r="C2222" s="55"/>
      <c r="D2222" s="56"/>
      <c r="E2222" s="16"/>
      <c r="F2222" s="16"/>
      <c r="G2222" s="16"/>
      <c r="H2222" s="54"/>
      <c r="I2222" s="16"/>
      <c r="J2222" s="54"/>
      <c r="K2222" s="42"/>
      <c r="L2222" s="16"/>
      <c r="M2222" s="16"/>
      <c r="AA2222" s="14">
        <f t="shared" si="70"/>
        <v>0</v>
      </c>
      <c r="AB2222" s="47">
        <f t="shared" si="71"/>
        <v>-1</v>
      </c>
      <c r="AD2222" s="53"/>
      <c r="AE2222" s="53"/>
      <c r="AF2222" s="53"/>
      <c r="AG2222" s="53"/>
    </row>
    <row r="2223" spans="1:33" s="46" customFormat="1">
      <c r="A2223" s="54"/>
      <c r="B2223" s="16"/>
      <c r="C2223" s="55"/>
      <c r="D2223" s="56"/>
      <c r="E2223" s="16"/>
      <c r="F2223" s="16"/>
      <c r="G2223" s="16"/>
      <c r="H2223" s="54"/>
      <c r="I2223" s="16"/>
      <c r="J2223" s="54"/>
      <c r="K2223" s="42"/>
      <c r="L2223" s="16"/>
      <c r="M2223" s="16"/>
      <c r="AA2223" s="14">
        <f t="shared" si="70"/>
        <v>0</v>
      </c>
      <c r="AB2223" s="47">
        <f t="shared" si="71"/>
        <v>-1</v>
      </c>
      <c r="AD2223" s="53"/>
      <c r="AE2223" s="53"/>
      <c r="AF2223" s="53"/>
      <c r="AG2223" s="53"/>
    </row>
    <row r="2224" spans="1:33" s="46" customFormat="1">
      <c r="A2224" s="54"/>
      <c r="B2224" s="16"/>
      <c r="C2224" s="55"/>
      <c r="D2224" s="56"/>
      <c r="E2224" s="16"/>
      <c r="F2224" s="16"/>
      <c r="G2224" s="16"/>
      <c r="H2224" s="54"/>
      <c r="I2224" s="16"/>
      <c r="J2224" s="54"/>
      <c r="K2224" s="42"/>
      <c r="L2224" s="16"/>
      <c r="M2224" s="16"/>
      <c r="AA2224" s="14">
        <f t="shared" si="70"/>
        <v>0</v>
      </c>
      <c r="AB2224" s="47">
        <f t="shared" si="71"/>
        <v>-1</v>
      </c>
      <c r="AD2224" s="53"/>
      <c r="AE2224" s="53"/>
      <c r="AF2224" s="53"/>
      <c r="AG2224" s="53"/>
    </row>
    <row r="2225" spans="1:33" s="46" customFormat="1">
      <c r="A2225" s="54"/>
      <c r="B2225" s="16"/>
      <c r="C2225" s="55"/>
      <c r="D2225" s="56"/>
      <c r="E2225" s="16"/>
      <c r="F2225" s="16"/>
      <c r="G2225" s="16"/>
      <c r="H2225" s="54"/>
      <c r="I2225" s="16"/>
      <c r="J2225" s="54"/>
      <c r="K2225" s="42"/>
      <c r="L2225" s="16"/>
      <c r="M2225" s="16"/>
      <c r="AA2225" s="14">
        <f t="shared" si="70"/>
        <v>0</v>
      </c>
      <c r="AB2225" s="47">
        <f t="shared" si="71"/>
        <v>-1</v>
      </c>
      <c r="AD2225" s="53"/>
      <c r="AE2225" s="53"/>
      <c r="AF2225" s="53"/>
      <c r="AG2225" s="53"/>
    </row>
    <row r="2226" spans="1:33" s="46" customFormat="1">
      <c r="A2226" s="54"/>
      <c r="B2226" s="16"/>
      <c r="C2226" s="55"/>
      <c r="D2226" s="56"/>
      <c r="E2226" s="16"/>
      <c r="F2226" s="16"/>
      <c r="G2226" s="16"/>
      <c r="H2226" s="54"/>
      <c r="I2226" s="16"/>
      <c r="J2226" s="54"/>
      <c r="K2226" s="42"/>
      <c r="L2226" s="16"/>
      <c r="M2226" s="16"/>
      <c r="AA2226" s="14">
        <f t="shared" si="70"/>
        <v>0</v>
      </c>
      <c r="AB2226" s="47">
        <f t="shared" si="71"/>
        <v>-1</v>
      </c>
      <c r="AD2226" s="53"/>
      <c r="AE2226" s="53"/>
      <c r="AF2226" s="53"/>
      <c r="AG2226" s="53"/>
    </row>
    <row r="2227" spans="1:33" s="46" customFormat="1">
      <c r="A2227" s="54"/>
      <c r="B2227" s="16"/>
      <c r="C2227" s="55"/>
      <c r="D2227" s="56"/>
      <c r="E2227" s="16"/>
      <c r="F2227" s="16"/>
      <c r="G2227" s="16"/>
      <c r="H2227" s="54"/>
      <c r="I2227" s="16"/>
      <c r="J2227" s="54"/>
      <c r="K2227" s="42"/>
      <c r="L2227" s="16"/>
      <c r="M2227" s="16"/>
      <c r="AA2227" s="14">
        <f t="shared" si="70"/>
        <v>0</v>
      </c>
      <c r="AB2227" s="47">
        <f t="shared" si="71"/>
        <v>-1</v>
      </c>
      <c r="AD2227" s="53"/>
      <c r="AE2227" s="53"/>
      <c r="AF2227" s="53"/>
      <c r="AG2227" s="53"/>
    </row>
    <row r="2228" spans="1:33" s="46" customFormat="1">
      <c r="A2228" s="54"/>
      <c r="B2228" s="16"/>
      <c r="C2228" s="55"/>
      <c r="D2228" s="56"/>
      <c r="E2228" s="16"/>
      <c r="F2228" s="16"/>
      <c r="G2228" s="16"/>
      <c r="H2228" s="54"/>
      <c r="I2228" s="16"/>
      <c r="J2228" s="54"/>
      <c r="K2228" s="42"/>
      <c r="L2228" s="16"/>
      <c r="M2228" s="16"/>
      <c r="AA2228" s="14">
        <f t="shared" si="70"/>
        <v>0</v>
      </c>
      <c r="AB2228" s="47">
        <f t="shared" si="71"/>
        <v>-1</v>
      </c>
      <c r="AD2228" s="53"/>
      <c r="AE2228" s="53"/>
      <c r="AF2228" s="53"/>
      <c r="AG2228" s="53"/>
    </row>
    <row r="2229" spans="1:33" s="46" customFormat="1">
      <c r="A2229" s="54"/>
      <c r="B2229" s="16"/>
      <c r="C2229" s="55"/>
      <c r="D2229" s="56"/>
      <c r="E2229" s="16"/>
      <c r="F2229" s="16"/>
      <c r="G2229" s="16"/>
      <c r="H2229" s="54"/>
      <c r="I2229" s="16"/>
      <c r="J2229" s="54"/>
      <c r="K2229" s="42"/>
      <c r="L2229" s="16"/>
      <c r="M2229" s="16"/>
      <c r="AA2229" s="14">
        <f t="shared" si="70"/>
        <v>0</v>
      </c>
      <c r="AB2229" s="47">
        <f t="shared" si="71"/>
        <v>-1</v>
      </c>
      <c r="AD2229" s="53"/>
      <c r="AE2229" s="53"/>
      <c r="AF2229" s="53"/>
      <c r="AG2229" s="53"/>
    </row>
    <row r="2230" spans="1:33" s="46" customFormat="1">
      <c r="A2230" s="54"/>
      <c r="B2230" s="16"/>
      <c r="C2230" s="55"/>
      <c r="D2230" s="56"/>
      <c r="E2230" s="16"/>
      <c r="F2230" s="16"/>
      <c r="G2230" s="16"/>
      <c r="H2230" s="54"/>
      <c r="I2230" s="16"/>
      <c r="J2230" s="54"/>
      <c r="K2230" s="42"/>
      <c r="L2230" s="16"/>
      <c r="M2230" s="16"/>
      <c r="AA2230" s="14">
        <f t="shared" si="70"/>
        <v>0</v>
      </c>
      <c r="AB2230" s="47">
        <f t="shared" si="71"/>
        <v>-1</v>
      </c>
      <c r="AD2230" s="53"/>
      <c r="AE2230" s="53"/>
      <c r="AF2230" s="53"/>
      <c r="AG2230" s="53"/>
    </row>
    <row r="2231" spans="1:33" s="46" customFormat="1">
      <c r="A2231" s="54"/>
      <c r="B2231" s="16"/>
      <c r="C2231" s="55"/>
      <c r="D2231" s="56"/>
      <c r="E2231" s="16"/>
      <c r="F2231" s="16"/>
      <c r="G2231" s="16"/>
      <c r="H2231" s="54"/>
      <c r="I2231" s="16"/>
      <c r="J2231" s="54"/>
      <c r="K2231" s="42"/>
      <c r="L2231" s="16"/>
      <c r="M2231" s="16"/>
      <c r="AA2231" s="14">
        <f t="shared" si="70"/>
        <v>0</v>
      </c>
      <c r="AB2231" s="47">
        <f t="shared" si="71"/>
        <v>-1</v>
      </c>
      <c r="AD2231" s="53"/>
      <c r="AE2231" s="53"/>
      <c r="AF2231" s="53"/>
      <c r="AG2231" s="53"/>
    </row>
    <row r="2232" spans="1:33" s="46" customFormat="1">
      <c r="A2232" s="54"/>
      <c r="B2232" s="16"/>
      <c r="C2232" s="55"/>
      <c r="D2232" s="56"/>
      <c r="E2232" s="16"/>
      <c r="F2232" s="16"/>
      <c r="G2232" s="16"/>
      <c r="H2232" s="54"/>
      <c r="I2232" s="16"/>
      <c r="J2232" s="54"/>
      <c r="K2232" s="42"/>
      <c r="L2232" s="16"/>
      <c r="M2232" s="16"/>
      <c r="AA2232" s="14">
        <f t="shared" si="70"/>
        <v>0</v>
      </c>
      <c r="AB2232" s="47">
        <f t="shared" si="71"/>
        <v>-1</v>
      </c>
      <c r="AD2232" s="53"/>
      <c r="AE2232" s="53"/>
      <c r="AF2232" s="53"/>
      <c r="AG2232" s="53"/>
    </row>
    <row r="2233" spans="1:33" s="46" customFormat="1">
      <c r="A2233" s="54"/>
      <c r="B2233" s="16"/>
      <c r="C2233" s="55"/>
      <c r="D2233" s="56"/>
      <c r="E2233" s="16"/>
      <c r="F2233" s="16"/>
      <c r="G2233" s="16"/>
      <c r="H2233" s="54"/>
      <c r="I2233" s="16"/>
      <c r="J2233" s="54"/>
      <c r="K2233" s="42"/>
      <c r="L2233" s="16"/>
      <c r="M2233" s="16"/>
      <c r="AA2233" s="14">
        <f t="shared" si="70"/>
        <v>0</v>
      </c>
      <c r="AB2233" s="47">
        <f t="shared" si="71"/>
        <v>-1</v>
      </c>
      <c r="AD2233" s="53"/>
      <c r="AE2233" s="53"/>
      <c r="AF2233" s="53"/>
      <c r="AG2233" s="53"/>
    </row>
    <row r="2234" spans="1:33" s="46" customFormat="1">
      <c r="A2234" s="54"/>
      <c r="B2234" s="16"/>
      <c r="C2234" s="55"/>
      <c r="D2234" s="56"/>
      <c r="E2234" s="16"/>
      <c r="F2234" s="16"/>
      <c r="G2234" s="16"/>
      <c r="H2234" s="54"/>
      <c r="I2234" s="16"/>
      <c r="J2234" s="54"/>
      <c r="K2234" s="42"/>
      <c r="L2234" s="16"/>
      <c r="M2234" s="16"/>
      <c r="AA2234" s="14">
        <f t="shared" si="70"/>
        <v>0</v>
      </c>
      <c r="AB2234" s="47">
        <f t="shared" si="71"/>
        <v>-1</v>
      </c>
      <c r="AD2234" s="53"/>
      <c r="AE2234" s="53"/>
      <c r="AF2234" s="53"/>
      <c r="AG2234" s="53"/>
    </row>
    <row r="2235" spans="1:33" s="46" customFormat="1">
      <c r="A2235" s="54"/>
      <c r="B2235" s="16"/>
      <c r="C2235" s="55"/>
      <c r="D2235" s="56"/>
      <c r="E2235" s="16"/>
      <c r="F2235" s="16"/>
      <c r="G2235" s="16"/>
      <c r="H2235" s="54"/>
      <c r="I2235" s="16"/>
      <c r="J2235" s="54"/>
      <c r="K2235" s="42"/>
      <c r="L2235" s="16"/>
      <c r="M2235" s="16"/>
      <c r="AA2235" s="14">
        <f t="shared" si="70"/>
        <v>0</v>
      </c>
      <c r="AB2235" s="47">
        <f t="shared" si="71"/>
        <v>-1</v>
      </c>
      <c r="AD2235" s="53"/>
      <c r="AE2235" s="53"/>
      <c r="AF2235" s="53"/>
      <c r="AG2235" s="53"/>
    </row>
    <row r="2236" spans="1:33" s="46" customFormat="1">
      <c r="A2236" s="54"/>
      <c r="B2236" s="16"/>
      <c r="C2236" s="55"/>
      <c r="D2236" s="56"/>
      <c r="E2236" s="16"/>
      <c r="F2236" s="16"/>
      <c r="G2236" s="16"/>
      <c r="H2236" s="54"/>
      <c r="I2236" s="16"/>
      <c r="J2236" s="54"/>
      <c r="K2236" s="42"/>
      <c r="L2236" s="16"/>
      <c r="M2236" s="16"/>
      <c r="AA2236" s="14">
        <f t="shared" si="70"/>
        <v>0</v>
      </c>
      <c r="AB2236" s="47">
        <f t="shared" si="71"/>
        <v>-1</v>
      </c>
      <c r="AD2236" s="53"/>
      <c r="AE2236" s="53"/>
      <c r="AF2236" s="53"/>
      <c r="AG2236" s="53"/>
    </row>
    <row r="2237" spans="1:33" s="46" customFormat="1">
      <c r="A2237" s="54"/>
      <c r="B2237" s="16"/>
      <c r="C2237" s="55"/>
      <c r="D2237" s="56"/>
      <c r="E2237" s="16"/>
      <c r="F2237" s="16"/>
      <c r="G2237" s="16"/>
      <c r="H2237" s="54"/>
      <c r="I2237" s="16"/>
      <c r="J2237" s="54"/>
      <c r="K2237" s="42"/>
      <c r="L2237" s="16"/>
      <c r="M2237" s="16"/>
      <c r="AA2237" s="14">
        <f t="shared" si="70"/>
        <v>0</v>
      </c>
      <c r="AB2237" s="47">
        <f t="shared" si="71"/>
        <v>-1</v>
      </c>
      <c r="AD2237" s="53"/>
      <c r="AE2237" s="53"/>
      <c r="AF2237" s="53"/>
      <c r="AG2237" s="53"/>
    </row>
    <row r="2238" spans="1:33" s="46" customFormat="1">
      <c r="A2238" s="54"/>
      <c r="B2238" s="16"/>
      <c r="C2238" s="55"/>
      <c r="D2238" s="56"/>
      <c r="E2238" s="16"/>
      <c r="F2238" s="16"/>
      <c r="G2238" s="16"/>
      <c r="H2238" s="54"/>
      <c r="I2238" s="16"/>
      <c r="J2238" s="54"/>
      <c r="K2238" s="42"/>
      <c r="L2238" s="16"/>
      <c r="M2238" s="16"/>
      <c r="AA2238" s="14">
        <f t="shared" si="70"/>
        <v>0</v>
      </c>
      <c r="AB2238" s="47">
        <f t="shared" si="71"/>
        <v>-1</v>
      </c>
      <c r="AD2238" s="53"/>
      <c r="AE2238" s="53"/>
      <c r="AF2238" s="53"/>
      <c r="AG2238" s="53"/>
    </row>
    <row r="2239" spans="1:33" s="46" customFormat="1">
      <c r="A2239" s="54"/>
      <c r="B2239" s="16"/>
      <c r="C2239" s="55"/>
      <c r="D2239" s="56"/>
      <c r="E2239" s="16"/>
      <c r="F2239" s="16"/>
      <c r="G2239" s="16"/>
      <c r="H2239" s="54"/>
      <c r="I2239" s="16"/>
      <c r="J2239" s="54"/>
      <c r="K2239" s="42"/>
      <c r="L2239" s="16"/>
      <c r="M2239" s="16"/>
      <c r="AA2239" s="14">
        <f t="shared" si="70"/>
        <v>0</v>
      </c>
      <c r="AB2239" s="47">
        <f t="shared" si="71"/>
        <v>-1</v>
      </c>
      <c r="AD2239" s="53"/>
      <c r="AE2239" s="53"/>
      <c r="AF2239" s="53"/>
      <c r="AG2239" s="53"/>
    </row>
    <row r="2240" spans="1:33" s="46" customFormat="1">
      <c r="A2240" s="54"/>
      <c r="B2240" s="16"/>
      <c r="C2240" s="55"/>
      <c r="D2240" s="56"/>
      <c r="E2240" s="16"/>
      <c r="F2240" s="16"/>
      <c r="G2240" s="16"/>
      <c r="H2240" s="54"/>
      <c r="I2240" s="16"/>
      <c r="J2240" s="54"/>
      <c r="K2240" s="42"/>
      <c r="L2240" s="16"/>
      <c r="M2240" s="16"/>
      <c r="AA2240" s="14">
        <f t="shared" si="70"/>
        <v>0</v>
      </c>
      <c r="AB2240" s="47">
        <f t="shared" si="71"/>
        <v>-1</v>
      </c>
      <c r="AD2240" s="53"/>
      <c r="AE2240" s="53"/>
      <c r="AF2240" s="53"/>
      <c r="AG2240" s="53"/>
    </row>
    <row r="2241" spans="1:33" s="46" customFormat="1">
      <c r="A2241" s="54"/>
      <c r="B2241" s="16"/>
      <c r="C2241" s="55"/>
      <c r="D2241" s="56"/>
      <c r="E2241" s="16"/>
      <c r="F2241" s="16"/>
      <c r="G2241" s="16"/>
      <c r="H2241" s="54"/>
      <c r="I2241" s="16"/>
      <c r="J2241" s="54"/>
      <c r="K2241" s="42"/>
      <c r="L2241" s="16"/>
      <c r="M2241" s="16"/>
      <c r="AA2241" s="14">
        <f t="shared" si="70"/>
        <v>0</v>
      </c>
      <c r="AB2241" s="47">
        <f t="shared" si="71"/>
        <v>-1</v>
      </c>
      <c r="AD2241" s="53"/>
      <c r="AE2241" s="53"/>
      <c r="AF2241" s="53"/>
      <c r="AG2241" s="53"/>
    </row>
    <row r="2242" spans="1:33" s="46" customFormat="1">
      <c r="A2242" s="54"/>
      <c r="B2242" s="16"/>
      <c r="C2242" s="55"/>
      <c r="D2242" s="56"/>
      <c r="E2242" s="16"/>
      <c r="F2242" s="16"/>
      <c r="G2242" s="16"/>
      <c r="H2242" s="54"/>
      <c r="I2242" s="16"/>
      <c r="J2242" s="54"/>
      <c r="K2242" s="42"/>
      <c r="L2242" s="16"/>
      <c r="M2242" s="16"/>
      <c r="AA2242" s="14">
        <f t="shared" si="70"/>
        <v>0</v>
      </c>
      <c r="AB2242" s="47">
        <f t="shared" si="71"/>
        <v>-1</v>
      </c>
      <c r="AD2242" s="53"/>
      <c r="AE2242" s="53"/>
      <c r="AF2242" s="53"/>
      <c r="AG2242" s="53"/>
    </row>
    <row r="2243" spans="1:33" s="46" customFormat="1">
      <c r="A2243" s="54"/>
      <c r="B2243" s="16"/>
      <c r="C2243" s="55"/>
      <c r="D2243" s="56"/>
      <c r="E2243" s="16"/>
      <c r="F2243" s="16"/>
      <c r="G2243" s="16"/>
      <c r="H2243" s="54"/>
      <c r="I2243" s="16"/>
      <c r="J2243" s="54"/>
      <c r="K2243" s="42"/>
      <c r="L2243" s="16"/>
      <c r="M2243" s="16"/>
      <c r="AA2243" s="14">
        <f t="shared" si="70"/>
        <v>0</v>
      </c>
      <c r="AB2243" s="47">
        <f t="shared" si="71"/>
        <v>-1</v>
      </c>
      <c r="AD2243" s="53"/>
      <c r="AE2243" s="53"/>
      <c r="AF2243" s="53"/>
      <c r="AG2243" s="53"/>
    </row>
    <row r="2244" spans="1:33" s="46" customFormat="1">
      <c r="A2244" s="54"/>
      <c r="B2244" s="16"/>
      <c r="C2244" s="55"/>
      <c r="D2244" s="56"/>
      <c r="E2244" s="16"/>
      <c r="F2244" s="16"/>
      <c r="G2244" s="16"/>
      <c r="H2244" s="54"/>
      <c r="I2244" s="16"/>
      <c r="J2244" s="54"/>
      <c r="K2244" s="42"/>
      <c r="L2244" s="16"/>
      <c r="M2244" s="16"/>
      <c r="AA2244" s="14">
        <f t="shared" si="70"/>
        <v>0</v>
      </c>
      <c r="AB2244" s="47">
        <f t="shared" si="71"/>
        <v>-1</v>
      </c>
      <c r="AD2244" s="53"/>
      <c r="AE2244" s="53"/>
      <c r="AF2244" s="53"/>
      <c r="AG2244" s="53"/>
    </row>
    <row r="2245" spans="1:33" s="46" customFormat="1">
      <c r="A2245" s="54"/>
      <c r="B2245" s="16"/>
      <c r="C2245" s="55"/>
      <c r="D2245" s="56"/>
      <c r="E2245" s="16"/>
      <c r="F2245" s="16"/>
      <c r="G2245" s="16"/>
      <c r="H2245" s="54"/>
      <c r="I2245" s="16"/>
      <c r="J2245" s="54"/>
      <c r="K2245" s="42"/>
      <c r="L2245" s="16"/>
      <c r="M2245" s="16"/>
      <c r="AA2245" s="14">
        <f t="shared" si="70"/>
        <v>0</v>
      </c>
      <c r="AB2245" s="47">
        <f t="shared" si="71"/>
        <v>-1</v>
      </c>
      <c r="AD2245" s="53"/>
      <c r="AE2245" s="53"/>
      <c r="AF2245" s="53"/>
      <c r="AG2245" s="53"/>
    </row>
    <row r="2246" spans="1:33" s="46" customFormat="1">
      <c r="A2246" s="54"/>
      <c r="B2246" s="16"/>
      <c r="C2246" s="55"/>
      <c r="D2246" s="56"/>
      <c r="E2246" s="16"/>
      <c r="F2246" s="16"/>
      <c r="G2246" s="16"/>
      <c r="H2246" s="54"/>
      <c r="I2246" s="16"/>
      <c r="J2246" s="54"/>
      <c r="K2246" s="42"/>
      <c r="L2246" s="16"/>
      <c r="M2246" s="16"/>
      <c r="AA2246" s="14">
        <f t="shared" si="70"/>
        <v>0</v>
      </c>
      <c r="AB2246" s="47">
        <f t="shared" si="71"/>
        <v>-1</v>
      </c>
      <c r="AD2246" s="53"/>
      <c r="AE2246" s="53"/>
      <c r="AF2246" s="53"/>
      <c r="AG2246" s="53"/>
    </row>
    <row r="2247" spans="1:33" s="46" customFormat="1">
      <c r="A2247" s="54"/>
      <c r="B2247" s="16"/>
      <c r="C2247" s="55"/>
      <c r="D2247" s="56"/>
      <c r="E2247" s="16"/>
      <c r="F2247" s="16"/>
      <c r="G2247" s="16"/>
      <c r="H2247" s="54"/>
      <c r="I2247" s="16"/>
      <c r="J2247" s="54"/>
      <c r="K2247" s="42"/>
      <c r="L2247" s="16"/>
      <c r="M2247" s="16"/>
      <c r="AA2247" s="14">
        <f t="shared" si="70"/>
        <v>0</v>
      </c>
      <c r="AB2247" s="47">
        <f t="shared" si="71"/>
        <v>-1</v>
      </c>
      <c r="AD2247" s="53"/>
      <c r="AE2247" s="53"/>
      <c r="AF2247" s="53"/>
      <c r="AG2247" s="53"/>
    </row>
    <row r="2248" spans="1:33" s="46" customFormat="1">
      <c r="A2248" s="54"/>
      <c r="B2248" s="16"/>
      <c r="C2248" s="55"/>
      <c r="D2248" s="56"/>
      <c r="E2248" s="16"/>
      <c r="F2248" s="16"/>
      <c r="G2248" s="16"/>
      <c r="H2248" s="54"/>
      <c r="I2248" s="16"/>
      <c r="J2248" s="54"/>
      <c r="K2248" s="42"/>
      <c r="L2248" s="16"/>
      <c r="M2248" s="16"/>
      <c r="AA2248" s="14">
        <f t="shared" si="70"/>
        <v>0</v>
      </c>
      <c r="AB2248" s="47">
        <f t="shared" si="71"/>
        <v>-1</v>
      </c>
      <c r="AD2248" s="53"/>
      <c r="AE2248" s="53"/>
      <c r="AF2248" s="53"/>
      <c r="AG2248" s="53"/>
    </row>
    <row r="2249" spans="1:33" s="46" customFormat="1">
      <c r="A2249" s="54"/>
      <c r="B2249" s="16"/>
      <c r="C2249" s="55"/>
      <c r="D2249" s="56"/>
      <c r="E2249" s="16"/>
      <c r="F2249" s="16"/>
      <c r="G2249" s="16"/>
      <c r="H2249" s="54"/>
      <c r="I2249" s="16"/>
      <c r="J2249" s="54"/>
      <c r="K2249" s="42"/>
      <c r="L2249" s="16"/>
      <c r="M2249" s="16"/>
      <c r="AA2249" s="14">
        <f t="shared" si="70"/>
        <v>0</v>
      </c>
      <c r="AB2249" s="47">
        <f t="shared" si="71"/>
        <v>-1</v>
      </c>
      <c r="AD2249" s="53"/>
      <c r="AE2249" s="53"/>
      <c r="AF2249" s="53"/>
      <c r="AG2249" s="53"/>
    </row>
    <row r="2250" spans="1:33" s="46" customFormat="1">
      <c r="A2250" s="54"/>
      <c r="B2250" s="16"/>
      <c r="C2250" s="55"/>
      <c r="D2250" s="56"/>
      <c r="E2250" s="16"/>
      <c r="F2250" s="16"/>
      <c r="G2250" s="16"/>
      <c r="H2250" s="54"/>
      <c r="I2250" s="16"/>
      <c r="J2250" s="54"/>
      <c r="K2250" s="42"/>
      <c r="L2250" s="16"/>
      <c r="M2250" s="16"/>
      <c r="AA2250" s="14">
        <f t="shared" si="70"/>
        <v>0</v>
      </c>
      <c r="AB2250" s="47">
        <f t="shared" si="71"/>
        <v>-1</v>
      </c>
      <c r="AD2250" s="53"/>
      <c r="AE2250" s="53"/>
      <c r="AF2250" s="53"/>
      <c r="AG2250" s="53"/>
    </row>
    <row r="2251" spans="1:33" s="46" customFormat="1">
      <c r="A2251" s="54"/>
      <c r="B2251" s="16"/>
      <c r="C2251" s="55"/>
      <c r="D2251" s="56"/>
      <c r="E2251" s="16"/>
      <c r="F2251" s="16"/>
      <c r="G2251" s="16"/>
      <c r="H2251" s="54"/>
      <c r="I2251" s="16"/>
      <c r="J2251" s="54"/>
      <c r="K2251" s="42"/>
      <c r="L2251" s="16"/>
      <c r="M2251" s="16"/>
      <c r="AA2251" s="14">
        <f t="shared" si="70"/>
        <v>0</v>
      </c>
      <c r="AB2251" s="47">
        <f t="shared" si="71"/>
        <v>-1</v>
      </c>
      <c r="AD2251" s="53"/>
      <c r="AE2251" s="53"/>
      <c r="AF2251" s="53"/>
      <c r="AG2251" s="53"/>
    </row>
    <row r="2252" spans="1:33" s="46" customFormat="1">
      <c r="A2252" s="54"/>
      <c r="B2252" s="16"/>
      <c r="C2252" s="55"/>
      <c r="D2252" s="56"/>
      <c r="E2252" s="16"/>
      <c r="F2252" s="16"/>
      <c r="G2252" s="16"/>
      <c r="H2252" s="54"/>
      <c r="I2252" s="16"/>
      <c r="J2252" s="54"/>
      <c r="K2252" s="42"/>
      <c r="L2252" s="16"/>
      <c r="M2252" s="16"/>
      <c r="AA2252" s="14">
        <f t="shared" si="70"/>
        <v>0</v>
      </c>
      <c r="AB2252" s="47">
        <f t="shared" si="71"/>
        <v>-1</v>
      </c>
      <c r="AD2252" s="53"/>
      <c r="AE2252" s="53"/>
      <c r="AF2252" s="53"/>
      <c r="AG2252" s="53"/>
    </row>
    <row r="2253" spans="1:33" s="46" customFormat="1">
      <c r="A2253" s="54"/>
      <c r="B2253" s="16"/>
      <c r="C2253" s="55"/>
      <c r="D2253" s="56"/>
      <c r="E2253" s="16"/>
      <c r="F2253" s="16"/>
      <c r="G2253" s="16"/>
      <c r="H2253" s="54"/>
      <c r="I2253" s="16"/>
      <c r="J2253" s="54"/>
      <c r="K2253" s="42"/>
      <c r="L2253" s="16"/>
      <c r="M2253" s="16"/>
      <c r="AA2253" s="14">
        <f t="shared" si="70"/>
        <v>0</v>
      </c>
      <c r="AB2253" s="47">
        <f t="shared" si="71"/>
        <v>-1</v>
      </c>
      <c r="AD2253" s="53"/>
      <c r="AE2253" s="53"/>
      <c r="AF2253" s="53"/>
      <c r="AG2253" s="53"/>
    </row>
    <row r="2254" spans="1:33" s="46" customFormat="1">
      <c r="A2254" s="54"/>
      <c r="B2254" s="16"/>
      <c r="C2254" s="55"/>
      <c r="D2254" s="56"/>
      <c r="E2254" s="16"/>
      <c r="F2254" s="16"/>
      <c r="G2254" s="16"/>
      <c r="H2254" s="54"/>
      <c r="I2254" s="16"/>
      <c r="J2254" s="54"/>
      <c r="K2254" s="42"/>
      <c r="L2254" s="16"/>
      <c r="M2254" s="16"/>
      <c r="AA2254" s="14">
        <f t="shared" si="70"/>
        <v>0</v>
      </c>
      <c r="AB2254" s="47">
        <f t="shared" si="71"/>
        <v>-1</v>
      </c>
      <c r="AD2254" s="53"/>
      <c r="AE2254" s="53"/>
      <c r="AF2254" s="53"/>
      <c r="AG2254" s="53"/>
    </row>
    <row r="2255" spans="1:33" s="46" customFormat="1">
      <c r="A2255" s="54"/>
      <c r="B2255" s="16"/>
      <c r="C2255" s="55"/>
      <c r="D2255" s="56"/>
      <c r="E2255" s="16"/>
      <c r="F2255" s="16"/>
      <c r="G2255" s="16"/>
      <c r="H2255" s="54"/>
      <c r="I2255" s="16"/>
      <c r="J2255" s="54"/>
      <c r="K2255" s="42"/>
      <c r="L2255" s="16"/>
      <c r="M2255" s="16"/>
      <c r="AA2255" s="14">
        <f t="shared" si="70"/>
        <v>0</v>
      </c>
      <c r="AB2255" s="47">
        <f t="shared" si="71"/>
        <v>-1</v>
      </c>
      <c r="AD2255" s="53"/>
      <c r="AE2255" s="53"/>
      <c r="AF2255" s="53"/>
      <c r="AG2255" s="53"/>
    </row>
    <row r="2256" spans="1:33" s="46" customFormat="1">
      <c r="A2256" s="54"/>
      <c r="B2256" s="16"/>
      <c r="C2256" s="55"/>
      <c r="D2256" s="56"/>
      <c r="E2256" s="16"/>
      <c r="F2256" s="16"/>
      <c r="G2256" s="16"/>
      <c r="H2256" s="54"/>
      <c r="I2256" s="16"/>
      <c r="J2256" s="54"/>
      <c r="K2256" s="42"/>
      <c r="L2256" s="16"/>
      <c r="M2256" s="16"/>
      <c r="AA2256" s="14">
        <f t="shared" si="70"/>
        <v>0</v>
      </c>
      <c r="AB2256" s="47">
        <f t="shared" si="71"/>
        <v>-1</v>
      </c>
      <c r="AD2256" s="53"/>
      <c r="AE2256" s="53"/>
      <c r="AF2256" s="53"/>
      <c r="AG2256" s="53"/>
    </row>
    <row r="2257" spans="1:33" s="46" customFormat="1">
      <c r="A2257" s="54"/>
      <c r="B2257" s="16"/>
      <c r="C2257" s="55"/>
      <c r="D2257" s="56"/>
      <c r="E2257" s="16"/>
      <c r="F2257" s="16"/>
      <c r="G2257" s="16"/>
      <c r="H2257" s="54"/>
      <c r="I2257" s="16"/>
      <c r="J2257" s="54"/>
      <c r="K2257" s="42"/>
      <c r="L2257" s="16"/>
      <c r="M2257" s="16"/>
      <c r="AA2257" s="14">
        <f t="shared" si="70"/>
        <v>0</v>
      </c>
      <c r="AB2257" s="47">
        <f t="shared" si="71"/>
        <v>-1</v>
      </c>
      <c r="AD2257" s="53"/>
      <c r="AE2257" s="53"/>
      <c r="AF2257" s="53"/>
      <c r="AG2257" s="53"/>
    </row>
    <row r="2258" spans="1:33" s="46" customFormat="1">
      <c r="A2258" s="54"/>
      <c r="B2258" s="16"/>
      <c r="C2258" s="55"/>
      <c r="D2258" s="56"/>
      <c r="E2258" s="16"/>
      <c r="F2258" s="16"/>
      <c r="G2258" s="16"/>
      <c r="H2258" s="54"/>
      <c r="I2258" s="16"/>
      <c r="J2258" s="54"/>
      <c r="K2258" s="42"/>
      <c r="L2258" s="16"/>
      <c r="M2258" s="16"/>
      <c r="AA2258" s="14">
        <f t="shared" si="70"/>
        <v>0</v>
      </c>
      <c r="AB2258" s="47">
        <f t="shared" si="71"/>
        <v>-1</v>
      </c>
      <c r="AD2258" s="53"/>
      <c r="AE2258" s="53"/>
      <c r="AF2258" s="53"/>
      <c r="AG2258" s="53"/>
    </row>
    <row r="2259" spans="1:33" s="46" customFormat="1">
      <c r="A2259" s="54"/>
      <c r="B2259" s="16"/>
      <c r="C2259" s="55"/>
      <c r="D2259" s="56"/>
      <c r="E2259" s="16"/>
      <c r="F2259" s="16"/>
      <c r="G2259" s="16"/>
      <c r="H2259" s="54"/>
      <c r="I2259" s="16"/>
      <c r="J2259" s="54"/>
      <c r="K2259" s="42"/>
      <c r="L2259" s="16"/>
      <c r="M2259" s="16"/>
      <c r="AA2259" s="14">
        <f t="shared" si="70"/>
        <v>0</v>
      </c>
      <c r="AB2259" s="47">
        <f t="shared" si="71"/>
        <v>-1</v>
      </c>
      <c r="AD2259" s="53"/>
      <c r="AE2259" s="53"/>
      <c r="AF2259" s="53"/>
      <c r="AG2259" s="53"/>
    </row>
    <row r="2260" spans="1:33" s="46" customFormat="1">
      <c r="A2260" s="54"/>
      <c r="B2260" s="16"/>
      <c r="C2260" s="55"/>
      <c r="D2260" s="56"/>
      <c r="E2260" s="16"/>
      <c r="F2260" s="16"/>
      <c r="G2260" s="16"/>
      <c r="H2260" s="54"/>
      <c r="I2260" s="16"/>
      <c r="J2260" s="54"/>
      <c r="K2260" s="42"/>
      <c r="L2260" s="16"/>
      <c r="M2260" s="16"/>
      <c r="AA2260" s="14">
        <f t="shared" si="70"/>
        <v>0</v>
      </c>
      <c r="AB2260" s="47">
        <f t="shared" si="71"/>
        <v>-1</v>
      </c>
      <c r="AD2260" s="53"/>
      <c r="AE2260" s="53"/>
      <c r="AF2260" s="53"/>
      <c r="AG2260" s="53"/>
    </row>
    <row r="2261" spans="1:33" s="46" customFormat="1">
      <c r="A2261" s="54"/>
      <c r="B2261" s="16"/>
      <c r="C2261" s="55"/>
      <c r="D2261" s="56"/>
      <c r="E2261" s="16"/>
      <c r="F2261" s="16"/>
      <c r="G2261" s="16"/>
      <c r="H2261" s="54"/>
      <c r="I2261" s="16"/>
      <c r="J2261" s="54"/>
      <c r="K2261" s="42"/>
      <c r="L2261" s="16"/>
      <c r="M2261" s="16"/>
      <c r="AA2261" s="14">
        <f t="shared" si="70"/>
        <v>0</v>
      </c>
      <c r="AB2261" s="47">
        <f t="shared" si="71"/>
        <v>-1</v>
      </c>
      <c r="AD2261" s="53"/>
      <c r="AE2261" s="53"/>
      <c r="AF2261" s="53"/>
      <c r="AG2261" s="53"/>
    </row>
    <row r="2262" spans="1:33" s="46" customFormat="1">
      <c r="A2262" s="54"/>
      <c r="B2262" s="16"/>
      <c r="C2262" s="55"/>
      <c r="D2262" s="56"/>
      <c r="E2262" s="16"/>
      <c r="F2262" s="16"/>
      <c r="G2262" s="16"/>
      <c r="H2262" s="54"/>
      <c r="I2262" s="16"/>
      <c r="J2262" s="54"/>
      <c r="K2262" s="42"/>
      <c r="L2262" s="16"/>
      <c r="M2262" s="16"/>
      <c r="AA2262" s="14">
        <f t="shared" si="70"/>
        <v>0</v>
      </c>
      <c r="AB2262" s="47">
        <f t="shared" si="71"/>
        <v>-1</v>
      </c>
      <c r="AD2262" s="53"/>
      <c r="AE2262" s="53"/>
      <c r="AF2262" s="53"/>
      <c r="AG2262" s="53"/>
    </row>
    <row r="2263" spans="1:33" s="46" customFormat="1">
      <c r="A2263" s="54"/>
      <c r="B2263" s="16"/>
      <c r="C2263" s="55"/>
      <c r="D2263" s="56"/>
      <c r="E2263" s="16"/>
      <c r="F2263" s="16"/>
      <c r="G2263" s="16"/>
      <c r="H2263" s="54"/>
      <c r="I2263" s="16"/>
      <c r="J2263" s="54"/>
      <c r="K2263" s="42"/>
      <c r="L2263" s="16"/>
      <c r="M2263" s="16"/>
      <c r="AA2263" s="14">
        <f t="shared" si="70"/>
        <v>0</v>
      </c>
      <c r="AB2263" s="47">
        <f t="shared" si="71"/>
        <v>-1</v>
      </c>
      <c r="AD2263" s="53"/>
      <c r="AE2263" s="53"/>
      <c r="AF2263" s="53"/>
      <c r="AG2263" s="53"/>
    </row>
    <row r="2264" spans="1:33" s="46" customFormat="1">
      <c r="A2264" s="54"/>
      <c r="B2264" s="16"/>
      <c r="C2264" s="55"/>
      <c r="D2264" s="56"/>
      <c r="E2264" s="16"/>
      <c r="F2264" s="16"/>
      <c r="G2264" s="16"/>
      <c r="H2264" s="54"/>
      <c r="I2264" s="16"/>
      <c r="J2264" s="54"/>
      <c r="K2264" s="42"/>
      <c r="L2264" s="16"/>
      <c r="M2264" s="16"/>
      <c r="AA2264" s="14">
        <f t="shared" si="70"/>
        <v>0</v>
      </c>
      <c r="AB2264" s="47">
        <f t="shared" si="71"/>
        <v>-1</v>
      </c>
      <c r="AD2264" s="53"/>
      <c r="AE2264" s="53"/>
      <c r="AF2264" s="53"/>
      <c r="AG2264" s="53"/>
    </row>
    <row r="2265" spans="1:33" s="46" customFormat="1">
      <c r="A2265" s="54"/>
      <c r="B2265" s="16"/>
      <c r="C2265" s="55"/>
      <c r="D2265" s="56"/>
      <c r="E2265" s="16"/>
      <c r="F2265" s="16"/>
      <c r="G2265" s="16"/>
      <c r="H2265" s="54"/>
      <c r="I2265" s="16"/>
      <c r="J2265" s="54"/>
      <c r="K2265" s="42"/>
      <c r="L2265" s="16"/>
      <c r="M2265" s="16"/>
      <c r="AA2265" s="14">
        <f t="shared" si="70"/>
        <v>0</v>
      </c>
      <c r="AB2265" s="47">
        <f t="shared" si="71"/>
        <v>-1</v>
      </c>
      <c r="AD2265" s="53"/>
      <c r="AE2265" s="53"/>
      <c r="AF2265" s="53"/>
      <c r="AG2265" s="53"/>
    </row>
    <row r="2266" spans="1:33" s="46" customFormat="1">
      <c r="A2266" s="54"/>
      <c r="B2266" s="16"/>
      <c r="C2266" s="55"/>
      <c r="D2266" s="56"/>
      <c r="E2266" s="16"/>
      <c r="F2266" s="16"/>
      <c r="G2266" s="16"/>
      <c r="H2266" s="54"/>
      <c r="I2266" s="16"/>
      <c r="J2266" s="54"/>
      <c r="K2266" s="42"/>
      <c r="L2266" s="16"/>
      <c r="M2266" s="16"/>
      <c r="AA2266" s="14">
        <f t="shared" si="70"/>
        <v>0</v>
      </c>
      <c r="AB2266" s="47">
        <f t="shared" si="71"/>
        <v>-1</v>
      </c>
      <c r="AD2266" s="53"/>
      <c r="AE2266" s="53"/>
      <c r="AF2266" s="53"/>
      <c r="AG2266" s="53"/>
    </row>
    <row r="2267" spans="1:33" s="46" customFormat="1">
      <c r="A2267" s="54"/>
      <c r="B2267" s="16"/>
      <c r="C2267" s="55"/>
      <c r="D2267" s="56"/>
      <c r="E2267" s="16"/>
      <c r="F2267" s="16"/>
      <c r="G2267" s="16"/>
      <c r="H2267" s="54"/>
      <c r="I2267" s="16"/>
      <c r="J2267" s="54"/>
      <c r="K2267" s="42"/>
      <c r="L2267" s="16"/>
      <c r="M2267" s="16"/>
      <c r="AA2267" s="14">
        <f t="shared" si="70"/>
        <v>0</v>
      </c>
      <c r="AB2267" s="47">
        <f t="shared" si="71"/>
        <v>-1</v>
      </c>
      <c r="AD2267" s="53"/>
      <c r="AE2267" s="53"/>
      <c r="AF2267" s="53"/>
      <c r="AG2267" s="53"/>
    </row>
    <row r="2268" spans="1:33" s="46" customFormat="1">
      <c r="A2268" s="54"/>
      <c r="B2268" s="16"/>
      <c r="C2268" s="55"/>
      <c r="D2268" s="56"/>
      <c r="E2268" s="16"/>
      <c r="F2268" s="16"/>
      <c r="G2268" s="16"/>
      <c r="H2268" s="54"/>
      <c r="I2268" s="16"/>
      <c r="J2268" s="54"/>
      <c r="K2268" s="42"/>
      <c r="L2268" s="16"/>
      <c r="M2268" s="16"/>
      <c r="AA2268" s="14">
        <f t="shared" si="70"/>
        <v>0</v>
      </c>
      <c r="AB2268" s="47">
        <f t="shared" si="71"/>
        <v>-1</v>
      </c>
      <c r="AD2268" s="53"/>
      <c r="AE2268" s="53"/>
      <c r="AF2268" s="53"/>
      <c r="AG2268" s="53"/>
    </row>
    <row r="2269" spans="1:33" s="46" customFormat="1">
      <c r="A2269" s="54"/>
      <c r="B2269" s="16"/>
      <c r="C2269" s="55"/>
      <c r="D2269" s="56"/>
      <c r="E2269" s="16"/>
      <c r="F2269" s="16"/>
      <c r="G2269" s="16"/>
      <c r="H2269" s="54"/>
      <c r="I2269" s="16"/>
      <c r="J2269" s="54"/>
      <c r="K2269" s="42"/>
      <c r="L2269" s="16"/>
      <c r="M2269" s="16"/>
      <c r="AA2269" s="14">
        <f t="shared" si="70"/>
        <v>0</v>
      </c>
      <c r="AB2269" s="47">
        <f t="shared" si="71"/>
        <v>-1</v>
      </c>
      <c r="AD2269" s="53"/>
      <c r="AE2269" s="53"/>
      <c r="AF2269" s="53"/>
      <c r="AG2269" s="53"/>
    </row>
    <row r="2270" spans="1:33" s="46" customFormat="1">
      <c r="A2270" s="54"/>
      <c r="B2270" s="16"/>
      <c r="C2270" s="55"/>
      <c r="D2270" s="56"/>
      <c r="E2270" s="16"/>
      <c r="F2270" s="16"/>
      <c r="G2270" s="16"/>
      <c r="H2270" s="54"/>
      <c r="I2270" s="16"/>
      <c r="J2270" s="54"/>
      <c r="K2270" s="42"/>
      <c r="L2270" s="16"/>
      <c r="M2270" s="16"/>
      <c r="AA2270" s="14">
        <f t="shared" si="70"/>
        <v>0</v>
      </c>
      <c r="AB2270" s="47">
        <f t="shared" si="71"/>
        <v>-1</v>
      </c>
      <c r="AD2270" s="53"/>
      <c r="AE2270" s="53"/>
      <c r="AF2270" s="53"/>
      <c r="AG2270" s="53"/>
    </row>
    <row r="2271" spans="1:33" s="46" customFormat="1">
      <c r="A2271" s="54"/>
      <c r="B2271" s="16"/>
      <c r="C2271" s="55"/>
      <c r="D2271" s="56"/>
      <c r="E2271" s="16"/>
      <c r="F2271" s="16"/>
      <c r="G2271" s="16"/>
      <c r="H2271" s="54"/>
      <c r="I2271" s="16"/>
      <c r="J2271" s="54"/>
      <c r="K2271" s="42"/>
      <c r="L2271" s="16"/>
      <c r="M2271" s="16"/>
      <c r="AA2271" s="14">
        <f t="shared" si="70"/>
        <v>0</v>
      </c>
      <c r="AB2271" s="47">
        <f t="shared" si="71"/>
        <v>-1</v>
      </c>
      <c r="AD2271" s="53"/>
      <c r="AE2271" s="53"/>
      <c r="AF2271" s="53"/>
      <c r="AG2271" s="53"/>
    </row>
    <row r="2272" spans="1:33" s="46" customFormat="1">
      <c r="A2272" s="54"/>
      <c r="B2272" s="16"/>
      <c r="C2272" s="55"/>
      <c r="D2272" s="56"/>
      <c r="E2272" s="16"/>
      <c r="F2272" s="16"/>
      <c r="G2272" s="16"/>
      <c r="H2272" s="54"/>
      <c r="I2272" s="16"/>
      <c r="J2272" s="54"/>
      <c r="K2272" s="42"/>
      <c r="L2272" s="16"/>
      <c r="M2272" s="16"/>
      <c r="AA2272" s="14">
        <f t="shared" si="70"/>
        <v>0</v>
      </c>
      <c r="AB2272" s="47">
        <f t="shared" si="71"/>
        <v>-1</v>
      </c>
      <c r="AD2272" s="53"/>
      <c r="AE2272" s="53"/>
      <c r="AF2272" s="53"/>
      <c r="AG2272" s="53"/>
    </row>
    <row r="2273" spans="1:33" s="46" customFormat="1">
      <c r="A2273" s="54"/>
      <c r="B2273" s="16"/>
      <c r="C2273" s="55"/>
      <c r="D2273" s="56"/>
      <c r="E2273" s="16"/>
      <c r="F2273" s="16"/>
      <c r="G2273" s="16"/>
      <c r="H2273" s="54"/>
      <c r="I2273" s="16"/>
      <c r="J2273" s="54"/>
      <c r="K2273" s="42"/>
      <c r="L2273" s="16"/>
      <c r="M2273" s="16"/>
      <c r="AA2273" s="14">
        <f t="shared" si="70"/>
        <v>0</v>
      </c>
      <c r="AB2273" s="47">
        <f t="shared" si="71"/>
        <v>-1</v>
      </c>
      <c r="AD2273" s="53"/>
      <c r="AE2273" s="53"/>
      <c r="AF2273" s="53"/>
      <c r="AG2273" s="53"/>
    </row>
    <row r="2274" spans="1:33" s="46" customFormat="1">
      <c r="A2274" s="54"/>
      <c r="B2274" s="16"/>
      <c r="C2274" s="55"/>
      <c r="D2274" s="56"/>
      <c r="E2274" s="16"/>
      <c r="F2274" s="16"/>
      <c r="G2274" s="16"/>
      <c r="H2274" s="54"/>
      <c r="I2274" s="16"/>
      <c r="J2274" s="54"/>
      <c r="K2274" s="42"/>
      <c r="L2274" s="16"/>
      <c r="M2274" s="16"/>
      <c r="AA2274" s="14">
        <f t="shared" si="70"/>
        <v>0</v>
      </c>
      <c r="AB2274" s="47">
        <f t="shared" si="71"/>
        <v>-1</v>
      </c>
      <c r="AD2274" s="53"/>
      <c r="AE2274" s="53"/>
      <c r="AF2274" s="53"/>
      <c r="AG2274" s="53"/>
    </row>
    <row r="2275" spans="1:33" s="46" customFormat="1">
      <c r="A2275" s="54"/>
      <c r="B2275" s="16"/>
      <c r="C2275" s="55"/>
      <c r="D2275" s="56"/>
      <c r="E2275" s="16"/>
      <c r="F2275" s="16"/>
      <c r="G2275" s="16"/>
      <c r="H2275" s="54"/>
      <c r="I2275" s="16"/>
      <c r="J2275" s="54"/>
      <c r="K2275" s="42"/>
      <c r="L2275" s="16"/>
      <c r="M2275" s="16"/>
      <c r="AA2275" s="14">
        <f t="shared" si="70"/>
        <v>0</v>
      </c>
      <c r="AB2275" s="47">
        <f t="shared" si="71"/>
        <v>-1</v>
      </c>
      <c r="AD2275" s="53"/>
      <c r="AE2275" s="53"/>
      <c r="AF2275" s="53"/>
      <c r="AG2275" s="53"/>
    </row>
    <row r="2276" spans="1:33" s="46" customFormat="1">
      <c r="A2276" s="54"/>
      <c r="B2276" s="16"/>
      <c r="C2276" s="55"/>
      <c r="D2276" s="56"/>
      <c r="E2276" s="16"/>
      <c r="F2276" s="16"/>
      <c r="G2276" s="16"/>
      <c r="H2276" s="54"/>
      <c r="I2276" s="16"/>
      <c r="J2276" s="54"/>
      <c r="K2276" s="42"/>
      <c r="L2276" s="16"/>
      <c r="M2276" s="16"/>
      <c r="AA2276" s="14">
        <f t="shared" si="70"/>
        <v>0</v>
      </c>
      <c r="AB2276" s="47">
        <f t="shared" si="71"/>
        <v>-1</v>
      </c>
      <c r="AD2276" s="53"/>
      <c r="AE2276" s="53"/>
      <c r="AF2276" s="53"/>
      <c r="AG2276" s="53"/>
    </row>
    <row r="2277" spans="1:33" s="46" customFormat="1">
      <c r="A2277" s="54"/>
      <c r="B2277" s="16"/>
      <c r="C2277" s="55"/>
      <c r="D2277" s="56"/>
      <c r="E2277" s="16"/>
      <c r="F2277" s="16"/>
      <c r="G2277" s="16"/>
      <c r="H2277" s="54"/>
      <c r="I2277" s="16"/>
      <c r="J2277" s="54"/>
      <c r="K2277" s="42"/>
      <c r="L2277" s="16"/>
      <c r="M2277" s="16"/>
      <c r="AA2277" s="14">
        <f t="shared" si="70"/>
        <v>0</v>
      </c>
      <c r="AB2277" s="47">
        <f t="shared" si="71"/>
        <v>-1</v>
      </c>
      <c r="AD2277" s="53"/>
      <c r="AE2277" s="53"/>
      <c r="AF2277" s="53"/>
      <c r="AG2277" s="53"/>
    </row>
    <row r="2278" spans="1:33" s="46" customFormat="1">
      <c r="A2278" s="54"/>
      <c r="B2278" s="16"/>
      <c r="C2278" s="55"/>
      <c r="D2278" s="56"/>
      <c r="E2278" s="16"/>
      <c r="F2278" s="16"/>
      <c r="G2278" s="16"/>
      <c r="H2278" s="54"/>
      <c r="I2278" s="16"/>
      <c r="J2278" s="54"/>
      <c r="K2278" s="42"/>
      <c r="L2278" s="16"/>
      <c r="M2278" s="16"/>
      <c r="AA2278" s="14">
        <f t="shared" si="70"/>
        <v>0</v>
      </c>
      <c r="AB2278" s="47">
        <f t="shared" si="71"/>
        <v>-1</v>
      </c>
      <c r="AD2278" s="53"/>
      <c r="AE2278" s="53"/>
      <c r="AF2278" s="53"/>
      <c r="AG2278" s="53"/>
    </row>
    <row r="2279" spans="1:33" s="46" customFormat="1">
      <c r="A2279" s="54"/>
      <c r="B2279" s="16"/>
      <c r="C2279" s="55"/>
      <c r="D2279" s="56"/>
      <c r="E2279" s="16"/>
      <c r="F2279" s="16"/>
      <c r="G2279" s="16"/>
      <c r="H2279" s="54"/>
      <c r="I2279" s="16"/>
      <c r="J2279" s="54"/>
      <c r="K2279" s="42"/>
      <c r="L2279" s="16"/>
      <c r="M2279" s="16"/>
      <c r="AA2279" s="14">
        <f t="shared" si="70"/>
        <v>0</v>
      </c>
      <c r="AB2279" s="47">
        <f t="shared" si="71"/>
        <v>-1</v>
      </c>
      <c r="AD2279" s="53"/>
      <c r="AE2279" s="53"/>
      <c r="AF2279" s="53"/>
      <c r="AG2279" s="53"/>
    </row>
    <row r="2280" spans="1:33" s="46" customFormat="1">
      <c r="A2280" s="54"/>
      <c r="B2280" s="16"/>
      <c r="C2280" s="55"/>
      <c r="D2280" s="56"/>
      <c r="E2280" s="16"/>
      <c r="F2280" s="16"/>
      <c r="G2280" s="16"/>
      <c r="H2280" s="54"/>
      <c r="I2280" s="16"/>
      <c r="J2280" s="54"/>
      <c r="K2280" s="42"/>
      <c r="L2280" s="16"/>
      <c r="M2280" s="16"/>
      <c r="AA2280" s="14">
        <f t="shared" ref="AA2280:AA2343" si="72">C2280-C2279</f>
        <v>0</v>
      </c>
      <c r="AB2280" s="47">
        <f t="shared" ref="AB2280:AB2343" si="73">AA2280-1</f>
        <v>-1</v>
      </c>
      <c r="AD2280" s="53"/>
      <c r="AE2280" s="53"/>
      <c r="AF2280" s="53"/>
      <c r="AG2280" s="53"/>
    </row>
    <row r="2281" spans="1:33" s="46" customFormat="1">
      <c r="A2281" s="54"/>
      <c r="B2281" s="16"/>
      <c r="C2281" s="55"/>
      <c r="D2281" s="56"/>
      <c r="E2281" s="16"/>
      <c r="F2281" s="16"/>
      <c r="G2281" s="16"/>
      <c r="H2281" s="54"/>
      <c r="I2281" s="16"/>
      <c r="J2281" s="54"/>
      <c r="K2281" s="42"/>
      <c r="L2281" s="16"/>
      <c r="M2281" s="16"/>
      <c r="AA2281" s="14">
        <f t="shared" si="72"/>
        <v>0</v>
      </c>
      <c r="AB2281" s="47">
        <f t="shared" si="73"/>
        <v>-1</v>
      </c>
      <c r="AD2281" s="53"/>
      <c r="AE2281" s="53"/>
      <c r="AF2281" s="53"/>
      <c r="AG2281" s="53"/>
    </row>
    <row r="2282" spans="1:33" s="46" customFormat="1">
      <c r="A2282" s="54"/>
      <c r="B2282" s="16"/>
      <c r="C2282" s="55"/>
      <c r="D2282" s="56"/>
      <c r="E2282" s="16"/>
      <c r="F2282" s="16"/>
      <c r="G2282" s="16"/>
      <c r="H2282" s="54"/>
      <c r="I2282" s="16"/>
      <c r="J2282" s="54"/>
      <c r="K2282" s="42"/>
      <c r="L2282" s="16"/>
      <c r="M2282" s="16"/>
      <c r="AA2282" s="14">
        <f t="shared" si="72"/>
        <v>0</v>
      </c>
      <c r="AB2282" s="47">
        <f t="shared" si="73"/>
        <v>-1</v>
      </c>
      <c r="AD2282" s="53"/>
      <c r="AE2282" s="53"/>
      <c r="AF2282" s="53"/>
      <c r="AG2282" s="53"/>
    </row>
    <row r="2283" spans="1:33" s="46" customFormat="1">
      <c r="A2283" s="54"/>
      <c r="B2283" s="16"/>
      <c r="C2283" s="55"/>
      <c r="D2283" s="56"/>
      <c r="E2283" s="16"/>
      <c r="F2283" s="16"/>
      <c r="G2283" s="16"/>
      <c r="H2283" s="54"/>
      <c r="I2283" s="16"/>
      <c r="J2283" s="54"/>
      <c r="K2283" s="42"/>
      <c r="L2283" s="16"/>
      <c r="M2283" s="16"/>
      <c r="AA2283" s="14">
        <f t="shared" si="72"/>
        <v>0</v>
      </c>
      <c r="AB2283" s="47">
        <f t="shared" si="73"/>
        <v>-1</v>
      </c>
      <c r="AD2283" s="53"/>
      <c r="AE2283" s="53"/>
      <c r="AF2283" s="53"/>
      <c r="AG2283" s="53"/>
    </row>
    <row r="2284" spans="1:33" s="46" customFormat="1">
      <c r="A2284" s="54"/>
      <c r="B2284" s="16"/>
      <c r="C2284" s="55"/>
      <c r="D2284" s="56"/>
      <c r="E2284" s="16"/>
      <c r="F2284" s="16"/>
      <c r="G2284" s="16"/>
      <c r="H2284" s="54"/>
      <c r="I2284" s="16"/>
      <c r="J2284" s="54"/>
      <c r="K2284" s="42"/>
      <c r="L2284" s="16"/>
      <c r="M2284" s="16"/>
      <c r="AA2284" s="14">
        <f t="shared" si="72"/>
        <v>0</v>
      </c>
      <c r="AB2284" s="47">
        <f t="shared" si="73"/>
        <v>-1</v>
      </c>
      <c r="AD2284" s="53"/>
      <c r="AE2284" s="53"/>
      <c r="AF2284" s="53"/>
      <c r="AG2284" s="53"/>
    </row>
    <row r="2285" spans="1:33" s="46" customFormat="1">
      <c r="A2285" s="54"/>
      <c r="B2285" s="16"/>
      <c r="C2285" s="55"/>
      <c r="D2285" s="56"/>
      <c r="E2285" s="16"/>
      <c r="F2285" s="16"/>
      <c r="G2285" s="16"/>
      <c r="H2285" s="54"/>
      <c r="I2285" s="16"/>
      <c r="J2285" s="54"/>
      <c r="K2285" s="42"/>
      <c r="L2285" s="16"/>
      <c r="M2285" s="16"/>
      <c r="AA2285" s="14">
        <f t="shared" si="72"/>
        <v>0</v>
      </c>
      <c r="AB2285" s="47">
        <f t="shared" si="73"/>
        <v>-1</v>
      </c>
      <c r="AD2285" s="53"/>
      <c r="AE2285" s="53"/>
      <c r="AF2285" s="53"/>
      <c r="AG2285" s="53"/>
    </row>
    <row r="2286" spans="1:33" s="46" customFormat="1">
      <c r="A2286" s="54"/>
      <c r="B2286" s="16"/>
      <c r="C2286" s="55"/>
      <c r="D2286" s="56"/>
      <c r="E2286" s="16"/>
      <c r="F2286" s="16"/>
      <c r="G2286" s="16"/>
      <c r="H2286" s="54"/>
      <c r="I2286" s="16"/>
      <c r="J2286" s="54"/>
      <c r="K2286" s="42"/>
      <c r="L2286" s="16"/>
      <c r="M2286" s="16"/>
      <c r="AA2286" s="14">
        <f t="shared" si="72"/>
        <v>0</v>
      </c>
      <c r="AB2286" s="47">
        <f t="shared" si="73"/>
        <v>-1</v>
      </c>
      <c r="AD2286" s="53"/>
      <c r="AE2286" s="53"/>
      <c r="AF2286" s="53"/>
      <c r="AG2286" s="53"/>
    </row>
    <row r="2287" spans="1:33" s="46" customFormat="1">
      <c r="A2287" s="54"/>
      <c r="B2287" s="16"/>
      <c r="C2287" s="55"/>
      <c r="D2287" s="56"/>
      <c r="E2287" s="16"/>
      <c r="F2287" s="16"/>
      <c r="G2287" s="16"/>
      <c r="H2287" s="54"/>
      <c r="I2287" s="16"/>
      <c r="J2287" s="54"/>
      <c r="K2287" s="42"/>
      <c r="L2287" s="16"/>
      <c r="M2287" s="16"/>
      <c r="AA2287" s="14">
        <f t="shared" si="72"/>
        <v>0</v>
      </c>
      <c r="AB2287" s="47">
        <f t="shared" si="73"/>
        <v>-1</v>
      </c>
      <c r="AD2287" s="53"/>
      <c r="AE2287" s="53"/>
      <c r="AF2287" s="53"/>
      <c r="AG2287" s="53"/>
    </row>
    <row r="2288" spans="1:33" s="46" customFormat="1">
      <c r="A2288" s="54"/>
      <c r="B2288" s="16"/>
      <c r="C2288" s="55"/>
      <c r="D2288" s="56"/>
      <c r="E2288" s="16"/>
      <c r="F2288" s="16"/>
      <c r="G2288" s="16"/>
      <c r="H2288" s="54"/>
      <c r="I2288" s="16"/>
      <c r="J2288" s="54"/>
      <c r="K2288" s="42"/>
      <c r="L2288" s="16"/>
      <c r="M2288" s="16"/>
      <c r="AA2288" s="14">
        <f t="shared" si="72"/>
        <v>0</v>
      </c>
      <c r="AB2288" s="47">
        <f t="shared" si="73"/>
        <v>-1</v>
      </c>
      <c r="AD2288" s="53"/>
      <c r="AE2288" s="53"/>
      <c r="AF2288" s="53"/>
      <c r="AG2288" s="53"/>
    </row>
    <row r="2289" spans="1:33" s="46" customFormat="1">
      <c r="A2289" s="54"/>
      <c r="B2289" s="16"/>
      <c r="C2289" s="55"/>
      <c r="D2289" s="56"/>
      <c r="E2289" s="16"/>
      <c r="F2289" s="16"/>
      <c r="G2289" s="16"/>
      <c r="H2289" s="54"/>
      <c r="I2289" s="16"/>
      <c r="J2289" s="54"/>
      <c r="K2289" s="42"/>
      <c r="L2289" s="16"/>
      <c r="M2289" s="16"/>
      <c r="AA2289" s="14">
        <f t="shared" si="72"/>
        <v>0</v>
      </c>
      <c r="AB2289" s="47">
        <f t="shared" si="73"/>
        <v>-1</v>
      </c>
      <c r="AD2289" s="53"/>
      <c r="AE2289" s="53"/>
      <c r="AF2289" s="53"/>
      <c r="AG2289" s="53"/>
    </row>
    <row r="2290" spans="1:33" s="46" customFormat="1">
      <c r="A2290" s="54"/>
      <c r="B2290" s="16"/>
      <c r="C2290" s="55"/>
      <c r="D2290" s="56"/>
      <c r="E2290" s="16"/>
      <c r="F2290" s="16"/>
      <c r="G2290" s="16"/>
      <c r="H2290" s="54"/>
      <c r="I2290" s="16"/>
      <c r="J2290" s="54"/>
      <c r="K2290" s="42"/>
      <c r="L2290" s="16"/>
      <c r="M2290" s="16"/>
      <c r="AA2290" s="14">
        <f t="shared" si="72"/>
        <v>0</v>
      </c>
      <c r="AB2290" s="47">
        <f t="shared" si="73"/>
        <v>-1</v>
      </c>
      <c r="AD2290" s="53"/>
      <c r="AE2290" s="53"/>
      <c r="AF2290" s="53"/>
      <c r="AG2290" s="53"/>
    </row>
    <row r="2291" spans="1:33" s="46" customFormat="1">
      <c r="A2291" s="54"/>
      <c r="B2291" s="16"/>
      <c r="C2291" s="55"/>
      <c r="D2291" s="56"/>
      <c r="E2291" s="16"/>
      <c r="F2291" s="16"/>
      <c r="G2291" s="16"/>
      <c r="H2291" s="54"/>
      <c r="I2291" s="16"/>
      <c r="J2291" s="54"/>
      <c r="K2291" s="42"/>
      <c r="L2291" s="16"/>
      <c r="M2291" s="16"/>
      <c r="AA2291" s="14">
        <f t="shared" si="72"/>
        <v>0</v>
      </c>
      <c r="AB2291" s="47">
        <f t="shared" si="73"/>
        <v>-1</v>
      </c>
      <c r="AD2291" s="53"/>
      <c r="AE2291" s="53"/>
      <c r="AF2291" s="53"/>
      <c r="AG2291" s="53"/>
    </row>
    <row r="2292" spans="1:33" s="46" customFormat="1">
      <c r="A2292" s="54"/>
      <c r="B2292" s="16"/>
      <c r="C2292" s="55"/>
      <c r="D2292" s="56"/>
      <c r="E2292" s="16"/>
      <c r="F2292" s="16"/>
      <c r="G2292" s="16"/>
      <c r="H2292" s="54"/>
      <c r="I2292" s="16"/>
      <c r="J2292" s="54"/>
      <c r="K2292" s="42"/>
      <c r="L2292" s="16"/>
      <c r="M2292" s="16"/>
      <c r="AA2292" s="14">
        <f t="shared" si="72"/>
        <v>0</v>
      </c>
      <c r="AB2292" s="47">
        <f t="shared" si="73"/>
        <v>-1</v>
      </c>
      <c r="AD2292" s="53"/>
      <c r="AE2292" s="53"/>
      <c r="AF2292" s="53"/>
      <c r="AG2292" s="53"/>
    </row>
    <row r="2293" spans="1:33" s="46" customFormat="1">
      <c r="A2293" s="54"/>
      <c r="B2293" s="16"/>
      <c r="C2293" s="55"/>
      <c r="D2293" s="56"/>
      <c r="E2293" s="16"/>
      <c r="F2293" s="16"/>
      <c r="G2293" s="16"/>
      <c r="H2293" s="54"/>
      <c r="I2293" s="16"/>
      <c r="J2293" s="54"/>
      <c r="K2293" s="42"/>
      <c r="L2293" s="16"/>
      <c r="M2293" s="16"/>
      <c r="AA2293" s="14">
        <f t="shared" si="72"/>
        <v>0</v>
      </c>
      <c r="AB2293" s="47">
        <f t="shared" si="73"/>
        <v>-1</v>
      </c>
      <c r="AD2293" s="53"/>
      <c r="AE2293" s="53"/>
      <c r="AF2293" s="53"/>
      <c r="AG2293" s="53"/>
    </row>
    <row r="2294" spans="1:33" s="46" customFormat="1">
      <c r="A2294" s="54"/>
      <c r="B2294" s="16"/>
      <c r="C2294" s="55"/>
      <c r="D2294" s="56"/>
      <c r="E2294" s="16"/>
      <c r="F2294" s="16"/>
      <c r="G2294" s="16"/>
      <c r="H2294" s="54"/>
      <c r="I2294" s="16"/>
      <c r="J2294" s="54"/>
      <c r="K2294" s="42"/>
      <c r="L2294" s="16"/>
      <c r="M2294" s="16"/>
      <c r="AA2294" s="14">
        <f t="shared" si="72"/>
        <v>0</v>
      </c>
      <c r="AB2294" s="47">
        <f t="shared" si="73"/>
        <v>-1</v>
      </c>
      <c r="AD2294" s="53"/>
      <c r="AE2294" s="53"/>
      <c r="AF2294" s="53"/>
      <c r="AG2294" s="53"/>
    </row>
    <row r="2295" spans="1:33" s="46" customFormat="1">
      <c r="A2295" s="54"/>
      <c r="B2295" s="16"/>
      <c r="C2295" s="55"/>
      <c r="D2295" s="56"/>
      <c r="E2295" s="16"/>
      <c r="F2295" s="16"/>
      <c r="G2295" s="16"/>
      <c r="H2295" s="54"/>
      <c r="I2295" s="16"/>
      <c r="J2295" s="54"/>
      <c r="K2295" s="42"/>
      <c r="L2295" s="16"/>
      <c r="M2295" s="16"/>
      <c r="AA2295" s="14">
        <f t="shared" si="72"/>
        <v>0</v>
      </c>
      <c r="AB2295" s="47">
        <f t="shared" si="73"/>
        <v>-1</v>
      </c>
      <c r="AD2295" s="53"/>
      <c r="AE2295" s="53"/>
      <c r="AF2295" s="53"/>
      <c r="AG2295" s="53"/>
    </row>
    <row r="2296" spans="1:33" s="46" customFormat="1">
      <c r="A2296" s="54"/>
      <c r="B2296" s="16"/>
      <c r="C2296" s="55"/>
      <c r="D2296" s="56"/>
      <c r="E2296" s="16"/>
      <c r="F2296" s="16"/>
      <c r="G2296" s="16"/>
      <c r="H2296" s="54"/>
      <c r="I2296" s="16"/>
      <c r="J2296" s="54"/>
      <c r="K2296" s="42"/>
      <c r="L2296" s="16"/>
      <c r="M2296" s="16"/>
      <c r="AA2296" s="14">
        <f t="shared" si="72"/>
        <v>0</v>
      </c>
      <c r="AB2296" s="47">
        <f t="shared" si="73"/>
        <v>-1</v>
      </c>
      <c r="AD2296" s="53"/>
      <c r="AE2296" s="53"/>
      <c r="AF2296" s="53"/>
      <c r="AG2296" s="53"/>
    </row>
    <row r="2297" spans="1:33" s="46" customFormat="1">
      <c r="A2297" s="54"/>
      <c r="B2297" s="16"/>
      <c r="C2297" s="55"/>
      <c r="D2297" s="56"/>
      <c r="E2297" s="16"/>
      <c r="F2297" s="16"/>
      <c r="G2297" s="16"/>
      <c r="H2297" s="54"/>
      <c r="I2297" s="16"/>
      <c r="J2297" s="54"/>
      <c r="K2297" s="42"/>
      <c r="L2297" s="16"/>
      <c r="M2297" s="16"/>
      <c r="AA2297" s="14">
        <f t="shared" si="72"/>
        <v>0</v>
      </c>
      <c r="AB2297" s="47">
        <f t="shared" si="73"/>
        <v>-1</v>
      </c>
      <c r="AD2297" s="53"/>
      <c r="AE2297" s="53"/>
      <c r="AF2297" s="53"/>
      <c r="AG2297" s="53"/>
    </row>
    <row r="2298" spans="1:33" s="46" customFormat="1">
      <c r="A2298" s="54"/>
      <c r="B2298" s="16"/>
      <c r="C2298" s="55"/>
      <c r="D2298" s="56"/>
      <c r="E2298" s="16"/>
      <c r="F2298" s="16"/>
      <c r="G2298" s="16"/>
      <c r="H2298" s="54"/>
      <c r="I2298" s="16"/>
      <c r="J2298" s="54"/>
      <c r="K2298" s="42"/>
      <c r="L2298" s="16"/>
      <c r="M2298" s="16"/>
      <c r="AA2298" s="14">
        <f t="shared" si="72"/>
        <v>0</v>
      </c>
      <c r="AB2298" s="47">
        <f t="shared" si="73"/>
        <v>-1</v>
      </c>
      <c r="AD2298" s="53"/>
      <c r="AE2298" s="53"/>
      <c r="AF2298" s="53"/>
      <c r="AG2298" s="53"/>
    </row>
    <row r="2299" spans="1:33" s="46" customFormat="1">
      <c r="A2299" s="54"/>
      <c r="B2299" s="16"/>
      <c r="C2299" s="55"/>
      <c r="D2299" s="56"/>
      <c r="E2299" s="16"/>
      <c r="F2299" s="16"/>
      <c r="G2299" s="16"/>
      <c r="H2299" s="54"/>
      <c r="I2299" s="16"/>
      <c r="J2299" s="54"/>
      <c r="K2299" s="42"/>
      <c r="L2299" s="16"/>
      <c r="M2299" s="16"/>
      <c r="AA2299" s="14">
        <f t="shared" si="72"/>
        <v>0</v>
      </c>
      <c r="AB2299" s="47">
        <f t="shared" si="73"/>
        <v>-1</v>
      </c>
      <c r="AD2299" s="53"/>
      <c r="AE2299" s="53"/>
      <c r="AF2299" s="53"/>
      <c r="AG2299" s="53"/>
    </row>
    <row r="2300" spans="1:33" s="46" customFormat="1">
      <c r="A2300" s="54"/>
      <c r="B2300" s="16"/>
      <c r="C2300" s="55"/>
      <c r="D2300" s="56"/>
      <c r="E2300" s="16"/>
      <c r="F2300" s="16"/>
      <c r="G2300" s="16"/>
      <c r="H2300" s="54"/>
      <c r="I2300" s="16"/>
      <c r="J2300" s="54"/>
      <c r="K2300" s="42"/>
      <c r="L2300" s="16"/>
      <c r="M2300" s="16"/>
      <c r="AA2300" s="14">
        <f t="shared" si="72"/>
        <v>0</v>
      </c>
      <c r="AB2300" s="47">
        <f t="shared" si="73"/>
        <v>-1</v>
      </c>
      <c r="AD2300" s="53"/>
      <c r="AE2300" s="53"/>
      <c r="AF2300" s="53"/>
      <c r="AG2300" s="53"/>
    </row>
    <row r="2301" spans="1:33" s="46" customFormat="1">
      <c r="A2301" s="54"/>
      <c r="B2301" s="16"/>
      <c r="C2301" s="55"/>
      <c r="D2301" s="56"/>
      <c r="E2301" s="16"/>
      <c r="F2301" s="16"/>
      <c r="G2301" s="16"/>
      <c r="H2301" s="54"/>
      <c r="I2301" s="16"/>
      <c r="J2301" s="54"/>
      <c r="K2301" s="42"/>
      <c r="L2301" s="16"/>
      <c r="M2301" s="16"/>
      <c r="AA2301" s="14">
        <f t="shared" si="72"/>
        <v>0</v>
      </c>
      <c r="AB2301" s="47">
        <f t="shared" si="73"/>
        <v>-1</v>
      </c>
      <c r="AD2301" s="53"/>
      <c r="AE2301" s="53"/>
      <c r="AF2301" s="53"/>
      <c r="AG2301" s="53"/>
    </row>
    <row r="2302" spans="1:33" s="46" customFormat="1">
      <c r="A2302" s="54"/>
      <c r="B2302" s="16"/>
      <c r="C2302" s="55"/>
      <c r="D2302" s="56"/>
      <c r="E2302" s="16"/>
      <c r="F2302" s="16"/>
      <c r="G2302" s="16"/>
      <c r="H2302" s="54"/>
      <c r="I2302" s="16"/>
      <c r="J2302" s="54"/>
      <c r="K2302" s="42"/>
      <c r="L2302" s="16"/>
      <c r="M2302" s="16"/>
      <c r="AA2302" s="14">
        <f t="shared" si="72"/>
        <v>0</v>
      </c>
      <c r="AB2302" s="47">
        <f t="shared" si="73"/>
        <v>-1</v>
      </c>
      <c r="AD2302" s="53"/>
      <c r="AE2302" s="53"/>
      <c r="AF2302" s="53"/>
      <c r="AG2302" s="53"/>
    </row>
    <row r="2303" spans="1:33" s="46" customFormat="1">
      <c r="A2303" s="54"/>
      <c r="B2303" s="16"/>
      <c r="C2303" s="55"/>
      <c r="D2303" s="56"/>
      <c r="E2303" s="16"/>
      <c r="F2303" s="16"/>
      <c r="G2303" s="16"/>
      <c r="H2303" s="54"/>
      <c r="I2303" s="16"/>
      <c r="J2303" s="54"/>
      <c r="K2303" s="42"/>
      <c r="L2303" s="16"/>
      <c r="M2303" s="16"/>
      <c r="AA2303" s="14">
        <f t="shared" si="72"/>
        <v>0</v>
      </c>
      <c r="AB2303" s="47">
        <f t="shared" si="73"/>
        <v>-1</v>
      </c>
      <c r="AD2303" s="53"/>
      <c r="AE2303" s="53"/>
      <c r="AF2303" s="53"/>
      <c r="AG2303" s="53"/>
    </row>
    <row r="2304" spans="1:33" s="46" customFormat="1">
      <c r="A2304" s="54"/>
      <c r="B2304" s="16"/>
      <c r="C2304" s="55"/>
      <c r="D2304" s="56"/>
      <c r="E2304" s="16"/>
      <c r="F2304" s="16"/>
      <c r="G2304" s="16"/>
      <c r="H2304" s="54"/>
      <c r="I2304" s="16"/>
      <c r="J2304" s="54"/>
      <c r="K2304" s="42"/>
      <c r="L2304" s="16"/>
      <c r="M2304" s="16"/>
      <c r="AA2304" s="14">
        <f t="shared" si="72"/>
        <v>0</v>
      </c>
      <c r="AB2304" s="47">
        <f t="shared" si="73"/>
        <v>-1</v>
      </c>
      <c r="AD2304" s="53"/>
      <c r="AE2304" s="53"/>
      <c r="AF2304" s="53"/>
      <c r="AG2304" s="53"/>
    </row>
    <row r="2305" spans="1:33" s="46" customFormat="1">
      <c r="A2305" s="54"/>
      <c r="B2305" s="16"/>
      <c r="C2305" s="55"/>
      <c r="D2305" s="56"/>
      <c r="E2305" s="16"/>
      <c r="F2305" s="16"/>
      <c r="G2305" s="16"/>
      <c r="H2305" s="54"/>
      <c r="I2305" s="16"/>
      <c r="J2305" s="54"/>
      <c r="K2305" s="42"/>
      <c r="L2305" s="16"/>
      <c r="M2305" s="16"/>
      <c r="AA2305" s="14">
        <f t="shared" si="72"/>
        <v>0</v>
      </c>
      <c r="AB2305" s="47">
        <f t="shared" si="73"/>
        <v>-1</v>
      </c>
      <c r="AD2305" s="53"/>
      <c r="AE2305" s="53"/>
      <c r="AF2305" s="53"/>
      <c r="AG2305" s="53"/>
    </row>
    <row r="2306" spans="1:33" s="46" customFormat="1">
      <c r="A2306" s="54"/>
      <c r="B2306" s="16"/>
      <c r="C2306" s="55"/>
      <c r="D2306" s="56"/>
      <c r="E2306" s="16"/>
      <c r="F2306" s="16"/>
      <c r="G2306" s="16"/>
      <c r="H2306" s="54"/>
      <c r="I2306" s="16"/>
      <c r="J2306" s="54"/>
      <c r="K2306" s="42"/>
      <c r="L2306" s="16"/>
      <c r="M2306" s="16"/>
      <c r="AA2306" s="14">
        <f t="shared" si="72"/>
        <v>0</v>
      </c>
      <c r="AB2306" s="47">
        <f t="shared" si="73"/>
        <v>-1</v>
      </c>
      <c r="AD2306" s="53"/>
      <c r="AE2306" s="53"/>
      <c r="AF2306" s="53"/>
      <c r="AG2306" s="53"/>
    </row>
    <row r="2307" spans="1:33" s="46" customFormat="1">
      <c r="A2307" s="54"/>
      <c r="B2307" s="16"/>
      <c r="C2307" s="55"/>
      <c r="D2307" s="56"/>
      <c r="E2307" s="16"/>
      <c r="F2307" s="16"/>
      <c r="G2307" s="16"/>
      <c r="H2307" s="54"/>
      <c r="I2307" s="16"/>
      <c r="J2307" s="54"/>
      <c r="K2307" s="42"/>
      <c r="L2307" s="16"/>
      <c r="M2307" s="16"/>
      <c r="AA2307" s="14">
        <f t="shared" si="72"/>
        <v>0</v>
      </c>
      <c r="AB2307" s="47">
        <f t="shared" si="73"/>
        <v>-1</v>
      </c>
      <c r="AD2307" s="53"/>
      <c r="AE2307" s="53"/>
      <c r="AF2307" s="53"/>
      <c r="AG2307" s="53"/>
    </row>
    <row r="2308" spans="1:33" s="46" customFormat="1">
      <c r="A2308" s="54"/>
      <c r="B2308" s="16"/>
      <c r="C2308" s="55"/>
      <c r="D2308" s="56"/>
      <c r="E2308" s="16"/>
      <c r="F2308" s="16"/>
      <c r="G2308" s="16"/>
      <c r="H2308" s="54"/>
      <c r="I2308" s="16"/>
      <c r="J2308" s="54"/>
      <c r="K2308" s="42"/>
      <c r="L2308" s="16"/>
      <c r="M2308" s="16"/>
      <c r="AA2308" s="14">
        <f t="shared" si="72"/>
        <v>0</v>
      </c>
      <c r="AB2308" s="47">
        <f t="shared" si="73"/>
        <v>-1</v>
      </c>
      <c r="AD2308" s="53"/>
      <c r="AE2308" s="53"/>
      <c r="AF2308" s="53"/>
      <c r="AG2308" s="53"/>
    </row>
    <row r="2309" spans="1:33" s="46" customFormat="1">
      <c r="A2309" s="54"/>
      <c r="B2309" s="16"/>
      <c r="C2309" s="55"/>
      <c r="D2309" s="56"/>
      <c r="E2309" s="16"/>
      <c r="F2309" s="16"/>
      <c r="G2309" s="16"/>
      <c r="H2309" s="54"/>
      <c r="I2309" s="16"/>
      <c r="J2309" s="54"/>
      <c r="K2309" s="42"/>
      <c r="L2309" s="16"/>
      <c r="M2309" s="16"/>
      <c r="AA2309" s="14">
        <f t="shared" si="72"/>
        <v>0</v>
      </c>
      <c r="AB2309" s="47">
        <f t="shared" si="73"/>
        <v>-1</v>
      </c>
      <c r="AD2309" s="53"/>
      <c r="AE2309" s="53"/>
      <c r="AF2309" s="53"/>
      <c r="AG2309" s="53"/>
    </row>
    <row r="2310" spans="1:33" s="46" customFormat="1">
      <c r="A2310" s="54"/>
      <c r="B2310" s="16"/>
      <c r="C2310" s="55"/>
      <c r="D2310" s="56"/>
      <c r="E2310" s="16"/>
      <c r="F2310" s="16"/>
      <c r="G2310" s="16"/>
      <c r="H2310" s="54"/>
      <c r="I2310" s="16"/>
      <c r="J2310" s="54"/>
      <c r="K2310" s="42"/>
      <c r="L2310" s="16"/>
      <c r="M2310" s="16"/>
      <c r="AA2310" s="14">
        <f t="shared" si="72"/>
        <v>0</v>
      </c>
      <c r="AB2310" s="47">
        <f t="shared" si="73"/>
        <v>-1</v>
      </c>
      <c r="AD2310" s="53"/>
      <c r="AE2310" s="53"/>
      <c r="AF2310" s="53"/>
      <c r="AG2310" s="53"/>
    </row>
    <row r="2311" spans="1:33" s="46" customFormat="1">
      <c r="A2311" s="54"/>
      <c r="B2311" s="16"/>
      <c r="C2311" s="55"/>
      <c r="D2311" s="56"/>
      <c r="E2311" s="16"/>
      <c r="F2311" s="16"/>
      <c r="G2311" s="16"/>
      <c r="H2311" s="54"/>
      <c r="I2311" s="16"/>
      <c r="J2311" s="54"/>
      <c r="K2311" s="42"/>
      <c r="L2311" s="16"/>
      <c r="M2311" s="16"/>
      <c r="AA2311" s="14">
        <f t="shared" si="72"/>
        <v>0</v>
      </c>
      <c r="AB2311" s="47">
        <f t="shared" si="73"/>
        <v>-1</v>
      </c>
      <c r="AD2311" s="53"/>
      <c r="AE2311" s="53"/>
      <c r="AF2311" s="53"/>
      <c r="AG2311" s="53"/>
    </row>
    <row r="2312" spans="1:33" s="46" customFormat="1">
      <c r="A2312" s="54"/>
      <c r="B2312" s="16"/>
      <c r="C2312" s="55"/>
      <c r="D2312" s="56"/>
      <c r="E2312" s="16"/>
      <c r="F2312" s="16"/>
      <c r="G2312" s="16"/>
      <c r="H2312" s="54"/>
      <c r="I2312" s="16"/>
      <c r="J2312" s="54"/>
      <c r="K2312" s="42"/>
      <c r="L2312" s="16"/>
      <c r="M2312" s="16"/>
      <c r="AA2312" s="14">
        <f t="shared" si="72"/>
        <v>0</v>
      </c>
      <c r="AB2312" s="47">
        <f t="shared" si="73"/>
        <v>-1</v>
      </c>
      <c r="AD2312" s="53"/>
      <c r="AE2312" s="53"/>
      <c r="AF2312" s="53"/>
      <c r="AG2312" s="53"/>
    </row>
    <row r="2313" spans="1:33" s="46" customFormat="1">
      <c r="A2313" s="54"/>
      <c r="B2313" s="16"/>
      <c r="C2313" s="55"/>
      <c r="D2313" s="56"/>
      <c r="E2313" s="16"/>
      <c r="F2313" s="16"/>
      <c r="G2313" s="16"/>
      <c r="H2313" s="54"/>
      <c r="I2313" s="16"/>
      <c r="J2313" s="54"/>
      <c r="K2313" s="42"/>
      <c r="L2313" s="16"/>
      <c r="M2313" s="16"/>
      <c r="AA2313" s="14">
        <f t="shared" si="72"/>
        <v>0</v>
      </c>
      <c r="AB2313" s="47">
        <f t="shared" si="73"/>
        <v>-1</v>
      </c>
      <c r="AD2313" s="53"/>
      <c r="AE2313" s="53"/>
      <c r="AF2313" s="53"/>
      <c r="AG2313" s="53"/>
    </row>
    <row r="2314" spans="1:33" s="46" customFormat="1">
      <c r="A2314" s="54"/>
      <c r="B2314" s="16"/>
      <c r="C2314" s="55"/>
      <c r="D2314" s="56"/>
      <c r="E2314" s="16"/>
      <c r="F2314" s="16"/>
      <c r="G2314" s="16"/>
      <c r="H2314" s="54"/>
      <c r="I2314" s="16"/>
      <c r="J2314" s="54"/>
      <c r="K2314" s="42"/>
      <c r="L2314" s="16"/>
      <c r="M2314" s="16"/>
      <c r="AA2314" s="14">
        <f t="shared" si="72"/>
        <v>0</v>
      </c>
      <c r="AB2314" s="47">
        <f t="shared" si="73"/>
        <v>-1</v>
      </c>
      <c r="AD2314" s="53"/>
      <c r="AE2314" s="53"/>
      <c r="AF2314" s="53"/>
      <c r="AG2314" s="53"/>
    </row>
    <row r="2315" spans="1:33" s="46" customFormat="1">
      <c r="A2315" s="54"/>
      <c r="B2315" s="16"/>
      <c r="C2315" s="55"/>
      <c r="D2315" s="56"/>
      <c r="E2315" s="16"/>
      <c r="F2315" s="16"/>
      <c r="G2315" s="16"/>
      <c r="H2315" s="54"/>
      <c r="I2315" s="16"/>
      <c r="J2315" s="54"/>
      <c r="K2315" s="42"/>
      <c r="L2315" s="16"/>
      <c r="M2315" s="16"/>
      <c r="AA2315" s="14">
        <f t="shared" si="72"/>
        <v>0</v>
      </c>
      <c r="AB2315" s="47">
        <f t="shared" si="73"/>
        <v>-1</v>
      </c>
      <c r="AD2315" s="53"/>
      <c r="AE2315" s="53"/>
      <c r="AF2315" s="53"/>
      <c r="AG2315" s="53"/>
    </row>
    <row r="2316" spans="1:33" s="46" customFormat="1">
      <c r="A2316" s="54"/>
      <c r="B2316" s="16"/>
      <c r="C2316" s="55"/>
      <c r="D2316" s="56"/>
      <c r="E2316" s="16"/>
      <c r="F2316" s="16"/>
      <c r="G2316" s="16"/>
      <c r="H2316" s="54"/>
      <c r="I2316" s="16"/>
      <c r="J2316" s="54"/>
      <c r="K2316" s="42"/>
      <c r="L2316" s="16"/>
      <c r="M2316" s="16"/>
      <c r="AA2316" s="14">
        <f t="shared" si="72"/>
        <v>0</v>
      </c>
      <c r="AB2316" s="47">
        <f t="shared" si="73"/>
        <v>-1</v>
      </c>
      <c r="AD2316" s="53"/>
      <c r="AE2316" s="53"/>
      <c r="AF2316" s="53"/>
      <c r="AG2316" s="53"/>
    </row>
    <row r="2317" spans="1:33" s="46" customFormat="1">
      <c r="A2317" s="54"/>
      <c r="B2317" s="16"/>
      <c r="C2317" s="55"/>
      <c r="D2317" s="56"/>
      <c r="E2317" s="16"/>
      <c r="F2317" s="16"/>
      <c r="G2317" s="16"/>
      <c r="H2317" s="54"/>
      <c r="I2317" s="16"/>
      <c r="J2317" s="54"/>
      <c r="K2317" s="42"/>
      <c r="L2317" s="16"/>
      <c r="M2317" s="16"/>
      <c r="AA2317" s="14">
        <f t="shared" si="72"/>
        <v>0</v>
      </c>
      <c r="AB2317" s="47">
        <f t="shared" si="73"/>
        <v>-1</v>
      </c>
      <c r="AD2317" s="53"/>
      <c r="AE2317" s="53"/>
      <c r="AF2317" s="53"/>
      <c r="AG2317" s="53"/>
    </row>
    <row r="2318" spans="1:33" s="46" customFormat="1">
      <c r="A2318" s="54"/>
      <c r="B2318" s="16"/>
      <c r="C2318" s="55"/>
      <c r="D2318" s="56"/>
      <c r="E2318" s="16"/>
      <c r="F2318" s="16"/>
      <c r="G2318" s="16"/>
      <c r="H2318" s="54"/>
      <c r="I2318" s="16"/>
      <c r="J2318" s="54"/>
      <c r="K2318" s="42"/>
      <c r="L2318" s="16"/>
      <c r="M2318" s="16"/>
      <c r="AA2318" s="14">
        <f t="shared" si="72"/>
        <v>0</v>
      </c>
      <c r="AB2318" s="47">
        <f t="shared" si="73"/>
        <v>-1</v>
      </c>
      <c r="AD2318" s="53"/>
      <c r="AE2318" s="53"/>
      <c r="AF2318" s="53"/>
      <c r="AG2318" s="53"/>
    </row>
    <row r="2319" spans="1:33" s="46" customFormat="1">
      <c r="A2319" s="54"/>
      <c r="B2319" s="16"/>
      <c r="C2319" s="55"/>
      <c r="D2319" s="56"/>
      <c r="E2319" s="16"/>
      <c r="F2319" s="16"/>
      <c r="G2319" s="16"/>
      <c r="H2319" s="54"/>
      <c r="I2319" s="16"/>
      <c r="J2319" s="54"/>
      <c r="K2319" s="42"/>
      <c r="L2319" s="16"/>
      <c r="M2319" s="16"/>
      <c r="AA2319" s="14">
        <f t="shared" si="72"/>
        <v>0</v>
      </c>
      <c r="AB2319" s="47">
        <f t="shared" si="73"/>
        <v>-1</v>
      </c>
      <c r="AD2319" s="53"/>
      <c r="AE2319" s="53"/>
      <c r="AF2319" s="53"/>
      <c r="AG2319" s="53"/>
    </row>
    <row r="2320" spans="1:33" s="46" customFormat="1">
      <c r="A2320" s="54"/>
      <c r="B2320" s="16"/>
      <c r="C2320" s="55"/>
      <c r="D2320" s="56"/>
      <c r="E2320" s="16"/>
      <c r="F2320" s="16"/>
      <c r="G2320" s="16"/>
      <c r="H2320" s="54"/>
      <c r="I2320" s="16"/>
      <c r="J2320" s="54"/>
      <c r="K2320" s="42"/>
      <c r="L2320" s="16"/>
      <c r="M2320" s="16"/>
      <c r="AA2320" s="14">
        <f t="shared" si="72"/>
        <v>0</v>
      </c>
      <c r="AB2320" s="47">
        <f t="shared" si="73"/>
        <v>-1</v>
      </c>
      <c r="AD2320" s="53"/>
      <c r="AE2320" s="53"/>
      <c r="AF2320" s="53"/>
      <c r="AG2320" s="53"/>
    </row>
    <row r="2321" spans="1:33" s="46" customFormat="1">
      <c r="A2321" s="54"/>
      <c r="B2321" s="16"/>
      <c r="C2321" s="55"/>
      <c r="D2321" s="56"/>
      <c r="E2321" s="16"/>
      <c r="F2321" s="16"/>
      <c r="G2321" s="16"/>
      <c r="H2321" s="54"/>
      <c r="I2321" s="16"/>
      <c r="J2321" s="54"/>
      <c r="K2321" s="42"/>
      <c r="L2321" s="16"/>
      <c r="M2321" s="16"/>
      <c r="AA2321" s="14">
        <f t="shared" si="72"/>
        <v>0</v>
      </c>
      <c r="AB2321" s="47">
        <f t="shared" si="73"/>
        <v>-1</v>
      </c>
      <c r="AD2321" s="53"/>
      <c r="AE2321" s="53"/>
      <c r="AF2321" s="53"/>
      <c r="AG2321" s="53"/>
    </row>
    <row r="2322" spans="1:33" s="46" customFormat="1">
      <c r="A2322" s="54"/>
      <c r="B2322" s="16"/>
      <c r="C2322" s="55"/>
      <c r="D2322" s="56"/>
      <c r="E2322" s="16"/>
      <c r="F2322" s="16"/>
      <c r="G2322" s="16"/>
      <c r="H2322" s="54"/>
      <c r="I2322" s="16"/>
      <c r="J2322" s="54"/>
      <c r="K2322" s="42"/>
      <c r="L2322" s="16"/>
      <c r="M2322" s="16"/>
      <c r="AA2322" s="14">
        <f t="shared" si="72"/>
        <v>0</v>
      </c>
      <c r="AB2322" s="47">
        <f t="shared" si="73"/>
        <v>-1</v>
      </c>
      <c r="AD2322" s="53"/>
      <c r="AE2322" s="53"/>
      <c r="AF2322" s="53"/>
      <c r="AG2322" s="53"/>
    </row>
    <row r="2323" spans="1:33" s="46" customFormat="1">
      <c r="A2323" s="54"/>
      <c r="B2323" s="16"/>
      <c r="C2323" s="55"/>
      <c r="D2323" s="56"/>
      <c r="E2323" s="16"/>
      <c r="F2323" s="16"/>
      <c r="G2323" s="16"/>
      <c r="H2323" s="54"/>
      <c r="I2323" s="16"/>
      <c r="J2323" s="54"/>
      <c r="K2323" s="42"/>
      <c r="L2323" s="16"/>
      <c r="M2323" s="16"/>
      <c r="AA2323" s="14">
        <f t="shared" si="72"/>
        <v>0</v>
      </c>
      <c r="AB2323" s="47">
        <f t="shared" si="73"/>
        <v>-1</v>
      </c>
      <c r="AD2323" s="53"/>
      <c r="AE2323" s="53"/>
      <c r="AF2323" s="53"/>
      <c r="AG2323" s="53"/>
    </row>
    <row r="2324" spans="1:33" s="46" customFormat="1">
      <c r="A2324" s="54"/>
      <c r="B2324" s="16"/>
      <c r="C2324" s="55"/>
      <c r="D2324" s="56"/>
      <c r="E2324" s="16"/>
      <c r="F2324" s="16"/>
      <c r="G2324" s="16"/>
      <c r="H2324" s="54"/>
      <c r="I2324" s="16"/>
      <c r="J2324" s="54"/>
      <c r="K2324" s="42"/>
      <c r="L2324" s="16"/>
      <c r="M2324" s="16"/>
      <c r="AA2324" s="14">
        <f t="shared" si="72"/>
        <v>0</v>
      </c>
      <c r="AB2324" s="47">
        <f t="shared" si="73"/>
        <v>-1</v>
      </c>
      <c r="AD2324" s="53"/>
      <c r="AE2324" s="53"/>
      <c r="AF2324" s="53"/>
      <c r="AG2324" s="53"/>
    </row>
    <row r="2325" spans="1:33" s="46" customFormat="1">
      <c r="A2325" s="54"/>
      <c r="B2325" s="16"/>
      <c r="C2325" s="55"/>
      <c r="D2325" s="56"/>
      <c r="E2325" s="16"/>
      <c r="F2325" s="16"/>
      <c r="G2325" s="16"/>
      <c r="H2325" s="54"/>
      <c r="I2325" s="16"/>
      <c r="J2325" s="54"/>
      <c r="K2325" s="42"/>
      <c r="L2325" s="16"/>
      <c r="M2325" s="16"/>
      <c r="AA2325" s="14">
        <f t="shared" si="72"/>
        <v>0</v>
      </c>
      <c r="AB2325" s="47">
        <f t="shared" si="73"/>
        <v>-1</v>
      </c>
      <c r="AD2325" s="53"/>
      <c r="AE2325" s="53"/>
      <c r="AF2325" s="53"/>
      <c r="AG2325" s="53"/>
    </row>
    <row r="2326" spans="1:33" s="46" customFormat="1">
      <c r="A2326" s="54"/>
      <c r="B2326" s="16"/>
      <c r="C2326" s="55"/>
      <c r="D2326" s="56"/>
      <c r="E2326" s="16"/>
      <c r="F2326" s="16"/>
      <c r="G2326" s="16"/>
      <c r="H2326" s="54"/>
      <c r="I2326" s="16"/>
      <c r="J2326" s="54"/>
      <c r="K2326" s="42"/>
      <c r="L2326" s="16"/>
      <c r="M2326" s="16"/>
      <c r="AA2326" s="14">
        <f t="shared" si="72"/>
        <v>0</v>
      </c>
      <c r="AB2326" s="47">
        <f t="shared" si="73"/>
        <v>-1</v>
      </c>
      <c r="AD2326" s="53"/>
      <c r="AE2326" s="53"/>
      <c r="AF2326" s="53"/>
      <c r="AG2326" s="53"/>
    </row>
    <row r="2327" spans="1:33" s="46" customFormat="1">
      <c r="A2327" s="54"/>
      <c r="B2327" s="16"/>
      <c r="C2327" s="55"/>
      <c r="D2327" s="56"/>
      <c r="E2327" s="16"/>
      <c r="F2327" s="16"/>
      <c r="G2327" s="16"/>
      <c r="H2327" s="54"/>
      <c r="I2327" s="16"/>
      <c r="J2327" s="54"/>
      <c r="K2327" s="42"/>
      <c r="L2327" s="16"/>
      <c r="M2327" s="16"/>
      <c r="AA2327" s="14">
        <f t="shared" si="72"/>
        <v>0</v>
      </c>
      <c r="AB2327" s="47">
        <f t="shared" si="73"/>
        <v>-1</v>
      </c>
      <c r="AD2327" s="53"/>
      <c r="AE2327" s="53"/>
      <c r="AF2327" s="53"/>
      <c r="AG2327" s="53"/>
    </row>
    <row r="2328" spans="1:33" s="46" customFormat="1">
      <c r="A2328" s="54"/>
      <c r="B2328" s="16"/>
      <c r="C2328" s="55"/>
      <c r="D2328" s="56"/>
      <c r="E2328" s="16"/>
      <c r="F2328" s="16"/>
      <c r="G2328" s="16"/>
      <c r="H2328" s="54"/>
      <c r="I2328" s="16"/>
      <c r="J2328" s="54"/>
      <c r="K2328" s="42"/>
      <c r="L2328" s="16"/>
      <c r="M2328" s="16"/>
      <c r="AA2328" s="14">
        <f t="shared" si="72"/>
        <v>0</v>
      </c>
      <c r="AB2328" s="47">
        <f t="shared" si="73"/>
        <v>-1</v>
      </c>
      <c r="AD2328" s="53"/>
      <c r="AE2328" s="53"/>
      <c r="AF2328" s="53"/>
      <c r="AG2328" s="53"/>
    </row>
    <row r="2329" spans="1:33" s="46" customFormat="1">
      <c r="A2329" s="54"/>
      <c r="B2329" s="16"/>
      <c r="C2329" s="55"/>
      <c r="D2329" s="56"/>
      <c r="E2329" s="16"/>
      <c r="F2329" s="16"/>
      <c r="G2329" s="16"/>
      <c r="H2329" s="54"/>
      <c r="I2329" s="16"/>
      <c r="J2329" s="54"/>
      <c r="K2329" s="42"/>
      <c r="L2329" s="16"/>
      <c r="M2329" s="16"/>
      <c r="AA2329" s="14">
        <f t="shared" si="72"/>
        <v>0</v>
      </c>
      <c r="AB2329" s="47">
        <f t="shared" si="73"/>
        <v>-1</v>
      </c>
      <c r="AD2329" s="53"/>
      <c r="AE2329" s="53"/>
      <c r="AF2329" s="53"/>
      <c r="AG2329" s="53"/>
    </row>
    <row r="2330" spans="1:33" s="46" customFormat="1">
      <c r="A2330" s="54"/>
      <c r="B2330" s="16"/>
      <c r="C2330" s="55"/>
      <c r="D2330" s="56"/>
      <c r="E2330" s="16"/>
      <c r="F2330" s="16"/>
      <c r="G2330" s="16"/>
      <c r="H2330" s="54"/>
      <c r="I2330" s="16"/>
      <c r="J2330" s="54"/>
      <c r="K2330" s="42"/>
      <c r="L2330" s="16"/>
      <c r="M2330" s="16"/>
      <c r="AA2330" s="14">
        <f t="shared" si="72"/>
        <v>0</v>
      </c>
      <c r="AB2330" s="47">
        <f t="shared" si="73"/>
        <v>-1</v>
      </c>
      <c r="AD2330" s="53"/>
      <c r="AE2330" s="53"/>
      <c r="AF2330" s="53"/>
      <c r="AG2330" s="53"/>
    </row>
    <row r="2331" spans="1:33" s="46" customFormat="1">
      <c r="A2331" s="54"/>
      <c r="B2331" s="16"/>
      <c r="C2331" s="55"/>
      <c r="D2331" s="56"/>
      <c r="E2331" s="16"/>
      <c r="F2331" s="16"/>
      <c r="G2331" s="16"/>
      <c r="H2331" s="54"/>
      <c r="I2331" s="16"/>
      <c r="J2331" s="54"/>
      <c r="K2331" s="42"/>
      <c r="L2331" s="16"/>
      <c r="M2331" s="16"/>
      <c r="AA2331" s="14">
        <f t="shared" si="72"/>
        <v>0</v>
      </c>
      <c r="AB2331" s="47">
        <f t="shared" si="73"/>
        <v>-1</v>
      </c>
      <c r="AD2331" s="53"/>
      <c r="AE2331" s="53"/>
      <c r="AF2331" s="53"/>
      <c r="AG2331" s="53"/>
    </row>
    <row r="2332" spans="1:33" s="46" customFormat="1">
      <c r="A2332" s="54"/>
      <c r="B2332" s="16"/>
      <c r="C2332" s="55"/>
      <c r="D2332" s="56"/>
      <c r="E2332" s="16"/>
      <c r="F2332" s="16"/>
      <c r="G2332" s="16"/>
      <c r="H2332" s="54"/>
      <c r="I2332" s="16"/>
      <c r="J2332" s="54"/>
      <c r="K2332" s="42"/>
      <c r="L2332" s="16"/>
      <c r="M2332" s="16"/>
      <c r="AA2332" s="14">
        <f t="shared" si="72"/>
        <v>0</v>
      </c>
      <c r="AB2332" s="47">
        <f t="shared" si="73"/>
        <v>-1</v>
      </c>
      <c r="AD2332" s="53"/>
      <c r="AE2332" s="53"/>
      <c r="AF2332" s="53"/>
      <c r="AG2332" s="53"/>
    </row>
    <row r="2333" spans="1:33" s="46" customFormat="1">
      <c r="A2333" s="54"/>
      <c r="B2333" s="16"/>
      <c r="C2333" s="55"/>
      <c r="D2333" s="56"/>
      <c r="E2333" s="16"/>
      <c r="F2333" s="16"/>
      <c r="G2333" s="16"/>
      <c r="H2333" s="54"/>
      <c r="I2333" s="16"/>
      <c r="J2333" s="54"/>
      <c r="K2333" s="42"/>
      <c r="L2333" s="16"/>
      <c r="M2333" s="16"/>
      <c r="AA2333" s="14">
        <f t="shared" si="72"/>
        <v>0</v>
      </c>
      <c r="AB2333" s="47">
        <f t="shared" si="73"/>
        <v>-1</v>
      </c>
      <c r="AD2333" s="53"/>
      <c r="AE2333" s="53"/>
      <c r="AF2333" s="53"/>
      <c r="AG2333" s="53"/>
    </row>
    <row r="2334" spans="1:33" s="46" customFormat="1">
      <c r="A2334" s="54"/>
      <c r="B2334" s="16"/>
      <c r="C2334" s="55"/>
      <c r="D2334" s="56"/>
      <c r="E2334" s="16"/>
      <c r="F2334" s="16"/>
      <c r="G2334" s="16"/>
      <c r="H2334" s="54"/>
      <c r="I2334" s="16"/>
      <c r="J2334" s="54"/>
      <c r="K2334" s="42"/>
      <c r="L2334" s="16"/>
      <c r="M2334" s="16"/>
      <c r="AA2334" s="14">
        <f t="shared" si="72"/>
        <v>0</v>
      </c>
      <c r="AB2334" s="47">
        <f t="shared" si="73"/>
        <v>-1</v>
      </c>
      <c r="AD2334" s="53"/>
      <c r="AE2334" s="53"/>
      <c r="AF2334" s="53"/>
      <c r="AG2334" s="53"/>
    </row>
    <row r="2335" spans="1:33" s="46" customFormat="1">
      <c r="A2335" s="54"/>
      <c r="B2335" s="16"/>
      <c r="C2335" s="55"/>
      <c r="D2335" s="56"/>
      <c r="E2335" s="16"/>
      <c r="F2335" s="16"/>
      <c r="G2335" s="16"/>
      <c r="H2335" s="54"/>
      <c r="I2335" s="16"/>
      <c r="J2335" s="54"/>
      <c r="K2335" s="42"/>
      <c r="L2335" s="16"/>
      <c r="M2335" s="16"/>
      <c r="AA2335" s="14">
        <f t="shared" si="72"/>
        <v>0</v>
      </c>
      <c r="AB2335" s="47">
        <f t="shared" si="73"/>
        <v>-1</v>
      </c>
      <c r="AD2335" s="53"/>
      <c r="AE2335" s="53"/>
      <c r="AF2335" s="53"/>
      <c r="AG2335" s="53"/>
    </row>
    <row r="2336" spans="1:33" s="46" customFormat="1">
      <c r="A2336" s="54"/>
      <c r="B2336" s="16"/>
      <c r="C2336" s="55"/>
      <c r="D2336" s="56"/>
      <c r="E2336" s="16"/>
      <c r="F2336" s="16"/>
      <c r="G2336" s="16"/>
      <c r="H2336" s="54"/>
      <c r="I2336" s="16"/>
      <c r="J2336" s="54"/>
      <c r="K2336" s="42"/>
      <c r="L2336" s="16"/>
      <c r="M2336" s="16"/>
      <c r="AA2336" s="14">
        <f t="shared" si="72"/>
        <v>0</v>
      </c>
      <c r="AB2336" s="47">
        <f t="shared" si="73"/>
        <v>-1</v>
      </c>
      <c r="AD2336" s="53"/>
      <c r="AE2336" s="53"/>
      <c r="AF2336" s="53"/>
      <c r="AG2336" s="53"/>
    </row>
    <row r="2337" spans="1:33" s="46" customFormat="1">
      <c r="A2337" s="54"/>
      <c r="B2337" s="16"/>
      <c r="C2337" s="55"/>
      <c r="D2337" s="56"/>
      <c r="E2337" s="16"/>
      <c r="F2337" s="16"/>
      <c r="G2337" s="16"/>
      <c r="H2337" s="54"/>
      <c r="I2337" s="16"/>
      <c r="J2337" s="54"/>
      <c r="K2337" s="42"/>
      <c r="L2337" s="16"/>
      <c r="M2337" s="16"/>
      <c r="AA2337" s="14">
        <f t="shared" si="72"/>
        <v>0</v>
      </c>
      <c r="AB2337" s="47">
        <f t="shared" si="73"/>
        <v>-1</v>
      </c>
      <c r="AD2337" s="53"/>
      <c r="AE2337" s="53"/>
      <c r="AF2337" s="53"/>
      <c r="AG2337" s="53"/>
    </row>
    <row r="2338" spans="1:33" s="46" customFormat="1">
      <c r="A2338" s="54"/>
      <c r="B2338" s="16"/>
      <c r="C2338" s="55"/>
      <c r="D2338" s="56"/>
      <c r="E2338" s="16"/>
      <c r="F2338" s="16"/>
      <c r="G2338" s="16"/>
      <c r="H2338" s="54"/>
      <c r="I2338" s="16"/>
      <c r="J2338" s="54"/>
      <c r="K2338" s="42"/>
      <c r="L2338" s="16"/>
      <c r="M2338" s="16"/>
      <c r="AA2338" s="14">
        <f t="shared" si="72"/>
        <v>0</v>
      </c>
      <c r="AB2338" s="47">
        <f t="shared" si="73"/>
        <v>-1</v>
      </c>
      <c r="AD2338" s="53"/>
      <c r="AE2338" s="53"/>
      <c r="AF2338" s="53"/>
      <c r="AG2338" s="53"/>
    </row>
    <row r="2339" spans="1:33" s="46" customFormat="1">
      <c r="A2339" s="54"/>
      <c r="B2339" s="16"/>
      <c r="C2339" s="55"/>
      <c r="D2339" s="56"/>
      <c r="E2339" s="16"/>
      <c r="F2339" s="16"/>
      <c r="G2339" s="16"/>
      <c r="H2339" s="54"/>
      <c r="I2339" s="16"/>
      <c r="J2339" s="54"/>
      <c r="K2339" s="42"/>
      <c r="L2339" s="16"/>
      <c r="M2339" s="16"/>
      <c r="AA2339" s="14">
        <f t="shared" si="72"/>
        <v>0</v>
      </c>
      <c r="AB2339" s="47">
        <f t="shared" si="73"/>
        <v>-1</v>
      </c>
      <c r="AD2339" s="53"/>
      <c r="AE2339" s="53"/>
      <c r="AF2339" s="53"/>
      <c r="AG2339" s="53"/>
    </row>
    <row r="2340" spans="1:33" s="46" customFormat="1">
      <c r="A2340" s="54"/>
      <c r="B2340" s="16"/>
      <c r="C2340" s="55"/>
      <c r="D2340" s="56"/>
      <c r="E2340" s="16"/>
      <c r="F2340" s="16"/>
      <c r="G2340" s="16"/>
      <c r="H2340" s="54"/>
      <c r="I2340" s="16"/>
      <c r="J2340" s="54"/>
      <c r="K2340" s="42"/>
      <c r="L2340" s="16"/>
      <c r="M2340" s="16"/>
      <c r="AA2340" s="14">
        <f t="shared" si="72"/>
        <v>0</v>
      </c>
      <c r="AB2340" s="47">
        <f t="shared" si="73"/>
        <v>-1</v>
      </c>
      <c r="AD2340" s="53"/>
      <c r="AE2340" s="53"/>
      <c r="AF2340" s="53"/>
      <c r="AG2340" s="53"/>
    </row>
    <row r="2341" spans="1:33" s="46" customFormat="1">
      <c r="A2341" s="54"/>
      <c r="B2341" s="16"/>
      <c r="C2341" s="55"/>
      <c r="D2341" s="56"/>
      <c r="E2341" s="16"/>
      <c r="F2341" s="16"/>
      <c r="G2341" s="16"/>
      <c r="H2341" s="54"/>
      <c r="I2341" s="16"/>
      <c r="J2341" s="54"/>
      <c r="K2341" s="42"/>
      <c r="L2341" s="16"/>
      <c r="M2341" s="16"/>
      <c r="AA2341" s="14">
        <f t="shared" si="72"/>
        <v>0</v>
      </c>
      <c r="AB2341" s="47">
        <f t="shared" si="73"/>
        <v>-1</v>
      </c>
      <c r="AD2341" s="53"/>
      <c r="AE2341" s="53"/>
      <c r="AF2341" s="53"/>
      <c r="AG2341" s="53"/>
    </row>
    <row r="2342" spans="1:33" s="46" customFormat="1">
      <c r="A2342" s="54"/>
      <c r="B2342" s="16"/>
      <c r="C2342" s="55"/>
      <c r="D2342" s="56"/>
      <c r="E2342" s="16"/>
      <c r="F2342" s="16"/>
      <c r="G2342" s="16"/>
      <c r="H2342" s="54"/>
      <c r="I2342" s="16"/>
      <c r="J2342" s="54"/>
      <c r="K2342" s="42"/>
      <c r="L2342" s="16"/>
      <c r="M2342" s="16"/>
      <c r="AA2342" s="14">
        <f t="shared" si="72"/>
        <v>0</v>
      </c>
      <c r="AB2342" s="47">
        <f t="shared" si="73"/>
        <v>-1</v>
      </c>
      <c r="AD2342" s="53"/>
      <c r="AE2342" s="53"/>
      <c r="AF2342" s="53"/>
      <c r="AG2342" s="53"/>
    </row>
    <row r="2343" spans="1:33" s="46" customFormat="1">
      <c r="A2343" s="54"/>
      <c r="B2343" s="16"/>
      <c r="C2343" s="55"/>
      <c r="D2343" s="56"/>
      <c r="E2343" s="16"/>
      <c r="F2343" s="16"/>
      <c r="G2343" s="16"/>
      <c r="H2343" s="54"/>
      <c r="I2343" s="16"/>
      <c r="J2343" s="54"/>
      <c r="K2343" s="42"/>
      <c r="L2343" s="16"/>
      <c r="M2343" s="16"/>
      <c r="AA2343" s="14">
        <f t="shared" si="72"/>
        <v>0</v>
      </c>
      <c r="AB2343" s="47">
        <f t="shared" si="73"/>
        <v>-1</v>
      </c>
      <c r="AD2343" s="53"/>
      <c r="AE2343" s="53"/>
      <c r="AF2343" s="53"/>
      <c r="AG2343" s="53"/>
    </row>
    <row r="2344" spans="1:33" s="46" customFormat="1">
      <c r="A2344" s="54"/>
      <c r="B2344" s="16"/>
      <c r="C2344" s="55"/>
      <c r="D2344" s="56"/>
      <c r="E2344" s="16"/>
      <c r="F2344" s="16"/>
      <c r="G2344" s="16"/>
      <c r="H2344" s="54"/>
      <c r="I2344" s="16"/>
      <c r="J2344" s="54"/>
      <c r="K2344" s="42"/>
      <c r="L2344" s="16"/>
      <c r="M2344" s="16"/>
      <c r="AA2344" s="14">
        <f t="shared" ref="AA2344:AA2407" si="74">C2344-C2343</f>
        <v>0</v>
      </c>
      <c r="AB2344" s="47">
        <f t="shared" ref="AB2344:AB2407" si="75">AA2344-1</f>
        <v>-1</v>
      </c>
      <c r="AD2344" s="53"/>
      <c r="AE2344" s="53"/>
      <c r="AF2344" s="53"/>
      <c r="AG2344" s="53"/>
    </row>
    <row r="2345" spans="1:33" s="46" customFormat="1">
      <c r="A2345" s="54"/>
      <c r="B2345" s="16"/>
      <c r="C2345" s="55"/>
      <c r="D2345" s="56"/>
      <c r="E2345" s="16"/>
      <c r="F2345" s="16"/>
      <c r="G2345" s="16"/>
      <c r="H2345" s="54"/>
      <c r="I2345" s="16"/>
      <c r="J2345" s="54"/>
      <c r="K2345" s="42"/>
      <c r="L2345" s="16"/>
      <c r="M2345" s="16"/>
      <c r="AA2345" s="14">
        <f t="shared" si="74"/>
        <v>0</v>
      </c>
      <c r="AB2345" s="47">
        <f t="shared" si="75"/>
        <v>-1</v>
      </c>
      <c r="AD2345" s="53"/>
      <c r="AE2345" s="53"/>
      <c r="AF2345" s="53"/>
      <c r="AG2345" s="53"/>
    </row>
    <row r="2346" spans="1:33" s="46" customFormat="1">
      <c r="A2346" s="54"/>
      <c r="B2346" s="16"/>
      <c r="C2346" s="55"/>
      <c r="D2346" s="56"/>
      <c r="E2346" s="16"/>
      <c r="F2346" s="16"/>
      <c r="G2346" s="16"/>
      <c r="H2346" s="54"/>
      <c r="I2346" s="16"/>
      <c r="J2346" s="54"/>
      <c r="K2346" s="42"/>
      <c r="L2346" s="16"/>
      <c r="M2346" s="16"/>
      <c r="AA2346" s="14">
        <f t="shared" si="74"/>
        <v>0</v>
      </c>
      <c r="AB2346" s="47">
        <f t="shared" si="75"/>
        <v>-1</v>
      </c>
      <c r="AD2346" s="53"/>
      <c r="AE2346" s="53"/>
      <c r="AF2346" s="53"/>
      <c r="AG2346" s="53"/>
    </row>
    <row r="2347" spans="1:33" s="46" customFormat="1">
      <c r="A2347" s="54"/>
      <c r="B2347" s="16"/>
      <c r="C2347" s="55"/>
      <c r="D2347" s="56"/>
      <c r="E2347" s="16"/>
      <c r="F2347" s="16"/>
      <c r="G2347" s="16"/>
      <c r="H2347" s="54"/>
      <c r="I2347" s="16"/>
      <c r="J2347" s="54"/>
      <c r="K2347" s="42"/>
      <c r="L2347" s="16"/>
      <c r="M2347" s="16"/>
      <c r="AA2347" s="14">
        <f t="shared" si="74"/>
        <v>0</v>
      </c>
      <c r="AB2347" s="47">
        <f t="shared" si="75"/>
        <v>-1</v>
      </c>
      <c r="AD2347" s="53"/>
      <c r="AE2347" s="53"/>
      <c r="AF2347" s="53"/>
      <c r="AG2347" s="53"/>
    </row>
    <row r="2348" spans="1:33" s="46" customFormat="1">
      <c r="A2348" s="54"/>
      <c r="B2348" s="16"/>
      <c r="C2348" s="55"/>
      <c r="D2348" s="56"/>
      <c r="E2348" s="16"/>
      <c r="F2348" s="16"/>
      <c r="G2348" s="16"/>
      <c r="H2348" s="54"/>
      <c r="I2348" s="16"/>
      <c r="J2348" s="54"/>
      <c r="K2348" s="42"/>
      <c r="L2348" s="16"/>
      <c r="M2348" s="16"/>
      <c r="AA2348" s="14">
        <f t="shared" si="74"/>
        <v>0</v>
      </c>
      <c r="AB2348" s="47">
        <f t="shared" si="75"/>
        <v>-1</v>
      </c>
      <c r="AD2348" s="53"/>
      <c r="AE2348" s="53"/>
      <c r="AF2348" s="53"/>
      <c r="AG2348" s="53"/>
    </row>
    <row r="2349" spans="1:33" s="46" customFormat="1">
      <c r="A2349" s="54"/>
      <c r="B2349" s="16"/>
      <c r="C2349" s="55"/>
      <c r="D2349" s="56"/>
      <c r="E2349" s="16"/>
      <c r="F2349" s="16"/>
      <c r="G2349" s="16"/>
      <c r="H2349" s="54"/>
      <c r="I2349" s="16"/>
      <c r="J2349" s="54"/>
      <c r="K2349" s="42"/>
      <c r="L2349" s="16"/>
      <c r="M2349" s="16"/>
      <c r="AA2349" s="14">
        <f t="shared" si="74"/>
        <v>0</v>
      </c>
      <c r="AB2349" s="47">
        <f t="shared" si="75"/>
        <v>-1</v>
      </c>
      <c r="AD2349" s="53"/>
      <c r="AE2349" s="53"/>
      <c r="AF2349" s="53"/>
      <c r="AG2349" s="53"/>
    </row>
    <row r="2350" spans="1:33" s="46" customFormat="1">
      <c r="A2350" s="54"/>
      <c r="B2350" s="16"/>
      <c r="C2350" s="55"/>
      <c r="D2350" s="56"/>
      <c r="E2350" s="16"/>
      <c r="F2350" s="16"/>
      <c r="G2350" s="16"/>
      <c r="H2350" s="54"/>
      <c r="I2350" s="16"/>
      <c r="J2350" s="54"/>
      <c r="K2350" s="42"/>
      <c r="L2350" s="16"/>
      <c r="M2350" s="16"/>
      <c r="AA2350" s="14">
        <f t="shared" si="74"/>
        <v>0</v>
      </c>
      <c r="AB2350" s="47">
        <f t="shared" si="75"/>
        <v>-1</v>
      </c>
      <c r="AD2350" s="53"/>
      <c r="AE2350" s="53"/>
      <c r="AF2350" s="53"/>
      <c r="AG2350" s="53"/>
    </row>
    <row r="2351" spans="1:33" s="46" customFormat="1">
      <c r="A2351" s="54"/>
      <c r="B2351" s="16"/>
      <c r="C2351" s="55"/>
      <c r="D2351" s="56"/>
      <c r="E2351" s="16"/>
      <c r="F2351" s="16"/>
      <c r="G2351" s="16"/>
      <c r="H2351" s="54"/>
      <c r="I2351" s="16"/>
      <c r="J2351" s="54"/>
      <c r="K2351" s="42"/>
      <c r="L2351" s="16"/>
      <c r="M2351" s="16"/>
      <c r="AA2351" s="14">
        <f t="shared" si="74"/>
        <v>0</v>
      </c>
      <c r="AB2351" s="47">
        <f t="shared" si="75"/>
        <v>-1</v>
      </c>
      <c r="AD2351" s="53"/>
      <c r="AE2351" s="53"/>
      <c r="AF2351" s="53"/>
      <c r="AG2351" s="53"/>
    </row>
    <row r="2352" spans="1:33" s="46" customFormat="1">
      <c r="A2352" s="54"/>
      <c r="B2352" s="16"/>
      <c r="C2352" s="55"/>
      <c r="D2352" s="56"/>
      <c r="E2352" s="16"/>
      <c r="F2352" s="16"/>
      <c r="G2352" s="16"/>
      <c r="H2352" s="54"/>
      <c r="I2352" s="16"/>
      <c r="J2352" s="54"/>
      <c r="K2352" s="42"/>
      <c r="L2352" s="16"/>
      <c r="M2352" s="16"/>
      <c r="AA2352" s="14">
        <f t="shared" si="74"/>
        <v>0</v>
      </c>
      <c r="AB2352" s="47">
        <f t="shared" si="75"/>
        <v>-1</v>
      </c>
      <c r="AD2352" s="53"/>
      <c r="AE2352" s="53"/>
      <c r="AF2352" s="53"/>
      <c r="AG2352" s="53"/>
    </row>
    <row r="2353" spans="1:33" s="46" customFormat="1">
      <c r="A2353" s="54"/>
      <c r="B2353" s="16"/>
      <c r="C2353" s="55"/>
      <c r="D2353" s="56"/>
      <c r="E2353" s="16"/>
      <c r="F2353" s="16"/>
      <c r="G2353" s="16"/>
      <c r="H2353" s="54"/>
      <c r="I2353" s="16"/>
      <c r="J2353" s="54"/>
      <c r="K2353" s="42"/>
      <c r="L2353" s="16"/>
      <c r="M2353" s="16"/>
      <c r="AA2353" s="14">
        <f t="shared" si="74"/>
        <v>0</v>
      </c>
      <c r="AB2353" s="47">
        <f t="shared" si="75"/>
        <v>-1</v>
      </c>
      <c r="AD2353" s="53"/>
      <c r="AE2353" s="53"/>
      <c r="AF2353" s="53"/>
      <c r="AG2353" s="53"/>
    </row>
    <row r="2354" spans="1:33" s="46" customFormat="1">
      <c r="A2354" s="54"/>
      <c r="B2354" s="16"/>
      <c r="C2354" s="55"/>
      <c r="D2354" s="56"/>
      <c r="E2354" s="16"/>
      <c r="F2354" s="16"/>
      <c r="G2354" s="16"/>
      <c r="H2354" s="54"/>
      <c r="I2354" s="16"/>
      <c r="J2354" s="54"/>
      <c r="K2354" s="42"/>
      <c r="L2354" s="16"/>
      <c r="M2354" s="16"/>
      <c r="AA2354" s="14">
        <f t="shared" si="74"/>
        <v>0</v>
      </c>
      <c r="AB2354" s="47">
        <f t="shared" si="75"/>
        <v>-1</v>
      </c>
      <c r="AD2354" s="53"/>
      <c r="AE2354" s="53"/>
      <c r="AF2354" s="53"/>
      <c r="AG2354" s="53"/>
    </row>
    <row r="2355" spans="1:33" s="46" customFormat="1">
      <c r="A2355" s="54"/>
      <c r="B2355" s="16"/>
      <c r="C2355" s="55"/>
      <c r="D2355" s="56"/>
      <c r="E2355" s="16"/>
      <c r="F2355" s="16"/>
      <c r="G2355" s="16"/>
      <c r="H2355" s="54"/>
      <c r="I2355" s="16"/>
      <c r="J2355" s="54"/>
      <c r="K2355" s="42"/>
      <c r="L2355" s="16"/>
      <c r="M2355" s="16"/>
      <c r="AA2355" s="14">
        <f t="shared" si="74"/>
        <v>0</v>
      </c>
      <c r="AB2355" s="47">
        <f t="shared" si="75"/>
        <v>-1</v>
      </c>
      <c r="AD2355" s="53"/>
      <c r="AE2355" s="53"/>
      <c r="AF2355" s="53"/>
      <c r="AG2355" s="53"/>
    </row>
    <row r="2356" spans="1:33" s="46" customFormat="1">
      <c r="A2356" s="54"/>
      <c r="B2356" s="16"/>
      <c r="C2356" s="55"/>
      <c r="D2356" s="56"/>
      <c r="E2356" s="16"/>
      <c r="F2356" s="16"/>
      <c r="G2356" s="16"/>
      <c r="H2356" s="54"/>
      <c r="I2356" s="16"/>
      <c r="J2356" s="54"/>
      <c r="K2356" s="42"/>
      <c r="L2356" s="16"/>
      <c r="M2356" s="16"/>
      <c r="AA2356" s="14">
        <f t="shared" si="74"/>
        <v>0</v>
      </c>
      <c r="AB2356" s="47">
        <f t="shared" si="75"/>
        <v>-1</v>
      </c>
      <c r="AD2356" s="53"/>
      <c r="AE2356" s="53"/>
      <c r="AF2356" s="53"/>
      <c r="AG2356" s="53"/>
    </row>
    <row r="2357" spans="1:33" s="46" customFormat="1">
      <c r="A2357" s="54"/>
      <c r="B2357" s="16"/>
      <c r="C2357" s="55"/>
      <c r="D2357" s="56"/>
      <c r="E2357" s="16"/>
      <c r="F2357" s="16"/>
      <c r="G2357" s="16"/>
      <c r="H2357" s="54"/>
      <c r="I2357" s="16"/>
      <c r="J2357" s="54"/>
      <c r="K2357" s="42"/>
      <c r="L2357" s="16"/>
      <c r="M2357" s="16"/>
      <c r="AA2357" s="14">
        <f t="shared" si="74"/>
        <v>0</v>
      </c>
      <c r="AB2357" s="47">
        <f t="shared" si="75"/>
        <v>-1</v>
      </c>
      <c r="AD2357" s="53"/>
      <c r="AE2357" s="53"/>
      <c r="AF2357" s="53"/>
      <c r="AG2357" s="53"/>
    </row>
    <row r="2358" spans="1:33" s="46" customFormat="1">
      <c r="A2358" s="54"/>
      <c r="B2358" s="16"/>
      <c r="C2358" s="55"/>
      <c r="D2358" s="56"/>
      <c r="E2358" s="16"/>
      <c r="F2358" s="16"/>
      <c r="G2358" s="16"/>
      <c r="H2358" s="54"/>
      <c r="I2358" s="16"/>
      <c r="J2358" s="54"/>
      <c r="K2358" s="42"/>
      <c r="L2358" s="16"/>
      <c r="M2358" s="16"/>
      <c r="AA2358" s="14">
        <f t="shared" si="74"/>
        <v>0</v>
      </c>
      <c r="AB2358" s="47">
        <f t="shared" si="75"/>
        <v>-1</v>
      </c>
      <c r="AD2358" s="53"/>
      <c r="AE2358" s="53"/>
      <c r="AF2358" s="53"/>
      <c r="AG2358" s="53"/>
    </row>
    <row r="2359" spans="1:33" s="46" customFormat="1">
      <c r="A2359" s="54"/>
      <c r="B2359" s="16"/>
      <c r="C2359" s="55"/>
      <c r="D2359" s="56"/>
      <c r="E2359" s="16"/>
      <c r="F2359" s="16"/>
      <c r="G2359" s="16"/>
      <c r="H2359" s="54"/>
      <c r="I2359" s="16"/>
      <c r="J2359" s="54"/>
      <c r="K2359" s="42"/>
      <c r="L2359" s="16"/>
      <c r="M2359" s="16"/>
      <c r="AA2359" s="14">
        <f t="shared" si="74"/>
        <v>0</v>
      </c>
      <c r="AB2359" s="47">
        <f t="shared" si="75"/>
        <v>-1</v>
      </c>
      <c r="AD2359" s="53"/>
      <c r="AE2359" s="53"/>
      <c r="AF2359" s="53"/>
      <c r="AG2359" s="53"/>
    </row>
    <row r="2360" spans="1:33" s="46" customFormat="1">
      <c r="A2360" s="54"/>
      <c r="B2360" s="16"/>
      <c r="C2360" s="55"/>
      <c r="D2360" s="56"/>
      <c r="E2360" s="16"/>
      <c r="F2360" s="16"/>
      <c r="G2360" s="16"/>
      <c r="H2360" s="54"/>
      <c r="I2360" s="16"/>
      <c r="J2360" s="54"/>
      <c r="K2360" s="42"/>
      <c r="L2360" s="16"/>
      <c r="M2360" s="16"/>
      <c r="AA2360" s="14">
        <f t="shared" si="74"/>
        <v>0</v>
      </c>
      <c r="AB2360" s="47">
        <f t="shared" si="75"/>
        <v>-1</v>
      </c>
      <c r="AD2360" s="53"/>
      <c r="AE2360" s="53"/>
      <c r="AF2360" s="53"/>
      <c r="AG2360" s="53"/>
    </row>
    <row r="2361" spans="1:33" s="46" customFormat="1">
      <c r="A2361" s="54"/>
      <c r="B2361" s="16"/>
      <c r="C2361" s="55"/>
      <c r="D2361" s="56"/>
      <c r="E2361" s="16"/>
      <c r="F2361" s="16"/>
      <c r="G2361" s="16"/>
      <c r="H2361" s="54"/>
      <c r="I2361" s="16"/>
      <c r="J2361" s="54"/>
      <c r="K2361" s="42"/>
      <c r="L2361" s="16"/>
      <c r="M2361" s="16"/>
      <c r="AA2361" s="14">
        <f t="shared" si="74"/>
        <v>0</v>
      </c>
      <c r="AB2361" s="47">
        <f t="shared" si="75"/>
        <v>-1</v>
      </c>
      <c r="AD2361" s="53"/>
      <c r="AE2361" s="53"/>
      <c r="AF2361" s="53"/>
      <c r="AG2361" s="53"/>
    </row>
    <row r="2362" spans="1:33" s="46" customFormat="1">
      <c r="A2362" s="54"/>
      <c r="B2362" s="16"/>
      <c r="C2362" s="55"/>
      <c r="D2362" s="56"/>
      <c r="E2362" s="16"/>
      <c r="F2362" s="16"/>
      <c r="G2362" s="16"/>
      <c r="H2362" s="54"/>
      <c r="I2362" s="16"/>
      <c r="J2362" s="54"/>
      <c r="K2362" s="42"/>
      <c r="L2362" s="16"/>
      <c r="M2362" s="16"/>
      <c r="AA2362" s="14">
        <f t="shared" si="74"/>
        <v>0</v>
      </c>
      <c r="AB2362" s="47">
        <f t="shared" si="75"/>
        <v>-1</v>
      </c>
      <c r="AD2362" s="53"/>
      <c r="AE2362" s="53"/>
      <c r="AF2362" s="53"/>
      <c r="AG2362" s="53"/>
    </row>
    <row r="2363" spans="1:33" s="46" customFormat="1">
      <c r="A2363" s="54"/>
      <c r="B2363" s="16"/>
      <c r="C2363" s="55"/>
      <c r="D2363" s="56"/>
      <c r="E2363" s="16"/>
      <c r="F2363" s="16"/>
      <c r="G2363" s="16"/>
      <c r="H2363" s="54"/>
      <c r="I2363" s="16"/>
      <c r="J2363" s="54"/>
      <c r="K2363" s="42"/>
      <c r="L2363" s="16"/>
      <c r="M2363" s="16"/>
      <c r="AA2363" s="14">
        <f t="shared" si="74"/>
        <v>0</v>
      </c>
      <c r="AB2363" s="47">
        <f t="shared" si="75"/>
        <v>-1</v>
      </c>
      <c r="AD2363" s="53"/>
      <c r="AE2363" s="53"/>
      <c r="AF2363" s="53"/>
      <c r="AG2363" s="53"/>
    </row>
    <row r="2364" spans="1:33" s="46" customFormat="1">
      <c r="A2364" s="54"/>
      <c r="B2364" s="16"/>
      <c r="C2364" s="55"/>
      <c r="D2364" s="56"/>
      <c r="E2364" s="16"/>
      <c r="F2364" s="16"/>
      <c r="G2364" s="16"/>
      <c r="H2364" s="54"/>
      <c r="I2364" s="16"/>
      <c r="J2364" s="54"/>
      <c r="K2364" s="42"/>
      <c r="L2364" s="16"/>
      <c r="M2364" s="16"/>
      <c r="AA2364" s="14">
        <f t="shared" si="74"/>
        <v>0</v>
      </c>
      <c r="AB2364" s="47">
        <f t="shared" si="75"/>
        <v>-1</v>
      </c>
      <c r="AD2364" s="53"/>
      <c r="AE2364" s="53"/>
      <c r="AF2364" s="53"/>
      <c r="AG2364" s="53"/>
    </row>
    <row r="2365" spans="1:33" s="46" customFormat="1">
      <c r="A2365" s="54"/>
      <c r="B2365" s="16"/>
      <c r="C2365" s="55"/>
      <c r="D2365" s="56"/>
      <c r="E2365" s="16"/>
      <c r="F2365" s="16"/>
      <c r="G2365" s="16"/>
      <c r="H2365" s="54"/>
      <c r="I2365" s="16"/>
      <c r="J2365" s="54"/>
      <c r="K2365" s="42"/>
      <c r="L2365" s="16"/>
      <c r="M2365" s="16"/>
      <c r="AA2365" s="14">
        <f t="shared" si="74"/>
        <v>0</v>
      </c>
      <c r="AB2365" s="47">
        <f t="shared" si="75"/>
        <v>-1</v>
      </c>
      <c r="AD2365" s="53"/>
      <c r="AE2365" s="53"/>
      <c r="AF2365" s="53"/>
      <c r="AG2365" s="53"/>
    </row>
    <row r="2366" spans="1:33" s="46" customFormat="1">
      <c r="A2366" s="54"/>
      <c r="B2366" s="16"/>
      <c r="C2366" s="55"/>
      <c r="D2366" s="56"/>
      <c r="E2366" s="16"/>
      <c r="F2366" s="16"/>
      <c r="G2366" s="16"/>
      <c r="H2366" s="54"/>
      <c r="I2366" s="16"/>
      <c r="J2366" s="54"/>
      <c r="K2366" s="42"/>
      <c r="L2366" s="16"/>
      <c r="M2366" s="16"/>
      <c r="AA2366" s="14">
        <f t="shared" si="74"/>
        <v>0</v>
      </c>
      <c r="AB2366" s="47">
        <f t="shared" si="75"/>
        <v>-1</v>
      </c>
      <c r="AD2366" s="53"/>
      <c r="AE2366" s="53"/>
      <c r="AF2366" s="53"/>
      <c r="AG2366" s="53"/>
    </row>
    <row r="2367" spans="1:33" s="46" customFormat="1">
      <c r="A2367" s="54"/>
      <c r="B2367" s="16"/>
      <c r="C2367" s="55"/>
      <c r="D2367" s="56"/>
      <c r="E2367" s="16"/>
      <c r="F2367" s="16"/>
      <c r="G2367" s="16"/>
      <c r="H2367" s="54"/>
      <c r="I2367" s="16"/>
      <c r="J2367" s="54"/>
      <c r="K2367" s="42"/>
      <c r="L2367" s="16"/>
      <c r="M2367" s="16"/>
      <c r="AA2367" s="14">
        <f t="shared" si="74"/>
        <v>0</v>
      </c>
      <c r="AB2367" s="47">
        <f t="shared" si="75"/>
        <v>-1</v>
      </c>
      <c r="AD2367" s="53"/>
      <c r="AE2367" s="53"/>
      <c r="AF2367" s="53"/>
      <c r="AG2367" s="53"/>
    </row>
    <row r="2368" spans="1:33" s="46" customFormat="1">
      <c r="A2368" s="54"/>
      <c r="B2368" s="16"/>
      <c r="C2368" s="55"/>
      <c r="D2368" s="56"/>
      <c r="E2368" s="16"/>
      <c r="F2368" s="16"/>
      <c r="G2368" s="16"/>
      <c r="H2368" s="54"/>
      <c r="I2368" s="16"/>
      <c r="J2368" s="54"/>
      <c r="K2368" s="42"/>
      <c r="L2368" s="16"/>
      <c r="M2368" s="16"/>
      <c r="AA2368" s="14">
        <f t="shared" si="74"/>
        <v>0</v>
      </c>
      <c r="AB2368" s="47">
        <f t="shared" si="75"/>
        <v>-1</v>
      </c>
      <c r="AD2368" s="53"/>
      <c r="AE2368" s="53"/>
      <c r="AF2368" s="53"/>
      <c r="AG2368" s="53"/>
    </row>
    <row r="2369" spans="1:33" s="46" customFormat="1">
      <c r="A2369" s="54"/>
      <c r="B2369" s="16"/>
      <c r="C2369" s="55"/>
      <c r="D2369" s="56"/>
      <c r="E2369" s="16"/>
      <c r="F2369" s="16"/>
      <c r="G2369" s="16"/>
      <c r="H2369" s="54"/>
      <c r="I2369" s="16"/>
      <c r="J2369" s="54"/>
      <c r="K2369" s="42"/>
      <c r="L2369" s="16"/>
      <c r="M2369" s="16"/>
      <c r="AA2369" s="14">
        <f t="shared" si="74"/>
        <v>0</v>
      </c>
      <c r="AB2369" s="47">
        <f t="shared" si="75"/>
        <v>-1</v>
      </c>
      <c r="AD2369" s="53"/>
      <c r="AE2369" s="53"/>
      <c r="AF2369" s="53"/>
      <c r="AG2369" s="53"/>
    </row>
    <row r="2370" spans="1:33" s="46" customFormat="1">
      <c r="A2370" s="54"/>
      <c r="B2370" s="16"/>
      <c r="C2370" s="55"/>
      <c r="D2370" s="56"/>
      <c r="E2370" s="16"/>
      <c r="F2370" s="16"/>
      <c r="G2370" s="16"/>
      <c r="H2370" s="54"/>
      <c r="I2370" s="16"/>
      <c r="J2370" s="54"/>
      <c r="K2370" s="42"/>
      <c r="L2370" s="16"/>
      <c r="M2370" s="16"/>
      <c r="AA2370" s="14">
        <f t="shared" si="74"/>
        <v>0</v>
      </c>
      <c r="AB2370" s="47">
        <f t="shared" si="75"/>
        <v>-1</v>
      </c>
      <c r="AD2370" s="53"/>
      <c r="AE2370" s="53"/>
      <c r="AF2370" s="53"/>
      <c r="AG2370" s="53"/>
    </row>
    <row r="2371" spans="1:33" s="46" customFormat="1">
      <c r="A2371" s="54"/>
      <c r="B2371" s="16"/>
      <c r="C2371" s="55"/>
      <c r="D2371" s="56"/>
      <c r="E2371" s="16"/>
      <c r="F2371" s="16"/>
      <c r="G2371" s="16"/>
      <c r="H2371" s="54"/>
      <c r="I2371" s="16"/>
      <c r="J2371" s="54"/>
      <c r="K2371" s="42"/>
      <c r="L2371" s="16"/>
      <c r="M2371" s="16"/>
      <c r="AA2371" s="14">
        <f t="shared" si="74"/>
        <v>0</v>
      </c>
      <c r="AB2371" s="47">
        <f t="shared" si="75"/>
        <v>-1</v>
      </c>
      <c r="AD2371" s="53"/>
      <c r="AE2371" s="53"/>
      <c r="AF2371" s="53"/>
      <c r="AG2371" s="53"/>
    </row>
    <row r="2372" spans="1:33" s="46" customFormat="1">
      <c r="A2372" s="54"/>
      <c r="B2372" s="16"/>
      <c r="C2372" s="55"/>
      <c r="D2372" s="56"/>
      <c r="E2372" s="16"/>
      <c r="F2372" s="16"/>
      <c r="G2372" s="16"/>
      <c r="H2372" s="54"/>
      <c r="I2372" s="16"/>
      <c r="J2372" s="54"/>
      <c r="K2372" s="42"/>
      <c r="L2372" s="16"/>
      <c r="M2372" s="16"/>
      <c r="AA2372" s="14">
        <f t="shared" si="74"/>
        <v>0</v>
      </c>
      <c r="AB2372" s="47">
        <f t="shared" si="75"/>
        <v>-1</v>
      </c>
      <c r="AD2372" s="53"/>
      <c r="AE2372" s="53"/>
      <c r="AF2372" s="53"/>
      <c r="AG2372" s="53"/>
    </row>
    <row r="2373" spans="1:33" s="46" customFormat="1">
      <c r="A2373" s="54"/>
      <c r="B2373" s="16"/>
      <c r="C2373" s="55"/>
      <c r="D2373" s="56"/>
      <c r="E2373" s="16"/>
      <c r="F2373" s="16"/>
      <c r="G2373" s="16"/>
      <c r="H2373" s="54"/>
      <c r="I2373" s="16"/>
      <c r="J2373" s="54"/>
      <c r="K2373" s="42"/>
      <c r="L2373" s="16"/>
      <c r="M2373" s="16"/>
      <c r="AA2373" s="14">
        <f t="shared" si="74"/>
        <v>0</v>
      </c>
      <c r="AB2373" s="47">
        <f t="shared" si="75"/>
        <v>-1</v>
      </c>
      <c r="AD2373" s="53"/>
      <c r="AE2373" s="53"/>
      <c r="AF2373" s="53"/>
      <c r="AG2373" s="53"/>
    </row>
    <row r="2374" spans="1:33" s="46" customFormat="1">
      <c r="A2374" s="54"/>
      <c r="B2374" s="16"/>
      <c r="C2374" s="55"/>
      <c r="D2374" s="56"/>
      <c r="E2374" s="16"/>
      <c r="F2374" s="16"/>
      <c r="G2374" s="16"/>
      <c r="H2374" s="54"/>
      <c r="I2374" s="16"/>
      <c r="J2374" s="54"/>
      <c r="K2374" s="42"/>
      <c r="L2374" s="16"/>
      <c r="M2374" s="16"/>
      <c r="AA2374" s="14">
        <f t="shared" si="74"/>
        <v>0</v>
      </c>
      <c r="AB2374" s="47">
        <f t="shared" si="75"/>
        <v>-1</v>
      </c>
      <c r="AD2374" s="53"/>
      <c r="AE2374" s="53"/>
      <c r="AF2374" s="53"/>
      <c r="AG2374" s="53"/>
    </row>
    <row r="2375" spans="1:33" s="46" customFormat="1">
      <c r="A2375" s="54"/>
      <c r="B2375" s="16"/>
      <c r="C2375" s="55"/>
      <c r="D2375" s="56"/>
      <c r="E2375" s="16"/>
      <c r="F2375" s="16"/>
      <c r="G2375" s="16"/>
      <c r="H2375" s="54"/>
      <c r="I2375" s="16"/>
      <c r="J2375" s="54"/>
      <c r="K2375" s="42"/>
      <c r="L2375" s="16"/>
      <c r="M2375" s="16"/>
      <c r="AA2375" s="14">
        <f t="shared" si="74"/>
        <v>0</v>
      </c>
      <c r="AB2375" s="47">
        <f t="shared" si="75"/>
        <v>-1</v>
      </c>
      <c r="AD2375" s="53"/>
      <c r="AE2375" s="53"/>
      <c r="AF2375" s="53"/>
      <c r="AG2375" s="53"/>
    </row>
    <row r="2376" spans="1:33" s="46" customFormat="1">
      <c r="A2376" s="54"/>
      <c r="B2376" s="16"/>
      <c r="C2376" s="55"/>
      <c r="D2376" s="56"/>
      <c r="E2376" s="16"/>
      <c r="F2376" s="16"/>
      <c r="G2376" s="16"/>
      <c r="H2376" s="54"/>
      <c r="I2376" s="16"/>
      <c r="J2376" s="54"/>
      <c r="K2376" s="42"/>
      <c r="L2376" s="16"/>
      <c r="M2376" s="16"/>
      <c r="AA2376" s="14">
        <f t="shared" si="74"/>
        <v>0</v>
      </c>
      <c r="AB2376" s="47">
        <f t="shared" si="75"/>
        <v>-1</v>
      </c>
      <c r="AD2376" s="53"/>
      <c r="AE2376" s="53"/>
      <c r="AF2376" s="53"/>
      <c r="AG2376" s="53"/>
    </row>
    <row r="2377" spans="1:33" s="46" customFormat="1">
      <c r="A2377" s="54"/>
      <c r="B2377" s="16"/>
      <c r="C2377" s="55"/>
      <c r="D2377" s="56"/>
      <c r="E2377" s="16"/>
      <c r="F2377" s="16"/>
      <c r="G2377" s="16"/>
      <c r="H2377" s="54"/>
      <c r="I2377" s="16"/>
      <c r="J2377" s="54"/>
      <c r="K2377" s="42"/>
      <c r="L2377" s="16"/>
      <c r="M2377" s="16"/>
      <c r="AA2377" s="14">
        <f t="shared" si="74"/>
        <v>0</v>
      </c>
      <c r="AB2377" s="47">
        <f t="shared" si="75"/>
        <v>-1</v>
      </c>
      <c r="AD2377" s="53"/>
      <c r="AE2377" s="53"/>
      <c r="AF2377" s="53"/>
      <c r="AG2377" s="53"/>
    </row>
    <row r="2378" spans="1:33" s="46" customFormat="1">
      <c r="A2378" s="54"/>
      <c r="B2378" s="16"/>
      <c r="C2378" s="55"/>
      <c r="D2378" s="56"/>
      <c r="E2378" s="16"/>
      <c r="F2378" s="16"/>
      <c r="G2378" s="16"/>
      <c r="H2378" s="54"/>
      <c r="I2378" s="16"/>
      <c r="J2378" s="54"/>
      <c r="K2378" s="42"/>
      <c r="L2378" s="16"/>
      <c r="M2378" s="16"/>
      <c r="AA2378" s="14">
        <f t="shared" si="74"/>
        <v>0</v>
      </c>
      <c r="AB2378" s="47">
        <f t="shared" si="75"/>
        <v>-1</v>
      </c>
      <c r="AD2378" s="53"/>
      <c r="AE2378" s="53"/>
      <c r="AF2378" s="53"/>
      <c r="AG2378" s="53"/>
    </row>
    <row r="2379" spans="1:33" s="46" customFormat="1">
      <c r="A2379" s="54"/>
      <c r="B2379" s="16"/>
      <c r="C2379" s="55"/>
      <c r="D2379" s="56"/>
      <c r="E2379" s="16"/>
      <c r="F2379" s="16"/>
      <c r="G2379" s="16"/>
      <c r="H2379" s="54"/>
      <c r="I2379" s="16"/>
      <c r="J2379" s="54"/>
      <c r="K2379" s="42"/>
      <c r="L2379" s="16"/>
      <c r="M2379" s="16"/>
      <c r="AA2379" s="14">
        <f t="shared" si="74"/>
        <v>0</v>
      </c>
      <c r="AB2379" s="47">
        <f t="shared" si="75"/>
        <v>-1</v>
      </c>
      <c r="AD2379" s="53"/>
      <c r="AE2379" s="53"/>
      <c r="AF2379" s="53"/>
      <c r="AG2379" s="53"/>
    </row>
    <row r="2380" spans="1:33" s="46" customFormat="1">
      <c r="A2380" s="54"/>
      <c r="B2380" s="16"/>
      <c r="C2380" s="55"/>
      <c r="D2380" s="56"/>
      <c r="E2380" s="16"/>
      <c r="F2380" s="16"/>
      <c r="G2380" s="16"/>
      <c r="H2380" s="54"/>
      <c r="I2380" s="16"/>
      <c r="J2380" s="54"/>
      <c r="K2380" s="42"/>
      <c r="L2380" s="16"/>
      <c r="M2380" s="16"/>
      <c r="AA2380" s="14">
        <f t="shared" si="74"/>
        <v>0</v>
      </c>
      <c r="AB2380" s="47">
        <f t="shared" si="75"/>
        <v>-1</v>
      </c>
      <c r="AD2380" s="53"/>
      <c r="AE2380" s="53"/>
      <c r="AF2380" s="53"/>
      <c r="AG2380" s="53"/>
    </row>
    <row r="2381" spans="1:33" s="46" customFormat="1">
      <c r="A2381" s="54"/>
      <c r="B2381" s="16"/>
      <c r="C2381" s="55"/>
      <c r="D2381" s="56"/>
      <c r="E2381" s="16"/>
      <c r="F2381" s="16"/>
      <c r="G2381" s="16"/>
      <c r="H2381" s="54"/>
      <c r="I2381" s="16"/>
      <c r="J2381" s="54"/>
      <c r="K2381" s="42"/>
      <c r="L2381" s="16"/>
      <c r="M2381" s="16"/>
      <c r="AA2381" s="14">
        <f t="shared" si="74"/>
        <v>0</v>
      </c>
      <c r="AB2381" s="47">
        <f t="shared" si="75"/>
        <v>-1</v>
      </c>
      <c r="AD2381" s="53"/>
      <c r="AE2381" s="53"/>
      <c r="AF2381" s="53"/>
      <c r="AG2381" s="53"/>
    </row>
    <row r="2382" spans="1:33" s="46" customFormat="1">
      <c r="A2382" s="54"/>
      <c r="B2382" s="16"/>
      <c r="C2382" s="55"/>
      <c r="D2382" s="56"/>
      <c r="E2382" s="16"/>
      <c r="F2382" s="16"/>
      <c r="G2382" s="16"/>
      <c r="H2382" s="54"/>
      <c r="I2382" s="16"/>
      <c r="J2382" s="54"/>
      <c r="K2382" s="42"/>
      <c r="L2382" s="16"/>
      <c r="M2382" s="16"/>
      <c r="AA2382" s="14">
        <f t="shared" si="74"/>
        <v>0</v>
      </c>
      <c r="AB2382" s="47">
        <f t="shared" si="75"/>
        <v>-1</v>
      </c>
      <c r="AD2382" s="53"/>
      <c r="AE2382" s="53"/>
      <c r="AF2382" s="53"/>
      <c r="AG2382" s="53"/>
    </row>
    <row r="2383" spans="1:33" s="46" customFormat="1">
      <c r="A2383" s="54"/>
      <c r="B2383" s="16"/>
      <c r="C2383" s="55"/>
      <c r="D2383" s="56"/>
      <c r="E2383" s="16"/>
      <c r="F2383" s="16"/>
      <c r="G2383" s="16"/>
      <c r="H2383" s="54"/>
      <c r="I2383" s="16"/>
      <c r="J2383" s="54"/>
      <c r="K2383" s="42"/>
      <c r="L2383" s="16"/>
      <c r="M2383" s="16"/>
      <c r="AA2383" s="14">
        <f t="shared" si="74"/>
        <v>0</v>
      </c>
      <c r="AB2383" s="47">
        <f t="shared" si="75"/>
        <v>-1</v>
      </c>
      <c r="AD2383" s="53"/>
      <c r="AE2383" s="53"/>
      <c r="AF2383" s="53"/>
      <c r="AG2383" s="53"/>
    </row>
    <row r="2384" spans="1:33" s="46" customFormat="1">
      <c r="A2384" s="54"/>
      <c r="B2384" s="16"/>
      <c r="C2384" s="55"/>
      <c r="D2384" s="56"/>
      <c r="E2384" s="16"/>
      <c r="F2384" s="16"/>
      <c r="G2384" s="16"/>
      <c r="H2384" s="54"/>
      <c r="I2384" s="16"/>
      <c r="J2384" s="54"/>
      <c r="K2384" s="42"/>
      <c r="L2384" s="16"/>
      <c r="M2384" s="16"/>
      <c r="AA2384" s="14">
        <f t="shared" si="74"/>
        <v>0</v>
      </c>
      <c r="AB2384" s="47">
        <f t="shared" si="75"/>
        <v>-1</v>
      </c>
      <c r="AD2384" s="53"/>
      <c r="AE2384" s="53"/>
      <c r="AF2384" s="53"/>
      <c r="AG2384" s="53"/>
    </row>
    <row r="2385" spans="1:33" s="46" customFormat="1">
      <c r="A2385" s="54"/>
      <c r="B2385" s="16"/>
      <c r="C2385" s="55"/>
      <c r="D2385" s="56"/>
      <c r="E2385" s="16"/>
      <c r="F2385" s="16"/>
      <c r="G2385" s="16"/>
      <c r="H2385" s="54"/>
      <c r="I2385" s="16"/>
      <c r="J2385" s="54"/>
      <c r="K2385" s="42"/>
      <c r="L2385" s="16"/>
      <c r="M2385" s="16"/>
      <c r="AA2385" s="14">
        <f t="shared" si="74"/>
        <v>0</v>
      </c>
      <c r="AB2385" s="47">
        <f t="shared" si="75"/>
        <v>-1</v>
      </c>
      <c r="AD2385" s="53"/>
      <c r="AE2385" s="53"/>
      <c r="AF2385" s="53"/>
      <c r="AG2385" s="53"/>
    </row>
    <row r="2386" spans="1:33" s="46" customFormat="1">
      <c r="A2386" s="54"/>
      <c r="B2386" s="16"/>
      <c r="C2386" s="55"/>
      <c r="D2386" s="56"/>
      <c r="E2386" s="16"/>
      <c r="F2386" s="16"/>
      <c r="G2386" s="16"/>
      <c r="H2386" s="54"/>
      <c r="I2386" s="16"/>
      <c r="J2386" s="54"/>
      <c r="K2386" s="42"/>
      <c r="L2386" s="16"/>
      <c r="M2386" s="16"/>
      <c r="AA2386" s="14">
        <f t="shared" si="74"/>
        <v>0</v>
      </c>
      <c r="AB2386" s="47">
        <f t="shared" si="75"/>
        <v>-1</v>
      </c>
      <c r="AD2386" s="53"/>
      <c r="AE2386" s="53"/>
      <c r="AF2386" s="53"/>
      <c r="AG2386" s="53"/>
    </row>
    <row r="2387" spans="1:33" s="46" customFormat="1">
      <c r="A2387" s="54"/>
      <c r="B2387" s="16"/>
      <c r="C2387" s="55"/>
      <c r="D2387" s="56"/>
      <c r="E2387" s="16"/>
      <c r="F2387" s="16"/>
      <c r="G2387" s="16"/>
      <c r="H2387" s="54"/>
      <c r="I2387" s="16"/>
      <c r="J2387" s="54"/>
      <c r="K2387" s="42"/>
      <c r="L2387" s="16"/>
      <c r="M2387" s="16"/>
      <c r="AA2387" s="14">
        <f t="shared" si="74"/>
        <v>0</v>
      </c>
      <c r="AB2387" s="47">
        <f t="shared" si="75"/>
        <v>-1</v>
      </c>
      <c r="AD2387" s="53"/>
      <c r="AE2387" s="53"/>
      <c r="AF2387" s="53"/>
      <c r="AG2387" s="53"/>
    </row>
    <row r="2388" spans="1:33" s="46" customFormat="1">
      <c r="A2388" s="54"/>
      <c r="B2388" s="16"/>
      <c r="C2388" s="55"/>
      <c r="D2388" s="56"/>
      <c r="E2388" s="16"/>
      <c r="F2388" s="16"/>
      <c r="G2388" s="16"/>
      <c r="H2388" s="54"/>
      <c r="I2388" s="16"/>
      <c r="J2388" s="54"/>
      <c r="K2388" s="42"/>
      <c r="L2388" s="16"/>
      <c r="M2388" s="16"/>
      <c r="AA2388" s="14">
        <f t="shared" si="74"/>
        <v>0</v>
      </c>
      <c r="AB2388" s="47">
        <f t="shared" si="75"/>
        <v>-1</v>
      </c>
      <c r="AD2388" s="53"/>
      <c r="AE2388" s="53"/>
      <c r="AF2388" s="53"/>
      <c r="AG2388" s="53"/>
    </row>
    <row r="2389" spans="1:33" s="46" customFormat="1">
      <c r="A2389" s="54"/>
      <c r="B2389" s="16"/>
      <c r="C2389" s="55"/>
      <c r="D2389" s="56"/>
      <c r="E2389" s="16"/>
      <c r="F2389" s="16"/>
      <c r="G2389" s="16"/>
      <c r="H2389" s="54"/>
      <c r="I2389" s="16"/>
      <c r="J2389" s="54"/>
      <c r="K2389" s="42"/>
      <c r="L2389" s="16"/>
      <c r="M2389" s="16"/>
      <c r="AA2389" s="14">
        <f t="shared" si="74"/>
        <v>0</v>
      </c>
      <c r="AB2389" s="47">
        <f t="shared" si="75"/>
        <v>-1</v>
      </c>
      <c r="AD2389" s="53"/>
      <c r="AE2389" s="53"/>
      <c r="AF2389" s="53"/>
      <c r="AG2389" s="53"/>
    </row>
    <row r="2390" spans="1:33" s="46" customFormat="1">
      <c r="A2390" s="54"/>
      <c r="B2390" s="16"/>
      <c r="C2390" s="55"/>
      <c r="D2390" s="56"/>
      <c r="E2390" s="16"/>
      <c r="F2390" s="16"/>
      <c r="G2390" s="16"/>
      <c r="H2390" s="54"/>
      <c r="I2390" s="16"/>
      <c r="J2390" s="54"/>
      <c r="K2390" s="42"/>
      <c r="L2390" s="16"/>
      <c r="M2390" s="16"/>
      <c r="AA2390" s="14">
        <f t="shared" si="74"/>
        <v>0</v>
      </c>
      <c r="AB2390" s="47">
        <f t="shared" si="75"/>
        <v>-1</v>
      </c>
      <c r="AD2390" s="53"/>
      <c r="AE2390" s="53"/>
      <c r="AF2390" s="53"/>
      <c r="AG2390" s="53"/>
    </row>
    <row r="2391" spans="1:33" s="46" customFormat="1">
      <c r="A2391" s="54"/>
      <c r="B2391" s="16"/>
      <c r="C2391" s="55"/>
      <c r="D2391" s="56"/>
      <c r="E2391" s="16"/>
      <c r="F2391" s="16"/>
      <c r="G2391" s="16"/>
      <c r="H2391" s="54"/>
      <c r="I2391" s="16"/>
      <c r="J2391" s="54"/>
      <c r="K2391" s="42"/>
      <c r="L2391" s="16"/>
      <c r="M2391" s="16"/>
      <c r="AA2391" s="14">
        <f t="shared" si="74"/>
        <v>0</v>
      </c>
      <c r="AB2391" s="47">
        <f t="shared" si="75"/>
        <v>-1</v>
      </c>
      <c r="AD2391" s="53"/>
      <c r="AE2391" s="53"/>
      <c r="AF2391" s="53"/>
      <c r="AG2391" s="53"/>
    </row>
    <row r="2392" spans="1:33" s="46" customFormat="1">
      <c r="A2392" s="54"/>
      <c r="B2392" s="16"/>
      <c r="C2392" s="55"/>
      <c r="D2392" s="56"/>
      <c r="E2392" s="16"/>
      <c r="F2392" s="16"/>
      <c r="G2392" s="16"/>
      <c r="H2392" s="54"/>
      <c r="I2392" s="16"/>
      <c r="J2392" s="54"/>
      <c r="K2392" s="42"/>
      <c r="L2392" s="16"/>
      <c r="M2392" s="16"/>
      <c r="AA2392" s="14">
        <f t="shared" si="74"/>
        <v>0</v>
      </c>
      <c r="AB2392" s="47">
        <f t="shared" si="75"/>
        <v>-1</v>
      </c>
      <c r="AD2392" s="53"/>
      <c r="AE2392" s="53"/>
      <c r="AF2392" s="53"/>
      <c r="AG2392" s="53"/>
    </row>
    <row r="2393" spans="1:33" s="46" customFormat="1">
      <c r="A2393" s="54"/>
      <c r="B2393" s="16"/>
      <c r="C2393" s="55"/>
      <c r="D2393" s="56"/>
      <c r="E2393" s="16"/>
      <c r="F2393" s="16"/>
      <c r="G2393" s="16"/>
      <c r="H2393" s="54"/>
      <c r="I2393" s="16"/>
      <c r="J2393" s="54"/>
      <c r="K2393" s="42"/>
      <c r="L2393" s="16"/>
      <c r="M2393" s="16"/>
      <c r="AA2393" s="14">
        <f t="shared" si="74"/>
        <v>0</v>
      </c>
      <c r="AB2393" s="47">
        <f t="shared" si="75"/>
        <v>-1</v>
      </c>
      <c r="AD2393" s="53"/>
      <c r="AE2393" s="53"/>
      <c r="AF2393" s="53"/>
      <c r="AG2393" s="53"/>
    </row>
    <row r="2394" spans="1:33" s="46" customFormat="1">
      <c r="A2394" s="54"/>
      <c r="B2394" s="16"/>
      <c r="C2394" s="55"/>
      <c r="D2394" s="56"/>
      <c r="E2394" s="16"/>
      <c r="F2394" s="16"/>
      <c r="G2394" s="16"/>
      <c r="H2394" s="54"/>
      <c r="I2394" s="16"/>
      <c r="J2394" s="54"/>
      <c r="K2394" s="42"/>
      <c r="L2394" s="16"/>
      <c r="M2394" s="16"/>
      <c r="AA2394" s="14">
        <f t="shared" si="74"/>
        <v>0</v>
      </c>
      <c r="AB2394" s="47">
        <f t="shared" si="75"/>
        <v>-1</v>
      </c>
      <c r="AD2394" s="53"/>
      <c r="AE2394" s="53"/>
      <c r="AF2394" s="53"/>
      <c r="AG2394" s="53"/>
    </row>
    <row r="2395" spans="1:33" s="46" customFormat="1">
      <c r="A2395" s="54"/>
      <c r="B2395" s="16"/>
      <c r="C2395" s="55"/>
      <c r="D2395" s="56"/>
      <c r="E2395" s="16"/>
      <c r="F2395" s="16"/>
      <c r="G2395" s="16"/>
      <c r="H2395" s="54"/>
      <c r="I2395" s="16"/>
      <c r="J2395" s="54"/>
      <c r="K2395" s="42"/>
      <c r="L2395" s="16"/>
      <c r="M2395" s="16"/>
      <c r="AA2395" s="14">
        <f t="shared" si="74"/>
        <v>0</v>
      </c>
      <c r="AB2395" s="47">
        <f t="shared" si="75"/>
        <v>-1</v>
      </c>
      <c r="AD2395" s="53"/>
      <c r="AE2395" s="53"/>
      <c r="AF2395" s="53"/>
      <c r="AG2395" s="53"/>
    </row>
    <row r="2396" spans="1:33" s="46" customFormat="1">
      <c r="A2396" s="54"/>
      <c r="B2396" s="16"/>
      <c r="C2396" s="55"/>
      <c r="D2396" s="56"/>
      <c r="E2396" s="16"/>
      <c r="F2396" s="16"/>
      <c r="G2396" s="16"/>
      <c r="H2396" s="54"/>
      <c r="I2396" s="16"/>
      <c r="J2396" s="54"/>
      <c r="K2396" s="42"/>
      <c r="L2396" s="16"/>
      <c r="M2396" s="16"/>
      <c r="AA2396" s="14">
        <f t="shared" si="74"/>
        <v>0</v>
      </c>
      <c r="AB2396" s="47">
        <f t="shared" si="75"/>
        <v>-1</v>
      </c>
      <c r="AD2396" s="53"/>
      <c r="AE2396" s="53"/>
      <c r="AF2396" s="53"/>
      <c r="AG2396" s="53"/>
    </row>
    <row r="2397" spans="1:33" s="46" customFormat="1">
      <c r="A2397" s="54"/>
      <c r="B2397" s="16"/>
      <c r="C2397" s="55"/>
      <c r="D2397" s="56"/>
      <c r="E2397" s="16"/>
      <c r="F2397" s="16"/>
      <c r="G2397" s="16"/>
      <c r="H2397" s="54"/>
      <c r="I2397" s="16"/>
      <c r="J2397" s="54"/>
      <c r="K2397" s="42"/>
      <c r="L2397" s="16"/>
      <c r="M2397" s="16"/>
      <c r="AA2397" s="14">
        <f t="shared" si="74"/>
        <v>0</v>
      </c>
      <c r="AB2397" s="47">
        <f t="shared" si="75"/>
        <v>-1</v>
      </c>
      <c r="AD2397" s="53"/>
      <c r="AE2397" s="53"/>
      <c r="AF2397" s="53"/>
      <c r="AG2397" s="53"/>
    </row>
    <row r="2398" spans="1:33" s="46" customFormat="1">
      <c r="A2398" s="54"/>
      <c r="B2398" s="16"/>
      <c r="C2398" s="55"/>
      <c r="D2398" s="56"/>
      <c r="E2398" s="16"/>
      <c r="F2398" s="16"/>
      <c r="G2398" s="16"/>
      <c r="H2398" s="54"/>
      <c r="I2398" s="16"/>
      <c r="J2398" s="54"/>
      <c r="K2398" s="42"/>
      <c r="L2398" s="16"/>
      <c r="M2398" s="16"/>
      <c r="AA2398" s="14">
        <f t="shared" si="74"/>
        <v>0</v>
      </c>
      <c r="AB2398" s="47">
        <f t="shared" si="75"/>
        <v>-1</v>
      </c>
      <c r="AD2398" s="53"/>
      <c r="AE2398" s="53"/>
      <c r="AF2398" s="53"/>
      <c r="AG2398" s="53"/>
    </row>
    <row r="2399" spans="1:33" s="46" customFormat="1">
      <c r="A2399" s="54"/>
      <c r="B2399" s="16"/>
      <c r="C2399" s="55"/>
      <c r="D2399" s="56"/>
      <c r="E2399" s="16"/>
      <c r="F2399" s="16"/>
      <c r="G2399" s="16"/>
      <c r="H2399" s="54"/>
      <c r="I2399" s="16"/>
      <c r="J2399" s="54"/>
      <c r="K2399" s="42"/>
      <c r="L2399" s="16"/>
      <c r="M2399" s="16"/>
      <c r="AA2399" s="14">
        <f t="shared" si="74"/>
        <v>0</v>
      </c>
      <c r="AB2399" s="47">
        <f t="shared" si="75"/>
        <v>-1</v>
      </c>
      <c r="AD2399" s="53"/>
      <c r="AE2399" s="53"/>
      <c r="AF2399" s="53"/>
      <c r="AG2399" s="53"/>
    </row>
    <row r="2400" spans="1:33" s="46" customFormat="1">
      <c r="A2400" s="54"/>
      <c r="B2400" s="16"/>
      <c r="C2400" s="55"/>
      <c r="D2400" s="56"/>
      <c r="E2400" s="16"/>
      <c r="F2400" s="16"/>
      <c r="G2400" s="16"/>
      <c r="H2400" s="54"/>
      <c r="I2400" s="16"/>
      <c r="J2400" s="54"/>
      <c r="K2400" s="42"/>
      <c r="L2400" s="16"/>
      <c r="M2400" s="16"/>
      <c r="AA2400" s="14">
        <f t="shared" si="74"/>
        <v>0</v>
      </c>
      <c r="AB2400" s="47">
        <f t="shared" si="75"/>
        <v>-1</v>
      </c>
      <c r="AD2400" s="53"/>
      <c r="AE2400" s="53"/>
      <c r="AF2400" s="53"/>
      <c r="AG2400" s="53"/>
    </row>
    <row r="2401" spans="1:33" s="46" customFormat="1">
      <c r="A2401" s="54"/>
      <c r="B2401" s="16"/>
      <c r="C2401" s="55"/>
      <c r="D2401" s="56"/>
      <c r="E2401" s="16"/>
      <c r="F2401" s="16"/>
      <c r="G2401" s="16"/>
      <c r="H2401" s="54"/>
      <c r="I2401" s="16"/>
      <c r="J2401" s="54"/>
      <c r="K2401" s="42"/>
      <c r="L2401" s="16"/>
      <c r="M2401" s="16"/>
      <c r="AA2401" s="14">
        <f t="shared" si="74"/>
        <v>0</v>
      </c>
      <c r="AB2401" s="47">
        <f t="shared" si="75"/>
        <v>-1</v>
      </c>
      <c r="AD2401" s="53"/>
      <c r="AE2401" s="53"/>
      <c r="AF2401" s="53"/>
      <c r="AG2401" s="53"/>
    </row>
    <row r="2402" spans="1:33" s="46" customFormat="1">
      <c r="A2402" s="54"/>
      <c r="B2402" s="16"/>
      <c r="C2402" s="55"/>
      <c r="D2402" s="56"/>
      <c r="E2402" s="16"/>
      <c r="F2402" s="16"/>
      <c r="G2402" s="16"/>
      <c r="H2402" s="54"/>
      <c r="I2402" s="16"/>
      <c r="J2402" s="54"/>
      <c r="K2402" s="42"/>
      <c r="L2402" s="16"/>
      <c r="M2402" s="16"/>
      <c r="AA2402" s="14">
        <f t="shared" si="74"/>
        <v>0</v>
      </c>
      <c r="AB2402" s="47">
        <f t="shared" si="75"/>
        <v>-1</v>
      </c>
      <c r="AD2402" s="53"/>
      <c r="AE2402" s="53"/>
      <c r="AF2402" s="53"/>
      <c r="AG2402" s="53"/>
    </row>
    <row r="2403" spans="1:33" s="46" customFormat="1">
      <c r="A2403" s="54"/>
      <c r="B2403" s="16"/>
      <c r="C2403" s="55"/>
      <c r="D2403" s="56"/>
      <c r="E2403" s="16"/>
      <c r="F2403" s="16"/>
      <c r="G2403" s="16"/>
      <c r="H2403" s="54"/>
      <c r="I2403" s="16"/>
      <c r="J2403" s="54"/>
      <c r="K2403" s="42"/>
      <c r="L2403" s="16"/>
      <c r="M2403" s="16"/>
      <c r="AA2403" s="14">
        <f t="shared" si="74"/>
        <v>0</v>
      </c>
      <c r="AB2403" s="47">
        <f t="shared" si="75"/>
        <v>-1</v>
      </c>
      <c r="AD2403" s="53"/>
      <c r="AE2403" s="53"/>
      <c r="AF2403" s="53"/>
      <c r="AG2403" s="53"/>
    </row>
    <row r="2404" spans="1:33" s="46" customFormat="1">
      <c r="A2404" s="54"/>
      <c r="B2404" s="16"/>
      <c r="C2404" s="55"/>
      <c r="D2404" s="56"/>
      <c r="E2404" s="16"/>
      <c r="F2404" s="16"/>
      <c r="G2404" s="16"/>
      <c r="H2404" s="54"/>
      <c r="I2404" s="16"/>
      <c r="J2404" s="54"/>
      <c r="K2404" s="42"/>
      <c r="L2404" s="16"/>
      <c r="M2404" s="16"/>
      <c r="AA2404" s="14">
        <f t="shared" si="74"/>
        <v>0</v>
      </c>
      <c r="AB2404" s="47">
        <f t="shared" si="75"/>
        <v>-1</v>
      </c>
      <c r="AD2404" s="53"/>
      <c r="AE2404" s="53"/>
      <c r="AF2404" s="53"/>
      <c r="AG2404" s="53"/>
    </row>
    <row r="2405" spans="1:33" s="46" customFormat="1">
      <c r="A2405" s="54"/>
      <c r="B2405" s="16"/>
      <c r="C2405" s="55"/>
      <c r="D2405" s="56"/>
      <c r="E2405" s="16"/>
      <c r="F2405" s="16"/>
      <c r="G2405" s="16"/>
      <c r="H2405" s="54"/>
      <c r="I2405" s="16"/>
      <c r="J2405" s="54"/>
      <c r="K2405" s="42"/>
      <c r="L2405" s="16"/>
      <c r="M2405" s="16"/>
      <c r="AA2405" s="14">
        <f t="shared" si="74"/>
        <v>0</v>
      </c>
      <c r="AB2405" s="47">
        <f t="shared" si="75"/>
        <v>-1</v>
      </c>
      <c r="AD2405" s="53"/>
      <c r="AE2405" s="53"/>
      <c r="AF2405" s="53"/>
      <c r="AG2405" s="53"/>
    </row>
    <row r="2406" spans="1:33" s="46" customFormat="1">
      <c r="A2406" s="54"/>
      <c r="B2406" s="16"/>
      <c r="C2406" s="55"/>
      <c r="D2406" s="56"/>
      <c r="E2406" s="16"/>
      <c r="F2406" s="16"/>
      <c r="G2406" s="16"/>
      <c r="H2406" s="54"/>
      <c r="I2406" s="16"/>
      <c r="J2406" s="54"/>
      <c r="K2406" s="42"/>
      <c r="L2406" s="16"/>
      <c r="M2406" s="16"/>
      <c r="AA2406" s="14">
        <f t="shared" si="74"/>
        <v>0</v>
      </c>
      <c r="AB2406" s="47">
        <f t="shared" si="75"/>
        <v>-1</v>
      </c>
      <c r="AD2406" s="53"/>
      <c r="AE2406" s="53"/>
      <c r="AF2406" s="53"/>
      <c r="AG2406" s="53"/>
    </row>
    <row r="2407" spans="1:33" s="46" customFormat="1">
      <c r="A2407" s="54"/>
      <c r="B2407" s="16"/>
      <c r="C2407" s="55"/>
      <c r="D2407" s="56"/>
      <c r="E2407" s="16"/>
      <c r="F2407" s="16"/>
      <c r="G2407" s="16"/>
      <c r="H2407" s="54"/>
      <c r="I2407" s="16"/>
      <c r="J2407" s="54"/>
      <c r="K2407" s="42"/>
      <c r="L2407" s="16"/>
      <c r="M2407" s="16"/>
      <c r="AA2407" s="14">
        <f t="shared" si="74"/>
        <v>0</v>
      </c>
      <c r="AB2407" s="47">
        <f t="shared" si="75"/>
        <v>-1</v>
      </c>
      <c r="AD2407" s="53"/>
      <c r="AE2407" s="53"/>
      <c r="AF2407" s="53"/>
      <c r="AG2407" s="53"/>
    </row>
    <row r="2408" spans="1:33" s="46" customFormat="1">
      <c r="A2408" s="54"/>
      <c r="B2408" s="16"/>
      <c r="C2408" s="55"/>
      <c r="D2408" s="56"/>
      <c r="E2408" s="16"/>
      <c r="F2408" s="16"/>
      <c r="G2408" s="16"/>
      <c r="H2408" s="54"/>
      <c r="I2408" s="16"/>
      <c r="J2408" s="54"/>
      <c r="K2408" s="42"/>
      <c r="L2408" s="16"/>
      <c r="M2408" s="16"/>
      <c r="AA2408" s="14">
        <f t="shared" ref="AA2408:AA2471" si="76">C2408-C2407</f>
        <v>0</v>
      </c>
      <c r="AB2408" s="47">
        <f t="shared" ref="AB2408:AB2471" si="77">AA2408-1</f>
        <v>-1</v>
      </c>
      <c r="AD2408" s="53"/>
      <c r="AE2408" s="53"/>
      <c r="AF2408" s="53"/>
      <c r="AG2408" s="53"/>
    </row>
    <row r="2409" spans="1:33" s="46" customFormat="1">
      <c r="A2409" s="54"/>
      <c r="B2409" s="16"/>
      <c r="C2409" s="55"/>
      <c r="D2409" s="56"/>
      <c r="E2409" s="16"/>
      <c r="F2409" s="16"/>
      <c r="G2409" s="16"/>
      <c r="H2409" s="54"/>
      <c r="I2409" s="16"/>
      <c r="J2409" s="54"/>
      <c r="K2409" s="42"/>
      <c r="L2409" s="16"/>
      <c r="M2409" s="16"/>
      <c r="AA2409" s="14">
        <f t="shared" si="76"/>
        <v>0</v>
      </c>
      <c r="AB2409" s="47">
        <f t="shared" si="77"/>
        <v>-1</v>
      </c>
      <c r="AD2409" s="53"/>
      <c r="AE2409" s="53"/>
      <c r="AF2409" s="53"/>
      <c r="AG2409" s="53"/>
    </row>
    <row r="2410" spans="1:33" s="46" customFormat="1">
      <c r="A2410" s="54"/>
      <c r="B2410" s="16"/>
      <c r="C2410" s="55"/>
      <c r="D2410" s="56"/>
      <c r="E2410" s="16"/>
      <c r="F2410" s="16"/>
      <c r="G2410" s="16"/>
      <c r="H2410" s="54"/>
      <c r="I2410" s="16"/>
      <c r="J2410" s="54"/>
      <c r="K2410" s="42"/>
      <c r="L2410" s="16"/>
      <c r="M2410" s="16"/>
      <c r="AA2410" s="14">
        <f t="shared" si="76"/>
        <v>0</v>
      </c>
      <c r="AB2410" s="47">
        <f t="shared" si="77"/>
        <v>-1</v>
      </c>
      <c r="AD2410" s="53"/>
      <c r="AE2410" s="53"/>
      <c r="AF2410" s="53"/>
      <c r="AG2410" s="53"/>
    </row>
    <row r="2411" spans="1:33" s="46" customFormat="1">
      <c r="A2411" s="54"/>
      <c r="B2411" s="16"/>
      <c r="C2411" s="55"/>
      <c r="D2411" s="56"/>
      <c r="E2411" s="16"/>
      <c r="F2411" s="16"/>
      <c r="G2411" s="16"/>
      <c r="H2411" s="54"/>
      <c r="I2411" s="16"/>
      <c r="J2411" s="54"/>
      <c r="K2411" s="42"/>
      <c r="L2411" s="16"/>
      <c r="M2411" s="16"/>
      <c r="AA2411" s="14">
        <f t="shared" si="76"/>
        <v>0</v>
      </c>
      <c r="AB2411" s="47">
        <f t="shared" si="77"/>
        <v>-1</v>
      </c>
      <c r="AD2411" s="53"/>
      <c r="AE2411" s="53"/>
      <c r="AF2411" s="53"/>
      <c r="AG2411" s="53"/>
    </row>
    <row r="2412" spans="1:33" s="46" customFormat="1">
      <c r="A2412" s="54"/>
      <c r="B2412" s="16"/>
      <c r="C2412" s="55"/>
      <c r="D2412" s="56"/>
      <c r="E2412" s="16"/>
      <c r="F2412" s="16"/>
      <c r="G2412" s="16"/>
      <c r="H2412" s="54"/>
      <c r="I2412" s="16"/>
      <c r="J2412" s="54"/>
      <c r="K2412" s="42"/>
      <c r="L2412" s="16"/>
      <c r="M2412" s="16"/>
      <c r="AA2412" s="14">
        <f t="shared" si="76"/>
        <v>0</v>
      </c>
      <c r="AB2412" s="47">
        <f t="shared" si="77"/>
        <v>-1</v>
      </c>
      <c r="AD2412" s="53"/>
      <c r="AE2412" s="53"/>
      <c r="AF2412" s="53"/>
      <c r="AG2412" s="53"/>
    </row>
    <row r="2413" spans="1:33" s="46" customFormat="1">
      <c r="A2413" s="54"/>
      <c r="B2413" s="16"/>
      <c r="C2413" s="55"/>
      <c r="D2413" s="56"/>
      <c r="E2413" s="16"/>
      <c r="F2413" s="16"/>
      <c r="G2413" s="16"/>
      <c r="H2413" s="54"/>
      <c r="I2413" s="16"/>
      <c r="J2413" s="54"/>
      <c r="K2413" s="42"/>
      <c r="L2413" s="16"/>
      <c r="M2413" s="16"/>
      <c r="AA2413" s="14">
        <f t="shared" si="76"/>
        <v>0</v>
      </c>
      <c r="AB2413" s="47">
        <f t="shared" si="77"/>
        <v>-1</v>
      </c>
      <c r="AD2413" s="53"/>
      <c r="AE2413" s="53"/>
      <c r="AF2413" s="53"/>
      <c r="AG2413" s="53"/>
    </row>
    <row r="2414" spans="1:33" s="46" customFormat="1">
      <c r="A2414" s="54"/>
      <c r="B2414" s="16"/>
      <c r="C2414" s="55"/>
      <c r="D2414" s="56"/>
      <c r="E2414" s="16"/>
      <c r="F2414" s="16"/>
      <c r="G2414" s="16"/>
      <c r="H2414" s="54"/>
      <c r="I2414" s="16"/>
      <c r="J2414" s="54"/>
      <c r="K2414" s="42"/>
      <c r="L2414" s="16"/>
      <c r="M2414" s="16"/>
      <c r="AA2414" s="14">
        <f t="shared" si="76"/>
        <v>0</v>
      </c>
      <c r="AB2414" s="47">
        <f t="shared" si="77"/>
        <v>-1</v>
      </c>
      <c r="AD2414" s="53"/>
      <c r="AE2414" s="53"/>
      <c r="AF2414" s="53"/>
      <c r="AG2414" s="53"/>
    </row>
    <row r="2415" spans="1:33" s="46" customFormat="1">
      <c r="A2415" s="54"/>
      <c r="B2415" s="16"/>
      <c r="C2415" s="55"/>
      <c r="D2415" s="56"/>
      <c r="E2415" s="16"/>
      <c r="F2415" s="16"/>
      <c r="G2415" s="16"/>
      <c r="H2415" s="54"/>
      <c r="I2415" s="16"/>
      <c r="J2415" s="54"/>
      <c r="K2415" s="42"/>
      <c r="L2415" s="16"/>
      <c r="M2415" s="16"/>
      <c r="AA2415" s="14">
        <f t="shared" si="76"/>
        <v>0</v>
      </c>
      <c r="AB2415" s="47">
        <f t="shared" si="77"/>
        <v>-1</v>
      </c>
      <c r="AD2415" s="53"/>
      <c r="AE2415" s="53"/>
      <c r="AF2415" s="53"/>
      <c r="AG2415" s="53"/>
    </row>
    <row r="2416" spans="1:33" s="46" customFormat="1">
      <c r="A2416" s="54"/>
      <c r="B2416" s="16"/>
      <c r="C2416" s="55"/>
      <c r="D2416" s="56"/>
      <c r="E2416" s="16"/>
      <c r="F2416" s="16"/>
      <c r="G2416" s="16"/>
      <c r="H2416" s="54"/>
      <c r="I2416" s="16"/>
      <c r="J2416" s="54"/>
      <c r="K2416" s="42"/>
      <c r="L2416" s="16"/>
      <c r="M2416" s="16"/>
      <c r="AA2416" s="14">
        <f t="shared" si="76"/>
        <v>0</v>
      </c>
      <c r="AB2416" s="47">
        <f t="shared" si="77"/>
        <v>-1</v>
      </c>
      <c r="AD2416" s="53"/>
      <c r="AE2416" s="53"/>
      <c r="AF2416" s="53"/>
      <c r="AG2416" s="53"/>
    </row>
    <row r="2417" spans="1:33" s="46" customFormat="1">
      <c r="A2417" s="54"/>
      <c r="B2417" s="16"/>
      <c r="C2417" s="55"/>
      <c r="D2417" s="56"/>
      <c r="E2417" s="16"/>
      <c r="F2417" s="16"/>
      <c r="G2417" s="16"/>
      <c r="H2417" s="54"/>
      <c r="I2417" s="16"/>
      <c r="J2417" s="54"/>
      <c r="K2417" s="42"/>
      <c r="L2417" s="16"/>
      <c r="M2417" s="16"/>
      <c r="AA2417" s="14">
        <f t="shared" si="76"/>
        <v>0</v>
      </c>
      <c r="AB2417" s="47">
        <f t="shared" si="77"/>
        <v>-1</v>
      </c>
      <c r="AD2417" s="53"/>
      <c r="AE2417" s="53"/>
      <c r="AF2417" s="53"/>
      <c r="AG2417" s="53"/>
    </row>
    <row r="2418" spans="1:33" s="46" customFormat="1">
      <c r="A2418" s="54"/>
      <c r="B2418" s="16"/>
      <c r="C2418" s="55"/>
      <c r="D2418" s="56"/>
      <c r="E2418" s="16"/>
      <c r="F2418" s="16"/>
      <c r="G2418" s="16"/>
      <c r="H2418" s="54"/>
      <c r="I2418" s="16"/>
      <c r="J2418" s="54"/>
      <c r="K2418" s="42"/>
      <c r="L2418" s="16"/>
      <c r="M2418" s="16"/>
      <c r="AA2418" s="14">
        <f t="shared" si="76"/>
        <v>0</v>
      </c>
      <c r="AB2418" s="47">
        <f t="shared" si="77"/>
        <v>-1</v>
      </c>
      <c r="AD2418" s="53"/>
      <c r="AE2418" s="53"/>
      <c r="AF2418" s="53"/>
      <c r="AG2418" s="53"/>
    </row>
    <row r="2419" spans="1:33" s="46" customFormat="1">
      <c r="A2419" s="54"/>
      <c r="B2419" s="16"/>
      <c r="C2419" s="55"/>
      <c r="D2419" s="56"/>
      <c r="E2419" s="16"/>
      <c r="F2419" s="16"/>
      <c r="G2419" s="16"/>
      <c r="H2419" s="54"/>
      <c r="I2419" s="16"/>
      <c r="J2419" s="54"/>
      <c r="K2419" s="42"/>
      <c r="L2419" s="16"/>
      <c r="M2419" s="16"/>
      <c r="AA2419" s="14">
        <f t="shared" si="76"/>
        <v>0</v>
      </c>
      <c r="AB2419" s="47">
        <f t="shared" si="77"/>
        <v>-1</v>
      </c>
      <c r="AD2419" s="53"/>
      <c r="AE2419" s="53"/>
      <c r="AF2419" s="53"/>
      <c r="AG2419" s="53"/>
    </row>
    <row r="2420" spans="1:33" s="46" customFormat="1">
      <c r="A2420" s="54"/>
      <c r="B2420" s="16"/>
      <c r="C2420" s="55"/>
      <c r="D2420" s="56"/>
      <c r="E2420" s="16"/>
      <c r="F2420" s="16"/>
      <c r="G2420" s="16"/>
      <c r="H2420" s="54"/>
      <c r="I2420" s="16"/>
      <c r="J2420" s="54"/>
      <c r="K2420" s="42"/>
      <c r="L2420" s="16"/>
      <c r="M2420" s="16"/>
      <c r="AA2420" s="14">
        <f t="shared" si="76"/>
        <v>0</v>
      </c>
      <c r="AB2420" s="47">
        <f t="shared" si="77"/>
        <v>-1</v>
      </c>
      <c r="AD2420" s="53"/>
      <c r="AE2420" s="53"/>
      <c r="AF2420" s="53"/>
      <c r="AG2420" s="53"/>
    </row>
    <row r="2421" spans="1:33" s="46" customFormat="1">
      <c r="A2421" s="54"/>
      <c r="B2421" s="16"/>
      <c r="C2421" s="55"/>
      <c r="D2421" s="56"/>
      <c r="E2421" s="16"/>
      <c r="F2421" s="16"/>
      <c r="G2421" s="16"/>
      <c r="H2421" s="54"/>
      <c r="I2421" s="16"/>
      <c r="J2421" s="54"/>
      <c r="K2421" s="42"/>
      <c r="L2421" s="16"/>
      <c r="M2421" s="16"/>
      <c r="AA2421" s="14">
        <f t="shared" si="76"/>
        <v>0</v>
      </c>
      <c r="AB2421" s="47">
        <f t="shared" si="77"/>
        <v>-1</v>
      </c>
      <c r="AD2421" s="53"/>
      <c r="AE2421" s="53"/>
      <c r="AF2421" s="53"/>
      <c r="AG2421" s="53"/>
    </row>
    <row r="2422" spans="1:33" s="46" customFormat="1">
      <c r="A2422" s="54"/>
      <c r="B2422" s="16"/>
      <c r="C2422" s="55"/>
      <c r="D2422" s="56"/>
      <c r="E2422" s="16"/>
      <c r="F2422" s="16"/>
      <c r="G2422" s="16"/>
      <c r="H2422" s="54"/>
      <c r="I2422" s="16"/>
      <c r="J2422" s="54"/>
      <c r="K2422" s="42"/>
      <c r="L2422" s="16"/>
      <c r="M2422" s="16"/>
      <c r="AA2422" s="14">
        <f t="shared" si="76"/>
        <v>0</v>
      </c>
      <c r="AB2422" s="47">
        <f t="shared" si="77"/>
        <v>-1</v>
      </c>
      <c r="AD2422" s="53"/>
      <c r="AE2422" s="53"/>
      <c r="AF2422" s="53"/>
      <c r="AG2422" s="53"/>
    </row>
    <row r="2423" spans="1:33" s="46" customFormat="1">
      <c r="A2423" s="54"/>
      <c r="B2423" s="16"/>
      <c r="C2423" s="55"/>
      <c r="D2423" s="56"/>
      <c r="E2423" s="16"/>
      <c r="F2423" s="16"/>
      <c r="G2423" s="16"/>
      <c r="H2423" s="54"/>
      <c r="I2423" s="16"/>
      <c r="J2423" s="54"/>
      <c r="K2423" s="42"/>
      <c r="L2423" s="16"/>
      <c r="M2423" s="16"/>
      <c r="AA2423" s="14">
        <f t="shared" si="76"/>
        <v>0</v>
      </c>
      <c r="AB2423" s="47">
        <f t="shared" si="77"/>
        <v>-1</v>
      </c>
      <c r="AD2423" s="53"/>
      <c r="AE2423" s="53"/>
      <c r="AF2423" s="53"/>
      <c r="AG2423" s="53"/>
    </row>
    <row r="2424" spans="1:33" s="46" customFormat="1">
      <c r="A2424" s="54"/>
      <c r="B2424" s="16"/>
      <c r="C2424" s="55"/>
      <c r="D2424" s="56"/>
      <c r="E2424" s="16"/>
      <c r="F2424" s="16"/>
      <c r="G2424" s="16"/>
      <c r="H2424" s="54"/>
      <c r="I2424" s="16"/>
      <c r="J2424" s="54"/>
      <c r="K2424" s="42"/>
      <c r="L2424" s="16"/>
      <c r="M2424" s="16"/>
      <c r="AA2424" s="14">
        <f t="shared" si="76"/>
        <v>0</v>
      </c>
      <c r="AB2424" s="47">
        <f t="shared" si="77"/>
        <v>-1</v>
      </c>
      <c r="AD2424" s="53"/>
      <c r="AE2424" s="53"/>
      <c r="AF2424" s="53"/>
      <c r="AG2424" s="53"/>
    </row>
    <row r="2425" spans="1:33" s="46" customFormat="1">
      <c r="A2425" s="54"/>
      <c r="B2425" s="16"/>
      <c r="C2425" s="55"/>
      <c r="D2425" s="56"/>
      <c r="E2425" s="16"/>
      <c r="F2425" s="16"/>
      <c r="G2425" s="16"/>
      <c r="H2425" s="54"/>
      <c r="I2425" s="16"/>
      <c r="J2425" s="54"/>
      <c r="K2425" s="42"/>
      <c r="L2425" s="16"/>
      <c r="M2425" s="16"/>
      <c r="AA2425" s="14">
        <f t="shared" si="76"/>
        <v>0</v>
      </c>
      <c r="AB2425" s="47">
        <f t="shared" si="77"/>
        <v>-1</v>
      </c>
      <c r="AD2425" s="53"/>
      <c r="AE2425" s="53"/>
      <c r="AF2425" s="53"/>
      <c r="AG2425" s="53"/>
    </row>
    <row r="2426" spans="1:33" s="46" customFormat="1">
      <c r="A2426" s="54"/>
      <c r="B2426" s="16"/>
      <c r="C2426" s="55"/>
      <c r="D2426" s="56"/>
      <c r="E2426" s="16"/>
      <c r="F2426" s="16"/>
      <c r="G2426" s="16"/>
      <c r="H2426" s="54"/>
      <c r="I2426" s="16"/>
      <c r="J2426" s="54"/>
      <c r="K2426" s="42"/>
      <c r="L2426" s="16"/>
      <c r="M2426" s="16"/>
      <c r="AA2426" s="14">
        <f t="shared" si="76"/>
        <v>0</v>
      </c>
      <c r="AB2426" s="47">
        <f t="shared" si="77"/>
        <v>-1</v>
      </c>
      <c r="AD2426" s="53"/>
      <c r="AE2426" s="53"/>
      <c r="AF2426" s="53"/>
      <c r="AG2426" s="53"/>
    </row>
    <row r="2427" spans="1:33" s="46" customFormat="1">
      <c r="A2427" s="54"/>
      <c r="B2427" s="16"/>
      <c r="C2427" s="55"/>
      <c r="D2427" s="56"/>
      <c r="E2427" s="16"/>
      <c r="F2427" s="16"/>
      <c r="G2427" s="16"/>
      <c r="H2427" s="54"/>
      <c r="I2427" s="16"/>
      <c r="J2427" s="54"/>
      <c r="K2427" s="42"/>
      <c r="L2427" s="16"/>
      <c r="M2427" s="16"/>
      <c r="AA2427" s="14">
        <f t="shared" si="76"/>
        <v>0</v>
      </c>
      <c r="AB2427" s="47">
        <f t="shared" si="77"/>
        <v>-1</v>
      </c>
      <c r="AD2427" s="53"/>
      <c r="AE2427" s="53"/>
      <c r="AF2427" s="53"/>
      <c r="AG2427" s="53"/>
    </row>
    <row r="2428" spans="1:33" s="46" customFormat="1">
      <c r="A2428" s="54"/>
      <c r="B2428" s="16"/>
      <c r="C2428" s="55"/>
      <c r="D2428" s="56"/>
      <c r="E2428" s="16"/>
      <c r="F2428" s="16"/>
      <c r="G2428" s="16"/>
      <c r="H2428" s="54"/>
      <c r="I2428" s="16"/>
      <c r="J2428" s="54"/>
      <c r="K2428" s="42"/>
      <c r="L2428" s="16"/>
      <c r="M2428" s="16"/>
      <c r="AA2428" s="14">
        <f t="shared" si="76"/>
        <v>0</v>
      </c>
      <c r="AB2428" s="47">
        <f t="shared" si="77"/>
        <v>-1</v>
      </c>
      <c r="AD2428" s="53"/>
      <c r="AE2428" s="53"/>
      <c r="AF2428" s="53"/>
      <c r="AG2428" s="53"/>
    </row>
    <row r="2429" spans="1:33" s="46" customFormat="1">
      <c r="A2429" s="54"/>
      <c r="B2429" s="16"/>
      <c r="C2429" s="55"/>
      <c r="D2429" s="56"/>
      <c r="E2429" s="16"/>
      <c r="F2429" s="16"/>
      <c r="G2429" s="16"/>
      <c r="H2429" s="54"/>
      <c r="I2429" s="16"/>
      <c r="J2429" s="54"/>
      <c r="K2429" s="42"/>
      <c r="L2429" s="16"/>
      <c r="M2429" s="16"/>
      <c r="AA2429" s="14">
        <f t="shared" si="76"/>
        <v>0</v>
      </c>
      <c r="AB2429" s="47">
        <f t="shared" si="77"/>
        <v>-1</v>
      </c>
      <c r="AD2429" s="53"/>
      <c r="AE2429" s="53"/>
      <c r="AF2429" s="53"/>
      <c r="AG2429" s="53"/>
    </row>
    <row r="2430" spans="1:33" s="46" customFormat="1">
      <c r="A2430" s="54"/>
      <c r="B2430" s="16"/>
      <c r="C2430" s="55"/>
      <c r="D2430" s="56"/>
      <c r="E2430" s="16"/>
      <c r="F2430" s="16"/>
      <c r="G2430" s="16"/>
      <c r="H2430" s="54"/>
      <c r="I2430" s="16"/>
      <c r="J2430" s="54"/>
      <c r="K2430" s="42"/>
      <c r="L2430" s="16"/>
      <c r="M2430" s="16"/>
      <c r="AA2430" s="14">
        <f t="shared" si="76"/>
        <v>0</v>
      </c>
      <c r="AB2430" s="47">
        <f t="shared" si="77"/>
        <v>-1</v>
      </c>
      <c r="AD2430" s="53"/>
      <c r="AE2430" s="53"/>
      <c r="AF2430" s="53"/>
      <c r="AG2430" s="53"/>
    </row>
    <row r="2431" spans="1:33" s="46" customFormat="1">
      <c r="A2431" s="54"/>
      <c r="B2431" s="16"/>
      <c r="C2431" s="55"/>
      <c r="D2431" s="56"/>
      <c r="E2431" s="16"/>
      <c r="F2431" s="16"/>
      <c r="G2431" s="16"/>
      <c r="H2431" s="54"/>
      <c r="I2431" s="16"/>
      <c r="J2431" s="54"/>
      <c r="K2431" s="42"/>
      <c r="L2431" s="16"/>
      <c r="M2431" s="16"/>
      <c r="AA2431" s="14">
        <f t="shared" si="76"/>
        <v>0</v>
      </c>
      <c r="AB2431" s="47">
        <f t="shared" si="77"/>
        <v>-1</v>
      </c>
      <c r="AD2431" s="53"/>
      <c r="AE2431" s="53"/>
      <c r="AF2431" s="53"/>
      <c r="AG2431" s="53"/>
    </row>
    <row r="2432" spans="1:33" s="46" customFormat="1">
      <c r="A2432" s="54"/>
      <c r="B2432" s="16"/>
      <c r="C2432" s="55"/>
      <c r="D2432" s="56"/>
      <c r="E2432" s="16"/>
      <c r="F2432" s="16"/>
      <c r="G2432" s="16"/>
      <c r="H2432" s="54"/>
      <c r="I2432" s="16"/>
      <c r="J2432" s="54"/>
      <c r="K2432" s="42"/>
      <c r="L2432" s="16"/>
      <c r="M2432" s="16"/>
      <c r="AA2432" s="14">
        <f t="shared" si="76"/>
        <v>0</v>
      </c>
      <c r="AB2432" s="47">
        <f t="shared" si="77"/>
        <v>-1</v>
      </c>
      <c r="AD2432" s="53"/>
      <c r="AE2432" s="53"/>
      <c r="AF2432" s="53"/>
      <c r="AG2432" s="53"/>
    </row>
    <row r="2433" spans="1:33" s="46" customFormat="1">
      <c r="A2433" s="54"/>
      <c r="B2433" s="16"/>
      <c r="C2433" s="55"/>
      <c r="D2433" s="56"/>
      <c r="E2433" s="16"/>
      <c r="F2433" s="16"/>
      <c r="G2433" s="16"/>
      <c r="H2433" s="54"/>
      <c r="I2433" s="16"/>
      <c r="J2433" s="54"/>
      <c r="K2433" s="42"/>
      <c r="L2433" s="16"/>
      <c r="M2433" s="16"/>
      <c r="AA2433" s="14">
        <f t="shared" si="76"/>
        <v>0</v>
      </c>
      <c r="AB2433" s="47">
        <f t="shared" si="77"/>
        <v>-1</v>
      </c>
      <c r="AD2433" s="53"/>
      <c r="AE2433" s="53"/>
      <c r="AF2433" s="53"/>
      <c r="AG2433" s="53"/>
    </row>
    <row r="2434" spans="1:33" s="46" customFormat="1">
      <c r="A2434" s="54"/>
      <c r="B2434" s="16"/>
      <c r="C2434" s="55"/>
      <c r="D2434" s="56"/>
      <c r="E2434" s="16"/>
      <c r="F2434" s="16"/>
      <c r="G2434" s="16"/>
      <c r="H2434" s="54"/>
      <c r="I2434" s="16"/>
      <c r="J2434" s="54"/>
      <c r="K2434" s="42"/>
      <c r="L2434" s="16"/>
      <c r="M2434" s="16"/>
      <c r="AA2434" s="14">
        <f t="shared" si="76"/>
        <v>0</v>
      </c>
      <c r="AB2434" s="47">
        <f t="shared" si="77"/>
        <v>-1</v>
      </c>
      <c r="AD2434" s="53"/>
      <c r="AE2434" s="53"/>
      <c r="AF2434" s="53"/>
      <c r="AG2434" s="53"/>
    </row>
    <row r="2435" spans="1:33" s="46" customFormat="1">
      <c r="A2435" s="54"/>
      <c r="B2435" s="16"/>
      <c r="C2435" s="55"/>
      <c r="D2435" s="56"/>
      <c r="E2435" s="16"/>
      <c r="F2435" s="16"/>
      <c r="G2435" s="16"/>
      <c r="H2435" s="54"/>
      <c r="I2435" s="16"/>
      <c r="J2435" s="54"/>
      <c r="K2435" s="42"/>
      <c r="L2435" s="16"/>
      <c r="M2435" s="16"/>
      <c r="AA2435" s="14">
        <f t="shared" si="76"/>
        <v>0</v>
      </c>
      <c r="AB2435" s="47">
        <f t="shared" si="77"/>
        <v>-1</v>
      </c>
      <c r="AD2435" s="53"/>
      <c r="AE2435" s="53"/>
      <c r="AF2435" s="53"/>
      <c r="AG2435" s="53"/>
    </row>
    <row r="2436" spans="1:33" s="46" customFormat="1">
      <c r="A2436" s="54"/>
      <c r="B2436" s="16"/>
      <c r="C2436" s="55"/>
      <c r="D2436" s="56"/>
      <c r="E2436" s="16"/>
      <c r="F2436" s="16"/>
      <c r="G2436" s="16"/>
      <c r="H2436" s="54"/>
      <c r="I2436" s="16"/>
      <c r="J2436" s="54"/>
      <c r="K2436" s="42"/>
      <c r="L2436" s="16"/>
      <c r="M2436" s="16"/>
      <c r="AA2436" s="14">
        <f t="shared" si="76"/>
        <v>0</v>
      </c>
      <c r="AB2436" s="47">
        <f t="shared" si="77"/>
        <v>-1</v>
      </c>
      <c r="AD2436" s="53"/>
      <c r="AE2436" s="53"/>
      <c r="AF2436" s="53"/>
      <c r="AG2436" s="53"/>
    </row>
    <row r="2437" spans="1:33" s="46" customFormat="1">
      <c r="A2437" s="54"/>
      <c r="B2437" s="16"/>
      <c r="C2437" s="55"/>
      <c r="D2437" s="56"/>
      <c r="E2437" s="16"/>
      <c r="F2437" s="16"/>
      <c r="G2437" s="16"/>
      <c r="H2437" s="54"/>
      <c r="I2437" s="16"/>
      <c r="J2437" s="54"/>
      <c r="K2437" s="42"/>
      <c r="L2437" s="16"/>
      <c r="M2437" s="16"/>
      <c r="AA2437" s="14">
        <f t="shared" si="76"/>
        <v>0</v>
      </c>
      <c r="AB2437" s="47">
        <f t="shared" si="77"/>
        <v>-1</v>
      </c>
      <c r="AD2437" s="53"/>
      <c r="AE2437" s="53"/>
      <c r="AF2437" s="53"/>
      <c r="AG2437" s="53"/>
    </row>
    <row r="2438" spans="1:33" s="46" customFormat="1">
      <c r="A2438" s="54"/>
      <c r="B2438" s="16"/>
      <c r="C2438" s="55"/>
      <c r="D2438" s="56"/>
      <c r="E2438" s="16"/>
      <c r="F2438" s="16"/>
      <c r="G2438" s="16"/>
      <c r="H2438" s="54"/>
      <c r="I2438" s="16"/>
      <c r="J2438" s="54"/>
      <c r="K2438" s="42"/>
      <c r="L2438" s="16"/>
      <c r="M2438" s="16"/>
      <c r="AA2438" s="14">
        <f t="shared" si="76"/>
        <v>0</v>
      </c>
      <c r="AB2438" s="47">
        <f t="shared" si="77"/>
        <v>-1</v>
      </c>
      <c r="AD2438" s="53"/>
      <c r="AE2438" s="53"/>
      <c r="AF2438" s="53"/>
      <c r="AG2438" s="53"/>
    </row>
    <row r="2439" spans="1:33" s="46" customFormat="1">
      <c r="A2439" s="54"/>
      <c r="B2439" s="16"/>
      <c r="C2439" s="55"/>
      <c r="D2439" s="56"/>
      <c r="E2439" s="16"/>
      <c r="F2439" s="16"/>
      <c r="G2439" s="16"/>
      <c r="H2439" s="54"/>
      <c r="I2439" s="16"/>
      <c r="J2439" s="54"/>
      <c r="K2439" s="42"/>
      <c r="L2439" s="16"/>
      <c r="M2439" s="16"/>
      <c r="AA2439" s="14">
        <f t="shared" si="76"/>
        <v>0</v>
      </c>
      <c r="AB2439" s="47">
        <f t="shared" si="77"/>
        <v>-1</v>
      </c>
      <c r="AD2439" s="53"/>
      <c r="AE2439" s="53"/>
      <c r="AF2439" s="53"/>
      <c r="AG2439" s="53"/>
    </row>
    <row r="2440" spans="1:33" s="46" customFormat="1">
      <c r="A2440" s="54"/>
      <c r="B2440" s="16"/>
      <c r="C2440" s="55"/>
      <c r="D2440" s="56"/>
      <c r="E2440" s="16"/>
      <c r="F2440" s="16"/>
      <c r="G2440" s="16"/>
      <c r="H2440" s="54"/>
      <c r="I2440" s="16"/>
      <c r="J2440" s="54"/>
      <c r="K2440" s="42"/>
      <c r="L2440" s="16"/>
      <c r="M2440" s="16"/>
      <c r="AA2440" s="14">
        <f t="shared" si="76"/>
        <v>0</v>
      </c>
      <c r="AB2440" s="47">
        <f t="shared" si="77"/>
        <v>-1</v>
      </c>
      <c r="AD2440" s="53"/>
      <c r="AE2440" s="53"/>
      <c r="AF2440" s="53"/>
      <c r="AG2440" s="53"/>
    </row>
    <row r="2441" spans="1:33" s="46" customFormat="1">
      <c r="A2441" s="54"/>
      <c r="B2441" s="16"/>
      <c r="C2441" s="55"/>
      <c r="D2441" s="56"/>
      <c r="E2441" s="16"/>
      <c r="F2441" s="16"/>
      <c r="G2441" s="16"/>
      <c r="H2441" s="54"/>
      <c r="I2441" s="16"/>
      <c r="J2441" s="54"/>
      <c r="K2441" s="42"/>
      <c r="L2441" s="16"/>
      <c r="M2441" s="16"/>
      <c r="AA2441" s="14">
        <f t="shared" si="76"/>
        <v>0</v>
      </c>
      <c r="AB2441" s="47">
        <f t="shared" si="77"/>
        <v>-1</v>
      </c>
      <c r="AD2441" s="53"/>
      <c r="AE2441" s="53"/>
      <c r="AF2441" s="53"/>
      <c r="AG2441" s="53"/>
    </row>
    <row r="2442" spans="1:33" s="46" customFormat="1">
      <c r="A2442" s="54"/>
      <c r="B2442" s="16"/>
      <c r="C2442" s="55"/>
      <c r="D2442" s="56"/>
      <c r="E2442" s="16"/>
      <c r="F2442" s="16"/>
      <c r="G2442" s="16"/>
      <c r="H2442" s="54"/>
      <c r="I2442" s="16"/>
      <c r="J2442" s="54"/>
      <c r="K2442" s="42"/>
      <c r="L2442" s="16"/>
      <c r="M2442" s="16"/>
      <c r="AA2442" s="14">
        <f t="shared" si="76"/>
        <v>0</v>
      </c>
      <c r="AB2442" s="47">
        <f t="shared" si="77"/>
        <v>-1</v>
      </c>
      <c r="AD2442" s="53"/>
      <c r="AE2442" s="53"/>
      <c r="AF2442" s="53"/>
      <c r="AG2442" s="53"/>
    </row>
    <row r="2443" spans="1:33" s="46" customFormat="1">
      <c r="A2443" s="54"/>
      <c r="B2443" s="16"/>
      <c r="C2443" s="55"/>
      <c r="D2443" s="56"/>
      <c r="E2443" s="16"/>
      <c r="F2443" s="16"/>
      <c r="G2443" s="16"/>
      <c r="H2443" s="54"/>
      <c r="I2443" s="16"/>
      <c r="J2443" s="54"/>
      <c r="K2443" s="42"/>
      <c r="L2443" s="16"/>
      <c r="M2443" s="16"/>
      <c r="AA2443" s="14">
        <f t="shared" si="76"/>
        <v>0</v>
      </c>
      <c r="AB2443" s="47">
        <f t="shared" si="77"/>
        <v>-1</v>
      </c>
      <c r="AD2443" s="53"/>
      <c r="AE2443" s="53"/>
      <c r="AF2443" s="53"/>
      <c r="AG2443" s="53"/>
    </row>
    <row r="2444" spans="1:33" s="46" customFormat="1">
      <c r="A2444" s="54"/>
      <c r="B2444" s="16"/>
      <c r="C2444" s="55"/>
      <c r="D2444" s="56"/>
      <c r="E2444" s="16"/>
      <c r="F2444" s="16"/>
      <c r="G2444" s="16"/>
      <c r="H2444" s="54"/>
      <c r="I2444" s="16"/>
      <c r="J2444" s="54"/>
      <c r="K2444" s="42"/>
      <c r="L2444" s="16"/>
      <c r="M2444" s="16"/>
      <c r="AA2444" s="14">
        <f t="shared" si="76"/>
        <v>0</v>
      </c>
      <c r="AB2444" s="47">
        <f t="shared" si="77"/>
        <v>-1</v>
      </c>
      <c r="AD2444" s="53"/>
      <c r="AE2444" s="53"/>
      <c r="AF2444" s="53"/>
      <c r="AG2444" s="53"/>
    </row>
    <row r="2445" spans="1:33" s="46" customFormat="1">
      <c r="A2445" s="54"/>
      <c r="B2445" s="16"/>
      <c r="C2445" s="55"/>
      <c r="D2445" s="56"/>
      <c r="E2445" s="16"/>
      <c r="F2445" s="16"/>
      <c r="G2445" s="16"/>
      <c r="H2445" s="54"/>
      <c r="I2445" s="16"/>
      <c r="J2445" s="54"/>
      <c r="K2445" s="42"/>
      <c r="L2445" s="16"/>
      <c r="M2445" s="16"/>
      <c r="AA2445" s="14">
        <f t="shared" si="76"/>
        <v>0</v>
      </c>
      <c r="AB2445" s="47">
        <f t="shared" si="77"/>
        <v>-1</v>
      </c>
      <c r="AD2445" s="53"/>
      <c r="AE2445" s="53"/>
      <c r="AF2445" s="53"/>
      <c r="AG2445" s="53"/>
    </row>
    <row r="2446" spans="1:33" s="46" customFormat="1">
      <c r="A2446" s="54"/>
      <c r="B2446" s="16"/>
      <c r="C2446" s="55"/>
      <c r="D2446" s="56"/>
      <c r="E2446" s="16"/>
      <c r="F2446" s="16"/>
      <c r="G2446" s="16"/>
      <c r="H2446" s="54"/>
      <c r="I2446" s="16"/>
      <c r="J2446" s="54"/>
      <c r="K2446" s="42"/>
      <c r="L2446" s="16"/>
      <c r="M2446" s="16"/>
      <c r="AA2446" s="14">
        <f t="shared" si="76"/>
        <v>0</v>
      </c>
      <c r="AB2446" s="47">
        <f t="shared" si="77"/>
        <v>-1</v>
      </c>
      <c r="AD2446" s="53"/>
      <c r="AE2446" s="53"/>
      <c r="AF2446" s="53"/>
      <c r="AG2446" s="53"/>
    </row>
    <row r="2447" spans="1:33" s="46" customFormat="1">
      <c r="A2447" s="54"/>
      <c r="B2447" s="16"/>
      <c r="C2447" s="55"/>
      <c r="D2447" s="56"/>
      <c r="E2447" s="16"/>
      <c r="F2447" s="16"/>
      <c r="G2447" s="16"/>
      <c r="H2447" s="54"/>
      <c r="I2447" s="16"/>
      <c r="J2447" s="54"/>
      <c r="K2447" s="42"/>
      <c r="L2447" s="16"/>
      <c r="M2447" s="16"/>
      <c r="AA2447" s="14">
        <f t="shared" si="76"/>
        <v>0</v>
      </c>
      <c r="AB2447" s="47">
        <f t="shared" si="77"/>
        <v>-1</v>
      </c>
      <c r="AD2447" s="53"/>
      <c r="AE2447" s="53"/>
      <c r="AF2447" s="53"/>
      <c r="AG2447" s="53"/>
    </row>
    <row r="2448" spans="1:33" s="46" customFormat="1">
      <c r="A2448" s="54"/>
      <c r="B2448" s="16"/>
      <c r="C2448" s="55"/>
      <c r="D2448" s="56"/>
      <c r="E2448" s="16"/>
      <c r="F2448" s="16"/>
      <c r="G2448" s="16"/>
      <c r="H2448" s="54"/>
      <c r="I2448" s="16"/>
      <c r="J2448" s="54"/>
      <c r="K2448" s="42"/>
      <c r="L2448" s="16"/>
      <c r="M2448" s="16"/>
      <c r="AA2448" s="14">
        <f t="shared" si="76"/>
        <v>0</v>
      </c>
      <c r="AB2448" s="47">
        <f t="shared" si="77"/>
        <v>-1</v>
      </c>
      <c r="AD2448" s="53"/>
      <c r="AE2448" s="53"/>
      <c r="AF2448" s="53"/>
      <c r="AG2448" s="53"/>
    </row>
    <row r="2449" spans="1:33" s="46" customFormat="1">
      <c r="A2449" s="54"/>
      <c r="B2449" s="16"/>
      <c r="C2449" s="55"/>
      <c r="D2449" s="56"/>
      <c r="E2449" s="16"/>
      <c r="F2449" s="16"/>
      <c r="G2449" s="16"/>
      <c r="H2449" s="54"/>
      <c r="I2449" s="16"/>
      <c r="J2449" s="54"/>
      <c r="K2449" s="42"/>
      <c r="L2449" s="16"/>
      <c r="M2449" s="16"/>
      <c r="AA2449" s="14">
        <f t="shared" si="76"/>
        <v>0</v>
      </c>
      <c r="AB2449" s="47">
        <f t="shared" si="77"/>
        <v>-1</v>
      </c>
      <c r="AD2449" s="53"/>
      <c r="AE2449" s="53"/>
      <c r="AF2449" s="53"/>
      <c r="AG2449" s="53"/>
    </row>
    <row r="2450" spans="1:33" s="46" customFormat="1">
      <c r="A2450" s="54"/>
      <c r="B2450" s="16"/>
      <c r="C2450" s="55"/>
      <c r="D2450" s="56"/>
      <c r="E2450" s="16"/>
      <c r="F2450" s="16"/>
      <c r="G2450" s="16"/>
      <c r="H2450" s="54"/>
      <c r="I2450" s="16"/>
      <c r="J2450" s="54"/>
      <c r="K2450" s="42"/>
      <c r="L2450" s="16"/>
      <c r="M2450" s="16"/>
      <c r="AA2450" s="14">
        <f t="shared" si="76"/>
        <v>0</v>
      </c>
      <c r="AB2450" s="47">
        <f t="shared" si="77"/>
        <v>-1</v>
      </c>
      <c r="AD2450" s="53"/>
      <c r="AE2450" s="53"/>
      <c r="AF2450" s="53"/>
      <c r="AG2450" s="53"/>
    </row>
    <row r="2451" spans="1:33" s="46" customFormat="1">
      <c r="A2451" s="54"/>
      <c r="B2451" s="16"/>
      <c r="C2451" s="55"/>
      <c r="D2451" s="56"/>
      <c r="E2451" s="16"/>
      <c r="F2451" s="16"/>
      <c r="G2451" s="16"/>
      <c r="H2451" s="54"/>
      <c r="I2451" s="16"/>
      <c r="J2451" s="54"/>
      <c r="K2451" s="42"/>
      <c r="L2451" s="16"/>
      <c r="M2451" s="16"/>
      <c r="AA2451" s="14">
        <f t="shared" si="76"/>
        <v>0</v>
      </c>
      <c r="AB2451" s="47">
        <f t="shared" si="77"/>
        <v>-1</v>
      </c>
      <c r="AD2451" s="53"/>
      <c r="AE2451" s="53"/>
      <c r="AF2451" s="53"/>
      <c r="AG2451" s="53"/>
    </row>
    <row r="2452" spans="1:33" s="46" customFormat="1">
      <c r="A2452" s="54"/>
      <c r="B2452" s="16"/>
      <c r="C2452" s="55"/>
      <c r="D2452" s="56"/>
      <c r="E2452" s="16"/>
      <c r="F2452" s="16"/>
      <c r="G2452" s="16"/>
      <c r="H2452" s="54"/>
      <c r="I2452" s="16"/>
      <c r="J2452" s="54"/>
      <c r="K2452" s="42"/>
      <c r="L2452" s="16"/>
      <c r="M2452" s="16"/>
      <c r="AA2452" s="14">
        <f t="shared" si="76"/>
        <v>0</v>
      </c>
      <c r="AB2452" s="47">
        <f t="shared" si="77"/>
        <v>-1</v>
      </c>
      <c r="AD2452" s="53"/>
      <c r="AE2452" s="53"/>
      <c r="AF2452" s="53"/>
      <c r="AG2452" s="53"/>
    </row>
    <row r="2453" spans="1:33" s="46" customFormat="1">
      <c r="A2453" s="54"/>
      <c r="B2453" s="16"/>
      <c r="C2453" s="55"/>
      <c r="D2453" s="56"/>
      <c r="E2453" s="16"/>
      <c r="F2453" s="16"/>
      <c r="G2453" s="16"/>
      <c r="H2453" s="54"/>
      <c r="I2453" s="16"/>
      <c r="J2453" s="54"/>
      <c r="K2453" s="42"/>
      <c r="L2453" s="16"/>
      <c r="M2453" s="16"/>
      <c r="AA2453" s="14">
        <f t="shared" si="76"/>
        <v>0</v>
      </c>
      <c r="AB2453" s="47">
        <f t="shared" si="77"/>
        <v>-1</v>
      </c>
      <c r="AD2453" s="53"/>
      <c r="AE2453" s="53"/>
      <c r="AF2453" s="53"/>
      <c r="AG2453" s="53"/>
    </row>
    <row r="2454" spans="1:33" s="46" customFormat="1">
      <c r="A2454" s="54"/>
      <c r="B2454" s="16"/>
      <c r="C2454" s="55"/>
      <c r="D2454" s="56"/>
      <c r="E2454" s="16"/>
      <c r="F2454" s="16"/>
      <c r="G2454" s="16"/>
      <c r="H2454" s="54"/>
      <c r="I2454" s="16"/>
      <c r="J2454" s="54"/>
      <c r="K2454" s="42"/>
      <c r="L2454" s="16"/>
      <c r="M2454" s="16"/>
      <c r="AA2454" s="14">
        <f t="shared" si="76"/>
        <v>0</v>
      </c>
      <c r="AB2454" s="47">
        <f t="shared" si="77"/>
        <v>-1</v>
      </c>
      <c r="AD2454" s="53"/>
      <c r="AE2454" s="53"/>
      <c r="AF2454" s="53"/>
      <c r="AG2454" s="53"/>
    </row>
    <row r="2455" spans="1:33" s="46" customFormat="1">
      <c r="A2455" s="54"/>
      <c r="B2455" s="16"/>
      <c r="C2455" s="55"/>
      <c r="D2455" s="56"/>
      <c r="E2455" s="16"/>
      <c r="F2455" s="16"/>
      <c r="G2455" s="16"/>
      <c r="H2455" s="54"/>
      <c r="I2455" s="16"/>
      <c r="J2455" s="54"/>
      <c r="K2455" s="42"/>
      <c r="L2455" s="16"/>
      <c r="M2455" s="16"/>
      <c r="AA2455" s="14">
        <f t="shared" si="76"/>
        <v>0</v>
      </c>
      <c r="AB2455" s="47">
        <f t="shared" si="77"/>
        <v>-1</v>
      </c>
      <c r="AD2455" s="53"/>
      <c r="AE2455" s="53"/>
      <c r="AF2455" s="53"/>
      <c r="AG2455" s="53"/>
    </row>
    <row r="2456" spans="1:33" s="46" customFormat="1">
      <c r="A2456" s="54"/>
      <c r="B2456" s="16"/>
      <c r="C2456" s="55"/>
      <c r="D2456" s="56"/>
      <c r="E2456" s="16"/>
      <c r="F2456" s="16"/>
      <c r="G2456" s="16"/>
      <c r="H2456" s="54"/>
      <c r="I2456" s="16"/>
      <c r="J2456" s="54"/>
      <c r="K2456" s="42"/>
      <c r="L2456" s="16"/>
      <c r="M2456" s="16"/>
      <c r="AA2456" s="14">
        <f t="shared" si="76"/>
        <v>0</v>
      </c>
      <c r="AB2456" s="47">
        <f t="shared" si="77"/>
        <v>-1</v>
      </c>
      <c r="AD2456" s="53"/>
      <c r="AE2456" s="53"/>
      <c r="AF2456" s="53"/>
      <c r="AG2456" s="53"/>
    </row>
    <row r="2457" spans="1:33" s="46" customFormat="1">
      <c r="A2457" s="54"/>
      <c r="B2457" s="16"/>
      <c r="C2457" s="55"/>
      <c r="D2457" s="56"/>
      <c r="E2457" s="16"/>
      <c r="F2457" s="16"/>
      <c r="G2457" s="16"/>
      <c r="H2457" s="54"/>
      <c r="I2457" s="16"/>
      <c r="J2457" s="54"/>
      <c r="K2457" s="42"/>
      <c r="L2457" s="16"/>
      <c r="M2457" s="16"/>
      <c r="AA2457" s="14">
        <f t="shared" si="76"/>
        <v>0</v>
      </c>
      <c r="AB2457" s="47">
        <f t="shared" si="77"/>
        <v>-1</v>
      </c>
      <c r="AD2457" s="53"/>
      <c r="AE2457" s="53"/>
      <c r="AF2457" s="53"/>
      <c r="AG2457" s="53"/>
    </row>
    <row r="2458" spans="1:33" s="46" customFormat="1">
      <c r="A2458" s="54"/>
      <c r="B2458" s="16"/>
      <c r="C2458" s="55"/>
      <c r="D2458" s="56"/>
      <c r="E2458" s="16"/>
      <c r="F2458" s="16"/>
      <c r="G2458" s="16"/>
      <c r="H2458" s="54"/>
      <c r="I2458" s="16"/>
      <c r="J2458" s="54"/>
      <c r="K2458" s="42"/>
      <c r="L2458" s="16"/>
      <c r="M2458" s="16"/>
      <c r="AA2458" s="14">
        <f t="shared" si="76"/>
        <v>0</v>
      </c>
      <c r="AB2458" s="47">
        <f t="shared" si="77"/>
        <v>-1</v>
      </c>
      <c r="AD2458" s="53"/>
      <c r="AE2458" s="53"/>
      <c r="AF2458" s="53"/>
      <c r="AG2458" s="53"/>
    </row>
    <row r="2459" spans="1:33" s="46" customFormat="1">
      <c r="A2459" s="54"/>
      <c r="B2459" s="16"/>
      <c r="C2459" s="55"/>
      <c r="D2459" s="56"/>
      <c r="E2459" s="16"/>
      <c r="F2459" s="16"/>
      <c r="G2459" s="16"/>
      <c r="H2459" s="54"/>
      <c r="I2459" s="16"/>
      <c r="J2459" s="54"/>
      <c r="K2459" s="42"/>
      <c r="L2459" s="16"/>
      <c r="M2459" s="16"/>
      <c r="AA2459" s="14">
        <f t="shared" si="76"/>
        <v>0</v>
      </c>
      <c r="AB2459" s="47">
        <f t="shared" si="77"/>
        <v>-1</v>
      </c>
      <c r="AD2459" s="53"/>
      <c r="AE2459" s="53"/>
      <c r="AF2459" s="53"/>
      <c r="AG2459" s="53"/>
    </row>
    <row r="2460" spans="1:33" s="46" customFormat="1">
      <c r="A2460" s="54"/>
      <c r="B2460" s="16"/>
      <c r="C2460" s="55"/>
      <c r="D2460" s="56"/>
      <c r="E2460" s="16"/>
      <c r="F2460" s="16"/>
      <c r="G2460" s="16"/>
      <c r="H2460" s="54"/>
      <c r="I2460" s="16"/>
      <c r="J2460" s="54"/>
      <c r="K2460" s="42"/>
      <c r="L2460" s="16"/>
      <c r="M2460" s="16"/>
      <c r="AA2460" s="14">
        <f t="shared" si="76"/>
        <v>0</v>
      </c>
      <c r="AB2460" s="47">
        <f t="shared" si="77"/>
        <v>-1</v>
      </c>
      <c r="AD2460" s="53"/>
      <c r="AE2460" s="53"/>
      <c r="AF2460" s="53"/>
      <c r="AG2460" s="53"/>
    </row>
    <row r="2461" spans="1:33" s="46" customFormat="1">
      <c r="A2461" s="54"/>
      <c r="B2461" s="16"/>
      <c r="C2461" s="55"/>
      <c r="D2461" s="56"/>
      <c r="E2461" s="16"/>
      <c r="F2461" s="16"/>
      <c r="G2461" s="16"/>
      <c r="H2461" s="54"/>
      <c r="I2461" s="16"/>
      <c r="J2461" s="54"/>
      <c r="K2461" s="42"/>
      <c r="L2461" s="16"/>
      <c r="M2461" s="16"/>
      <c r="AA2461" s="14">
        <f t="shared" si="76"/>
        <v>0</v>
      </c>
      <c r="AB2461" s="47">
        <f t="shared" si="77"/>
        <v>-1</v>
      </c>
      <c r="AD2461" s="53"/>
      <c r="AE2461" s="53"/>
      <c r="AF2461" s="53"/>
      <c r="AG2461" s="53"/>
    </row>
    <row r="2462" spans="1:33" s="46" customFormat="1">
      <c r="A2462" s="54"/>
      <c r="B2462" s="16"/>
      <c r="C2462" s="55"/>
      <c r="D2462" s="56"/>
      <c r="E2462" s="16"/>
      <c r="F2462" s="16"/>
      <c r="G2462" s="16"/>
      <c r="H2462" s="54"/>
      <c r="I2462" s="16"/>
      <c r="J2462" s="54"/>
      <c r="K2462" s="42"/>
      <c r="L2462" s="16"/>
      <c r="M2462" s="16"/>
      <c r="AA2462" s="14">
        <f t="shared" si="76"/>
        <v>0</v>
      </c>
      <c r="AB2462" s="47">
        <f t="shared" si="77"/>
        <v>-1</v>
      </c>
      <c r="AD2462" s="53"/>
      <c r="AE2462" s="53"/>
      <c r="AF2462" s="53"/>
      <c r="AG2462" s="53"/>
    </row>
    <row r="2463" spans="1:33" s="46" customFormat="1">
      <c r="A2463" s="54"/>
      <c r="B2463" s="16"/>
      <c r="C2463" s="55"/>
      <c r="D2463" s="56"/>
      <c r="E2463" s="16"/>
      <c r="F2463" s="16"/>
      <c r="G2463" s="16"/>
      <c r="H2463" s="54"/>
      <c r="I2463" s="16"/>
      <c r="J2463" s="54"/>
      <c r="K2463" s="42"/>
      <c r="L2463" s="16"/>
      <c r="M2463" s="16"/>
      <c r="AA2463" s="14">
        <f t="shared" si="76"/>
        <v>0</v>
      </c>
      <c r="AB2463" s="47">
        <f t="shared" si="77"/>
        <v>-1</v>
      </c>
      <c r="AD2463" s="53"/>
      <c r="AE2463" s="53"/>
      <c r="AF2463" s="53"/>
      <c r="AG2463" s="53"/>
    </row>
    <row r="2464" spans="1:33" s="46" customFormat="1">
      <c r="A2464" s="54"/>
      <c r="B2464" s="16"/>
      <c r="C2464" s="55"/>
      <c r="D2464" s="56"/>
      <c r="E2464" s="16"/>
      <c r="F2464" s="16"/>
      <c r="G2464" s="16"/>
      <c r="H2464" s="54"/>
      <c r="I2464" s="16"/>
      <c r="J2464" s="54"/>
      <c r="K2464" s="42"/>
      <c r="L2464" s="16"/>
      <c r="M2464" s="16"/>
      <c r="AA2464" s="14">
        <f t="shared" si="76"/>
        <v>0</v>
      </c>
      <c r="AB2464" s="47">
        <f t="shared" si="77"/>
        <v>-1</v>
      </c>
      <c r="AD2464" s="53"/>
      <c r="AE2464" s="53"/>
      <c r="AF2464" s="53"/>
      <c r="AG2464" s="53"/>
    </row>
    <row r="2465" spans="1:33" s="46" customFormat="1">
      <c r="A2465" s="54"/>
      <c r="B2465" s="16"/>
      <c r="C2465" s="55"/>
      <c r="D2465" s="56"/>
      <c r="E2465" s="16"/>
      <c r="F2465" s="16"/>
      <c r="G2465" s="16"/>
      <c r="H2465" s="54"/>
      <c r="I2465" s="16"/>
      <c r="J2465" s="54"/>
      <c r="K2465" s="42"/>
      <c r="L2465" s="16"/>
      <c r="M2465" s="16"/>
      <c r="AA2465" s="14">
        <f t="shared" si="76"/>
        <v>0</v>
      </c>
      <c r="AB2465" s="47">
        <f t="shared" si="77"/>
        <v>-1</v>
      </c>
      <c r="AD2465" s="53"/>
      <c r="AE2465" s="53"/>
      <c r="AF2465" s="53"/>
      <c r="AG2465" s="53"/>
    </row>
    <row r="2466" spans="1:33" s="46" customFormat="1">
      <c r="A2466" s="54"/>
      <c r="B2466" s="16"/>
      <c r="C2466" s="55"/>
      <c r="D2466" s="56"/>
      <c r="E2466" s="16"/>
      <c r="F2466" s="16"/>
      <c r="G2466" s="16"/>
      <c r="H2466" s="54"/>
      <c r="I2466" s="16"/>
      <c r="J2466" s="54"/>
      <c r="K2466" s="42"/>
      <c r="L2466" s="16"/>
      <c r="M2466" s="16"/>
      <c r="AA2466" s="14">
        <f t="shared" si="76"/>
        <v>0</v>
      </c>
      <c r="AB2466" s="47">
        <f t="shared" si="77"/>
        <v>-1</v>
      </c>
      <c r="AD2466" s="53"/>
      <c r="AE2466" s="53"/>
      <c r="AF2466" s="53"/>
      <c r="AG2466" s="53"/>
    </row>
    <row r="2467" spans="1:33" s="46" customFormat="1">
      <c r="A2467" s="54"/>
      <c r="B2467" s="16"/>
      <c r="C2467" s="55"/>
      <c r="D2467" s="56"/>
      <c r="E2467" s="16"/>
      <c r="F2467" s="16"/>
      <c r="G2467" s="16"/>
      <c r="H2467" s="54"/>
      <c r="I2467" s="16"/>
      <c r="J2467" s="54"/>
      <c r="K2467" s="42"/>
      <c r="L2467" s="16"/>
      <c r="M2467" s="16"/>
      <c r="AA2467" s="14">
        <f t="shared" si="76"/>
        <v>0</v>
      </c>
      <c r="AB2467" s="47">
        <f t="shared" si="77"/>
        <v>-1</v>
      </c>
      <c r="AD2467" s="53"/>
      <c r="AE2467" s="53"/>
      <c r="AF2467" s="53"/>
      <c r="AG2467" s="53"/>
    </row>
    <row r="2468" spans="1:33" s="46" customFormat="1">
      <c r="A2468" s="54"/>
      <c r="B2468" s="16"/>
      <c r="C2468" s="55"/>
      <c r="D2468" s="56"/>
      <c r="E2468" s="16"/>
      <c r="F2468" s="16"/>
      <c r="G2468" s="16"/>
      <c r="H2468" s="54"/>
      <c r="I2468" s="16"/>
      <c r="J2468" s="54"/>
      <c r="K2468" s="42"/>
      <c r="L2468" s="16"/>
      <c r="M2468" s="16"/>
      <c r="AA2468" s="14">
        <f t="shared" si="76"/>
        <v>0</v>
      </c>
      <c r="AB2468" s="47">
        <f t="shared" si="77"/>
        <v>-1</v>
      </c>
      <c r="AD2468" s="53"/>
      <c r="AE2468" s="53"/>
      <c r="AF2468" s="53"/>
      <c r="AG2468" s="53"/>
    </row>
    <row r="2469" spans="1:33" s="46" customFormat="1">
      <c r="A2469" s="54"/>
      <c r="B2469" s="16"/>
      <c r="C2469" s="55"/>
      <c r="D2469" s="56"/>
      <c r="E2469" s="16"/>
      <c r="F2469" s="16"/>
      <c r="G2469" s="16"/>
      <c r="H2469" s="54"/>
      <c r="I2469" s="16"/>
      <c r="J2469" s="54"/>
      <c r="K2469" s="42"/>
      <c r="L2469" s="16"/>
      <c r="M2469" s="16"/>
      <c r="AA2469" s="14">
        <f t="shared" si="76"/>
        <v>0</v>
      </c>
      <c r="AB2469" s="47">
        <f t="shared" si="77"/>
        <v>-1</v>
      </c>
      <c r="AD2469" s="53"/>
      <c r="AE2469" s="53"/>
      <c r="AF2469" s="53"/>
      <c r="AG2469" s="53"/>
    </row>
    <row r="2470" spans="1:33" s="46" customFormat="1">
      <c r="A2470" s="54"/>
      <c r="B2470" s="16"/>
      <c r="C2470" s="55"/>
      <c r="D2470" s="56"/>
      <c r="E2470" s="16"/>
      <c r="F2470" s="16"/>
      <c r="G2470" s="16"/>
      <c r="H2470" s="54"/>
      <c r="I2470" s="16"/>
      <c r="J2470" s="54"/>
      <c r="K2470" s="42"/>
      <c r="L2470" s="16"/>
      <c r="M2470" s="16"/>
      <c r="AA2470" s="14">
        <f t="shared" si="76"/>
        <v>0</v>
      </c>
      <c r="AB2470" s="47">
        <f t="shared" si="77"/>
        <v>-1</v>
      </c>
      <c r="AD2470" s="53"/>
      <c r="AE2470" s="53"/>
      <c r="AF2470" s="53"/>
      <c r="AG2470" s="53"/>
    </row>
    <row r="2471" spans="1:33" s="46" customFormat="1">
      <c r="A2471" s="54"/>
      <c r="B2471" s="16"/>
      <c r="C2471" s="55"/>
      <c r="D2471" s="56"/>
      <c r="E2471" s="16"/>
      <c r="F2471" s="16"/>
      <c r="G2471" s="16"/>
      <c r="H2471" s="54"/>
      <c r="I2471" s="16"/>
      <c r="J2471" s="54"/>
      <c r="K2471" s="42"/>
      <c r="L2471" s="16"/>
      <c r="M2471" s="16"/>
      <c r="AA2471" s="14">
        <f t="shared" si="76"/>
        <v>0</v>
      </c>
      <c r="AB2471" s="47">
        <f t="shared" si="77"/>
        <v>-1</v>
      </c>
      <c r="AD2471" s="53"/>
      <c r="AE2471" s="53"/>
      <c r="AF2471" s="53"/>
      <c r="AG2471" s="53"/>
    </row>
    <row r="2472" spans="1:33" s="46" customFormat="1">
      <c r="A2472" s="54"/>
      <c r="B2472" s="16"/>
      <c r="C2472" s="55"/>
      <c r="D2472" s="56"/>
      <c r="E2472" s="16"/>
      <c r="F2472" s="16"/>
      <c r="G2472" s="16"/>
      <c r="H2472" s="54"/>
      <c r="I2472" s="16"/>
      <c r="J2472" s="54"/>
      <c r="K2472" s="42"/>
      <c r="L2472" s="16"/>
      <c r="M2472" s="16"/>
      <c r="AA2472" s="14">
        <f t="shared" ref="AA2472:AA2535" si="78">C2472-C2471</f>
        <v>0</v>
      </c>
      <c r="AB2472" s="47">
        <f t="shared" ref="AB2472:AB2535" si="79">AA2472-1</f>
        <v>-1</v>
      </c>
      <c r="AD2472" s="53"/>
      <c r="AE2472" s="53"/>
      <c r="AF2472" s="53"/>
      <c r="AG2472" s="53"/>
    </row>
    <row r="2473" spans="1:33" s="46" customFormat="1">
      <c r="A2473" s="54"/>
      <c r="B2473" s="16"/>
      <c r="C2473" s="55"/>
      <c r="D2473" s="56"/>
      <c r="E2473" s="16"/>
      <c r="F2473" s="16"/>
      <c r="G2473" s="16"/>
      <c r="H2473" s="54"/>
      <c r="I2473" s="16"/>
      <c r="J2473" s="54"/>
      <c r="K2473" s="42"/>
      <c r="L2473" s="16"/>
      <c r="M2473" s="16"/>
      <c r="AA2473" s="14">
        <f t="shared" si="78"/>
        <v>0</v>
      </c>
      <c r="AB2473" s="47">
        <f t="shared" si="79"/>
        <v>-1</v>
      </c>
      <c r="AD2473" s="53"/>
      <c r="AE2473" s="53"/>
      <c r="AF2473" s="53"/>
      <c r="AG2473" s="53"/>
    </row>
    <row r="2474" spans="1:33" s="46" customFormat="1">
      <c r="A2474" s="54"/>
      <c r="B2474" s="16"/>
      <c r="C2474" s="55"/>
      <c r="D2474" s="56"/>
      <c r="E2474" s="16"/>
      <c r="F2474" s="16"/>
      <c r="G2474" s="16"/>
      <c r="H2474" s="54"/>
      <c r="I2474" s="16"/>
      <c r="J2474" s="54"/>
      <c r="K2474" s="42"/>
      <c r="L2474" s="16"/>
      <c r="M2474" s="16"/>
      <c r="AA2474" s="14">
        <f t="shared" si="78"/>
        <v>0</v>
      </c>
      <c r="AB2474" s="47">
        <f t="shared" si="79"/>
        <v>-1</v>
      </c>
      <c r="AD2474" s="53"/>
      <c r="AE2474" s="53"/>
      <c r="AF2474" s="53"/>
      <c r="AG2474" s="53"/>
    </row>
    <row r="2475" spans="1:33" s="46" customFormat="1">
      <c r="A2475" s="54"/>
      <c r="B2475" s="16"/>
      <c r="C2475" s="55"/>
      <c r="D2475" s="56"/>
      <c r="E2475" s="16"/>
      <c r="F2475" s="16"/>
      <c r="G2475" s="16"/>
      <c r="H2475" s="54"/>
      <c r="I2475" s="16"/>
      <c r="J2475" s="54"/>
      <c r="K2475" s="42"/>
      <c r="L2475" s="16"/>
      <c r="M2475" s="16"/>
      <c r="AA2475" s="14">
        <f t="shared" si="78"/>
        <v>0</v>
      </c>
      <c r="AB2475" s="47">
        <f t="shared" si="79"/>
        <v>-1</v>
      </c>
      <c r="AD2475" s="53"/>
      <c r="AE2475" s="53"/>
      <c r="AF2475" s="53"/>
      <c r="AG2475" s="53"/>
    </row>
    <row r="2476" spans="1:33" s="46" customFormat="1">
      <c r="A2476" s="54"/>
      <c r="B2476" s="16"/>
      <c r="C2476" s="55"/>
      <c r="D2476" s="56"/>
      <c r="E2476" s="16"/>
      <c r="F2476" s="16"/>
      <c r="G2476" s="16"/>
      <c r="H2476" s="54"/>
      <c r="I2476" s="16"/>
      <c r="J2476" s="54"/>
      <c r="K2476" s="42"/>
      <c r="L2476" s="16"/>
      <c r="M2476" s="16"/>
      <c r="AA2476" s="14">
        <f t="shared" si="78"/>
        <v>0</v>
      </c>
      <c r="AB2476" s="47">
        <f t="shared" si="79"/>
        <v>-1</v>
      </c>
      <c r="AD2476" s="53"/>
      <c r="AE2476" s="53"/>
      <c r="AF2476" s="53"/>
      <c r="AG2476" s="53"/>
    </row>
    <row r="2477" spans="1:33" s="46" customFormat="1">
      <c r="A2477" s="54"/>
      <c r="B2477" s="16"/>
      <c r="C2477" s="55"/>
      <c r="D2477" s="56"/>
      <c r="E2477" s="16"/>
      <c r="F2477" s="16"/>
      <c r="G2477" s="16"/>
      <c r="H2477" s="54"/>
      <c r="I2477" s="16"/>
      <c r="J2477" s="54"/>
      <c r="K2477" s="42"/>
      <c r="L2477" s="16"/>
      <c r="M2477" s="16"/>
      <c r="AA2477" s="14">
        <f t="shared" si="78"/>
        <v>0</v>
      </c>
      <c r="AB2477" s="47">
        <f t="shared" si="79"/>
        <v>-1</v>
      </c>
      <c r="AD2477" s="53"/>
      <c r="AE2477" s="53"/>
      <c r="AF2477" s="53"/>
      <c r="AG2477" s="53"/>
    </row>
    <row r="2478" spans="1:33" s="46" customFormat="1">
      <c r="A2478" s="54"/>
      <c r="B2478" s="16"/>
      <c r="C2478" s="55"/>
      <c r="D2478" s="56"/>
      <c r="E2478" s="16"/>
      <c r="F2478" s="16"/>
      <c r="G2478" s="16"/>
      <c r="H2478" s="54"/>
      <c r="I2478" s="16"/>
      <c r="J2478" s="54"/>
      <c r="K2478" s="42"/>
      <c r="L2478" s="16"/>
      <c r="M2478" s="16"/>
      <c r="AA2478" s="14">
        <f t="shared" si="78"/>
        <v>0</v>
      </c>
      <c r="AB2478" s="47">
        <f t="shared" si="79"/>
        <v>-1</v>
      </c>
      <c r="AD2478" s="53"/>
      <c r="AE2478" s="53"/>
      <c r="AF2478" s="53"/>
      <c r="AG2478" s="53"/>
    </row>
    <row r="2479" spans="1:33" s="46" customFormat="1">
      <c r="A2479" s="54"/>
      <c r="B2479" s="16"/>
      <c r="C2479" s="55"/>
      <c r="D2479" s="56"/>
      <c r="E2479" s="16"/>
      <c r="F2479" s="16"/>
      <c r="G2479" s="16"/>
      <c r="H2479" s="54"/>
      <c r="I2479" s="16"/>
      <c r="J2479" s="54"/>
      <c r="K2479" s="42"/>
      <c r="L2479" s="16"/>
      <c r="M2479" s="16"/>
      <c r="AA2479" s="14">
        <f t="shared" si="78"/>
        <v>0</v>
      </c>
      <c r="AB2479" s="47">
        <f t="shared" si="79"/>
        <v>-1</v>
      </c>
      <c r="AD2479" s="53"/>
      <c r="AE2479" s="53"/>
      <c r="AF2479" s="53"/>
      <c r="AG2479" s="53"/>
    </row>
    <row r="2480" spans="1:33" s="46" customFormat="1">
      <c r="A2480" s="54"/>
      <c r="B2480" s="16"/>
      <c r="C2480" s="55"/>
      <c r="D2480" s="56"/>
      <c r="E2480" s="16"/>
      <c r="F2480" s="16"/>
      <c r="G2480" s="16"/>
      <c r="H2480" s="54"/>
      <c r="I2480" s="16"/>
      <c r="J2480" s="54"/>
      <c r="K2480" s="42"/>
      <c r="L2480" s="16"/>
      <c r="M2480" s="16"/>
      <c r="AA2480" s="14">
        <f t="shared" si="78"/>
        <v>0</v>
      </c>
      <c r="AB2480" s="47">
        <f t="shared" si="79"/>
        <v>-1</v>
      </c>
      <c r="AD2480" s="53"/>
      <c r="AE2480" s="53"/>
      <c r="AF2480" s="53"/>
      <c r="AG2480" s="53"/>
    </row>
    <row r="2481" spans="1:33" s="46" customFormat="1">
      <c r="A2481" s="54"/>
      <c r="B2481" s="16"/>
      <c r="C2481" s="55"/>
      <c r="D2481" s="56"/>
      <c r="E2481" s="16"/>
      <c r="F2481" s="16"/>
      <c r="G2481" s="16"/>
      <c r="H2481" s="54"/>
      <c r="I2481" s="16"/>
      <c r="J2481" s="54"/>
      <c r="K2481" s="42"/>
      <c r="L2481" s="16"/>
      <c r="M2481" s="16"/>
      <c r="AA2481" s="14">
        <f t="shared" si="78"/>
        <v>0</v>
      </c>
      <c r="AB2481" s="47">
        <f t="shared" si="79"/>
        <v>-1</v>
      </c>
      <c r="AD2481" s="53"/>
      <c r="AE2481" s="53"/>
      <c r="AF2481" s="53"/>
      <c r="AG2481" s="53"/>
    </row>
    <row r="2482" spans="1:33" s="46" customFormat="1">
      <c r="A2482" s="54"/>
      <c r="B2482" s="16"/>
      <c r="C2482" s="55"/>
      <c r="D2482" s="56"/>
      <c r="E2482" s="16"/>
      <c r="F2482" s="16"/>
      <c r="G2482" s="16"/>
      <c r="H2482" s="54"/>
      <c r="I2482" s="16"/>
      <c r="J2482" s="54"/>
      <c r="K2482" s="42"/>
      <c r="L2482" s="16"/>
      <c r="M2482" s="16"/>
      <c r="AA2482" s="14">
        <f t="shared" si="78"/>
        <v>0</v>
      </c>
      <c r="AB2482" s="47">
        <f t="shared" si="79"/>
        <v>-1</v>
      </c>
      <c r="AD2482" s="53"/>
      <c r="AE2482" s="53"/>
      <c r="AF2482" s="53"/>
      <c r="AG2482" s="53"/>
    </row>
    <row r="2483" spans="1:33" s="46" customFormat="1">
      <c r="A2483" s="54"/>
      <c r="B2483" s="16"/>
      <c r="C2483" s="55"/>
      <c r="D2483" s="56"/>
      <c r="E2483" s="16"/>
      <c r="F2483" s="16"/>
      <c r="G2483" s="16"/>
      <c r="H2483" s="54"/>
      <c r="I2483" s="16"/>
      <c r="J2483" s="54"/>
      <c r="K2483" s="42"/>
      <c r="L2483" s="16"/>
      <c r="M2483" s="16"/>
      <c r="AA2483" s="14">
        <f t="shared" si="78"/>
        <v>0</v>
      </c>
      <c r="AB2483" s="47">
        <f t="shared" si="79"/>
        <v>-1</v>
      </c>
      <c r="AD2483" s="53"/>
      <c r="AE2483" s="53"/>
      <c r="AF2483" s="53"/>
      <c r="AG2483" s="53"/>
    </row>
    <row r="2484" spans="1:33" s="46" customFormat="1">
      <c r="A2484" s="54"/>
      <c r="B2484" s="16"/>
      <c r="C2484" s="55"/>
      <c r="D2484" s="56"/>
      <c r="E2484" s="16"/>
      <c r="F2484" s="16"/>
      <c r="G2484" s="16"/>
      <c r="H2484" s="54"/>
      <c r="I2484" s="16"/>
      <c r="J2484" s="54"/>
      <c r="K2484" s="42"/>
      <c r="L2484" s="16"/>
      <c r="M2484" s="16"/>
      <c r="AA2484" s="14">
        <f t="shared" si="78"/>
        <v>0</v>
      </c>
      <c r="AB2484" s="47">
        <f t="shared" si="79"/>
        <v>-1</v>
      </c>
      <c r="AD2484" s="53"/>
      <c r="AE2484" s="53"/>
      <c r="AF2484" s="53"/>
      <c r="AG2484" s="53"/>
    </row>
    <row r="2485" spans="1:33" s="46" customFormat="1">
      <c r="A2485" s="54"/>
      <c r="B2485" s="16"/>
      <c r="C2485" s="55"/>
      <c r="D2485" s="56"/>
      <c r="E2485" s="16"/>
      <c r="F2485" s="16"/>
      <c r="G2485" s="16"/>
      <c r="H2485" s="54"/>
      <c r="I2485" s="16"/>
      <c r="J2485" s="54"/>
      <c r="K2485" s="42"/>
      <c r="L2485" s="16"/>
      <c r="M2485" s="16"/>
      <c r="AA2485" s="14">
        <f t="shared" si="78"/>
        <v>0</v>
      </c>
      <c r="AB2485" s="47">
        <f t="shared" si="79"/>
        <v>-1</v>
      </c>
      <c r="AD2485" s="53"/>
      <c r="AE2485" s="53"/>
      <c r="AF2485" s="53"/>
      <c r="AG2485" s="53"/>
    </row>
    <row r="2486" spans="1:33" s="46" customFormat="1">
      <c r="A2486" s="54"/>
      <c r="B2486" s="16"/>
      <c r="C2486" s="55"/>
      <c r="D2486" s="56"/>
      <c r="E2486" s="16"/>
      <c r="F2486" s="16"/>
      <c r="G2486" s="16"/>
      <c r="H2486" s="54"/>
      <c r="I2486" s="16"/>
      <c r="J2486" s="54"/>
      <c r="K2486" s="42"/>
      <c r="L2486" s="16"/>
      <c r="M2486" s="16"/>
      <c r="AA2486" s="14">
        <f t="shared" si="78"/>
        <v>0</v>
      </c>
      <c r="AB2486" s="47">
        <f t="shared" si="79"/>
        <v>-1</v>
      </c>
      <c r="AD2486" s="53"/>
      <c r="AE2486" s="53"/>
      <c r="AF2486" s="53"/>
      <c r="AG2486" s="53"/>
    </row>
    <row r="2487" spans="1:33" s="46" customFormat="1">
      <c r="A2487" s="54"/>
      <c r="B2487" s="16"/>
      <c r="C2487" s="55"/>
      <c r="D2487" s="56"/>
      <c r="E2487" s="16"/>
      <c r="F2487" s="16"/>
      <c r="G2487" s="16"/>
      <c r="H2487" s="54"/>
      <c r="I2487" s="16"/>
      <c r="J2487" s="54"/>
      <c r="K2487" s="42"/>
      <c r="L2487" s="16"/>
      <c r="M2487" s="16"/>
      <c r="AA2487" s="14">
        <f t="shared" si="78"/>
        <v>0</v>
      </c>
      <c r="AB2487" s="47">
        <f t="shared" si="79"/>
        <v>-1</v>
      </c>
      <c r="AD2487" s="53"/>
      <c r="AE2487" s="53"/>
      <c r="AF2487" s="53"/>
      <c r="AG2487" s="53"/>
    </row>
    <row r="2488" spans="1:33" s="46" customFormat="1">
      <c r="A2488" s="54"/>
      <c r="B2488" s="16"/>
      <c r="C2488" s="55"/>
      <c r="D2488" s="56"/>
      <c r="E2488" s="16"/>
      <c r="F2488" s="16"/>
      <c r="G2488" s="16"/>
      <c r="H2488" s="54"/>
      <c r="I2488" s="16"/>
      <c r="J2488" s="54"/>
      <c r="K2488" s="42"/>
      <c r="L2488" s="16"/>
      <c r="M2488" s="16"/>
      <c r="AA2488" s="14">
        <f t="shared" si="78"/>
        <v>0</v>
      </c>
      <c r="AB2488" s="47">
        <f t="shared" si="79"/>
        <v>-1</v>
      </c>
      <c r="AD2488" s="53"/>
      <c r="AE2488" s="53"/>
      <c r="AF2488" s="53"/>
      <c r="AG2488" s="53"/>
    </row>
    <row r="2489" spans="1:33" s="46" customFormat="1">
      <c r="A2489" s="54"/>
      <c r="B2489" s="16"/>
      <c r="C2489" s="55"/>
      <c r="D2489" s="56"/>
      <c r="E2489" s="16"/>
      <c r="F2489" s="16"/>
      <c r="G2489" s="16"/>
      <c r="H2489" s="54"/>
      <c r="I2489" s="16"/>
      <c r="J2489" s="54"/>
      <c r="K2489" s="42"/>
      <c r="L2489" s="16"/>
      <c r="M2489" s="16"/>
      <c r="AA2489" s="14">
        <f t="shared" si="78"/>
        <v>0</v>
      </c>
      <c r="AB2489" s="47">
        <f t="shared" si="79"/>
        <v>-1</v>
      </c>
      <c r="AD2489" s="53"/>
      <c r="AE2489" s="53"/>
      <c r="AF2489" s="53"/>
      <c r="AG2489" s="53"/>
    </row>
    <row r="2490" spans="1:33" s="46" customFormat="1">
      <c r="A2490" s="54"/>
      <c r="B2490" s="16"/>
      <c r="C2490" s="55"/>
      <c r="D2490" s="56"/>
      <c r="E2490" s="16"/>
      <c r="F2490" s="16"/>
      <c r="G2490" s="16"/>
      <c r="H2490" s="54"/>
      <c r="I2490" s="16"/>
      <c r="J2490" s="54"/>
      <c r="K2490" s="42"/>
      <c r="L2490" s="16"/>
      <c r="M2490" s="16"/>
      <c r="AA2490" s="14">
        <f t="shared" si="78"/>
        <v>0</v>
      </c>
      <c r="AB2490" s="47">
        <f t="shared" si="79"/>
        <v>-1</v>
      </c>
      <c r="AD2490" s="53"/>
      <c r="AE2490" s="53"/>
      <c r="AF2490" s="53"/>
      <c r="AG2490" s="53"/>
    </row>
    <row r="2491" spans="1:33" s="46" customFormat="1">
      <c r="A2491" s="54"/>
      <c r="B2491" s="16"/>
      <c r="C2491" s="55"/>
      <c r="D2491" s="56"/>
      <c r="E2491" s="16"/>
      <c r="F2491" s="16"/>
      <c r="G2491" s="16"/>
      <c r="H2491" s="54"/>
      <c r="I2491" s="16"/>
      <c r="J2491" s="54"/>
      <c r="K2491" s="42"/>
      <c r="L2491" s="16"/>
      <c r="M2491" s="16"/>
      <c r="AA2491" s="14">
        <f t="shared" si="78"/>
        <v>0</v>
      </c>
      <c r="AB2491" s="47">
        <f t="shared" si="79"/>
        <v>-1</v>
      </c>
      <c r="AD2491" s="53"/>
      <c r="AE2491" s="53"/>
      <c r="AF2491" s="53"/>
      <c r="AG2491" s="53"/>
    </row>
    <row r="2492" spans="1:33" s="46" customFormat="1">
      <c r="A2492" s="54"/>
      <c r="B2492" s="16"/>
      <c r="C2492" s="55"/>
      <c r="D2492" s="56"/>
      <c r="E2492" s="16"/>
      <c r="F2492" s="16"/>
      <c r="G2492" s="16"/>
      <c r="H2492" s="54"/>
      <c r="I2492" s="16"/>
      <c r="J2492" s="54"/>
      <c r="K2492" s="42"/>
      <c r="L2492" s="16"/>
      <c r="M2492" s="16"/>
      <c r="AA2492" s="14">
        <f t="shared" si="78"/>
        <v>0</v>
      </c>
      <c r="AB2492" s="47">
        <f t="shared" si="79"/>
        <v>-1</v>
      </c>
      <c r="AD2492" s="53"/>
      <c r="AE2492" s="53"/>
      <c r="AF2492" s="53"/>
      <c r="AG2492" s="53"/>
    </row>
    <row r="2493" spans="1:33" s="46" customFormat="1">
      <c r="A2493" s="54"/>
      <c r="B2493" s="16"/>
      <c r="C2493" s="55"/>
      <c r="D2493" s="56"/>
      <c r="E2493" s="16"/>
      <c r="F2493" s="16"/>
      <c r="G2493" s="16"/>
      <c r="H2493" s="54"/>
      <c r="I2493" s="16"/>
      <c r="J2493" s="54"/>
      <c r="K2493" s="42"/>
      <c r="L2493" s="16"/>
      <c r="M2493" s="16"/>
      <c r="AA2493" s="14">
        <f t="shared" si="78"/>
        <v>0</v>
      </c>
      <c r="AB2493" s="47">
        <f t="shared" si="79"/>
        <v>-1</v>
      </c>
      <c r="AD2493" s="53"/>
      <c r="AE2493" s="53"/>
      <c r="AF2493" s="53"/>
      <c r="AG2493" s="53"/>
    </row>
    <row r="2494" spans="1:33" s="46" customFormat="1">
      <c r="A2494" s="54"/>
      <c r="B2494" s="16"/>
      <c r="C2494" s="55"/>
      <c r="D2494" s="56"/>
      <c r="E2494" s="16"/>
      <c r="F2494" s="16"/>
      <c r="G2494" s="16"/>
      <c r="H2494" s="54"/>
      <c r="I2494" s="16"/>
      <c r="J2494" s="54"/>
      <c r="K2494" s="42"/>
      <c r="L2494" s="16"/>
      <c r="M2494" s="16"/>
      <c r="AA2494" s="14">
        <f t="shared" si="78"/>
        <v>0</v>
      </c>
      <c r="AB2494" s="47">
        <f t="shared" si="79"/>
        <v>-1</v>
      </c>
      <c r="AD2494" s="53"/>
      <c r="AE2494" s="53"/>
      <c r="AF2494" s="53"/>
      <c r="AG2494" s="53"/>
    </row>
    <row r="2495" spans="1:33" s="46" customFormat="1">
      <c r="A2495" s="54"/>
      <c r="B2495" s="16"/>
      <c r="C2495" s="55"/>
      <c r="D2495" s="56"/>
      <c r="E2495" s="16"/>
      <c r="F2495" s="16"/>
      <c r="G2495" s="16"/>
      <c r="H2495" s="54"/>
      <c r="I2495" s="16"/>
      <c r="J2495" s="54"/>
      <c r="K2495" s="42"/>
      <c r="L2495" s="16"/>
      <c r="M2495" s="16"/>
      <c r="AA2495" s="14">
        <f t="shared" si="78"/>
        <v>0</v>
      </c>
      <c r="AB2495" s="47">
        <f t="shared" si="79"/>
        <v>-1</v>
      </c>
      <c r="AD2495" s="53"/>
      <c r="AE2495" s="53"/>
      <c r="AF2495" s="53"/>
      <c r="AG2495" s="53"/>
    </row>
    <row r="2496" spans="1:33" s="46" customFormat="1">
      <c r="A2496" s="54"/>
      <c r="B2496" s="16"/>
      <c r="C2496" s="55"/>
      <c r="D2496" s="56"/>
      <c r="E2496" s="16"/>
      <c r="F2496" s="16"/>
      <c r="G2496" s="16"/>
      <c r="H2496" s="54"/>
      <c r="I2496" s="16"/>
      <c r="J2496" s="54"/>
      <c r="K2496" s="42"/>
      <c r="L2496" s="16"/>
      <c r="M2496" s="16"/>
      <c r="AA2496" s="14">
        <f t="shared" si="78"/>
        <v>0</v>
      </c>
      <c r="AB2496" s="47">
        <f t="shared" si="79"/>
        <v>-1</v>
      </c>
      <c r="AD2496" s="53"/>
      <c r="AE2496" s="53"/>
      <c r="AF2496" s="53"/>
      <c r="AG2496" s="53"/>
    </row>
    <row r="2497" spans="1:33" s="46" customFormat="1">
      <c r="A2497" s="54"/>
      <c r="B2497" s="16"/>
      <c r="C2497" s="55"/>
      <c r="D2497" s="56"/>
      <c r="E2497" s="16"/>
      <c r="F2497" s="16"/>
      <c r="G2497" s="16"/>
      <c r="H2497" s="54"/>
      <c r="I2497" s="16"/>
      <c r="J2497" s="54"/>
      <c r="K2497" s="42"/>
      <c r="L2497" s="16"/>
      <c r="M2497" s="16"/>
      <c r="AA2497" s="14">
        <f t="shared" si="78"/>
        <v>0</v>
      </c>
      <c r="AB2497" s="47">
        <f t="shared" si="79"/>
        <v>-1</v>
      </c>
      <c r="AD2497" s="53"/>
      <c r="AE2497" s="53"/>
      <c r="AF2497" s="53"/>
      <c r="AG2497" s="53"/>
    </row>
    <row r="2498" spans="1:33" s="46" customFormat="1">
      <c r="A2498" s="54"/>
      <c r="B2498" s="16"/>
      <c r="C2498" s="55"/>
      <c r="D2498" s="56"/>
      <c r="E2498" s="16"/>
      <c r="F2498" s="16"/>
      <c r="G2498" s="16"/>
      <c r="H2498" s="54"/>
      <c r="I2498" s="16"/>
      <c r="J2498" s="54"/>
      <c r="K2498" s="42"/>
      <c r="L2498" s="16"/>
      <c r="M2498" s="16"/>
      <c r="AA2498" s="14">
        <f t="shared" si="78"/>
        <v>0</v>
      </c>
      <c r="AB2498" s="47">
        <f t="shared" si="79"/>
        <v>-1</v>
      </c>
      <c r="AD2498" s="53"/>
      <c r="AE2498" s="53"/>
      <c r="AF2498" s="53"/>
      <c r="AG2498" s="53"/>
    </row>
    <row r="2499" spans="1:33" s="46" customFormat="1">
      <c r="A2499" s="54"/>
      <c r="B2499" s="16"/>
      <c r="C2499" s="55"/>
      <c r="D2499" s="56"/>
      <c r="E2499" s="16"/>
      <c r="F2499" s="16"/>
      <c r="G2499" s="16"/>
      <c r="H2499" s="54"/>
      <c r="I2499" s="16"/>
      <c r="J2499" s="54"/>
      <c r="K2499" s="42"/>
      <c r="L2499" s="16"/>
      <c r="M2499" s="16"/>
      <c r="AA2499" s="14">
        <f t="shared" si="78"/>
        <v>0</v>
      </c>
      <c r="AB2499" s="47">
        <f t="shared" si="79"/>
        <v>-1</v>
      </c>
      <c r="AD2499" s="53"/>
      <c r="AE2499" s="53"/>
      <c r="AF2499" s="53"/>
      <c r="AG2499" s="53"/>
    </row>
    <row r="2500" spans="1:33" s="46" customFormat="1">
      <c r="A2500" s="54"/>
      <c r="B2500" s="16"/>
      <c r="C2500" s="55"/>
      <c r="D2500" s="56"/>
      <c r="E2500" s="16"/>
      <c r="F2500" s="16"/>
      <c r="G2500" s="16"/>
      <c r="H2500" s="54"/>
      <c r="I2500" s="16"/>
      <c r="J2500" s="54"/>
      <c r="K2500" s="42"/>
      <c r="L2500" s="16"/>
      <c r="M2500" s="16"/>
      <c r="AA2500" s="14">
        <f t="shared" si="78"/>
        <v>0</v>
      </c>
      <c r="AB2500" s="47">
        <f t="shared" si="79"/>
        <v>-1</v>
      </c>
      <c r="AD2500" s="53"/>
      <c r="AE2500" s="53"/>
      <c r="AF2500" s="53"/>
      <c r="AG2500" s="53"/>
    </row>
    <row r="2501" spans="1:33" s="46" customFormat="1">
      <c r="A2501" s="54"/>
      <c r="B2501" s="16"/>
      <c r="C2501" s="55"/>
      <c r="D2501" s="56"/>
      <c r="E2501" s="16"/>
      <c r="F2501" s="16"/>
      <c r="G2501" s="16"/>
      <c r="H2501" s="54"/>
      <c r="I2501" s="16"/>
      <c r="J2501" s="54"/>
      <c r="K2501" s="42"/>
      <c r="L2501" s="16"/>
      <c r="M2501" s="16"/>
      <c r="AA2501" s="14">
        <f t="shared" si="78"/>
        <v>0</v>
      </c>
      <c r="AB2501" s="47">
        <f t="shared" si="79"/>
        <v>-1</v>
      </c>
      <c r="AD2501" s="53"/>
      <c r="AE2501" s="53"/>
      <c r="AF2501" s="53"/>
      <c r="AG2501" s="53"/>
    </row>
    <row r="2502" spans="1:33" s="46" customFormat="1">
      <c r="A2502" s="54"/>
      <c r="B2502" s="16"/>
      <c r="C2502" s="55"/>
      <c r="D2502" s="56"/>
      <c r="E2502" s="16"/>
      <c r="F2502" s="16"/>
      <c r="G2502" s="16"/>
      <c r="H2502" s="54"/>
      <c r="I2502" s="16"/>
      <c r="J2502" s="54"/>
      <c r="K2502" s="42"/>
      <c r="L2502" s="16"/>
      <c r="M2502" s="16"/>
      <c r="AA2502" s="14">
        <f t="shared" si="78"/>
        <v>0</v>
      </c>
      <c r="AB2502" s="47">
        <f t="shared" si="79"/>
        <v>-1</v>
      </c>
      <c r="AD2502" s="53"/>
      <c r="AE2502" s="53"/>
      <c r="AF2502" s="53"/>
      <c r="AG2502" s="53"/>
    </row>
    <row r="2503" spans="1:33" s="46" customFormat="1">
      <c r="A2503" s="54"/>
      <c r="B2503" s="16"/>
      <c r="C2503" s="55"/>
      <c r="D2503" s="56"/>
      <c r="E2503" s="16"/>
      <c r="F2503" s="16"/>
      <c r="G2503" s="16"/>
      <c r="H2503" s="54"/>
      <c r="I2503" s="16"/>
      <c r="J2503" s="54"/>
      <c r="K2503" s="42"/>
      <c r="L2503" s="16"/>
      <c r="M2503" s="16"/>
      <c r="AA2503" s="14">
        <f t="shared" si="78"/>
        <v>0</v>
      </c>
      <c r="AB2503" s="47">
        <f t="shared" si="79"/>
        <v>-1</v>
      </c>
      <c r="AD2503" s="53"/>
      <c r="AE2503" s="53"/>
      <c r="AF2503" s="53"/>
      <c r="AG2503" s="53"/>
    </row>
    <row r="2504" spans="1:33" s="46" customFormat="1">
      <c r="A2504" s="54"/>
      <c r="B2504" s="16"/>
      <c r="C2504" s="55"/>
      <c r="D2504" s="56"/>
      <c r="E2504" s="16"/>
      <c r="F2504" s="16"/>
      <c r="G2504" s="16"/>
      <c r="H2504" s="54"/>
      <c r="I2504" s="16"/>
      <c r="J2504" s="54"/>
      <c r="K2504" s="42"/>
      <c r="L2504" s="16"/>
      <c r="M2504" s="16"/>
      <c r="AA2504" s="14">
        <f t="shared" si="78"/>
        <v>0</v>
      </c>
      <c r="AB2504" s="47">
        <f t="shared" si="79"/>
        <v>-1</v>
      </c>
      <c r="AD2504" s="53"/>
      <c r="AE2504" s="53"/>
      <c r="AF2504" s="53"/>
      <c r="AG2504" s="53"/>
    </row>
    <row r="2505" spans="1:33" s="46" customFormat="1">
      <c r="A2505" s="54"/>
      <c r="B2505" s="16"/>
      <c r="C2505" s="55"/>
      <c r="D2505" s="56"/>
      <c r="E2505" s="16"/>
      <c r="F2505" s="16"/>
      <c r="G2505" s="16"/>
      <c r="H2505" s="54"/>
      <c r="I2505" s="16"/>
      <c r="J2505" s="54"/>
      <c r="K2505" s="42"/>
      <c r="L2505" s="16"/>
      <c r="M2505" s="16"/>
      <c r="AA2505" s="14">
        <f t="shared" si="78"/>
        <v>0</v>
      </c>
      <c r="AB2505" s="47">
        <f t="shared" si="79"/>
        <v>-1</v>
      </c>
      <c r="AD2505" s="53"/>
      <c r="AE2505" s="53"/>
      <c r="AF2505" s="53"/>
      <c r="AG2505" s="53"/>
    </row>
    <row r="2506" spans="1:33" s="46" customFormat="1">
      <c r="A2506" s="54"/>
      <c r="B2506" s="16"/>
      <c r="C2506" s="55"/>
      <c r="D2506" s="56"/>
      <c r="E2506" s="16"/>
      <c r="F2506" s="16"/>
      <c r="G2506" s="16"/>
      <c r="H2506" s="54"/>
      <c r="I2506" s="16"/>
      <c r="J2506" s="54"/>
      <c r="K2506" s="42"/>
      <c r="L2506" s="16"/>
      <c r="M2506" s="16"/>
      <c r="AA2506" s="14">
        <f t="shared" si="78"/>
        <v>0</v>
      </c>
      <c r="AB2506" s="47">
        <f t="shared" si="79"/>
        <v>-1</v>
      </c>
      <c r="AD2506" s="53"/>
      <c r="AE2506" s="53"/>
      <c r="AF2506" s="53"/>
      <c r="AG2506" s="53"/>
    </row>
    <row r="2507" spans="1:33" s="46" customFormat="1">
      <c r="A2507" s="54"/>
      <c r="B2507" s="16"/>
      <c r="C2507" s="55"/>
      <c r="D2507" s="56"/>
      <c r="E2507" s="16"/>
      <c r="F2507" s="16"/>
      <c r="G2507" s="16"/>
      <c r="H2507" s="54"/>
      <c r="I2507" s="16"/>
      <c r="J2507" s="54"/>
      <c r="K2507" s="42"/>
      <c r="L2507" s="16"/>
      <c r="M2507" s="16"/>
      <c r="AA2507" s="14">
        <f t="shared" si="78"/>
        <v>0</v>
      </c>
      <c r="AB2507" s="47">
        <f t="shared" si="79"/>
        <v>-1</v>
      </c>
      <c r="AD2507" s="53"/>
      <c r="AE2507" s="53"/>
      <c r="AF2507" s="53"/>
      <c r="AG2507" s="53"/>
    </row>
    <row r="2508" spans="1:33" s="46" customFormat="1">
      <c r="A2508" s="54"/>
      <c r="B2508" s="16"/>
      <c r="C2508" s="55"/>
      <c r="D2508" s="56"/>
      <c r="E2508" s="16"/>
      <c r="F2508" s="16"/>
      <c r="G2508" s="16"/>
      <c r="H2508" s="54"/>
      <c r="I2508" s="16"/>
      <c r="J2508" s="54"/>
      <c r="K2508" s="42"/>
      <c r="L2508" s="16"/>
      <c r="M2508" s="16"/>
      <c r="AA2508" s="14">
        <f t="shared" si="78"/>
        <v>0</v>
      </c>
      <c r="AB2508" s="47">
        <f t="shared" si="79"/>
        <v>-1</v>
      </c>
      <c r="AD2508" s="53"/>
      <c r="AE2508" s="53"/>
      <c r="AF2508" s="53"/>
      <c r="AG2508" s="53"/>
    </row>
    <row r="2509" spans="1:33" s="46" customFormat="1">
      <c r="A2509" s="54"/>
      <c r="B2509" s="16"/>
      <c r="C2509" s="55"/>
      <c r="D2509" s="56"/>
      <c r="E2509" s="16"/>
      <c r="F2509" s="16"/>
      <c r="G2509" s="16"/>
      <c r="H2509" s="54"/>
      <c r="I2509" s="16"/>
      <c r="J2509" s="54"/>
      <c r="K2509" s="42"/>
      <c r="L2509" s="16"/>
      <c r="M2509" s="16"/>
      <c r="AA2509" s="14">
        <f t="shared" si="78"/>
        <v>0</v>
      </c>
      <c r="AB2509" s="47">
        <f t="shared" si="79"/>
        <v>-1</v>
      </c>
      <c r="AD2509" s="53"/>
      <c r="AE2509" s="53"/>
      <c r="AF2509" s="53"/>
      <c r="AG2509" s="53"/>
    </row>
    <row r="2510" spans="1:33" s="46" customFormat="1">
      <c r="A2510" s="54"/>
      <c r="B2510" s="16"/>
      <c r="C2510" s="55"/>
      <c r="D2510" s="56"/>
      <c r="E2510" s="16"/>
      <c r="F2510" s="16"/>
      <c r="G2510" s="16"/>
      <c r="H2510" s="54"/>
      <c r="I2510" s="16"/>
      <c r="J2510" s="54"/>
      <c r="K2510" s="42"/>
      <c r="L2510" s="16"/>
      <c r="M2510" s="16"/>
      <c r="AA2510" s="14">
        <f t="shared" si="78"/>
        <v>0</v>
      </c>
      <c r="AB2510" s="47">
        <f t="shared" si="79"/>
        <v>-1</v>
      </c>
      <c r="AD2510" s="53"/>
      <c r="AE2510" s="53"/>
      <c r="AF2510" s="53"/>
      <c r="AG2510" s="53"/>
    </row>
    <row r="2511" spans="1:33" s="46" customFormat="1">
      <c r="A2511" s="54"/>
      <c r="B2511" s="16"/>
      <c r="C2511" s="55"/>
      <c r="D2511" s="56"/>
      <c r="E2511" s="16"/>
      <c r="F2511" s="16"/>
      <c r="G2511" s="16"/>
      <c r="H2511" s="54"/>
      <c r="I2511" s="16"/>
      <c r="J2511" s="54"/>
      <c r="K2511" s="42"/>
      <c r="L2511" s="16"/>
      <c r="M2511" s="16"/>
      <c r="AA2511" s="14">
        <f t="shared" si="78"/>
        <v>0</v>
      </c>
      <c r="AB2511" s="47">
        <f t="shared" si="79"/>
        <v>-1</v>
      </c>
      <c r="AD2511" s="53"/>
      <c r="AE2511" s="53"/>
      <c r="AF2511" s="53"/>
      <c r="AG2511" s="53"/>
    </row>
    <row r="2512" spans="1:33" s="46" customFormat="1">
      <c r="A2512" s="54"/>
      <c r="B2512" s="16"/>
      <c r="C2512" s="55"/>
      <c r="D2512" s="56"/>
      <c r="E2512" s="16"/>
      <c r="F2512" s="16"/>
      <c r="G2512" s="16"/>
      <c r="H2512" s="54"/>
      <c r="I2512" s="16"/>
      <c r="J2512" s="54"/>
      <c r="K2512" s="42"/>
      <c r="L2512" s="16"/>
      <c r="M2512" s="16"/>
      <c r="AA2512" s="14">
        <f t="shared" si="78"/>
        <v>0</v>
      </c>
      <c r="AB2512" s="47">
        <f t="shared" si="79"/>
        <v>-1</v>
      </c>
      <c r="AD2512" s="53"/>
      <c r="AE2512" s="53"/>
      <c r="AF2512" s="53"/>
      <c r="AG2512" s="53"/>
    </row>
    <row r="2513" spans="1:33" s="46" customFormat="1">
      <c r="A2513" s="54"/>
      <c r="B2513" s="16"/>
      <c r="C2513" s="55"/>
      <c r="D2513" s="56"/>
      <c r="E2513" s="16"/>
      <c r="F2513" s="16"/>
      <c r="G2513" s="16"/>
      <c r="H2513" s="54"/>
      <c r="I2513" s="16"/>
      <c r="J2513" s="54"/>
      <c r="K2513" s="42"/>
      <c r="L2513" s="16"/>
      <c r="M2513" s="16"/>
      <c r="AA2513" s="14">
        <f t="shared" si="78"/>
        <v>0</v>
      </c>
      <c r="AB2513" s="47">
        <f t="shared" si="79"/>
        <v>-1</v>
      </c>
      <c r="AD2513" s="53"/>
      <c r="AE2513" s="53"/>
      <c r="AF2513" s="53"/>
      <c r="AG2513" s="53"/>
    </row>
    <row r="2514" spans="1:33" s="46" customFormat="1">
      <c r="A2514" s="54"/>
      <c r="B2514" s="16"/>
      <c r="C2514" s="55"/>
      <c r="D2514" s="56"/>
      <c r="E2514" s="16"/>
      <c r="F2514" s="16"/>
      <c r="G2514" s="16"/>
      <c r="H2514" s="54"/>
      <c r="I2514" s="16"/>
      <c r="J2514" s="54"/>
      <c r="K2514" s="42"/>
      <c r="L2514" s="16"/>
      <c r="M2514" s="16"/>
      <c r="AA2514" s="14">
        <f t="shared" si="78"/>
        <v>0</v>
      </c>
      <c r="AB2514" s="47">
        <f t="shared" si="79"/>
        <v>-1</v>
      </c>
      <c r="AD2514" s="53"/>
      <c r="AE2514" s="53"/>
      <c r="AF2514" s="53"/>
      <c r="AG2514" s="53"/>
    </row>
    <row r="2515" spans="1:33" s="46" customFormat="1">
      <c r="A2515" s="54"/>
      <c r="B2515" s="16"/>
      <c r="C2515" s="55"/>
      <c r="D2515" s="56"/>
      <c r="E2515" s="16"/>
      <c r="F2515" s="16"/>
      <c r="G2515" s="16"/>
      <c r="H2515" s="54"/>
      <c r="I2515" s="16"/>
      <c r="J2515" s="54"/>
      <c r="K2515" s="42"/>
      <c r="L2515" s="16"/>
      <c r="M2515" s="16"/>
      <c r="AA2515" s="14">
        <f t="shared" si="78"/>
        <v>0</v>
      </c>
      <c r="AB2515" s="47">
        <f t="shared" si="79"/>
        <v>-1</v>
      </c>
      <c r="AD2515" s="53"/>
      <c r="AE2515" s="53"/>
      <c r="AF2515" s="53"/>
      <c r="AG2515" s="53"/>
    </row>
    <row r="2516" spans="1:33" s="46" customFormat="1">
      <c r="A2516" s="54"/>
      <c r="B2516" s="16"/>
      <c r="C2516" s="55"/>
      <c r="D2516" s="56"/>
      <c r="E2516" s="16"/>
      <c r="F2516" s="16"/>
      <c r="G2516" s="16"/>
      <c r="H2516" s="54"/>
      <c r="I2516" s="16"/>
      <c r="J2516" s="54"/>
      <c r="K2516" s="42"/>
      <c r="L2516" s="16"/>
      <c r="M2516" s="16"/>
      <c r="AA2516" s="14">
        <f t="shared" si="78"/>
        <v>0</v>
      </c>
      <c r="AB2516" s="47">
        <f t="shared" si="79"/>
        <v>-1</v>
      </c>
      <c r="AD2516" s="53"/>
      <c r="AE2516" s="53"/>
      <c r="AF2516" s="53"/>
      <c r="AG2516" s="53"/>
    </row>
    <row r="2517" spans="1:33" s="46" customFormat="1">
      <c r="A2517" s="54"/>
      <c r="B2517" s="16"/>
      <c r="C2517" s="55"/>
      <c r="D2517" s="56"/>
      <c r="E2517" s="16"/>
      <c r="F2517" s="16"/>
      <c r="G2517" s="16"/>
      <c r="H2517" s="54"/>
      <c r="I2517" s="16"/>
      <c r="J2517" s="54"/>
      <c r="K2517" s="42"/>
      <c r="L2517" s="16"/>
      <c r="M2517" s="16"/>
      <c r="AA2517" s="14">
        <f t="shared" si="78"/>
        <v>0</v>
      </c>
      <c r="AB2517" s="47">
        <f t="shared" si="79"/>
        <v>-1</v>
      </c>
      <c r="AD2517" s="53"/>
      <c r="AE2517" s="53"/>
      <c r="AF2517" s="53"/>
      <c r="AG2517" s="53"/>
    </row>
    <row r="2518" spans="1:33" s="46" customFormat="1">
      <c r="A2518" s="54"/>
      <c r="B2518" s="16"/>
      <c r="C2518" s="55"/>
      <c r="D2518" s="56"/>
      <c r="E2518" s="16"/>
      <c r="F2518" s="16"/>
      <c r="G2518" s="16"/>
      <c r="H2518" s="54"/>
      <c r="I2518" s="16"/>
      <c r="J2518" s="54"/>
      <c r="K2518" s="42"/>
      <c r="L2518" s="16"/>
      <c r="M2518" s="16"/>
      <c r="AA2518" s="14">
        <f t="shared" si="78"/>
        <v>0</v>
      </c>
      <c r="AB2518" s="47">
        <f t="shared" si="79"/>
        <v>-1</v>
      </c>
      <c r="AD2518" s="53"/>
      <c r="AE2518" s="53"/>
      <c r="AF2518" s="53"/>
      <c r="AG2518" s="53"/>
    </row>
    <row r="2519" spans="1:33" s="46" customFormat="1">
      <c r="A2519" s="54"/>
      <c r="B2519" s="16"/>
      <c r="C2519" s="55"/>
      <c r="D2519" s="56"/>
      <c r="E2519" s="16"/>
      <c r="F2519" s="16"/>
      <c r="G2519" s="16"/>
      <c r="H2519" s="54"/>
      <c r="I2519" s="16"/>
      <c r="J2519" s="54"/>
      <c r="K2519" s="42"/>
      <c r="L2519" s="16"/>
      <c r="M2519" s="16"/>
      <c r="AA2519" s="14">
        <f t="shared" si="78"/>
        <v>0</v>
      </c>
      <c r="AB2519" s="47">
        <f t="shared" si="79"/>
        <v>-1</v>
      </c>
      <c r="AD2519" s="53"/>
      <c r="AE2519" s="53"/>
      <c r="AF2519" s="53"/>
      <c r="AG2519" s="53"/>
    </row>
    <row r="2520" spans="1:33" s="46" customFormat="1">
      <c r="A2520" s="54"/>
      <c r="B2520" s="16"/>
      <c r="C2520" s="55"/>
      <c r="D2520" s="56"/>
      <c r="E2520" s="16"/>
      <c r="F2520" s="16"/>
      <c r="G2520" s="16"/>
      <c r="H2520" s="54"/>
      <c r="I2520" s="16"/>
      <c r="J2520" s="54"/>
      <c r="K2520" s="42"/>
      <c r="L2520" s="16"/>
      <c r="M2520" s="16"/>
      <c r="AA2520" s="14">
        <f t="shared" si="78"/>
        <v>0</v>
      </c>
      <c r="AB2520" s="47">
        <f t="shared" si="79"/>
        <v>-1</v>
      </c>
      <c r="AD2520" s="53"/>
      <c r="AE2520" s="53"/>
      <c r="AF2520" s="53"/>
      <c r="AG2520" s="53"/>
    </row>
    <row r="2521" spans="1:33" s="46" customFormat="1">
      <c r="A2521" s="54"/>
      <c r="B2521" s="16"/>
      <c r="C2521" s="55"/>
      <c r="D2521" s="56"/>
      <c r="E2521" s="16"/>
      <c r="F2521" s="16"/>
      <c r="G2521" s="16"/>
      <c r="H2521" s="54"/>
      <c r="I2521" s="16"/>
      <c r="J2521" s="54"/>
      <c r="K2521" s="42"/>
      <c r="L2521" s="16"/>
      <c r="M2521" s="16"/>
      <c r="AA2521" s="14">
        <f t="shared" si="78"/>
        <v>0</v>
      </c>
      <c r="AB2521" s="47">
        <f t="shared" si="79"/>
        <v>-1</v>
      </c>
      <c r="AD2521" s="53"/>
      <c r="AE2521" s="53"/>
      <c r="AF2521" s="53"/>
      <c r="AG2521" s="53"/>
    </row>
    <row r="2522" spans="1:33" s="46" customFormat="1">
      <c r="A2522" s="54"/>
      <c r="B2522" s="16"/>
      <c r="C2522" s="55"/>
      <c r="D2522" s="56"/>
      <c r="E2522" s="16"/>
      <c r="F2522" s="16"/>
      <c r="G2522" s="16"/>
      <c r="H2522" s="54"/>
      <c r="I2522" s="16"/>
      <c r="J2522" s="54"/>
      <c r="K2522" s="42"/>
      <c r="L2522" s="16"/>
      <c r="M2522" s="16"/>
      <c r="AA2522" s="14">
        <f t="shared" si="78"/>
        <v>0</v>
      </c>
      <c r="AB2522" s="47">
        <f t="shared" si="79"/>
        <v>-1</v>
      </c>
      <c r="AD2522" s="53"/>
      <c r="AE2522" s="53"/>
      <c r="AF2522" s="53"/>
      <c r="AG2522" s="53"/>
    </row>
    <row r="2523" spans="1:33" s="46" customFormat="1">
      <c r="A2523" s="54"/>
      <c r="B2523" s="16"/>
      <c r="C2523" s="55"/>
      <c r="D2523" s="56"/>
      <c r="E2523" s="16"/>
      <c r="F2523" s="16"/>
      <c r="G2523" s="16"/>
      <c r="H2523" s="54"/>
      <c r="I2523" s="16"/>
      <c r="J2523" s="54"/>
      <c r="K2523" s="42"/>
      <c r="L2523" s="16"/>
      <c r="M2523" s="16"/>
      <c r="AA2523" s="14">
        <f t="shared" si="78"/>
        <v>0</v>
      </c>
      <c r="AB2523" s="47">
        <f t="shared" si="79"/>
        <v>-1</v>
      </c>
      <c r="AD2523" s="53"/>
      <c r="AE2523" s="53"/>
      <c r="AF2523" s="53"/>
      <c r="AG2523" s="53"/>
    </row>
    <row r="2524" spans="1:33" s="46" customFormat="1">
      <c r="A2524" s="54"/>
      <c r="B2524" s="16"/>
      <c r="C2524" s="55"/>
      <c r="D2524" s="56"/>
      <c r="E2524" s="16"/>
      <c r="F2524" s="16"/>
      <c r="G2524" s="16"/>
      <c r="H2524" s="54"/>
      <c r="I2524" s="16"/>
      <c r="J2524" s="54"/>
      <c r="K2524" s="42"/>
      <c r="L2524" s="16"/>
      <c r="M2524" s="16"/>
      <c r="AA2524" s="14">
        <f t="shared" si="78"/>
        <v>0</v>
      </c>
      <c r="AB2524" s="47">
        <f t="shared" si="79"/>
        <v>-1</v>
      </c>
      <c r="AD2524" s="53"/>
      <c r="AE2524" s="53"/>
      <c r="AF2524" s="53"/>
      <c r="AG2524" s="53"/>
    </row>
    <row r="2525" spans="1:33" s="46" customFormat="1">
      <c r="A2525" s="54"/>
      <c r="B2525" s="16"/>
      <c r="C2525" s="55"/>
      <c r="D2525" s="56"/>
      <c r="E2525" s="16"/>
      <c r="F2525" s="16"/>
      <c r="G2525" s="16"/>
      <c r="H2525" s="54"/>
      <c r="I2525" s="16"/>
      <c r="J2525" s="54"/>
      <c r="K2525" s="42"/>
      <c r="L2525" s="16"/>
      <c r="M2525" s="16"/>
      <c r="AA2525" s="14">
        <f t="shared" si="78"/>
        <v>0</v>
      </c>
      <c r="AB2525" s="47">
        <f t="shared" si="79"/>
        <v>-1</v>
      </c>
      <c r="AD2525" s="53"/>
      <c r="AE2525" s="53"/>
      <c r="AF2525" s="53"/>
      <c r="AG2525" s="53"/>
    </row>
    <row r="2526" spans="1:33" s="46" customFormat="1">
      <c r="A2526" s="54"/>
      <c r="B2526" s="16"/>
      <c r="C2526" s="55"/>
      <c r="D2526" s="56"/>
      <c r="E2526" s="16"/>
      <c r="F2526" s="16"/>
      <c r="G2526" s="16"/>
      <c r="H2526" s="54"/>
      <c r="I2526" s="16"/>
      <c r="J2526" s="54"/>
      <c r="K2526" s="42"/>
      <c r="L2526" s="16"/>
      <c r="M2526" s="16"/>
      <c r="AA2526" s="14">
        <f t="shared" si="78"/>
        <v>0</v>
      </c>
      <c r="AB2526" s="47">
        <f t="shared" si="79"/>
        <v>-1</v>
      </c>
      <c r="AD2526" s="53"/>
      <c r="AE2526" s="53"/>
      <c r="AF2526" s="53"/>
      <c r="AG2526" s="53"/>
    </row>
    <row r="2527" spans="1:33" s="46" customFormat="1">
      <c r="A2527" s="54"/>
      <c r="B2527" s="16"/>
      <c r="C2527" s="55"/>
      <c r="D2527" s="56"/>
      <c r="E2527" s="16"/>
      <c r="F2527" s="16"/>
      <c r="G2527" s="16"/>
      <c r="H2527" s="54"/>
      <c r="I2527" s="16"/>
      <c r="J2527" s="54"/>
      <c r="K2527" s="42"/>
      <c r="L2527" s="16"/>
      <c r="M2527" s="16"/>
      <c r="AA2527" s="14">
        <f t="shared" si="78"/>
        <v>0</v>
      </c>
      <c r="AB2527" s="47">
        <f t="shared" si="79"/>
        <v>-1</v>
      </c>
      <c r="AD2527" s="53"/>
      <c r="AE2527" s="53"/>
      <c r="AF2527" s="53"/>
      <c r="AG2527" s="53"/>
    </row>
    <row r="2528" spans="1:33" s="46" customFormat="1">
      <c r="A2528" s="54"/>
      <c r="B2528" s="16"/>
      <c r="C2528" s="55"/>
      <c r="D2528" s="56"/>
      <c r="E2528" s="16"/>
      <c r="F2528" s="16"/>
      <c r="G2528" s="16"/>
      <c r="H2528" s="54"/>
      <c r="I2528" s="16"/>
      <c r="J2528" s="54"/>
      <c r="K2528" s="42"/>
      <c r="L2528" s="16"/>
      <c r="M2528" s="16"/>
      <c r="AA2528" s="14">
        <f t="shared" si="78"/>
        <v>0</v>
      </c>
      <c r="AB2528" s="47">
        <f t="shared" si="79"/>
        <v>-1</v>
      </c>
      <c r="AD2528" s="53"/>
      <c r="AE2528" s="53"/>
      <c r="AF2528" s="53"/>
      <c r="AG2528" s="53"/>
    </row>
    <row r="2529" spans="1:33" s="46" customFormat="1">
      <c r="A2529" s="54"/>
      <c r="B2529" s="16"/>
      <c r="C2529" s="55"/>
      <c r="D2529" s="56"/>
      <c r="E2529" s="16"/>
      <c r="F2529" s="16"/>
      <c r="G2529" s="16"/>
      <c r="H2529" s="54"/>
      <c r="I2529" s="16"/>
      <c r="J2529" s="54"/>
      <c r="K2529" s="42"/>
      <c r="L2529" s="16"/>
      <c r="M2529" s="16"/>
      <c r="AA2529" s="14">
        <f t="shared" si="78"/>
        <v>0</v>
      </c>
      <c r="AB2529" s="47">
        <f t="shared" si="79"/>
        <v>-1</v>
      </c>
      <c r="AD2529" s="53"/>
      <c r="AE2529" s="53"/>
      <c r="AF2529" s="53"/>
      <c r="AG2529" s="53"/>
    </row>
    <row r="2530" spans="1:33" s="46" customFormat="1">
      <c r="A2530" s="54"/>
      <c r="B2530" s="16"/>
      <c r="C2530" s="55"/>
      <c r="D2530" s="56"/>
      <c r="E2530" s="16"/>
      <c r="F2530" s="16"/>
      <c r="G2530" s="16"/>
      <c r="H2530" s="54"/>
      <c r="I2530" s="16"/>
      <c r="J2530" s="54"/>
      <c r="K2530" s="42"/>
      <c r="L2530" s="16"/>
      <c r="M2530" s="16"/>
      <c r="AA2530" s="14">
        <f t="shared" si="78"/>
        <v>0</v>
      </c>
      <c r="AB2530" s="47">
        <f t="shared" si="79"/>
        <v>-1</v>
      </c>
      <c r="AD2530" s="53"/>
      <c r="AE2530" s="53"/>
      <c r="AF2530" s="53"/>
      <c r="AG2530" s="53"/>
    </row>
    <row r="2531" spans="1:33" s="46" customFormat="1">
      <c r="A2531" s="54"/>
      <c r="B2531" s="16"/>
      <c r="C2531" s="55"/>
      <c r="D2531" s="56"/>
      <c r="E2531" s="16"/>
      <c r="F2531" s="16"/>
      <c r="G2531" s="16"/>
      <c r="H2531" s="54"/>
      <c r="I2531" s="16"/>
      <c r="J2531" s="54"/>
      <c r="K2531" s="42"/>
      <c r="L2531" s="16"/>
      <c r="M2531" s="16"/>
      <c r="AA2531" s="14">
        <f t="shared" si="78"/>
        <v>0</v>
      </c>
      <c r="AB2531" s="47">
        <f t="shared" si="79"/>
        <v>-1</v>
      </c>
      <c r="AD2531" s="53"/>
      <c r="AE2531" s="53"/>
      <c r="AF2531" s="53"/>
      <c r="AG2531" s="53"/>
    </row>
    <row r="2532" spans="1:33" s="46" customFormat="1">
      <c r="A2532" s="54"/>
      <c r="B2532" s="16"/>
      <c r="C2532" s="55"/>
      <c r="D2532" s="56"/>
      <c r="E2532" s="16"/>
      <c r="F2532" s="16"/>
      <c r="G2532" s="16"/>
      <c r="H2532" s="54"/>
      <c r="I2532" s="16"/>
      <c r="J2532" s="54"/>
      <c r="K2532" s="42"/>
      <c r="L2532" s="16"/>
      <c r="M2532" s="16"/>
      <c r="AA2532" s="14">
        <f t="shared" si="78"/>
        <v>0</v>
      </c>
      <c r="AB2532" s="47">
        <f t="shared" si="79"/>
        <v>-1</v>
      </c>
      <c r="AD2532" s="53"/>
      <c r="AE2532" s="53"/>
      <c r="AF2532" s="53"/>
      <c r="AG2532" s="53"/>
    </row>
    <row r="2533" spans="1:33" s="46" customFormat="1">
      <c r="A2533" s="54"/>
      <c r="B2533" s="16"/>
      <c r="C2533" s="55"/>
      <c r="D2533" s="56"/>
      <c r="E2533" s="16"/>
      <c r="F2533" s="16"/>
      <c r="G2533" s="16"/>
      <c r="H2533" s="54"/>
      <c r="I2533" s="16"/>
      <c r="J2533" s="54"/>
      <c r="K2533" s="42"/>
      <c r="L2533" s="16"/>
      <c r="M2533" s="16"/>
      <c r="AA2533" s="14">
        <f t="shared" si="78"/>
        <v>0</v>
      </c>
      <c r="AB2533" s="47">
        <f t="shared" si="79"/>
        <v>-1</v>
      </c>
      <c r="AD2533" s="53"/>
      <c r="AE2533" s="53"/>
      <c r="AF2533" s="53"/>
      <c r="AG2533" s="53"/>
    </row>
    <row r="2534" spans="1:33" s="46" customFormat="1">
      <c r="A2534" s="54"/>
      <c r="B2534" s="16"/>
      <c r="C2534" s="55"/>
      <c r="D2534" s="56"/>
      <c r="E2534" s="16"/>
      <c r="F2534" s="16"/>
      <c r="G2534" s="16"/>
      <c r="H2534" s="54"/>
      <c r="I2534" s="16"/>
      <c r="J2534" s="54"/>
      <c r="K2534" s="42"/>
      <c r="L2534" s="16"/>
      <c r="M2534" s="16"/>
      <c r="AA2534" s="14">
        <f t="shared" si="78"/>
        <v>0</v>
      </c>
      <c r="AB2534" s="47">
        <f t="shared" si="79"/>
        <v>-1</v>
      </c>
      <c r="AD2534" s="53"/>
      <c r="AE2534" s="53"/>
      <c r="AF2534" s="53"/>
      <c r="AG2534" s="53"/>
    </row>
    <row r="2535" spans="1:33" s="46" customFormat="1">
      <c r="A2535" s="54"/>
      <c r="B2535" s="16"/>
      <c r="C2535" s="55"/>
      <c r="D2535" s="56"/>
      <c r="E2535" s="16"/>
      <c r="F2535" s="16"/>
      <c r="G2535" s="16"/>
      <c r="H2535" s="54"/>
      <c r="I2535" s="16"/>
      <c r="J2535" s="54"/>
      <c r="K2535" s="42"/>
      <c r="L2535" s="16"/>
      <c r="M2535" s="16"/>
      <c r="AA2535" s="14">
        <f t="shared" si="78"/>
        <v>0</v>
      </c>
      <c r="AB2535" s="47">
        <f t="shared" si="79"/>
        <v>-1</v>
      </c>
      <c r="AD2535" s="53"/>
      <c r="AE2535" s="53"/>
      <c r="AF2535" s="53"/>
      <c r="AG2535" s="53"/>
    </row>
    <row r="2536" spans="1:33" s="46" customFormat="1">
      <c r="A2536" s="54"/>
      <c r="B2536" s="16"/>
      <c r="C2536" s="55"/>
      <c r="D2536" s="56"/>
      <c r="E2536" s="16"/>
      <c r="F2536" s="16"/>
      <c r="G2536" s="16"/>
      <c r="H2536" s="54"/>
      <c r="I2536" s="16"/>
      <c r="J2536" s="54"/>
      <c r="K2536" s="42"/>
      <c r="L2536" s="16"/>
      <c r="M2536" s="16"/>
      <c r="AA2536" s="14">
        <f t="shared" ref="AA2536:AA2599" si="80">C2536-C2535</f>
        <v>0</v>
      </c>
      <c r="AB2536" s="47">
        <f t="shared" ref="AB2536:AB2599" si="81">AA2536-1</f>
        <v>-1</v>
      </c>
      <c r="AD2536" s="53"/>
      <c r="AE2536" s="53"/>
      <c r="AF2536" s="53"/>
      <c r="AG2536" s="53"/>
    </row>
    <row r="2537" spans="1:33" s="46" customFormat="1">
      <c r="A2537" s="54"/>
      <c r="B2537" s="16"/>
      <c r="C2537" s="55"/>
      <c r="D2537" s="56"/>
      <c r="E2537" s="16"/>
      <c r="F2537" s="16"/>
      <c r="G2537" s="16"/>
      <c r="H2537" s="54"/>
      <c r="I2537" s="16"/>
      <c r="J2537" s="54"/>
      <c r="K2537" s="42"/>
      <c r="L2537" s="16"/>
      <c r="M2537" s="16"/>
      <c r="AA2537" s="14">
        <f t="shared" si="80"/>
        <v>0</v>
      </c>
      <c r="AB2537" s="47">
        <f t="shared" si="81"/>
        <v>-1</v>
      </c>
      <c r="AD2537" s="53"/>
      <c r="AE2537" s="53"/>
      <c r="AF2537" s="53"/>
      <c r="AG2537" s="53"/>
    </row>
    <row r="2538" spans="1:33" s="46" customFormat="1">
      <c r="A2538" s="54"/>
      <c r="B2538" s="16"/>
      <c r="C2538" s="55"/>
      <c r="D2538" s="56"/>
      <c r="E2538" s="16"/>
      <c r="F2538" s="16"/>
      <c r="G2538" s="16"/>
      <c r="H2538" s="54"/>
      <c r="I2538" s="16"/>
      <c r="J2538" s="54"/>
      <c r="K2538" s="42"/>
      <c r="L2538" s="16"/>
      <c r="M2538" s="16"/>
      <c r="AA2538" s="14">
        <f t="shared" si="80"/>
        <v>0</v>
      </c>
      <c r="AB2538" s="47">
        <f t="shared" si="81"/>
        <v>-1</v>
      </c>
      <c r="AD2538" s="53"/>
      <c r="AE2538" s="53"/>
      <c r="AF2538" s="53"/>
      <c r="AG2538" s="53"/>
    </row>
    <row r="2539" spans="1:33" s="46" customFormat="1">
      <c r="A2539" s="54"/>
      <c r="B2539" s="16"/>
      <c r="C2539" s="55"/>
      <c r="D2539" s="56"/>
      <c r="E2539" s="16"/>
      <c r="F2539" s="16"/>
      <c r="G2539" s="16"/>
      <c r="H2539" s="54"/>
      <c r="I2539" s="16"/>
      <c r="J2539" s="54"/>
      <c r="K2539" s="42"/>
      <c r="L2539" s="16"/>
      <c r="M2539" s="16"/>
      <c r="AA2539" s="14">
        <f t="shared" si="80"/>
        <v>0</v>
      </c>
      <c r="AB2539" s="47">
        <f t="shared" si="81"/>
        <v>-1</v>
      </c>
      <c r="AD2539" s="53"/>
      <c r="AE2539" s="53"/>
      <c r="AF2539" s="53"/>
      <c r="AG2539" s="53"/>
    </row>
    <row r="2540" spans="1:33" s="46" customFormat="1">
      <c r="A2540" s="54"/>
      <c r="B2540" s="16"/>
      <c r="C2540" s="55"/>
      <c r="D2540" s="56"/>
      <c r="E2540" s="16"/>
      <c r="F2540" s="16"/>
      <c r="G2540" s="16"/>
      <c r="H2540" s="54"/>
      <c r="I2540" s="16"/>
      <c r="J2540" s="54"/>
      <c r="K2540" s="42"/>
      <c r="L2540" s="16"/>
      <c r="M2540" s="16"/>
      <c r="AA2540" s="14">
        <f t="shared" si="80"/>
        <v>0</v>
      </c>
      <c r="AB2540" s="47">
        <f t="shared" si="81"/>
        <v>-1</v>
      </c>
      <c r="AD2540" s="53"/>
      <c r="AE2540" s="53"/>
      <c r="AF2540" s="53"/>
      <c r="AG2540" s="53"/>
    </row>
    <row r="2541" spans="1:33" s="46" customFormat="1">
      <c r="A2541" s="54"/>
      <c r="B2541" s="16"/>
      <c r="C2541" s="55"/>
      <c r="D2541" s="56"/>
      <c r="E2541" s="16"/>
      <c r="F2541" s="16"/>
      <c r="G2541" s="16"/>
      <c r="H2541" s="54"/>
      <c r="I2541" s="16"/>
      <c r="J2541" s="54"/>
      <c r="K2541" s="42"/>
      <c r="L2541" s="16"/>
      <c r="M2541" s="16"/>
      <c r="AA2541" s="14">
        <f t="shared" si="80"/>
        <v>0</v>
      </c>
      <c r="AB2541" s="47">
        <f t="shared" si="81"/>
        <v>-1</v>
      </c>
      <c r="AD2541" s="53"/>
      <c r="AE2541" s="53"/>
      <c r="AF2541" s="53"/>
      <c r="AG2541" s="53"/>
    </row>
    <row r="2542" spans="1:33" s="46" customFormat="1">
      <c r="A2542" s="54"/>
      <c r="B2542" s="16"/>
      <c r="C2542" s="55"/>
      <c r="D2542" s="56"/>
      <c r="E2542" s="16"/>
      <c r="F2542" s="16"/>
      <c r="G2542" s="16"/>
      <c r="H2542" s="54"/>
      <c r="I2542" s="16"/>
      <c r="J2542" s="54"/>
      <c r="K2542" s="42"/>
      <c r="L2542" s="16"/>
      <c r="M2542" s="16"/>
      <c r="AA2542" s="14">
        <f t="shared" si="80"/>
        <v>0</v>
      </c>
      <c r="AB2542" s="47">
        <f t="shared" si="81"/>
        <v>-1</v>
      </c>
      <c r="AD2542" s="53"/>
      <c r="AE2542" s="53"/>
      <c r="AF2542" s="53"/>
      <c r="AG2542" s="53"/>
    </row>
    <row r="2543" spans="1:33" s="46" customFormat="1">
      <c r="A2543" s="54"/>
      <c r="B2543" s="16"/>
      <c r="C2543" s="55"/>
      <c r="D2543" s="56"/>
      <c r="E2543" s="16"/>
      <c r="F2543" s="16"/>
      <c r="G2543" s="16"/>
      <c r="H2543" s="54"/>
      <c r="I2543" s="16"/>
      <c r="J2543" s="54"/>
      <c r="K2543" s="42"/>
      <c r="L2543" s="16"/>
      <c r="M2543" s="16"/>
      <c r="AA2543" s="14">
        <f t="shared" si="80"/>
        <v>0</v>
      </c>
      <c r="AB2543" s="47">
        <f t="shared" si="81"/>
        <v>-1</v>
      </c>
      <c r="AD2543" s="53"/>
      <c r="AE2543" s="53"/>
      <c r="AF2543" s="53"/>
      <c r="AG2543" s="53"/>
    </row>
    <row r="2544" spans="1:33" s="46" customFormat="1">
      <c r="A2544" s="54"/>
      <c r="B2544" s="16"/>
      <c r="C2544" s="55"/>
      <c r="D2544" s="56"/>
      <c r="E2544" s="16"/>
      <c r="F2544" s="16"/>
      <c r="G2544" s="16"/>
      <c r="H2544" s="54"/>
      <c r="I2544" s="16"/>
      <c r="J2544" s="54"/>
      <c r="K2544" s="42"/>
      <c r="L2544" s="16"/>
      <c r="M2544" s="16"/>
      <c r="AA2544" s="14">
        <f t="shared" si="80"/>
        <v>0</v>
      </c>
      <c r="AB2544" s="47">
        <f t="shared" si="81"/>
        <v>-1</v>
      </c>
      <c r="AD2544" s="53"/>
      <c r="AE2544" s="53"/>
      <c r="AF2544" s="53"/>
      <c r="AG2544" s="53"/>
    </row>
    <row r="2545" spans="1:33" s="46" customFormat="1">
      <c r="A2545" s="54"/>
      <c r="B2545" s="16"/>
      <c r="C2545" s="55"/>
      <c r="D2545" s="56"/>
      <c r="E2545" s="16"/>
      <c r="F2545" s="16"/>
      <c r="G2545" s="16"/>
      <c r="H2545" s="54"/>
      <c r="I2545" s="16"/>
      <c r="J2545" s="54"/>
      <c r="K2545" s="42"/>
      <c r="L2545" s="16"/>
      <c r="M2545" s="16"/>
      <c r="AA2545" s="14">
        <f t="shared" si="80"/>
        <v>0</v>
      </c>
      <c r="AB2545" s="47">
        <f t="shared" si="81"/>
        <v>-1</v>
      </c>
      <c r="AD2545" s="53"/>
      <c r="AE2545" s="53"/>
      <c r="AF2545" s="53"/>
      <c r="AG2545" s="53"/>
    </row>
    <row r="2546" spans="1:33" s="46" customFormat="1">
      <c r="A2546" s="54"/>
      <c r="B2546" s="16"/>
      <c r="C2546" s="55"/>
      <c r="D2546" s="56"/>
      <c r="E2546" s="16"/>
      <c r="F2546" s="16"/>
      <c r="G2546" s="16"/>
      <c r="H2546" s="54"/>
      <c r="I2546" s="16"/>
      <c r="J2546" s="54"/>
      <c r="K2546" s="42"/>
      <c r="L2546" s="16"/>
      <c r="M2546" s="16"/>
      <c r="AA2546" s="14">
        <f t="shared" si="80"/>
        <v>0</v>
      </c>
      <c r="AB2546" s="47">
        <f t="shared" si="81"/>
        <v>-1</v>
      </c>
      <c r="AD2546" s="53"/>
      <c r="AE2546" s="53"/>
      <c r="AF2546" s="53"/>
      <c r="AG2546" s="53"/>
    </row>
    <row r="2547" spans="1:33" s="46" customFormat="1">
      <c r="A2547" s="54"/>
      <c r="B2547" s="16"/>
      <c r="C2547" s="55"/>
      <c r="D2547" s="56"/>
      <c r="E2547" s="16"/>
      <c r="F2547" s="16"/>
      <c r="G2547" s="16"/>
      <c r="H2547" s="54"/>
      <c r="I2547" s="16"/>
      <c r="J2547" s="54"/>
      <c r="K2547" s="42"/>
      <c r="L2547" s="16"/>
      <c r="M2547" s="16"/>
      <c r="AA2547" s="14">
        <f t="shared" si="80"/>
        <v>0</v>
      </c>
      <c r="AB2547" s="47">
        <f t="shared" si="81"/>
        <v>-1</v>
      </c>
      <c r="AD2547" s="53"/>
      <c r="AE2547" s="53"/>
      <c r="AF2547" s="53"/>
      <c r="AG2547" s="53"/>
    </row>
    <row r="2548" spans="1:33" s="46" customFormat="1">
      <c r="A2548" s="54"/>
      <c r="B2548" s="16"/>
      <c r="C2548" s="55"/>
      <c r="D2548" s="56"/>
      <c r="E2548" s="16"/>
      <c r="F2548" s="16"/>
      <c r="G2548" s="16"/>
      <c r="H2548" s="54"/>
      <c r="I2548" s="16"/>
      <c r="J2548" s="54"/>
      <c r="K2548" s="42"/>
      <c r="L2548" s="16"/>
      <c r="M2548" s="16"/>
      <c r="AA2548" s="14">
        <f t="shared" si="80"/>
        <v>0</v>
      </c>
      <c r="AB2548" s="47">
        <f t="shared" si="81"/>
        <v>-1</v>
      </c>
      <c r="AD2548" s="53"/>
      <c r="AE2548" s="53"/>
      <c r="AF2548" s="53"/>
      <c r="AG2548" s="53"/>
    </row>
    <row r="2549" spans="1:33" s="46" customFormat="1">
      <c r="A2549" s="54"/>
      <c r="B2549" s="16"/>
      <c r="C2549" s="55"/>
      <c r="D2549" s="56"/>
      <c r="E2549" s="16"/>
      <c r="F2549" s="16"/>
      <c r="G2549" s="16"/>
      <c r="H2549" s="54"/>
      <c r="I2549" s="16"/>
      <c r="J2549" s="54"/>
      <c r="K2549" s="42"/>
      <c r="L2549" s="16"/>
      <c r="M2549" s="16"/>
      <c r="AA2549" s="14">
        <f t="shared" si="80"/>
        <v>0</v>
      </c>
      <c r="AB2549" s="47">
        <f t="shared" si="81"/>
        <v>-1</v>
      </c>
      <c r="AD2549" s="53"/>
      <c r="AE2549" s="53"/>
      <c r="AF2549" s="53"/>
      <c r="AG2549" s="53"/>
    </row>
    <row r="2550" spans="1:33" s="46" customFormat="1">
      <c r="A2550" s="54"/>
      <c r="B2550" s="16"/>
      <c r="C2550" s="55"/>
      <c r="D2550" s="56"/>
      <c r="E2550" s="16"/>
      <c r="F2550" s="16"/>
      <c r="G2550" s="16"/>
      <c r="H2550" s="54"/>
      <c r="I2550" s="16"/>
      <c r="J2550" s="54"/>
      <c r="K2550" s="42"/>
      <c r="L2550" s="16"/>
      <c r="M2550" s="16"/>
      <c r="AA2550" s="14">
        <f t="shared" si="80"/>
        <v>0</v>
      </c>
      <c r="AB2550" s="47">
        <f t="shared" si="81"/>
        <v>-1</v>
      </c>
      <c r="AD2550" s="53"/>
      <c r="AE2550" s="53"/>
      <c r="AF2550" s="53"/>
      <c r="AG2550" s="53"/>
    </row>
    <row r="2551" spans="1:33" s="46" customFormat="1">
      <c r="A2551" s="54"/>
      <c r="B2551" s="16"/>
      <c r="C2551" s="55"/>
      <c r="D2551" s="56"/>
      <c r="E2551" s="16"/>
      <c r="F2551" s="16"/>
      <c r="G2551" s="16"/>
      <c r="H2551" s="54"/>
      <c r="I2551" s="16"/>
      <c r="J2551" s="54"/>
      <c r="K2551" s="42"/>
      <c r="L2551" s="16"/>
      <c r="M2551" s="16"/>
      <c r="AA2551" s="14">
        <f t="shared" si="80"/>
        <v>0</v>
      </c>
      <c r="AB2551" s="47">
        <f t="shared" si="81"/>
        <v>-1</v>
      </c>
      <c r="AD2551" s="53"/>
      <c r="AE2551" s="53"/>
      <c r="AF2551" s="53"/>
      <c r="AG2551" s="53"/>
    </row>
    <row r="2552" spans="1:33" s="46" customFormat="1">
      <c r="A2552" s="54"/>
      <c r="B2552" s="16"/>
      <c r="C2552" s="55"/>
      <c r="D2552" s="56"/>
      <c r="E2552" s="16"/>
      <c r="F2552" s="16"/>
      <c r="G2552" s="16"/>
      <c r="H2552" s="54"/>
      <c r="I2552" s="16"/>
      <c r="J2552" s="54"/>
      <c r="K2552" s="42"/>
      <c r="L2552" s="16"/>
      <c r="M2552" s="16"/>
      <c r="AA2552" s="14">
        <f t="shared" si="80"/>
        <v>0</v>
      </c>
      <c r="AB2552" s="47">
        <f t="shared" si="81"/>
        <v>-1</v>
      </c>
      <c r="AD2552" s="53"/>
      <c r="AE2552" s="53"/>
      <c r="AF2552" s="53"/>
      <c r="AG2552" s="53"/>
    </row>
    <row r="2553" spans="1:33" s="46" customFormat="1">
      <c r="A2553" s="54"/>
      <c r="B2553" s="16"/>
      <c r="C2553" s="55"/>
      <c r="D2553" s="56"/>
      <c r="E2553" s="16"/>
      <c r="F2553" s="16"/>
      <c r="G2553" s="16"/>
      <c r="H2553" s="54"/>
      <c r="I2553" s="16"/>
      <c r="J2553" s="54"/>
      <c r="K2553" s="42"/>
      <c r="L2553" s="16"/>
      <c r="M2553" s="16"/>
      <c r="AA2553" s="14">
        <f t="shared" si="80"/>
        <v>0</v>
      </c>
      <c r="AB2553" s="47">
        <f t="shared" si="81"/>
        <v>-1</v>
      </c>
      <c r="AD2553" s="53"/>
      <c r="AE2553" s="53"/>
      <c r="AF2553" s="53"/>
      <c r="AG2553" s="53"/>
    </row>
    <row r="2554" spans="1:33" s="46" customFormat="1">
      <c r="A2554" s="54"/>
      <c r="B2554" s="16"/>
      <c r="C2554" s="55"/>
      <c r="D2554" s="56"/>
      <c r="E2554" s="16"/>
      <c r="F2554" s="16"/>
      <c r="G2554" s="16"/>
      <c r="H2554" s="54"/>
      <c r="I2554" s="16"/>
      <c r="J2554" s="54"/>
      <c r="K2554" s="42"/>
      <c r="L2554" s="16"/>
      <c r="M2554" s="16"/>
      <c r="AA2554" s="14">
        <f t="shared" si="80"/>
        <v>0</v>
      </c>
      <c r="AB2554" s="47">
        <f t="shared" si="81"/>
        <v>-1</v>
      </c>
      <c r="AD2554" s="53"/>
      <c r="AE2554" s="53"/>
      <c r="AF2554" s="53"/>
      <c r="AG2554" s="53"/>
    </row>
    <row r="2555" spans="1:33" s="46" customFormat="1">
      <c r="A2555" s="54"/>
      <c r="B2555" s="16"/>
      <c r="C2555" s="55"/>
      <c r="D2555" s="56"/>
      <c r="E2555" s="16"/>
      <c r="F2555" s="16"/>
      <c r="G2555" s="16"/>
      <c r="H2555" s="54"/>
      <c r="I2555" s="16"/>
      <c r="J2555" s="54"/>
      <c r="K2555" s="42"/>
      <c r="L2555" s="16"/>
      <c r="M2555" s="16"/>
      <c r="AA2555" s="14">
        <f t="shared" si="80"/>
        <v>0</v>
      </c>
      <c r="AB2555" s="47">
        <f t="shared" si="81"/>
        <v>-1</v>
      </c>
      <c r="AD2555" s="53"/>
      <c r="AE2555" s="53"/>
      <c r="AF2555" s="53"/>
      <c r="AG2555" s="53"/>
    </row>
    <row r="2556" spans="1:33" s="46" customFormat="1">
      <c r="A2556" s="54"/>
      <c r="B2556" s="16"/>
      <c r="C2556" s="55"/>
      <c r="D2556" s="56"/>
      <c r="E2556" s="16"/>
      <c r="F2556" s="16"/>
      <c r="G2556" s="16"/>
      <c r="H2556" s="54"/>
      <c r="I2556" s="16"/>
      <c r="J2556" s="54"/>
      <c r="K2556" s="42"/>
      <c r="L2556" s="16"/>
      <c r="M2556" s="16"/>
      <c r="AA2556" s="14">
        <f t="shared" si="80"/>
        <v>0</v>
      </c>
      <c r="AB2556" s="47">
        <f t="shared" si="81"/>
        <v>-1</v>
      </c>
      <c r="AD2556" s="53"/>
      <c r="AE2556" s="53"/>
      <c r="AF2556" s="53"/>
      <c r="AG2556" s="53"/>
    </row>
    <row r="2557" spans="1:33" s="46" customFormat="1">
      <c r="A2557" s="54"/>
      <c r="B2557" s="16"/>
      <c r="C2557" s="55"/>
      <c r="D2557" s="56"/>
      <c r="E2557" s="16"/>
      <c r="F2557" s="16"/>
      <c r="G2557" s="16"/>
      <c r="H2557" s="54"/>
      <c r="I2557" s="16"/>
      <c r="J2557" s="54"/>
      <c r="K2557" s="42"/>
      <c r="L2557" s="16"/>
      <c r="M2557" s="16"/>
      <c r="AA2557" s="14">
        <f t="shared" si="80"/>
        <v>0</v>
      </c>
      <c r="AB2557" s="47">
        <f t="shared" si="81"/>
        <v>-1</v>
      </c>
      <c r="AD2557" s="53"/>
      <c r="AE2557" s="53"/>
      <c r="AF2557" s="53"/>
      <c r="AG2557" s="53"/>
    </row>
    <row r="2558" spans="1:33" s="46" customFormat="1">
      <c r="A2558" s="54"/>
      <c r="B2558" s="16"/>
      <c r="C2558" s="55"/>
      <c r="D2558" s="56"/>
      <c r="E2558" s="16"/>
      <c r="F2558" s="16"/>
      <c r="G2558" s="16"/>
      <c r="H2558" s="54"/>
      <c r="I2558" s="16"/>
      <c r="J2558" s="54"/>
      <c r="K2558" s="42"/>
      <c r="L2558" s="16"/>
      <c r="M2558" s="16"/>
      <c r="AA2558" s="14">
        <f t="shared" si="80"/>
        <v>0</v>
      </c>
      <c r="AB2558" s="47">
        <f t="shared" si="81"/>
        <v>-1</v>
      </c>
      <c r="AD2558" s="53"/>
      <c r="AE2558" s="53"/>
      <c r="AF2558" s="53"/>
      <c r="AG2558" s="53"/>
    </row>
    <row r="2559" spans="1:33" s="46" customFormat="1">
      <c r="A2559" s="54"/>
      <c r="B2559" s="16"/>
      <c r="C2559" s="55"/>
      <c r="D2559" s="56"/>
      <c r="E2559" s="16"/>
      <c r="F2559" s="16"/>
      <c r="G2559" s="16"/>
      <c r="H2559" s="54"/>
      <c r="I2559" s="16"/>
      <c r="J2559" s="54"/>
      <c r="K2559" s="42"/>
      <c r="L2559" s="16"/>
      <c r="M2559" s="16"/>
      <c r="AA2559" s="14">
        <f t="shared" si="80"/>
        <v>0</v>
      </c>
      <c r="AB2559" s="47">
        <f t="shared" si="81"/>
        <v>-1</v>
      </c>
      <c r="AD2559" s="53"/>
      <c r="AE2559" s="53"/>
      <c r="AF2559" s="53"/>
      <c r="AG2559" s="53"/>
    </row>
    <row r="2560" spans="1:33" s="46" customFormat="1">
      <c r="A2560" s="54"/>
      <c r="B2560" s="16"/>
      <c r="C2560" s="55"/>
      <c r="D2560" s="56"/>
      <c r="E2560" s="16"/>
      <c r="F2560" s="16"/>
      <c r="G2560" s="16"/>
      <c r="H2560" s="54"/>
      <c r="I2560" s="16"/>
      <c r="J2560" s="54"/>
      <c r="K2560" s="42"/>
      <c r="L2560" s="16"/>
      <c r="M2560" s="16"/>
      <c r="AA2560" s="14">
        <f t="shared" si="80"/>
        <v>0</v>
      </c>
      <c r="AB2560" s="47">
        <f t="shared" si="81"/>
        <v>-1</v>
      </c>
      <c r="AD2560" s="53"/>
      <c r="AE2560" s="53"/>
      <c r="AF2560" s="53"/>
      <c r="AG2560" s="53"/>
    </row>
    <row r="2561" spans="1:33" s="46" customFormat="1">
      <c r="A2561" s="54"/>
      <c r="B2561" s="16"/>
      <c r="C2561" s="55"/>
      <c r="D2561" s="56"/>
      <c r="E2561" s="16"/>
      <c r="F2561" s="16"/>
      <c r="G2561" s="16"/>
      <c r="H2561" s="54"/>
      <c r="I2561" s="16"/>
      <c r="J2561" s="54"/>
      <c r="K2561" s="42"/>
      <c r="L2561" s="16"/>
      <c r="M2561" s="16"/>
      <c r="AA2561" s="14">
        <f t="shared" si="80"/>
        <v>0</v>
      </c>
      <c r="AB2561" s="47">
        <f t="shared" si="81"/>
        <v>-1</v>
      </c>
      <c r="AD2561" s="53"/>
      <c r="AE2561" s="53"/>
      <c r="AF2561" s="53"/>
      <c r="AG2561" s="53"/>
    </row>
    <row r="2562" spans="1:33" s="46" customFormat="1">
      <c r="A2562" s="54"/>
      <c r="B2562" s="16"/>
      <c r="C2562" s="55"/>
      <c r="D2562" s="56"/>
      <c r="E2562" s="16"/>
      <c r="F2562" s="16"/>
      <c r="G2562" s="16"/>
      <c r="H2562" s="54"/>
      <c r="I2562" s="16"/>
      <c r="J2562" s="54"/>
      <c r="K2562" s="42"/>
      <c r="L2562" s="16"/>
      <c r="M2562" s="16"/>
      <c r="AA2562" s="14">
        <f t="shared" si="80"/>
        <v>0</v>
      </c>
      <c r="AB2562" s="47">
        <f t="shared" si="81"/>
        <v>-1</v>
      </c>
      <c r="AD2562" s="53"/>
      <c r="AE2562" s="53"/>
      <c r="AF2562" s="53"/>
      <c r="AG2562" s="53"/>
    </row>
    <row r="2563" spans="1:33" s="46" customFormat="1">
      <c r="A2563" s="54"/>
      <c r="B2563" s="16"/>
      <c r="C2563" s="55"/>
      <c r="D2563" s="56"/>
      <c r="E2563" s="16"/>
      <c r="F2563" s="16"/>
      <c r="G2563" s="16"/>
      <c r="H2563" s="54"/>
      <c r="I2563" s="16"/>
      <c r="J2563" s="54"/>
      <c r="K2563" s="42"/>
      <c r="L2563" s="16"/>
      <c r="M2563" s="16"/>
      <c r="AA2563" s="14">
        <f t="shared" si="80"/>
        <v>0</v>
      </c>
      <c r="AB2563" s="47">
        <f t="shared" si="81"/>
        <v>-1</v>
      </c>
      <c r="AD2563" s="53"/>
      <c r="AE2563" s="53"/>
      <c r="AF2563" s="53"/>
      <c r="AG2563" s="53"/>
    </row>
    <row r="2564" spans="1:33" s="46" customFormat="1">
      <c r="A2564" s="54"/>
      <c r="B2564" s="16"/>
      <c r="C2564" s="55"/>
      <c r="D2564" s="56"/>
      <c r="E2564" s="16"/>
      <c r="F2564" s="16"/>
      <c r="G2564" s="16"/>
      <c r="H2564" s="54"/>
      <c r="I2564" s="16"/>
      <c r="J2564" s="54"/>
      <c r="K2564" s="42"/>
      <c r="L2564" s="16"/>
      <c r="M2564" s="16"/>
      <c r="AA2564" s="14">
        <f t="shared" si="80"/>
        <v>0</v>
      </c>
      <c r="AB2564" s="47">
        <f t="shared" si="81"/>
        <v>-1</v>
      </c>
      <c r="AD2564" s="53"/>
      <c r="AE2564" s="53"/>
      <c r="AF2564" s="53"/>
      <c r="AG2564" s="53"/>
    </row>
    <row r="2565" spans="1:33" s="46" customFormat="1">
      <c r="A2565" s="54"/>
      <c r="B2565" s="16"/>
      <c r="C2565" s="55"/>
      <c r="D2565" s="56"/>
      <c r="E2565" s="16"/>
      <c r="F2565" s="16"/>
      <c r="G2565" s="16"/>
      <c r="H2565" s="54"/>
      <c r="I2565" s="16"/>
      <c r="J2565" s="54"/>
      <c r="K2565" s="42"/>
      <c r="L2565" s="16"/>
      <c r="M2565" s="16"/>
      <c r="AA2565" s="14">
        <f t="shared" si="80"/>
        <v>0</v>
      </c>
      <c r="AB2565" s="47">
        <f t="shared" si="81"/>
        <v>-1</v>
      </c>
      <c r="AD2565" s="53"/>
      <c r="AE2565" s="53"/>
      <c r="AF2565" s="53"/>
      <c r="AG2565" s="53"/>
    </row>
    <row r="2566" spans="1:33" s="46" customFormat="1">
      <c r="A2566" s="54"/>
      <c r="B2566" s="16"/>
      <c r="C2566" s="55"/>
      <c r="D2566" s="56"/>
      <c r="E2566" s="16"/>
      <c r="F2566" s="16"/>
      <c r="G2566" s="16"/>
      <c r="H2566" s="54"/>
      <c r="I2566" s="16"/>
      <c r="J2566" s="54"/>
      <c r="K2566" s="42"/>
      <c r="L2566" s="16"/>
      <c r="M2566" s="16"/>
      <c r="AA2566" s="14">
        <f t="shared" si="80"/>
        <v>0</v>
      </c>
      <c r="AB2566" s="47">
        <f t="shared" si="81"/>
        <v>-1</v>
      </c>
      <c r="AD2566" s="53"/>
      <c r="AE2566" s="53"/>
      <c r="AF2566" s="53"/>
      <c r="AG2566" s="53"/>
    </row>
    <row r="2567" spans="1:33" s="46" customFormat="1">
      <c r="A2567" s="54"/>
      <c r="B2567" s="16"/>
      <c r="C2567" s="55"/>
      <c r="D2567" s="56"/>
      <c r="E2567" s="16"/>
      <c r="F2567" s="16"/>
      <c r="G2567" s="16"/>
      <c r="H2567" s="54"/>
      <c r="I2567" s="16"/>
      <c r="J2567" s="54"/>
      <c r="K2567" s="42"/>
      <c r="L2567" s="16"/>
      <c r="M2567" s="16"/>
      <c r="AA2567" s="14">
        <f t="shared" si="80"/>
        <v>0</v>
      </c>
      <c r="AB2567" s="47">
        <f t="shared" si="81"/>
        <v>-1</v>
      </c>
      <c r="AD2567" s="53"/>
      <c r="AE2567" s="53"/>
      <c r="AF2567" s="53"/>
      <c r="AG2567" s="53"/>
    </row>
    <row r="2568" spans="1:33" s="46" customFormat="1">
      <c r="A2568" s="54"/>
      <c r="B2568" s="16"/>
      <c r="C2568" s="55"/>
      <c r="D2568" s="56"/>
      <c r="E2568" s="16"/>
      <c r="F2568" s="16"/>
      <c r="G2568" s="16"/>
      <c r="H2568" s="54"/>
      <c r="I2568" s="16"/>
      <c r="J2568" s="54"/>
      <c r="K2568" s="42"/>
      <c r="L2568" s="16"/>
      <c r="M2568" s="16"/>
      <c r="AA2568" s="14">
        <f t="shared" si="80"/>
        <v>0</v>
      </c>
      <c r="AB2568" s="47">
        <f t="shared" si="81"/>
        <v>-1</v>
      </c>
      <c r="AD2568" s="53"/>
      <c r="AE2568" s="53"/>
      <c r="AF2568" s="53"/>
      <c r="AG2568" s="53"/>
    </row>
    <row r="2569" spans="1:33" s="46" customFormat="1">
      <c r="A2569" s="54"/>
      <c r="B2569" s="16"/>
      <c r="C2569" s="55"/>
      <c r="D2569" s="56"/>
      <c r="E2569" s="16"/>
      <c r="F2569" s="16"/>
      <c r="G2569" s="16"/>
      <c r="H2569" s="54"/>
      <c r="I2569" s="16"/>
      <c r="J2569" s="54"/>
      <c r="K2569" s="42"/>
      <c r="L2569" s="16"/>
      <c r="M2569" s="16"/>
      <c r="AA2569" s="14">
        <f t="shared" si="80"/>
        <v>0</v>
      </c>
      <c r="AB2569" s="47">
        <f t="shared" si="81"/>
        <v>-1</v>
      </c>
      <c r="AD2569" s="53"/>
      <c r="AE2569" s="53"/>
      <c r="AF2569" s="53"/>
      <c r="AG2569" s="53"/>
    </row>
    <row r="2570" spans="1:33" s="46" customFormat="1">
      <c r="A2570" s="54"/>
      <c r="B2570" s="16"/>
      <c r="C2570" s="55"/>
      <c r="D2570" s="56"/>
      <c r="E2570" s="16"/>
      <c r="F2570" s="16"/>
      <c r="G2570" s="16"/>
      <c r="H2570" s="54"/>
      <c r="I2570" s="16"/>
      <c r="J2570" s="54"/>
      <c r="K2570" s="42"/>
      <c r="L2570" s="16"/>
      <c r="M2570" s="16"/>
      <c r="AA2570" s="14">
        <f t="shared" si="80"/>
        <v>0</v>
      </c>
      <c r="AB2570" s="47">
        <f t="shared" si="81"/>
        <v>-1</v>
      </c>
      <c r="AD2570" s="53"/>
      <c r="AE2570" s="53"/>
      <c r="AF2570" s="53"/>
      <c r="AG2570" s="53"/>
    </row>
    <row r="2571" spans="1:33" s="46" customFormat="1">
      <c r="A2571" s="54"/>
      <c r="B2571" s="16"/>
      <c r="C2571" s="55"/>
      <c r="D2571" s="56"/>
      <c r="E2571" s="16"/>
      <c r="F2571" s="16"/>
      <c r="G2571" s="16"/>
      <c r="H2571" s="54"/>
      <c r="I2571" s="16"/>
      <c r="J2571" s="54"/>
      <c r="K2571" s="42"/>
      <c r="L2571" s="16"/>
      <c r="M2571" s="16"/>
      <c r="AA2571" s="14">
        <f t="shared" si="80"/>
        <v>0</v>
      </c>
      <c r="AB2571" s="47">
        <f t="shared" si="81"/>
        <v>-1</v>
      </c>
      <c r="AD2571" s="53"/>
      <c r="AE2571" s="53"/>
      <c r="AF2571" s="53"/>
      <c r="AG2571" s="53"/>
    </row>
    <row r="2572" spans="1:33" s="46" customFormat="1">
      <c r="A2572" s="54"/>
      <c r="B2572" s="16"/>
      <c r="C2572" s="55"/>
      <c r="D2572" s="56"/>
      <c r="E2572" s="16"/>
      <c r="F2572" s="16"/>
      <c r="G2572" s="16"/>
      <c r="H2572" s="54"/>
      <c r="I2572" s="16"/>
      <c r="J2572" s="54"/>
      <c r="K2572" s="42"/>
      <c r="L2572" s="16"/>
      <c r="M2572" s="16"/>
      <c r="AA2572" s="14">
        <f t="shared" si="80"/>
        <v>0</v>
      </c>
      <c r="AB2572" s="47">
        <f t="shared" si="81"/>
        <v>-1</v>
      </c>
      <c r="AD2572" s="53"/>
      <c r="AE2572" s="53"/>
      <c r="AF2572" s="53"/>
      <c r="AG2572" s="53"/>
    </row>
    <row r="2573" spans="1:33" s="46" customFormat="1">
      <c r="A2573" s="54"/>
      <c r="B2573" s="16"/>
      <c r="C2573" s="55"/>
      <c r="D2573" s="56"/>
      <c r="E2573" s="16"/>
      <c r="F2573" s="16"/>
      <c r="G2573" s="16"/>
      <c r="H2573" s="54"/>
      <c r="I2573" s="16"/>
      <c r="J2573" s="54"/>
      <c r="K2573" s="42"/>
      <c r="L2573" s="16"/>
      <c r="M2573" s="16"/>
      <c r="AA2573" s="14">
        <f t="shared" si="80"/>
        <v>0</v>
      </c>
      <c r="AB2573" s="47">
        <f t="shared" si="81"/>
        <v>-1</v>
      </c>
      <c r="AD2573" s="53"/>
      <c r="AE2573" s="53"/>
      <c r="AF2573" s="53"/>
      <c r="AG2573" s="53"/>
    </row>
    <row r="2574" spans="1:33" s="46" customFormat="1">
      <c r="A2574" s="54"/>
      <c r="B2574" s="16"/>
      <c r="C2574" s="55"/>
      <c r="D2574" s="56"/>
      <c r="E2574" s="16"/>
      <c r="F2574" s="16"/>
      <c r="G2574" s="16"/>
      <c r="H2574" s="54"/>
      <c r="I2574" s="16"/>
      <c r="J2574" s="54"/>
      <c r="K2574" s="42"/>
      <c r="L2574" s="16"/>
      <c r="M2574" s="16"/>
      <c r="AA2574" s="14">
        <f t="shared" si="80"/>
        <v>0</v>
      </c>
      <c r="AB2574" s="47">
        <f t="shared" si="81"/>
        <v>-1</v>
      </c>
      <c r="AD2574" s="53"/>
      <c r="AE2574" s="53"/>
      <c r="AF2574" s="53"/>
      <c r="AG2574" s="53"/>
    </row>
    <row r="2575" spans="1:33" s="46" customFormat="1">
      <c r="A2575" s="54"/>
      <c r="B2575" s="16"/>
      <c r="C2575" s="55"/>
      <c r="D2575" s="56"/>
      <c r="E2575" s="16"/>
      <c r="F2575" s="16"/>
      <c r="G2575" s="16"/>
      <c r="H2575" s="54"/>
      <c r="I2575" s="16"/>
      <c r="J2575" s="54"/>
      <c r="K2575" s="42"/>
      <c r="L2575" s="16"/>
      <c r="M2575" s="16"/>
      <c r="AA2575" s="14">
        <f t="shared" si="80"/>
        <v>0</v>
      </c>
      <c r="AB2575" s="47">
        <f t="shared" si="81"/>
        <v>-1</v>
      </c>
      <c r="AD2575" s="53"/>
      <c r="AE2575" s="53"/>
      <c r="AF2575" s="53"/>
      <c r="AG2575" s="53"/>
    </row>
    <row r="2576" spans="1:33" s="46" customFormat="1">
      <c r="A2576" s="54"/>
      <c r="B2576" s="16"/>
      <c r="C2576" s="55"/>
      <c r="D2576" s="56"/>
      <c r="E2576" s="16"/>
      <c r="F2576" s="16"/>
      <c r="G2576" s="16"/>
      <c r="H2576" s="54"/>
      <c r="I2576" s="16"/>
      <c r="J2576" s="54"/>
      <c r="K2576" s="42"/>
      <c r="L2576" s="16"/>
      <c r="M2576" s="16"/>
      <c r="AA2576" s="14">
        <f t="shared" si="80"/>
        <v>0</v>
      </c>
      <c r="AB2576" s="47">
        <f t="shared" si="81"/>
        <v>-1</v>
      </c>
      <c r="AD2576" s="53"/>
      <c r="AE2576" s="53"/>
      <c r="AF2576" s="53"/>
      <c r="AG2576" s="53"/>
    </row>
    <row r="2577" spans="1:33" s="46" customFormat="1">
      <c r="A2577" s="54"/>
      <c r="B2577" s="16"/>
      <c r="C2577" s="55"/>
      <c r="D2577" s="56"/>
      <c r="E2577" s="16"/>
      <c r="F2577" s="16"/>
      <c r="G2577" s="16"/>
      <c r="H2577" s="54"/>
      <c r="I2577" s="16"/>
      <c r="J2577" s="54"/>
      <c r="K2577" s="42"/>
      <c r="L2577" s="16"/>
      <c r="M2577" s="16"/>
      <c r="AA2577" s="14">
        <f t="shared" si="80"/>
        <v>0</v>
      </c>
      <c r="AB2577" s="47">
        <f t="shared" si="81"/>
        <v>-1</v>
      </c>
      <c r="AD2577" s="53"/>
      <c r="AE2577" s="53"/>
      <c r="AF2577" s="53"/>
      <c r="AG2577" s="53"/>
    </row>
    <row r="2578" spans="1:33" s="46" customFormat="1">
      <c r="A2578" s="54"/>
      <c r="B2578" s="16"/>
      <c r="C2578" s="55"/>
      <c r="D2578" s="56"/>
      <c r="E2578" s="16"/>
      <c r="F2578" s="16"/>
      <c r="G2578" s="16"/>
      <c r="H2578" s="54"/>
      <c r="I2578" s="16"/>
      <c r="J2578" s="54"/>
      <c r="K2578" s="42"/>
      <c r="L2578" s="16"/>
      <c r="M2578" s="16"/>
      <c r="AA2578" s="14">
        <f t="shared" si="80"/>
        <v>0</v>
      </c>
      <c r="AB2578" s="47">
        <f t="shared" si="81"/>
        <v>-1</v>
      </c>
      <c r="AD2578" s="53"/>
      <c r="AE2578" s="53"/>
      <c r="AF2578" s="53"/>
      <c r="AG2578" s="53"/>
    </row>
    <row r="2579" spans="1:33" s="46" customFormat="1">
      <c r="A2579" s="54"/>
      <c r="B2579" s="16"/>
      <c r="C2579" s="55"/>
      <c r="D2579" s="56"/>
      <c r="E2579" s="16"/>
      <c r="F2579" s="16"/>
      <c r="G2579" s="16"/>
      <c r="H2579" s="54"/>
      <c r="I2579" s="16"/>
      <c r="J2579" s="54"/>
      <c r="K2579" s="42"/>
      <c r="L2579" s="16"/>
      <c r="M2579" s="16"/>
      <c r="AA2579" s="14">
        <f t="shared" si="80"/>
        <v>0</v>
      </c>
      <c r="AB2579" s="47">
        <f t="shared" si="81"/>
        <v>-1</v>
      </c>
      <c r="AD2579" s="53"/>
      <c r="AE2579" s="53"/>
      <c r="AF2579" s="53"/>
      <c r="AG2579" s="53"/>
    </row>
    <row r="2580" spans="1:33" s="46" customFormat="1">
      <c r="A2580" s="54"/>
      <c r="B2580" s="16"/>
      <c r="C2580" s="55"/>
      <c r="D2580" s="56"/>
      <c r="E2580" s="16"/>
      <c r="F2580" s="16"/>
      <c r="G2580" s="16"/>
      <c r="H2580" s="54"/>
      <c r="I2580" s="16"/>
      <c r="J2580" s="54"/>
      <c r="K2580" s="42"/>
      <c r="L2580" s="16"/>
      <c r="M2580" s="16"/>
      <c r="AA2580" s="14">
        <f t="shared" si="80"/>
        <v>0</v>
      </c>
      <c r="AB2580" s="47">
        <f t="shared" si="81"/>
        <v>-1</v>
      </c>
      <c r="AD2580" s="53"/>
      <c r="AE2580" s="53"/>
      <c r="AF2580" s="53"/>
      <c r="AG2580" s="53"/>
    </row>
    <row r="2581" spans="1:33" s="46" customFormat="1">
      <c r="A2581" s="54"/>
      <c r="B2581" s="16"/>
      <c r="C2581" s="55"/>
      <c r="D2581" s="56"/>
      <c r="E2581" s="16"/>
      <c r="F2581" s="16"/>
      <c r="G2581" s="16"/>
      <c r="H2581" s="54"/>
      <c r="I2581" s="16"/>
      <c r="J2581" s="54"/>
      <c r="K2581" s="42"/>
      <c r="L2581" s="16"/>
      <c r="M2581" s="16"/>
      <c r="AA2581" s="14">
        <f t="shared" si="80"/>
        <v>0</v>
      </c>
      <c r="AB2581" s="47">
        <f t="shared" si="81"/>
        <v>-1</v>
      </c>
      <c r="AD2581" s="53"/>
      <c r="AE2581" s="53"/>
      <c r="AF2581" s="53"/>
      <c r="AG2581" s="53"/>
    </row>
    <row r="2582" spans="1:33" s="46" customFormat="1">
      <c r="A2582" s="54"/>
      <c r="B2582" s="16"/>
      <c r="C2582" s="55"/>
      <c r="D2582" s="56"/>
      <c r="E2582" s="16"/>
      <c r="F2582" s="16"/>
      <c r="G2582" s="16"/>
      <c r="H2582" s="54"/>
      <c r="I2582" s="16"/>
      <c r="J2582" s="54"/>
      <c r="K2582" s="42"/>
      <c r="L2582" s="16"/>
      <c r="M2582" s="16"/>
      <c r="AA2582" s="14">
        <f t="shared" si="80"/>
        <v>0</v>
      </c>
      <c r="AB2582" s="47">
        <f t="shared" si="81"/>
        <v>-1</v>
      </c>
      <c r="AD2582" s="53"/>
      <c r="AE2582" s="53"/>
      <c r="AF2582" s="53"/>
      <c r="AG2582" s="53"/>
    </row>
    <row r="2583" spans="1:33" s="46" customFormat="1">
      <c r="A2583" s="54"/>
      <c r="B2583" s="16"/>
      <c r="C2583" s="55"/>
      <c r="D2583" s="56"/>
      <c r="E2583" s="16"/>
      <c r="F2583" s="16"/>
      <c r="G2583" s="16"/>
      <c r="H2583" s="54"/>
      <c r="I2583" s="16"/>
      <c r="J2583" s="54"/>
      <c r="K2583" s="42"/>
      <c r="L2583" s="16"/>
      <c r="M2583" s="16"/>
      <c r="AA2583" s="14">
        <f t="shared" si="80"/>
        <v>0</v>
      </c>
      <c r="AB2583" s="47">
        <f t="shared" si="81"/>
        <v>-1</v>
      </c>
      <c r="AD2583" s="53"/>
      <c r="AE2583" s="53"/>
      <c r="AF2583" s="53"/>
      <c r="AG2583" s="53"/>
    </row>
    <row r="2584" spans="1:33" s="46" customFormat="1">
      <c r="A2584" s="54"/>
      <c r="B2584" s="16"/>
      <c r="C2584" s="55"/>
      <c r="D2584" s="56"/>
      <c r="E2584" s="16"/>
      <c r="F2584" s="16"/>
      <c r="G2584" s="16"/>
      <c r="H2584" s="54"/>
      <c r="I2584" s="16"/>
      <c r="J2584" s="54"/>
      <c r="K2584" s="42"/>
      <c r="L2584" s="16"/>
      <c r="M2584" s="16"/>
      <c r="AA2584" s="14">
        <f t="shared" si="80"/>
        <v>0</v>
      </c>
      <c r="AB2584" s="47">
        <f t="shared" si="81"/>
        <v>-1</v>
      </c>
      <c r="AD2584" s="53"/>
      <c r="AE2584" s="53"/>
      <c r="AF2584" s="53"/>
      <c r="AG2584" s="53"/>
    </row>
    <row r="2585" spans="1:33" s="46" customFormat="1">
      <c r="A2585" s="54"/>
      <c r="B2585" s="16"/>
      <c r="C2585" s="55"/>
      <c r="D2585" s="56"/>
      <c r="E2585" s="16"/>
      <c r="F2585" s="16"/>
      <c r="G2585" s="16"/>
      <c r="H2585" s="54"/>
      <c r="I2585" s="16"/>
      <c r="J2585" s="54"/>
      <c r="K2585" s="42"/>
      <c r="L2585" s="16"/>
      <c r="M2585" s="16"/>
      <c r="AA2585" s="14">
        <f t="shared" si="80"/>
        <v>0</v>
      </c>
      <c r="AB2585" s="47">
        <f t="shared" si="81"/>
        <v>-1</v>
      </c>
      <c r="AD2585" s="53"/>
      <c r="AE2585" s="53"/>
      <c r="AF2585" s="53"/>
      <c r="AG2585" s="53"/>
    </row>
    <row r="2586" spans="1:33" s="46" customFormat="1">
      <c r="A2586" s="54"/>
      <c r="B2586" s="16"/>
      <c r="C2586" s="55"/>
      <c r="D2586" s="56"/>
      <c r="E2586" s="16"/>
      <c r="F2586" s="16"/>
      <c r="G2586" s="16"/>
      <c r="H2586" s="54"/>
      <c r="I2586" s="16"/>
      <c r="J2586" s="54"/>
      <c r="K2586" s="42"/>
      <c r="L2586" s="16"/>
      <c r="M2586" s="16"/>
      <c r="AA2586" s="14">
        <f t="shared" si="80"/>
        <v>0</v>
      </c>
      <c r="AB2586" s="47">
        <f t="shared" si="81"/>
        <v>-1</v>
      </c>
      <c r="AD2586" s="53"/>
      <c r="AE2586" s="53"/>
      <c r="AF2586" s="53"/>
      <c r="AG2586" s="53"/>
    </row>
    <row r="2587" spans="1:33" s="46" customFormat="1">
      <c r="A2587" s="54"/>
      <c r="B2587" s="16"/>
      <c r="C2587" s="55"/>
      <c r="D2587" s="56"/>
      <c r="E2587" s="16"/>
      <c r="F2587" s="16"/>
      <c r="G2587" s="16"/>
      <c r="H2587" s="54"/>
      <c r="I2587" s="16"/>
      <c r="J2587" s="54"/>
      <c r="K2587" s="42"/>
      <c r="L2587" s="16"/>
      <c r="M2587" s="16"/>
      <c r="AA2587" s="14">
        <f t="shared" si="80"/>
        <v>0</v>
      </c>
      <c r="AB2587" s="47">
        <f t="shared" si="81"/>
        <v>-1</v>
      </c>
      <c r="AD2587" s="53"/>
      <c r="AE2587" s="53"/>
      <c r="AF2587" s="53"/>
      <c r="AG2587" s="53"/>
    </row>
    <row r="2588" spans="1:33" s="46" customFormat="1">
      <c r="A2588" s="54"/>
      <c r="B2588" s="16"/>
      <c r="C2588" s="55"/>
      <c r="D2588" s="56"/>
      <c r="E2588" s="16"/>
      <c r="F2588" s="16"/>
      <c r="G2588" s="16"/>
      <c r="H2588" s="54"/>
      <c r="I2588" s="16"/>
      <c r="J2588" s="54"/>
      <c r="K2588" s="42"/>
      <c r="L2588" s="16"/>
      <c r="M2588" s="16"/>
      <c r="AA2588" s="14">
        <f t="shared" si="80"/>
        <v>0</v>
      </c>
      <c r="AB2588" s="47">
        <f t="shared" si="81"/>
        <v>-1</v>
      </c>
      <c r="AD2588" s="53"/>
      <c r="AE2588" s="53"/>
      <c r="AF2588" s="53"/>
      <c r="AG2588" s="53"/>
    </row>
    <row r="2589" spans="1:33" s="46" customFormat="1">
      <c r="A2589" s="54"/>
      <c r="B2589" s="16"/>
      <c r="C2589" s="55"/>
      <c r="D2589" s="56"/>
      <c r="E2589" s="16"/>
      <c r="F2589" s="16"/>
      <c r="G2589" s="16"/>
      <c r="H2589" s="54"/>
      <c r="I2589" s="16"/>
      <c r="J2589" s="54"/>
      <c r="K2589" s="42"/>
      <c r="L2589" s="16"/>
      <c r="M2589" s="16"/>
      <c r="AA2589" s="14">
        <f t="shared" si="80"/>
        <v>0</v>
      </c>
      <c r="AB2589" s="47">
        <f t="shared" si="81"/>
        <v>-1</v>
      </c>
      <c r="AD2589" s="53"/>
      <c r="AE2589" s="53"/>
      <c r="AF2589" s="53"/>
      <c r="AG2589" s="53"/>
    </row>
    <row r="2590" spans="1:33" s="46" customFormat="1">
      <c r="A2590" s="54"/>
      <c r="B2590" s="16"/>
      <c r="C2590" s="55"/>
      <c r="D2590" s="56"/>
      <c r="E2590" s="16"/>
      <c r="F2590" s="16"/>
      <c r="G2590" s="16"/>
      <c r="H2590" s="54"/>
      <c r="I2590" s="16"/>
      <c r="J2590" s="54"/>
      <c r="K2590" s="42"/>
      <c r="L2590" s="16"/>
      <c r="M2590" s="16"/>
      <c r="AA2590" s="14">
        <f t="shared" si="80"/>
        <v>0</v>
      </c>
      <c r="AB2590" s="47">
        <f t="shared" si="81"/>
        <v>-1</v>
      </c>
      <c r="AD2590" s="53"/>
      <c r="AE2590" s="53"/>
      <c r="AF2590" s="53"/>
      <c r="AG2590" s="53"/>
    </row>
    <row r="2591" spans="1:33" s="46" customFormat="1">
      <c r="A2591" s="54"/>
      <c r="B2591" s="16"/>
      <c r="C2591" s="55"/>
      <c r="D2591" s="56"/>
      <c r="E2591" s="16"/>
      <c r="F2591" s="16"/>
      <c r="G2591" s="16"/>
      <c r="H2591" s="54"/>
      <c r="I2591" s="16"/>
      <c r="J2591" s="54"/>
      <c r="K2591" s="42"/>
      <c r="L2591" s="16"/>
      <c r="M2591" s="16"/>
      <c r="AA2591" s="14">
        <f t="shared" si="80"/>
        <v>0</v>
      </c>
      <c r="AB2591" s="47">
        <f t="shared" si="81"/>
        <v>-1</v>
      </c>
      <c r="AD2591" s="53"/>
      <c r="AE2591" s="53"/>
      <c r="AF2591" s="53"/>
      <c r="AG2591" s="53"/>
    </row>
    <row r="2592" spans="1:33" s="46" customFormat="1">
      <c r="A2592" s="54"/>
      <c r="B2592" s="16"/>
      <c r="C2592" s="55"/>
      <c r="D2592" s="56"/>
      <c r="E2592" s="16"/>
      <c r="F2592" s="16"/>
      <c r="G2592" s="16"/>
      <c r="H2592" s="54"/>
      <c r="I2592" s="16"/>
      <c r="J2592" s="54"/>
      <c r="K2592" s="42"/>
      <c r="L2592" s="16"/>
      <c r="M2592" s="16"/>
      <c r="AA2592" s="14">
        <f t="shared" si="80"/>
        <v>0</v>
      </c>
      <c r="AB2592" s="47">
        <f t="shared" si="81"/>
        <v>-1</v>
      </c>
      <c r="AD2592" s="53"/>
      <c r="AE2592" s="53"/>
      <c r="AF2592" s="53"/>
      <c r="AG2592" s="53"/>
    </row>
    <row r="2593" spans="1:33" s="46" customFormat="1">
      <c r="A2593" s="54"/>
      <c r="B2593" s="16"/>
      <c r="C2593" s="55"/>
      <c r="D2593" s="56"/>
      <c r="E2593" s="16"/>
      <c r="F2593" s="16"/>
      <c r="G2593" s="16"/>
      <c r="H2593" s="54"/>
      <c r="I2593" s="16"/>
      <c r="J2593" s="54"/>
      <c r="K2593" s="42"/>
      <c r="L2593" s="16"/>
      <c r="M2593" s="16"/>
      <c r="AA2593" s="14">
        <f t="shared" si="80"/>
        <v>0</v>
      </c>
      <c r="AB2593" s="47">
        <f t="shared" si="81"/>
        <v>-1</v>
      </c>
      <c r="AD2593" s="53"/>
      <c r="AE2593" s="53"/>
      <c r="AF2593" s="53"/>
      <c r="AG2593" s="53"/>
    </row>
    <row r="2594" spans="1:33" s="46" customFormat="1">
      <c r="A2594" s="54"/>
      <c r="B2594" s="16"/>
      <c r="C2594" s="55"/>
      <c r="D2594" s="56"/>
      <c r="E2594" s="16"/>
      <c r="F2594" s="16"/>
      <c r="G2594" s="16"/>
      <c r="H2594" s="54"/>
      <c r="I2594" s="16"/>
      <c r="J2594" s="54"/>
      <c r="K2594" s="42"/>
      <c r="L2594" s="16"/>
      <c r="M2594" s="16"/>
      <c r="AA2594" s="14">
        <f t="shared" si="80"/>
        <v>0</v>
      </c>
      <c r="AB2594" s="47">
        <f t="shared" si="81"/>
        <v>-1</v>
      </c>
      <c r="AD2594" s="53"/>
      <c r="AE2594" s="53"/>
      <c r="AF2594" s="53"/>
      <c r="AG2594" s="53"/>
    </row>
    <row r="2595" spans="1:33" s="46" customFormat="1">
      <c r="A2595" s="54"/>
      <c r="B2595" s="16"/>
      <c r="C2595" s="55"/>
      <c r="D2595" s="56"/>
      <c r="E2595" s="16"/>
      <c r="F2595" s="16"/>
      <c r="G2595" s="16"/>
      <c r="H2595" s="54"/>
      <c r="I2595" s="16"/>
      <c r="J2595" s="54"/>
      <c r="K2595" s="42"/>
      <c r="L2595" s="16"/>
      <c r="M2595" s="16"/>
      <c r="AA2595" s="14">
        <f t="shared" si="80"/>
        <v>0</v>
      </c>
      <c r="AB2595" s="47">
        <f t="shared" si="81"/>
        <v>-1</v>
      </c>
      <c r="AD2595" s="53"/>
      <c r="AE2595" s="53"/>
      <c r="AF2595" s="53"/>
      <c r="AG2595" s="53"/>
    </row>
    <row r="2596" spans="1:33" s="46" customFormat="1">
      <c r="A2596" s="54"/>
      <c r="B2596" s="16"/>
      <c r="C2596" s="55"/>
      <c r="D2596" s="56"/>
      <c r="E2596" s="16"/>
      <c r="F2596" s="16"/>
      <c r="G2596" s="16"/>
      <c r="H2596" s="54"/>
      <c r="I2596" s="16"/>
      <c r="J2596" s="54"/>
      <c r="K2596" s="42"/>
      <c r="L2596" s="16"/>
      <c r="M2596" s="16"/>
      <c r="AA2596" s="14">
        <f t="shared" si="80"/>
        <v>0</v>
      </c>
      <c r="AB2596" s="47">
        <f t="shared" si="81"/>
        <v>-1</v>
      </c>
      <c r="AD2596" s="53"/>
      <c r="AE2596" s="53"/>
      <c r="AF2596" s="53"/>
      <c r="AG2596" s="53"/>
    </row>
    <row r="2597" spans="1:33" s="46" customFormat="1">
      <c r="A2597" s="54"/>
      <c r="B2597" s="16"/>
      <c r="C2597" s="55"/>
      <c r="D2597" s="56"/>
      <c r="E2597" s="16"/>
      <c r="F2597" s="16"/>
      <c r="G2597" s="16"/>
      <c r="H2597" s="54"/>
      <c r="I2597" s="16"/>
      <c r="J2597" s="54"/>
      <c r="K2597" s="42"/>
      <c r="L2597" s="16"/>
      <c r="M2597" s="16"/>
      <c r="AA2597" s="14">
        <f t="shared" si="80"/>
        <v>0</v>
      </c>
      <c r="AB2597" s="47">
        <f t="shared" si="81"/>
        <v>-1</v>
      </c>
      <c r="AD2597" s="53"/>
      <c r="AE2597" s="53"/>
      <c r="AF2597" s="53"/>
      <c r="AG2597" s="53"/>
    </row>
    <row r="2598" spans="1:33" s="46" customFormat="1">
      <c r="A2598" s="54"/>
      <c r="B2598" s="16"/>
      <c r="C2598" s="55"/>
      <c r="D2598" s="56"/>
      <c r="E2598" s="16"/>
      <c r="F2598" s="16"/>
      <c r="G2598" s="16"/>
      <c r="H2598" s="54"/>
      <c r="I2598" s="16"/>
      <c r="J2598" s="54"/>
      <c r="K2598" s="42"/>
      <c r="L2598" s="16"/>
      <c r="M2598" s="16"/>
      <c r="AA2598" s="14">
        <f t="shared" si="80"/>
        <v>0</v>
      </c>
      <c r="AB2598" s="47">
        <f t="shared" si="81"/>
        <v>-1</v>
      </c>
      <c r="AD2598" s="53"/>
      <c r="AE2598" s="53"/>
      <c r="AF2598" s="53"/>
      <c r="AG2598" s="53"/>
    </row>
    <row r="2599" spans="1:33" s="46" customFormat="1">
      <c r="A2599" s="54"/>
      <c r="B2599" s="16"/>
      <c r="C2599" s="55"/>
      <c r="D2599" s="56"/>
      <c r="E2599" s="16"/>
      <c r="F2599" s="16"/>
      <c r="G2599" s="16"/>
      <c r="H2599" s="54"/>
      <c r="I2599" s="16"/>
      <c r="J2599" s="54"/>
      <c r="K2599" s="42"/>
      <c r="L2599" s="16"/>
      <c r="M2599" s="16"/>
      <c r="AA2599" s="14">
        <f t="shared" si="80"/>
        <v>0</v>
      </c>
      <c r="AB2599" s="47">
        <f t="shared" si="81"/>
        <v>-1</v>
      </c>
      <c r="AD2599" s="53"/>
      <c r="AE2599" s="53"/>
      <c r="AF2599" s="53"/>
      <c r="AG2599" s="53"/>
    </row>
    <row r="2600" spans="1:33" s="46" customFormat="1">
      <c r="A2600" s="54"/>
      <c r="B2600" s="16"/>
      <c r="C2600" s="55"/>
      <c r="D2600" s="56"/>
      <c r="E2600" s="16"/>
      <c r="F2600" s="16"/>
      <c r="G2600" s="16"/>
      <c r="H2600" s="54"/>
      <c r="I2600" s="16"/>
      <c r="J2600" s="54"/>
      <c r="K2600" s="42"/>
      <c r="L2600" s="16"/>
      <c r="M2600" s="16"/>
      <c r="AA2600" s="14">
        <f t="shared" ref="AA2600:AA2663" si="82">C2600-C2599</f>
        <v>0</v>
      </c>
      <c r="AB2600" s="47">
        <f t="shared" ref="AB2600:AB2663" si="83">AA2600-1</f>
        <v>-1</v>
      </c>
      <c r="AD2600" s="53"/>
      <c r="AE2600" s="53"/>
      <c r="AF2600" s="53"/>
      <c r="AG2600" s="53"/>
    </row>
    <row r="2601" spans="1:33" s="46" customFormat="1">
      <c r="A2601" s="54"/>
      <c r="B2601" s="16"/>
      <c r="C2601" s="55"/>
      <c r="D2601" s="56"/>
      <c r="E2601" s="16"/>
      <c r="F2601" s="16"/>
      <c r="G2601" s="16"/>
      <c r="H2601" s="54"/>
      <c r="I2601" s="16"/>
      <c r="J2601" s="54"/>
      <c r="K2601" s="42"/>
      <c r="L2601" s="16"/>
      <c r="M2601" s="16"/>
      <c r="AA2601" s="14">
        <f t="shared" si="82"/>
        <v>0</v>
      </c>
      <c r="AB2601" s="47">
        <f t="shared" si="83"/>
        <v>-1</v>
      </c>
      <c r="AD2601" s="53"/>
      <c r="AE2601" s="53"/>
      <c r="AF2601" s="53"/>
      <c r="AG2601" s="53"/>
    </row>
    <row r="2602" spans="1:33" s="46" customFormat="1">
      <c r="A2602" s="54"/>
      <c r="B2602" s="16"/>
      <c r="C2602" s="55"/>
      <c r="D2602" s="56"/>
      <c r="E2602" s="16"/>
      <c r="F2602" s="16"/>
      <c r="G2602" s="16"/>
      <c r="H2602" s="54"/>
      <c r="I2602" s="16"/>
      <c r="J2602" s="54"/>
      <c r="K2602" s="42"/>
      <c r="L2602" s="16"/>
      <c r="M2602" s="16"/>
      <c r="AA2602" s="14">
        <f t="shared" si="82"/>
        <v>0</v>
      </c>
      <c r="AB2602" s="47">
        <f t="shared" si="83"/>
        <v>-1</v>
      </c>
      <c r="AD2602" s="53"/>
      <c r="AE2602" s="53"/>
      <c r="AF2602" s="53"/>
      <c r="AG2602" s="53"/>
    </row>
    <row r="2603" spans="1:33" s="46" customFormat="1">
      <c r="A2603" s="54"/>
      <c r="B2603" s="16"/>
      <c r="C2603" s="55"/>
      <c r="D2603" s="56"/>
      <c r="E2603" s="16"/>
      <c r="F2603" s="16"/>
      <c r="G2603" s="16"/>
      <c r="H2603" s="54"/>
      <c r="I2603" s="16"/>
      <c r="J2603" s="54"/>
      <c r="K2603" s="42"/>
      <c r="L2603" s="16"/>
      <c r="M2603" s="16"/>
      <c r="AA2603" s="14">
        <f t="shared" si="82"/>
        <v>0</v>
      </c>
      <c r="AB2603" s="47">
        <f t="shared" si="83"/>
        <v>-1</v>
      </c>
      <c r="AD2603" s="53"/>
      <c r="AE2603" s="53"/>
      <c r="AF2603" s="53"/>
      <c r="AG2603" s="53"/>
    </row>
    <row r="2604" spans="1:33" s="46" customFormat="1">
      <c r="A2604" s="54"/>
      <c r="B2604" s="16"/>
      <c r="C2604" s="55"/>
      <c r="D2604" s="56"/>
      <c r="E2604" s="16"/>
      <c r="F2604" s="16"/>
      <c r="G2604" s="16"/>
      <c r="H2604" s="54"/>
      <c r="I2604" s="16"/>
      <c r="J2604" s="54"/>
      <c r="K2604" s="42"/>
      <c r="L2604" s="16"/>
      <c r="M2604" s="16"/>
      <c r="AA2604" s="14">
        <f t="shared" si="82"/>
        <v>0</v>
      </c>
      <c r="AB2604" s="47">
        <f t="shared" si="83"/>
        <v>-1</v>
      </c>
      <c r="AD2604" s="53"/>
      <c r="AE2604" s="53"/>
      <c r="AF2604" s="53"/>
      <c r="AG2604" s="53"/>
    </row>
    <row r="2605" spans="1:33" s="46" customFormat="1">
      <c r="A2605" s="54"/>
      <c r="B2605" s="16"/>
      <c r="C2605" s="55"/>
      <c r="D2605" s="56"/>
      <c r="E2605" s="16"/>
      <c r="F2605" s="16"/>
      <c r="G2605" s="16"/>
      <c r="H2605" s="54"/>
      <c r="I2605" s="16"/>
      <c r="J2605" s="54"/>
      <c r="K2605" s="42"/>
      <c r="L2605" s="16"/>
      <c r="M2605" s="16"/>
      <c r="AA2605" s="14">
        <f t="shared" si="82"/>
        <v>0</v>
      </c>
      <c r="AB2605" s="47">
        <f t="shared" si="83"/>
        <v>-1</v>
      </c>
      <c r="AD2605" s="53"/>
      <c r="AE2605" s="53"/>
      <c r="AF2605" s="53"/>
      <c r="AG2605" s="53"/>
    </row>
    <row r="2606" spans="1:33" s="46" customFormat="1">
      <c r="A2606" s="54"/>
      <c r="B2606" s="16"/>
      <c r="C2606" s="55"/>
      <c r="D2606" s="56"/>
      <c r="E2606" s="16"/>
      <c r="F2606" s="16"/>
      <c r="G2606" s="16"/>
      <c r="H2606" s="54"/>
      <c r="I2606" s="16"/>
      <c r="J2606" s="54"/>
      <c r="K2606" s="42"/>
      <c r="L2606" s="16"/>
      <c r="M2606" s="16"/>
      <c r="AA2606" s="14">
        <f t="shared" si="82"/>
        <v>0</v>
      </c>
      <c r="AB2606" s="47">
        <f t="shared" si="83"/>
        <v>-1</v>
      </c>
      <c r="AD2606" s="53"/>
      <c r="AE2606" s="53"/>
      <c r="AF2606" s="53"/>
      <c r="AG2606" s="53"/>
    </row>
    <row r="2607" spans="1:33" s="46" customFormat="1">
      <c r="A2607" s="54"/>
      <c r="B2607" s="16"/>
      <c r="C2607" s="55"/>
      <c r="D2607" s="56"/>
      <c r="E2607" s="16"/>
      <c r="F2607" s="16"/>
      <c r="G2607" s="16"/>
      <c r="H2607" s="54"/>
      <c r="I2607" s="16"/>
      <c r="J2607" s="54"/>
      <c r="K2607" s="42"/>
      <c r="L2607" s="16"/>
      <c r="M2607" s="16"/>
      <c r="AA2607" s="14">
        <f t="shared" si="82"/>
        <v>0</v>
      </c>
      <c r="AB2607" s="47">
        <f t="shared" si="83"/>
        <v>-1</v>
      </c>
      <c r="AD2607" s="53"/>
      <c r="AE2607" s="53"/>
      <c r="AF2607" s="53"/>
      <c r="AG2607" s="53"/>
    </row>
    <row r="2608" spans="1:33" s="46" customFormat="1">
      <c r="A2608" s="54"/>
      <c r="B2608" s="16"/>
      <c r="C2608" s="55"/>
      <c r="D2608" s="56"/>
      <c r="E2608" s="16"/>
      <c r="F2608" s="16"/>
      <c r="G2608" s="16"/>
      <c r="H2608" s="54"/>
      <c r="I2608" s="16"/>
      <c r="J2608" s="54"/>
      <c r="K2608" s="42"/>
      <c r="L2608" s="16"/>
      <c r="M2608" s="16"/>
      <c r="AA2608" s="14">
        <f t="shared" si="82"/>
        <v>0</v>
      </c>
      <c r="AB2608" s="47">
        <f t="shared" si="83"/>
        <v>-1</v>
      </c>
      <c r="AD2608" s="53"/>
      <c r="AE2608" s="53"/>
      <c r="AF2608" s="53"/>
      <c r="AG2608" s="53"/>
    </row>
    <row r="2609" spans="1:33" s="46" customFormat="1">
      <c r="A2609" s="54"/>
      <c r="B2609" s="16"/>
      <c r="C2609" s="55"/>
      <c r="D2609" s="56"/>
      <c r="E2609" s="16"/>
      <c r="F2609" s="16"/>
      <c r="G2609" s="16"/>
      <c r="H2609" s="54"/>
      <c r="I2609" s="16"/>
      <c r="J2609" s="54"/>
      <c r="K2609" s="42"/>
      <c r="L2609" s="16"/>
      <c r="M2609" s="16"/>
      <c r="AA2609" s="14">
        <f t="shared" si="82"/>
        <v>0</v>
      </c>
      <c r="AB2609" s="47">
        <f t="shared" si="83"/>
        <v>-1</v>
      </c>
      <c r="AD2609" s="53"/>
      <c r="AE2609" s="53"/>
      <c r="AF2609" s="53"/>
      <c r="AG2609" s="53"/>
    </row>
    <row r="2610" spans="1:33" s="46" customFormat="1">
      <c r="A2610" s="54"/>
      <c r="B2610" s="16"/>
      <c r="C2610" s="55"/>
      <c r="D2610" s="56"/>
      <c r="E2610" s="16"/>
      <c r="F2610" s="16"/>
      <c r="G2610" s="16"/>
      <c r="H2610" s="54"/>
      <c r="I2610" s="16"/>
      <c r="J2610" s="54"/>
      <c r="K2610" s="42"/>
      <c r="L2610" s="16"/>
      <c r="M2610" s="16"/>
      <c r="AA2610" s="14">
        <f t="shared" si="82"/>
        <v>0</v>
      </c>
      <c r="AB2610" s="47">
        <f t="shared" si="83"/>
        <v>-1</v>
      </c>
      <c r="AD2610" s="53"/>
      <c r="AE2610" s="53"/>
      <c r="AF2610" s="53"/>
      <c r="AG2610" s="53"/>
    </row>
    <row r="2611" spans="1:33" s="46" customFormat="1">
      <c r="A2611" s="54"/>
      <c r="B2611" s="16"/>
      <c r="C2611" s="55"/>
      <c r="D2611" s="56"/>
      <c r="E2611" s="16"/>
      <c r="F2611" s="16"/>
      <c r="G2611" s="16"/>
      <c r="H2611" s="54"/>
      <c r="I2611" s="16"/>
      <c r="J2611" s="54"/>
      <c r="K2611" s="42"/>
      <c r="L2611" s="16"/>
      <c r="M2611" s="16"/>
      <c r="AA2611" s="14">
        <f t="shared" si="82"/>
        <v>0</v>
      </c>
      <c r="AB2611" s="47">
        <f t="shared" si="83"/>
        <v>-1</v>
      </c>
      <c r="AD2611" s="53"/>
      <c r="AE2611" s="53"/>
      <c r="AF2611" s="53"/>
      <c r="AG2611" s="53"/>
    </row>
    <row r="2612" spans="1:33" s="46" customFormat="1">
      <c r="A2612" s="54"/>
      <c r="B2612" s="16"/>
      <c r="C2612" s="55"/>
      <c r="D2612" s="56"/>
      <c r="E2612" s="16"/>
      <c r="F2612" s="16"/>
      <c r="G2612" s="16"/>
      <c r="H2612" s="54"/>
      <c r="I2612" s="16"/>
      <c r="J2612" s="54"/>
      <c r="K2612" s="42"/>
      <c r="L2612" s="16"/>
      <c r="M2612" s="16"/>
      <c r="AA2612" s="14">
        <f t="shared" si="82"/>
        <v>0</v>
      </c>
      <c r="AB2612" s="47">
        <f t="shared" si="83"/>
        <v>-1</v>
      </c>
      <c r="AD2612" s="53"/>
      <c r="AE2612" s="53"/>
      <c r="AF2612" s="53"/>
      <c r="AG2612" s="53"/>
    </row>
    <row r="2613" spans="1:33" s="46" customFormat="1">
      <c r="A2613" s="54"/>
      <c r="B2613" s="16"/>
      <c r="C2613" s="55"/>
      <c r="D2613" s="56"/>
      <c r="E2613" s="16"/>
      <c r="F2613" s="16"/>
      <c r="G2613" s="16"/>
      <c r="H2613" s="54"/>
      <c r="I2613" s="16"/>
      <c r="J2613" s="54"/>
      <c r="K2613" s="42"/>
      <c r="L2613" s="16"/>
      <c r="M2613" s="16"/>
      <c r="AA2613" s="14">
        <f t="shared" si="82"/>
        <v>0</v>
      </c>
      <c r="AB2613" s="47">
        <f t="shared" si="83"/>
        <v>-1</v>
      </c>
      <c r="AD2613" s="53"/>
      <c r="AE2613" s="53"/>
      <c r="AF2613" s="53"/>
      <c r="AG2613" s="53"/>
    </row>
    <row r="2614" spans="1:33" s="46" customFormat="1">
      <c r="A2614" s="54"/>
      <c r="B2614" s="16"/>
      <c r="C2614" s="55"/>
      <c r="D2614" s="56"/>
      <c r="E2614" s="16"/>
      <c r="F2614" s="16"/>
      <c r="G2614" s="16"/>
      <c r="H2614" s="54"/>
      <c r="I2614" s="16"/>
      <c r="J2614" s="54"/>
      <c r="K2614" s="42"/>
      <c r="L2614" s="16"/>
      <c r="M2614" s="16"/>
      <c r="AA2614" s="14">
        <f t="shared" si="82"/>
        <v>0</v>
      </c>
      <c r="AB2614" s="47">
        <f t="shared" si="83"/>
        <v>-1</v>
      </c>
      <c r="AD2614" s="53"/>
      <c r="AE2614" s="53"/>
      <c r="AF2614" s="53"/>
      <c r="AG2614" s="53"/>
    </row>
    <row r="2615" spans="1:33" s="46" customFormat="1">
      <c r="A2615" s="54"/>
      <c r="B2615" s="16"/>
      <c r="C2615" s="55"/>
      <c r="D2615" s="56"/>
      <c r="E2615" s="16"/>
      <c r="F2615" s="16"/>
      <c r="G2615" s="16"/>
      <c r="H2615" s="54"/>
      <c r="I2615" s="16"/>
      <c r="J2615" s="54"/>
      <c r="K2615" s="42"/>
      <c r="L2615" s="16"/>
      <c r="M2615" s="16"/>
      <c r="AA2615" s="14">
        <f t="shared" si="82"/>
        <v>0</v>
      </c>
      <c r="AB2615" s="47">
        <f t="shared" si="83"/>
        <v>-1</v>
      </c>
      <c r="AD2615" s="53"/>
      <c r="AE2615" s="53"/>
      <c r="AF2615" s="53"/>
      <c r="AG2615" s="53"/>
    </row>
    <row r="2616" spans="1:33" s="46" customFormat="1">
      <c r="A2616" s="54"/>
      <c r="B2616" s="16"/>
      <c r="C2616" s="55"/>
      <c r="D2616" s="56"/>
      <c r="E2616" s="16"/>
      <c r="F2616" s="16"/>
      <c r="G2616" s="16"/>
      <c r="H2616" s="54"/>
      <c r="I2616" s="16"/>
      <c r="J2616" s="54"/>
      <c r="K2616" s="42"/>
      <c r="L2616" s="16"/>
      <c r="M2616" s="16"/>
      <c r="AA2616" s="14">
        <f t="shared" si="82"/>
        <v>0</v>
      </c>
      <c r="AB2616" s="47">
        <f t="shared" si="83"/>
        <v>-1</v>
      </c>
      <c r="AD2616" s="53"/>
      <c r="AE2616" s="53"/>
      <c r="AF2616" s="53"/>
      <c r="AG2616" s="53"/>
    </row>
    <row r="2617" spans="1:33" s="46" customFormat="1">
      <c r="A2617" s="54"/>
      <c r="B2617" s="16"/>
      <c r="C2617" s="55"/>
      <c r="D2617" s="56"/>
      <c r="E2617" s="16"/>
      <c r="F2617" s="16"/>
      <c r="G2617" s="16"/>
      <c r="H2617" s="54"/>
      <c r="I2617" s="16"/>
      <c r="J2617" s="54"/>
      <c r="K2617" s="42"/>
      <c r="L2617" s="16"/>
      <c r="M2617" s="16"/>
      <c r="AA2617" s="14">
        <f t="shared" si="82"/>
        <v>0</v>
      </c>
      <c r="AB2617" s="47">
        <f t="shared" si="83"/>
        <v>-1</v>
      </c>
      <c r="AD2617" s="53"/>
      <c r="AE2617" s="53"/>
      <c r="AF2617" s="53"/>
      <c r="AG2617" s="53"/>
    </row>
    <row r="2618" spans="1:33" s="46" customFormat="1">
      <c r="A2618" s="54"/>
      <c r="B2618" s="16"/>
      <c r="C2618" s="55"/>
      <c r="D2618" s="56"/>
      <c r="E2618" s="16"/>
      <c r="F2618" s="16"/>
      <c r="G2618" s="16"/>
      <c r="H2618" s="54"/>
      <c r="I2618" s="16"/>
      <c r="J2618" s="54"/>
      <c r="K2618" s="42"/>
      <c r="L2618" s="16"/>
      <c r="M2618" s="16"/>
      <c r="AA2618" s="14">
        <f t="shared" si="82"/>
        <v>0</v>
      </c>
      <c r="AB2618" s="47">
        <f t="shared" si="83"/>
        <v>-1</v>
      </c>
      <c r="AD2618" s="53"/>
      <c r="AE2618" s="53"/>
      <c r="AF2618" s="53"/>
      <c r="AG2618" s="53"/>
    </row>
    <row r="2619" spans="1:33" s="46" customFormat="1">
      <c r="A2619" s="54"/>
      <c r="B2619" s="16"/>
      <c r="C2619" s="55"/>
      <c r="D2619" s="56"/>
      <c r="E2619" s="16"/>
      <c r="F2619" s="16"/>
      <c r="G2619" s="16"/>
      <c r="H2619" s="54"/>
      <c r="I2619" s="16"/>
      <c r="J2619" s="54"/>
      <c r="K2619" s="42"/>
      <c r="L2619" s="16"/>
      <c r="M2619" s="16"/>
      <c r="AA2619" s="14">
        <f t="shared" si="82"/>
        <v>0</v>
      </c>
      <c r="AB2619" s="47">
        <f t="shared" si="83"/>
        <v>-1</v>
      </c>
      <c r="AD2619" s="53"/>
      <c r="AE2619" s="53"/>
      <c r="AF2619" s="53"/>
      <c r="AG2619" s="53"/>
    </row>
    <row r="2620" spans="1:33" s="46" customFormat="1">
      <c r="A2620" s="54"/>
      <c r="B2620" s="16"/>
      <c r="C2620" s="55"/>
      <c r="D2620" s="56"/>
      <c r="E2620" s="16"/>
      <c r="F2620" s="16"/>
      <c r="G2620" s="16"/>
      <c r="H2620" s="54"/>
      <c r="I2620" s="16"/>
      <c r="J2620" s="54"/>
      <c r="K2620" s="42"/>
      <c r="L2620" s="16"/>
      <c r="M2620" s="16"/>
      <c r="AA2620" s="14">
        <f t="shared" si="82"/>
        <v>0</v>
      </c>
      <c r="AB2620" s="47">
        <f t="shared" si="83"/>
        <v>-1</v>
      </c>
      <c r="AD2620" s="53"/>
      <c r="AE2620" s="53"/>
      <c r="AF2620" s="53"/>
      <c r="AG2620" s="53"/>
    </row>
    <row r="2621" spans="1:33" s="46" customFormat="1">
      <c r="A2621" s="54"/>
      <c r="B2621" s="16"/>
      <c r="C2621" s="55"/>
      <c r="D2621" s="56"/>
      <c r="E2621" s="16"/>
      <c r="F2621" s="16"/>
      <c r="G2621" s="16"/>
      <c r="H2621" s="54"/>
      <c r="I2621" s="16"/>
      <c r="J2621" s="54"/>
      <c r="K2621" s="42"/>
      <c r="L2621" s="16"/>
      <c r="M2621" s="16"/>
      <c r="AA2621" s="14">
        <f t="shared" si="82"/>
        <v>0</v>
      </c>
      <c r="AB2621" s="47">
        <f t="shared" si="83"/>
        <v>-1</v>
      </c>
      <c r="AD2621" s="53"/>
      <c r="AE2621" s="53"/>
      <c r="AF2621" s="53"/>
      <c r="AG2621" s="53"/>
    </row>
    <row r="2622" spans="1:33" s="46" customFormat="1">
      <c r="A2622" s="54"/>
      <c r="B2622" s="16"/>
      <c r="C2622" s="55"/>
      <c r="D2622" s="56"/>
      <c r="E2622" s="16"/>
      <c r="F2622" s="16"/>
      <c r="G2622" s="16"/>
      <c r="H2622" s="54"/>
      <c r="I2622" s="16"/>
      <c r="J2622" s="54"/>
      <c r="K2622" s="42"/>
      <c r="L2622" s="16"/>
      <c r="M2622" s="16"/>
      <c r="AA2622" s="14">
        <f t="shared" si="82"/>
        <v>0</v>
      </c>
      <c r="AB2622" s="47">
        <f t="shared" si="83"/>
        <v>-1</v>
      </c>
      <c r="AD2622" s="53"/>
      <c r="AE2622" s="53"/>
      <c r="AF2622" s="53"/>
      <c r="AG2622" s="53"/>
    </row>
    <row r="2623" spans="1:33" s="46" customFormat="1">
      <c r="A2623" s="54"/>
      <c r="B2623" s="16"/>
      <c r="C2623" s="55"/>
      <c r="D2623" s="56"/>
      <c r="E2623" s="16"/>
      <c r="F2623" s="16"/>
      <c r="G2623" s="16"/>
      <c r="H2623" s="54"/>
      <c r="I2623" s="16"/>
      <c r="J2623" s="54"/>
      <c r="K2623" s="42"/>
      <c r="L2623" s="16"/>
      <c r="M2623" s="16"/>
      <c r="AA2623" s="14">
        <f t="shared" si="82"/>
        <v>0</v>
      </c>
      <c r="AB2623" s="47">
        <f t="shared" si="83"/>
        <v>-1</v>
      </c>
      <c r="AD2623" s="53"/>
      <c r="AE2623" s="53"/>
      <c r="AF2623" s="53"/>
      <c r="AG2623" s="53"/>
    </row>
    <row r="2624" spans="1:33" s="46" customFormat="1">
      <c r="A2624" s="54"/>
      <c r="B2624" s="16"/>
      <c r="C2624" s="55"/>
      <c r="D2624" s="56"/>
      <c r="E2624" s="16"/>
      <c r="F2624" s="16"/>
      <c r="G2624" s="16"/>
      <c r="H2624" s="54"/>
      <c r="I2624" s="16"/>
      <c r="J2624" s="54"/>
      <c r="K2624" s="42"/>
      <c r="L2624" s="16"/>
      <c r="M2624" s="16"/>
      <c r="AA2624" s="14">
        <f t="shared" si="82"/>
        <v>0</v>
      </c>
      <c r="AB2624" s="47">
        <f t="shared" si="83"/>
        <v>-1</v>
      </c>
      <c r="AD2624" s="53"/>
      <c r="AE2624" s="53"/>
      <c r="AF2624" s="53"/>
      <c r="AG2624" s="53"/>
    </row>
    <row r="2625" spans="1:33" s="46" customFormat="1">
      <c r="A2625" s="54"/>
      <c r="B2625" s="16"/>
      <c r="C2625" s="55"/>
      <c r="D2625" s="56"/>
      <c r="E2625" s="16"/>
      <c r="F2625" s="16"/>
      <c r="G2625" s="16"/>
      <c r="H2625" s="54"/>
      <c r="I2625" s="16"/>
      <c r="J2625" s="54"/>
      <c r="K2625" s="42"/>
      <c r="L2625" s="16"/>
      <c r="M2625" s="16"/>
      <c r="AA2625" s="14">
        <f t="shared" si="82"/>
        <v>0</v>
      </c>
      <c r="AB2625" s="47">
        <f t="shared" si="83"/>
        <v>-1</v>
      </c>
      <c r="AD2625" s="53"/>
      <c r="AE2625" s="53"/>
      <c r="AF2625" s="53"/>
      <c r="AG2625" s="53"/>
    </row>
    <row r="2626" spans="1:33" s="46" customFormat="1">
      <c r="A2626" s="54"/>
      <c r="B2626" s="16"/>
      <c r="C2626" s="55"/>
      <c r="D2626" s="56"/>
      <c r="E2626" s="16"/>
      <c r="F2626" s="16"/>
      <c r="G2626" s="16"/>
      <c r="H2626" s="54"/>
      <c r="I2626" s="16"/>
      <c r="J2626" s="54"/>
      <c r="K2626" s="42"/>
      <c r="L2626" s="16"/>
      <c r="M2626" s="16"/>
      <c r="AA2626" s="14">
        <f t="shared" si="82"/>
        <v>0</v>
      </c>
      <c r="AB2626" s="47">
        <f t="shared" si="83"/>
        <v>-1</v>
      </c>
      <c r="AD2626" s="53"/>
      <c r="AE2626" s="53"/>
      <c r="AF2626" s="53"/>
      <c r="AG2626" s="53"/>
    </row>
    <row r="2627" spans="1:33" s="46" customFormat="1">
      <c r="A2627" s="54"/>
      <c r="B2627" s="16"/>
      <c r="C2627" s="55"/>
      <c r="D2627" s="56"/>
      <c r="E2627" s="16"/>
      <c r="F2627" s="16"/>
      <c r="G2627" s="16"/>
      <c r="H2627" s="54"/>
      <c r="I2627" s="16"/>
      <c r="J2627" s="54"/>
      <c r="K2627" s="42"/>
      <c r="L2627" s="16"/>
      <c r="M2627" s="16"/>
      <c r="AA2627" s="14">
        <f t="shared" si="82"/>
        <v>0</v>
      </c>
      <c r="AB2627" s="47">
        <f t="shared" si="83"/>
        <v>-1</v>
      </c>
      <c r="AD2627" s="53"/>
      <c r="AE2627" s="53"/>
      <c r="AF2627" s="53"/>
      <c r="AG2627" s="53"/>
    </row>
    <row r="2628" spans="1:33" s="46" customFormat="1">
      <c r="A2628" s="54"/>
      <c r="B2628" s="16"/>
      <c r="C2628" s="55"/>
      <c r="D2628" s="56"/>
      <c r="E2628" s="16"/>
      <c r="F2628" s="16"/>
      <c r="G2628" s="16"/>
      <c r="H2628" s="54"/>
      <c r="I2628" s="16"/>
      <c r="J2628" s="54"/>
      <c r="K2628" s="42"/>
      <c r="L2628" s="16"/>
      <c r="M2628" s="16"/>
      <c r="AA2628" s="14">
        <f t="shared" si="82"/>
        <v>0</v>
      </c>
      <c r="AB2628" s="47">
        <f t="shared" si="83"/>
        <v>-1</v>
      </c>
      <c r="AD2628" s="53"/>
      <c r="AE2628" s="53"/>
      <c r="AF2628" s="53"/>
      <c r="AG2628" s="53"/>
    </row>
    <row r="2629" spans="1:33" s="46" customFormat="1">
      <c r="A2629" s="54"/>
      <c r="B2629" s="16"/>
      <c r="C2629" s="55"/>
      <c r="D2629" s="56"/>
      <c r="E2629" s="16"/>
      <c r="F2629" s="16"/>
      <c r="G2629" s="16"/>
      <c r="H2629" s="54"/>
      <c r="I2629" s="16"/>
      <c r="J2629" s="54"/>
      <c r="K2629" s="42"/>
      <c r="L2629" s="16"/>
      <c r="M2629" s="16"/>
      <c r="AA2629" s="14">
        <f t="shared" si="82"/>
        <v>0</v>
      </c>
      <c r="AB2629" s="47">
        <f t="shared" si="83"/>
        <v>-1</v>
      </c>
      <c r="AD2629" s="53"/>
      <c r="AE2629" s="53"/>
      <c r="AF2629" s="53"/>
      <c r="AG2629" s="53"/>
    </row>
    <row r="2630" spans="1:33" s="46" customFormat="1">
      <c r="A2630" s="54"/>
      <c r="B2630" s="16"/>
      <c r="C2630" s="55"/>
      <c r="D2630" s="56"/>
      <c r="E2630" s="16"/>
      <c r="F2630" s="16"/>
      <c r="G2630" s="16"/>
      <c r="H2630" s="54"/>
      <c r="I2630" s="16"/>
      <c r="J2630" s="54"/>
      <c r="K2630" s="42"/>
      <c r="L2630" s="16"/>
      <c r="M2630" s="16"/>
      <c r="AA2630" s="14">
        <f t="shared" si="82"/>
        <v>0</v>
      </c>
      <c r="AB2630" s="47">
        <f t="shared" si="83"/>
        <v>-1</v>
      </c>
      <c r="AD2630" s="53"/>
      <c r="AE2630" s="53"/>
      <c r="AF2630" s="53"/>
      <c r="AG2630" s="53"/>
    </row>
    <row r="2631" spans="1:33" s="46" customFormat="1">
      <c r="A2631" s="54"/>
      <c r="B2631" s="16"/>
      <c r="C2631" s="55"/>
      <c r="D2631" s="56"/>
      <c r="E2631" s="16"/>
      <c r="F2631" s="16"/>
      <c r="G2631" s="16"/>
      <c r="H2631" s="54"/>
      <c r="I2631" s="16"/>
      <c r="J2631" s="54"/>
      <c r="K2631" s="42"/>
      <c r="L2631" s="16"/>
      <c r="M2631" s="16"/>
      <c r="AA2631" s="14">
        <f t="shared" si="82"/>
        <v>0</v>
      </c>
      <c r="AB2631" s="47">
        <f t="shared" si="83"/>
        <v>-1</v>
      </c>
      <c r="AD2631" s="53"/>
      <c r="AE2631" s="53"/>
      <c r="AF2631" s="53"/>
      <c r="AG2631" s="53"/>
    </row>
    <row r="2632" spans="1:33" s="46" customFormat="1">
      <c r="A2632" s="54"/>
      <c r="B2632" s="16"/>
      <c r="C2632" s="55"/>
      <c r="D2632" s="56"/>
      <c r="E2632" s="16"/>
      <c r="F2632" s="16"/>
      <c r="G2632" s="16"/>
      <c r="H2632" s="54"/>
      <c r="I2632" s="16"/>
      <c r="J2632" s="54"/>
      <c r="K2632" s="42"/>
      <c r="L2632" s="16"/>
      <c r="M2632" s="16"/>
      <c r="AA2632" s="14">
        <f t="shared" si="82"/>
        <v>0</v>
      </c>
      <c r="AB2632" s="47">
        <f t="shared" si="83"/>
        <v>-1</v>
      </c>
      <c r="AD2632" s="53"/>
      <c r="AE2632" s="53"/>
      <c r="AF2632" s="53"/>
      <c r="AG2632" s="53"/>
    </row>
    <row r="2633" spans="1:33" s="46" customFormat="1">
      <c r="A2633" s="54"/>
      <c r="B2633" s="16"/>
      <c r="C2633" s="55"/>
      <c r="D2633" s="56"/>
      <c r="E2633" s="16"/>
      <c r="F2633" s="16"/>
      <c r="G2633" s="16"/>
      <c r="H2633" s="54"/>
      <c r="I2633" s="16"/>
      <c r="J2633" s="54"/>
      <c r="K2633" s="42"/>
      <c r="L2633" s="16"/>
      <c r="M2633" s="16"/>
      <c r="AA2633" s="14">
        <f t="shared" si="82"/>
        <v>0</v>
      </c>
      <c r="AB2633" s="47">
        <f t="shared" si="83"/>
        <v>-1</v>
      </c>
      <c r="AD2633" s="53"/>
      <c r="AE2633" s="53"/>
      <c r="AF2633" s="53"/>
      <c r="AG2633" s="53"/>
    </row>
    <row r="2634" spans="1:33" s="46" customFormat="1">
      <c r="A2634" s="54"/>
      <c r="B2634" s="16"/>
      <c r="C2634" s="55"/>
      <c r="D2634" s="56"/>
      <c r="E2634" s="16"/>
      <c r="F2634" s="16"/>
      <c r="G2634" s="16"/>
      <c r="H2634" s="54"/>
      <c r="I2634" s="16"/>
      <c r="J2634" s="54"/>
      <c r="K2634" s="42"/>
      <c r="L2634" s="16"/>
      <c r="M2634" s="16"/>
      <c r="AA2634" s="14">
        <f t="shared" si="82"/>
        <v>0</v>
      </c>
      <c r="AB2634" s="47">
        <f t="shared" si="83"/>
        <v>-1</v>
      </c>
      <c r="AD2634" s="53"/>
      <c r="AE2634" s="53"/>
      <c r="AF2634" s="53"/>
      <c r="AG2634" s="53"/>
    </row>
    <row r="2635" spans="1:33" s="46" customFormat="1">
      <c r="A2635" s="54"/>
      <c r="B2635" s="16"/>
      <c r="C2635" s="55"/>
      <c r="D2635" s="56"/>
      <c r="E2635" s="16"/>
      <c r="F2635" s="16"/>
      <c r="G2635" s="16"/>
      <c r="H2635" s="54"/>
      <c r="I2635" s="16"/>
      <c r="J2635" s="54"/>
      <c r="K2635" s="42"/>
      <c r="L2635" s="16"/>
      <c r="M2635" s="16"/>
      <c r="AA2635" s="14">
        <f t="shared" si="82"/>
        <v>0</v>
      </c>
      <c r="AB2635" s="47">
        <f t="shared" si="83"/>
        <v>-1</v>
      </c>
      <c r="AD2635" s="53"/>
      <c r="AE2635" s="53"/>
      <c r="AF2635" s="53"/>
      <c r="AG2635" s="53"/>
    </row>
    <row r="2636" spans="1:33" s="46" customFormat="1">
      <c r="A2636" s="54"/>
      <c r="B2636" s="16"/>
      <c r="C2636" s="55"/>
      <c r="D2636" s="56"/>
      <c r="E2636" s="16"/>
      <c r="F2636" s="16"/>
      <c r="G2636" s="16"/>
      <c r="H2636" s="54"/>
      <c r="I2636" s="16"/>
      <c r="J2636" s="54"/>
      <c r="K2636" s="42"/>
      <c r="L2636" s="16"/>
      <c r="M2636" s="16"/>
      <c r="AA2636" s="14">
        <f t="shared" si="82"/>
        <v>0</v>
      </c>
      <c r="AB2636" s="47">
        <f t="shared" si="83"/>
        <v>-1</v>
      </c>
      <c r="AD2636" s="53"/>
      <c r="AE2636" s="53"/>
      <c r="AF2636" s="53"/>
      <c r="AG2636" s="53"/>
    </row>
    <row r="2637" spans="1:33" s="46" customFormat="1">
      <c r="A2637" s="54"/>
      <c r="B2637" s="16"/>
      <c r="C2637" s="55"/>
      <c r="D2637" s="56"/>
      <c r="E2637" s="16"/>
      <c r="F2637" s="16"/>
      <c r="G2637" s="16"/>
      <c r="H2637" s="54"/>
      <c r="I2637" s="16"/>
      <c r="J2637" s="54"/>
      <c r="K2637" s="42"/>
      <c r="L2637" s="16"/>
      <c r="M2637" s="16"/>
      <c r="AA2637" s="14">
        <f t="shared" si="82"/>
        <v>0</v>
      </c>
      <c r="AB2637" s="47">
        <f t="shared" si="83"/>
        <v>-1</v>
      </c>
      <c r="AD2637" s="53"/>
      <c r="AE2637" s="53"/>
      <c r="AF2637" s="53"/>
      <c r="AG2637" s="53"/>
    </row>
    <row r="2638" spans="1:33" s="46" customFormat="1">
      <c r="A2638" s="54"/>
      <c r="B2638" s="16"/>
      <c r="C2638" s="55"/>
      <c r="D2638" s="56"/>
      <c r="E2638" s="16"/>
      <c r="F2638" s="16"/>
      <c r="G2638" s="16"/>
      <c r="H2638" s="54"/>
      <c r="I2638" s="16"/>
      <c r="J2638" s="54"/>
      <c r="K2638" s="42"/>
      <c r="L2638" s="16"/>
      <c r="M2638" s="16"/>
      <c r="AA2638" s="14">
        <f t="shared" si="82"/>
        <v>0</v>
      </c>
      <c r="AB2638" s="47">
        <f t="shared" si="83"/>
        <v>-1</v>
      </c>
      <c r="AD2638" s="53"/>
      <c r="AE2638" s="53"/>
      <c r="AF2638" s="53"/>
      <c r="AG2638" s="53"/>
    </row>
    <row r="2639" spans="1:33" s="46" customFormat="1">
      <c r="A2639" s="54"/>
      <c r="B2639" s="16"/>
      <c r="C2639" s="55"/>
      <c r="D2639" s="56"/>
      <c r="E2639" s="16"/>
      <c r="F2639" s="16"/>
      <c r="G2639" s="16"/>
      <c r="H2639" s="54"/>
      <c r="I2639" s="16"/>
      <c r="J2639" s="54"/>
      <c r="K2639" s="42"/>
      <c r="L2639" s="16"/>
      <c r="M2639" s="16"/>
      <c r="AA2639" s="14">
        <f t="shared" si="82"/>
        <v>0</v>
      </c>
      <c r="AB2639" s="47">
        <f t="shared" si="83"/>
        <v>-1</v>
      </c>
      <c r="AD2639" s="53"/>
      <c r="AE2639" s="53"/>
      <c r="AF2639" s="53"/>
      <c r="AG2639" s="53"/>
    </row>
    <row r="2640" spans="1:33" s="46" customFormat="1">
      <c r="A2640" s="54"/>
      <c r="B2640" s="16"/>
      <c r="C2640" s="55"/>
      <c r="D2640" s="56"/>
      <c r="E2640" s="16"/>
      <c r="F2640" s="16"/>
      <c r="G2640" s="16"/>
      <c r="H2640" s="54"/>
      <c r="I2640" s="16"/>
      <c r="J2640" s="54"/>
      <c r="K2640" s="42"/>
      <c r="L2640" s="16"/>
      <c r="M2640" s="16"/>
      <c r="AA2640" s="14">
        <f t="shared" si="82"/>
        <v>0</v>
      </c>
      <c r="AB2640" s="47">
        <f t="shared" si="83"/>
        <v>-1</v>
      </c>
      <c r="AD2640" s="53"/>
      <c r="AE2640" s="53"/>
      <c r="AF2640" s="53"/>
      <c r="AG2640" s="53"/>
    </row>
    <row r="2641" spans="1:33" s="46" customFormat="1">
      <c r="A2641" s="54"/>
      <c r="B2641" s="16"/>
      <c r="C2641" s="55"/>
      <c r="D2641" s="56"/>
      <c r="E2641" s="16"/>
      <c r="F2641" s="16"/>
      <c r="G2641" s="16"/>
      <c r="H2641" s="54"/>
      <c r="I2641" s="16"/>
      <c r="J2641" s="54"/>
      <c r="K2641" s="42"/>
      <c r="L2641" s="16"/>
      <c r="M2641" s="16"/>
      <c r="AA2641" s="14">
        <f t="shared" si="82"/>
        <v>0</v>
      </c>
      <c r="AB2641" s="47">
        <f t="shared" si="83"/>
        <v>-1</v>
      </c>
      <c r="AD2641" s="53"/>
      <c r="AE2641" s="53"/>
      <c r="AF2641" s="53"/>
      <c r="AG2641" s="53"/>
    </row>
    <row r="2642" spans="1:33" s="46" customFormat="1">
      <c r="A2642" s="54"/>
      <c r="B2642" s="16"/>
      <c r="C2642" s="55"/>
      <c r="D2642" s="56"/>
      <c r="E2642" s="16"/>
      <c r="F2642" s="16"/>
      <c r="G2642" s="16"/>
      <c r="H2642" s="54"/>
      <c r="I2642" s="16"/>
      <c r="J2642" s="54"/>
      <c r="K2642" s="42"/>
      <c r="L2642" s="16"/>
      <c r="M2642" s="16"/>
      <c r="AA2642" s="14">
        <f t="shared" si="82"/>
        <v>0</v>
      </c>
      <c r="AB2642" s="47">
        <f t="shared" si="83"/>
        <v>-1</v>
      </c>
      <c r="AD2642" s="53"/>
      <c r="AE2642" s="53"/>
      <c r="AF2642" s="53"/>
      <c r="AG2642" s="53"/>
    </row>
    <row r="2643" spans="1:33" s="46" customFormat="1">
      <c r="A2643" s="54"/>
      <c r="B2643" s="16"/>
      <c r="C2643" s="55"/>
      <c r="D2643" s="56"/>
      <c r="E2643" s="16"/>
      <c r="F2643" s="16"/>
      <c r="G2643" s="16"/>
      <c r="H2643" s="54"/>
      <c r="I2643" s="16"/>
      <c r="J2643" s="54"/>
      <c r="K2643" s="42"/>
      <c r="L2643" s="16"/>
      <c r="M2643" s="16"/>
      <c r="AA2643" s="14">
        <f t="shared" si="82"/>
        <v>0</v>
      </c>
      <c r="AB2643" s="47">
        <f t="shared" si="83"/>
        <v>-1</v>
      </c>
      <c r="AD2643" s="53"/>
      <c r="AE2643" s="53"/>
      <c r="AF2643" s="53"/>
      <c r="AG2643" s="53"/>
    </row>
    <row r="2644" spans="1:33" s="46" customFormat="1">
      <c r="A2644" s="54"/>
      <c r="B2644" s="16"/>
      <c r="C2644" s="55"/>
      <c r="D2644" s="56"/>
      <c r="E2644" s="16"/>
      <c r="F2644" s="16"/>
      <c r="G2644" s="16"/>
      <c r="H2644" s="54"/>
      <c r="I2644" s="16"/>
      <c r="J2644" s="54"/>
      <c r="K2644" s="42"/>
      <c r="L2644" s="16"/>
      <c r="M2644" s="16"/>
      <c r="AA2644" s="14">
        <f t="shared" si="82"/>
        <v>0</v>
      </c>
      <c r="AB2644" s="47">
        <f t="shared" si="83"/>
        <v>-1</v>
      </c>
      <c r="AD2644" s="53"/>
      <c r="AE2644" s="53"/>
      <c r="AF2644" s="53"/>
      <c r="AG2644" s="53"/>
    </row>
    <row r="2645" spans="1:33" s="46" customFormat="1">
      <c r="A2645" s="54"/>
      <c r="B2645" s="16"/>
      <c r="C2645" s="55"/>
      <c r="D2645" s="56"/>
      <c r="E2645" s="16"/>
      <c r="F2645" s="16"/>
      <c r="G2645" s="16"/>
      <c r="H2645" s="54"/>
      <c r="I2645" s="16"/>
      <c r="J2645" s="54"/>
      <c r="K2645" s="42"/>
      <c r="L2645" s="16"/>
      <c r="M2645" s="16"/>
      <c r="AA2645" s="14">
        <f t="shared" si="82"/>
        <v>0</v>
      </c>
      <c r="AB2645" s="47">
        <f t="shared" si="83"/>
        <v>-1</v>
      </c>
      <c r="AD2645" s="53"/>
      <c r="AE2645" s="53"/>
      <c r="AF2645" s="53"/>
      <c r="AG2645" s="53"/>
    </row>
    <row r="2646" spans="1:33" s="46" customFormat="1">
      <c r="A2646" s="54"/>
      <c r="B2646" s="16"/>
      <c r="C2646" s="55"/>
      <c r="D2646" s="56"/>
      <c r="E2646" s="16"/>
      <c r="F2646" s="16"/>
      <c r="G2646" s="16"/>
      <c r="H2646" s="54"/>
      <c r="I2646" s="16"/>
      <c r="J2646" s="54"/>
      <c r="K2646" s="42"/>
      <c r="L2646" s="16"/>
      <c r="M2646" s="16"/>
      <c r="AA2646" s="14">
        <f t="shared" si="82"/>
        <v>0</v>
      </c>
      <c r="AB2646" s="47">
        <f t="shared" si="83"/>
        <v>-1</v>
      </c>
      <c r="AD2646" s="53"/>
      <c r="AE2646" s="53"/>
      <c r="AF2646" s="53"/>
      <c r="AG2646" s="53"/>
    </row>
    <row r="2647" spans="1:33" s="46" customFormat="1">
      <c r="A2647" s="54"/>
      <c r="B2647" s="16"/>
      <c r="C2647" s="55"/>
      <c r="D2647" s="56"/>
      <c r="E2647" s="16"/>
      <c r="F2647" s="16"/>
      <c r="G2647" s="16"/>
      <c r="H2647" s="54"/>
      <c r="I2647" s="16"/>
      <c r="J2647" s="54"/>
      <c r="K2647" s="42"/>
      <c r="L2647" s="16"/>
      <c r="M2647" s="16"/>
      <c r="AA2647" s="14">
        <f t="shared" si="82"/>
        <v>0</v>
      </c>
      <c r="AB2647" s="47">
        <f t="shared" si="83"/>
        <v>-1</v>
      </c>
      <c r="AD2647" s="53"/>
      <c r="AE2647" s="53"/>
      <c r="AF2647" s="53"/>
      <c r="AG2647" s="53"/>
    </row>
    <row r="2648" spans="1:33" s="46" customFormat="1">
      <c r="A2648" s="54"/>
      <c r="B2648" s="16"/>
      <c r="C2648" s="55"/>
      <c r="D2648" s="56"/>
      <c r="E2648" s="16"/>
      <c r="F2648" s="16"/>
      <c r="G2648" s="16"/>
      <c r="H2648" s="54"/>
      <c r="I2648" s="16"/>
      <c r="J2648" s="54"/>
      <c r="K2648" s="42"/>
      <c r="L2648" s="16"/>
      <c r="M2648" s="16"/>
      <c r="AA2648" s="14">
        <f t="shared" si="82"/>
        <v>0</v>
      </c>
      <c r="AB2648" s="47">
        <f t="shared" si="83"/>
        <v>-1</v>
      </c>
      <c r="AD2648" s="53"/>
      <c r="AE2648" s="53"/>
      <c r="AF2648" s="53"/>
      <c r="AG2648" s="53"/>
    </row>
    <row r="2649" spans="1:33" s="46" customFormat="1">
      <c r="A2649" s="54"/>
      <c r="B2649" s="16"/>
      <c r="C2649" s="55"/>
      <c r="D2649" s="56"/>
      <c r="E2649" s="16"/>
      <c r="F2649" s="16"/>
      <c r="G2649" s="16"/>
      <c r="H2649" s="54"/>
      <c r="I2649" s="16"/>
      <c r="J2649" s="54"/>
      <c r="K2649" s="42"/>
      <c r="L2649" s="16"/>
      <c r="M2649" s="16"/>
      <c r="AA2649" s="14">
        <f t="shared" si="82"/>
        <v>0</v>
      </c>
      <c r="AB2649" s="47">
        <f t="shared" si="83"/>
        <v>-1</v>
      </c>
      <c r="AD2649" s="53"/>
      <c r="AE2649" s="53"/>
      <c r="AF2649" s="53"/>
      <c r="AG2649" s="53"/>
    </row>
    <row r="2650" spans="1:33" s="46" customFormat="1">
      <c r="A2650" s="54"/>
      <c r="B2650" s="16"/>
      <c r="C2650" s="55"/>
      <c r="D2650" s="56"/>
      <c r="E2650" s="16"/>
      <c r="F2650" s="16"/>
      <c r="G2650" s="16"/>
      <c r="H2650" s="54"/>
      <c r="I2650" s="16"/>
      <c r="J2650" s="54"/>
      <c r="K2650" s="42"/>
      <c r="L2650" s="16"/>
      <c r="M2650" s="16"/>
      <c r="AA2650" s="14">
        <f t="shared" si="82"/>
        <v>0</v>
      </c>
      <c r="AB2650" s="47">
        <f t="shared" si="83"/>
        <v>-1</v>
      </c>
      <c r="AD2650" s="53"/>
      <c r="AE2650" s="53"/>
      <c r="AF2650" s="53"/>
      <c r="AG2650" s="53"/>
    </row>
    <row r="2651" spans="1:33" s="46" customFormat="1">
      <c r="A2651" s="54"/>
      <c r="B2651" s="16"/>
      <c r="C2651" s="55"/>
      <c r="D2651" s="56"/>
      <c r="E2651" s="16"/>
      <c r="F2651" s="16"/>
      <c r="G2651" s="16"/>
      <c r="H2651" s="54"/>
      <c r="I2651" s="16"/>
      <c r="J2651" s="54"/>
      <c r="K2651" s="42"/>
      <c r="L2651" s="16"/>
      <c r="M2651" s="16"/>
      <c r="AA2651" s="14">
        <f t="shared" si="82"/>
        <v>0</v>
      </c>
      <c r="AB2651" s="47">
        <f t="shared" si="83"/>
        <v>-1</v>
      </c>
      <c r="AD2651" s="53"/>
      <c r="AE2651" s="53"/>
      <c r="AF2651" s="53"/>
      <c r="AG2651" s="53"/>
    </row>
    <row r="2652" spans="1:33" s="46" customFormat="1">
      <c r="A2652" s="54"/>
      <c r="B2652" s="16"/>
      <c r="C2652" s="55"/>
      <c r="D2652" s="56"/>
      <c r="E2652" s="16"/>
      <c r="F2652" s="16"/>
      <c r="G2652" s="16"/>
      <c r="H2652" s="54"/>
      <c r="I2652" s="16"/>
      <c r="J2652" s="54"/>
      <c r="K2652" s="42"/>
      <c r="L2652" s="16"/>
      <c r="M2652" s="16"/>
      <c r="AA2652" s="14">
        <f t="shared" si="82"/>
        <v>0</v>
      </c>
      <c r="AB2652" s="47">
        <f t="shared" si="83"/>
        <v>-1</v>
      </c>
      <c r="AD2652" s="53"/>
      <c r="AE2652" s="53"/>
      <c r="AF2652" s="53"/>
      <c r="AG2652" s="53"/>
    </row>
    <row r="2653" spans="1:33" s="46" customFormat="1">
      <c r="A2653" s="54"/>
      <c r="B2653" s="16"/>
      <c r="C2653" s="55"/>
      <c r="D2653" s="56"/>
      <c r="E2653" s="16"/>
      <c r="F2653" s="16"/>
      <c r="G2653" s="16"/>
      <c r="H2653" s="54"/>
      <c r="I2653" s="16"/>
      <c r="J2653" s="54"/>
      <c r="K2653" s="42"/>
      <c r="L2653" s="16"/>
      <c r="M2653" s="16"/>
      <c r="AA2653" s="14">
        <f t="shared" si="82"/>
        <v>0</v>
      </c>
      <c r="AB2653" s="47">
        <f t="shared" si="83"/>
        <v>-1</v>
      </c>
      <c r="AD2653" s="53"/>
      <c r="AE2653" s="53"/>
      <c r="AF2653" s="53"/>
      <c r="AG2653" s="53"/>
    </row>
    <row r="2654" spans="1:33" s="46" customFormat="1">
      <c r="A2654" s="54"/>
      <c r="B2654" s="16"/>
      <c r="C2654" s="55"/>
      <c r="D2654" s="56"/>
      <c r="E2654" s="16"/>
      <c r="F2654" s="16"/>
      <c r="G2654" s="16"/>
      <c r="H2654" s="54"/>
      <c r="I2654" s="16"/>
      <c r="J2654" s="54"/>
      <c r="K2654" s="42"/>
      <c r="L2654" s="16"/>
      <c r="M2654" s="16"/>
      <c r="AA2654" s="14">
        <f t="shared" si="82"/>
        <v>0</v>
      </c>
      <c r="AB2654" s="47">
        <f t="shared" si="83"/>
        <v>-1</v>
      </c>
      <c r="AD2654" s="53"/>
      <c r="AE2654" s="53"/>
      <c r="AF2654" s="53"/>
      <c r="AG2654" s="53"/>
    </row>
    <row r="2655" spans="1:33" s="46" customFormat="1">
      <c r="A2655" s="54"/>
      <c r="B2655" s="16"/>
      <c r="C2655" s="55"/>
      <c r="D2655" s="56"/>
      <c r="E2655" s="16"/>
      <c r="F2655" s="16"/>
      <c r="G2655" s="16"/>
      <c r="H2655" s="54"/>
      <c r="I2655" s="16"/>
      <c r="J2655" s="54"/>
      <c r="K2655" s="42"/>
      <c r="L2655" s="16"/>
      <c r="M2655" s="16"/>
      <c r="AA2655" s="14">
        <f t="shared" si="82"/>
        <v>0</v>
      </c>
      <c r="AB2655" s="47">
        <f t="shared" si="83"/>
        <v>-1</v>
      </c>
      <c r="AD2655" s="53"/>
      <c r="AE2655" s="53"/>
      <c r="AF2655" s="53"/>
      <c r="AG2655" s="53"/>
    </row>
    <row r="2656" spans="1:33" s="46" customFormat="1">
      <c r="A2656" s="54"/>
      <c r="B2656" s="16"/>
      <c r="C2656" s="55"/>
      <c r="D2656" s="56"/>
      <c r="E2656" s="16"/>
      <c r="F2656" s="16"/>
      <c r="G2656" s="16"/>
      <c r="H2656" s="54"/>
      <c r="I2656" s="16"/>
      <c r="J2656" s="54"/>
      <c r="K2656" s="42"/>
      <c r="L2656" s="16"/>
      <c r="M2656" s="16"/>
      <c r="AA2656" s="14">
        <f t="shared" si="82"/>
        <v>0</v>
      </c>
      <c r="AB2656" s="47">
        <f t="shared" si="83"/>
        <v>-1</v>
      </c>
      <c r="AD2656" s="53"/>
      <c r="AE2656" s="53"/>
      <c r="AF2656" s="53"/>
      <c r="AG2656" s="53"/>
    </row>
    <row r="2657" spans="1:33" s="46" customFormat="1">
      <c r="A2657" s="54"/>
      <c r="B2657" s="16"/>
      <c r="C2657" s="55"/>
      <c r="D2657" s="56"/>
      <c r="E2657" s="16"/>
      <c r="F2657" s="16"/>
      <c r="G2657" s="16"/>
      <c r="H2657" s="54"/>
      <c r="I2657" s="16"/>
      <c r="J2657" s="54"/>
      <c r="K2657" s="42"/>
      <c r="L2657" s="16"/>
      <c r="M2657" s="16"/>
      <c r="AA2657" s="14">
        <f t="shared" si="82"/>
        <v>0</v>
      </c>
      <c r="AB2657" s="47">
        <f t="shared" si="83"/>
        <v>-1</v>
      </c>
      <c r="AD2657" s="53"/>
      <c r="AE2657" s="53"/>
      <c r="AF2657" s="53"/>
      <c r="AG2657" s="53"/>
    </row>
    <row r="2658" spans="1:33" s="46" customFormat="1">
      <c r="A2658" s="54"/>
      <c r="B2658" s="16"/>
      <c r="C2658" s="55"/>
      <c r="D2658" s="56"/>
      <c r="E2658" s="16"/>
      <c r="F2658" s="16"/>
      <c r="G2658" s="16"/>
      <c r="H2658" s="54"/>
      <c r="I2658" s="16"/>
      <c r="J2658" s="54"/>
      <c r="K2658" s="42"/>
      <c r="L2658" s="16"/>
      <c r="M2658" s="16"/>
      <c r="AA2658" s="14">
        <f t="shared" si="82"/>
        <v>0</v>
      </c>
      <c r="AB2658" s="47">
        <f t="shared" si="83"/>
        <v>-1</v>
      </c>
      <c r="AD2658" s="53"/>
      <c r="AE2658" s="53"/>
      <c r="AF2658" s="53"/>
      <c r="AG2658" s="53"/>
    </row>
    <row r="2659" spans="1:33" s="46" customFormat="1">
      <c r="A2659" s="54"/>
      <c r="B2659" s="16"/>
      <c r="C2659" s="55"/>
      <c r="D2659" s="56"/>
      <c r="E2659" s="16"/>
      <c r="F2659" s="16"/>
      <c r="G2659" s="16"/>
      <c r="H2659" s="54"/>
      <c r="I2659" s="16"/>
      <c r="J2659" s="54"/>
      <c r="K2659" s="42"/>
      <c r="L2659" s="16"/>
      <c r="M2659" s="16"/>
      <c r="AA2659" s="14">
        <f t="shared" si="82"/>
        <v>0</v>
      </c>
      <c r="AB2659" s="47">
        <f t="shared" si="83"/>
        <v>-1</v>
      </c>
      <c r="AD2659" s="53"/>
      <c r="AE2659" s="53"/>
      <c r="AF2659" s="53"/>
      <c r="AG2659" s="53"/>
    </row>
    <row r="2660" spans="1:33" s="46" customFormat="1">
      <c r="A2660" s="54"/>
      <c r="B2660" s="16"/>
      <c r="C2660" s="55"/>
      <c r="D2660" s="56"/>
      <c r="E2660" s="16"/>
      <c r="F2660" s="16"/>
      <c r="G2660" s="16"/>
      <c r="H2660" s="54"/>
      <c r="I2660" s="16"/>
      <c r="J2660" s="54"/>
      <c r="K2660" s="42"/>
      <c r="L2660" s="16"/>
      <c r="M2660" s="16"/>
      <c r="AA2660" s="14">
        <f t="shared" si="82"/>
        <v>0</v>
      </c>
      <c r="AB2660" s="47">
        <f t="shared" si="83"/>
        <v>-1</v>
      </c>
      <c r="AD2660" s="53"/>
      <c r="AE2660" s="53"/>
      <c r="AF2660" s="53"/>
      <c r="AG2660" s="53"/>
    </row>
    <row r="2661" spans="1:33" s="46" customFormat="1">
      <c r="A2661" s="54"/>
      <c r="B2661" s="16"/>
      <c r="C2661" s="55"/>
      <c r="D2661" s="56"/>
      <c r="E2661" s="16"/>
      <c r="F2661" s="16"/>
      <c r="G2661" s="16"/>
      <c r="H2661" s="54"/>
      <c r="I2661" s="16"/>
      <c r="J2661" s="54"/>
      <c r="K2661" s="42"/>
      <c r="L2661" s="16"/>
      <c r="M2661" s="16"/>
      <c r="AA2661" s="14">
        <f t="shared" si="82"/>
        <v>0</v>
      </c>
      <c r="AB2661" s="47">
        <f t="shared" si="83"/>
        <v>-1</v>
      </c>
      <c r="AD2661" s="53"/>
      <c r="AE2661" s="53"/>
      <c r="AF2661" s="53"/>
      <c r="AG2661" s="53"/>
    </row>
    <row r="2662" spans="1:33" s="46" customFormat="1">
      <c r="A2662" s="54"/>
      <c r="B2662" s="16"/>
      <c r="C2662" s="55"/>
      <c r="D2662" s="56"/>
      <c r="E2662" s="16"/>
      <c r="F2662" s="16"/>
      <c r="G2662" s="16"/>
      <c r="H2662" s="54"/>
      <c r="I2662" s="16"/>
      <c r="J2662" s="54"/>
      <c r="K2662" s="42"/>
      <c r="L2662" s="16"/>
      <c r="M2662" s="16"/>
      <c r="AA2662" s="14">
        <f t="shared" si="82"/>
        <v>0</v>
      </c>
      <c r="AB2662" s="47">
        <f t="shared" si="83"/>
        <v>-1</v>
      </c>
      <c r="AD2662" s="53"/>
      <c r="AE2662" s="53"/>
      <c r="AF2662" s="53"/>
      <c r="AG2662" s="53"/>
    </row>
    <row r="2663" spans="1:33" s="46" customFormat="1">
      <c r="A2663" s="54"/>
      <c r="B2663" s="16"/>
      <c r="C2663" s="55"/>
      <c r="D2663" s="56"/>
      <c r="E2663" s="16"/>
      <c r="F2663" s="16"/>
      <c r="G2663" s="16"/>
      <c r="H2663" s="54"/>
      <c r="I2663" s="16"/>
      <c r="J2663" s="54"/>
      <c r="K2663" s="42"/>
      <c r="L2663" s="16"/>
      <c r="M2663" s="16"/>
      <c r="AA2663" s="14">
        <f t="shared" si="82"/>
        <v>0</v>
      </c>
      <c r="AB2663" s="47">
        <f t="shared" si="83"/>
        <v>-1</v>
      </c>
      <c r="AD2663" s="53"/>
      <c r="AE2663" s="53"/>
      <c r="AF2663" s="53"/>
      <c r="AG2663" s="53"/>
    </row>
    <row r="2664" spans="1:33" s="46" customFormat="1">
      <c r="A2664" s="54"/>
      <c r="B2664" s="16"/>
      <c r="C2664" s="55"/>
      <c r="D2664" s="56"/>
      <c r="E2664" s="16"/>
      <c r="F2664" s="16"/>
      <c r="G2664" s="16"/>
      <c r="H2664" s="54"/>
      <c r="I2664" s="16"/>
      <c r="J2664" s="54"/>
      <c r="K2664" s="42"/>
      <c r="L2664" s="16"/>
      <c r="M2664" s="16"/>
      <c r="AA2664" s="14">
        <f t="shared" ref="AA2664:AA2727" si="84">C2664-C2663</f>
        <v>0</v>
      </c>
      <c r="AB2664" s="47">
        <f t="shared" ref="AB2664:AB2727" si="85">AA2664-1</f>
        <v>-1</v>
      </c>
      <c r="AD2664" s="53"/>
      <c r="AE2664" s="53"/>
      <c r="AF2664" s="53"/>
      <c r="AG2664" s="53"/>
    </row>
    <row r="2665" spans="1:33" s="46" customFormat="1">
      <c r="A2665" s="54"/>
      <c r="B2665" s="16"/>
      <c r="C2665" s="55"/>
      <c r="D2665" s="56"/>
      <c r="E2665" s="16"/>
      <c r="F2665" s="16"/>
      <c r="G2665" s="16"/>
      <c r="H2665" s="54"/>
      <c r="I2665" s="16"/>
      <c r="J2665" s="54"/>
      <c r="K2665" s="42"/>
      <c r="L2665" s="16"/>
      <c r="M2665" s="16"/>
      <c r="AA2665" s="14">
        <f t="shared" si="84"/>
        <v>0</v>
      </c>
      <c r="AB2665" s="47">
        <f t="shared" si="85"/>
        <v>-1</v>
      </c>
      <c r="AD2665" s="53"/>
      <c r="AE2665" s="53"/>
      <c r="AF2665" s="53"/>
      <c r="AG2665" s="53"/>
    </row>
    <row r="2666" spans="1:33" s="46" customFormat="1">
      <c r="A2666" s="54"/>
      <c r="B2666" s="16"/>
      <c r="C2666" s="55"/>
      <c r="D2666" s="56"/>
      <c r="E2666" s="16"/>
      <c r="F2666" s="16"/>
      <c r="G2666" s="16"/>
      <c r="H2666" s="54"/>
      <c r="I2666" s="16"/>
      <c r="J2666" s="54"/>
      <c r="K2666" s="42"/>
      <c r="L2666" s="16"/>
      <c r="M2666" s="16"/>
      <c r="AA2666" s="14">
        <f t="shared" si="84"/>
        <v>0</v>
      </c>
      <c r="AB2666" s="47">
        <f t="shared" si="85"/>
        <v>-1</v>
      </c>
      <c r="AD2666" s="53"/>
      <c r="AE2666" s="53"/>
      <c r="AF2666" s="53"/>
      <c r="AG2666" s="53"/>
    </row>
    <row r="2667" spans="1:33" s="46" customFormat="1">
      <c r="A2667" s="54"/>
      <c r="B2667" s="16"/>
      <c r="C2667" s="55"/>
      <c r="D2667" s="56"/>
      <c r="E2667" s="16"/>
      <c r="F2667" s="16"/>
      <c r="G2667" s="16"/>
      <c r="H2667" s="54"/>
      <c r="I2667" s="16"/>
      <c r="J2667" s="54"/>
      <c r="K2667" s="42"/>
      <c r="L2667" s="16"/>
      <c r="M2667" s="16"/>
      <c r="AA2667" s="14">
        <f t="shared" si="84"/>
        <v>0</v>
      </c>
      <c r="AB2667" s="47">
        <f t="shared" si="85"/>
        <v>-1</v>
      </c>
      <c r="AD2667" s="53"/>
      <c r="AE2667" s="53"/>
      <c r="AF2667" s="53"/>
      <c r="AG2667" s="53"/>
    </row>
    <row r="2668" spans="1:33" s="46" customFormat="1">
      <c r="A2668" s="54"/>
      <c r="B2668" s="16"/>
      <c r="C2668" s="55"/>
      <c r="D2668" s="56"/>
      <c r="E2668" s="16"/>
      <c r="F2668" s="16"/>
      <c r="G2668" s="16"/>
      <c r="H2668" s="54"/>
      <c r="I2668" s="16"/>
      <c r="J2668" s="54"/>
      <c r="K2668" s="42"/>
      <c r="L2668" s="16"/>
      <c r="M2668" s="16"/>
      <c r="AA2668" s="14">
        <f t="shared" si="84"/>
        <v>0</v>
      </c>
      <c r="AB2668" s="47">
        <f t="shared" si="85"/>
        <v>-1</v>
      </c>
      <c r="AD2668" s="53"/>
      <c r="AE2668" s="53"/>
      <c r="AF2668" s="53"/>
      <c r="AG2668" s="53"/>
    </row>
    <row r="2669" spans="1:33" s="46" customFormat="1">
      <c r="A2669" s="54"/>
      <c r="B2669" s="16"/>
      <c r="C2669" s="55"/>
      <c r="D2669" s="56"/>
      <c r="E2669" s="16"/>
      <c r="F2669" s="16"/>
      <c r="G2669" s="16"/>
      <c r="H2669" s="54"/>
      <c r="I2669" s="16"/>
      <c r="J2669" s="54"/>
      <c r="K2669" s="42"/>
      <c r="L2669" s="16"/>
      <c r="M2669" s="16"/>
      <c r="AA2669" s="14">
        <f t="shared" si="84"/>
        <v>0</v>
      </c>
      <c r="AB2669" s="47">
        <f t="shared" si="85"/>
        <v>-1</v>
      </c>
      <c r="AD2669" s="53"/>
      <c r="AE2669" s="53"/>
      <c r="AF2669" s="53"/>
      <c r="AG2669" s="53"/>
    </row>
    <row r="2670" spans="1:33" s="46" customFormat="1">
      <c r="A2670" s="54"/>
      <c r="B2670" s="16"/>
      <c r="C2670" s="55"/>
      <c r="D2670" s="56"/>
      <c r="E2670" s="16"/>
      <c r="F2670" s="16"/>
      <c r="G2670" s="16"/>
      <c r="H2670" s="54"/>
      <c r="I2670" s="16"/>
      <c r="J2670" s="54"/>
      <c r="K2670" s="42"/>
      <c r="L2670" s="16"/>
      <c r="M2670" s="16"/>
      <c r="AA2670" s="14">
        <f t="shared" si="84"/>
        <v>0</v>
      </c>
      <c r="AB2670" s="47">
        <f t="shared" si="85"/>
        <v>-1</v>
      </c>
      <c r="AD2670" s="53"/>
      <c r="AE2670" s="53"/>
      <c r="AF2670" s="53"/>
      <c r="AG2670" s="53"/>
    </row>
    <row r="2671" spans="1:33" s="46" customFormat="1">
      <c r="A2671" s="54"/>
      <c r="B2671" s="16"/>
      <c r="C2671" s="55"/>
      <c r="D2671" s="56"/>
      <c r="E2671" s="16"/>
      <c r="F2671" s="16"/>
      <c r="G2671" s="16"/>
      <c r="H2671" s="54"/>
      <c r="I2671" s="16"/>
      <c r="J2671" s="54"/>
      <c r="K2671" s="42"/>
      <c r="L2671" s="16"/>
      <c r="M2671" s="16"/>
      <c r="AA2671" s="14">
        <f t="shared" si="84"/>
        <v>0</v>
      </c>
      <c r="AB2671" s="47">
        <f t="shared" si="85"/>
        <v>-1</v>
      </c>
      <c r="AD2671" s="53"/>
      <c r="AE2671" s="53"/>
      <c r="AF2671" s="53"/>
      <c r="AG2671" s="53"/>
    </row>
    <row r="2672" spans="1:33" s="46" customFormat="1">
      <c r="A2672" s="54"/>
      <c r="B2672" s="16"/>
      <c r="C2672" s="55"/>
      <c r="D2672" s="56"/>
      <c r="E2672" s="16"/>
      <c r="F2672" s="16"/>
      <c r="G2672" s="16"/>
      <c r="H2672" s="54"/>
      <c r="I2672" s="16"/>
      <c r="J2672" s="54"/>
      <c r="K2672" s="42"/>
      <c r="L2672" s="16"/>
      <c r="M2672" s="16"/>
      <c r="AA2672" s="14">
        <f t="shared" si="84"/>
        <v>0</v>
      </c>
      <c r="AB2672" s="47">
        <f t="shared" si="85"/>
        <v>-1</v>
      </c>
      <c r="AD2672" s="53"/>
      <c r="AE2672" s="53"/>
      <c r="AF2672" s="53"/>
      <c r="AG2672" s="53"/>
    </row>
    <row r="2673" spans="1:33" s="46" customFormat="1">
      <c r="A2673" s="54"/>
      <c r="B2673" s="16"/>
      <c r="C2673" s="55"/>
      <c r="D2673" s="56"/>
      <c r="E2673" s="16"/>
      <c r="F2673" s="16"/>
      <c r="G2673" s="16"/>
      <c r="H2673" s="54"/>
      <c r="I2673" s="16"/>
      <c r="J2673" s="54"/>
      <c r="K2673" s="42"/>
      <c r="L2673" s="16"/>
      <c r="M2673" s="16"/>
      <c r="AA2673" s="14">
        <f t="shared" si="84"/>
        <v>0</v>
      </c>
      <c r="AB2673" s="47">
        <f t="shared" si="85"/>
        <v>-1</v>
      </c>
      <c r="AD2673" s="53"/>
      <c r="AE2673" s="53"/>
      <c r="AF2673" s="53"/>
      <c r="AG2673" s="53"/>
    </row>
    <row r="2674" spans="1:33" s="46" customFormat="1">
      <c r="A2674" s="54"/>
      <c r="B2674" s="16"/>
      <c r="C2674" s="55"/>
      <c r="D2674" s="56"/>
      <c r="E2674" s="16"/>
      <c r="F2674" s="16"/>
      <c r="G2674" s="16"/>
      <c r="H2674" s="54"/>
      <c r="I2674" s="16"/>
      <c r="J2674" s="54"/>
      <c r="K2674" s="42"/>
      <c r="L2674" s="16"/>
      <c r="M2674" s="16"/>
      <c r="AA2674" s="14">
        <f t="shared" si="84"/>
        <v>0</v>
      </c>
      <c r="AB2674" s="47">
        <f t="shared" si="85"/>
        <v>-1</v>
      </c>
      <c r="AD2674" s="53"/>
      <c r="AE2674" s="53"/>
      <c r="AF2674" s="53"/>
      <c r="AG2674" s="53"/>
    </row>
    <row r="2675" spans="1:33" s="46" customFormat="1">
      <c r="A2675" s="54"/>
      <c r="B2675" s="16"/>
      <c r="C2675" s="55"/>
      <c r="D2675" s="56"/>
      <c r="E2675" s="16"/>
      <c r="F2675" s="16"/>
      <c r="G2675" s="16"/>
      <c r="H2675" s="54"/>
      <c r="I2675" s="16"/>
      <c r="J2675" s="54"/>
      <c r="K2675" s="42"/>
      <c r="L2675" s="16"/>
      <c r="M2675" s="16"/>
      <c r="AA2675" s="14">
        <f t="shared" si="84"/>
        <v>0</v>
      </c>
      <c r="AB2675" s="47">
        <f t="shared" si="85"/>
        <v>-1</v>
      </c>
      <c r="AD2675" s="53"/>
      <c r="AE2675" s="53"/>
      <c r="AF2675" s="53"/>
      <c r="AG2675" s="53"/>
    </row>
    <row r="2676" spans="1:33" s="46" customFormat="1">
      <c r="A2676" s="54"/>
      <c r="B2676" s="16"/>
      <c r="C2676" s="55"/>
      <c r="D2676" s="56"/>
      <c r="E2676" s="16"/>
      <c r="F2676" s="16"/>
      <c r="G2676" s="16"/>
      <c r="H2676" s="54"/>
      <c r="I2676" s="16"/>
      <c r="J2676" s="54"/>
      <c r="K2676" s="42"/>
      <c r="L2676" s="16"/>
      <c r="M2676" s="16"/>
      <c r="AA2676" s="14">
        <f t="shared" si="84"/>
        <v>0</v>
      </c>
      <c r="AB2676" s="47">
        <f t="shared" si="85"/>
        <v>-1</v>
      </c>
      <c r="AD2676" s="53"/>
      <c r="AE2676" s="53"/>
      <c r="AF2676" s="53"/>
      <c r="AG2676" s="53"/>
    </row>
    <row r="2677" spans="1:33" s="46" customFormat="1">
      <c r="A2677" s="54"/>
      <c r="B2677" s="16"/>
      <c r="C2677" s="55"/>
      <c r="D2677" s="56"/>
      <c r="E2677" s="16"/>
      <c r="F2677" s="16"/>
      <c r="G2677" s="16"/>
      <c r="H2677" s="54"/>
      <c r="I2677" s="16"/>
      <c r="J2677" s="54"/>
      <c r="K2677" s="42"/>
      <c r="L2677" s="16"/>
      <c r="M2677" s="16"/>
      <c r="AA2677" s="14">
        <f t="shared" si="84"/>
        <v>0</v>
      </c>
      <c r="AB2677" s="47">
        <f t="shared" si="85"/>
        <v>-1</v>
      </c>
      <c r="AD2677" s="53"/>
      <c r="AE2677" s="53"/>
      <c r="AF2677" s="53"/>
      <c r="AG2677" s="53"/>
    </row>
    <row r="2678" spans="1:33" s="46" customFormat="1">
      <c r="A2678" s="54"/>
      <c r="B2678" s="16"/>
      <c r="C2678" s="55"/>
      <c r="D2678" s="56"/>
      <c r="E2678" s="16"/>
      <c r="F2678" s="16"/>
      <c r="G2678" s="16"/>
      <c r="H2678" s="54"/>
      <c r="I2678" s="16"/>
      <c r="J2678" s="54"/>
      <c r="K2678" s="42"/>
      <c r="L2678" s="16"/>
      <c r="M2678" s="16"/>
      <c r="AA2678" s="14">
        <f t="shared" si="84"/>
        <v>0</v>
      </c>
      <c r="AB2678" s="47">
        <f t="shared" si="85"/>
        <v>-1</v>
      </c>
      <c r="AD2678" s="53"/>
      <c r="AE2678" s="53"/>
      <c r="AF2678" s="53"/>
      <c r="AG2678" s="53"/>
    </row>
    <row r="2679" spans="1:33" s="46" customFormat="1">
      <c r="A2679" s="54"/>
      <c r="B2679" s="16"/>
      <c r="C2679" s="55"/>
      <c r="D2679" s="56"/>
      <c r="E2679" s="16"/>
      <c r="F2679" s="16"/>
      <c r="G2679" s="16"/>
      <c r="H2679" s="54"/>
      <c r="I2679" s="16"/>
      <c r="J2679" s="54"/>
      <c r="K2679" s="42"/>
      <c r="L2679" s="16"/>
      <c r="M2679" s="16"/>
      <c r="AA2679" s="14">
        <f t="shared" si="84"/>
        <v>0</v>
      </c>
      <c r="AB2679" s="47">
        <f t="shared" si="85"/>
        <v>-1</v>
      </c>
      <c r="AD2679" s="53"/>
      <c r="AE2679" s="53"/>
      <c r="AF2679" s="53"/>
      <c r="AG2679" s="53"/>
    </row>
    <row r="2680" spans="1:33" s="46" customFormat="1">
      <c r="A2680" s="54"/>
      <c r="B2680" s="16"/>
      <c r="C2680" s="55"/>
      <c r="D2680" s="56"/>
      <c r="E2680" s="16"/>
      <c r="F2680" s="16"/>
      <c r="G2680" s="16"/>
      <c r="H2680" s="54"/>
      <c r="I2680" s="16"/>
      <c r="J2680" s="54"/>
      <c r="K2680" s="42"/>
      <c r="L2680" s="16"/>
      <c r="M2680" s="16"/>
      <c r="AA2680" s="14">
        <f t="shared" si="84"/>
        <v>0</v>
      </c>
      <c r="AB2680" s="47">
        <f t="shared" si="85"/>
        <v>-1</v>
      </c>
      <c r="AD2680" s="53"/>
      <c r="AE2680" s="53"/>
      <c r="AF2680" s="53"/>
      <c r="AG2680" s="53"/>
    </row>
    <row r="2681" spans="1:33" s="46" customFormat="1">
      <c r="A2681" s="54"/>
      <c r="B2681" s="16"/>
      <c r="C2681" s="55"/>
      <c r="D2681" s="56"/>
      <c r="E2681" s="16"/>
      <c r="F2681" s="16"/>
      <c r="G2681" s="16"/>
      <c r="H2681" s="54"/>
      <c r="I2681" s="16"/>
      <c r="J2681" s="54"/>
      <c r="K2681" s="42"/>
      <c r="L2681" s="16"/>
      <c r="M2681" s="16"/>
      <c r="AA2681" s="14">
        <f t="shared" si="84"/>
        <v>0</v>
      </c>
      <c r="AB2681" s="47">
        <f t="shared" si="85"/>
        <v>-1</v>
      </c>
      <c r="AD2681" s="53"/>
      <c r="AE2681" s="53"/>
      <c r="AF2681" s="53"/>
      <c r="AG2681" s="53"/>
    </row>
    <row r="2682" spans="1:33" s="46" customFormat="1">
      <c r="A2682" s="54"/>
      <c r="B2682" s="16"/>
      <c r="C2682" s="55"/>
      <c r="D2682" s="56"/>
      <c r="E2682" s="16"/>
      <c r="F2682" s="16"/>
      <c r="G2682" s="16"/>
      <c r="H2682" s="54"/>
      <c r="I2682" s="16"/>
      <c r="J2682" s="54"/>
      <c r="K2682" s="42"/>
      <c r="L2682" s="16"/>
      <c r="M2682" s="16"/>
      <c r="AA2682" s="14">
        <f t="shared" si="84"/>
        <v>0</v>
      </c>
      <c r="AB2682" s="47">
        <f t="shared" si="85"/>
        <v>-1</v>
      </c>
      <c r="AD2682" s="53"/>
      <c r="AE2682" s="53"/>
      <c r="AF2682" s="53"/>
      <c r="AG2682" s="53"/>
    </row>
    <row r="2683" spans="1:33" s="46" customFormat="1">
      <c r="A2683" s="54"/>
      <c r="B2683" s="16"/>
      <c r="C2683" s="55"/>
      <c r="D2683" s="56"/>
      <c r="E2683" s="16"/>
      <c r="F2683" s="16"/>
      <c r="G2683" s="16"/>
      <c r="H2683" s="54"/>
      <c r="I2683" s="16"/>
      <c r="J2683" s="54"/>
      <c r="K2683" s="42"/>
      <c r="L2683" s="16"/>
      <c r="M2683" s="16"/>
      <c r="AA2683" s="14">
        <f t="shared" si="84"/>
        <v>0</v>
      </c>
      <c r="AB2683" s="47">
        <f t="shared" si="85"/>
        <v>-1</v>
      </c>
      <c r="AD2683" s="53"/>
      <c r="AE2683" s="53"/>
      <c r="AF2683" s="53"/>
      <c r="AG2683" s="53"/>
    </row>
    <row r="2684" spans="1:33" s="46" customFormat="1">
      <c r="A2684" s="54"/>
      <c r="B2684" s="16"/>
      <c r="C2684" s="55"/>
      <c r="D2684" s="56"/>
      <c r="E2684" s="16"/>
      <c r="F2684" s="16"/>
      <c r="G2684" s="16"/>
      <c r="H2684" s="54"/>
      <c r="I2684" s="16"/>
      <c r="J2684" s="54"/>
      <c r="K2684" s="42"/>
      <c r="L2684" s="16"/>
      <c r="M2684" s="16"/>
      <c r="AA2684" s="14">
        <f t="shared" si="84"/>
        <v>0</v>
      </c>
      <c r="AB2684" s="47">
        <f t="shared" si="85"/>
        <v>-1</v>
      </c>
      <c r="AD2684" s="53"/>
      <c r="AE2684" s="53"/>
      <c r="AF2684" s="53"/>
      <c r="AG2684" s="53"/>
    </row>
    <row r="2685" spans="1:33" s="46" customFormat="1">
      <c r="A2685" s="54"/>
      <c r="B2685" s="16"/>
      <c r="C2685" s="55"/>
      <c r="D2685" s="56"/>
      <c r="E2685" s="16"/>
      <c r="F2685" s="16"/>
      <c r="G2685" s="16"/>
      <c r="H2685" s="54"/>
      <c r="I2685" s="16"/>
      <c r="J2685" s="54"/>
      <c r="K2685" s="42"/>
      <c r="L2685" s="16"/>
      <c r="M2685" s="16"/>
      <c r="AA2685" s="14">
        <f t="shared" si="84"/>
        <v>0</v>
      </c>
      <c r="AB2685" s="47">
        <f t="shared" si="85"/>
        <v>-1</v>
      </c>
      <c r="AD2685" s="53"/>
      <c r="AE2685" s="53"/>
      <c r="AF2685" s="53"/>
      <c r="AG2685" s="53"/>
    </row>
    <row r="2686" spans="1:33" s="46" customFormat="1">
      <c r="A2686" s="54"/>
      <c r="B2686" s="16"/>
      <c r="C2686" s="55"/>
      <c r="D2686" s="56"/>
      <c r="E2686" s="16"/>
      <c r="F2686" s="16"/>
      <c r="G2686" s="16"/>
      <c r="H2686" s="54"/>
      <c r="I2686" s="16"/>
      <c r="J2686" s="54"/>
      <c r="K2686" s="42"/>
      <c r="L2686" s="16"/>
      <c r="M2686" s="16"/>
      <c r="AA2686" s="14">
        <f t="shared" si="84"/>
        <v>0</v>
      </c>
      <c r="AB2686" s="47">
        <f t="shared" si="85"/>
        <v>-1</v>
      </c>
      <c r="AD2686" s="53"/>
      <c r="AE2686" s="53"/>
      <c r="AF2686" s="53"/>
      <c r="AG2686" s="53"/>
    </row>
    <row r="2687" spans="1:33" s="46" customFormat="1">
      <c r="A2687" s="54"/>
      <c r="B2687" s="16"/>
      <c r="C2687" s="55"/>
      <c r="D2687" s="56"/>
      <c r="E2687" s="16"/>
      <c r="F2687" s="16"/>
      <c r="G2687" s="16"/>
      <c r="H2687" s="54"/>
      <c r="I2687" s="16"/>
      <c r="J2687" s="54"/>
      <c r="K2687" s="42"/>
      <c r="L2687" s="16"/>
      <c r="M2687" s="16"/>
      <c r="AA2687" s="14">
        <f t="shared" si="84"/>
        <v>0</v>
      </c>
      <c r="AB2687" s="47">
        <f t="shared" si="85"/>
        <v>-1</v>
      </c>
      <c r="AD2687" s="53"/>
      <c r="AE2687" s="53"/>
      <c r="AF2687" s="53"/>
      <c r="AG2687" s="53"/>
    </row>
    <row r="2688" spans="1:33" s="46" customFormat="1">
      <c r="A2688" s="54"/>
      <c r="B2688" s="16"/>
      <c r="C2688" s="55"/>
      <c r="D2688" s="56"/>
      <c r="E2688" s="16"/>
      <c r="F2688" s="16"/>
      <c r="G2688" s="16"/>
      <c r="H2688" s="54"/>
      <c r="I2688" s="16"/>
      <c r="J2688" s="54"/>
      <c r="K2688" s="42"/>
      <c r="L2688" s="16"/>
      <c r="M2688" s="16"/>
      <c r="AA2688" s="14">
        <f t="shared" si="84"/>
        <v>0</v>
      </c>
      <c r="AB2688" s="47">
        <f t="shared" si="85"/>
        <v>-1</v>
      </c>
      <c r="AD2688" s="53"/>
      <c r="AE2688" s="53"/>
      <c r="AF2688" s="53"/>
      <c r="AG2688" s="53"/>
    </row>
    <row r="2689" spans="1:33" s="46" customFormat="1">
      <c r="A2689" s="54"/>
      <c r="B2689" s="16"/>
      <c r="C2689" s="55"/>
      <c r="D2689" s="56"/>
      <c r="E2689" s="16"/>
      <c r="F2689" s="16"/>
      <c r="G2689" s="16"/>
      <c r="H2689" s="54"/>
      <c r="I2689" s="16"/>
      <c r="J2689" s="54"/>
      <c r="K2689" s="42"/>
      <c r="L2689" s="16"/>
      <c r="M2689" s="16"/>
      <c r="AA2689" s="14">
        <f t="shared" si="84"/>
        <v>0</v>
      </c>
      <c r="AB2689" s="47">
        <f t="shared" si="85"/>
        <v>-1</v>
      </c>
      <c r="AD2689" s="53"/>
      <c r="AE2689" s="53"/>
      <c r="AF2689" s="53"/>
      <c r="AG2689" s="53"/>
    </row>
    <row r="2690" spans="1:33" s="46" customFormat="1">
      <c r="A2690" s="54"/>
      <c r="B2690" s="16"/>
      <c r="C2690" s="55"/>
      <c r="D2690" s="56"/>
      <c r="E2690" s="16"/>
      <c r="F2690" s="16"/>
      <c r="G2690" s="16"/>
      <c r="H2690" s="54"/>
      <c r="I2690" s="16"/>
      <c r="J2690" s="54"/>
      <c r="K2690" s="42"/>
      <c r="L2690" s="16"/>
      <c r="M2690" s="16"/>
      <c r="AA2690" s="14">
        <f t="shared" si="84"/>
        <v>0</v>
      </c>
      <c r="AB2690" s="47">
        <f t="shared" si="85"/>
        <v>-1</v>
      </c>
      <c r="AD2690" s="53"/>
      <c r="AE2690" s="53"/>
      <c r="AF2690" s="53"/>
      <c r="AG2690" s="53"/>
    </row>
    <row r="2691" spans="1:33" s="46" customFormat="1">
      <c r="A2691" s="54"/>
      <c r="B2691" s="16"/>
      <c r="C2691" s="55"/>
      <c r="D2691" s="56"/>
      <c r="E2691" s="16"/>
      <c r="F2691" s="16"/>
      <c r="G2691" s="16"/>
      <c r="H2691" s="54"/>
      <c r="I2691" s="16"/>
      <c r="J2691" s="54"/>
      <c r="K2691" s="42"/>
      <c r="L2691" s="16"/>
      <c r="M2691" s="16"/>
      <c r="AA2691" s="14">
        <f t="shared" si="84"/>
        <v>0</v>
      </c>
      <c r="AB2691" s="47">
        <f t="shared" si="85"/>
        <v>-1</v>
      </c>
      <c r="AD2691" s="53"/>
      <c r="AE2691" s="53"/>
      <c r="AF2691" s="53"/>
      <c r="AG2691" s="53"/>
    </row>
    <row r="2692" spans="1:33" s="46" customFormat="1">
      <c r="A2692" s="54"/>
      <c r="B2692" s="16"/>
      <c r="C2692" s="55"/>
      <c r="D2692" s="56"/>
      <c r="E2692" s="16"/>
      <c r="F2692" s="16"/>
      <c r="G2692" s="16"/>
      <c r="H2692" s="54"/>
      <c r="I2692" s="16"/>
      <c r="J2692" s="54"/>
      <c r="K2692" s="42"/>
      <c r="L2692" s="16"/>
      <c r="M2692" s="16"/>
      <c r="AA2692" s="14">
        <f t="shared" si="84"/>
        <v>0</v>
      </c>
      <c r="AB2692" s="47">
        <f t="shared" si="85"/>
        <v>-1</v>
      </c>
      <c r="AD2692" s="53"/>
      <c r="AE2692" s="53"/>
      <c r="AF2692" s="53"/>
      <c r="AG2692" s="53"/>
    </row>
    <row r="2693" spans="1:33" s="46" customFormat="1">
      <c r="A2693" s="54"/>
      <c r="B2693" s="16"/>
      <c r="C2693" s="55"/>
      <c r="D2693" s="56"/>
      <c r="E2693" s="16"/>
      <c r="F2693" s="16"/>
      <c r="G2693" s="16"/>
      <c r="H2693" s="54"/>
      <c r="I2693" s="16"/>
      <c r="J2693" s="54"/>
      <c r="K2693" s="42"/>
      <c r="L2693" s="16"/>
      <c r="M2693" s="16"/>
      <c r="AA2693" s="14">
        <f t="shared" si="84"/>
        <v>0</v>
      </c>
      <c r="AB2693" s="47">
        <f t="shared" si="85"/>
        <v>-1</v>
      </c>
      <c r="AD2693" s="53"/>
      <c r="AE2693" s="53"/>
      <c r="AF2693" s="53"/>
      <c r="AG2693" s="53"/>
    </row>
    <row r="2694" spans="1:33" s="46" customFormat="1">
      <c r="A2694" s="54"/>
      <c r="B2694" s="16"/>
      <c r="C2694" s="55"/>
      <c r="D2694" s="56"/>
      <c r="E2694" s="16"/>
      <c r="F2694" s="16"/>
      <c r="G2694" s="16"/>
      <c r="H2694" s="54"/>
      <c r="I2694" s="16"/>
      <c r="J2694" s="54"/>
      <c r="K2694" s="42"/>
      <c r="L2694" s="16"/>
      <c r="M2694" s="16"/>
      <c r="AA2694" s="14">
        <f t="shared" si="84"/>
        <v>0</v>
      </c>
      <c r="AB2694" s="47">
        <f t="shared" si="85"/>
        <v>-1</v>
      </c>
      <c r="AD2694" s="53"/>
      <c r="AE2694" s="53"/>
      <c r="AF2694" s="53"/>
      <c r="AG2694" s="53"/>
    </row>
    <row r="2695" spans="1:33" s="46" customFormat="1">
      <c r="A2695" s="54"/>
      <c r="B2695" s="16"/>
      <c r="C2695" s="55"/>
      <c r="D2695" s="56"/>
      <c r="E2695" s="16"/>
      <c r="F2695" s="16"/>
      <c r="G2695" s="16"/>
      <c r="H2695" s="54"/>
      <c r="I2695" s="16"/>
      <c r="J2695" s="54"/>
      <c r="K2695" s="42"/>
      <c r="L2695" s="16"/>
      <c r="M2695" s="16"/>
      <c r="AA2695" s="14">
        <f t="shared" si="84"/>
        <v>0</v>
      </c>
      <c r="AB2695" s="47">
        <f t="shared" si="85"/>
        <v>-1</v>
      </c>
      <c r="AD2695" s="53"/>
      <c r="AE2695" s="53"/>
      <c r="AF2695" s="53"/>
      <c r="AG2695" s="53"/>
    </row>
    <row r="2696" spans="1:33" s="46" customFormat="1">
      <c r="A2696" s="54"/>
      <c r="B2696" s="16"/>
      <c r="C2696" s="55"/>
      <c r="D2696" s="56"/>
      <c r="E2696" s="16"/>
      <c r="F2696" s="16"/>
      <c r="G2696" s="16"/>
      <c r="H2696" s="54"/>
      <c r="I2696" s="16"/>
      <c r="J2696" s="54"/>
      <c r="K2696" s="42"/>
      <c r="L2696" s="16"/>
      <c r="M2696" s="16"/>
      <c r="AA2696" s="14">
        <f t="shared" si="84"/>
        <v>0</v>
      </c>
      <c r="AB2696" s="47">
        <f t="shared" si="85"/>
        <v>-1</v>
      </c>
      <c r="AD2696" s="53"/>
      <c r="AE2696" s="53"/>
      <c r="AF2696" s="53"/>
      <c r="AG2696" s="53"/>
    </row>
    <row r="2697" spans="1:33" s="46" customFormat="1">
      <c r="A2697" s="54"/>
      <c r="B2697" s="16"/>
      <c r="C2697" s="55"/>
      <c r="D2697" s="56"/>
      <c r="E2697" s="16"/>
      <c r="F2697" s="16"/>
      <c r="G2697" s="16"/>
      <c r="H2697" s="54"/>
      <c r="I2697" s="16"/>
      <c r="J2697" s="54"/>
      <c r="K2697" s="42"/>
      <c r="L2697" s="16"/>
      <c r="M2697" s="16"/>
      <c r="AA2697" s="14">
        <f t="shared" si="84"/>
        <v>0</v>
      </c>
      <c r="AB2697" s="47">
        <f t="shared" si="85"/>
        <v>-1</v>
      </c>
      <c r="AD2697" s="53"/>
      <c r="AE2697" s="53"/>
      <c r="AF2697" s="53"/>
      <c r="AG2697" s="53"/>
    </row>
    <row r="2698" spans="1:33" s="46" customFormat="1">
      <c r="A2698" s="54"/>
      <c r="B2698" s="16"/>
      <c r="C2698" s="55"/>
      <c r="D2698" s="56"/>
      <c r="E2698" s="16"/>
      <c r="F2698" s="16"/>
      <c r="G2698" s="16"/>
      <c r="H2698" s="54"/>
      <c r="I2698" s="16"/>
      <c r="J2698" s="54"/>
      <c r="K2698" s="42"/>
      <c r="L2698" s="16"/>
      <c r="M2698" s="16"/>
      <c r="AA2698" s="14">
        <f t="shared" si="84"/>
        <v>0</v>
      </c>
      <c r="AB2698" s="47">
        <f t="shared" si="85"/>
        <v>-1</v>
      </c>
      <c r="AD2698" s="53"/>
      <c r="AE2698" s="53"/>
      <c r="AF2698" s="53"/>
      <c r="AG2698" s="53"/>
    </row>
    <row r="2699" spans="1:33" s="46" customFormat="1">
      <c r="A2699" s="54"/>
      <c r="B2699" s="16"/>
      <c r="C2699" s="55"/>
      <c r="D2699" s="56"/>
      <c r="E2699" s="16"/>
      <c r="F2699" s="16"/>
      <c r="G2699" s="16"/>
      <c r="H2699" s="54"/>
      <c r="I2699" s="16"/>
      <c r="J2699" s="54"/>
      <c r="K2699" s="42"/>
      <c r="L2699" s="16"/>
      <c r="M2699" s="16"/>
      <c r="AA2699" s="14">
        <f t="shared" si="84"/>
        <v>0</v>
      </c>
      <c r="AB2699" s="47">
        <f t="shared" si="85"/>
        <v>-1</v>
      </c>
      <c r="AD2699" s="53"/>
      <c r="AE2699" s="53"/>
      <c r="AF2699" s="53"/>
      <c r="AG2699" s="53"/>
    </row>
    <row r="2700" spans="1:33" s="46" customFormat="1">
      <c r="A2700" s="54"/>
      <c r="B2700" s="16"/>
      <c r="C2700" s="55"/>
      <c r="D2700" s="56"/>
      <c r="E2700" s="16"/>
      <c r="F2700" s="16"/>
      <c r="G2700" s="16"/>
      <c r="H2700" s="54"/>
      <c r="I2700" s="16"/>
      <c r="J2700" s="54"/>
      <c r="K2700" s="42"/>
      <c r="L2700" s="16"/>
      <c r="M2700" s="16"/>
      <c r="AA2700" s="14">
        <f t="shared" si="84"/>
        <v>0</v>
      </c>
      <c r="AB2700" s="47">
        <f t="shared" si="85"/>
        <v>-1</v>
      </c>
      <c r="AD2700" s="53"/>
      <c r="AE2700" s="53"/>
      <c r="AF2700" s="53"/>
      <c r="AG2700" s="53"/>
    </row>
    <row r="2701" spans="1:33" s="46" customFormat="1">
      <c r="A2701" s="54"/>
      <c r="B2701" s="16"/>
      <c r="C2701" s="55"/>
      <c r="D2701" s="56"/>
      <c r="E2701" s="16"/>
      <c r="F2701" s="16"/>
      <c r="G2701" s="16"/>
      <c r="H2701" s="54"/>
      <c r="I2701" s="16"/>
      <c r="J2701" s="54"/>
      <c r="K2701" s="42"/>
      <c r="L2701" s="16"/>
      <c r="M2701" s="16"/>
      <c r="AA2701" s="14">
        <f t="shared" si="84"/>
        <v>0</v>
      </c>
      <c r="AB2701" s="47">
        <f t="shared" si="85"/>
        <v>-1</v>
      </c>
      <c r="AD2701" s="53"/>
      <c r="AE2701" s="53"/>
      <c r="AF2701" s="53"/>
      <c r="AG2701" s="53"/>
    </row>
    <row r="2702" spans="1:33" s="46" customFormat="1">
      <c r="A2702" s="54"/>
      <c r="B2702" s="16"/>
      <c r="C2702" s="55"/>
      <c r="D2702" s="56"/>
      <c r="E2702" s="16"/>
      <c r="F2702" s="16"/>
      <c r="G2702" s="16"/>
      <c r="H2702" s="54"/>
      <c r="I2702" s="16"/>
      <c r="J2702" s="54"/>
      <c r="K2702" s="42"/>
      <c r="L2702" s="16"/>
      <c r="M2702" s="16"/>
      <c r="AA2702" s="14">
        <f t="shared" si="84"/>
        <v>0</v>
      </c>
      <c r="AB2702" s="47">
        <f t="shared" si="85"/>
        <v>-1</v>
      </c>
      <c r="AD2702" s="53"/>
      <c r="AE2702" s="53"/>
      <c r="AF2702" s="53"/>
      <c r="AG2702" s="53"/>
    </row>
    <row r="2703" spans="1:33" s="46" customFormat="1">
      <c r="A2703" s="54"/>
      <c r="B2703" s="16"/>
      <c r="C2703" s="55"/>
      <c r="D2703" s="56"/>
      <c r="E2703" s="16"/>
      <c r="F2703" s="16"/>
      <c r="G2703" s="16"/>
      <c r="H2703" s="54"/>
      <c r="I2703" s="16"/>
      <c r="J2703" s="54"/>
      <c r="K2703" s="42"/>
      <c r="L2703" s="16"/>
      <c r="M2703" s="16"/>
      <c r="AA2703" s="14">
        <f t="shared" si="84"/>
        <v>0</v>
      </c>
      <c r="AB2703" s="47">
        <f t="shared" si="85"/>
        <v>-1</v>
      </c>
      <c r="AD2703" s="53"/>
      <c r="AE2703" s="53"/>
      <c r="AF2703" s="53"/>
      <c r="AG2703" s="53"/>
    </row>
    <row r="2704" spans="1:33" s="46" customFormat="1">
      <c r="A2704" s="54"/>
      <c r="B2704" s="16"/>
      <c r="C2704" s="55"/>
      <c r="D2704" s="56"/>
      <c r="E2704" s="16"/>
      <c r="F2704" s="16"/>
      <c r="G2704" s="16"/>
      <c r="H2704" s="54"/>
      <c r="I2704" s="16"/>
      <c r="J2704" s="54"/>
      <c r="K2704" s="42"/>
      <c r="L2704" s="16"/>
      <c r="M2704" s="16"/>
      <c r="AA2704" s="14">
        <f t="shared" si="84"/>
        <v>0</v>
      </c>
      <c r="AB2704" s="47">
        <f t="shared" si="85"/>
        <v>-1</v>
      </c>
      <c r="AD2704" s="53"/>
      <c r="AE2704" s="53"/>
      <c r="AF2704" s="53"/>
      <c r="AG2704" s="53"/>
    </row>
    <row r="2705" spans="1:33" s="46" customFormat="1">
      <c r="A2705" s="54"/>
      <c r="B2705" s="16"/>
      <c r="C2705" s="55"/>
      <c r="D2705" s="56"/>
      <c r="E2705" s="16"/>
      <c r="F2705" s="16"/>
      <c r="G2705" s="16"/>
      <c r="H2705" s="54"/>
      <c r="I2705" s="16"/>
      <c r="J2705" s="54"/>
      <c r="K2705" s="42"/>
      <c r="L2705" s="16"/>
      <c r="M2705" s="16"/>
      <c r="AA2705" s="14">
        <f t="shared" si="84"/>
        <v>0</v>
      </c>
      <c r="AB2705" s="47">
        <f t="shared" si="85"/>
        <v>-1</v>
      </c>
      <c r="AD2705" s="53"/>
      <c r="AE2705" s="53"/>
      <c r="AF2705" s="53"/>
      <c r="AG2705" s="53"/>
    </row>
    <row r="2706" spans="1:33" s="46" customFormat="1">
      <c r="A2706" s="54"/>
      <c r="B2706" s="16"/>
      <c r="C2706" s="55"/>
      <c r="D2706" s="56"/>
      <c r="E2706" s="16"/>
      <c r="F2706" s="16"/>
      <c r="G2706" s="16"/>
      <c r="H2706" s="54"/>
      <c r="I2706" s="16"/>
      <c r="J2706" s="54"/>
      <c r="K2706" s="42"/>
      <c r="L2706" s="16"/>
      <c r="M2706" s="16"/>
      <c r="AA2706" s="14">
        <f t="shared" si="84"/>
        <v>0</v>
      </c>
      <c r="AB2706" s="47">
        <f t="shared" si="85"/>
        <v>-1</v>
      </c>
      <c r="AD2706" s="53"/>
      <c r="AE2706" s="53"/>
      <c r="AF2706" s="53"/>
      <c r="AG2706" s="53"/>
    </row>
    <row r="2707" spans="1:33" s="46" customFormat="1">
      <c r="A2707" s="54"/>
      <c r="B2707" s="16"/>
      <c r="C2707" s="55"/>
      <c r="D2707" s="56"/>
      <c r="E2707" s="16"/>
      <c r="F2707" s="16"/>
      <c r="G2707" s="16"/>
      <c r="H2707" s="54"/>
      <c r="I2707" s="16"/>
      <c r="J2707" s="54"/>
      <c r="K2707" s="42"/>
      <c r="L2707" s="16"/>
      <c r="M2707" s="16"/>
      <c r="AA2707" s="14">
        <f t="shared" si="84"/>
        <v>0</v>
      </c>
      <c r="AB2707" s="47">
        <f t="shared" si="85"/>
        <v>-1</v>
      </c>
      <c r="AD2707" s="53"/>
      <c r="AE2707" s="53"/>
      <c r="AF2707" s="53"/>
      <c r="AG2707" s="53"/>
    </row>
    <row r="2708" spans="1:33" s="46" customFormat="1">
      <c r="A2708" s="54"/>
      <c r="B2708" s="16"/>
      <c r="C2708" s="55"/>
      <c r="D2708" s="56"/>
      <c r="E2708" s="16"/>
      <c r="F2708" s="16"/>
      <c r="G2708" s="16"/>
      <c r="H2708" s="54"/>
      <c r="I2708" s="16"/>
      <c r="J2708" s="54"/>
      <c r="K2708" s="42"/>
      <c r="L2708" s="16"/>
      <c r="M2708" s="16"/>
      <c r="AA2708" s="14">
        <f t="shared" si="84"/>
        <v>0</v>
      </c>
      <c r="AB2708" s="47">
        <f t="shared" si="85"/>
        <v>-1</v>
      </c>
      <c r="AD2708" s="53"/>
      <c r="AE2708" s="53"/>
      <c r="AF2708" s="53"/>
      <c r="AG2708" s="53"/>
    </row>
    <row r="2709" spans="1:33" s="46" customFormat="1">
      <c r="A2709" s="54"/>
      <c r="B2709" s="16"/>
      <c r="C2709" s="55"/>
      <c r="D2709" s="56"/>
      <c r="E2709" s="16"/>
      <c r="F2709" s="16"/>
      <c r="G2709" s="16"/>
      <c r="H2709" s="54"/>
      <c r="I2709" s="16"/>
      <c r="J2709" s="54"/>
      <c r="K2709" s="42"/>
      <c r="L2709" s="16"/>
      <c r="M2709" s="16"/>
      <c r="AA2709" s="14">
        <f t="shared" si="84"/>
        <v>0</v>
      </c>
      <c r="AB2709" s="47">
        <f t="shared" si="85"/>
        <v>-1</v>
      </c>
      <c r="AD2709" s="53"/>
      <c r="AE2709" s="53"/>
      <c r="AF2709" s="53"/>
      <c r="AG2709" s="53"/>
    </row>
    <row r="2710" spans="1:33" s="46" customFormat="1">
      <c r="A2710" s="54"/>
      <c r="B2710" s="16"/>
      <c r="C2710" s="55"/>
      <c r="D2710" s="56"/>
      <c r="E2710" s="16"/>
      <c r="F2710" s="16"/>
      <c r="G2710" s="16"/>
      <c r="H2710" s="54"/>
      <c r="I2710" s="16"/>
      <c r="J2710" s="54"/>
      <c r="K2710" s="42"/>
      <c r="L2710" s="16"/>
      <c r="M2710" s="16"/>
      <c r="AA2710" s="14">
        <f t="shared" si="84"/>
        <v>0</v>
      </c>
      <c r="AB2710" s="47">
        <f t="shared" si="85"/>
        <v>-1</v>
      </c>
      <c r="AD2710" s="53"/>
      <c r="AE2710" s="53"/>
      <c r="AF2710" s="53"/>
      <c r="AG2710" s="53"/>
    </row>
    <row r="2711" spans="1:33" s="46" customFormat="1">
      <c r="A2711" s="54"/>
      <c r="B2711" s="16"/>
      <c r="C2711" s="55"/>
      <c r="D2711" s="56"/>
      <c r="E2711" s="16"/>
      <c r="F2711" s="16"/>
      <c r="G2711" s="16"/>
      <c r="H2711" s="54"/>
      <c r="I2711" s="16"/>
      <c r="J2711" s="54"/>
      <c r="K2711" s="42"/>
      <c r="L2711" s="16"/>
      <c r="M2711" s="16"/>
      <c r="AA2711" s="14">
        <f t="shared" si="84"/>
        <v>0</v>
      </c>
      <c r="AB2711" s="47">
        <f t="shared" si="85"/>
        <v>-1</v>
      </c>
      <c r="AD2711" s="53"/>
      <c r="AE2711" s="53"/>
      <c r="AF2711" s="53"/>
      <c r="AG2711" s="53"/>
    </row>
    <row r="2712" spans="1:33" s="46" customFormat="1">
      <c r="A2712" s="54"/>
      <c r="B2712" s="16"/>
      <c r="C2712" s="55"/>
      <c r="D2712" s="56"/>
      <c r="E2712" s="16"/>
      <c r="F2712" s="16"/>
      <c r="G2712" s="16"/>
      <c r="H2712" s="54"/>
      <c r="I2712" s="16"/>
      <c r="J2712" s="54"/>
      <c r="K2712" s="42"/>
      <c r="L2712" s="16"/>
      <c r="M2712" s="16"/>
      <c r="AA2712" s="14">
        <f t="shared" si="84"/>
        <v>0</v>
      </c>
      <c r="AB2712" s="47">
        <f t="shared" si="85"/>
        <v>-1</v>
      </c>
      <c r="AD2712" s="53"/>
      <c r="AE2712" s="53"/>
      <c r="AF2712" s="53"/>
      <c r="AG2712" s="53"/>
    </row>
    <row r="2713" spans="1:33" s="46" customFormat="1">
      <c r="A2713" s="54"/>
      <c r="B2713" s="16"/>
      <c r="C2713" s="55"/>
      <c r="D2713" s="56"/>
      <c r="E2713" s="16"/>
      <c r="F2713" s="16"/>
      <c r="G2713" s="16"/>
      <c r="H2713" s="54"/>
      <c r="I2713" s="16"/>
      <c r="J2713" s="54"/>
      <c r="K2713" s="42"/>
      <c r="L2713" s="16"/>
      <c r="M2713" s="16"/>
      <c r="AA2713" s="14">
        <f t="shared" si="84"/>
        <v>0</v>
      </c>
      <c r="AB2713" s="47">
        <f t="shared" si="85"/>
        <v>-1</v>
      </c>
      <c r="AD2713" s="53"/>
      <c r="AE2713" s="53"/>
      <c r="AF2713" s="53"/>
      <c r="AG2713" s="53"/>
    </row>
    <row r="2714" spans="1:33" s="46" customFormat="1">
      <c r="A2714" s="54"/>
      <c r="B2714" s="16"/>
      <c r="C2714" s="55"/>
      <c r="D2714" s="56"/>
      <c r="E2714" s="16"/>
      <c r="F2714" s="16"/>
      <c r="G2714" s="16"/>
      <c r="H2714" s="54"/>
      <c r="I2714" s="16"/>
      <c r="J2714" s="54"/>
      <c r="K2714" s="42"/>
      <c r="L2714" s="16"/>
      <c r="M2714" s="16"/>
      <c r="AA2714" s="14">
        <f t="shared" si="84"/>
        <v>0</v>
      </c>
      <c r="AB2714" s="47">
        <f t="shared" si="85"/>
        <v>-1</v>
      </c>
      <c r="AD2714" s="53"/>
      <c r="AE2714" s="53"/>
      <c r="AF2714" s="53"/>
      <c r="AG2714" s="53"/>
    </row>
    <row r="2715" spans="1:33" s="46" customFormat="1">
      <c r="A2715" s="54"/>
      <c r="B2715" s="16"/>
      <c r="C2715" s="55"/>
      <c r="D2715" s="56"/>
      <c r="E2715" s="16"/>
      <c r="F2715" s="16"/>
      <c r="G2715" s="16"/>
      <c r="H2715" s="54"/>
      <c r="I2715" s="16"/>
      <c r="J2715" s="54"/>
      <c r="K2715" s="42"/>
      <c r="L2715" s="16"/>
      <c r="M2715" s="16"/>
      <c r="AA2715" s="14">
        <f t="shared" si="84"/>
        <v>0</v>
      </c>
      <c r="AB2715" s="47">
        <f t="shared" si="85"/>
        <v>-1</v>
      </c>
      <c r="AD2715" s="53"/>
      <c r="AE2715" s="53"/>
      <c r="AF2715" s="53"/>
      <c r="AG2715" s="53"/>
    </row>
    <row r="2716" spans="1:33" s="46" customFormat="1">
      <c r="A2716" s="54"/>
      <c r="B2716" s="16"/>
      <c r="C2716" s="55"/>
      <c r="D2716" s="56"/>
      <c r="E2716" s="16"/>
      <c r="F2716" s="16"/>
      <c r="G2716" s="16"/>
      <c r="H2716" s="54"/>
      <c r="I2716" s="16"/>
      <c r="J2716" s="54"/>
      <c r="K2716" s="42"/>
      <c r="L2716" s="16"/>
      <c r="M2716" s="16"/>
      <c r="AA2716" s="14">
        <f t="shared" si="84"/>
        <v>0</v>
      </c>
      <c r="AB2716" s="47">
        <f t="shared" si="85"/>
        <v>-1</v>
      </c>
      <c r="AD2716" s="53"/>
      <c r="AE2716" s="53"/>
      <c r="AF2716" s="53"/>
      <c r="AG2716" s="53"/>
    </row>
    <row r="2717" spans="1:33" s="46" customFormat="1">
      <c r="A2717" s="54"/>
      <c r="B2717" s="16"/>
      <c r="C2717" s="55"/>
      <c r="D2717" s="56"/>
      <c r="E2717" s="16"/>
      <c r="F2717" s="16"/>
      <c r="G2717" s="16"/>
      <c r="H2717" s="54"/>
      <c r="I2717" s="16"/>
      <c r="J2717" s="54"/>
      <c r="K2717" s="42"/>
      <c r="L2717" s="16"/>
      <c r="M2717" s="16"/>
      <c r="AA2717" s="14">
        <f t="shared" si="84"/>
        <v>0</v>
      </c>
      <c r="AB2717" s="47">
        <f t="shared" si="85"/>
        <v>-1</v>
      </c>
      <c r="AD2717" s="53"/>
      <c r="AE2717" s="53"/>
      <c r="AF2717" s="53"/>
      <c r="AG2717" s="53"/>
    </row>
    <row r="2718" spans="1:33" s="46" customFormat="1">
      <c r="A2718" s="54"/>
      <c r="B2718" s="16"/>
      <c r="C2718" s="55"/>
      <c r="D2718" s="56"/>
      <c r="E2718" s="16"/>
      <c r="F2718" s="16"/>
      <c r="G2718" s="16"/>
      <c r="H2718" s="54"/>
      <c r="I2718" s="16"/>
      <c r="J2718" s="54"/>
      <c r="K2718" s="42"/>
      <c r="L2718" s="16"/>
      <c r="M2718" s="16"/>
      <c r="AA2718" s="14">
        <f t="shared" si="84"/>
        <v>0</v>
      </c>
      <c r="AB2718" s="47">
        <f t="shared" si="85"/>
        <v>-1</v>
      </c>
      <c r="AD2718" s="53"/>
      <c r="AE2718" s="53"/>
      <c r="AF2718" s="53"/>
      <c r="AG2718" s="53"/>
    </row>
    <row r="2719" spans="1:33" s="46" customFormat="1">
      <c r="A2719" s="54"/>
      <c r="B2719" s="16"/>
      <c r="C2719" s="55"/>
      <c r="D2719" s="56"/>
      <c r="E2719" s="16"/>
      <c r="F2719" s="16"/>
      <c r="G2719" s="16"/>
      <c r="H2719" s="54"/>
      <c r="I2719" s="16"/>
      <c r="J2719" s="54"/>
      <c r="K2719" s="42"/>
      <c r="L2719" s="16"/>
      <c r="M2719" s="16"/>
      <c r="AA2719" s="14">
        <f t="shared" si="84"/>
        <v>0</v>
      </c>
      <c r="AB2719" s="47">
        <f t="shared" si="85"/>
        <v>-1</v>
      </c>
      <c r="AD2719" s="53"/>
      <c r="AE2719" s="53"/>
      <c r="AF2719" s="53"/>
      <c r="AG2719" s="53"/>
    </row>
    <row r="2720" spans="1:33" s="46" customFormat="1">
      <c r="A2720" s="54"/>
      <c r="B2720" s="16"/>
      <c r="C2720" s="55"/>
      <c r="D2720" s="56"/>
      <c r="E2720" s="16"/>
      <c r="F2720" s="16"/>
      <c r="G2720" s="16"/>
      <c r="H2720" s="54"/>
      <c r="I2720" s="16"/>
      <c r="J2720" s="54"/>
      <c r="K2720" s="42"/>
      <c r="L2720" s="16"/>
      <c r="M2720" s="16"/>
      <c r="AA2720" s="14">
        <f t="shared" si="84"/>
        <v>0</v>
      </c>
      <c r="AB2720" s="47">
        <f t="shared" si="85"/>
        <v>-1</v>
      </c>
      <c r="AD2720" s="53"/>
      <c r="AE2720" s="53"/>
      <c r="AF2720" s="53"/>
      <c r="AG2720" s="53"/>
    </row>
    <row r="2721" spans="1:33" s="46" customFormat="1">
      <c r="A2721" s="54"/>
      <c r="B2721" s="16"/>
      <c r="C2721" s="55"/>
      <c r="D2721" s="56"/>
      <c r="E2721" s="16"/>
      <c r="F2721" s="16"/>
      <c r="G2721" s="16"/>
      <c r="H2721" s="54"/>
      <c r="I2721" s="16"/>
      <c r="J2721" s="54"/>
      <c r="K2721" s="42"/>
      <c r="L2721" s="16"/>
      <c r="M2721" s="16"/>
      <c r="AA2721" s="14">
        <f t="shared" si="84"/>
        <v>0</v>
      </c>
      <c r="AB2721" s="47">
        <f t="shared" si="85"/>
        <v>-1</v>
      </c>
      <c r="AD2721" s="53"/>
      <c r="AE2721" s="53"/>
      <c r="AF2721" s="53"/>
      <c r="AG2721" s="53"/>
    </row>
    <row r="2722" spans="1:33" s="46" customFormat="1">
      <c r="A2722" s="54"/>
      <c r="B2722" s="16"/>
      <c r="C2722" s="55"/>
      <c r="D2722" s="56"/>
      <c r="E2722" s="16"/>
      <c r="F2722" s="16"/>
      <c r="G2722" s="16"/>
      <c r="H2722" s="54"/>
      <c r="I2722" s="16"/>
      <c r="J2722" s="54"/>
      <c r="K2722" s="42"/>
      <c r="L2722" s="16"/>
      <c r="M2722" s="16"/>
      <c r="AA2722" s="14">
        <f t="shared" si="84"/>
        <v>0</v>
      </c>
      <c r="AB2722" s="47">
        <f t="shared" si="85"/>
        <v>-1</v>
      </c>
      <c r="AD2722" s="53"/>
      <c r="AE2722" s="53"/>
      <c r="AF2722" s="53"/>
      <c r="AG2722" s="53"/>
    </row>
    <row r="2723" spans="1:33" s="46" customFormat="1">
      <c r="A2723" s="54"/>
      <c r="B2723" s="16"/>
      <c r="C2723" s="55"/>
      <c r="D2723" s="56"/>
      <c r="E2723" s="16"/>
      <c r="F2723" s="16"/>
      <c r="G2723" s="16"/>
      <c r="H2723" s="54"/>
      <c r="I2723" s="16"/>
      <c r="J2723" s="54"/>
      <c r="K2723" s="42"/>
      <c r="L2723" s="16"/>
      <c r="M2723" s="16"/>
      <c r="AA2723" s="14">
        <f t="shared" si="84"/>
        <v>0</v>
      </c>
      <c r="AB2723" s="47">
        <f t="shared" si="85"/>
        <v>-1</v>
      </c>
      <c r="AD2723" s="53"/>
      <c r="AE2723" s="53"/>
      <c r="AF2723" s="53"/>
      <c r="AG2723" s="53"/>
    </row>
    <row r="2724" spans="1:33" s="46" customFormat="1">
      <c r="A2724" s="54"/>
      <c r="B2724" s="16"/>
      <c r="C2724" s="55"/>
      <c r="D2724" s="56"/>
      <c r="E2724" s="16"/>
      <c r="F2724" s="16"/>
      <c r="G2724" s="16"/>
      <c r="H2724" s="54"/>
      <c r="I2724" s="16"/>
      <c r="J2724" s="54"/>
      <c r="K2724" s="42"/>
      <c r="L2724" s="16"/>
      <c r="M2724" s="16"/>
      <c r="AA2724" s="14">
        <f t="shared" si="84"/>
        <v>0</v>
      </c>
      <c r="AB2724" s="47">
        <f t="shared" si="85"/>
        <v>-1</v>
      </c>
      <c r="AD2724" s="53"/>
      <c r="AE2724" s="53"/>
      <c r="AF2724" s="53"/>
      <c r="AG2724" s="53"/>
    </row>
    <row r="2725" spans="1:33" s="46" customFormat="1">
      <c r="A2725" s="54"/>
      <c r="B2725" s="16"/>
      <c r="C2725" s="55"/>
      <c r="D2725" s="56"/>
      <c r="E2725" s="16"/>
      <c r="F2725" s="16"/>
      <c r="G2725" s="16"/>
      <c r="H2725" s="54"/>
      <c r="I2725" s="16"/>
      <c r="J2725" s="54"/>
      <c r="K2725" s="42"/>
      <c r="L2725" s="16"/>
      <c r="M2725" s="16"/>
      <c r="AA2725" s="14">
        <f t="shared" si="84"/>
        <v>0</v>
      </c>
      <c r="AB2725" s="47">
        <f t="shared" si="85"/>
        <v>-1</v>
      </c>
      <c r="AD2725" s="53"/>
      <c r="AE2725" s="53"/>
      <c r="AF2725" s="53"/>
      <c r="AG2725" s="53"/>
    </row>
    <row r="2726" spans="1:33" s="46" customFormat="1">
      <c r="A2726" s="54"/>
      <c r="B2726" s="16"/>
      <c r="C2726" s="55"/>
      <c r="D2726" s="56"/>
      <c r="E2726" s="16"/>
      <c r="F2726" s="16"/>
      <c r="G2726" s="16"/>
      <c r="H2726" s="54"/>
      <c r="I2726" s="16"/>
      <c r="J2726" s="54"/>
      <c r="K2726" s="42"/>
      <c r="L2726" s="16"/>
      <c r="M2726" s="16"/>
      <c r="AA2726" s="14">
        <f t="shared" si="84"/>
        <v>0</v>
      </c>
      <c r="AB2726" s="47">
        <f t="shared" si="85"/>
        <v>-1</v>
      </c>
      <c r="AD2726" s="53"/>
      <c r="AE2726" s="53"/>
      <c r="AF2726" s="53"/>
      <c r="AG2726" s="53"/>
    </row>
    <row r="2727" spans="1:33" s="46" customFormat="1">
      <c r="A2727" s="54"/>
      <c r="B2727" s="16"/>
      <c r="C2727" s="55"/>
      <c r="D2727" s="56"/>
      <c r="E2727" s="16"/>
      <c r="F2727" s="16"/>
      <c r="G2727" s="16"/>
      <c r="H2727" s="54"/>
      <c r="I2727" s="16"/>
      <c r="J2727" s="54"/>
      <c r="K2727" s="42"/>
      <c r="L2727" s="16"/>
      <c r="M2727" s="16"/>
      <c r="AA2727" s="14">
        <f t="shared" si="84"/>
        <v>0</v>
      </c>
      <c r="AB2727" s="47">
        <f t="shared" si="85"/>
        <v>-1</v>
      </c>
      <c r="AD2727" s="53"/>
      <c r="AE2727" s="53"/>
      <c r="AF2727" s="53"/>
      <c r="AG2727" s="53"/>
    </row>
    <row r="2728" spans="1:33" s="46" customFormat="1">
      <c r="A2728" s="54"/>
      <c r="B2728" s="16"/>
      <c r="C2728" s="55"/>
      <c r="D2728" s="56"/>
      <c r="E2728" s="16"/>
      <c r="F2728" s="16"/>
      <c r="G2728" s="16"/>
      <c r="H2728" s="54"/>
      <c r="I2728" s="16"/>
      <c r="J2728" s="54"/>
      <c r="K2728" s="42"/>
      <c r="L2728" s="16"/>
      <c r="M2728" s="16"/>
      <c r="AA2728" s="14">
        <f t="shared" ref="AA2728:AA2791" si="86">C2728-C2727</f>
        <v>0</v>
      </c>
      <c r="AB2728" s="47">
        <f t="shared" ref="AB2728:AB2791" si="87">AA2728-1</f>
        <v>-1</v>
      </c>
      <c r="AD2728" s="53"/>
      <c r="AE2728" s="53"/>
      <c r="AF2728" s="53"/>
      <c r="AG2728" s="53"/>
    </row>
    <row r="2729" spans="1:33" s="46" customFormat="1">
      <c r="A2729" s="54"/>
      <c r="B2729" s="16"/>
      <c r="C2729" s="55"/>
      <c r="D2729" s="56"/>
      <c r="E2729" s="16"/>
      <c r="F2729" s="16"/>
      <c r="G2729" s="16"/>
      <c r="H2729" s="54"/>
      <c r="I2729" s="16"/>
      <c r="J2729" s="54"/>
      <c r="K2729" s="42"/>
      <c r="L2729" s="16"/>
      <c r="M2729" s="16"/>
      <c r="AA2729" s="14">
        <f t="shared" si="86"/>
        <v>0</v>
      </c>
      <c r="AB2729" s="47">
        <f t="shared" si="87"/>
        <v>-1</v>
      </c>
      <c r="AD2729" s="53"/>
      <c r="AE2729" s="53"/>
      <c r="AF2729" s="53"/>
      <c r="AG2729" s="53"/>
    </row>
    <row r="2730" spans="1:33" s="46" customFormat="1">
      <c r="A2730" s="54"/>
      <c r="B2730" s="16"/>
      <c r="C2730" s="55"/>
      <c r="D2730" s="56"/>
      <c r="E2730" s="16"/>
      <c r="F2730" s="16"/>
      <c r="G2730" s="16"/>
      <c r="H2730" s="54"/>
      <c r="I2730" s="16"/>
      <c r="J2730" s="54"/>
      <c r="K2730" s="42"/>
      <c r="L2730" s="16"/>
      <c r="M2730" s="16"/>
      <c r="AA2730" s="14">
        <f t="shared" si="86"/>
        <v>0</v>
      </c>
      <c r="AB2730" s="47">
        <f t="shared" si="87"/>
        <v>-1</v>
      </c>
      <c r="AD2730" s="53"/>
      <c r="AE2730" s="53"/>
      <c r="AF2730" s="53"/>
      <c r="AG2730" s="53"/>
    </row>
    <row r="2731" spans="1:33" s="46" customFormat="1">
      <c r="A2731" s="54"/>
      <c r="B2731" s="16"/>
      <c r="C2731" s="55"/>
      <c r="D2731" s="56"/>
      <c r="E2731" s="16"/>
      <c r="F2731" s="16"/>
      <c r="G2731" s="16"/>
      <c r="H2731" s="54"/>
      <c r="I2731" s="16"/>
      <c r="J2731" s="54"/>
      <c r="K2731" s="42"/>
      <c r="L2731" s="16"/>
      <c r="M2731" s="16"/>
      <c r="AA2731" s="14">
        <f t="shared" si="86"/>
        <v>0</v>
      </c>
      <c r="AB2731" s="47">
        <f t="shared" si="87"/>
        <v>-1</v>
      </c>
      <c r="AD2731" s="53"/>
      <c r="AE2731" s="53"/>
      <c r="AF2731" s="53"/>
      <c r="AG2731" s="53"/>
    </row>
    <row r="2732" spans="1:33" s="46" customFormat="1">
      <c r="A2732" s="54"/>
      <c r="B2732" s="16"/>
      <c r="C2732" s="55"/>
      <c r="D2732" s="56"/>
      <c r="E2732" s="16"/>
      <c r="F2732" s="16"/>
      <c r="G2732" s="16"/>
      <c r="H2732" s="54"/>
      <c r="I2732" s="16"/>
      <c r="J2732" s="54"/>
      <c r="K2732" s="42"/>
      <c r="L2732" s="16"/>
      <c r="M2732" s="16"/>
      <c r="AA2732" s="14">
        <f t="shared" si="86"/>
        <v>0</v>
      </c>
      <c r="AB2732" s="47">
        <f t="shared" si="87"/>
        <v>-1</v>
      </c>
      <c r="AD2732" s="53"/>
      <c r="AE2732" s="53"/>
      <c r="AF2732" s="53"/>
      <c r="AG2732" s="53"/>
    </row>
    <row r="2733" spans="1:33" s="46" customFormat="1">
      <c r="A2733" s="54"/>
      <c r="B2733" s="16"/>
      <c r="C2733" s="55"/>
      <c r="D2733" s="56"/>
      <c r="E2733" s="16"/>
      <c r="F2733" s="16"/>
      <c r="G2733" s="16"/>
      <c r="H2733" s="54"/>
      <c r="I2733" s="16"/>
      <c r="J2733" s="54"/>
      <c r="K2733" s="42"/>
      <c r="L2733" s="16"/>
      <c r="M2733" s="16"/>
      <c r="AA2733" s="14">
        <f t="shared" si="86"/>
        <v>0</v>
      </c>
      <c r="AB2733" s="47">
        <f t="shared" si="87"/>
        <v>-1</v>
      </c>
      <c r="AD2733" s="53"/>
      <c r="AE2733" s="53"/>
      <c r="AF2733" s="53"/>
      <c r="AG2733" s="53"/>
    </row>
    <row r="2734" spans="1:33" s="46" customFormat="1">
      <c r="A2734" s="54"/>
      <c r="B2734" s="16"/>
      <c r="C2734" s="55"/>
      <c r="D2734" s="56"/>
      <c r="E2734" s="16"/>
      <c r="F2734" s="16"/>
      <c r="G2734" s="16"/>
      <c r="H2734" s="54"/>
      <c r="I2734" s="16"/>
      <c r="J2734" s="54"/>
      <c r="K2734" s="42"/>
      <c r="L2734" s="16"/>
      <c r="M2734" s="16"/>
      <c r="AA2734" s="14">
        <f t="shared" si="86"/>
        <v>0</v>
      </c>
      <c r="AB2734" s="47">
        <f t="shared" si="87"/>
        <v>-1</v>
      </c>
      <c r="AD2734" s="53"/>
      <c r="AE2734" s="53"/>
      <c r="AF2734" s="53"/>
      <c r="AG2734" s="53"/>
    </row>
    <row r="2735" spans="1:33" s="46" customFormat="1">
      <c r="A2735" s="54"/>
      <c r="B2735" s="16"/>
      <c r="C2735" s="55"/>
      <c r="D2735" s="56"/>
      <c r="E2735" s="16"/>
      <c r="F2735" s="16"/>
      <c r="G2735" s="16"/>
      <c r="H2735" s="54"/>
      <c r="I2735" s="16"/>
      <c r="J2735" s="54"/>
      <c r="K2735" s="42"/>
      <c r="L2735" s="16"/>
      <c r="M2735" s="16"/>
      <c r="AA2735" s="14">
        <f t="shared" si="86"/>
        <v>0</v>
      </c>
      <c r="AB2735" s="47">
        <f t="shared" si="87"/>
        <v>-1</v>
      </c>
      <c r="AD2735" s="53"/>
      <c r="AE2735" s="53"/>
      <c r="AF2735" s="53"/>
      <c r="AG2735" s="53"/>
    </row>
    <row r="2736" spans="1:33" s="46" customFormat="1">
      <c r="A2736" s="54"/>
      <c r="B2736" s="16"/>
      <c r="C2736" s="55"/>
      <c r="D2736" s="56"/>
      <c r="E2736" s="16"/>
      <c r="F2736" s="16"/>
      <c r="G2736" s="16"/>
      <c r="H2736" s="54"/>
      <c r="I2736" s="16"/>
      <c r="J2736" s="54"/>
      <c r="K2736" s="42"/>
      <c r="L2736" s="16"/>
      <c r="M2736" s="16"/>
      <c r="AA2736" s="14">
        <f t="shared" si="86"/>
        <v>0</v>
      </c>
      <c r="AB2736" s="47">
        <f t="shared" si="87"/>
        <v>-1</v>
      </c>
      <c r="AD2736" s="53"/>
      <c r="AE2736" s="53"/>
      <c r="AF2736" s="53"/>
      <c r="AG2736" s="53"/>
    </row>
    <row r="2737" spans="1:33" s="46" customFormat="1">
      <c r="A2737" s="54"/>
      <c r="B2737" s="16"/>
      <c r="C2737" s="55"/>
      <c r="D2737" s="56"/>
      <c r="E2737" s="16"/>
      <c r="F2737" s="16"/>
      <c r="G2737" s="16"/>
      <c r="H2737" s="54"/>
      <c r="I2737" s="16"/>
      <c r="J2737" s="54"/>
      <c r="K2737" s="42"/>
      <c r="L2737" s="16"/>
      <c r="M2737" s="16"/>
      <c r="AA2737" s="14">
        <f t="shared" si="86"/>
        <v>0</v>
      </c>
      <c r="AB2737" s="47">
        <f t="shared" si="87"/>
        <v>-1</v>
      </c>
      <c r="AD2737" s="53"/>
      <c r="AE2737" s="53"/>
      <c r="AF2737" s="53"/>
      <c r="AG2737" s="53"/>
    </row>
    <row r="2738" spans="1:33" s="46" customFormat="1">
      <c r="A2738" s="54"/>
      <c r="B2738" s="16"/>
      <c r="C2738" s="55"/>
      <c r="D2738" s="56"/>
      <c r="E2738" s="16"/>
      <c r="F2738" s="16"/>
      <c r="G2738" s="16"/>
      <c r="H2738" s="54"/>
      <c r="I2738" s="16"/>
      <c r="J2738" s="54"/>
      <c r="K2738" s="42"/>
      <c r="L2738" s="16"/>
      <c r="M2738" s="16"/>
      <c r="AA2738" s="14">
        <f t="shared" si="86"/>
        <v>0</v>
      </c>
      <c r="AB2738" s="47">
        <f t="shared" si="87"/>
        <v>-1</v>
      </c>
      <c r="AD2738" s="53"/>
      <c r="AE2738" s="53"/>
      <c r="AF2738" s="53"/>
      <c r="AG2738" s="53"/>
    </row>
    <row r="2739" spans="1:33" s="46" customFormat="1">
      <c r="A2739" s="54"/>
      <c r="B2739" s="16"/>
      <c r="C2739" s="55"/>
      <c r="D2739" s="56"/>
      <c r="E2739" s="16"/>
      <c r="F2739" s="16"/>
      <c r="G2739" s="16"/>
      <c r="H2739" s="54"/>
      <c r="I2739" s="16"/>
      <c r="J2739" s="54"/>
      <c r="K2739" s="42"/>
      <c r="L2739" s="16"/>
      <c r="M2739" s="16"/>
      <c r="AA2739" s="14">
        <f t="shared" si="86"/>
        <v>0</v>
      </c>
      <c r="AB2739" s="47">
        <f t="shared" si="87"/>
        <v>-1</v>
      </c>
      <c r="AD2739" s="53"/>
      <c r="AE2739" s="53"/>
      <c r="AF2739" s="53"/>
      <c r="AG2739" s="53"/>
    </row>
    <row r="2740" spans="1:33" s="46" customFormat="1">
      <c r="A2740" s="54"/>
      <c r="B2740" s="16"/>
      <c r="C2740" s="55"/>
      <c r="D2740" s="56"/>
      <c r="E2740" s="16"/>
      <c r="F2740" s="16"/>
      <c r="G2740" s="16"/>
      <c r="H2740" s="54"/>
      <c r="I2740" s="16"/>
      <c r="J2740" s="54"/>
      <c r="K2740" s="42"/>
      <c r="L2740" s="16"/>
      <c r="M2740" s="16"/>
      <c r="AA2740" s="14">
        <f t="shared" si="86"/>
        <v>0</v>
      </c>
      <c r="AB2740" s="47">
        <f t="shared" si="87"/>
        <v>-1</v>
      </c>
      <c r="AD2740" s="53"/>
      <c r="AE2740" s="53"/>
      <c r="AF2740" s="53"/>
      <c r="AG2740" s="53"/>
    </row>
    <row r="2741" spans="1:33" s="46" customFormat="1">
      <c r="A2741" s="54"/>
      <c r="B2741" s="16"/>
      <c r="C2741" s="55"/>
      <c r="D2741" s="56"/>
      <c r="E2741" s="16"/>
      <c r="F2741" s="16"/>
      <c r="G2741" s="16"/>
      <c r="H2741" s="54"/>
      <c r="I2741" s="16"/>
      <c r="J2741" s="54"/>
      <c r="K2741" s="42"/>
      <c r="L2741" s="16"/>
      <c r="M2741" s="16"/>
      <c r="AA2741" s="14">
        <f t="shared" si="86"/>
        <v>0</v>
      </c>
      <c r="AB2741" s="47">
        <f t="shared" si="87"/>
        <v>-1</v>
      </c>
      <c r="AD2741" s="53"/>
      <c r="AE2741" s="53"/>
      <c r="AF2741" s="53"/>
      <c r="AG2741" s="53"/>
    </row>
    <row r="2742" spans="1:33" s="46" customFormat="1">
      <c r="A2742" s="54"/>
      <c r="B2742" s="16"/>
      <c r="C2742" s="55"/>
      <c r="D2742" s="56"/>
      <c r="E2742" s="16"/>
      <c r="F2742" s="16"/>
      <c r="G2742" s="16"/>
      <c r="H2742" s="54"/>
      <c r="I2742" s="16"/>
      <c r="J2742" s="54"/>
      <c r="K2742" s="42"/>
      <c r="L2742" s="16"/>
      <c r="M2742" s="16"/>
      <c r="AA2742" s="14">
        <f t="shared" si="86"/>
        <v>0</v>
      </c>
      <c r="AB2742" s="47">
        <f t="shared" si="87"/>
        <v>-1</v>
      </c>
      <c r="AD2742" s="53"/>
      <c r="AE2742" s="53"/>
      <c r="AF2742" s="53"/>
      <c r="AG2742" s="53"/>
    </row>
    <row r="2743" spans="1:33" s="46" customFormat="1">
      <c r="A2743" s="54"/>
      <c r="B2743" s="16"/>
      <c r="C2743" s="55"/>
      <c r="D2743" s="56"/>
      <c r="E2743" s="16"/>
      <c r="F2743" s="16"/>
      <c r="G2743" s="16"/>
      <c r="H2743" s="54"/>
      <c r="I2743" s="16"/>
      <c r="J2743" s="54"/>
      <c r="K2743" s="42"/>
      <c r="L2743" s="16"/>
      <c r="M2743" s="16"/>
      <c r="AA2743" s="14">
        <f t="shared" si="86"/>
        <v>0</v>
      </c>
      <c r="AB2743" s="47">
        <f t="shared" si="87"/>
        <v>-1</v>
      </c>
      <c r="AD2743" s="53"/>
      <c r="AE2743" s="53"/>
      <c r="AF2743" s="53"/>
      <c r="AG2743" s="53"/>
    </row>
    <row r="2744" spans="1:33" s="46" customFormat="1">
      <c r="A2744" s="54"/>
      <c r="B2744" s="16"/>
      <c r="C2744" s="55"/>
      <c r="D2744" s="56"/>
      <c r="E2744" s="16"/>
      <c r="F2744" s="16"/>
      <c r="G2744" s="16"/>
      <c r="H2744" s="54"/>
      <c r="I2744" s="16"/>
      <c r="J2744" s="54"/>
      <c r="K2744" s="42"/>
      <c r="L2744" s="16"/>
      <c r="M2744" s="16"/>
      <c r="AA2744" s="14">
        <f t="shared" si="86"/>
        <v>0</v>
      </c>
      <c r="AB2744" s="47">
        <f t="shared" si="87"/>
        <v>-1</v>
      </c>
      <c r="AD2744" s="53"/>
      <c r="AE2744" s="53"/>
      <c r="AF2744" s="53"/>
      <c r="AG2744" s="53"/>
    </row>
    <row r="2745" spans="1:33" s="46" customFormat="1">
      <c r="A2745" s="54"/>
      <c r="B2745" s="16"/>
      <c r="C2745" s="55"/>
      <c r="D2745" s="56"/>
      <c r="E2745" s="16"/>
      <c r="F2745" s="16"/>
      <c r="G2745" s="16"/>
      <c r="H2745" s="54"/>
      <c r="I2745" s="16"/>
      <c r="J2745" s="54"/>
      <c r="K2745" s="42"/>
      <c r="L2745" s="16"/>
      <c r="M2745" s="16"/>
      <c r="AA2745" s="14">
        <f t="shared" si="86"/>
        <v>0</v>
      </c>
      <c r="AB2745" s="47">
        <f t="shared" si="87"/>
        <v>-1</v>
      </c>
      <c r="AD2745" s="53"/>
      <c r="AE2745" s="53"/>
      <c r="AF2745" s="53"/>
      <c r="AG2745" s="53"/>
    </row>
    <row r="2746" spans="1:33" s="46" customFormat="1">
      <c r="A2746" s="54"/>
      <c r="B2746" s="16"/>
      <c r="C2746" s="55"/>
      <c r="D2746" s="56"/>
      <c r="E2746" s="16"/>
      <c r="F2746" s="16"/>
      <c r="G2746" s="16"/>
      <c r="H2746" s="54"/>
      <c r="I2746" s="16"/>
      <c r="J2746" s="54"/>
      <c r="K2746" s="42"/>
      <c r="L2746" s="16"/>
      <c r="M2746" s="16"/>
      <c r="AA2746" s="14">
        <f t="shared" si="86"/>
        <v>0</v>
      </c>
      <c r="AB2746" s="47">
        <f t="shared" si="87"/>
        <v>-1</v>
      </c>
      <c r="AD2746" s="53"/>
      <c r="AE2746" s="53"/>
      <c r="AF2746" s="53"/>
      <c r="AG2746" s="53"/>
    </row>
    <row r="2747" spans="1:33" s="46" customFormat="1">
      <c r="A2747" s="54"/>
      <c r="B2747" s="16"/>
      <c r="C2747" s="55"/>
      <c r="D2747" s="56"/>
      <c r="E2747" s="16"/>
      <c r="F2747" s="16"/>
      <c r="G2747" s="16"/>
      <c r="H2747" s="54"/>
      <c r="I2747" s="16"/>
      <c r="J2747" s="54"/>
      <c r="K2747" s="42"/>
      <c r="L2747" s="16"/>
      <c r="M2747" s="16"/>
      <c r="AA2747" s="14">
        <f t="shared" si="86"/>
        <v>0</v>
      </c>
      <c r="AB2747" s="47">
        <f t="shared" si="87"/>
        <v>-1</v>
      </c>
      <c r="AD2747" s="53"/>
      <c r="AE2747" s="53"/>
      <c r="AF2747" s="53"/>
      <c r="AG2747" s="53"/>
    </row>
    <row r="2748" spans="1:33" s="46" customFormat="1">
      <c r="A2748" s="54"/>
      <c r="B2748" s="16"/>
      <c r="C2748" s="55"/>
      <c r="D2748" s="56"/>
      <c r="E2748" s="16"/>
      <c r="F2748" s="16"/>
      <c r="G2748" s="16"/>
      <c r="H2748" s="54"/>
      <c r="I2748" s="16"/>
      <c r="J2748" s="54"/>
      <c r="K2748" s="42"/>
      <c r="L2748" s="16"/>
      <c r="M2748" s="16"/>
      <c r="AA2748" s="14">
        <f t="shared" si="86"/>
        <v>0</v>
      </c>
      <c r="AB2748" s="47">
        <f t="shared" si="87"/>
        <v>-1</v>
      </c>
      <c r="AD2748" s="53"/>
      <c r="AE2748" s="53"/>
      <c r="AF2748" s="53"/>
      <c r="AG2748" s="53"/>
    </row>
    <row r="2749" spans="1:33" s="46" customFormat="1">
      <c r="A2749" s="54"/>
      <c r="B2749" s="16"/>
      <c r="C2749" s="55"/>
      <c r="D2749" s="56"/>
      <c r="E2749" s="16"/>
      <c r="F2749" s="16"/>
      <c r="G2749" s="16"/>
      <c r="H2749" s="54"/>
      <c r="I2749" s="16"/>
      <c r="J2749" s="54"/>
      <c r="K2749" s="42"/>
      <c r="L2749" s="16"/>
      <c r="M2749" s="16"/>
      <c r="AA2749" s="14">
        <f t="shared" si="86"/>
        <v>0</v>
      </c>
      <c r="AB2749" s="47">
        <f t="shared" si="87"/>
        <v>-1</v>
      </c>
      <c r="AD2749" s="53"/>
      <c r="AE2749" s="53"/>
      <c r="AF2749" s="53"/>
      <c r="AG2749" s="53"/>
    </row>
    <row r="2750" spans="1:33" s="46" customFormat="1">
      <c r="A2750" s="54"/>
      <c r="B2750" s="16"/>
      <c r="C2750" s="55"/>
      <c r="D2750" s="56"/>
      <c r="E2750" s="16"/>
      <c r="F2750" s="16"/>
      <c r="G2750" s="16"/>
      <c r="H2750" s="54"/>
      <c r="I2750" s="16"/>
      <c r="J2750" s="54"/>
      <c r="K2750" s="42"/>
      <c r="L2750" s="16"/>
      <c r="M2750" s="16"/>
      <c r="AA2750" s="14">
        <f t="shared" si="86"/>
        <v>0</v>
      </c>
      <c r="AB2750" s="47">
        <f t="shared" si="87"/>
        <v>-1</v>
      </c>
      <c r="AD2750" s="53"/>
      <c r="AE2750" s="53"/>
      <c r="AF2750" s="53"/>
      <c r="AG2750" s="53"/>
    </row>
    <row r="2751" spans="1:33" s="46" customFormat="1">
      <c r="A2751" s="54"/>
      <c r="B2751" s="16"/>
      <c r="C2751" s="55"/>
      <c r="D2751" s="56"/>
      <c r="E2751" s="16"/>
      <c r="F2751" s="16"/>
      <c r="G2751" s="16"/>
      <c r="H2751" s="54"/>
      <c r="I2751" s="16"/>
      <c r="J2751" s="54"/>
      <c r="K2751" s="42"/>
      <c r="L2751" s="16"/>
      <c r="M2751" s="16"/>
      <c r="AA2751" s="14">
        <f t="shared" si="86"/>
        <v>0</v>
      </c>
      <c r="AB2751" s="47">
        <f t="shared" si="87"/>
        <v>-1</v>
      </c>
      <c r="AD2751" s="53"/>
      <c r="AE2751" s="53"/>
      <c r="AF2751" s="53"/>
      <c r="AG2751" s="53"/>
    </row>
    <row r="2752" spans="1:33" s="46" customFormat="1">
      <c r="A2752" s="54"/>
      <c r="B2752" s="16"/>
      <c r="C2752" s="55"/>
      <c r="D2752" s="56"/>
      <c r="E2752" s="16"/>
      <c r="F2752" s="16"/>
      <c r="G2752" s="16"/>
      <c r="H2752" s="54"/>
      <c r="I2752" s="16"/>
      <c r="J2752" s="54"/>
      <c r="K2752" s="42"/>
      <c r="L2752" s="16"/>
      <c r="M2752" s="16"/>
      <c r="AA2752" s="14">
        <f t="shared" si="86"/>
        <v>0</v>
      </c>
      <c r="AB2752" s="47">
        <f t="shared" si="87"/>
        <v>-1</v>
      </c>
      <c r="AD2752" s="53"/>
      <c r="AE2752" s="53"/>
      <c r="AF2752" s="53"/>
      <c r="AG2752" s="53"/>
    </row>
    <row r="2753" spans="1:33" s="46" customFormat="1">
      <c r="A2753" s="54"/>
      <c r="B2753" s="16"/>
      <c r="C2753" s="55"/>
      <c r="D2753" s="56"/>
      <c r="E2753" s="16"/>
      <c r="F2753" s="16"/>
      <c r="G2753" s="16"/>
      <c r="H2753" s="54"/>
      <c r="I2753" s="16"/>
      <c r="J2753" s="54"/>
      <c r="K2753" s="42"/>
      <c r="L2753" s="16"/>
      <c r="M2753" s="16"/>
      <c r="AA2753" s="14">
        <f t="shared" si="86"/>
        <v>0</v>
      </c>
      <c r="AB2753" s="47">
        <f t="shared" si="87"/>
        <v>-1</v>
      </c>
      <c r="AD2753" s="53"/>
      <c r="AE2753" s="53"/>
      <c r="AF2753" s="53"/>
      <c r="AG2753" s="53"/>
    </row>
    <row r="2754" spans="1:33" s="46" customFormat="1">
      <c r="A2754" s="54"/>
      <c r="B2754" s="16"/>
      <c r="C2754" s="55"/>
      <c r="D2754" s="56"/>
      <c r="E2754" s="16"/>
      <c r="F2754" s="16"/>
      <c r="G2754" s="16"/>
      <c r="H2754" s="54"/>
      <c r="I2754" s="16"/>
      <c r="J2754" s="54"/>
      <c r="K2754" s="42"/>
      <c r="L2754" s="16"/>
      <c r="M2754" s="16"/>
      <c r="AA2754" s="14">
        <f t="shared" si="86"/>
        <v>0</v>
      </c>
      <c r="AB2754" s="47">
        <f t="shared" si="87"/>
        <v>-1</v>
      </c>
      <c r="AD2754" s="53"/>
      <c r="AE2754" s="53"/>
      <c r="AF2754" s="53"/>
      <c r="AG2754" s="53"/>
    </row>
    <row r="2755" spans="1:33" s="46" customFormat="1">
      <c r="A2755" s="54"/>
      <c r="B2755" s="16"/>
      <c r="C2755" s="55"/>
      <c r="D2755" s="56"/>
      <c r="E2755" s="16"/>
      <c r="F2755" s="16"/>
      <c r="G2755" s="16"/>
      <c r="H2755" s="54"/>
      <c r="I2755" s="16"/>
      <c r="J2755" s="54"/>
      <c r="K2755" s="42"/>
      <c r="L2755" s="16"/>
      <c r="M2755" s="16"/>
      <c r="AA2755" s="14">
        <f t="shared" si="86"/>
        <v>0</v>
      </c>
      <c r="AB2755" s="47">
        <f t="shared" si="87"/>
        <v>-1</v>
      </c>
      <c r="AD2755" s="53"/>
      <c r="AE2755" s="53"/>
      <c r="AF2755" s="53"/>
      <c r="AG2755" s="53"/>
    </row>
    <row r="2756" spans="1:33" s="46" customFormat="1">
      <c r="A2756" s="54"/>
      <c r="B2756" s="16"/>
      <c r="C2756" s="55"/>
      <c r="D2756" s="56"/>
      <c r="E2756" s="16"/>
      <c r="F2756" s="16"/>
      <c r="G2756" s="16"/>
      <c r="H2756" s="54"/>
      <c r="I2756" s="16"/>
      <c r="J2756" s="54"/>
      <c r="K2756" s="42"/>
      <c r="L2756" s="16"/>
      <c r="M2756" s="16"/>
      <c r="AA2756" s="14">
        <f t="shared" si="86"/>
        <v>0</v>
      </c>
      <c r="AB2756" s="47">
        <f t="shared" si="87"/>
        <v>-1</v>
      </c>
      <c r="AD2756" s="53"/>
      <c r="AE2756" s="53"/>
      <c r="AF2756" s="53"/>
      <c r="AG2756" s="53"/>
    </row>
    <row r="2757" spans="1:33" s="46" customFormat="1">
      <c r="A2757" s="54"/>
      <c r="B2757" s="16"/>
      <c r="C2757" s="55"/>
      <c r="D2757" s="56"/>
      <c r="E2757" s="16"/>
      <c r="F2757" s="16"/>
      <c r="G2757" s="16"/>
      <c r="H2757" s="54"/>
      <c r="I2757" s="16"/>
      <c r="J2757" s="54"/>
      <c r="K2757" s="42"/>
      <c r="L2757" s="16"/>
      <c r="M2757" s="16"/>
      <c r="AA2757" s="14">
        <f t="shared" si="86"/>
        <v>0</v>
      </c>
      <c r="AB2757" s="47">
        <f t="shared" si="87"/>
        <v>-1</v>
      </c>
      <c r="AD2757" s="53"/>
      <c r="AE2757" s="53"/>
      <c r="AF2757" s="53"/>
      <c r="AG2757" s="53"/>
    </row>
    <row r="2758" spans="1:33" s="46" customFormat="1">
      <c r="A2758" s="54"/>
      <c r="B2758" s="16"/>
      <c r="C2758" s="55"/>
      <c r="D2758" s="56"/>
      <c r="E2758" s="16"/>
      <c r="F2758" s="16"/>
      <c r="G2758" s="16"/>
      <c r="H2758" s="54"/>
      <c r="I2758" s="16"/>
      <c r="J2758" s="54"/>
      <c r="K2758" s="42"/>
      <c r="L2758" s="16"/>
      <c r="M2758" s="16"/>
      <c r="AA2758" s="14">
        <f t="shared" si="86"/>
        <v>0</v>
      </c>
      <c r="AB2758" s="47">
        <f t="shared" si="87"/>
        <v>-1</v>
      </c>
      <c r="AD2758" s="53"/>
      <c r="AE2758" s="53"/>
      <c r="AF2758" s="53"/>
      <c r="AG2758" s="53"/>
    </row>
    <row r="2759" spans="1:33" s="46" customFormat="1">
      <c r="A2759" s="54"/>
      <c r="B2759" s="16"/>
      <c r="C2759" s="55"/>
      <c r="D2759" s="56"/>
      <c r="E2759" s="16"/>
      <c r="F2759" s="16"/>
      <c r="G2759" s="16"/>
      <c r="H2759" s="54"/>
      <c r="I2759" s="16"/>
      <c r="J2759" s="54"/>
      <c r="K2759" s="42"/>
      <c r="L2759" s="16"/>
      <c r="M2759" s="16"/>
      <c r="AA2759" s="14">
        <f t="shared" si="86"/>
        <v>0</v>
      </c>
      <c r="AB2759" s="47">
        <f t="shared" si="87"/>
        <v>-1</v>
      </c>
      <c r="AD2759" s="53"/>
      <c r="AE2759" s="53"/>
      <c r="AF2759" s="53"/>
      <c r="AG2759" s="53"/>
    </row>
    <row r="2760" spans="1:33" s="46" customFormat="1">
      <c r="A2760" s="54"/>
      <c r="B2760" s="16"/>
      <c r="C2760" s="55"/>
      <c r="D2760" s="56"/>
      <c r="E2760" s="16"/>
      <c r="F2760" s="16"/>
      <c r="G2760" s="16"/>
      <c r="H2760" s="54"/>
      <c r="I2760" s="16"/>
      <c r="J2760" s="54"/>
      <c r="K2760" s="42"/>
      <c r="L2760" s="16"/>
      <c r="M2760" s="16"/>
      <c r="AA2760" s="14">
        <f t="shared" si="86"/>
        <v>0</v>
      </c>
      <c r="AB2760" s="47">
        <f t="shared" si="87"/>
        <v>-1</v>
      </c>
      <c r="AD2760" s="53"/>
      <c r="AE2760" s="53"/>
      <c r="AF2760" s="53"/>
      <c r="AG2760" s="53"/>
    </row>
    <row r="2761" spans="1:33" s="46" customFormat="1">
      <c r="A2761" s="54"/>
      <c r="B2761" s="16"/>
      <c r="C2761" s="55"/>
      <c r="D2761" s="56"/>
      <c r="E2761" s="16"/>
      <c r="F2761" s="16"/>
      <c r="G2761" s="16"/>
      <c r="H2761" s="54"/>
      <c r="I2761" s="16"/>
      <c r="J2761" s="54"/>
      <c r="K2761" s="42"/>
      <c r="L2761" s="16"/>
      <c r="M2761" s="16"/>
      <c r="AA2761" s="14">
        <f t="shared" si="86"/>
        <v>0</v>
      </c>
      <c r="AB2761" s="47">
        <f t="shared" si="87"/>
        <v>-1</v>
      </c>
      <c r="AD2761" s="53"/>
      <c r="AE2761" s="53"/>
      <c r="AF2761" s="53"/>
      <c r="AG2761" s="53"/>
    </row>
    <row r="2762" spans="1:33" s="46" customFormat="1">
      <c r="A2762" s="54"/>
      <c r="B2762" s="16"/>
      <c r="C2762" s="55"/>
      <c r="D2762" s="56"/>
      <c r="E2762" s="16"/>
      <c r="F2762" s="16"/>
      <c r="G2762" s="16"/>
      <c r="H2762" s="54"/>
      <c r="I2762" s="16"/>
      <c r="J2762" s="54"/>
      <c r="K2762" s="42"/>
      <c r="L2762" s="16"/>
      <c r="M2762" s="16"/>
      <c r="AA2762" s="14">
        <f t="shared" si="86"/>
        <v>0</v>
      </c>
      <c r="AB2762" s="47">
        <f t="shared" si="87"/>
        <v>-1</v>
      </c>
      <c r="AD2762" s="53"/>
      <c r="AE2762" s="53"/>
      <c r="AF2762" s="53"/>
      <c r="AG2762" s="53"/>
    </row>
    <row r="2763" spans="1:33" s="46" customFormat="1">
      <c r="A2763" s="54"/>
      <c r="B2763" s="16"/>
      <c r="C2763" s="55"/>
      <c r="D2763" s="56"/>
      <c r="E2763" s="16"/>
      <c r="F2763" s="16"/>
      <c r="G2763" s="16"/>
      <c r="H2763" s="54"/>
      <c r="I2763" s="16"/>
      <c r="J2763" s="54"/>
      <c r="K2763" s="42"/>
      <c r="L2763" s="16"/>
      <c r="M2763" s="16"/>
      <c r="AA2763" s="14">
        <f t="shared" si="86"/>
        <v>0</v>
      </c>
      <c r="AB2763" s="47">
        <f t="shared" si="87"/>
        <v>-1</v>
      </c>
      <c r="AD2763" s="53"/>
      <c r="AE2763" s="53"/>
      <c r="AF2763" s="53"/>
      <c r="AG2763" s="53"/>
    </row>
    <row r="2764" spans="1:33" s="46" customFormat="1">
      <c r="A2764" s="54"/>
      <c r="B2764" s="16"/>
      <c r="C2764" s="55"/>
      <c r="D2764" s="56"/>
      <c r="E2764" s="16"/>
      <c r="F2764" s="16"/>
      <c r="G2764" s="16"/>
      <c r="H2764" s="54"/>
      <c r="I2764" s="16"/>
      <c r="J2764" s="54"/>
      <c r="K2764" s="42"/>
      <c r="L2764" s="16"/>
      <c r="M2764" s="16"/>
      <c r="AA2764" s="14">
        <f t="shared" si="86"/>
        <v>0</v>
      </c>
      <c r="AB2764" s="47">
        <f t="shared" si="87"/>
        <v>-1</v>
      </c>
      <c r="AD2764" s="53"/>
      <c r="AE2764" s="53"/>
      <c r="AF2764" s="53"/>
      <c r="AG2764" s="53"/>
    </row>
    <row r="2765" spans="1:33" s="46" customFormat="1">
      <c r="A2765" s="54"/>
      <c r="B2765" s="16"/>
      <c r="C2765" s="55"/>
      <c r="D2765" s="56"/>
      <c r="E2765" s="16"/>
      <c r="F2765" s="16"/>
      <c r="G2765" s="16"/>
      <c r="H2765" s="54"/>
      <c r="I2765" s="16"/>
      <c r="J2765" s="54"/>
      <c r="K2765" s="42"/>
      <c r="L2765" s="16"/>
      <c r="M2765" s="16"/>
      <c r="AA2765" s="14">
        <f t="shared" si="86"/>
        <v>0</v>
      </c>
      <c r="AB2765" s="47">
        <f t="shared" si="87"/>
        <v>-1</v>
      </c>
      <c r="AD2765" s="53"/>
      <c r="AE2765" s="53"/>
      <c r="AF2765" s="53"/>
      <c r="AG2765" s="53"/>
    </row>
    <row r="2766" spans="1:33" s="46" customFormat="1">
      <c r="A2766" s="54"/>
      <c r="B2766" s="16"/>
      <c r="C2766" s="55"/>
      <c r="D2766" s="56"/>
      <c r="E2766" s="16"/>
      <c r="F2766" s="16"/>
      <c r="G2766" s="16"/>
      <c r="H2766" s="54"/>
      <c r="I2766" s="16"/>
      <c r="J2766" s="54"/>
      <c r="K2766" s="42"/>
      <c r="L2766" s="16"/>
      <c r="M2766" s="16"/>
      <c r="AA2766" s="14">
        <f t="shared" si="86"/>
        <v>0</v>
      </c>
      <c r="AB2766" s="47">
        <f t="shared" si="87"/>
        <v>-1</v>
      </c>
      <c r="AD2766" s="53"/>
      <c r="AE2766" s="53"/>
      <c r="AF2766" s="53"/>
      <c r="AG2766" s="53"/>
    </row>
    <row r="2767" spans="1:33" s="46" customFormat="1">
      <c r="A2767" s="54"/>
      <c r="B2767" s="16"/>
      <c r="C2767" s="55"/>
      <c r="D2767" s="56"/>
      <c r="E2767" s="16"/>
      <c r="F2767" s="16"/>
      <c r="G2767" s="16"/>
      <c r="H2767" s="54"/>
      <c r="I2767" s="16"/>
      <c r="J2767" s="54"/>
      <c r="K2767" s="42"/>
      <c r="L2767" s="16"/>
      <c r="M2767" s="16"/>
      <c r="AA2767" s="14">
        <f t="shared" si="86"/>
        <v>0</v>
      </c>
      <c r="AB2767" s="47">
        <f t="shared" si="87"/>
        <v>-1</v>
      </c>
      <c r="AD2767" s="53"/>
      <c r="AE2767" s="53"/>
      <c r="AF2767" s="53"/>
      <c r="AG2767" s="53"/>
    </row>
    <row r="2768" spans="1:33" s="46" customFormat="1">
      <c r="A2768" s="54"/>
      <c r="B2768" s="16"/>
      <c r="C2768" s="55"/>
      <c r="D2768" s="56"/>
      <c r="E2768" s="16"/>
      <c r="F2768" s="16"/>
      <c r="G2768" s="16"/>
      <c r="H2768" s="54"/>
      <c r="I2768" s="16"/>
      <c r="J2768" s="54"/>
      <c r="K2768" s="42"/>
      <c r="L2768" s="16"/>
      <c r="M2768" s="16"/>
      <c r="AA2768" s="14">
        <f t="shared" si="86"/>
        <v>0</v>
      </c>
      <c r="AB2768" s="47">
        <f t="shared" si="87"/>
        <v>-1</v>
      </c>
      <c r="AD2768" s="53"/>
      <c r="AE2768" s="53"/>
      <c r="AF2768" s="53"/>
      <c r="AG2768" s="53"/>
    </row>
    <row r="2769" spans="1:33" s="46" customFormat="1">
      <c r="A2769" s="54"/>
      <c r="B2769" s="16"/>
      <c r="C2769" s="55"/>
      <c r="D2769" s="56"/>
      <c r="E2769" s="16"/>
      <c r="F2769" s="16"/>
      <c r="G2769" s="16"/>
      <c r="H2769" s="54"/>
      <c r="I2769" s="16"/>
      <c r="J2769" s="54"/>
      <c r="K2769" s="42"/>
      <c r="L2769" s="16"/>
      <c r="M2769" s="16"/>
      <c r="AA2769" s="14">
        <f t="shared" si="86"/>
        <v>0</v>
      </c>
      <c r="AB2769" s="47">
        <f t="shared" si="87"/>
        <v>-1</v>
      </c>
      <c r="AD2769" s="53"/>
      <c r="AE2769" s="53"/>
      <c r="AF2769" s="53"/>
      <c r="AG2769" s="53"/>
    </row>
    <row r="2770" spans="1:33" s="46" customFormat="1">
      <c r="A2770" s="54"/>
      <c r="B2770" s="16"/>
      <c r="C2770" s="55"/>
      <c r="D2770" s="56"/>
      <c r="E2770" s="16"/>
      <c r="F2770" s="16"/>
      <c r="G2770" s="16"/>
      <c r="H2770" s="54"/>
      <c r="I2770" s="16"/>
      <c r="J2770" s="54"/>
      <c r="K2770" s="42"/>
      <c r="L2770" s="16"/>
      <c r="M2770" s="16"/>
      <c r="AA2770" s="14">
        <f t="shared" si="86"/>
        <v>0</v>
      </c>
      <c r="AB2770" s="47">
        <f t="shared" si="87"/>
        <v>-1</v>
      </c>
      <c r="AD2770" s="53"/>
      <c r="AE2770" s="53"/>
      <c r="AF2770" s="53"/>
      <c r="AG2770" s="53"/>
    </row>
    <row r="2771" spans="1:33" s="46" customFormat="1">
      <c r="A2771" s="54"/>
      <c r="B2771" s="16"/>
      <c r="C2771" s="55"/>
      <c r="D2771" s="56"/>
      <c r="E2771" s="16"/>
      <c r="F2771" s="16"/>
      <c r="G2771" s="16"/>
      <c r="H2771" s="54"/>
      <c r="I2771" s="16"/>
      <c r="J2771" s="54"/>
      <c r="K2771" s="42"/>
      <c r="L2771" s="16"/>
      <c r="M2771" s="16"/>
      <c r="AA2771" s="14">
        <f t="shared" si="86"/>
        <v>0</v>
      </c>
      <c r="AB2771" s="47">
        <f t="shared" si="87"/>
        <v>-1</v>
      </c>
      <c r="AD2771" s="53"/>
      <c r="AE2771" s="53"/>
      <c r="AF2771" s="53"/>
      <c r="AG2771" s="53"/>
    </row>
    <row r="2772" spans="1:33" s="46" customFormat="1">
      <c r="A2772" s="54"/>
      <c r="B2772" s="16"/>
      <c r="C2772" s="55"/>
      <c r="D2772" s="56"/>
      <c r="E2772" s="16"/>
      <c r="F2772" s="16"/>
      <c r="G2772" s="16"/>
      <c r="H2772" s="54"/>
      <c r="I2772" s="16"/>
      <c r="J2772" s="54"/>
      <c r="K2772" s="42"/>
      <c r="L2772" s="16"/>
      <c r="M2772" s="16"/>
      <c r="AA2772" s="14">
        <f t="shared" si="86"/>
        <v>0</v>
      </c>
      <c r="AB2772" s="47">
        <f t="shared" si="87"/>
        <v>-1</v>
      </c>
      <c r="AD2772" s="53"/>
      <c r="AE2772" s="53"/>
      <c r="AF2772" s="53"/>
      <c r="AG2772" s="53"/>
    </row>
    <row r="2773" spans="1:33" s="46" customFormat="1">
      <c r="A2773" s="54"/>
      <c r="B2773" s="16"/>
      <c r="C2773" s="55"/>
      <c r="D2773" s="56"/>
      <c r="E2773" s="16"/>
      <c r="F2773" s="16"/>
      <c r="G2773" s="16"/>
      <c r="H2773" s="54"/>
      <c r="I2773" s="16"/>
      <c r="J2773" s="54"/>
      <c r="K2773" s="42"/>
      <c r="L2773" s="16"/>
      <c r="M2773" s="16"/>
      <c r="AA2773" s="14">
        <f t="shared" si="86"/>
        <v>0</v>
      </c>
      <c r="AB2773" s="47">
        <f t="shared" si="87"/>
        <v>-1</v>
      </c>
      <c r="AD2773" s="53"/>
      <c r="AE2773" s="53"/>
      <c r="AF2773" s="53"/>
      <c r="AG2773" s="53"/>
    </row>
    <row r="2774" spans="1:33" s="46" customFormat="1">
      <c r="A2774" s="54"/>
      <c r="B2774" s="16"/>
      <c r="C2774" s="55"/>
      <c r="D2774" s="56"/>
      <c r="E2774" s="16"/>
      <c r="F2774" s="16"/>
      <c r="G2774" s="16"/>
      <c r="H2774" s="54"/>
      <c r="I2774" s="16"/>
      <c r="J2774" s="54"/>
      <c r="K2774" s="42"/>
      <c r="L2774" s="16"/>
      <c r="M2774" s="16"/>
      <c r="AA2774" s="14">
        <f t="shared" si="86"/>
        <v>0</v>
      </c>
      <c r="AB2774" s="47">
        <f t="shared" si="87"/>
        <v>-1</v>
      </c>
      <c r="AD2774" s="53"/>
      <c r="AE2774" s="53"/>
      <c r="AF2774" s="53"/>
      <c r="AG2774" s="53"/>
    </row>
    <row r="2775" spans="1:33" s="46" customFormat="1">
      <c r="A2775" s="54"/>
      <c r="B2775" s="16"/>
      <c r="C2775" s="55"/>
      <c r="D2775" s="56"/>
      <c r="E2775" s="16"/>
      <c r="F2775" s="16"/>
      <c r="G2775" s="16"/>
      <c r="H2775" s="54"/>
      <c r="I2775" s="16"/>
      <c r="J2775" s="54"/>
      <c r="K2775" s="42"/>
      <c r="L2775" s="16"/>
      <c r="M2775" s="16"/>
      <c r="AA2775" s="14">
        <f t="shared" si="86"/>
        <v>0</v>
      </c>
      <c r="AB2775" s="47">
        <f t="shared" si="87"/>
        <v>-1</v>
      </c>
      <c r="AD2775" s="53"/>
      <c r="AE2775" s="53"/>
      <c r="AF2775" s="53"/>
      <c r="AG2775" s="53"/>
    </row>
    <row r="2776" spans="1:33" s="46" customFormat="1">
      <c r="A2776" s="54"/>
      <c r="B2776" s="16"/>
      <c r="C2776" s="55"/>
      <c r="D2776" s="56"/>
      <c r="E2776" s="16"/>
      <c r="F2776" s="16"/>
      <c r="G2776" s="16"/>
      <c r="H2776" s="54"/>
      <c r="I2776" s="16"/>
      <c r="J2776" s="54"/>
      <c r="K2776" s="42"/>
      <c r="L2776" s="16"/>
      <c r="M2776" s="16"/>
      <c r="AA2776" s="14">
        <f t="shared" si="86"/>
        <v>0</v>
      </c>
      <c r="AB2776" s="47">
        <f t="shared" si="87"/>
        <v>-1</v>
      </c>
      <c r="AD2776" s="53"/>
      <c r="AE2776" s="53"/>
      <c r="AF2776" s="53"/>
      <c r="AG2776" s="53"/>
    </row>
    <row r="2777" spans="1:33" s="46" customFormat="1">
      <c r="A2777" s="54"/>
      <c r="B2777" s="16"/>
      <c r="C2777" s="55"/>
      <c r="D2777" s="56"/>
      <c r="E2777" s="16"/>
      <c r="F2777" s="16"/>
      <c r="G2777" s="16"/>
      <c r="H2777" s="54"/>
      <c r="I2777" s="16"/>
      <c r="J2777" s="54"/>
      <c r="K2777" s="42"/>
      <c r="L2777" s="16"/>
      <c r="M2777" s="16"/>
      <c r="AA2777" s="14">
        <f t="shared" si="86"/>
        <v>0</v>
      </c>
      <c r="AB2777" s="47">
        <f t="shared" si="87"/>
        <v>-1</v>
      </c>
      <c r="AD2777" s="53"/>
      <c r="AE2777" s="53"/>
      <c r="AF2777" s="53"/>
      <c r="AG2777" s="53"/>
    </row>
    <row r="2778" spans="1:33" s="46" customFormat="1">
      <c r="A2778" s="54"/>
      <c r="B2778" s="16"/>
      <c r="C2778" s="55"/>
      <c r="D2778" s="56"/>
      <c r="E2778" s="16"/>
      <c r="F2778" s="16"/>
      <c r="G2778" s="16"/>
      <c r="H2778" s="54"/>
      <c r="I2778" s="16"/>
      <c r="J2778" s="54"/>
      <c r="K2778" s="42"/>
      <c r="L2778" s="16"/>
      <c r="M2778" s="16"/>
      <c r="AA2778" s="14">
        <f t="shared" si="86"/>
        <v>0</v>
      </c>
      <c r="AB2778" s="47">
        <f t="shared" si="87"/>
        <v>-1</v>
      </c>
      <c r="AD2778" s="53"/>
      <c r="AE2778" s="53"/>
      <c r="AF2778" s="53"/>
      <c r="AG2778" s="53"/>
    </row>
    <row r="2779" spans="1:33" s="46" customFormat="1">
      <c r="A2779" s="54"/>
      <c r="B2779" s="16"/>
      <c r="C2779" s="55"/>
      <c r="D2779" s="56"/>
      <c r="E2779" s="16"/>
      <c r="F2779" s="16"/>
      <c r="G2779" s="16"/>
      <c r="H2779" s="54"/>
      <c r="I2779" s="16"/>
      <c r="J2779" s="54"/>
      <c r="K2779" s="42"/>
      <c r="L2779" s="16"/>
      <c r="M2779" s="16"/>
      <c r="AA2779" s="14">
        <f t="shared" si="86"/>
        <v>0</v>
      </c>
      <c r="AB2779" s="47">
        <f t="shared" si="87"/>
        <v>-1</v>
      </c>
      <c r="AD2779" s="53"/>
      <c r="AE2779" s="53"/>
      <c r="AF2779" s="53"/>
      <c r="AG2779" s="53"/>
    </row>
    <row r="2780" spans="1:33" s="46" customFormat="1">
      <c r="A2780" s="54"/>
      <c r="B2780" s="16"/>
      <c r="C2780" s="55"/>
      <c r="D2780" s="56"/>
      <c r="E2780" s="16"/>
      <c r="F2780" s="16"/>
      <c r="G2780" s="16"/>
      <c r="H2780" s="54"/>
      <c r="I2780" s="16"/>
      <c r="J2780" s="54"/>
      <c r="K2780" s="42"/>
      <c r="L2780" s="16"/>
      <c r="M2780" s="16"/>
      <c r="AA2780" s="14">
        <f t="shared" si="86"/>
        <v>0</v>
      </c>
      <c r="AB2780" s="47">
        <f t="shared" si="87"/>
        <v>-1</v>
      </c>
      <c r="AD2780" s="53"/>
      <c r="AE2780" s="53"/>
      <c r="AF2780" s="53"/>
      <c r="AG2780" s="53"/>
    </row>
    <row r="2781" spans="1:33" s="46" customFormat="1">
      <c r="A2781" s="54"/>
      <c r="B2781" s="16"/>
      <c r="C2781" s="55"/>
      <c r="D2781" s="56"/>
      <c r="E2781" s="16"/>
      <c r="F2781" s="16"/>
      <c r="G2781" s="16"/>
      <c r="H2781" s="54"/>
      <c r="I2781" s="16"/>
      <c r="J2781" s="54"/>
      <c r="K2781" s="42"/>
      <c r="L2781" s="16"/>
      <c r="M2781" s="16"/>
      <c r="AA2781" s="14">
        <f t="shared" si="86"/>
        <v>0</v>
      </c>
      <c r="AB2781" s="47">
        <f t="shared" si="87"/>
        <v>-1</v>
      </c>
      <c r="AD2781" s="53"/>
      <c r="AE2781" s="53"/>
      <c r="AF2781" s="53"/>
      <c r="AG2781" s="53"/>
    </row>
    <row r="2782" spans="1:33" s="46" customFormat="1">
      <c r="A2782" s="54"/>
      <c r="B2782" s="16"/>
      <c r="C2782" s="55"/>
      <c r="D2782" s="56"/>
      <c r="E2782" s="16"/>
      <c r="F2782" s="16"/>
      <c r="G2782" s="16"/>
      <c r="H2782" s="54"/>
      <c r="I2782" s="16"/>
      <c r="J2782" s="54"/>
      <c r="K2782" s="42"/>
      <c r="L2782" s="16"/>
      <c r="M2782" s="16"/>
      <c r="AA2782" s="14">
        <f t="shared" si="86"/>
        <v>0</v>
      </c>
      <c r="AB2782" s="47">
        <f t="shared" si="87"/>
        <v>-1</v>
      </c>
      <c r="AD2782" s="53"/>
      <c r="AE2782" s="53"/>
      <c r="AF2782" s="53"/>
      <c r="AG2782" s="53"/>
    </row>
    <row r="2783" spans="1:33" s="46" customFormat="1">
      <c r="A2783" s="54"/>
      <c r="B2783" s="16"/>
      <c r="C2783" s="55"/>
      <c r="D2783" s="56"/>
      <c r="E2783" s="16"/>
      <c r="F2783" s="16"/>
      <c r="G2783" s="16"/>
      <c r="H2783" s="54"/>
      <c r="I2783" s="16"/>
      <c r="J2783" s="54"/>
      <c r="K2783" s="42"/>
      <c r="L2783" s="16"/>
      <c r="M2783" s="16"/>
      <c r="AA2783" s="14">
        <f t="shared" si="86"/>
        <v>0</v>
      </c>
      <c r="AB2783" s="47">
        <f t="shared" si="87"/>
        <v>-1</v>
      </c>
      <c r="AD2783" s="53"/>
      <c r="AE2783" s="53"/>
      <c r="AF2783" s="53"/>
      <c r="AG2783" s="53"/>
    </row>
    <row r="2784" spans="1:33" s="46" customFormat="1">
      <c r="A2784" s="54"/>
      <c r="B2784" s="16"/>
      <c r="C2784" s="55"/>
      <c r="D2784" s="56"/>
      <c r="E2784" s="16"/>
      <c r="F2784" s="16"/>
      <c r="G2784" s="16"/>
      <c r="H2784" s="54"/>
      <c r="I2784" s="16"/>
      <c r="J2784" s="54"/>
      <c r="K2784" s="42"/>
      <c r="L2784" s="16"/>
      <c r="M2784" s="16"/>
      <c r="AA2784" s="14">
        <f t="shared" si="86"/>
        <v>0</v>
      </c>
      <c r="AB2784" s="47">
        <f t="shared" si="87"/>
        <v>-1</v>
      </c>
      <c r="AD2784" s="53"/>
      <c r="AE2784" s="53"/>
      <c r="AF2784" s="53"/>
      <c r="AG2784" s="53"/>
    </row>
    <row r="2785" spans="1:33" s="46" customFormat="1">
      <c r="A2785" s="54"/>
      <c r="B2785" s="16"/>
      <c r="C2785" s="55"/>
      <c r="D2785" s="56"/>
      <c r="E2785" s="16"/>
      <c r="F2785" s="16"/>
      <c r="G2785" s="16"/>
      <c r="H2785" s="54"/>
      <c r="I2785" s="16"/>
      <c r="J2785" s="54"/>
      <c r="K2785" s="42"/>
      <c r="L2785" s="16"/>
      <c r="M2785" s="16"/>
      <c r="AA2785" s="14">
        <f t="shared" si="86"/>
        <v>0</v>
      </c>
      <c r="AB2785" s="47">
        <f t="shared" si="87"/>
        <v>-1</v>
      </c>
      <c r="AD2785" s="53"/>
      <c r="AE2785" s="53"/>
      <c r="AF2785" s="53"/>
      <c r="AG2785" s="53"/>
    </row>
    <row r="2786" spans="1:33" s="46" customFormat="1">
      <c r="A2786" s="54"/>
      <c r="B2786" s="16"/>
      <c r="C2786" s="55"/>
      <c r="D2786" s="56"/>
      <c r="E2786" s="16"/>
      <c r="F2786" s="16"/>
      <c r="G2786" s="16"/>
      <c r="H2786" s="54"/>
      <c r="I2786" s="16"/>
      <c r="J2786" s="54"/>
      <c r="K2786" s="42"/>
      <c r="L2786" s="16"/>
      <c r="M2786" s="16"/>
      <c r="AA2786" s="14">
        <f t="shared" si="86"/>
        <v>0</v>
      </c>
      <c r="AB2786" s="47">
        <f t="shared" si="87"/>
        <v>-1</v>
      </c>
      <c r="AD2786" s="53"/>
      <c r="AE2786" s="53"/>
      <c r="AF2786" s="53"/>
      <c r="AG2786" s="53"/>
    </row>
    <row r="2787" spans="1:33" s="46" customFormat="1">
      <c r="A2787" s="54"/>
      <c r="B2787" s="16"/>
      <c r="C2787" s="55"/>
      <c r="D2787" s="56"/>
      <c r="E2787" s="16"/>
      <c r="F2787" s="16"/>
      <c r="G2787" s="16"/>
      <c r="H2787" s="54"/>
      <c r="I2787" s="16"/>
      <c r="J2787" s="54"/>
      <c r="K2787" s="42"/>
      <c r="L2787" s="16"/>
      <c r="M2787" s="16"/>
      <c r="AA2787" s="14">
        <f t="shared" si="86"/>
        <v>0</v>
      </c>
      <c r="AB2787" s="47">
        <f t="shared" si="87"/>
        <v>-1</v>
      </c>
      <c r="AD2787" s="53"/>
      <c r="AE2787" s="53"/>
      <c r="AF2787" s="53"/>
      <c r="AG2787" s="53"/>
    </row>
    <row r="2788" spans="1:33" s="46" customFormat="1">
      <c r="A2788" s="54"/>
      <c r="B2788" s="16"/>
      <c r="C2788" s="55"/>
      <c r="D2788" s="56"/>
      <c r="E2788" s="16"/>
      <c r="F2788" s="16"/>
      <c r="G2788" s="16"/>
      <c r="H2788" s="54"/>
      <c r="I2788" s="16"/>
      <c r="J2788" s="54"/>
      <c r="K2788" s="42"/>
      <c r="L2788" s="16"/>
      <c r="M2788" s="16"/>
      <c r="AA2788" s="14">
        <f t="shared" si="86"/>
        <v>0</v>
      </c>
      <c r="AB2788" s="47">
        <f t="shared" si="87"/>
        <v>-1</v>
      </c>
      <c r="AD2788" s="53"/>
      <c r="AE2788" s="53"/>
      <c r="AF2788" s="53"/>
      <c r="AG2788" s="53"/>
    </row>
    <row r="2789" spans="1:33" s="46" customFormat="1">
      <c r="A2789" s="54"/>
      <c r="B2789" s="16"/>
      <c r="C2789" s="55"/>
      <c r="D2789" s="56"/>
      <c r="E2789" s="16"/>
      <c r="F2789" s="16"/>
      <c r="G2789" s="16"/>
      <c r="H2789" s="54"/>
      <c r="I2789" s="16"/>
      <c r="J2789" s="54"/>
      <c r="K2789" s="42"/>
      <c r="L2789" s="16"/>
      <c r="M2789" s="16"/>
      <c r="AA2789" s="14">
        <f t="shared" si="86"/>
        <v>0</v>
      </c>
      <c r="AB2789" s="47">
        <f t="shared" si="87"/>
        <v>-1</v>
      </c>
      <c r="AD2789" s="53"/>
      <c r="AE2789" s="53"/>
      <c r="AF2789" s="53"/>
      <c r="AG2789" s="53"/>
    </row>
    <row r="2790" spans="1:33" s="46" customFormat="1">
      <c r="A2790" s="54"/>
      <c r="B2790" s="16"/>
      <c r="C2790" s="55"/>
      <c r="D2790" s="56"/>
      <c r="E2790" s="16"/>
      <c r="F2790" s="16"/>
      <c r="G2790" s="16"/>
      <c r="H2790" s="54"/>
      <c r="I2790" s="16"/>
      <c r="J2790" s="54"/>
      <c r="K2790" s="42"/>
      <c r="L2790" s="16"/>
      <c r="M2790" s="16"/>
      <c r="AA2790" s="14">
        <f t="shared" si="86"/>
        <v>0</v>
      </c>
      <c r="AB2790" s="47">
        <f t="shared" si="87"/>
        <v>-1</v>
      </c>
      <c r="AD2790" s="53"/>
      <c r="AE2790" s="53"/>
      <c r="AF2790" s="53"/>
      <c r="AG2790" s="53"/>
    </row>
    <row r="2791" spans="1:33" s="46" customFormat="1">
      <c r="A2791" s="54"/>
      <c r="B2791" s="16"/>
      <c r="C2791" s="55"/>
      <c r="D2791" s="56"/>
      <c r="E2791" s="16"/>
      <c r="F2791" s="16"/>
      <c r="G2791" s="16"/>
      <c r="H2791" s="54"/>
      <c r="I2791" s="16"/>
      <c r="J2791" s="54"/>
      <c r="K2791" s="42"/>
      <c r="L2791" s="16"/>
      <c r="M2791" s="16"/>
      <c r="AA2791" s="14">
        <f t="shared" si="86"/>
        <v>0</v>
      </c>
      <c r="AB2791" s="47">
        <f t="shared" si="87"/>
        <v>-1</v>
      </c>
      <c r="AD2791" s="53"/>
      <c r="AE2791" s="53"/>
      <c r="AF2791" s="53"/>
      <c r="AG2791" s="53"/>
    </row>
    <row r="2792" spans="1:33" s="46" customFormat="1">
      <c r="A2792" s="54"/>
      <c r="B2792" s="16"/>
      <c r="C2792" s="55"/>
      <c r="D2792" s="56"/>
      <c r="E2792" s="16"/>
      <c r="F2792" s="16"/>
      <c r="G2792" s="16"/>
      <c r="H2792" s="54"/>
      <c r="I2792" s="16"/>
      <c r="J2792" s="54"/>
      <c r="K2792" s="42"/>
      <c r="L2792" s="16"/>
      <c r="M2792" s="16"/>
      <c r="AA2792" s="14">
        <f t="shared" ref="AA2792:AA2855" si="88">C2792-C2791</f>
        <v>0</v>
      </c>
      <c r="AB2792" s="47">
        <f t="shared" ref="AB2792:AB2855" si="89">AA2792-1</f>
        <v>-1</v>
      </c>
      <c r="AD2792" s="53"/>
      <c r="AE2792" s="53"/>
      <c r="AF2792" s="53"/>
      <c r="AG2792" s="53"/>
    </row>
    <row r="2793" spans="1:33" s="46" customFormat="1">
      <c r="A2793" s="54"/>
      <c r="B2793" s="16"/>
      <c r="C2793" s="55"/>
      <c r="D2793" s="56"/>
      <c r="E2793" s="16"/>
      <c r="F2793" s="16"/>
      <c r="G2793" s="16"/>
      <c r="H2793" s="54"/>
      <c r="I2793" s="16"/>
      <c r="J2793" s="54"/>
      <c r="K2793" s="42"/>
      <c r="L2793" s="16"/>
      <c r="M2793" s="16"/>
      <c r="AA2793" s="14">
        <f t="shared" si="88"/>
        <v>0</v>
      </c>
      <c r="AB2793" s="47">
        <f t="shared" si="89"/>
        <v>-1</v>
      </c>
      <c r="AD2793" s="53"/>
      <c r="AE2793" s="53"/>
      <c r="AF2793" s="53"/>
      <c r="AG2793" s="53"/>
    </row>
    <row r="2794" spans="1:33" s="46" customFormat="1">
      <c r="A2794" s="54"/>
      <c r="B2794" s="16"/>
      <c r="C2794" s="55"/>
      <c r="D2794" s="56"/>
      <c r="E2794" s="16"/>
      <c r="F2794" s="16"/>
      <c r="G2794" s="16"/>
      <c r="H2794" s="54"/>
      <c r="I2794" s="16"/>
      <c r="J2794" s="54"/>
      <c r="K2794" s="42"/>
      <c r="L2794" s="16"/>
      <c r="M2794" s="16"/>
      <c r="AA2794" s="14">
        <f t="shared" si="88"/>
        <v>0</v>
      </c>
      <c r="AB2794" s="47">
        <f t="shared" si="89"/>
        <v>-1</v>
      </c>
      <c r="AD2794" s="53"/>
      <c r="AE2794" s="53"/>
      <c r="AF2794" s="53"/>
      <c r="AG2794" s="53"/>
    </row>
    <row r="2795" spans="1:33" s="46" customFormat="1">
      <c r="A2795" s="54"/>
      <c r="B2795" s="16"/>
      <c r="C2795" s="55"/>
      <c r="D2795" s="56"/>
      <c r="E2795" s="16"/>
      <c r="F2795" s="16"/>
      <c r="G2795" s="16"/>
      <c r="H2795" s="54"/>
      <c r="I2795" s="16"/>
      <c r="J2795" s="54"/>
      <c r="K2795" s="42"/>
      <c r="L2795" s="16"/>
      <c r="M2795" s="16"/>
      <c r="AA2795" s="14">
        <f t="shared" si="88"/>
        <v>0</v>
      </c>
      <c r="AB2795" s="47">
        <f t="shared" si="89"/>
        <v>-1</v>
      </c>
      <c r="AD2795" s="53"/>
      <c r="AE2795" s="53"/>
      <c r="AF2795" s="53"/>
      <c r="AG2795" s="53"/>
    </row>
    <row r="2796" spans="1:33" s="46" customFormat="1">
      <c r="A2796" s="54"/>
      <c r="B2796" s="16"/>
      <c r="C2796" s="55"/>
      <c r="D2796" s="56"/>
      <c r="E2796" s="16"/>
      <c r="F2796" s="16"/>
      <c r="G2796" s="16"/>
      <c r="H2796" s="54"/>
      <c r="I2796" s="16"/>
      <c r="J2796" s="54"/>
      <c r="K2796" s="42"/>
      <c r="L2796" s="16"/>
      <c r="M2796" s="16"/>
      <c r="AA2796" s="14">
        <f t="shared" si="88"/>
        <v>0</v>
      </c>
      <c r="AB2796" s="47">
        <f t="shared" si="89"/>
        <v>-1</v>
      </c>
      <c r="AD2796" s="53"/>
      <c r="AE2796" s="53"/>
      <c r="AF2796" s="53"/>
      <c r="AG2796" s="53"/>
    </row>
    <row r="2797" spans="1:33" s="46" customFormat="1">
      <c r="A2797" s="54"/>
      <c r="B2797" s="16"/>
      <c r="C2797" s="55"/>
      <c r="D2797" s="56"/>
      <c r="E2797" s="16"/>
      <c r="F2797" s="16"/>
      <c r="G2797" s="16"/>
      <c r="H2797" s="54"/>
      <c r="I2797" s="16"/>
      <c r="J2797" s="54"/>
      <c r="K2797" s="42"/>
      <c r="L2797" s="16"/>
      <c r="M2797" s="16"/>
      <c r="AA2797" s="14">
        <f t="shared" si="88"/>
        <v>0</v>
      </c>
      <c r="AB2797" s="47">
        <f t="shared" si="89"/>
        <v>-1</v>
      </c>
      <c r="AD2797" s="53"/>
      <c r="AE2797" s="53"/>
      <c r="AF2797" s="53"/>
      <c r="AG2797" s="53"/>
    </row>
    <row r="2798" spans="1:33" s="46" customFormat="1">
      <c r="A2798" s="54"/>
      <c r="B2798" s="16"/>
      <c r="C2798" s="55"/>
      <c r="D2798" s="56"/>
      <c r="E2798" s="16"/>
      <c r="F2798" s="16"/>
      <c r="G2798" s="16"/>
      <c r="H2798" s="54"/>
      <c r="I2798" s="16"/>
      <c r="J2798" s="54"/>
      <c r="K2798" s="42"/>
      <c r="L2798" s="16"/>
      <c r="M2798" s="16"/>
      <c r="AA2798" s="14">
        <f t="shared" si="88"/>
        <v>0</v>
      </c>
      <c r="AB2798" s="47">
        <f t="shared" si="89"/>
        <v>-1</v>
      </c>
      <c r="AD2798" s="53"/>
      <c r="AE2798" s="53"/>
      <c r="AF2798" s="53"/>
      <c r="AG2798" s="53"/>
    </row>
    <row r="2799" spans="1:33" s="46" customFormat="1">
      <c r="A2799" s="54"/>
      <c r="B2799" s="16"/>
      <c r="C2799" s="55"/>
      <c r="D2799" s="56"/>
      <c r="E2799" s="16"/>
      <c r="F2799" s="16"/>
      <c r="G2799" s="16"/>
      <c r="H2799" s="54"/>
      <c r="I2799" s="16"/>
      <c r="J2799" s="54"/>
      <c r="K2799" s="42"/>
      <c r="L2799" s="16"/>
      <c r="M2799" s="16"/>
      <c r="AA2799" s="14">
        <f t="shared" si="88"/>
        <v>0</v>
      </c>
      <c r="AB2799" s="47">
        <f t="shared" si="89"/>
        <v>-1</v>
      </c>
      <c r="AD2799" s="53"/>
      <c r="AE2799" s="53"/>
      <c r="AF2799" s="53"/>
      <c r="AG2799" s="53"/>
    </row>
    <row r="2800" spans="1:33" s="46" customFormat="1">
      <c r="A2800" s="54"/>
      <c r="B2800" s="16"/>
      <c r="C2800" s="55"/>
      <c r="D2800" s="56"/>
      <c r="E2800" s="16"/>
      <c r="F2800" s="16"/>
      <c r="G2800" s="16"/>
      <c r="H2800" s="54"/>
      <c r="I2800" s="16"/>
      <c r="J2800" s="54"/>
      <c r="K2800" s="42"/>
      <c r="L2800" s="16"/>
      <c r="M2800" s="16"/>
      <c r="AA2800" s="14">
        <f t="shared" si="88"/>
        <v>0</v>
      </c>
      <c r="AB2800" s="47">
        <f t="shared" si="89"/>
        <v>-1</v>
      </c>
      <c r="AD2800" s="53"/>
      <c r="AE2800" s="53"/>
      <c r="AF2800" s="53"/>
      <c r="AG2800" s="53"/>
    </row>
    <row r="2801" spans="1:33" s="46" customFormat="1">
      <c r="A2801" s="54"/>
      <c r="B2801" s="16"/>
      <c r="C2801" s="55"/>
      <c r="D2801" s="56"/>
      <c r="E2801" s="16"/>
      <c r="F2801" s="16"/>
      <c r="G2801" s="16"/>
      <c r="H2801" s="54"/>
      <c r="I2801" s="16"/>
      <c r="J2801" s="54"/>
      <c r="K2801" s="42"/>
      <c r="L2801" s="16"/>
      <c r="M2801" s="16"/>
      <c r="AA2801" s="14">
        <f t="shared" si="88"/>
        <v>0</v>
      </c>
      <c r="AB2801" s="47">
        <f t="shared" si="89"/>
        <v>-1</v>
      </c>
      <c r="AD2801" s="53"/>
      <c r="AE2801" s="53"/>
      <c r="AF2801" s="53"/>
      <c r="AG2801" s="53"/>
    </row>
    <row r="2802" spans="1:33" s="46" customFormat="1">
      <c r="A2802" s="54"/>
      <c r="B2802" s="16"/>
      <c r="C2802" s="55"/>
      <c r="D2802" s="56"/>
      <c r="E2802" s="16"/>
      <c r="F2802" s="16"/>
      <c r="G2802" s="16"/>
      <c r="H2802" s="54"/>
      <c r="I2802" s="16"/>
      <c r="J2802" s="54"/>
      <c r="K2802" s="42"/>
      <c r="L2802" s="16"/>
      <c r="M2802" s="16"/>
      <c r="AA2802" s="14">
        <f t="shared" si="88"/>
        <v>0</v>
      </c>
      <c r="AB2802" s="47">
        <f t="shared" si="89"/>
        <v>-1</v>
      </c>
      <c r="AD2802" s="53"/>
      <c r="AE2802" s="53"/>
      <c r="AF2802" s="53"/>
      <c r="AG2802" s="53"/>
    </row>
    <row r="2803" spans="1:33" s="46" customFormat="1">
      <c r="A2803" s="54"/>
      <c r="B2803" s="16"/>
      <c r="C2803" s="55"/>
      <c r="D2803" s="56"/>
      <c r="E2803" s="16"/>
      <c r="F2803" s="16"/>
      <c r="G2803" s="16"/>
      <c r="H2803" s="54"/>
      <c r="I2803" s="16"/>
      <c r="J2803" s="54"/>
      <c r="K2803" s="42"/>
      <c r="L2803" s="16"/>
      <c r="M2803" s="16"/>
      <c r="AA2803" s="14">
        <f t="shared" si="88"/>
        <v>0</v>
      </c>
      <c r="AB2803" s="47">
        <f t="shared" si="89"/>
        <v>-1</v>
      </c>
      <c r="AD2803" s="53"/>
      <c r="AE2803" s="53"/>
      <c r="AF2803" s="53"/>
      <c r="AG2803" s="53"/>
    </row>
    <row r="2804" spans="1:33" s="46" customFormat="1">
      <c r="A2804" s="54"/>
      <c r="B2804" s="16"/>
      <c r="C2804" s="55"/>
      <c r="D2804" s="56"/>
      <c r="E2804" s="16"/>
      <c r="F2804" s="16"/>
      <c r="G2804" s="16"/>
      <c r="H2804" s="54"/>
      <c r="I2804" s="16"/>
      <c r="J2804" s="54"/>
      <c r="K2804" s="42"/>
      <c r="L2804" s="16"/>
      <c r="M2804" s="16"/>
      <c r="AA2804" s="14">
        <f t="shared" si="88"/>
        <v>0</v>
      </c>
      <c r="AB2804" s="47">
        <f t="shared" si="89"/>
        <v>-1</v>
      </c>
      <c r="AD2804" s="53"/>
      <c r="AE2804" s="53"/>
      <c r="AF2804" s="53"/>
      <c r="AG2804" s="53"/>
    </row>
    <row r="2805" spans="1:33" s="46" customFormat="1">
      <c r="A2805" s="54"/>
      <c r="B2805" s="16"/>
      <c r="C2805" s="55"/>
      <c r="D2805" s="56"/>
      <c r="E2805" s="16"/>
      <c r="F2805" s="16"/>
      <c r="G2805" s="16"/>
      <c r="H2805" s="54"/>
      <c r="I2805" s="16"/>
      <c r="J2805" s="54"/>
      <c r="K2805" s="42"/>
      <c r="L2805" s="16"/>
      <c r="M2805" s="16"/>
      <c r="AA2805" s="14">
        <f t="shared" si="88"/>
        <v>0</v>
      </c>
      <c r="AB2805" s="47">
        <f t="shared" si="89"/>
        <v>-1</v>
      </c>
      <c r="AD2805" s="53"/>
      <c r="AE2805" s="53"/>
      <c r="AF2805" s="53"/>
      <c r="AG2805" s="53"/>
    </row>
    <row r="2806" spans="1:33" s="46" customFormat="1">
      <c r="A2806" s="54"/>
      <c r="B2806" s="16"/>
      <c r="C2806" s="55"/>
      <c r="D2806" s="56"/>
      <c r="E2806" s="16"/>
      <c r="F2806" s="16"/>
      <c r="G2806" s="16"/>
      <c r="H2806" s="54"/>
      <c r="I2806" s="16"/>
      <c r="J2806" s="54"/>
      <c r="K2806" s="42"/>
      <c r="L2806" s="16"/>
      <c r="M2806" s="16"/>
      <c r="AA2806" s="14">
        <f t="shared" si="88"/>
        <v>0</v>
      </c>
      <c r="AB2806" s="47">
        <f t="shared" si="89"/>
        <v>-1</v>
      </c>
      <c r="AD2806" s="53"/>
      <c r="AE2806" s="53"/>
      <c r="AF2806" s="53"/>
      <c r="AG2806" s="53"/>
    </row>
    <row r="2807" spans="1:33" s="46" customFormat="1">
      <c r="A2807" s="54"/>
      <c r="B2807" s="16"/>
      <c r="C2807" s="55"/>
      <c r="D2807" s="56"/>
      <c r="E2807" s="16"/>
      <c r="F2807" s="16"/>
      <c r="G2807" s="16"/>
      <c r="H2807" s="54"/>
      <c r="I2807" s="16"/>
      <c r="J2807" s="54"/>
      <c r="K2807" s="42"/>
      <c r="L2807" s="16"/>
      <c r="M2807" s="16"/>
      <c r="AA2807" s="14">
        <f t="shared" si="88"/>
        <v>0</v>
      </c>
      <c r="AB2807" s="47">
        <f t="shared" si="89"/>
        <v>-1</v>
      </c>
      <c r="AD2807" s="53"/>
      <c r="AE2807" s="53"/>
      <c r="AF2807" s="53"/>
      <c r="AG2807" s="53"/>
    </row>
    <row r="2808" spans="1:33" s="46" customFormat="1">
      <c r="A2808" s="54"/>
      <c r="B2808" s="16"/>
      <c r="C2808" s="55"/>
      <c r="D2808" s="56"/>
      <c r="E2808" s="16"/>
      <c r="F2808" s="16"/>
      <c r="G2808" s="16"/>
      <c r="H2808" s="54"/>
      <c r="I2808" s="16"/>
      <c r="J2808" s="54"/>
      <c r="K2808" s="42"/>
      <c r="L2808" s="16"/>
      <c r="M2808" s="16"/>
      <c r="AA2808" s="14">
        <f t="shared" si="88"/>
        <v>0</v>
      </c>
      <c r="AB2808" s="47">
        <f t="shared" si="89"/>
        <v>-1</v>
      </c>
      <c r="AD2808" s="53"/>
      <c r="AE2808" s="53"/>
      <c r="AF2808" s="53"/>
      <c r="AG2808" s="53"/>
    </row>
    <row r="2809" spans="1:33" s="46" customFormat="1">
      <c r="A2809" s="54"/>
      <c r="B2809" s="16"/>
      <c r="C2809" s="55"/>
      <c r="D2809" s="56"/>
      <c r="E2809" s="16"/>
      <c r="F2809" s="16"/>
      <c r="G2809" s="16"/>
      <c r="H2809" s="54"/>
      <c r="I2809" s="16"/>
      <c r="J2809" s="54"/>
      <c r="K2809" s="42"/>
      <c r="L2809" s="16"/>
      <c r="M2809" s="16"/>
      <c r="AA2809" s="14">
        <f t="shared" si="88"/>
        <v>0</v>
      </c>
      <c r="AB2809" s="47">
        <f t="shared" si="89"/>
        <v>-1</v>
      </c>
      <c r="AD2809" s="53"/>
      <c r="AE2809" s="53"/>
      <c r="AF2809" s="53"/>
      <c r="AG2809" s="53"/>
    </row>
    <row r="2810" spans="1:33" s="46" customFormat="1">
      <c r="A2810" s="54"/>
      <c r="B2810" s="16"/>
      <c r="C2810" s="55"/>
      <c r="D2810" s="56"/>
      <c r="E2810" s="16"/>
      <c r="F2810" s="16"/>
      <c r="G2810" s="16"/>
      <c r="H2810" s="54"/>
      <c r="I2810" s="16"/>
      <c r="J2810" s="54"/>
      <c r="K2810" s="42"/>
      <c r="L2810" s="16"/>
      <c r="M2810" s="16"/>
      <c r="AA2810" s="14">
        <f t="shared" si="88"/>
        <v>0</v>
      </c>
      <c r="AB2810" s="47">
        <f t="shared" si="89"/>
        <v>-1</v>
      </c>
      <c r="AD2810" s="53"/>
      <c r="AE2810" s="53"/>
      <c r="AF2810" s="53"/>
      <c r="AG2810" s="53"/>
    </row>
    <row r="2811" spans="1:33" s="46" customFormat="1">
      <c r="A2811" s="54"/>
      <c r="B2811" s="16"/>
      <c r="C2811" s="55"/>
      <c r="D2811" s="56"/>
      <c r="E2811" s="16"/>
      <c r="F2811" s="16"/>
      <c r="G2811" s="16"/>
      <c r="H2811" s="54"/>
      <c r="I2811" s="16"/>
      <c r="J2811" s="54"/>
      <c r="K2811" s="42"/>
      <c r="L2811" s="16"/>
      <c r="M2811" s="16"/>
      <c r="AA2811" s="14">
        <f t="shared" si="88"/>
        <v>0</v>
      </c>
      <c r="AB2811" s="47">
        <f t="shared" si="89"/>
        <v>-1</v>
      </c>
      <c r="AD2811" s="53"/>
      <c r="AE2811" s="53"/>
      <c r="AF2811" s="53"/>
      <c r="AG2811" s="53"/>
    </row>
    <row r="2812" spans="1:33" s="46" customFormat="1">
      <c r="A2812" s="54"/>
      <c r="B2812" s="16"/>
      <c r="C2812" s="55"/>
      <c r="D2812" s="56"/>
      <c r="E2812" s="16"/>
      <c r="F2812" s="16"/>
      <c r="G2812" s="16"/>
      <c r="H2812" s="54"/>
      <c r="I2812" s="16"/>
      <c r="J2812" s="54"/>
      <c r="K2812" s="42"/>
      <c r="L2812" s="16"/>
      <c r="M2812" s="16"/>
      <c r="AA2812" s="14">
        <f t="shared" si="88"/>
        <v>0</v>
      </c>
      <c r="AB2812" s="47">
        <f t="shared" si="89"/>
        <v>-1</v>
      </c>
      <c r="AD2812" s="53"/>
      <c r="AE2812" s="53"/>
      <c r="AF2812" s="53"/>
      <c r="AG2812" s="53"/>
    </row>
    <row r="2813" spans="1:33" s="46" customFormat="1">
      <c r="A2813" s="54"/>
      <c r="B2813" s="16"/>
      <c r="C2813" s="55"/>
      <c r="D2813" s="56"/>
      <c r="E2813" s="16"/>
      <c r="F2813" s="16"/>
      <c r="G2813" s="16"/>
      <c r="H2813" s="54"/>
      <c r="I2813" s="16"/>
      <c r="J2813" s="54"/>
      <c r="K2813" s="42"/>
      <c r="L2813" s="16"/>
      <c r="M2813" s="16"/>
      <c r="AA2813" s="14">
        <f t="shared" si="88"/>
        <v>0</v>
      </c>
      <c r="AB2813" s="47">
        <f t="shared" si="89"/>
        <v>-1</v>
      </c>
      <c r="AD2813" s="53"/>
      <c r="AE2813" s="53"/>
      <c r="AF2813" s="53"/>
      <c r="AG2813" s="53"/>
    </row>
    <row r="2814" spans="1:33" s="46" customFormat="1">
      <c r="A2814" s="54"/>
      <c r="B2814" s="16"/>
      <c r="C2814" s="55"/>
      <c r="D2814" s="56"/>
      <c r="E2814" s="16"/>
      <c r="F2814" s="16"/>
      <c r="G2814" s="16"/>
      <c r="H2814" s="54"/>
      <c r="I2814" s="16"/>
      <c r="J2814" s="54"/>
      <c r="K2814" s="42"/>
      <c r="L2814" s="16"/>
      <c r="M2814" s="16"/>
      <c r="AA2814" s="14">
        <f t="shared" si="88"/>
        <v>0</v>
      </c>
      <c r="AB2814" s="47">
        <f t="shared" si="89"/>
        <v>-1</v>
      </c>
      <c r="AD2814" s="53"/>
      <c r="AE2814" s="53"/>
      <c r="AF2814" s="53"/>
      <c r="AG2814" s="53"/>
    </row>
    <row r="2815" spans="1:33" s="46" customFormat="1">
      <c r="A2815" s="54"/>
      <c r="B2815" s="16"/>
      <c r="C2815" s="55"/>
      <c r="D2815" s="56"/>
      <c r="E2815" s="16"/>
      <c r="F2815" s="16"/>
      <c r="G2815" s="16"/>
      <c r="H2815" s="54"/>
      <c r="I2815" s="16"/>
      <c r="J2815" s="54"/>
      <c r="K2815" s="42"/>
      <c r="L2815" s="16"/>
      <c r="M2815" s="16"/>
      <c r="AA2815" s="14">
        <f t="shared" si="88"/>
        <v>0</v>
      </c>
      <c r="AB2815" s="47">
        <f t="shared" si="89"/>
        <v>-1</v>
      </c>
      <c r="AD2815" s="53"/>
      <c r="AE2815" s="53"/>
      <c r="AF2815" s="53"/>
      <c r="AG2815" s="53"/>
    </row>
    <row r="2816" spans="1:33" s="46" customFormat="1">
      <c r="A2816" s="54"/>
      <c r="B2816" s="16"/>
      <c r="C2816" s="55"/>
      <c r="D2816" s="56"/>
      <c r="E2816" s="16"/>
      <c r="F2816" s="16"/>
      <c r="G2816" s="16"/>
      <c r="H2816" s="54"/>
      <c r="I2816" s="16"/>
      <c r="J2816" s="54"/>
      <c r="K2816" s="42"/>
      <c r="L2816" s="16"/>
      <c r="M2816" s="16"/>
      <c r="AA2816" s="14">
        <f t="shared" si="88"/>
        <v>0</v>
      </c>
      <c r="AB2816" s="47">
        <f t="shared" si="89"/>
        <v>-1</v>
      </c>
      <c r="AD2816" s="53"/>
      <c r="AE2816" s="53"/>
      <c r="AF2816" s="53"/>
      <c r="AG2816" s="53"/>
    </row>
    <row r="2817" spans="1:33" s="46" customFormat="1">
      <c r="A2817" s="54"/>
      <c r="B2817" s="16"/>
      <c r="C2817" s="55"/>
      <c r="D2817" s="56"/>
      <c r="E2817" s="16"/>
      <c r="F2817" s="16"/>
      <c r="G2817" s="16"/>
      <c r="H2817" s="54"/>
      <c r="I2817" s="16"/>
      <c r="J2817" s="54"/>
      <c r="K2817" s="42"/>
      <c r="L2817" s="16"/>
      <c r="M2817" s="16"/>
      <c r="AA2817" s="14">
        <f t="shared" si="88"/>
        <v>0</v>
      </c>
      <c r="AB2817" s="47">
        <f t="shared" si="89"/>
        <v>-1</v>
      </c>
      <c r="AD2817" s="53"/>
      <c r="AE2817" s="53"/>
      <c r="AF2817" s="53"/>
      <c r="AG2817" s="53"/>
    </row>
    <row r="2818" spans="1:33" s="46" customFormat="1">
      <c r="A2818" s="54"/>
      <c r="B2818" s="16"/>
      <c r="C2818" s="55"/>
      <c r="D2818" s="56"/>
      <c r="E2818" s="16"/>
      <c r="F2818" s="16"/>
      <c r="G2818" s="16"/>
      <c r="H2818" s="54"/>
      <c r="I2818" s="16"/>
      <c r="J2818" s="54"/>
      <c r="K2818" s="42"/>
      <c r="L2818" s="16"/>
      <c r="M2818" s="16"/>
      <c r="AA2818" s="14">
        <f t="shared" si="88"/>
        <v>0</v>
      </c>
      <c r="AB2818" s="47">
        <f t="shared" si="89"/>
        <v>-1</v>
      </c>
      <c r="AD2818" s="53"/>
      <c r="AE2818" s="53"/>
      <c r="AF2818" s="53"/>
      <c r="AG2818" s="53"/>
    </row>
    <row r="2819" spans="1:33" s="46" customFormat="1">
      <c r="A2819" s="54"/>
      <c r="B2819" s="16"/>
      <c r="C2819" s="55"/>
      <c r="D2819" s="56"/>
      <c r="E2819" s="16"/>
      <c r="F2819" s="16"/>
      <c r="G2819" s="16"/>
      <c r="H2819" s="54"/>
      <c r="I2819" s="16"/>
      <c r="J2819" s="54"/>
      <c r="K2819" s="42"/>
      <c r="L2819" s="16"/>
      <c r="M2819" s="16"/>
      <c r="AA2819" s="14">
        <f t="shared" si="88"/>
        <v>0</v>
      </c>
      <c r="AB2819" s="47">
        <f t="shared" si="89"/>
        <v>-1</v>
      </c>
      <c r="AD2819" s="53"/>
      <c r="AE2819" s="53"/>
      <c r="AF2819" s="53"/>
      <c r="AG2819" s="53"/>
    </row>
    <row r="2820" spans="1:33" s="46" customFormat="1">
      <c r="A2820" s="54"/>
      <c r="B2820" s="16"/>
      <c r="C2820" s="55"/>
      <c r="D2820" s="56"/>
      <c r="E2820" s="16"/>
      <c r="F2820" s="16"/>
      <c r="G2820" s="16"/>
      <c r="H2820" s="54"/>
      <c r="I2820" s="16"/>
      <c r="J2820" s="54"/>
      <c r="K2820" s="42"/>
      <c r="L2820" s="16"/>
      <c r="M2820" s="16"/>
      <c r="AA2820" s="14">
        <f t="shared" si="88"/>
        <v>0</v>
      </c>
      <c r="AB2820" s="47">
        <f t="shared" si="89"/>
        <v>-1</v>
      </c>
      <c r="AD2820" s="53"/>
      <c r="AE2820" s="53"/>
      <c r="AF2820" s="53"/>
      <c r="AG2820" s="53"/>
    </row>
    <row r="2821" spans="1:33" s="46" customFormat="1">
      <c r="A2821" s="54"/>
      <c r="B2821" s="16"/>
      <c r="C2821" s="55"/>
      <c r="D2821" s="56"/>
      <c r="E2821" s="16"/>
      <c r="F2821" s="16"/>
      <c r="G2821" s="16"/>
      <c r="H2821" s="54"/>
      <c r="I2821" s="16"/>
      <c r="J2821" s="54"/>
      <c r="K2821" s="42"/>
      <c r="L2821" s="16"/>
      <c r="M2821" s="16"/>
      <c r="AA2821" s="14">
        <f t="shared" si="88"/>
        <v>0</v>
      </c>
      <c r="AB2821" s="47">
        <f t="shared" si="89"/>
        <v>-1</v>
      </c>
      <c r="AD2821" s="53"/>
      <c r="AE2821" s="53"/>
      <c r="AF2821" s="53"/>
      <c r="AG2821" s="53"/>
    </row>
    <row r="2822" spans="1:33" s="46" customFormat="1">
      <c r="A2822" s="54"/>
      <c r="B2822" s="16"/>
      <c r="C2822" s="55"/>
      <c r="D2822" s="56"/>
      <c r="E2822" s="16"/>
      <c r="F2822" s="16"/>
      <c r="G2822" s="16"/>
      <c r="H2822" s="54"/>
      <c r="I2822" s="16"/>
      <c r="J2822" s="54"/>
      <c r="K2822" s="42"/>
      <c r="L2822" s="16"/>
      <c r="M2822" s="16"/>
      <c r="AA2822" s="14">
        <f t="shared" si="88"/>
        <v>0</v>
      </c>
      <c r="AB2822" s="47">
        <f t="shared" si="89"/>
        <v>-1</v>
      </c>
      <c r="AD2822" s="53"/>
      <c r="AE2822" s="53"/>
      <c r="AF2822" s="53"/>
      <c r="AG2822" s="53"/>
    </row>
    <row r="2823" spans="1:33" s="46" customFormat="1">
      <c r="A2823" s="54"/>
      <c r="B2823" s="16"/>
      <c r="C2823" s="55"/>
      <c r="D2823" s="56"/>
      <c r="E2823" s="16"/>
      <c r="F2823" s="16"/>
      <c r="G2823" s="16"/>
      <c r="H2823" s="54"/>
      <c r="I2823" s="16"/>
      <c r="J2823" s="54"/>
      <c r="K2823" s="42"/>
      <c r="L2823" s="16"/>
      <c r="M2823" s="16"/>
      <c r="AA2823" s="14">
        <f t="shared" si="88"/>
        <v>0</v>
      </c>
      <c r="AB2823" s="47">
        <f t="shared" si="89"/>
        <v>-1</v>
      </c>
      <c r="AD2823" s="53"/>
      <c r="AE2823" s="53"/>
      <c r="AF2823" s="53"/>
      <c r="AG2823" s="53"/>
    </row>
    <row r="2824" spans="1:33" s="46" customFormat="1">
      <c r="A2824" s="54"/>
      <c r="B2824" s="16"/>
      <c r="C2824" s="55"/>
      <c r="D2824" s="56"/>
      <c r="E2824" s="16"/>
      <c r="F2824" s="16"/>
      <c r="G2824" s="16"/>
      <c r="H2824" s="54"/>
      <c r="I2824" s="16"/>
      <c r="J2824" s="54"/>
      <c r="K2824" s="42"/>
      <c r="L2824" s="16"/>
      <c r="M2824" s="16"/>
      <c r="AA2824" s="14">
        <f t="shared" si="88"/>
        <v>0</v>
      </c>
      <c r="AB2824" s="47">
        <f t="shared" si="89"/>
        <v>-1</v>
      </c>
      <c r="AD2824" s="53"/>
      <c r="AE2824" s="53"/>
      <c r="AF2824" s="53"/>
      <c r="AG2824" s="53"/>
    </row>
    <row r="2825" spans="1:33" s="46" customFormat="1">
      <c r="A2825" s="54"/>
      <c r="B2825" s="16"/>
      <c r="C2825" s="55"/>
      <c r="D2825" s="56"/>
      <c r="E2825" s="16"/>
      <c r="F2825" s="16"/>
      <c r="G2825" s="16"/>
      <c r="H2825" s="54"/>
      <c r="I2825" s="16"/>
      <c r="J2825" s="54"/>
      <c r="K2825" s="42"/>
      <c r="L2825" s="16"/>
      <c r="M2825" s="16"/>
      <c r="AA2825" s="14">
        <f t="shared" si="88"/>
        <v>0</v>
      </c>
      <c r="AB2825" s="47">
        <f t="shared" si="89"/>
        <v>-1</v>
      </c>
      <c r="AD2825" s="53"/>
      <c r="AE2825" s="53"/>
      <c r="AF2825" s="53"/>
      <c r="AG2825" s="53"/>
    </row>
    <row r="2826" spans="1:33" s="46" customFormat="1">
      <c r="A2826" s="54"/>
      <c r="B2826" s="16"/>
      <c r="C2826" s="55"/>
      <c r="D2826" s="56"/>
      <c r="E2826" s="16"/>
      <c r="F2826" s="16"/>
      <c r="G2826" s="16"/>
      <c r="H2826" s="54"/>
      <c r="I2826" s="16"/>
      <c r="J2826" s="54"/>
      <c r="K2826" s="42"/>
      <c r="L2826" s="16"/>
      <c r="M2826" s="16"/>
      <c r="AA2826" s="14">
        <f t="shared" si="88"/>
        <v>0</v>
      </c>
      <c r="AB2826" s="47">
        <f t="shared" si="89"/>
        <v>-1</v>
      </c>
      <c r="AD2826" s="53"/>
      <c r="AE2826" s="53"/>
      <c r="AF2826" s="53"/>
      <c r="AG2826" s="53"/>
    </row>
    <row r="2827" spans="1:33" s="46" customFormat="1">
      <c r="A2827" s="54"/>
      <c r="B2827" s="16"/>
      <c r="C2827" s="55"/>
      <c r="D2827" s="56"/>
      <c r="E2827" s="16"/>
      <c r="F2827" s="16"/>
      <c r="G2827" s="16"/>
      <c r="H2827" s="54"/>
      <c r="I2827" s="16"/>
      <c r="J2827" s="54"/>
      <c r="K2827" s="42"/>
      <c r="L2827" s="16"/>
      <c r="M2827" s="16"/>
      <c r="AA2827" s="14">
        <f t="shared" si="88"/>
        <v>0</v>
      </c>
      <c r="AB2827" s="47">
        <f t="shared" si="89"/>
        <v>-1</v>
      </c>
      <c r="AD2827" s="53"/>
      <c r="AE2827" s="53"/>
      <c r="AF2827" s="53"/>
      <c r="AG2827" s="53"/>
    </row>
    <row r="2828" spans="1:33" s="46" customFormat="1">
      <c r="A2828" s="54"/>
      <c r="B2828" s="16"/>
      <c r="C2828" s="55"/>
      <c r="D2828" s="56"/>
      <c r="E2828" s="16"/>
      <c r="F2828" s="16"/>
      <c r="G2828" s="16"/>
      <c r="H2828" s="54"/>
      <c r="I2828" s="16"/>
      <c r="J2828" s="54"/>
      <c r="K2828" s="42"/>
      <c r="L2828" s="16"/>
      <c r="M2828" s="16"/>
      <c r="AA2828" s="14">
        <f t="shared" si="88"/>
        <v>0</v>
      </c>
      <c r="AB2828" s="47">
        <f t="shared" si="89"/>
        <v>-1</v>
      </c>
      <c r="AD2828" s="53"/>
      <c r="AE2828" s="53"/>
      <c r="AF2828" s="53"/>
      <c r="AG2828" s="53"/>
    </row>
    <row r="2829" spans="1:33" s="46" customFormat="1">
      <c r="A2829" s="54"/>
      <c r="B2829" s="16"/>
      <c r="C2829" s="55"/>
      <c r="D2829" s="56"/>
      <c r="E2829" s="16"/>
      <c r="F2829" s="16"/>
      <c r="G2829" s="16"/>
      <c r="H2829" s="54"/>
      <c r="I2829" s="16"/>
      <c r="J2829" s="54"/>
      <c r="K2829" s="42"/>
      <c r="L2829" s="16"/>
      <c r="M2829" s="16"/>
      <c r="AA2829" s="14">
        <f t="shared" si="88"/>
        <v>0</v>
      </c>
      <c r="AB2829" s="47">
        <f t="shared" si="89"/>
        <v>-1</v>
      </c>
      <c r="AD2829" s="53"/>
      <c r="AE2829" s="53"/>
      <c r="AF2829" s="53"/>
      <c r="AG2829" s="53"/>
    </row>
    <row r="2830" spans="1:33" s="46" customFormat="1">
      <c r="A2830" s="54"/>
      <c r="B2830" s="16"/>
      <c r="C2830" s="55"/>
      <c r="D2830" s="56"/>
      <c r="E2830" s="16"/>
      <c r="F2830" s="16"/>
      <c r="G2830" s="16"/>
      <c r="H2830" s="54"/>
      <c r="I2830" s="16"/>
      <c r="J2830" s="54"/>
      <c r="K2830" s="42"/>
      <c r="L2830" s="16"/>
      <c r="M2830" s="16"/>
      <c r="AA2830" s="14">
        <f t="shared" si="88"/>
        <v>0</v>
      </c>
      <c r="AB2830" s="47">
        <f t="shared" si="89"/>
        <v>-1</v>
      </c>
      <c r="AD2830" s="53"/>
      <c r="AE2830" s="53"/>
      <c r="AF2830" s="53"/>
      <c r="AG2830" s="53"/>
    </row>
    <row r="2831" spans="1:33" s="46" customFormat="1">
      <c r="A2831" s="54"/>
      <c r="B2831" s="16"/>
      <c r="C2831" s="55"/>
      <c r="D2831" s="56"/>
      <c r="E2831" s="16"/>
      <c r="F2831" s="16"/>
      <c r="G2831" s="16"/>
      <c r="H2831" s="54"/>
      <c r="I2831" s="16"/>
      <c r="J2831" s="54"/>
      <c r="K2831" s="42"/>
      <c r="L2831" s="16"/>
      <c r="M2831" s="16"/>
      <c r="AA2831" s="14">
        <f t="shared" si="88"/>
        <v>0</v>
      </c>
      <c r="AB2831" s="47">
        <f t="shared" si="89"/>
        <v>-1</v>
      </c>
      <c r="AD2831" s="53"/>
      <c r="AE2831" s="53"/>
      <c r="AF2831" s="53"/>
      <c r="AG2831" s="53"/>
    </row>
    <row r="2832" spans="1:33" s="46" customFormat="1">
      <c r="A2832" s="54"/>
      <c r="B2832" s="16"/>
      <c r="C2832" s="55"/>
      <c r="D2832" s="56"/>
      <c r="E2832" s="16"/>
      <c r="F2832" s="16"/>
      <c r="G2832" s="16"/>
      <c r="H2832" s="54"/>
      <c r="I2832" s="16"/>
      <c r="J2832" s="54"/>
      <c r="K2832" s="42"/>
      <c r="L2832" s="16"/>
      <c r="M2832" s="16"/>
      <c r="AA2832" s="14">
        <f t="shared" si="88"/>
        <v>0</v>
      </c>
      <c r="AB2832" s="47">
        <f t="shared" si="89"/>
        <v>-1</v>
      </c>
      <c r="AD2832" s="53"/>
      <c r="AE2832" s="53"/>
      <c r="AF2832" s="53"/>
      <c r="AG2832" s="53"/>
    </row>
    <row r="2833" spans="1:33" s="46" customFormat="1">
      <c r="A2833" s="54"/>
      <c r="B2833" s="16"/>
      <c r="C2833" s="55"/>
      <c r="D2833" s="56"/>
      <c r="E2833" s="16"/>
      <c r="F2833" s="16"/>
      <c r="G2833" s="16"/>
      <c r="H2833" s="54"/>
      <c r="I2833" s="16"/>
      <c r="J2833" s="54"/>
      <c r="K2833" s="42"/>
      <c r="L2833" s="16"/>
      <c r="M2833" s="16"/>
      <c r="AA2833" s="14">
        <f t="shared" si="88"/>
        <v>0</v>
      </c>
      <c r="AB2833" s="47">
        <f t="shared" si="89"/>
        <v>-1</v>
      </c>
      <c r="AD2833" s="53"/>
      <c r="AE2833" s="53"/>
      <c r="AF2833" s="53"/>
      <c r="AG2833" s="53"/>
    </row>
    <row r="2834" spans="1:33" s="46" customFormat="1">
      <c r="A2834" s="54"/>
      <c r="B2834" s="16"/>
      <c r="C2834" s="55"/>
      <c r="D2834" s="56"/>
      <c r="E2834" s="16"/>
      <c r="F2834" s="16"/>
      <c r="G2834" s="16"/>
      <c r="H2834" s="54"/>
      <c r="I2834" s="16"/>
      <c r="J2834" s="54"/>
      <c r="K2834" s="42"/>
      <c r="L2834" s="16"/>
      <c r="M2834" s="16"/>
      <c r="AA2834" s="14">
        <f t="shared" si="88"/>
        <v>0</v>
      </c>
      <c r="AB2834" s="47">
        <f t="shared" si="89"/>
        <v>-1</v>
      </c>
      <c r="AD2834" s="53"/>
      <c r="AE2834" s="53"/>
      <c r="AF2834" s="53"/>
      <c r="AG2834" s="53"/>
    </row>
    <row r="2835" spans="1:33" s="46" customFormat="1">
      <c r="A2835" s="54"/>
      <c r="B2835" s="16"/>
      <c r="C2835" s="55"/>
      <c r="D2835" s="56"/>
      <c r="E2835" s="16"/>
      <c r="F2835" s="16"/>
      <c r="G2835" s="16"/>
      <c r="H2835" s="54"/>
      <c r="I2835" s="16"/>
      <c r="J2835" s="54"/>
      <c r="K2835" s="42"/>
      <c r="L2835" s="16"/>
      <c r="M2835" s="16"/>
      <c r="AA2835" s="14">
        <f t="shared" si="88"/>
        <v>0</v>
      </c>
      <c r="AB2835" s="47">
        <f t="shared" si="89"/>
        <v>-1</v>
      </c>
      <c r="AD2835" s="53"/>
      <c r="AE2835" s="53"/>
      <c r="AF2835" s="53"/>
      <c r="AG2835" s="53"/>
    </row>
    <row r="2836" spans="1:33" s="46" customFormat="1">
      <c r="A2836" s="54"/>
      <c r="B2836" s="16"/>
      <c r="C2836" s="55"/>
      <c r="D2836" s="56"/>
      <c r="E2836" s="16"/>
      <c r="F2836" s="16"/>
      <c r="G2836" s="16"/>
      <c r="H2836" s="54"/>
      <c r="I2836" s="16"/>
      <c r="J2836" s="54"/>
      <c r="K2836" s="42"/>
      <c r="L2836" s="16"/>
      <c r="M2836" s="16"/>
      <c r="AA2836" s="14">
        <f t="shared" si="88"/>
        <v>0</v>
      </c>
      <c r="AB2836" s="47">
        <f t="shared" si="89"/>
        <v>-1</v>
      </c>
      <c r="AD2836" s="53"/>
      <c r="AE2836" s="53"/>
      <c r="AF2836" s="53"/>
      <c r="AG2836" s="53"/>
    </row>
    <row r="2837" spans="1:33" s="46" customFormat="1">
      <c r="A2837" s="54"/>
      <c r="B2837" s="16"/>
      <c r="C2837" s="55"/>
      <c r="D2837" s="56"/>
      <c r="E2837" s="16"/>
      <c r="F2837" s="16"/>
      <c r="G2837" s="16"/>
      <c r="H2837" s="54"/>
      <c r="I2837" s="16"/>
      <c r="J2837" s="54"/>
      <c r="K2837" s="42"/>
      <c r="L2837" s="16"/>
      <c r="M2837" s="16"/>
      <c r="AA2837" s="14">
        <f t="shared" si="88"/>
        <v>0</v>
      </c>
      <c r="AB2837" s="47">
        <f t="shared" si="89"/>
        <v>-1</v>
      </c>
      <c r="AD2837" s="53"/>
      <c r="AE2837" s="53"/>
      <c r="AF2837" s="53"/>
      <c r="AG2837" s="53"/>
    </row>
    <row r="2838" spans="1:33" s="46" customFormat="1">
      <c r="A2838" s="54"/>
      <c r="B2838" s="16"/>
      <c r="C2838" s="55"/>
      <c r="D2838" s="56"/>
      <c r="E2838" s="16"/>
      <c r="F2838" s="16"/>
      <c r="G2838" s="16"/>
      <c r="H2838" s="54"/>
      <c r="I2838" s="16"/>
      <c r="J2838" s="54"/>
      <c r="K2838" s="42"/>
      <c r="L2838" s="16"/>
      <c r="M2838" s="16"/>
      <c r="AA2838" s="14">
        <f t="shared" si="88"/>
        <v>0</v>
      </c>
      <c r="AB2838" s="47">
        <f t="shared" si="89"/>
        <v>-1</v>
      </c>
      <c r="AD2838" s="53"/>
      <c r="AE2838" s="53"/>
      <c r="AF2838" s="53"/>
      <c r="AG2838" s="53"/>
    </row>
    <row r="2839" spans="1:33" s="46" customFormat="1">
      <c r="A2839" s="54"/>
      <c r="B2839" s="16"/>
      <c r="C2839" s="55"/>
      <c r="D2839" s="56"/>
      <c r="E2839" s="16"/>
      <c r="F2839" s="16"/>
      <c r="G2839" s="16"/>
      <c r="H2839" s="54"/>
      <c r="I2839" s="16"/>
      <c r="J2839" s="54"/>
      <c r="K2839" s="42"/>
      <c r="L2839" s="16"/>
      <c r="M2839" s="16"/>
      <c r="AA2839" s="14">
        <f t="shared" si="88"/>
        <v>0</v>
      </c>
      <c r="AB2839" s="47">
        <f t="shared" si="89"/>
        <v>-1</v>
      </c>
      <c r="AD2839" s="53"/>
      <c r="AE2839" s="53"/>
      <c r="AF2839" s="53"/>
      <c r="AG2839" s="53"/>
    </row>
    <row r="2840" spans="1:33" s="46" customFormat="1">
      <c r="A2840" s="54"/>
      <c r="B2840" s="16"/>
      <c r="C2840" s="55"/>
      <c r="D2840" s="56"/>
      <c r="E2840" s="16"/>
      <c r="F2840" s="16"/>
      <c r="G2840" s="16"/>
      <c r="H2840" s="54"/>
      <c r="I2840" s="16"/>
      <c r="J2840" s="54"/>
      <c r="K2840" s="42"/>
      <c r="L2840" s="16"/>
      <c r="M2840" s="16"/>
      <c r="AA2840" s="14">
        <f t="shared" si="88"/>
        <v>0</v>
      </c>
      <c r="AB2840" s="47">
        <f t="shared" si="89"/>
        <v>-1</v>
      </c>
      <c r="AD2840" s="53"/>
      <c r="AE2840" s="53"/>
      <c r="AF2840" s="53"/>
      <c r="AG2840" s="53"/>
    </row>
    <row r="2841" spans="1:33" s="46" customFormat="1">
      <c r="A2841" s="54"/>
      <c r="B2841" s="16"/>
      <c r="C2841" s="55"/>
      <c r="D2841" s="56"/>
      <c r="E2841" s="16"/>
      <c r="F2841" s="16"/>
      <c r="G2841" s="16"/>
      <c r="H2841" s="54"/>
      <c r="I2841" s="16"/>
      <c r="J2841" s="54"/>
      <c r="K2841" s="42"/>
      <c r="L2841" s="16"/>
      <c r="M2841" s="16"/>
      <c r="AA2841" s="14">
        <f t="shared" si="88"/>
        <v>0</v>
      </c>
      <c r="AB2841" s="47">
        <f t="shared" si="89"/>
        <v>-1</v>
      </c>
      <c r="AD2841" s="53"/>
      <c r="AE2841" s="53"/>
      <c r="AF2841" s="53"/>
      <c r="AG2841" s="53"/>
    </row>
    <row r="2842" spans="1:33" s="46" customFormat="1">
      <c r="A2842" s="54"/>
      <c r="B2842" s="16"/>
      <c r="C2842" s="55"/>
      <c r="D2842" s="56"/>
      <c r="E2842" s="16"/>
      <c r="F2842" s="16"/>
      <c r="G2842" s="16"/>
      <c r="H2842" s="54"/>
      <c r="I2842" s="16"/>
      <c r="J2842" s="54"/>
      <c r="K2842" s="42"/>
      <c r="L2842" s="16"/>
      <c r="M2842" s="16"/>
      <c r="AA2842" s="14">
        <f t="shared" si="88"/>
        <v>0</v>
      </c>
      <c r="AB2842" s="47">
        <f t="shared" si="89"/>
        <v>-1</v>
      </c>
      <c r="AD2842" s="53"/>
      <c r="AE2842" s="53"/>
      <c r="AF2842" s="53"/>
      <c r="AG2842" s="53"/>
    </row>
    <row r="2843" spans="1:33" s="46" customFormat="1">
      <c r="A2843" s="54"/>
      <c r="B2843" s="16"/>
      <c r="C2843" s="55"/>
      <c r="D2843" s="56"/>
      <c r="E2843" s="16"/>
      <c r="F2843" s="16"/>
      <c r="G2843" s="16"/>
      <c r="H2843" s="54"/>
      <c r="I2843" s="16"/>
      <c r="J2843" s="54"/>
      <c r="K2843" s="42"/>
      <c r="L2843" s="16"/>
      <c r="M2843" s="16"/>
      <c r="AA2843" s="14">
        <f t="shared" si="88"/>
        <v>0</v>
      </c>
      <c r="AB2843" s="47">
        <f t="shared" si="89"/>
        <v>-1</v>
      </c>
      <c r="AD2843" s="53"/>
      <c r="AE2843" s="53"/>
      <c r="AF2843" s="53"/>
      <c r="AG2843" s="53"/>
    </row>
    <row r="2844" spans="1:33" s="46" customFormat="1">
      <c r="A2844" s="54"/>
      <c r="B2844" s="16"/>
      <c r="C2844" s="55"/>
      <c r="D2844" s="56"/>
      <c r="E2844" s="16"/>
      <c r="F2844" s="16"/>
      <c r="G2844" s="16"/>
      <c r="H2844" s="54"/>
      <c r="I2844" s="16"/>
      <c r="J2844" s="54"/>
      <c r="K2844" s="42"/>
      <c r="L2844" s="16"/>
      <c r="M2844" s="16"/>
      <c r="AA2844" s="14">
        <f t="shared" si="88"/>
        <v>0</v>
      </c>
      <c r="AB2844" s="47">
        <f t="shared" si="89"/>
        <v>-1</v>
      </c>
      <c r="AD2844" s="53"/>
      <c r="AE2844" s="53"/>
      <c r="AF2844" s="53"/>
      <c r="AG2844" s="53"/>
    </row>
    <row r="2845" spans="1:33" s="46" customFormat="1">
      <c r="A2845" s="54"/>
      <c r="B2845" s="16"/>
      <c r="C2845" s="55"/>
      <c r="D2845" s="56"/>
      <c r="E2845" s="16"/>
      <c r="F2845" s="16"/>
      <c r="G2845" s="16"/>
      <c r="H2845" s="54"/>
      <c r="I2845" s="16"/>
      <c r="J2845" s="54"/>
      <c r="K2845" s="42"/>
      <c r="L2845" s="16"/>
      <c r="M2845" s="16"/>
      <c r="AA2845" s="14">
        <f t="shared" si="88"/>
        <v>0</v>
      </c>
      <c r="AB2845" s="47">
        <f t="shared" si="89"/>
        <v>-1</v>
      </c>
      <c r="AD2845" s="53"/>
      <c r="AE2845" s="53"/>
      <c r="AF2845" s="53"/>
      <c r="AG2845" s="53"/>
    </row>
    <row r="2846" spans="1:33" s="46" customFormat="1">
      <c r="A2846" s="54"/>
      <c r="B2846" s="16"/>
      <c r="C2846" s="55"/>
      <c r="D2846" s="56"/>
      <c r="E2846" s="16"/>
      <c r="F2846" s="16"/>
      <c r="G2846" s="16"/>
      <c r="H2846" s="54"/>
      <c r="I2846" s="16"/>
      <c r="J2846" s="54"/>
      <c r="K2846" s="42"/>
      <c r="L2846" s="16"/>
      <c r="M2846" s="16"/>
      <c r="AA2846" s="14">
        <f t="shared" si="88"/>
        <v>0</v>
      </c>
      <c r="AB2846" s="47">
        <f t="shared" si="89"/>
        <v>-1</v>
      </c>
      <c r="AD2846" s="53"/>
      <c r="AE2846" s="53"/>
      <c r="AF2846" s="53"/>
      <c r="AG2846" s="53"/>
    </row>
    <row r="2847" spans="1:33" s="46" customFormat="1">
      <c r="A2847" s="54"/>
      <c r="B2847" s="16"/>
      <c r="C2847" s="55"/>
      <c r="D2847" s="56"/>
      <c r="E2847" s="16"/>
      <c r="F2847" s="16"/>
      <c r="G2847" s="16"/>
      <c r="H2847" s="54"/>
      <c r="I2847" s="16"/>
      <c r="J2847" s="54"/>
      <c r="K2847" s="42"/>
      <c r="L2847" s="16"/>
      <c r="M2847" s="16"/>
      <c r="AA2847" s="14">
        <f t="shared" si="88"/>
        <v>0</v>
      </c>
      <c r="AB2847" s="47">
        <f t="shared" si="89"/>
        <v>-1</v>
      </c>
      <c r="AD2847" s="53"/>
      <c r="AE2847" s="53"/>
      <c r="AF2847" s="53"/>
      <c r="AG2847" s="53"/>
    </row>
    <row r="2848" spans="1:33" s="46" customFormat="1">
      <c r="A2848" s="54"/>
      <c r="B2848" s="16"/>
      <c r="C2848" s="55"/>
      <c r="D2848" s="56"/>
      <c r="E2848" s="16"/>
      <c r="F2848" s="16"/>
      <c r="G2848" s="16"/>
      <c r="H2848" s="54"/>
      <c r="I2848" s="16"/>
      <c r="J2848" s="54"/>
      <c r="K2848" s="42"/>
      <c r="L2848" s="16"/>
      <c r="M2848" s="16"/>
      <c r="AA2848" s="14">
        <f t="shared" si="88"/>
        <v>0</v>
      </c>
      <c r="AB2848" s="47">
        <f t="shared" si="89"/>
        <v>-1</v>
      </c>
      <c r="AD2848" s="53"/>
      <c r="AE2848" s="53"/>
      <c r="AF2848" s="53"/>
      <c r="AG2848" s="53"/>
    </row>
    <row r="2849" spans="1:33" s="46" customFormat="1">
      <c r="A2849" s="54"/>
      <c r="B2849" s="16"/>
      <c r="C2849" s="55"/>
      <c r="D2849" s="56"/>
      <c r="E2849" s="16"/>
      <c r="F2849" s="16"/>
      <c r="G2849" s="16"/>
      <c r="H2849" s="54"/>
      <c r="I2849" s="16"/>
      <c r="J2849" s="54"/>
      <c r="K2849" s="42"/>
      <c r="L2849" s="16"/>
      <c r="M2849" s="16"/>
      <c r="AA2849" s="14">
        <f t="shared" si="88"/>
        <v>0</v>
      </c>
      <c r="AB2849" s="47">
        <f t="shared" si="89"/>
        <v>-1</v>
      </c>
      <c r="AD2849" s="53"/>
      <c r="AE2849" s="53"/>
      <c r="AF2849" s="53"/>
      <c r="AG2849" s="53"/>
    </row>
    <row r="2850" spans="1:33" s="46" customFormat="1">
      <c r="A2850" s="54"/>
      <c r="B2850" s="16"/>
      <c r="C2850" s="55"/>
      <c r="D2850" s="56"/>
      <c r="E2850" s="16"/>
      <c r="F2850" s="16"/>
      <c r="G2850" s="16"/>
      <c r="H2850" s="54"/>
      <c r="I2850" s="16"/>
      <c r="J2850" s="54"/>
      <c r="K2850" s="42"/>
      <c r="L2850" s="16"/>
      <c r="M2850" s="16"/>
      <c r="AA2850" s="14">
        <f t="shared" si="88"/>
        <v>0</v>
      </c>
      <c r="AB2850" s="47">
        <f t="shared" si="89"/>
        <v>-1</v>
      </c>
      <c r="AD2850" s="53"/>
      <c r="AE2850" s="53"/>
      <c r="AF2850" s="53"/>
      <c r="AG2850" s="53"/>
    </row>
    <row r="2851" spans="1:33" s="46" customFormat="1">
      <c r="A2851" s="54"/>
      <c r="B2851" s="16"/>
      <c r="C2851" s="55"/>
      <c r="D2851" s="56"/>
      <c r="E2851" s="16"/>
      <c r="F2851" s="16"/>
      <c r="G2851" s="16"/>
      <c r="H2851" s="54"/>
      <c r="I2851" s="16"/>
      <c r="J2851" s="54"/>
      <c r="K2851" s="42"/>
      <c r="L2851" s="16"/>
      <c r="M2851" s="16"/>
      <c r="AA2851" s="14">
        <f t="shared" si="88"/>
        <v>0</v>
      </c>
      <c r="AB2851" s="47">
        <f t="shared" si="89"/>
        <v>-1</v>
      </c>
      <c r="AD2851" s="53"/>
      <c r="AE2851" s="53"/>
      <c r="AF2851" s="53"/>
      <c r="AG2851" s="53"/>
    </row>
    <row r="2852" spans="1:33" s="46" customFormat="1">
      <c r="A2852" s="54"/>
      <c r="B2852" s="16"/>
      <c r="C2852" s="55"/>
      <c r="D2852" s="56"/>
      <c r="E2852" s="16"/>
      <c r="F2852" s="16"/>
      <c r="G2852" s="16"/>
      <c r="H2852" s="54"/>
      <c r="I2852" s="16"/>
      <c r="J2852" s="54"/>
      <c r="K2852" s="42"/>
      <c r="L2852" s="16"/>
      <c r="M2852" s="16"/>
      <c r="AA2852" s="14">
        <f t="shared" si="88"/>
        <v>0</v>
      </c>
      <c r="AB2852" s="47">
        <f t="shared" si="89"/>
        <v>-1</v>
      </c>
      <c r="AD2852" s="53"/>
      <c r="AE2852" s="53"/>
      <c r="AF2852" s="53"/>
      <c r="AG2852" s="53"/>
    </row>
    <row r="2853" spans="1:33" s="46" customFormat="1">
      <c r="A2853" s="54"/>
      <c r="B2853" s="16"/>
      <c r="C2853" s="55"/>
      <c r="D2853" s="56"/>
      <c r="E2853" s="16"/>
      <c r="F2853" s="16"/>
      <c r="G2853" s="16"/>
      <c r="H2853" s="54"/>
      <c r="I2853" s="16"/>
      <c r="J2853" s="54"/>
      <c r="K2853" s="42"/>
      <c r="L2853" s="16"/>
      <c r="M2853" s="16"/>
      <c r="AA2853" s="14">
        <f t="shared" si="88"/>
        <v>0</v>
      </c>
      <c r="AB2853" s="47">
        <f t="shared" si="89"/>
        <v>-1</v>
      </c>
      <c r="AD2853" s="53"/>
      <c r="AE2853" s="53"/>
      <c r="AF2853" s="53"/>
      <c r="AG2853" s="53"/>
    </row>
    <row r="2854" spans="1:33" s="46" customFormat="1">
      <c r="A2854" s="54"/>
      <c r="B2854" s="16"/>
      <c r="C2854" s="55"/>
      <c r="D2854" s="56"/>
      <c r="E2854" s="16"/>
      <c r="F2854" s="16"/>
      <c r="G2854" s="16"/>
      <c r="H2854" s="54"/>
      <c r="I2854" s="16"/>
      <c r="J2854" s="54"/>
      <c r="K2854" s="42"/>
      <c r="L2854" s="16"/>
      <c r="M2854" s="16"/>
      <c r="AA2854" s="14">
        <f t="shared" si="88"/>
        <v>0</v>
      </c>
      <c r="AB2854" s="47">
        <f t="shared" si="89"/>
        <v>-1</v>
      </c>
      <c r="AD2854" s="53"/>
      <c r="AE2854" s="53"/>
      <c r="AF2854" s="53"/>
      <c r="AG2854" s="53"/>
    </row>
    <row r="2855" spans="1:33" s="46" customFormat="1">
      <c r="A2855" s="54"/>
      <c r="B2855" s="16"/>
      <c r="C2855" s="55"/>
      <c r="D2855" s="56"/>
      <c r="E2855" s="16"/>
      <c r="F2855" s="16"/>
      <c r="G2855" s="16"/>
      <c r="H2855" s="54"/>
      <c r="I2855" s="16"/>
      <c r="J2855" s="54"/>
      <c r="K2855" s="42"/>
      <c r="L2855" s="16"/>
      <c r="M2855" s="16"/>
      <c r="AA2855" s="14">
        <f t="shared" si="88"/>
        <v>0</v>
      </c>
      <c r="AB2855" s="47">
        <f t="shared" si="89"/>
        <v>-1</v>
      </c>
      <c r="AD2855" s="53"/>
      <c r="AE2855" s="53"/>
      <c r="AF2855" s="53"/>
      <c r="AG2855" s="53"/>
    </row>
    <row r="2856" spans="1:33" s="46" customFormat="1">
      <c r="A2856" s="54"/>
      <c r="B2856" s="16"/>
      <c r="C2856" s="55"/>
      <c r="D2856" s="56"/>
      <c r="E2856" s="16"/>
      <c r="F2856" s="16"/>
      <c r="G2856" s="16"/>
      <c r="H2856" s="54"/>
      <c r="I2856" s="16"/>
      <c r="J2856" s="54"/>
      <c r="K2856" s="42"/>
      <c r="L2856" s="16"/>
      <c r="M2856" s="16"/>
      <c r="AA2856" s="14">
        <f t="shared" ref="AA2856:AA2919" si="90">C2856-C2855</f>
        <v>0</v>
      </c>
      <c r="AB2856" s="47">
        <f t="shared" ref="AB2856:AB2919" si="91">AA2856-1</f>
        <v>-1</v>
      </c>
      <c r="AD2856" s="53"/>
      <c r="AE2856" s="53"/>
      <c r="AF2856" s="53"/>
      <c r="AG2856" s="53"/>
    </row>
    <row r="2857" spans="1:33" s="46" customFormat="1">
      <c r="A2857" s="54"/>
      <c r="B2857" s="16"/>
      <c r="C2857" s="55"/>
      <c r="D2857" s="56"/>
      <c r="E2857" s="16"/>
      <c r="F2857" s="16"/>
      <c r="G2857" s="16"/>
      <c r="H2857" s="54"/>
      <c r="I2857" s="16"/>
      <c r="J2857" s="54"/>
      <c r="K2857" s="42"/>
      <c r="L2857" s="16"/>
      <c r="M2857" s="16"/>
      <c r="AA2857" s="14">
        <f t="shared" si="90"/>
        <v>0</v>
      </c>
      <c r="AB2857" s="47">
        <f t="shared" si="91"/>
        <v>-1</v>
      </c>
      <c r="AD2857" s="53"/>
      <c r="AE2857" s="53"/>
      <c r="AF2857" s="53"/>
      <c r="AG2857" s="53"/>
    </row>
    <row r="2858" spans="1:33" s="46" customFormat="1">
      <c r="A2858" s="54"/>
      <c r="B2858" s="16"/>
      <c r="C2858" s="55"/>
      <c r="D2858" s="56"/>
      <c r="E2858" s="16"/>
      <c r="F2858" s="16"/>
      <c r="G2858" s="16"/>
      <c r="H2858" s="54"/>
      <c r="I2858" s="16"/>
      <c r="J2858" s="54"/>
      <c r="K2858" s="42"/>
      <c r="L2858" s="16"/>
      <c r="M2858" s="16"/>
      <c r="AA2858" s="14">
        <f t="shared" si="90"/>
        <v>0</v>
      </c>
      <c r="AB2858" s="47">
        <f t="shared" si="91"/>
        <v>-1</v>
      </c>
      <c r="AD2858" s="53"/>
      <c r="AE2858" s="53"/>
      <c r="AF2858" s="53"/>
      <c r="AG2858" s="53"/>
    </row>
    <row r="2859" spans="1:33" s="46" customFormat="1">
      <c r="A2859" s="54"/>
      <c r="B2859" s="16"/>
      <c r="C2859" s="55"/>
      <c r="D2859" s="56"/>
      <c r="E2859" s="16"/>
      <c r="F2859" s="16"/>
      <c r="G2859" s="16"/>
      <c r="H2859" s="54"/>
      <c r="I2859" s="16"/>
      <c r="J2859" s="54"/>
      <c r="K2859" s="42"/>
      <c r="L2859" s="16"/>
      <c r="M2859" s="16"/>
      <c r="AA2859" s="14">
        <f t="shared" si="90"/>
        <v>0</v>
      </c>
      <c r="AB2859" s="47">
        <f t="shared" si="91"/>
        <v>-1</v>
      </c>
      <c r="AD2859" s="53"/>
      <c r="AE2859" s="53"/>
      <c r="AF2859" s="53"/>
      <c r="AG2859" s="53"/>
    </row>
    <row r="2860" spans="1:33" s="46" customFormat="1">
      <c r="A2860" s="54"/>
      <c r="B2860" s="16"/>
      <c r="C2860" s="55"/>
      <c r="D2860" s="56"/>
      <c r="E2860" s="16"/>
      <c r="F2860" s="16"/>
      <c r="G2860" s="16"/>
      <c r="H2860" s="54"/>
      <c r="I2860" s="16"/>
      <c r="J2860" s="54"/>
      <c r="K2860" s="42"/>
      <c r="L2860" s="16"/>
      <c r="M2860" s="16"/>
      <c r="AA2860" s="14">
        <f t="shared" si="90"/>
        <v>0</v>
      </c>
      <c r="AB2860" s="47">
        <f t="shared" si="91"/>
        <v>-1</v>
      </c>
      <c r="AD2860" s="53"/>
      <c r="AE2860" s="53"/>
      <c r="AF2860" s="53"/>
      <c r="AG2860" s="53"/>
    </row>
    <row r="2861" spans="1:33" s="46" customFormat="1">
      <c r="A2861" s="54"/>
      <c r="B2861" s="16"/>
      <c r="C2861" s="55"/>
      <c r="D2861" s="56"/>
      <c r="E2861" s="16"/>
      <c r="F2861" s="16"/>
      <c r="G2861" s="16"/>
      <c r="H2861" s="54"/>
      <c r="I2861" s="16"/>
      <c r="J2861" s="54"/>
      <c r="K2861" s="42"/>
      <c r="L2861" s="16"/>
      <c r="M2861" s="16"/>
      <c r="AA2861" s="14">
        <f t="shared" si="90"/>
        <v>0</v>
      </c>
      <c r="AB2861" s="47">
        <f t="shared" si="91"/>
        <v>-1</v>
      </c>
      <c r="AD2861" s="53"/>
      <c r="AE2861" s="53"/>
      <c r="AF2861" s="53"/>
      <c r="AG2861" s="53"/>
    </row>
    <row r="2862" spans="1:33" s="46" customFormat="1">
      <c r="A2862" s="54"/>
      <c r="B2862" s="16"/>
      <c r="C2862" s="55"/>
      <c r="D2862" s="56"/>
      <c r="E2862" s="16"/>
      <c r="F2862" s="16"/>
      <c r="G2862" s="16"/>
      <c r="H2862" s="54"/>
      <c r="I2862" s="16"/>
      <c r="J2862" s="54"/>
      <c r="K2862" s="42"/>
      <c r="L2862" s="16"/>
      <c r="M2862" s="16"/>
      <c r="AA2862" s="14">
        <f t="shared" si="90"/>
        <v>0</v>
      </c>
      <c r="AB2862" s="47">
        <f t="shared" si="91"/>
        <v>-1</v>
      </c>
      <c r="AD2862" s="53"/>
      <c r="AE2862" s="53"/>
      <c r="AF2862" s="53"/>
      <c r="AG2862" s="53"/>
    </row>
    <row r="2863" spans="1:33" s="46" customFormat="1">
      <c r="A2863" s="54"/>
      <c r="B2863" s="16"/>
      <c r="C2863" s="55"/>
      <c r="D2863" s="56"/>
      <c r="E2863" s="16"/>
      <c r="F2863" s="16"/>
      <c r="G2863" s="16"/>
      <c r="H2863" s="54"/>
      <c r="I2863" s="16"/>
      <c r="J2863" s="54"/>
      <c r="K2863" s="42"/>
      <c r="L2863" s="16"/>
      <c r="M2863" s="16"/>
      <c r="AA2863" s="14">
        <f t="shared" si="90"/>
        <v>0</v>
      </c>
      <c r="AB2863" s="47">
        <f t="shared" si="91"/>
        <v>-1</v>
      </c>
      <c r="AD2863" s="53"/>
      <c r="AE2863" s="53"/>
      <c r="AF2863" s="53"/>
      <c r="AG2863" s="53"/>
    </row>
    <row r="2864" spans="1:33" s="46" customFormat="1">
      <c r="A2864" s="54"/>
      <c r="B2864" s="16"/>
      <c r="C2864" s="55"/>
      <c r="D2864" s="56"/>
      <c r="E2864" s="16"/>
      <c r="F2864" s="16"/>
      <c r="G2864" s="16"/>
      <c r="H2864" s="54"/>
      <c r="I2864" s="16"/>
      <c r="J2864" s="54"/>
      <c r="K2864" s="42"/>
      <c r="L2864" s="16"/>
      <c r="M2864" s="16"/>
      <c r="AA2864" s="14">
        <f t="shared" si="90"/>
        <v>0</v>
      </c>
      <c r="AB2864" s="47">
        <f t="shared" si="91"/>
        <v>-1</v>
      </c>
      <c r="AD2864" s="53"/>
      <c r="AE2864" s="53"/>
      <c r="AF2864" s="53"/>
      <c r="AG2864" s="53"/>
    </row>
    <row r="2865" spans="1:33" s="46" customFormat="1">
      <c r="A2865" s="54"/>
      <c r="B2865" s="16"/>
      <c r="C2865" s="55"/>
      <c r="D2865" s="56"/>
      <c r="E2865" s="16"/>
      <c r="F2865" s="16"/>
      <c r="G2865" s="16"/>
      <c r="H2865" s="54"/>
      <c r="I2865" s="16"/>
      <c r="J2865" s="54"/>
      <c r="K2865" s="42"/>
      <c r="L2865" s="16"/>
      <c r="M2865" s="16"/>
      <c r="AA2865" s="14">
        <f t="shared" si="90"/>
        <v>0</v>
      </c>
      <c r="AB2865" s="47">
        <f t="shared" si="91"/>
        <v>-1</v>
      </c>
      <c r="AD2865" s="53"/>
      <c r="AE2865" s="53"/>
      <c r="AF2865" s="53"/>
      <c r="AG2865" s="53"/>
    </row>
    <row r="2866" spans="1:33" s="46" customFormat="1">
      <c r="A2866" s="54"/>
      <c r="B2866" s="16"/>
      <c r="C2866" s="55"/>
      <c r="D2866" s="56"/>
      <c r="E2866" s="16"/>
      <c r="F2866" s="16"/>
      <c r="G2866" s="16"/>
      <c r="H2866" s="54"/>
      <c r="I2866" s="16"/>
      <c r="J2866" s="54"/>
      <c r="K2866" s="42"/>
      <c r="L2866" s="16"/>
      <c r="M2866" s="16"/>
      <c r="AA2866" s="14">
        <f t="shared" si="90"/>
        <v>0</v>
      </c>
      <c r="AB2866" s="47">
        <f t="shared" si="91"/>
        <v>-1</v>
      </c>
      <c r="AD2866" s="53"/>
      <c r="AE2866" s="53"/>
      <c r="AF2866" s="53"/>
      <c r="AG2866" s="53"/>
    </row>
    <row r="2867" spans="1:33" s="46" customFormat="1">
      <c r="A2867" s="54"/>
      <c r="B2867" s="16"/>
      <c r="C2867" s="55"/>
      <c r="D2867" s="56"/>
      <c r="E2867" s="16"/>
      <c r="F2867" s="16"/>
      <c r="G2867" s="16"/>
      <c r="H2867" s="54"/>
      <c r="I2867" s="16"/>
      <c r="J2867" s="54"/>
      <c r="K2867" s="42"/>
      <c r="L2867" s="16"/>
      <c r="M2867" s="16"/>
      <c r="AA2867" s="14">
        <f t="shared" si="90"/>
        <v>0</v>
      </c>
      <c r="AB2867" s="47">
        <f t="shared" si="91"/>
        <v>-1</v>
      </c>
      <c r="AD2867" s="53"/>
      <c r="AE2867" s="53"/>
      <c r="AF2867" s="53"/>
      <c r="AG2867" s="53"/>
    </row>
    <row r="2868" spans="1:33" s="46" customFormat="1">
      <c r="A2868" s="54"/>
      <c r="B2868" s="16"/>
      <c r="C2868" s="55"/>
      <c r="D2868" s="56"/>
      <c r="E2868" s="16"/>
      <c r="F2868" s="16"/>
      <c r="G2868" s="16"/>
      <c r="H2868" s="54"/>
      <c r="I2868" s="16"/>
      <c r="J2868" s="54"/>
      <c r="K2868" s="42"/>
      <c r="L2868" s="16"/>
      <c r="M2868" s="16"/>
      <c r="AA2868" s="14">
        <f t="shared" si="90"/>
        <v>0</v>
      </c>
      <c r="AB2868" s="47">
        <f t="shared" si="91"/>
        <v>-1</v>
      </c>
      <c r="AD2868" s="53"/>
      <c r="AE2868" s="53"/>
      <c r="AF2868" s="53"/>
      <c r="AG2868" s="53"/>
    </row>
    <row r="2869" spans="1:33" s="46" customFormat="1">
      <c r="A2869" s="54"/>
      <c r="B2869" s="16"/>
      <c r="C2869" s="55"/>
      <c r="D2869" s="56"/>
      <c r="E2869" s="16"/>
      <c r="F2869" s="16"/>
      <c r="G2869" s="16"/>
      <c r="H2869" s="54"/>
      <c r="I2869" s="16"/>
      <c r="J2869" s="54"/>
      <c r="K2869" s="42"/>
      <c r="L2869" s="16"/>
      <c r="M2869" s="16"/>
      <c r="AA2869" s="14">
        <f t="shared" si="90"/>
        <v>0</v>
      </c>
      <c r="AB2869" s="47">
        <f t="shared" si="91"/>
        <v>-1</v>
      </c>
      <c r="AD2869" s="53"/>
      <c r="AE2869" s="53"/>
      <c r="AF2869" s="53"/>
      <c r="AG2869" s="53"/>
    </row>
    <row r="2870" spans="1:33" s="46" customFormat="1">
      <c r="A2870" s="54"/>
      <c r="B2870" s="16"/>
      <c r="C2870" s="55"/>
      <c r="D2870" s="56"/>
      <c r="E2870" s="16"/>
      <c r="F2870" s="16"/>
      <c r="G2870" s="16"/>
      <c r="H2870" s="54"/>
      <c r="I2870" s="16"/>
      <c r="J2870" s="54"/>
      <c r="K2870" s="42"/>
      <c r="L2870" s="16"/>
      <c r="M2870" s="16"/>
      <c r="AA2870" s="14">
        <f t="shared" si="90"/>
        <v>0</v>
      </c>
      <c r="AB2870" s="47">
        <f t="shared" si="91"/>
        <v>-1</v>
      </c>
      <c r="AD2870" s="53"/>
      <c r="AE2870" s="53"/>
      <c r="AF2870" s="53"/>
      <c r="AG2870" s="53"/>
    </row>
    <row r="2871" spans="1:33" s="46" customFormat="1">
      <c r="A2871" s="54"/>
      <c r="B2871" s="16"/>
      <c r="C2871" s="55"/>
      <c r="D2871" s="56"/>
      <c r="E2871" s="16"/>
      <c r="F2871" s="16"/>
      <c r="G2871" s="16"/>
      <c r="H2871" s="54"/>
      <c r="I2871" s="16"/>
      <c r="J2871" s="54"/>
      <c r="K2871" s="42"/>
      <c r="L2871" s="16"/>
      <c r="M2871" s="16"/>
      <c r="AA2871" s="14">
        <f t="shared" si="90"/>
        <v>0</v>
      </c>
      <c r="AB2871" s="47">
        <f t="shared" si="91"/>
        <v>-1</v>
      </c>
      <c r="AD2871" s="53"/>
      <c r="AE2871" s="53"/>
      <c r="AF2871" s="53"/>
      <c r="AG2871" s="53"/>
    </row>
    <row r="2872" spans="1:33" s="46" customFormat="1">
      <c r="A2872" s="54"/>
      <c r="B2872" s="16"/>
      <c r="C2872" s="55"/>
      <c r="D2872" s="56"/>
      <c r="E2872" s="16"/>
      <c r="F2872" s="16"/>
      <c r="G2872" s="16"/>
      <c r="H2872" s="54"/>
      <c r="I2872" s="16"/>
      <c r="J2872" s="54"/>
      <c r="K2872" s="42"/>
      <c r="L2872" s="16"/>
      <c r="M2872" s="16"/>
      <c r="AA2872" s="14">
        <f t="shared" si="90"/>
        <v>0</v>
      </c>
      <c r="AB2872" s="47">
        <f t="shared" si="91"/>
        <v>-1</v>
      </c>
      <c r="AD2872" s="53"/>
      <c r="AE2872" s="53"/>
      <c r="AF2872" s="53"/>
      <c r="AG2872" s="53"/>
    </row>
    <row r="2873" spans="1:33" s="46" customFormat="1">
      <c r="A2873" s="54"/>
      <c r="B2873" s="16"/>
      <c r="C2873" s="55"/>
      <c r="D2873" s="56"/>
      <c r="E2873" s="16"/>
      <c r="F2873" s="16"/>
      <c r="G2873" s="16"/>
      <c r="H2873" s="54"/>
      <c r="I2873" s="16"/>
      <c r="J2873" s="54"/>
      <c r="K2873" s="42"/>
      <c r="L2873" s="16"/>
      <c r="M2873" s="16"/>
      <c r="AA2873" s="14">
        <f t="shared" si="90"/>
        <v>0</v>
      </c>
      <c r="AB2873" s="47">
        <f t="shared" si="91"/>
        <v>-1</v>
      </c>
      <c r="AD2873" s="53"/>
      <c r="AE2873" s="53"/>
      <c r="AF2873" s="53"/>
      <c r="AG2873" s="53"/>
    </row>
    <row r="2874" spans="1:33" s="46" customFormat="1">
      <c r="A2874" s="54"/>
      <c r="B2874" s="16"/>
      <c r="C2874" s="55"/>
      <c r="D2874" s="56"/>
      <c r="E2874" s="16"/>
      <c r="F2874" s="16"/>
      <c r="G2874" s="16"/>
      <c r="H2874" s="54"/>
      <c r="I2874" s="16"/>
      <c r="J2874" s="54"/>
      <c r="K2874" s="42"/>
      <c r="L2874" s="16"/>
      <c r="M2874" s="16"/>
      <c r="AA2874" s="14">
        <f t="shared" si="90"/>
        <v>0</v>
      </c>
      <c r="AB2874" s="47">
        <f t="shared" si="91"/>
        <v>-1</v>
      </c>
      <c r="AD2874" s="53"/>
      <c r="AE2874" s="53"/>
      <c r="AF2874" s="53"/>
      <c r="AG2874" s="53"/>
    </row>
    <row r="2875" spans="1:33" s="46" customFormat="1">
      <c r="A2875" s="54"/>
      <c r="B2875" s="16"/>
      <c r="C2875" s="55"/>
      <c r="D2875" s="56"/>
      <c r="E2875" s="16"/>
      <c r="F2875" s="16"/>
      <c r="G2875" s="16"/>
      <c r="H2875" s="54"/>
      <c r="I2875" s="16"/>
      <c r="J2875" s="54"/>
      <c r="K2875" s="42"/>
      <c r="L2875" s="16"/>
      <c r="M2875" s="16"/>
      <c r="AA2875" s="14">
        <f t="shared" si="90"/>
        <v>0</v>
      </c>
      <c r="AB2875" s="47">
        <f t="shared" si="91"/>
        <v>-1</v>
      </c>
      <c r="AD2875" s="53"/>
      <c r="AE2875" s="53"/>
      <c r="AF2875" s="53"/>
      <c r="AG2875" s="53"/>
    </row>
    <row r="2876" spans="1:33" s="46" customFormat="1">
      <c r="A2876" s="54"/>
      <c r="B2876" s="16"/>
      <c r="C2876" s="55"/>
      <c r="D2876" s="56"/>
      <c r="E2876" s="16"/>
      <c r="F2876" s="16"/>
      <c r="G2876" s="16"/>
      <c r="H2876" s="54"/>
      <c r="I2876" s="16"/>
      <c r="J2876" s="54"/>
      <c r="K2876" s="42"/>
      <c r="L2876" s="16"/>
      <c r="M2876" s="16"/>
      <c r="AA2876" s="14">
        <f t="shared" si="90"/>
        <v>0</v>
      </c>
      <c r="AB2876" s="47">
        <f t="shared" si="91"/>
        <v>-1</v>
      </c>
      <c r="AD2876" s="53"/>
      <c r="AE2876" s="53"/>
      <c r="AF2876" s="53"/>
      <c r="AG2876" s="53"/>
    </row>
    <row r="2877" spans="1:33" s="46" customFormat="1">
      <c r="A2877" s="54"/>
      <c r="B2877" s="16"/>
      <c r="C2877" s="55"/>
      <c r="D2877" s="56"/>
      <c r="E2877" s="16"/>
      <c r="F2877" s="16"/>
      <c r="G2877" s="16"/>
      <c r="H2877" s="54"/>
      <c r="I2877" s="16"/>
      <c r="J2877" s="54"/>
      <c r="K2877" s="42"/>
      <c r="L2877" s="16"/>
      <c r="M2877" s="16"/>
      <c r="AA2877" s="14">
        <f t="shared" si="90"/>
        <v>0</v>
      </c>
      <c r="AB2877" s="47">
        <f t="shared" si="91"/>
        <v>-1</v>
      </c>
      <c r="AD2877" s="53"/>
      <c r="AE2877" s="53"/>
      <c r="AF2877" s="53"/>
      <c r="AG2877" s="53"/>
    </row>
    <row r="2878" spans="1:33" s="46" customFormat="1">
      <c r="A2878" s="54"/>
      <c r="B2878" s="16"/>
      <c r="C2878" s="55"/>
      <c r="D2878" s="56"/>
      <c r="E2878" s="16"/>
      <c r="F2878" s="16"/>
      <c r="G2878" s="16"/>
      <c r="H2878" s="54"/>
      <c r="I2878" s="16"/>
      <c r="J2878" s="54"/>
      <c r="K2878" s="42"/>
      <c r="L2878" s="16"/>
      <c r="M2878" s="16"/>
      <c r="AA2878" s="14">
        <f t="shared" si="90"/>
        <v>0</v>
      </c>
      <c r="AB2878" s="47">
        <f t="shared" si="91"/>
        <v>-1</v>
      </c>
      <c r="AD2878" s="53"/>
      <c r="AE2878" s="53"/>
      <c r="AF2878" s="53"/>
      <c r="AG2878" s="53"/>
    </row>
    <row r="2879" spans="1:33" s="46" customFormat="1">
      <c r="A2879" s="54"/>
      <c r="B2879" s="16"/>
      <c r="C2879" s="55"/>
      <c r="D2879" s="56"/>
      <c r="E2879" s="16"/>
      <c r="F2879" s="16"/>
      <c r="G2879" s="16"/>
      <c r="H2879" s="54"/>
      <c r="I2879" s="16"/>
      <c r="J2879" s="54"/>
      <c r="K2879" s="42"/>
      <c r="L2879" s="16"/>
      <c r="M2879" s="16"/>
      <c r="AA2879" s="14">
        <f t="shared" si="90"/>
        <v>0</v>
      </c>
      <c r="AB2879" s="47">
        <f t="shared" si="91"/>
        <v>-1</v>
      </c>
      <c r="AD2879" s="53"/>
      <c r="AE2879" s="53"/>
      <c r="AF2879" s="53"/>
      <c r="AG2879" s="53"/>
    </row>
    <row r="2880" spans="1:33" s="46" customFormat="1">
      <c r="A2880" s="54"/>
      <c r="B2880" s="16"/>
      <c r="C2880" s="55"/>
      <c r="D2880" s="56"/>
      <c r="E2880" s="16"/>
      <c r="F2880" s="16"/>
      <c r="G2880" s="16"/>
      <c r="H2880" s="54"/>
      <c r="I2880" s="16"/>
      <c r="J2880" s="54"/>
      <c r="K2880" s="42"/>
      <c r="L2880" s="16"/>
      <c r="M2880" s="16"/>
      <c r="AA2880" s="14">
        <f t="shared" si="90"/>
        <v>0</v>
      </c>
      <c r="AB2880" s="47">
        <f t="shared" si="91"/>
        <v>-1</v>
      </c>
      <c r="AD2880" s="53"/>
      <c r="AE2880" s="53"/>
      <c r="AF2880" s="53"/>
      <c r="AG2880" s="53"/>
    </row>
    <row r="2881" spans="1:33" s="46" customFormat="1">
      <c r="A2881" s="54"/>
      <c r="B2881" s="16"/>
      <c r="C2881" s="55"/>
      <c r="D2881" s="56"/>
      <c r="E2881" s="16"/>
      <c r="F2881" s="16"/>
      <c r="G2881" s="16"/>
      <c r="H2881" s="54"/>
      <c r="I2881" s="16"/>
      <c r="J2881" s="54"/>
      <c r="K2881" s="42"/>
      <c r="L2881" s="16"/>
      <c r="M2881" s="16"/>
      <c r="AA2881" s="14">
        <f t="shared" si="90"/>
        <v>0</v>
      </c>
      <c r="AB2881" s="47">
        <f t="shared" si="91"/>
        <v>-1</v>
      </c>
      <c r="AD2881" s="53"/>
      <c r="AE2881" s="53"/>
      <c r="AF2881" s="53"/>
      <c r="AG2881" s="53"/>
    </row>
    <row r="2882" spans="1:33" s="46" customFormat="1">
      <c r="A2882" s="54"/>
      <c r="B2882" s="16"/>
      <c r="C2882" s="55"/>
      <c r="D2882" s="56"/>
      <c r="E2882" s="16"/>
      <c r="F2882" s="16"/>
      <c r="G2882" s="16"/>
      <c r="H2882" s="54"/>
      <c r="I2882" s="16"/>
      <c r="J2882" s="54"/>
      <c r="K2882" s="42"/>
      <c r="L2882" s="16"/>
      <c r="M2882" s="16"/>
      <c r="AA2882" s="14">
        <f t="shared" si="90"/>
        <v>0</v>
      </c>
      <c r="AB2882" s="47">
        <f t="shared" si="91"/>
        <v>-1</v>
      </c>
      <c r="AD2882" s="53"/>
      <c r="AE2882" s="53"/>
      <c r="AF2882" s="53"/>
      <c r="AG2882" s="53"/>
    </row>
    <row r="2883" spans="1:33" s="46" customFormat="1">
      <c r="A2883" s="54"/>
      <c r="B2883" s="16"/>
      <c r="C2883" s="55"/>
      <c r="D2883" s="56"/>
      <c r="E2883" s="16"/>
      <c r="F2883" s="16"/>
      <c r="G2883" s="16"/>
      <c r="H2883" s="54"/>
      <c r="I2883" s="16"/>
      <c r="J2883" s="54"/>
      <c r="K2883" s="42"/>
      <c r="L2883" s="16"/>
      <c r="M2883" s="16"/>
      <c r="AA2883" s="14">
        <f t="shared" si="90"/>
        <v>0</v>
      </c>
      <c r="AB2883" s="47">
        <f t="shared" si="91"/>
        <v>-1</v>
      </c>
      <c r="AD2883" s="53"/>
      <c r="AE2883" s="53"/>
      <c r="AF2883" s="53"/>
      <c r="AG2883" s="53"/>
    </row>
    <row r="2884" spans="1:33" s="46" customFormat="1">
      <c r="A2884" s="54"/>
      <c r="B2884" s="16"/>
      <c r="C2884" s="55"/>
      <c r="D2884" s="56"/>
      <c r="E2884" s="16"/>
      <c r="F2884" s="16"/>
      <c r="G2884" s="16"/>
      <c r="H2884" s="54"/>
      <c r="I2884" s="16"/>
      <c r="J2884" s="54"/>
      <c r="K2884" s="42"/>
      <c r="L2884" s="16"/>
      <c r="M2884" s="16"/>
      <c r="AA2884" s="14">
        <f t="shared" si="90"/>
        <v>0</v>
      </c>
      <c r="AB2884" s="47">
        <f t="shared" si="91"/>
        <v>-1</v>
      </c>
      <c r="AD2884" s="53"/>
      <c r="AE2884" s="53"/>
      <c r="AF2884" s="53"/>
      <c r="AG2884" s="53"/>
    </row>
    <row r="2885" spans="1:33" s="46" customFormat="1">
      <c r="A2885" s="54"/>
      <c r="B2885" s="16"/>
      <c r="C2885" s="55"/>
      <c r="D2885" s="56"/>
      <c r="E2885" s="16"/>
      <c r="F2885" s="16"/>
      <c r="G2885" s="16"/>
      <c r="H2885" s="54"/>
      <c r="I2885" s="16"/>
      <c r="J2885" s="54"/>
      <c r="K2885" s="42"/>
      <c r="L2885" s="16"/>
      <c r="M2885" s="16"/>
      <c r="AA2885" s="14">
        <f t="shared" si="90"/>
        <v>0</v>
      </c>
      <c r="AB2885" s="47">
        <f t="shared" si="91"/>
        <v>-1</v>
      </c>
      <c r="AD2885" s="53"/>
      <c r="AE2885" s="53"/>
      <c r="AF2885" s="53"/>
      <c r="AG2885" s="53"/>
    </row>
    <row r="2886" spans="1:33" s="46" customFormat="1">
      <c r="A2886" s="54"/>
      <c r="B2886" s="16"/>
      <c r="C2886" s="55"/>
      <c r="D2886" s="56"/>
      <c r="E2886" s="16"/>
      <c r="F2886" s="16"/>
      <c r="G2886" s="16"/>
      <c r="H2886" s="54"/>
      <c r="I2886" s="16"/>
      <c r="J2886" s="54"/>
      <c r="K2886" s="42"/>
      <c r="L2886" s="16"/>
      <c r="M2886" s="16"/>
      <c r="AA2886" s="14">
        <f t="shared" si="90"/>
        <v>0</v>
      </c>
      <c r="AB2886" s="47">
        <f t="shared" si="91"/>
        <v>-1</v>
      </c>
      <c r="AD2886" s="53"/>
      <c r="AE2886" s="53"/>
      <c r="AF2886" s="53"/>
      <c r="AG2886" s="53"/>
    </row>
    <row r="2887" spans="1:33" s="46" customFormat="1">
      <c r="A2887" s="54"/>
      <c r="B2887" s="16"/>
      <c r="C2887" s="55"/>
      <c r="D2887" s="56"/>
      <c r="E2887" s="16"/>
      <c r="F2887" s="16"/>
      <c r="G2887" s="16"/>
      <c r="H2887" s="54"/>
      <c r="I2887" s="16"/>
      <c r="J2887" s="54"/>
      <c r="K2887" s="42"/>
      <c r="L2887" s="16"/>
      <c r="M2887" s="16"/>
      <c r="AA2887" s="14">
        <f t="shared" si="90"/>
        <v>0</v>
      </c>
      <c r="AB2887" s="47">
        <f t="shared" si="91"/>
        <v>-1</v>
      </c>
      <c r="AD2887" s="53"/>
      <c r="AE2887" s="53"/>
      <c r="AF2887" s="53"/>
      <c r="AG2887" s="53"/>
    </row>
    <row r="2888" spans="1:33" s="46" customFormat="1">
      <c r="A2888" s="54"/>
      <c r="B2888" s="16"/>
      <c r="C2888" s="55"/>
      <c r="D2888" s="56"/>
      <c r="E2888" s="16"/>
      <c r="F2888" s="16"/>
      <c r="G2888" s="16"/>
      <c r="H2888" s="54"/>
      <c r="I2888" s="16"/>
      <c r="J2888" s="54"/>
      <c r="K2888" s="42"/>
      <c r="L2888" s="16"/>
      <c r="M2888" s="16"/>
      <c r="AA2888" s="14">
        <f t="shared" si="90"/>
        <v>0</v>
      </c>
      <c r="AB2888" s="47">
        <f t="shared" si="91"/>
        <v>-1</v>
      </c>
      <c r="AD2888" s="53"/>
      <c r="AE2888" s="53"/>
      <c r="AF2888" s="53"/>
      <c r="AG2888" s="53"/>
    </row>
    <row r="2889" spans="1:33" s="46" customFormat="1">
      <c r="A2889" s="54"/>
      <c r="B2889" s="16"/>
      <c r="C2889" s="55"/>
      <c r="D2889" s="56"/>
      <c r="E2889" s="16"/>
      <c r="F2889" s="16"/>
      <c r="G2889" s="16"/>
      <c r="H2889" s="54"/>
      <c r="I2889" s="16"/>
      <c r="J2889" s="54"/>
      <c r="K2889" s="42"/>
      <c r="L2889" s="16"/>
      <c r="M2889" s="16"/>
      <c r="AA2889" s="14">
        <f t="shared" si="90"/>
        <v>0</v>
      </c>
      <c r="AB2889" s="47">
        <f t="shared" si="91"/>
        <v>-1</v>
      </c>
      <c r="AD2889" s="53"/>
      <c r="AE2889" s="53"/>
      <c r="AF2889" s="53"/>
      <c r="AG2889" s="53"/>
    </row>
    <row r="2890" spans="1:33" s="46" customFormat="1">
      <c r="A2890" s="54"/>
      <c r="B2890" s="16"/>
      <c r="C2890" s="55"/>
      <c r="D2890" s="56"/>
      <c r="E2890" s="16"/>
      <c r="F2890" s="16"/>
      <c r="G2890" s="16"/>
      <c r="H2890" s="54"/>
      <c r="I2890" s="16"/>
      <c r="J2890" s="54"/>
      <c r="K2890" s="42"/>
      <c r="L2890" s="16"/>
      <c r="M2890" s="16"/>
      <c r="AA2890" s="14">
        <f t="shared" si="90"/>
        <v>0</v>
      </c>
      <c r="AB2890" s="47">
        <f t="shared" si="91"/>
        <v>-1</v>
      </c>
      <c r="AD2890" s="53"/>
      <c r="AE2890" s="53"/>
      <c r="AF2890" s="53"/>
      <c r="AG2890" s="53"/>
    </row>
    <row r="2891" spans="1:33" s="46" customFormat="1">
      <c r="A2891" s="54"/>
      <c r="B2891" s="16"/>
      <c r="C2891" s="55"/>
      <c r="D2891" s="56"/>
      <c r="E2891" s="16"/>
      <c r="F2891" s="16"/>
      <c r="G2891" s="16"/>
      <c r="H2891" s="54"/>
      <c r="I2891" s="16"/>
      <c r="J2891" s="54"/>
      <c r="K2891" s="42"/>
      <c r="L2891" s="16"/>
      <c r="M2891" s="16"/>
      <c r="AA2891" s="14">
        <f t="shared" si="90"/>
        <v>0</v>
      </c>
      <c r="AB2891" s="47">
        <f t="shared" si="91"/>
        <v>-1</v>
      </c>
      <c r="AD2891" s="53"/>
      <c r="AE2891" s="53"/>
      <c r="AF2891" s="53"/>
      <c r="AG2891" s="53"/>
    </row>
    <row r="2892" spans="1:33" s="46" customFormat="1">
      <c r="A2892" s="54"/>
      <c r="B2892" s="16"/>
      <c r="C2892" s="55"/>
      <c r="D2892" s="56"/>
      <c r="E2892" s="16"/>
      <c r="F2892" s="16"/>
      <c r="G2892" s="16"/>
      <c r="H2892" s="54"/>
      <c r="I2892" s="16"/>
      <c r="J2892" s="54"/>
      <c r="K2892" s="42"/>
      <c r="L2892" s="16"/>
      <c r="M2892" s="16"/>
      <c r="AA2892" s="14">
        <f t="shared" si="90"/>
        <v>0</v>
      </c>
      <c r="AB2892" s="47">
        <f t="shared" si="91"/>
        <v>-1</v>
      </c>
      <c r="AD2892" s="53"/>
      <c r="AE2892" s="53"/>
      <c r="AF2892" s="53"/>
      <c r="AG2892" s="53"/>
    </row>
    <row r="2893" spans="1:33" s="46" customFormat="1">
      <c r="A2893" s="54"/>
      <c r="B2893" s="16"/>
      <c r="C2893" s="55"/>
      <c r="D2893" s="56"/>
      <c r="E2893" s="16"/>
      <c r="F2893" s="16"/>
      <c r="G2893" s="16"/>
      <c r="H2893" s="54"/>
      <c r="I2893" s="16"/>
      <c r="J2893" s="54"/>
      <c r="K2893" s="42"/>
      <c r="L2893" s="16"/>
      <c r="M2893" s="16"/>
      <c r="AA2893" s="14">
        <f t="shared" si="90"/>
        <v>0</v>
      </c>
      <c r="AB2893" s="47">
        <f t="shared" si="91"/>
        <v>-1</v>
      </c>
      <c r="AD2893" s="53"/>
      <c r="AE2893" s="53"/>
      <c r="AF2893" s="53"/>
      <c r="AG2893" s="53"/>
    </row>
    <row r="2894" spans="1:33" s="46" customFormat="1">
      <c r="A2894" s="54"/>
      <c r="B2894" s="16"/>
      <c r="C2894" s="55"/>
      <c r="D2894" s="56"/>
      <c r="E2894" s="16"/>
      <c r="F2894" s="16"/>
      <c r="G2894" s="16"/>
      <c r="H2894" s="54"/>
      <c r="I2894" s="16"/>
      <c r="J2894" s="54"/>
      <c r="K2894" s="42"/>
      <c r="L2894" s="16"/>
      <c r="M2894" s="16"/>
      <c r="AA2894" s="14">
        <f t="shared" si="90"/>
        <v>0</v>
      </c>
      <c r="AB2894" s="47">
        <f t="shared" si="91"/>
        <v>-1</v>
      </c>
      <c r="AD2894" s="53"/>
      <c r="AE2894" s="53"/>
      <c r="AF2894" s="53"/>
      <c r="AG2894" s="53"/>
    </row>
    <row r="2895" spans="1:33" s="46" customFormat="1">
      <c r="A2895" s="54"/>
      <c r="B2895" s="16"/>
      <c r="C2895" s="55"/>
      <c r="D2895" s="56"/>
      <c r="E2895" s="16"/>
      <c r="F2895" s="16"/>
      <c r="G2895" s="16"/>
      <c r="H2895" s="54"/>
      <c r="I2895" s="16"/>
      <c r="J2895" s="54"/>
      <c r="K2895" s="42"/>
      <c r="L2895" s="16"/>
      <c r="M2895" s="16"/>
      <c r="AA2895" s="14">
        <f t="shared" si="90"/>
        <v>0</v>
      </c>
      <c r="AB2895" s="47">
        <f t="shared" si="91"/>
        <v>-1</v>
      </c>
      <c r="AD2895" s="53"/>
      <c r="AE2895" s="53"/>
      <c r="AF2895" s="53"/>
      <c r="AG2895" s="53"/>
    </row>
    <row r="2896" spans="1:33" s="46" customFormat="1">
      <c r="A2896" s="54"/>
      <c r="B2896" s="16"/>
      <c r="C2896" s="55"/>
      <c r="D2896" s="56"/>
      <c r="E2896" s="16"/>
      <c r="F2896" s="16"/>
      <c r="G2896" s="16"/>
      <c r="H2896" s="54"/>
      <c r="I2896" s="16"/>
      <c r="J2896" s="54"/>
      <c r="K2896" s="42"/>
      <c r="L2896" s="16"/>
      <c r="M2896" s="16"/>
      <c r="AA2896" s="14">
        <f t="shared" si="90"/>
        <v>0</v>
      </c>
      <c r="AB2896" s="47">
        <f t="shared" si="91"/>
        <v>-1</v>
      </c>
      <c r="AD2896" s="53"/>
      <c r="AE2896" s="53"/>
      <c r="AF2896" s="53"/>
      <c r="AG2896" s="53"/>
    </row>
    <row r="2897" spans="1:33" s="46" customFormat="1">
      <c r="A2897" s="54"/>
      <c r="B2897" s="16"/>
      <c r="C2897" s="55"/>
      <c r="D2897" s="56"/>
      <c r="E2897" s="16"/>
      <c r="F2897" s="16"/>
      <c r="G2897" s="16"/>
      <c r="H2897" s="54"/>
      <c r="I2897" s="16"/>
      <c r="J2897" s="54"/>
      <c r="K2897" s="42"/>
      <c r="L2897" s="16"/>
      <c r="M2897" s="16"/>
      <c r="AA2897" s="14">
        <f t="shared" si="90"/>
        <v>0</v>
      </c>
      <c r="AB2897" s="47">
        <f t="shared" si="91"/>
        <v>-1</v>
      </c>
      <c r="AD2897" s="53"/>
      <c r="AE2897" s="53"/>
      <c r="AF2897" s="53"/>
      <c r="AG2897" s="53"/>
    </row>
    <row r="2898" spans="1:33" s="46" customFormat="1">
      <c r="A2898" s="54"/>
      <c r="B2898" s="16"/>
      <c r="C2898" s="55"/>
      <c r="D2898" s="56"/>
      <c r="E2898" s="16"/>
      <c r="F2898" s="16"/>
      <c r="G2898" s="16"/>
      <c r="H2898" s="54"/>
      <c r="I2898" s="16"/>
      <c r="J2898" s="54"/>
      <c r="K2898" s="42"/>
      <c r="L2898" s="16"/>
      <c r="M2898" s="16"/>
      <c r="AA2898" s="14">
        <f t="shared" si="90"/>
        <v>0</v>
      </c>
      <c r="AB2898" s="47">
        <f t="shared" si="91"/>
        <v>-1</v>
      </c>
      <c r="AD2898" s="53"/>
      <c r="AE2898" s="53"/>
      <c r="AF2898" s="53"/>
      <c r="AG2898" s="53"/>
    </row>
    <row r="2899" spans="1:33" s="46" customFormat="1">
      <c r="A2899" s="54"/>
      <c r="B2899" s="16"/>
      <c r="C2899" s="55"/>
      <c r="D2899" s="56"/>
      <c r="E2899" s="16"/>
      <c r="F2899" s="16"/>
      <c r="G2899" s="16"/>
      <c r="H2899" s="54"/>
      <c r="I2899" s="16"/>
      <c r="J2899" s="54"/>
      <c r="K2899" s="42"/>
      <c r="L2899" s="16"/>
      <c r="M2899" s="16"/>
      <c r="AA2899" s="14">
        <f t="shared" si="90"/>
        <v>0</v>
      </c>
      <c r="AB2899" s="47">
        <f t="shared" si="91"/>
        <v>-1</v>
      </c>
      <c r="AD2899" s="53"/>
      <c r="AE2899" s="53"/>
      <c r="AF2899" s="53"/>
      <c r="AG2899" s="53"/>
    </row>
    <row r="2900" spans="1:33" s="46" customFormat="1">
      <c r="A2900" s="54"/>
      <c r="B2900" s="16"/>
      <c r="C2900" s="55"/>
      <c r="D2900" s="56"/>
      <c r="E2900" s="16"/>
      <c r="F2900" s="16"/>
      <c r="G2900" s="16"/>
      <c r="H2900" s="54"/>
      <c r="I2900" s="16"/>
      <c r="J2900" s="54"/>
      <c r="K2900" s="42"/>
      <c r="L2900" s="16"/>
      <c r="M2900" s="16"/>
      <c r="AA2900" s="14">
        <f t="shared" si="90"/>
        <v>0</v>
      </c>
      <c r="AB2900" s="47">
        <f t="shared" si="91"/>
        <v>-1</v>
      </c>
      <c r="AD2900" s="53"/>
      <c r="AE2900" s="53"/>
      <c r="AF2900" s="53"/>
      <c r="AG2900" s="53"/>
    </row>
    <row r="2901" spans="1:33" s="46" customFormat="1">
      <c r="A2901" s="54"/>
      <c r="B2901" s="16"/>
      <c r="C2901" s="55"/>
      <c r="D2901" s="56"/>
      <c r="E2901" s="16"/>
      <c r="F2901" s="16"/>
      <c r="G2901" s="16"/>
      <c r="H2901" s="54"/>
      <c r="I2901" s="16"/>
      <c r="J2901" s="54"/>
      <c r="K2901" s="42"/>
      <c r="L2901" s="16"/>
      <c r="M2901" s="16"/>
      <c r="AA2901" s="14">
        <f t="shared" si="90"/>
        <v>0</v>
      </c>
      <c r="AB2901" s="47">
        <f t="shared" si="91"/>
        <v>-1</v>
      </c>
      <c r="AD2901" s="53"/>
      <c r="AE2901" s="53"/>
      <c r="AF2901" s="53"/>
      <c r="AG2901" s="53"/>
    </row>
    <row r="2902" spans="1:33" s="46" customFormat="1">
      <c r="A2902" s="54"/>
      <c r="B2902" s="16"/>
      <c r="C2902" s="55"/>
      <c r="D2902" s="56"/>
      <c r="E2902" s="16"/>
      <c r="F2902" s="16"/>
      <c r="G2902" s="16"/>
      <c r="H2902" s="54"/>
      <c r="I2902" s="16"/>
      <c r="J2902" s="54"/>
      <c r="K2902" s="42"/>
      <c r="L2902" s="16"/>
      <c r="M2902" s="16"/>
      <c r="AA2902" s="14">
        <f t="shared" si="90"/>
        <v>0</v>
      </c>
      <c r="AB2902" s="47">
        <f t="shared" si="91"/>
        <v>-1</v>
      </c>
      <c r="AD2902" s="53"/>
      <c r="AE2902" s="53"/>
      <c r="AF2902" s="53"/>
      <c r="AG2902" s="53"/>
    </row>
    <row r="2903" spans="1:33" s="46" customFormat="1">
      <c r="A2903" s="54"/>
      <c r="B2903" s="16"/>
      <c r="C2903" s="55"/>
      <c r="D2903" s="56"/>
      <c r="E2903" s="16"/>
      <c r="F2903" s="16"/>
      <c r="G2903" s="16"/>
      <c r="H2903" s="54"/>
      <c r="I2903" s="16"/>
      <c r="J2903" s="54"/>
      <c r="K2903" s="42"/>
      <c r="L2903" s="16"/>
      <c r="M2903" s="16"/>
      <c r="AA2903" s="14">
        <f t="shared" si="90"/>
        <v>0</v>
      </c>
      <c r="AB2903" s="47">
        <f t="shared" si="91"/>
        <v>-1</v>
      </c>
      <c r="AD2903" s="53"/>
      <c r="AE2903" s="53"/>
      <c r="AF2903" s="53"/>
      <c r="AG2903" s="53"/>
    </row>
    <row r="2904" spans="1:33" s="46" customFormat="1">
      <c r="A2904" s="54"/>
      <c r="B2904" s="16"/>
      <c r="C2904" s="55"/>
      <c r="D2904" s="56"/>
      <c r="E2904" s="16"/>
      <c r="F2904" s="16"/>
      <c r="G2904" s="16"/>
      <c r="H2904" s="54"/>
      <c r="I2904" s="16"/>
      <c r="J2904" s="54"/>
      <c r="K2904" s="42"/>
      <c r="L2904" s="16"/>
      <c r="M2904" s="16"/>
      <c r="AA2904" s="14">
        <f t="shared" si="90"/>
        <v>0</v>
      </c>
      <c r="AB2904" s="47">
        <f t="shared" si="91"/>
        <v>-1</v>
      </c>
      <c r="AD2904" s="53"/>
      <c r="AE2904" s="53"/>
      <c r="AF2904" s="53"/>
      <c r="AG2904" s="53"/>
    </row>
    <row r="2905" spans="1:33" s="46" customFormat="1">
      <c r="A2905" s="54"/>
      <c r="B2905" s="16"/>
      <c r="C2905" s="55"/>
      <c r="D2905" s="56"/>
      <c r="E2905" s="16"/>
      <c r="F2905" s="16"/>
      <c r="G2905" s="16"/>
      <c r="H2905" s="54"/>
      <c r="I2905" s="16"/>
      <c r="J2905" s="54"/>
      <c r="K2905" s="42"/>
      <c r="L2905" s="16"/>
      <c r="M2905" s="16"/>
      <c r="AA2905" s="14">
        <f t="shared" si="90"/>
        <v>0</v>
      </c>
      <c r="AB2905" s="47">
        <f t="shared" si="91"/>
        <v>-1</v>
      </c>
      <c r="AD2905" s="53"/>
      <c r="AE2905" s="53"/>
      <c r="AF2905" s="53"/>
      <c r="AG2905" s="53"/>
    </row>
    <row r="2906" spans="1:33" s="46" customFormat="1">
      <c r="A2906" s="54"/>
      <c r="B2906" s="16"/>
      <c r="C2906" s="55"/>
      <c r="D2906" s="56"/>
      <c r="E2906" s="16"/>
      <c r="F2906" s="16"/>
      <c r="G2906" s="16"/>
      <c r="H2906" s="54"/>
      <c r="I2906" s="16"/>
      <c r="J2906" s="54"/>
      <c r="K2906" s="42"/>
      <c r="L2906" s="16"/>
      <c r="M2906" s="16"/>
      <c r="AA2906" s="14">
        <f t="shared" si="90"/>
        <v>0</v>
      </c>
      <c r="AB2906" s="47">
        <f t="shared" si="91"/>
        <v>-1</v>
      </c>
      <c r="AD2906" s="53"/>
      <c r="AE2906" s="53"/>
      <c r="AF2906" s="53"/>
      <c r="AG2906" s="53"/>
    </row>
    <row r="2907" spans="1:33" s="46" customFormat="1">
      <c r="A2907" s="54"/>
      <c r="B2907" s="16"/>
      <c r="C2907" s="55"/>
      <c r="D2907" s="56"/>
      <c r="E2907" s="16"/>
      <c r="F2907" s="16"/>
      <c r="G2907" s="16"/>
      <c r="H2907" s="54"/>
      <c r="I2907" s="16"/>
      <c r="J2907" s="54"/>
      <c r="K2907" s="42"/>
      <c r="L2907" s="16"/>
      <c r="M2907" s="16"/>
      <c r="AA2907" s="14">
        <f t="shared" si="90"/>
        <v>0</v>
      </c>
      <c r="AB2907" s="47">
        <f t="shared" si="91"/>
        <v>-1</v>
      </c>
      <c r="AD2907" s="53"/>
      <c r="AE2907" s="53"/>
      <c r="AF2907" s="53"/>
      <c r="AG2907" s="53"/>
    </row>
    <row r="2908" spans="1:33" s="46" customFormat="1">
      <c r="A2908" s="54"/>
      <c r="B2908" s="16"/>
      <c r="C2908" s="55"/>
      <c r="D2908" s="56"/>
      <c r="E2908" s="16"/>
      <c r="F2908" s="16"/>
      <c r="G2908" s="16"/>
      <c r="H2908" s="54"/>
      <c r="I2908" s="16"/>
      <c r="J2908" s="54"/>
      <c r="K2908" s="42"/>
      <c r="L2908" s="16"/>
      <c r="M2908" s="16"/>
      <c r="AA2908" s="14">
        <f t="shared" si="90"/>
        <v>0</v>
      </c>
      <c r="AB2908" s="47">
        <f t="shared" si="91"/>
        <v>-1</v>
      </c>
      <c r="AD2908" s="53"/>
      <c r="AE2908" s="53"/>
      <c r="AF2908" s="53"/>
      <c r="AG2908" s="53"/>
    </row>
    <row r="2909" spans="1:33" s="46" customFormat="1">
      <c r="A2909" s="54"/>
      <c r="B2909" s="16"/>
      <c r="C2909" s="55"/>
      <c r="D2909" s="56"/>
      <c r="E2909" s="16"/>
      <c r="F2909" s="16"/>
      <c r="G2909" s="16"/>
      <c r="H2909" s="54"/>
      <c r="I2909" s="16"/>
      <c r="J2909" s="54"/>
      <c r="K2909" s="42"/>
      <c r="L2909" s="16"/>
      <c r="M2909" s="16"/>
      <c r="AA2909" s="14">
        <f t="shared" si="90"/>
        <v>0</v>
      </c>
      <c r="AB2909" s="47">
        <f t="shared" si="91"/>
        <v>-1</v>
      </c>
      <c r="AD2909" s="53"/>
      <c r="AE2909" s="53"/>
      <c r="AF2909" s="53"/>
      <c r="AG2909" s="53"/>
    </row>
    <row r="2910" spans="1:33" s="46" customFormat="1">
      <c r="A2910" s="54"/>
      <c r="B2910" s="16"/>
      <c r="C2910" s="55"/>
      <c r="D2910" s="56"/>
      <c r="E2910" s="16"/>
      <c r="F2910" s="16"/>
      <c r="G2910" s="16"/>
      <c r="H2910" s="54"/>
      <c r="I2910" s="16"/>
      <c r="J2910" s="54"/>
      <c r="K2910" s="42"/>
      <c r="L2910" s="16"/>
      <c r="M2910" s="16"/>
      <c r="AA2910" s="14">
        <f t="shared" si="90"/>
        <v>0</v>
      </c>
      <c r="AB2910" s="47">
        <f t="shared" si="91"/>
        <v>-1</v>
      </c>
      <c r="AD2910" s="53"/>
      <c r="AE2910" s="53"/>
      <c r="AF2910" s="53"/>
      <c r="AG2910" s="53"/>
    </row>
    <row r="2911" spans="1:33" s="46" customFormat="1">
      <c r="A2911" s="54"/>
      <c r="B2911" s="16"/>
      <c r="C2911" s="55"/>
      <c r="D2911" s="56"/>
      <c r="E2911" s="16"/>
      <c r="F2911" s="16"/>
      <c r="G2911" s="16"/>
      <c r="H2911" s="54"/>
      <c r="I2911" s="16"/>
      <c r="J2911" s="54"/>
      <c r="K2911" s="42"/>
      <c r="L2911" s="16"/>
      <c r="M2911" s="16"/>
      <c r="AA2911" s="14">
        <f t="shared" si="90"/>
        <v>0</v>
      </c>
      <c r="AB2911" s="47">
        <f t="shared" si="91"/>
        <v>-1</v>
      </c>
      <c r="AD2911" s="53"/>
      <c r="AE2911" s="53"/>
      <c r="AF2911" s="53"/>
      <c r="AG2911" s="53"/>
    </row>
    <row r="2912" spans="1:33" s="46" customFormat="1">
      <c r="A2912" s="54"/>
      <c r="B2912" s="16"/>
      <c r="C2912" s="55"/>
      <c r="D2912" s="56"/>
      <c r="E2912" s="16"/>
      <c r="F2912" s="16"/>
      <c r="G2912" s="16"/>
      <c r="H2912" s="54"/>
      <c r="I2912" s="16"/>
      <c r="J2912" s="54"/>
      <c r="K2912" s="42"/>
      <c r="L2912" s="16"/>
      <c r="M2912" s="16"/>
      <c r="AA2912" s="14">
        <f t="shared" si="90"/>
        <v>0</v>
      </c>
      <c r="AB2912" s="47">
        <f t="shared" si="91"/>
        <v>-1</v>
      </c>
      <c r="AD2912" s="53"/>
      <c r="AE2912" s="53"/>
      <c r="AF2912" s="53"/>
      <c r="AG2912" s="53"/>
    </row>
    <row r="2913" spans="1:33" s="46" customFormat="1">
      <c r="A2913" s="54"/>
      <c r="B2913" s="16"/>
      <c r="C2913" s="55"/>
      <c r="D2913" s="56"/>
      <c r="E2913" s="16"/>
      <c r="F2913" s="16"/>
      <c r="G2913" s="16"/>
      <c r="H2913" s="54"/>
      <c r="I2913" s="16"/>
      <c r="J2913" s="54"/>
      <c r="K2913" s="42"/>
      <c r="L2913" s="16"/>
      <c r="M2913" s="16"/>
      <c r="AA2913" s="14">
        <f t="shared" si="90"/>
        <v>0</v>
      </c>
      <c r="AB2913" s="47">
        <f t="shared" si="91"/>
        <v>-1</v>
      </c>
      <c r="AD2913" s="53"/>
      <c r="AE2913" s="53"/>
      <c r="AF2913" s="53"/>
      <c r="AG2913" s="53"/>
    </row>
    <row r="2914" spans="1:33" s="46" customFormat="1">
      <c r="A2914" s="54"/>
      <c r="B2914" s="16"/>
      <c r="C2914" s="55"/>
      <c r="D2914" s="56"/>
      <c r="E2914" s="16"/>
      <c r="F2914" s="16"/>
      <c r="G2914" s="16"/>
      <c r="H2914" s="54"/>
      <c r="I2914" s="16"/>
      <c r="J2914" s="54"/>
      <c r="K2914" s="42"/>
      <c r="L2914" s="16"/>
      <c r="M2914" s="16"/>
      <c r="AA2914" s="14">
        <f t="shared" si="90"/>
        <v>0</v>
      </c>
      <c r="AB2914" s="47">
        <f t="shared" si="91"/>
        <v>-1</v>
      </c>
      <c r="AD2914" s="53"/>
      <c r="AE2914" s="53"/>
      <c r="AF2914" s="53"/>
      <c r="AG2914" s="53"/>
    </row>
    <row r="2915" spans="1:33" s="46" customFormat="1">
      <c r="A2915" s="54"/>
      <c r="B2915" s="16"/>
      <c r="C2915" s="55"/>
      <c r="D2915" s="56"/>
      <c r="E2915" s="16"/>
      <c r="F2915" s="16"/>
      <c r="G2915" s="16"/>
      <c r="H2915" s="54"/>
      <c r="I2915" s="16"/>
      <c r="J2915" s="54"/>
      <c r="K2915" s="42"/>
      <c r="L2915" s="16"/>
      <c r="M2915" s="16"/>
      <c r="AA2915" s="14">
        <f t="shared" si="90"/>
        <v>0</v>
      </c>
      <c r="AB2915" s="47">
        <f t="shared" si="91"/>
        <v>-1</v>
      </c>
      <c r="AD2915" s="53"/>
      <c r="AE2915" s="53"/>
      <c r="AF2915" s="53"/>
      <c r="AG2915" s="53"/>
    </row>
    <row r="2916" spans="1:33" s="46" customFormat="1">
      <c r="A2916" s="54"/>
      <c r="B2916" s="16"/>
      <c r="C2916" s="55"/>
      <c r="D2916" s="56"/>
      <c r="E2916" s="16"/>
      <c r="F2916" s="16"/>
      <c r="G2916" s="16"/>
      <c r="H2916" s="54"/>
      <c r="I2916" s="16"/>
      <c r="J2916" s="54"/>
      <c r="K2916" s="42"/>
      <c r="L2916" s="16"/>
      <c r="M2916" s="16"/>
      <c r="AA2916" s="14">
        <f t="shared" si="90"/>
        <v>0</v>
      </c>
      <c r="AB2916" s="47">
        <f t="shared" si="91"/>
        <v>-1</v>
      </c>
      <c r="AD2916" s="53"/>
      <c r="AE2916" s="53"/>
      <c r="AF2916" s="53"/>
      <c r="AG2916" s="53"/>
    </row>
    <row r="2917" spans="1:33" s="46" customFormat="1">
      <c r="A2917" s="54"/>
      <c r="B2917" s="16"/>
      <c r="C2917" s="55"/>
      <c r="D2917" s="56"/>
      <c r="E2917" s="16"/>
      <c r="F2917" s="16"/>
      <c r="G2917" s="16"/>
      <c r="H2917" s="54"/>
      <c r="I2917" s="16"/>
      <c r="J2917" s="54"/>
      <c r="K2917" s="42"/>
      <c r="L2917" s="16"/>
      <c r="M2917" s="16"/>
      <c r="AA2917" s="14">
        <f t="shared" si="90"/>
        <v>0</v>
      </c>
      <c r="AB2917" s="47">
        <f t="shared" si="91"/>
        <v>-1</v>
      </c>
      <c r="AD2917" s="53"/>
      <c r="AE2917" s="53"/>
      <c r="AF2917" s="53"/>
      <c r="AG2917" s="53"/>
    </row>
    <row r="2918" spans="1:33" s="46" customFormat="1">
      <c r="A2918" s="54"/>
      <c r="B2918" s="16"/>
      <c r="C2918" s="55"/>
      <c r="D2918" s="56"/>
      <c r="E2918" s="16"/>
      <c r="F2918" s="16"/>
      <c r="G2918" s="16"/>
      <c r="H2918" s="54"/>
      <c r="I2918" s="16"/>
      <c r="J2918" s="54"/>
      <c r="K2918" s="42"/>
      <c r="L2918" s="16"/>
      <c r="M2918" s="16"/>
      <c r="AA2918" s="14">
        <f t="shared" si="90"/>
        <v>0</v>
      </c>
      <c r="AB2918" s="47">
        <f t="shared" si="91"/>
        <v>-1</v>
      </c>
      <c r="AD2918" s="53"/>
      <c r="AE2918" s="53"/>
      <c r="AF2918" s="53"/>
      <c r="AG2918" s="53"/>
    </row>
    <row r="2919" spans="1:33" s="46" customFormat="1">
      <c r="A2919" s="54"/>
      <c r="B2919" s="16"/>
      <c r="C2919" s="55"/>
      <c r="D2919" s="56"/>
      <c r="E2919" s="16"/>
      <c r="F2919" s="16"/>
      <c r="G2919" s="16"/>
      <c r="H2919" s="54"/>
      <c r="I2919" s="16"/>
      <c r="J2919" s="54"/>
      <c r="K2919" s="42"/>
      <c r="L2919" s="16"/>
      <c r="M2919" s="16"/>
      <c r="AA2919" s="14">
        <f t="shared" si="90"/>
        <v>0</v>
      </c>
      <c r="AB2919" s="47">
        <f t="shared" si="91"/>
        <v>-1</v>
      </c>
      <c r="AD2919" s="53"/>
      <c r="AE2919" s="53"/>
      <c r="AF2919" s="53"/>
      <c r="AG2919" s="53"/>
    </row>
    <row r="2920" spans="1:33" s="46" customFormat="1">
      <c r="A2920" s="54"/>
      <c r="B2920" s="16"/>
      <c r="C2920" s="55"/>
      <c r="D2920" s="56"/>
      <c r="E2920" s="16"/>
      <c r="F2920" s="16"/>
      <c r="G2920" s="16"/>
      <c r="H2920" s="54"/>
      <c r="I2920" s="16"/>
      <c r="J2920" s="54"/>
      <c r="K2920" s="42"/>
      <c r="L2920" s="16"/>
      <c r="M2920" s="16"/>
      <c r="AA2920" s="14">
        <f t="shared" ref="AA2920:AA2977" si="92">C2920-C2919</f>
        <v>0</v>
      </c>
      <c r="AB2920" s="47">
        <f t="shared" ref="AB2920:AB2977" si="93">AA2920-1</f>
        <v>-1</v>
      </c>
      <c r="AD2920" s="53"/>
      <c r="AE2920" s="53"/>
      <c r="AF2920" s="53"/>
      <c r="AG2920" s="53"/>
    </row>
    <row r="2921" spans="1:33" s="46" customFormat="1">
      <c r="A2921" s="54"/>
      <c r="B2921" s="16"/>
      <c r="C2921" s="55"/>
      <c r="D2921" s="56"/>
      <c r="E2921" s="16"/>
      <c r="F2921" s="16"/>
      <c r="G2921" s="16"/>
      <c r="H2921" s="54"/>
      <c r="I2921" s="16"/>
      <c r="J2921" s="54"/>
      <c r="K2921" s="42"/>
      <c r="L2921" s="16"/>
      <c r="M2921" s="16"/>
      <c r="AA2921" s="14">
        <f t="shared" si="92"/>
        <v>0</v>
      </c>
      <c r="AB2921" s="47">
        <f t="shared" si="93"/>
        <v>-1</v>
      </c>
      <c r="AD2921" s="53"/>
      <c r="AE2921" s="53"/>
      <c r="AF2921" s="53"/>
      <c r="AG2921" s="53"/>
    </row>
    <row r="2922" spans="1:33" s="46" customFormat="1">
      <c r="A2922" s="54"/>
      <c r="B2922" s="16"/>
      <c r="C2922" s="55"/>
      <c r="D2922" s="56"/>
      <c r="E2922" s="16"/>
      <c r="F2922" s="16"/>
      <c r="G2922" s="16"/>
      <c r="H2922" s="54"/>
      <c r="I2922" s="16"/>
      <c r="J2922" s="54"/>
      <c r="K2922" s="42"/>
      <c r="L2922" s="16"/>
      <c r="M2922" s="16"/>
      <c r="AA2922" s="14">
        <f t="shared" si="92"/>
        <v>0</v>
      </c>
      <c r="AB2922" s="47">
        <f t="shared" si="93"/>
        <v>-1</v>
      </c>
      <c r="AD2922" s="53"/>
      <c r="AE2922" s="53"/>
      <c r="AF2922" s="53"/>
      <c r="AG2922" s="53"/>
    </row>
    <row r="2923" spans="1:33" s="46" customFormat="1">
      <c r="A2923" s="54"/>
      <c r="B2923" s="16"/>
      <c r="C2923" s="55"/>
      <c r="D2923" s="56"/>
      <c r="E2923" s="16"/>
      <c r="F2923" s="16"/>
      <c r="G2923" s="16"/>
      <c r="H2923" s="54"/>
      <c r="I2923" s="16"/>
      <c r="J2923" s="54"/>
      <c r="K2923" s="42"/>
      <c r="L2923" s="16"/>
      <c r="M2923" s="16"/>
      <c r="AA2923" s="14">
        <f t="shared" si="92"/>
        <v>0</v>
      </c>
      <c r="AB2923" s="47">
        <f t="shared" si="93"/>
        <v>-1</v>
      </c>
      <c r="AD2923" s="53"/>
      <c r="AE2923" s="53"/>
      <c r="AF2923" s="53"/>
      <c r="AG2923" s="53"/>
    </row>
    <row r="2924" spans="1:33" s="46" customFormat="1">
      <c r="A2924" s="54"/>
      <c r="B2924" s="16"/>
      <c r="C2924" s="55"/>
      <c r="D2924" s="56"/>
      <c r="E2924" s="16"/>
      <c r="F2924" s="16"/>
      <c r="G2924" s="16"/>
      <c r="H2924" s="54"/>
      <c r="I2924" s="16"/>
      <c r="J2924" s="54"/>
      <c r="K2924" s="42"/>
      <c r="L2924" s="16"/>
      <c r="M2924" s="16"/>
      <c r="AA2924" s="14">
        <f t="shared" si="92"/>
        <v>0</v>
      </c>
      <c r="AB2924" s="47">
        <f t="shared" si="93"/>
        <v>-1</v>
      </c>
      <c r="AD2924" s="53"/>
      <c r="AE2924" s="53"/>
      <c r="AF2924" s="53"/>
      <c r="AG2924" s="53"/>
    </row>
    <row r="2925" spans="1:33" s="46" customFormat="1">
      <c r="A2925" s="54"/>
      <c r="B2925" s="16"/>
      <c r="C2925" s="55"/>
      <c r="D2925" s="56"/>
      <c r="E2925" s="16"/>
      <c r="F2925" s="16"/>
      <c r="G2925" s="16"/>
      <c r="H2925" s="54"/>
      <c r="I2925" s="16"/>
      <c r="J2925" s="54"/>
      <c r="K2925" s="42"/>
      <c r="L2925" s="16"/>
      <c r="M2925" s="16"/>
      <c r="AA2925" s="14">
        <f t="shared" si="92"/>
        <v>0</v>
      </c>
      <c r="AB2925" s="47">
        <f t="shared" si="93"/>
        <v>-1</v>
      </c>
      <c r="AD2925" s="53"/>
      <c r="AE2925" s="53"/>
      <c r="AF2925" s="53"/>
      <c r="AG2925" s="53"/>
    </row>
    <row r="2926" spans="1:33" s="46" customFormat="1">
      <c r="A2926" s="54"/>
      <c r="B2926" s="16"/>
      <c r="C2926" s="55"/>
      <c r="D2926" s="56"/>
      <c r="E2926" s="16"/>
      <c r="F2926" s="16"/>
      <c r="G2926" s="16"/>
      <c r="H2926" s="54"/>
      <c r="I2926" s="16"/>
      <c r="J2926" s="54"/>
      <c r="K2926" s="42"/>
      <c r="L2926" s="16"/>
      <c r="M2926" s="16"/>
      <c r="AA2926" s="14">
        <f t="shared" si="92"/>
        <v>0</v>
      </c>
      <c r="AB2926" s="47">
        <f t="shared" si="93"/>
        <v>-1</v>
      </c>
      <c r="AD2926" s="53"/>
      <c r="AE2926" s="53"/>
      <c r="AF2926" s="53"/>
      <c r="AG2926" s="53"/>
    </row>
    <row r="2927" spans="1:33" s="46" customFormat="1">
      <c r="A2927" s="54"/>
      <c r="B2927" s="16"/>
      <c r="C2927" s="55"/>
      <c r="D2927" s="56"/>
      <c r="E2927" s="16"/>
      <c r="F2927" s="16"/>
      <c r="G2927" s="16"/>
      <c r="H2927" s="54"/>
      <c r="I2927" s="16"/>
      <c r="J2927" s="54"/>
      <c r="K2927" s="42"/>
      <c r="L2927" s="16"/>
      <c r="M2927" s="16"/>
      <c r="AA2927" s="14">
        <f t="shared" si="92"/>
        <v>0</v>
      </c>
      <c r="AB2927" s="47">
        <f t="shared" si="93"/>
        <v>-1</v>
      </c>
      <c r="AD2927" s="53"/>
      <c r="AE2927" s="53"/>
      <c r="AF2927" s="53"/>
      <c r="AG2927" s="53"/>
    </row>
    <row r="2928" spans="1:33" s="46" customFormat="1">
      <c r="A2928" s="54"/>
      <c r="B2928" s="16"/>
      <c r="C2928" s="55"/>
      <c r="D2928" s="56"/>
      <c r="E2928" s="16"/>
      <c r="F2928" s="16"/>
      <c r="G2928" s="16"/>
      <c r="H2928" s="54"/>
      <c r="I2928" s="16"/>
      <c r="J2928" s="54"/>
      <c r="K2928" s="42"/>
      <c r="L2928" s="16"/>
      <c r="M2928" s="16"/>
      <c r="AA2928" s="14">
        <f t="shared" si="92"/>
        <v>0</v>
      </c>
      <c r="AB2928" s="47">
        <f t="shared" si="93"/>
        <v>-1</v>
      </c>
      <c r="AD2928" s="53"/>
      <c r="AE2928" s="53"/>
      <c r="AF2928" s="53"/>
      <c r="AG2928" s="53"/>
    </row>
    <row r="2929" spans="1:33" s="46" customFormat="1">
      <c r="A2929" s="54"/>
      <c r="B2929" s="16"/>
      <c r="C2929" s="55"/>
      <c r="D2929" s="56"/>
      <c r="E2929" s="16"/>
      <c r="F2929" s="16"/>
      <c r="G2929" s="16"/>
      <c r="H2929" s="54"/>
      <c r="I2929" s="16"/>
      <c r="J2929" s="54"/>
      <c r="K2929" s="42"/>
      <c r="L2929" s="16"/>
      <c r="M2929" s="16"/>
      <c r="AA2929" s="14">
        <f t="shared" si="92"/>
        <v>0</v>
      </c>
      <c r="AB2929" s="47">
        <f t="shared" si="93"/>
        <v>-1</v>
      </c>
      <c r="AD2929" s="53"/>
      <c r="AE2929" s="53"/>
      <c r="AF2929" s="53"/>
      <c r="AG2929" s="53"/>
    </row>
    <row r="2930" spans="1:33" s="46" customFormat="1">
      <c r="A2930" s="54"/>
      <c r="B2930" s="16"/>
      <c r="C2930" s="55"/>
      <c r="D2930" s="56"/>
      <c r="E2930" s="16"/>
      <c r="F2930" s="16"/>
      <c r="G2930" s="16"/>
      <c r="H2930" s="54"/>
      <c r="I2930" s="16"/>
      <c r="J2930" s="54"/>
      <c r="K2930" s="42"/>
      <c r="L2930" s="16"/>
      <c r="M2930" s="16"/>
      <c r="AA2930" s="14">
        <f t="shared" si="92"/>
        <v>0</v>
      </c>
      <c r="AB2930" s="47">
        <f t="shared" si="93"/>
        <v>-1</v>
      </c>
      <c r="AD2930" s="53"/>
      <c r="AE2930" s="53"/>
      <c r="AF2930" s="53"/>
      <c r="AG2930" s="53"/>
    </row>
    <row r="2931" spans="1:33" s="46" customFormat="1">
      <c r="A2931" s="54"/>
      <c r="B2931" s="16"/>
      <c r="C2931" s="55"/>
      <c r="D2931" s="56"/>
      <c r="E2931" s="16"/>
      <c r="F2931" s="16"/>
      <c r="G2931" s="16"/>
      <c r="H2931" s="54"/>
      <c r="I2931" s="16"/>
      <c r="J2931" s="54"/>
      <c r="K2931" s="42"/>
      <c r="L2931" s="16"/>
      <c r="M2931" s="16"/>
      <c r="AA2931" s="14">
        <f t="shared" si="92"/>
        <v>0</v>
      </c>
      <c r="AB2931" s="47">
        <f t="shared" si="93"/>
        <v>-1</v>
      </c>
      <c r="AD2931" s="53"/>
      <c r="AE2931" s="53"/>
      <c r="AF2931" s="53"/>
      <c r="AG2931" s="53"/>
    </row>
    <row r="2932" spans="1:33" s="46" customFormat="1">
      <c r="A2932" s="54"/>
      <c r="B2932" s="16"/>
      <c r="C2932" s="55"/>
      <c r="D2932" s="56"/>
      <c r="E2932" s="16"/>
      <c r="F2932" s="16"/>
      <c r="G2932" s="16"/>
      <c r="H2932" s="54"/>
      <c r="I2932" s="16"/>
      <c r="J2932" s="54"/>
      <c r="K2932" s="42"/>
      <c r="L2932" s="16"/>
      <c r="M2932" s="16"/>
      <c r="AA2932" s="14">
        <f t="shared" si="92"/>
        <v>0</v>
      </c>
      <c r="AB2932" s="47">
        <f t="shared" si="93"/>
        <v>-1</v>
      </c>
      <c r="AD2932" s="53"/>
      <c r="AE2932" s="53"/>
      <c r="AF2932" s="53"/>
      <c r="AG2932" s="53"/>
    </row>
    <row r="2933" spans="1:33" s="46" customFormat="1">
      <c r="A2933" s="54"/>
      <c r="B2933" s="16"/>
      <c r="C2933" s="55"/>
      <c r="D2933" s="56"/>
      <c r="E2933" s="16"/>
      <c r="F2933" s="16"/>
      <c r="G2933" s="16"/>
      <c r="H2933" s="54"/>
      <c r="I2933" s="16"/>
      <c r="J2933" s="54"/>
      <c r="K2933" s="42"/>
      <c r="L2933" s="16"/>
      <c r="M2933" s="16"/>
      <c r="AA2933" s="14">
        <f t="shared" si="92"/>
        <v>0</v>
      </c>
      <c r="AB2933" s="47">
        <f t="shared" si="93"/>
        <v>-1</v>
      </c>
      <c r="AD2933" s="53"/>
      <c r="AE2933" s="53"/>
      <c r="AF2933" s="53"/>
      <c r="AG2933" s="53"/>
    </row>
    <row r="2934" spans="1:33" s="46" customFormat="1">
      <c r="A2934" s="54"/>
      <c r="B2934" s="16"/>
      <c r="C2934" s="55"/>
      <c r="D2934" s="56"/>
      <c r="E2934" s="16"/>
      <c r="F2934" s="16"/>
      <c r="G2934" s="16"/>
      <c r="H2934" s="54"/>
      <c r="I2934" s="16"/>
      <c r="J2934" s="54"/>
      <c r="K2934" s="42"/>
      <c r="L2934" s="16"/>
      <c r="M2934" s="16"/>
      <c r="AA2934" s="14">
        <f t="shared" si="92"/>
        <v>0</v>
      </c>
      <c r="AB2934" s="47">
        <f t="shared" si="93"/>
        <v>-1</v>
      </c>
      <c r="AD2934" s="53"/>
      <c r="AE2934" s="53"/>
      <c r="AF2934" s="53"/>
      <c r="AG2934" s="53"/>
    </row>
    <row r="2935" spans="1:33" s="46" customFormat="1">
      <c r="A2935" s="54"/>
      <c r="B2935" s="16"/>
      <c r="C2935" s="55"/>
      <c r="D2935" s="56"/>
      <c r="E2935" s="16"/>
      <c r="F2935" s="16"/>
      <c r="G2935" s="16"/>
      <c r="H2935" s="54"/>
      <c r="I2935" s="16"/>
      <c r="J2935" s="54"/>
      <c r="K2935" s="42"/>
      <c r="L2935" s="16"/>
      <c r="M2935" s="16"/>
      <c r="AA2935" s="14">
        <f t="shared" si="92"/>
        <v>0</v>
      </c>
      <c r="AB2935" s="47">
        <f t="shared" si="93"/>
        <v>-1</v>
      </c>
      <c r="AD2935" s="53"/>
      <c r="AE2935" s="53"/>
      <c r="AF2935" s="53"/>
      <c r="AG2935" s="53"/>
    </row>
    <row r="2936" spans="1:33" s="46" customFormat="1">
      <c r="A2936" s="54"/>
      <c r="B2936" s="16"/>
      <c r="C2936" s="55"/>
      <c r="D2936" s="56"/>
      <c r="E2936" s="16"/>
      <c r="F2936" s="16"/>
      <c r="G2936" s="16"/>
      <c r="H2936" s="54"/>
      <c r="I2936" s="16"/>
      <c r="J2936" s="54"/>
      <c r="K2936" s="42"/>
      <c r="L2936" s="16"/>
      <c r="M2936" s="16"/>
      <c r="AA2936" s="14">
        <f t="shared" si="92"/>
        <v>0</v>
      </c>
      <c r="AB2936" s="47">
        <f t="shared" si="93"/>
        <v>-1</v>
      </c>
      <c r="AD2936" s="53"/>
      <c r="AE2936" s="53"/>
      <c r="AF2936" s="53"/>
      <c r="AG2936" s="53"/>
    </row>
    <row r="2937" spans="1:33" s="46" customFormat="1">
      <c r="A2937" s="54"/>
      <c r="B2937" s="16"/>
      <c r="C2937" s="55"/>
      <c r="D2937" s="56"/>
      <c r="E2937" s="16"/>
      <c r="F2937" s="16"/>
      <c r="G2937" s="16"/>
      <c r="H2937" s="54"/>
      <c r="I2937" s="16"/>
      <c r="J2937" s="54"/>
      <c r="K2937" s="42"/>
      <c r="L2937" s="16"/>
      <c r="M2937" s="16"/>
      <c r="AA2937" s="14">
        <f t="shared" si="92"/>
        <v>0</v>
      </c>
      <c r="AB2937" s="47">
        <f t="shared" si="93"/>
        <v>-1</v>
      </c>
      <c r="AD2937" s="53"/>
      <c r="AE2937" s="53"/>
      <c r="AF2937" s="53"/>
      <c r="AG2937" s="53"/>
    </row>
    <row r="2938" spans="1:33" s="46" customFormat="1">
      <c r="A2938" s="54"/>
      <c r="B2938" s="16"/>
      <c r="C2938" s="55"/>
      <c r="D2938" s="56"/>
      <c r="E2938" s="16"/>
      <c r="F2938" s="16"/>
      <c r="G2938" s="16"/>
      <c r="H2938" s="54"/>
      <c r="I2938" s="16"/>
      <c r="J2938" s="54"/>
      <c r="K2938" s="42"/>
      <c r="L2938" s="16"/>
      <c r="M2938" s="16"/>
      <c r="AA2938" s="14">
        <f t="shared" si="92"/>
        <v>0</v>
      </c>
      <c r="AB2938" s="47">
        <f t="shared" si="93"/>
        <v>-1</v>
      </c>
      <c r="AD2938" s="53"/>
      <c r="AE2938" s="53"/>
      <c r="AF2938" s="53"/>
      <c r="AG2938" s="53"/>
    </row>
    <row r="2939" spans="1:33" s="46" customFormat="1">
      <c r="A2939" s="54"/>
      <c r="B2939" s="16"/>
      <c r="C2939" s="55"/>
      <c r="D2939" s="56"/>
      <c r="E2939" s="16"/>
      <c r="F2939" s="16"/>
      <c r="G2939" s="16"/>
      <c r="H2939" s="54"/>
      <c r="I2939" s="16"/>
      <c r="J2939" s="54"/>
      <c r="K2939" s="42"/>
      <c r="L2939" s="16"/>
      <c r="M2939" s="16"/>
      <c r="AA2939" s="14">
        <f t="shared" si="92"/>
        <v>0</v>
      </c>
      <c r="AB2939" s="47">
        <f t="shared" si="93"/>
        <v>-1</v>
      </c>
      <c r="AD2939" s="53"/>
      <c r="AE2939" s="53"/>
      <c r="AF2939" s="53"/>
      <c r="AG2939" s="53"/>
    </row>
    <row r="2940" spans="1:33" s="46" customFormat="1">
      <c r="A2940" s="54"/>
      <c r="B2940" s="16"/>
      <c r="C2940" s="55"/>
      <c r="D2940" s="56"/>
      <c r="E2940" s="16"/>
      <c r="F2940" s="16"/>
      <c r="G2940" s="16"/>
      <c r="H2940" s="54"/>
      <c r="I2940" s="16"/>
      <c r="J2940" s="54"/>
      <c r="K2940" s="42"/>
      <c r="L2940" s="16"/>
      <c r="M2940" s="16"/>
      <c r="AA2940" s="14">
        <f t="shared" si="92"/>
        <v>0</v>
      </c>
      <c r="AB2940" s="47">
        <f t="shared" si="93"/>
        <v>-1</v>
      </c>
      <c r="AD2940" s="53"/>
      <c r="AE2940" s="53"/>
      <c r="AF2940" s="53"/>
      <c r="AG2940" s="53"/>
    </row>
    <row r="2941" spans="1:33" s="46" customFormat="1">
      <c r="A2941" s="54"/>
      <c r="B2941" s="16"/>
      <c r="C2941" s="55"/>
      <c r="D2941" s="56"/>
      <c r="E2941" s="16"/>
      <c r="F2941" s="16"/>
      <c r="G2941" s="16"/>
      <c r="H2941" s="54"/>
      <c r="I2941" s="16"/>
      <c r="J2941" s="54"/>
      <c r="K2941" s="42"/>
      <c r="L2941" s="16"/>
      <c r="M2941" s="16"/>
      <c r="AA2941" s="14">
        <f t="shared" si="92"/>
        <v>0</v>
      </c>
      <c r="AB2941" s="47">
        <f t="shared" si="93"/>
        <v>-1</v>
      </c>
      <c r="AD2941" s="53"/>
      <c r="AE2941" s="53"/>
      <c r="AF2941" s="53"/>
      <c r="AG2941" s="53"/>
    </row>
    <row r="2942" spans="1:33" s="46" customFormat="1">
      <c r="A2942" s="54"/>
      <c r="B2942" s="16"/>
      <c r="C2942" s="55"/>
      <c r="D2942" s="56"/>
      <c r="E2942" s="16"/>
      <c r="F2942" s="16"/>
      <c r="G2942" s="16"/>
      <c r="H2942" s="54"/>
      <c r="I2942" s="16"/>
      <c r="J2942" s="54"/>
      <c r="K2942" s="42"/>
      <c r="L2942" s="16"/>
      <c r="M2942" s="16"/>
      <c r="AA2942" s="14">
        <f t="shared" si="92"/>
        <v>0</v>
      </c>
      <c r="AB2942" s="47">
        <f t="shared" si="93"/>
        <v>-1</v>
      </c>
      <c r="AD2942" s="53"/>
      <c r="AE2942" s="53"/>
      <c r="AF2942" s="53"/>
      <c r="AG2942" s="53"/>
    </row>
    <row r="2943" spans="1:33" s="46" customFormat="1">
      <c r="A2943" s="54"/>
      <c r="B2943" s="16"/>
      <c r="C2943" s="55"/>
      <c r="D2943" s="56"/>
      <c r="E2943" s="16"/>
      <c r="F2943" s="16"/>
      <c r="G2943" s="16"/>
      <c r="H2943" s="54"/>
      <c r="I2943" s="16"/>
      <c r="J2943" s="54"/>
      <c r="K2943" s="42"/>
      <c r="L2943" s="16"/>
      <c r="M2943" s="16"/>
      <c r="AA2943" s="14">
        <f t="shared" si="92"/>
        <v>0</v>
      </c>
      <c r="AB2943" s="47">
        <f t="shared" si="93"/>
        <v>-1</v>
      </c>
      <c r="AD2943" s="53"/>
      <c r="AE2943" s="53"/>
      <c r="AF2943" s="53"/>
      <c r="AG2943" s="53"/>
    </row>
    <row r="2944" spans="1:33" s="46" customFormat="1">
      <c r="A2944" s="54"/>
      <c r="B2944" s="16"/>
      <c r="C2944" s="55"/>
      <c r="D2944" s="56"/>
      <c r="E2944" s="16"/>
      <c r="F2944" s="16"/>
      <c r="G2944" s="16"/>
      <c r="H2944" s="54"/>
      <c r="I2944" s="16"/>
      <c r="J2944" s="54"/>
      <c r="K2944" s="42"/>
      <c r="L2944" s="16"/>
      <c r="M2944" s="16"/>
      <c r="AA2944" s="14">
        <f t="shared" si="92"/>
        <v>0</v>
      </c>
      <c r="AB2944" s="47">
        <f t="shared" si="93"/>
        <v>-1</v>
      </c>
      <c r="AD2944" s="53"/>
      <c r="AE2944" s="53"/>
      <c r="AF2944" s="53"/>
      <c r="AG2944" s="53"/>
    </row>
    <row r="2945" spans="1:33" s="46" customFormat="1">
      <c r="A2945" s="54"/>
      <c r="B2945" s="16"/>
      <c r="C2945" s="55"/>
      <c r="D2945" s="56"/>
      <c r="E2945" s="16"/>
      <c r="F2945" s="16"/>
      <c r="G2945" s="16"/>
      <c r="H2945" s="54"/>
      <c r="I2945" s="16"/>
      <c r="J2945" s="54"/>
      <c r="K2945" s="42"/>
      <c r="L2945" s="16"/>
      <c r="M2945" s="16"/>
      <c r="AA2945" s="14">
        <f t="shared" si="92"/>
        <v>0</v>
      </c>
      <c r="AB2945" s="47">
        <f t="shared" si="93"/>
        <v>-1</v>
      </c>
      <c r="AD2945" s="53"/>
      <c r="AE2945" s="53"/>
      <c r="AF2945" s="53"/>
      <c r="AG2945" s="53"/>
    </row>
    <row r="2946" spans="1:33" s="46" customFormat="1">
      <c r="A2946" s="54"/>
      <c r="B2946" s="16"/>
      <c r="C2946" s="55"/>
      <c r="D2946" s="56"/>
      <c r="E2946" s="16"/>
      <c r="F2946" s="16"/>
      <c r="G2946" s="16"/>
      <c r="H2946" s="54"/>
      <c r="I2946" s="16"/>
      <c r="J2946" s="54"/>
      <c r="K2946" s="42"/>
      <c r="L2946" s="16"/>
      <c r="M2946" s="16"/>
      <c r="AA2946" s="14">
        <f t="shared" si="92"/>
        <v>0</v>
      </c>
      <c r="AB2946" s="47">
        <f t="shared" si="93"/>
        <v>-1</v>
      </c>
      <c r="AD2946" s="53"/>
      <c r="AE2946" s="53"/>
      <c r="AF2946" s="53"/>
      <c r="AG2946" s="53"/>
    </row>
    <row r="2947" spans="1:33" s="46" customFormat="1">
      <c r="A2947" s="54"/>
      <c r="B2947" s="16"/>
      <c r="C2947" s="55"/>
      <c r="D2947" s="56"/>
      <c r="E2947" s="16"/>
      <c r="F2947" s="16"/>
      <c r="G2947" s="16"/>
      <c r="H2947" s="54"/>
      <c r="I2947" s="16"/>
      <c r="J2947" s="54"/>
      <c r="K2947" s="42"/>
      <c r="L2947" s="16"/>
      <c r="M2947" s="16"/>
      <c r="AA2947" s="14">
        <f t="shared" si="92"/>
        <v>0</v>
      </c>
      <c r="AB2947" s="47">
        <f t="shared" si="93"/>
        <v>-1</v>
      </c>
      <c r="AD2947" s="53"/>
      <c r="AE2947" s="53"/>
      <c r="AF2947" s="53"/>
      <c r="AG2947" s="53"/>
    </row>
    <row r="2948" spans="1:33" s="46" customFormat="1">
      <c r="A2948" s="54"/>
      <c r="B2948" s="16"/>
      <c r="C2948" s="55"/>
      <c r="D2948" s="56"/>
      <c r="E2948" s="16"/>
      <c r="F2948" s="16"/>
      <c r="G2948" s="16"/>
      <c r="H2948" s="54"/>
      <c r="I2948" s="16"/>
      <c r="J2948" s="54"/>
      <c r="K2948" s="42"/>
      <c r="L2948" s="16"/>
      <c r="M2948" s="16"/>
      <c r="AA2948" s="14">
        <f t="shared" si="92"/>
        <v>0</v>
      </c>
      <c r="AB2948" s="47">
        <f t="shared" si="93"/>
        <v>-1</v>
      </c>
      <c r="AD2948" s="53"/>
      <c r="AE2948" s="53"/>
      <c r="AF2948" s="53"/>
      <c r="AG2948" s="53"/>
    </row>
    <row r="2949" spans="1:33" s="46" customFormat="1">
      <c r="A2949" s="54"/>
      <c r="B2949" s="16"/>
      <c r="C2949" s="55"/>
      <c r="D2949" s="56"/>
      <c r="E2949" s="16"/>
      <c r="F2949" s="16"/>
      <c r="G2949" s="16"/>
      <c r="H2949" s="54"/>
      <c r="I2949" s="16"/>
      <c r="J2949" s="54"/>
      <c r="K2949" s="42"/>
      <c r="L2949" s="16"/>
      <c r="M2949" s="16"/>
      <c r="AA2949" s="14">
        <f t="shared" si="92"/>
        <v>0</v>
      </c>
      <c r="AB2949" s="47">
        <f t="shared" si="93"/>
        <v>-1</v>
      </c>
      <c r="AD2949" s="53"/>
      <c r="AE2949" s="53"/>
      <c r="AF2949" s="53"/>
      <c r="AG2949" s="53"/>
    </row>
    <row r="2950" spans="1:33" s="46" customFormat="1">
      <c r="A2950" s="54"/>
      <c r="B2950" s="16"/>
      <c r="C2950" s="55"/>
      <c r="D2950" s="56"/>
      <c r="E2950" s="16"/>
      <c r="F2950" s="16"/>
      <c r="G2950" s="16"/>
      <c r="H2950" s="54"/>
      <c r="I2950" s="16"/>
      <c r="J2950" s="54"/>
      <c r="K2950" s="42"/>
      <c r="L2950" s="16"/>
      <c r="M2950" s="16"/>
      <c r="AA2950" s="14">
        <f t="shared" si="92"/>
        <v>0</v>
      </c>
      <c r="AB2950" s="47">
        <f t="shared" si="93"/>
        <v>-1</v>
      </c>
      <c r="AD2950" s="53"/>
      <c r="AE2950" s="53"/>
      <c r="AF2950" s="53"/>
      <c r="AG2950" s="53"/>
    </row>
    <row r="2951" spans="1:33" s="46" customFormat="1">
      <c r="A2951" s="54"/>
      <c r="B2951" s="16"/>
      <c r="C2951" s="55"/>
      <c r="D2951" s="56"/>
      <c r="E2951" s="16"/>
      <c r="F2951" s="16"/>
      <c r="G2951" s="16"/>
      <c r="H2951" s="54"/>
      <c r="I2951" s="16"/>
      <c r="J2951" s="54"/>
      <c r="K2951" s="42"/>
      <c r="L2951" s="16"/>
      <c r="M2951" s="16"/>
      <c r="AA2951" s="14">
        <f t="shared" si="92"/>
        <v>0</v>
      </c>
      <c r="AB2951" s="47">
        <f t="shared" si="93"/>
        <v>-1</v>
      </c>
      <c r="AD2951" s="53"/>
      <c r="AE2951" s="53"/>
      <c r="AF2951" s="53"/>
      <c r="AG2951" s="53"/>
    </row>
    <row r="2952" spans="1:33" s="46" customFormat="1">
      <c r="A2952" s="54"/>
      <c r="B2952" s="16"/>
      <c r="C2952" s="55"/>
      <c r="D2952" s="56"/>
      <c r="E2952" s="16"/>
      <c r="F2952" s="16"/>
      <c r="G2952" s="16"/>
      <c r="H2952" s="54"/>
      <c r="I2952" s="16"/>
      <c r="J2952" s="54"/>
      <c r="K2952" s="42"/>
      <c r="L2952" s="16"/>
      <c r="M2952" s="16"/>
      <c r="AA2952" s="14">
        <f t="shared" si="92"/>
        <v>0</v>
      </c>
      <c r="AB2952" s="47">
        <f t="shared" si="93"/>
        <v>-1</v>
      </c>
      <c r="AD2952" s="53"/>
      <c r="AE2952" s="53"/>
      <c r="AF2952" s="53"/>
      <c r="AG2952" s="53"/>
    </row>
    <row r="2953" spans="1:33" s="46" customFormat="1">
      <c r="A2953" s="54"/>
      <c r="B2953" s="16"/>
      <c r="C2953" s="55"/>
      <c r="D2953" s="56"/>
      <c r="E2953" s="16"/>
      <c r="F2953" s="16"/>
      <c r="G2953" s="16"/>
      <c r="H2953" s="54"/>
      <c r="I2953" s="16"/>
      <c r="J2953" s="54"/>
      <c r="K2953" s="42"/>
      <c r="L2953" s="16"/>
      <c r="M2953" s="16"/>
      <c r="AA2953" s="14">
        <f t="shared" si="92"/>
        <v>0</v>
      </c>
      <c r="AB2953" s="47">
        <f t="shared" si="93"/>
        <v>-1</v>
      </c>
      <c r="AD2953" s="53"/>
      <c r="AE2953" s="53"/>
      <c r="AF2953" s="53"/>
      <c r="AG2953" s="53"/>
    </row>
    <row r="2954" spans="1:33" s="46" customFormat="1">
      <c r="A2954" s="54"/>
      <c r="B2954" s="16"/>
      <c r="C2954" s="55"/>
      <c r="D2954" s="56"/>
      <c r="E2954" s="16"/>
      <c r="F2954" s="16"/>
      <c r="G2954" s="16"/>
      <c r="H2954" s="54"/>
      <c r="I2954" s="16"/>
      <c r="J2954" s="54"/>
      <c r="K2954" s="42"/>
      <c r="L2954" s="16"/>
      <c r="M2954" s="16"/>
      <c r="AA2954" s="14">
        <f t="shared" si="92"/>
        <v>0</v>
      </c>
      <c r="AB2954" s="47">
        <f t="shared" si="93"/>
        <v>-1</v>
      </c>
      <c r="AD2954" s="53"/>
      <c r="AE2954" s="53"/>
      <c r="AF2954" s="53"/>
      <c r="AG2954" s="53"/>
    </row>
    <row r="2955" spans="1:33" s="46" customFormat="1">
      <c r="A2955" s="54"/>
      <c r="B2955" s="16"/>
      <c r="C2955" s="55"/>
      <c r="D2955" s="56"/>
      <c r="E2955" s="16"/>
      <c r="F2955" s="16"/>
      <c r="G2955" s="16"/>
      <c r="H2955" s="54"/>
      <c r="I2955" s="16"/>
      <c r="J2955" s="54"/>
      <c r="K2955" s="42"/>
      <c r="L2955" s="16"/>
      <c r="M2955" s="16"/>
      <c r="AA2955" s="14">
        <f t="shared" si="92"/>
        <v>0</v>
      </c>
      <c r="AB2955" s="47">
        <f t="shared" si="93"/>
        <v>-1</v>
      </c>
      <c r="AD2955" s="53"/>
      <c r="AE2955" s="53"/>
      <c r="AF2955" s="53"/>
      <c r="AG2955" s="53"/>
    </row>
    <row r="2956" spans="1:33" s="46" customFormat="1">
      <c r="A2956" s="54"/>
      <c r="B2956" s="16"/>
      <c r="C2956" s="55"/>
      <c r="D2956" s="56"/>
      <c r="E2956" s="16"/>
      <c r="F2956" s="16"/>
      <c r="G2956" s="16"/>
      <c r="H2956" s="54"/>
      <c r="I2956" s="16"/>
      <c r="J2956" s="54"/>
      <c r="K2956" s="42"/>
      <c r="L2956" s="16"/>
      <c r="M2956" s="16"/>
      <c r="AA2956" s="14">
        <f t="shared" si="92"/>
        <v>0</v>
      </c>
      <c r="AB2956" s="47">
        <f t="shared" si="93"/>
        <v>-1</v>
      </c>
      <c r="AD2956" s="53"/>
      <c r="AE2956" s="53"/>
      <c r="AF2956" s="53"/>
      <c r="AG2956" s="53"/>
    </row>
    <row r="2957" spans="1:33" s="46" customFormat="1">
      <c r="A2957" s="54"/>
      <c r="B2957" s="16"/>
      <c r="C2957" s="55"/>
      <c r="D2957" s="56"/>
      <c r="E2957" s="16"/>
      <c r="F2957" s="16"/>
      <c r="G2957" s="16"/>
      <c r="H2957" s="54"/>
      <c r="I2957" s="16"/>
      <c r="J2957" s="54"/>
      <c r="K2957" s="42"/>
      <c r="L2957" s="16"/>
      <c r="M2957" s="16"/>
      <c r="AA2957" s="14">
        <f t="shared" si="92"/>
        <v>0</v>
      </c>
      <c r="AB2957" s="47">
        <f t="shared" si="93"/>
        <v>-1</v>
      </c>
      <c r="AD2957" s="53"/>
      <c r="AE2957" s="53"/>
      <c r="AF2957" s="53"/>
      <c r="AG2957" s="53"/>
    </row>
    <row r="2958" spans="1:33" s="46" customFormat="1">
      <c r="A2958" s="54"/>
      <c r="B2958" s="16"/>
      <c r="C2958" s="55"/>
      <c r="D2958" s="56"/>
      <c r="E2958" s="16"/>
      <c r="F2958" s="16"/>
      <c r="G2958" s="16"/>
      <c r="H2958" s="54"/>
      <c r="I2958" s="16"/>
      <c r="J2958" s="54"/>
      <c r="K2958" s="42"/>
      <c r="L2958" s="16"/>
      <c r="M2958" s="16"/>
      <c r="AA2958" s="14">
        <f t="shared" si="92"/>
        <v>0</v>
      </c>
      <c r="AB2958" s="47">
        <f t="shared" si="93"/>
        <v>-1</v>
      </c>
      <c r="AD2958" s="53"/>
      <c r="AE2958" s="53"/>
      <c r="AF2958" s="53"/>
      <c r="AG2958" s="53"/>
    </row>
    <row r="2959" spans="1:33" s="46" customFormat="1">
      <c r="A2959" s="54"/>
      <c r="B2959" s="16"/>
      <c r="C2959" s="55"/>
      <c r="D2959" s="56"/>
      <c r="E2959" s="16"/>
      <c r="F2959" s="16"/>
      <c r="G2959" s="16"/>
      <c r="H2959" s="54"/>
      <c r="I2959" s="16"/>
      <c r="J2959" s="54"/>
      <c r="K2959" s="42"/>
      <c r="L2959" s="16"/>
      <c r="M2959" s="16"/>
      <c r="AA2959" s="14">
        <f t="shared" si="92"/>
        <v>0</v>
      </c>
      <c r="AB2959" s="47">
        <f t="shared" si="93"/>
        <v>-1</v>
      </c>
      <c r="AD2959" s="53"/>
      <c r="AE2959" s="53"/>
      <c r="AF2959" s="53"/>
      <c r="AG2959" s="53"/>
    </row>
    <row r="2960" spans="1:33" s="46" customFormat="1">
      <c r="A2960" s="54"/>
      <c r="B2960" s="16"/>
      <c r="C2960" s="55"/>
      <c r="D2960" s="56"/>
      <c r="E2960" s="16"/>
      <c r="F2960" s="16"/>
      <c r="G2960" s="16"/>
      <c r="H2960" s="54"/>
      <c r="I2960" s="16"/>
      <c r="J2960" s="54"/>
      <c r="K2960" s="42"/>
      <c r="L2960" s="16"/>
      <c r="M2960" s="16"/>
      <c r="AA2960" s="14">
        <f t="shared" si="92"/>
        <v>0</v>
      </c>
      <c r="AB2960" s="47">
        <f t="shared" si="93"/>
        <v>-1</v>
      </c>
      <c r="AD2960" s="53"/>
      <c r="AE2960" s="53"/>
      <c r="AF2960" s="53"/>
      <c r="AG2960" s="53"/>
    </row>
    <row r="2961" spans="1:33" s="46" customFormat="1">
      <c r="A2961" s="54"/>
      <c r="B2961" s="16"/>
      <c r="C2961" s="55"/>
      <c r="D2961" s="56"/>
      <c r="E2961" s="16"/>
      <c r="F2961" s="16"/>
      <c r="G2961" s="16"/>
      <c r="H2961" s="54"/>
      <c r="I2961" s="16"/>
      <c r="J2961" s="54"/>
      <c r="K2961" s="42"/>
      <c r="L2961" s="16"/>
      <c r="M2961" s="16"/>
      <c r="AA2961" s="14">
        <f t="shared" si="92"/>
        <v>0</v>
      </c>
      <c r="AB2961" s="47">
        <f t="shared" si="93"/>
        <v>-1</v>
      </c>
      <c r="AD2961" s="53"/>
      <c r="AE2961" s="53"/>
      <c r="AF2961" s="53"/>
      <c r="AG2961" s="53"/>
    </row>
    <row r="2962" spans="1:33" s="46" customFormat="1">
      <c r="A2962" s="54"/>
      <c r="B2962" s="16"/>
      <c r="C2962" s="55"/>
      <c r="D2962" s="56"/>
      <c r="E2962" s="16"/>
      <c r="F2962" s="16"/>
      <c r="G2962" s="16"/>
      <c r="H2962" s="54"/>
      <c r="I2962" s="16"/>
      <c r="J2962" s="54"/>
      <c r="K2962" s="42"/>
      <c r="L2962" s="16"/>
      <c r="M2962" s="16"/>
      <c r="AA2962" s="14">
        <f t="shared" si="92"/>
        <v>0</v>
      </c>
      <c r="AB2962" s="47">
        <f t="shared" si="93"/>
        <v>-1</v>
      </c>
      <c r="AD2962" s="53"/>
      <c r="AE2962" s="53"/>
      <c r="AF2962" s="53"/>
      <c r="AG2962" s="53"/>
    </row>
    <row r="2963" spans="1:33" s="46" customFormat="1">
      <c r="A2963" s="54"/>
      <c r="B2963" s="16"/>
      <c r="C2963" s="55"/>
      <c r="D2963" s="56"/>
      <c r="E2963" s="16"/>
      <c r="F2963" s="16"/>
      <c r="G2963" s="16"/>
      <c r="H2963" s="54"/>
      <c r="I2963" s="16"/>
      <c r="J2963" s="54"/>
      <c r="K2963" s="42"/>
      <c r="L2963" s="16"/>
      <c r="M2963" s="16"/>
      <c r="AA2963" s="14">
        <f t="shared" si="92"/>
        <v>0</v>
      </c>
      <c r="AB2963" s="47">
        <f t="shared" si="93"/>
        <v>-1</v>
      </c>
      <c r="AD2963" s="53"/>
      <c r="AE2963" s="53"/>
      <c r="AF2963" s="53"/>
      <c r="AG2963" s="53"/>
    </row>
    <row r="2964" spans="1:33" s="46" customFormat="1">
      <c r="A2964" s="54"/>
      <c r="B2964" s="16"/>
      <c r="C2964" s="55"/>
      <c r="D2964" s="56"/>
      <c r="E2964" s="16"/>
      <c r="F2964" s="16"/>
      <c r="G2964" s="16"/>
      <c r="H2964" s="54"/>
      <c r="I2964" s="16"/>
      <c r="J2964" s="54"/>
      <c r="K2964" s="42"/>
      <c r="L2964" s="16"/>
      <c r="M2964" s="16"/>
      <c r="AA2964" s="14">
        <f t="shared" si="92"/>
        <v>0</v>
      </c>
      <c r="AB2964" s="47">
        <f t="shared" si="93"/>
        <v>-1</v>
      </c>
      <c r="AD2964" s="53"/>
      <c r="AE2964" s="53"/>
      <c r="AF2964" s="53"/>
      <c r="AG2964" s="53"/>
    </row>
    <row r="2965" spans="1:33" s="46" customFormat="1">
      <c r="A2965" s="54"/>
      <c r="B2965" s="16"/>
      <c r="C2965" s="55"/>
      <c r="D2965" s="56"/>
      <c r="E2965" s="16"/>
      <c r="F2965" s="16"/>
      <c r="G2965" s="16"/>
      <c r="H2965" s="54"/>
      <c r="I2965" s="16"/>
      <c r="J2965" s="54"/>
      <c r="K2965" s="42"/>
      <c r="L2965" s="16"/>
      <c r="M2965" s="16"/>
      <c r="AA2965" s="14">
        <f t="shared" si="92"/>
        <v>0</v>
      </c>
      <c r="AB2965" s="47">
        <f t="shared" si="93"/>
        <v>-1</v>
      </c>
      <c r="AD2965" s="53"/>
      <c r="AE2965" s="53"/>
      <c r="AF2965" s="53"/>
      <c r="AG2965" s="53"/>
    </row>
    <row r="2966" spans="1:33" s="46" customFormat="1">
      <c r="A2966" s="54"/>
      <c r="B2966" s="16"/>
      <c r="C2966" s="55"/>
      <c r="D2966" s="56"/>
      <c r="E2966" s="16"/>
      <c r="F2966" s="16"/>
      <c r="G2966" s="16"/>
      <c r="H2966" s="54"/>
      <c r="I2966" s="16"/>
      <c r="J2966" s="54"/>
      <c r="K2966" s="42"/>
      <c r="L2966" s="16"/>
      <c r="M2966" s="16"/>
      <c r="AA2966" s="14">
        <f t="shared" si="92"/>
        <v>0</v>
      </c>
      <c r="AB2966" s="47">
        <f t="shared" si="93"/>
        <v>-1</v>
      </c>
      <c r="AD2966" s="53"/>
      <c r="AE2966" s="53"/>
      <c r="AF2966" s="53"/>
      <c r="AG2966" s="53"/>
    </row>
    <row r="2967" spans="1:33" s="46" customFormat="1">
      <c r="A2967" s="54"/>
      <c r="B2967" s="16"/>
      <c r="C2967" s="55"/>
      <c r="D2967" s="56"/>
      <c r="E2967" s="16"/>
      <c r="F2967" s="16"/>
      <c r="G2967" s="16"/>
      <c r="H2967" s="54"/>
      <c r="I2967" s="16"/>
      <c r="J2967" s="54"/>
      <c r="K2967" s="42"/>
      <c r="L2967" s="16"/>
      <c r="M2967" s="16"/>
      <c r="AA2967" s="14">
        <f t="shared" si="92"/>
        <v>0</v>
      </c>
      <c r="AB2967" s="47">
        <f t="shared" si="93"/>
        <v>-1</v>
      </c>
      <c r="AD2967" s="53"/>
      <c r="AE2967" s="53"/>
      <c r="AF2967" s="53"/>
      <c r="AG2967" s="53"/>
    </row>
    <row r="2968" spans="1:33" s="46" customFormat="1">
      <c r="A2968" s="54"/>
      <c r="B2968" s="16"/>
      <c r="C2968" s="55"/>
      <c r="D2968" s="56"/>
      <c r="E2968" s="16"/>
      <c r="F2968" s="16"/>
      <c r="G2968" s="16"/>
      <c r="H2968" s="54"/>
      <c r="I2968" s="16"/>
      <c r="J2968" s="54"/>
      <c r="K2968" s="42"/>
      <c r="L2968" s="16"/>
      <c r="M2968" s="16"/>
      <c r="AA2968" s="14">
        <f t="shared" si="92"/>
        <v>0</v>
      </c>
      <c r="AB2968" s="47">
        <f t="shared" si="93"/>
        <v>-1</v>
      </c>
      <c r="AD2968" s="53"/>
      <c r="AE2968" s="53"/>
      <c r="AF2968" s="53"/>
      <c r="AG2968" s="53"/>
    </row>
    <row r="2969" spans="1:33" s="46" customFormat="1">
      <c r="A2969" s="54"/>
      <c r="B2969" s="16"/>
      <c r="C2969" s="55"/>
      <c r="D2969" s="56"/>
      <c r="E2969" s="16"/>
      <c r="F2969" s="16"/>
      <c r="G2969" s="16"/>
      <c r="H2969" s="54"/>
      <c r="I2969" s="16"/>
      <c r="J2969" s="54"/>
      <c r="K2969" s="42"/>
      <c r="L2969" s="16"/>
      <c r="M2969" s="16"/>
      <c r="AA2969" s="14">
        <f t="shared" si="92"/>
        <v>0</v>
      </c>
      <c r="AB2969" s="47">
        <f t="shared" si="93"/>
        <v>-1</v>
      </c>
      <c r="AD2969" s="53"/>
      <c r="AE2969" s="53"/>
      <c r="AF2969" s="53"/>
      <c r="AG2969" s="53"/>
    </row>
    <row r="2970" spans="1:33" s="46" customFormat="1">
      <c r="A2970" s="54"/>
      <c r="B2970" s="16"/>
      <c r="C2970" s="55"/>
      <c r="D2970" s="56"/>
      <c r="E2970" s="16"/>
      <c r="F2970" s="16"/>
      <c r="G2970" s="16"/>
      <c r="H2970" s="54"/>
      <c r="I2970" s="16"/>
      <c r="J2970" s="54"/>
      <c r="K2970" s="42"/>
      <c r="L2970" s="16"/>
      <c r="M2970" s="16"/>
      <c r="AA2970" s="14">
        <f t="shared" si="92"/>
        <v>0</v>
      </c>
      <c r="AB2970" s="47">
        <f t="shared" si="93"/>
        <v>-1</v>
      </c>
      <c r="AD2970" s="53"/>
      <c r="AE2970" s="53"/>
      <c r="AF2970" s="53"/>
      <c r="AG2970" s="53"/>
    </row>
    <row r="2971" spans="1:33" s="46" customFormat="1">
      <c r="A2971" s="54"/>
      <c r="B2971" s="16"/>
      <c r="C2971" s="55"/>
      <c r="D2971" s="56"/>
      <c r="E2971" s="16"/>
      <c r="F2971" s="16"/>
      <c r="G2971" s="16"/>
      <c r="H2971" s="54"/>
      <c r="I2971" s="16"/>
      <c r="J2971" s="54"/>
      <c r="K2971" s="42"/>
      <c r="L2971" s="16"/>
      <c r="M2971" s="16"/>
      <c r="AA2971" s="14">
        <f t="shared" si="92"/>
        <v>0</v>
      </c>
      <c r="AB2971" s="47">
        <f t="shared" si="93"/>
        <v>-1</v>
      </c>
      <c r="AD2971" s="53"/>
      <c r="AE2971" s="53"/>
      <c r="AF2971" s="53"/>
      <c r="AG2971" s="53"/>
    </row>
    <row r="2972" spans="1:33" s="46" customFormat="1">
      <c r="A2972" s="54"/>
      <c r="B2972" s="16"/>
      <c r="C2972" s="55"/>
      <c r="D2972" s="56"/>
      <c r="E2972" s="16"/>
      <c r="F2972" s="16"/>
      <c r="G2972" s="16"/>
      <c r="H2972" s="54"/>
      <c r="I2972" s="16"/>
      <c r="J2972" s="54"/>
      <c r="K2972" s="42"/>
      <c r="L2972" s="16"/>
      <c r="M2972" s="16"/>
      <c r="AA2972" s="14">
        <f t="shared" si="92"/>
        <v>0</v>
      </c>
      <c r="AB2972" s="47">
        <f t="shared" si="93"/>
        <v>-1</v>
      </c>
      <c r="AD2972" s="53"/>
      <c r="AE2972" s="53"/>
      <c r="AF2972" s="53"/>
      <c r="AG2972" s="53"/>
    </row>
    <row r="2973" spans="1:33" s="46" customFormat="1">
      <c r="A2973" s="54"/>
      <c r="B2973" s="16"/>
      <c r="C2973" s="55"/>
      <c r="D2973" s="56"/>
      <c r="E2973" s="16"/>
      <c r="F2973" s="16"/>
      <c r="G2973" s="16"/>
      <c r="H2973" s="54"/>
      <c r="I2973" s="16"/>
      <c r="J2973" s="54"/>
      <c r="K2973" s="42"/>
      <c r="L2973" s="16"/>
      <c r="M2973" s="16"/>
      <c r="AA2973" s="14">
        <f t="shared" si="92"/>
        <v>0</v>
      </c>
      <c r="AB2973" s="47">
        <f t="shared" si="93"/>
        <v>-1</v>
      </c>
      <c r="AD2973" s="53"/>
      <c r="AE2973" s="53"/>
      <c r="AF2973" s="53"/>
      <c r="AG2973" s="53"/>
    </row>
    <row r="2974" spans="1:33" s="46" customFormat="1">
      <c r="A2974" s="54"/>
      <c r="B2974" s="16"/>
      <c r="C2974" s="55"/>
      <c r="D2974" s="56"/>
      <c r="E2974" s="16"/>
      <c r="F2974" s="16"/>
      <c r="G2974" s="16"/>
      <c r="H2974" s="54"/>
      <c r="I2974" s="16"/>
      <c r="J2974" s="54"/>
      <c r="K2974" s="42"/>
      <c r="L2974" s="16"/>
      <c r="M2974" s="16"/>
      <c r="AA2974" s="14">
        <f t="shared" si="92"/>
        <v>0</v>
      </c>
      <c r="AB2974" s="47">
        <f t="shared" si="93"/>
        <v>-1</v>
      </c>
      <c r="AD2974" s="53"/>
      <c r="AE2974" s="53"/>
      <c r="AF2974" s="53"/>
      <c r="AG2974" s="53"/>
    </row>
    <row r="2975" spans="1:33" s="46" customFormat="1">
      <c r="A2975" s="54"/>
      <c r="B2975" s="16"/>
      <c r="C2975" s="55"/>
      <c r="D2975" s="56"/>
      <c r="E2975" s="16"/>
      <c r="F2975" s="16"/>
      <c r="G2975" s="16"/>
      <c r="H2975" s="54"/>
      <c r="I2975" s="16"/>
      <c r="J2975" s="54"/>
      <c r="K2975" s="42"/>
      <c r="L2975" s="16"/>
      <c r="M2975" s="16"/>
      <c r="AA2975" s="14">
        <f t="shared" si="92"/>
        <v>0</v>
      </c>
      <c r="AB2975" s="47">
        <f t="shared" si="93"/>
        <v>-1</v>
      </c>
      <c r="AD2975" s="53"/>
      <c r="AE2975" s="53"/>
      <c r="AF2975" s="53"/>
      <c r="AG2975" s="53"/>
    </row>
    <row r="2976" spans="1:33" s="46" customFormat="1">
      <c r="A2976" s="54"/>
      <c r="B2976" s="16"/>
      <c r="C2976" s="55"/>
      <c r="D2976" s="56"/>
      <c r="E2976" s="16"/>
      <c r="F2976" s="16"/>
      <c r="G2976" s="16"/>
      <c r="H2976" s="54"/>
      <c r="I2976" s="16"/>
      <c r="J2976" s="54"/>
      <c r="K2976" s="42"/>
      <c r="L2976" s="16"/>
      <c r="M2976" s="16"/>
      <c r="AA2976" s="14">
        <f t="shared" si="92"/>
        <v>0</v>
      </c>
      <c r="AB2976" s="47">
        <f t="shared" si="93"/>
        <v>-1</v>
      </c>
      <c r="AD2976" s="53"/>
      <c r="AE2976" s="53"/>
      <c r="AF2976" s="53"/>
      <c r="AG2976" s="53"/>
    </row>
    <row r="2977" spans="1:33" s="46" customFormat="1" ht="12.6" thickBot="1">
      <c r="A2977" s="57"/>
      <c r="B2977" s="17"/>
      <c r="C2977" s="58"/>
      <c r="D2977" s="59"/>
      <c r="E2977" s="17"/>
      <c r="F2977" s="17"/>
      <c r="G2977" s="17"/>
      <c r="H2977" s="57"/>
      <c r="I2977" s="17"/>
      <c r="J2977" s="57"/>
      <c r="K2977" s="60"/>
      <c r="L2977" s="17"/>
      <c r="M2977" s="17"/>
      <c r="AA2977" s="14">
        <f t="shared" si="92"/>
        <v>0</v>
      </c>
      <c r="AB2977" s="47">
        <f t="shared" si="93"/>
        <v>-1</v>
      </c>
      <c r="AD2977" s="53"/>
      <c r="AE2977" s="53"/>
      <c r="AF2977" s="53"/>
      <c r="AG2977" s="53"/>
    </row>
    <row r="2978" spans="1:33" s="46" customFormat="1" ht="12.6" thickTop="1">
      <c r="A2978" s="61"/>
      <c r="B2978" s="18"/>
      <c r="C2978" s="62"/>
      <c r="D2978" s="63"/>
      <c r="E2978" s="18"/>
      <c r="F2978" s="18"/>
      <c r="G2978" s="18"/>
      <c r="H2978" s="61"/>
      <c r="I2978" s="18"/>
      <c r="J2978" s="61"/>
      <c r="K2978" s="53"/>
      <c r="L2978" s="18"/>
      <c r="M2978" s="18"/>
      <c r="AA2978" s="19"/>
      <c r="AB2978" s="47"/>
      <c r="AD2978" s="53"/>
      <c r="AE2978" s="53"/>
      <c r="AF2978" s="53"/>
      <c r="AG2978" s="53"/>
    </row>
  </sheetData>
  <sheetProtection insertRows="0" deleteRows="0" selectLockedCells="1" autoFilter="0"/>
  <autoFilter ref="A2:L1101">
    <sortState ref="A3:L947">
      <sortCondition ref="A2:A947"/>
    </sortState>
  </autoFilter>
  <mergeCells count="2">
    <mergeCell ref="A1:C1"/>
    <mergeCell ref="AA1:AB1"/>
  </mergeCells>
  <conditionalFormatting sqref="C2">
    <cfRule type="duplicateValues" dxfId="11" priority="12"/>
  </conditionalFormatting>
  <conditionalFormatting sqref="A1">
    <cfRule type="duplicateValues" dxfId="10" priority="11"/>
  </conditionalFormatting>
  <conditionalFormatting sqref="E1">
    <cfRule type="duplicateValues" dxfId="9" priority="10"/>
  </conditionalFormatting>
  <conditionalFormatting sqref="K1">
    <cfRule type="duplicateValues" dxfId="8" priority="9"/>
  </conditionalFormatting>
  <conditionalFormatting sqref="L1">
    <cfRule type="duplicateValues" dxfId="7" priority="8"/>
  </conditionalFormatting>
  <conditionalFormatting sqref="M1">
    <cfRule type="duplicateValues" dxfId="6" priority="7"/>
  </conditionalFormatting>
  <conditionalFormatting sqref="D2:D64 D66:D900 D902:D1048576">
    <cfRule type="duplicateValues" dxfId="5" priority="5"/>
  </conditionalFormatting>
  <conditionalFormatting sqref="C2:C1048576">
    <cfRule type="duplicateValues" dxfId="4" priority="4"/>
  </conditionalFormatting>
  <conditionalFormatting sqref="C8:C18">
    <cfRule type="duplicateValues" dxfId="3" priority="3"/>
  </conditionalFormatting>
  <conditionalFormatting sqref="D1:D900 D902:D1048576">
    <cfRule type="duplicateValues" dxfId="2" priority="2"/>
  </conditionalFormatting>
  <conditionalFormatting sqref="B422">
    <cfRule type="duplicateValues" dxfId="1" priority="1"/>
  </conditionalFormatting>
  <conditionalFormatting sqref="B853:B867 B423:B601 L112 B3:B111 B113:B421 B792:B802 B882:B886 B667:B685 B889:B890 B698:B742 B687:B695 B804:B835 B764:B790 B892:B1048576 B649:B665 B604:B607 B609:B647 B745:B760 B869:B880">
    <cfRule type="duplicateValues" dxfId="0" priority="13"/>
  </conditionalFormatting>
  <pageMargins left="0.18" right="0.17" top="0.51" bottom="0.43" header="0.18" footer="0.17"/>
  <pageSetup scale="31" fitToHeight="70" orientation="portrait" r:id="rId1"/>
  <headerFooter>
    <oddHeader>&amp;L4020 RPA tracking log&amp;R&amp;D</oddHeader>
    <oddFooter>&amp;LPage 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D28" sqref="D28"/>
    </sheetView>
  </sheetViews>
  <sheetFormatPr defaultRowHeight="14.4"/>
  <cols>
    <col min="1" max="1" width="11.6640625" style="30" customWidth="1"/>
    <col min="2" max="2" width="17.33203125" customWidth="1"/>
    <col min="3" max="3" width="9.109375" style="10"/>
    <col min="4" max="4" width="18.44140625" customWidth="1"/>
    <col min="5" max="5" width="2.44140625" customWidth="1"/>
    <col min="6" max="6" width="8.5546875" customWidth="1"/>
    <col min="7" max="7" width="19.6640625" customWidth="1"/>
    <col min="8" max="8" width="8.88671875" customWidth="1"/>
    <col min="9" max="9" width="19" customWidth="1"/>
  </cols>
  <sheetData>
    <row r="1" spans="1:9" ht="15.6">
      <c r="A1" s="90" t="s">
        <v>199</v>
      </c>
      <c r="B1" s="90"/>
      <c r="C1" s="90"/>
      <c r="D1" s="90"/>
      <c r="F1" s="90" t="s">
        <v>199</v>
      </c>
      <c r="G1" s="90"/>
      <c r="H1" s="90"/>
      <c r="I1" s="90"/>
    </row>
    <row r="2" spans="1:9">
      <c r="A2" s="71" t="s">
        <v>200</v>
      </c>
      <c r="B2" s="22" t="s">
        <v>201</v>
      </c>
      <c r="C2" s="23" t="s">
        <v>200</v>
      </c>
      <c r="D2" s="23" t="s">
        <v>201</v>
      </c>
      <c r="F2" s="21" t="s">
        <v>200</v>
      </c>
      <c r="G2" s="22" t="s">
        <v>201</v>
      </c>
      <c r="H2" s="23" t="s">
        <v>200</v>
      </c>
      <c r="I2" s="23" t="s">
        <v>201</v>
      </c>
    </row>
    <row r="3" spans="1:9">
      <c r="A3" s="72"/>
      <c r="B3" s="69" t="s">
        <v>202</v>
      </c>
      <c r="C3" s="26" t="s">
        <v>631</v>
      </c>
      <c r="D3" s="27" t="s">
        <v>203</v>
      </c>
      <c r="F3" s="24"/>
      <c r="G3" s="25" t="s">
        <v>202</v>
      </c>
      <c r="H3" s="26" t="s">
        <v>631</v>
      </c>
      <c r="I3" s="27" t="s">
        <v>203</v>
      </c>
    </row>
    <row r="4" spans="1:9">
      <c r="A4" s="24" t="s">
        <v>616</v>
      </c>
      <c r="B4" s="69" t="s">
        <v>204</v>
      </c>
      <c r="C4" s="24" t="s">
        <v>632</v>
      </c>
      <c r="D4" s="25" t="s">
        <v>205</v>
      </c>
      <c r="F4" s="24" t="s">
        <v>616</v>
      </c>
      <c r="G4" s="25" t="s">
        <v>204</v>
      </c>
      <c r="H4" s="24" t="s">
        <v>632</v>
      </c>
      <c r="I4" s="25" t="s">
        <v>205</v>
      </c>
    </row>
    <row r="5" spans="1:9">
      <c r="A5" s="24" t="s">
        <v>617</v>
      </c>
      <c r="B5" s="69" t="s">
        <v>206</v>
      </c>
      <c r="C5" s="24" t="s">
        <v>633</v>
      </c>
      <c r="D5" s="25" t="s">
        <v>207</v>
      </c>
      <c r="F5" s="24" t="s">
        <v>617</v>
      </c>
      <c r="G5" s="25" t="s">
        <v>206</v>
      </c>
      <c r="H5" s="24" t="s">
        <v>633</v>
      </c>
      <c r="I5" s="25" t="s">
        <v>207</v>
      </c>
    </row>
    <row r="6" spans="1:9">
      <c r="A6" s="24" t="s">
        <v>618</v>
      </c>
      <c r="B6" s="69" t="s">
        <v>208</v>
      </c>
      <c r="C6" s="24" t="s">
        <v>634</v>
      </c>
      <c r="D6" s="25" t="s">
        <v>209</v>
      </c>
      <c r="F6" s="24" t="s">
        <v>618</v>
      </c>
      <c r="G6" s="25" t="s">
        <v>208</v>
      </c>
      <c r="H6" s="24" t="s">
        <v>634</v>
      </c>
      <c r="I6" s="25" t="s">
        <v>209</v>
      </c>
    </row>
    <row r="7" spans="1:9">
      <c r="A7" s="24" t="s">
        <v>619</v>
      </c>
      <c r="B7" s="69" t="s">
        <v>210</v>
      </c>
      <c r="C7" s="24"/>
      <c r="D7" s="25" t="s">
        <v>211</v>
      </c>
      <c r="F7" s="24" t="s">
        <v>619</v>
      </c>
      <c r="G7" s="25" t="s">
        <v>210</v>
      </c>
      <c r="H7" s="24"/>
      <c r="I7" s="25" t="s">
        <v>211</v>
      </c>
    </row>
    <row r="8" spans="1:9">
      <c r="A8" s="24" t="s">
        <v>620</v>
      </c>
      <c r="B8" s="69" t="s">
        <v>212</v>
      </c>
      <c r="C8" s="24"/>
      <c r="D8" s="25" t="s">
        <v>213</v>
      </c>
      <c r="F8" s="24" t="s">
        <v>620</v>
      </c>
      <c r="G8" s="25" t="s">
        <v>212</v>
      </c>
      <c r="H8" s="24"/>
      <c r="I8" s="25" t="s">
        <v>213</v>
      </c>
    </row>
    <row r="9" spans="1:9">
      <c r="A9" s="24" t="s">
        <v>621</v>
      </c>
      <c r="B9" s="69" t="s">
        <v>214</v>
      </c>
      <c r="C9" s="24"/>
      <c r="D9" s="25"/>
      <c r="F9" s="24" t="s">
        <v>621</v>
      </c>
      <c r="G9" s="25" t="s">
        <v>214</v>
      </c>
      <c r="H9" s="24"/>
      <c r="I9" s="25"/>
    </row>
    <row r="10" spans="1:9">
      <c r="A10" s="24" t="s">
        <v>622</v>
      </c>
      <c r="B10" s="69" t="s">
        <v>215</v>
      </c>
      <c r="C10" s="24"/>
      <c r="D10" s="25"/>
      <c r="F10" s="24" t="s">
        <v>622</v>
      </c>
      <c r="G10" s="25" t="s">
        <v>215</v>
      </c>
      <c r="H10" s="24"/>
      <c r="I10" s="25"/>
    </row>
    <row r="11" spans="1:9">
      <c r="A11" s="24" t="s">
        <v>623</v>
      </c>
      <c r="B11" s="69" t="s">
        <v>216</v>
      </c>
      <c r="C11" s="24"/>
      <c r="D11" s="25"/>
      <c r="F11" s="24" t="s">
        <v>623</v>
      </c>
      <c r="G11" s="25" t="s">
        <v>216</v>
      </c>
      <c r="H11" s="24"/>
      <c r="I11" s="25"/>
    </row>
    <row r="12" spans="1:9">
      <c r="A12" s="24" t="s">
        <v>624</v>
      </c>
      <c r="B12" s="69" t="s">
        <v>217</v>
      </c>
      <c r="C12" s="24"/>
      <c r="D12" s="25"/>
      <c r="F12" s="24" t="s">
        <v>624</v>
      </c>
      <c r="G12" s="25" t="s">
        <v>217</v>
      </c>
      <c r="H12" s="24"/>
      <c r="I12" s="25"/>
    </row>
    <row r="13" spans="1:9">
      <c r="A13" s="24" t="s">
        <v>625</v>
      </c>
      <c r="B13" s="69" t="s">
        <v>218</v>
      </c>
      <c r="C13" s="24"/>
      <c r="D13" s="25"/>
      <c r="F13" s="24" t="s">
        <v>625</v>
      </c>
      <c r="G13" s="25" t="s">
        <v>218</v>
      </c>
      <c r="H13" s="24"/>
      <c r="I13" s="25"/>
    </row>
    <row r="14" spans="1:9">
      <c r="A14" s="24" t="s">
        <v>626</v>
      </c>
      <c r="B14" s="69" t="s">
        <v>219</v>
      </c>
      <c r="C14" s="24"/>
      <c r="D14" s="25"/>
      <c r="F14" s="24" t="s">
        <v>626</v>
      </c>
      <c r="G14" s="25" t="s">
        <v>219</v>
      </c>
      <c r="H14" s="24"/>
      <c r="I14" s="25"/>
    </row>
    <row r="15" spans="1:9">
      <c r="A15" s="24" t="s">
        <v>627</v>
      </c>
      <c r="B15" s="69" t="s">
        <v>220</v>
      </c>
      <c r="C15" s="24"/>
      <c r="D15" s="25"/>
      <c r="F15" s="24" t="s">
        <v>627</v>
      </c>
      <c r="G15" s="25" t="s">
        <v>220</v>
      </c>
      <c r="H15" s="24"/>
      <c r="I15" s="25"/>
    </row>
    <row r="16" spans="1:9">
      <c r="A16" s="24" t="s">
        <v>628</v>
      </c>
      <c r="B16" s="69" t="s">
        <v>221</v>
      </c>
      <c r="C16" s="24"/>
      <c r="D16" s="25"/>
      <c r="F16" s="24" t="s">
        <v>628</v>
      </c>
      <c r="G16" s="25" t="s">
        <v>221</v>
      </c>
      <c r="H16" s="24"/>
      <c r="I16" s="25"/>
    </row>
    <row r="17" spans="1:9">
      <c r="A17" s="24" t="s">
        <v>629</v>
      </c>
      <c r="B17" s="69" t="s">
        <v>222</v>
      </c>
      <c r="C17" s="24"/>
      <c r="D17" s="25"/>
      <c r="F17" s="24" t="s">
        <v>629</v>
      </c>
      <c r="G17" s="25" t="s">
        <v>222</v>
      </c>
      <c r="H17" s="24"/>
      <c r="I17" s="25"/>
    </row>
    <row r="18" spans="1:9">
      <c r="A18" s="28" t="s">
        <v>630</v>
      </c>
      <c r="B18" s="70" t="s">
        <v>223</v>
      </c>
      <c r="C18" s="28"/>
      <c r="D18" s="29"/>
      <c r="F18" s="28" t="s">
        <v>630</v>
      </c>
      <c r="G18" s="29" t="s">
        <v>223</v>
      </c>
      <c r="H18" s="28"/>
      <c r="I18" s="29"/>
    </row>
    <row r="20" spans="1:9" ht="15.6">
      <c r="A20" s="90" t="s">
        <v>199</v>
      </c>
      <c r="B20" s="90"/>
      <c r="C20" s="90"/>
      <c r="D20" s="90"/>
      <c r="F20" s="90" t="s">
        <v>199</v>
      </c>
      <c r="G20" s="90"/>
      <c r="H20" s="90"/>
      <c r="I20" s="90"/>
    </row>
    <row r="21" spans="1:9">
      <c r="A21" s="21" t="s">
        <v>200</v>
      </c>
      <c r="B21" s="22" t="s">
        <v>201</v>
      </c>
      <c r="C21" s="23" t="s">
        <v>200</v>
      </c>
      <c r="D21" s="23" t="s">
        <v>201</v>
      </c>
      <c r="F21" s="21" t="s">
        <v>200</v>
      </c>
      <c r="G21" s="22" t="s">
        <v>201</v>
      </c>
      <c r="H21" s="23" t="s">
        <v>200</v>
      </c>
      <c r="I21" s="23" t="s">
        <v>201</v>
      </c>
    </row>
    <row r="22" spans="1:9">
      <c r="A22" s="24"/>
      <c r="B22" s="25" t="s">
        <v>202</v>
      </c>
      <c r="C22" s="26"/>
      <c r="D22" s="27" t="s">
        <v>203</v>
      </c>
      <c r="F22" s="24"/>
      <c r="G22" s="25" t="s">
        <v>202</v>
      </c>
      <c r="H22" s="26"/>
      <c r="I22" s="27" t="s">
        <v>203</v>
      </c>
    </row>
    <row r="23" spans="1:9">
      <c r="A23" s="24"/>
      <c r="B23" s="25" t="s">
        <v>204</v>
      </c>
      <c r="C23" s="24"/>
      <c r="D23" s="25" t="s">
        <v>205</v>
      </c>
      <c r="F23" s="24"/>
      <c r="G23" s="25" t="s">
        <v>204</v>
      </c>
      <c r="H23" s="24"/>
      <c r="I23" s="25" t="s">
        <v>205</v>
      </c>
    </row>
    <row r="24" spans="1:9">
      <c r="A24" s="24"/>
      <c r="B24" s="25" t="s">
        <v>206</v>
      </c>
      <c r="C24" s="24"/>
      <c r="D24" s="25" t="s">
        <v>207</v>
      </c>
      <c r="F24" s="24"/>
      <c r="G24" s="25" t="s">
        <v>206</v>
      </c>
      <c r="H24" s="24"/>
      <c r="I24" s="25" t="s">
        <v>207</v>
      </c>
    </row>
    <row r="25" spans="1:9">
      <c r="A25" s="24"/>
      <c r="B25" s="25" t="s">
        <v>208</v>
      </c>
      <c r="C25" s="24"/>
      <c r="D25" s="25" t="s">
        <v>209</v>
      </c>
      <c r="F25" s="24"/>
      <c r="G25" s="25" t="s">
        <v>208</v>
      </c>
      <c r="H25" s="24"/>
      <c r="I25" s="25" t="s">
        <v>209</v>
      </c>
    </row>
    <row r="26" spans="1:9">
      <c r="A26" s="24"/>
      <c r="B26" s="25" t="s">
        <v>210</v>
      </c>
      <c r="C26" s="24"/>
      <c r="D26" s="25" t="s">
        <v>211</v>
      </c>
      <c r="F26" s="24"/>
      <c r="G26" s="25" t="s">
        <v>210</v>
      </c>
      <c r="H26" s="24"/>
      <c r="I26" s="25" t="s">
        <v>211</v>
      </c>
    </row>
    <row r="27" spans="1:9">
      <c r="A27" s="24"/>
      <c r="B27" s="25" t="s">
        <v>212</v>
      </c>
      <c r="C27" s="24"/>
      <c r="D27" s="25" t="s">
        <v>213</v>
      </c>
      <c r="F27" s="24"/>
      <c r="G27" s="25" t="s">
        <v>212</v>
      </c>
      <c r="H27" s="24"/>
      <c r="I27" s="25" t="s">
        <v>213</v>
      </c>
    </row>
    <row r="28" spans="1:9">
      <c r="A28" s="24"/>
      <c r="B28" s="25" t="s">
        <v>214</v>
      </c>
      <c r="C28" s="24"/>
      <c r="D28" s="25"/>
      <c r="F28" s="24"/>
      <c r="G28" s="25" t="s">
        <v>214</v>
      </c>
      <c r="H28" s="24"/>
      <c r="I28" s="25"/>
    </row>
    <row r="29" spans="1:9">
      <c r="A29" s="24"/>
      <c r="B29" s="25" t="s">
        <v>215</v>
      </c>
      <c r="C29" s="24"/>
      <c r="D29" s="25"/>
      <c r="F29" s="24"/>
      <c r="G29" s="25" t="s">
        <v>215</v>
      </c>
      <c r="H29" s="24"/>
      <c r="I29" s="25"/>
    </row>
    <row r="30" spans="1:9">
      <c r="A30" s="24"/>
      <c r="B30" s="25" t="s">
        <v>216</v>
      </c>
      <c r="C30" s="24"/>
      <c r="D30" s="25"/>
      <c r="F30" s="24"/>
      <c r="G30" s="25" t="s">
        <v>216</v>
      </c>
      <c r="H30" s="24"/>
      <c r="I30" s="25"/>
    </row>
    <row r="31" spans="1:9">
      <c r="A31" s="24"/>
      <c r="B31" s="25" t="s">
        <v>217</v>
      </c>
      <c r="C31" s="24"/>
      <c r="D31" s="25"/>
      <c r="F31" s="24"/>
      <c r="G31" s="25" t="s">
        <v>217</v>
      </c>
      <c r="H31" s="24"/>
      <c r="I31" s="25"/>
    </row>
    <row r="32" spans="1:9">
      <c r="A32" s="24"/>
      <c r="B32" s="25" t="s">
        <v>218</v>
      </c>
      <c r="C32" s="24"/>
      <c r="D32" s="25"/>
      <c r="F32" s="24"/>
      <c r="G32" s="25" t="s">
        <v>218</v>
      </c>
      <c r="H32" s="24"/>
      <c r="I32" s="25"/>
    </row>
    <row r="33" spans="1:9">
      <c r="A33" s="24"/>
      <c r="B33" s="25" t="s">
        <v>219</v>
      </c>
      <c r="C33" s="24"/>
      <c r="D33" s="25"/>
      <c r="F33" s="24"/>
      <c r="G33" s="25" t="s">
        <v>219</v>
      </c>
      <c r="H33" s="24"/>
      <c r="I33" s="25"/>
    </row>
    <row r="34" spans="1:9">
      <c r="A34" s="24"/>
      <c r="B34" s="25" t="s">
        <v>220</v>
      </c>
      <c r="C34" s="24"/>
      <c r="D34" s="25"/>
      <c r="F34" s="24"/>
      <c r="G34" s="25" t="s">
        <v>220</v>
      </c>
      <c r="H34" s="24"/>
      <c r="I34" s="25"/>
    </row>
    <row r="35" spans="1:9">
      <c r="A35" s="24"/>
      <c r="B35" s="25" t="s">
        <v>221</v>
      </c>
      <c r="C35" s="24"/>
      <c r="D35" s="25"/>
      <c r="F35" s="24"/>
      <c r="G35" s="25" t="s">
        <v>221</v>
      </c>
      <c r="H35" s="24"/>
      <c r="I35" s="25"/>
    </row>
    <row r="36" spans="1:9">
      <c r="A36" s="24"/>
      <c r="B36" s="25" t="s">
        <v>222</v>
      </c>
      <c r="C36" s="24"/>
      <c r="D36" s="25"/>
      <c r="F36" s="24"/>
      <c r="G36" s="25" t="s">
        <v>222</v>
      </c>
      <c r="H36" s="24"/>
      <c r="I36" s="25"/>
    </row>
    <row r="37" spans="1:9">
      <c r="A37" s="28"/>
      <c r="B37" s="29" t="s">
        <v>223</v>
      </c>
      <c r="C37" s="28"/>
      <c r="D37" s="29"/>
      <c r="F37" s="28"/>
      <c r="G37" s="29" t="s">
        <v>223</v>
      </c>
      <c r="H37" s="28"/>
      <c r="I37" s="29"/>
    </row>
  </sheetData>
  <mergeCells count="4">
    <mergeCell ref="A1:D1"/>
    <mergeCell ref="F1:I1"/>
    <mergeCell ref="A20:D20"/>
    <mergeCell ref="F20:I20"/>
  </mergeCells>
  <pageMargins left="0.7" right="0.7" top="0.3" bottom="0.41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RPA</vt:lpstr>
      <vt:lpstr>4086 COUNTIES</vt:lpstr>
      <vt:lpstr>RPA!Print_Titles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</dc:creator>
  <cp:lastModifiedBy>ES</cp:lastModifiedBy>
  <dcterms:created xsi:type="dcterms:W3CDTF">2012-11-15T21:31:47Z</dcterms:created>
  <dcterms:modified xsi:type="dcterms:W3CDTF">2012-12-01T21:05:26Z</dcterms:modified>
</cp:coreProperties>
</file>