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15300" yWindow="60" windowWidth="13455" windowHeight="13290"/>
  </bookViews>
  <sheets>
    <sheet name="Instructions" sheetId="5" r:id="rId1"/>
    <sheet name="SUPPLIES" sheetId="4" r:id="rId2"/>
    <sheet name="CONTRACTUAL SERVICES" sheetId="6" r:id="rId3"/>
    <sheet name="BUDGET" sheetId="2" r:id="rId4"/>
  </sheets>
  <definedNames>
    <definedName name="aaargh">#REF!</definedName>
    <definedName name="departmental1">BUDGET!$B$60:$M$77</definedName>
    <definedName name="_xlnm.Print_Area" localSheetId="3">BUDGET!$B$8:$M$57</definedName>
    <definedName name="_xlnm.Print_Area">#REF!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19" i="2"/>
  <c r="G22"/>
  <c r="G23"/>
  <c r="G24"/>
  <c r="G25"/>
  <c r="G26"/>
  <c r="G30"/>
  <c r="G28"/>
  <c r="G31"/>
  <c r="G38"/>
  <c r="G43"/>
  <c r="G45"/>
  <c r="B4" i="6"/>
  <c r="C4"/>
  <c r="D2"/>
  <c r="G46" i="2"/>
  <c r="G49"/>
  <c r="G51"/>
  <c r="G52"/>
  <c r="G53"/>
  <c r="G55"/>
  <c r="G57"/>
  <c r="G4"/>
  <c r="B4" i="4"/>
  <c r="C4"/>
  <c r="D2"/>
  <c r="B7" i="2"/>
</calcChain>
</file>

<file path=xl/sharedStrings.xml><?xml version="1.0" encoding="utf-8"?>
<sst xmlns="http://schemas.openxmlformats.org/spreadsheetml/2006/main" count="164" uniqueCount="147">
  <si>
    <t xml:space="preserve">Instructions:  blue cells are cells you can enter data into.  </t>
  </si>
  <si>
    <t>Leave the cells that are black alone.</t>
  </si>
  <si>
    <t>Benefits rate, faculty</t>
  </si>
  <si>
    <t>Benefits rate undergrads</t>
  </si>
  <si>
    <t>Benefits rate grad student</t>
  </si>
  <si>
    <t>Benefits rate Classified staff</t>
  </si>
  <si>
    <t>Benefits rate Professional staff</t>
  </si>
  <si>
    <t>Monthly Salary</t>
  </si>
  <si>
    <t xml:space="preserve">Enter Overhead Rate here:  </t>
  </si>
  <si>
    <t>Benefits rate for grad tuition</t>
  </si>
  <si>
    <t>Postdoctoral Associates</t>
  </si>
  <si>
    <t xml:space="preserve">Grad Students </t>
  </si>
  <si>
    <t>Undergrads</t>
  </si>
  <si>
    <t>cruise staging and shipping</t>
  </si>
  <si>
    <t>Misc</t>
  </si>
  <si>
    <t>TOTAL:</t>
  </si>
  <si>
    <t xml:space="preserve"> </t>
  </si>
  <si>
    <t>Year 1</t>
  </si>
  <si>
    <t>A. SENIOR PERSONNEL</t>
  </si>
  <si>
    <t>B. OTHER PERSONNEL</t>
  </si>
  <si>
    <t>Total Salaries and Wages</t>
  </si>
  <si>
    <t>C. Fringe Benefits</t>
  </si>
  <si>
    <t>Total  Salaries&amp;Fringe</t>
  </si>
  <si>
    <t>D. Permanent Equipment</t>
  </si>
  <si>
    <t>E. Travel</t>
  </si>
  <si>
    <t>(Domestic)</t>
  </si>
  <si>
    <t>(Foreign)</t>
  </si>
  <si>
    <t>Total Travel</t>
  </si>
  <si>
    <t>F. Participant Support Costs</t>
  </si>
  <si>
    <t>G. Other Direct Costs</t>
  </si>
  <si>
    <t>Publication</t>
  </si>
  <si>
    <t>Graduate Oper Fees</t>
  </si>
  <si>
    <t>Total Other</t>
  </si>
  <si>
    <t>H. Total Direct Costs (A-G)</t>
  </si>
  <si>
    <t>I. Indirect Costs (basis)</t>
  </si>
  <si>
    <t>J. Total Direct and Indirect</t>
  </si>
  <si>
    <t>K. Residual Funds</t>
  </si>
  <si>
    <t>L. Amount of this request</t>
  </si>
  <si>
    <t>INSTRUCTIONS</t>
  </si>
  <si>
    <t xml:space="preserve">The required sections you need to complete are: </t>
  </si>
  <si>
    <t>Each section is described below.  Pay close attention</t>
  </si>
  <si>
    <t>to the three sections you are required to fill out.</t>
  </si>
  <si>
    <t>SUPPLIES SHEET:</t>
  </si>
  <si>
    <t>BUDGET SHEET:</t>
  </si>
  <si>
    <r>
      <t xml:space="preserve">You are only required to fill in the </t>
    </r>
    <r>
      <rPr>
        <b/>
        <sz val="10"/>
        <rFont val="Helv"/>
      </rPr>
      <t xml:space="preserve">BOLD </t>
    </r>
    <r>
      <rPr>
        <sz val="10"/>
        <rFont val="Helv"/>
      </rPr>
      <t>sections.</t>
    </r>
  </si>
  <si>
    <r>
      <t xml:space="preserve">the </t>
    </r>
    <r>
      <rPr>
        <b/>
        <sz val="10"/>
        <rFont val="Helv"/>
      </rPr>
      <t>TRAVEL</t>
    </r>
    <r>
      <rPr>
        <sz val="10"/>
        <rFont val="Helv"/>
      </rPr>
      <t xml:space="preserve"> portion of the Budget Page</t>
    </r>
  </si>
  <si>
    <r>
      <t>the</t>
    </r>
    <r>
      <rPr>
        <b/>
        <sz val="10"/>
        <rFont val="Helv"/>
      </rPr>
      <t xml:space="preserve"> SUPPLIES</t>
    </r>
    <r>
      <rPr>
        <sz val="10"/>
        <rFont val="Helv"/>
      </rPr>
      <t xml:space="preserve"> sheet, which is used to detail ALL the supplies you need.</t>
    </r>
  </si>
  <si>
    <t>Use this sheet to list all the equipment and supplies you need</t>
  </si>
  <si>
    <t>for your project.  There are three columns here; one to ID the</t>
  </si>
  <si>
    <t>things you need, and two columns to provide the cost of these</t>
  </si>
  <si>
    <t>items.  You place the cost in the approriate column as follows:</t>
  </si>
  <si>
    <t>Items you need to purchase (filters, chemicals, etc.) that will cost</t>
  </si>
  <si>
    <t>actual money from the academic budget for the class go in the</t>
  </si>
  <si>
    <t>Items you are borrowing or are being provided to you for free</t>
  </si>
  <si>
    <r>
      <t xml:space="preserve">column marked </t>
    </r>
    <r>
      <rPr>
        <b/>
        <sz val="10"/>
        <rFont val="Helv"/>
      </rPr>
      <t>ACTUAL COSTS</t>
    </r>
  </si>
  <si>
    <r>
      <t>are placed in the column marked</t>
    </r>
    <r>
      <rPr>
        <b/>
        <sz val="10"/>
        <rFont val="Helv"/>
      </rPr>
      <t xml:space="preserve"> IN KIND COSTS</t>
    </r>
  </si>
  <si>
    <t>We make this distinction because we need to kep track of the things that</t>
  </si>
  <si>
    <t>the School has to purchase out of academic money.  The less we purchase,</t>
  </si>
  <si>
    <t>the lower the lab fees are for the class.</t>
  </si>
  <si>
    <t>Note: these column totals auto-update the BUDGET spreadsheet, so</t>
  </si>
  <si>
    <t>there is no need to enter data into that sheet for your supplies - the information</t>
  </si>
  <si>
    <t>is sent there automatically by the spreadsheet.</t>
  </si>
  <si>
    <t>SUPPLIES</t>
  </si>
  <si>
    <t>ACTUAL COSTS</t>
  </si>
  <si>
    <t>IN KIND COSTS</t>
  </si>
  <si>
    <t>SUPPLIES SHEET</t>
  </si>
  <si>
    <t>enter items below:</t>
  </si>
  <si>
    <t>total:</t>
  </si>
  <si>
    <t>SUM</t>
  </si>
  <si>
    <t>NOTE that we need to know who is lending or providing</t>
  </si>
  <si>
    <t>supplies to you, so please also identify the person or</t>
  </si>
  <si>
    <t>lab you are acquiring supplies from</t>
  </si>
  <si>
    <t>Supplier</t>
  </si>
  <si>
    <t>Kathy Newell</t>
  </si>
  <si>
    <t>Chuck Nittrouer Lab</t>
  </si>
  <si>
    <t>example: bottles, 8-1L polycarbonate</t>
  </si>
  <si>
    <t>example: pipette tips, 1ml, 48 of them</t>
  </si>
  <si>
    <t>example: on-deck incubation system</t>
  </si>
  <si>
    <t>Jim Postel - pooled equipment</t>
  </si>
  <si>
    <t>example: hard drive to hold data</t>
  </si>
  <si>
    <t>I am buying this myself since I am keeping my data forever</t>
  </si>
  <si>
    <t>BUDGET Sheet</t>
  </si>
  <si>
    <t>NAME:</t>
  </si>
  <si>
    <t>DATE OF CRUISE:</t>
  </si>
  <si>
    <t>Professor Einstein</t>
  </si>
  <si>
    <t>INFORMATION ABOUT BENEFITS AND OVERHEAD</t>
  </si>
  <si>
    <t xml:space="preserve">    (this is equal to 27.2%)</t>
  </si>
  <si>
    <t>YEAR 1</t>
  </si>
  <si>
    <t>Months of salary</t>
  </si>
  <si>
    <t>Pay per Month</t>
  </si>
  <si>
    <t>How many months of work is this project for you, if you were being paid to do it?</t>
  </si>
  <si>
    <t>Assume $14/hr and 80h/month = $1120 per month</t>
  </si>
  <si>
    <t>This is the total you are asking for for salary.</t>
  </si>
  <si>
    <t>Note: you will not have permanent equipment in your budget.  This is defined as things</t>
  </si>
  <si>
    <t>that cost more than $2500 and have a useful life of 5+ years</t>
  </si>
  <si>
    <t>Put it in the right category depending on where you are flying.</t>
  </si>
  <si>
    <t>Note: this is money to support things like outreach activities or gatherings</t>
  </si>
  <si>
    <t>(room rentals, hotels for guests participating in your work etc.)</t>
  </si>
  <si>
    <t>CONTRACTUAL SERVICES</t>
  </si>
  <si>
    <t>MATERIALS AND SUPPLIES</t>
  </si>
  <si>
    <t>CONTRACTUAL SERVICES SHEET</t>
  </si>
  <si>
    <t>This is the overhead UW will get for the work</t>
  </si>
  <si>
    <t>This is a weird NSF thing that seems always to be zero, so don't worry about it,.</t>
  </si>
  <si>
    <t>This is the total amount of money you need to do the project</t>
  </si>
  <si>
    <t>This person is mentoring you and collecting a little salary for that</t>
  </si>
  <si>
    <t>ClassStaff (secretary.)</t>
  </si>
  <si>
    <t>Exempt Staff (technicians)</t>
  </si>
  <si>
    <t>This is the amount of benefits money the UW will collect.</t>
  </si>
  <si>
    <t>Here is where you place your airline ticket price.</t>
  </si>
  <si>
    <t>SEE OTHER SHEET</t>
  </si>
  <si>
    <t>The total you are asking for prior to factoring in overhead</t>
  </si>
  <si>
    <t>This is an adjusted number because UW does not charge overhead for equipment or for tuition</t>
  </si>
  <si>
    <t>This is money to send your supplies in the mail (if needed) or to pay port entry fees, etc.</t>
  </si>
  <si>
    <t>If the grant was paying for a grad student it would also pay their tuition</t>
  </si>
  <si>
    <t>It costs money to publish papers</t>
  </si>
  <si>
    <t>SERVICES</t>
  </si>
  <si>
    <t>example: ship time on TGT at $33k/day</t>
  </si>
  <si>
    <t>NOTES</t>
  </si>
  <si>
    <t>Only account for the number of days YOU need for your project.  Include travel to your sites and time to collect the samples.</t>
  </si>
  <si>
    <t>example: nutrient analyses at $6 each</t>
  </si>
  <si>
    <t>Kathy Krogslund lab, this is a real charge to the class budget</t>
  </si>
  <si>
    <t>example: lab fee to use the molecular labs over in Ben Hall</t>
  </si>
  <si>
    <t>Ginger, Bob and Gabrielle's labs have bench fees we need to pay</t>
  </si>
  <si>
    <t xml:space="preserve">The following sheets show a typical NSF budget.  </t>
  </si>
  <si>
    <r>
      <t>the</t>
    </r>
    <r>
      <rPr>
        <b/>
        <sz val="10"/>
        <rFont val="Helv"/>
      </rPr>
      <t xml:space="preserve"> CONTRACTUAL SERVICES</t>
    </r>
    <r>
      <rPr>
        <sz val="10"/>
        <rFont val="Helv"/>
      </rPr>
      <t xml:space="preserve"> sheet</t>
    </r>
  </si>
  <si>
    <r>
      <t xml:space="preserve">the </t>
    </r>
    <r>
      <rPr>
        <b/>
        <sz val="10"/>
        <rFont val="Helv"/>
      </rPr>
      <t xml:space="preserve">WAGES </t>
    </r>
    <r>
      <rPr>
        <sz val="10"/>
        <rFont val="Helv"/>
      </rPr>
      <t>portion of the budget sheet</t>
    </r>
  </si>
  <si>
    <t>Use this sheet to list all the services you need</t>
  </si>
  <si>
    <t>services you need, and two columns to provide the cost of these</t>
  </si>
  <si>
    <t>Services you need to purchase (nutrient analyses, DNA 'scans') that will cost</t>
  </si>
  <si>
    <t>Services that are being provided to you 'for free' (the ship)</t>
  </si>
  <si>
    <t>We make this distinction because we need to keep track of the things that</t>
  </si>
  <si>
    <t>This is the type of sheet NSF will see, and it lists all the headers that NSF uses.</t>
  </si>
  <si>
    <t>Most of them you do not need to modify.  However, there are three places where</t>
  </si>
  <si>
    <t xml:space="preserve">your attention is needed.   Place your name and the cruise dates in the proper </t>
  </si>
  <si>
    <t>slots, add in the number of months you plan to work on the project, and add in your</t>
  </si>
  <si>
    <t xml:space="preserve">tracvel costs (airline tickets, etc).  The spreadsheet should do the rest. </t>
  </si>
  <si>
    <t>All grants are charged for benefits (insurance, retirement, etc.)</t>
  </si>
  <si>
    <t>These rates are negotiated between universities and the federal government</t>
  </si>
  <si>
    <t>and are not negotiable.</t>
  </si>
  <si>
    <t xml:space="preserve">A note on Overhead:  </t>
  </si>
  <si>
    <t xml:space="preserve">You will undoubtedly notice how expensive it is to conduct oceanographic research. </t>
  </si>
  <si>
    <t>Part of this is due to something called 'overhead'.  This is money collected to provide things like electricity</t>
  </si>
  <si>
    <t>and sewage disposal and to pay for repairs to buildings and labs, etc.  The UW negotiates</t>
  </si>
  <si>
    <t>with the federal government and together they set a rate every 5 years or so.</t>
  </si>
  <si>
    <t>Currently our rate of 54.5% means that for every $1 you spend on science, the UW collects</t>
  </si>
  <si>
    <t>54.5 cents to support infrastructure.  This may seem like a lot of money.  However,</t>
  </si>
  <si>
    <t xml:space="preserve">most for-profit companies charge overhead well in excess of 100%.  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</si>
</sst>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"/>
    <numFmt numFmtId="166" formatCode="&quot;$&quot;#,##0"/>
    <numFmt numFmtId="168" formatCode="&quot;$&quot;#,##0.00;[Red]&quot;$&quot;#,##0.00"/>
  </numFmts>
  <fonts count="23">
    <font>
      <sz val="10"/>
      <color indexed="24"/>
      <name val="Helv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0"/>
      <color indexed="8"/>
      <name val="Helv"/>
      <family val="2"/>
    </font>
    <font>
      <sz val="10"/>
      <color indexed="12"/>
      <name val="Helv"/>
    </font>
    <font>
      <sz val="10"/>
      <name val="Helv"/>
    </font>
    <font>
      <sz val="10"/>
      <color indexed="56"/>
      <name val="Helv"/>
      <family val="2"/>
    </font>
    <font>
      <sz val="10"/>
      <name val="Helv"/>
    </font>
    <font>
      <sz val="10"/>
      <name val="Helv"/>
    </font>
    <font>
      <sz val="10"/>
      <color indexed="12"/>
      <name val="Helv"/>
    </font>
    <font>
      <b/>
      <sz val="10"/>
      <color indexed="24"/>
      <name val="Helv"/>
    </font>
    <font>
      <b/>
      <sz val="11"/>
      <color indexed="24"/>
      <name val="Helv"/>
    </font>
    <font>
      <b/>
      <sz val="14"/>
      <name val="Helv"/>
    </font>
    <font>
      <b/>
      <sz val="10"/>
      <name val="Helv"/>
    </font>
    <font>
      <b/>
      <sz val="12"/>
      <color theme="4"/>
      <name val="Helv"/>
    </font>
    <font>
      <sz val="12"/>
      <color theme="4"/>
      <name val="Helv"/>
    </font>
    <font>
      <b/>
      <sz val="10"/>
      <color indexed="8"/>
      <name val="Helv"/>
    </font>
    <font>
      <b/>
      <sz val="10"/>
      <color indexed="12"/>
      <name val="Helv"/>
    </font>
    <font>
      <b/>
      <sz val="10"/>
      <color rgb="FF0000FF"/>
      <name val="Helv"/>
    </font>
    <font>
      <sz val="10"/>
      <name val="Helv"/>
      <family val="2"/>
    </font>
    <font>
      <b/>
      <sz val="10"/>
      <color indexed="56"/>
      <name val="Helv"/>
    </font>
    <font>
      <sz val="10"/>
      <color rgb="FF0000FF"/>
      <name val="Helv"/>
      <family val="2"/>
    </font>
    <font>
      <sz val="10"/>
      <color rgb="FF0000FF"/>
      <name val="Helv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/>
    <xf numFmtId="1" fontId="0" fillId="0" borderId="0" xfId="0" applyNumberFormat="1" applyFont="1"/>
    <xf numFmtId="0" fontId="1" fillId="0" borderId="0" xfId="0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1" fontId="4" fillId="0" borderId="0" xfId="0" applyNumberFormat="1" applyFont="1"/>
    <xf numFmtId="0" fontId="4" fillId="0" borderId="0" xfId="0" applyNumberFormat="1" applyFont="1" applyFill="1" applyBorder="1" applyAlignment="1" applyProtection="1"/>
    <xf numFmtId="164" fontId="1" fillId="0" borderId="0" xfId="0" applyNumberFormat="1" applyFont="1"/>
    <xf numFmtId="1" fontId="3" fillId="0" borderId="0" xfId="0" applyNumberFormat="1" applyFont="1" applyAlignment="1">
      <alignment horizont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1" fontId="4" fillId="0" borderId="2" xfId="0" applyNumberFormat="1" applyFont="1" applyBorder="1"/>
    <xf numFmtId="0" fontId="1" fillId="0" borderId="2" xfId="0" applyFont="1" applyBorder="1"/>
    <xf numFmtId="0" fontId="1" fillId="0" borderId="0" xfId="0" applyFont="1" applyBorder="1"/>
    <xf numFmtId="164" fontId="3" fillId="0" borderId="0" xfId="0" applyNumberFormat="1" applyFont="1" applyBorder="1"/>
    <xf numFmtId="164" fontId="1" fillId="0" borderId="0" xfId="0" applyNumberFormat="1" applyFont="1" applyBorder="1"/>
    <xf numFmtId="1" fontId="0" fillId="0" borderId="0" xfId="0" applyNumberFormat="1" applyFont="1" applyBorder="1"/>
    <xf numFmtId="0" fontId="0" fillId="0" borderId="0" xfId="0" applyFont="1" applyBorder="1"/>
    <xf numFmtId="1" fontId="4" fillId="0" borderId="7" xfId="0" applyNumberFormat="1" applyFont="1" applyBorder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Font="1" applyBorder="1"/>
    <xf numFmtId="1" fontId="0" fillId="0" borderId="7" xfId="0" applyNumberFormat="1" applyFont="1" applyBorder="1"/>
    <xf numFmtId="165" fontId="4" fillId="0" borderId="0" xfId="0" applyNumberFormat="1" applyFont="1"/>
    <xf numFmtId="166" fontId="1" fillId="0" borderId="0" xfId="0" applyNumberFormat="1" applyFont="1"/>
    <xf numFmtId="0" fontId="6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0" fontId="0" fillId="0" borderId="0" xfId="0" applyAlignme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0" fontId="5" fillId="0" borderId="7" xfId="0" applyFont="1" applyBorder="1"/>
    <xf numFmtId="0" fontId="14" fillId="0" borderId="0" xfId="0" applyFont="1" applyAlignment="1">
      <alignment horizontal="right"/>
    </xf>
    <xf numFmtId="0" fontId="13" fillId="0" borderId="9" xfId="0" applyFont="1" applyBorder="1" applyAlignment="1">
      <alignment horizontal="center"/>
    </xf>
    <xf numFmtId="168" fontId="15" fillId="0" borderId="1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8" fontId="1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68" fontId="5" fillId="0" borderId="0" xfId="0" applyNumberFormat="1" applyFont="1" applyAlignment="1">
      <alignment horizontal="left"/>
    </xf>
    <xf numFmtId="168" fontId="5" fillId="0" borderId="7" xfId="0" applyNumberFormat="1" applyFont="1" applyBorder="1" applyAlignment="1">
      <alignment horizontal="left"/>
    </xf>
    <xf numFmtId="22" fontId="16" fillId="0" borderId="0" xfId="0" applyNumberFormat="1" applyFont="1"/>
    <xf numFmtId="1" fontId="5" fillId="0" borderId="0" xfId="0" applyNumberFormat="1" applyFont="1"/>
    <xf numFmtId="0" fontId="12" fillId="0" borderId="7" xfId="0" applyFont="1" applyBorder="1"/>
    <xf numFmtId="1" fontId="5" fillId="0" borderId="7" xfId="0" applyNumberFormat="1" applyFont="1" applyBorder="1"/>
    <xf numFmtId="0" fontId="0" fillId="0" borderId="7" xfId="0" applyBorder="1"/>
    <xf numFmtId="0" fontId="0" fillId="0" borderId="5" xfId="0" applyFont="1" applyBorder="1"/>
    <xf numFmtId="164" fontId="3" fillId="0" borderId="4" xfId="0" applyNumberFormat="1" applyFont="1" applyBorder="1" applyAlignment="1">
      <alignment horizontal="right"/>
    </xf>
    <xf numFmtId="1" fontId="5" fillId="0" borderId="6" xfId="0" applyNumberFormat="1" applyFont="1" applyBorder="1" applyAlignment="1">
      <alignment horizontal="right"/>
    </xf>
    <xf numFmtId="0" fontId="0" fillId="0" borderId="8" xfId="0" applyFont="1" applyBorder="1"/>
    <xf numFmtId="1" fontId="1" fillId="0" borderId="0" xfId="0" applyNumberFormat="1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/>
    <xf numFmtId="0" fontId="0" fillId="0" borderId="3" xfId="0" applyBorder="1" applyAlignment="1"/>
    <xf numFmtId="0" fontId="10" fillId="0" borderId="6" xfId="0" applyFont="1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165" fontId="5" fillId="0" borderId="0" xfId="0" applyNumberFormat="1" applyFont="1" applyBorder="1"/>
    <xf numFmtId="165" fontId="5" fillId="0" borderId="7" xfId="0" applyNumberFormat="1" applyFont="1" applyBorder="1"/>
    <xf numFmtId="166" fontId="5" fillId="0" borderId="0" xfId="0" applyNumberFormat="1" applyFont="1"/>
    <xf numFmtId="0" fontId="5" fillId="0" borderId="0" xfId="0" applyNumberFormat="1" applyFont="1" applyFill="1" applyBorder="1" applyAlignment="1" applyProtection="1"/>
    <xf numFmtId="0" fontId="17" fillId="0" borderId="11" xfId="0" applyFont="1" applyBorder="1"/>
    <xf numFmtId="0" fontId="17" fillId="0" borderId="13" xfId="0" applyFont="1" applyBorder="1"/>
    <xf numFmtId="0" fontId="1" fillId="0" borderId="13" xfId="0" applyFont="1" applyBorder="1"/>
    <xf numFmtId="164" fontId="18" fillId="0" borderId="12" xfId="0" applyNumberFormat="1" applyFont="1" applyBorder="1"/>
    <xf numFmtId="1" fontId="17" fillId="0" borderId="13" xfId="0" applyNumberFormat="1" applyFont="1" applyBorder="1"/>
    <xf numFmtId="164" fontId="19" fillId="0" borderId="0" xfId="0" applyNumberFormat="1" applyFont="1"/>
    <xf numFmtId="0" fontId="4" fillId="0" borderId="2" xfId="0" applyFont="1" applyBorder="1"/>
    <xf numFmtId="0" fontId="6" fillId="0" borderId="2" xfId="0" applyFont="1" applyBorder="1"/>
    <xf numFmtId="0" fontId="4" fillId="0" borderId="7" xfId="0" applyFont="1" applyBorder="1"/>
    <xf numFmtId="0" fontId="6" fillId="0" borderId="7" xfId="0" applyFont="1" applyBorder="1"/>
    <xf numFmtId="164" fontId="20" fillId="0" borderId="3" xfId="0" applyNumberFormat="1" applyFont="1" applyBorder="1"/>
    <xf numFmtId="164" fontId="20" fillId="0" borderId="8" xfId="0" applyNumberFormat="1" applyFont="1" applyBorder="1"/>
    <xf numFmtId="0" fontId="18" fillId="0" borderId="1" xfId="0" applyFont="1" applyBorder="1"/>
    <xf numFmtId="0" fontId="18" fillId="0" borderId="6" xfId="0" applyFont="1" applyBorder="1"/>
    <xf numFmtId="0" fontId="18" fillId="0" borderId="11" xfId="0" applyFont="1" applyBorder="1"/>
    <xf numFmtId="0" fontId="18" fillId="0" borderId="13" xfId="0" applyFont="1" applyBorder="1"/>
    <xf numFmtId="1" fontId="18" fillId="0" borderId="13" xfId="0" applyNumberFormat="1" applyFont="1" applyBorder="1" applyAlignment="1">
      <alignment horizontal="center"/>
    </xf>
    <xf numFmtId="0" fontId="22" fillId="0" borderId="13" xfId="0" applyFont="1" applyBorder="1"/>
    <xf numFmtId="1" fontId="22" fillId="0" borderId="13" xfId="0" applyNumberFormat="1" applyFont="1" applyBorder="1"/>
    <xf numFmtId="1" fontId="13" fillId="2" borderId="9" xfId="0" applyNumberFormat="1" applyFont="1" applyFill="1" applyBorder="1" applyAlignment="1">
      <alignment horizontal="center"/>
    </xf>
    <xf numFmtId="164" fontId="13" fillId="2" borderId="10" xfId="0" applyNumberFormat="1" applyFont="1" applyFill="1" applyBorder="1" applyAlignment="1">
      <alignment horizontal="center"/>
    </xf>
    <xf numFmtId="164" fontId="21" fillId="0" borderId="0" xfId="0" applyNumberFormat="1" applyFont="1"/>
    <xf numFmtId="164" fontId="20" fillId="0" borderId="0" xfId="0" applyNumberFormat="1" applyFont="1"/>
    <xf numFmtId="164" fontId="16" fillId="0" borderId="0" xfId="0" applyNumberFormat="1" applyFont="1" applyBorder="1"/>
    <xf numFmtId="0" fontId="2" fillId="0" borderId="7" xfId="0" applyFont="1" applyBorder="1"/>
    <xf numFmtId="0" fontId="1" fillId="0" borderId="7" xfId="0" applyFont="1" applyBorder="1"/>
    <xf numFmtId="1" fontId="1" fillId="0" borderId="7" xfId="0" applyNumberFormat="1" applyFont="1" applyBorder="1"/>
    <xf numFmtId="164" fontId="1" fillId="0" borderId="7" xfId="0" applyNumberFormat="1" applyFont="1" applyBorder="1"/>
    <xf numFmtId="164" fontId="3" fillId="0" borderId="1" xfId="0" applyNumberFormat="1" applyFont="1" applyBorder="1" applyAlignment="1">
      <alignment horizontal="right"/>
    </xf>
    <xf numFmtId="165" fontId="5" fillId="0" borderId="2" xfId="0" applyNumberFormat="1" applyFont="1" applyBorder="1"/>
    <xf numFmtId="1" fontId="0" fillId="0" borderId="2" xfId="0" applyNumberFormat="1" applyFont="1" applyBorder="1"/>
    <xf numFmtId="0" fontId="0" fillId="0" borderId="3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>
      <selection activeCell="N59" sqref="N59"/>
    </sheetView>
  </sheetViews>
  <sheetFormatPr defaultRowHeight="12.75"/>
  <cols>
    <col min="1" max="16384" width="9.140625" style="15"/>
  </cols>
  <sheetData>
    <row r="1" spans="1:2" ht="19.5">
      <c r="A1" s="39" t="s">
        <v>38</v>
      </c>
    </row>
    <row r="3" spans="1:2">
      <c r="A3" s="15" t="s">
        <v>123</v>
      </c>
    </row>
    <row r="4" spans="1:2">
      <c r="A4" s="15" t="s">
        <v>44</v>
      </c>
    </row>
    <row r="6" spans="1:2">
      <c r="A6" s="15" t="s">
        <v>39</v>
      </c>
    </row>
    <row r="7" spans="1:2">
      <c r="A7" s="15">
        <v>1</v>
      </c>
      <c r="B7" s="15" t="s">
        <v>46</v>
      </c>
    </row>
    <row r="8" spans="1:2">
      <c r="A8" s="15">
        <v>2</v>
      </c>
      <c r="B8" s="15" t="s">
        <v>124</v>
      </c>
    </row>
    <row r="9" spans="1:2">
      <c r="A9" s="15">
        <v>3</v>
      </c>
      <c r="B9" s="15" t="s">
        <v>45</v>
      </c>
    </row>
    <row r="10" spans="1:2">
      <c r="A10" s="15">
        <v>4</v>
      </c>
      <c r="B10" s="15" t="s">
        <v>125</v>
      </c>
    </row>
    <row r="12" spans="1:2">
      <c r="A12" s="15" t="s">
        <v>40</v>
      </c>
    </row>
    <row r="13" spans="1:2">
      <c r="A13" s="15" t="s">
        <v>41</v>
      </c>
    </row>
    <row r="15" spans="1:2">
      <c r="A15" s="40" t="s">
        <v>42</v>
      </c>
    </row>
    <row r="16" spans="1:2">
      <c r="A16" s="15" t="s">
        <v>47</v>
      </c>
    </row>
    <row r="17" spans="1:2">
      <c r="A17" s="15" t="s">
        <v>48</v>
      </c>
    </row>
    <row r="18" spans="1:2">
      <c r="A18" s="15" t="s">
        <v>49</v>
      </c>
    </row>
    <row r="19" spans="1:2">
      <c r="A19" s="15" t="s">
        <v>50</v>
      </c>
    </row>
    <row r="20" spans="1:2">
      <c r="A20" s="15">
        <v>1</v>
      </c>
      <c r="B20" s="15" t="s">
        <v>51</v>
      </c>
    </row>
    <row r="21" spans="1:2">
      <c r="B21" s="15" t="s">
        <v>52</v>
      </c>
    </row>
    <row r="22" spans="1:2">
      <c r="B22" s="15" t="s">
        <v>54</v>
      </c>
    </row>
    <row r="23" spans="1:2">
      <c r="A23" s="15">
        <v>2</v>
      </c>
      <c r="B23" s="15" t="s">
        <v>53</v>
      </c>
    </row>
    <row r="24" spans="1:2">
      <c r="B24" s="15" t="s">
        <v>55</v>
      </c>
    </row>
    <row r="25" spans="1:2">
      <c r="B25" s="15" t="s">
        <v>69</v>
      </c>
    </row>
    <row r="26" spans="1:2">
      <c r="B26" s="15" t="s">
        <v>70</v>
      </c>
    </row>
    <row r="27" spans="1:2">
      <c r="B27" s="15" t="s">
        <v>71</v>
      </c>
    </row>
    <row r="28" spans="1:2">
      <c r="A28" s="15" t="s">
        <v>130</v>
      </c>
    </row>
    <row r="29" spans="1:2">
      <c r="A29" s="15" t="s">
        <v>57</v>
      </c>
    </row>
    <row r="30" spans="1:2">
      <c r="A30" s="15" t="s">
        <v>58</v>
      </c>
    </row>
    <row r="32" spans="1:2">
      <c r="A32" s="15" t="s">
        <v>59</v>
      </c>
    </row>
    <row r="33" spans="1:2">
      <c r="A33" s="15" t="s">
        <v>60</v>
      </c>
    </row>
    <row r="34" spans="1:2">
      <c r="A34" s="15" t="s">
        <v>61</v>
      </c>
    </row>
    <row r="36" spans="1:2">
      <c r="A36" s="40" t="s">
        <v>100</v>
      </c>
    </row>
    <row r="37" spans="1:2">
      <c r="A37" s="15" t="s">
        <v>126</v>
      </c>
    </row>
    <row r="38" spans="1:2">
      <c r="A38" s="15" t="s">
        <v>48</v>
      </c>
    </row>
    <row r="39" spans="1:2">
      <c r="A39" s="15" t="s">
        <v>127</v>
      </c>
    </row>
    <row r="40" spans="1:2">
      <c r="A40" s="15" t="s">
        <v>50</v>
      </c>
    </row>
    <row r="41" spans="1:2">
      <c r="A41" s="15">
        <v>1</v>
      </c>
      <c r="B41" s="15" t="s">
        <v>128</v>
      </c>
    </row>
    <row r="42" spans="1:2">
      <c r="B42" s="15" t="s">
        <v>52</v>
      </c>
    </row>
    <row r="43" spans="1:2">
      <c r="B43" s="15" t="s">
        <v>54</v>
      </c>
    </row>
    <row r="44" spans="1:2">
      <c r="A44" s="15">
        <v>2</v>
      </c>
      <c r="B44" s="15" t="s">
        <v>129</v>
      </c>
    </row>
    <row r="45" spans="1:2">
      <c r="B45" s="15" t="s">
        <v>55</v>
      </c>
    </row>
    <row r="47" spans="1:2">
      <c r="A47" s="15" t="s">
        <v>56</v>
      </c>
    </row>
    <row r="48" spans="1:2">
      <c r="A48" s="15" t="s">
        <v>57</v>
      </c>
    </row>
    <row r="49" spans="1:1">
      <c r="A49" s="15" t="s">
        <v>58</v>
      </c>
    </row>
    <row r="51" spans="1:1">
      <c r="A51" s="15" t="s">
        <v>59</v>
      </c>
    </row>
    <row r="52" spans="1:1">
      <c r="A52" s="15" t="s">
        <v>60</v>
      </c>
    </row>
    <row r="53" spans="1:1">
      <c r="A53" s="15" t="s">
        <v>61</v>
      </c>
    </row>
    <row r="55" spans="1:1">
      <c r="A55" s="40" t="s">
        <v>43</v>
      </c>
    </row>
    <row r="56" spans="1:1">
      <c r="A56" s="15" t="s">
        <v>131</v>
      </c>
    </row>
    <row r="57" spans="1:1">
      <c r="A57" s="15" t="s">
        <v>132</v>
      </c>
    </row>
    <row r="58" spans="1:1">
      <c r="A58" s="15" t="s">
        <v>133</v>
      </c>
    </row>
    <row r="59" spans="1:1">
      <c r="A59" s="15" t="s">
        <v>134</v>
      </c>
    </row>
    <row r="60" spans="1:1">
      <c r="A60" s="15" t="s">
        <v>135</v>
      </c>
    </row>
    <row r="62" spans="1:1">
      <c r="A62" s="40" t="s">
        <v>139</v>
      </c>
    </row>
    <row r="63" spans="1:1">
      <c r="A63" s="15" t="s">
        <v>140</v>
      </c>
    </row>
    <row r="64" spans="1:1">
      <c r="A64" s="15" t="s">
        <v>141</v>
      </c>
    </row>
    <row r="65" spans="1:1">
      <c r="A65" s="15" t="s">
        <v>142</v>
      </c>
    </row>
    <row r="66" spans="1:1">
      <c r="A66" s="15" t="s">
        <v>143</v>
      </c>
    </row>
    <row r="67" spans="1:1">
      <c r="A67" s="15" t="s">
        <v>144</v>
      </c>
    </row>
    <row r="68" spans="1:1">
      <c r="A68" s="15" t="s">
        <v>145</v>
      </c>
    </row>
    <row r="69" spans="1:1">
      <c r="A69" s="15" t="s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7"/>
  <sheetViews>
    <sheetView workbookViewId="0">
      <selection activeCell="A16" sqref="A16"/>
    </sheetView>
  </sheetViews>
  <sheetFormatPr defaultRowHeight="12.75"/>
  <cols>
    <col min="1" max="1" width="35.140625" style="15" customWidth="1"/>
    <col min="2" max="2" width="17.85546875" style="47" bestFit="1" customWidth="1"/>
    <col min="3" max="3" width="18.5703125" style="47" customWidth="1"/>
    <col min="4" max="4" width="20.5703125" style="51" customWidth="1"/>
    <col min="5" max="16384" width="9.140625" style="15"/>
  </cols>
  <sheetData>
    <row r="1" spans="1:4" ht="19.5">
      <c r="A1" s="39" t="s">
        <v>65</v>
      </c>
      <c r="D1" s="45" t="s">
        <v>68</v>
      </c>
    </row>
    <row r="2" spans="1:4" ht="16.5" thickBot="1">
      <c r="D2" s="46">
        <f>B4+C4</f>
        <v>1570</v>
      </c>
    </row>
    <row r="3" spans="1:4" s="41" customFormat="1" ht="24.75" customHeight="1" thickBot="1">
      <c r="A3" s="41" t="s">
        <v>62</v>
      </c>
      <c r="B3" s="42" t="s">
        <v>63</v>
      </c>
      <c r="C3" s="42" t="s">
        <v>64</v>
      </c>
      <c r="D3" s="42" t="s">
        <v>72</v>
      </c>
    </row>
    <row r="4" spans="1:4" ht="15.75">
      <c r="A4" s="44" t="s">
        <v>67</v>
      </c>
      <c r="B4" s="48">
        <f>SUM(B6:B300)</f>
        <v>34</v>
      </c>
      <c r="C4" s="48">
        <f>SUM(C6:C300)</f>
        <v>1536</v>
      </c>
    </row>
    <row r="5" spans="1:4">
      <c r="B5" s="49"/>
      <c r="C5" s="49"/>
      <c r="D5" s="52"/>
    </row>
    <row r="6" spans="1:4" s="43" customFormat="1" ht="13.5" thickBot="1">
      <c r="A6" s="41" t="s">
        <v>66</v>
      </c>
      <c r="B6" s="50"/>
      <c r="C6" s="50"/>
      <c r="D6" s="53"/>
    </row>
    <row r="7" spans="1:4">
      <c r="A7" s="15" t="s">
        <v>76</v>
      </c>
      <c r="B7" s="49">
        <v>34</v>
      </c>
      <c r="C7" s="49"/>
      <c r="D7" s="52" t="s">
        <v>73</v>
      </c>
    </row>
    <row r="8" spans="1:4">
      <c r="A8" s="15" t="s">
        <v>75</v>
      </c>
      <c r="B8" s="49"/>
      <c r="C8" s="49">
        <v>214</v>
      </c>
      <c r="D8" s="52" t="s">
        <v>74</v>
      </c>
    </row>
    <row r="9" spans="1:4">
      <c r="A9" s="15" t="s">
        <v>77</v>
      </c>
      <c r="B9" s="49"/>
      <c r="C9" s="49">
        <v>1243</v>
      </c>
      <c r="D9" s="52" t="s">
        <v>78</v>
      </c>
    </row>
    <row r="10" spans="1:4">
      <c r="A10" s="15" t="s">
        <v>79</v>
      </c>
      <c r="B10" s="49"/>
      <c r="C10" s="49">
        <v>79</v>
      </c>
      <c r="D10" s="52" t="s">
        <v>80</v>
      </c>
    </row>
    <row r="11" spans="1:4">
      <c r="B11" s="49"/>
      <c r="C11" s="49"/>
      <c r="D11" s="52"/>
    </row>
    <row r="12" spans="1:4">
      <c r="B12" s="49"/>
      <c r="C12" s="49"/>
      <c r="D12" s="52"/>
    </row>
    <row r="13" spans="1:4">
      <c r="B13" s="49"/>
      <c r="C13" s="49"/>
      <c r="D13" s="52"/>
    </row>
    <row r="14" spans="1:4">
      <c r="B14" s="49"/>
      <c r="C14" s="49"/>
      <c r="D14" s="52"/>
    </row>
    <row r="15" spans="1:4">
      <c r="B15" s="49"/>
      <c r="C15" s="49"/>
      <c r="D15" s="52"/>
    </row>
    <row r="16" spans="1:4">
      <c r="B16" s="49"/>
      <c r="C16" s="49"/>
      <c r="D16" s="52"/>
    </row>
    <row r="17" spans="2:4">
      <c r="B17" s="49"/>
      <c r="C17" s="49"/>
      <c r="D17" s="52"/>
    </row>
    <row r="18" spans="2:4">
      <c r="B18" s="49"/>
      <c r="C18" s="49"/>
      <c r="D18" s="52"/>
    </row>
    <row r="19" spans="2:4">
      <c r="B19" s="49"/>
      <c r="C19" s="49"/>
      <c r="D19" s="52"/>
    </row>
    <row r="20" spans="2:4">
      <c r="B20" s="49"/>
      <c r="C20" s="49"/>
      <c r="D20" s="52"/>
    </row>
    <row r="21" spans="2:4">
      <c r="B21" s="49"/>
      <c r="C21" s="49"/>
      <c r="D21" s="52"/>
    </row>
    <row r="22" spans="2:4">
      <c r="B22" s="49"/>
      <c r="C22" s="49"/>
      <c r="D22" s="52"/>
    </row>
    <row r="23" spans="2:4">
      <c r="B23" s="49"/>
      <c r="C23" s="49"/>
      <c r="D23" s="52"/>
    </row>
    <row r="24" spans="2:4">
      <c r="B24" s="49"/>
      <c r="C24" s="49"/>
      <c r="D24" s="52"/>
    </row>
    <row r="25" spans="2:4">
      <c r="B25" s="49"/>
      <c r="C25" s="49"/>
      <c r="D25" s="52"/>
    </row>
    <row r="26" spans="2:4">
      <c r="B26" s="49"/>
      <c r="C26" s="49"/>
      <c r="D26" s="52"/>
    </row>
    <row r="27" spans="2:4">
      <c r="B27" s="49"/>
      <c r="C27" s="49"/>
      <c r="D27" s="52"/>
    </row>
    <row r="28" spans="2:4">
      <c r="B28" s="49"/>
      <c r="C28" s="49"/>
      <c r="D28" s="52"/>
    </row>
    <row r="29" spans="2:4">
      <c r="B29" s="49"/>
      <c r="C29" s="49"/>
      <c r="D29" s="52"/>
    </row>
    <row r="30" spans="2:4">
      <c r="B30" s="49"/>
      <c r="C30" s="49"/>
      <c r="D30" s="52"/>
    </row>
    <row r="31" spans="2:4">
      <c r="B31" s="49"/>
      <c r="C31" s="49"/>
      <c r="D31" s="52"/>
    </row>
    <row r="32" spans="2:4">
      <c r="B32" s="49"/>
      <c r="C32" s="49"/>
      <c r="D32" s="52"/>
    </row>
    <row r="33" spans="2:4">
      <c r="B33" s="49"/>
      <c r="C33" s="49"/>
      <c r="D33" s="52"/>
    </row>
    <row r="34" spans="2:4">
      <c r="B34" s="49"/>
      <c r="C34" s="49"/>
      <c r="D34" s="52"/>
    </row>
    <row r="35" spans="2:4">
      <c r="B35" s="49"/>
      <c r="C35" s="49"/>
      <c r="D35" s="52"/>
    </row>
    <row r="36" spans="2:4">
      <c r="B36" s="49"/>
      <c r="C36" s="49"/>
      <c r="D36" s="52"/>
    </row>
    <row r="37" spans="2:4">
      <c r="B37" s="49"/>
      <c r="C37" s="49"/>
      <c r="D37" s="52"/>
    </row>
    <row r="38" spans="2:4">
      <c r="B38" s="49"/>
      <c r="C38" s="49"/>
      <c r="D38" s="52"/>
    </row>
    <row r="39" spans="2:4">
      <c r="B39" s="49"/>
      <c r="C39" s="49"/>
      <c r="D39" s="52"/>
    </row>
    <row r="40" spans="2:4">
      <c r="B40" s="49"/>
      <c r="C40" s="49"/>
      <c r="D40" s="52"/>
    </row>
    <row r="41" spans="2:4">
      <c r="B41" s="49"/>
      <c r="C41" s="49"/>
      <c r="D41" s="52"/>
    </row>
    <row r="42" spans="2:4">
      <c r="B42" s="49"/>
      <c r="C42" s="49"/>
      <c r="D42" s="52"/>
    </row>
    <row r="43" spans="2:4">
      <c r="B43" s="49"/>
      <c r="C43" s="49"/>
      <c r="D43" s="52"/>
    </row>
    <row r="44" spans="2:4">
      <c r="B44" s="49"/>
      <c r="C44" s="49"/>
      <c r="D44" s="52"/>
    </row>
    <row r="45" spans="2:4">
      <c r="B45" s="49"/>
      <c r="C45" s="49"/>
      <c r="D45" s="52"/>
    </row>
    <row r="46" spans="2:4">
      <c r="B46" s="49"/>
      <c r="C46" s="49"/>
      <c r="D46" s="52"/>
    </row>
    <row r="47" spans="2:4">
      <c r="B47" s="49"/>
      <c r="C47" s="49"/>
      <c r="D47" s="52"/>
    </row>
    <row r="48" spans="2:4">
      <c r="B48" s="49"/>
      <c r="C48" s="49"/>
      <c r="D48" s="52"/>
    </row>
    <row r="49" spans="2:4">
      <c r="B49" s="49"/>
      <c r="C49" s="49"/>
      <c r="D49" s="52"/>
    </row>
    <row r="50" spans="2:4">
      <c r="B50" s="49"/>
      <c r="C50" s="49"/>
      <c r="D50" s="52"/>
    </row>
    <row r="51" spans="2:4">
      <c r="B51" s="49"/>
      <c r="C51" s="49"/>
      <c r="D51" s="52"/>
    </row>
    <row r="52" spans="2:4">
      <c r="B52" s="49"/>
      <c r="C52" s="49"/>
      <c r="D52" s="52"/>
    </row>
    <row r="53" spans="2:4">
      <c r="B53" s="49"/>
      <c r="C53" s="49"/>
      <c r="D53" s="52"/>
    </row>
    <row r="54" spans="2:4">
      <c r="B54" s="49"/>
      <c r="C54" s="49"/>
      <c r="D54" s="52"/>
    </row>
    <row r="55" spans="2:4">
      <c r="B55" s="49"/>
      <c r="C55" s="49"/>
      <c r="D55" s="52"/>
    </row>
    <row r="56" spans="2:4">
      <c r="B56" s="49"/>
      <c r="C56" s="49"/>
      <c r="D56" s="52"/>
    </row>
    <row r="57" spans="2:4">
      <c r="B57" s="49"/>
      <c r="C57" s="49"/>
      <c r="D57" s="52"/>
    </row>
    <row r="58" spans="2:4">
      <c r="B58" s="49"/>
      <c r="C58" s="49"/>
      <c r="D58" s="52"/>
    </row>
    <row r="59" spans="2:4">
      <c r="B59" s="49"/>
      <c r="C59" s="49"/>
      <c r="D59" s="52"/>
    </row>
    <row r="60" spans="2:4">
      <c r="B60" s="49"/>
      <c r="C60" s="49"/>
      <c r="D60" s="52"/>
    </row>
    <row r="61" spans="2:4">
      <c r="B61" s="49"/>
      <c r="C61" s="49"/>
      <c r="D61" s="52"/>
    </row>
    <row r="62" spans="2:4">
      <c r="B62" s="49"/>
      <c r="C62" s="49"/>
      <c r="D62" s="52"/>
    </row>
    <row r="63" spans="2:4">
      <c r="B63" s="49"/>
      <c r="C63" s="49"/>
      <c r="D63" s="52"/>
    </row>
    <row r="64" spans="2:4">
      <c r="B64" s="49"/>
      <c r="C64" s="49"/>
      <c r="D64" s="52"/>
    </row>
    <row r="65" spans="2:4">
      <c r="B65" s="49"/>
      <c r="C65" s="49"/>
      <c r="D65" s="52"/>
    </row>
    <row r="66" spans="2:4">
      <c r="B66" s="49"/>
      <c r="C66" s="49"/>
      <c r="D66" s="52"/>
    </row>
    <row r="67" spans="2:4">
      <c r="B67" s="49"/>
      <c r="C67" s="49"/>
      <c r="D67" s="52"/>
    </row>
    <row r="68" spans="2:4">
      <c r="B68" s="49"/>
      <c r="C68" s="49"/>
      <c r="D68" s="52"/>
    </row>
    <row r="69" spans="2:4">
      <c r="B69" s="49"/>
      <c r="C69" s="49"/>
      <c r="D69" s="52"/>
    </row>
    <row r="70" spans="2:4">
      <c r="B70" s="49"/>
      <c r="C70" s="49"/>
      <c r="D70" s="52"/>
    </row>
    <row r="71" spans="2:4">
      <c r="B71" s="49"/>
      <c r="C71" s="49"/>
      <c r="D71" s="52"/>
    </row>
    <row r="72" spans="2:4">
      <c r="B72" s="49"/>
      <c r="C72" s="49"/>
      <c r="D72" s="52"/>
    </row>
    <row r="73" spans="2:4">
      <c r="B73" s="49"/>
      <c r="C73" s="49"/>
      <c r="D73" s="52"/>
    </row>
    <row r="74" spans="2:4">
      <c r="B74" s="49"/>
      <c r="C74" s="49"/>
      <c r="D74" s="52"/>
    </row>
    <row r="75" spans="2:4">
      <c r="B75" s="49"/>
      <c r="C75" s="49"/>
      <c r="D75" s="52"/>
    </row>
    <row r="76" spans="2:4">
      <c r="B76" s="49"/>
      <c r="C76" s="49"/>
      <c r="D76" s="52"/>
    </row>
    <row r="77" spans="2:4">
      <c r="B77" s="49"/>
      <c r="C77" s="49"/>
      <c r="D77" s="52"/>
    </row>
    <row r="78" spans="2:4">
      <c r="B78" s="49"/>
      <c r="C78" s="49"/>
      <c r="D78" s="52"/>
    </row>
    <row r="79" spans="2:4">
      <c r="B79" s="49"/>
      <c r="C79" s="49"/>
      <c r="D79" s="52"/>
    </row>
    <row r="80" spans="2:4">
      <c r="B80" s="49"/>
      <c r="C80" s="49"/>
      <c r="D80" s="52"/>
    </row>
    <row r="81" spans="2:4">
      <c r="B81" s="49"/>
      <c r="C81" s="49"/>
      <c r="D81" s="52"/>
    </row>
    <row r="82" spans="2:4">
      <c r="B82" s="49"/>
      <c r="C82" s="49"/>
      <c r="D82" s="52"/>
    </row>
    <row r="83" spans="2:4">
      <c r="B83" s="49"/>
      <c r="C83" s="49"/>
      <c r="D83" s="52"/>
    </row>
    <row r="84" spans="2:4">
      <c r="B84" s="49"/>
      <c r="C84" s="49"/>
      <c r="D84" s="52"/>
    </row>
    <row r="85" spans="2:4">
      <c r="B85" s="49"/>
      <c r="C85" s="49"/>
      <c r="D85" s="52"/>
    </row>
    <row r="86" spans="2:4">
      <c r="B86" s="49"/>
      <c r="C86" s="49"/>
      <c r="D86" s="52"/>
    </row>
    <row r="87" spans="2:4">
      <c r="B87" s="49"/>
      <c r="C87" s="49"/>
      <c r="D87" s="52"/>
    </row>
    <row r="88" spans="2:4">
      <c r="B88" s="49"/>
      <c r="C88" s="49"/>
      <c r="D88" s="52"/>
    </row>
    <row r="89" spans="2:4">
      <c r="B89" s="49"/>
      <c r="C89" s="49"/>
      <c r="D89" s="52"/>
    </row>
    <row r="90" spans="2:4">
      <c r="B90" s="49"/>
      <c r="C90" s="49"/>
      <c r="D90" s="52"/>
    </row>
    <row r="91" spans="2:4">
      <c r="B91" s="49"/>
      <c r="C91" s="49"/>
      <c r="D91" s="52"/>
    </row>
    <row r="92" spans="2:4">
      <c r="B92" s="49"/>
      <c r="C92" s="49"/>
      <c r="D92" s="52"/>
    </row>
    <row r="93" spans="2:4">
      <c r="B93" s="49"/>
      <c r="C93" s="49"/>
      <c r="D93" s="52"/>
    </row>
    <row r="94" spans="2:4">
      <c r="B94" s="49"/>
      <c r="C94" s="49"/>
      <c r="D94" s="52"/>
    </row>
    <row r="95" spans="2:4">
      <c r="B95" s="49"/>
      <c r="C95" s="49"/>
      <c r="D95" s="52"/>
    </row>
    <row r="96" spans="2:4">
      <c r="B96" s="49"/>
      <c r="C96" s="49"/>
      <c r="D96" s="52"/>
    </row>
    <row r="97" spans="2:4">
      <c r="B97" s="49"/>
      <c r="C97" s="49"/>
      <c r="D97" s="52"/>
    </row>
    <row r="98" spans="2:4">
      <c r="B98" s="49"/>
      <c r="C98" s="49"/>
      <c r="D98" s="52"/>
    </row>
    <row r="99" spans="2:4">
      <c r="B99" s="49"/>
      <c r="C99" s="49"/>
      <c r="D99" s="52"/>
    </row>
    <row r="100" spans="2:4">
      <c r="B100" s="49"/>
      <c r="C100" s="49"/>
      <c r="D100" s="52"/>
    </row>
    <row r="101" spans="2:4">
      <c r="B101" s="49"/>
      <c r="C101" s="49"/>
      <c r="D101" s="52"/>
    </row>
    <row r="102" spans="2:4">
      <c r="B102" s="49"/>
      <c r="C102" s="49"/>
      <c r="D102" s="52"/>
    </row>
    <row r="103" spans="2:4">
      <c r="B103" s="49"/>
      <c r="C103" s="49"/>
      <c r="D103" s="52"/>
    </row>
    <row r="104" spans="2:4">
      <c r="B104" s="49"/>
      <c r="C104" s="49"/>
      <c r="D104" s="52"/>
    </row>
    <row r="105" spans="2:4">
      <c r="B105" s="49"/>
      <c r="C105" s="49"/>
      <c r="D105" s="52"/>
    </row>
    <row r="106" spans="2:4">
      <c r="B106" s="49"/>
      <c r="C106" s="49"/>
      <c r="D106" s="52"/>
    </row>
    <row r="107" spans="2:4">
      <c r="B107" s="49"/>
      <c r="C107" s="49"/>
      <c r="D107" s="52"/>
    </row>
    <row r="108" spans="2:4">
      <c r="B108" s="49"/>
      <c r="C108" s="49"/>
      <c r="D108" s="52"/>
    </row>
    <row r="109" spans="2:4">
      <c r="B109" s="49"/>
      <c r="C109" s="49"/>
      <c r="D109" s="52"/>
    </row>
    <row r="110" spans="2:4">
      <c r="B110" s="49"/>
      <c r="C110" s="49"/>
      <c r="D110" s="52"/>
    </row>
    <row r="111" spans="2:4">
      <c r="B111" s="49"/>
      <c r="C111" s="49"/>
      <c r="D111" s="52"/>
    </row>
    <row r="112" spans="2:4">
      <c r="B112" s="49"/>
      <c r="C112" s="49"/>
      <c r="D112" s="52"/>
    </row>
    <row r="113" spans="2:4">
      <c r="B113" s="49"/>
      <c r="C113" s="49"/>
      <c r="D113" s="52"/>
    </row>
    <row r="114" spans="2:4">
      <c r="B114" s="49"/>
      <c r="C114" s="49"/>
      <c r="D114" s="52"/>
    </row>
    <row r="115" spans="2:4">
      <c r="B115" s="49"/>
      <c r="C115" s="49"/>
      <c r="D115" s="52"/>
    </row>
    <row r="116" spans="2:4">
      <c r="B116" s="49"/>
      <c r="C116" s="49"/>
      <c r="D116" s="52"/>
    </row>
    <row r="117" spans="2:4">
      <c r="B117" s="49"/>
      <c r="C117" s="49"/>
      <c r="D117" s="52"/>
    </row>
    <row r="118" spans="2:4">
      <c r="B118" s="49"/>
      <c r="C118" s="49"/>
      <c r="D118" s="52"/>
    </row>
    <row r="119" spans="2:4">
      <c r="B119" s="49"/>
      <c r="C119" s="49"/>
      <c r="D119" s="52"/>
    </row>
    <row r="120" spans="2:4">
      <c r="B120" s="49"/>
      <c r="C120" s="49"/>
      <c r="D120" s="52"/>
    </row>
    <row r="121" spans="2:4">
      <c r="B121" s="49"/>
      <c r="C121" s="49"/>
      <c r="D121" s="52"/>
    </row>
    <row r="122" spans="2:4">
      <c r="B122" s="49"/>
      <c r="C122" s="49"/>
      <c r="D122" s="52"/>
    </row>
    <row r="123" spans="2:4">
      <c r="B123" s="49"/>
      <c r="C123" s="49"/>
      <c r="D123" s="52"/>
    </row>
    <row r="124" spans="2:4">
      <c r="B124" s="49"/>
      <c r="C124" s="49"/>
      <c r="D124" s="52"/>
    </row>
    <row r="125" spans="2:4">
      <c r="B125" s="49"/>
      <c r="C125" s="49"/>
      <c r="D125" s="52"/>
    </row>
    <row r="126" spans="2:4">
      <c r="B126" s="49"/>
      <c r="C126" s="49"/>
      <c r="D126" s="52"/>
    </row>
    <row r="127" spans="2:4">
      <c r="B127" s="49"/>
      <c r="C127" s="49"/>
      <c r="D127" s="52"/>
    </row>
    <row r="128" spans="2:4">
      <c r="B128" s="49"/>
      <c r="C128" s="49"/>
      <c r="D128" s="52"/>
    </row>
    <row r="129" spans="2:4">
      <c r="B129" s="49"/>
      <c r="C129" s="49"/>
      <c r="D129" s="52"/>
    </row>
    <row r="130" spans="2:4">
      <c r="B130" s="49"/>
      <c r="C130" s="49"/>
      <c r="D130" s="52"/>
    </row>
    <row r="131" spans="2:4">
      <c r="B131" s="49"/>
      <c r="C131" s="49"/>
      <c r="D131" s="52"/>
    </row>
    <row r="132" spans="2:4">
      <c r="B132" s="49"/>
      <c r="C132" s="49"/>
      <c r="D132" s="52"/>
    </row>
    <row r="133" spans="2:4">
      <c r="B133" s="49"/>
      <c r="C133" s="49"/>
      <c r="D133" s="52"/>
    </row>
    <row r="134" spans="2:4">
      <c r="B134" s="49"/>
      <c r="C134" s="49"/>
      <c r="D134" s="52"/>
    </row>
    <row r="135" spans="2:4">
      <c r="B135" s="49"/>
      <c r="C135" s="49"/>
      <c r="D135" s="52"/>
    </row>
    <row r="136" spans="2:4">
      <c r="B136" s="49"/>
      <c r="C136" s="49"/>
      <c r="D136" s="52"/>
    </row>
    <row r="137" spans="2:4">
      <c r="B137" s="49"/>
      <c r="C137" s="49"/>
      <c r="D137" s="52"/>
    </row>
    <row r="138" spans="2:4">
      <c r="B138" s="49"/>
      <c r="C138" s="49"/>
      <c r="D138" s="52"/>
    </row>
    <row r="139" spans="2:4">
      <c r="B139" s="49"/>
      <c r="C139" s="49"/>
      <c r="D139" s="52"/>
    </row>
    <row r="140" spans="2:4">
      <c r="B140" s="49"/>
      <c r="C140" s="49"/>
      <c r="D140" s="52"/>
    </row>
    <row r="141" spans="2:4">
      <c r="B141" s="49"/>
      <c r="C141" s="49"/>
      <c r="D141" s="52"/>
    </row>
    <row r="142" spans="2:4">
      <c r="B142" s="49"/>
      <c r="C142" s="49"/>
      <c r="D142" s="52"/>
    </row>
    <row r="143" spans="2:4">
      <c r="B143" s="49"/>
      <c r="C143" s="49"/>
      <c r="D143" s="52"/>
    </row>
    <row r="144" spans="2:4">
      <c r="B144" s="49"/>
      <c r="C144" s="49"/>
      <c r="D144" s="52"/>
    </row>
    <row r="145" spans="2:4">
      <c r="B145" s="49"/>
      <c r="C145" s="49"/>
      <c r="D145" s="52"/>
    </row>
    <row r="146" spans="2:4">
      <c r="B146" s="49"/>
      <c r="C146" s="49"/>
      <c r="D146" s="52"/>
    </row>
    <row r="147" spans="2:4">
      <c r="B147" s="49"/>
      <c r="C147" s="49"/>
      <c r="D147" s="52"/>
    </row>
    <row r="148" spans="2:4">
      <c r="B148" s="49"/>
      <c r="C148" s="49"/>
      <c r="D148" s="52"/>
    </row>
    <row r="149" spans="2:4">
      <c r="B149" s="49"/>
      <c r="C149" s="49"/>
      <c r="D149" s="52"/>
    </row>
    <row r="150" spans="2:4">
      <c r="B150" s="49"/>
      <c r="C150" s="49"/>
      <c r="D150" s="52"/>
    </row>
    <row r="151" spans="2:4">
      <c r="B151" s="49"/>
      <c r="C151" s="49"/>
      <c r="D151" s="52"/>
    </row>
    <row r="152" spans="2:4">
      <c r="B152" s="49"/>
      <c r="C152" s="49"/>
      <c r="D152" s="52"/>
    </row>
    <row r="153" spans="2:4">
      <c r="B153" s="49"/>
      <c r="C153" s="49"/>
      <c r="D153" s="52"/>
    </row>
    <row r="154" spans="2:4">
      <c r="B154" s="49"/>
      <c r="C154" s="49"/>
      <c r="D154" s="52"/>
    </row>
    <row r="155" spans="2:4">
      <c r="B155" s="49"/>
      <c r="C155" s="49"/>
      <c r="D155" s="52"/>
    </row>
    <row r="156" spans="2:4">
      <c r="B156" s="49"/>
      <c r="C156" s="49"/>
      <c r="D156" s="52"/>
    </row>
    <row r="157" spans="2:4">
      <c r="B157" s="49"/>
      <c r="C157" s="49"/>
      <c r="D157" s="52"/>
    </row>
    <row r="158" spans="2:4">
      <c r="B158" s="49"/>
      <c r="C158" s="49"/>
      <c r="D158" s="52"/>
    </row>
    <row r="159" spans="2:4">
      <c r="B159" s="49"/>
      <c r="C159" s="49"/>
      <c r="D159" s="52"/>
    </row>
    <row r="160" spans="2:4">
      <c r="B160" s="49"/>
      <c r="C160" s="49"/>
      <c r="D160" s="52"/>
    </row>
    <row r="161" spans="2:4">
      <c r="B161" s="49"/>
      <c r="C161" s="49"/>
      <c r="D161" s="52"/>
    </row>
    <row r="162" spans="2:4">
      <c r="B162" s="49"/>
      <c r="C162" s="49"/>
      <c r="D162" s="52"/>
    </row>
    <row r="163" spans="2:4">
      <c r="B163" s="49"/>
      <c r="C163" s="49"/>
      <c r="D163" s="52"/>
    </row>
    <row r="164" spans="2:4">
      <c r="B164" s="49"/>
      <c r="C164" s="49"/>
      <c r="D164" s="52"/>
    </row>
    <row r="165" spans="2:4">
      <c r="B165" s="49"/>
      <c r="C165" s="49"/>
      <c r="D165" s="52"/>
    </row>
    <row r="166" spans="2:4">
      <c r="B166" s="49"/>
      <c r="C166" s="49"/>
      <c r="D166" s="52"/>
    </row>
    <row r="167" spans="2:4">
      <c r="B167" s="49"/>
      <c r="C167" s="49"/>
      <c r="D167" s="52"/>
    </row>
    <row r="168" spans="2:4">
      <c r="B168" s="49"/>
      <c r="C168" s="49"/>
      <c r="D168" s="52"/>
    </row>
    <row r="169" spans="2:4">
      <c r="B169" s="49"/>
      <c r="C169" s="49"/>
      <c r="D169" s="52"/>
    </row>
    <row r="170" spans="2:4">
      <c r="B170" s="49"/>
      <c r="C170" s="49"/>
      <c r="D170" s="52"/>
    </row>
    <row r="171" spans="2:4">
      <c r="B171" s="49"/>
      <c r="C171" s="49"/>
      <c r="D171" s="52"/>
    </row>
    <row r="172" spans="2:4">
      <c r="B172" s="49"/>
      <c r="C172" s="49"/>
      <c r="D172" s="52"/>
    </row>
    <row r="173" spans="2:4">
      <c r="B173" s="49"/>
      <c r="C173" s="49"/>
      <c r="D173" s="52"/>
    </row>
    <row r="174" spans="2:4">
      <c r="B174" s="49"/>
      <c r="C174" s="49"/>
      <c r="D174" s="52"/>
    </row>
    <row r="175" spans="2:4">
      <c r="B175" s="49"/>
      <c r="C175" s="49"/>
      <c r="D175" s="52"/>
    </row>
    <row r="176" spans="2:4">
      <c r="B176" s="49"/>
      <c r="C176" s="49"/>
      <c r="D176" s="52"/>
    </row>
    <row r="177" spans="2:4">
      <c r="B177" s="49"/>
      <c r="C177" s="49"/>
      <c r="D177" s="52"/>
    </row>
    <row r="178" spans="2:4">
      <c r="B178" s="49"/>
      <c r="C178" s="49"/>
      <c r="D178" s="52"/>
    </row>
    <row r="179" spans="2:4">
      <c r="B179" s="49"/>
      <c r="C179" s="49"/>
      <c r="D179" s="52"/>
    </row>
    <row r="180" spans="2:4">
      <c r="B180" s="49"/>
      <c r="C180" s="49"/>
      <c r="D180" s="52"/>
    </row>
    <row r="181" spans="2:4">
      <c r="B181" s="49"/>
      <c r="C181" s="49"/>
      <c r="D181" s="52"/>
    </row>
    <row r="182" spans="2:4">
      <c r="B182" s="49"/>
      <c r="C182" s="49"/>
      <c r="D182" s="52"/>
    </row>
    <row r="183" spans="2:4">
      <c r="B183" s="49"/>
      <c r="C183" s="49"/>
      <c r="D183" s="52"/>
    </row>
    <row r="184" spans="2:4">
      <c r="B184" s="49"/>
      <c r="C184" s="49"/>
      <c r="D184" s="52"/>
    </row>
    <row r="185" spans="2:4">
      <c r="B185" s="49"/>
      <c r="C185" s="49"/>
      <c r="D185" s="52"/>
    </row>
    <row r="186" spans="2:4">
      <c r="B186" s="49"/>
      <c r="C186" s="49"/>
      <c r="D186" s="52"/>
    </row>
    <row r="187" spans="2:4">
      <c r="B187" s="49"/>
      <c r="C187" s="49"/>
      <c r="D187" s="52"/>
    </row>
    <row r="188" spans="2:4">
      <c r="B188" s="49"/>
      <c r="C188" s="49"/>
      <c r="D188" s="52"/>
    </row>
    <row r="189" spans="2:4">
      <c r="B189" s="49"/>
      <c r="C189" s="49"/>
      <c r="D189" s="52"/>
    </row>
    <row r="190" spans="2:4">
      <c r="B190" s="49"/>
      <c r="C190" s="49"/>
      <c r="D190" s="52"/>
    </row>
    <row r="191" spans="2:4">
      <c r="B191" s="49"/>
      <c r="C191" s="49"/>
      <c r="D191" s="52"/>
    </row>
    <row r="192" spans="2:4">
      <c r="B192" s="49"/>
      <c r="C192" s="49"/>
      <c r="D192" s="52"/>
    </row>
    <row r="193" spans="2:4">
      <c r="B193" s="49"/>
      <c r="C193" s="49"/>
      <c r="D193" s="52"/>
    </row>
    <row r="194" spans="2:4">
      <c r="B194" s="49"/>
      <c r="C194" s="49"/>
      <c r="D194" s="52"/>
    </row>
    <row r="195" spans="2:4">
      <c r="B195" s="49"/>
      <c r="C195" s="49"/>
      <c r="D195" s="52"/>
    </row>
    <row r="196" spans="2:4">
      <c r="B196" s="49"/>
      <c r="C196" s="49"/>
      <c r="D196" s="52"/>
    </row>
    <row r="197" spans="2:4">
      <c r="B197" s="49"/>
      <c r="C197" s="49"/>
      <c r="D197" s="52"/>
    </row>
    <row r="198" spans="2:4">
      <c r="B198" s="49"/>
      <c r="C198" s="49"/>
      <c r="D198" s="52"/>
    </row>
    <row r="199" spans="2:4">
      <c r="B199" s="49"/>
      <c r="C199" s="49"/>
      <c r="D199" s="52"/>
    </row>
    <row r="200" spans="2:4">
      <c r="B200" s="49"/>
      <c r="C200" s="49"/>
      <c r="D200" s="52"/>
    </row>
    <row r="201" spans="2:4">
      <c r="B201" s="49"/>
      <c r="C201" s="49"/>
      <c r="D201" s="52"/>
    </row>
    <row r="202" spans="2:4">
      <c r="B202" s="49"/>
      <c r="C202" s="49"/>
      <c r="D202" s="52"/>
    </row>
    <row r="203" spans="2:4">
      <c r="B203" s="49"/>
      <c r="C203" s="49"/>
      <c r="D203" s="52"/>
    </row>
    <row r="204" spans="2:4">
      <c r="B204" s="49"/>
      <c r="C204" s="49"/>
      <c r="D204" s="52"/>
    </row>
    <row r="205" spans="2:4">
      <c r="B205" s="49"/>
      <c r="C205" s="49"/>
      <c r="D205" s="52"/>
    </row>
    <row r="206" spans="2:4">
      <c r="B206" s="49"/>
      <c r="C206" s="49"/>
      <c r="D206" s="52"/>
    </row>
    <row r="207" spans="2:4">
      <c r="B207" s="49"/>
      <c r="C207" s="49"/>
      <c r="D207" s="52"/>
    </row>
    <row r="208" spans="2:4">
      <c r="B208" s="49"/>
      <c r="C208" s="49"/>
      <c r="D208" s="52"/>
    </row>
    <row r="209" spans="2:4">
      <c r="B209" s="49"/>
      <c r="C209" s="49"/>
      <c r="D209" s="52"/>
    </row>
    <row r="210" spans="2:4">
      <c r="B210" s="49"/>
      <c r="C210" s="49"/>
      <c r="D210" s="52"/>
    </row>
    <row r="211" spans="2:4">
      <c r="B211" s="49"/>
      <c r="C211" s="49"/>
      <c r="D211" s="52"/>
    </row>
    <row r="212" spans="2:4">
      <c r="B212" s="49"/>
      <c r="C212" s="49"/>
      <c r="D212" s="52"/>
    </row>
    <row r="213" spans="2:4">
      <c r="B213" s="49"/>
      <c r="C213" s="49"/>
      <c r="D213" s="52"/>
    </row>
    <row r="214" spans="2:4">
      <c r="B214" s="49"/>
      <c r="C214" s="49"/>
      <c r="D214" s="52"/>
    </row>
    <row r="215" spans="2:4">
      <c r="B215" s="49"/>
      <c r="C215" s="49"/>
      <c r="D215" s="52"/>
    </row>
    <row r="216" spans="2:4">
      <c r="B216" s="49"/>
      <c r="C216" s="49"/>
      <c r="D216" s="52"/>
    </row>
    <row r="217" spans="2:4">
      <c r="B217" s="49"/>
      <c r="C217" s="49"/>
      <c r="D217" s="52"/>
    </row>
    <row r="218" spans="2:4">
      <c r="B218" s="49"/>
      <c r="C218" s="49"/>
      <c r="D218" s="52"/>
    </row>
    <row r="219" spans="2:4">
      <c r="B219" s="49"/>
      <c r="C219" s="49"/>
      <c r="D219" s="52"/>
    </row>
    <row r="220" spans="2:4">
      <c r="B220" s="49"/>
      <c r="C220" s="49"/>
      <c r="D220" s="52"/>
    </row>
    <row r="221" spans="2:4">
      <c r="B221" s="49"/>
      <c r="C221" s="49"/>
      <c r="D221" s="52"/>
    </row>
    <row r="222" spans="2:4">
      <c r="B222" s="49"/>
      <c r="C222" s="49"/>
      <c r="D222" s="52"/>
    </row>
    <row r="223" spans="2:4">
      <c r="B223" s="49"/>
      <c r="C223" s="49"/>
      <c r="D223" s="52"/>
    </row>
    <row r="224" spans="2:4">
      <c r="B224" s="49"/>
      <c r="C224" s="49"/>
      <c r="D224" s="52"/>
    </row>
    <row r="225" spans="2:4">
      <c r="B225" s="49"/>
      <c r="C225" s="49"/>
      <c r="D225" s="52"/>
    </row>
    <row r="226" spans="2:4">
      <c r="B226" s="49"/>
      <c r="C226" s="49"/>
      <c r="D226" s="52"/>
    </row>
    <row r="227" spans="2:4">
      <c r="B227" s="49"/>
      <c r="C227" s="49"/>
      <c r="D227" s="52"/>
    </row>
    <row r="228" spans="2:4">
      <c r="B228" s="49"/>
      <c r="C228" s="49"/>
      <c r="D228" s="52"/>
    </row>
    <row r="229" spans="2:4">
      <c r="B229" s="49"/>
      <c r="C229" s="49"/>
      <c r="D229" s="52"/>
    </row>
    <row r="230" spans="2:4">
      <c r="B230" s="49"/>
      <c r="C230" s="49"/>
      <c r="D230" s="52"/>
    </row>
    <row r="231" spans="2:4">
      <c r="B231" s="49"/>
      <c r="C231" s="49"/>
      <c r="D231" s="52"/>
    </row>
    <row r="232" spans="2:4">
      <c r="B232" s="49"/>
      <c r="C232" s="49"/>
      <c r="D232" s="52"/>
    </row>
    <row r="233" spans="2:4">
      <c r="B233" s="49"/>
      <c r="C233" s="49"/>
      <c r="D233" s="52"/>
    </row>
    <row r="234" spans="2:4">
      <c r="B234" s="49"/>
      <c r="C234" s="49"/>
      <c r="D234" s="52"/>
    </row>
    <row r="235" spans="2:4">
      <c r="B235" s="49"/>
      <c r="C235" s="49"/>
      <c r="D235" s="52"/>
    </row>
    <row r="236" spans="2:4">
      <c r="B236" s="49"/>
      <c r="C236" s="49"/>
      <c r="D236" s="52"/>
    </row>
    <row r="237" spans="2:4">
      <c r="B237" s="49"/>
      <c r="C237" s="49"/>
      <c r="D237" s="52"/>
    </row>
    <row r="238" spans="2:4">
      <c r="B238" s="49"/>
      <c r="C238" s="49"/>
      <c r="D238" s="52"/>
    </row>
    <row r="239" spans="2:4">
      <c r="B239" s="49"/>
      <c r="C239" s="49"/>
      <c r="D239" s="52"/>
    </row>
    <row r="240" spans="2:4">
      <c r="B240" s="49"/>
      <c r="C240" s="49"/>
      <c r="D240" s="52"/>
    </row>
    <row r="241" spans="2:4">
      <c r="B241" s="49"/>
      <c r="C241" s="49"/>
      <c r="D241" s="52"/>
    </row>
    <row r="242" spans="2:4">
      <c r="B242" s="49"/>
      <c r="C242" s="49"/>
      <c r="D242" s="52"/>
    </row>
    <row r="243" spans="2:4">
      <c r="B243" s="49"/>
      <c r="C243" s="49"/>
      <c r="D243" s="52"/>
    </row>
    <row r="244" spans="2:4">
      <c r="B244" s="49"/>
      <c r="C244" s="49"/>
      <c r="D244" s="52"/>
    </row>
    <row r="245" spans="2:4">
      <c r="B245" s="49"/>
      <c r="C245" s="49"/>
      <c r="D245" s="52"/>
    </row>
    <row r="246" spans="2:4">
      <c r="B246" s="49"/>
      <c r="C246" s="49"/>
      <c r="D246" s="52"/>
    </row>
    <row r="247" spans="2:4">
      <c r="B247" s="49"/>
      <c r="C247" s="49"/>
      <c r="D247" s="52"/>
    </row>
    <row r="248" spans="2:4">
      <c r="B248" s="49"/>
      <c r="C248" s="49"/>
      <c r="D248" s="52"/>
    </row>
    <row r="249" spans="2:4">
      <c r="B249" s="49"/>
      <c r="C249" s="49"/>
      <c r="D249" s="52"/>
    </row>
    <row r="250" spans="2:4">
      <c r="B250" s="49"/>
      <c r="C250" s="49"/>
      <c r="D250" s="52"/>
    </row>
    <row r="251" spans="2:4">
      <c r="B251" s="49"/>
      <c r="C251" s="49"/>
      <c r="D251" s="52"/>
    </row>
    <row r="252" spans="2:4">
      <c r="B252" s="49"/>
      <c r="C252" s="49"/>
      <c r="D252" s="52"/>
    </row>
    <row r="253" spans="2:4">
      <c r="B253" s="49"/>
      <c r="C253" s="49"/>
      <c r="D253" s="52"/>
    </row>
    <row r="254" spans="2:4">
      <c r="B254" s="49"/>
      <c r="C254" s="49"/>
      <c r="D254" s="52"/>
    </row>
    <row r="255" spans="2:4">
      <c r="B255" s="49"/>
      <c r="C255" s="49"/>
      <c r="D255" s="52"/>
    </row>
    <row r="256" spans="2:4">
      <c r="B256" s="49"/>
      <c r="C256" s="49"/>
      <c r="D256" s="52"/>
    </row>
    <row r="257" spans="2:4">
      <c r="B257" s="49"/>
      <c r="C257" s="49"/>
      <c r="D257" s="52"/>
    </row>
    <row r="258" spans="2:4">
      <c r="B258" s="49"/>
      <c r="C258" s="49"/>
      <c r="D258" s="52"/>
    </row>
    <row r="259" spans="2:4">
      <c r="B259" s="49"/>
      <c r="C259" s="49"/>
      <c r="D259" s="52"/>
    </row>
    <row r="260" spans="2:4">
      <c r="B260" s="49"/>
      <c r="C260" s="49"/>
      <c r="D260" s="52"/>
    </row>
    <row r="261" spans="2:4">
      <c r="B261" s="49"/>
      <c r="C261" s="49"/>
      <c r="D261" s="52"/>
    </row>
    <row r="262" spans="2:4">
      <c r="B262" s="49"/>
      <c r="C262" s="49"/>
      <c r="D262" s="52"/>
    </row>
    <row r="263" spans="2:4">
      <c r="B263" s="49"/>
      <c r="C263" s="49"/>
      <c r="D263" s="52"/>
    </row>
    <row r="264" spans="2:4">
      <c r="B264" s="49"/>
      <c r="C264" s="49"/>
      <c r="D264" s="52"/>
    </row>
    <row r="265" spans="2:4">
      <c r="B265" s="49"/>
      <c r="C265" s="49"/>
      <c r="D265" s="52"/>
    </row>
    <row r="266" spans="2:4">
      <c r="B266" s="49"/>
      <c r="C266" s="49"/>
      <c r="D266" s="52"/>
    </row>
    <row r="267" spans="2:4">
      <c r="B267" s="49"/>
      <c r="C267" s="49"/>
      <c r="D267" s="52"/>
    </row>
    <row r="268" spans="2:4">
      <c r="B268" s="49"/>
      <c r="C268" s="49"/>
      <c r="D268" s="52"/>
    </row>
    <row r="269" spans="2:4">
      <c r="B269" s="49"/>
      <c r="C269" s="49"/>
      <c r="D269" s="52"/>
    </row>
    <row r="270" spans="2:4">
      <c r="B270" s="49"/>
      <c r="C270" s="49"/>
      <c r="D270" s="52"/>
    </row>
    <row r="271" spans="2:4">
      <c r="B271" s="49"/>
      <c r="C271" s="49"/>
      <c r="D271" s="52"/>
    </row>
    <row r="272" spans="2:4">
      <c r="B272" s="49"/>
      <c r="C272" s="49"/>
      <c r="D272" s="52"/>
    </row>
    <row r="273" spans="2:4">
      <c r="B273" s="49"/>
      <c r="C273" s="49"/>
      <c r="D273" s="52"/>
    </row>
    <row r="274" spans="2:4">
      <c r="B274" s="49"/>
      <c r="C274" s="49"/>
      <c r="D274" s="52"/>
    </row>
    <row r="275" spans="2:4">
      <c r="B275" s="49"/>
      <c r="C275" s="49"/>
      <c r="D275" s="52"/>
    </row>
    <row r="276" spans="2:4">
      <c r="B276" s="49"/>
      <c r="C276" s="49"/>
      <c r="D276" s="52"/>
    </row>
    <row r="277" spans="2:4">
      <c r="B277" s="49"/>
      <c r="C277" s="49"/>
      <c r="D277" s="52"/>
    </row>
    <row r="278" spans="2:4">
      <c r="B278" s="49"/>
      <c r="C278" s="49"/>
      <c r="D278" s="52"/>
    </row>
    <row r="279" spans="2:4">
      <c r="B279" s="49"/>
      <c r="C279" s="49"/>
      <c r="D279" s="52"/>
    </row>
    <row r="280" spans="2:4">
      <c r="B280" s="49"/>
      <c r="C280" s="49"/>
      <c r="D280" s="52"/>
    </row>
    <row r="281" spans="2:4">
      <c r="B281" s="49"/>
      <c r="C281" s="49"/>
      <c r="D281" s="52"/>
    </row>
    <row r="282" spans="2:4">
      <c r="B282" s="49"/>
      <c r="C282" s="49"/>
      <c r="D282" s="52"/>
    </row>
    <row r="283" spans="2:4">
      <c r="B283" s="49"/>
      <c r="C283" s="49"/>
      <c r="D283" s="52"/>
    </row>
    <row r="284" spans="2:4">
      <c r="B284" s="49"/>
      <c r="C284" s="49"/>
      <c r="D284" s="52"/>
    </row>
    <row r="285" spans="2:4">
      <c r="B285" s="49"/>
      <c r="C285" s="49"/>
      <c r="D285" s="52"/>
    </row>
    <row r="286" spans="2:4">
      <c r="B286" s="49"/>
      <c r="C286" s="49"/>
      <c r="D286" s="52"/>
    </row>
    <row r="287" spans="2:4">
      <c r="B287" s="49"/>
      <c r="C287" s="49"/>
      <c r="D287" s="52"/>
    </row>
    <row r="288" spans="2:4">
      <c r="B288" s="49"/>
      <c r="C288" s="49"/>
      <c r="D288" s="52"/>
    </row>
    <row r="289" spans="2:4">
      <c r="B289" s="49"/>
      <c r="C289" s="49"/>
      <c r="D289" s="52"/>
    </row>
    <row r="290" spans="2:4">
      <c r="B290" s="49"/>
      <c r="C290" s="49"/>
      <c r="D290" s="52"/>
    </row>
    <row r="291" spans="2:4">
      <c r="B291" s="49"/>
      <c r="C291" s="49"/>
      <c r="D291" s="52"/>
    </row>
    <row r="292" spans="2:4">
      <c r="B292" s="49"/>
      <c r="C292" s="49"/>
      <c r="D292" s="52"/>
    </row>
    <row r="293" spans="2:4">
      <c r="B293" s="49"/>
      <c r="C293" s="49"/>
      <c r="D293" s="52"/>
    </row>
    <row r="294" spans="2:4">
      <c r="B294" s="49"/>
      <c r="C294" s="49"/>
      <c r="D294" s="52"/>
    </row>
    <row r="295" spans="2:4">
      <c r="B295" s="49"/>
      <c r="C295" s="49"/>
      <c r="D295" s="52"/>
    </row>
    <row r="296" spans="2:4">
      <c r="B296" s="49"/>
      <c r="C296" s="49"/>
      <c r="D296" s="52"/>
    </row>
    <row r="297" spans="2:4">
      <c r="B297" s="49"/>
      <c r="C297" s="49"/>
      <c r="D297" s="52"/>
    </row>
    <row r="298" spans="2:4">
      <c r="B298" s="49"/>
      <c r="C298" s="49"/>
      <c r="D298" s="52"/>
    </row>
    <row r="299" spans="2:4">
      <c r="B299" s="49"/>
      <c r="C299" s="49"/>
      <c r="D299" s="52"/>
    </row>
    <row r="300" spans="2:4">
      <c r="B300" s="49"/>
      <c r="C300" s="49"/>
      <c r="D300" s="52"/>
    </row>
    <row r="301" spans="2:4">
      <c r="B301" s="49"/>
      <c r="C301" s="49"/>
      <c r="D301" s="52"/>
    </row>
    <row r="302" spans="2:4">
      <c r="B302" s="49"/>
      <c r="C302" s="49"/>
      <c r="D302" s="52"/>
    </row>
    <row r="303" spans="2:4">
      <c r="B303" s="49"/>
      <c r="C303" s="49"/>
      <c r="D303" s="52"/>
    </row>
    <row r="304" spans="2:4">
      <c r="B304" s="49"/>
      <c r="C304" s="49"/>
      <c r="D304" s="52"/>
    </row>
    <row r="305" spans="2:4">
      <c r="B305" s="49"/>
      <c r="C305" s="49"/>
      <c r="D305" s="52"/>
    </row>
    <row r="306" spans="2:4">
      <c r="B306" s="49"/>
      <c r="C306" s="49"/>
      <c r="D306" s="52"/>
    </row>
    <row r="307" spans="2:4">
      <c r="B307" s="49"/>
      <c r="C307" s="49"/>
      <c r="D307" s="52"/>
    </row>
    <row r="308" spans="2:4">
      <c r="B308" s="49"/>
      <c r="C308" s="49"/>
      <c r="D308" s="52"/>
    </row>
    <row r="309" spans="2:4">
      <c r="B309" s="49"/>
      <c r="C309" s="49"/>
      <c r="D309" s="52"/>
    </row>
    <row r="310" spans="2:4">
      <c r="B310" s="49"/>
      <c r="C310" s="49"/>
      <c r="D310" s="52"/>
    </row>
    <row r="311" spans="2:4">
      <c r="B311" s="49"/>
      <c r="C311" s="49"/>
      <c r="D311" s="52"/>
    </row>
    <row r="312" spans="2:4">
      <c r="B312" s="49"/>
      <c r="C312" s="49"/>
      <c r="D312" s="52"/>
    </row>
    <row r="313" spans="2:4">
      <c r="B313" s="49"/>
      <c r="C313" s="49"/>
      <c r="D313" s="52"/>
    </row>
    <row r="314" spans="2:4">
      <c r="B314" s="49"/>
      <c r="C314" s="49"/>
      <c r="D314" s="52"/>
    </row>
    <row r="315" spans="2:4">
      <c r="B315" s="49"/>
      <c r="C315" s="49"/>
      <c r="D315" s="52"/>
    </row>
    <row r="316" spans="2:4">
      <c r="B316" s="49"/>
      <c r="C316" s="49"/>
      <c r="D316" s="52"/>
    </row>
    <row r="317" spans="2:4">
      <c r="B317" s="49"/>
      <c r="C317" s="49"/>
      <c r="D317" s="52"/>
    </row>
    <row r="318" spans="2:4">
      <c r="B318" s="49"/>
      <c r="C318" s="49"/>
      <c r="D318" s="52"/>
    </row>
    <row r="319" spans="2:4">
      <c r="B319" s="49"/>
      <c r="C319" s="49"/>
      <c r="D319" s="52"/>
    </row>
    <row r="320" spans="2:4">
      <c r="B320" s="49"/>
      <c r="C320" s="49"/>
      <c r="D320" s="52"/>
    </row>
    <row r="321" spans="2:4">
      <c r="B321" s="49"/>
      <c r="C321" s="49"/>
      <c r="D321" s="52"/>
    </row>
    <row r="322" spans="2:4">
      <c r="B322" s="49"/>
      <c r="C322" s="49"/>
      <c r="D322" s="52"/>
    </row>
    <row r="323" spans="2:4">
      <c r="B323" s="49"/>
      <c r="C323" s="49"/>
      <c r="D323" s="52"/>
    </row>
    <row r="324" spans="2:4">
      <c r="B324" s="49"/>
      <c r="C324" s="49"/>
      <c r="D324" s="52"/>
    </row>
    <row r="325" spans="2:4">
      <c r="B325" s="49"/>
      <c r="C325" s="49"/>
      <c r="D325" s="52"/>
    </row>
    <row r="326" spans="2:4">
      <c r="B326" s="49"/>
      <c r="C326" s="49"/>
      <c r="D326" s="52"/>
    </row>
    <row r="327" spans="2:4">
      <c r="B327" s="49"/>
      <c r="C327" s="49"/>
      <c r="D327" s="52"/>
    </row>
    <row r="328" spans="2:4">
      <c r="B328" s="49"/>
      <c r="C328" s="49"/>
      <c r="D328" s="52"/>
    </row>
    <row r="329" spans="2:4">
      <c r="B329" s="49"/>
      <c r="C329" s="49"/>
      <c r="D329" s="52"/>
    </row>
    <row r="330" spans="2:4">
      <c r="B330" s="49"/>
      <c r="C330" s="49"/>
      <c r="D330" s="52"/>
    </row>
    <row r="331" spans="2:4">
      <c r="B331" s="49"/>
      <c r="C331" s="49"/>
      <c r="D331" s="52"/>
    </row>
    <row r="332" spans="2:4">
      <c r="B332" s="49"/>
      <c r="C332" s="49"/>
      <c r="D332" s="52"/>
    </row>
    <row r="333" spans="2:4">
      <c r="B333" s="49"/>
      <c r="C333" s="49"/>
      <c r="D333" s="52"/>
    </row>
    <row r="334" spans="2:4">
      <c r="B334" s="49"/>
      <c r="C334" s="49"/>
      <c r="D334" s="52"/>
    </row>
    <row r="335" spans="2:4">
      <c r="B335" s="49"/>
      <c r="C335" s="49"/>
      <c r="D335" s="52"/>
    </row>
    <row r="336" spans="2:4">
      <c r="B336" s="49"/>
      <c r="C336" s="49"/>
      <c r="D336" s="52"/>
    </row>
    <row r="337" spans="2:4">
      <c r="B337" s="49"/>
      <c r="C337" s="49"/>
      <c r="D337" s="52"/>
    </row>
    <row r="338" spans="2:4">
      <c r="B338" s="49"/>
      <c r="C338" s="49"/>
      <c r="D338" s="52"/>
    </row>
    <row r="339" spans="2:4">
      <c r="B339" s="49"/>
      <c r="C339" s="49"/>
      <c r="D339" s="52"/>
    </row>
    <row r="340" spans="2:4">
      <c r="B340" s="49"/>
      <c r="C340" s="49"/>
      <c r="D340" s="52"/>
    </row>
    <row r="341" spans="2:4">
      <c r="B341" s="49"/>
      <c r="C341" s="49"/>
      <c r="D341" s="52"/>
    </row>
    <row r="342" spans="2:4">
      <c r="B342" s="49"/>
      <c r="C342" s="49"/>
      <c r="D342" s="52"/>
    </row>
    <row r="343" spans="2:4">
      <c r="B343" s="49"/>
      <c r="C343" s="49"/>
      <c r="D343" s="52"/>
    </row>
    <row r="344" spans="2:4">
      <c r="B344" s="49"/>
      <c r="C344" s="49"/>
      <c r="D344" s="52"/>
    </row>
    <row r="345" spans="2:4">
      <c r="B345" s="49"/>
      <c r="C345" s="49"/>
      <c r="D345" s="52"/>
    </row>
    <row r="346" spans="2:4">
      <c r="B346" s="49"/>
      <c r="C346" s="49"/>
      <c r="D346" s="52"/>
    </row>
    <row r="347" spans="2:4">
      <c r="B347" s="49"/>
      <c r="C347" s="49"/>
      <c r="D347" s="52"/>
    </row>
    <row r="348" spans="2:4">
      <c r="B348" s="49"/>
      <c r="C348" s="49"/>
      <c r="D348" s="52"/>
    </row>
    <row r="349" spans="2:4">
      <c r="B349" s="49"/>
      <c r="C349" s="49"/>
      <c r="D349" s="52"/>
    </row>
    <row r="350" spans="2:4">
      <c r="B350" s="49"/>
      <c r="C350" s="49"/>
      <c r="D350" s="52"/>
    </row>
    <row r="351" spans="2:4">
      <c r="B351" s="49"/>
      <c r="C351" s="49"/>
      <c r="D351" s="52"/>
    </row>
    <row r="352" spans="2:4">
      <c r="B352" s="49"/>
      <c r="C352" s="49"/>
      <c r="D352" s="52"/>
    </row>
    <row r="353" spans="2:4">
      <c r="B353" s="49"/>
      <c r="C353" s="49"/>
      <c r="D353" s="52"/>
    </row>
    <row r="354" spans="2:4">
      <c r="B354" s="49"/>
      <c r="C354" s="49"/>
      <c r="D354" s="52"/>
    </row>
    <row r="355" spans="2:4">
      <c r="B355" s="49"/>
      <c r="C355" s="49"/>
      <c r="D355" s="52"/>
    </row>
    <row r="356" spans="2:4">
      <c r="B356" s="49"/>
      <c r="C356" s="49"/>
      <c r="D356" s="52"/>
    </row>
    <row r="357" spans="2:4">
      <c r="B357" s="49"/>
      <c r="C357" s="49"/>
      <c r="D357" s="52"/>
    </row>
    <row r="358" spans="2:4">
      <c r="B358" s="49"/>
      <c r="C358" s="49"/>
      <c r="D358" s="52"/>
    </row>
    <row r="359" spans="2:4">
      <c r="B359" s="49"/>
      <c r="C359" s="49"/>
      <c r="D359" s="52"/>
    </row>
    <row r="360" spans="2:4">
      <c r="B360" s="49"/>
      <c r="C360" s="49"/>
      <c r="D360" s="52"/>
    </row>
    <row r="361" spans="2:4">
      <c r="B361" s="49"/>
      <c r="C361" s="49"/>
      <c r="D361" s="52"/>
    </row>
    <row r="362" spans="2:4">
      <c r="B362" s="49"/>
      <c r="C362" s="49"/>
      <c r="D362" s="52"/>
    </row>
    <row r="363" spans="2:4">
      <c r="B363" s="49"/>
      <c r="C363" s="49"/>
      <c r="D363" s="52"/>
    </row>
    <row r="364" spans="2:4">
      <c r="B364" s="49"/>
      <c r="C364" s="49"/>
      <c r="D364" s="52"/>
    </row>
    <row r="365" spans="2:4">
      <c r="B365" s="49"/>
      <c r="C365" s="49"/>
      <c r="D365" s="52"/>
    </row>
    <row r="366" spans="2:4">
      <c r="B366" s="49"/>
      <c r="C366" s="49"/>
      <c r="D366" s="52"/>
    </row>
    <row r="367" spans="2:4">
      <c r="B367" s="49"/>
      <c r="C367" s="49"/>
      <c r="D367" s="52"/>
    </row>
    <row r="368" spans="2:4">
      <c r="B368" s="49"/>
      <c r="C368" s="49"/>
      <c r="D368" s="52"/>
    </row>
    <row r="369" spans="2:4">
      <c r="B369" s="49"/>
      <c r="C369" s="49"/>
      <c r="D369" s="52"/>
    </row>
    <row r="370" spans="2:4">
      <c r="B370" s="49"/>
      <c r="C370" s="49"/>
      <c r="D370" s="52"/>
    </row>
    <row r="371" spans="2:4">
      <c r="B371" s="49"/>
      <c r="C371" s="49"/>
      <c r="D371" s="52"/>
    </row>
    <row r="372" spans="2:4">
      <c r="B372" s="49"/>
      <c r="C372" s="49"/>
      <c r="D372" s="52"/>
    </row>
    <row r="373" spans="2:4">
      <c r="B373" s="49"/>
      <c r="C373" s="49"/>
      <c r="D373" s="52"/>
    </row>
    <row r="374" spans="2:4">
      <c r="B374" s="49"/>
      <c r="C374" s="49"/>
      <c r="D374" s="52"/>
    </row>
    <row r="375" spans="2:4">
      <c r="B375" s="49"/>
      <c r="C375" s="49"/>
      <c r="D375" s="52"/>
    </row>
    <row r="376" spans="2:4">
      <c r="B376" s="49"/>
      <c r="C376" s="49"/>
      <c r="D376" s="52"/>
    </row>
    <row r="377" spans="2:4">
      <c r="B377" s="49"/>
      <c r="C377" s="49"/>
      <c r="D377" s="52"/>
    </row>
    <row r="378" spans="2:4">
      <c r="B378" s="49"/>
      <c r="C378" s="49"/>
      <c r="D378" s="52"/>
    </row>
    <row r="379" spans="2:4">
      <c r="B379" s="49"/>
      <c r="C379" s="49"/>
      <c r="D379" s="52"/>
    </row>
    <row r="380" spans="2:4">
      <c r="B380" s="49"/>
      <c r="C380" s="49"/>
      <c r="D380" s="52"/>
    </row>
    <row r="381" spans="2:4">
      <c r="B381" s="49"/>
      <c r="C381" s="49"/>
      <c r="D381" s="52"/>
    </row>
    <row r="382" spans="2:4">
      <c r="B382" s="49"/>
      <c r="C382" s="49"/>
      <c r="D382" s="52"/>
    </row>
    <row r="383" spans="2:4">
      <c r="B383" s="49"/>
      <c r="C383" s="49"/>
      <c r="D383" s="52"/>
    </row>
    <row r="384" spans="2:4">
      <c r="B384" s="49"/>
      <c r="C384" s="49"/>
      <c r="D384" s="52"/>
    </row>
    <row r="385" spans="2:4">
      <c r="B385" s="49"/>
      <c r="C385" s="49"/>
      <c r="D385" s="52"/>
    </row>
    <row r="386" spans="2:4">
      <c r="B386" s="49"/>
      <c r="C386" s="49"/>
      <c r="D386" s="52"/>
    </row>
    <row r="387" spans="2:4">
      <c r="B387" s="49"/>
      <c r="C387" s="49"/>
      <c r="D387" s="52"/>
    </row>
    <row r="388" spans="2:4">
      <c r="B388" s="49"/>
      <c r="C388" s="49"/>
      <c r="D388" s="52"/>
    </row>
    <row r="389" spans="2:4">
      <c r="B389" s="49"/>
      <c r="C389" s="49"/>
      <c r="D389" s="52"/>
    </row>
    <row r="390" spans="2:4">
      <c r="B390" s="49"/>
      <c r="C390" s="49"/>
      <c r="D390" s="52"/>
    </row>
    <row r="391" spans="2:4">
      <c r="B391" s="49"/>
      <c r="C391" s="49"/>
      <c r="D391" s="52"/>
    </row>
    <row r="392" spans="2:4">
      <c r="B392" s="49"/>
      <c r="C392" s="49"/>
      <c r="D392" s="52"/>
    </row>
    <row r="393" spans="2:4">
      <c r="B393" s="49"/>
      <c r="C393" s="49"/>
      <c r="D393" s="52"/>
    </row>
    <row r="394" spans="2:4">
      <c r="B394" s="49"/>
      <c r="C394" s="49"/>
      <c r="D394" s="52"/>
    </row>
    <row r="395" spans="2:4">
      <c r="B395" s="49"/>
      <c r="C395" s="49"/>
      <c r="D395" s="52"/>
    </row>
    <row r="396" spans="2:4">
      <c r="B396" s="49"/>
      <c r="C396" s="49"/>
      <c r="D396" s="52"/>
    </row>
    <row r="397" spans="2:4">
      <c r="B397" s="49"/>
      <c r="C397" s="49"/>
      <c r="D397" s="52"/>
    </row>
    <row r="398" spans="2:4">
      <c r="B398" s="49"/>
      <c r="C398" s="49"/>
      <c r="D398" s="52"/>
    </row>
    <row r="399" spans="2:4">
      <c r="B399" s="49"/>
      <c r="C399" s="49"/>
      <c r="D399" s="52"/>
    </row>
    <row r="400" spans="2:4">
      <c r="B400" s="49"/>
      <c r="C400" s="49"/>
      <c r="D400" s="52"/>
    </row>
    <row r="401" spans="2:4">
      <c r="B401" s="49"/>
      <c r="C401" s="49"/>
      <c r="D401" s="52"/>
    </row>
    <row r="402" spans="2:4">
      <c r="B402" s="49"/>
      <c r="C402" s="49"/>
      <c r="D402" s="52"/>
    </row>
    <row r="403" spans="2:4">
      <c r="B403" s="49"/>
      <c r="C403" s="49"/>
      <c r="D403" s="52"/>
    </row>
    <row r="404" spans="2:4">
      <c r="B404" s="49"/>
      <c r="C404" s="49"/>
      <c r="D404" s="52"/>
    </row>
    <row r="405" spans="2:4">
      <c r="B405" s="49"/>
      <c r="C405" s="49"/>
      <c r="D405" s="52"/>
    </row>
    <row r="406" spans="2:4">
      <c r="B406" s="49"/>
      <c r="C406" s="49"/>
      <c r="D406" s="52"/>
    </row>
    <row r="407" spans="2:4">
      <c r="B407" s="49"/>
      <c r="C407" s="49"/>
      <c r="D407" s="52"/>
    </row>
    <row r="408" spans="2:4">
      <c r="B408" s="49"/>
      <c r="C408" s="49"/>
      <c r="D408" s="52"/>
    </row>
    <row r="409" spans="2:4">
      <c r="B409" s="49"/>
      <c r="C409" s="49"/>
      <c r="D409" s="52"/>
    </row>
    <row r="410" spans="2:4">
      <c r="B410" s="49"/>
      <c r="C410" s="49"/>
      <c r="D410" s="52"/>
    </row>
    <row r="411" spans="2:4">
      <c r="B411" s="49"/>
      <c r="C411" s="49"/>
      <c r="D411" s="52"/>
    </row>
    <row r="412" spans="2:4">
      <c r="B412" s="49"/>
      <c r="C412" s="49"/>
      <c r="D412" s="52"/>
    </row>
    <row r="413" spans="2:4">
      <c r="B413" s="49"/>
      <c r="C413" s="49"/>
      <c r="D413" s="52"/>
    </row>
    <row r="414" spans="2:4">
      <c r="B414" s="49"/>
      <c r="C414" s="49"/>
      <c r="D414" s="52"/>
    </row>
    <row r="415" spans="2:4">
      <c r="B415" s="49"/>
      <c r="C415" s="49"/>
      <c r="D415" s="52"/>
    </row>
    <row r="416" spans="2:4">
      <c r="B416" s="49"/>
      <c r="C416" s="49"/>
      <c r="D416" s="52"/>
    </row>
    <row r="417" spans="2:4">
      <c r="B417" s="49"/>
      <c r="C417" s="49"/>
      <c r="D417" s="52"/>
    </row>
    <row r="418" spans="2:4">
      <c r="B418" s="49"/>
      <c r="C418" s="49"/>
      <c r="D418" s="52"/>
    </row>
    <row r="419" spans="2:4">
      <c r="B419" s="49"/>
      <c r="C419" s="49"/>
      <c r="D419" s="52"/>
    </row>
    <row r="420" spans="2:4">
      <c r="B420" s="49"/>
      <c r="C420" s="49"/>
      <c r="D420" s="52"/>
    </row>
    <row r="421" spans="2:4">
      <c r="B421" s="49"/>
      <c r="C421" s="49"/>
      <c r="D421" s="52"/>
    </row>
    <row r="422" spans="2:4">
      <c r="B422" s="49"/>
      <c r="C422" s="49"/>
      <c r="D422" s="52"/>
    </row>
    <row r="423" spans="2:4">
      <c r="B423" s="49"/>
      <c r="C423" s="49"/>
      <c r="D423" s="52"/>
    </row>
    <row r="424" spans="2:4">
      <c r="B424" s="49"/>
      <c r="C424" s="49"/>
      <c r="D424" s="52"/>
    </row>
    <row r="425" spans="2:4">
      <c r="B425" s="49"/>
      <c r="C425" s="49"/>
      <c r="D425" s="52"/>
    </row>
    <row r="426" spans="2:4">
      <c r="B426" s="49"/>
      <c r="C426" s="49"/>
      <c r="D426" s="52"/>
    </row>
    <row r="427" spans="2:4">
      <c r="B427" s="49"/>
      <c r="C427" s="49"/>
      <c r="D427" s="52"/>
    </row>
    <row r="428" spans="2:4">
      <c r="B428" s="49"/>
      <c r="C428" s="49"/>
      <c r="D428" s="52"/>
    </row>
    <row r="429" spans="2:4">
      <c r="B429" s="49"/>
      <c r="C429" s="49"/>
      <c r="D429" s="52"/>
    </row>
    <row r="430" spans="2:4">
      <c r="B430" s="49"/>
      <c r="C430" s="49"/>
      <c r="D430" s="52"/>
    </row>
    <row r="431" spans="2:4">
      <c r="B431" s="49"/>
      <c r="C431" s="49"/>
      <c r="D431" s="52"/>
    </row>
    <row r="432" spans="2:4">
      <c r="B432" s="49"/>
      <c r="C432" s="49"/>
      <c r="D432" s="52"/>
    </row>
    <row r="433" spans="2:4">
      <c r="B433" s="49"/>
      <c r="C433" s="49"/>
      <c r="D433" s="52"/>
    </row>
    <row r="434" spans="2:4">
      <c r="B434" s="49"/>
      <c r="C434" s="49"/>
      <c r="D434" s="52"/>
    </row>
    <row r="435" spans="2:4">
      <c r="B435" s="49"/>
      <c r="C435" s="49"/>
      <c r="D435" s="52"/>
    </row>
    <row r="436" spans="2:4">
      <c r="B436" s="49"/>
      <c r="C436" s="49"/>
      <c r="D436" s="52"/>
    </row>
    <row r="437" spans="2:4">
      <c r="B437" s="49"/>
      <c r="C437" s="49"/>
      <c r="D437" s="52"/>
    </row>
    <row r="438" spans="2:4">
      <c r="B438" s="49"/>
      <c r="C438" s="49"/>
      <c r="D438" s="52"/>
    </row>
    <row r="439" spans="2:4">
      <c r="B439" s="49"/>
      <c r="C439" s="49"/>
      <c r="D439" s="52"/>
    </row>
    <row r="440" spans="2:4">
      <c r="B440" s="49"/>
      <c r="C440" s="49"/>
      <c r="D440" s="52"/>
    </row>
    <row r="441" spans="2:4">
      <c r="B441" s="49"/>
      <c r="C441" s="49"/>
      <c r="D441" s="52"/>
    </row>
    <row r="442" spans="2:4">
      <c r="B442" s="49"/>
      <c r="C442" s="49"/>
      <c r="D442" s="52"/>
    </row>
    <row r="443" spans="2:4">
      <c r="B443" s="49"/>
      <c r="C443" s="49"/>
      <c r="D443" s="52"/>
    </row>
    <row r="444" spans="2:4">
      <c r="B444" s="49"/>
      <c r="C444" s="49"/>
      <c r="D444" s="52"/>
    </row>
    <row r="445" spans="2:4">
      <c r="B445" s="49"/>
      <c r="C445" s="49"/>
      <c r="D445" s="52"/>
    </row>
    <row r="446" spans="2:4">
      <c r="B446" s="49"/>
      <c r="C446" s="49"/>
      <c r="D446" s="52"/>
    </row>
    <row r="447" spans="2:4">
      <c r="B447" s="49"/>
      <c r="C447" s="49"/>
      <c r="D447" s="52"/>
    </row>
    <row r="448" spans="2:4">
      <c r="B448" s="49"/>
      <c r="C448" s="49"/>
      <c r="D448" s="52"/>
    </row>
    <row r="449" spans="2:4">
      <c r="B449" s="49"/>
      <c r="C449" s="49"/>
      <c r="D449" s="52"/>
    </row>
    <row r="450" spans="2:4">
      <c r="B450" s="49"/>
      <c r="C450" s="49"/>
      <c r="D450" s="52"/>
    </row>
    <row r="451" spans="2:4">
      <c r="B451" s="49"/>
      <c r="C451" s="49"/>
      <c r="D451" s="52"/>
    </row>
    <row r="452" spans="2:4">
      <c r="B452" s="49"/>
      <c r="C452" s="49"/>
      <c r="D452" s="52"/>
    </row>
    <row r="453" spans="2:4">
      <c r="B453" s="49"/>
      <c r="C453" s="49"/>
      <c r="D453" s="52"/>
    </row>
    <row r="454" spans="2:4">
      <c r="B454" s="49"/>
      <c r="C454" s="49"/>
      <c r="D454" s="52"/>
    </row>
    <row r="455" spans="2:4">
      <c r="B455" s="49"/>
      <c r="C455" s="49"/>
      <c r="D455" s="52"/>
    </row>
    <row r="456" spans="2:4">
      <c r="B456" s="49"/>
      <c r="C456" s="49"/>
      <c r="D456" s="52"/>
    </row>
    <row r="457" spans="2:4">
      <c r="B457" s="49"/>
      <c r="C457" s="49"/>
      <c r="D457" s="52"/>
    </row>
    <row r="458" spans="2:4">
      <c r="B458" s="49"/>
      <c r="C458" s="49"/>
      <c r="D458" s="52"/>
    </row>
    <row r="459" spans="2:4">
      <c r="B459" s="49"/>
      <c r="C459" s="49"/>
      <c r="D459" s="52"/>
    </row>
    <row r="460" spans="2:4">
      <c r="B460" s="49"/>
      <c r="C460" s="49"/>
      <c r="D460" s="52"/>
    </row>
    <row r="461" spans="2:4">
      <c r="B461" s="49"/>
      <c r="C461" s="49"/>
      <c r="D461" s="52"/>
    </row>
    <row r="462" spans="2:4">
      <c r="B462" s="49"/>
      <c r="C462" s="49"/>
      <c r="D462" s="52"/>
    </row>
    <row r="463" spans="2:4">
      <c r="B463" s="49"/>
      <c r="C463" s="49"/>
      <c r="D463" s="52"/>
    </row>
    <row r="464" spans="2:4">
      <c r="B464" s="49"/>
      <c r="C464" s="49"/>
      <c r="D464" s="52"/>
    </row>
    <row r="465" spans="2:4">
      <c r="B465" s="49"/>
      <c r="C465" s="49"/>
      <c r="D465" s="52"/>
    </row>
    <row r="466" spans="2:4">
      <c r="B466" s="49"/>
      <c r="C466" s="49"/>
      <c r="D466" s="52"/>
    </row>
    <row r="467" spans="2:4">
      <c r="B467" s="49"/>
      <c r="C467" s="49"/>
      <c r="D467" s="52"/>
    </row>
    <row r="468" spans="2:4">
      <c r="B468" s="49"/>
      <c r="C468" s="49"/>
      <c r="D468" s="52"/>
    </row>
    <row r="469" spans="2:4">
      <c r="B469" s="49"/>
      <c r="C469" s="49"/>
      <c r="D469" s="52"/>
    </row>
    <row r="470" spans="2:4">
      <c r="B470" s="49"/>
      <c r="C470" s="49"/>
      <c r="D470" s="52"/>
    </row>
    <row r="471" spans="2:4">
      <c r="B471" s="49"/>
      <c r="C471" s="49"/>
      <c r="D471" s="52"/>
    </row>
    <row r="472" spans="2:4">
      <c r="B472" s="49"/>
      <c r="C472" s="49"/>
      <c r="D472" s="52"/>
    </row>
    <row r="473" spans="2:4">
      <c r="B473" s="49"/>
      <c r="C473" s="49"/>
      <c r="D473" s="52"/>
    </row>
    <row r="474" spans="2:4">
      <c r="B474" s="49"/>
      <c r="C474" s="49"/>
      <c r="D474" s="52"/>
    </row>
    <row r="475" spans="2:4">
      <c r="B475" s="49"/>
      <c r="C475" s="49"/>
      <c r="D475" s="52"/>
    </row>
    <row r="476" spans="2:4">
      <c r="B476" s="49"/>
      <c r="C476" s="49"/>
      <c r="D476" s="52"/>
    </row>
    <row r="477" spans="2:4">
      <c r="B477" s="49"/>
      <c r="C477" s="49"/>
      <c r="D477" s="52"/>
    </row>
    <row r="478" spans="2:4">
      <c r="B478" s="49"/>
      <c r="C478" s="49"/>
      <c r="D478" s="52"/>
    </row>
    <row r="479" spans="2:4">
      <c r="B479" s="49"/>
      <c r="C479" s="49"/>
      <c r="D479" s="52"/>
    </row>
    <row r="480" spans="2:4">
      <c r="B480" s="49"/>
      <c r="C480" s="49"/>
      <c r="D480" s="52"/>
    </row>
    <row r="481" spans="2:4">
      <c r="B481" s="49"/>
      <c r="C481" s="49"/>
      <c r="D481" s="52"/>
    </row>
    <row r="482" spans="2:4">
      <c r="B482" s="49"/>
      <c r="C482" s="49"/>
      <c r="D482" s="52"/>
    </row>
    <row r="483" spans="2:4">
      <c r="B483" s="49"/>
      <c r="C483" s="49"/>
      <c r="D483" s="52"/>
    </row>
    <row r="484" spans="2:4">
      <c r="B484" s="49"/>
      <c r="C484" s="49"/>
      <c r="D484" s="52"/>
    </row>
    <row r="485" spans="2:4">
      <c r="B485" s="49"/>
      <c r="C485" s="49"/>
      <c r="D485" s="52"/>
    </row>
    <row r="486" spans="2:4">
      <c r="B486" s="49"/>
      <c r="C486" s="49"/>
      <c r="D486" s="52"/>
    </row>
    <row r="487" spans="2:4">
      <c r="B487" s="49"/>
      <c r="C487" s="49"/>
      <c r="D487" s="52"/>
    </row>
    <row r="488" spans="2:4">
      <c r="B488" s="49"/>
      <c r="C488" s="49"/>
      <c r="D488" s="52"/>
    </row>
    <row r="489" spans="2:4">
      <c r="B489" s="49"/>
      <c r="C489" s="49"/>
      <c r="D489" s="52"/>
    </row>
    <row r="490" spans="2:4">
      <c r="B490" s="49"/>
      <c r="C490" s="49"/>
      <c r="D490" s="52"/>
    </row>
    <row r="491" spans="2:4">
      <c r="B491" s="49"/>
      <c r="C491" s="49"/>
      <c r="D491" s="52"/>
    </row>
    <row r="492" spans="2:4">
      <c r="B492" s="49"/>
      <c r="C492" s="49"/>
      <c r="D492" s="52"/>
    </row>
    <row r="493" spans="2:4">
      <c r="B493" s="49"/>
      <c r="C493" s="49"/>
      <c r="D493" s="52"/>
    </row>
    <row r="494" spans="2:4">
      <c r="B494" s="49"/>
      <c r="C494" s="49"/>
      <c r="D494" s="52"/>
    </row>
    <row r="495" spans="2:4">
      <c r="B495" s="49"/>
      <c r="C495" s="49"/>
      <c r="D495" s="52"/>
    </row>
    <row r="496" spans="2:4">
      <c r="B496" s="49"/>
      <c r="C496" s="49"/>
      <c r="D496" s="52"/>
    </row>
    <row r="497" spans="2:4">
      <c r="B497" s="49"/>
      <c r="C497" s="49"/>
      <c r="D497" s="52"/>
    </row>
    <row r="498" spans="2:4">
      <c r="B498" s="49"/>
      <c r="C498" s="49"/>
      <c r="D498" s="52"/>
    </row>
    <row r="499" spans="2:4">
      <c r="B499" s="49"/>
      <c r="C499" s="49"/>
      <c r="D499" s="52"/>
    </row>
    <row r="500" spans="2:4">
      <c r="B500" s="49"/>
      <c r="C500" s="49"/>
      <c r="D500" s="52"/>
    </row>
    <row r="501" spans="2:4">
      <c r="B501" s="49"/>
      <c r="C501" s="49"/>
      <c r="D501" s="52"/>
    </row>
    <row r="502" spans="2:4">
      <c r="B502" s="49"/>
      <c r="C502" s="49"/>
      <c r="D502" s="52"/>
    </row>
    <row r="503" spans="2:4">
      <c r="B503" s="49"/>
      <c r="C503" s="49"/>
      <c r="D503" s="52"/>
    </row>
    <row r="504" spans="2:4">
      <c r="B504" s="49"/>
      <c r="C504" s="49"/>
      <c r="D504" s="52"/>
    </row>
    <row r="505" spans="2:4">
      <c r="B505" s="49"/>
      <c r="C505" s="49"/>
      <c r="D505" s="52"/>
    </row>
    <row r="506" spans="2:4">
      <c r="B506" s="49"/>
      <c r="C506" s="49"/>
      <c r="D506" s="52"/>
    </row>
    <row r="507" spans="2:4">
      <c r="B507" s="49"/>
      <c r="C507" s="49"/>
      <c r="D507" s="52"/>
    </row>
    <row r="508" spans="2:4">
      <c r="B508" s="49"/>
      <c r="C508" s="49"/>
      <c r="D508" s="52"/>
    </row>
    <row r="509" spans="2:4">
      <c r="B509" s="49"/>
      <c r="C509" s="49"/>
      <c r="D509" s="52"/>
    </row>
    <row r="510" spans="2:4">
      <c r="B510" s="49"/>
      <c r="C510" s="49"/>
      <c r="D510" s="52"/>
    </row>
    <row r="511" spans="2:4">
      <c r="B511" s="49"/>
      <c r="C511" s="49"/>
      <c r="D511" s="52"/>
    </row>
    <row r="512" spans="2:4">
      <c r="B512" s="49"/>
      <c r="C512" s="49"/>
      <c r="D512" s="52"/>
    </row>
    <row r="513" spans="2:4">
      <c r="B513" s="49"/>
      <c r="C513" s="49"/>
      <c r="D513" s="52"/>
    </row>
    <row r="514" spans="2:4">
      <c r="B514" s="49"/>
      <c r="C514" s="49"/>
      <c r="D514" s="52"/>
    </row>
    <row r="515" spans="2:4">
      <c r="B515" s="49"/>
      <c r="C515" s="49"/>
      <c r="D515" s="52"/>
    </row>
    <row r="516" spans="2:4">
      <c r="B516" s="49"/>
      <c r="C516" s="49"/>
      <c r="D516" s="52"/>
    </row>
    <row r="517" spans="2:4">
      <c r="B517" s="49"/>
      <c r="C517" s="49"/>
      <c r="D517" s="52"/>
    </row>
    <row r="518" spans="2:4">
      <c r="B518" s="49"/>
      <c r="C518" s="49"/>
      <c r="D518" s="52"/>
    </row>
    <row r="519" spans="2:4">
      <c r="B519" s="49"/>
      <c r="C519" s="49"/>
      <c r="D519" s="52"/>
    </row>
    <row r="520" spans="2:4">
      <c r="B520" s="49"/>
      <c r="C520" s="49"/>
      <c r="D520" s="52"/>
    </row>
    <row r="521" spans="2:4">
      <c r="B521" s="49"/>
      <c r="C521" s="49"/>
      <c r="D521" s="52"/>
    </row>
    <row r="522" spans="2:4">
      <c r="B522" s="49"/>
      <c r="C522" s="49"/>
      <c r="D522" s="52"/>
    </row>
    <row r="523" spans="2:4">
      <c r="B523" s="49"/>
      <c r="C523" s="49"/>
      <c r="D523" s="52"/>
    </row>
    <row r="524" spans="2:4">
      <c r="B524" s="49"/>
      <c r="C524" s="49"/>
      <c r="D524" s="52"/>
    </row>
    <row r="525" spans="2:4">
      <c r="B525" s="49"/>
      <c r="C525" s="49"/>
      <c r="D525" s="52"/>
    </row>
    <row r="526" spans="2:4">
      <c r="B526" s="49"/>
      <c r="C526" s="49"/>
      <c r="D526" s="52"/>
    </row>
    <row r="527" spans="2:4">
      <c r="B527" s="49"/>
      <c r="C527" s="49"/>
      <c r="D527" s="52"/>
    </row>
    <row r="528" spans="2:4">
      <c r="B528" s="49"/>
      <c r="C528" s="49"/>
      <c r="D528" s="52"/>
    </row>
    <row r="529" spans="2:4">
      <c r="B529" s="49"/>
      <c r="C529" s="49"/>
      <c r="D529" s="52"/>
    </row>
    <row r="530" spans="2:4">
      <c r="B530" s="49"/>
      <c r="C530" s="49"/>
      <c r="D530" s="52"/>
    </row>
    <row r="531" spans="2:4">
      <c r="B531" s="49"/>
      <c r="C531" s="49"/>
      <c r="D531" s="52"/>
    </row>
    <row r="532" spans="2:4">
      <c r="B532" s="49"/>
      <c r="C532" s="49"/>
      <c r="D532" s="52"/>
    </row>
    <row r="533" spans="2:4">
      <c r="B533" s="49"/>
      <c r="C533" s="49"/>
      <c r="D533" s="52"/>
    </row>
    <row r="534" spans="2:4">
      <c r="B534" s="49"/>
      <c r="C534" s="49"/>
      <c r="D534" s="52"/>
    </row>
    <row r="535" spans="2:4">
      <c r="B535" s="49"/>
      <c r="C535" s="49"/>
      <c r="D535" s="52"/>
    </row>
    <row r="536" spans="2:4">
      <c r="B536" s="49"/>
      <c r="C536" s="49"/>
      <c r="D536" s="52"/>
    </row>
    <row r="537" spans="2:4">
      <c r="B537" s="49"/>
      <c r="C537" s="49"/>
      <c r="D537" s="52"/>
    </row>
    <row r="538" spans="2:4">
      <c r="B538" s="49"/>
      <c r="C538" s="49"/>
      <c r="D538" s="52"/>
    </row>
    <row r="539" spans="2:4">
      <c r="B539" s="49"/>
      <c r="C539" s="49"/>
      <c r="D539" s="52"/>
    </row>
    <row r="540" spans="2:4">
      <c r="B540" s="49"/>
      <c r="C540" s="49"/>
      <c r="D540" s="52"/>
    </row>
    <row r="541" spans="2:4">
      <c r="B541" s="49"/>
      <c r="C541" s="49"/>
      <c r="D541" s="52"/>
    </row>
    <row r="542" spans="2:4">
      <c r="B542" s="49"/>
      <c r="C542" s="49"/>
      <c r="D542" s="52"/>
    </row>
    <row r="543" spans="2:4">
      <c r="B543" s="49"/>
      <c r="C543" s="49"/>
      <c r="D543" s="52"/>
    </row>
    <row r="544" spans="2:4">
      <c r="B544" s="49"/>
      <c r="C544" s="49"/>
      <c r="D544" s="52"/>
    </row>
    <row r="545" spans="2:4">
      <c r="B545" s="49"/>
      <c r="C545" s="49"/>
      <c r="D545" s="52"/>
    </row>
    <row r="546" spans="2:4">
      <c r="B546" s="49"/>
      <c r="C546" s="49"/>
      <c r="D546" s="52"/>
    </row>
    <row r="547" spans="2:4">
      <c r="B547" s="49"/>
      <c r="C547" s="49"/>
      <c r="D547" s="52"/>
    </row>
    <row r="548" spans="2:4">
      <c r="B548" s="49"/>
      <c r="C548" s="49"/>
      <c r="D548" s="52"/>
    </row>
    <row r="549" spans="2:4">
      <c r="B549" s="49"/>
      <c r="C549" s="49"/>
      <c r="D549" s="52"/>
    </row>
    <row r="550" spans="2:4">
      <c r="B550" s="49"/>
      <c r="C550" s="49"/>
      <c r="D550" s="52"/>
    </row>
    <row r="551" spans="2:4">
      <c r="B551" s="49"/>
      <c r="C551" s="49"/>
      <c r="D551" s="52"/>
    </row>
    <row r="552" spans="2:4">
      <c r="B552" s="49"/>
      <c r="C552" s="49"/>
      <c r="D552" s="52"/>
    </row>
    <row r="553" spans="2:4">
      <c r="B553" s="49"/>
      <c r="C553" s="49"/>
      <c r="D553" s="52"/>
    </row>
    <row r="554" spans="2:4">
      <c r="B554" s="49"/>
      <c r="C554" s="49"/>
      <c r="D554" s="52"/>
    </row>
    <row r="555" spans="2:4">
      <c r="B555" s="49"/>
      <c r="C555" s="49"/>
      <c r="D555" s="52"/>
    </row>
    <row r="556" spans="2:4">
      <c r="B556" s="49"/>
      <c r="C556" s="49"/>
      <c r="D556" s="52"/>
    </row>
    <row r="557" spans="2:4">
      <c r="B557" s="49"/>
      <c r="C557" s="49"/>
      <c r="D557" s="52"/>
    </row>
    <row r="558" spans="2:4">
      <c r="B558" s="49"/>
      <c r="C558" s="49"/>
      <c r="D558" s="52"/>
    </row>
    <row r="559" spans="2:4">
      <c r="B559" s="49"/>
      <c r="C559" s="49"/>
      <c r="D559" s="52"/>
    </row>
    <row r="560" spans="2:4">
      <c r="B560" s="49"/>
      <c r="C560" s="49"/>
      <c r="D560" s="52"/>
    </row>
    <row r="561" spans="2:4">
      <c r="B561" s="49"/>
      <c r="C561" s="49"/>
      <c r="D561" s="52"/>
    </row>
    <row r="562" spans="2:4">
      <c r="B562" s="49"/>
      <c r="C562" s="49"/>
      <c r="D562" s="52"/>
    </row>
    <row r="563" spans="2:4">
      <c r="B563" s="49"/>
      <c r="C563" s="49"/>
      <c r="D563" s="52"/>
    </row>
    <row r="564" spans="2:4">
      <c r="B564" s="49"/>
      <c r="C564" s="49"/>
      <c r="D564" s="52"/>
    </row>
    <row r="565" spans="2:4">
      <c r="B565" s="49"/>
      <c r="C565" s="49"/>
      <c r="D565" s="52"/>
    </row>
    <row r="566" spans="2:4">
      <c r="B566" s="49"/>
      <c r="C566" s="49"/>
      <c r="D566" s="52"/>
    </row>
    <row r="567" spans="2:4">
      <c r="B567" s="49"/>
      <c r="C567" s="49"/>
      <c r="D567" s="52"/>
    </row>
    <row r="568" spans="2:4">
      <c r="B568" s="49"/>
      <c r="C568" s="49"/>
      <c r="D568" s="52"/>
    </row>
    <row r="569" spans="2:4">
      <c r="B569" s="49"/>
      <c r="C569" s="49"/>
      <c r="D569" s="52"/>
    </row>
    <row r="570" spans="2:4">
      <c r="B570" s="49"/>
      <c r="C570" s="49"/>
      <c r="D570" s="52"/>
    </row>
    <row r="571" spans="2:4">
      <c r="B571" s="49"/>
      <c r="C571" s="49"/>
      <c r="D571" s="52"/>
    </row>
    <row r="572" spans="2:4">
      <c r="B572" s="49"/>
      <c r="C572" s="49"/>
      <c r="D572" s="52"/>
    </row>
    <row r="573" spans="2:4">
      <c r="B573" s="49"/>
      <c r="C573" s="49"/>
      <c r="D573" s="52"/>
    </row>
    <row r="574" spans="2:4">
      <c r="B574" s="49"/>
      <c r="C574" s="49"/>
      <c r="D574" s="52"/>
    </row>
    <row r="575" spans="2:4">
      <c r="B575" s="49"/>
      <c r="C575" s="49"/>
      <c r="D575" s="52"/>
    </row>
    <row r="576" spans="2:4">
      <c r="B576" s="49"/>
      <c r="C576" s="49"/>
      <c r="D576" s="52"/>
    </row>
    <row r="577" spans="2:4">
      <c r="B577" s="49"/>
      <c r="C577" s="49"/>
      <c r="D577" s="52"/>
    </row>
    <row r="578" spans="2:4">
      <c r="B578" s="49"/>
      <c r="C578" s="49"/>
      <c r="D578" s="52"/>
    </row>
    <row r="579" spans="2:4">
      <c r="B579" s="49"/>
      <c r="C579" s="49"/>
      <c r="D579" s="52"/>
    </row>
    <row r="580" spans="2:4">
      <c r="B580" s="49"/>
      <c r="C580" s="49"/>
      <c r="D580" s="52"/>
    </row>
    <row r="581" spans="2:4">
      <c r="B581" s="49"/>
      <c r="C581" s="49"/>
      <c r="D581" s="52"/>
    </row>
    <row r="582" spans="2:4">
      <c r="B582" s="49"/>
      <c r="C582" s="49"/>
      <c r="D582" s="52"/>
    </row>
    <row r="583" spans="2:4">
      <c r="B583" s="49"/>
      <c r="C583" s="49"/>
      <c r="D583" s="52"/>
    </row>
    <row r="584" spans="2:4">
      <c r="B584" s="49"/>
      <c r="C584" s="49"/>
      <c r="D584" s="52"/>
    </row>
    <row r="585" spans="2:4">
      <c r="B585" s="49"/>
      <c r="C585" s="49"/>
      <c r="D585" s="52"/>
    </row>
    <row r="586" spans="2:4">
      <c r="B586" s="49"/>
      <c r="C586" s="49"/>
      <c r="D586" s="52"/>
    </row>
    <row r="587" spans="2:4">
      <c r="B587" s="49"/>
      <c r="C587" s="49"/>
      <c r="D587" s="52"/>
    </row>
    <row r="588" spans="2:4">
      <c r="B588" s="49"/>
      <c r="C588" s="49"/>
      <c r="D588" s="52"/>
    </row>
    <row r="589" spans="2:4">
      <c r="B589" s="49"/>
      <c r="C589" s="49"/>
      <c r="D589" s="52"/>
    </row>
    <row r="590" spans="2:4">
      <c r="B590" s="49"/>
      <c r="C590" s="49"/>
      <c r="D590" s="52"/>
    </row>
    <row r="591" spans="2:4">
      <c r="B591" s="49"/>
      <c r="C591" s="49"/>
      <c r="D591" s="52"/>
    </row>
    <row r="592" spans="2:4">
      <c r="B592" s="49"/>
      <c r="C592" s="49"/>
      <c r="D592" s="52"/>
    </row>
    <row r="593" spans="2:4">
      <c r="B593" s="49"/>
      <c r="C593" s="49"/>
      <c r="D593" s="52"/>
    </row>
    <row r="594" spans="2:4">
      <c r="B594" s="49"/>
      <c r="C594" s="49"/>
      <c r="D594" s="52"/>
    </row>
    <row r="595" spans="2:4">
      <c r="B595" s="49"/>
      <c r="C595" s="49"/>
      <c r="D595" s="52"/>
    </row>
    <row r="596" spans="2:4">
      <c r="B596" s="49"/>
      <c r="C596" s="49"/>
      <c r="D596" s="52"/>
    </row>
    <row r="597" spans="2:4">
      <c r="B597" s="49"/>
      <c r="C597" s="49"/>
      <c r="D597" s="52"/>
    </row>
    <row r="598" spans="2:4">
      <c r="B598" s="49"/>
      <c r="C598" s="49"/>
      <c r="D598" s="52"/>
    </row>
    <row r="599" spans="2:4">
      <c r="B599" s="49"/>
      <c r="C599" s="49"/>
      <c r="D599" s="52"/>
    </row>
    <row r="600" spans="2:4">
      <c r="B600" s="49"/>
      <c r="C600" s="49"/>
      <c r="D600" s="52"/>
    </row>
    <row r="601" spans="2:4">
      <c r="B601" s="49"/>
      <c r="C601" s="49"/>
      <c r="D601" s="52"/>
    </row>
    <row r="602" spans="2:4">
      <c r="B602" s="49"/>
      <c r="C602" s="49"/>
      <c r="D602" s="52"/>
    </row>
    <row r="603" spans="2:4">
      <c r="B603" s="49"/>
      <c r="C603" s="49"/>
      <c r="D603" s="52"/>
    </row>
    <row r="604" spans="2:4">
      <c r="B604" s="49"/>
      <c r="C604" s="49"/>
      <c r="D604" s="52"/>
    </row>
    <row r="605" spans="2:4">
      <c r="B605" s="49"/>
      <c r="C605" s="49"/>
      <c r="D605" s="52"/>
    </row>
    <row r="606" spans="2:4">
      <c r="B606" s="49"/>
      <c r="C606" s="49"/>
      <c r="D606" s="52"/>
    </row>
    <row r="607" spans="2:4">
      <c r="B607" s="49"/>
      <c r="C607" s="49"/>
      <c r="D607" s="52"/>
    </row>
    <row r="608" spans="2:4">
      <c r="B608" s="49"/>
      <c r="C608" s="49"/>
      <c r="D608" s="52"/>
    </row>
    <row r="609" spans="2:4">
      <c r="B609" s="49"/>
      <c r="C609" s="49"/>
      <c r="D609" s="52"/>
    </row>
    <row r="610" spans="2:4">
      <c r="B610" s="49"/>
      <c r="C610" s="49"/>
      <c r="D610" s="52"/>
    </row>
    <row r="611" spans="2:4">
      <c r="B611" s="49"/>
      <c r="C611" s="49"/>
      <c r="D611" s="52"/>
    </row>
    <row r="612" spans="2:4">
      <c r="B612" s="49"/>
      <c r="C612" s="49"/>
      <c r="D612" s="52"/>
    </row>
    <row r="613" spans="2:4">
      <c r="B613" s="49"/>
      <c r="C613" s="49"/>
      <c r="D613" s="52"/>
    </row>
    <row r="614" spans="2:4">
      <c r="B614" s="49"/>
      <c r="C614" s="49"/>
      <c r="D614" s="52"/>
    </row>
    <row r="615" spans="2:4">
      <c r="B615" s="49"/>
      <c r="C615" s="49"/>
      <c r="D615" s="52"/>
    </row>
    <row r="616" spans="2:4">
      <c r="B616" s="49"/>
      <c r="C616" s="49"/>
      <c r="D616" s="52"/>
    </row>
    <row r="617" spans="2:4">
      <c r="B617" s="49"/>
      <c r="C617" s="49"/>
      <c r="D617" s="52"/>
    </row>
    <row r="618" spans="2:4">
      <c r="B618" s="49"/>
      <c r="C618" s="49"/>
      <c r="D618" s="52"/>
    </row>
    <row r="619" spans="2:4">
      <c r="B619" s="49"/>
      <c r="C619" s="49"/>
      <c r="D619" s="52"/>
    </row>
    <row r="620" spans="2:4">
      <c r="B620" s="49"/>
      <c r="C620" s="49"/>
      <c r="D620" s="52"/>
    </row>
    <row r="621" spans="2:4">
      <c r="B621" s="49"/>
      <c r="C621" s="49"/>
      <c r="D621" s="52"/>
    </row>
    <row r="622" spans="2:4">
      <c r="B622" s="49"/>
      <c r="C622" s="49"/>
      <c r="D622" s="52"/>
    </row>
    <row r="623" spans="2:4">
      <c r="B623" s="49"/>
      <c r="C623" s="49"/>
      <c r="D623" s="52"/>
    </row>
    <row r="624" spans="2:4">
      <c r="B624" s="49"/>
      <c r="C624" s="49"/>
      <c r="D624" s="52"/>
    </row>
    <row r="625" spans="2:4">
      <c r="B625" s="49"/>
      <c r="C625" s="49"/>
      <c r="D625" s="52"/>
    </row>
    <row r="626" spans="2:4">
      <c r="B626" s="49"/>
      <c r="C626" s="49"/>
      <c r="D626" s="52"/>
    </row>
    <row r="627" spans="2:4">
      <c r="B627" s="49"/>
      <c r="C627" s="49"/>
      <c r="D627" s="52"/>
    </row>
    <row r="628" spans="2:4">
      <c r="B628" s="49"/>
      <c r="C628" s="49"/>
      <c r="D628" s="52"/>
    </row>
    <row r="629" spans="2:4">
      <c r="B629" s="49"/>
      <c r="C629" s="49"/>
      <c r="D629" s="52"/>
    </row>
    <row r="630" spans="2:4">
      <c r="B630" s="49"/>
      <c r="C630" s="49"/>
      <c r="D630" s="52"/>
    </row>
    <row r="631" spans="2:4">
      <c r="B631" s="49"/>
      <c r="C631" s="49"/>
      <c r="D631" s="52"/>
    </row>
    <row r="632" spans="2:4">
      <c r="B632" s="49"/>
      <c r="C632" s="49"/>
      <c r="D632" s="52"/>
    </row>
    <row r="633" spans="2:4">
      <c r="B633" s="49"/>
      <c r="C633" s="49"/>
      <c r="D633" s="52"/>
    </row>
    <row r="634" spans="2:4">
      <c r="B634" s="49"/>
      <c r="C634" s="49"/>
      <c r="D634" s="52"/>
    </row>
    <row r="635" spans="2:4">
      <c r="B635" s="49"/>
      <c r="C635" s="49"/>
      <c r="D635" s="52"/>
    </row>
    <row r="636" spans="2:4">
      <c r="B636" s="49"/>
      <c r="C636" s="49"/>
      <c r="D636" s="52"/>
    </row>
    <row r="637" spans="2:4">
      <c r="B637" s="49"/>
      <c r="C637" s="49"/>
      <c r="D637" s="52"/>
    </row>
    <row r="638" spans="2:4">
      <c r="B638" s="49"/>
      <c r="C638" s="49"/>
      <c r="D638" s="52"/>
    </row>
    <row r="639" spans="2:4">
      <c r="B639" s="49"/>
      <c r="C639" s="49"/>
      <c r="D639" s="52"/>
    </row>
    <row r="640" spans="2:4">
      <c r="B640" s="49"/>
      <c r="C640" s="49"/>
      <c r="D640" s="52"/>
    </row>
    <row r="641" spans="2:4">
      <c r="B641" s="49"/>
      <c r="C641" s="49"/>
      <c r="D641" s="52"/>
    </row>
    <row r="642" spans="2:4">
      <c r="B642" s="49"/>
      <c r="C642" s="49"/>
      <c r="D642" s="52"/>
    </row>
    <row r="643" spans="2:4">
      <c r="B643" s="49"/>
      <c r="C643" s="49"/>
      <c r="D643" s="52"/>
    </row>
    <row r="644" spans="2:4">
      <c r="B644" s="49"/>
      <c r="C644" s="49"/>
      <c r="D644" s="52"/>
    </row>
    <row r="645" spans="2:4">
      <c r="B645" s="49"/>
      <c r="C645" s="49"/>
      <c r="D645" s="52"/>
    </row>
    <row r="646" spans="2:4">
      <c r="B646" s="49"/>
      <c r="C646" s="49"/>
      <c r="D646" s="52"/>
    </row>
    <row r="647" spans="2:4">
      <c r="B647" s="49"/>
      <c r="C647" s="49"/>
      <c r="D647" s="52"/>
    </row>
    <row r="648" spans="2:4">
      <c r="B648" s="49"/>
      <c r="C648" s="49"/>
      <c r="D648" s="52"/>
    </row>
    <row r="649" spans="2:4">
      <c r="B649" s="49"/>
      <c r="C649" s="49"/>
      <c r="D649" s="52"/>
    </row>
    <row r="650" spans="2:4">
      <c r="B650" s="49"/>
      <c r="C650" s="49"/>
      <c r="D650" s="52"/>
    </row>
    <row r="651" spans="2:4">
      <c r="B651" s="49"/>
      <c r="C651" s="49"/>
      <c r="D651" s="52"/>
    </row>
    <row r="652" spans="2:4">
      <c r="B652" s="49"/>
      <c r="C652" s="49"/>
      <c r="D652" s="52"/>
    </row>
    <row r="653" spans="2:4">
      <c r="B653" s="49"/>
      <c r="C653" s="49"/>
      <c r="D653" s="52"/>
    </row>
    <row r="654" spans="2:4">
      <c r="B654" s="49"/>
      <c r="C654" s="49"/>
      <c r="D654" s="52"/>
    </row>
    <row r="655" spans="2:4">
      <c r="B655" s="49"/>
      <c r="C655" s="49"/>
      <c r="D655" s="52"/>
    </row>
    <row r="656" spans="2:4">
      <c r="B656" s="49"/>
      <c r="C656" s="49"/>
      <c r="D656" s="52"/>
    </row>
    <row r="657" spans="2:4">
      <c r="B657" s="49"/>
      <c r="C657" s="49"/>
      <c r="D657" s="52"/>
    </row>
    <row r="658" spans="2:4">
      <c r="B658" s="49"/>
      <c r="C658" s="49"/>
      <c r="D658" s="52"/>
    </row>
    <row r="659" spans="2:4">
      <c r="B659" s="49"/>
      <c r="C659" s="49"/>
      <c r="D659" s="52"/>
    </row>
    <row r="660" spans="2:4">
      <c r="B660" s="49"/>
      <c r="C660" s="49"/>
      <c r="D660" s="52"/>
    </row>
    <row r="661" spans="2:4">
      <c r="B661" s="49"/>
      <c r="C661" s="49"/>
      <c r="D661" s="52"/>
    </row>
    <row r="662" spans="2:4">
      <c r="B662" s="49"/>
      <c r="C662" s="49"/>
      <c r="D662" s="52"/>
    </row>
    <row r="663" spans="2:4">
      <c r="B663" s="49"/>
      <c r="C663" s="49"/>
      <c r="D663" s="52"/>
    </row>
    <row r="664" spans="2:4">
      <c r="B664" s="49"/>
      <c r="C664" s="49"/>
      <c r="D664" s="52"/>
    </row>
    <row r="665" spans="2:4">
      <c r="B665" s="49"/>
      <c r="C665" s="49"/>
      <c r="D665" s="52"/>
    </row>
    <row r="666" spans="2:4">
      <c r="B666" s="49"/>
      <c r="C666" s="49"/>
      <c r="D666" s="52"/>
    </row>
    <row r="667" spans="2:4">
      <c r="B667" s="49"/>
      <c r="C667" s="49"/>
      <c r="D667" s="52"/>
    </row>
    <row r="668" spans="2:4">
      <c r="B668" s="49"/>
      <c r="C668" s="49"/>
      <c r="D668" s="52"/>
    </row>
    <row r="669" spans="2:4">
      <c r="B669" s="49"/>
      <c r="C669" s="49"/>
      <c r="D669" s="52"/>
    </row>
    <row r="670" spans="2:4">
      <c r="B670" s="49"/>
      <c r="C670" s="49"/>
      <c r="D670" s="52"/>
    </row>
    <row r="671" spans="2:4">
      <c r="B671" s="49"/>
      <c r="C671" s="49"/>
      <c r="D671" s="52"/>
    </row>
    <row r="672" spans="2:4">
      <c r="B672" s="49"/>
      <c r="C672" s="49"/>
      <c r="D672" s="52"/>
    </row>
    <row r="673" spans="2:4">
      <c r="B673" s="49"/>
      <c r="C673" s="49"/>
      <c r="D673" s="52"/>
    </row>
    <row r="674" spans="2:4">
      <c r="B674" s="49"/>
      <c r="C674" s="49"/>
      <c r="D674" s="52"/>
    </row>
    <row r="675" spans="2:4">
      <c r="B675" s="49"/>
      <c r="C675" s="49"/>
      <c r="D675" s="52"/>
    </row>
    <row r="676" spans="2:4">
      <c r="B676" s="49"/>
      <c r="C676" s="49"/>
      <c r="D676" s="52"/>
    </row>
    <row r="677" spans="2:4">
      <c r="B677" s="49"/>
      <c r="C677" s="49"/>
      <c r="D677" s="52"/>
    </row>
    <row r="678" spans="2:4">
      <c r="B678" s="49"/>
      <c r="C678" s="49"/>
      <c r="D678" s="52"/>
    </row>
    <row r="679" spans="2:4">
      <c r="B679" s="49"/>
      <c r="C679" s="49"/>
      <c r="D679" s="52"/>
    </row>
    <row r="680" spans="2:4">
      <c r="B680" s="49"/>
      <c r="C680" s="49"/>
      <c r="D680" s="52"/>
    </row>
    <row r="681" spans="2:4">
      <c r="B681" s="49"/>
      <c r="C681" s="49"/>
      <c r="D681" s="52"/>
    </row>
    <row r="682" spans="2:4">
      <c r="B682" s="49"/>
      <c r="C682" s="49"/>
      <c r="D682" s="52"/>
    </row>
    <row r="683" spans="2:4">
      <c r="B683" s="49"/>
      <c r="C683" s="49"/>
      <c r="D683" s="52"/>
    </row>
    <row r="684" spans="2:4">
      <c r="B684" s="49"/>
      <c r="C684" s="49"/>
      <c r="D684" s="52"/>
    </row>
    <row r="685" spans="2:4">
      <c r="B685" s="49"/>
      <c r="C685" s="49"/>
      <c r="D685" s="52"/>
    </row>
    <row r="686" spans="2:4">
      <c r="B686" s="49"/>
      <c r="C686" s="49"/>
      <c r="D686" s="52"/>
    </row>
    <row r="687" spans="2:4">
      <c r="B687" s="49"/>
      <c r="C687" s="49"/>
      <c r="D687" s="52"/>
    </row>
    <row r="688" spans="2:4">
      <c r="B688" s="49"/>
      <c r="C688" s="49"/>
      <c r="D688" s="52"/>
    </row>
    <row r="689" spans="2:4">
      <c r="B689" s="49"/>
      <c r="C689" s="49"/>
      <c r="D689" s="52"/>
    </row>
    <row r="690" spans="2:4">
      <c r="B690" s="49"/>
      <c r="C690" s="49"/>
      <c r="D690" s="52"/>
    </row>
    <row r="691" spans="2:4">
      <c r="B691" s="49"/>
      <c r="C691" s="49"/>
      <c r="D691" s="52"/>
    </row>
    <row r="692" spans="2:4">
      <c r="B692" s="49"/>
      <c r="C692" s="49"/>
      <c r="D692" s="52"/>
    </row>
    <row r="693" spans="2:4">
      <c r="B693" s="49"/>
      <c r="C693" s="49"/>
      <c r="D693" s="52"/>
    </row>
    <row r="694" spans="2:4">
      <c r="B694" s="49"/>
      <c r="C694" s="49"/>
      <c r="D694" s="52"/>
    </row>
    <row r="695" spans="2:4">
      <c r="B695" s="49"/>
      <c r="C695" s="49"/>
      <c r="D695" s="52"/>
    </row>
    <row r="696" spans="2:4">
      <c r="B696" s="49"/>
      <c r="C696" s="49"/>
      <c r="D696" s="52"/>
    </row>
    <row r="697" spans="2:4">
      <c r="B697" s="49"/>
      <c r="C697" s="49"/>
      <c r="D697" s="52"/>
    </row>
    <row r="698" spans="2:4">
      <c r="B698" s="49"/>
      <c r="C698" s="49"/>
      <c r="D698" s="52"/>
    </row>
    <row r="699" spans="2:4">
      <c r="B699" s="49"/>
      <c r="C699" s="49"/>
      <c r="D699" s="52"/>
    </row>
    <row r="700" spans="2:4">
      <c r="B700" s="49"/>
      <c r="C700" s="49"/>
      <c r="D700" s="52"/>
    </row>
    <row r="701" spans="2:4">
      <c r="B701" s="49"/>
      <c r="C701" s="49"/>
      <c r="D701" s="52"/>
    </row>
    <row r="702" spans="2:4">
      <c r="B702" s="49"/>
      <c r="C702" s="49"/>
      <c r="D702" s="52"/>
    </row>
    <row r="703" spans="2:4">
      <c r="B703" s="49"/>
      <c r="C703" s="49"/>
      <c r="D703" s="52"/>
    </row>
    <row r="704" spans="2:4">
      <c r="B704" s="49"/>
      <c r="C704" s="49"/>
      <c r="D704" s="52"/>
    </row>
    <row r="705" spans="2:4">
      <c r="B705" s="49"/>
      <c r="C705" s="49"/>
      <c r="D705" s="52"/>
    </row>
    <row r="706" spans="2:4">
      <c r="B706" s="49"/>
      <c r="C706" s="49"/>
      <c r="D706" s="52"/>
    </row>
    <row r="707" spans="2:4">
      <c r="B707" s="49"/>
      <c r="C707" s="49"/>
      <c r="D707" s="52"/>
    </row>
    <row r="708" spans="2:4">
      <c r="B708" s="49"/>
      <c r="C708" s="49"/>
      <c r="D708" s="52"/>
    </row>
    <row r="709" spans="2:4">
      <c r="B709" s="49"/>
      <c r="C709" s="49"/>
      <c r="D709" s="52"/>
    </row>
    <row r="710" spans="2:4">
      <c r="B710" s="49"/>
      <c r="C710" s="49"/>
      <c r="D710" s="52"/>
    </row>
    <row r="711" spans="2:4">
      <c r="B711" s="49"/>
      <c r="C711" s="49"/>
      <c r="D711" s="52"/>
    </row>
    <row r="712" spans="2:4">
      <c r="B712" s="49"/>
      <c r="C712" s="49"/>
      <c r="D712" s="52"/>
    </row>
    <row r="713" spans="2:4">
      <c r="B713" s="49"/>
      <c r="C713" s="49"/>
      <c r="D713" s="52"/>
    </row>
    <row r="714" spans="2:4">
      <c r="B714" s="49"/>
      <c r="C714" s="49"/>
      <c r="D714" s="52"/>
    </row>
    <row r="715" spans="2:4">
      <c r="B715" s="49"/>
      <c r="C715" s="49"/>
      <c r="D715" s="52"/>
    </row>
    <row r="716" spans="2:4">
      <c r="B716" s="49"/>
      <c r="C716" s="49"/>
      <c r="D716" s="52"/>
    </row>
    <row r="717" spans="2:4">
      <c r="B717" s="49"/>
      <c r="C717" s="49"/>
      <c r="D717" s="52"/>
    </row>
    <row r="718" spans="2:4">
      <c r="B718" s="49"/>
      <c r="C718" s="49"/>
      <c r="D718" s="52"/>
    </row>
    <row r="719" spans="2:4">
      <c r="B719" s="49"/>
      <c r="C719" s="49"/>
      <c r="D719" s="52"/>
    </row>
    <row r="720" spans="2:4">
      <c r="B720" s="49"/>
      <c r="C720" s="49"/>
      <c r="D720" s="52"/>
    </row>
    <row r="721" spans="2:4">
      <c r="B721" s="49"/>
      <c r="C721" s="49"/>
      <c r="D721" s="52"/>
    </row>
    <row r="722" spans="2:4">
      <c r="B722" s="49"/>
      <c r="C722" s="49"/>
      <c r="D722" s="52"/>
    </row>
    <row r="723" spans="2:4">
      <c r="B723" s="49"/>
      <c r="C723" s="49"/>
      <c r="D723" s="52"/>
    </row>
    <row r="724" spans="2:4">
      <c r="B724" s="49"/>
      <c r="C724" s="49"/>
      <c r="D724" s="52"/>
    </row>
    <row r="725" spans="2:4">
      <c r="B725" s="49"/>
      <c r="C725" s="49"/>
      <c r="D725" s="52"/>
    </row>
    <row r="726" spans="2:4">
      <c r="B726" s="49"/>
      <c r="C726" s="49"/>
      <c r="D726" s="52"/>
    </row>
    <row r="727" spans="2:4">
      <c r="B727" s="49"/>
      <c r="C727" s="49"/>
      <c r="D727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C12" sqref="C12"/>
    </sheetView>
  </sheetViews>
  <sheetFormatPr defaultRowHeight="12.75"/>
  <cols>
    <col min="1" max="1" width="52.140625" customWidth="1"/>
    <col min="2" max="2" width="18.85546875" customWidth="1"/>
    <col min="3" max="3" width="23.28515625" customWidth="1"/>
    <col min="4" max="4" width="18.5703125" customWidth="1"/>
  </cols>
  <sheetData>
    <row r="1" spans="1:5" ht="19.5">
      <c r="A1" s="39" t="s">
        <v>100</v>
      </c>
      <c r="B1" s="47"/>
      <c r="C1" s="47"/>
      <c r="D1" s="45" t="s">
        <v>68</v>
      </c>
      <c r="E1" s="15"/>
    </row>
    <row r="2" spans="1:5" ht="16.5" thickBot="1">
      <c r="A2" s="15"/>
      <c r="B2" s="47"/>
      <c r="C2" s="47"/>
      <c r="D2" s="46">
        <f>B4+C4</f>
        <v>66720</v>
      </c>
      <c r="E2" s="15"/>
    </row>
    <row r="3" spans="1:5" ht="13.5" thickBot="1">
      <c r="A3" s="41" t="s">
        <v>115</v>
      </c>
      <c r="B3" s="42" t="s">
        <v>63</v>
      </c>
      <c r="C3" s="42" t="s">
        <v>64</v>
      </c>
      <c r="D3" s="42" t="s">
        <v>117</v>
      </c>
      <c r="E3" s="41"/>
    </row>
    <row r="4" spans="1:5" ht="15.75">
      <c r="A4" s="44" t="s">
        <v>67</v>
      </c>
      <c r="B4" s="48">
        <f>SUM(B6:B300)</f>
        <v>720</v>
      </c>
      <c r="C4" s="48">
        <f>SUM(C6:C300)</f>
        <v>66000</v>
      </c>
      <c r="D4" s="51"/>
      <c r="E4" s="15"/>
    </row>
    <row r="5" spans="1:5">
      <c r="A5" s="15"/>
      <c r="B5" s="49"/>
      <c r="C5" s="49"/>
      <c r="D5" s="52"/>
      <c r="E5" s="15"/>
    </row>
    <row r="6" spans="1:5" ht="13.5" thickBot="1">
      <c r="A6" s="41" t="s">
        <v>66</v>
      </c>
      <c r="B6" s="50"/>
      <c r="C6" s="50"/>
      <c r="D6" s="53"/>
      <c r="E6" s="43"/>
    </row>
    <row r="7" spans="1:5">
      <c r="A7" s="15" t="s">
        <v>116</v>
      </c>
      <c r="C7" s="49">
        <v>66000</v>
      </c>
      <c r="D7" s="52" t="s">
        <v>118</v>
      </c>
      <c r="E7" s="15"/>
    </row>
    <row r="8" spans="1:5">
      <c r="A8" s="15" t="s">
        <v>119</v>
      </c>
      <c r="B8" s="49">
        <v>120</v>
      </c>
      <c r="C8" s="49"/>
      <c r="D8" s="52" t="s">
        <v>120</v>
      </c>
      <c r="E8" s="15"/>
    </row>
    <row r="9" spans="1:5">
      <c r="A9" s="15" t="s">
        <v>121</v>
      </c>
      <c r="B9" s="49">
        <v>600</v>
      </c>
      <c r="C9" s="49"/>
      <c r="D9" s="52" t="s">
        <v>122</v>
      </c>
      <c r="E9" s="15"/>
    </row>
    <row r="10" spans="1:5">
      <c r="A10" s="15"/>
      <c r="B10" s="49"/>
      <c r="C10" s="49"/>
      <c r="D10" s="52"/>
      <c r="E10" s="15"/>
    </row>
    <row r="11" spans="1:5">
      <c r="A11" s="15"/>
      <c r="B11" s="49"/>
      <c r="C11" s="49"/>
      <c r="D11" s="52"/>
      <c r="E11" s="15"/>
    </row>
    <row r="12" spans="1:5">
      <c r="A12" s="15"/>
      <c r="B12" s="49"/>
      <c r="C12" s="49"/>
      <c r="D12" s="52"/>
      <c r="E12" s="15"/>
    </row>
    <row r="13" spans="1:5">
      <c r="A13" s="15"/>
      <c r="B13" s="49"/>
      <c r="C13" s="49"/>
      <c r="D13" s="52"/>
      <c r="E1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IQ80"/>
  <sheetViews>
    <sheetView topLeftCell="A22" workbookViewId="0">
      <selection activeCell="P19" sqref="P19"/>
    </sheetView>
  </sheetViews>
  <sheetFormatPr defaultColWidth="9.7109375" defaultRowHeight="12.75"/>
  <cols>
    <col min="1" max="1" width="2.140625" customWidth="1"/>
    <col min="2" max="2" width="27.5703125" customWidth="1"/>
    <col min="3" max="3" width="15.5703125" style="2" customWidth="1"/>
    <col min="4" max="4" width="1.42578125" style="2" customWidth="1"/>
    <col min="5" max="5" width="13.7109375" style="3" customWidth="1"/>
    <col min="6" max="6" width="7.42578125" style="2" customWidth="1"/>
    <col min="7" max="7" width="17.42578125" style="3" customWidth="1"/>
    <col min="8" max="8" width="10.7109375" style="2" customWidth="1"/>
    <col min="9" max="11" width="10.7109375" style="3" customWidth="1"/>
    <col min="12" max="12" width="10.7109375" style="2" customWidth="1"/>
    <col min="13" max="13" width="10.7109375" style="3" customWidth="1"/>
  </cols>
  <sheetData>
    <row r="1" spans="2:15" s="58" customFormat="1" ht="20.25" thickBot="1">
      <c r="B1" s="56" t="s">
        <v>81</v>
      </c>
      <c r="C1" s="43"/>
      <c r="D1" s="43"/>
      <c r="E1" s="57"/>
      <c r="F1" s="43"/>
      <c r="I1" s="28"/>
      <c r="J1" s="28"/>
      <c r="K1" s="28"/>
      <c r="L1" s="27"/>
      <c r="M1" s="28"/>
    </row>
    <row r="2" spans="2:15" ht="12.75" customHeight="1" thickBot="1">
      <c r="B2" s="38" t="s">
        <v>0</v>
      </c>
    </row>
    <row r="3" spans="2:15">
      <c r="B3" s="38" t="s">
        <v>1</v>
      </c>
      <c r="G3" s="93" t="s">
        <v>15</v>
      </c>
    </row>
    <row r="4" spans="2:15" ht="13.5" thickBot="1">
      <c r="G4" s="94">
        <f>G57</f>
        <v>117296.2764</v>
      </c>
    </row>
    <row r="5" spans="2:15">
      <c r="B5" s="64" t="s">
        <v>82</v>
      </c>
      <c r="C5" s="65"/>
      <c r="D5" s="65"/>
      <c r="E5" s="66"/>
      <c r="F5" s="37"/>
      <c r="G5" s="37"/>
      <c r="H5" s="37"/>
    </row>
    <row r="6" spans="2:15" ht="13.5" thickBot="1">
      <c r="B6" s="67" t="s">
        <v>83</v>
      </c>
      <c r="C6" s="68"/>
      <c r="D6" s="68"/>
      <c r="E6" s="69"/>
      <c r="F6" s="37"/>
      <c r="G6" s="37"/>
      <c r="H6" s="37"/>
    </row>
    <row r="7" spans="2:15">
      <c r="B7" s="54">
        <f ca="1">NOW()</f>
        <v>41172.498529050928</v>
      </c>
      <c r="C7" s="37"/>
      <c r="D7" s="37"/>
      <c r="E7" s="37"/>
      <c r="F7" s="37"/>
      <c r="G7" s="37"/>
      <c r="H7" s="37"/>
    </row>
    <row r="8" spans="2:15">
      <c r="C8" s="4"/>
      <c r="D8" s="4"/>
      <c r="E8" s="6"/>
      <c r="F8" s="4"/>
      <c r="G8" s="6"/>
      <c r="H8" s="4"/>
      <c r="I8" s="6"/>
      <c r="J8" s="6"/>
      <c r="K8" s="6"/>
      <c r="L8" s="4"/>
      <c r="M8" s="6"/>
      <c r="N8" s="4"/>
      <c r="O8" s="4"/>
    </row>
    <row r="9" spans="2:15" ht="13.5" thickBot="1">
      <c r="B9" s="40" t="s">
        <v>85</v>
      </c>
      <c r="C9" s="10"/>
      <c r="D9" s="10"/>
      <c r="E9" s="11"/>
      <c r="F9" s="4"/>
      <c r="G9" s="13"/>
      <c r="H9" s="21"/>
      <c r="I9" s="13"/>
      <c r="J9" s="13"/>
      <c r="K9" s="13"/>
      <c r="L9" s="13"/>
      <c r="M9" s="13"/>
      <c r="N9" s="4"/>
      <c r="O9" s="4"/>
    </row>
    <row r="10" spans="2:15">
      <c r="B10" s="102" t="s">
        <v>2</v>
      </c>
      <c r="C10" s="103">
        <v>0.27200000000000002</v>
      </c>
      <c r="D10" s="18" t="s">
        <v>86</v>
      </c>
      <c r="E10" s="104"/>
      <c r="F10" s="105"/>
      <c r="G10" s="106" t="s">
        <v>136</v>
      </c>
      <c r="I10" s="22"/>
      <c r="J10" s="23"/>
      <c r="K10" s="20"/>
      <c r="L10" s="19"/>
      <c r="M10" s="22"/>
      <c r="N10" s="4"/>
    </row>
    <row r="11" spans="2:15">
      <c r="B11" s="60" t="s">
        <v>5</v>
      </c>
      <c r="C11" s="70">
        <v>0.34</v>
      </c>
      <c r="D11" s="19"/>
      <c r="E11" s="22"/>
      <c r="F11" s="59"/>
      <c r="G11" s="106" t="s">
        <v>137</v>
      </c>
      <c r="I11" s="22"/>
      <c r="J11" s="23"/>
      <c r="K11" s="20"/>
      <c r="L11" s="19"/>
      <c r="M11" s="22"/>
      <c r="N11" s="4"/>
    </row>
    <row r="12" spans="2:15">
      <c r="B12" s="60" t="s">
        <v>6</v>
      </c>
      <c r="C12" s="70">
        <v>0.34399999999999997</v>
      </c>
      <c r="D12" s="19"/>
      <c r="E12" s="22"/>
      <c r="F12" s="59"/>
      <c r="G12" s="55" t="s">
        <v>138</v>
      </c>
      <c r="I12" s="20"/>
      <c r="J12" s="20"/>
      <c r="K12" s="20"/>
      <c r="L12" s="19"/>
      <c r="M12" s="22"/>
      <c r="N12" s="4"/>
    </row>
    <row r="13" spans="2:15">
      <c r="B13" s="60" t="s">
        <v>4</v>
      </c>
      <c r="C13" s="70">
        <v>0.16200000000000001</v>
      </c>
      <c r="D13" s="19"/>
      <c r="E13" s="22"/>
      <c r="F13" s="59"/>
      <c r="G13" s="20"/>
      <c r="H13" s="20"/>
      <c r="I13" s="20"/>
      <c r="J13" s="20"/>
      <c r="K13" s="20"/>
      <c r="L13" s="19"/>
      <c r="M13" s="22"/>
      <c r="N13" s="4"/>
    </row>
    <row r="14" spans="2:15">
      <c r="B14" s="60" t="s">
        <v>3</v>
      </c>
      <c r="C14" s="70">
        <v>0.14899999999999999</v>
      </c>
      <c r="D14" s="19"/>
      <c r="E14" s="22"/>
      <c r="F14" s="59"/>
      <c r="G14" s="20"/>
      <c r="H14" s="20"/>
      <c r="I14" s="20"/>
      <c r="J14" s="20"/>
      <c r="K14" s="20"/>
      <c r="L14" s="19"/>
      <c r="M14" s="22"/>
      <c r="N14" s="4"/>
    </row>
    <row r="15" spans="2:15" ht="13.5" thickBot="1">
      <c r="B15" s="61" t="s">
        <v>9</v>
      </c>
      <c r="C15" s="71">
        <v>0.111</v>
      </c>
      <c r="D15" s="27"/>
      <c r="E15" s="28"/>
      <c r="F15" s="62"/>
      <c r="G15" s="22"/>
      <c r="H15" s="22"/>
      <c r="I15" s="22"/>
      <c r="J15" s="23"/>
      <c r="K15" s="20"/>
      <c r="L15" s="19"/>
      <c r="M15" s="19"/>
      <c r="N15" s="4"/>
    </row>
    <row r="16" spans="2:15">
      <c r="C16" s="4"/>
      <c r="D16" s="4"/>
      <c r="E16" s="6"/>
      <c r="F16" s="4"/>
      <c r="G16" s="63"/>
      <c r="H16" s="19"/>
      <c r="I16" s="63"/>
      <c r="J16" s="63"/>
      <c r="K16" s="63"/>
      <c r="L16" s="19"/>
      <c r="M16" s="63"/>
      <c r="N16" s="4"/>
      <c r="O16" s="4"/>
    </row>
    <row r="17" spans="2:251">
      <c r="C17" s="7" t="s">
        <v>87</v>
      </c>
      <c r="D17" s="7" t="s">
        <v>16</v>
      </c>
      <c r="E17" s="8"/>
      <c r="F17" s="7"/>
      <c r="G17" s="25" t="s">
        <v>17</v>
      </c>
      <c r="H17" s="26"/>
      <c r="I17" s="25"/>
      <c r="J17" s="25"/>
      <c r="K17" s="26"/>
      <c r="L17" s="4"/>
      <c r="M17" s="8"/>
      <c r="N17" s="7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</row>
    <row r="18" spans="2:251">
      <c r="B18" s="9" t="s">
        <v>18</v>
      </c>
      <c r="C18" s="4" t="s">
        <v>88</v>
      </c>
      <c r="D18" s="4"/>
      <c r="E18" s="6" t="s">
        <v>89</v>
      </c>
      <c r="F18" s="4"/>
      <c r="G18" s="6"/>
      <c r="H18" s="4"/>
      <c r="I18" s="6"/>
      <c r="J18" s="6"/>
      <c r="K18" s="6"/>
      <c r="L18" s="4"/>
      <c r="M18" s="6"/>
      <c r="N18" s="4"/>
      <c r="O18" s="4"/>
    </row>
    <row r="19" spans="2:251">
      <c r="B19" s="15" t="s">
        <v>84</v>
      </c>
      <c r="C19" s="15">
        <v>0.5</v>
      </c>
      <c r="D19" s="15"/>
      <c r="E19" s="72">
        <v>7890</v>
      </c>
      <c r="F19" s="4"/>
      <c r="G19" s="13">
        <f>C19*E19</f>
        <v>3945</v>
      </c>
      <c r="H19" s="13" t="s">
        <v>104</v>
      </c>
      <c r="I19" s="13"/>
      <c r="J19" s="13"/>
      <c r="K19" s="13"/>
      <c r="L19" s="13"/>
      <c r="M19" s="13"/>
      <c r="N19" s="4"/>
      <c r="O19" s="4"/>
    </row>
    <row r="20" spans="2:251">
      <c r="B20" s="4"/>
      <c r="C20" s="10"/>
      <c r="D20" s="10"/>
      <c r="E20" s="11"/>
      <c r="F20" s="4"/>
      <c r="G20" s="13"/>
      <c r="H20" s="13"/>
      <c r="I20" s="13"/>
      <c r="J20" s="13"/>
      <c r="K20" s="13"/>
      <c r="L20" s="13"/>
      <c r="M20" s="13"/>
      <c r="N20" s="4"/>
      <c r="O20" s="4"/>
    </row>
    <row r="21" spans="2:251">
      <c r="B21" s="9" t="s">
        <v>19</v>
      </c>
      <c r="C21" s="10"/>
      <c r="D21" s="10"/>
      <c r="E21" s="14" t="s">
        <v>7</v>
      </c>
      <c r="F21" s="4"/>
      <c r="G21" s="13"/>
      <c r="H21" s="13"/>
      <c r="I21" s="13"/>
      <c r="J21" s="13"/>
      <c r="K21" s="13"/>
      <c r="L21" s="13"/>
      <c r="M21" s="13"/>
      <c r="N21" s="4"/>
      <c r="O21" s="4"/>
    </row>
    <row r="22" spans="2:251">
      <c r="B22" s="15" t="s">
        <v>10</v>
      </c>
      <c r="C22" s="73">
        <v>0</v>
      </c>
      <c r="D22" s="73"/>
      <c r="E22" s="55">
        <v>4000</v>
      </c>
      <c r="F22" s="5"/>
      <c r="G22" s="13">
        <f>C22*E22</f>
        <v>0</v>
      </c>
      <c r="H22" s="13"/>
      <c r="J22" s="13"/>
      <c r="K22" s="13"/>
      <c r="L22" s="13"/>
      <c r="M22" s="13"/>
      <c r="N22" s="4"/>
      <c r="O22" s="4"/>
    </row>
    <row r="23" spans="2:251">
      <c r="B23" s="15" t="s">
        <v>105</v>
      </c>
      <c r="C23" s="15">
        <v>0</v>
      </c>
      <c r="D23" s="15"/>
      <c r="E23" s="55">
        <v>3500</v>
      </c>
      <c r="F23" s="4"/>
      <c r="G23" s="13">
        <f>C23*E23</f>
        <v>0</v>
      </c>
      <c r="H23" s="13"/>
      <c r="J23" s="13"/>
      <c r="K23" s="13"/>
      <c r="L23" s="13"/>
      <c r="M23" s="13"/>
      <c r="N23" s="4"/>
      <c r="O23" s="4"/>
    </row>
    <row r="24" spans="2:251">
      <c r="B24" s="15" t="s">
        <v>106</v>
      </c>
      <c r="C24" s="15">
        <v>0</v>
      </c>
      <c r="D24" s="15"/>
      <c r="E24" s="55">
        <v>5922</v>
      </c>
      <c r="F24" s="4"/>
      <c r="G24" s="13">
        <f>C24*E24</f>
        <v>0</v>
      </c>
      <c r="H24" s="13"/>
      <c r="J24" s="13"/>
      <c r="K24" s="13"/>
      <c r="L24" s="13"/>
      <c r="M24" s="13"/>
      <c r="N24" s="4"/>
      <c r="O24" s="4"/>
    </row>
    <row r="25" spans="2:251" ht="13.5" thickBot="1">
      <c r="B25" s="15" t="s">
        <v>11</v>
      </c>
      <c r="C25" s="15">
        <v>0</v>
      </c>
      <c r="D25" s="15"/>
      <c r="E25" s="15">
        <v>2278</v>
      </c>
      <c r="F25" s="4"/>
      <c r="G25" s="13">
        <f>C25*E25</f>
        <v>0</v>
      </c>
      <c r="H25" s="95" t="s">
        <v>90</v>
      </c>
      <c r="I25" s="13"/>
      <c r="J25" s="13"/>
      <c r="K25" s="13"/>
      <c r="L25" s="13"/>
      <c r="M25" s="13"/>
      <c r="N25" s="4"/>
      <c r="O25" s="4"/>
    </row>
    <row r="26" spans="2:251" ht="13.5" thickBot="1">
      <c r="B26" s="74" t="s">
        <v>12</v>
      </c>
      <c r="C26" s="75">
        <v>1</v>
      </c>
      <c r="D26" s="75"/>
      <c r="E26" s="78">
        <v>1120</v>
      </c>
      <c r="F26" s="76"/>
      <c r="G26" s="77">
        <f>C26*E26</f>
        <v>1120</v>
      </c>
      <c r="H26" s="95" t="s">
        <v>91</v>
      </c>
      <c r="J26" s="13"/>
      <c r="K26" s="13"/>
      <c r="L26" s="13"/>
      <c r="M26" s="13"/>
      <c r="N26" s="4"/>
      <c r="O26" s="4"/>
    </row>
    <row r="27" spans="2:251">
      <c r="B27" s="5"/>
      <c r="C27" s="12"/>
      <c r="D27" s="10"/>
      <c r="E27" s="11"/>
      <c r="F27" s="4"/>
      <c r="G27" s="13"/>
      <c r="H27" s="13"/>
      <c r="I27" s="13"/>
      <c r="J27" s="13"/>
      <c r="K27" s="13"/>
      <c r="L27" s="13"/>
      <c r="M27" s="13"/>
      <c r="N27" s="4"/>
      <c r="O27" s="4"/>
    </row>
    <row r="28" spans="2:251">
      <c r="B28" s="4" t="s">
        <v>20</v>
      </c>
      <c r="C28" s="10"/>
      <c r="D28" s="10"/>
      <c r="E28" s="11"/>
      <c r="F28" s="4"/>
      <c r="G28" s="13">
        <f>SUM(G19:G26)</f>
        <v>5065</v>
      </c>
      <c r="H28" s="13"/>
      <c r="I28" s="13"/>
      <c r="J28" s="13"/>
      <c r="K28" s="13"/>
      <c r="L28" s="13"/>
      <c r="M28" s="13"/>
      <c r="N28" s="4"/>
      <c r="O28" s="4"/>
    </row>
    <row r="29" spans="2:251">
      <c r="B29" s="4"/>
      <c r="C29" s="10"/>
      <c r="D29" s="10"/>
      <c r="E29" s="11"/>
      <c r="F29" s="4"/>
      <c r="G29" s="13"/>
      <c r="H29" s="13"/>
      <c r="I29" s="13"/>
      <c r="J29" s="13"/>
      <c r="K29" s="13"/>
      <c r="L29" s="13"/>
      <c r="M29" s="13"/>
      <c r="N29" s="4"/>
      <c r="O29" s="4"/>
    </row>
    <row r="30" spans="2:251">
      <c r="B30" s="9" t="s">
        <v>21</v>
      </c>
      <c r="C30" s="10"/>
      <c r="D30" s="10"/>
      <c r="E30" s="11"/>
      <c r="F30" s="4"/>
      <c r="G30" s="13">
        <f>$C$10*(G19+G22)+$C$11*G23+$C$12*(G24)+$C$13*G25+$C$14*G26</f>
        <v>1239.92</v>
      </c>
      <c r="H30" s="13" t="s">
        <v>107</v>
      </c>
      <c r="I30" s="13"/>
      <c r="J30" s="13"/>
      <c r="K30" s="13"/>
      <c r="L30" s="13"/>
      <c r="M30" s="13"/>
      <c r="N30" s="4"/>
      <c r="O30" s="4"/>
    </row>
    <row r="31" spans="2:251">
      <c r="B31" s="4" t="s">
        <v>22</v>
      </c>
      <c r="C31" s="10"/>
      <c r="D31" s="10"/>
      <c r="E31" s="11"/>
      <c r="F31" s="4"/>
      <c r="G31" s="13">
        <f>G28+G30</f>
        <v>6304.92</v>
      </c>
      <c r="H31" s="13" t="s">
        <v>92</v>
      </c>
      <c r="I31" s="13"/>
      <c r="J31" s="13"/>
      <c r="K31" s="13"/>
      <c r="L31" s="13"/>
      <c r="M31" s="13"/>
      <c r="N31" s="4"/>
      <c r="O31" s="4"/>
    </row>
    <row r="32" spans="2:251">
      <c r="B32" s="4"/>
      <c r="C32" s="10"/>
      <c r="D32" s="10"/>
      <c r="E32" s="11"/>
      <c r="F32" s="4"/>
      <c r="G32" s="13"/>
      <c r="H32" s="13"/>
      <c r="I32" s="13"/>
      <c r="J32" s="13"/>
      <c r="K32" s="13"/>
      <c r="L32" s="13"/>
      <c r="M32" s="13"/>
      <c r="N32" s="4"/>
      <c r="O32" s="4"/>
    </row>
    <row r="33" spans="2:15">
      <c r="B33" s="9" t="s">
        <v>23</v>
      </c>
      <c r="C33" s="10"/>
      <c r="D33" s="10"/>
      <c r="E33" s="11"/>
      <c r="F33" s="31"/>
      <c r="G33" s="79">
        <v>0</v>
      </c>
      <c r="H33" s="79" t="s">
        <v>93</v>
      </c>
      <c r="I33" s="79"/>
      <c r="J33" s="13"/>
      <c r="K33" s="13"/>
      <c r="L33" s="13"/>
      <c r="M33" s="13"/>
      <c r="N33" s="4"/>
      <c r="O33" s="4"/>
    </row>
    <row r="34" spans="2:15">
      <c r="B34" s="4"/>
      <c r="C34" s="10"/>
      <c r="D34" s="10"/>
      <c r="E34" s="4"/>
      <c r="F34" s="32"/>
      <c r="G34" s="33"/>
      <c r="H34" s="79" t="s">
        <v>94</v>
      </c>
      <c r="I34" s="79"/>
      <c r="J34" s="13"/>
      <c r="K34" s="13"/>
      <c r="L34" s="13"/>
      <c r="M34" s="13"/>
      <c r="N34" s="4"/>
      <c r="O34" s="4"/>
    </row>
    <row r="35" spans="2:15" ht="13.5" thickBot="1">
      <c r="B35" s="9" t="s">
        <v>24</v>
      </c>
      <c r="C35" s="10"/>
      <c r="D35" s="10"/>
      <c r="E35" s="11"/>
      <c r="F35" s="31"/>
      <c r="G35" s="32"/>
      <c r="H35" s="32"/>
      <c r="I35" s="36"/>
      <c r="J35" s="13"/>
      <c r="K35" s="13"/>
      <c r="L35" s="13"/>
      <c r="M35" s="13"/>
      <c r="N35" s="4"/>
      <c r="O35" s="4"/>
    </row>
    <row r="36" spans="2:15">
      <c r="B36" s="86" t="s">
        <v>25</v>
      </c>
      <c r="C36" s="80"/>
      <c r="D36" s="80"/>
      <c r="E36" s="17"/>
      <c r="F36" s="81"/>
      <c r="G36" s="84">
        <v>575</v>
      </c>
      <c r="H36" s="32" t="s">
        <v>108</v>
      </c>
      <c r="I36" s="36"/>
      <c r="J36" s="13"/>
      <c r="K36" s="13"/>
      <c r="L36" s="13"/>
      <c r="M36" s="13"/>
      <c r="N36" s="4"/>
      <c r="O36" s="4"/>
    </row>
    <row r="37" spans="2:15" ht="13.5" thickBot="1">
      <c r="B37" s="87" t="s">
        <v>26</v>
      </c>
      <c r="C37" s="82"/>
      <c r="D37" s="82"/>
      <c r="E37" s="24"/>
      <c r="F37" s="83"/>
      <c r="G37" s="85">
        <v>0</v>
      </c>
      <c r="H37" s="32" t="s">
        <v>95</v>
      </c>
      <c r="I37" s="36"/>
      <c r="J37" s="13"/>
      <c r="K37" s="13"/>
      <c r="L37" s="13"/>
      <c r="M37" s="13"/>
      <c r="N37" s="4"/>
      <c r="O37" s="4"/>
    </row>
    <row r="38" spans="2:15">
      <c r="B38" s="4" t="s">
        <v>27</v>
      </c>
      <c r="C38" s="10"/>
      <c r="D38" s="10"/>
      <c r="E38" s="11"/>
      <c r="F38" s="31"/>
      <c r="G38" s="34">
        <f>SUM(G36:G37)</f>
        <v>575</v>
      </c>
      <c r="H38" s="34"/>
      <c r="I38" s="35"/>
      <c r="J38" s="13"/>
      <c r="K38" s="13"/>
      <c r="L38" s="13"/>
      <c r="M38" s="13"/>
      <c r="N38" s="4"/>
      <c r="O38" s="4"/>
    </row>
    <row r="39" spans="2:15">
      <c r="B39" s="4"/>
      <c r="C39" s="10"/>
      <c r="D39" s="10"/>
      <c r="E39" s="11"/>
      <c r="F39" s="4"/>
      <c r="G39" s="13"/>
      <c r="H39" s="13"/>
      <c r="I39" s="13"/>
      <c r="J39" s="13"/>
      <c r="K39" s="13"/>
      <c r="L39" s="13"/>
      <c r="M39" s="13"/>
      <c r="N39" s="4"/>
      <c r="O39" s="4"/>
    </row>
    <row r="40" spans="2:15">
      <c r="B40" s="9" t="s">
        <v>28</v>
      </c>
      <c r="C40" s="10"/>
      <c r="D40" s="10"/>
      <c r="E40" s="11"/>
      <c r="F40" s="4"/>
      <c r="G40" s="13">
        <v>0</v>
      </c>
      <c r="H40" s="13" t="s">
        <v>96</v>
      </c>
      <c r="I40" s="13"/>
      <c r="J40" s="13"/>
      <c r="K40" s="13"/>
      <c r="L40" s="13"/>
      <c r="M40" s="13"/>
      <c r="N40" s="4"/>
      <c r="O40" s="4"/>
    </row>
    <row r="41" spans="2:15">
      <c r="B41" s="4"/>
      <c r="C41" s="10"/>
      <c r="D41" s="10"/>
      <c r="E41" s="11"/>
      <c r="F41" s="4"/>
      <c r="G41" s="13"/>
      <c r="H41" s="13" t="s">
        <v>97</v>
      </c>
      <c r="I41" s="13"/>
      <c r="J41" s="13"/>
      <c r="K41" s="13"/>
      <c r="L41" s="13"/>
      <c r="M41" s="13"/>
      <c r="N41" s="4"/>
      <c r="O41" s="4"/>
    </row>
    <row r="42" spans="2:15" ht="13.5" thickBot="1">
      <c r="B42" s="9" t="s">
        <v>29</v>
      </c>
      <c r="C42" s="10"/>
      <c r="D42" s="10"/>
      <c r="E42" s="11"/>
      <c r="F42" s="4"/>
      <c r="G42" s="13"/>
      <c r="H42" s="13"/>
      <c r="I42" s="13"/>
      <c r="J42" s="13"/>
      <c r="K42" s="13"/>
      <c r="L42" s="13"/>
      <c r="M42" s="13"/>
      <c r="N42" s="4"/>
      <c r="O42" s="4"/>
    </row>
    <row r="43" spans="2:15" ht="13.5" thickBot="1">
      <c r="B43" s="88" t="s">
        <v>99</v>
      </c>
      <c r="C43" s="89"/>
      <c r="D43" s="89"/>
      <c r="E43" s="90"/>
      <c r="F43" s="89"/>
      <c r="G43" s="77">
        <f>SUPPLIES!D2</f>
        <v>1570</v>
      </c>
      <c r="H43" s="96" t="s">
        <v>109</v>
      </c>
      <c r="I43" s="32"/>
      <c r="J43" s="13"/>
      <c r="K43" s="13"/>
      <c r="L43" s="13"/>
      <c r="M43" s="13"/>
      <c r="N43" s="4"/>
      <c r="O43" s="4"/>
    </row>
    <row r="44" spans="2:15">
      <c r="B44" s="4" t="s">
        <v>30</v>
      </c>
      <c r="C44" s="10"/>
      <c r="D44" s="15"/>
      <c r="E44" s="16"/>
      <c r="F44" s="4"/>
      <c r="G44" s="32">
        <v>500</v>
      </c>
      <c r="H44" s="79" t="s">
        <v>114</v>
      </c>
      <c r="I44" s="36"/>
      <c r="J44" s="13"/>
      <c r="K44" s="13"/>
      <c r="L44" s="13"/>
      <c r="M44" s="13"/>
      <c r="N44" s="4"/>
      <c r="O44" s="4"/>
    </row>
    <row r="45" spans="2:15" ht="13.5" thickBot="1">
      <c r="B45" s="4" t="s">
        <v>31</v>
      </c>
      <c r="C45" s="10"/>
      <c r="D45" s="10"/>
      <c r="E45" s="11"/>
      <c r="F45" s="4"/>
      <c r="G45" s="13">
        <f>E45*(C25/12)</f>
        <v>0</v>
      </c>
      <c r="H45" s="13" t="s">
        <v>113</v>
      </c>
      <c r="I45" s="13"/>
      <c r="J45" s="13"/>
      <c r="K45" s="13"/>
      <c r="L45" s="13"/>
      <c r="M45" s="13"/>
      <c r="N45" s="4"/>
      <c r="O45" s="4"/>
    </row>
    <row r="46" spans="2:15" ht="13.5" thickBot="1">
      <c r="B46" s="88" t="s">
        <v>98</v>
      </c>
      <c r="C46" s="91"/>
      <c r="D46" s="91"/>
      <c r="E46" s="92"/>
      <c r="F46" s="91"/>
      <c r="G46" s="77">
        <f>'CONTRACTUAL SERVICES'!D2</f>
        <v>66720</v>
      </c>
      <c r="H46" s="96" t="s">
        <v>109</v>
      </c>
      <c r="I46" s="13"/>
      <c r="J46" s="13"/>
      <c r="K46" s="13"/>
      <c r="L46" s="13"/>
      <c r="M46" s="13"/>
      <c r="N46" s="4"/>
      <c r="O46" s="4"/>
    </row>
    <row r="47" spans="2:15">
      <c r="B47" s="4" t="s">
        <v>14</v>
      </c>
      <c r="C47" s="10"/>
      <c r="D47" s="10"/>
      <c r="E47" s="11"/>
      <c r="F47" s="4"/>
      <c r="G47" s="79">
        <v>0</v>
      </c>
      <c r="H47" s="32"/>
      <c r="I47" s="36"/>
      <c r="J47" s="13"/>
      <c r="K47" s="13"/>
      <c r="L47" s="13"/>
      <c r="M47" s="13"/>
      <c r="N47" s="4"/>
      <c r="O47" s="4"/>
    </row>
    <row r="48" spans="2:15">
      <c r="B48" s="4" t="s">
        <v>13</v>
      </c>
      <c r="C48" s="10"/>
      <c r="D48" s="10"/>
      <c r="E48" s="11"/>
      <c r="F48" s="4"/>
      <c r="G48" s="79">
        <v>250</v>
      </c>
      <c r="H48" s="79" t="s">
        <v>112</v>
      </c>
      <c r="I48" s="36"/>
      <c r="J48" s="13"/>
      <c r="K48" s="13"/>
      <c r="L48" s="13"/>
      <c r="M48" s="13"/>
      <c r="N48" s="4"/>
      <c r="O48" s="4"/>
    </row>
    <row r="49" spans="2:15">
      <c r="B49" s="4" t="s">
        <v>32</v>
      </c>
      <c r="C49" s="10"/>
      <c r="D49" s="10"/>
      <c r="E49" s="11"/>
      <c r="F49" s="4"/>
      <c r="G49" s="13">
        <f>SUM(G43:G48)</f>
        <v>69040</v>
      </c>
      <c r="H49" s="13"/>
      <c r="I49" s="13"/>
      <c r="J49" s="13"/>
      <c r="K49" s="13"/>
      <c r="L49" s="13"/>
      <c r="M49" s="13"/>
      <c r="N49" s="4"/>
      <c r="O49" s="4"/>
    </row>
    <row r="50" spans="2:15">
      <c r="B50" s="4"/>
      <c r="C50" s="4"/>
      <c r="D50" s="4"/>
      <c r="E50" s="6"/>
      <c r="F50" s="4"/>
      <c r="G50" s="13"/>
      <c r="H50" s="13"/>
      <c r="I50" s="13"/>
      <c r="J50" s="13"/>
      <c r="K50" s="13"/>
      <c r="L50" s="13"/>
      <c r="M50" s="13"/>
      <c r="N50" s="4"/>
      <c r="O50" s="4"/>
    </row>
    <row r="51" spans="2:15">
      <c r="B51" s="9" t="s">
        <v>33</v>
      </c>
      <c r="C51" s="4"/>
      <c r="D51" s="4"/>
      <c r="E51" s="6"/>
      <c r="F51" s="4"/>
      <c r="G51" s="13">
        <f>G31+G33+G38+G49</f>
        <v>75919.92</v>
      </c>
      <c r="H51" s="13" t="s">
        <v>110</v>
      </c>
      <c r="I51" s="13"/>
      <c r="J51" s="13"/>
      <c r="K51" s="13"/>
      <c r="L51" s="13"/>
      <c r="M51" s="13"/>
      <c r="N51" s="4"/>
      <c r="O51" s="4"/>
    </row>
    <row r="52" spans="2:15">
      <c r="B52" s="9" t="s">
        <v>34</v>
      </c>
      <c r="C52" s="4"/>
      <c r="D52" s="4"/>
      <c r="E52" s="6"/>
      <c r="F52" s="4"/>
      <c r="G52" s="13">
        <f>G51-(G33+G45)</f>
        <v>75919.92</v>
      </c>
      <c r="H52" s="13" t="s">
        <v>111</v>
      </c>
      <c r="I52" s="13"/>
      <c r="J52" s="13"/>
      <c r="K52" s="13"/>
      <c r="L52" s="13"/>
      <c r="M52" s="13"/>
      <c r="N52" s="4"/>
      <c r="O52" s="4"/>
    </row>
    <row r="53" spans="2:15">
      <c r="B53" s="7" t="s">
        <v>8</v>
      </c>
      <c r="C53" s="29">
        <v>0.54500000000000004</v>
      </c>
      <c r="D53" s="4"/>
      <c r="E53" s="6"/>
      <c r="F53" s="4"/>
      <c r="G53" s="13">
        <f>G52*C53</f>
        <v>41376.356400000004</v>
      </c>
      <c r="H53" s="13" t="s">
        <v>101</v>
      </c>
      <c r="I53" s="13"/>
      <c r="J53" s="13"/>
      <c r="K53" s="13"/>
      <c r="L53" s="13"/>
      <c r="M53" s="13"/>
      <c r="N53" s="4"/>
      <c r="O53" s="4"/>
    </row>
    <row r="54" spans="2:15">
      <c r="B54" s="4"/>
      <c r="C54" s="4"/>
      <c r="D54" s="4"/>
      <c r="E54" s="6"/>
      <c r="F54" s="4"/>
      <c r="G54" s="13"/>
      <c r="H54" s="13"/>
      <c r="I54" s="13"/>
      <c r="J54" s="13"/>
      <c r="K54" s="13"/>
      <c r="L54" s="13"/>
      <c r="M54" s="13"/>
      <c r="N54" s="4"/>
      <c r="O54" s="4"/>
    </row>
    <row r="55" spans="2:15">
      <c r="B55" s="9" t="s">
        <v>35</v>
      </c>
      <c r="C55" s="4"/>
      <c r="D55" s="4"/>
      <c r="E55" s="6"/>
      <c r="F55" s="4"/>
      <c r="G55" s="13">
        <f>G51+G53</f>
        <v>117296.2764</v>
      </c>
      <c r="H55" s="13"/>
      <c r="I55" s="13"/>
      <c r="J55" s="13"/>
      <c r="K55" s="13"/>
      <c r="L55" s="13"/>
      <c r="M55" s="13"/>
      <c r="N55" s="4"/>
      <c r="O55" s="4"/>
    </row>
    <row r="56" spans="2:15" s="58" customFormat="1" ht="13.5" thickBot="1">
      <c r="B56" s="98" t="s">
        <v>36</v>
      </c>
      <c r="C56" s="99"/>
      <c r="D56" s="99"/>
      <c r="E56" s="100"/>
      <c r="F56" s="99"/>
      <c r="G56" s="101">
        <v>0</v>
      </c>
      <c r="H56" s="101" t="s">
        <v>102</v>
      </c>
      <c r="I56" s="101"/>
      <c r="J56" s="101"/>
      <c r="K56" s="101"/>
      <c r="L56" s="101"/>
      <c r="M56" s="101"/>
      <c r="N56" s="99"/>
      <c r="O56" s="99"/>
    </row>
    <row r="57" spans="2:15">
      <c r="B57" s="9" t="s">
        <v>37</v>
      </c>
      <c r="C57" s="4"/>
      <c r="D57" s="4"/>
      <c r="E57" s="6"/>
      <c r="F57" s="4"/>
      <c r="G57" s="97">
        <f>G55</f>
        <v>117296.2764</v>
      </c>
      <c r="H57" s="97" t="s">
        <v>103</v>
      </c>
      <c r="I57" s="13"/>
      <c r="J57" s="13"/>
      <c r="K57" s="13"/>
      <c r="L57" s="13"/>
      <c r="M57" s="13"/>
      <c r="N57" s="4"/>
      <c r="O57" s="4"/>
    </row>
    <row r="58" spans="2:15">
      <c r="B58" s="4"/>
      <c r="C58" s="4"/>
      <c r="D58" s="4"/>
      <c r="E58" s="6"/>
      <c r="F58" s="4"/>
      <c r="G58" s="13"/>
      <c r="H58" s="13"/>
      <c r="I58" s="13"/>
      <c r="J58" s="13"/>
      <c r="K58" s="13"/>
      <c r="L58" s="13"/>
      <c r="M58" s="13"/>
      <c r="N58" s="4"/>
      <c r="O58" s="4"/>
    </row>
    <row r="59" spans="2:15">
      <c r="B59" s="4"/>
      <c r="C59" s="4"/>
      <c r="D59" s="4"/>
      <c r="E59" s="6"/>
      <c r="F59" s="4"/>
      <c r="G59" s="13"/>
      <c r="H59" s="13"/>
      <c r="I59" s="13"/>
      <c r="J59" s="13"/>
      <c r="K59" s="13"/>
      <c r="L59" s="13"/>
      <c r="M59" s="13"/>
      <c r="N59" s="4"/>
      <c r="O59" s="4"/>
    </row>
    <row r="60" spans="2:15">
      <c r="B60" s="4"/>
      <c r="C60" s="4"/>
      <c r="D60" s="4"/>
      <c r="E60" s="6"/>
      <c r="F60" s="4"/>
      <c r="G60" s="13"/>
      <c r="H60" s="13"/>
      <c r="I60" s="13"/>
      <c r="J60" s="13"/>
      <c r="K60" s="13"/>
      <c r="L60" s="13"/>
      <c r="M60" s="13"/>
      <c r="N60" s="4"/>
      <c r="O60" s="4"/>
    </row>
    <row r="61" spans="2:15">
      <c r="B61" s="4"/>
      <c r="C61" s="4"/>
      <c r="D61" s="4"/>
      <c r="E61" s="6"/>
      <c r="F61" s="4"/>
      <c r="G61" s="13"/>
      <c r="H61" s="13"/>
      <c r="I61" s="13"/>
      <c r="J61" s="13"/>
      <c r="K61" s="13"/>
      <c r="L61" s="13"/>
      <c r="M61" s="13"/>
      <c r="N61" s="4"/>
      <c r="O61" s="4"/>
    </row>
    <row r="62" spans="2:15">
      <c r="B62" s="4"/>
      <c r="C62" s="4"/>
      <c r="D62" s="4"/>
      <c r="E62" s="6"/>
      <c r="F62" s="4"/>
      <c r="G62" s="13"/>
      <c r="H62" s="13"/>
      <c r="I62" s="13"/>
      <c r="J62" s="13"/>
      <c r="K62" s="13"/>
      <c r="L62" s="13"/>
      <c r="M62" s="13"/>
      <c r="N62" s="4"/>
      <c r="O62" s="4"/>
    </row>
    <row r="63" spans="2:15">
      <c r="B63" s="4"/>
      <c r="C63" s="4"/>
      <c r="D63" s="4"/>
      <c r="E63" s="6"/>
      <c r="F63" s="4"/>
      <c r="G63" s="13"/>
      <c r="H63" s="13"/>
      <c r="I63" s="13"/>
      <c r="J63" s="13"/>
      <c r="K63" s="13"/>
      <c r="L63" s="13"/>
      <c r="M63" s="13"/>
      <c r="N63" s="4"/>
      <c r="O63" s="4"/>
    </row>
    <row r="64" spans="2:15">
      <c r="B64" s="4"/>
      <c r="C64" s="4"/>
      <c r="D64" s="4"/>
      <c r="E64" s="6"/>
      <c r="F64" s="4"/>
      <c r="G64" s="13"/>
      <c r="H64" s="13"/>
      <c r="I64" s="13"/>
      <c r="J64" s="13"/>
      <c r="K64" s="13"/>
      <c r="L64" s="13"/>
      <c r="M64" s="13"/>
      <c r="N64" s="4"/>
      <c r="O64" s="4"/>
    </row>
    <row r="65" spans="2:15">
      <c r="B65" s="4"/>
      <c r="C65" s="4"/>
      <c r="D65" s="4"/>
      <c r="E65" s="6"/>
      <c r="F65" s="4"/>
      <c r="G65" s="13"/>
      <c r="H65" s="13"/>
      <c r="I65" s="13"/>
      <c r="J65" s="13"/>
      <c r="K65" s="13"/>
      <c r="L65" s="13"/>
      <c r="M65" s="13"/>
      <c r="N65" s="4"/>
      <c r="O65" s="4"/>
    </row>
    <row r="66" spans="2:15">
      <c r="B66" s="4"/>
      <c r="C66" s="4"/>
      <c r="D66" s="4"/>
      <c r="E66" s="6"/>
      <c r="F66" s="4"/>
      <c r="G66" s="13"/>
      <c r="H66" s="13"/>
      <c r="I66" s="13"/>
      <c r="J66" s="13"/>
      <c r="K66" s="13"/>
      <c r="L66" s="13"/>
      <c r="M66" s="13"/>
      <c r="N66" s="4"/>
      <c r="O66" s="4"/>
    </row>
    <row r="67" spans="2:15">
      <c r="B67" s="4"/>
      <c r="C67" s="4"/>
      <c r="D67" s="4"/>
      <c r="E67" s="6"/>
      <c r="F67" s="4"/>
      <c r="G67" s="13"/>
      <c r="H67" s="13"/>
      <c r="I67" s="13"/>
      <c r="J67" s="13"/>
      <c r="K67" s="13"/>
      <c r="L67" s="13"/>
      <c r="M67" s="13"/>
      <c r="N67" s="4"/>
      <c r="O67" s="4"/>
    </row>
    <row r="68" spans="2:15">
      <c r="B68" s="4"/>
      <c r="C68" s="4"/>
      <c r="D68" s="4"/>
      <c r="E68" s="6"/>
      <c r="F68" s="4"/>
      <c r="G68" s="13"/>
      <c r="H68" s="13"/>
      <c r="I68" s="13"/>
      <c r="J68" s="13"/>
      <c r="K68" s="13"/>
      <c r="L68" s="13"/>
      <c r="M68" s="13"/>
      <c r="N68" s="4"/>
      <c r="O68" s="4"/>
    </row>
    <row r="69" spans="2:15">
      <c r="B69" s="4"/>
      <c r="C69" s="4"/>
      <c r="D69" s="4"/>
      <c r="E69" s="6"/>
      <c r="F69" s="4"/>
      <c r="G69" s="13"/>
      <c r="H69" s="13"/>
      <c r="I69" s="13"/>
      <c r="J69" s="13"/>
      <c r="K69" s="13"/>
      <c r="L69" s="13"/>
      <c r="M69" s="13"/>
      <c r="N69" s="4"/>
      <c r="O69" s="4"/>
    </row>
    <row r="70" spans="2:15">
      <c r="B70" s="4"/>
      <c r="C70" s="4"/>
      <c r="D70" s="4"/>
      <c r="E70" s="6"/>
      <c r="F70" s="4"/>
      <c r="G70" s="13"/>
      <c r="H70" s="13"/>
      <c r="I70" s="13"/>
      <c r="J70" s="13"/>
      <c r="K70" s="13"/>
      <c r="L70" s="13"/>
      <c r="M70" s="13"/>
      <c r="N70" s="4"/>
      <c r="O70" s="4"/>
    </row>
    <row r="71" spans="2:15">
      <c r="B71" s="4"/>
      <c r="C71" s="4"/>
      <c r="D71" s="4"/>
      <c r="E71" s="6"/>
      <c r="F71" s="4"/>
      <c r="G71" s="13"/>
      <c r="H71" s="13"/>
      <c r="I71" s="13"/>
      <c r="J71" s="13"/>
      <c r="K71" s="13"/>
      <c r="L71" s="13"/>
      <c r="M71" s="13"/>
      <c r="N71" s="4"/>
      <c r="O71" s="4"/>
    </row>
    <row r="72" spans="2:15">
      <c r="B72" s="4"/>
      <c r="C72" s="4"/>
      <c r="D72" s="4"/>
      <c r="E72" s="6"/>
      <c r="F72" s="4"/>
      <c r="G72" s="13"/>
      <c r="H72" s="13"/>
      <c r="I72" s="13"/>
      <c r="J72" s="13"/>
      <c r="K72" s="13"/>
      <c r="L72" s="13"/>
      <c r="M72" s="13"/>
      <c r="N72" s="4"/>
      <c r="O72" s="4"/>
    </row>
    <row r="73" spans="2:15">
      <c r="B73" s="4"/>
      <c r="C73" s="4"/>
      <c r="D73" s="4"/>
      <c r="E73" s="6"/>
      <c r="F73" s="4"/>
      <c r="G73" s="13"/>
      <c r="H73" s="13"/>
      <c r="I73" s="13"/>
      <c r="J73" s="13"/>
      <c r="K73" s="13"/>
      <c r="L73" s="13"/>
      <c r="M73" s="13"/>
      <c r="N73" s="4"/>
      <c r="O73" s="4"/>
    </row>
    <row r="74" spans="2:15">
      <c r="B74" s="4"/>
      <c r="C74" s="4"/>
      <c r="D74" s="4"/>
      <c r="E74" s="6"/>
      <c r="F74" s="4"/>
      <c r="G74" s="13"/>
      <c r="H74" s="13"/>
      <c r="I74" s="13"/>
      <c r="J74" s="13"/>
      <c r="K74" s="13"/>
      <c r="L74" s="13"/>
      <c r="M74" s="13"/>
      <c r="N74" s="4"/>
      <c r="O74" s="4"/>
    </row>
    <row r="75" spans="2:15">
      <c r="B75" s="4"/>
      <c r="C75" s="4"/>
      <c r="D75" s="4"/>
      <c r="E75" s="6"/>
      <c r="F75" s="4"/>
      <c r="G75" s="13"/>
      <c r="H75" s="13"/>
      <c r="I75" s="13"/>
      <c r="J75" s="13"/>
      <c r="K75" s="13"/>
      <c r="L75" s="13"/>
      <c r="M75" s="13"/>
      <c r="N75" s="4"/>
      <c r="O75" s="4"/>
    </row>
    <row r="76" spans="2:15">
      <c r="B76" s="4"/>
      <c r="C76" s="4"/>
      <c r="D76" s="4"/>
      <c r="E76" s="6"/>
      <c r="F76" s="4"/>
      <c r="G76" s="13"/>
      <c r="H76" s="13"/>
      <c r="I76" s="13"/>
      <c r="J76" s="13"/>
      <c r="K76" s="13"/>
      <c r="L76" s="13"/>
      <c r="M76" s="13"/>
      <c r="N76" s="4"/>
      <c r="O76" s="4"/>
    </row>
    <row r="77" spans="2:15">
      <c r="B77" s="4"/>
      <c r="C77" s="4"/>
      <c r="D77" s="4"/>
      <c r="E77" s="6"/>
      <c r="F77" s="4"/>
      <c r="G77" s="13"/>
      <c r="H77" s="13"/>
      <c r="I77" s="13"/>
      <c r="J77" s="13"/>
      <c r="K77" s="13"/>
      <c r="L77" s="13"/>
      <c r="M77" s="13"/>
      <c r="N77" s="4"/>
      <c r="O77" s="4"/>
    </row>
    <row r="78" spans="2:15">
      <c r="B78" s="4"/>
      <c r="C78" s="4"/>
      <c r="D78" s="4"/>
      <c r="E78" s="6"/>
      <c r="F78" s="4"/>
      <c r="G78" s="6"/>
      <c r="H78" s="4"/>
      <c r="I78" s="6"/>
      <c r="J78" s="6"/>
      <c r="K78" s="6"/>
      <c r="L78" s="4"/>
      <c r="M78" s="30"/>
      <c r="N78" s="4"/>
      <c r="O78" s="4"/>
    </row>
    <row r="79" spans="2:15">
      <c r="B79" s="4"/>
      <c r="C79" s="4"/>
      <c r="D79" s="4"/>
      <c r="E79" s="6"/>
      <c r="F79" s="4"/>
      <c r="G79" s="6"/>
      <c r="H79" s="4"/>
      <c r="I79" s="6"/>
      <c r="J79" s="6"/>
      <c r="K79" s="6"/>
      <c r="L79" s="4"/>
      <c r="M79" s="30"/>
      <c r="N79" s="4"/>
      <c r="O79" s="4"/>
    </row>
    <row r="80" spans="2:15">
      <c r="B80" s="4"/>
      <c r="C80" s="4"/>
      <c r="D80" s="4"/>
      <c r="E80" s="6"/>
      <c r="F80" s="4"/>
      <c r="G80" s="6"/>
      <c r="H80" s="4"/>
      <c r="I80" s="6"/>
      <c r="J80" s="6"/>
      <c r="K80" s="6"/>
      <c r="L80" s="4"/>
      <c r="M80" s="6"/>
      <c r="N80" s="4"/>
      <c r="O80" s="4"/>
    </row>
  </sheetData>
  <phoneticPr fontId="0" type="noConversion"/>
  <printOptions gridLines="1" gridLinesSet="0"/>
  <pageMargins left="0.5" right="0.25" top="0.5" bottom="0.5" header="0.5" footer="0.5"/>
  <pageSetup scale="75" orientation="portrait" horizontalDpi="4294967292" verticalDpi="4294967292"/>
  <headerFooter alignWithMargins="0">
    <oddFooter>Page &amp;P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SUPPLIES</vt:lpstr>
      <vt:lpstr>CONTRACTUAL SERVICES</vt:lpstr>
      <vt:lpstr>BUDGET</vt:lpstr>
      <vt:lpstr>departmental1</vt:lpstr>
      <vt:lpstr>BUDGET!Print_Area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Keil</dc:creator>
  <cp:lastModifiedBy>Rick</cp:lastModifiedBy>
  <cp:lastPrinted>2011-07-07T17:52:51Z</cp:lastPrinted>
  <dcterms:created xsi:type="dcterms:W3CDTF">2000-01-04T17:14:54Z</dcterms:created>
  <dcterms:modified xsi:type="dcterms:W3CDTF">2012-09-20T18:57:52Z</dcterms:modified>
</cp:coreProperties>
</file>