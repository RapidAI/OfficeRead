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2.xml" ContentType="application/vnd.openxmlformats-officedocument.spreadsheetml.externalLink+xml"/>
  <Override PartName="/xl/worksheets/sheet1.xml" ContentType="application/vnd.openxmlformats-officedocument.spreadsheetml.worksheet+xml"/>
  <Override PartName="/xl/externalLinks/externalLink1.xml" ContentType="application/vnd.openxmlformats-officedocument.spreadsheetml.externalLink+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480" yWindow="120" windowWidth="11355" windowHeight="8700"/>
  </bookViews>
  <sheets>
    <sheet name="Lab Tests" sheetId="9" r:id="rId1"/>
    <sheet name="Consultation" sheetId="10" r:id="rId2"/>
    <sheet name="depreciation" sheetId="11" r:id="rId3"/>
    <sheet name="Statement of Operations" sheetId="6" r:id="rId4"/>
  </sheets>
  <externalReferences>
    <externalReference r:id="rId5"/>
    <externalReference r:id="rId6"/>
  </externalReferences>
  <definedNames>
    <definedName name="Deficit__Surplus" localSheetId="2">[2]LABOR!$B$25</definedName>
    <definedName name="Deficit__Surplus">[1]LABOR!$B$25</definedName>
    <definedName name="depre_98_99" localSheetId="2">[2]DEPREC!$AC$55</definedName>
    <definedName name="depre_98_99">[1]DEPREC!$AC$55</definedName>
    <definedName name="_xlnm.Print_Area" localSheetId="2">depreciation!$D$9:$AG$14</definedName>
    <definedName name="_xlnm.Print_Area" localSheetId="3">'Statement of Operations'!$A$44:$E$97</definedName>
    <definedName name="_xlnm.Print_Titles" localSheetId="2">depreciation!$A:$B,depreciation!$1:$8</definedName>
    <definedName name="time_period" localSheetId="2">[2]LABOR!$A$36</definedName>
    <definedName name="time_period">[1]LABOR!$A$36</definedName>
  </definedNames>
  <calcPr calcId="125725" fullCalcOnLoad="1"/>
</workbook>
</file>

<file path=xl/calcChain.xml><?xml version="1.0" encoding="utf-8"?>
<calcChain xmlns="http://schemas.openxmlformats.org/spreadsheetml/2006/main">
  <c r="H52" i="10"/>
  <c r="H51"/>
  <c r="H50"/>
  <c r="H49"/>
  <c r="G52"/>
  <c r="G51"/>
  <c r="G50"/>
  <c r="G49"/>
  <c r="E52"/>
  <c r="E51"/>
  <c r="E50"/>
  <c r="E49"/>
  <c r="H42" i="9"/>
  <c r="H41"/>
  <c r="H40"/>
  <c r="H39"/>
  <c r="G42"/>
  <c r="G41"/>
  <c r="G40"/>
  <c r="G39"/>
  <c r="E42"/>
  <c r="E41"/>
  <c r="E40"/>
  <c r="E39"/>
  <c r="A58" i="10"/>
  <c r="A57"/>
  <c r="I14" i="11"/>
  <c r="D14"/>
  <c r="AA11"/>
  <c r="C85" i="6"/>
  <c r="E85"/>
  <c r="A85"/>
  <c r="A86"/>
  <c r="H48" i="9"/>
  <c r="C86" i="6" s="1"/>
  <c r="AG11" i="11"/>
  <c r="N14"/>
  <c r="O14"/>
  <c r="P14"/>
  <c r="Q14"/>
  <c r="R14"/>
  <c r="S14"/>
  <c r="T14"/>
  <c r="U14"/>
  <c r="V14"/>
  <c r="W14"/>
  <c r="X14"/>
  <c r="Y14"/>
  <c r="Z14"/>
  <c r="AA14"/>
  <c r="AB14"/>
  <c r="AC14"/>
  <c r="AD14"/>
  <c r="AE14"/>
  <c r="AF14"/>
  <c r="AG14"/>
  <c r="M14"/>
  <c r="M11"/>
  <c r="N11"/>
  <c r="O11"/>
  <c r="P11"/>
  <c r="Q11"/>
  <c r="R11"/>
  <c r="S11"/>
  <c r="T11"/>
  <c r="U11"/>
  <c r="V11"/>
  <c r="W11"/>
  <c r="X11"/>
  <c r="Y11"/>
  <c r="Z11"/>
  <c r="L11"/>
  <c r="AF10"/>
  <c r="AE10"/>
  <c r="AD10"/>
  <c r="AC10"/>
  <c r="AB10"/>
  <c r="AA10"/>
  <c r="Z10"/>
  <c r="Y10"/>
  <c r="X10"/>
  <c r="W10"/>
  <c r="V10"/>
  <c r="U10"/>
  <c r="T10"/>
  <c r="S10"/>
  <c r="R10"/>
  <c r="Q10"/>
  <c r="P10"/>
  <c r="O10"/>
  <c r="N10"/>
  <c r="K11"/>
  <c r="I11"/>
  <c r="I10"/>
  <c r="K10"/>
  <c r="M10"/>
  <c r="K14"/>
  <c r="A56" i="10"/>
  <c r="A55"/>
  <c r="A50"/>
  <c r="B50"/>
  <c r="A51"/>
  <c r="B51"/>
  <c r="A52"/>
  <c r="B52"/>
  <c r="B49"/>
  <c r="A49"/>
  <c r="A84" i="6"/>
  <c r="D90"/>
  <c r="C90"/>
  <c r="A79"/>
  <c r="B79"/>
  <c r="A78"/>
  <c r="B78"/>
  <c r="C53" i="10"/>
  <c r="H56"/>
  <c r="D84" i="6"/>
  <c r="C43" i="9"/>
  <c r="H46"/>
  <c r="C84" i="6"/>
  <c r="D69"/>
  <c r="D62"/>
  <c r="D63"/>
  <c r="D64"/>
  <c r="D61"/>
  <c r="D60"/>
  <c r="C64"/>
  <c r="B64"/>
  <c r="A64"/>
  <c r="C63"/>
  <c r="B63"/>
  <c r="A63"/>
  <c r="C79"/>
  <c r="N50" i="10"/>
  <c r="L50"/>
  <c r="K50"/>
  <c r="J50"/>
  <c r="I50"/>
  <c r="M50"/>
  <c r="L52"/>
  <c r="L51"/>
  <c r="K52"/>
  <c r="K51"/>
  <c r="J52"/>
  <c r="J51"/>
  <c r="I52"/>
  <c r="I51"/>
  <c r="D78" i="6"/>
  <c r="L49" i="10"/>
  <c r="K49"/>
  <c r="J49"/>
  <c r="I49"/>
  <c r="M49"/>
  <c r="N49"/>
  <c r="E53"/>
  <c r="B77" i="6"/>
  <c r="B76"/>
  <c r="A77"/>
  <c r="A76"/>
  <c r="C62"/>
  <c r="E62" s="1"/>
  <c r="C61"/>
  <c r="E61"/>
  <c r="C69"/>
  <c r="C60"/>
  <c r="B62"/>
  <c r="B61"/>
  <c r="A62"/>
  <c r="A61"/>
  <c r="A83"/>
  <c r="C76"/>
  <c r="C83"/>
  <c r="C78"/>
  <c r="D79"/>
  <c r="M51" i="10"/>
  <c r="N51"/>
  <c r="M52"/>
  <c r="N52"/>
  <c r="G53"/>
  <c r="E63" i="6"/>
  <c r="D83"/>
  <c r="C51"/>
  <c r="C50"/>
  <c r="E64"/>
  <c r="AG10" i="11"/>
  <c r="AH10"/>
  <c r="D76" i="6"/>
  <c r="E76"/>
  <c r="N53" i="10"/>
  <c r="H66"/>
  <c r="D50" i="6"/>
  <c r="D77"/>
  <c r="D51"/>
  <c r="E84"/>
  <c r="E83"/>
  <c r="E90"/>
  <c r="E78"/>
  <c r="E79"/>
  <c r="G43" i="9"/>
  <c r="H50"/>
  <c r="E43"/>
  <c r="H53" i="10"/>
  <c r="D80" i="6"/>
  <c r="H60" i="10"/>
  <c r="H64"/>
  <c r="H68"/>
  <c r="C77" i="6"/>
  <c r="H43" i="9"/>
  <c r="H54"/>
  <c r="H58" s="1"/>
  <c r="H70" i="10"/>
  <c r="D53" i="6"/>
  <c r="D72"/>
  <c r="D94" s="1"/>
  <c r="D52"/>
  <c r="D71" s="1"/>
  <c r="D73" s="1"/>
  <c r="D96" s="1"/>
  <c r="D88"/>
  <c r="D92" s="1"/>
  <c r="E77"/>
  <c r="C80"/>
  <c r="E80"/>
  <c r="C52" l="1"/>
  <c r="C71" s="1"/>
  <c r="H60" i="9"/>
  <c r="C53" i="6" s="1"/>
  <c r="C72" s="1"/>
  <c r="C88"/>
  <c r="C92" s="1"/>
  <c r="E86"/>
  <c r="E88" s="1"/>
  <c r="E92" s="1"/>
  <c r="C73" l="1"/>
  <c r="E71"/>
  <c r="E72"/>
  <c r="E94" s="1"/>
  <c r="C94"/>
  <c r="C96" l="1"/>
  <c r="E73"/>
  <c r="E96"/>
</calcChain>
</file>

<file path=xl/sharedStrings.xml><?xml version="1.0" encoding="utf-8"?>
<sst xmlns="http://schemas.openxmlformats.org/spreadsheetml/2006/main" count="272" uniqueCount="210">
  <si>
    <t>Total</t>
  </si>
  <si>
    <t>Recharge Facility</t>
  </si>
  <si>
    <t>Cost of Operation:</t>
  </si>
  <si>
    <t>Staff</t>
  </si>
  <si>
    <t>% Effort</t>
  </si>
  <si>
    <t>Current Salary</t>
  </si>
  <si>
    <t>Salary Expense</t>
  </si>
  <si>
    <t>% Benefits</t>
  </si>
  <si>
    <t>Benefit Expense</t>
  </si>
  <si>
    <t>Total Recharge Expense</t>
  </si>
  <si>
    <t>A</t>
  </si>
  <si>
    <t>B</t>
  </si>
  <si>
    <t>C</t>
  </si>
  <si>
    <t>D</t>
  </si>
  <si>
    <t>E</t>
  </si>
  <si>
    <t>F</t>
  </si>
  <si>
    <t>A * B</t>
  </si>
  <si>
    <t>C * D</t>
  </si>
  <si>
    <t>C + E</t>
  </si>
  <si>
    <t>Total Personnel</t>
  </si>
  <si>
    <t>Total S&amp;E</t>
  </si>
  <si>
    <t>Total projected expenses to be recovered</t>
  </si>
  <si>
    <t>Summary</t>
  </si>
  <si>
    <t>Proposed Pricing</t>
  </si>
  <si>
    <t>Distribution of Effort</t>
  </si>
  <si>
    <t>Acad/Staff</t>
  </si>
  <si>
    <t>Role</t>
  </si>
  <si>
    <t>Salaries &amp; Benefits</t>
  </si>
  <si>
    <t>Supplies &amp; Other</t>
  </si>
  <si>
    <t>Total Supplies &amp; Other</t>
  </si>
  <si>
    <t>Total Expenses</t>
  </si>
  <si>
    <t>Net Profit (Loss)</t>
  </si>
  <si>
    <t>Services</t>
  </si>
  <si>
    <t>Profit/Loss Statement</t>
  </si>
  <si>
    <t>Estimated No. Billable Units- UC User</t>
  </si>
  <si>
    <t>Estimated No. Billable Units- Non UC User</t>
  </si>
  <si>
    <t>Revenue- Non-UC User</t>
  </si>
  <si>
    <t>Differential Income Transfer</t>
  </si>
  <si>
    <t>Adjustment for Prior Year Deficit or Surplus</t>
  </si>
  <si>
    <t>Adj for Prior Yr Deficit or Surplus</t>
  </si>
  <si>
    <t>Name</t>
  </si>
  <si>
    <t>differential income transfer percentage</t>
  </si>
  <si>
    <t>Recharge Income-UC User</t>
  </si>
  <si>
    <t>Total Income</t>
  </si>
  <si>
    <t>Income</t>
  </si>
  <si>
    <t>Proposed Rate (UC Users)</t>
  </si>
  <si>
    <t>Proposed Rate (Non-UC Users)*</t>
  </si>
  <si>
    <t xml:space="preserve">*Non-UC Users Hourly Rate includes the current approved </t>
  </si>
  <si>
    <t>Proposed Rate (Non-UC Users)</t>
  </si>
  <si>
    <t>Total Working Hours</t>
  </si>
  <si>
    <t>Less Holiday</t>
  </si>
  <si>
    <t>Less Vacation</t>
  </si>
  <si>
    <t>Less Sick Leave</t>
  </si>
  <si>
    <t>Total Productive Hours</t>
  </si>
  <si>
    <t>Less Non-ProductiveHours</t>
  </si>
  <si>
    <t>Billable Units: # of Productive Hours</t>
  </si>
  <si>
    <t>Consultation</t>
  </si>
  <si>
    <t>NGN</t>
  </si>
  <si>
    <t>Adjustment for Prior Year Deficit or (Surplus)</t>
  </si>
  <si>
    <t>Rate Calculation -Consultation</t>
  </si>
  <si>
    <t>Office Supplies</t>
  </si>
  <si>
    <t>Director</t>
  </si>
  <si>
    <t>SRA</t>
  </si>
  <si>
    <t>Senior SRA</t>
  </si>
  <si>
    <t>Lab Supplies</t>
  </si>
  <si>
    <t>UCSD Dept</t>
  </si>
  <si>
    <t>XX  Recharge Facility</t>
  </si>
  <si>
    <t xml:space="preserve">Equipment Depreciation </t>
  </si>
  <si>
    <t>UCID</t>
  </si>
  <si>
    <t>P.O</t>
  </si>
  <si>
    <t>dep/yr</t>
  </si>
  <si>
    <t>08/09</t>
  </si>
  <si>
    <t>09/10</t>
  </si>
  <si>
    <t>10/11</t>
  </si>
  <si>
    <t>11/12</t>
  </si>
  <si>
    <t>VENDORS</t>
  </si>
  <si>
    <t>location</t>
  </si>
  <si>
    <t>note</t>
  </si>
  <si>
    <t>10xxxxxx</t>
  </si>
  <si>
    <t>19900A</t>
  </si>
  <si>
    <t xml:space="preserve"> </t>
  </si>
  <si>
    <t>info as per Jan's spreadsheet</t>
  </si>
  <si>
    <t>Billable Units: # of Lab Tests</t>
  </si>
  <si>
    <t>Equipment Depreciation</t>
  </si>
  <si>
    <t>Custody</t>
  </si>
  <si>
    <t>Code</t>
  </si>
  <si>
    <t>machine a</t>
  </si>
  <si>
    <t>machine b</t>
  </si>
  <si>
    <t>1234567</t>
  </si>
  <si>
    <t>2234567</t>
  </si>
  <si>
    <t>56789A</t>
  </si>
  <si>
    <t>12/13</t>
  </si>
  <si>
    <t>13/14</t>
  </si>
  <si>
    <t>14/15</t>
  </si>
  <si>
    <t>15/16</t>
  </si>
  <si>
    <t>16/17</t>
  </si>
  <si>
    <t>17/18</t>
  </si>
  <si>
    <t>18/19</t>
  </si>
  <si>
    <t>19/20</t>
  </si>
  <si>
    <t>20/21</t>
  </si>
  <si>
    <t>21/22</t>
  </si>
  <si>
    <t>22/23</t>
  </si>
  <si>
    <t>23/24</t>
  </si>
  <si>
    <t>24/25</t>
  </si>
  <si>
    <t>25/26</t>
  </si>
  <si>
    <t>26/27</t>
  </si>
  <si>
    <t>27/28</t>
  </si>
  <si>
    <t>28/29</t>
  </si>
  <si>
    <t>N/A</t>
  </si>
  <si>
    <t>Jul-08</t>
  </si>
  <si>
    <t>Jul-09</t>
  </si>
  <si>
    <t>Lab Test</t>
  </si>
  <si>
    <t xml:space="preserve">If an equipment was allotted to different rates, please provide rationale </t>
  </si>
  <si>
    <t>Acquisition</t>
  </si>
  <si>
    <t>Depreciation</t>
  </si>
  <si>
    <t>Useful</t>
  </si>
  <si>
    <t>Fund</t>
  </si>
  <si>
    <t>Date</t>
  </si>
  <si>
    <t>Amount</t>
  </si>
  <si>
    <t>Life</t>
  </si>
  <si>
    <t>Price</t>
  </si>
  <si>
    <t>Description</t>
  </si>
  <si>
    <t>NOTE:  Excel workbook contains formulas and links to the other worksheets; PLEASE DO NOT CHANGE FORMULAS</t>
  </si>
  <si>
    <t>Scenario:  Productive Hours with Substantial Pay Differences</t>
  </si>
  <si>
    <t>Instructions</t>
  </si>
  <si>
    <t>1. At the Recharge Facility cell, fill out the name of the Recharge Facility and if applicable, include Fund Number.</t>
  </si>
  <si>
    <t>2. At the Rate Caculation cell, put in type of rate calculation (e.g., senior consultation, consulation)</t>
  </si>
  <si>
    <t>3.  Fill out the worksheet as row titles indicate.</t>
  </si>
  <si>
    <t xml:space="preserve">4.  Group employees of similar pay rates/functions, for the rate that is being calculated.  </t>
  </si>
  <si>
    <t>5.  Fill out % Effort based on the percentage effort of each person that will work on this rate.  Put in 0% for the other personnel not included in this rate.</t>
  </si>
  <si>
    <t>6.  Fill out the Current Salary based on the full annual salary of each individual at the university.</t>
  </si>
  <si>
    <t>7.  Recharge Salary Expense is a formula.  It multiplies % effort by the current salary to get the recharge salary expense.</t>
  </si>
  <si>
    <t xml:space="preserve">8.  Fill out % Benefits based on full benefits percentage of each individual at the university.  It should be based on historical, actual data, if available.  </t>
  </si>
  <si>
    <t xml:space="preserve">     If not available, contact HR for the standard current rate for benefits (currently, the standard benefits rate is 23%).  </t>
  </si>
  <si>
    <t>9.  Recharge Benefit Expense is a formula.  It multiplies % Benefis by Recharge Salary Expense to get the Recharge Benefit Expense.</t>
  </si>
  <si>
    <t>10.  In the Personnel Section, Total Recharge Expense is a formula.  It adds recharge salary expense with recharge benefit expense to get Total Payroll Recharge Expense.</t>
  </si>
  <si>
    <t>11.  Total Personnel is a formula.  It adds all the salaries and benefits cost of the employees for this rate.</t>
  </si>
  <si>
    <t>12. Total Working Hours is a formula.  It multiplies total working hours in a year for an employee which is 2088 hours by % Effort.</t>
  </si>
  <si>
    <t>13. Less Holiday is a formula.  It multiplies total holidays hours earned in a year (which currently is 13 holidays x 8 hours) by % Effort.</t>
  </si>
  <si>
    <t>14. Fill out vacation, sick, and non-productive hours based on historical, actual data, if available.  Determination of sick-leave usage and non-productive hours can be estimated</t>
  </si>
  <si>
    <t xml:space="preserve">      using past experience of the department as a guide.  Non-productive hours include break time and supervising.  Vacation hours earned varies by individual.</t>
  </si>
  <si>
    <t>16. If actual is not available, base sick hours on annual hours earned at time of hire (e.g., 8 hours per month multiplied by 12 months equals 96 sick hours earned in a year).</t>
  </si>
  <si>
    <t>17. If actual is not available, use an estimation that can be supported for non-productive hours.  (e.g. use half an hour for breaks per day , one hour of preparation time per day)</t>
  </si>
  <si>
    <t>18. Less Vacation is a formula.  It multiplies total vacation hours in a year by % Effort.</t>
  </si>
  <si>
    <t>19. Less Sick is a formula.  It multiplies total sick hours in a year by % Effort.</t>
  </si>
  <si>
    <t>20. Less Non-Productive Hours is a formula.  It multiplies total non-productive hours in a year by % Effort.</t>
  </si>
  <si>
    <t>21. Total Productive Hours is a formula.  It subtracts Less Holiday, Less Vacation, Less Sick, and Less Non-Productive Hours from Total Working Hours to equal Total Productive Hours.</t>
  </si>
  <si>
    <t xml:space="preserve">22. Operating costs must be based on the costs of the recharge activity for the entire year (e.g. if NGN costs are $500 for the entire year for one employee and the total % Effort for all employees </t>
  </si>
  <si>
    <t xml:space="preserve">       is 25%, then NGN costs would be $500 multiplied by 25% which equals $125).</t>
  </si>
  <si>
    <t>23. Total S&amp;E is a formula.  It adds up all the total supplies and expense costs for the recharge activity.  It does not include personnel costs.</t>
  </si>
  <si>
    <t>24. Adjustment for Prior Year Deficit or (Surplus) should be based on the deficit or surplus attritubed directly to this rate.  The amount should be based on the balance</t>
  </si>
  <si>
    <t xml:space="preserve">      in the month preceding the submital of the proposal or the previous fiscal year end.  A negative amount needs to be used for surpluses.</t>
  </si>
  <si>
    <t>25. Total projected expenses to be recovered is a formula.  It adds up total personnel, supplies and expense, and adjustment for prior year deficit or surplus costs.</t>
  </si>
  <si>
    <t>26. Billable Units is the number of total productive hours.</t>
  </si>
  <si>
    <t>27. The rate for UC users is calculated by dividing the total projected expenses to be recovered by the number of total productive hours.  You may wish to round the rate to whole numbers.</t>
  </si>
  <si>
    <t xml:space="preserve">      You may wish to round the rate to whole numbers.</t>
  </si>
  <si>
    <t>RATE CALCULATION BASED ON PRODUCTS OR SERVICES</t>
  </si>
  <si>
    <t>Scenario:  Lab Tests Sold for a Year</t>
  </si>
  <si>
    <t>4.  Fill out % Effort based on the percentage effort of each person that will work on this rate.  Put in 0% for the other personnel not included in this rate.</t>
  </si>
  <si>
    <t xml:space="preserve">12. Operating costs must be based on the costs of the recharge activity for the entire year (e.g. if NGN costs are $500 for the entire year for one employee and the total % Effort for all employees </t>
  </si>
  <si>
    <t>13. Equipment Depreciation, found in the operating costs section, is linked to the depreciation schedule worksheet.  Reference the appropriate year in the equipment depreciation schedule</t>
  </si>
  <si>
    <t xml:space="preserve">      to get the correct annual equipment depreciation expense.</t>
  </si>
  <si>
    <t>14. Total S&amp;E is a formula.  It adds up all the total supplies and expense costs for the recharge activity.  It does not include personnel costs.</t>
  </si>
  <si>
    <t>15. Adjustment for Prior Year Deficit or (Surplus) should be based on the deficit or surplus attritubed directly to this rate.  The amount should be based on the balance</t>
  </si>
  <si>
    <t>16. Total projected expenses to be recovered is a formula.  It adds up total personnel, supplies and expense, and adjustment for prior year deficit or surplus costs.</t>
  </si>
  <si>
    <t>17. Billable Units is the number of products or services (e.g., Number of Lab Tests) sold within a year for this rate.  Provide a description of the billable unit.</t>
  </si>
  <si>
    <t>18. The rate for UC users is calculated by dividing the total projected expenses to be recovered by the number of total billable units.  You may wish to round the rate to whole numbers.</t>
  </si>
  <si>
    <t>15. If actual is not available, base vacation hours on annual hours earned at time of hire (e.g. 10 hours per month multiplied by 12 months equals 120 vacation hours earned in a year).</t>
  </si>
  <si>
    <t xml:space="preserve">       is 105%, then NGN costs would be $500 multiplied by 105% which equals $525).</t>
  </si>
  <si>
    <t xml:space="preserve">     Please note that the total percentage for each person for all rates combined should not exceed 100%.</t>
  </si>
  <si>
    <t>Scenario:  Profit and Loss Statement for Lab Tests and Consultation Produtive Hours</t>
  </si>
  <si>
    <t xml:space="preserve">     be used as an example for the Lab Tests and Consultation rates below.</t>
  </si>
  <si>
    <t xml:space="preserve">2.  Estimated No. Billable Units-UC User for Lab Tests is a formula.  It multiplies the percentage of UC Users </t>
  </si>
  <si>
    <t xml:space="preserve">      by the Total No. of Billable Units for the rate, Lab Tests.  To get the Total No. of Billable Units, please reference </t>
  </si>
  <si>
    <t>Rate Calculation -Lab Tests</t>
  </si>
  <si>
    <t xml:space="preserve">      the number from the Lab Tests Calculation Worksheet.</t>
  </si>
  <si>
    <t xml:space="preserve">3.  Estimated No. Billable Units-Non UC User for Lab Tests is a formula.  It multiplies the percentage of Non UC Users </t>
  </si>
  <si>
    <t>4.  Proposed Rate (UC Users) for Lab Tests comes from the Lab Tests Calculation Worksheet.</t>
  </si>
  <si>
    <t>5.  Proposed Rate (Non-UC Users) for Lab Tests comes from the Lab Tests Calculation Worksheet.</t>
  </si>
  <si>
    <t>6.  Distribution of Effort information for Lab Tests comes from the Lab Tests Calculation Worksheet.</t>
  </si>
  <si>
    <t>7.  Recharge-Income- UC User for Lab Tests is a formula.  It multiplies the Estimated No. Billable Units-UC Users</t>
  </si>
  <si>
    <t xml:space="preserve">     by the Proposed Rate (UC Users) for Lab Tests.</t>
  </si>
  <si>
    <t>8.  Revenue-Non UC User for Lab Tests is a formula.  It multiplies the Estimated No. Billable Units-Non UC Users</t>
  </si>
  <si>
    <t xml:space="preserve">     by the Proposed Rate (Non-UC Users) for Lab Tests.</t>
  </si>
  <si>
    <t>9.  Salary and Benefits information for Lab Tests comes from the Lab Tests Calculation Worksheet.</t>
  </si>
  <si>
    <t xml:space="preserve">10. Total Salaries and Benefits for Lab Tests is a formula.  It adds all the salaries and benefits cost of the employees </t>
  </si>
  <si>
    <t xml:space="preserve">      for the Lab Tests rate.</t>
  </si>
  <si>
    <t>12. Total Supplies and Other for Lab Tests is a formula.  It adds up all the supplies and other expenses for the Lab</t>
  </si>
  <si>
    <t xml:space="preserve">      Tests rate.</t>
  </si>
  <si>
    <t>13. Adj for Prior Year Deficit or (Surplus) for Lab Tests comes from the Lab Tests Calculation Worksheet.</t>
  </si>
  <si>
    <t>14. Total Expenses for Lab Tests is a formula.  It adds up Total Salaries and Benefits, Total Supplies and Other,</t>
  </si>
  <si>
    <t xml:space="preserve">      and Adj for Prior Year Deficit or (Surplus) for Lab Tests.</t>
  </si>
  <si>
    <t xml:space="preserve">16. Net Profit or (Loss) for Lab Tests is a formula.  Total Expenses and Differential Income Transfer for Lab Tests are </t>
  </si>
  <si>
    <t xml:space="preserve">      Subtracted from Total Income to get Net Profit or (Loss) for Lab Tests.</t>
  </si>
  <si>
    <t xml:space="preserve">       Tests comes from the Lab Tests Calculation Worksheet.</t>
  </si>
  <si>
    <t xml:space="preserve">11. Supplies and Other information (e.g., NGN, Office Supplies, Lab Supplies, Equipment Depreciation) for Lab </t>
  </si>
  <si>
    <t xml:space="preserve">     rate should equal 100%(e.g., 90% UC users and 10% non-UC users for Lab Tests).  The 90% UC users and 10% will </t>
  </si>
  <si>
    <t xml:space="preserve">1. Find out the percentage of UC users and non-UC users for each rate.  The total percentage for both types of users in each </t>
  </si>
  <si>
    <t xml:space="preserve">17.  Steps 1 through 16 will need to be followed for Consultation and any additional rates.  You will need to add additional </t>
  </si>
  <si>
    <t xml:space="preserve">      worksheet and its corresponding column in the Profit/Loss Statement.</t>
  </si>
  <si>
    <t xml:space="preserve">       columns for any other rates if you include more rates.  If you only have one rate, delete one of the consultation rates </t>
  </si>
  <si>
    <t>28. The rate for non-UC users is calculated by multiplying the rate for UC users by the approved differential income rate.  The standard minimum rates are at the SSA Overview webpage.</t>
  </si>
  <si>
    <t>19. The rate for non-UC users is calculated by multiplying the rate for UC users by the approved differential income rate.  The standard minimum rates are at the SSA Overview webpage.</t>
  </si>
  <si>
    <t>RATE CALCULATION BASED ON PRODUCTIVE HOURS AND DIFFERENT CLASSIFICATIONS (Pay groups)</t>
  </si>
  <si>
    <t>Fiscal Year 20XX/XX</t>
  </si>
  <si>
    <t>STATEMENT OF OPERATIONS</t>
  </si>
  <si>
    <t xml:space="preserve">15. Differential Income Transfer for Senior Consultation is a formula.  Revenue Non-UC user is divided by 1.XX (where XX is equal to the standard differential income rate) </t>
  </si>
  <si>
    <t xml:space="preserve">    equal to the standard differential income rate) and then multiplied by .XX (where XX is equal to the standard differential income rate) to get the Differential Income Transfer amount.</t>
  </si>
  <si>
    <t xml:space="preserve">     (In this example, the standard differential income rate is 45%)</t>
  </si>
  <si>
    <t>18. Total Column- The total column adds up the percentages or amounts from all the rates to get the total amounts.</t>
  </si>
</sst>
</file>

<file path=xl/styles.xml><?xml version="1.0" encoding="utf-8"?>
<styleSheet xmlns="http://schemas.openxmlformats.org/spreadsheetml/2006/main">
  <numFmts count="7">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81" formatCode="&quot;$&quot;#,##0"/>
    <numFmt numFmtId="182" formatCode="_(* #,##0_);_(* \(#,##0\);_(* &quot;-&quot;??_);_(@_)"/>
  </numFmts>
  <fonts count="16">
    <font>
      <sz val="10"/>
      <name val="Arial"/>
    </font>
    <font>
      <sz val="10"/>
      <name val="Arial"/>
    </font>
    <font>
      <b/>
      <sz val="12"/>
      <name val="Arial"/>
      <family val="2"/>
    </font>
    <font>
      <b/>
      <sz val="10"/>
      <name val="Arial"/>
      <family val="2"/>
    </font>
    <font>
      <sz val="9"/>
      <name val="Arial"/>
      <family val="2"/>
    </font>
    <font>
      <sz val="10"/>
      <name val="Arial"/>
      <family val="2"/>
    </font>
    <font>
      <sz val="10"/>
      <name val="Arial"/>
      <family val="2"/>
    </font>
    <font>
      <b/>
      <sz val="12"/>
      <name val="Times New Roman"/>
      <family val="1"/>
    </font>
    <font>
      <sz val="12"/>
      <name val="Times New Roman"/>
      <family val="1"/>
    </font>
    <font>
      <b/>
      <u/>
      <sz val="12"/>
      <name val="Times New Roman"/>
      <family val="1"/>
    </font>
    <font>
      <b/>
      <i/>
      <u/>
      <sz val="12"/>
      <name val="Times New Roman"/>
      <family val="1"/>
    </font>
    <font>
      <i/>
      <sz val="12"/>
      <name val="Times New Roman"/>
      <family val="1"/>
    </font>
    <font>
      <i/>
      <vertAlign val="superscript"/>
      <sz val="12"/>
      <name val="Times New Roman"/>
      <family val="1"/>
    </font>
    <font>
      <b/>
      <i/>
      <sz val="12"/>
      <name val="Times New Roman"/>
      <family val="1"/>
    </font>
    <font>
      <b/>
      <sz val="14"/>
      <name val="Times New Roman"/>
      <family val="1"/>
    </font>
    <font>
      <b/>
      <sz val="14"/>
      <name val="Arial"/>
      <family val="2"/>
    </font>
  </fonts>
  <fills count="3">
    <fill>
      <patternFill patternType="none"/>
    </fill>
    <fill>
      <patternFill patternType="gray125"/>
    </fill>
    <fill>
      <patternFill patternType="solid">
        <fgColor theme="0"/>
        <bgColor indexed="64"/>
      </patternFill>
    </fill>
  </fills>
  <borders count="21">
    <border>
      <left/>
      <right/>
      <top/>
      <bottom/>
      <diagonal/>
    </border>
    <border>
      <left style="thin">
        <color indexed="64"/>
      </left>
      <right/>
      <top/>
      <bottom/>
      <diagonal/>
    </border>
    <border>
      <left/>
      <right/>
      <top/>
      <bottom style="medium">
        <color indexed="64"/>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right/>
      <top style="thin">
        <color indexed="64"/>
      </top>
      <bottom style="double">
        <color indexed="64"/>
      </bottom>
      <diagonal/>
    </border>
    <border>
      <left/>
      <right/>
      <top style="thin">
        <color indexed="64"/>
      </top>
      <bottom style="medium">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bottom/>
      <diagonal/>
    </border>
  </borders>
  <cellStyleXfs count="7">
    <xf numFmtId="0" fontId="0" fillId="0" borderId="0"/>
    <xf numFmtId="43" fontId="1" fillId="0" borderId="0" applyFont="0" applyFill="0" applyBorder="0" applyAlignment="0" applyProtection="0"/>
    <xf numFmtId="44" fontId="1" fillId="0" borderId="0" applyFont="0" applyFill="0" applyBorder="0" applyAlignment="0" applyProtection="0"/>
    <xf numFmtId="0" fontId="5" fillId="0" borderId="0"/>
    <xf numFmtId="0" fontId="1" fillId="0" borderId="0"/>
    <xf numFmtId="0" fontId="5" fillId="0" borderId="0"/>
    <xf numFmtId="9" fontId="1" fillId="0" borderId="0" applyFont="0" applyFill="0" applyBorder="0" applyAlignment="0" applyProtection="0"/>
  </cellStyleXfs>
  <cellXfs count="185">
    <xf numFmtId="0" fontId="0" fillId="0" borderId="0" xfId="0"/>
    <xf numFmtId="0" fontId="0" fillId="0" borderId="0" xfId="0" applyBorder="1"/>
    <xf numFmtId="0" fontId="2" fillId="0" borderId="0" xfId="0" applyFont="1" applyBorder="1"/>
    <xf numFmtId="0" fontId="3" fillId="0" borderId="0" xfId="0" applyFont="1" applyBorder="1" applyAlignment="1">
      <alignment horizontal="center" wrapText="1"/>
    </xf>
    <xf numFmtId="0" fontId="3" fillId="0" borderId="0" xfId="0" applyFont="1" applyAlignment="1">
      <alignment horizontal="center" wrapText="1"/>
    </xf>
    <xf numFmtId="0" fontId="0" fillId="0" borderId="0" xfId="0" applyAlignment="1">
      <alignment horizontal="center" wrapText="1"/>
    </xf>
    <xf numFmtId="0" fontId="2" fillId="0" borderId="0" xfId="0" applyFont="1"/>
    <xf numFmtId="0" fontId="1" fillId="0" borderId="0" xfId="0" applyFont="1" applyBorder="1"/>
    <xf numFmtId="0" fontId="0" fillId="0" borderId="0" xfId="0" applyFill="1"/>
    <xf numFmtId="0" fontId="4" fillId="0" borderId="0" xfId="0" applyFont="1" applyFill="1" applyBorder="1"/>
    <xf numFmtId="0" fontId="4" fillId="0" borderId="0" xfId="0" applyFont="1"/>
    <xf numFmtId="0" fontId="4" fillId="0" borderId="1" xfId="0" applyFont="1" applyFill="1" applyBorder="1"/>
    <xf numFmtId="0" fontId="4" fillId="0" borderId="0" xfId="0" applyFont="1" applyFill="1"/>
    <xf numFmtId="43" fontId="4" fillId="0" borderId="0" xfId="0" applyNumberFormat="1" applyFont="1" applyFill="1" applyBorder="1"/>
    <xf numFmtId="182" fontId="4" fillId="0" borderId="0" xfId="0" applyNumberFormat="1" applyFont="1" applyFill="1" applyBorder="1"/>
    <xf numFmtId="182" fontId="4" fillId="0" borderId="0" xfId="0" applyNumberFormat="1" applyFont="1" applyFill="1"/>
    <xf numFmtId="43" fontId="4" fillId="0" borderId="0" xfId="0" applyNumberFormat="1" applyFont="1" applyFill="1"/>
    <xf numFmtId="0" fontId="7" fillId="0" borderId="0" xfId="0" applyFont="1" applyBorder="1"/>
    <xf numFmtId="0" fontId="8" fillId="0" borderId="0" xfId="0" applyFont="1" applyBorder="1"/>
    <xf numFmtId="0" fontId="8" fillId="0" borderId="0" xfId="0" applyFont="1"/>
    <xf numFmtId="0" fontId="8" fillId="0" borderId="2" xfId="0" applyFont="1" applyBorder="1"/>
    <xf numFmtId="0" fontId="9" fillId="0" borderId="0" xfId="0" applyFont="1" applyBorder="1"/>
    <xf numFmtId="0" fontId="7" fillId="0" borderId="0" xfId="0" applyFont="1" applyBorder="1" applyAlignment="1">
      <alignment horizontal="center" wrapText="1"/>
    </xf>
    <xf numFmtId="0" fontId="7" fillId="0" borderId="0" xfId="0" applyFont="1" applyAlignment="1">
      <alignment horizontal="center" wrapText="1"/>
    </xf>
    <xf numFmtId="0" fontId="8" fillId="0" borderId="3" xfId="0" applyFont="1" applyBorder="1" applyAlignment="1">
      <alignment horizontal="center" wrapText="1"/>
    </xf>
    <xf numFmtId="0" fontId="8" fillId="0" borderId="4" xfId="0" applyFont="1" applyBorder="1" applyAlignment="1">
      <alignment horizontal="center" wrapText="1"/>
    </xf>
    <xf numFmtId="0" fontId="8" fillId="0" borderId="0" xfId="4" applyFont="1" applyBorder="1"/>
    <xf numFmtId="9" fontId="8" fillId="0" borderId="0" xfId="6" applyFont="1"/>
    <xf numFmtId="0" fontId="8" fillId="0" borderId="5" xfId="0" applyFont="1" applyBorder="1"/>
    <xf numFmtId="9" fontId="8" fillId="0" borderId="5" xfId="0" applyNumberFormat="1" applyFont="1" applyBorder="1"/>
    <xf numFmtId="182" fontId="8" fillId="0" borderId="5" xfId="1" applyNumberFormat="1" applyFont="1" applyBorder="1"/>
    <xf numFmtId="9" fontId="8" fillId="0" borderId="0" xfId="0" applyNumberFormat="1" applyFont="1" applyBorder="1"/>
    <xf numFmtId="182" fontId="8" fillId="0" borderId="0" xfId="1" applyNumberFormat="1" applyFont="1" applyBorder="1"/>
    <xf numFmtId="0" fontId="8" fillId="0" borderId="6" xfId="0" applyFont="1" applyBorder="1"/>
    <xf numFmtId="0" fontId="7" fillId="0" borderId="7" xfId="0" applyFont="1" applyBorder="1"/>
    <xf numFmtId="0" fontId="8" fillId="0" borderId="7" xfId="0" applyFont="1" applyBorder="1"/>
    <xf numFmtId="0" fontId="10" fillId="0" borderId="0" xfId="0" applyFont="1" applyBorder="1"/>
    <xf numFmtId="0" fontId="7" fillId="0" borderId="0" xfId="0" applyFont="1" applyFill="1" applyBorder="1" applyAlignment="1">
      <alignment horizontal="center"/>
    </xf>
    <xf numFmtId="0" fontId="8" fillId="0" borderId="4" xfId="0" applyFont="1" applyBorder="1"/>
    <xf numFmtId="0" fontId="8" fillId="0" borderId="8" xfId="0" applyFont="1" applyBorder="1"/>
    <xf numFmtId="0" fontId="7" fillId="0" borderId="9" xfId="0" applyFont="1" applyFill="1" applyBorder="1" applyAlignment="1">
      <alignment horizontal="center" wrapText="1"/>
    </xf>
    <xf numFmtId="0" fontId="7" fillId="0" borderId="10" xfId="0" applyFont="1" applyBorder="1"/>
    <xf numFmtId="0" fontId="7" fillId="0" borderId="8" xfId="0" applyFont="1" applyBorder="1"/>
    <xf numFmtId="43" fontId="8" fillId="0" borderId="0" xfId="1" applyFont="1" applyBorder="1"/>
    <xf numFmtId="0" fontId="7" fillId="0" borderId="11" xfId="0" applyFont="1" applyBorder="1"/>
    <xf numFmtId="0" fontId="8" fillId="0" borderId="12" xfId="0" applyFont="1" applyBorder="1"/>
    <xf numFmtId="42" fontId="7" fillId="0" borderId="9" xfId="2" applyNumberFormat="1" applyFont="1" applyBorder="1"/>
    <xf numFmtId="0" fontId="8" fillId="0" borderId="1" xfId="0" applyFont="1" applyBorder="1"/>
    <xf numFmtId="42" fontId="7" fillId="0" borderId="10" xfId="2" applyNumberFormat="1" applyFont="1" applyBorder="1"/>
    <xf numFmtId="0" fontId="11" fillId="0" borderId="3" xfId="0" applyFont="1" applyBorder="1"/>
    <xf numFmtId="0" fontId="8" fillId="0" borderId="0" xfId="0" applyFont="1" applyFill="1" applyBorder="1"/>
    <xf numFmtId="0" fontId="11" fillId="0" borderId="0" xfId="0" applyFont="1" applyBorder="1"/>
    <xf numFmtId="0" fontId="12" fillId="0" borderId="0" xfId="0" applyFont="1" applyBorder="1"/>
    <xf numFmtId="0" fontId="7" fillId="0" borderId="4" xfId="0" applyFont="1" applyBorder="1" applyAlignment="1">
      <alignment horizontal="center" wrapText="1"/>
    </xf>
    <xf numFmtId="0" fontId="7" fillId="0" borderId="4" xfId="0" applyFont="1" applyBorder="1" applyAlignment="1">
      <alignment horizontal="center"/>
    </xf>
    <xf numFmtId="0" fontId="7" fillId="0" borderId="13" xfId="0" applyFont="1" applyBorder="1" applyAlignment="1">
      <alignment horizontal="center" wrapText="1"/>
    </xf>
    <xf numFmtId="0" fontId="7" fillId="0" borderId="14" xfId="0" applyFont="1" applyBorder="1" applyAlignment="1">
      <alignment horizontal="center" wrapText="1"/>
    </xf>
    <xf numFmtId="0" fontId="7" fillId="0" borderId="15" xfId="0" applyFont="1" applyBorder="1" applyAlignment="1">
      <alignment horizontal="center" wrapText="1"/>
    </xf>
    <xf numFmtId="0" fontId="7" fillId="0" borderId="8" xfId="0" applyFont="1" applyBorder="1" applyAlignment="1">
      <alignment horizontal="center" wrapText="1"/>
    </xf>
    <xf numFmtId="0" fontId="8" fillId="0" borderId="11" xfId="0" applyFont="1" applyBorder="1"/>
    <xf numFmtId="0" fontId="8" fillId="0" borderId="9" xfId="0" applyFont="1" applyBorder="1"/>
    <xf numFmtId="9" fontId="8" fillId="0" borderId="9" xfId="6" applyFont="1" applyBorder="1" applyAlignment="1">
      <alignment horizontal="center"/>
    </xf>
    <xf numFmtId="0" fontId="10" fillId="0" borderId="0" xfId="0" applyFont="1" applyFill="1" applyBorder="1"/>
    <xf numFmtId="0" fontId="8" fillId="0" borderId="16" xfId="0" applyFont="1" applyBorder="1"/>
    <xf numFmtId="0" fontId="10" fillId="0" borderId="3" xfId="0" applyFont="1" applyFill="1" applyBorder="1"/>
    <xf numFmtId="0" fontId="10" fillId="0" borderId="1" xfId="0" applyFont="1" applyFill="1" applyBorder="1"/>
    <xf numFmtId="0" fontId="9" fillId="0" borderId="1" xfId="0" applyFont="1" applyFill="1" applyBorder="1"/>
    <xf numFmtId="0" fontId="10" fillId="0" borderId="13" xfId="0" applyFont="1" applyFill="1" applyBorder="1"/>
    <xf numFmtId="0" fontId="8" fillId="0" borderId="17" xfId="0" applyFont="1" applyFill="1" applyBorder="1"/>
    <xf numFmtId="0" fontId="8" fillId="0" borderId="1" xfId="0" applyFont="1" applyFill="1" applyBorder="1"/>
    <xf numFmtId="0" fontId="13" fillId="0" borderId="1" xfId="0" applyFont="1" applyFill="1" applyBorder="1" applyAlignment="1">
      <alignment horizontal="left"/>
    </xf>
    <xf numFmtId="0" fontId="7" fillId="0" borderId="0" xfId="0" applyFont="1" applyFill="1" applyBorder="1"/>
    <xf numFmtId="0" fontId="11" fillId="0" borderId="0" xfId="0" applyFont="1" applyFill="1" applyBorder="1" applyAlignment="1">
      <alignment horizontal="right"/>
    </xf>
    <xf numFmtId="0" fontId="11" fillId="0" borderId="1" xfId="0" applyFont="1" applyFill="1" applyBorder="1" applyAlignment="1">
      <alignment horizontal="right"/>
    </xf>
    <xf numFmtId="0" fontId="7" fillId="0" borderId="1" xfId="0" applyFont="1" applyFill="1" applyBorder="1"/>
    <xf numFmtId="182" fontId="7" fillId="0" borderId="9" xfId="0" quotePrefix="1" applyNumberFormat="1" applyFont="1" applyBorder="1" applyAlignment="1">
      <alignment horizontal="center"/>
    </xf>
    <xf numFmtId="0" fontId="11" fillId="0" borderId="12" xfId="0" applyFont="1" applyFill="1" applyBorder="1" applyAlignment="1">
      <alignment horizontal="right"/>
    </xf>
    <xf numFmtId="0" fontId="7" fillId="0" borderId="12" xfId="0" applyFont="1" applyFill="1" applyBorder="1"/>
    <xf numFmtId="0" fontId="7" fillId="0" borderId="11" xfId="0" applyFont="1" applyFill="1" applyBorder="1" applyAlignment="1">
      <alignment horizontal="left"/>
    </xf>
    <xf numFmtId="0" fontId="7" fillId="0" borderId="11" xfId="0" applyFont="1" applyFill="1" applyBorder="1"/>
    <xf numFmtId="0" fontId="7" fillId="0" borderId="18" xfId="0" applyFont="1" applyFill="1" applyBorder="1"/>
    <xf numFmtId="0" fontId="7" fillId="0" borderId="19" xfId="0" applyFont="1" applyFill="1" applyBorder="1"/>
    <xf numFmtId="0" fontId="8" fillId="0" borderId="1" xfId="0" applyFont="1" applyBorder="1" applyAlignment="1">
      <alignment horizontal="left"/>
    </xf>
    <xf numFmtId="0" fontId="8" fillId="0" borderId="17" xfId="0" applyFont="1" applyBorder="1" applyAlignment="1">
      <alignment horizontal="left"/>
    </xf>
    <xf numFmtId="0" fontId="0" fillId="0" borderId="4" xfId="0" applyBorder="1" applyAlignment="1">
      <alignment horizontal="center" wrapText="1"/>
    </xf>
    <xf numFmtId="0" fontId="8" fillId="0" borderId="5" xfId="4" applyFont="1" applyBorder="1"/>
    <xf numFmtId="9" fontId="8" fillId="0" borderId="5" xfId="6" applyFont="1" applyBorder="1"/>
    <xf numFmtId="1" fontId="8" fillId="0" borderId="5" xfId="0" applyNumberFormat="1" applyFont="1" applyBorder="1"/>
    <xf numFmtId="0" fontId="8" fillId="0" borderId="11" xfId="4" applyFont="1" applyBorder="1"/>
    <xf numFmtId="0" fontId="7" fillId="0" borderId="12" xfId="0" applyFont="1" applyBorder="1" applyAlignment="1"/>
    <xf numFmtId="0" fontId="6" fillId="0" borderId="0" xfId="0" applyFont="1" applyFill="1" applyBorder="1"/>
    <xf numFmtId="0" fontId="5" fillId="0" borderId="0" xfId="3"/>
    <xf numFmtId="0" fontId="14" fillId="0" borderId="0" xfId="3" applyFont="1"/>
    <xf numFmtId="49" fontId="5" fillId="0" borderId="0" xfId="3" applyNumberFormat="1" applyAlignment="1">
      <alignment horizontal="center"/>
    </xf>
    <xf numFmtId="0" fontId="2" fillId="0" borderId="0" xfId="3" applyFont="1" applyAlignment="1">
      <alignment horizontal="center"/>
    </xf>
    <xf numFmtId="2" fontId="2" fillId="0" borderId="0" xfId="3" applyNumberFormat="1" applyFont="1" applyAlignment="1">
      <alignment horizontal="center"/>
    </xf>
    <xf numFmtId="0" fontId="5" fillId="0" borderId="0" xfId="3" applyAlignment="1">
      <alignment horizontal="center"/>
    </xf>
    <xf numFmtId="49" fontId="14" fillId="0" borderId="0" xfId="3" applyNumberFormat="1" applyFont="1" applyAlignment="1"/>
    <xf numFmtId="49" fontId="15" fillId="0" borderId="0" xfId="3" applyNumberFormat="1" applyFont="1" applyAlignment="1"/>
    <xf numFmtId="0" fontId="3" fillId="0" borderId="0" xfId="3" applyFont="1" applyAlignment="1">
      <alignment horizontal="center"/>
    </xf>
    <xf numFmtId="49" fontId="3" fillId="0" borderId="0" xfId="3" applyNumberFormat="1" applyFont="1" applyAlignment="1">
      <alignment horizontal="center"/>
    </xf>
    <xf numFmtId="16" fontId="3" fillId="0" borderId="0" xfId="3" quotePrefix="1" applyNumberFormat="1" applyFont="1" applyAlignment="1">
      <alignment horizontal="center"/>
    </xf>
    <xf numFmtId="3" fontId="5" fillId="0" borderId="0" xfId="3" applyNumberFormat="1" applyFill="1"/>
    <xf numFmtId="17" fontId="5" fillId="0" borderId="0" xfId="3" applyNumberFormat="1" applyAlignment="1">
      <alignment horizontal="center"/>
    </xf>
    <xf numFmtId="3" fontId="5" fillId="0" borderId="0" xfId="3" applyNumberFormat="1"/>
    <xf numFmtId="3" fontId="5" fillId="0" borderId="4" xfId="3" applyNumberFormat="1" applyBorder="1"/>
    <xf numFmtId="3" fontId="5" fillId="0" borderId="0" xfId="3" applyNumberFormat="1" applyBorder="1"/>
    <xf numFmtId="4" fontId="5" fillId="0" borderId="0" xfId="3" applyNumberFormat="1"/>
    <xf numFmtId="49" fontId="5" fillId="0" borderId="0" xfId="3" quotePrefix="1" applyNumberFormat="1" applyAlignment="1">
      <alignment horizontal="center"/>
    </xf>
    <xf numFmtId="0" fontId="3" fillId="0" borderId="0" xfId="3" quotePrefix="1" applyFont="1" applyAlignment="1">
      <alignment horizontal="center"/>
    </xf>
    <xf numFmtId="3" fontId="5" fillId="0" borderId="0" xfId="3" applyNumberFormat="1" applyAlignment="1">
      <alignment horizontal="right"/>
    </xf>
    <xf numFmtId="17" fontId="5" fillId="0" borderId="0" xfId="3" quotePrefix="1" applyNumberFormat="1" applyAlignment="1">
      <alignment horizontal="center"/>
    </xf>
    <xf numFmtId="0" fontId="5" fillId="0" borderId="0" xfId="3" applyAlignment="1">
      <alignment horizontal="right"/>
    </xf>
    <xf numFmtId="0" fontId="5" fillId="0" borderId="0" xfId="3" applyFill="1" applyAlignment="1">
      <alignment horizontal="center"/>
    </xf>
    <xf numFmtId="17" fontId="5" fillId="0" borderId="0" xfId="3" applyNumberFormat="1" applyFill="1" applyAlignment="1">
      <alignment horizontal="center"/>
    </xf>
    <xf numFmtId="49" fontId="5" fillId="0" borderId="4" xfId="3" applyNumberFormat="1" applyBorder="1" applyAlignment="1">
      <alignment horizontal="center"/>
    </xf>
    <xf numFmtId="0" fontId="5" fillId="0" borderId="4" xfId="3" applyBorder="1" applyAlignment="1">
      <alignment horizontal="center"/>
    </xf>
    <xf numFmtId="17" fontId="5" fillId="0" borderId="4" xfId="3" applyNumberFormat="1" applyBorder="1" applyAlignment="1">
      <alignment horizontal="center"/>
    </xf>
    <xf numFmtId="0" fontId="1" fillId="0" borderId="0" xfId="0" applyFont="1" applyFill="1" applyBorder="1"/>
    <xf numFmtId="0" fontId="8" fillId="0" borderId="0" xfId="0" applyFont="1" applyBorder="1" applyAlignment="1">
      <alignment horizontal="centerContinuous"/>
    </xf>
    <xf numFmtId="0" fontId="5" fillId="0" borderId="0" xfId="0" applyFont="1" applyBorder="1"/>
    <xf numFmtId="0" fontId="8" fillId="0" borderId="0" xfId="0" applyFont="1" applyBorder="1" applyAlignment="1">
      <alignment horizontal="left"/>
    </xf>
    <xf numFmtId="0" fontId="8" fillId="2" borderId="0" xfId="0" applyFont="1" applyFill="1" applyBorder="1" applyAlignment="1">
      <alignment horizontal="left"/>
    </xf>
    <xf numFmtId="0" fontId="8" fillId="0" borderId="0" xfId="0" applyFont="1" applyFill="1" applyBorder="1" applyAlignment="1">
      <alignment horizontal="left"/>
    </xf>
    <xf numFmtId="0" fontId="8" fillId="0" borderId="0" xfId="4" applyFont="1" applyFill="1" applyBorder="1"/>
    <xf numFmtId="0" fontId="5" fillId="0" borderId="0" xfId="0" applyFont="1" applyBorder="1" applyAlignment="1">
      <alignment horizontal="left"/>
    </xf>
    <xf numFmtId="0" fontId="8" fillId="0" borderId="0" xfId="4" applyFont="1" applyBorder="1" applyAlignment="1">
      <alignment horizontal="left"/>
    </xf>
    <xf numFmtId="0" fontId="8" fillId="0" borderId="0" xfId="4" applyFont="1" applyFill="1" applyBorder="1" applyAlignment="1">
      <alignment horizontal="left"/>
    </xf>
    <xf numFmtId="0" fontId="3" fillId="0" borderId="0" xfId="0" applyFont="1" applyFill="1" applyAlignment="1">
      <alignment horizontal="center" wrapText="1"/>
    </xf>
    <xf numFmtId="0" fontId="5" fillId="0" borderId="0" xfId="0" applyFont="1" applyFill="1"/>
    <xf numFmtId="181" fontId="8" fillId="0" borderId="20" xfId="1" applyNumberFormat="1" applyFont="1" applyFill="1" applyBorder="1" applyAlignment="1"/>
    <xf numFmtId="181" fontId="8" fillId="0" borderId="17" xfId="0" applyNumberFormat="1" applyFont="1" applyFill="1" applyBorder="1" applyAlignment="1"/>
    <xf numFmtId="181" fontId="8" fillId="0" borderId="15" xfId="1" applyNumberFormat="1" applyFont="1" applyFill="1" applyBorder="1" applyAlignment="1"/>
    <xf numFmtId="181" fontId="8" fillId="0" borderId="8" xfId="0" applyNumberFormat="1" applyFont="1" applyFill="1" applyBorder="1" applyAlignment="1"/>
    <xf numFmtId="181" fontId="7" fillId="0" borderId="9" xfId="1" applyNumberFormat="1" applyFont="1" applyFill="1" applyBorder="1" applyAlignment="1"/>
    <xf numFmtId="181" fontId="10" fillId="0" borderId="20" xfId="0" applyNumberFormat="1" applyFont="1" applyFill="1" applyBorder="1" applyAlignment="1"/>
    <xf numFmtId="181" fontId="7" fillId="0" borderId="20" xfId="0" applyNumberFormat="1" applyFont="1" applyFill="1" applyBorder="1" applyAlignment="1"/>
    <xf numFmtId="181" fontId="8" fillId="0" borderId="17" xfId="1" applyNumberFormat="1" applyFont="1" applyFill="1" applyBorder="1" applyAlignment="1"/>
    <xf numFmtId="181" fontId="8" fillId="0" borderId="20" xfId="1" applyNumberFormat="1" applyFont="1" applyBorder="1" applyAlignment="1"/>
    <xf numFmtId="181" fontId="7" fillId="0" borderId="9" xfId="0" applyNumberFormat="1" applyFont="1" applyFill="1" applyBorder="1" applyAlignment="1"/>
    <xf numFmtId="181" fontId="11" fillId="0" borderId="20" xfId="0" applyNumberFormat="1" applyFont="1" applyFill="1" applyBorder="1" applyAlignment="1"/>
    <xf numFmtId="181" fontId="7" fillId="0" borderId="17" xfId="0" applyNumberFormat="1" applyFont="1" applyFill="1" applyBorder="1" applyAlignment="1"/>
    <xf numFmtId="181" fontId="7" fillId="0" borderId="1" xfId="0" applyNumberFormat="1" applyFont="1" applyFill="1" applyBorder="1" applyAlignment="1"/>
    <xf numFmtId="181" fontId="7" fillId="0" borderId="0" xfId="0" applyNumberFormat="1" applyFont="1" applyFill="1" applyBorder="1" applyAlignment="1"/>
    <xf numFmtId="181" fontId="7" fillId="0" borderId="12" xfId="0" applyNumberFormat="1" applyFont="1" applyFill="1" applyBorder="1" applyAlignment="1"/>
    <xf numFmtId="181" fontId="8" fillId="0" borderId="1" xfId="0" applyNumberFormat="1" applyFont="1" applyFill="1" applyBorder="1" applyAlignment="1"/>
    <xf numFmtId="181" fontId="8" fillId="0" borderId="0" xfId="0" applyNumberFormat="1" applyFont="1" applyFill="1" applyBorder="1" applyAlignment="1"/>
    <xf numFmtId="181" fontId="7" fillId="0" borderId="11" xfId="0" applyNumberFormat="1" applyFont="1" applyFill="1" applyBorder="1" applyAlignment="1"/>
    <xf numFmtId="181" fontId="7" fillId="0" borderId="10" xfId="0" applyNumberFormat="1" applyFont="1" applyFill="1" applyBorder="1" applyAlignment="1"/>
    <xf numFmtId="181" fontId="7" fillId="0" borderId="4" xfId="0" applyNumberFormat="1" applyFont="1" applyFill="1" applyBorder="1" applyAlignment="1"/>
    <xf numFmtId="181" fontId="8" fillId="0" borderId="10" xfId="0" applyNumberFormat="1" applyFont="1" applyFill="1" applyBorder="1" applyAlignment="1"/>
    <xf numFmtId="181" fontId="8" fillId="0" borderId="4" xfId="0" applyNumberFormat="1" applyFont="1" applyFill="1" applyBorder="1" applyAlignment="1"/>
    <xf numFmtId="181" fontId="7" fillId="0" borderId="18" xfId="0" applyNumberFormat="1" applyFont="1" applyFill="1" applyBorder="1" applyAlignment="1"/>
    <xf numFmtId="5" fontId="8" fillId="0" borderId="5" xfId="1" applyNumberFormat="1" applyFont="1" applyBorder="1"/>
    <xf numFmtId="5" fontId="8" fillId="0" borderId="0" xfId="1" applyNumberFormat="1" applyFont="1"/>
    <xf numFmtId="5" fontId="8" fillId="0" borderId="4" xfId="1" applyNumberFormat="1" applyFont="1" applyBorder="1"/>
    <xf numFmtId="181" fontId="8" fillId="0" borderId="0" xfId="1" applyNumberFormat="1" applyFont="1"/>
    <xf numFmtId="181" fontId="8" fillId="0" borderId="5" xfId="1" applyNumberFormat="1" applyFont="1" applyBorder="1"/>
    <xf numFmtId="181" fontId="8" fillId="0" borderId="0" xfId="1" applyNumberFormat="1" applyFont="1" applyBorder="1"/>
    <xf numFmtId="181" fontId="7" fillId="0" borderId="6" xfId="0" applyNumberFormat="1" applyFont="1" applyBorder="1"/>
    <xf numFmtId="181" fontId="8" fillId="0" borderId="0" xfId="0" applyNumberFormat="1" applyFont="1"/>
    <xf numFmtId="181" fontId="8" fillId="0" borderId="0" xfId="0" applyNumberFormat="1" applyFont="1" applyBorder="1"/>
    <xf numFmtId="181" fontId="7" fillId="0" borderId="7" xfId="1" applyNumberFormat="1" applyFont="1" applyBorder="1"/>
    <xf numFmtId="6" fontId="8" fillId="0" borderId="5" xfId="1" applyNumberFormat="1" applyFont="1" applyBorder="1"/>
    <xf numFmtId="3" fontId="8" fillId="0" borderId="0" xfId="0" applyNumberFormat="1" applyFont="1"/>
    <xf numFmtId="1" fontId="8" fillId="0" borderId="0" xfId="1" applyNumberFormat="1" applyFont="1"/>
    <xf numFmtId="181" fontId="5" fillId="0" borderId="0" xfId="3" applyNumberFormat="1" applyFill="1"/>
    <xf numFmtId="181" fontId="5" fillId="0" borderId="4" xfId="3" applyNumberFormat="1" applyFill="1" applyBorder="1"/>
    <xf numFmtId="181" fontId="5" fillId="0" borderId="0" xfId="3" applyNumberFormat="1"/>
    <xf numFmtId="181" fontId="5" fillId="0" borderId="4" xfId="3" applyNumberFormat="1" applyBorder="1"/>
    <xf numFmtId="181" fontId="5" fillId="0" borderId="0" xfId="3" applyNumberFormat="1" applyAlignment="1">
      <alignment horizontal="right"/>
    </xf>
    <xf numFmtId="181" fontId="5" fillId="0" borderId="0" xfId="3" applyNumberFormat="1" applyAlignment="1">
      <alignment horizontal="center"/>
    </xf>
    <xf numFmtId="0" fontId="8" fillId="0" borderId="0" xfId="5" applyFont="1" applyFill="1" applyBorder="1"/>
    <xf numFmtId="0" fontId="7" fillId="0" borderId="0" xfId="5" applyFont="1" applyFill="1" applyBorder="1"/>
    <xf numFmtId="49" fontId="5" fillId="0" borderId="0" xfId="3" applyNumberFormat="1" applyFill="1" applyAlignment="1">
      <alignment horizontal="left"/>
    </xf>
    <xf numFmtId="0" fontId="5" fillId="0" borderId="0" xfId="3" applyFill="1"/>
    <xf numFmtId="49" fontId="5" fillId="0" borderId="0" xfId="3" applyNumberFormat="1" applyFill="1" applyAlignment="1">
      <alignment horizontal="center"/>
    </xf>
    <xf numFmtId="0" fontId="8" fillId="0" borderId="0" xfId="0" applyFont="1" applyFill="1" applyBorder="1" applyAlignment="1">
      <alignment horizontal="left" vertical="center"/>
    </xf>
    <xf numFmtId="0" fontId="7" fillId="0" borderId="11" xfId="0" applyFont="1" applyBorder="1" applyAlignment="1">
      <alignment horizontal="center" wrapText="1"/>
    </xf>
    <xf numFmtId="0" fontId="7" fillId="0" borderId="12" xfId="0" applyFont="1" applyBorder="1" applyAlignment="1">
      <alignment horizontal="center" wrapText="1"/>
    </xf>
    <xf numFmtId="0" fontId="7" fillId="0" borderId="5" xfId="0" applyFont="1" applyBorder="1" applyAlignment="1">
      <alignment horizontal="center" wrapText="1"/>
    </xf>
    <xf numFmtId="0" fontId="8" fillId="0" borderId="1" xfId="0" applyFont="1" applyBorder="1" applyAlignment="1">
      <alignment horizontal="left"/>
    </xf>
    <xf numFmtId="0" fontId="8" fillId="0" borderId="17" xfId="0" applyFont="1" applyBorder="1" applyAlignment="1">
      <alignment horizontal="left"/>
    </xf>
    <xf numFmtId="0" fontId="7" fillId="0" borderId="11" xfId="0" applyFont="1" applyBorder="1" applyAlignment="1">
      <alignment horizontal="center"/>
    </xf>
    <xf numFmtId="0" fontId="7" fillId="0" borderId="12" xfId="0" applyFont="1" applyBorder="1" applyAlignment="1">
      <alignment horizontal="center"/>
    </xf>
  </cellXfs>
  <cellStyles count="7">
    <cellStyle name="Comma" xfId="1" builtinId="3"/>
    <cellStyle name="Currency" xfId="2" builtinId="4"/>
    <cellStyle name="Normal" xfId="0" builtinId="0"/>
    <cellStyle name="Normal 2" xfId="3"/>
    <cellStyle name="Normal_Book2" xfId="4"/>
    <cellStyle name="Normal_Book2 2" xfId="5"/>
    <cellStyle name="Percent" xfId="6" builtinId="5"/>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5" Type="http://schemas.openxmlformats.org/officeDocument/2006/relationships/externalLink" Target="externalLinks/externalLink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Tech\Mgmt\01-02\nmr.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Tech/Mgmt/01-02/nmr.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LABOR"/>
      <sheetName val="MACH"/>
      <sheetName val="WORKSTATIONS"/>
      <sheetName val="DEPREC"/>
      <sheetName val="FY00"/>
      <sheetName val="FY01"/>
    </sheetNames>
    <sheetDataSet>
      <sheetData sheetId="0">
        <row r="25">
          <cell r="B25">
            <v>45878</v>
          </cell>
        </row>
        <row r="36">
          <cell r="A36" t="str">
            <v xml:space="preserve">  for the period 7/1/99 - 6/30/2000</v>
          </cell>
        </row>
      </sheetData>
      <sheetData sheetId="1"/>
      <sheetData sheetId="2"/>
      <sheetData sheetId="3">
        <row r="55">
          <cell r="AC55">
            <v>124971.97500000001</v>
          </cell>
        </row>
      </sheetData>
      <sheetData sheetId="4"/>
      <sheetData sheetId="5"/>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LABOR"/>
      <sheetName val="MACH"/>
      <sheetName val="WORKSTATIONS"/>
      <sheetName val="DEPREC"/>
      <sheetName val="FY00"/>
      <sheetName val="FY01"/>
    </sheetNames>
    <sheetDataSet>
      <sheetData sheetId="0">
        <row r="25">
          <cell r="B25">
            <v>45878</v>
          </cell>
        </row>
        <row r="36">
          <cell r="A36" t="str">
            <v xml:space="preserve">  for the period 7/1/99 - 6/30/2000</v>
          </cell>
        </row>
      </sheetData>
      <sheetData sheetId="1"/>
      <sheetData sheetId="2"/>
      <sheetData sheetId="3">
        <row r="55">
          <cell r="AC55">
            <v>124971.97500000001</v>
          </cell>
        </row>
      </sheetData>
      <sheetData sheetId="4"/>
      <sheetData sheetId="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sheetPr>
    <pageSetUpPr fitToPage="1"/>
  </sheetPr>
  <dimension ref="A1:N60"/>
  <sheetViews>
    <sheetView tabSelected="1" zoomScaleNormal="100" workbookViewId="0">
      <selection activeCell="C31" sqref="C31"/>
    </sheetView>
  </sheetViews>
  <sheetFormatPr defaultColWidth="8.85546875" defaultRowHeight="12.75"/>
  <cols>
    <col min="1" max="1" width="26" style="1" customWidth="1"/>
    <col min="2" max="2" width="21" style="1" customWidth="1"/>
    <col min="3" max="8" width="11.42578125" customWidth="1"/>
  </cols>
  <sheetData>
    <row r="1" spans="1:1" ht="15.75">
      <c r="A1" s="123" t="s">
        <v>156</v>
      </c>
    </row>
    <row r="2" spans="1:1" ht="15.75">
      <c r="A2" s="123"/>
    </row>
    <row r="3" spans="1:1" ht="15.75">
      <c r="A3" s="123" t="s">
        <v>122</v>
      </c>
    </row>
    <row r="4" spans="1:1">
      <c r="A4" s="125"/>
    </row>
    <row r="5" spans="1:1" ht="15.75">
      <c r="A5" s="121" t="s">
        <v>157</v>
      </c>
    </row>
    <row r="6" spans="1:1" ht="15.75">
      <c r="A6" s="121" t="s">
        <v>124</v>
      </c>
    </row>
    <row r="7" spans="1:1" ht="15.75">
      <c r="A7" s="121" t="s">
        <v>125</v>
      </c>
    </row>
    <row r="8" spans="1:1" ht="15.75">
      <c r="A8" s="121" t="s">
        <v>126</v>
      </c>
    </row>
    <row r="9" spans="1:1" ht="15.75">
      <c r="A9" s="121" t="s">
        <v>127</v>
      </c>
    </row>
    <row r="10" spans="1:1" ht="15.75">
      <c r="A10" s="123" t="s">
        <v>158</v>
      </c>
    </row>
    <row r="11" spans="1:1" ht="15.75">
      <c r="A11" s="123" t="s">
        <v>130</v>
      </c>
    </row>
    <row r="12" spans="1:1" ht="15.75">
      <c r="A12" s="123" t="s">
        <v>131</v>
      </c>
    </row>
    <row r="13" spans="1:1" ht="15.75">
      <c r="A13" s="121" t="s">
        <v>132</v>
      </c>
    </row>
    <row r="14" spans="1:1" ht="15.75">
      <c r="A14" s="121" t="s">
        <v>133</v>
      </c>
    </row>
    <row r="15" spans="1:1" ht="15.75">
      <c r="A15" s="121" t="s">
        <v>134</v>
      </c>
    </row>
    <row r="16" spans="1:1" ht="15.75">
      <c r="A16" s="121" t="s">
        <v>135</v>
      </c>
    </row>
    <row r="17" spans="1:8" ht="15.75">
      <c r="A17" s="121" t="s">
        <v>136</v>
      </c>
    </row>
    <row r="18" spans="1:8" ht="15.75">
      <c r="A18" s="126" t="s">
        <v>159</v>
      </c>
    </row>
    <row r="19" spans="1:8" ht="15.75">
      <c r="A19" s="126" t="s">
        <v>148</v>
      </c>
    </row>
    <row r="20" spans="1:8" ht="15.75">
      <c r="A20" s="126" t="s">
        <v>160</v>
      </c>
    </row>
    <row r="21" spans="1:8" ht="15.75">
      <c r="A21" s="126" t="s">
        <v>161</v>
      </c>
    </row>
    <row r="22" spans="1:8" ht="15.75">
      <c r="A22" s="127" t="s">
        <v>162</v>
      </c>
    </row>
    <row r="23" spans="1:8" ht="15.75">
      <c r="A23" s="127" t="s">
        <v>163</v>
      </c>
    </row>
    <row r="24" spans="1:8" ht="15.75">
      <c r="A24" s="127" t="s">
        <v>151</v>
      </c>
    </row>
    <row r="25" spans="1:8" ht="15.75">
      <c r="A25" s="127" t="s">
        <v>164</v>
      </c>
    </row>
    <row r="26" spans="1:8" ht="15.75">
      <c r="A26" s="127" t="s">
        <v>165</v>
      </c>
    </row>
    <row r="27" spans="1:8" ht="15.75">
      <c r="A27" s="127" t="s">
        <v>166</v>
      </c>
    </row>
    <row r="28" spans="1:8" ht="15.75">
      <c r="A28" s="127" t="s">
        <v>202</v>
      </c>
    </row>
    <row r="29" spans="1:8" ht="15.75">
      <c r="A29" s="127" t="s">
        <v>155</v>
      </c>
    </row>
    <row r="30" spans="1:8" ht="15.75">
      <c r="A30" s="18"/>
      <c r="B30" s="18"/>
      <c r="C30" s="19"/>
      <c r="D30" s="19"/>
      <c r="E30" s="19"/>
      <c r="F30" s="19"/>
      <c r="G30" s="19"/>
      <c r="H30" s="19"/>
    </row>
    <row r="31" spans="1:8" ht="15.75">
      <c r="A31" s="17" t="s">
        <v>1</v>
      </c>
      <c r="B31" s="17"/>
      <c r="C31" s="19"/>
      <c r="D31" s="19"/>
      <c r="E31" s="19"/>
      <c r="F31" s="19"/>
      <c r="G31" s="19"/>
      <c r="H31" s="19"/>
    </row>
    <row r="32" spans="1:8" ht="15.75">
      <c r="A32" s="17"/>
      <c r="B32" s="17"/>
      <c r="C32" s="19"/>
      <c r="D32" s="19"/>
      <c r="E32" s="19"/>
      <c r="G32" s="19"/>
      <c r="H32" s="19"/>
    </row>
    <row r="33" spans="1:8" ht="15.75">
      <c r="A33" s="17" t="s">
        <v>174</v>
      </c>
      <c r="B33" s="17"/>
      <c r="C33" s="19"/>
      <c r="D33" s="19"/>
      <c r="E33" s="19"/>
      <c r="F33" s="19"/>
      <c r="G33" s="19"/>
      <c r="H33" s="19"/>
    </row>
    <row r="34" spans="1:8" ht="16.5" thickBot="1">
      <c r="A34" s="20"/>
      <c r="B34" s="20"/>
      <c r="C34" s="20"/>
      <c r="D34" s="20"/>
      <c r="E34" s="20"/>
      <c r="F34" s="20"/>
      <c r="G34" s="20"/>
      <c r="H34" s="20"/>
    </row>
    <row r="35" spans="1:8" ht="15.75">
      <c r="A35" s="21" t="s">
        <v>2</v>
      </c>
      <c r="B35" s="21"/>
      <c r="C35" s="19"/>
      <c r="D35" s="19"/>
      <c r="E35" s="19"/>
      <c r="F35" s="19"/>
      <c r="G35" s="19"/>
      <c r="H35" s="19"/>
    </row>
    <row r="36" spans="1:8" s="5" customFormat="1" ht="47.25">
      <c r="A36" s="22" t="s">
        <v>3</v>
      </c>
      <c r="B36" s="22" t="s">
        <v>26</v>
      </c>
      <c r="C36" s="23" t="s">
        <v>4</v>
      </c>
      <c r="D36" s="23" t="s">
        <v>5</v>
      </c>
      <c r="E36" s="23" t="s">
        <v>6</v>
      </c>
      <c r="F36" s="23" t="s">
        <v>7</v>
      </c>
      <c r="G36" s="23" t="s">
        <v>8</v>
      </c>
      <c r="H36" s="23" t="s">
        <v>9</v>
      </c>
    </row>
    <row r="37" spans="1:8" s="5" customFormat="1" ht="15.75">
      <c r="A37" s="24"/>
      <c r="B37" s="24"/>
      <c r="C37" s="24" t="s">
        <v>10</v>
      </c>
      <c r="D37" s="24" t="s">
        <v>11</v>
      </c>
      <c r="E37" s="24" t="s">
        <v>12</v>
      </c>
      <c r="F37" s="24" t="s">
        <v>13</v>
      </c>
      <c r="G37" s="24" t="s">
        <v>14</v>
      </c>
      <c r="H37" s="24" t="s">
        <v>15</v>
      </c>
    </row>
    <row r="38" spans="1:8" s="5" customFormat="1" ht="15.75">
      <c r="A38" s="25"/>
      <c r="B38" s="25"/>
      <c r="C38" s="25"/>
      <c r="D38" s="25"/>
      <c r="E38" s="25" t="s">
        <v>16</v>
      </c>
      <c r="F38" s="25"/>
      <c r="G38" s="25" t="s">
        <v>17</v>
      </c>
      <c r="H38" s="25" t="s">
        <v>18</v>
      </c>
    </row>
    <row r="39" spans="1:8" ht="15.75">
      <c r="A39" s="85" t="s">
        <v>40</v>
      </c>
      <c r="B39" s="85" t="s">
        <v>61</v>
      </c>
      <c r="C39" s="86">
        <v>0.05</v>
      </c>
      <c r="D39" s="153">
        <v>101000</v>
      </c>
      <c r="E39" s="153">
        <f>C39*D39</f>
        <v>5050</v>
      </c>
      <c r="F39" s="86">
        <v>0.22</v>
      </c>
      <c r="G39" s="153">
        <f>E39*F39</f>
        <v>1111</v>
      </c>
      <c r="H39" s="153">
        <f>E39+G39</f>
        <v>6161</v>
      </c>
    </row>
    <row r="40" spans="1:8" ht="15.75">
      <c r="A40" s="26" t="s">
        <v>40</v>
      </c>
      <c r="B40" s="26" t="s">
        <v>63</v>
      </c>
      <c r="C40" s="27">
        <v>0.15</v>
      </c>
      <c r="D40" s="154">
        <v>75000</v>
      </c>
      <c r="E40" s="154">
        <f>C40*D40</f>
        <v>11250</v>
      </c>
      <c r="F40" s="27">
        <v>0.19</v>
      </c>
      <c r="G40" s="154">
        <f>E40*F40</f>
        <v>2137.5</v>
      </c>
      <c r="H40" s="154">
        <f>E40+G40</f>
        <v>13387.5</v>
      </c>
    </row>
    <row r="41" spans="1:8" ht="15.75">
      <c r="A41" s="88" t="s">
        <v>40</v>
      </c>
      <c r="B41" s="85" t="s">
        <v>62</v>
      </c>
      <c r="C41" s="86">
        <v>0.5</v>
      </c>
      <c r="D41" s="153">
        <v>50000</v>
      </c>
      <c r="E41" s="153">
        <f>C41*D41</f>
        <v>25000</v>
      </c>
      <c r="F41" s="86">
        <v>0.23</v>
      </c>
      <c r="G41" s="153">
        <f>E41*F41</f>
        <v>5750</v>
      </c>
      <c r="H41" s="153">
        <f>E41+G41</f>
        <v>30750</v>
      </c>
    </row>
    <row r="42" spans="1:8" ht="15.75">
      <c r="A42" s="88" t="s">
        <v>40</v>
      </c>
      <c r="B42" s="85" t="s">
        <v>62</v>
      </c>
      <c r="C42" s="86">
        <v>0.5</v>
      </c>
      <c r="D42" s="155">
        <v>50000</v>
      </c>
      <c r="E42" s="153">
        <f>C42*D42</f>
        <v>25000</v>
      </c>
      <c r="F42" s="86">
        <v>0.25</v>
      </c>
      <c r="G42" s="153">
        <f>E42*F42</f>
        <v>6250</v>
      </c>
      <c r="H42" s="153">
        <f>E42+G42</f>
        <v>31250</v>
      </c>
    </row>
    <row r="43" spans="1:8" ht="15.75">
      <c r="A43" s="28" t="s">
        <v>19</v>
      </c>
      <c r="B43" s="28"/>
      <c r="C43" s="29">
        <f>SUM(C39:C42)</f>
        <v>1.2</v>
      </c>
      <c r="D43" s="153"/>
      <c r="E43" s="153">
        <f>SUM(E39:E42)</f>
        <v>66300</v>
      </c>
      <c r="F43" s="30"/>
      <c r="G43" s="153">
        <f>SUM(G39:G42)</f>
        <v>15248.5</v>
      </c>
      <c r="H43" s="153">
        <f>SUM(H39:H42)</f>
        <v>81548.5</v>
      </c>
    </row>
    <row r="44" spans="1:8" ht="15.75">
      <c r="A44" s="18"/>
      <c r="B44" s="18"/>
      <c r="C44" s="31"/>
      <c r="D44" s="32"/>
      <c r="E44" s="32"/>
      <c r="F44" s="32"/>
      <c r="G44" s="32"/>
      <c r="H44" s="32"/>
    </row>
    <row r="45" spans="1:8" ht="15.75">
      <c r="A45" s="18" t="s">
        <v>57</v>
      </c>
      <c r="B45" s="18"/>
      <c r="C45" s="19"/>
      <c r="D45" s="19"/>
      <c r="E45" s="19"/>
      <c r="F45" s="19"/>
      <c r="G45" s="19"/>
      <c r="H45" s="156">
        <v>600</v>
      </c>
    </row>
    <row r="46" spans="1:8" ht="15.75">
      <c r="A46" s="18" t="s">
        <v>60</v>
      </c>
      <c r="B46" s="18"/>
      <c r="C46" s="19"/>
      <c r="D46" s="19"/>
      <c r="E46" s="19"/>
      <c r="F46" s="19"/>
      <c r="G46" s="19"/>
      <c r="H46" s="156">
        <f>500*C43</f>
        <v>600</v>
      </c>
    </row>
    <row r="47" spans="1:8" ht="15.75">
      <c r="A47" s="18" t="s">
        <v>64</v>
      </c>
      <c r="B47" s="18"/>
      <c r="C47" s="19"/>
      <c r="D47" s="19"/>
      <c r="E47" s="19"/>
      <c r="F47" s="19"/>
      <c r="G47" s="19"/>
      <c r="H47" s="156">
        <v>2500</v>
      </c>
    </row>
    <row r="48" spans="1:8" ht="15.75">
      <c r="A48" s="18" t="s">
        <v>83</v>
      </c>
      <c r="B48" s="18"/>
      <c r="C48" s="19"/>
      <c r="D48" s="19"/>
      <c r="E48" s="19"/>
      <c r="F48" s="19"/>
      <c r="G48" s="19"/>
      <c r="H48" s="156">
        <f>depreciation!M14</f>
        <v>19166.666666666668</v>
      </c>
    </row>
    <row r="49" spans="1:14" ht="15.75">
      <c r="A49" s="18"/>
      <c r="B49" s="18"/>
      <c r="C49" s="19"/>
      <c r="D49" s="19"/>
      <c r="E49" s="19"/>
      <c r="F49" s="19"/>
      <c r="G49" s="19"/>
      <c r="H49" s="156"/>
    </row>
    <row r="50" spans="1:14" ht="15.75">
      <c r="A50" s="28" t="s">
        <v>20</v>
      </c>
      <c r="B50" s="28"/>
      <c r="C50" s="28"/>
      <c r="D50" s="28"/>
      <c r="E50" s="28"/>
      <c r="F50" s="28"/>
      <c r="G50" s="28"/>
      <c r="H50" s="157">
        <f>SUM(H45:H49)</f>
        <v>22866.666666666668</v>
      </c>
    </row>
    <row r="51" spans="1:14" ht="15.75">
      <c r="A51" s="18"/>
      <c r="B51" s="18"/>
      <c r="C51" s="18"/>
      <c r="D51" s="18"/>
      <c r="E51" s="18"/>
      <c r="F51" s="18"/>
      <c r="G51" s="18"/>
      <c r="H51" s="158"/>
    </row>
    <row r="52" spans="1:14" ht="15.75">
      <c r="A52" s="28" t="s">
        <v>58</v>
      </c>
      <c r="B52" s="28"/>
      <c r="C52" s="28"/>
      <c r="D52" s="28"/>
      <c r="E52" s="28"/>
      <c r="F52" s="28"/>
      <c r="G52" s="28"/>
      <c r="H52" s="163">
        <v>-1000</v>
      </c>
    </row>
    <row r="53" spans="1:14" ht="15.75">
      <c r="A53" s="18"/>
      <c r="B53" s="18"/>
      <c r="C53" s="18"/>
      <c r="D53" s="18"/>
      <c r="E53" s="18"/>
      <c r="F53" s="18"/>
      <c r="G53" s="18"/>
      <c r="H53" s="158"/>
    </row>
    <row r="54" spans="1:14" ht="16.5" thickBot="1">
      <c r="A54" s="33" t="s">
        <v>21</v>
      </c>
      <c r="B54" s="33"/>
      <c r="C54" s="33"/>
      <c r="D54" s="33"/>
      <c r="E54" s="33"/>
      <c r="F54" s="33"/>
      <c r="G54" s="33"/>
      <c r="H54" s="159">
        <f>SUM(H43,H50,H52)</f>
        <v>103415.16666666667</v>
      </c>
    </row>
    <row r="55" spans="1:14" ht="16.5" thickTop="1">
      <c r="A55" s="18"/>
      <c r="B55" s="18"/>
      <c r="C55" s="19"/>
      <c r="D55" s="19"/>
      <c r="E55" s="19"/>
      <c r="F55" s="19"/>
      <c r="G55" s="19"/>
      <c r="H55" s="160"/>
    </row>
    <row r="56" spans="1:14" ht="15.75">
      <c r="A56" s="18" t="s">
        <v>82</v>
      </c>
      <c r="B56" s="18"/>
      <c r="C56" s="19"/>
      <c r="D56" s="19"/>
      <c r="E56" s="19"/>
      <c r="F56" s="19"/>
      <c r="G56" s="19"/>
      <c r="H56" s="164">
        <v>2000</v>
      </c>
    </row>
    <row r="57" spans="1:14" ht="15.75">
      <c r="A57" s="18"/>
      <c r="B57" s="18"/>
      <c r="C57" s="18"/>
      <c r="D57" s="18"/>
      <c r="E57" s="18"/>
      <c r="F57" s="18"/>
      <c r="G57" s="18"/>
      <c r="H57" s="161"/>
    </row>
    <row r="58" spans="1:14" ht="16.5" thickBot="1">
      <c r="A58" s="34" t="s">
        <v>45</v>
      </c>
      <c r="B58" s="34"/>
      <c r="C58" s="35"/>
      <c r="D58" s="35"/>
      <c r="E58" s="35"/>
      <c r="F58" s="35"/>
      <c r="G58" s="35"/>
      <c r="H58" s="162">
        <f>H54/H56</f>
        <v>51.707583333333339</v>
      </c>
      <c r="I58" s="8"/>
      <c r="J58" s="8"/>
      <c r="K58" s="8"/>
      <c r="L58" s="8"/>
      <c r="M58" s="8"/>
      <c r="N58" s="8"/>
    </row>
    <row r="59" spans="1:14" ht="15.75">
      <c r="A59" s="18"/>
      <c r="B59" s="18"/>
      <c r="C59" s="19"/>
      <c r="D59" s="19"/>
      <c r="E59" s="19"/>
      <c r="F59" s="19"/>
      <c r="G59" s="19"/>
      <c r="H59" s="156"/>
      <c r="I59" s="8"/>
      <c r="J59" s="8"/>
      <c r="K59" s="8"/>
      <c r="L59" s="8"/>
      <c r="M59" s="8"/>
      <c r="N59" s="8"/>
    </row>
    <row r="60" spans="1:14" ht="16.5" thickBot="1">
      <c r="A60" s="34" t="s">
        <v>48</v>
      </c>
      <c r="B60" s="34"/>
      <c r="C60" s="34"/>
      <c r="D60" s="34"/>
      <c r="E60" s="34"/>
      <c r="F60" s="34"/>
      <c r="G60" s="34"/>
      <c r="H60" s="162">
        <f>H58*1.45</f>
        <v>74.975995833333343</v>
      </c>
      <c r="I60" s="8"/>
      <c r="J60" s="8"/>
      <c r="K60" s="8"/>
      <c r="L60" s="8"/>
      <c r="M60" s="8"/>
      <c r="N60" s="8"/>
    </row>
  </sheetData>
  <phoneticPr fontId="0" type="noConversion"/>
  <pageMargins left="0.75" right="0.75" top="0.5" bottom="0.25" header="0.5" footer="0.5"/>
  <pageSetup scale="70" orientation="landscape" r:id="rId1"/>
  <headerFooter alignWithMargins="0"/>
</worksheet>
</file>

<file path=xl/worksheets/sheet2.xml><?xml version="1.0" encoding="utf-8"?>
<worksheet xmlns="http://schemas.openxmlformats.org/spreadsheetml/2006/main" xmlns:r="http://schemas.openxmlformats.org/officeDocument/2006/relationships">
  <sheetPr>
    <pageSetUpPr fitToPage="1"/>
  </sheetPr>
  <dimension ref="A1:N70"/>
  <sheetViews>
    <sheetView topLeftCell="A13" zoomScaleNormal="100" workbookViewId="0">
      <selection activeCell="A38" sqref="A38"/>
    </sheetView>
  </sheetViews>
  <sheetFormatPr defaultColWidth="8.85546875" defaultRowHeight="12.75"/>
  <cols>
    <col min="1" max="1" width="26" style="1" customWidth="1"/>
    <col min="2" max="2" width="21" style="1" customWidth="1"/>
    <col min="3" max="8" width="11.42578125" customWidth="1"/>
    <col min="9" max="9" width="10.5703125" customWidth="1"/>
    <col min="11" max="11" width="10.140625" customWidth="1"/>
    <col min="13" max="13" width="11.140625" customWidth="1"/>
    <col min="14" max="14" width="11" customWidth="1"/>
  </cols>
  <sheetData>
    <row r="1" spans="1:1" ht="15.75">
      <c r="A1" s="123" t="s">
        <v>203</v>
      </c>
    </row>
    <row r="2" spans="1:1" ht="15.75">
      <c r="A2" s="119"/>
    </row>
    <row r="3" spans="1:1" ht="15.75">
      <c r="A3" s="123" t="s">
        <v>122</v>
      </c>
    </row>
    <row r="4" spans="1:1">
      <c r="A4" s="120"/>
    </row>
    <row r="5" spans="1:1" ht="15.75">
      <c r="A5" s="121" t="s">
        <v>123</v>
      </c>
    </row>
    <row r="6" spans="1:1" ht="15.75">
      <c r="A6" s="121" t="s">
        <v>124</v>
      </c>
    </row>
    <row r="7" spans="1:1" ht="15.75">
      <c r="A7" s="121" t="s">
        <v>125</v>
      </c>
    </row>
    <row r="8" spans="1:1" ht="15.75">
      <c r="A8" s="121" t="s">
        <v>126</v>
      </c>
    </row>
    <row r="9" spans="1:1" ht="15.75">
      <c r="A9" s="121" t="s">
        <v>127</v>
      </c>
    </row>
    <row r="10" spans="1:1" ht="15.75">
      <c r="A10" s="122" t="s">
        <v>128</v>
      </c>
    </row>
    <row r="11" spans="1:1" ht="15.75">
      <c r="A11" s="123" t="s">
        <v>129</v>
      </c>
    </row>
    <row r="12" spans="1:1" ht="15.75">
      <c r="A12" s="123" t="s">
        <v>130</v>
      </c>
    </row>
    <row r="13" spans="1:1" ht="15.75">
      <c r="A13" s="123" t="s">
        <v>131</v>
      </c>
    </row>
    <row r="14" spans="1:1" ht="15.75">
      <c r="A14" s="121" t="s">
        <v>132</v>
      </c>
    </row>
    <row r="15" spans="1:1" ht="15.75">
      <c r="A15" s="121" t="s">
        <v>133</v>
      </c>
    </row>
    <row r="16" spans="1:1" ht="15.75">
      <c r="A16" s="121" t="s">
        <v>134</v>
      </c>
    </row>
    <row r="17" spans="1:1" ht="15.75">
      <c r="A17" s="121" t="s">
        <v>135</v>
      </c>
    </row>
    <row r="18" spans="1:1" ht="15.75">
      <c r="A18" s="121" t="s">
        <v>136</v>
      </c>
    </row>
    <row r="19" spans="1:1" ht="15.75">
      <c r="A19" s="123" t="s">
        <v>137</v>
      </c>
    </row>
    <row r="20" spans="1:1" ht="15.75">
      <c r="A20" s="123" t="s">
        <v>138</v>
      </c>
    </row>
    <row r="21" spans="1:1" ht="15.75">
      <c r="A21" s="121" t="s">
        <v>139</v>
      </c>
    </row>
    <row r="22" spans="1:1" ht="15.75">
      <c r="A22" s="121" t="s">
        <v>140</v>
      </c>
    </row>
    <row r="23" spans="1:1" ht="15.75">
      <c r="A23" s="121" t="s">
        <v>167</v>
      </c>
    </row>
    <row r="24" spans="1:1" ht="15.75">
      <c r="A24" s="121" t="s">
        <v>141</v>
      </c>
    </row>
    <row r="25" spans="1:1" ht="15.75">
      <c r="A25" s="122" t="s">
        <v>142</v>
      </c>
    </row>
    <row r="26" spans="1:1" ht="15.75">
      <c r="A26" s="123" t="s">
        <v>143</v>
      </c>
    </row>
    <row r="27" spans="1:1" ht="15.75">
      <c r="A27" s="26" t="s">
        <v>144</v>
      </c>
    </row>
    <row r="28" spans="1:1" ht="15.75">
      <c r="A28" s="123" t="s">
        <v>145</v>
      </c>
    </row>
    <row r="29" spans="1:1" ht="15.75">
      <c r="A29" s="123" t="s">
        <v>146</v>
      </c>
    </row>
    <row r="30" spans="1:1" ht="15.75">
      <c r="A30" s="26" t="s">
        <v>147</v>
      </c>
    </row>
    <row r="31" spans="1:1" ht="15.75">
      <c r="A31" s="26" t="s">
        <v>168</v>
      </c>
    </row>
    <row r="32" spans="1:1" ht="15.75">
      <c r="A32" s="124" t="s">
        <v>149</v>
      </c>
    </row>
    <row r="33" spans="1:14" ht="15.75">
      <c r="A33" s="124" t="s">
        <v>150</v>
      </c>
    </row>
    <row r="34" spans="1:14" ht="15.75">
      <c r="A34" s="124" t="s">
        <v>151</v>
      </c>
    </row>
    <row r="35" spans="1:14" ht="15.75">
      <c r="A35" s="124" t="s">
        <v>152</v>
      </c>
    </row>
    <row r="36" spans="1:14" ht="15.75">
      <c r="A36" s="124" t="s">
        <v>153</v>
      </c>
    </row>
    <row r="37" spans="1:14" ht="15.75">
      <c r="A37" s="124" t="s">
        <v>154</v>
      </c>
    </row>
    <row r="38" spans="1:14" ht="15.75">
      <c r="A38" s="172" t="s">
        <v>201</v>
      </c>
    </row>
    <row r="39" spans="1:14" ht="15.75">
      <c r="A39" s="124" t="s">
        <v>155</v>
      </c>
    </row>
    <row r="40" spans="1:14" ht="15.75">
      <c r="A40" s="18"/>
      <c r="B40" s="18"/>
      <c r="C40" s="19"/>
      <c r="D40" s="19"/>
      <c r="E40" s="19"/>
      <c r="F40" s="19"/>
      <c r="G40" s="19"/>
      <c r="H40" s="19"/>
    </row>
    <row r="41" spans="1:14" ht="15.75">
      <c r="A41" s="17" t="s">
        <v>1</v>
      </c>
      <c r="B41" s="17"/>
      <c r="C41" s="19"/>
      <c r="D41" s="19"/>
      <c r="E41" s="19"/>
      <c r="F41" s="19"/>
      <c r="G41" s="19"/>
      <c r="H41" s="19"/>
    </row>
    <row r="42" spans="1:14" ht="15.75">
      <c r="A42" s="17"/>
      <c r="B42" s="17"/>
      <c r="C42" s="19"/>
      <c r="D42" s="19"/>
      <c r="E42" s="19"/>
      <c r="F42" s="19"/>
      <c r="G42" s="19"/>
      <c r="H42" s="19"/>
    </row>
    <row r="43" spans="1:14" ht="15.75">
      <c r="A43" s="17" t="s">
        <v>59</v>
      </c>
      <c r="B43" s="17"/>
      <c r="C43" s="19"/>
      <c r="D43" s="19"/>
      <c r="E43" s="19"/>
      <c r="F43" s="19"/>
      <c r="G43" s="19"/>
      <c r="H43" s="19"/>
    </row>
    <row r="44" spans="1:14" ht="16.5" thickBot="1">
      <c r="A44" s="20"/>
      <c r="B44" s="20"/>
      <c r="C44" s="20"/>
      <c r="D44" s="20"/>
      <c r="E44" s="20"/>
      <c r="F44" s="20"/>
      <c r="G44" s="20"/>
      <c r="H44" s="20"/>
      <c r="I44" s="20"/>
      <c r="J44" s="20"/>
      <c r="K44" s="20"/>
      <c r="L44" s="20"/>
      <c r="M44" s="20"/>
      <c r="N44" s="20"/>
    </row>
    <row r="45" spans="1:14" ht="15.75">
      <c r="A45" s="21" t="s">
        <v>2</v>
      </c>
      <c r="B45" s="21"/>
      <c r="C45" s="19"/>
      <c r="D45" s="19"/>
      <c r="E45" s="19"/>
      <c r="F45" s="19"/>
      <c r="G45" s="19"/>
      <c r="H45" s="19"/>
      <c r="I45" s="19"/>
      <c r="J45" s="19"/>
      <c r="K45" s="19"/>
      <c r="L45" s="19"/>
      <c r="M45" s="19"/>
      <c r="N45" s="19"/>
    </row>
    <row r="46" spans="1:14" s="5" customFormat="1" ht="47.25">
      <c r="A46" s="22" t="s">
        <v>3</v>
      </c>
      <c r="B46" s="22" t="s">
        <v>26</v>
      </c>
      <c r="C46" s="23" t="s">
        <v>4</v>
      </c>
      <c r="D46" s="23" t="s">
        <v>5</v>
      </c>
      <c r="E46" s="23" t="s">
        <v>6</v>
      </c>
      <c r="F46" s="23" t="s">
        <v>7</v>
      </c>
      <c r="G46" s="23" t="s">
        <v>8</v>
      </c>
      <c r="H46" s="23" t="s">
        <v>9</v>
      </c>
      <c r="I46" s="53" t="s">
        <v>49</v>
      </c>
      <c r="J46" s="53" t="s">
        <v>50</v>
      </c>
      <c r="K46" s="53" t="s">
        <v>51</v>
      </c>
      <c r="L46" s="53" t="s">
        <v>52</v>
      </c>
      <c r="M46" s="53" t="s">
        <v>54</v>
      </c>
      <c r="N46" s="53" t="s">
        <v>53</v>
      </c>
    </row>
    <row r="47" spans="1:14" s="5" customFormat="1" ht="15.75">
      <c r="A47" s="24"/>
      <c r="B47" s="24"/>
      <c r="C47" s="24" t="s">
        <v>10</v>
      </c>
      <c r="D47" s="24" t="s">
        <v>11</v>
      </c>
      <c r="E47" s="24" t="s">
        <v>12</v>
      </c>
      <c r="F47" s="24" t="s">
        <v>13</v>
      </c>
      <c r="G47" s="24" t="s">
        <v>14</v>
      </c>
      <c r="H47" s="24" t="s">
        <v>15</v>
      </c>
    </row>
    <row r="48" spans="1:14" s="5" customFormat="1" ht="15.75">
      <c r="A48" s="25"/>
      <c r="B48" s="25"/>
      <c r="C48" s="25"/>
      <c r="D48" s="25"/>
      <c r="E48" s="25" t="s">
        <v>16</v>
      </c>
      <c r="F48" s="25"/>
      <c r="G48" s="25" t="s">
        <v>17</v>
      </c>
      <c r="H48" s="25" t="s">
        <v>18</v>
      </c>
      <c r="I48" s="84"/>
      <c r="J48" s="84"/>
      <c r="K48" s="84"/>
      <c r="L48" s="84"/>
      <c r="M48" s="84"/>
      <c r="N48" s="84"/>
    </row>
    <row r="49" spans="1:14" ht="15.75">
      <c r="A49" s="85" t="str">
        <f>'Lab Tests'!A39</f>
        <v>Name</v>
      </c>
      <c r="B49" s="85" t="str">
        <f>'Lab Tests'!B39</f>
        <v>Director</v>
      </c>
      <c r="C49" s="86">
        <v>0.05</v>
      </c>
      <c r="D49" s="153">
        <v>85000</v>
      </c>
      <c r="E49" s="153">
        <f>C49*D49</f>
        <v>4250</v>
      </c>
      <c r="F49" s="86">
        <v>0.22</v>
      </c>
      <c r="G49" s="153">
        <f>E49*F49</f>
        <v>935</v>
      </c>
      <c r="H49" s="153">
        <f>E49+G49</f>
        <v>5185</v>
      </c>
      <c r="I49" s="87">
        <f>2088*C49</f>
        <v>104.4</v>
      </c>
      <c r="J49" s="87">
        <f>104*C49</f>
        <v>5.2</v>
      </c>
      <c r="K49" s="87">
        <f>192*C49</f>
        <v>9.6000000000000014</v>
      </c>
      <c r="L49" s="87">
        <f>96*C49</f>
        <v>4.8000000000000007</v>
      </c>
      <c r="M49" s="87">
        <f>I49-J49-K49-L49</f>
        <v>84.8</v>
      </c>
      <c r="N49" s="87">
        <f>I49-J49-K49-L49-M49</f>
        <v>0</v>
      </c>
    </row>
    <row r="50" spans="1:14" ht="15.75">
      <c r="A50" s="85" t="str">
        <f>'Lab Tests'!A40</f>
        <v>Name</v>
      </c>
      <c r="B50" s="85" t="str">
        <f>'Lab Tests'!B40</f>
        <v>Senior SRA</v>
      </c>
      <c r="C50" s="27">
        <v>0</v>
      </c>
      <c r="D50" s="154">
        <v>75000</v>
      </c>
      <c r="E50" s="154">
        <f>C50*D50</f>
        <v>0</v>
      </c>
      <c r="F50" s="27">
        <v>0.19</v>
      </c>
      <c r="G50" s="154">
        <f>E50*F50</f>
        <v>0</v>
      </c>
      <c r="H50" s="154">
        <f>E50+G50</f>
        <v>0</v>
      </c>
      <c r="I50" s="165">
        <f>2088*C50</f>
        <v>0</v>
      </c>
      <c r="J50" s="165">
        <f>104*C50</f>
        <v>0</v>
      </c>
      <c r="K50" s="165">
        <f>192*C50</f>
        <v>0</v>
      </c>
      <c r="L50" s="165">
        <f>96*C50</f>
        <v>0</v>
      </c>
      <c r="M50" s="165">
        <f>0.1*I50</f>
        <v>0</v>
      </c>
      <c r="N50" s="165">
        <f>SUM(N46:N46)</f>
        <v>0</v>
      </c>
    </row>
    <row r="51" spans="1:14" ht="15.75">
      <c r="A51" s="85" t="str">
        <f>'Lab Tests'!A41</f>
        <v>Name</v>
      </c>
      <c r="B51" s="85" t="str">
        <f>'Lab Tests'!B41</f>
        <v>SRA</v>
      </c>
      <c r="C51" s="86">
        <v>0.5</v>
      </c>
      <c r="D51" s="153">
        <v>50000</v>
      </c>
      <c r="E51" s="153">
        <f>C51*D51</f>
        <v>25000</v>
      </c>
      <c r="F51" s="86">
        <v>0.23</v>
      </c>
      <c r="G51" s="153">
        <f>E51*F51</f>
        <v>5750</v>
      </c>
      <c r="H51" s="153">
        <f>E51+G51</f>
        <v>30750</v>
      </c>
      <c r="I51" s="87">
        <f>2088*C51</f>
        <v>1044</v>
      </c>
      <c r="J51" s="87">
        <f>104*C51</f>
        <v>52</v>
      </c>
      <c r="K51" s="87">
        <f>120*C51</f>
        <v>60</v>
      </c>
      <c r="L51" s="87">
        <f>96*C51</f>
        <v>48</v>
      </c>
      <c r="M51" s="87">
        <f>0.1*I51</f>
        <v>104.4</v>
      </c>
      <c r="N51" s="87">
        <f>I51-J51-K51-L51-M51</f>
        <v>779.6</v>
      </c>
    </row>
    <row r="52" spans="1:14" ht="15.75">
      <c r="A52" s="85" t="str">
        <f>'Lab Tests'!A42</f>
        <v>Name</v>
      </c>
      <c r="B52" s="85" t="str">
        <f>'Lab Tests'!B42</f>
        <v>SRA</v>
      </c>
      <c r="C52" s="86">
        <v>0.5</v>
      </c>
      <c r="D52" s="155">
        <v>50000</v>
      </c>
      <c r="E52" s="153">
        <f>C52*D52</f>
        <v>25000</v>
      </c>
      <c r="F52" s="86">
        <v>0.25</v>
      </c>
      <c r="G52" s="153">
        <f>E52*F52</f>
        <v>6250</v>
      </c>
      <c r="H52" s="153">
        <f>E52+G52</f>
        <v>31250</v>
      </c>
      <c r="I52" s="87">
        <f>2088*C52</f>
        <v>1044</v>
      </c>
      <c r="J52" s="87">
        <f>104*C52</f>
        <v>52</v>
      </c>
      <c r="K52" s="87">
        <f>120*C52</f>
        <v>60</v>
      </c>
      <c r="L52" s="87">
        <f>96*C52</f>
        <v>48</v>
      </c>
      <c r="M52" s="87">
        <f>0.1*I52</f>
        <v>104.4</v>
      </c>
      <c r="N52" s="87">
        <f>I52-J52-K52-L52-M52</f>
        <v>779.6</v>
      </c>
    </row>
    <row r="53" spans="1:14" ht="15.75">
      <c r="A53" s="28" t="s">
        <v>19</v>
      </c>
      <c r="B53" s="28"/>
      <c r="C53" s="29">
        <f>SUM(C49:C52)</f>
        <v>1.05</v>
      </c>
      <c r="D53" s="153"/>
      <c r="E53" s="153">
        <f>SUM(E49:E49)</f>
        <v>4250</v>
      </c>
      <c r="F53" s="30"/>
      <c r="G53" s="153">
        <f>SUM(G49:G49)</f>
        <v>935</v>
      </c>
      <c r="H53" s="153">
        <f>SUM(H49:H52)</f>
        <v>67185</v>
      </c>
      <c r="I53" s="87"/>
      <c r="J53" s="87"/>
      <c r="K53" s="87"/>
      <c r="L53" s="87"/>
      <c r="M53" s="87"/>
      <c r="N53" s="87">
        <f>SUM(N49:N52)</f>
        <v>1559.2</v>
      </c>
    </row>
    <row r="54" spans="1:14" ht="15.75">
      <c r="A54" s="18"/>
      <c r="B54" s="18"/>
      <c r="C54" s="31"/>
      <c r="D54" s="32"/>
      <c r="E54" s="32"/>
      <c r="F54" s="32"/>
      <c r="G54" s="32"/>
      <c r="H54" s="32"/>
    </row>
    <row r="55" spans="1:14" ht="15.75">
      <c r="A55" s="18" t="str">
        <f>'Lab Tests'!A45</f>
        <v>NGN</v>
      </c>
      <c r="B55" s="18"/>
      <c r="C55" s="19"/>
      <c r="D55" s="19"/>
      <c r="E55" s="19"/>
      <c r="F55" s="19"/>
      <c r="G55" s="19"/>
      <c r="H55" s="156">
        <v>525</v>
      </c>
      <c r="I55" s="129"/>
      <c r="J55" s="8"/>
      <c r="K55" s="8"/>
      <c r="L55" s="8"/>
    </row>
    <row r="56" spans="1:14" ht="15.75">
      <c r="A56" s="18" t="str">
        <f>'Lab Tests'!A46</f>
        <v>Office Supplies</v>
      </c>
      <c r="B56" s="18"/>
      <c r="C56" s="19"/>
      <c r="D56" s="19"/>
      <c r="E56" s="19"/>
      <c r="F56" s="19"/>
      <c r="G56" s="19"/>
      <c r="H56" s="156">
        <f>500*C53</f>
        <v>525</v>
      </c>
    </row>
    <row r="57" spans="1:14" ht="15.75">
      <c r="A57" s="18" t="str">
        <f>'Lab Tests'!A47</f>
        <v>Lab Supplies</v>
      </c>
      <c r="B57" s="18"/>
      <c r="C57" s="19"/>
      <c r="D57" s="19"/>
      <c r="E57" s="19"/>
      <c r="F57" s="19"/>
      <c r="G57" s="19"/>
      <c r="H57" s="156">
        <v>0</v>
      </c>
    </row>
    <row r="58" spans="1:14" ht="15.75">
      <c r="A58" s="18" t="str">
        <f>'Lab Tests'!A48</f>
        <v>Equipment Depreciation</v>
      </c>
      <c r="B58" s="18"/>
      <c r="C58" s="19"/>
      <c r="D58" s="19"/>
      <c r="E58" s="19"/>
      <c r="F58" s="19"/>
      <c r="G58" s="19"/>
      <c r="H58" s="156">
        <v>0</v>
      </c>
    </row>
    <row r="59" spans="1:14" ht="15.75">
      <c r="A59" s="18"/>
      <c r="B59" s="18"/>
      <c r="C59" s="19"/>
      <c r="D59" s="19"/>
      <c r="E59" s="19"/>
      <c r="F59" s="19"/>
      <c r="G59" s="19"/>
      <c r="H59" s="156"/>
    </row>
    <row r="60" spans="1:14" ht="15.75">
      <c r="A60" s="28" t="s">
        <v>20</v>
      </c>
      <c r="B60" s="28"/>
      <c r="C60" s="28"/>
      <c r="D60" s="28"/>
      <c r="E60" s="28"/>
      <c r="F60" s="28"/>
      <c r="G60" s="28"/>
      <c r="H60" s="157">
        <f>SUM(H55:H59)</f>
        <v>1050</v>
      </c>
    </row>
    <row r="61" spans="1:14" ht="15.75">
      <c r="A61" s="18"/>
      <c r="B61" s="18"/>
      <c r="C61" s="18"/>
      <c r="D61" s="18"/>
      <c r="E61" s="18"/>
      <c r="F61" s="18"/>
      <c r="G61" s="18"/>
      <c r="H61" s="158"/>
    </row>
    <row r="62" spans="1:14" ht="15.75">
      <c r="A62" s="28" t="s">
        <v>38</v>
      </c>
      <c r="B62" s="28"/>
      <c r="C62" s="28"/>
      <c r="D62" s="28"/>
      <c r="E62" s="28"/>
      <c r="F62" s="28"/>
      <c r="G62" s="28"/>
      <c r="H62" s="163">
        <v>750</v>
      </c>
    </row>
    <row r="63" spans="1:14" ht="15.75">
      <c r="A63" s="18"/>
      <c r="B63" s="18"/>
      <c r="C63" s="18"/>
      <c r="D63" s="18"/>
      <c r="E63" s="18"/>
      <c r="F63" s="18"/>
      <c r="G63" s="18"/>
      <c r="H63" s="158"/>
    </row>
    <row r="64" spans="1:14" ht="16.5" thickBot="1">
      <c r="A64" s="33" t="s">
        <v>21</v>
      </c>
      <c r="B64" s="33"/>
      <c r="C64" s="33"/>
      <c r="D64" s="33"/>
      <c r="E64" s="33"/>
      <c r="F64" s="33"/>
      <c r="G64" s="33"/>
      <c r="H64" s="159">
        <f>SUM(H53,H60,H62)</f>
        <v>68985</v>
      </c>
    </row>
    <row r="65" spans="1:14" ht="16.5" thickTop="1">
      <c r="A65" s="18"/>
      <c r="B65" s="18"/>
      <c r="C65" s="19"/>
      <c r="D65" s="19"/>
      <c r="E65" s="19"/>
      <c r="F65" s="19"/>
      <c r="G65" s="19"/>
      <c r="H65" s="160"/>
    </row>
    <row r="66" spans="1:14" ht="15.75">
      <c r="A66" s="18" t="s">
        <v>55</v>
      </c>
      <c r="B66" s="18"/>
      <c r="C66" s="19"/>
      <c r="D66" s="19"/>
      <c r="E66" s="19"/>
      <c r="F66" s="19"/>
      <c r="G66" s="19"/>
      <c r="H66" s="164">
        <f>N53</f>
        <v>1559.2</v>
      </c>
    </row>
    <row r="67" spans="1:14" ht="15.75">
      <c r="A67" s="18"/>
      <c r="B67" s="18"/>
      <c r="C67" s="18"/>
      <c r="D67" s="18"/>
      <c r="E67" s="18"/>
      <c r="F67" s="18"/>
      <c r="G67" s="18"/>
      <c r="H67" s="161"/>
    </row>
    <row r="68" spans="1:14" ht="16.5" thickBot="1">
      <c r="A68" s="34" t="s">
        <v>45</v>
      </c>
      <c r="B68" s="34"/>
      <c r="C68" s="35"/>
      <c r="D68" s="35"/>
      <c r="E68" s="35"/>
      <c r="F68" s="35"/>
      <c r="G68" s="35"/>
      <c r="H68" s="162">
        <f>H64/H66</f>
        <v>44.243842996408411</v>
      </c>
      <c r="I68" s="8"/>
      <c r="J68" s="8"/>
      <c r="K68" s="8"/>
      <c r="L68" s="8"/>
      <c r="M68" s="8"/>
      <c r="N68" s="8"/>
    </row>
    <row r="69" spans="1:14" ht="15.75">
      <c r="A69" s="18"/>
      <c r="B69" s="18"/>
      <c r="C69" s="19"/>
      <c r="D69" s="19"/>
      <c r="E69" s="19"/>
      <c r="F69" s="19"/>
      <c r="G69" s="19"/>
      <c r="H69" s="156"/>
      <c r="I69" s="8"/>
      <c r="J69" s="8"/>
      <c r="K69" s="8"/>
      <c r="L69" s="8"/>
      <c r="M69" s="8"/>
      <c r="N69" s="8"/>
    </row>
    <row r="70" spans="1:14" ht="16.5" thickBot="1">
      <c r="A70" s="34" t="s">
        <v>48</v>
      </c>
      <c r="B70" s="34"/>
      <c r="C70" s="34"/>
      <c r="D70" s="34"/>
      <c r="E70" s="34"/>
      <c r="F70" s="34"/>
      <c r="G70" s="34"/>
      <c r="H70" s="162">
        <f>H68*1.45</f>
        <v>64.153572344792195</v>
      </c>
      <c r="I70" s="8"/>
      <c r="J70" s="8"/>
      <c r="K70" s="8"/>
      <c r="L70" s="8"/>
      <c r="M70" s="8"/>
      <c r="N70" s="8"/>
    </row>
  </sheetData>
  <pageMargins left="0.75" right="0.75" top="0.5" bottom="0.25" header="0.5" footer="0.5"/>
  <pageSetup scale="70" orientation="landscape" r:id="rId1"/>
  <headerFooter alignWithMargins="0"/>
</worksheet>
</file>

<file path=xl/worksheets/sheet3.xml><?xml version="1.0" encoding="utf-8"?>
<worksheet xmlns="http://schemas.openxmlformats.org/spreadsheetml/2006/main" xmlns:r="http://schemas.openxmlformats.org/officeDocument/2006/relationships">
  <dimension ref="A1:AN136"/>
  <sheetViews>
    <sheetView zoomScale="110" workbookViewId="0">
      <pane xSplit="2" ySplit="8" topLeftCell="C9" activePane="bottomRight" state="frozen"/>
      <selection pane="topRight" activeCell="C1" sqref="C1"/>
      <selection pane="bottomLeft" activeCell="A8" sqref="A8"/>
      <selection pane="bottomRight" activeCell="A17" sqref="A17"/>
    </sheetView>
  </sheetViews>
  <sheetFormatPr defaultRowHeight="12.75"/>
  <cols>
    <col min="1" max="1" width="2.85546875" style="91" customWidth="1"/>
    <col min="2" max="2" width="31.85546875" style="91" customWidth="1"/>
    <col min="3" max="3" width="11.42578125" style="93" customWidth="1"/>
    <col min="4" max="4" width="9.7109375" style="102" bestFit="1" customWidth="1"/>
    <col min="5" max="5" width="10" style="96" customWidth="1"/>
    <col min="6" max="7" width="7.85546875" style="96" customWidth="1"/>
    <col min="8" max="8" width="10.85546875" style="96" bestFit="1" customWidth="1"/>
    <col min="9" max="9" width="12.42578125" style="96" bestFit="1" customWidth="1"/>
    <col min="10" max="10" width="6.5703125" style="96" bestFit="1" customWidth="1"/>
    <col min="11" max="12" width="8.85546875" style="96" customWidth="1"/>
    <col min="13" max="15" width="7.7109375" style="96" bestFit="1" customWidth="1"/>
    <col min="16" max="26" width="7.7109375" style="96" customWidth="1"/>
    <col min="27" max="27" width="7.7109375" style="96" bestFit="1" customWidth="1"/>
    <col min="28" max="31" width="7.7109375" style="96" customWidth="1"/>
    <col min="32" max="32" width="7.7109375" style="96" bestFit="1" customWidth="1"/>
    <col min="33" max="33" width="9.28515625" style="96" bestFit="1" customWidth="1"/>
    <col min="34" max="34" width="10" style="96" hidden="1" customWidth="1"/>
    <col min="35" max="35" width="3.28515625" style="96" customWidth="1"/>
    <col min="36" max="36" width="20.7109375" style="96" customWidth="1"/>
    <col min="37" max="37" width="20.7109375" style="96" hidden="1" customWidth="1"/>
    <col min="38" max="39" width="0" style="91" hidden="1" customWidth="1"/>
    <col min="40" max="40" width="6.42578125" style="91" hidden="1" customWidth="1"/>
    <col min="41" max="16384" width="9.140625" style="91"/>
  </cols>
  <sheetData>
    <row r="1" spans="1:38" ht="18.75">
      <c r="B1" s="92" t="s">
        <v>65</v>
      </c>
      <c r="E1" s="94"/>
      <c r="F1" s="95"/>
      <c r="G1" s="95"/>
    </row>
    <row r="2" spans="1:38" ht="18.75">
      <c r="B2" s="97" t="s">
        <v>66</v>
      </c>
      <c r="E2" s="94"/>
      <c r="F2" s="95"/>
      <c r="G2" s="95"/>
    </row>
    <row r="3" spans="1:38" ht="18.75">
      <c r="B3" s="97" t="s">
        <v>67</v>
      </c>
      <c r="E3" s="94"/>
    </row>
    <row r="4" spans="1:38" ht="15.75">
      <c r="B4" s="173" t="s">
        <v>204</v>
      </c>
      <c r="C4" s="174"/>
      <c r="E4" s="94"/>
    </row>
    <row r="5" spans="1:38" ht="18">
      <c r="B5" s="98"/>
      <c r="E5" s="94"/>
    </row>
    <row r="6" spans="1:38" ht="18">
      <c r="B6" s="98"/>
      <c r="E6" s="94"/>
      <c r="G6" s="99"/>
    </row>
    <row r="7" spans="1:38">
      <c r="G7" s="99" t="s">
        <v>84</v>
      </c>
      <c r="H7" s="99" t="s">
        <v>113</v>
      </c>
      <c r="I7" s="99" t="s">
        <v>114</v>
      </c>
      <c r="J7" s="99" t="s">
        <v>115</v>
      </c>
      <c r="L7" s="96">
        <v>1</v>
      </c>
      <c r="M7" s="96">
        <v>2</v>
      </c>
      <c r="N7" s="96">
        <v>3</v>
      </c>
      <c r="O7" s="96">
        <v>4</v>
      </c>
      <c r="P7" s="96">
        <v>5</v>
      </c>
      <c r="Q7" s="96">
        <v>6</v>
      </c>
      <c r="R7" s="96">
        <v>7</v>
      </c>
      <c r="S7" s="96">
        <v>8</v>
      </c>
      <c r="T7" s="96">
        <v>9</v>
      </c>
      <c r="U7" s="96">
        <v>10</v>
      </c>
      <c r="V7" s="96">
        <v>11</v>
      </c>
      <c r="W7" s="96">
        <v>12</v>
      </c>
      <c r="X7" s="96">
        <v>13</v>
      </c>
      <c r="Y7" s="96">
        <v>14</v>
      </c>
      <c r="Z7" s="96">
        <v>15</v>
      </c>
      <c r="AA7" s="96">
        <v>16</v>
      </c>
      <c r="AB7" s="96">
        <v>17</v>
      </c>
      <c r="AC7" s="96">
        <v>18</v>
      </c>
      <c r="AD7" s="96">
        <v>19</v>
      </c>
      <c r="AE7" s="96">
        <v>20</v>
      </c>
      <c r="AF7" s="96">
        <v>21</v>
      </c>
    </row>
    <row r="8" spans="1:38" s="99" customFormat="1">
      <c r="B8" s="99" t="s">
        <v>121</v>
      </c>
      <c r="C8" s="100" t="s">
        <v>68</v>
      </c>
      <c r="D8" s="99" t="s">
        <v>120</v>
      </c>
      <c r="E8" s="99" t="s">
        <v>69</v>
      </c>
      <c r="F8" s="99" t="s">
        <v>116</v>
      </c>
      <c r="G8" s="99" t="s">
        <v>85</v>
      </c>
      <c r="H8" s="99" t="s">
        <v>117</v>
      </c>
      <c r="I8" s="99" t="s">
        <v>118</v>
      </c>
      <c r="J8" s="99" t="s">
        <v>119</v>
      </c>
      <c r="K8" s="99" t="s">
        <v>70</v>
      </c>
      <c r="L8" s="109" t="s">
        <v>71</v>
      </c>
      <c r="M8" s="101" t="s">
        <v>72</v>
      </c>
      <c r="N8" s="101" t="s">
        <v>73</v>
      </c>
      <c r="O8" s="101" t="s">
        <v>74</v>
      </c>
      <c r="P8" s="101" t="s">
        <v>91</v>
      </c>
      <c r="Q8" s="101" t="s">
        <v>92</v>
      </c>
      <c r="R8" s="101" t="s">
        <v>93</v>
      </c>
      <c r="S8" s="101" t="s">
        <v>94</v>
      </c>
      <c r="T8" s="101" t="s">
        <v>95</v>
      </c>
      <c r="U8" s="101" t="s">
        <v>96</v>
      </c>
      <c r="V8" s="101" t="s">
        <v>97</v>
      </c>
      <c r="W8" s="101" t="s">
        <v>98</v>
      </c>
      <c r="X8" s="101" t="s">
        <v>99</v>
      </c>
      <c r="Y8" s="101" t="s">
        <v>100</v>
      </c>
      <c r="Z8" s="101" t="s">
        <v>101</v>
      </c>
      <c r="AA8" s="109" t="s">
        <v>102</v>
      </c>
      <c r="AB8" s="109" t="s">
        <v>103</v>
      </c>
      <c r="AC8" s="109" t="s">
        <v>104</v>
      </c>
      <c r="AD8" s="109" t="s">
        <v>105</v>
      </c>
      <c r="AE8" s="109" t="s">
        <v>106</v>
      </c>
      <c r="AF8" s="109" t="s">
        <v>107</v>
      </c>
      <c r="AG8" s="99" t="s">
        <v>0</v>
      </c>
      <c r="AJ8" s="99" t="s">
        <v>75</v>
      </c>
      <c r="AK8" s="99" t="s">
        <v>76</v>
      </c>
      <c r="AL8" s="99" t="s">
        <v>77</v>
      </c>
    </row>
    <row r="10" spans="1:38">
      <c r="A10" s="91">
        <v>1</v>
      </c>
      <c r="B10" s="91" t="s">
        <v>86</v>
      </c>
      <c r="C10" s="108" t="s">
        <v>88</v>
      </c>
      <c r="D10" s="166">
        <v>250000</v>
      </c>
      <c r="E10" s="96" t="s">
        <v>78</v>
      </c>
      <c r="F10" s="96" t="s">
        <v>79</v>
      </c>
      <c r="G10" s="96">
        <v>1234</v>
      </c>
      <c r="H10" s="111" t="s">
        <v>110</v>
      </c>
      <c r="I10" s="168">
        <f>D10</f>
        <v>250000</v>
      </c>
      <c r="J10" s="110">
        <v>20</v>
      </c>
      <c r="K10" s="168">
        <f>I10/J10</f>
        <v>12500</v>
      </c>
      <c r="L10" s="170" t="s">
        <v>108</v>
      </c>
      <c r="M10" s="168">
        <f>K10</f>
        <v>12500</v>
      </c>
      <c r="N10" s="168">
        <f>K10</f>
        <v>12500</v>
      </c>
      <c r="O10" s="168">
        <f>K10</f>
        <v>12500</v>
      </c>
      <c r="P10" s="168">
        <f>K10</f>
        <v>12500</v>
      </c>
      <c r="Q10" s="168">
        <f>K10</f>
        <v>12500</v>
      </c>
      <c r="R10" s="168">
        <f>K10</f>
        <v>12500</v>
      </c>
      <c r="S10" s="168">
        <f>K10</f>
        <v>12500</v>
      </c>
      <c r="T10" s="168">
        <f>K10</f>
        <v>12500</v>
      </c>
      <c r="U10" s="168">
        <f>K10</f>
        <v>12500</v>
      </c>
      <c r="V10" s="168">
        <f>K10</f>
        <v>12500</v>
      </c>
      <c r="W10" s="168">
        <f>K10</f>
        <v>12500</v>
      </c>
      <c r="X10" s="168">
        <f>K10</f>
        <v>12500</v>
      </c>
      <c r="Y10" s="168">
        <f>K10</f>
        <v>12500</v>
      </c>
      <c r="Z10" s="168">
        <f>K10</f>
        <v>12500</v>
      </c>
      <c r="AA10" s="168">
        <f>K10</f>
        <v>12500</v>
      </c>
      <c r="AB10" s="168">
        <f>K10</f>
        <v>12500</v>
      </c>
      <c r="AC10" s="168">
        <f>K10</f>
        <v>12500</v>
      </c>
      <c r="AD10" s="168">
        <f>K10</f>
        <v>12500</v>
      </c>
      <c r="AE10" s="168">
        <f>K10</f>
        <v>12500</v>
      </c>
      <c r="AF10" s="168">
        <f>K10</f>
        <v>12500</v>
      </c>
      <c r="AG10" s="168">
        <f>SUM(M10:AF10)</f>
        <v>250000</v>
      </c>
      <c r="AH10" s="104">
        <f>AG10-I10</f>
        <v>0</v>
      </c>
      <c r="AI10" s="104" t="s">
        <v>80</v>
      </c>
      <c r="AJ10" s="96" t="s">
        <v>40</v>
      </c>
      <c r="AL10" s="91" t="s">
        <v>81</v>
      </c>
    </row>
    <row r="11" spans="1:38">
      <c r="A11" s="91">
        <v>2</v>
      </c>
      <c r="B11" s="91" t="s">
        <v>87</v>
      </c>
      <c r="C11" s="108" t="s">
        <v>89</v>
      </c>
      <c r="D11" s="166">
        <v>100000</v>
      </c>
      <c r="E11" s="96" t="s">
        <v>78</v>
      </c>
      <c r="F11" s="96" t="s">
        <v>90</v>
      </c>
      <c r="G11" s="96">
        <v>1234</v>
      </c>
      <c r="H11" s="111" t="s">
        <v>109</v>
      </c>
      <c r="I11" s="168">
        <f>D11</f>
        <v>100000</v>
      </c>
      <c r="J11" s="112">
        <v>15</v>
      </c>
      <c r="K11" s="168">
        <f>I11/J11</f>
        <v>6666.666666666667</v>
      </c>
      <c r="L11" s="170">
        <f>K11</f>
        <v>6666.666666666667</v>
      </c>
      <c r="M11" s="168">
        <f>K11</f>
        <v>6666.666666666667</v>
      </c>
      <c r="N11" s="168">
        <f>K11</f>
        <v>6666.666666666667</v>
      </c>
      <c r="O11" s="168">
        <f>K11</f>
        <v>6666.666666666667</v>
      </c>
      <c r="P11" s="168">
        <f>K11</f>
        <v>6666.666666666667</v>
      </c>
      <c r="Q11" s="168">
        <f>K11</f>
        <v>6666.666666666667</v>
      </c>
      <c r="R11" s="168">
        <f>K11</f>
        <v>6666.666666666667</v>
      </c>
      <c r="S11" s="168">
        <f>K11</f>
        <v>6666.666666666667</v>
      </c>
      <c r="T11" s="168">
        <f>K11</f>
        <v>6666.666666666667</v>
      </c>
      <c r="U11" s="168">
        <f>K11</f>
        <v>6666.666666666667</v>
      </c>
      <c r="V11" s="168">
        <f>K11</f>
        <v>6666.666666666667</v>
      </c>
      <c r="W11" s="168">
        <f>K11</f>
        <v>6666.666666666667</v>
      </c>
      <c r="X11" s="168">
        <f>K11</f>
        <v>6666.666666666667</v>
      </c>
      <c r="Y11" s="168">
        <f>K11</f>
        <v>6666.666666666667</v>
      </c>
      <c r="Z11" s="168">
        <f>K11</f>
        <v>6666.666666666667</v>
      </c>
      <c r="AA11" s="168">
        <f>L11</f>
        <v>6666.666666666667</v>
      </c>
      <c r="AB11" s="171" t="s">
        <v>108</v>
      </c>
      <c r="AC11" s="171" t="s">
        <v>108</v>
      </c>
      <c r="AD11" s="171" t="s">
        <v>108</v>
      </c>
      <c r="AE11" s="171" t="s">
        <v>108</v>
      </c>
      <c r="AF11" s="171" t="s">
        <v>108</v>
      </c>
      <c r="AG11" s="168">
        <f>SUM(M11:AF11)</f>
        <v>100000.00000000001</v>
      </c>
      <c r="AJ11" s="96" t="s">
        <v>40</v>
      </c>
    </row>
    <row r="12" spans="1:38">
      <c r="C12" s="115"/>
      <c r="D12" s="167"/>
      <c r="E12" s="116"/>
      <c r="F12" s="116"/>
      <c r="G12" s="116"/>
      <c r="H12" s="117"/>
      <c r="I12" s="169"/>
      <c r="J12" s="105"/>
      <c r="K12" s="169"/>
      <c r="L12" s="169"/>
      <c r="M12" s="169"/>
      <c r="N12" s="169"/>
      <c r="O12" s="169"/>
      <c r="P12" s="169"/>
      <c r="Q12" s="169"/>
      <c r="R12" s="169"/>
      <c r="S12" s="169"/>
      <c r="T12" s="169"/>
      <c r="U12" s="169"/>
      <c r="V12" s="169"/>
      <c r="W12" s="169"/>
      <c r="X12" s="169"/>
      <c r="Y12" s="169"/>
      <c r="Z12" s="169"/>
      <c r="AA12" s="169"/>
      <c r="AB12" s="169"/>
      <c r="AC12" s="169"/>
      <c r="AD12" s="169"/>
      <c r="AE12" s="169"/>
      <c r="AF12" s="169"/>
      <c r="AG12" s="169"/>
      <c r="AH12" s="106"/>
      <c r="AI12" s="106"/>
    </row>
    <row r="13" spans="1:38">
      <c r="D13" s="166"/>
      <c r="H13" s="103"/>
      <c r="I13" s="168"/>
      <c r="J13" s="104"/>
      <c r="K13" s="168"/>
      <c r="L13" s="168"/>
      <c r="M13" s="168"/>
      <c r="N13" s="168"/>
      <c r="O13" s="168"/>
      <c r="P13" s="168"/>
      <c r="Q13" s="168"/>
      <c r="R13" s="168"/>
      <c r="S13" s="168"/>
      <c r="T13" s="168"/>
      <c r="U13" s="168"/>
      <c r="V13" s="168"/>
      <c r="W13" s="168"/>
      <c r="X13" s="168"/>
      <c r="Y13" s="168"/>
      <c r="Z13" s="168"/>
      <c r="AA13" s="168"/>
      <c r="AB13" s="168"/>
      <c r="AC13" s="168"/>
      <c r="AD13" s="168"/>
      <c r="AE13" s="168"/>
      <c r="AF13" s="168"/>
      <c r="AG13" s="168"/>
      <c r="AH13" s="104"/>
      <c r="AI13" s="104"/>
    </row>
    <row r="14" spans="1:38">
      <c r="B14" s="99" t="s">
        <v>0</v>
      </c>
      <c r="D14" s="166">
        <f>SUM(D10:D12)</f>
        <v>350000</v>
      </c>
      <c r="H14" s="103"/>
      <c r="I14" s="166">
        <f>SUM(I10:I12)</f>
        <v>350000</v>
      </c>
      <c r="J14" s="104"/>
      <c r="K14" s="168">
        <f>SUM(K10:K10)</f>
        <v>12500</v>
      </c>
      <c r="L14" s="168"/>
      <c r="M14" s="168">
        <f>SUM(M10:M12)</f>
        <v>19166.666666666668</v>
      </c>
      <c r="N14" s="168">
        <f t="shared" ref="N14:AG14" si="0">SUM(N10:N12)</f>
        <v>19166.666666666668</v>
      </c>
      <c r="O14" s="168">
        <f t="shared" si="0"/>
        <v>19166.666666666668</v>
      </c>
      <c r="P14" s="168">
        <f t="shared" si="0"/>
        <v>19166.666666666668</v>
      </c>
      <c r="Q14" s="168">
        <f t="shared" si="0"/>
        <v>19166.666666666668</v>
      </c>
      <c r="R14" s="168">
        <f t="shared" si="0"/>
        <v>19166.666666666668</v>
      </c>
      <c r="S14" s="168">
        <f t="shared" si="0"/>
        <v>19166.666666666668</v>
      </c>
      <c r="T14" s="168">
        <f t="shared" si="0"/>
        <v>19166.666666666668</v>
      </c>
      <c r="U14" s="168">
        <f t="shared" si="0"/>
        <v>19166.666666666668</v>
      </c>
      <c r="V14" s="168">
        <f t="shared" si="0"/>
        <v>19166.666666666668</v>
      </c>
      <c r="W14" s="168">
        <f t="shared" si="0"/>
        <v>19166.666666666668</v>
      </c>
      <c r="X14" s="168">
        <f t="shared" si="0"/>
        <v>19166.666666666668</v>
      </c>
      <c r="Y14" s="168">
        <f t="shared" si="0"/>
        <v>19166.666666666668</v>
      </c>
      <c r="Z14" s="168">
        <f t="shared" si="0"/>
        <v>19166.666666666668</v>
      </c>
      <c r="AA14" s="168">
        <f t="shared" si="0"/>
        <v>19166.666666666668</v>
      </c>
      <c r="AB14" s="168">
        <f t="shared" si="0"/>
        <v>12500</v>
      </c>
      <c r="AC14" s="168">
        <f t="shared" si="0"/>
        <v>12500</v>
      </c>
      <c r="AD14" s="168">
        <f t="shared" si="0"/>
        <v>12500</v>
      </c>
      <c r="AE14" s="168">
        <f t="shared" si="0"/>
        <v>12500</v>
      </c>
      <c r="AF14" s="168">
        <f t="shared" si="0"/>
        <v>12500</v>
      </c>
      <c r="AG14" s="168">
        <f t="shared" si="0"/>
        <v>350000</v>
      </c>
      <c r="AH14" s="104"/>
      <c r="AI14" s="104"/>
    </row>
    <row r="15" spans="1:38">
      <c r="H15" s="103"/>
      <c r="I15" s="104"/>
      <c r="J15" s="104"/>
      <c r="K15" s="104"/>
      <c r="L15" s="168"/>
      <c r="M15" s="168"/>
      <c r="N15" s="168"/>
      <c r="O15" s="168"/>
      <c r="P15" s="168"/>
      <c r="Q15" s="168"/>
      <c r="R15" s="168"/>
      <c r="S15" s="168"/>
      <c r="T15" s="168"/>
      <c r="U15" s="168"/>
      <c r="V15" s="168"/>
      <c r="W15" s="168"/>
      <c r="X15" s="168"/>
      <c r="Y15" s="168"/>
      <c r="Z15" s="168"/>
      <c r="AA15" s="168"/>
      <c r="AB15" s="168"/>
      <c r="AC15" s="168"/>
      <c r="AD15" s="168"/>
      <c r="AE15" s="168"/>
      <c r="AF15" s="168"/>
      <c r="AG15" s="168"/>
      <c r="AH15" s="104"/>
      <c r="AI15" s="104"/>
    </row>
    <row r="16" spans="1:38">
      <c r="H16" s="103"/>
      <c r="I16" s="104"/>
      <c r="J16" s="104"/>
      <c r="K16" s="104"/>
      <c r="L16" s="104"/>
      <c r="M16" s="104"/>
      <c r="N16" s="104"/>
      <c r="O16" s="107"/>
      <c r="P16" s="107"/>
      <c r="Q16" s="107"/>
      <c r="R16" s="107"/>
      <c r="S16" s="107"/>
      <c r="T16" s="107"/>
      <c r="U16" s="107"/>
      <c r="V16" s="107"/>
      <c r="W16" s="107"/>
      <c r="X16" s="107"/>
      <c r="Y16" s="107"/>
      <c r="Z16" s="107"/>
      <c r="AA16" s="104"/>
      <c r="AB16" s="104"/>
      <c r="AC16" s="104"/>
      <c r="AD16" s="104"/>
      <c r="AE16" s="104"/>
      <c r="AF16" s="104"/>
      <c r="AG16" s="104"/>
      <c r="AH16" s="104"/>
      <c r="AI16" s="104"/>
    </row>
    <row r="17" spans="2:35">
      <c r="B17" s="175" t="s">
        <v>112</v>
      </c>
      <c r="C17" s="176"/>
      <c r="E17" s="113"/>
      <c r="F17" s="113"/>
      <c r="G17" s="113"/>
      <c r="H17" s="114"/>
      <c r="I17" s="104"/>
      <c r="J17" s="104"/>
      <c r="K17" s="104"/>
      <c r="L17" s="104"/>
      <c r="M17" s="104"/>
      <c r="N17" s="104"/>
      <c r="O17" s="107"/>
      <c r="P17" s="107"/>
      <c r="Q17" s="107"/>
      <c r="R17" s="107"/>
      <c r="S17" s="107"/>
      <c r="T17" s="107"/>
      <c r="U17" s="107"/>
      <c r="V17" s="107"/>
      <c r="W17" s="107"/>
      <c r="X17" s="107"/>
      <c r="Y17" s="107"/>
      <c r="Z17" s="107"/>
      <c r="AA17" s="104"/>
      <c r="AB17" s="104"/>
      <c r="AC17" s="104"/>
      <c r="AD17" s="104"/>
      <c r="AE17" s="104"/>
      <c r="AF17" s="104"/>
      <c r="AG17" s="104"/>
      <c r="AH17" s="104"/>
      <c r="AI17" s="104"/>
    </row>
    <row r="18" spans="2:35">
      <c r="H18" s="103"/>
      <c r="I18" s="104"/>
      <c r="J18" s="104"/>
      <c r="K18" s="104"/>
      <c r="L18" s="104"/>
      <c r="M18" s="104"/>
      <c r="N18" s="104"/>
      <c r="O18" s="107"/>
      <c r="P18" s="107"/>
      <c r="Q18" s="107"/>
      <c r="R18" s="107"/>
      <c r="S18" s="107"/>
      <c r="T18" s="107"/>
      <c r="U18" s="107"/>
      <c r="V18" s="107"/>
      <c r="W18" s="107"/>
      <c r="X18" s="107"/>
      <c r="Y18" s="107"/>
      <c r="Z18" s="107"/>
      <c r="AA18" s="104"/>
      <c r="AB18" s="104"/>
      <c r="AC18" s="104"/>
      <c r="AD18" s="104"/>
      <c r="AE18" s="104"/>
      <c r="AF18" s="104"/>
      <c r="AG18" s="104"/>
      <c r="AH18" s="104"/>
      <c r="AI18" s="104"/>
    </row>
    <row r="19" spans="2:35">
      <c r="H19" s="103"/>
      <c r="I19" s="104"/>
      <c r="J19" s="104"/>
      <c r="K19" s="104"/>
      <c r="L19" s="104"/>
      <c r="M19" s="104"/>
      <c r="N19" s="104"/>
      <c r="O19" s="107"/>
      <c r="P19" s="107"/>
      <c r="Q19" s="107"/>
      <c r="R19" s="107"/>
      <c r="S19" s="107"/>
      <c r="T19" s="107"/>
      <c r="U19" s="107"/>
      <c r="V19" s="107"/>
      <c r="W19" s="107"/>
      <c r="X19" s="107"/>
      <c r="Y19" s="107"/>
      <c r="Z19" s="107"/>
      <c r="AA19" s="104"/>
      <c r="AB19" s="104"/>
      <c r="AC19" s="104"/>
      <c r="AD19" s="104"/>
      <c r="AE19" s="104"/>
      <c r="AF19" s="104"/>
      <c r="AG19" s="104"/>
      <c r="AH19" s="104"/>
      <c r="AI19" s="104"/>
    </row>
    <row r="20" spans="2:35">
      <c r="H20" s="103"/>
      <c r="I20" s="104"/>
      <c r="J20" s="104"/>
      <c r="K20" s="104"/>
      <c r="L20" s="104"/>
      <c r="M20" s="104"/>
      <c r="N20" s="104"/>
      <c r="O20" s="107"/>
      <c r="P20" s="107"/>
      <c r="Q20" s="107"/>
      <c r="R20" s="107"/>
      <c r="S20" s="107"/>
      <c r="T20" s="107"/>
      <c r="U20" s="107"/>
      <c r="V20" s="107"/>
      <c r="W20" s="107"/>
      <c r="X20" s="107"/>
      <c r="Y20" s="107"/>
      <c r="Z20" s="107"/>
      <c r="AA20" s="104"/>
      <c r="AB20" s="104"/>
      <c r="AC20" s="104"/>
      <c r="AD20" s="104"/>
      <c r="AE20" s="104"/>
      <c r="AF20" s="104"/>
      <c r="AG20" s="104"/>
      <c r="AH20" s="104"/>
      <c r="AI20" s="104"/>
    </row>
    <row r="21" spans="2:35">
      <c r="H21" s="103"/>
      <c r="I21" s="104"/>
      <c r="J21" s="104"/>
      <c r="K21" s="104"/>
      <c r="L21" s="104"/>
      <c r="M21" s="104"/>
      <c r="N21" s="104"/>
      <c r="O21" s="107"/>
      <c r="P21" s="107"/>
      <c r="Q21" s="107"/>
      <c r="R21" s="107"/>
      <c r="S21" s="107"/>
      <c r="T21" s="107"/>
      <c r="U21" s="107"/>
      <c r="V21" s="107"/>
      <c r="W21" s="107"/>
      <c r="X21" s="107"/>
      <c r="Y21" s="107"/>
      <c r="Z21" s="107"/>
      <c r="AA21" s="104"/>
      <c r="AB21" s="104"/>
      <c r="AC21" s="104"/>
      <c r="AD21" s="104"/>
      <c r="AE21" s="104"/>
      <c r="AF21" s="104"/>
      <c r="AG21" s="104"/>
      <c r="AH21" s="104"/>
      <c r="AI21" s="104"/>
    </row>
    <row r="22" spans="2:35">
      <c r="H22" s="103"/>
      <c r="I22" s="104"/>
      <c r="J22" s="104"/>
      <c r="K22" s="104"/>
      <c r="L22" s="104"/>
      <c r="M22" s="104"/>
      <c r="N22" s="104"/>
      <c r="O22" s="107"/>
      <c r="P22" s="107"/>
      <c r="Q22" s="107"/>
      <c r="R22" s="107"/>
      <c r="S22" s="107"/>
      <c r="T22" s="107"/>
      <c r="U22" s="107"/>
      <c r="V22" s="107"/>
      <c r="W22" s="107"/>
      <c r="X22" s="107"/>
      <c r="Y22" s="107"/>
      <c r="Z22" s="107"/>
      <c r="AA22" s="104"/>
      <c r="AB22" s="104"/>
      <c r="AC22" s="104"/>
      <c r="AD22" s="104"/>
      <c r="AE22" s="104"/>
      <c r="AF22" s="104"/>
      <c r="AG22" s="104"/>
      <c r="AH22" s="104"/>
      <c r="AI22" s="104"/>
    </row>
    <row r="23" spans="2:35">
      <c r="H23" s="103"/>
      <c r="I23" s="104"/>
      <c r="J23" s="104"/>
      <c r="K23" s="104"/>
      <c r="L23" s="104"/>
      <c r="M23" s="104"/>
      <c r="N23" s="104"/>
      <c r="O23" s="107"/>
      <c r="P23" s="107"/>
      <c r="Q23" s="107"/>
      <c r="R23" s="107"/>
      <c r="S23" s="107"/>
      <c r="T23" s="107"/>
      <c r="U23" s="107"/>
      <c r="V23" s="107"/>
      <c r="W23" s="107"/>
      <c r="X23" s="107"/>
      <c r="Y23" s="107"/>
      <c r="Z23" s="107"/>
      <c r="AA23" s="104"/>
      <c r="AB23" s="104"/>
      <c r="AC23" s="104"/>
      <c r="AD23" s="104"/>
      <c r="AE23" s="104"/>
      <c r="AF23" s="104"/>
      <c r="AG23" s="104"/>
      <c r="AH23" s="104"/>
      <c r="AI23" s="104"/>
    </row>
    <row r="24" spans="2:35">
      <c r="H24" s="103"/>
      <c r="I24" s="104"/>
      <c r="J24" s="104"/>
      <c r="K24" s="104"/>
      <c r="L24" s="104"/>
      <c r="M24" s="104"/>
      <c r="N24" s="104"/>
      <c r="O24" s="104"/>
      <c r="P24" s="104"/>
      <c r="Q24" s="104"/>
      <c r="R24" s="104"/>
      <c r="S24" s="104"/>
      <c r="T24" s="104"/>
      <c r="U24" s="104"/>
      <c r="V24" s="104"/>
      <c r="W24" s="104"/>
      <c r="X24" s="104"/>
      <c r="Y24" s="104"/>
      <c r="Z24" s="104"/>
      <c r="AA24" s="104"/>
      <c r="AB24" s="104"/>
      <c r="AC24" s="104"/>
      <c r="AD24" s="104"/>
      <c r="AE24" s="104"/>
      <c r="AF24" s="104"/>
      <c r="AG24" s="104"/>
      <c r="AH24" s="104"/>
      <c r="AI24" s="104"/>
    </row>
    <row r="25" spans="2:35">
      <c r="H25" s="103"/>
      <c r="I25" s="104"/>
      <c r="J25" s="104"/>
      <c r="K25" s="104"/>
      <c r="L25" s="104"/>
      <c r="M25" s="104"/>
      <c r="N25" s="104"/>
      <c r="O25" s="104"/>
      <c r="P25" s="104"/>
      <c r="Q25" s="104"/>
      <c r="R25" s="104"/>
      <c r="S25" s="104"/>
      <c r="T25" s="104"/>
      <c r="U25" s="104"/>
      <c r="V25" s="104"/>
      <c r="W25" s="104"/>
      <c r="X25" s="104"/>
      <c r="Y25" s="104"/>
      <c r="Z25" s="104"/>
      <c r="AA25" s="104"/>
      <c r="AB25" s="104"/>
      <c r="AC25" s="104"/>
      <c r="AD25" s="104"/>
      <c r="AE25" s="104"/>
      <c r="AF25" s="104"/>
      <c r="AG25" s="104"/>
      <c r="AH25" s="104"/>
      <c r="AI25" s="104"/>
    </row>
    <row r="26" spans="2:35">
      <c r="H26" s="103"/>
      <c r="I26" s="104"/>
      <c r="J26" s="104"/>
      <c r="K26" s="104"/>
      <c r="L26" s="104"/>
      <c r="M26" s="104"/>
      <c r="N26" s="104"/>
      <c r="O26" s="104"/>
      <c r="P26" s="104"/>
      <c r="Q26" s="104"/>
      <c r="R26" s="104"/>
      <c r="S26" s="104"/>
      <c r="T26" s="104"/>
      <c r="U26" s="104"/>
      <c r="V26" s="104"/>
      <c r="W26" s="104"/>
      <c r="X26" s="104"/>
      <c r="Y26" s="104"/>
      <c r="Z26" s="104"/>
      <c r="AA26" s="104"/>
      <c r="AB26" s="104"/>
      <c r="AC26" s="104"/>
      <c r="AD26" s="104"/>
      <c r="AE26" s="104"/>
      <c r="AF26" s="104"/>
      <c r="AG26" s="104"/>
      <c r="AH26" s="104"/>
      <c r="AI26" s="104"/>
    </row>
    <row r="27" spans="2:35">
      <c r="H27" s="103"/>
      <c r="I27" s="104"/>
      <c r="J27" s="104"/>
      <c r="K27" s="104"/>
      <c r="L27" s="104"/>
      <c r="M27" s="104"/>
      <c r="N27" s="104"/>
      <c r="O27" s="104"/>
      <c r="P27" s="104"/>
      <c r="Q27" s="104"/>
      <c r="R27" s="104"/>
      <c r="S27" s="104"/>
      <c r="T27" s="104"/>
      <c r="U27" s="104"/>
      <c r="V27" s="104"/>
      <c r="W27" s="104"/>
      <c r="X27" s="104"/>
      <c r="Y27" s="104"/>
      <c r="Z27" s="104"/>
      <c r="AA27" s="104"/>
      <c r="AB27" s="104"/>
      <c r="AC27" s="104"/>
      <c r="AD27" s="104"/>
      <c r="AE27" s="104"/>
      <c r="AF27" s="104"/>
      <c r="AG27" s="104"/>
      <c r="AH27" s="104"/>
      <c r="AI27" s="104"/>
    </row>
    <row r="28" spans="2:35">
      <c r="H28" s="103"/>
      <c r="I28" s="104"/>
      <c r="J28" s="104"/>
      <c r="K28" s="104"/>
      <c r="L28" s="104"/>
      <c r="M28" s="104"/>
      <c r="N28" s="104"/>
      <c r="O28" s="104"/>
      <c r="P28" s="104"/>
      <c r="Q28" s="104"/>
      <c r="R28" s="104"/>
      <c r="S28" s="104"/>
      <c r="T28" s="104"/>
      <c r="U28" s="104"/>
      <c r="V28" s="104"/>
      <c r="W28" s="104"/>
      <c r="X28" s="104"/>
      <c r="Y28" s="104"/>
      <c r="Z28" s="104"/>
      <c r="AA28" s="104"/>
      <c r="AB28" s="104"/>
      <c r="AC28" s="104"/>
      <c r="AD28" s="104"/>
      <c r="AE28" s="104"/>
      <c r="AF28" s="104"/>
      <c r="AG28" s="104"/>
      <c r="AH28" s="104"/>
      <c r="AI28" s="104"/>
    </row>
    <row r="29" spans="2:35">
      <c r="H29" s="103"/>
      <c r="I29" s="104"/>
      <c r="J29" s="104"/>
      <c r="K29" s="104"/>
      <c r="L29" s="104"/>
      <c r="M29" s="104"/>
      <c r="N29" s="104"/>
      <c r="O29" s="104"/>
      <c r="P29" s="104"/>
      <c r="Q29" s="104"/>
      <c r="R29" s="104"/>
      <c r="S29" s="104"/>
      <c r="T29" s="104"/>
      <c r="U29" s="104"/>
      <c r="V29" s="104"/>
      <c r="W29" s="104"/>
      <c r="X29" s="104"/>
      <c r="Y29" s="104"/>
      <c r="Z29" s="104"/>
      <c r="AA29" s="104"/>
      <c r="AB29" s="104"/>
      <c r="AC29" s="104"/>
      <c r="AD29" s="104"/>
      <c r="AE29" s="104"/>
      <c r="AF29" s="104"/>
      <c r="AG29" s="104"/>
      <c r="AH29" s="104"/>
      <c r="AI29" s="104"/>
    </row>
    <row r="30" spans="2:35">
      <c r="H30" s="103"/>
      <c r="I30" s="104"/>
      <c r="J30" s="104"/>
      <c r="K30" s="104"/>
      <c r="L30" s="104"/>
      <c r="M30" s="104"/>
      <c r="N30" s="104"/>
      <c r="O30" s="104"/>
      <c r="P30" s="104"/>
      <c r="Q30" s="104"/>
      <c r="R30" s="104"/>
      <c r="S30" s="104"/>
      <c r="T30" s="104"/>
      <c r="U30" s="104"/>
      <c r="V30" s="104"/>
      <c r="W30" s="104"/>
      <c r="X30" s="104"/>
      <c r="Y30" s="104"/>
      <c r="Z30" s="104"/>
      <c r="AA30" s="104"/>
      <c r="AB30" s="104"/>
      <c r="AC30" s="104"/>
      <c r="AD30" s="104"/>
      <c r="AE30" s="104"/>
      <c r="AF30" s="104"/>
      <c r="AG30" s="104"/>
      <c r="AH30" s="104"/>
      <c r="AI30" s="104"/>
    </row>
    <row r="31" spans="2:35">
      <c r="H31" s="103"/>
      <c r="I31" s="104"/>
      <c r="J31" s="104"/>
      <c r="K31" s="104"/>
      <c r="L31" s="104"/>
      <c r="M31" s="104"/>
      <c r="N31" s="104"/>
      <c r="O31" s="104"/>
      <c r="P31" s="104"/>
      <c r="Q31" s="104"/>
      <c r="R31" s="104"/>
      <c r="S31" s="104"/>
      <c r="T31" s="104"/>
      <c r="U31" s="104"/>
      <c r="V31" s="104"/>
      <c r="W31" s="104"/>
      <c r="X31" s="104"/>
      <c r="Y31" s="104"/>
      <c r="Z31" s="104"/>
      <c r="AA31" s="104"/>
      <c r="AB31" s="104"/>
      <c r="AC31" s="104"/>
      <c r="AD31" s="104"/>
      <c r="AE31" s="104"/>
      <c r="AF31" s="104"/>
      <c r="AG31" s="104"/>
      <c r="AH31" s="104"/>
      <c r="AI31" s="104"/>
    </row>
    <row r="32" spans="2:35">
      <c r="H32" s="103"/>
      <c r="I32" s="104"/>
      <c r="J32" s="104"/>
      <c r="K32" s="104"/>
      <c r="L32" s="104"/>
      <c r="M32" s="104"/>
      <c r="N32" s="104"/>
      <c r="O32" s="104"/>
      <c r="P32" s="104"/>
      <c r="Q32" s="104"/>
      <c r="R32" s="104"/>
      <c r="S32" s="104"/>
      <c r="T32" s="104"/>
      <c r="U32" s="104"/>
      <c r="V32" s="104"/>
      <c r="W32" s="104"/>
      <c r="X32" s="104"/>
      <c r="Y32" s="104"/>
      <c r="Z32" s="104"/>
      <c r="AA32" s="104"/>
      <c r="AB32" s="104"/>
      <c r="AC32" s="104"/>
      <c r="AD32" s="104"/>
      <c r="AE32" s="104"/>
      <c r="AF32" s="104"/>
      <c r="AG32" s="104"/>
      <c r="AH32" s="104"/>
      <c r="AI32" s="104"/>
    </row>
    <row r="33" spans="8:35">
      <c r="H33" s="103"/>
      <c r="I33" s="104"/>
      <c r="J33" s="104"/>
      <c r="K33" s="104"/>
      <c r="L33" s="104"/>
      <c r="M33" s="104"/>
      <c r="N33" s="104"/>
      <c r="O33" s="104"/>
      <c r="P33" s="104"/>
      <c r="Q33" s="104"/>
      <c r="R33" s="104"/>
      <c r="S33" s="104"/>
      <c r="T33" s="104"/>
      <c r="U33" s="104"/>
      <c r="V33" s="104"/>
      <c r="W33" s="104"/>
      <c r="X33" s="104"/>
      <c r="Y33" s="104"/>
      <c r="Z33" s="104"/>
      <c r="AA33" s="104"/>
      <c r="AB33" s="104"/>
      <c r="AC33" s="104"/>
      <c r="AD33" s="104"/>
      <c r="AE33" s="104"/>
      <c r="AF33" s="104"/>
      <c r="AG33" s="104"/>
      <c r="AH33" s="104"/>
      <c r="AI33" s="104"/>
    </row>
    <row r="34" spans="8:35">
      <c r="H34" s="103"/>
      <c r="I34" s="104"/>
      <c r="J34" s="104"/>
      <c r="K34" s="104"/>
      <c r="L34" s="104"/>
      <c r="M34" s="104"/>
      <c r="N34" s="104"/>
      <c r="O34" s="104"/>
      <c r="P34" s="104"/>
      <c r="Q34" s="104"/>
      <c r="R34" s="104"/>
      <c r="S34" s="104"/>
      <c r="T34" s="104"/>
      <c r="U34" s="104"/>
      <c r="V34" s="104"/>
      <c r="W34" s="104"/>
      <c r="X34" s="104"/>
      <c r="Y34" s="104"/>
      <c r="Z34" s="104"/>
      <c r="AA34" s="104"/>
      <c r="AB34" s="104"/>
      <c r="AC34" s="104"/>
      <c r="AD34" s="104"/>
      <c r="AE34" s="104"/>
      <c r="AF34" s="104"/>
      <c r="AG34" s="104"/>
      <c r="AH34" s="104"/>
      <c r="AI34" s="104"/>
    </row>
    <row r="35" spans="8:35">
      <c r="H35" s="103"/>
      <c r="I35" s="104"/>
      <c r="J35" s="104"/>
      <c r="K35" s="104"/>
      <c r="L35" s="104"/>
      <c r="M35" s="104"/>
      <c r="N35" s="104"/>
      <c r="O35" s="104"/>
      <c r="P35" s="104"/>
      <c r="Q35" s="104"/>
      <c r="R35" s="104"/>
      <c r="S35" s="104"/>
      <c r="T35" s="104"/>
      <c r="U35" s="104"/>
      <c r="V35" s="104"/>
      <c r="W35" s="104"/>
      <c r="X35" s="104"/>
      <c r="Y35" s="104"/>
      <c r="Z35" s="104"/>
      <c r="AA35" s="104"/>
      <c r="AB35" s="104"/>
      <c r="AC35" s="104"/>
      <c r="AD35" s="104"/>
      <c r="AE35" s="104"/>
      <c r="AF35" s="104"/>
      <c r="AG35" s="104"/>
      <c r="AH35" s="104"/>
      <c r="AI35" s="104"/>
    </row>
    <row r="36" spans="8:35">
      <c r="H36" s="103"/>
      <c r="I36" s="104"/>
      <c r="J36" s="104"/>
      <c r="K36" s="104"/>
      <c r="L36" s="104"/>
      <c r="M36" s="104"/>
      <c r="N36" s="104"/>
      <c r="O36" s="104"/>
      <c r="P36" s="104"/>
      <c r="Q36" s="104"/>
      <c r="R36" s="104"/>
      <c r="S36" s="104"/>
      <c r="T36" s="104"/>
      <c r="U36" s="104"/>
      <c r="V36" s="104"/>
      <c r="W36" s="104"/>
      <c r="X36" s="104"/>
      <c r="Y36" s="104"/>
      <c r="Z36" s="104"/>
      <c r="AA36" s="104"/>
      <c r="AB36" s="104"/>
      <c r="AC36" s="104"/>
      <c r="AD36" s="104"/>
      <c r="AE36" s="104"/>
      <c r="AF36" s="104"/>
      <c r="AG36" s="104"/>
      <c r="AH36" s="104"/>
      <c r="AI36" s="104"/>
    </row>
    <row r="37" spans="8:35">
      <c r="H37" s="103"/>
      <c r="I37" s="104"/>
      <c r="J37" s="104"/>
      <c r="K37" s="104"/>
      <c r="L37" s="104"/>
      <c r="M37" s="104"/>
      <c r="N37" s="104"/>
      <c r="O37" s="104"/>
      <c r="P37" s="104"/>
      <c r="Q37" s="104"/>
      <c r="R37" s="104"/>
      <c r="S37" s="104"/>
      <c r="T37" s="104"/>
      <c r="U37" s="104"/>
      <c r="V37" s="104"/>
      <c r="W37" s="104"/>
      <c r="X37" s="104"/>
      <c r="Y37" s="104"/>
      <c r="Z37" s="104"/>
      <c r="AA37" s="104"/>
      <c r="AB37" s="104"/>
      <c r="AC37" s="104"/>
      <c r="AD37" s="104"/>
      <c r="AE37" s="104"/>
      <c r="AF37" s="104"/>
      <c r="AG37" s="104"/>
      <c r="AH37" s="104"/>
      <c r="AI37" s="104"/>
    </row>
    <row r="38" spans="8:35">
      <c r="H38" s="103"/>
      <c r="I38" s="104"/>
      <c r="J38" s="104"/>
      <c r="K38" s="104"/>
      <c r="L38" s="104"/>
      <c r="M38" s="104"/>
      <c r="N38" s="104"/>
      <c r="O38" s="104"/>
      <c r="P38" s="104"/>
      <c r="Q38" s="104"/>
      <c r="R38" s="104"/>
      <c r="S38" s="104"/>
      <c r="T38" s="104"/>
      <c r="U38" s="104"/>
      <c r="V38" s="104"/>
      <c r="W38" s="104"/>
      <c r="X38" s="104"/>
      <c r="Y38" s="104"/>
      <c r="Z38" s="104"/>
      <c r="AA38" s="104"/>
      <c r="AB38" s="104"/>
      <c r="AC38" s="104"/>
      <c r="AD38" s="104"/>
      <c r="AE38" s="104"/>
      <c r="AF38" s="104"/>
      <c r="AG38" s="104"/>
      <c r="AH38" s="104"/>
      <c r="AI38" s="104"/>
    </row>
    <row r="39" spans="8:35">
      <c r="H39" s="103"/>
      <c r="I39" s="104"/>
      <c r="J39" s="104"/>
      <c r="K39" s="104"/>
      <c r="L39" s="104"/>
      <c r="M39" s="104"/>
      <c r="N39" s="104"/>
      <c r="O39" s="104"/>
      <c r="P39" s="104"/>
      <c r="Q39" s="104"/>
      <c r="R39" s="104"/>
      <c r="S39" s="104"/>
      <c r="T39" s="104"/>
      <c r="U39" s="104"/>
      <c r="V39" s="104"/>
      <c r="W39" s="104"/>
      <c r="X39" s="104"/>
      <c r="Y39" s="104"/>
      <c r="Z39" s="104"/>
      <c r="AA39" s="104"/>
      <c r="AB39" s="104"/>
      <c r="AC39" s="104"/>
      <c r="AD39" s="104"/>
      <c r="AE39" s="104"/>
      <c r="AF39" s="104"/>
      <c r="AG39" s="104"/>
      <c r="AH39" s="104"/>
      <c r="AI39" s="104"/>
    </row>
    <row r="40" spans="8:35">
      <c r="H40" s="103"/>
      <c r="I40" s="104"/>
      <c r="J40" s="104"/>
      <c r="K40" s="104"/>
      <c r="L40" s="104"/>
      <c r="M40" s="104"/>
      <c r="N40" s="104"/>
      <c r="O40" s="104"/>
      <c r="P40" s="104"/>
      <c r="Q40" s="104"/>
      <c r="R40" s="104"/>
      <c r="S40" s="104"/>
      <c r="T40" s="104"/>
      <c r="U40" s="104"/>
      <c r="V40" s="104"/>
      <c r="W40" s="104"/>
      <c r="X40" s="104"/>
      <c r="Y40" s="104"/>
      <c r="Z40" s="104"/>
      <c r="AA40" s="104"/>
      <c r="AB40" s="104"/>
      <c r="AC40" s="104"/>
      <c r="AD40" s="104"/>
      <c r="AE40" s="104"/>
      <c r="AF40" s="104"/>
      <c r="AG40" s="104"/>
      <c r="AH40" s="104"/>
      <c r="AI40" s="104"/>
    </row>
    <row r="41" spans="8:35">
      <c r="H41" s="103"/>
      <c r="I41" s="104"/>
      <c r="J41" s="104"/>
      <c r="K41" s="104"/>
      <c r="L41" s="104"/>
      <c r="M41" s="104"/>
      <c r="N41" s="104"/>
      <c r="O41" s="104"/>
      <c r="P41" s="104"/>
      <c r="Q41" s="104"/>
      <c r="R41" s="104"/>
      <c r="S41" s="104"/>
      <c r="T41" s="104"/>
      <c r="U41" s="104"/>
      <c r="V41" s="104"/>
      <c r="W41" s="104"/>
      <c r="X41" s="104"/>
      <c r="Y41" s="104"/>
      <c r="Z41" s="104"/>
      <c r="AA41" s="104"/>
      <c r="AB41" s="104"/>
      <c r="AC41" s="104"/>
      <c r="AD41" s="104"/>
      <c r="AE41" s="104"/>
      <c r="AF41" s="104"/>
      <c r="AG41" s="104"/>
      <c r="AH41" s="104"/>
      <c r="AI41" s="104"/>
    </row>
    <row r="42" spans="8:35">
      <c r="I42" s="104"/>
      <c r="J42" s="104"/>
      <c r="K42" s="104"/>
      <c r="L42" s="104"/>
      <c r="M42" s="104"/>
      <c r="N42" s="104"/>
      <c r="O42" s="104"/>
      <c r="P42" s="104"/>
      <c r="Q42" s="104"/>
      <c r="R42" s="104"/>
      <c r="S42" s="104"/>
      <c r="T42" s="104"/>
      <c r="U42" s="104"/>
      <c r="V42" s="104"/>
      <c r="W42" s="104"/>
      <c r="X42" s="104"/>
      <c r="Y42" s="104"/>
      <c r="Z42" s="104"/>
      <c r="AA42" s="104"/>
      <c r="AB42" s="104"/>
      <c r="AC42" s="104"/>
      <c r="AD42" s="104"/>
      <c r="AE42" s="104"/>
      <c r="AF42" s="104"/>
      <c r="AG42" s="104"/>
      <c r="AH42" s="104"/>
      <c r="AI42" s="104"/>
    </row>
    <row r="43" spans="8:35">
      <c r="I43" s="104"/>
      <c r="J43" s="104"/>
      <c r="K43" s="104"/>
      <c r="L43" s="104"/>
      <c r="M43" s="104"/>
      <c r="N43" s="104"/>
      <c r="O43" s="104"/>
      <c r="P43" s="104"/>
      <c r="Q43" s="104"/>
      <c r="R43" s="104"/>
      <c r="S43" s="104"/>
      <c r="T43" s="104"/>
      <c r="U43" s="104"/>
      <c r="V43" s="104"/>
      <c r="W43" s="104"/>
      <c r="X43" s="104"/>
      <c r="Y43" s="104"/>
      <c r="Z43" s="104"/>
      <c r="AA43" s="104"/>
      <c r="AB43" s="104"/>
      <c r="AC43" s="104"/>
      <c r="AD43" s="104"/>
      <c r="AE43" s="104"/>
      <c r="AF43" s="104"/>
      <c r="AG43" s="104"/>
      <c r="AH43" s="104"/>
      <c r="AI43" s="104"/>
    </row>
    <row r="44" spans="8:35">
      <c r="I44" s="104"/>
      <c r="J44" s="104"/>
      <c r="K44" s="104"/>
      <c r="L44" s="104"/>
      <c r="M44" s="104"/>
      <c r="N44" s="104"/>
      <c r="O44" s="104"/>
      <c r="P44" s="104"/>
      <c r="Q44" s="104"/>
      <c r="R44" s="104"/>
      <c r="S44" s="104"/>
      <c r="T44" s="104"/>
      <c r="U44" s="104"/>
      <c r="V44" s="104"/>
      <c r="W44" s="104"/>
      <c r="X44" s="104"/>
      <c r="Y44" s="104"/>
      <c r="Z44" s="104"/>
      <c r="AA44" s="104"/>
      <c r="AB44" s="104"/>
      <c r="AC44" s="104"/>
      <c r="AD44" s="104"/>
      <c r="AE44" s="104"/>
      <c r="AF44" s="104"/>
      <c r="AG44" s="104"/>
      <c r="AH44" s="104"/>
      <c r="AI44" s="104"/>
    </row>
    <row r="45" spans="8:35">
      <c r="I45" s="104"/>
      <c r="J45" s="104"/>
      <c r="K45" s="104"/>
      <c r="L45" s="104"/>
      <c r="M45" s="104"/>
      <c r="N45" s="104"/>
      <c r="O45" s="104"/>
      <c r="P45" s="104"/>
      <c r="Q45" s="104"/>
      <c r="R45" s="104"/>
      <c r="S45" s="104"/>
      <c r="T45" s="104"/>
      <c r="U45" s="104"/>
      <c r="V45" s="104"/>
      <c r="W45" s="104"/>
      <c r="X45" s="104"/>
      <c r="Y45" s="104"/>
      <c r="Z45" s="104"/>
      <c r="AA45" s="104"/>
      <c r="AB45" s="104"/>
      <c r="AC45" s="104"/>
      <c r="AD45" s="104"/>
      <c r="AE45" s="104"/>
      <c r="AF45" s="104"/>
      <c r="AG45" s="104"/>
      <c r="AH45" s="104"/>
      <c r="AI45" s="104"/>
    </row>
    <row r="46" spans="8:35">
      <c r="I46" s="104"/>
      <c r="J46" s="104"/>
      <c r="K46" s="104"/>
      <c r="L46" s="104"/>
      <c r="M46" s="104"/>
      <c r="N46" s="104"/>
      <c r="O46" s="104"/>
      <c r="P46" s="104"/>
      <c r="Q46" s="104"/>
      <c r="R46" s="104"/>
      <c r="S46" s="104"/>
      <c r="T46" s="104"/>
      <c r="U46" s="104"/>
      <c r="V46" s="104"/>
      <c r="W46" s="104"/>
      <c r="X46" s="104"/>
      <c r="Y46" s="104"/>
      <c r="Z46" s="104"/>
      <c r="AA46" s="104"/>
      <c r="AB46" s="104"/>
      <c r="AC46" s="104"/>
      <c r="AD46" s="104"/>
      <c r="AE46" s="104"/>
      <c r="AF46" s="104"/>
      <c r="AG46" s="104"/>
      <c r="AH46" s="104"/>
      <c r="AI46" s="104"/>
    </row>
    <row r="47" spans="8:35">
      <c r="I47" s="104"/>
      <c r="J47" s="104"/>
      <c r="K47" s="104"/>
      <c r="L47" s="104"/>
      <c r="M47" s="104"/>
      <c r="N47" s="104"/>
      <c r="O47" s="104"/>
      <c r="P47" s="104"/>
      <c r="Q47" s="104"/>
      <c r="R47" s="104"/>
      <c r="S47" s="104"/>
      <c r="T47" s="104"/>
      <c r="U47" s="104"/>
      <c r="V47" s="104"/>
      <c r="W47" s="104"/>
      <c r="X47" s="104"/>
      <c r="Y47" s="104"/>
      <c r="Z47" s="104"/>
      <c r="AA47" s="104"/>
      <c r="AB47" s="104"/>
      <c r="AC47" s="104"/>
      <c r="AD47" s="104"/>
      <c r="AE47" s="104"/>
      <c r="AF47" s="104"/>
      <c r="AG47" s="104"/>
      <c r="AH47" s="104"/>
      <c r="AI47" s="104"/>
    </row>
    <row r="48" spans="8:35">
      <c r="I48" s="104"/>
      <c r="J48" s="104"/>
      <c r="K48" s="104"/>
      <c r="L48" s="104"/>
      <c r="M48" s="104"/>
      <c r="N48" s="104"/>
      <c r="O48" s="104"/>
      <c r="P48" s="104"/>
      <c r="Q48" s="104"/>
      <c r="R48" s="104"/>
      <c r="S48" s="104"/>
      <c r="T48" s="104"/>
      <c r="U48" s="104"/>
      <c r="V48" s="104"/>
      <c r="W48" s="104"/>
      <c r="X48" s="104"/>
      <c r="Y48" s="104"/>
      <c r="Z48" s="104"/>
      <c r="AA48" s="104"/>
      <c r="AB48" s="104"/>
      <c r="AC48" s="104"/>
      <c r="AD48" s="104"/>
      <c r="AE48" s="104"/>
      <c r="AF48" s="104"/>
      <c r="AG48" s="104"/>
      <c r="AH48" s="104"/>
      <c r="AI48" s="104"/>
    </row>
    <row r="49" spans="9:35">
      <c r="I49" s="104"/>
      <c r="J49" s="104"/>
      <c r="K49" s="104"/>
      <c r="L49" s="104"/>
      <c r="M49" s="104"/>
      <c r="N49" s="104"/>
      <c r="O49" s="104"/>
      <c r="P49" s="104"/>
      <c r="Q49" s="104"/>
      <c r="R49" s="104"/>
      <c r="S49" s="104"/>
      <c r="T49" s="104"/>
      <c r="U49" s="104"/>
      <c r="V49" s="104"/>
      <c r="W49" s="104"/>
      <c r="X49" s="104"/>
      <c r="Y49" s="104"/>
      <c r="Z49" s="104"/>
      <c r="AA49" s="104"/>
      <c r="AB49" s="104"/>
      <c r="AC49" s="104"/>
      <c r="AD49" s="104"/>
      <c r="AE49" s="104"/>
      <c r="AF49" s="104"/>
      <c r="AG49" s="104"/>
      <c r="AH49" s="104"/>
      <c r="AI49" s="104"/>
    </row>
    <row r="50" spans="9:35">
      <c r="I50" s="104"/>
      <c r="J50" s="104"/>
      <c r="K50" s="104"/>
      <c r="L50" s="104"/>
      <c r="M50" s="104"/>
      <c r="N50" s="104"/>
      <c r="O50" s="104"/>
      <c r="P50" s="104"/>
      <c r="Q50" s="104"/>
      <c r="R50" s="104"/>
      <c r="S50" s="104"/>
      <c r="T50" s="104"/>
      <c r="U50" s="104"/>
      <c r="V50" s="104"/>
      <c r="W50" s="104"/>
      <c r="X50" s="104"/>
      <c r="Y50" s="104"/>
      <c r="Z50" s="104"/>
      <c r="AA50" s="104"/>
      <c r="AB50" s="104"/>
      <c r="AC50" s="104"/>
      <c r="AD50" s="104"/>
      <c r="AE50" s="104"/>
      <c r="AF50" s="104"/>
      <c r="AG50" s="104"/>
      <c r="AH50" s="104"/>
      <c r="AI50" s="104"/>
    </row>
    <row r="51" spans="9:35">
      <c r="I51" s="104"/>
      <c r="J51" s="104"/>
      <c r="K51" s="104"/>
      <c r="L51" s="104"/>
      <c r="M51" s="104"/>
      <c r="N51" s="104"/>
      <c r="O51" s="104"/>
      <c r="P51" s="104"/>
      <c r="Q51" s="104"/>
      <c r="R51" s="104"/>
      <c r="S51" s="104"/>
      <c r="T51" s="104"/>
      <c r="U51" s="104"/>
      <c r="V51" s="104"/>
      <c r="W51" s="104"/>
      <c r="X51" s="104"/>
      <c r="Y51" s="104"/>
      <c r="Z51" s="104"/>
      <c r="AA51" s="104"/>
      <c r="AB51" s="104"/>
      <c r="AC51" s="104"/>
      <c r="AD51" s="104"/>
      <c r="AE51" s="104"/>
      <c r="AF51" s="104"/>
      <c r="AG51" s="104"/>
      <c r="AH51" s="104"/>
      <c r="AI51" s="104"/>
    </row>
    <row r="52" spans="9:35">
      <c r="I52" s="104"/>
      <c r="J52" s="104"/>
      <c r="K52" s="104"/>
      <c r="L52" s="104"/>
      <c r="M52" s="104"/>
      <c r="N52" s="104"/>
      <c r="O52" s="104"/>
      <c r="P52" s="104"/>
      <c r="Q52" s="104"/>
      <c r="R52" s="104"/>
      <c r="S52" s="104"/>
      <c r="T52" s="104"/>
      <c r="U52" s="104"/>
      <c r="V52" s="104"/>
      <c r="W52" s="104"/>
      <c r="X52" s="104"/>
      <c r="Y52" s="104"/>
      <c r="Z52" s="104"/>
      <c r="AA52" s="104"/>
      <c r="AB52" s="104"/>
      <c r="AC52" s="104"/>
      <c r="AD52" s="104"/>
      <c r="AE52" s="104"/>
      <c r="AF52" s="104"/>
      <c r="AG52" s="104"/>
      <c r="AH52" s="104"/>
      <c r="AI52" s="104"/>
    </row>
    <row r="53" spans="9:35">
      <c r="I53" s="104"/>
      <c r="J53" s="104"/>
      <c r="K53" s="104"/>
      <c r="L53" s="104"/>
      <c r="M53" s="104"/>
      <c r="N53" s="104"/>
      <c r="O53" s="104"/>
      <c r="P53" s="104"/>
      <c r="Q53" s="104"/>
      <c r="R53" s="104"/>
      <c r="S53" s="104"/>
      <c r="T53" s="104"/>
      <c r="U53" s="104"/>
      <c r="V53" s="104"/>
      <c r="W53" s="104"/>
      <c r="X53" s="104"/>
      <c r="Y53" s="104"/>
      <c r="Z53" s="104"/>
      <c r="AA53" s="104"/>
      <c r="AB53" s="104"/>
      <c r="AC53" s="104"/>
      <c r="AD53" s="104"/>
      <c r="AE53" s="104"/>
      <c r="AF53" s="104"/>
      <c r="AG53" s="104"/>
      <c r="AH53" s="104"/>
      <c r="AI53" s="104"/>
    </row>
    <row r="54" spans="9:35">
      <c r="I54" s="104"/>
      <c r="J54" s="104"/>
      <c r="K54" s="104"/>
      <c r="L54" s="104"/>
      <c r="M54" s="104"/>
      <c r="N54" s="104"/>
      <c r="O54" s="104"/>
      <c r="P54" s="104"/>
      <c r="Q54" s="104"/>
      <c r="R54" s="104"/>
      <c r="S54" s="104"/>
      <c r="T54" s="104"/>
      <c r="U54" s="104"/>
      <c r="V54" s="104"/>
      <c r="W54" s="104"/>
      <c r="X54" s="104"/>
      <c r="Y54" s="104"/>
      <c r="Z54" s="104"/>
      <c r="AA54" s="104"/>
      <c r="AB54" s="104"/>
      <c r="AC54" s="104"/>
      <c r="AD54" s="104"/>
      <c r="AE54" s="104"/>
      <c r="AF54" s="104"/>
      <c r="AG54" s="104"/>
      <c r="AH54" s="104"/>
      <c r="AI54" s="104"/>
    </row>
    <row r="55" spans="9:35">
      <c r="I55" s="104"/>
      <c r="J55" s="104"/>
      <c r="K55" s="104"/>
      <c r="L55" s="104"/>
      <c r="M55" s="104"/>
      <c r="N55" s="104"/>
      <c r="O55" s="104"/>
      <c r="P55" s="104"/>
      <c r="Q55" s="104"/>
      <c r="R55" s="104"/>
      <c r="S55" s="104"/>
      <c r="T55" s="104"/>
      <c r="U55" s="104"/>
      <c r="V55" s="104"/>
      <c r="W55" s="104"/>
      <c r="X55" s="104"/>
      <c r="Y55" s="104"/>
      <c r="Z55" s="104"/>
      <c r="AA55" s="104"/>
      <c r="AB55" s="104"/>
      <c r="AC55" s="104"/>
      <c r="AD55" s="104"/>
      <c r="AE55" s="104"/>
      <c r="AF55" s="104"/>
      <c r="AG55" s="104"/>
      <c r="AH55" s="104"/>
      <c r="AI55" s="104"/>
    </row>
    <row r="56" spans="9:35">
      <c r="I56" s="104"/>
      <c r="J56" s="104"/>
      <c r="K56" s="104"/>
      <c r="L56" s="104"/>
      <c r="M56" s="104"/>
      <c r="N56" s="104"/>
      <c r="O56" s="104"/>
      <c r="P56" s="104"/>
      <c r="Q56" s="104"/>
      <c r="R56" s="104"/>
      <c r="S56" s="104"/>
      <c r="T56" s="104"/>
      <c r="U56" s="104"/>
      <c r="V56" s="104"/>
      <c r="W56" s="104"/>
      <c r="X56" s="104"/>
      <c r="Y56" s="104"/>
      <c r="Z56" s="104"/>
      <c r="AA56" s="104"/>
      <c r="AB56" s="104"/>
      <c r="AC56" s="104"/>
      <c r="AD56" s="104"/>
      <c r="AE56" s="104"/>
      <c r="AF56" s="104"/>
      <c r="AG56" s="104"/>
      <c r="AH56" s="104"/>
      <c r="AI56" s="104"/>
    </row>
    <row r="57" spans="9:35">
      <c r="I57" s="104"/>
      <c r="J57" s="104"/>
      <c r="K57" s="104"/>
      <c r="L57" s="104"/>
      <c r="M57" s="104"/>
      <c r="N57" s="104"/>
      <c r="O57" s="104"/>
      <c r="P57" s="104"/>
      <c r="Q57" s="104"/>
      <c r="R57" s="104"/>
      <c r="S57" s="104"/>
      <c r="T57" s="104"/>
      <c r="U57" s="104"/>
      <c r="V57" s="104"/>
      <c r="W57" s="104"/>
      <c r="X57" s="104"/>
      <c r="Y57" s="104"/>
      <c r="Z57" s="104"/>
      <c r="AA57" s="104"/>
      <c r="AB57" s="104"/>
      <c r="AC57" s="104"/>
      <c r="AD57" s="104"/>
      <c r="AE57" s="104"/>
      <c r="AF57" s="104"/>
      <c r="AG57" s="104"/>
      <c r="AH57" s="104"/>
      <c r="AI57" s="104"/>
    </row>
    <row r="58" spans="9:35">
      <c r="I58" s="104"/>
      <c r="J58" s="104"/>
      <c r="K58" s="104"/>
      <c r="L58" s="104"/>
      <c r="M58" s="104"/>
      <c r="N58" s="104"/>
      <c r="O58" s="104"/>
      <c r="P58" s="104"/>
      <c r="Q58" s="104"/>
      <c r="R58" s="104"/>
      <c r="S58" s="104"/>
      <c r="T58" s="104"/>
      <c r="U58" s="104"/>
      <c r="V58" s="104"/>
      <c r="W58" s="104"/>
      <c r="X58" s="104"/>
      <c r="Y58" s="104"/>
      <c r="Z58" s="104"/>
      <c r="AA58" s="104"/>
      <c r="AB58" s="104"/>
      <c r="AC58" s="104"/>
      <c r="AD58" s="104"/>
      <c r="AE58" s="104"/>
      <c r="AF58" s="104"/>
      <c r="AG58" s="104"/>
      <c r="AH58" s="104"/>
      <c r="AI58" s="104"/>
    </row>
    <row r="59" spans="9:35">
      <c r="I59" s="104"/>
      <c r="J59" s="104"/>
      <c r="K59" s="104"/>
      <c r="L59" s="104"/>
      <c r="M59" s="104"/>
      <c r="N59" s="104"/>
      <c r="O59" s="104"/>
      <c r="P59" s="104"/>
      <c r="Q59" s="104"/>
      <c r="R59" s="104"/>
      <c r="S59" s="104"/>
      <c r="T59" s="104"/>
      <c r="U59" s="104"/>
      <c r="V59" s="104"/>
      <c r="W59" s="104"/>
      <c r="X59" s="104"/>
      <c r="Y59" s="104"/>
      <c r="Z59" s="104"/>
      <c r="AA59" s="104"/>
      <c r="AB59" s="104"/>
      <c r="AC59" s="104"/>
      <c r="AD59" s="104"/>
      <c r="AE59" s="104"/>
      <c r="AF59" s="104"/>
      <c r="AG59" s="104"/>
      <c r="AH59" s="104"/>
      <c r="AI59" s="104"/>
    </row>
    <row r="60" spans="9:35">
      <c r="I60" s="104"/>
      <c r="J60" s="104"/>
      <c r="K60" s="104"/>
      <c r="L60" s="104"/>
      <c r="M60" s="104"/>
      <c r="N60" s="104"/>
      <c r="O60" s="104"/>
      <c r="P60" s="104"/>
      <c r="Q60" s="104"/>
      <c r="R60" s="104"/>
      <c r="S60" s="104"/>
      <c r="T60" s="104"/>
      <c r="U60" s="104"/>
      <c r="V60" s="104"/>
      <c r="W60" s="104"/>
      <c r="X60" s="104"/>
      <c r="Y60" s="104"/>
      <c r="Z60" s="104"/>
      <c r="AA60" s="104"/>
      <c r="AB60" s="104"/>
      <c r="AC60" s="104"/>
      <c r="AD60" s="104"/>
      <c r="AE60" s="104"/>
      <c r="AF60" s="104"/>
      <c r="AG60" s="104"/>
      <c r="AH60" s="104"/>
      <c r="AI60" s="104"/>
    </row>
    <row r="61" spans="9:35">
      <c r="I61" s="104"/>
      <c r="J61" s="104"/>
      <c r="K61" s="104"/>
      <c r="L61" s="104"/>
      <c r="M61" s="104"/>
      <c r="N61" s="104"/>
      <c r="O61" s="104"/>
      <c r="P61" s="104"/>
      <c r="Q61" s="104"/>
      <c r="R61" s="104"/>
      <c r="S61" s="104"/>
      <c r="T61" s="104"/>
      <c r="U61" s="104"/>
      <c r="V61" s="104"/>
      <c r="W61" s="104"/>
      <c r="X61" s="104"/>
      <c r="Y61" s="104"/>
      <c r="Z61" s="104"/>
      <c r="AA61" s="104"/>
      <c r="AB61" s="104"/>
      <c r="AC61" s="104"/>
      <c r="AD61" s="104"/>
      <c r="AE61" s="104"/>
      <c r="AF61" s="104"/>
      <c r="AG61" s="104"/>
      <c r="AH61" s="104"/>
      <c r="AI61" s="104"/>
    </row>
    <row r="62" spans="9:35">
      <c r="I62" s="104"/>
      <c r="J62" s="104"/>
      <c r="K62" s="104"/>
      <c r="L62" s="104"/>
      <c r="M62" s="104"/>
      <c r="N62" s="104"/>
      <c r="O62" s="104"/>
      <c r="P62" s="104"/>
      <c r="Q62" s="104"/>
      <c r="R62" s="104"/>
      <c r="S62" s="104"/>
      <c r="T62" s="104"/>
      <c r="U62" s="104"/>
      <c r="V62" s="104"/>
      <c r="W62" s="104"/>
      <c r="X62" s="104"/>
      <c r="Y62" s="104"/>
      <c r="Z62" s="104"/>
      <c r="AA62" s="104"/>
      <c r="AB62" s="104"/>
      <c r="AC62" s="104"/>
      <c r="AD62" s="104"/>
      <c r="AE62" s="104"/>
      <c r="AF62" s="104"/>
      <c r="AG62" s="104"/>
      <c r="AH62" s="104"/>
      <c r="AI62" s="104"/>
    </row>
    <row r="63" spans="9:35">
      <c r="I63" s="104"/>
      <c r="J63" s="104"/>
      <c r="K63" s="104"/>
      <c r="L63" s="104"/>
      <c r="M63" s="104"/>
      <c r="N63" s="104"/>
      <c r="O63" s="104"/>
      <c r="P63" s="104"/>
      <c r="Q63" s="104"/>
      <c r="R63" s="104"/>
      <c r="S63" s="104"/>
      <c r="T63" s="104"/>
      <c r="U63" s="104"/>
      <c r="V63" s="104"/>
      <c r="W63" s="104"/>
      <c r="X63" s="104"/>
      <c r="Y63" s="104"/>
      <c r="Z63" s="104"/>
      <c r="AA63" s="104"/>
      <c r="AB63" s="104"/>
      <c r="AC63" s="104"/>
      <c r="AD63" s="104"/>
      <c r="AE63" s="104"/>
      <c r="AF63" s="104"/>
      <c r="AG63" s="104"/>
      <c r="AH63" s="104"/>
      <c r="AI63" s="104"/>
    </row>
    <row r="64" spans="9:35">
      <c r="I64" s="104"/>
      <c r="J64" s="104"/>
      <c r="K64" s="104"/>
      <c r="L64" s="104"/>
      <c r="M64" s="104"/>
      <c r="N64" s="104"/>
      <c r="O64" s="104"/>
      <c r="P64" s="104"/>
      <c r="Q64" s="104"/>
      <c r="R64" s="104"/>
      <c r="S64" s="104"/>
      <c r="T64" s="104"/>
      <c r="U64" s="104"/>
      <c r="V64" s="104"/>
      <c r="W64" s="104"/>
      <c r="X64" s="104"/>
      <c r="Y64" s="104"/>
      <c r="Z64" s="104"/>
      <c r="AA64" s="104"/>
      <c r="AB64" s="104"/>
      <c r="AC64" s="104"/>
      <c r="AD64" s="104"/>
      <c r="AE64" s="104"/>
      <c r="AF64" s="104"/>
      <c r="AG64" s="104"/>
      <c r="AH64" s="104"/>
      <c r="AI64" s="104"/>
    </row>
    <row r="65" spans="9:35">
      <c r="I65" s="104"/>
      <c r="J65" s="104"/>
      <c r="K65" s="104"/>
      <c r="L65" s="104"/>
      <c r="M65" s="104"/>
      <c r="N65" s="104"/>
      <c r="O65" s="104"/>
      <c r="P65" s="104"/>
      <c r="Q65" s="104"/>
      <c r="R65" s="104"/>
      <c r="S65" s="104"/>
      <c r="T65" s="104"/>
      <c r="U65" s="104"/>
      <c r="V65" s="104"/>
      <c r="W65" s="104"/>
      <c r="X65" s="104"/>
      <c r="Y65" s="104"/>
      <c r="Z65" s="104"/>
      <c r="AA65" s="104"/>
      <c r="AB65" s="104"/>
      <c r="AC65" s="104"/>
      <c r="AD65" s="104"/>
      <c r="AE65" s="104"/>
      <c r="AF65" s="104"/>
      <c r="AG65" s="104"/>
      <c r="AH65" s="104"/>
      <c r="AI65" s="104"/>
    </row>
    <row r="66" spans="9:35">
      <c r="I66" s="104"/>
      <c r="J66" s="104"/>
      <c r="K66" s="104"/>
      <c r="L66" s="104"/>
      <c r="M66" s="104"/>
      <c r="N66" s="104"/>
      <c r="O66" s="104"/>
      <c r="P66" s="104"/>
      <c r="Q66" s="104"/>
      <c r="R66" s="104"/>
      <c r="S66" s="104"/>
      <c r="T66" s="104"/>
      <c r="U66" s="104"/>
      <c r="V66" s="104"/>
      <c r="W66" s="104"/>
      <c r="X66" s="104"/>
      <c r="Y66" s="104"/>
      <c r="Z66" s="104"/>
      <c r="AA66" s="104"/>
      <c r="AB66" s="104"/>
      <c r="AC66" s="104"/>
      <c r="AD66" s="104"/>
      <c r="AE66" s="104"/>
      <c r="AF66" s="104"/>
      <c r="AG66" s="104"/>
      <c r="AH66" s="104"/>
      <c r="AI66" s="104"/>
    </row>
    <row r="67" spans="9:35">
      <c r="I67" s="104"/>
      <c r="J67" s="104"/>
      <c r="K67" s="104"/>
      <c r="L67" s="104"/>
      <c r="M67" s="104"/>
      <c r="N67" s="104"/>
      <c r="O67" s="104"/>
      <c r="P67" s="104"/>
      <c r="Q67" s="104"/>
      <c r="R67" s="104"/>
      <c r="S67" s="104"/>
      <c r="T67" s="104"/>
      <c r="U67" s="104"/>
      <c r="V67" s="104"/>
      <c r="W67" s="104"/>
      <c r="X67" s="104"/>
      <c r="Y67" s="104"/>
      <c r="Z67" s="104"/>
      <c r="AA67" s="104"/>
      <c r="AB67" s="104"/>
      <c r="AC67" s="104"/>
      <c r="AD67" s="104"/>
      <c r="AE67" s="104"/>
      <c r="AF67" s="104"/>
      <c r="AG67" s="104"/>
      <c r="AH67" s="104"/>
      <c r="AI67" s="104"/>
    </row>
    <row r="68" spans="9:35">
      <c r="I68" s="104"/>
      <c r="J68" s="104"/>
      <c r="K68" s="104"/>
      <c r="L68" s="104"/>
      <c r="M68" s="104"/>
      <c r="N68" s="104"/>
      <c r="O68" s="104"/>
      <c r="P68" s="104"/>
      <c r="Q68" s="104"/>
      <c r="R68" s="104"/>
      <c r="S68" s="104"/>
      <c r="T68" s="104"/>
      <c r="U68" s="104"/>
      <c r="V68" s="104"/>
      <c r="W68" s="104"/>
      <c r="X68" s="104"/>
      <c r="Y68" s="104"/>
      <c r="Z68" s="104"/>
      <c r="AA68" s="104"/>
      <c r="AB68" s="104"/>
      <c r="AC68" s="104"/>
      <c r="AD68" s="104"/>
      <c r="AE68" s="104"/>
      <c r="AF68" s="104"/>
      <c r="AG68" s="104"/>
      <c r="AH68" s="104"/>
      <c r="AI68" s="104"/>
    </row>
    <row r="69" spans="9:35">
      <c r="I69" s="104"/>
      <c r="J69" s="104"/>
      <c r="K69" s="104"/>
      <c r="L69" s="104"/>
      <c r="M69" s="104"/>
      <c r="N69" s="104"/>
      <c r="O69" s="104"/>
      <c r="P69" s="104"/>
      <c r="Q69" s="104"/>
      <c r="R69" s="104"/>
      <c r="S69" s="104"/>
      <c r="T69" s="104"/>
      <c r="U69" s="104"/>
      <c r="V69" s="104"/>
      <c r="W69" s="104"/>
      <c r="X69" s="104"/>
      <c r="Y69" s="104"/>
      <c r="Z69" s="104"/>
      <c r="AA69" s="104"/>
      <c r="AB69" s="104"/>
      <c r="AC69" s="104"/>
      <c r="AD69" s="104"/>
      <c r="AE69" s="104"/>
      <c r="AF69" s="104"/>
      <c r="AG69" s="104"/>
      <c r="AH69" s="104"/>
      <c r="AI69" s="104"/>
    </row>
    <row r="70" spans="9:35">
      <c r="I70" s="104"/>
      <c r="J70" s="104"/>
      <c r="K70" s="104"/>
      <c r="L70" s="104"/>
      <c r="M70" s="104"/>
      <c r="N70" s="104"/>
      <c r="O70" s="104"/>
      <c r="P70" s="104"/>
      <c r="Q70" s="104"/>
      <c r="R70" s="104"/>
      <c r="S70" s="104"/>
      <c r="T70" s="104"/>
      <c r="U70" s="104"/>
      <c r="V70" s="104"/>
      <c r="W70" s="104"/>
      <c r="X70" s="104"/>
      <c r="Y70" s="104"/>
      <c r="Z70" s="104"/>
      <c r="AA70" s="104"/>
      <c r="AB70" s="104"/>
      <c r="AC70" s="104"/>
      <c r="AD70" s="104"/>
      <c r="AE70" s="104"/>
      <c r="AF70" s="104"/>
      <c r="AG70" s="104"/>
      <c r="AH70" s="104"/>
      <c r="AI70" s="104"/>
    </row>
    <row r="71" spans="9:35">
      <c r="I71" s="104"/>
      <c r="J71" s="104"/>
      <c r="K71" s="104"/>
      <c r="L71" s="104"/>
      <c r="M71" s="104"/>
      <c r="N71" s="104"/>
      <c r="O71" s="104"/>
      <c r="P71" s="104"/>
      <c r="Q71" s="104"/>
      <c r="R71" s="104"/>
      <c r="S71" s="104"/>
      <c r="T71" s="104"/>
      <c r="U71" s="104"/>
      <c r="V71" s="104"/>
      <c r="W71" s="104"/>
      <c r="X71" s="104"/>
      <c r="Y71" s="104"/>
      <c r="Z71" s="104"/>
      <c r="AA71" s="104"/>
      <c r="AB71" s="104"/>
      <c r="AC71" s="104"/>
      <c r="AD71" s="104"/>
      <c r="AE71" s="104"/>
      <c r="AF71" s="104"/>
      <c r="AG71" s="104"/>
      <c r="AH71" s="104"/>
      <c r="AI71" s="104"/>
    </row>
    <row r="72" spans="9:35">
      <c r="I72" s="104"/>
      <c r="J72" s="104"/>
      <c r="K72" s="104"/>
      <c r="L72" s="104"/>
      <c r="M72" s="104"/>
      <c r="N72" s="104"/>
      <c r="O72" s="104"/>
      <c r="P72" s="104"/>
      <c r="Q72" s="104"/>
      <c r="R72" s="104"/>
      <c r="S72" s="104"/>
      <c r="T72" s="104"/>
      <c r="U72" s="104"/>
      <c r="V72" s="104"/>
      <c r="W72" s="104"/>
      <c r="X72" s="104"/>
      <c r="Y72" s="104"/>
      <c r="Z72" s="104"/>
      <c r="AA72" s="104"/>
      <c r="AB72" s="104"/>
      <c r="AC72" s="104"/>
      <c r="AD72" s="104"/>
      <c r="AE72" s="104"/>
      <c r="AF72" s="104"/>
      <c r="AG72" s="104"/>
      <c r="AH72" s="104"/>
      <c r="AI72" s="104"/>
    </row>
    <row r="73" spans="9:35">
      <c r="I73" s="104"/>
      <c r="J73" s="104"/>
      <c r="K73" s="104"/>
      <c r="L73" s="104"/>
      <c r="M73" s="104"/>
      <c r="N73" s="104"/>
      <c r="O73" s="104"/>
      <c r="P73" s="104"/>
      <c r="Q73" s="104"/>
      <c r="R73" s="104"/>
      <c r="S73" s="104"/>
      <c r="T73" s="104"/>
      <c r="U73" s="104"/>
      <c r="V73" s="104"/>
      <c r="W73" s="104"/>
      <c r="X73" s="104"/>
      <c r="Y73" s="104"/>
      <c r="Z73" s="104"/>
      <c r="AA73" s="104"/>
      <c r="AB73" s="104"/>
      <c r="AC73" s="104"/>
      <c r="AD73" s="104"/>
      <c r="AE73" s="104"/>
      <c r="AF73" s="104"/>
      <c r="AG73" s="104"/>
      <c r="AH73" s="104"/>
      <c r="AI73" s="104"/>
    </row>
    <row r="74" spans="9:35">
      <c r="I74" s="104"/>
      <c r="J74" s="104"/>
      <c r="K74" s="104"/>
      <c r="L74" s="104"/>
      <c r="M74" s="104"/>
      <c r="N74" s="104"/>
      <c r="O74" s="104"/>
      <c r="P74" s="104"/>
      <c r="Q74" s="104"/>
      <c r="R74" s="104"/>
      <c r="S74" s="104"/>
      <c r="T74" s="104"/>
      <c r="U74" s="104"/>
      <c r="V74" s="104"/>
      <c r="W74" s="104"/>
      <c r="X74" s="104"/>
      <c r="Y74" s="104"/>
      <c r="Z74" s="104"/>
      <c r="AA74" s="104"/>
      <c r="AB74" s="104"/>
      <c r="AC74" s="104"/>
      <c r="AD74" s="104"/>
      <c r="AE74" s="104"/>
      <c r="AF74" s="104"/>
      <c r="AG74" s="104"/>
      <c r="AH74" s="104"/>
      <c r="AI74" s="104"/>
    </row>
    <row r="75" spans="9:35">
      <c r="I75" s="104"/>
      <c r="J75" s="104"/>
      <c r="K75" s="104"/>
      <c r="L75" s="104"/>
      <c r="M75" s="104"/>
      <c r="N75" s="104"/>
      <c r="O75" s="104"/>
      <c r="P75" s="104"/>
      <c r="Q75" s="104"/>
      <c r="R75" s="104"/>
      <c r="S75" s="104"/>
      <c r="T75" s="104"/>
      <c r="U75" s="104"/>
      <c r="V75" s="104"/>
      <c r="W75" s="104"/>
      <c r="X75" s="104"/>
      <c r="Y75" s="104"/>
      <c r="Z75" s="104"/>
      <c r="AA75" s="104"/>
      <c r="AB75" s="104"/>
      <c r="AC75" s="104"/>
      <c r="AD75" s="104"/>
      <c r="AE75" s="104"/>
      <c r="AF75" s="104"/>
      <c r="AG75" s="104"/>
      <c r="AH75" s="104"/>
      <c r="AI75" s="104"/>
    </row>
    <row r="76" spans="9:35">
      <c r="I76" s="104"/>
      <c r="J76" s="104"/>
      <c r="K76" s="104"/>
      <c r="L76" s="104"/>
      <c r="M76" s="104"/>
      <c r="N76" s="104"/>
      <c r="O76" s="104"/>
      <c r="P76" s="104"/>
      <c r="Q76" s="104"/>
      <c r="R76" s="104"/>
      <c r="S76" s="104"/>
      <c r="T76" s="104"/>
      <c r="U76" s="104"/>
      <c r="V76" s="104"/>
      <c r="W76" s="104"/>
      <c r="X76" s="104"/>
      <c r="Y76" s="104"/>
      <c r="Z76" s="104"/>
      <c r="AA76" s="104"/>
      <c r="AB76" s="104"/>
      <c r="AC76" s="104"/>
      <c r="AD76" s="104"/>
      <c r="AE76" s="104"/>
      <c r="AF76" s="104"/>
      <c r="AG76" s="104"/>
      <c r="AH76" s="104"/>
      <c r="AI76" s="104"/>
    </row>
    <row r="77" spans="9:35">
      <c r="I77" s="104"/>
      <c r="J77" s="104"/>
      <c r="K77" s="104"/>
      <c r="L77" s="104"/>
      <c r="M77" s="104"/>
      <c r="N77" s="104"/>
      <c r="O77" s="104"/>
      <c r="P77" s="104"/>
      <c r="Q77" s="104"/>
      <c r="R77" s="104"/>
      <c r="S77" s="104"/>
      <c r="T77" s="104"/>
      <c r="U77" s="104"/>
      <c r="V77" s="104"/>
      <c r="W77" s="104"/>
      <c r="X77" s="104"/>
      <c r="Y77" s="104"/>
      <c r="Z77" s="104"/>
      <c r="AA77" s="104"/>
      <c r="AB77" s="104"/>
      <c r="AC77" s="104"/>
      <c r="AD77" s="104"/>
      <c r="AE77" s="104"/>
      <c r="AF77" s="104"/>
      <c r="AG77" s="104"/>
      <c r="AH77" s="104"/>
      <c r="AI77" s="104"/>
    </row>
    <row r="78" spans="9:35">
      <c r="I78" s="104"/>
      <c r="J78" s="104"/>
      <c r="K78" s="104"/>
      <c r="L78" s="104"/>
      <c r="M78" s="104"/>
      <c r="N78" s="104"/>
      <c r="O78" s="104"/>
      <c r="P78" s="104"/>
      <c r="Q78" s="104"/>
      <c r="R78" s="104"/>
      <c r="S78" s="104"/>
      <c r="T78" s="104"/>
      <c r="U78" s="104"/>
      <c r="V78" s="104"/>
      <c r="W78" s="104"/>
      <c r="X78" s="104"/>
      <c r="Y78" s="104"/>
      <c r="Z78" s="104"/>
      <c r="AA78" s="104"/>
      <c r="AB78" s="104"/>
      <c r="AC78" s="104"/>
      <c r="AD78" s="104"/>
      <c r="AE78" s="104"/>
      <c r="AF78" s="104"/>
      <c r="AG78" s="104"/>
      <c r="AH78" s="104"/>
      <c r="AI78" s="104"/>
    </row>
    <row r="79" spans="9:35">
      <c r="I79" s="104"/>
      <c r="J79" s="104"/>
      <c r="K79" s="104"/>
      <c r="L79" s="104"/>
      <c r="M79" s="104"/>
      <c r="N79" s="104"/>
      <c r="O79" s="104"/>
      <c r="P79" s="104"/>
      <c r="Q79" s="104"/>
      <c r="R79" s="104"/>
      <c r="S79" s="104"/>
      <c r="T79" s="104"/>
      <c r="U79" s="104"/>
      <c r="V79" s="104"/>
      <c r="W79" s="104"/>
      <c r="X79" s="104"/>
      <c r="Y79" s="104"/>
      <c r="Z79" s="104"/>
      <c r="AA79" s="104"/>
      <c r="AB79" s="104"/>
      <c r="AC79" s="104"/>
      <c r="AD79" s="104"/>
      <c r="AE79" s="104"/>
      <c r="AF79" s="104"/>
      <c r="AG79" s="104"/>
      <c r="AH79" s="104"/>
      <c r="AI79" s="104"/>
    </row>
    <row r="80" spans="9:35">
      <c r="I80" s="104"/>
      <c r="J80" s="104"/>
      <c r="K80" s="104"/>
      <c r="L80" s="104"/>
      <c r="M80" s="104"/>
      <c r="N80" s="104"/>
      <c r="O80" s="104"/>
      <c r="P80" s="104"/>
      <c r="Q80" s="104"/>
      <c r="R80" s="104"/>
      <c r="S80" s="104"/>
      <c r="T80" s="104"/>
      <c r="U80" s="104"/>
      <c r="V80" s="104"/>
      <c r="W80" s="104"/>
      <c r="X80" s="104"/>
      <c r="Y80" s="104"/>
      <c r="Z80" s="104"/>
      <c r="AA80" s="104"/>
      <c r="AB80" s="104"/>
      <c r="AC80" s="104"/>
      <c r="AD80" s="104"/>
      <c r="AE80" s="104"/>
      <c r="AF80" s="104"/>
      <c r="AG80" s="104"/>
      <c r="AH80" s="104"/>
      <c r="AI80" s="104"/>
    </row>
    <row r="81" spans="9:35">
      <c r="I81" s="104"/>
      <c r="J81" s="104"/>
      <c r="K81" s="104"/>
      <c r="L81" s="104"/>
      <c r="M81" s="104"/>
      <c r="N81" s="104"/>
      <c r="O81" s="104"/>
      <c r="P81" s="104"/>
      <c r="Q81" s="104"/>
      <c r="R81" s="104"/>
      <c r="S81" s="104"/>
      <c r="T81" s="104"/>
      <c r="U81" s="104"/>
      <c r="V81" s="104"/>
      <c r="W81" s="104"/>
      <c r="X81" s="104"/>
      <c r="Y81" s="104"/>
      <c r="Z81" s="104"/>
      <c r="AA81" s="104"/>
      <c r="AB81" s="104"/>
      <c r="AC81" s="104"/>
      <c r="AD81" s="104"/>
      <c r="AE81" s="104"/>
      <c r="AF81" s="104"/>
      <c r="AG81" s="104"/>
      <c r="AH81" s="104"/>
      <c r="AI81" s="104"/>
    </row>
    <row r="82" spans="9:35">
      <c r="I82" s="104"/>
      <c r="J82" s="104"/>
      <c r="K82" s="104"/>
      <c r="L82" s="104"/>
      <c r="M82" s="104"/>
      <c r="N82" s="104"/>
      <c r="O82" s="104"/>
      <c r="P82" s="104"/>
      <c r="Q82" s="104"/>
      <c r="R82" s="104"/>
      <c r="S82" s="104"/>
      <c r="T82" s="104"/>
      <c r="U82" s="104"/>
      <c r="V82" s="104"/>
      <c r="W82" s="104"/>
      <c r="X82" s="104"/>
      <c r="Y82" s="104"/>
      <c r="Z82" s="104"/>
      <c r="AA82" s="104"/>
      <c r="AB82" s="104"/>
      <c r="AC82" s="104"/>
      <c r="AD82" s="104"/>
      <c r="AE82" s="104"/>
      <c r="AF82" s="104"/>
      <c r="AG82" s="104"/>
      <c r="AH82" s="104"/>
      <c r="AI82" s="104"/>
    </row>
    <row r="83" spans="9:35">
      <c r="I83" s="104"/>
      <c r="J83" s="104"/>
      <c r="K83" s="104"/>
      <c r="L83" s="104"/>
      <c r="M83" s="104"/>
      <c r="N83" s="104"/>
      <c r="O83" s="104"/>
      <c r="P83" s="104"/>
      <c r="Q83" s="104"/>
      <c r="R83" s="104"/>
      <c r="S83" s="104"/>
      <c r="T83" s="104"/>
      <c r="U83" s="104"/>
      <c r="V83" s="104"/>
      <c r="W83" s="104"/>
      <c r="X83" s="104"/>
      <c r="Y83" s="104"/>
      <c r="Z83" s="104"/>
      <c r="AA83" s="104"/>
      <c r="AB83" s="104"/>
      <c r="AC83" s="104"/>
      <c r="AD83" s="104"/>
      <c r="AE83" s="104"/>
      <c r="AF83" s="104"/>
      <c r="AG83" s="104"/>
      <c r="AH83" s="104"/>
      <c r="AI83" s="104"/>
    </row>
    <row r="84" spans="9:35">
      <c r="I84" s="104"/>
      <c r="J84" s="104"/>
      <c r="K84" s="104"/>
      <c r="L84" s="104"/>
      <c r="M84" s="104"/>
      <c r="N84" s="104"/>
      <c r="O84" s="104"/>
      <c r="P84" s="104"/>
      <c r="Q84" s="104"/>
      <c r="R84" s="104"/>
      <c r="S84" s="104"/>
      <c r="T84" s="104"/>
      <c r="U84" s="104"/>
      <c r="V84" s="104"/>
      <c r="W84" s="104"/>
      <c r="X84" s="104"/>
      <c r="Y84" s="104"/>
      <c r="Z84" s="104"/>
      <c r="AA84" s="104"/>
      <c r="AB84" s="104"/>
      <c r="AC84" s="104"/>
      <c r="AD84" s="104"/>
      <c r="AE84" s="104"/>
      <c r="AF84" s="104"/>
      <c r="AG84" s="104"/>
      <c r="AH84" s="104"/>
      <c r="AI84" s="104"/>
    </row>
    <row r="85" spans="9:35">
      <c r="I85" s="104"/>
      <c r="J85" s="104"/>
      <c r="K85" s="104"/>
      <c r="L85" s="104"/>
      <c r="M85" s="104"/>
      <c r="N85" s="104"/>
      <c r="O85" s="104"/>
      <c r="P85" s="104"/>
      <c r="Q85" s="104"/>
      <c r="R85" s="104"/>
      <c r="S85" s="104"/>
      <c r="T85" s="104"/>
      <c r="U85" s="104"/>
      <c r="V85" s="104"/>
      <c r="W85" s="104"/>
      <c r="X85" s="104"/>
      <c r="Y85" s="104"/>
      <c r="Z85" s="104"/>
      <c r="AA85" s="104"/>
      <c r="AB85" s="104"/>
      <c r="AC85" s="104"/>
      <c r="AD85" s="104"/>
      <c r="AE85" s="104"/>
      <c r="AF85" s="104"/>
      <c r="AG85" s="104"/>
      <c r="AH85" s="104"/>
      <c r="AI85" s="104"/>
    </row>
    <row r="86" spans="9:35">
      <c r="I86" s="104"/>
      <c r="J86" s="104"/>
      <c r="K86" s="104"/>
      <c r="L86" s="104"/>
      <c r="M86" s="104"/>
      <c r="N86" s="104"/>
      <c r="O86" s="104"/>
      <c r="P86" s="104"/>
      <c r="Q86" s="104"/>
      <c r="R86" s="104"/>
      <c r="S86" s="104"/>
      <c r="T86" s="104"/>
      <c r="U86" s="104"/>
      <c r="V86" s="104"/>
      <c r="W86" s="104"/>
      <c r="X86" s="104"/>
      <c r="Y86" s="104"/>
      <c r="Z86" s="104"/>
      <c r="AA86" s="104"/>
      <c r="AB86" s="104"/>
      <c r="AC86" s="104"/>
      <c r="AD86" s="104"/>
      <c r="AE86" s="104"/>
      <c r="AF86" s="104"/>
      <c r="AG86" s="104"/>
      <c r="AH86" s="104"/>
      <c r="AI86" s="104"/>
    </row>
    <row r="87" spans="9:35">
      <c r="I87" s="104"/>
      <c r="J87" s="104"/>
      <c r="K87" s="104"/>
      <c r="L87" s="104"/>
      <c r="M87" s="104"/>
      <c r="N87" s="104"/>
      <c r="O87" s="104"/>
      <c r="P87" s="104"/>
      <c r="Q87" s="104"/>
      <c r="R87" s="104"/>
      <c r="S87" s="104"/>
      <c r="T87" s="104"/>
      <c r="U87" s="104"/>
      <c r="V87" s="104"/>
      <c r="W87" s="104"/>
      <c r="X87" s="104"/>
      <c r="Y87" s="104"/>
      <c r="Z87" s="104"/>
      <c r="AA87" s="104"/>
      <c r="AB87" s="104"/>
      <c r="AC87" s="104"/>
      <c r="AD87" s="104"/>
      <c r="AE87" s="104"/>
      <c r="AF87" s="104"/>
      <c r="AG87" s="104"/>
      <c r="AH87" s="104"/>
      <c r="AI87" s="104"/>
    </row>
    <row r="88" spans="9:35">
      <c r="I88" s="104"/>
      <c r="J88" s="104"/>
      <c r="K88" s="104"/>
      <c r="L88" s="104"/>
      <c r="M88" s="104"/>
      <c r="N88" s="104"/>
      <c r="O88" s="104"/>
      <c r="P88" s="104"/>
      <c r="Q88" s="104"/>
      <c r="R88" s="104"/>
      <c r="S88" s="104"/>
      <c r="T88" s="104"/>
      <c r="U88" s="104"/>
      <c r="V88" s="104"/>
      <c r="W88" s="104"/>
      <c r="X88" s="104"/>
      <c r="Y88" s="104"/>
      <c r="Z88" s="104"/>
      <c r="AA88" s="104"/>
      <c r="AB88" s="104"/>
      <c r="AC88" s="104"/>
      <c r="AD88" s="104"/>
      <c r="AE88" s="104"/>
      <c r="AF88" s="104"/>
      <c r="AG88" s="104"/>
      <c r="AH88" s="104"/>
      <c r="AI88" s="104"/>
    </row>
    <row r="89" spans="9:35">
      <c r="I89" s="104"/>
      <c r="J89" s="104"/>
      <c r="K89" s="104"/>
      <c r="L89" s="104"/>
      <c r="M89" s="104"/>
      <c r="N89" s="104"/>
      <c r="O89" s="104"/>
      <c r="P89" s="104"/>
      <c r="Q89" s="104"/>
      <c r="R89" s="104"/>
      <c r="S89" s="104"/>
      <c r="T89" s="104"/>
      <c r="U89" s="104"/>
      <c r="V89" s="104"/>
      <c r="W89" s="104"/>
      <c r="X89" s="104"/>
      <c r="Y89" s="104"/>
      <c r="Z89" s="104"/>
      <c r="AA89" s="104"/>
      <c r="AB89" s="104"/>
      <c r="AC89" s="104"/>
      <c r="AD89" s="104"/>
      <c r="AE89" s="104"/>
      <c r="AF89" s="104"/>
      <c r="AG89" s="104"/>
      <c r="AH89" s="104"/>
      <c r="AI89" s="104"/>
    </row>
    <row r="90" spans="9:35">
      <c r="I90" s="104"/>
      <c r="J90" s="104"/>
      <c r="K90" s="104"/>
      <c r="L90" s="104"/>
      <c r="M90" s="104"/>
      <c r="N90" s="104"/>
      <c r="O90" s="104"/>
      <c r="P90" s="104"/>
      <c r="Q90" s="104"/>
      <c r="R90" s="104"/>
      <c r="S90" s="104"/>
      <c r="T90" s="104"/>
      <c r="U90" s="104"/>
      <c r="V90" s="104"/>
      <c r="W90" s="104"/>
      <c r="X90" s="104"/>
      <c r="Y90" s="104"/>
      <c r="Z90" s="104"/>
      <c r="AA90" s="104"/>
      <c r="AB90" s="104"/>
      <c r="AC90" s="104"/>
      <c r="AD90" s="104"/>
      <c r="AE90" s="104"/>
      <c r="AF90" s="104"/>
      <c r="AG90" s="104"/>
      <c r="AH90" s="104"/>
      <c r="AI90" s="104"/>
    </row>
    <row r="91" spans="9:35">
      <c r="I91" s="104"/>
      <c r="J91" s="104"/>
      <c r="K91" s="104"/>
      <c r="L91" s="104"/>
      <c r="M91" s="104"/>
      <c r="N91" s="104"/>
      <c r="O91" s="104"/>
      <c r="P91" s="104"/>
      <c r="Q91" s="104"/>
      <c r="R91" s="104"/>
      <c r="S91" s="104"/>
      <c r="T91" s="104"/>
      <c r="U91" s="104"/>
      <c r="V91" s="104"/>
      <c r="W91" s="104"/>
      <c r="X91" s="104"/>
      <c r="Y91" s="104"/>
      <c r="Z91" s="104"/>
      <c r="AA91" s="104"/>
      <c r="AB91" s="104"/>
      <c r="AC91" s="104"/>
      <c r="AD91" s="104"/>
      <c r="AE91" s="104"/>
      <c r="AF91" s="104"/>
      <c r="AG91" s="104"/>
      <c r="AH91" s="104"/>
      <c r="AI91" s="104"/>
    </row>
    <row r="92" spans="9:35">
      <c r="I92" s="104"/>
      <c r="J92" s="104"/>
      <c r="K92" s="104"/>
      <c r="L92" s="104"/>
      <c r="M92" s="104"/>
      <c r="N92" s="104"/>
      <c r="O92" s="104"/>
      <c r="P92" s="104"/>
      <c r="Q92" s="104"/>
      <c r="R92" s="104"/>
      <c r="S92" s="104"/>
      <c r="T92" s="104"/>
      <c r="U92" s="104"/>
      <c r="V92" s="104"/>
      <c r="W92" s="104"/>
      <c r="X92" s="104"/>
      <c r="Y92" s="104"/>
      <c r="Z92" s="104"/>
      <c r="AA92" s="104"/>
      <c r="AB92" s="104"/>
      <c r="AC92" s="104"/>
      <c r="AD92" s="104"/>
      <c r="AE92" s="104"/>
      <c r="AF92" s="104"/>
      <c r="AG92" s="104"/>
      <c r="AH92" s="104"/>
      <c r="AI92" s="104"/>
    </row>
    <row r="93" spans="9:35">
      <c r="I93" s="104"/>
      <c r="J93" s="104"/>
      <c r="K93" s="104"/>
      <c r="L93" s="104"/>
      <c r="M93" s="104"/>
      <c r="N93" s="104"/>
      <c r="O93" s="104"/>
      <c r="P93" s="104"/>
      <c r="Q93" s="104"/>
      <c r="R93" s="104"/>
      <c r="S93" s="104"/>
      <c r="T93" s="104"/>
      <c r="U93" s="104"/>
      <c r="V93" s="104"/>
      <c r="W93" s="104"/>
      <c r="X93" s="104"/>
      <c r="Y93" s="104"/>
      <c r="Z93" s="104"/>
      <c r="AA93" s="104"/>
      <c r="AB93" s="104"/>
      <c r="AC93" s="104"/>
      <c r="AD93" s="104"/>
      <c r="AE93" s="104"/>
      <c r="AF93" s="104"/>
      <c r="AG93" s="104"/>
      <c r="AH93" s="104"/>
      <c r="AI93" s="104"/>
    </row>
    <row r="94" spans="9:35">
      <c r="I94" s="104"/>
      <c r="J94" s="104"/>
      <c r="K94" s="104"/>
      <c r="L94" s="104"/>
      <c r="M94" s="104"/>
      <c r="N94" s="104"/>
      <c r="O94" s="104"/>
      <c r="P94" s="104"/>
      <c r="Q94" s="104"/>
      <c r="R94" s="104"/>
      <c r="S94" s="104"/>
      <c r="T94" s="104"/>
      <c r="U94" s="104"/>
      <c r="V94" s="104"/>
      <c r="W94" s="104"/>
      <c r="X94" s="104"/>
      <c r="Y94" s="104"/>
      <c r="Z94" s="104"/>
      <c r="AA94" s="104"/>
      <c r="AB94" s="104"/>
      <c r="AC94" s="104"/>
      <c r="AD94" s="104"/>
      <c r="AE94" s="104"/>
      <c r="AF94" s="104"/>
      <c r="AG94" s="104"/>
      <c r="AH94" s="104"/>
      <c r="AI94" s="104"/>
    </row>
    <row r="95" spans="9:35">
      <c r="I95" s="104"/>
      <c r="J95" s="104"/>
      <c r="K95" s="104"/>
      <c r="L95" s="104"/>
      <c r="M95" s="104"/>
      <c r="N95" s="104"/>
      <c r="O95" s="104"/>
      <c r="P95" s="104"/>
      <c r="Q95" s="104"/>
      <c r="R95" s="104"/>
      <c r="S95" s="104"/>
      <c r="T95" s="104"/>
      <c r="U95" s="104"/>
      <c r="V95" s="104"/>
      <c r="W95" s="104"/>
      <c r="X95" s="104"/>
      <c r="Y95" s="104"/>
      <c r="Z95" s="104"/>
      <c r="AA95" s="104"/>
      <c r="AB95" s="104"/>
      <c r="AC95" s="104"/>
      <c r="AD95" s="104"/>
      <c r="AE95" s="104"/>
      <c r="AF95" s="104"/>
      <c r="AG95" s="104"/>
      <c r="AH95" s="104"/>
      <c r="AI95" s="104"/>
    </row>
    <row r="96" spans="9:35">
      <c r="I96" s="104"/>
      <c r="J96" s="104"/>
      <c r="K96" s="104"/>
      <c r="L96" s="104"/>
      <c r="M96" s="104"/>
      <c r="N96" s="104"/>
      <c r="O96" s="104"/>
      <c r="P96" s="104"/>
      <c r="Q96" s="104"/>
      <c r="R96" s="104"/>
      <c r="S96" s="104"/>
      <c r="T96" s="104"/>
      <c r="U96" s="104"/>
      <c r="V96" s="104"/>
      <c r="W96" s="104"/>
      <c r="X96" s="104"/>
      <c r="Y96" s="104"/>
      <c r="Z96" s="104"/>
      <c r="AA96" s="104"/>
      <c r="AB96" s="104"/>
      <c r="AC96" s="104"/>
      <c r="AD96" s="104"/>
      <c r="AE96" s="104"/>
      <c r="AF96" s="104"/>
      <c r="AG96" s="104"/>
      <c r="AH96" s="104"/>
      <c r="AI96" s="104"/>
    </row>
    <row r="97" spans="9:35">
      <c r="I97" s="104"/>
      <c r="J97" s="104"/>
      <c r="K97" s="104"/>
      <c r="L97" s="104"/>
      <c r="M97" s="104"/>
      <c r="N97" s="104"/>
      <c r="O97" s="104"/>
      <c r="P97" s="104"/>
      <c r="Q97" s="104"/>
      <c r="R97" s="104"/>
      <c r="S97" s="104"/>
      <c r="T97" s="104"/>
      <c r="U97" s="104"/>
      <c r="V97" s="104"/>
      <c r="W97" s="104"/>
      <c r="X97" s="104"/>
      <c r="Y97" s="104"/>
      <c r="Z97" s="104"/>
      <c r="AA97" s="104"/>
      <c r="AB97" s="104"/>
      <c r="AC97" s="104"/>
      <c r="AD97" s="104"/>
      <c r="AE97" s="104"/>
      <c r="AF97" s="104"/>
      <c r="AG97" s="104"/>
      <c r="AH97" s="104"/>
      <c r="AI97" s="104"/>
    </row>
    <row r="98" spans="9:35">
      <c r="I98" s="104"/>
      <c r="J98" s="104"/>
      <c r="K98" s="104"/>
      <c r="L98" s="104"/>
      <c r="M98" s="104"/>
      <c r="N98" s="104"/>
      <c r="O98" s="104"/>
      <c r="P98" s="104"/>
      <c r="Q98" s="104"/>
      <c r="R98" s="104"/>
      <c r="S98" s="104"/>
      <c r="T98" s="104"/>
      <c r="U98" s="104"/>
      <c r="V98" s="104"/>
      <c r="W98" s="104"/>
      <c r="X98" s="104"/>
      <c r="Y98" s="104"/>
      <c r="Z98" s="104"/>
      <c r="AA98" s="104"/>
      <c r="AB98" s="104"/>
      <c r="AC98" s="104"/>
      <c r="AD98" s="104"/>
      <c r="AE98" s="104"/>
      <c r="AF98" s="104"/>
      <c r="AG98" s="104"/>
      <c r="AH98" s="104"/>
      <c r="AI98" s="104"/>
    </row>
    <row r="99" spans="9:35">
      <c r="I99" s="104"/>
      <c r="J99" s="104"/>
      <c r="K99" s="104"/>
      <c r="L99" s="104"/>
      <c r="M99" s="104"/>
      <c r="N99" s="104"/>
      <c r="O99" s="104"/>
      <c r="P99" s="104"/>
      <c r="Q99" s="104"/>
      <c r="R99" s="104"/>
      <c r="S99" s="104"/>
      <c r="T99" s="104"/>
      <c r="U99" s="104"/>
      <c r="V99" s="104"/>
      <c r="W99" s="104"/>
      <c r="X99" s="104"/>
      <c r="Y99" s="104"/>
      <c r="Z99" s="104"/>
      <c r="AA99" s="104"/>
      <c r="AB99" s="104"/>
      <c r="AC99" s="104"/>
      <c r="AD99" s="104"/>
      <c r="AE99" s="104"/>
      <c r="AF99" s="104"/>
      <c r="AG99" s="104"/>
      <c r="AH99" s="104"/>
      <c r="AI99" s="104"/>
    </row>
    <row r="100" spans="9:35">
      <c r="I100" s="104"/>
      <c r="J100" s="104"/>
      <c r="K100" s="104"/>
      <c r="L100" s="104"/>
      <c r="M100" s="104"/>
      <c r="N100" s="104"/>
      <c r="O100" s="104"/>
      <c r="P100" s="104"/>
      <c r="Q100" s="104"/>
      <c r="R100" s="104"/>
      <c r="S100" s="104"/>
      <c r="T100" s="104"/>
      <c r="U100" s="104"/>
      <c r="V100" s="104"/>
      <c r="W100" s="104"/>
      <c r="X100" s="104"/>
      <c r="Y100" s="104"/>
      <c r="Z100" s="104"/>
      <c r="AA100" s="104"/>
      <c r="AB100" s="104"/>
      <c r="AC100" s="104"/>
      <c r="AD100" s="104"/>
      <c r="AE100" s="104"/>
      <c r="AF100" s="104"/>
      <c r="AG100" s="104"/>
      <c r="AH100" s="104"/>
      <c r="AI100" s="104"/>
    </row>
    <row r="101" spans="9:35">
      <c r="I101" s="104"/>
      <c r="J101" s="104"/>
      <c r="K101" s="104"/>
      <c r="L101" s="104"/>
      <c r="M101" s="104"/>
      <c r="N101" s="104"/>
      <c r="O101" s="104"/>
      <c r="P101" s="104"/>
      <c r="Q101" s="104"/>
      <c r="R101" s="104"/>
      <c r="S101" s="104"/>
      <c r="T101" s="104"/>
      <c r="U101" s="104"/>
      <c r="V101" s="104"/>
      <c r="W101" s="104"/>
      <c r="X101" s="104"/>
      <c r="Y101" s="104"/>
      <c r="Z101" s="104"/>
      <c r="AA101" s="104"/>
      <c r="AB101" s="104"/>
      <c r="AC101" s="104"/>
      <c r="AD101" s="104"/>
      <c r="AE101" s="104"/>
      <c r="AF101" s="104"/>
      <c r="AG101" s="104"/>
      <c r="AH101" s="104"/>
      <c r="AI101" s="104"/>
    </row>
    <row r="102" spans="9:35">
      <c r="I102" s="104"/>
      <c r="J102" s="104"/>
      <c r="K102" s="104"/>
      <c r="L102" s="104"/>
      <c r="M102" s="104"/>
      <c r="N102" s="104"/>
      <c r="O102" s="104"/>
      <c r="P102" s="104"/>
      <c r="Q102" s="104"/>
      <c r="R102" s="104"/>
      <c r="S102" s="104"/>
      <c r="T102" s="104"/>
      <c r="U102" s="104"/>
      <c r="V102" s="104"/>
      <c r="W102" s="104"/>
      <c r="X102" s="104"/>
      <c r="Y102" s="104"/>
      <c r="Z102" s="104"/>
      <c r="AA102" s="104"/>
      <c r="AB102" s="104"/>
      <c r="AC102" s="104"/>
      <c r="AD102" s="104"/>
      <c r="AE102" s="104"/>
      <c r="AF102" s="104"/>
      <c r="AG102" s="104"/>
      <c r="AH102" s="104"/>
      <c r="AI102" s="104"/>
    </row>
    <row r="103" spans="9:35">
      <c r="I103" s="104"/>
      <c r="J103" s="104"/>
      <c r="K103" s="104"/>
      <c r="L103" s="104"/>
      <c r="M103" s="104"/>
      <c r="N103" s="104"/>
      <c r="O103" s="104"/>
      <c r="P103" s="104"/>
      <c r="Q103" s="104"/>
      <c r="R103" s="104"/>
      <c r="S103" s="104"/>
      <c r="T103" s="104"/>
      <c r="U103" s="104"/>
      <c r="V103" s="104"/>
      <c r="W103" s="104"/>
      <c r="X103" s="104"/>
      <c r="Y103" s="104"/>
      <c r="Z103" s="104"/>
      <c r="AA103" s="104"/>
      <c r="AB103" s="104"/>
      <c r="AC103" s="104"/>
      <c r="AD103" s="104"/>
      <c r="AE103" s="104"/>
      <c r="AF103" s="104"/>
      <c r="AG103" s="104"/>
      <c r="AH103" s="104"/>
      <c r="AI103" s="104"/>
    </row>
    <row r="104" spans="9:35">
      <c r="I104" s="104"/>
      <c r="J104" s="104"/>
      <c r="K104" s="104"/>
      <c r="L104" s="104"/>
      <c r="M104" s="104"/>
      <c r="N104" s="104"/>
      <c r="O104" s="104"/>
      <c r="P104" s="104"/>
      <c r="Q104" s="104"/>
      <c r="R104" s="104"/>
      <c r="S104" s="104"/>
      <c r="T104" s="104"/>
      <c r="U104" s="104"/>
      <c r="V104" s="104"/>
      <c r="W104" s="104"/>
      <c r="X104" s="104"/>
      <c r="Y104" s="104"/>
      <c r="Z104" s="104"/>
      <c r="AA104" s="104"/>
      <c r="AB104" s="104"/>
      <c r="AC104" s="104"/>
      <c r="AD104" s="104"/>
      <c r="AE104" s="104"/>
      <c r="AF104" s="104"/>
      <c r="AG104" s="104"/>
      <c r="AH104" s="104"/>
      <c r="AI104" s="104"/>
    </row>
    <row r="105" spans="9:35">
      <c r="I105" s="104"/>
      <c r="J105" s="104"/>
      <c r="K105" s="104"/>
      <c r="L105" s="104"/>
      <c r="M105" s="104"/>
      <c r="N105" s="104"/>
      <c r="O105" s="104"/>
      <c r="P105" s="104"/>
      <c r="Q105" s="104"/>
      <c r="R105" s="104"/>
      <c r="S105" s="104"/>
      <c r="T105" s="104"/>
      <c r="U105" s="104"/>
      <c r="V105" s="104"/>
      <c r="W105" s="104"/>
      <c r="X105" s="104"/>
      <c r="Y105" s="104"/>
      <c r="Z105" s="104"/>
      <c r="AA105" s="104"/>
      <c r="AB105" s="104"/>
      <c r="AC105" s="104"/>
      <c r="AD105" s="104"/>
      <c r="AE105" s="104"/>
      <c r="AF105" s="104"/>
      <c r="AG105" s="104"/>
      <c r="AH105" s="104"/>
      <c r="AI105" s="104"/>
    </row>
    <row r="106" spans="9:35">
      <c r="I106" s="104"/>
      <c r="J106" s="104"/>
      <c r="K106" s="104"/>
      <c r="L106" s="104"/>
      <c r="M106" s="104"/>
      <c r="N106" s="104"/>
      <c r="O106" s="104"/>
      <c r="P106" s="104"/>
      <c r="Q106" s="104"/>
      <c r="R106" s="104"/>
      <c r="S106" s="104"/>
      <c r="T106" s="104"/>
      <c r="U106" s="104"/>
      <c r="V106" s="104"/>
      <c r="W106" s="104"/>
      <c r="X106" s="104"/>
      <c r="Y106" s="104"/>
      <c r="Z106" s="104"/>
      <c r="AA106" s="104"/>
      <c r="AB106" s="104"/>
      <c r="AC106" s="104"/>
      <c r="AD106" s="104"/>
      <c r="AE106" s="104"/>
      <c r="AF106" s="104"/>
      <c r="AG106" s="104"/>
      <c r="AH106" s="104"/>
      <c r="AI106" s="104"/>
    </row>
    <row r="107" spans="9:35">
      <c r="I107" s="104"/>
      <c r="J107" s="104"/>
      <c r="K107" s="104"/>
      <c r="L107" s="104"/>
      <c r="M107" s="104"/>
      <c r="N107" s="104"/>
      <c r="O107" s="104"/>
      <c r="P107" s="104"/>
      <c r="Q107" s="104"/>
      <c r="R107" s="104"/>
      <c r="S107" s="104"/>
      <c r="T107" s="104"/>
      <c r="U107" s="104"/>
      <c r="V107" s="104"/>
      <c r="W107" s="104"/>
      <c r="X107" s="104"/>
      <c r="Y107" s="104"/>
      <c r="Z107" s="104"/>
      <c r="AA107" s="104"/>
      <c r="AB107" s="104"/>
      <c r="AC107" s="104"/>
      <c r="AD107" s="104"/>
      <c r="AE107" s="104"/>
      <c r="AF107" s="104"/>
      <c r="AG107" s="104"/>
      <c r="AH107" s="104"/>
      <c r="AI107" s="104"/>
    </row>
    <row r="108" spans="9:35">
      <c r="I108" s="104"/>
      <c r="J108" s="104"/>
      <c r="K108" s="104"/>
      <c r="L108" s="104"/>
      <c r="M108" s="104"/>
      <c r="N108" s="104"/>
      <c r="O108" s="104"/>
      <c r="P108" s="104"/>
      <c r="Q108" s="104"/>
      <c r="R108" s="104"/>
      <c r="S108" s="104"/>
      <c r="T108" s="104"/>
      <c r="U108" s="104"/>
      <c r="V108" s="104"/>
      <c r="W108" s="104"/>
      <c r="X108" s="104"/>
      <c r="Y108" s="104"/>
      <c r="Z108" s="104"/>
      <c r="AA108" s="104"/>
      <c r="AB108" s="104"/>
      <c r="AC108" s="104"/>
      <c r="AD108" s="104"/>
      <c r="AE108" s="104"/>
      <c r="AF108" s="104"/>
      <c r="AG108" s="104"/>
      <c r="AH108" s="104"/>
      <c r="AI108" s="104"/>
    </row>
    <row r="109" spans="9:35">
      <c r="I109" s="104"/>
      <c r="J109" s="104"/>
      <c r="K109" s="104"/>
      <c r="L109" s="104"/>
      <c r="M109" s="104"/>
      <c r="N109" s="104"/>
      <c r="O109" s="104"/>
      <c r="P109" s="104"/>
      <c r="Q109" s="104"/>
      <c r="R109" s="104"/>
      <c r="S109" s="104"/>
      <c r="T109" s="104"/>
      <c r="U109" s="104"/>
      <c r="V109" s="104"/>
      <c r="W109" s="104"/>
      <c r="X109" s="104"/>
      <c r="Y109" s="104"/>
      <c r="Z109" s="104"/>
      <c r="AA109" s="104"/>
      <c r="AB109" s="104"/>
      <c r="AC109" s="104"/>
      <c r="AD109" s="104"/>
      <c r="AE109" s="104"/>
      <c r="AF109" s="104"/>
      <c r="AG109" s="104"/>
      <c r="AH109" s="104"/>
      <c r="AI109" s="104"/>
    </row>
    <row r="110" spans="9:35">
      <c r="I110" s="104"/>
      <c r="J110" s="104"/>
      <c r="K110" s="104"/>
      <c r="L110" s="104"/>
      <c r="M110" s="104"/>
      <c r="N110" s="104"/>
      <c r="O110" s="104"/>
      <c r="P110" s="104"/>
      <c r="Q110" s="104"/>
      <c r="R110" s="104"/>
      <c r="S110" s="104"/>
      <c r="T110" s="104"/>
      <c r="U110" s="104"/>
      <c r="V110" s="104"/>
      <c r="W110" s="104"/>
      <c r="X110" s="104"/>
      <c r="Y110" s="104"/>
      <c r="Z110" s="104"/>
      <c r="AA110" s="104"/>
      <c r="AB110" s="104"/>
      <c r="AC110" s="104"/>
      <c r="AD110" s="104"/>
      <c r="AE110" s="104"/>
      <c r="AF110" s="104"/>
      <c r="AG110" s="104"/>
      <c r="AH110" s="104"/>
      <c r="AI110" s="104"/>
    </row>
    <row r="111" spans="9:35">
      <c r="I111" s="104"/>
      <c r="J111" s="104"/>
      <c r="K111" s="104"/>
      <c r="L111" s="104"/>
      <c r="M111" s="104"/>
      <c r="N111" s="104"/>
      <c r="O111" s="104"/>
      <c r="P111" s="104"/>
      <c r="Q111" s="104"/>
      <c r="R111" s="104"/>
      <c r="S111" s="104"/>
      <c r="T111" s="104"/>
      <c r="U111" s="104"/>
      <c r="V111" s="104"/>
      <c r="W111" s="104"/>
      <c r="X111" s="104"/>
      <c r="Y111" s="104"/>
      <c r="Z111" s="104"/>
      <c r="AA111" s="104"/>
      <c r="AB111" s="104"/>
      <c r="AC111" s="104"/>
      <c r="AD111" s="104"/>
      <c r="AE111" s="104"/>
      <c r="AF111" s="104"/>
      <c r="AG111" s="104"/>
      <c r="AH111" s="104"/>
      <c r="AI111" s="104"/>
    </row>
    <row r="112" spans="9:35">
      <c r="I112" s="104"/>
      <c r="J112" s="104"/>
      <c r="K112" s="104"/>
      <c r="L112" s="104"/>
      <c r="M112" s="104"/>
      <c r="N112" s="104"/>
      <c r="O112" s="104"/>
      <c r="P112" s="104"/>
      <c r="Q112" s="104"/>
      <c r="R112" s="104"/>
      <c r="S112" s="104"/>
      <c r="T112" s="104"/>
      <c r="U112" s="104"/>
      <c r="V112" s="104"/>
      <c r="W112" s="104"/>
      <c r="X112" s="104"/>
      <c r="Y112" s="104"/>
      <c r="Z112" s="104"/>
      <c r="AA112" s="104"/>
      <c r="AB112" s="104"/>
      <c r="AC112" s="104"/>
      <c r="AD112" s="104"/>
      <c r="AE112" s="104"/>
      <c r="AF112" s="104"/>
      <c r="AG112" s="104"/>
      <c r="AH112" s="104"/>
      <c r="AI112" s="104"/>
    </row>
    <row r="113" spans="9:35">
      <c r="I113" s="104"/>
      <c r="J113" s="104"/>
      <c r="K113" s="104"/>
      <c r="L113" s="104"/>
      <c r="M113" s="104"/>
      <c r="N113" s="104"/>
      <c r="O113" s="104"/>
      <c r="P113" s="104"/>
      <c r="Q113" s="104"/>
      <c r="R113" s="104"/>
      <c r="S113" s="104"/>
      <c r="T113" s="104"/>
      <c r="U113" s="104"/>
      <c r="V113" s="104"/>
      <c r="W113" s="104"/>
      <c r="X113" s="104"/>
      <c r="Y113" s="104"/>
      <c r="Z113" s="104"/>
      <c r="AA113" s="104"/>
      <c r="AB113" s="104"/>
      <c r="AC113" s="104"/>
      <c r="AD113" s="104"/>
      <c r="AE113" s="104"/>
      <c r="AF113" s="104"/>
      <c r="AG113" s="104"/>
      <c r="AH113" s="104"/>
      <c r="AI113" s="104"/>
    </row>
    <row r="114" spans="9:35">
      <c r="I114" s="104"/>
      <c r="J114" s="104"/>
      <c r="K114" s="104"/>
      <c r="L114" s="104"/>
      <c r="M114" s="104"/>
      <c r="N114" s="104"/>
      <c r="O114" s="104"/>
      <c r="P114" s="104"/>
      <c r="Q114" s="104"/>
      <c r="R114" s="104"/>
      <c r="S114" s="104"/>
      <c r="T114" s="104"/>
      <c r="U114" s="104"/>
      <c r="V114" s="104"/>
      <c r="W114" s="104"/>
      <c r="X114" s="104"/>
      <c r="Y114" s="104"/>
      <c r="Z114" s="104"/>
      <c r="AA114" s="104"/>
      <c r="AB114" s="104"/>
      <c r="AC114" s="104"/>
      <c r="AD114" s="104"/>
      <c r="AE114" s="104"/>
      <c r="AF114" s="104"/>
      <c r="AG114" s="104"/>
      <c r="AH114" s="104"/>
      <c r="AI114" s="104"/>
    </row>
    <row r="115" spans="9:35">
      <c r="I115" s="104"/>
      <c r="J115" s="104"/>
      <c r="K115" s="104"/>
      <c r="L115" s="104"/>
      <c r="M115" s="104"/>
      <c r="N115" s="104"/>
      <c r="O115" s="104"/>
      <c r="P115" s="104"/>
      <c r="Q115" s="104"/>
      <c r="R115" s="104"/>
      <c r="S115" s="104"/>
      <c r="T115" s="104"/>
      <c r="U115" s="104"/>
      <c r="V115" s="104"/>
      <c r="W115" s="104"/>
      <c r="X115" s="104"/>
      <c r="Y115" s="104"/>
      <c r="Z115" s="104"/>
      <c r="AA115" s="104"/>
      <c r="AB115" s="104"/>
      <c r="AC115" s="104"/>
      <c r="AD115" s="104"/>
      <c r="AE115" s="104"/>
      <c r="AF115" s="104"/>
      <c r="AG115" s="104"/>
      <c r="AH115" s="104"/>
      <c r="AI115" s="104"/>
    </row>
    <row r="116" spans="9:35">
      <c r="I116" s="104"/>
      <c r="J116" s="104"/>
      <c r="K116" s="104"/>
      <c r="L116" s="104"/>
      <c r="M116" s="104"/>
      <c r="N116" s="104"/>
      <c r="O116" s="104"/>
      <c r="P116" s="104"/>
      <c r="Q116" s="104"/>
      <c r="R116" s="104"/>
      <c r="S116" s="104"/>
      <c r="T116" s="104"/>
      <c r="U116" s="104"/>
      <c r="V116" s="104"/>
      <c r="W116" s="104"/>
      <c r="X116" s="104"/>
      <c r="Y116" s="104"/>
      <c r="Z116" s="104"/>
      <c r="AA116" s="104"/>
      <c r="AB116" s="104"/>
      <c r="AC116" s="104"/>
      <c r="AD116" s="104"/>
      <c r="AE116" s="104"/>
      <c r="AF116" s="104"/>
      <c r="AG116" s="104"/>
      <c r="AH116" s="104"/>
      <c r="AI116" s="104"/>
    </row>
    <row r="117" spans="9:35">
      <c r="I117" s="104"/>
      <c r="J117" s="104"/>
      <c r="K117" s="104"/>
      <c r="L117" s="104"/>
      <c r="M117" s="104"/>
      <c r="N117" s="104"/>
      <c r="O117" s="104"/>
      <c r="P117" s="104"/>
      <c r="Q117" s="104"/>
      <c r="R117" s="104"/>
      <c r="S117" s="104"/>
      <c r="T117" s="104"/>
      <c r="U117" s="104"/>
      <c r="V117" s="104"/>
      <c r="W117" s="104"/>
      <c r="X117" s="104"/>
      <c r="Y117" s="104"/>
      <c r="Z117" s="104"/>
      <c r="AA117" s="104"/>
      <c r="AB117" s="104"/>
      <c r="AC117" s="104"/>
      <c r="AD117" s="104"/>
      <c r="AE117" s="104"/>
      <c r="AF117" s="104"/>
      <c r="AG117" s="104"/>
      <c r="AH117" s="104"/>
      <c r="AI117" s="104"/>
    </row>
    <row r="118" spans="9:35">
      <c r="I118" s="104"/>
      <c r="J118" s="104"/>
      <c r="K118" s="104"/>
      <c r="L118" s="104"/>
      <c r="M118" s="104"/>
      <c r="N118" s="104"/>
      <c r="O118" s="104"/>
      <c r="P118" s="104"/>
      <c r="Q118" s="104"/>
      <c r="R118" s="104"/>
      <c r="S118" s="104"/>
      <c r="T118" s="104"/>
      <c r="U118" s="104"/>
      <c r="V118" s="104"/>
      <c r="W118" s="104"/>
      <c r="X118" s="104"/>
      <c r="Y118" s="104"/>
      <c r="Z118" s="104"/>
      <c r="AA118" s="104"/>
      <c r="AB118" s="104"/>
      <c r="AC118" s="104"/>
      <c r="AD118" s="104"/>
      <c r="AE118" s="104"/>
      <c r="AF118" s="104"/>
      <c r="AG118" s="104"/>
      <c r="AH118" s="104"/>
      <c r="AI118" s="104"/>
    </row>
    <row r="119" spans="9:35">
      <c r="I119" s="104"/>
      <c r="J119" s="104"/>
      <c r="K119" s="104"/>
      <c r="L119" s="104"/>
      <c r="M119" s="104"/>
      <c r="N119" s="104"/>
      <c r="O119" s="104"/>
      <c r="P119" s="104"/>
      <c r="Q119" s="104"/>
      <c r="R119" s="104"/>
      <c r="S119" s="104"/>
      <c r="T119" s="104"/>
      <c r="U119" s="104"/>
      <c r="V119" s="104"/>
      <c r="W119" s="104"/>
      <c r="X119" s="104"/>
      <c r="Y119" s="104"/>
      <c r="Z119" s="104"/>
      <c r="AA119" s="104"/>
      <c r="AB119" s="104"/>
      <c r="AC119" s="104"/>
      <c r="AD119" s="104"/>
      <c r="AE119" s="104"/>
      <c r="AF119" s="104"/>
      <c r="AG119" s="104"/>
      <c r="AH119" s="104"/>
      <c r="AI119" s="104"/>
    </row>
    <row r="120" spans="9:35">
      <c r="I120" s="104"/>
      <c r="J120" s="104"/>
      <c r="K120" s="104"/>
      <c r="L120" s="104"/>
      <c r="M120" s="104"/>
      <c r="N120" s="104"/>
      <c r="O120" s="104"/>
      <c r="P120" s="104"/>
      <c r="Q120" s="104"/>
      <c r="R120" s="104"/>
      <c r="S120" s="104"/>
      <c r="T120" s="104"/>
      <c r="U120" s="104"/>
      <c r="V120" s="104"/>
      <c r="W120" s="104"/>
      <c r="X120" s="104"/>
      <c r="Y120" s="104"/>
      <c r="Z120" s="104"/>
      <c r="AA120" s="104"/>
      <c r="AB120" s="104"/>
      <c r="AC120" s="104"/>
      <c r="AD120" s="104"/>
      <c r="AE120" s="104"/>
      <c r="AF120" s="104"/>
      <c r="AG120" s="104"/>
      <c r="AH120" s="104"/>
      <c r="AI120" s="104"/>
    </row>
    <row r="121" spans="9:35">
      <c r="I121" s="104"/>
      <c r="J121" s="104"/>
      <c r="K121" s="104"/>
      <c r="L121" s="104"/>
      <c r="M121" s="104"/>
      <c r="N121" s="104"/>
      <c r="O121" s="104"/>
      <c r="P121" s="104"/>
      <c r="Q121" s="104"/>
      <c r="R121" s="104"/>
      <c r="S121" s="104"/>
      <c r="T121" s="104"/>
      <c r="U121" s="104"/>
      <c r="V121" s="104"/>
      <c r="W121" s="104"/>
      <c r="X121" s="104"/>
      <c r="Y121" s="104"/>
      <c r="Z121" s="104"/>
      <c r="AA121" s="104"/>
      <c r="AB121" s="104"/>
      <c r="AC121" s="104"/>
      <c r="AD121" s="104"/>
      <c r="AE121" s="104"/>
      <c r="AF121" s="104"/>
      <c r="AG121" s="104"/>
      <c r="AH121" s="104"/>
      <c r="AI121" s="104"/>
    </row>
    <row r="122" spans="9:35">
      <c r="I122" s="104"/>
      <c r="J122" s="104"/>
      <c r="K122" s="104"/>
      <c r="L122" s="104"/>
      <c r="M122" s="104"/>
      <c r="N122" s="104"/>
      <c r="O122" s="104"/>
      <c r="P122" s="104"/>
      <c r="Q122" s="104"/>
      <c r="R122" s="104"/>
      <c r="S122" s="104"/>
      <c r="T122" s="104"/>
      <c r="U122" s="104"/>
      <c r="V122" s="104"/>
      <c r="W122" s="104"/>
      <c r="X122" s="104"/>
      <c r="Y122" s="104"/>
      <c r="Z122" s="104"/>
      <c r="AA122" s="104"/>
      <c r="AB122" s="104"/>
      <c r="AC122" s="104"/>
      <c r="AD122" s="104"/>
      <c r="AE122" s="104"/>
      <c r="AF122" s="104"/>
      <c r="AG122" s="104"/>
      <c r="AH122" s="104"/>
      <c r="AI122" s="104"/>
    </row>
    <row r="123" spans="9:35">
      <c r="I123" s="104"/>
      <c r="J123" s="104"/>
      <c r="K123" s="104"/>
      <c r="L123" s="104"/>
      <c r="M123" s="104"/>
      <c r="N123" s="104"/>
      <c r="O123" s="104"/>
      <c r="P123" s="104"/>
      <c r="Q123" s="104"/>
      <c r="R123" s="104"/>
      <c r="S123" s="104"/>
      <c r="T123" s="104"/>
      <c r="U123" s="104"/>
      <c r="V123" s="104"/>
      <c r="W123" s="104"/>
      <c r="X123" s="104"/>
      <c r="Y123" s="104"/>
      <c r="Z123" s="104"/>
      <c r="AA123" s="104"/>
      <c r="AB123" s="104"/>
      <c r="AC123" s="104"/>
      <c r="AD123" s="104"/>
      <c r="AE123" s="104"/>
      <c r="AF123" s="104"/>
      <c r="AG123" s="104"/>
      <c r="AH123" s="104"/>
      <c r="AI123" s="104"/>
    </row>
    <row r="124" spans="9:35">
      <c r="I124" s="104"/>
      <c r="J124" s="104"/>
      <c r="K124" s="104"/>
      <c r="L124" s="104"/>
      <c r="M124" s="104"/>
      <c r="N124" s="104"/>
      <c r="O124" s="104"/>
      <c r="P124" s="104"/>
      <c r="Q124" s="104"/>
      <c r="R124" s="104"/>
      <c r="S124" s="104"/>
      <c r="T124" s="104"/>
      <c r="U124" s="104"/>
      <c r="V124" s="104"/>
      <c r="W124" s="104"/>
      <c r="X124" s="104"/>
      <c r="Y124" s="104"/>
      <c r="Z124" s="104"/>
      <c r="AA124" s="104"/>
      <c r="AB124" s="104"/>
      <c r="AC124" s="104"/>
      <c r="AD124" s="104"/>
      <c r="AE124" s="104"/>
      <c r="AF124" s="104"/>
      <c r="AG124" s="104"/>
      <c r="AH124" s="104"/>
      <c r="AI124" s="104"/>
    </row>
    <row r="125" spans="9:35">
      <c r="I125" s="104"/>
      <c r="J125" s="104"/>
      <c r="K125" s="104"/>
      <c r="L125" s="104"/>
      <c r="M125" s="104"/>
      <c r="N125" s="104"/>
      <c r="O125" s="104"/>
      <c r="P125" s="104"/>
      <c r="Q125" s="104"/>
      <c r="R125" s="104"/>
      <c r="S125" s="104"/>
      <c r="T125" s="104"/>
      <c r="U125" s="104"/>
      <c r="V125" s="104"/>
      <c r="W125" s="104"/>
      <c r="X125" s="104"/>
      <c r="Y125" s="104"/>
      <c r="Z125" s="104"/>
      <c r="AA125" s="104"/>
      <c r="AB125" s="104"/>
      <c r="AC125" s="104"/>
      <c r="AD125" s="104"/>
      <c r="AE125" s="104"/>
      <c r="AF125" s="104"/>
      <c r="AG125" s="104"/>
      <c r="AH125" s="104"/>
      <c r="AI125" s="104"/>
    </row>
    <row r="126" spans="9:35">
      <c r="I126" s="104"/>
      <c r="J126" s="104"/>
      <c r="K126" s="104"/>
      <c r="L126" s="104"/>
      <c r="M126" s="104"/>
      <c r="N126" s="104"/>
      <c r="O126" s="104"/>
      <c r="P126" s="104"/>
      <c r="Q126" s="104"/>
      <c r="R126" s="104"/>
      <c r="S126" s="104"/>
      <c r="T126" s="104"/>
      <c r="U126" s="104"/>
      <c r="V126" s="104"/>
      <c r="W126" s="104"/>
      <c r="X126" s="104"/>
      <c r="Y126" s="104"/>
      <c r="Z126" s="104"/>
      <c r="AA126" s="104"/>
      <c r="AB126" s="104"/>
      <c r="AC126" s="104"/>
      <c r="AD126" s="104"/>
      <c r="AE126" s="104"/>
      <c r="AF126" s="104"/>
      <c r="AG126" s="104"/>
      <c r="AH126" s="104"/>
      <c r="AI126" s="104"/>
    </row>
    <row r="127" spans="9:35">
      <c r="I127" s="104"/>
      <c r="J127" s="104"/>
      <c r="K127" s="104"/>
      <c r="L127" s="104"/>
      <c r="M127" s="104"/>
      <c r="N127" s="104"/>
      <c r="O127" s="104"/>
      <c r="P127" s="104"/>
      <c r="Q127" s="104"/>
      <c r="R127" s="104"/>
      <c r="S127" s="104"/>
      <c r="T127" s="104"/>
      <c r="U127" s="104"/>
      <c r="V127" s="104"/>
      <c r="W127" s="104"/>
      <c r="X127" s="104"/>
      <c r="Y127" s="104"/>
      <c r="Z127" s="104"/>
      <c r="AA127" s="104"/>
      <c r="AB127" s="104"/>
      <c r="AC127" s="104"/>
      <c r="AD127" s="104"/>
      <c r="AE127" s="104"/>
      <c r="AF127" s="104"/>
      <c r="AG127" s="104"/>
      <c r="AH127" s="104"/>
      <c r="AI127" s="104"/>
    </row>
    <row r="128" spans="9:35">
      <c r="I128" s="104"/>
      <c r="J128" s="104"/>
      <c r="K128" s="104"/>
      <c r="L128" s="104"/>
      <c r="M128" s="104"/>
      <c r="N128" s="104"/>
      <c r="O128" s="104"/>
      <c r="P128" s="104"/>
      <c r="Q128" s="104"/>
      <c r="R128" s="104"/>
      <c r="S128" s="104"/>
      <c r="T128" s="104"/>
      <c r="U128" s="104"/>
      <c r="V128" s="104"/>
      <c r="W128" s="104"/>
      <c r="X128" s="104"/>
      <c r="Y128" s="104"/>
      <c r="Z128" s="104"/>
      <c r="AA128" s="104"/>
      <c r="AB128" s="104"/>
      <c r="AC128" s="104"/>
      <c r="AD128" s="104"/>
      <c r="AE128" s="104"/>
      <c r="AF128" s="104"/>
      <c r="AG128" s="104"/>
      <c r="AH128" s="104"/>
      <c r="AI128" s="104"/>
    </row>
    <row r="129" spans="9:35">
      <c r="I129" s="104"/>
      <c r="J129" s="104"/>
      <c r="K129" s="104"/>
      <c r="L129" s="104"/>
      <c r="M129" s="104"/>
      <c r="N129" s="104"/>
      <c r="O129" s="104"/>
      <c r="P129" s="104"/>
      <c r="Q129" s="104"/>
      <c r="R129" s="104"/>
      <c r="S129" s="104"/>
      <c r="T129" s="104"/>
      <c r="U129" s="104"/>
      <c r="V129" s="104"/>
      <c r="W129" s="104"/>
      <c r="X129" s="104"/>
      <c r="Y129" s="104"/>
      <c r="Z129" s="104"/>
      <c r="AA129" s="104"/>
      <c r="AB129" s="104"/>
      <c r="AC129" s="104"/>
      <c r="AD129" s="104"/>
      <c r="AE129" s="104"/>
      <c r="AF129" s="104"/>
      <c r="AG129" s="104"/>
      <c r="AH129" s="104"/>
      <c r="AI129" s="104"/>
    </row>
    <row r="130" spans="9:35">
      <c r="I130" s="104"/>
      <c r="J130" s="104"/>
      <c r="K130" s="104"/>
      <c r="L130" s="104"/>
      <c r="M130" s="104"/>
      <c r="N130" s="104"/>
      <c r="O130" s="104"/>
      <c r="P130" s="104"/>
      <c r="Q130" s="104"/>
      <c r="R130" s="104"/>
      <c r="S130" s="104"/>
      <c r="T130" s="104"/>
      <c r="U130" s="104"/>
      <c r="V130" s="104"/>
      <c r="W130" s="104"/>
      <c r="X130" s="104"/>
      <c r="Y130" s="104"/>
      <c r="Z130" s="104"/>
      <c r="AA130" s="104"/>
      <c r="AB130" s="104"/>
      <c r="AC130" s="104"/>
      <c r="AD130" s="104"/>
      <c r="AE130" s="104"/>
      <c r="AF130" s="104"/>
      <c r="AG130" s="104"/>
      <c r="AH130" s="104"/>
      <c r="AI130" s="104"/>
    </row>
    <row r="131" spans="9:35">
      <c r="I131" s="104"/>
      <c r="J131" s="104"/>
      <c r="K131" s="104"/>
      <c r="L131" s="104"/>
      <c r="M131" s="104"/>
      <c r="N131" s="104"/>
      <c r="O131" s="104"/>
      <c r="P131" s="104"/>
      <c r="Q131" s="104"/>
      <c r="R131" s="104"/>
      <c r="S131" s="104"/>
      <c r="T131" s="104"/>
      <c r="U131" s="104"/>
      <c r="V131" s="104"/>
      <c r="W131" s="104"/>
      <c r="X131" s="104"/>
      <c r="Y131" s="104"/>
      <c r="Z131" s="104"/>
      <c r="AA131" s="104"/>
      <c r="AB131" s="104"/>
      <c r="AC131" s="104"/>
      <c r="AD131" s="104"/>
      <c r="AE131" s="104"/>
      <c r="AF131" s="104"/>
      <c r="AG131" s="104"/>
      <c r="AH131" s="104"/>
      <c r="AI131" s="104"/>
    </row>
    <row r="132" spans="9:35">
      <c r="I132" s="104"/>
      <c r="J132" s="104"/>
      <c r="K132" s="104"/>
      <c r="L132" s="104"/>
      <c r="M132" s="104"/>
      <c r="N132" s="104"/>
      <c r="O132" s="104"/>
      <c r="P132" s="104"/>
      <c r="Q132" s="104"/>
      <c r="R132" s="104"/>
      <c r="S132" s="104"/>
      <c r="T132" s="104"/>
      <c r="U132" s="104"/>
      <c r="V132" s="104"/>
      <c r="W132" s="104"/>
      <c r="X132" s="104"/>
      <c r="Y132" s="104"/>
      <c r="Z132" s="104"/>
      <c r="AA132" s="104"/>
      <c r="AB132" s="104"/>
      <c r="AC132" s="104"/>
      <c r="AD132" s="104"/>
      <c r="AE132" s="104"/>
      <c r="AF132" s="104"/>
      <c r="AG132" s="104"/>
      <c r="AH132" s="104"/>
      <c r="AI132" s="104"/>
    </row>
    <row r="133" spans="9:35">
      <c r="I133" s="104"/>
      <c r="J133" s="104"/>
      <c r="K133" s="104"/>
      <c r="L133" s="104"/>
      <c r="M133" s="104"/>
      <c r="N133" s="104"/>
      <c r="O133" s="104"/>
      <c r="P133" s="104"/>
      <c r="Q133" s="104"/>
      <c r="R133" s="104"/>
      <c r="S133" s="104"/>
      <c r="T133" s="104"/>
      <c r="U133" s="104"/>
      <c r="V133" s="104"/>
      <c r="W133" s="104"/>
      <c r="X133" s="104"/>
      <c r="Y133" s="104"/>
      <c r="Z133" s="104"/>
      <c r="AA133" s="104"/>
      <c r="AB133" s="104"/>
      <c r="AC133" s="104"/>
      <c r="AD133" s="104"/>
      <c r="AE133" s="104"/>
      <c r="AF133" s="104"/>
      <c r="AG133" s="104"/>
      <c r="AH133" s="104"/>
      <c r="AI133" s="104"/>
    </row>
    <row r="134" spans="9:35">
      <c r="I134" s="104"/>
      <c r="J134" s="104"/>
      <c r="K134" s="104"/>
      <c r="L134" s="104"/>
      <c r="M134" s="104"/>
      <c r="N134" s="104"/>
      <c r="O134" s="104"/>
      <c r="P134" s="104"/>
      <c r="Q134" s="104"/>
      <c r="R134" s="104"/>
      <c r="S134" s="104"/>
      <c r="T134" s="104"/>
      <c r="U134" s="104"/>
      <c r="V134" s="104"/>
      <c r="W134" s="104"/>
      <c r="X134" s="104"/>
      <c r="Y134" s="104"/>
      <c r="Z134" s="104"/>
      <c r="AA134" s="104"/>
      <c r="AB134" s="104"/>
      <c r="AC134" s="104"/>
      <c r="AD134" s="104"/>
      <c r="AE134" s="104"/>
      <c r="AF134" s="104"/>
      <c r="AG134" s="104"/>
      <c r="AH134" s="104"/>
      <c r="AI134" s="104"/>
    </row>
    <row r="135" spans="9:35">
      <c r="I135" s="104"/>
      <c r="J135" s="104"/>
      <c r="K135" s="104"/>
      <c r="L135" s="104"/>
      <c r="M135" s="104"/>
      <c r="N135" s="104"/>
      <c r="O135" s="104"/>
      <c r="P135" s="104"/>
      <c r="Q135" s="104"/>
      <c r="R135" s="104"/>
      <c r="S135" s="104"/>
      <c r="T135" s="104"/>
      <c r="U135" s="104"/>
      <c r="V135" s="104"/>
      <c r="W135" s="104"/>
      <c r="X135" s="104"/>
      <c r="Y135" s="104"/>
      <c r="Z135" s="104"/>
      <c r="AA135" s="104"/>
      <c r="AB135" s="104"/>
      <c r="AC135" s="104"/>
      <c r="AD135" s="104"/>
      <c r="AE135" s="104"/>
      <c r="AF135" s="104"/>
      <c r="AG135" s="104"/>
      <c r="AH135" s="104"/>
      <c r="AI135" s="104"/>
    </row>
    <row r="136" spans="9:35">
      <c r="I136" s="104"/>
      <c r="J136" s="104"/>
      <c r="K136" s="104"/>
      <c r="L136" s="104"/>
      <c r="M136" s="104"/>
      <c r="N136" s="104"/>
      <c r="O136" s="104"/>
      <c r="P136" s="104"/>
      <c r="Q136" s="104"/>
      <c r="R136" s="104"/>
      <c r="S136" s="104"/>
      <c r="T136" s="104"/>
      <c r="U136" s="104"/>
      <c r="V136" s="104"/>
      <c r="W136" s="104"/>
      <c r="X136" s="104"/>
      <c r="Y136" s="104"/>
      <c r="Z136" s="104"/>
      <c r="AA136" s="104"/>
      <c r="AB136" s="104"/>
      <c r="AC136" s="104"/>
      <c r="AD136" s="104"/>
      <c r="AE136" s="104"/>
      <c r="AF136" s="104"/>
      <c r="AG136" s="104"/>
      <c r="AH136" s="104"/>
      <c r="AI136" s="104"/>
    </row>
  </sheetData>
  <pageMargins left="0" right="0" top="1" bottom="1" header="0.5" footer="0.5"/>
  <pageSetup scale="78" orientation="landscape" r:id="rId1"/>
  <headerFooter alignWithMargins="0">
    <oddFooter>&amp;R&amp;8&amp;T&amp;D&amp;F</oddFooter>
  </headerFooter>
</worksheet>
</file>

<file path=xl/worksheets/sheet4.xml><?xml version="1.0" encoding="utf-8"?>
<worksheet xmlns="http://schemas.openxmlformats.org/spreadsheetml/2006/main" xmlns:r="http://schemas.openxmlformats.org/officeDocument/2006/relationships">
  <sheetPr>
    <pageSetUpPr fitToPage="1"/>
  </sheetPr>
  <dimension ref="A1:L98"/>
  <sheetViews>
    <sheetView topLeftCell="A73" zoomScaleNormal="100" workbookViewId="0">
      <selection activeCell="B41" sqref="B41"/>
    </sheetView>
  </sheetViews>
  <sheetFormatPr defaultColWidth="8.85546875" defaultRowHeight="12.75"/>
  <cols>
    <col min="1" max="1" width="14.140625" customWidth="1"/>
    <col min="2" max="2" width="30" customWidth="1"/>
    <col min="3" max="4" width="13.42578125" customWidth="1"/>
    <col min="5" max="5" width="11.42578125" customWidth="1"/>
  </cols>
  <sheetData>
    <row r="1" spans="1:9" ht="15.75">
      <c r="A1" s="177" t="s">
        <v>205</v>
      </c>
      <c r="B1" s="177"/>
      <c r="C1" s="177"/>
      <c r="D1" s="177"/>
      <c r="E1" s="177"/>
      <c r="F1" s="177"/>
      <c r="G1" s="177"/>
      <c r="H1" s="177"/>
      <c r="I1" s="177"/>
    </row>
    <row r="3" spans="1:9" ht="15.75">
      <c r="A3" s="123" t="s">
        <v>122</v>
      </c>
    </row>
    <row r="4" spans="1:9" ht="15.75">
      <c r="A4" s="121" t="s">
        <v>170</v>
      </c>
    </row>
    <row r="5" spans="1:9" ht="15.75">
      <c r="A5" s="121" t="s">
        <v>124</v>
      </c>
    </row>
    <row r="6" spans="1:9" ht="15.75">
      <c r="A6" s="121" t="s">
        <v>197</v>
      </c>
    </row>
    <row r="7" spans="1:9" ht="15.75">
      <c r="A7" s="121" t="s">
        <v>196</v>
      </c>
    </row>
    <row r="8" spans="1:9" ht="15.75">
      <c r="A8" s="121" t="s">
        <v>171</v>
      </c>
    </row>
    <row r="9" spans="1:9" ht="15.75">
      <c r="A9" s="121" t="s">
        <v>172</v>
      </c>
    </row>
    <row r="10" spans="1:9" ht="15.75">
      <c r="A10" s="121" t="s">
        <v>173</v>
      </c>
    </row>
    <row r="11" spans="1:9" ht="15.75">
      <c r="A11" s="121" t="s">
        <v>175</v>
      </c>
    </row>
    <row r="12" spans="1:9" ht="15.75">
      <c r="A12" s="121" t="s">
        <v>176</v>
      </c>
    </row>
    <row r="13" spans="1:9" ht="15.75">
      <c r="A13" s="121" t="s">
        <v>173</v>
      </c>
    </row>
    <row r="14" spans="1:9" ht="15.75">
      <c r="A14" s="121" t="s">
        <v>175</v>
      </c>
    </row>
    <row r="15" spans="1:9" ht="15.75">
      <c r="A15" s="121" t="s">
        <v>177</v>
      </c>
    </row>
    <row r="16" spans="1:9" ht="15.75">
      <c r="A16" s="121" t="s">
        <v>178</v>
      </c>
    </row>
    <row r="17" spans="1:1" ht="15.75">
      <c r="A17" s="121" t="s">
        <v>179</v>
      </c>
    </row>
    <row r="18" spans="1:1" ht="15.75">
      <c r="A18" s="121" t="s">
        <v>169</v>
      </c>
    </row>
    <row r="19" spans="1:1" ht="15.75">
      <c r="A19" s="121" t="s">
        <v>180</v>
      </c>
    </row>
    <row r="20" spans="1:1" ht="15.75">
      <c r="A20" s="121" t="s">
        <v>181</v>
      </c>
    </row>
    <row r="21" spans="1:1" ht="15.75">
      <c r="A21" s="121" t="s">
        <v>182</v>
      </c>
    </row>
    <row r="22" spans="1:1" ht="15.75">
      <c r="A22" s="121" t="s">
        <v>183</v>
      </c>
    </row>
    <row r="23" spans="1:1" ht="15.75">
      <c r="A23" s="121" t="s">
        <v>184</v>
      </c>
    </row>
    <row r="24" spans="1:1" ht="15.75">
      <c r="A24" s="121" t="s">
        <v>185</v>
      </c>
    </row>
    <row r="25" spans="1:1" ht="15.75">
      <c r="A25" s="121" t="s">
        <v>186</v>
      </c>
    </row>
    <row r="26" spans="1:1" ht="15.75">
      <c r="A26" s="121" t="s">
        <v>195</v>
      </c>
    </row>
    <row r="27" spans="1:1" ht="15.75">
      <c r="A27" s="121" t="s">
        <v>194</v>
      </c>
    </row>
    <row r="28" spans="1:1" ht="15.75">
      <c r="A28" s="121" t="s">
        <v>187</v>
      </c>
    </row>
    <row r="29" spans="1:1" ht="15.75">
      <c r="A29" s="121" t="s">
        <v>188</v>
      </c>
    </row>
    <row r="30" spans="1:1" ht="15.75">
      <c r="A30" s="121" t="s">
        <v>189</v>
      </c>
    </row>
    <row r="31" spans="1:1" ht="15.75">
      <c r="A31" s="121" t="s">
        <v>190</v>
      </c>
    </row>
    <row r="32" spans="1:1" ht="15.75">
      <c r="A32" s="121" t="s">
        <v>191</v>
      </c>
    </row>
    <row r="33" spans="1:5" ht="15.75">
      <c r="A33" s="123" t="s">
        <v>206</v>
      </c>
    </row>
    <row r="34" spans="1:5" ht="15.75">
      <c r="A34" s="123" t="s">
        <v>207</v>
      </c>
    </row>
    <row r="35" spans="1:5" ht="15.75">
      <c r="A35" s="123" t="s">
        <v>208</v>
      </c>
    </row>
    <row r="36" spans="1:5" ht="15.75">
      <c r="A36" s="121" t="s">
        <v>192</v>
      </c>
    </row>
    <row r="37" spans="1:5" ht="15.75">
      <c r="A37" s="121" t="s">
        <v>193</v>
      </c>
    </row>
    <row r="38" spans="1:5" ht="15.75">
      <c r="A38" s="123" t="s">
        <v>198</v>
      </c>
    </row>
    <row r="39" spans="1:5" ht="15.75">
      <c r="A39" s="123" t="s">
        <v>200</v>
      </c>
    </row>
    <row r="40" spans="1:5" ht="15.75">
      <c r="A40" s="123" t="s">
        <v>199</v>
      </c>
    </row>
    <row r="41" spans="1:5" ht="15.75">
      <c r="A41" s="123" t="s">
        <v>209</v>
      </c>
    </row>
    <row r="44" spans="1:5" ht="15.75">
      <c r="A44" s="2" t="s">
        <v>1</v>
      </c>
      <c r="B44" s="6"/>
    </row>
    <row r="45" spans="1:5" ht="15.75">
      <c r="A45" s="2" t="s">
        <v>33</v>
      </c>
      <c r="B45" s="6"/>
    </row>
    <row r="46" spans="1:5">
      <c r="A46" s="1"/>
      <c r="B46" s="1"/>
      <c r="C46" s="1"/>
      <c r="D46" s="1"/>
    </row>
    <row r="47" spans="1:5" s="1" customFormat="1" ht="15.75">
      <c r="A47" s="36" t="s">
        <v>23</v>
      </c>
      <c r="B47" s="36"/>
      <c r="C47" s="36"/>
      <c r="D47" s="36"/>
      <c r="E47" s="18"/>
    </row>
    <row r="48" spans="1:5" ht="12.95" customHeight="1">
      <c r="A48" s="18"/>
      <c r="B48" s="18"/>
      <c r="C48" s="178" t="s">
        <v>32</v>
      </c>
      <c r="D48" s="179"/>
      <c r="E48" s="37"/>
    </row>
    <row r="49" spans="1:12" ht="15.75">
      <c r="A49" s="38"/>
      <c r="B49" s="39"/>
      <c r="C49" s="40" t="s">
        <v>111</v>
      </c>
      <c r="D49" s="40" t="s">
        <v>56</v>
      </c>
      <c r="E49" s="37"/>
    </row>
    <row r="50" spans="1:12" s="7" customFormat="1" ht="15.75">
      <c r="A50" s="41" t="s">
        <v>34</v>
      </c>
      <c r="B50" s="42"/>
      <c r="C50" s="75">
        <f>'Lab Tests'!H56*0.9</f>
        <v>1800</v>
      </c>
      <c r="D50" s="75">
        <f>Consultation!H66*0.9</f>
        <v>1403.28</v>
      </c>
      <c r="E50" s="43"/>
      <c r="F50" s="90"/>
      <c r="G50" s="118"/>
      <c r="H50" s="118"/>
      <c r="I50" s="118"/>
      <c r="J50" s="118"/>
    </row>
    <row r="51" spans="1:12" s="7" customFormat="1" ht="15.75">
      <c r="A51" s="41" t="s">
        <v>35</v>
      </c>
      <c r="B51" s="42"/>
      <c r="C51" s="75">
        <f>'Lab Tests'!H56*0.1</f>
        <v>200</v>
      </c>
      <c r="D51" s="75">
        <f>Consultation!H66*0.1</f>
        <v>155.92000000000002</v>
      </c>
      <c r="E51" s="43"/>
    </row>
    <row r="52" spans="1:12" s="7" customFormat="1" ht="15.75">
      <c r="A52" s="44" t="s">
        <v>45</v>
      </c>
      <c r="B52" s="45"/>
      <c r="C52" s="46">
        <f>'Lab Tests'!H58</f>
        <v>51.707583333333339</v>
      </c>
      <c r="D52" s="46">
        <f>Consultation!H68</f>
        <v>44.243842996408411</v>
      </c>
      <c r="E52" s="47"/>
      <c r="F52" s="90"/>
      <c r="G52" s="118"/>
      <c r="H52" s="118"/>
      <c r="I52" s="118"/>
      <c r="J52" s="118"/>
      <c r="K52" s="118"/>
      <c r="L52" s="118"/>
    </row>
    <row r="53" spans="1:12" s="7" customFormat="1" ht="15.75">
      <c r="A53" s="41" t="s">
        <v>46</v>
      </c>
      <c r="B53" s="38"/>
      <c r="C53" s="48">
        <f>'Lab Tests'!H60</f>
        <v>74.975995833333343</v>
      </c>
      <c r="D53" s="48">
        <f>Consultation!H70</f>
        <v>64.153572344792195</v>
      </c>
      <c r="E53" s="47"/>
    </row>
    <row r="54" spans="1:12" s="8" customFormat="1" ht="15.75">
      <c r="A54" s="49" t="s">
        <v>47</v>
      </c>
      <c r="B54" s="50"/>
      <c r="C54" s="50"/>
      <c r="D54" s="50"/>
      <c r="E54" s="50"/>
    </row>
    <row r="55" spans="1:12" ht="18.75">
      <c r="A55" s="51" t="s">
        <v>41</v>
      </c>
      <c r="B55" s="52"/>
      <c r="C55" s="52"/>
      <c r="D55" s="52"/>
      <c r="E55" s="18"/>
    </row>
    <row r="56" spans="1:12" ht="18.75">
      <c r="A56" s="51"/>
      <c r="B56" s="52"/>
      <c r="C56" s="52"/>
      <c r="D56" s="52"/>
      <c r="E56" s="18"/>
    </row>
    <row r="57" spans="1:12" s="1" customFormat="1" ht="15.75">
      <c r="A57" s="36" t="s">
        <v>24</v>
      </c>
      <c r="B57" s="36"/>
      <c r="C57" s="18"/>
      <c r="D57" s="18"/>
      <c r="E57" s="18"/>
    </row>
    <row r="58" spans="1:12" s="4" customFormat="1" ht="15.75">
      <c r="A58" s="53"/>
      <c r="B58" s="22"/>
      <c r="C58" s="54"/>
      <c r="D58" s="54"/>
      <c r="E58" s="22"/>
      <c r="F58" s="3"/>
    </row>
    <row r="59" spans="1:12" s="4" customFormat="1" ht="12.95" customHeight="1">
      <c r="A59" s="55"/>
      <c r="B59" s="56"/>
      <c r="C59" s="178" t="s">
        <v>32</v>
      </c>
      <c r="D59" s="180"/>
      <c r="E59" s="55"/>
    </row>
    <row r="60" spans="1:12" s="4" customFormat="1" ht="15.75">
      <c r="A60" s="57" t="s">
        <v>25</v>
      </c>
      <c r="B60" s="58" t="s">
        <v>26</v>
      </c>
      <c r="C60" s="40" t="str">
        <f>C49</f>
        <v>Lab Test</v>
      </c>
      <c r="D60" s="40" t="str">
        <f>D49</f>
        <v>Consultation</v>
      </c>
      <c r="E60" s="57" t="s">
        <v>0</v>
      </c>
    </row>
    <row r="61" spans="1:12" s="4" customFormat="1" ht="15.75">
      <c r="A61" s="59" t="str">
        <f>'Lab Tests'!A39</f>
        <v>Name</v>
      </c>
      <c r="B61" s="60" t="str">
        <f>'Lab Tests'!B39</f>
        <v>Director</v>
      </c>
      <c r="C61" s="61">
        <f>'Lab Tests'!C39</f>
        <v>0.05</v>
      </c>
      <c r="D61" s="61">
        <f>Consultation!C49</f>
        <v>0.05</v>
      </c>
      <c r="E61" s="61">
        <f>SUM(C61:D61)</f>
        <v>0.1</v>
      </c>
      <c r="F61" s="90"/>
      <c r="G61" s="128"/>
      <c r="H61" s="128"/>
      <c r="I61" s="128"/>
      <c r="J61" s="128"/>
    </row>
    <row r="62" spans="1:12" ht="15.75">
      <c r="A62" s="59" t="str">
        <f>'Lab Tests'!A40</f>
        <v>Name</v>
      </c>
      <c r="B62" s="60" t="str">
        <f>'Lab Tests'!B40</f>
        <v>Senior SRA</v>
      </c>
      <c r="C62" s="61">
        <f>'Lab Tests'!C40</f>
        <v>0.15</v>
      </c>
      <c r="D62" s="61">
        <f>Consultation!C50</f>
        <v>0</v>
      </c>
      <c r="E62" s="61">
        <f>SUM(C62:D62)</f>
        <v>0.15</v>
      </c>
      <c r="F62" s="129"/>
      <c r="G62" s="8"/>
      <c r="H62" s="8"/>
      <c r="I62" s="8"/>
      <c r="J62" s="8"/>
    </row>
    <row r="63" spans="1:12" ht="15.75">
      <c r="A63" s="59" t="str">
        <f>'Lab Tests'!A41</f>
        <v>Name</v>
      </c>
      <c r="B63" s="60" t="str">
        <f>'Lab Tests'!B41</f>
        <v>SRA</v>
      </c>
      <c r="C63" s="61">
        <f>'Lab Tests'!C41</f>
        <v>0.5</v>
      </c>
      <c r="D63" s="61">
        <f>Consultation!C51</f>
        <v>0.5</v>
      </c>
      <c r="E63" s="61">
        <f>SUM(C63:D63)</f>
        <v>1</v>
      </c>
    </row>
    <row r="64" spans="1:12" ht="15.75">
      <c r="A64" s="59" t="str">
        <f>'Lab Tests'!A42</f>
        <v>Name</v>
      </c>
      <c r="B64" s="60" t="str">
        <f>'Lab Tests'!B42</f>
        <v>SRA</v>
      </c>
      <c r="C64" s="61">
        <f>'Lab Tests'!C42</f>
        <v>0.5</v>
      </c>
      <c r="D64" s="61">
        <f>Consultation!C52</f>
        <v>0.5</v>
      </c>
      <c r="E64" s="61">
        <f>SUM(C64:D64)</f>
        <v>1</v>
      </c>
    </row>
    <row r="65" spans="1:7" ht="15.75">
      <c r="A65" s="19"/>
      <c r="B65" s="19"/>
      <c r="C65" s="19"/>
      <c r="D65" s="19"/>
      <c r="E65" s="19"/>
    </row>
    <row r="66" spans="1:7" ht="15.75">
      <c r="A66" s="62" t="s">
        <v>22</v>
      </c>
      <c r="B66" s="19"/>
      <c r="C66" s="19"/>
      <c r="D66" s="19"/>
      <c r="E66" s="19"/>
    </row>
    <row r="67" spans="1:7" ht="15.75">
      <c r="A67" s="38"/>
      <c r="B67" s="19"/>
      <c r="C67" s="19"/>
      <c r="D67" s="19"/>
      <c r="E67" s="19"/>
    </row>
    <row r="68" spans="1:7" ht="12.75" customHeight="1">
      <c r="A68" s="63"/>
      <c r="B68" s="64"/>
      <c r="C68" s="183" t="s">
        <v>32</v>
      </c>
      <c r="D68" s="184"/>
      <c r="E68" s="89"/>
    </row>
    <row r="69" spans="1:7" ht="15.75">
      <c r="A69" s="65"/>
      <c r="B69" s="62"/>
      <c r="C69" s="40" t="str">
        <f>C49</f>
        <v>Lab Test</v>
      </c>
      <c r="D69" s="40" t="str">
        <f>D49</f>
        <v>Consultation</v>
      </c>
      <c r="E69" s="40" t="s">
        <v>0</v>
      </c>
      <c r="G69" s="1"/>
    </row>
    <row r="70" spans="1:7" s="10" customFormat="1" ht="15.75">
      <c r="A70" s="66" t="s">
        <v>44</v>
      </c>
      <c r="B70" s="62"/>
      <c r="C70" s="67"/>
      <c r="D70" s="67"/>
      <c r="E70" s="68"/>
    </row>
    <row r="71" spans="1:7" s="10" customFormat="1" ht="15.75">
      <c r="A71" s="69" t="s">
        <v>42</v>
      </c>
      <c r="B71" s="50"/>
      <c r="C71" s="130">
        <f>C50*C52</f>
        <v>93073.650000000009</v>
      </c>
      <c r="D71" s="130">
        <f>D50*D52</f>
        <v>62086.499999999993</v>
      </c>
      <c r="E71" s="131">
        <f>SUM(C71:D71)</f>
        <v>155160.15</v>
      </c>
    </row>
    <row r="72" spans="1:7" s="10" customFormat="1" ht="15.75">
      <c r="A72" s="69" t="s">
        <v>36</v>
      </c>
      <c r="B72" s="50"/>
      <c r="C72" s="132">
        <f>C51*C53</f>
        <v>14995.199166666669</v>
      </c>
      <c r="D72" s="132">
        <f>D51*D53</f>
        <v>10002.825000000001</v>
      </c>
      <c r="E72" s="133">
        <f>SUM(C72:D72)</f>
        <v>24998.02416666667</v>
      </c>
    </row>
    <row r="73" spans="1:7" s="10" customFormat="1" ht="15.75">
      <c r="A73" s="78" t="s">
        <v>43</v>
      </c>
      <c r="B73" s="77"/>
      <c r="C73" s="134">
        <f>SUM(C71:C72)</f>
        <v>108068.84916666668</v>
      </c>
      <c r="D73" s="134">
        <f>SUM(D71:D72)</f>
        <v>72089.324999999997</v>
      </c>
      <c r="E73" s="134">
        <f>SUM(E71:E72)</f>
        <v>180158.17416666666</v>
      </c>
    </row>
    <row r="74" spans="1:7" s="10" customFormat="1" ht="15.75">
      <c r="A74" s="65"/>
      <c r="B74" s="62"/>
      <c r="C74" s="135"/>
      <c r="D74" s="135"/>
      <c r="E74" s="131"/>
    </row>
    <row r="75" spans="1:7" s="10" customFormat="1" ht="15.75">
      <c r="A75" s="66" t="s">
        <v>27</v>
      </c>
      <c r="B75" s="71"/>
      <c r="C75" s="136"/>
      <c r="D75" s="136"/>
      <c r="E75" s="131"/>
    </row>
    <row r="76" spans="1:7" s="10" customFormat="1" ht="15.75">
      <c r="A76" s="69" t="str">
        <f>'Lab Tests'!A39</f>
        <v>Name</v>
      </c>
      <c r="B76" s="50" t="str">
        <f>'Lab Tests'!B39</f>
        <v>Director</v>
      </c>
      <c r="C76" s="130">
        <f>'Lab Tests'!H39</f>
        <v>6161</v>
      </c>
      <c r="D76" s="137">
        <f>Consultation!H49</f>
        <v>5185</v>
      </c>
      <c r="E76" s="137">
        <f>SUM(C76:D76)</f>
        <v>11346</v>
      </c>
    </row>
    <row r="77" spans="1:7" s="10" customFormat="1" ht="15.75">
      <c r="A77" s="69" t="str">
        <f>'Lab Tests'!A40</f>
        <v>Name</v>
      </c>
      <c r="B77" s="50" t="str">
        <f>'Lab Tests'!B40</f>
        <v>Senior SRA</v>
      </c>
      <c r="C77" s="130">
        <f>'Lab Tests'!H40</f>
        <v>13387.5</v>
      </c>
      <c r="D77" s="138">
        <f>Consultation!H50</f>
        <v>0</v>
      </c>
      <c r="E77" s="138">
        <f>SUM(C77:D77)</f>
        <v>13387.5</v>
      </c>
    </row>
    <row r="78" spans="1:7" s="10" customFormat="1" ht="15.75">
      <c r="A78" s="69" t="str">
        <f>'Lab Tests'!A41</f>
        <v>Name</v>
      </c>
      <c r="B78" s="50" t="str">
        <f>'Lab Tests'!B41</f>
        <v>SRA</v>
      </c>
      <c r="C78" s="138">
        <f>'Lab Tests'!H41</f>
        <v>30750</v>
      </c>
      <c r="D78" s="137">
        <f>Consultation!H51</f>
        <v>30750</v>
      </c>
      <c r="E78" s="137">
        <f>SUM(C78:D78)</f>
        <v>61500</v>
      </c>
    </row>
    <row r="79" spans="1:7" s="10" customFormat="1" ht="15.75">
      <c r="A79" s="69" t="str">
        <f>'Lab Tests'!A42</f>
        <v>Name</v>
      </c>
      <c r="B79" s="50" t="str">
        <f>'Lab Tests'!B42</f>
        <v>SRA</v>
      </c>
      <c r="C79" s="138">
        <f>'Lab Tests'!H42</f>
        <v>31250</v>
      </c>
      <c r="D79" s="137">
        <f>Consultation!H52</f>
        <v>31250</v>
      </c>
      <c r="E79" s="137">
        <f>SUM(C79:D79)</f>
        <v>62500</v>
      </c>
    </row>
    <row r="80" spans="1:7" s="10" customFormat="1" ht="15.75">
      <c r="C80" s="134">
        <f>SUM(C76:C79)</f>
        <v>81548.5</v>
      </c>
      <c r="D80" s="134">
        <f>SUM(D76:D79)</f>
        <v>67185</v>
      </c>
      <c r="E80" s="139">
        <f>SUM(C80:D80)</f>
        <v>148733.5</v>
      </c>
    </row>
    <row r="81" spans="1:12" s="10" customFormat="1" ht="15.75">
      <c r="A81" s="73"/>
      <c r="B81" s="72"/>
      <c r="C81" s="140"/>
      <c r="D81" s="140"/>
      <c r="E81" s="141"/>
      <c r="F81" s="11"/>
      <c r="G81" s="12"/>
      <c r="H81" s="13"/>
      <c r="I81" s="13"/>
      <c r="J81" s="13"/>
      <c r="K81" s="9"/>
      <c r="L81" s="12"/>
    </row>
    <row r="82" spans="1:12" s="10" customFormat="1" ht="15.75">
      <c r="A82" s="74" t="s">
        <v>28</v>
      </c>
      <c r="B82" s="71"/>
      <c r="C82" s="136"/>
      <c r="D82" s="136"/>
      <c r="E82" s="131"/>
      <c r="F82" s="11"/>
      <c r="G82" s="12"/>
      <c r="H82" s="9"/>
      <c r="I82" s="9"/>
      <c r="J82" s="9"/>
      <c r="K82" s="9"/>
      <c r="L82" s="12"/>
    </row>
    <row r="83" spans="1:12" s="10" customFormat="1" ht="15.75">
      <c r="A83" s="181" t="str">
        <f>'Lab Tests'!A45</f>
        <v>NGN</v>
      </c>
      <c r="B83" s="182"/>
      <c r="C83" s="130">
        <f>'Lab Tests'!H45</f>
        <v>600</v>
      </c>
      <c r="D83" s="130">
        <f>Consultation!H55</f>
        <v>525</v>
      </c>
      <c r="E83" s="130">
        <f>SUM(C83:D83)</f>
        <v>1125</v>
      </c>
      <c r="F83" s="11"/>
      <c r="G83" s="12"/>
      <c r="H83" s="14"/>
      <c r="I83" s="14"/>
      <c r="J83" s="14"/>
      <c r="K83" s="9"/>
      <c r="L83" s="15"/>
    </row>
    <row r="84" spans="1:12" s="10" customFormat="1" ht="15.75">
      <c r="A84" s="82" t="str">
        <f>'Lab Tests'!A46</f>
        <v>Office Supplies</v>
      </c>
      <c r="B84" s="83"/>
      <c r="C84" s="130">
        <f>'Lab Tests'!H46</f>
        <v>600</v>
      </c>
      <c r="D84" s="130">
        <f>Consultation!H56</f>
        <v>525</v>
      </c>
      <c r="E84" s="130">
        <f>SUM(C84:D84)</f>
        <v>1125</v>
      </c>
      <c r="F84" s="90"/>
      <c r="G84" s="90"/>
      <c r="H84" s="90"/>
      <c r="I84" s="90"/>
      <c r="J84" s="90"/>
      <c r="K84" s="9"/>
      <c r="L84" s="15"/>
    </row>
    <row r="85" spans="1:12" s="10" customFormat="1" ht="15.75">
      <c r="A85" s="82" t="str">
        <f>'Lab Tests'!A47</f>
        <v>Lab Supplies</v>
      </c>
      <c r="B85" s="83"/>
      <c r="C85" s="130">
        <f>'Lab Tests'!H47</f>
        <v>2500</v>
      </c>
      <c r="D85" s="130">
        <v>0</v>
      </c>
      <c r="E85" s="130">
        <f>SUM(C85:D85)</f>
        <v>2500</v>
      </c>
      <c r="F85" s="90"/>
      <c r="G85" s="90"/>
      <c r="H85" s="90"/>
      <c r="I85" s="90"/>
      <c r="J85" s="90"/>
      <c r="K85" s="9"/>
      <c r="L85" s="15"/>
    </row>
    <row r="86" spans="1:12" s="10" customFormat="1" ht="15.75">
      <c r="A86" s="82" t="str">
        <f>'Lab Tests'!A48</f>
        <v>Equipment Depreciation</v>
      </c>
      <c r="B86" s="83"/>
      <c r="C86" s="130">
        <f>'Lab Tests'!H48</f>
        <v>19166.666666666668</v>
      </c>
      <c r="D86" s="130">
        <v>0</v>
      </c>
      <c r="E86" s="130">
        <f>SUM(C86:D86)</f>
        <v>19166.666666666668</v>
      </c>
      <c r="F86" s="90"/>
      <c r="G86" s="90"/>
      <c r="H86" s="90"/>
      <c r="I86" s="90"/>
      <c r="J86" s="90"/>
      <c r="K86" s="9"/>
      <c r="L86" s="15"/>
    </row>
    <row r="87" spans="1:12" s="10" customFormat="1" ht="15.75">
      <c r="A87" s="181"/>
      <c r="B87" s="182"/>
      <c r="C87" s="130"/>
      <c r="D87" s="130"/>
      <c r="E87" s="130"/>
      <c r="F87" s="12"/>
      <c r="G87" s="12"/>
      <c r="H87" s="12"/>
      <c r="I87" s="12"/>
      <c r="J87" s="12"/>
      <c r="K87" s="12"/>
      <c r="L87" s="12"/>
    </row>
    <row r="88" spans="1:12" s="10" customFormat="1" ht="15.75">
      <c r="A88" s="78" t="s">
        <v>29</v>
      </c>
      <c r="B88" s="76"/>
      <c r="C88" s="139">
        <f>SUM(C83:C87)</f>
        <v>22866.666666666668</v>
      </c>
      <c r="D88" s="139">
        <f>SUM(D83:D87)</f>
        <v>1050</v>
      </c>
      <c r="E88" s="139">
        <f>SUM(E83:E87)</f>
        <v>23916.666666666668</v>
      </c>
      <c r="F88" s="16"/>
      <c r="G88" s="12"/>
      <c r="H88" s="12"/>
      <c r="I88" s="12"/>
      <c r="J88" s="12"/>
      <c r="K88" s="12"/>
      <c r="L88" s="12"/>
    </row>
    <row r="89" spans="1:12" s="10" customFormat="1" ht="15.75">
      <c r="A89" s="70"/>
      <c r="B89" s="72"/>
      <c r="C89" s="142"/>
      <c r="D89" s="143"/>
      <c r="E89" s="141"/>
      <c r="F89" s="16"/>
      <c r="G89" s="12"/>
      <c r="H89" s="12"/>
      <c r="I89" s="12"/>
      <c r="J89" s="12"/>
      <c r="K89" s="12"/>
      <c r="L89" s="12"/>
    </row>
    <row r="90" spans="1:12" s="10" customFormat="1" ht="15.75">
      <c r="A90" s="79" t="s">
        <v>39</v>
      </c>
      <c r="B90" s="76"/>
      <c r="C90" s="139">
        <f>'Lab Tests'!H52</f>
        <v>-1000</v>
      </c>
      <c r="D90" s="139">
        <f>Consultation!H62</f>
        <v>750</v>
      </c>
      <c r="E90" s="144">
        <f>SUM(C90:D90)</f>
        <v>-250</v>
      </c>
      <c r="F90" s="16"/>
      <c r="G90" s="12"/>
      <c r="H90" s="12"/>
      <c r="I90" s="12"/>
      <c r="J90" s="12"/>
      <c r="K90" s="12"/>
      <c r="L90" s="12"/>
    </row>
    <row r="91" spans="1:12" s="10" customFormat="1" ht="15.75">
      <c r="A91" s="69"/>
      <c r="B91" s="50"/>
      <c r="C91" s="145"/>
      <c r="D91" s="146"/>
      <c r="E91" s="131"/>
      <c r="F91" s="12"/>
      <c r="G91" s="12"/>
      <c r="H91" s="12"/>
      <c r="I91" s="12"/>
      <c r="J91" s="12"/>
      <c r="K91" s="12"/>
      <c r="L91" s="12"/>
    </row>
    <row r="92" spans="1:12" s="10" customFormat="1" ht="15.75">
      <c r="A92" s="78" t="s">
        <v>30</v>
      </c>
      <c r="B92" s="77"/>
      <c r="C92" s="147">
        <f>C80+C88+C90</f>
        <v>103415.16666666667</v>
      </c>
      <c r="D92" s="139">
        <f>D80+D88+D90</f>
        <v>68985</v>
      </c>
      <c r="E92" s="144">
        <f>E80+E88+E90</f>
        <v>172400.16666666666</v>
      </c>
      <c r="F92" s="12"/>
      <c r="G92" s="12"/>
      <c r="H92" s="12"/>
      <c r="I92" s="12"/>
      <c r="J92" s="12"/>
      <c r="K92" s="12"/>
      <c r="L92" s="12"/>
    </row>
    <row r="93" spans="1:12" s="10" customFormat="1" ht="15.75">
      <c r="A93" s="74"/>
      <c r="B93" s="71"/>
      <c r="C93" s="148"/>
      <c r="D93" s="149"/>
      <c r="E93" s="141"/>
      <c r="F93" s="12"/>
      <c r="G93" s="12"/>
      <c r="H93" s="12"/>
      <c r="I93" s="12"/>
      <c r="J93" s="12"/>
      <c r="K93" s="12"/>
      <c r="L93" s="12"/>
    </row>
    <row r="94" spans="1:12" s="10" customFormat="1" ht="15.75">
      <c r="A94" s="79" t="s">
        <v>37</v>
      </c>
      <c r="B94" s="77"/>
      <c r="C94" s="148">
        <f>C72/1.45*0.45</f>
        <v>4653.6825000000008</v>
      </c>
      <c r="D94" s="148">
        <f>D72/1.45*0.45</f>
        <v>3104.3250000000003</v>
      </c>
      <c r="E94" s="139">
        <f>E72/1.45*0.45</f>
        <v>7758.0075000000015</v>
      </c>
      <c r="F94" s="12"/>
      <c r="G94" s="12"/>
      <c r="H94" s="12"/>
      <c r="I94" s="12"/>
      <c r="J94" s="12"/>
      <c r="K94" s="12"/>
      <c r="L94" s="12"/>
    </row>
    <row r="95" spans="1:12" s="10" customFormat="1" ht="15.75">
      <c r="A95" s="69"/>
      <c r="B95" s="68"/>
      <c r="C95" s="150"/>
      <c r="D95" s="151"/>
      <c r="E95" s="131"/>
      <c r="F95" s="12"/>
      <c r="G95" s="12"/>
      <c r="H95" s="12"/>
      <c r="I95" s="12"/>
      <c r="J95" s="12"/>
      <c r="K95" s="12"/>
      <c r="L95" s="12"/>
    </row>
    <row r="96" spans="1:12" s="10" customFormat="1" ht="16.5" thickBot="1">
      <c r="A96" s="80" t="s">
        <v>31</v>
      </c>
      <c r="B96" s="81"/>
      <c r="C96" s="152">
        <f>C73-C92-C94</f>
        <v>9.0949470177292824E-12</v>
      </c>
      <c r="D96" s="152">
        <f>D73-D92-D94</f>
        <v>0</v>
      </c>
      <c r="E96" s="152">
        <f>(E71+E72)-E92-E94</f>
        <v>0</v>
      </c>
      <c r="F96" s="11"/>
      <c r="G96" s="12"/>
      <c r="H96" s="12"/>
      <c r="I96" s="12"/>
      <c r="J96" s="12"/>
      <c r="K96" s="12"/>
      <c r="L96" s="12"/>
    </row>
    <row r="97" spans="1:12" s="10" customFormat="1" ht="16.5" thickTop="1">
      <c r="A97" s="50"/>
      <c r="B97" s="50"/>
      <c r="C97" s="50"/>
      <c r="D97" s="50"/>
      <c r="E97" s="50"/>
      <c r="F97" s="9"/>
      <c r="G97" s="12"/>
      <c r="H97" s="12"/>
      <c r="I97" s="12"/>
      <c r="J97" s="12"/>
      <c r="K97" s="12"/>
      <c r="L97" s="12"/>
    </row>
    <row r="98" spans="1:12" s="1" customFormat="1"/>
  </sheetData>
  <mergeCells count="6">
    <mergeCell ref="A1:I1"/>
    <mergeCell ref="C48:D48"/>
    <mergeCell ref="C59:D59"/>
    <mergeCell ref="A83:B83"/>
    <mergeCell ref="A87:B87"/>
    <mergeCell ref="C68:D68"/>
  </mergeCells>
  <phoneticPr fontId="0" type="noConversion"/>
  <pageMargins left="0.5" right="0.5" top="0.5" bottom="0.5" header="0.5" footer="0.5"/>
  <pageSetup scale="64" orientation="landscape" horizontalDpi="300" verticalDpi="300" r:id="rId1"/>
  <headerFooter alignWithMargins="0">
    <oddFooter>&amp;Rrev. &amp;D</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Lab Tests</vt:lpstr>
      <vt:lpstr>Consultation</vt:lpstr>
      <vt:lpstr>depreciation</vt:lpstr>
      <vt:lpstr>Statement of Operations</vt:lpstr>
      <vt:lpstr>depreciation!Print_Area</vt:lpstr>
      <vt:lpstr>'Statement of Operations'!Print_Area</vt:lpstr>
      <vt:lpstr>depreciation!Print_Titles</vt:lpstr>
    </vt:vector>
  </TitlesOfParts>
  <Company>UCSD</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Ninh Nguyen</dc:creator>
  <cp:lastModifiedBy>Business and Financial Services</cp:lastModifiedBy>
  <cp:lastPrinted>2010-03-11T21:31:34Z</cp:lastPrinted>
  <dcterms:created xsi:type="dcterms:W3CDTF">2005-06-29T20:46:51Z</dcterms:created>
  <dcterms:modified xsi:type="dcterms:W3CDTF">2011-05-18T22:00:22Z</dcterms:modified>
</cp:coreProperties>
</file>