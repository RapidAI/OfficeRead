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540" yWindow="-320" windowWidth="32600" windowHeight="226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N15" i="1"/>
  <c r="E11"/>
  <c r="H15"/>
  <c r="M11"/>
  <c r="M12"/>
  <c r="O15"/>
  <c r="P15"/>
  <c r="Q15"/>
  <c r="R15"/>
  <c r="M15"/>
  <c r="L11"/>
  <c r="L12"/>
  <c r="L15"/>
  <c r="H11"/>
  <c r="H12"/>
  <c r="I15"/>
  <c r="J15"/>
  <c r="K15"/>
  <c r="G15"/>
  <c r="F15"/>
  <c r="M13"/>
  <c r="H13"/>
  <c r="L13"/>
</calcChain>
</file>

<file path=xl/sharedStrings.xml><?xml version="1.0" encoding="utf-8"?>
<sst xmlns="http://schemas.openxmlformats.org/spreadsheetml/2006/main" count="58" uniqueCount="45">
  <si>
    <t>POSIX</t>
    <phoneticPr fontId="2"/>
  </si>
  <si>
    <t>ユーザ</t>
    <phoneticPr fontId="2"/>
  </si>
  <si>
    <t>グループ</t>
    <phoneticPr fontId="2"/>
  </si>
  <si>
    <t>その他</t>
    <rPh sb="2" eb="3">
      <t>タ</t>
    </rPh>
    <phoneticPr fontId="2"/>
  </si>
  <si>
    <t>情報を管理</t>
    <rPh sb="0" eb="2">
      <t>ジョウホウ</t>
    </rPh>
    <rPh sb="3" eb="5">
      <t>カンリ</t>
    </rPh>
    <phoneticPr fontId="2"/>
  </si>
  <si>
    <t>アクセス権を変更</t>
    <rPh sb="4" eb="5">
      <t>ケン</t>
    </rPh>
    <rPh sb="6" eb="8">
      <t>ヘンコウ</t>
    </rPh>
    <phoneticPr fontId="2"/>
  </si>
  <si>
    <t>オーナーを変更</t>
    <rPh sb="5" eb="7">
      <t>ヘンコウ</t>
    </rPh>
    <phoneticPr fontId="2"/>
  </si>
  <si>
    <t>読み出し</t>
    <rPh sb="0" eb="1">
      <t>ヨ</t>
    </rPh>
    <rPh sb="2" eb="3">
      <t>ダ</t>
    </rPh>
    <phoneticPr fontId="2"/>
  </si>
  <si>
    <t>ファイル実行／フォルダスキャン</t>
    <rPh sb="4" eb="6">
      <t>ジッコウ</t>
    </rPh>
    <phoneticPr fontId="2"/>
  </si>
  <si>
    <t>属性</t>
    <rPh sb="0" eb="2">
      <t>ゾクセイ</t>
    </rPh>
    <phoneticPr fontId="2"/>
  </si>
  <si>
    <t>拡張属性</t>
    <rPh sb="0" eb="4">
      <t>カクチョウゾクセイ</t>
    </rPh>
    <phoneticPr fontId="2"/>
  </si>
  <si>
    <t>データ（フォルダ内容）</t>
    <rPh sb="8" eb="10">
      <t>ナイヨウ</t>
    </rPh>
    <phoneticPr fontId="2"/>
  </si>
  <si>
    <t>アクセス権</t>
    <rPh sb="4" eb="5">
      <t>ケン</t>
    </rPh>
    <phoneticPr fontId="2"/>
  </si>
  <si>
    <t>書き込み</t>
    <rPh sb="0" eb="1">
      <t>カ</t>
    </rPh>
    <rPh sb="2" eb="3">
      <t>コ</t>
    </rPh>
    <phoneticPr fontId="2"/>
  </si>
  <si>
    <t>データ追加（フォルダ作成）</t>
    <rPh sb="3" eb="5">
      <t>ツイカ</t>
    </rPh>
    <rPh sb="10" eb="12">
      <t>サクセイ</t>
    </rPh>
    <phoneticPr fontId="2"/>
  </si>
  <si>
    <t>データ書き込み（ファイル作成）</t>
    <rPh sb="3" eb="4">
      <t>カ</t>
    </rPh>
    <rPh sb="5" eb="6">
      <t>コ</t>
    </rPh>
    <rPh sb="12" eb="14">
      <t>サクセイ</t>
    </rPh>
    <phoneticPr fontId="2"/>
  </si>
  <si>
    <t>削除</t>
    <rPh sb="0" eb="2">
      <t>サクジョ</t>
    </rPh>
    <phoneticPr fontId="2"/>
  </si>
  <si>
    <t>サブフォルダやファイルの削除</t>
    <rPh sb="12" eb="14">
      <t>サクジョ</t>
    </rPh>
    <phoneticPr fontId="2"/>
  </si>
  <si>
    <t>ACL</t>
    <phoneticPr fontId="2"/>
  </si>
  <si>
    <t>○</t>
    <phoneticPr fontId="2"/>
  </si>
  <si>
    <t>×</t>
    <phoneticPr fontId="2"/>
  </si>
  <si>
    <t>POSIXアクセス権設定</t>
    <rPh sb="9" eb="10">
      <t>ケン</t>
    </rPh>
    <rPh sb="10" eb="12">
      <t>セッテイ</t>
    </rPh>
    <phoneticPr fontId="2"/>
  </si>
  <si>
    <t>グループに含む</t>
    <rPh sb="5" eb="6">
      <t>フク</t>
    </rPh>
    <phoneticPr fontId="2"/>
  </si>
  <si>
    <t>チェックユーザ</t>
    <phoneticPr fontId="2"/>
  </si>
  <si>
    <t>○</t>
    <phoneticPr fontId="2"/>
  </si>
  <si>
    <t>×</t>
    <phoneticPr fontId="2"/>
  </si>
  <si>
    <t>×</t>
    <phoneticPr fontId="2"/>
  </si>
  <si>
    <t>POSIX/ACL アクセス権チェッカー</t>
    <rPh sb="14" eb="15">
      <t>ケン</t>
    </rPh>
    <phoneticPr fontId="2"/>
  </si>
  <si>
    <t>http://msyk.net/macos/Understand_Acces_Privilege.xlsx</t>
  </si>
  <si>
    <t>○</t>
    <phoneticPr fontId="2"/>
  </si>
  <si>
    <t>○</t>
    <phoneticPr fontId="2"/>
  </si>
  <si>
    <t>---</t>
    <phoneticPr fontId="2"/>
  </si>
  <si>
    <t>○</t>
    <phoneticPr fontId="2"/>
  </si>
  <si>
    <t>○</t>
    <phoneticPr fontId="2"/>
  </si>
  <si>
    <t>項目に対するアクセス権設定</t>
    <rPh sb="0" eb="2">
      <t>コウモク</t>
    </rPh>
    <rPh sb="3" eb="4">
      <t>タイ</t>
    </rPh>
    <rPh sb="10" eb="11">
      <t>ケン</t>
    </rPh>
    <rPh sb="11" eb="13">
      <t>セッテイ</t>
    </rPh>
    <phoneticPr fontId="2"/>
  </si>
  <si>
    <t>leroy</t>
    <phoneticPr fontId="2"/>
  </si>
  <si>
    <t>admin</t>
    <phoneticPr fontId="2"/>
  </si>
  <si>
    <t>rw-</t>
    <phoneticPr fontId="2"/>
  </si>
  <si>
    <t>Engineering</t>
    <phoneticPr fontId="2"/>
  </si>
  <si>
    <t>Marcketing</t>
    <phoneticPr fontId="2"/>
  </si>
  <si>
    <t>○</t>
    <phoneticPr fontId="2"/>
  </si>
  <si>
    <t>×</t>
    <phoneticPr fontId="2"/>
  </si>
  <si>
    <t>×</t>
    <phoneticPr fontId="2"/>
  </si>
  <si>
    <t>red</t>
    <phoneticPr fontId="2"/>
  </si>
  <si>
    <t>×</t>
    <phoneticPr fontId="2"/>
  </si>
</sst>
</file>

<file path=xl/styles.xml><?xml version="1.0" encoding="utf-8"?>
<styleSheet xmlns="http://schemas.openxmlformats.org/spreadsheetml/2006/main">
  <fonts count="6">
    <font>
      <sz val="12"/>
      <name val="ヒラギノ角ゴ Pro W3"/>
      <charset val="128"/>
    </font>
    <font>
      <sz val="12"/>
      <name val="ヒラギノ角ゴ Pro W3"/>
      <charset val="128"/>
    </font>
    <font>
      <sz val="6"/>
      <name val="ヒラギノ角ゴ Pro W3"/>
      <charset val="128"/>
    </font>
    <font>
      <u/>
      <sz val="12"/>
      <color indexed="12"/>
      <name val="ヒラギノ角ゴ Pro W3"/>
      <charset val="128"/>
    </font>
    <font>
      <sz val="36"/>
      <name val="ヒラギノ角ゴ ProN W6"/>
      <charset val="128"/>
    </font>
    <font>
      <sz val="36"/>
      <color indexed="55"/>
      <name val="ヒラギノ角ゴ ProN W6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3" fillId="0" borderId="0" xfId="1" applyAlignment="1" applyProtection="1">
      <alignment horizontal="right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17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 textRotation="90"/>
    </xf>
    <xf numFmtId="0" fontId="0" fillId="0" borderId="16" xfId="0" applyBorder="1" applyAlignment="1">
      <alignment horizontal="center" textRotation="90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textRotation="90"/>
    </xf>
    <xf numFmtId="0" fontId="0" fillId="0" borderId="12" xfId="0" applyBorder="1" applyAlignment="1">
      <alignment horizontal="center" textRotation="90"/>
    </xf>
    <xf numFmtId="0" fontId="0" fillId="0" borderId="14" xfId="0" applyBorder="1" applyAlignment="1">
      <alignment horizontal="center" textRotation="90"/>
    </xf>
    <xf numFmtId="0" fontId="0" fillId="2" borderId="22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1" xfId="0" quotePrefix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textRotation="90"/>
    </xf>
    <xf numFmtId="0" fontId="0" fillId="4" borderId="19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textRotation="90"/>
    </xf>
    <xf numFmtId="0" fontId="1" fillId="4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vertical="center"/>
    </xf>
    <xf numFmtId="0" fontId="0" fillId="2" borderId="28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2" borderId="2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5" fillId="5" borderId="0" xfId="0" applyFont="1" applyFill="1"/>
  </cellXfs>
  <cellStyles count="2">
    <cellStyle name="ハイパーリンク" xfId="1" builtinId="8"/>
    <cellStyle name="標準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syk.net/macos/Understand_Acces_Privileg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enableFormatConditionsCalculation="0">
    <pageSetUpPr fitToPage="1"/>
  </sheetPr>
  <dimension ref="A1:R15"/>
  <sheetViews>
    <sheetView tabSelected="1" workbookViewId="0">
      <selection activeCell="Z5" sqref="Z5"/>
    </sheetView>
  </sheetViews>
  <sheetFormatPr baseColWidth="12" defaultColWidth="6" defaultRowHeight="19"/>
  <cols>
    <col min="2" max="2" width="7.375" customWidth="1"/>
    <col min="3" max="3" width="12.625" customWidth="1"/>
    <col min="4" max="5" width="4.25" style="1" customWidth="1"/>
    <col min="6" max="18" width="4.25" customWidth="1"/>
    <col min="19" max="19" width="3" customWidth="1"/>
  </cols>
  <sheetData>
    <row r="1" spans="1:18" ht="55">
      <c r="A1" s="96" t="s">
        <v>27</v>
      </c>
      <c r="B1" s="12"/>
      <c r="C1" s="12"/>
      <c r="D1" s="13"/>
      <c r="E1" s="13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>
      <c r="R2" s="11" t="s">
        <v>28</v>
      </c>
    </row>
    <row r="3" spans="1:18" ht="20" thickBot="1"/>
    <row r="4" spans="1:18">
      <c r="A4" s="41" t="s">
        <v>34</v>
      </c>
      <c r="B4" s="42"/>
      <c r="C4" s="43"/>
      <c r="D4" s="48"/>
      <c r="E4" s="49"/>
      <c r="F4" s="52" t="s">
        <v>4</v>
      </c>
      <c r="G4" s="64"/>
      <c r="H4" s="52" t="s">
        <v>7</v>
      </c>
      <c r="I4" s="24"/>
      <c r="J4" s="24"/>
      <c r="K4" s="24"/>
      <c r="L4" s="25"/>
      <c r="M4" s="58" t="s">
        <v>13</v>
      </c>
      <c r="N4" s="24"/>
      <c r="O4" s="24"/>
      <c r="P4" s="24"/>
      <c r="Q4" s="24"/>
      <c r="R4" s="25"/>
    </row>
    <row r="5" spans="1:18" ht="186" thickBot="1">
      <c r="A5" s="44"/>
      <c r="B5" s="45"/>
      <c r="C5" s="46"/>
      <c r="D5" s="50" t="s">
        <v>21</v>
      </c>
      <c r="E5" s="51" t="s">
        <v>22</v>
      </c>
      <c r="F5" s="53" t="s">
        <v>5</v>
      </c>
      <c r="G5" s="65" t="s">
        <v>6</v>
      </c>
      <c r="H5" s="53" t="s">
        <v>9</v>
      </c>
      <c r="I5" s="54" t="s">
        <v>10</v>
      </c>
      <c r="J5" s="54" t="s">
        <v>11</v>
      </c>
      <c r="K5" s="54" t="s">
        <v>12</v>
      </c>
      <c r="L5" s="55" t="s">
        <v>8</v>
      </c>
      <c r="M5" s="70" t="s">
        <v>9</v>
      </c>
      <c r="N5" s="54" t="s">
        <v>10</v>
      </c>
      <c r="O5" s="54" t="s">
        <v>15</v>
      </c>
      <c r="P5" s="54" t="s">
        <v>14</v>
      </c>
      <c r="Q5" s="54" t="s">
        <v>16</v>
      </c>
      <c r="R5" s="55" t="s">
        <v>17</v>
      </c>
    </row>
    <row r="6" spans="1:18">
      <c r="A6" s="5" t="s">
        <v>18</v>
      </c>
      <c r="B6" s="6"/>
      <c r="C6" s="75" t="s">
        <v>38</v>
      </c>
      <c r="D6" s="92"/>
      <c r="E6" s="3" t="s">
        <v>32</v>
      </c>
      <c r="F6" s="37"/>
      <c r="G6" s="66"/>
      <c r="H6" s="37" t="s">
        <v>33</v>
      </c>
      <c r="I6" s="15" t="s">
        <v>30</v>
      </c>
      <c r="J6" s="15" t="s">
        <v>40</v>
      </c>
      <c r="K6" s="15" t="s">
        <v>33</v>
      </c>
      <c r="L6" s="16" t="s">
        <v>29</v>
      </c>
      <c r="M6" s="14"/>
      <c r="N6" s="15"/>
      <c r="O6" s="15"/>
      <c r="P6" s="15"/>
      <c r="Q6" s="15"/>
      <c r="R6" s="16"/>
    </row>
    <row r="7" spans="1:18">
      <c r="A7" s="7"/>
      <c r="B7" s="8"/>
      <c r="C7" s="56" t="s">
        <v>39</v>
      </c>
      <c r="D7" s="93"/>
      <c r="E7" s="23" t="s">
        <v>44</v>
      </c>
      <c r="F7" s="38"/>
      <c r="G7" s="67"/>
      <c r="H7" s="38" t="s">
        <v>33</v>
      </c>
      <c r="I7" s="18" t="s">
        <v>33</v>
      </c>
      <c r="J7" s="18" t="s">
        <v>33</v>
      </c>
      <c r="K7" s="18" t="s">
        <v>33</v>
      </c>
      <c r="L7" s="19" t="s">
        <v>33</v>
      </c>
      <c r="M7" s="17"/>
      <c r="N7" s="18"/>
      <c r="O7" s="18"/>
      <c r="P7" s="18"/>
      <c r="Q7" s="18"/>
      <c r="R7" s="19"/>
    </row>
    <row r="8" spans="1:18">
      <c r="A8" s="7"/>
      <c r="B8" s="8"/>
      <c r="C8" s="56"/>
      <c r="D8" s="93"/>
      <c r="E8" s="23" t="s">
        <v>41</v>
      </c>
      <c r="F8" s="38"/>
      <c r="G8" s="67"/>
      <c r="H8" s="71"/>
      <c r="I8" s="36"/>
      <c r="J8" s="36"/>
      <c r="K8" s="36"/>
      <c r="L8" s="72"/>
      <c r="M8" s="17"/>
      <c r="N8" s="18"/>
      <c r="O8" s="18"/>
      <c r="P8" s="18"/>
      <c r="Q8" s="18"/>
      <c r="R8" s="19"/>
    </row>
    <row r="9" spans="1:18">
      <c r="A9" s="7"/>
      <c r="B9" s="8"/>
      <c r="C9" s="56"/>
      <c r="D9" s="93"/>
      <c r="E9" s="23" t="s">
        <v>25</v>
      </c>
      <c r="F9" s="38"/>
      <c r="G9" s="67"/>
      <c r="H9" s="38"/>
      <c r="I9" s="18"/>
      <c r="J9" s="18"/>
      <c r="K9" s="18"/>
      <c r="L9" s="19"/>
      <c r="M9" s="17"/>
      <c r="N9" s="18"/>
      <c r="O9" s="18"/>
      <c r="P9" s="18"/>
      <c r="Q9" s="18"/>
      <c r="R9" s="19"/>
    </row>
    <row r="10" spans="1:18" ht="20" thickBot="1">
      <c r="A10" s="88"/>
      <c r="B10" s="89"/>
      <c r="C10" s="90"/>
      <c r="D10" s="94"/>
      <c r="E10" s="91" t="s">
        <v>26</v>
      </c>
      <c r="F10" s="39"/>
      <c r="G10" s="68"/>
      <c r="H10" s="39"/>
      <c r="I10" s="21"/>
      <c r="J10" s="21"/>
      <c r="K10" s="21"/>
      <c r="L10" s="22"/>
      <c r="M10" s="20"/>
      <c r="N10" s="21"/>
      <c r="O10" s="21"/>
      <c r="P10" s="21"/>
      <c r="Q10" s="21"/>
      <c r="R10" s="22"/>
    </row>
    <row r="11" spans="1:18">
      <c r="A11" s="76" t="s">
        <v>0</v>
      </c>
      <c r="B11" s="77" t="s">
        <v>1</v>
      </c>
      <c r="C11" s="78" t="s">
        <v>35</v>
      </c>
      <c r="D11" s="79" t="s">
        <v>37</v>
      </c>
      <c r="E11" s="80" t="str">
        <f>IF(C11=C15,"○","×")</f>
        <v>×</v>
      </c>
      <c r="F11" s="81" t="s">
        <v>19</v>
      </c>
      <c r="G11" s="82" t="s">
        <v>20</v>
      </c>
      <c r="H11" s="83" t="str">
        <f>IF(ISERROR(FIND("r",D11)),"×","○")</f>
        <v>○</v>
      </c>
      <c r="I11" s="84"/>
      <c r="J11" s="84"/>
      <c r="K11" s="84"/>
      <c r="L11" s="85" t="str">
        <f>IF(ISERROR(FIND("x",D11)),"×","○")</f>
        <v>×</v>
      </c>
      <c r="M11" s="86" t="str">
        <f>IF(ISERROR(FIND("w",D11)),"×","○")</f>
        <v>○</v>
      </c>
      <c r="N11" s="84"/>
      <c r="O11" s="84"/>
      <c r="P11" s="84"/>
      <c r="Q11" s="84"/>
      <c r="R11" s="87"/>
    </row>
    <row r="12" spans="1:18">
      <c r="A12" s="9"/>
      <c r="B12" s="40" t="s">
        <v>2</v>
      </c>
      <c r="C12" s="56" t="s">
        <v>36</v>
      </c>
      <c r="D12" s="60" t="s">
        <v>37</v>
      </c>
      <c r="E12" s="23" t="s">
        <v>42</v>
      </c>
      <c r="F12" s="26" t="s">
        <v>20</v>
      </c>
      <c r="G12" s="69" t="s">
        <v>20</v>
      </c>
      <c r="H12" s="73" t="str">
        <f>IF(ISERROR(FIND("r",D12)),"×","○")</f>
        <v>○</v>
      </c>
      <c r="I12" s="4"/>
      <c r="J12" s="4"/>
      <c r="K12" s="4"/>
      <c r="L12" s="61" t="str">
        <f t="shared" ref="L12" si="0">IF(ISERROR(FIND("x",D12)),"×","○")</f>
        <v>×</v>
      </c>
      <c r="M12" s="47" t="str">
        <f t="shared" ref="M12:M13" si="1">IF(ISERROR(FIND("w",D12)),"×","○")</f>
        <v>○</v>
      </c>
      <c r="N12" s="4"/>
      <c r="O12" s="4"/>
      <c r="P12" s="4"/>
      <c r="Q12" s="4"/>
      <c r="R12" s="27"/>
    </row>
    <row r="13" spans="1:18" ht="20" thickBot="1">
      <c r="A13" s="10"/>
      <c r="B13" s="28" t="s">
        <v>3</v>
      </c>
      <c r="C13" s="95"/>
      <c r="D13" s="62" t="s">
        <v>31</v>
      </c>
      <c r="E13" s="29" t="s">
        <v>24</v>
      </c>
      <c r="F13" s="30" t="s">
        <v>20</v>
      </c>
      <c r="G13" s="57" t="s">
        <v>25</v>
      </c>
      <c r="H13" s="74" t="str">
        <f t="shared" ref="H13" si="2">IF(ISERROR(FIND("r",D13)),"×","○")</f>
        <v>×</v>
      </c>
      <c r="I13" s="31"/>
      <c r="J13" s="31"/>
      <c r="K13" s="31"/>
      <c r="L13" s="63" t="str">
        <f>IF(ISERROR(FIND("x",D13)),"×","○")</f>
        <v>×</v>
      </c>
      <c r="M13" s="59" t="str">
        <f t="shared" si="1"/>
        <v>×</v>
      </c>
      <c r="N13" s="31"/>
      <c r="O13" s="31"/>
      <c r="P13" s="31"/>
      <c r="Q13" s="31"/>
      <c r="R13" s="32"/>
    </row>
    <row r="14" spans="1:18" ht="21" customHeight="1"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</row>
    <row r="15" spans="1:18" ht="29" customHeight="1">
      <c r="A15" s="33" t="s">
        <v>23</v>
      </c>
      <c r="C15" s="35" t="s">
        <v>43</v>
      </c>
      <c r="D15" s="34"/>
      <c r="E15" s="34"/>
      <c r="F15" s="2" t="str">
        <f>IF(AND(F6&lt;&gt;"",$E6="○"),F6,IF(AND(F7&lt;&gt;"",$E7="○"),F7,IF(AND(F8&lt;&gt;"",$E8="○"),F8,IF(AND(F9&lt;&gt;"",$E9="○"),F9,IF(AND(F10&lt;&gt;"",$E10="○"),F10,IF(AND(F11&lt;&gt;"",$E11="○"),F11,IF(AND(F12&lt;&gt;"",$E12="○"),F12,IF(AND(F13&lt;&gt;"",$E13="○"),F13,""))))))))</f>
        <v>×</v>
      </c>
      <c r="G15" s="2" t="str">
        <f t="shared" ref="G15" si="3">IF(AND(G6&lt;&gt;"",$E6="○"),G6,IF(AND(G7&lt;&gt;"",$E7="○"),G7,IF(AND(G8&lt;&gt;"",$E8="○"),G8,IF(AND(G9&lt;&gt;"",$E9="○"),G9,IF(AND(G10&lt;&gt;"",$E10="○"),G10,IF(AND(G11&lt;&gt;"",$E11="○"),G11,IF(AND(G12&lt;&gt;"",$E12="○"),G12,IF(AND(G13&lt;&gt;"",$E13="○"),G13,""))))))))</f>
        <v>×</v>
      </c>
      <c r="H15" s="2" t="str">
        <f>IF(AND(H6&lt;&gt;"",$E6="○"),H6,IF(AND(H7&lt;&gt;"",$E7="○"),H7,IF(AND(H8&lt;&gt;"",$E8="○"),H8,IF(AND(H9&lt;&gt;"",$E9="○"),H9,IF(AND(H10&lt;&gt;"",$E10="○"),H10,IF(AND($H$11&lt;&gt;"",$E11="○"),$H$11,IF(AND($H$12&lt;&gt;"",$E12="○"),$H$12,IF(AND($H$13&lt;&gt;"",$E13="○"),$H$13,""))))))))</f>
        <v>○</v>
      </c>
      <c r="I15" s="2" t="str">
        <f t="shared" ref="I15:K15" si="4">IF(AND(I6&lt;&gt;"",$E6="○"),I6,IF(AND(I7&lt;&gt;"",$E7="○"),I7,IF(AND(I8&lt;&gt;"",$E8="○"),I8,IF(AND(I9&lt;&gt;"",$E9="○"),I9,IF(AND(I10&lt;&gt;"",$E10="○"),I10,IF(AND($H$11&lt;&gt;"",$E11="○"),$H$11,IF(AND($H$12&lt;&gt;"",$E12="○"),$H$12,IF(AND($H$13&lt;&gt;"",$E13="○"),$H$13,""))))))))</f>
        <v>○</v>
      </c>
      <c r="J15" s="2" t="str">
        <f t="shared" si="4"/>
        <v>○</v>
      </c>
      <c r="K15" s="2" t="str">
        <f t="shared" si="4"/>
        <v>○</v>
      </c>
      <c r="L15" s="2" t="str">
        <f>IF(AND(L6&lt;&gt;"",$E6="○"),L6,IF(AND(L7&lt;&gt;"",$E7="○"),L7,IF(AND(L8&lt;&gt;"",$E8="○"),L8,IF(AND(L9&lt;&gt;"",$E9="○"),L9,IF(AND(L10&lt;&gt;"",$E10="○"),L10,IF(AND(L11&lt;&gt;"",$E11="○"),L11,IF(AND(L12&lt;&gt;"",$E12="○"),L12,IF(AND(L13&lt;&gt;"",$E13="○"),L13,""))))))))</f>
        <v>○</v>
      </c>
      <c r="M15" s="2" t="str">
        <f>IF(AND(M6&lt;&gt;"",$E6="○"),M6,IF(AND(M7&lt;&gt;"",$E7="○"),M7,IF(AND(M8&lt;&gt;"",$E8="○"),M8,IF(AND(M9&lt;&gt;"",$E9="○"),M9,IF(AND(M10&lt;&gt;"",$E10="○"),M10,IF(AND($M$11&lt;&gt;"",$E11="○"),$M$11,IF(AND($M$12&lt;&gt;"",$E12="○"),$M$12,IF(AND($M$13&lt;&gt;"",$E13="○"),$M$13,""))))))))</f>
        <v>×</v>
      </c>
      <c r="N15" s="2" t="str">
        <f>IF(AND(N6&lt;&gt;"",$E6="○"),N6,IF(AND(N7&lt;&gt;"",$E7="○"),N7,IF(AND(N8&lt;&gt;"",$E8="○"),N8,IF(AND(N9&lt;&gt;"",$E9="○"),N9,IF(AND(N10&lt;&gt;"",$E10="○"),N10,IF(AND($M$11&lt;&gt;"",$E11="○"),$M$11,IF(AND($M$12&lt;&gt;"",$E12="○"),$M$12,IF(AND($M$13&lt;&gt;"",$E13="○"),$M$13,""))))))))</f>
        <v>×</v>
      </c>
      <c r="O15" s="2" t="str">
        <f t="shared" ref="N15:R15" si="5">IF(AND(O6&lt;&gt;"",$E6="○"),O6,IF(AND(O7&lt;&gt;"",$E7="○"),O7,IF(AND(O8&lt;&gt;"",$E8="○"),O8,IF(AND(O9&lt;&gt;"",$E9="○"),O9,IF(AND(O10&lt;&gt;"",$E10="○"),O10,IF(AND($M$11&lt;&gt;"",$E11="○"),$M$11,IF(AND($M$12&lt;&gt;"",$E12="○"),$M$12,IF(AND($M$13&lt;&gt;"",$E13="○"),$M$13,""))))))))</f>
        <v>×</v>
      </c>
      <c r="P15" s="2" t="str">
        <f t="shared" si="5"/>
        <v>×</v>
      </c>
      <c r="Q15" s="2" t="str">
        <f t="shared" si="5"/>
        <v>×</v>
      </c>
      <c r="R15" s="2" t="str">
        <f t="shared" si="5"/>
        <v>×</v>
      </c>
    </row>
  </sheetData>
  <sheetCalcPr fullCalcOnLoad="1"/>
  <mergeCells count="12">
    <mergeCell ref="F4:G4"/>
    <mergeCell ref="A6:B10"/>
    <mergeCell ref="A11:A13"/>
    <mergeCell ref="H4:L4"/>
    <mergeCell ref="M4:R4"/>
    <mergeCell ref="H11:K11"/>
    <mergeCell ref="M11:R11"/>
    <mergeCell ref="M12:R12"/>
    <mergeCell ref="M13:R13"/>
    <mergeCell ref="H12:K12"/>
    <mergeCell ref="H13:K13"/>
    <mergeCell ref="A4:C5"/>
  </mergeCells>
  <phoneticPr fontId="2"/>
  <dataValidations count="1">
    <dataValidation showInputMessage="1" showErrorMessage="1" sqref="K8"/>
  </dataValidations>
  <hyperlinks>
    <hyperlink ref="R2" r:id="rId1"/>
  </hyperlinks>
  <printOptions horizontalCentered="1" verticalCentered="1"/>
  <pageMargins left="0.79000000000000015" right="0.79000000000000015" top="0.98" bottom="0.98" header="0.51" footer="0.51"/>
  <pageSetup paperSize="0" scale="90" orientation="landscape" horizontalDpi="4294967292" verticalDpi="4294967292"/>
  <extLst>
    <ext xmlns:mx="http://schemas.microsoft.com/office/mac/excel/2008/main" uri="http://schemas.microsoft.com/office/mac/excel/2008/main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msyk.net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Masayuki Nii</dc:creator>
  <cp:lastModifiedBy>Masayuki Nii</cp:lastModifiedBy>
  <cp:lastPrinted>2010-01-24T14:29:20Z</cp:lastPrinted>
  <dcterms:created xsi:type="dcterms:W3CDTF">2010-01-24T09:40:39Z</dcterms:created>
  <dcterms:modified xsi:type="dcterms:W3CDTF">2010-01-24T14:33:09Z</dcterms:modified>
</cp:coreProperties>
</file>