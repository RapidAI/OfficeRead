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fileSharing readOnlyRecommended="1"/>
  <workbookPr/>
  <bookViews>
    <workbookView xWindow="3765" yWindow="75" windowWidth="15420" windowHeight="9780" tabRatio="671"/>
  </bookViews>
  <sheets>
    <sheet name="6yrPlan As Submitted OSBM " sheetId="22" r:id="rId1"/>
  </sheets>
  <definedNames>
    <definedName name="_xlnm.Print_Area" localSheetId="0">'6yrPlan As Submitted OSBM '!$A$4:$K$123</definedName>
    <definedName name="_xlnm.Print_Area">#REF!</definedName>
    <definedName name="_xlnm.Print_Titles" localSheetId="0">'6yrPlan As Submitted OSBM '!$1:$3</definedName>
  </definedNames>
  <calcPr calcId="145621"/>
</workbook>
</file>

<file path=xl/calcChain.xml><?xml version="1.0" encoding="utf-8"?>
<calcChain xmlns="http://schemas.openxmlformats.org/spreadsheetml/2006/main">
  <c r="C114" i="22" l="1"/>
  <c r="C78" i="22"/>
  <c r="C25" i="22"/>
  <c r="C18" i="22"/>
  <c r="C50" i="22" l="1"/>
  <c r="C119" i="22" l="1"/>
  <c r="C118" i="22"/>
  <c r="C117" i="22"/>
  <c r="C113" i="22"/>
  <c r="C112" i="22"/>
  <c r="C111" i="22"/>
  <c r="C110" i="22"/>
  <c r="C109" i="22"/>
  <c r="C108" i="22"/>
  <c r="C107" i="22"/>
  <c r="C106" i="22"/>
  <c r="C105" i="22"/>
  <c r="C104" i="22"/>
  <c r="C103" i="22"/>
  <c r="C102" i="22"/>
  <c r="C101" i="22"/>
  <c r="C100" i="22"/>
  <c r="C99" i="22"/>
  <c r="C89" i="22" l="1"/>
  <c r="C88" i="22"/>
  <c r="C87" i="22"/>
  <c r="C86" i="22"/>
  <c r="C85" i="22"/>
  <c r="C84" i="22"/>
  <c r="C83" i="22"/>
  <c r="C82" i="22"/>
  <c r="C81" i="22"/>
  <c r="C75" i="22"/>
  <c r="C72" i="22"/>
  <c r="C71" i="22" l="1"/>
  <c r="C70" i="22"/>
  <c r="C68" i="22"/>
  <c r="C67" i="22"/>
  <c r="C66" i="22"/>
  <c r="C65" i="22"/>
  <c r="C64" i="22"/>
  <c r="C61" i="22" l="1"/>
  <c r="C60" i="22"/>
  <c r="C59" i="22"/>
  <c r="C58" i="22"/>
  <c r="C57" i="22"/>
  <c r="C97" i="22"/>
  <c r="C96" i="22"/>
  <c r="C53" i="22"/>
  <c r="C52" i="22"/>
  <c r="C51" i="22"/>
  <c r="C49" i="22"/>
  <c r="C48" i="22"/>
  <c r="C47" i="22"/>
  <c r="C46" i="22"/>
  <c r="C69" i="22"/>
  <c r="C45" i="22"/>
  <c r="C44" i="22"/>
  <c r="C43" i="22"/>
  <c r="C42" i="22"/>
  <c r="C41" i="22"/>
  <c r="C40" i="22"/>
  <c r="C39" i="22"/>
  <c r="C38" i="22"/>
  <c r="C37" i="22"/>
  <c r="C36" i="22"/>
  <c r="C35" i="22"/>
  <c r="C34" i="22"/>
  <c r="B56" i="22" l="1"/>
  <c r="C28" i="22"/>
  <c r="C27" i="22"/>
  <c r="C26" i="22"/>
  <c r="C24" i="22"/>
  <c r="C23" i="22"/>
  <c r="C22" i="22"/>
  <c r="C21" i="22"/>
  <c r="C20" i="22"/>
  <c r="C19" i="22"/>
  <c r="C17" i="22"/>
  <c r="C14" i="22"/>
  <c r="C13" i="22"/>
  <c r="C12" i="22"/>
  <c r="C11" i="22"/>
  <c r="C10" i="22"/>
  <c r="C7" i="22"/>
  <c r="B30" i="22" l="1"/>
  <c r="B95" i="22"/>
  <c r="B77" i="22"/>
  <c r="B6" i="22"/>
  <c r="B92" i="22"/>
  <c r="B80" i="22" l="1"/>
  <c r="B16" i="22"/>
  <c r="B63" i="22"/>
  <c r="B33" i="22"/>
  <c r="C123" i="22"/>
  <c r="B116" i="22"/>
  <c r="B74" i="22"/>
  <c r="B123" i="22" l="1"/>
  <c r="B4" i="22"/>
  <c r="D126" i="22" l="1"/>
</calcChain>
</file>

<file path=xl/sharedStrings.xml><?xml version="1.0" encoding="utf-8"?>
<sst xmlns="http://schemas.openxmlformats.org/spreadsheetml/2006/main" count="340" uniqueCount="195">
  <si>
    <t>Exterior Lighting Improvements</t>
  </si>
  <si>
    <t>Structural repairs</t>
  </si>
  <si>
    <t>Historical restoration</t>
  </si>
  <si>
    <t>Improvements to existing facilities for energy efficiency</t>
  </si>
  <si>
    <t>Improvements to remove asbestos, lead paint, and other contaminants, including the removal and replacement of underground storage tanks</t>
  </si>
  <si>
    <t>Improvements and renovations to improve use of existing space</t>
  </si>
  <si>
    <t>Roof repairs and replacements</t>
  </si>
  <si>
    <t>Repairs to electrical, plumbing and heating, ventilating, and 
air-conditioning systems</t>
  </si>
  <si>
    <t>Improvements to meet fire safety needs</t>
  </si>
  <si>
    <t>Improvements to roads, walks, drives, utilities infrastructure</t>
  </si>
  <si>
    <t>Drainage and landscape improvements</t>
  </si>
  <si>
    <t>Project Type Totals ($)</t>
  </si>
  <si>
    <t>Total Project Cost ($)</t>
  </si>
  <si>
    <t>Western Carolina University</t>
  </si>
  <si>
    <t>Exterior Wall Repair - Forsyth Building</t>
  </si>
  <si>
    <t>Exterior Wall Repair - Killian Building</t>
  </si>
  <si>
    <t>Exterior Wall Repair - Killian Annex Building</t>
  </si>
  <si>
    <t>Boiler Replacement - Jordan Phillips Fieldhouse</t>
  </si>
  <si>
    <t>Generator Replacement - Coulter Building</t>
  </si>
  <si>
    <t>Generator Replacement - Hunter Library</t>
  </si>
  <si>
    <t>Miscellaneous HVAC, Steam, and Electrical Repairs</t>
  </si>
  <si>
    <t>Elevator Replacement - Belk Building</t>
  </si>
  <si>
    <t>Elevator - Old Student Union Building</t>
  </si>
  <si>
    <t>Continuation of Campus-wide Asbestos Abatement Program</t>
  </si>
  <si>
    <t>Ground Floor Carpet Replacement - Hunter Library</t>
  </si>
  <si>
    <t>Comprehensive Renovation - Graham Building</t>
  </si>
  <si>
    <t>Renovation - Chemical Storage Building</t>
  </si>
  <si>
    <t>Exterior Ticket Window - Ramsey Activity Center</t>
  </si>
  <si>
    <t>Pavement Repair - Facilities Parking and Service Drive</t>
  </si>
  <si>
    <t>Water Line installation for Dual Feed - Steam Plant</t>
  </si>
  <si>
    <t>Pavement Repair - Picnic Shelter Drive</t>
  </si>
  <si>
    <t>Landscape and Drainage Improvements-Miscellaneous</t>
  </si>
  <si>
    <t>No</t>
  </si>
  <si>
    <t>The University of North Carolina</t>
  </si>
  <si>
    <t>OC-25 Attached (Yes/NO)</t>
  </si>
  <si>
    <t>FCAP Reference            (ASSET NO. /DEF/NO.)</t>
  </si>
  <si>
    <t>Comments</t>
  </si>
  <si>
    <t>00000106-0/08-G116</t>
  </si>
  <si>
    <t>See Justification</t>
  </si>
  <si>
    <t>Dam Repair-Tuckaseegee River Water Plant Impoundment (Study)</t>
  </si>
  <si>
    <t>Concrete Floor Repair - Ramsey Activities Center</t>
  </si>
  <si>
    <t>00000106-0/08-G112</t>
  </si>
  <si>
    <t>00000039-0/08-G065</t>
  </si>
  <si>
    <t>Exterior Wall Repair - McKee Building</t>
  </si>
  <si>
    <t>00000013-0/08-G032</t>
  </si>
  <si>
    <t>51000000-0/04-G154</t>
  </si>
  <si>
    <t>Caulk joints at limestone panels, fascia and soffits have deteriorated.</t>
  </si>
  <si>
    <t>00000004-0/08-G016</t>
  </si>
  <si>
    <t>Exposed aggregate finish separating from precast wall panels. Wall panels need replaced.</t>
  </si>
  <si>
    <t>00000086-0/08-E053</t>
  </si>
  <si>
    <t>Cooling Tower Replacement - Killian Annex</t>
  </si>
  <si>
    <t>00000039-0/08-M033</t>
  </si>
  <si>
    <t>HVAC Improvements - Natural Science Building</t>
  </si>
  <si>
    <t>00000050-0/08-G088</t>
  </si>
  <si>
    <t>Need to abandon UST fuel tanks and provide more efficient system.</t>
  </si>
  <si>
    <t>Boiler Replacement - Camp Lab Building</t>
  </si>
  <si>
    <t>Boiler Replacement - Facilities Management</t>
  </si>
  <si>
    <t>00000047-0/08-M042</t>
  </si>
  <si>
    <t>Air Handling Unit and Controls Upgrade - Killian Annex</t>
  </si>
  <si>
    <t>00000039-0/08-M032</t>
  </si>
  <si>
    <t>00000106-0/08-E061 00000106-0/08-E062</t>
  </si>
  <si>
    <t>To provide for deferred repair items (pumps, cooling towers, etc.).</t>
  </si>
  <si>
    <t>To address ADA required corrective measure.</t>
  </si>
  <si>
    <t>00000044-0/08-G072</t>
  </si>
  <si>
    <t>Correct Fire Safety Deficiencies - Moore Building</t>
  </si>
  <si>
    <t xml:space="preserve"> 00000004-0/08-G013 </t>
  </si>
  <si>
    <t>00000009-0/08-M010</t>
  </si>
  <si>
    <t>00000044-0/08-M040</t>
  </si>
  <si>
    <t>00000014-0/04-G047</t>
  </si>
  <si>
    <t>Provide for abatement of ACM discovered during minor repairs and in-house projects.</t>
  </si>
  <si>
    <t>00000020-0/08-G045</t>
  </si>
  <si>
    <t>Major renovations needed in order to occupy building. Asbestos abatement already performed.</t>
  </si>
  <si>
    <t>Scheduled carpet replacement.</t>
  </si>
  <si>
    <t>To modify structure for general use and occupancy.</t>
  </si>
  <si>
    <t>To improve and increase speed of service for customers.</t>
  </si>
  <si>
    <t>Back Porch Replacement - Bird Alumni House</t>
  </si>
  <si>
    <t>00000032-0/08-G058</t>
  </si>
  <si>
    <t>To address minor building renovations as needs arise.</t>
  </si>
  <si>
    <t>41000000-0/08-M061</t>
  </si>
  <si>
    <t>31000000-0/08-M056 31000000-0/08-M057</t>
  </si>
  <si>
    <t>23000000-0/08-E074</t>
  </si>
  <si>
    <t>32000000-0/08-M058</t>
  </si>
  <si>
    <t>33000000-0/08-M060</t>
  </si>
  <si>
    <t>22000000-0/08-G125</t>
  </si>
  <si>
    <t>44000000-0/00-E048</t>
  </si>
  <si>
    <t>Elevated Walkway - Buzzard Roost Road</t>
  </si>
  <si>
    <t>To provide safe pedestrian access.</t>
  </si>
  <si>
    <t>To provide redundanct feed to Steam Plant.</t>
  </si>
  <si>
    <t>To replace deteriorated existing line.</t>
  </si>
  <si>
    <t>Provides landscaping and irrigation for recently renovated building or area.</t>
  </si>
  <si>
    <t>GRAND TOTAL</t>
  </si>
  <si>
    <t>Exterior Wall Repair - Hunter Library, Walls and Elevated Walkways</t>
  </si>
  <si>
    <t>Bridge Replacement - Picnic Area and Ramsey &amp; Athletic Center Creek Lot</t>
  </si>
  <si>
    <t>Exterior Wall Repair - Moore Building</t>
  </si>
  <si>
    <t>Exterior Repair and Replacement - H.F. Robinson Building</t>
  </si>
  <si>
    <t xml:space="preserve">Fire Safety Renovations - Hunter Library </t>
  </si>
  <si>
    <t>Sanitary Sewer System - Repair and Replacement</t>
  </si>
  <si>
    <t>Pavement Repair - Chancellors Drive North</t>
  </si>
  <si>
    <t>Site Improvement and Irrigation System - Killian Quad</t>
  </si>
  <si>
    <t>Site Improvement and Irrigation System - Belk South Entry</t>
  </si>
  <si>
    <t>Automatic Door Installation-Campus-wide</t>
  </si>
  <si>
    <t>Upgrade Storm Drainage System - Campus-wide</t>
  </si>
  <si>
    <t>Repairs and renovations to meet Federal and State Standards</t>
  </si>
  <si>
    <t>Improvements to meet the requirements of the Americans 
with Disabilities Act 42 U.S.C. ;  12101,et seql, as amended</t>
  </si>
  <si>
    <t xml:space="preserve">Fire Alarm System Panel Replacement -- Hunter, HFR, Coulter </t>
  </si>
  <si>
    <t>None on campus</t>
  </si>
  <si>
    <t>Bleacher Removal - Reid Gym</t>
  </si>
  <si>
    <t>Pavement Repiar - Joyner Drive</t>
  </si>
  <si>
    <t>Roof Replacement - Stillwell at Greenhouse</t>
  </si>
  <si>
    <t>To provide snow &amp; ice block at new metal roof to project greenhouse below</t>
  </si>
  <si>
    <t>Stage Rigging Repair - Hoey Auditorium</t>
  </si>
  <si>
    <t xml:space="preserve">Recent issues with safety of rigging, lighting grid, etc. </t>
  </si>
  <si>
    <t xml:space="preserve"> </t>
  </si>
  <si>
    <t>Flooring Replacement - Coulter Band Music Classroom</t>
  </si>
  <si>
    <t>Carpet flooring in need of replacing w/ hard surface for acoustic need -- band practice function</t>
  </si>
  <si>
    <t xml:space="preserve">Space not used for spectator and academic program needs additional space for programs. </t>
  </si>
  <si>
    <t>Conversion of pool area to offices - Breese Gym</t>
  </si>
  <si>
    <t>Existing swimming pool equipment bad condition, therefore use space for offices - more important need.</t>
  </si>
  <si>
    <t>Pavement failing - improve storm drainage system</t>
  </si>
  <si>
    <t>Flood waters from recent hurricanes caused severe erosion &amp; near breaching of right abutment.</t>
  </si>
  <si>
    <t xml:space="preserve">The roof replacement is impacted by rework of the curtain wall - flashings, etc. </t>
  </si>
  <si>
    <t>00000043-0/00 G150 00000043-0/08-G069</t>
  </si>
  <si>
    <t>Increasing concern to address brick joints and concrete &amp; steel of elevated walkway</t>
  </si>
  <si>
    <t>Not in 2008 FCAP Report but still needed</t>
  </si>
  <si>
    <t>00000009-0/04-E041 00000009-08-E011</t>
  </si>
  <si>
    <t>00000009-08-E007</t>
  </si>
  <si>
    <t>Not in 2008 FCAP Report</t>
  </si>
  <si>
    <t>Exterior Repair - Belk Entrance Bridge</t>
  </si>
  <si>
    <t>00000044-0/08-G071</t>
  </si>
  <si>
    <t>00000017-0/08-E018 &amp; 00000017-0/08-E019</t>
  </si>
  <si>
    <t>00000081-0/08-E048</t>
  </si>
  <si>
    <t>Roof Replacement - Hoey Building</t>
  </si>
  <si>
    <t>00000012-0/08-G030</t>
  </si>
  <si>
    <t>44000000-0/08-E075</t>
  </si>
  <si>
    <t>Water Heater Replacement - Jordan-Phillips Fieldhouse</t>
  </si>
  <si>
    <t>00000049-0/08-M043</t>
  </si>
  <si>
    <t>00000106-0/08-E060</t>
  </si>
  <si>
    <t>Electrical Upgrades - Ramsey Regional Activiy Center</t>
  </si>
  <si>
    <t>00000106-0/08-E063 &amp; 00000106-0/E-065</t>
  </si>
  <si>
    <t>Provides funds to continually address ADA items in current ADA Transition Plan (2008) + FCAP.</t>
  </si>
  <si>
    <t xml:space="preserve">Continuation of Campus-wide Program </t>
  </si>
  <si>
    <t>Walk Repair and Replacement - Campus Wide</t>
  </si>
  <si>
    <t>24000000-0/08-G126 &amp; 00000086-0/08-G097</t>
  </si>
  <si>
    <t>Elevator Replacement - Coulter Building</t>
  </si>
  <si>
    <t>00000086-0/08-G098</t>
  </si>
  <si>
    <t>Miscellaneous Renovation - Window Replacement -- Old Student Union Building</t>
  </si>
  <si>
    <t>00000029-0/08-G056</t>
  </si>
  <si>
    <t>00000029-0/08-M029</t>
  </si>
  <si>
    <t>Roof Replacement - Facilities Management Building</t>
  </si>
  <si>
    <t>00000047-0/08-G083</t>
  </si>
  <si>
    <t>Roof Replacement - CAT Building (Regional Labor Force Dev)</t>
  </si>
  <si>
    <t>00000137-0/08-G120</t>
  </si>
  <si>
    <t>00000137-0/08-M055</t>
  </si>
  <si>
    <t>Emergency Generator Replacement - Steam Plant</t>
  </si>
  <si>
    <t>00000019-0/08-E023</t>
  </si>
  <si>
    <t>Exit Light Replacement -- Warehouse and Storage Building</t>
  </si>
  <si>
    <t>00000109-0/08-E067</t>
  </si>
  <si>
    <t>Roof Repair - Warehouse and Storge</t>
  </si>
  <si>
    <t>00000109-0/08-G117</t>
  </si>
  <si>
    <t>Electrical Re-wiring -- Water Treatment Plant</t>
  </si>
  <si>
    <t>00000030-0/08-E033</t>
  </si>
  <si>
    <t>Exterior Repair - Stillwell Building</t>
  </si>
  <si>
    <t>0000010-0/08-G027</t>
  </si>
  <si>
    <t>Electrical Panel Replacement - Reid Gym</t>
  </si>
  <si>
    <t>0000014-0/08-E015</t>
  </si>
  <si>
    <t>Roof Replacement  (partial) - Reid Gym</t>
  </si>
  <si>
    <t>00000014-0/08-G034</t>
  </si>
  <si>
    <t>Heat Recovery Unit Repair - Ramsey Regional Activity Center</t>
  </si>
  <si>
    <t>00000106-0/08-M050</t>
  </si>
  <si>
    <t>Electrical Panel Replacement - Ramsey Regional Activity Center</t>
  </si>
  <si>
    <t>00000106-0/08-E066</t>
  </si>
  <si>
    <t>Electrical Panel Replacement - Belk Building</t>
  </si>
  <si>
    <t>00000044-0/08-E038</t>
  </si>
  <si>
    <t>Fire Alarm Replacement - Ramsey Regional Activity Center</t>
  </si>
  <si>
    <t>Exhaust for Mechanical Room -- Old Student Union Building</t>
  </si>
  <si>
    <t>Glycol System Repair - CAT (Regional Labor Force Dev)</t>
  </si>
  <si>
    <t>Sprinkler System Install - Belk Building</t>
  </si>
  <si>
    <t>Egress Lighting - HF Robinson Building</t>
  </si>
  <si>
    <t>Fire Alarm System - Grounds Maintenance Building</t>
  </si>
  <si>
    <t>Egress Lighting - Regional Activity Center</t>
  </si>
  <si>
    <t>Window Replacement - Reid Gymnasium Pool</t>
  </si>
  <si>
    <t>Undersized Water Mains Replacement, Non-Functioning Valves and Upgrade Lines</t>
  </si>
  <si>
    <t>Electrical Distribution Lines Upgrade - Campus Wide</t>
  </si>
  <si>
    <t>Overhead Electric Distribution Replacement with Underground - University 
Outreach Center (Camp Building)</t>
  </si>
  <si>
    <t>Steam Distribution System  Replacement - Harrill and Albright-Benton</t>
  </si>
  <si>
    <t>Water Line to Greenhouse Replacement</t>
  </si>
  <si>
    <t>Yes</t>
  </si>
  <si>
    <t>Roof Replacement - Ramsey Activity Center Plaza Deck &amp; Curtain Wall</t>
  </si>
  <si>
    <t>Requests to the Board of Governors from Constituent Institutions and Affiliates for Repair and Renovations Project for the Six-Year Period 2013-14 through 2018-19</t>
  </si>
  <si>
    <t>Campus Wide Data Infrastructure Upgrade</t>
  </si>
  <si>
    <t>Roof Replacement -- Ramsey Activity Center -- Main Roof</t>
  </si>
  <si>
    <t>Various Minor Building Renovation Projects (reduced from 1,814,400)</t>
  </si>
  <si>
    <t xml:space="preserve">    Sanitary Sewer Infrastructure Improvements -- Campus Wide</t>
  </si>
  <si>
    <t xml:space="preserve">    Water Distribution Infrastructure Improvements -- Campus Wide</t>
  </si>
  <si>
    <t xml:space="preserve">    Steam Condensate Line Replacement -- Campus 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</si>
</sst>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9">
    <font>
      <sz val="10"/>
      <name val="Arial"/>
    </font>
    <font>
      <sz val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1"/>
      <color indexed="18"/>
      <name val="Times New Roman"/>
      <family val="1"/>
    </font>
    <font>
      <sz val="10"/>
      <color indexed="8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sz val="10"/>
      <name val="Bookman"/>
      <family val="1"/>
    </font>
    <font>
      <sz val="10"/>
      <name val="Bookman"/>
      <family val="1"/>
    </font>
    <font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sz val="11"/>
      <color rgb="FFFF0000"/>
      <name val="Times New Roman"/>
      <family val="1"/>
    </font>
    <font>
      <sz val="10"/>
      <color rgb="FF0070C0"/>
      <name val="Times New Roman"/>
      <family val="1"/>
    </font>
    <font>
      <sz val="10"/>
      <color theme="5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7" fillId="0" borderId="0"/>
  </cellStyleXfs>
  <cellXfs count="58">
    <xf numFmtId="0" fontId="0" fillId="0" borderId="0" xfId="0"/>
    <xf numFmtId="0" fontId="4" fillId="0" borderId="0" xfId="0" applyNumberFormat="1" applyFont="1" applyFill="1" applyBorder="1" applyAlignment="1" applyProtection="1">
      <alignment horizontal="left" vertical="top" wrapText="1" indent="1"/>
    </xf>
    <xf numFmtId="0" fontId="2" fillId="0" borderId="0" xfId="0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41" fontId="4" fillId="0" borderId="0" xfId="0" applyNumberFormat="1" applyFont="1" applyFill="1" applyBorder="1" applyAlignment="1">
      <alignment horizontal="right" vertical="top"/>
    </xf>
    <xf numFmtId="41" fontId="2" fillId="0" borderId="0" xfId="0" applyNumberFormat="1" applyFont="1" applyFill="1" applyBorder="1" applyAlignment="1">
      <alignment horizontal="right"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/>
    </xf>
    <xf numFmtId="41" fontId="2" fillId="0" borderId="0" xfId="0" applyNumberFormat="1" applyFont="1" applyFill="1" applyBorder="1" applyAlignment="1">
      <alignment vertical="top"/>
    </xf>
    <xf numFmtId="0" fontId="2" fillId="0" borderId="0" xfId="0" applyFont="1" applyFill="1" applyAlignment="1">
      <alignment horizontal="left" vertical="top" wrapText="1" indent="2"/>
    </xf>
    <xf numFmtId="3" fontId="4" fillId="0" borderId="0" xfId="0" applyNumberFormat="1" applyFont="1" applyFill="1" applyBorder="1" applyAlignment="1" applyProtection="1">
      <alignment horizontal="left" vertical="top" wrapText="1" indent="1"/>
    </xf>
    <xf numFmtId="0" fontId="4" fillId="0" borderId="0" xfId="0" applyFont="1" applyFill="1" applyBorder="1" applyAlignment="1" applyProtection="1">
      <alignment horizontal="left" vertical="top" wrapText="1" indent="1"/>
    </xf>
    <xf numFmtId="0" fontId="2" fillId="0" borderId="0" xfId="0" applyNumberFormat="1" applyFont="1" applyFill="1" applyAlignment="1">
      <alignment horizontal="left" vertical="top" wrapText="1" indent="2"/>
    </xf>
    <xf numFmtId="41" fontId="4" fillId="0" borderId="0" xfId="0" applyNumberFormat="1" applyFont="1" applyFill="1" applyBorder="1" applyAlignment="1">
      <alignment vertical="top"/>
    </xf>
    <xf numFmtId="41" fontId="2" fillId="0" borderId="0" xfId="1" applyNumberFormat="1" applyFont="1" applyFill="1" applyBorder="1" applyAlignment="1">
      <alignment vertical="top"/>
    </xf>
    <xf numFmtId="41" fontId="2" fillId="0" borderId="0" xfId="1" applyNumberFormat="1" applyFont="1" applyFill="1" applyBorder="1" applyAlignment="1">
      <alignment vertical="top" wrapText="1"/>
    </xf>
    <xf numFmtId="41" fontId="4" fillId="0" borderId="0" xfId="1" applyNumberFormat="1" applyFont="1" applyFill="1" applyBorder="1" applyAlignment="1">
      <alignment vertical="top"/>
    </xf>
    <xf numFmtId="41" fontId="2" fillId="0" borderId="0" xfId="1" applyNumberFormat="1" applyFont="1" applyFill="1" applyBorder="1" applyAlignment="1">
      <alignment horizontal="right" vertical="top"/>
    </xf>
    <xf numFmtId="41" fontId="6" fillId="0" borderId="0" xfId="0" applyNumberFormat="1" applyFont="1" applyFill="1" applyBorder="1" applyAlignment="1">
      <alignment horizontal="right" vertical="top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0" fontId="5" fillId="0" borderId="0" xfId="3" applyFont="1" applyFill="1" applyBorder="1" applyAlignment="1">
      <alignment horizontal="center" vertical="top"/>
    </xf>
    <xf numFmtId="0" fontId="3" fillId="0" borderId="0" xfId="0" applyFont="1" applyFill="1" applyBorder="1"/>
    <xf numFmtId="0" fontId="13" fillId="0" borderId="0" xfId="0" applyFont="1" applyFill="1" applyBorder="1" applyAlignment="1"/>
    <xf numFmtId="0" fontId="11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/>
    <xf numFmtId="41" fontId="4" fillId="0" borderId="0" xfId="0" applyNumberFormat="1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left" vertical="top" wrapText="1" indent="2"/>
    </xf>
    <xf numFmtId="164" fontId="13" fillId="0" borderId="0" xfId="1" applyNumberFormat="1" applyFont="1" applyFill="1" applyAlignment="1">
      <alignment vertical="top"/>
    </xf>
    <xf numFmtId="0" fontId="4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center" vertical="top"/>
    </xf>
    <xf numFmtId="41" fontId="3" fillId="0" borderId="0" xfId="0" applyNumberFormat="1" applyFont="1" applyFill="1" applyBorder="1" applyAlignment="1">
      <alignment vertical="top"/>
    </xf>
    <xf numFmtId="41" fontId="9" fillId="0" borderId="0" xfId="0" applyNumberFormat="1" applyFont="1" applyFill="1" applyBorder="1" applyAlignment="1">
      <alignment horizontal="center" vertical="top" wrapText="1"/>
    </xf>
    <xf numFmtId="41" fontId="2" fillId="0" borderId="0" xfId="0" applyNumberFormat="1" applyFont="1" applyFill="1" applyBorder="1" applyAlignment="1">
      <alignment horizontal="center" vertical="top"/>
    </xf>
    <xf numFmtId="41" fontId="13" fillId="0" borderId="0" xfId="1" applyNumberFormat="1" applyFont="1" applyFill="1" applyAlignment="1">
      <alignment vertical="top"/>
    </xf>
    <xf numFmtId="0" fontId="14" fillId="0" borderId="0" xfId="0" applyFont="1" applyFill="1" applyBorder="1" applyAlignment="1"/>
    <xf numFmtId="0" fontId="12" fillId="0" borderId="0" xfId="0" applyFont="1" applyFill="1" applyAlignment="1">
      <alignment horizontal="left" vertical="top" wrapText="1" indent="2"/>
    </xf>
    <xf numFmtId="0" fontId="12" fillId="0" borderId="0" xfId="0" applyFont="1" applyFill="1" applyBorder="1" applyAlignment="1">
      <alignment horizontal="center" vertical="top" wrapText="1"/>
    </xf>
    <xf numFmtId="41" fontId="15" fillId="0" borderId="0" xfId="0" applyNumberFormat="1" applyFont="1" applyFill="1" applyBorder="1" applyAlignment="1">
      <alignment horizontal="center" vertical="top" wrapText="1"/>
    </xf>
    <xf numFmtId="41" fontId="16" fillId="0" borderId="0" xfId="0" applyNumberFormat="1" applyFont="1" applyFill="1" applyBorder="1" applyAlignment="1">
      <alignment horizontal="right" vertical="top"/>
    </xf>
    <xf numFmtId="0" fontId="17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wrapText="1"/>
    </xf>
    <xf numFmtId="0" fontId="18" fillId="0" borderId="0" xfId="0" applyNumberFormat="1" applyFont="1" applyFill="1" applyBorder="1" applyAlignment="1" applyProtection="1">
      <alignment horizontal="left" vertical="top" wrapText="1" indent="1"/>
    </xf>
    <xf numFmtId="0" fontId="2" fillId="0" borderId="0" xfId="0" applyNumberFormat="1" applyFont="1" applyFill="1" applyBorder="1" applyAlignment="1" applyProtection="1">
      <alignment horizontal="left" vertical="top" wrapText="1" indent="1"/>
    </xf>
    <xf numFmtId="0" fontId="2" fillId="0" borderId="0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ill="1" applyAlignment="1">
      <alignment vertical="top" wrapText="1"/>
    </xf>
  </cellXfs>
  <cellStyles count="4">
    <cellStyle name="Comma" xfId="1" builtinId="3"/>
    <cellStyle name="Normal" xfId="0" builtinId="0"/>
    <cellStyle name="Normal 3" xfId="2"/>
    <cellStyle name="Normal_Sheet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Views>
    <sheetView tabSelected="1" zoomScaleNormal="100" workbookViewId="0">
      <selection activeCell="F3" sqref="F3"/>
    </sheetView>
  </sheetViews>
  <sheetFormatPr defaultColWidth="8.85546875" defaultRowHeight="12.75"/>
  <cols>
    <col min="1" max="1" width="65.7109375" style="6" customWidth="1"/>
    <col min="2" max="2" width="16.85546875" style="7" bestFit="1" customWidth="1"/>
    <col min="3" max="3" width="13.7109375" style="8" bestFit="1" customWidth="1"/>
    <col min="4" max="4" width="25.140625" style="21" customWidth="1"/>
    <col min="5" max="5" width="11.140625" style="21" customWidth="1"/>
    <col min="6" max="6" width="19" style="20" customWidth="1"/>
    <col min="7" max="16384" width="8.85546875" style="20"/>
  </cols>
  <sheetData>
    <row r="1" spans="1:16" s="24" customFormat="1" ht="15" customHeight="1">
      <c r="A1" s="26" t="s">
        <v>33</v>
      </c>
      <c r="B1" s="34"/>
      <c r="C1" s="40"/>
      <c r="D1" s="35"/>
      <c r="E1" s="37"/>
    </row>
    <row r="2" spans="1:16" s="29" customFormat="1" ht="47.25">
      <c r="A2" s="27" t="s">
        <v>188</v>
      </c>
      <c r="B2" s="27" t="s">
        <v>11</v>
      </c>
      <c r="C2" s="41" t="s">
        <v>12</v>
      </c>
      <c r="D2" s="28" t="s">
        <v>35</v>
      </c>
      <c r="E2" s="28" t="s">
        <v>34</v>
      </c>
      <c r="F2" s="28" t="s">
        <v>36</v>
      </c>
    </row>
    <row r="3" spans="1:16" ht="15.75" customHeight="1">
      <c r="A3" s="51" t="s">
        <v>112</v>
      </c>
      <c r="B3" s="30" t="s">
        <v>112</v>
      </c>
      <c r="C3" s="47" t="s">
        <v>112</v>
      </c>
      <c r="D3" s="49" t="s">
        <v>112</v>
      </c>
    </row>
    <row r="4" spans="1:16" ht="15">
      <c r="A4" s="19" t="s">
        <v>13</v>
      </c>
      <c r="B4" s="18">
        <f>SUM(B6:B119)</f>
        <v>40097463.880000003</v>
      </c>
      <c r="C4" s="48" t="s">
        <v>112</v>
      </c>
      <c r="D4" s="50" t="s">
        <v>112</v>
      </c>
    </row>
    <row r="5" spans="1:16">
      <c r="A5" s="3"/>
      <c r="B5" s="4"/>
      <c r="C5" s="5"/>
    </row>
    <row r="6" spans="1:16" s="24" customFormat="1" ht="15">
      <c r="A6" s="10" t="s">
        <v>6</v>
      </c>
      <c r="B6" s="4">
        <f>SUM(C7:C14)</f>
        <v>2612700</v>
      </c>
      <c r="C6" s="5"/>
      <c r="D6" s="21"/>
      <c r="E6" s="21"/>
    </row>
    <row r="7" spans="1:16" s="24" customFormat="1" ht="30" customHeight="1">
      <c r="A7" s="9" t="s">
        <v>108</v>
      </c>
      <c r="B7" s="4"/>
      <c r="C7" s="5">
        <f>40000*1.08</f>
        <v>43200</v>
      </c>
      <c r="D7" s="21" t="s">
        <v>38</v>
      </c>
      <c r="E7" s="21" t="s">
        <v>32</v>
      </c>
      <c r="F7" s="56" t="s">
        <v>109</v>
      </c>
      <c r="G7" s="57"/>
      <c r="H7" s="57"/>
      <c r="I7" s="57"/>
      <c r="J7" s="57"/>
      <c r="K7" s="57"/>
    </row>
    <row r="8" spans="1:16" s="24" customFormat="1" ht="15" customHeight="1">
      <c r="A8" s="9" t="s">
        <v>187</v>
      </c>
      <c r="B8" s="14"/>
      <c r="C8" s="14">
        <v>2029500</v>
      </c>
      <c r="D8" s="22" t="s">
        <v>37</v>
      </c>
      <c r="E8" s="21" t="s">
        <v>186</v>
      </c>
      <c r="F8" s="2" t="s">
        <v>120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s="24" customFormat="1" ht="15" customHeight="1">
      <c r="A9" s="9" t="s">
        <v>190</v>
      </c>
      <c r="B9" s="14"/>
      <c r="C9" s="14"/>
      <c r="D9" s="22"/>
      <c r="E9" s="21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s="24" customFormat="1" ht="15" customHeight="1">
      <c r="A10" s="9" t="s">
        <v>131</v>
      </c>
      <c r="B10" s="14"/>
      <c r="C10" s="14">
        <f>160000*1.08</f>
        <v>172800</v>
      </c>
      <c r="D10" s="22" t="s">
        <v>132</v>
      </c>
      <c r="E10" s="21" t="s">
        <v>32</v>
      </c>
      <c r="F10" s="2" t="s">
        <v>112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s="24" customFormat="1" ht="15" customHeight="1">
      <c r="A11" s="9" t="s">
        <v>148</v>
      </c>
      <c r="B11" s="14"/>
      <c r="C11" s="14">
        <f>140000*1.08</f>
        <v>151200</v>
      </c>
      <c r="D11" s="22" t="s">
        <v>149</v>
      </c>
      <c r="E11" s="21" t="s">
        <v>32</v>
      </c>
      <c r="F11" s="2" t="s">
        <v>112</v>
      </c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s="24" customFormat="1" ht="15" customHeight="1">
      <c r="A12" s="9" t="s">
        <v>150</v>
      </c>
      <c r="B12" s="14"/>
      <c r="C12" s="14">
        <f>140000*1.08</f>
        <v>151200</v>
      </c>
      <c r="D12" s="22" t="s">
        <v>151</v>
      </c>
      <c r="E12" s="21" t="s">
        <v>32</v>
      </c>
      <c r="F12" s="2" t="s">
        <v>112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s="24" customFormat="1" ht="15" customHeight="1">
      <c r="A13" s="9" t="s">
        <v>157</v>
      </c>
      <c r="B13" s="14"/>
      <c r="C13" s="14">
        <f>30000*1.08</f>
        <v>32400.000000000004</v>
      </c>
      <c r="D13" s="22" t="s">
        <v>158</v>
      </c>
      <c r="E13" s="21" t="s">
        <v>32</v>
      </c>
      <c r="F13" s="2" t="s">
        <v>112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s="24" customFormat="1" ht="15" customHeight="1">
      <c r="A14" s="9" t="s">
        <v>165</v>
      </c>
      <c r="B14" s="14"/>
      <c r="C14" s="14">
        <f>30000*1.08</f>
        <v>32400.000000000004</v>
      </c>
      <c r="D14" s="22" t="s">
        <v>166</v>
      </c>
      <c r="E14" s="21" t="s">
        <v>32</v>
      </c>
      <c r="F14" s="2" t="s">
        <v>112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9"/>
      <c r="B15" s="14"/>
      <c r="C15" s="15"/>
    </row>
    <row r="16" spans="1:16">
      <c r="A16" s="1" t="s">
        <v>1</v>
      </c>
      <c r="B16" s="4">
        <f>SUM(C17:C28)</f>
        <v>13211510.4</v>
      </c>
      <c r="C16" s="14"/>
    </row>
    <row r="17" spans="1:16" s="24" customFormat="1" ht="27.75" customHeight="1">
      <c r="A17" s="12" t="s">
        <v>39</v>
      </c>
      <c r="B17" s="14"/>
      <c r="C17" s="14">
        <f>308000*1.08</f>
        <v>332640</v>
      </c>
      <c r="D17" s="22" t="s">
        <v>38</v>
      </c>
      <c r="E17" s="21" t="s">
        <v>32</v>
      </c>
      <c r="F17" s="54" t="s">
        <v>119</v>
      </c>
      <c r="G17" s="55"/>
      <c r="H17" s="55"/>
      <c r="I17" s="55"/>
      <c r="J17" s="55"/>
      <c r="K17" s="55"/>
      <c r="L17" s="2"/>
      <c r="M17" s="2"/>
      <c r="N17" s="2"/>
      <c r="O17" s="2"/>
      <c r="P17" s="2"/>
    </row>
    <row r="18" spans="1:16" s="24" customFormat="1" ht="15">
      <c r="A18" s="12" t="s">
        <v>40</v>
      </c>
      <c r="B18" s="14"/>
      <c r="C18" s="14">
        <f>179200*1.08</f>
        <v>193536</v>
      </c>
      <c r="D18" s="22" t="s">
        <v>41</v>
      </c>
      <c r="E18" s="21" t="s">
        <v>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24" customFormat="1" ht="30.75" customHeight="1">
      <c r="A19" s="12" t="s">
        <v>14</v>
      </c>
      <c r="B19" s="14"/>
      <c r="C19" s="14">
        <f>190400*1.08</f>
        <v>205632</v>
      </c>
      <c r="D19" s="22" t="s">
        <v>121</v>
      </c>
      <c r="E19" s="21" t="s">
        <v>32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24" customFormat="1" ht="15">
      <c r="A20" s="12" t="s">
        <v>16</v>
      </c>
      <c r="B20" s="14"/>
      <c r="C20" s="14">
        <f>232960*1.08</f>
        <v>251596.80000000002</v>
      </c>
      <c r="D20" s="22" t="s">
        <v>42</v>
      </c>
      <c r="E20" s="21" t="s">
        <v>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24" customFormat="1" ht="25.5" customHeight="1">
      <c r="A21" s="12" t="s">
        <v>91</v>
      </c>
      <c r="B21" s="4"/>
      <c r="C21" s="14">
        <f>1672944*1.08</f>
        <v>1806779.52</v>
      </c>
      <c r="D21" s="22" t="s">
        <v>38</v>
      </c>
      <c r="E21" s="21" t="s">
        <v>32</v>
      </c>
      <c r="F21" s="54" t="s">
        <v>122</v>
      </c>
      <c r="G21" s="54"/>
      <c r="H21" s="54"/>
      <c r="I21" s="54"/>
      <c r="J21" s="54"/>
      <c r="K21" s="54"/>
      <c r="L21" s="2"/>
      <c r="M21" s="2"/>
      <c r="N21" s="2"/>
      <c r="O21" s="2"/>
      <c r="P21" s="2"/>
    </row>
    <row r="22" spans="1:16" s="24" customFormat="1" ht="15">
      <c r="A22" s="12" t="s">
        <v>43</v>
      </c>
      <c r="B22" s="14"/>
      <c r="C22" s="14">
        <f>112000*1.08</f>
        <v>120960.00000000001</v>
      </c>
      <c r="D22" s="22" t="s">
        <v>44</v>
      </c>
      <c r="E22" s="21" t="s">
        <v>32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24" customFormat="1" ht="15">
      <c r="A23" s="12" t="s">
        <v>92</v>
      </c>
      <c r="B23" s="14"/>
      <c r="C23" s="14">
        <f>125000*1.08</f>
        <v>135000</v>
      </c>
      <c r="D23" s="22" t="s">
        <v>45</v>
      </c>
      <c r="E23" s="21" t="s">
        <v>32</v>
      </c>
      <c r="F23" s="2" t="s">
        <v>123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24" customFormat="1" ht="15">
      <c r="A24" s="12" t="s">
        <v>15</v>
      </c>
      <c r="B24" s="14"/>
      <c r="C24" s="14">
        <f>150000*1.08</f>
        <v>162000</v>
      </c>
      <c r="D24" s="22" t="s">
        <v>38</v>
      </c>
      <c r="E24" s="21" t="s">
        <v>32</v>
      </c>
      <c r="F24" s="2" t="s">
        <v>46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24" customFormat="1" ht="15">
      <c r="A25" s="12" t="s">
        <v>93</v>
      </c>
      <c r="B25" s="14"/>
      <c r="C25" s="14">
        <f>100800*1.08</f>
        <v>108864</v>
      </c>
      <c r="D25" s="22" t="s">
        <v>47</v>
      </c>
      <c r="E25" s="21" t="s">
        <v>32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24" customFormat="1" ht="31.5" customHeight="1">
      <c r="A26" s="12" t="s">
        <v>94</v>
      </c>
      <c r="B26" s="14"/>
      <c r="C26" s="14">
        <f>8537576*1.08</f>
        <v>9220582.0800000001</v>
      </c>
      <c r="D26" s="22" t="s">
        <v>38</v>
      </c>
      <c r="E26" s="21" t="s">
        <v>32</v>
      </c>
      <c r="F26" s="54" t="s">
        <v>48</v>
      </c>
      <c r="G26" s="54"/>
      <c r="H26" s="54"/>
      <c r="I26" s="54"/>
      <c r="J26" s="54"/>
      <c r="K26" s="54"/>
      <c r="L26" s="2"/>
      <c r="M26" s="2"/>
      <c r="N26" s="2"/>
      <c r="O26" s="2"/>
      <c r="P26" s="2"/>
    </row>
    <row r="27" spans="1:16" s="24" customFormat="1" ht="15">
      <c r="A27" s="12" t="s">
        <v>127</v>
      </c>
      <c r="B27" s="14"/>
      <c r="C27" s="14">
        <f>24000*1.08</f>
        <v>25920</v>
      </c>
      <c r="D27" s="22" t="s">
        <v>128</v>
      </c>
      <c r="E27" s="21" t="s">
        <v>32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24" customFormat="1" ht="15">
      <c r="A28" s="12" t="s">
        <v>161</v>
      </c>
      <c r="B28" s="14"/>
      <c r="C28" s="14">
        <f>600000*1.08</f>
        <v>648000</v>
      </c>
      <c r="D28" s="22" t="s">
        <v>162</v>
      </c>
      <c r="E28" s="21" t="s">
        <v>32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2"/>
      <c r="B29" s="14"/>
      <c r="C29" s="14"/>
    </row>
    <row r="30" spans="1:16">
      <c r="A30" s="1" t="s">
        <v>102</v>
      </c>
      <c r="B30" s="4">
        <f>SUM(C31)</f>
        <v>0</v>
      </c>
      <c r="C30" s="14"/>
    </row>
    <row r="31" spans="1:16">
      <c r="A31" s="12"/>
      <c r="B31" s="14"/>
      <c r="C31" s="14"/>
    </row>
    <row r="32" spans="1:16">
      <c r="A32" s="12"/>
      <c r="B32" s="14"/>
      <c r="C32" s="14"/>
    </row>
    <row r="33" spans="1:16" ht="25.5">
      <c r="A33" s="1" t="s">
        <v>7</v>
      </c>
      <c r="B33" s="4">
        <f>SUM(C34:C53)</f>
        <v>2504217.6000000001</v>
      </c>
      <c r="C33" s="14"/>
    </row>
    <row r="34" spans="1:16" s="24" customFormat="1" ht="15">
      <c r="A34" s="9" t="s">
        <v>18</v>
      </c>
      <c r="B34" s="14"/>
      <c r="C34" s="14">
        <f>56000*1.08</f>
        <v>60480.000000000007</v>
      </c>
      <c r="D34" s="22" t="s">
        <v>49</v>
      </c>
      <c r="E34" s="21" t="s">
        <v>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s="24" customFormat="1" ht="15.75" customHeight="1">
      <c r="A35" s="9" t="s">
        <v>110</v>
      </c>
      <c r="B35" s="14"/>
      <c r="C35" s="14">
        <f>250000*1.08</f>
        <v>270000</v>
      </c>
      <c r="D35" s="22" t="s">
        <v>38</v>
      </c>
      <c r="E35" s="21" t="s">
        <v>32</v>
      </c>
      <c r="F35" s="2" t="s">
        <v>111</v>
      </c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s="24" customFormat="1" ht="15.75" customHeight="1">
      <c r="A36" s="9" t="s">
        <v>50</v>
      </c>
      <c r="B36" s="14"/>
      <c r="C36" s="14">
        <f>28000*1.08</f>
        <v>30240.000000000004</v>
      </c>
      <c r="D36" s="22" t="s">
        <v>51</v>
      </c>
      <c r="E36" s="21" t="s">
        <v>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s="24" customFormat="1" ht="28.5" customHeight="1">
      <c r="A37" s="9" t="s">
        <v>19</v>
      </c>
      <c r="B37" s="14"/>
      <c r="C37" s="14">
        <f>84000*1.08</f>
        <v>90720</v>
      </c>
      <c r="D37" s="22" t="s">
        <v>124</v>
      </c>
      <c r="E37" s="21" t="s">
        <v>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s="24" customFormat="1" ht="15">
      <c r="A38" s="9" t="s">
        <v>52</v>
      </c>
      <c r="B38" s="14"/>
      <c r="C38" s="14">
        <f>1030400*1.08</f>
        <v>1112832</v>
      </c>
      <c r="D38" s="22" t="s">
        <v>53</v>
      </c>
      <c r="E38" s="21" t="s">
        <v>32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s="24" customFormat="1" ht="15">
      <c r="A39" s="9" t="s">
        <v>17</v>
      </c>
      <c r="B39" s="14"/>
      <c r="C39" s="14">
        <f>96320*1.08</f>
        <v>104025.60000000001</v>
      </c>
      <c r="D39" s="22" t="s">
        <v>38</v>
      </c>
      <c r="E39" s="21" t="s">
        <v>32</v>
      </c>
      <c r="F39" s="2" t="s">
        <v>54</v>
      </c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s="24" customFormat="1" ht="15">
      <c r="A40" s="9" t="s">
        <v>55</v>
      </c>
      <c r="B40" s="14"/>
      <c r="C40" s="14">
        <f>196000*1.08</f>
        <v>211680</v>
      </c>
      <c r="D40" s="22" t="s">
        <v>38</v>
      </c>
      <c r="E40" s="21" t="s">
        <v>32</v>
      </c>
      <c r="F40" s="2" t="s">
        <v>54</v>
      </c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s="24" customFormat="1" ht="15">
      <c r="A41" s="9" t="s">
        <v>56</v>
      </c>
      <c r="B41" s="14"/>
      <c r="C41" s="14">
        <f>28000*1.08</f>
        <v>30240.000000000004</v>
      </c>
      <c r="D41" s="22" t="s">
        <v>57</v>
      </c>
      <c r="E41" s="21" t="s">
        <v>32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s="24" customFormat="1" ht="15.75" customHeight="1">
      <c r="A42" s="9" t="s">
        <v>58</v>
      </c>
      <c r="B42" s="14"/>
      <c r="C42" s="14">
        <f>140000*1.08</f>
        <v>151200</v>
      </c>
      <c r="D42" s="22" t="s">
        <v>59</v>
      </c>
      <c r="E42" s="21" t="s">
        <v>32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s="24" customFormat="1" ht="29.25" customHeight="1">
      <c r="A43" s="9" t="s">
        <v>137</v>
      </c>
      <c r="B43" s="14"/>
      <c r="C43" s="14">
        <f>112000*1.08</f>
        <v>120960.00000000001</v>
      </c>
      <c r="D43" s="22" t="s">
        <v>60</v>
      </c>
      <c r="E43" s="21" t="s">
        <v>32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s="24" customFormat="1" ht="15">
      <c r="A44" s="9" t="s">
        <v>20</v>
      </c>
      <c r="B44" s="14"/>
      <c r="C44" s="14">
        <f>112000*1.08</f>
        <v>120960.00000000001</v>
      </c>
      <c r="D44" s="22" t="s">
        <v>38</v>
      </c>
      <c r="E44" s="21" t="s">
        <v>32</v>
      </c>
      <c r="F44" s="2" t="s">
        <v>61</v>
      </c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s="24" customFormat="1" ht="15">
      <c r="A45" s="9" t="s">
        <v>134</v>
      </c>
      <c r="B45" s="14"/>
      <c r="C45" s="14">
        <f>8000*1.08</f>
        <v>8640</v>
      </c>
      <c r="D45" s="22" t="s">
        <v>135</v>
      </c>
      <c r="E45" s="21" t="s">
        <v>32</v>
      </c>
      <c r="F45" s="2" t="s">
        <v>112</v>
      </c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s="24" customFormat="1" ht="15">
      <c r="A46" s="9" t="s">
        <v>174</v>
      </c>
      <c r="B46" s="14"/>
      <c r="C46" s="14">
        <f>5000*1.08</f>
        <v>5400</v>
      </c>
      <c r="D46" s="22" t="s">
        <v>147</v>
      </c>
      <c r="E46" s="21" t="s">
        <v>32</v>
      </c>
      <c r="F46" s="2" t="s">
        <v>112</v>
      </c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24" customFormat="1" ht="15">
      <c r="A47" s="9" t="s">
        <v>175</v>
      </c>
      <c r="B47" s="14"/>
      <c r="C47" s="14">
        <f>10000*1.08</f>
        <v>10800</v>
      </c>
      <c r="D47" s="22" t="s">
        <v>152</v>
      </c>
      <c r="E47" s="21" t="s">
        <v>32</v>
      </c>
      <c r="F47" s="2" t="s">
        <v>112</v>
      </c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s="24" customFormat="1" ht="15">
      <c r="A48" s="9" t="s">
        <v>153</v>
      </c>
      <c r="B48" s="14"/>
      <c r="C48" s="14">
        <f>45000*1.08</f>
        <v>48600</v>
      </c>
      <c r="D48" s="22" t="s">
        <v>154</v>
      </c>
      <c r="E48" s="21" t="s">
        <v>32</v>
      </c>
      <c r="F48" s="2" t="s">
        <v>112</v>
      </c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24" customFormat="1" ht="15">
      <c r="A49" s="9" t="s">
        <v>159</v>
      </c>
      <c r="B49" s="14"/>
      <c r="C49" s="14">
        <f>25000*1.08</f>
        <v>27000</v>
      </c>
      <c r="D49" s="22" t="s">
        <v>160</v>
      </c>
      <c r="E49" s="21" t="s">
        <v>32</v>
      </c>
      <c r="F49" s="2" t="s">
        <v>112</v>
      </c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s="24" customFormat="1" ht="15">
      <c r="A50" s="9" t="s">
        <v>163</v>
      </c>
      <c r="B50" s="14"/>
      <c r="C50" s="14">
        <f>50000*1.08</f>
        <v>54000</v>
      </c>
      <c r="D50" s="22" t="s">
        <v>164</v>
      </c>
      <c r="E50" s="21" t="s">
        <v>32</v>
      </c>
      <c r="F50" s="2" t="s">
        <v>112</v>
      </c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s="24" customFormat="1" ht="15">
      <c r="A51" s="9" t="s">
        <v>167</v>
      </c>
      <c r="B51" s="14"/>
      <c r="C51" s="14">
        <f>20000*1.08</f>
        <v>21600</v>
      </c>
      <c r="D51" s="22" t="s">
        <v>168</v>
      </c>
      <c r="E51" s="21" t="s">
        <v>32</v>
      </c>
      <c r="F51" s="2" t="s">
        <v>112</v>
      </c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s="24" customFormat="1" ht="15">
      <c r="A52" s="9" t="s">
        <v>169</v>
      </c>
      <c r="B52" s="14"/>
      <c r="C52" s="14">
        <f>15000*1.08</f>
        <v>16200.000000000002</v>
      </c>
      <c r="D52" s="22" t="s">
        <v>170</v>
      </c>
      <c r="E52" s="21" t="s">
        <v>32</v>
      </c>
      <c r="F52" s="2" t="s">
        <v>112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s="24" customFormat="1" ht="15">
      <c r="A53" s="9" t="s">
        <v>171</v>
      </c>
      <c r="B53" s="14"/>
      <c r="C53" s="14">
        <f>8000*1.08</f>
        <v>8640</v>
      </c>
      <c r="D53" s="22" t="s">
        <v>172</v>
      </c>
      <c r="E53" s="21" t="s">
        <v>32</v>
      </c>
      <c r="F53" s="2" t="s">
        <v>112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s="24" customFormat="1" ht="15">
      <c r="A54" s="9" t="s">
        <v>112</v>
      </c>
      <c r="B54" s="14"/>
      <c r="C54" s="14"/>
      <c r="D54" s="22"/>
      <c r="E54" s="2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s="24" customFormat="1" ht="15">
      <c r="A55" s="9"/>
      <c r="B55" s="14"/>
      <c r="C55" s="14"/>
      <c r="D55" s="21"/>
      <c r="E55" s="21"/>
    </row>
    <row r="56" spans="1:16" ht="25.5">
      <c r="A56" s="1" t="s">
        <v>103</v>
      </c>
      <c r="B56" s="4">
        <f>SUM(C57:C61)</f>
        <v>1736640</v>
      </c>
      <c r="C56" s="5"/>
    </row>
    <row r="57" spans="1:16" s="24" customFormat="1" ht="31.5" customHeight="1">
      <c r="A57" s="9" t="s">
        <v>140</v>
      </c>
      <c r="B57" s="14"/>
      <c r="C57" s="14">
        <f>450000*1.08</f>
        <v>486000.00000000006</v>
      </c>
      <c r="D57" s="22" t="s">
        <v>38</v>
      </c>
      <c r="E57" s="21" t="s">
        <v>32</v>
      </c>
      <c r="F57" s="54" t="s">
        <v>139</v>
      </c>
      <c r="G57" s="54"/>
      <c r="H57" s="54"/>
      <c r="I57" s="54"/>
      <c r="J57" s="54"/>
      <c r="K57" s="54"/>
      <c r="L57" s="2"/>
      <c r="M57" s="2"/>
      <c r="N57" s="2"/>
      <c r="O57" s="2"/>
      <c r="P57" s="2"/>
    </row>
    <row r="58" spans="1:16" s="24" customFormat="1" ht="15">
      <c r="A58" s="9" t="s">
        <v>100</v>
      </c>
      <c r="B58" s="14"/>
      <c r="C58" s="14">
        <f>112000*1.08</f>
        <v>120960.00000000001</v>
      </c>
      <c r="D58" s="22" t="s">
        <v>38</v>
      </c>
      <c r="E58" s="21" t="s">
        <v>32</v>
      </c>
      <c r="F58" s="2" t="s">
        <v>62</v>
      </c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s="24" customFormat="1" ht="15">
      <c r="A59" s="9" t="s">
        <v>22</v>
      </c>
      <c r="B59" s="14"/>
      <c r="C59" s="14">
        <f>336000*1.08</f>
        <v>362880</v>
      </c>
      <c r="D59" s="22" t="s">
        <v>38</v>
      </c>
      <c r="E59" s="21" t="s">
        <v>32</v>
      </c>
      <c r="F59" s="2" t="s">
        <v>62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s="24" customFormat="1" ht="15">
      <c r="A60" s="9" t="s">
        <v>21</v>
      </c>
      <c r="B60" s="14"/>
      <c r="C60" s="14">
        <f>560000*1.08</f>
        <v>604800</v>
      </c>
      <c r="D60" s="22" t="s">
        <v>63</v>
      </c>
      <c r="E60" s="21" t="s">
        <v>32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s="24" customFormat="1" ht="15">
      <c r="A61" s="9" t="s">
        <v>143</v>
      </c>
      <c r="B61" s="14"/>
      <c r="C61" s="14">
        <f>150000*1.08</f>
        <v>162000</v>
      </c>
      <c r="D61" s="22" t="s">
        <v>144</v>
      </c>
      <c r="E61" s="21" t="s">
        <v>32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9"/>
      <c r="B62" s="14"/>
      <c r="C62" s="14"/>
    </row>
    <row r="63" spans="1:16">
      <c r="A63" s="1" t="s">
        <v>8</v>
      </c>
      <c r="B63" s="4">
        <f>SUM(C64:C72)</f>
        <v>3030048</v>
      </c>
      <c r="C63" s="14"/>
    </row>
    <row r="64" spans="1:16" s="24" customFormat="1" ht="15.75" customHeight="1">
      <c r="A64" s="9" t="s">
        <v>104</v>
      </c>
      <c r="B64" s="14"/>
      <c r="C64" s="14">
        <f>179200*1.08</f>
        <v>193536</v>
      </c>
      <c r="D64" s="22" t="s">
        <v>125</v>
      </c>
      <c r="E64" s="21" t="s">
        <v>32</v>
      </c>
      <c r="F64" s="2" t="s">
        <v>112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s="24" customFormat="1" ht="15">
      <c r="A65" s="9" t="s">
        <v>95</v>
      </c>
      <c r="B65" s="16"/>
      <c r="C65" s="14">
        <f>1534400*1.08</f>
        <v>1657152</v>
      </c>
      <c r="D65" s="22" t="s">
        <v>66</v>
      </c>
      <c r="E65" s="21" t="s">
        <v>32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s="24" customFormat="1" ht="15" customHeight="1">
      <c r="A66" s="9" t="s">
        <v>64</v>
      </c>
      <c r="B66" s="14"/>
      <c r="C66" s="14">
        <f>280000*1.08</f>
        <v>302400</v>
      </c>
      <c r="D66" s="22" t="s">
        <v>65</v>
      </c>
      <c r="E66" s="21" t="s">
        <v>32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s="24" customFormat="1" ht="15">
      <c r="A67" s="9" t="s">
        <v>176</v>
      </c>
      <c r="B67" s="14"/>
      <c r="C67" s="14">
        <f>644000*1.08</f>
        <v>695520</v>
      </c>
      <c r="D67" s="22" t="s">
        <v>67</v>
      </c>
      <c r="E67" s="21" t="s">
        <v>32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s="24" customFormat="1" ht="31.5" customHeight="1">
      <c r="A68" s="9" t="s">
        <v>178</v>
      </c>
      <c r="B68" s="14"/>
      <c r="C68" s="14">
        <f>28000*1.08</f>
        <v>30240.000000000004</v>
      </c>
      <c r="D68" s="22" t="s">
        <v>129</v>
      </c>
      <c r="E68" s="21" t="s">
        <v>32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s="24" customFormat="1" ht="25.5">
      <c r="A69" s="9" t="s">
        <v>173</v>
      </c>
      <c r="B69" s="14"/>
      <c r="C69" s="14">
        <f>100000*1.08</f>
        <v>108000</v>
      </c>
      <c r="D69" s="22" t="s">
        <v>138</v>
      </c>
      <c r="E69" s="21" t="s">
        <v>32</v>
      </c>
      <c r="F69" s="2" t="s">
        <v>112</v>
      </c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s="24" customFormat="1" ht="15.75" customHeight="1">
      <c r="A70" s="9" t="s">
        <v>177</v>
      </c>
      <c r="B70" s="14"/>
      <c r="C70" s="14">
        <f>5000*1.08</f>
        <v>5400</v>
      </c>
      <c r="D70" s="22" t="s">
        <v>130</v>
      </c>
      <c r="E70" s="21" t="s">
        <v>32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24" customFormat="1" ht="15.75" customHeight="1">
      <c r="A71" s="9" t="s">
        <v>179</v>
      </c>
      <c r="B71" s="14"/>
      <c r="C71" s="14">
        <f>10000*1.08</f>
        <v>10800</v>
      </c>
      <c r="D71" s="22" t="s">
        <v>136</v>
      </c>
      <c r="E71" s="21" t="s">
        <v>32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24" customFormat="1" ht="15.75" customHeight="1">
      <c r="A72" s="9" t="s">
        <v>155</v>
      </c>
      <c r="B72" s="14"/>
      <c r="C72" s="14">
        <f>25000*1.08</f>
        <v>27000</v>
      </c>
      <c r="D72" s="22" t="s">
        <v>156</v>
      </c>
      <c r="E72" s="21" t="s">
        <v>32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9"/>
      <c r="B73" s="16"/>
      <c r="C73" s="14"/>
    </row>
    <row r="74" spans="1:16">
      <c r="A74" s="1" t="s">
        <v>3</v>
      </c>
      <c r="B74" s="4">
        <f>SUM(C75:C75)</f>
        <v>350784</v>
      </c>
      <c r="C74" s="5"/>
      <c r="E74" s="23"/>
    </row>
    <row r="75" spans="1:16" s="24" customFormat="1" ht="15" customHeight="1">
      <c r="A75" s="9" t="s">
        <v>180</v>
      </c>
      <c r="B75" s="14"/>
      <c r="C75" s="14">
        <f>324800*1.08</f>
        <v>350784</v>
      </c>
      <c r="D75" s="22" t="s">
        <v>68</v>
      </c>
      <c r="E75" s="21" t="s">
        <v>32</v>
      </c>
      <c r="F75" s="2" t="s">
        <v>126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9"/>
      <c r="B76" s="14"/>
      <c r="C76" s="14"/>
      <c r="E76" s="23"/>
    </row>
    <row r="77" spans="1:16" ht="25.5">
      <c r="A77" s="1" t="s">
        <v>4</v>
      </c>
      <c r="B77" s="4">
        <f>SUM(C78:C78)</f>
        <v>130680.00000000001</v>
      </c>
      <c r="C77" s="14"/>
      <c r="E77" s="23"/>
    </row>
    <row r="78" spans="1:16" ht="29.25" customHeight="1">
      <c r="A78" s="9" t="s">
        <v>23</v>
      </c>
      <c r="B78" s="14"/>
      <c r="C78" s="17">
        <f>121000*1.08</f>
        <v>130680.00000000001</v>
      </c>
      <c r="D78" s="21" t="s">
        <v>38</v>
      </c>
      <c r="E78" s="23" t="s">
        <v>32</v>
      </c>
      <c r="F78" s="54" t="s">
        <v>69</v>
      </c>
      <c r="G78" s="54"/>
      <c r="H78" s="54"/>
      <c r="I78" s="54"/>
      <c r="J78" s="54"/>
      <c r="K78" s="54"/>
    </row>
    <row r="79" spans="1:16" ht="15">
      <c r="A79" s="9"/>
      <c r="B79" s="14"/>
      <c r="C79" s="17"/>
      <c r="D79" s="37"/>
      <c r="E79" s="23"/>
    </row>
    <row r="80" spans="1:16">
      <c r="A80" s="1" t="s">
        <v>5</v>
      </c>
      <c r="B80" s="4">
        <f>SUM(C81:C90)</f>
        <v>7133225.7999999998</v>
      </c>
      <c r="C80" s="5"/>
      <c r="E80" s="23"/>
    </row>
    <row r="81" spans="1:16" s="24" customFormat="1" ht="15">
      <c r="A81" s="9" t="s">
        <v>24</v>
      </c>
      <c r="B81" s="14"/>
      <c r="C81" s="14">
        <f>330960*1.08</f>
        <v>357436.80000000005</v>
      </c>
      <c r="D81" s="22" t="s">
        <v>38</v>
      </c>
      <c r="E81" s="21" t="s">
        <v>32</v>
      </c>
      <c r="F81" s="2" t="s">
        <v>72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24" customFormat="1" ht="31.5" customHeight="1">
      <c r="A82" s="9" t="s">
        <v>113</v>
      </c>
      <c r="B82" s="14"/>
      <c r="C82" s="14">
        <f>200000*1.08</f>
        <v>216000</v>
      </c>
      <c r="D82" s="22" t="s">
        <v>38</v>
      </c>
      <c r="E82" s="21" t="s">
        <v>32</v>
      </c>
      <c r="F82" s="54" t="s">
        <v>114</v>
      </c>
      <c r="G82" s="54"/>
      <c r="H82" s="54"/>
      <c r="I82" s="54"/>
      <c r="J82" s="54"/>
      <c r="K82" s="54"/>
      <c r="L82" s="2"/>
      <c r="M82" s="2"/>
      <c r="N82" s="2"/>
      <c r="O82" s="2"/>
      <c r="P82" s="2"/>
    </row>
    <row r="83" spans="1:16" s="24" customFormat="1" ht="30.75" customHeight="1">
      <c r="A83" s="9" t="s">
        <v>116</v>
      </c>
      <c r="B83" s="14"/>
      <c r="C83" s="14">
        <f>1200000*1.08</f>
        <v>1296000</v>
      </c>
      <c r="D83" s="22" t="s">
        <v>38</v>
      </c>
      <c r="E83" s="21" t="s">
        <v>32</v>
      </c>
      <c r="F83" s="54" t="s">
        <v>117</v>
      </c>
      <c r="G83" s="54"/>
      <c r="H83" s="54"/>
      <c r="I83" s="54"/>
      <c r="J83" s="54"/>
      <c r="K83" s="54"/>
      <c r="L83" s="2"/>
      <c r="M83" s="2"/>
      <c r="N83" s="2"/>
      <c r="O83" s="2"/>
      <c r="P83" s="2"/>
    </row>
    <row r="84" spans="1:16" s="24" customFormat="1" ht="33" customHeight="1">
      <c r="A84" s="9" t="s">
        <v>106</v>
      </c>
      <c r="B84" s="14"/>
      <c r="C84" s="14">
        <f>10000*1.08</f>
        <v>10800</v>
      </c>
      <c r="D84" s="22" t="s">
        <v>38</v>
      </c>
      <c r="E84" s="21" t="s">
        <v>32</v>
      </c>
      <c r="F84" s="54" t="s">
        <v>115</v>
      </c>
      <c r="G84" s="54"/>
      <c r="H84" s="54"/>
      <c r="I84" s="54"/>
      <c r="J84" s="54"/>
      <c r="K84" s="54"/>
      <c r="L84" s="2"/>
      <c r="M84" s="2"/>
      <c r="N84" s="2"/>
      <c r="O84" s="2"/>
      <c r="P84" s="2"/>
    </row>
    <row r="85" spans="1:16" s="24" customFormat="1" ht="31.5" customHeight="1">
      <c r="A85" s="9" t="s">
        <v>25</v>
      </c>
      <c r="B85" s="14"/>
      <c r="C85" s="14">
        <f>3136000*1.08</f>
        <v>3386880</v>
      </c>
      <c r="D85" s="22" t="s">
        <v>70</v>
      </c>
      <c r="E85" s="21" t="s">
        <v>32</v>
      </c>
      <c r="F85" s="54" t="s">
        <v>71</v>
      </c>
      <c r="G85" s="54"/>
      <c r="H85" s="54"/>
      <c r="I85" s="54"/>
      <c r="J85" s="54"/>
      <c r="K85" s="54"/>
      <c r="L85" s="2"/>
      <c r="M85" s="2"/>
      <c r="N85" s="2"/>
      <c r="O85" s="2"/>
      <c r="P85" s="2"/>
    </row>
    <row r="86" spans="1:16" s="24" customFormat="1" ht="15">
      <c r="A86" s="9" t="s">
        <v>26</v>
      </c>
      <c r="B86" s="14"/>
      <c r="C86" s="14">
        <f>112000*1.08</f>
        <v>120960.00000000001</v>
      </c>
      <c r="D86" s="22" t="s">
        <v>38</v>
      </c>
      <c r="E86" s="21" t="s">
        <v>32</v>
      </c>
      <c r="F86" s="2" t="s">
        <v>73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24" customFormat="1" ht="15">
      <c r="A87" s="9" t="s">
        <v>27</v>
      </c>
      <c r="B87" s="14"/>
      <c r="C87" s="14">
        <f>112000*1.08</f>
        <v>120960.00000000001</v>
      </c>
      <c r="D87" s="22" t="s">
        <v>38</v>
      </c>
      <c r="E87" s="21" t="s">
        <v>32</v>
      </c>
      <c r="F87" s="2" t="s">
        <v>74</v>
      </c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24" customFormat="1" ht="15">
      <c r="A88" s="9" t="s">
        <v>75</v>
      </c>
      <c r="B88" s="14"/>
      <c r="C88" s="14">
        <f>61600*1.08</f>
        <v>66528</v>
      </c>
      <c r="D88" s="22" t="s">
        <v>76</v>
      </c>
      <c r="E88" s="21" t="s">
        <v>32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24" customFormat="1" ht="25.5">
      <c r="A89" s="9" t="s">
        <v>145</v>
      </c>
      <c r="B89" s="14"/>
      <c r="C89" s="14">
        <f>50000*1.08</f>
        <v>54000</v>
      </c>
      <c r="D89" s="22" t="s">
        <v>146</v>
      </c>
      <c r="E89" s="21" t="s">
        <v>32</v>
      </c>
      <c r="F89" s="2" t="s">
        <v>112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24" customFormat="1" ht="15">
      <c r="A90" s="9" t="s">
        <v>191</v>
      </c>
      <c r="B90" s="14"/>
      <c r="C90" s="14">
        <v>1503661</v>
      </c>
      <c r="D90" s="22" t="s">
        <v>38</v>
      </c>
      <c r="E90" s="21" t="s">
        <v>32</v>
      </c>
      <c r="F90" s="2" t="s">
        <v>77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9"/>
      <c r="B91" s="14"/>
      <c r="C91" s="14"/>
    </row>
    <row r="92" spans="1:16">
      <c r="A92" s="1" t="s">
        <v>2</v>
      </c>
      <c r="B92" s="4">
        <f>SUM(C93)</f>
        <v>0</v>
      </c>
      <c r="C92" s="5"/>
    </row>
    <row r="93" spans="1:16">
      <c r="A93" s="9" t="s">
        <v>105</v>
      </c>
      <c r="B93" s="14"/>
      <c r="C93" s="14"/>
    </row>
    <row r="94" spans="1:16">
      <c r="A94" s="9"/>
      <c r="B94" s="14"/>
      <c r="C94" s="14"/>
    </row>
    <row r="95" spans="1:16">
      <c r="A95" s="1" t="s">
        <v>9</v>
      </c>
      <c r="B95" s="4">
        <f>SUM(C96:C114)</f>
        <v>9055018.0800000001</v>
      </c>
      <c r="C95" s="5"/>
    </row>
    <row r="96" spans="1:16">
      <c r="A96" s="53" t="s">
        <v>192</v>
      </c>
      <c r="B96" s="4"/>
      <c r="C96" s="14">
        <f>314900*1.08</f>
        <v>340092</v>
      </c>
      <c r="E96" s="21" t="s">
        <v>32</v>
      </c>
    </row>
    <row r="97" spans="1:16">
      <c r="A97" s="53" t="s">
        <v>193</v>
      </c>
      <c r="B97" s="4"/>
      <c r="C97" s="14">
        <f>225200*1.08</f>
        <v>243216.00000000003</v>
      </c>
      <c r="E97" s="21" t="s">
        <v>32</v>
      </c>
    </row>
    <row r="98" spans="1:16">
      <c r="A98" s="52" t="s">
        <v>194</v>
      </c>
      <c r="B98" s="4"/>
      <c r="C98" s="14">
        <v>465048</v>
      </c>
      <c r="E98" s="21" t="s">
        <v>32</v>
      </c>
    </row>
    <row r="99" spans="1:16" s="24" customFormat="1" ht="29.25" customHeight="1">
      <c r="A99" s="9" t="s">
        <v>96</v>
      </c>
      <c r="B99" s="14"/>
      <c r="C99" s="14">
        <f>554512*1.08</f>
        <v>598872.96000000008</v>
      </c>
      <c r="D99" s="22" t="s">
        <v>79</v>
      </c>
      <c r="E99" s="21" t="s">
        <v>32</v>
      </c>
      <c r="F99" s="44" t="s">
        <v>112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s="24" customFormat="1" ht="15">
      <c r="A100" s="9" t="s">
        <v>0</v>
      </c>
      <c r="B100" s="14"/>
      <c r="C100" s="14">
        <f>196000*1.08</f>
        <v>211680</v>
      </c>
      <c r="D100" s="22" t="s">
        <v>80</v>
      </c>
      <c r="E100" s="21" t="s">
        <v>32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s="24" customFormat="1" ht="14.25" customHeight="1">
      <c r="A101" s="9" t="s">
        <v>181</v>
      </c>
      <c r="B101" s="14"/>
      <c r="C101" s="14">
        <f>2016000*1.08</f>
        <v>2177280</v>
      </c>
      <c r="D101" s="22" t="s">
        <v>81</v>
      </c>
      <c r="E101" s="21" t="s">
        <v>32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s="24" customFormat="1" ht="15">
      <c r="A102" s="9" t="s">
        <v>101</v>
      </c>
      <c r="B102" s="14"/>
      <c r="C102" s="14">
        <f>420000*1.08</f>
        <v>453600.00000000006</v>
      </c>
      <c r="D102" s="22" t="s">
        <v>82</v>
      </c>
      <c r="E102" s="21" t="s">
        <v>32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s="24" customFormat="1" ht="15">
      <c r="A103" s="9" t="s">
        <v>182</v>
      </c>
      <c r="B103" s="14"/>
      <c r="C103" s="14">
        <f>450000*1.08</f>
        <v>486000.00000000006</v>
      </c>
      <c r="D103" s="22" t="s">
        <v>133</v>
      </c>
      <c r="E103" s="21" t="s">
        <v>32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s="24" customFormat="1" ht="25.5">
      <c r="A104" s="9" t="s">
        <v>183</v>
      </c>
      <c r="B104" s="14"/>
      <c r="C104" s="14">
        <f>101808*1.08</f>
        <v>109952.64000000001</v>
      </c>
      <c r="D104" s="22" t="s">
        <v>84</v>
      </c>
      <c r="E104" s="21" t="s">
        <v>32</v>
      </c>
      <c r="F104" s="2" t="s">
        <v>126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s="25" customFormat="1" ht="27" customHeight="1">
      <c r="A105" s="45" t="s">
        <v>141</v>
      </c>
      <c r="B105" s="32"/>
      <c r="C105" s="43">
        <f>200000*1.08</f>
        <v>216000</v>
      </c>
      <c r="D105" s="46" t="s">
        <v>142</v>
      </c>
      <c r="E105" s="39" t="s">
        <v>32</v>
      </c>
    </row>
    <row r="106" spans="1:16" s="25" customFormat="1" ht="12.95" customHeight="1">
      <c r="A106" s="31" t="s">
        <v>85</v>
      </c>
      <c r="B106" s="32"/>
      <c r="C106" s="43">
        <f>112000*1.08</f>
        <v>120960.00000000001</v>
      </c>
      <c r="D106" s="38" t="s">
        <v>38</v>
      </c>
      <c r="E106" s="39" t="s">
        <v>32</v>
      </c>
      <c r="F106" s="25" t="s">
        <v>86</v>
      </c>
    </row>
    <row r="107" spans="1:16" s="24" customFormat="1" ht="15">
      <c r="A107" s="9" t="s">
        <v>184</v>
      </c>
      <c r="B107" s="14"/>
      <c r="C107" s="14">
        <f>2458216*1.08</f>
        <v>2654873.2800000003</v>
      </c>
      <c r="D107" s="22" t="s">
        <v>78</v>
      </c>
      <c r="E107" s="21" t="s">
        <v>32</v>
      </c>
      <c r="F107" s="44" t="s">
        <v>112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s="24" customFormat="1" ht="15">
      <c r="A108" s="9" t="s">
        <v>28</v>
      </c>
      <c r="B108" s="14"/>
      <c r="C108" s="14">
        <f>112000*1.08</f>
        <v>120960.00000000001</v>
      </c>
      <c r="D108" s="22" t="s">
        <v>83</v>
      </c>
      <c r="E108" s="21" t="s">
        <v>32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s="24" customFormat="1" ht="15">
      <c r="A109" s="9" t="s">
        <v>97</v>
      </c>
      <c r="B109" s="14"/>
      <c r="C109" s="14">
        <f>80640*1.08</f>
        <v>87091.200000000012</v>
      </c>
      <c r="D109" s="22" t="s">
        <v>83</v>
      </c>
      <c r="E109" s="21" t="s">
        <v>32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s="24" customFormat="1" ht="15">
      <c r="A110" s="9" t="s">
        <v>29</v>
      </c>
      <c r="B110" s="14"/>
      <c r="C110" s="14">
        <f>28000*1.08</f>
        <v>30240.000000000004</v>
      </c>
      <c r="D110" s="22" t="s">
        <v>38</v>
      </c>
      <c r="E110" s="21" t="s">
        <v>32</v>
      </c>
      <c r="F110" s="2" t="s">
        <v>87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s="24" customFormat="1" ht="15">
      <c r="A111" s="9" t="s">
        <v>185</v>
      </c>
      <c r="B111" s="14"/>
      <c r="C111" s="14">
        <f>89600*1.08</f>
        <v>96768</v>
      </c>
      <c r="D111" s="22" t="s">
        <v>38</v>
      </c>
      <c r="E111" s="21" t="s">
        <v>32</v>
      </c>
      <c r="F111" s="2" t="s">
        <v>88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s="24" customFormat="1" ht="15">
      <c r="A112" s="9" t="s">
        <v>30</v>
      </c>
      <c r="B112" s="14"/>
      <c r="C112" s="14">
        <f>44800*1.08</f>
        <v>48384</v>
      </c>
      <c r="D112" s="22" t="s">
        <v>83</v>
      </c>
      <c r="E112" s="21" t="s">
        <v>32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s="24" customFormat="1" ht="15">
      <c r="A113" s="9" t="s">
        <v>107</v>
      </c>
      <c r="B113" s="14"/>
      <c r="C113" s="14">
        <f>250000*1.08</f>
        <v>270000</v>
      </c>
      <c r="D113" s="22" t="s">
        <v>38</v>
      </c>
      <c r="E113" s="21" t="s">
        <v>32</v>
      </c>
      <c r="F113" s="2" t="s">
        <v>118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s="24" customFormat="1" ht="15">
      <c r="A114" s="9" t="s">
        <v>189</v>
      </c>
      <c r="B114" s="14"/>
      <c r="C114" s="14">
        <f>300000*1.08</f>
        <v>324000</v>
      </c>
      <c r="D114" s="22"/>
      <c r="E114" s="2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s="24" customFormat="1" ht="15">
      <c r="A115" s="9"/>
      <c r="B115" s="14"/>
      <c r="C115" s="14"/>
      <c r="D115" s="22"/>
      <c r="E115" s="21"/>
      <c r="F115" s="44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11" t="s">
        <v>10</v>
      </c>
      <c r="B116" s="4">
        <f>SUM(C117:C119)</f>
        <v>332640</v>
      </c>
      <c r="C116" s="5"/>
    </row>
    <row r="117" spans="1:16" s="24" customFormat="1" ht="15">
      <c r="A117" s="9" t="s">
        <v>98</v>
      </c>
      <c r="B117" s="14"/>
      <c r="C117" s="14">
        <f>112000*1.08</f>
        <v>120960.00000000001</v>
      </c>
      <c r="D117" s="22" t="s">
        <v>38</v>
      </c>
      <c r="E117" s="21" t="s">
        <v>32</v>
      </c>
      <c r="F117" s="2" t="s">
        <v>89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s="24" customFormat="1" ht="15">
      <c r="A118" s="9" t="s">
        <v>99</v>
      </c>
      <c r="B118" s="14"/>
      <c r="C118" s="14">
        <f>84000*1.08</f>
        <v>90720</v>
      </c>
      <c r="D118" s="22" t="s">
        <v>38</v>
      </c>
      <c r="E118" s="21" t="s">
        <v>32</v>
      </c>
      <c r="F118" s="2" t="s">
        <v>89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s="24" customFormat="1" ht="15">
      <c r="A119" s="9" t="s">
        <v>31</v>
      </c>
      <c r="B119" s="14"/>
      <c r="C119" s="14">
        <f>112000*1.08</f>
        <v>120960.00000000001</v>
      </c>
      <c r="D119" s="22" t="s">
        <v>38</v>
      </c>
      <c r="E119" s="21" t="s">
        <v>32</v>
      </c>
      <c r="F119" s="2" t="s">
        <v>89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s="24" customFormat="1" ht="15">
      <c r="A120" s="9"/>
      <c r="B120" s="14"/>
      <c r="C120" s="14" t="s">
        <v>112</v>
      </c>
      <c r="D120" s="22" t="s">
        <v>112</v>
      </c>
      <c r="E120" s="21" t="s">
        <v>112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s="24" customFormat="1" ht="15">
      <c r="A121" s="9"/>
      <c r="B121" s="14"/>
      <c r="C121" s="14"/>
      <c r="D121" s="22"/>
      <c r="E121" s="21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s="24" customFormat="1" ht="15">
      <c r="A122" s="9"/>
      <c r="B122" s="14"/>
      <c r="C122" s="14"/>
      <c r="D122" s="22"/>
      <c r="E122" s="21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4.25">
      <c r="A123" s="33" t="s">
        <v>90</v>
      </c>
      <c r="B123" s="13">
        <f>SUM(B5:B119)/2</f>
        <v>20048731.940000001</v>
      </c>
      <c r="C123" s="13">
        <f>SUM(C6:C119)</f>
        <v>40097463.88000001</v>
      </c>
      <c r="D123" s="36"/>
      <c r="E123" s="36"/>
    </row>
    <row r="124" spans="1:16">
      <c r="B124" s="8"/>
    </row>
    <row r="125" spans="1:16">
      <c r="B125" s="8"/>
    </row>
    <row r="126" spans="1:16">
      <c r="B126" s="8"/>
      <c r="D126" s="42">
        <f>C123-B123</f>
        <v>20048731.940000009</v>
      </c>
    </row>
    <row r="127" spans="1:16">
      <c r="B127" s="8"/>
    </row>
    <row r="128" spans="1:16">
      <c r="B128" s="8"/>
    </row>
    <row r="129" spans="2:2">
      <c r="B129" s="8"/>
    </row>
    <row r="130" spans="2:2">
      <c r="B130" s="8"/>
    </row>
    <row r="131" spans="2:2">
      <c r="B131" s="8"/>
    </row>
    <row r="132" spans="2:2">
      <c r="B132" s="8"/>
    </row>
    <row r="133" spans="2:2">
      <c r="B133" s="8"/>
    </row>
    <row r="134" spans="2:2">
      <c r="B134" s="8"/>
    </row>
    <row r="135" spans="2:2">
      <c r="B135" s="8"/>
    </row>
    <row r="136" spans="2:2">
      <c r="B136" s="8"/>
    </row>
    <row r="137" spans="2:2">
      <c r="B137" s="8"/>
    </row>
    <row r="138" spans="2:2">
      <c r="B138" s="8"/>
    </row>
    <row r="139" spans="2:2">
      <c r="B139" s="8"/>
    </row>
    <row r="140" spans="2:2">
      <c r="B140" s="8"/>
    </row>
    <row r="141" spans="2:2">
      <c r="B141" s="8"/>
    </row>
    <row r="142" spans="2:2">
      <c r="B142" s="8"/>
    </row>
    <row r="143" spans="2:2">
      <c r="B143" s="8"/>
    </row>
    <row r="144" spans="2:2">
      <c r="B144" s="8"/>
    </row>
    <row r="145" spans="2:2">
      <c r="B145" s="8"/>
    </row>
    <row r="146" spans="2:2">
      <c r="B146" s="8"/>
    </row>
    <row r="147" spans="2:2">
      <c r="B147" s="8"/>
    </row>
    <row r="148" spans="2:2">
      <c r="B148" s="8"/>
    </row>
    <row r="149" spans="2:2">
      <c r="B149" s="8"/>
    </row>
    <row r="150" spans="2:2">
      <c r="B150" s="8"/>
    </row>
    <row r="151" spans="2:2">
      <c r="B151" s="8"/>
    </row>
    <row r="152" spans="2:2">
      <c r="B152" s="8"/>
    </row>
    <row r="153" spans="2:2">
      <c r="B153" s="8"/>
    </row>
    <row r="154" spans="2:2">
      <c r="B154" s="8"/>
    </row>
    <row r="155" spans="2:2">
      <c r="B155" s="8"/>
    </row>
    <row r="156" spans="2:2">
      <c r="B156" s="8"/>
    </row>
    <row r="157" spans="2:2">
      <c r="B157" s="8"/>
    </row>
    <row r="158" spans="2:2">
      <c r="B158" s="8"/>
    </row>
    <row r="159" spans="2:2">
      <c r="B159" s="8"/>
    </row>
    <row r="160" spans="2:2">
      <c r="B160" s="8"/>
    </row>
    <row r="161" spans="2:2">
      <c r="B161" s="8"/>
    </row>
    <row r="162" spans="2:2">
      <c r="B162" s="8"/>
    </row>
    <row r="163" spans="2:2">
      <c r="B163" s="8"/>
    </row>
    <row r="164" spans="2:2">
      <c r="B164" s="8"/>
    </row>
    <row r="165" spans="2:2">
      <c r="B165" s="8"/>
    </row>
    <row r="166" spans="2:2">
      <c r="B166" s="8"/>
    </row>
    <row r="167" spans="2:2">
      <c r="B167" s="8"/>
    </row>
    <row r="168" spans="2:2">
      <c r="B168" s="8"/>
    </row>
    <row r="169" spans="2:2">
      <c r="B169" s="8"/>
    </row>
    <row r="170" spans="2:2">
      <c r="B170" s="8"/>
    </row>
    <row r="171" spans="2:2">
      <c r="B171" s="8"/>
    </row>
    <row r="172" spans="2:2">
      <c r="B172" s="8"/>
    </row>
    <row r="173" spans="2:2">
      <c r="B173" s="8"/>
    </row>
    <row r="174" spans="2:2">
      <c r="B174" s="8"/>
    </row>
    <row r="175" spans="2:2">
      <c r="B175" s="8"/>
    </row>
    <row r="176" spans="2:2">
      <c r="B176" s="8"/>
    </row>
    <row r="177" spans="2:2">
      <c r="B177" s="8"/>
    </row>
    <row r="178" spans="2:2">
      <c r="B178" s="8"/>
    </row>
    <row r="179" spans="2:2">
      <c r="B179" s="8"/>
    </row>
    <row r="180" spans="2:2">
      <c r="B180" s="8"/>
    </row>
    <row r="181" spans="2:2">
      <c r="B181" s="8"/>
    </row>
    <row r="182" spans="2:2">
      <c r="B182" s="8"/>
    </row>
    <row r="183" spans="2:2">
      <c r="B183" s="8"/>
    </row>
    <row r="184" spans="2:2">
      <c r="B184" s="8"/>
    </row>
    <row r="185" spans="2:2">
      <c r="B185" s="8"/>
    </row>
    <row r="186" spans="2:2">
      <c r="B186" s="8"/>
    </row>
    <row r="187" spans="2:2">
      <c r="B187" s="8"/>
    </row>
    <row r="188" spans="2:2">
      <c r="B188" s="8"/>
    </row>
    <row r="189" spans="2:2">
      <c r="B189" s="8"/>
    </row>
    <row r="190" spans="2:2">
      <c r="B190" s="8"/>
    </row>
    <row r="191" spans="2:2">
      <c r="B191" s="8"/>
    </row>
    <row r="192" spans="2:2">
      <c r="B192" s="8"/>
    </row>
    <row r="193" spans="2:2">
      <c r="B193" s="8"/>
    </row>
    <row r="194" spans="2:2">
      <c r="B194" s="8"/>
    </row>
    <row r="195" spans="2:2">
      <c r="B195" s="8"/>
    </row>
    <row r="196" spans="2:2">
      <c r="B196" s="8"/>
    </row>
    <row r="197" spans="2:2">
      <c r="B197" s="8"/>
    </row>
    <row r="198" spans="2:2">
      <c r="B198" s="8"/>
    </row>
    <row r="199" spans="2:2">
      <c r="B199" s="8"/>
    </row>
    <row r="200" spans="2:2">
      <c r="B200" s="8"/>
    </row>
    <row r="201" spans="2:2">
      <c r="B201" s="8"/>
    </row>
    <row r="202" spans="2:2">
      <c r="B202" s="8"/>
    </row>
    <row r="203" spans="2:2">
      <c r="B203" s="8"/>
    </row>
    <row r="204" spans="2:2">
      <c r="B204" s="8"/>
    </row>
    <row r="205" spans="2:2">
      <c r="B205" s="8"/>
    </row>
    <row r="206" spans="2:2">
      <c r="B206" s="8"/>
    </row>
    <row r="207" spans="2:2">
      <c r="B207" s="8"/>
    </row>
    <row r="208" spans="2:2">
      <c r="B208" s="8"/>
    </row>
    <row r="209" spans="2:2">
      <c r="B209" s="8"/>
    </row>
    <row r="210" spans="2:2">
      <c r="B210" s="8"/>
    </row>
    <row r="211" spans="2:2">
      <c r="B211" s="8"/>
    </row>
    <row r="212" spans="2:2">
      <c r="B212" s="8"/>
    </row>
    <row r="213" spans="2:2">
      <c r="B213" s="8"/>
    </row>
    <row r="214" spans="2:2">
      <c r="B214" s="8"/>
    </row>
    <row r="215" spans="2:2">
      <c r="B215" s="8"/>
    </row>
    <row r="216" spans="2:2">
      <c r="B216" s="8"/>
    </row>
    <row r="217" spans="2:2">
      <c r="B217" s="8"/>
    </row>
    <row r="218" spans="2:2">
      <c r="B218" s="8"/>
    </row>
    <row r="219" spans="2:2">
      <c r="B219" s="8"/>
    </row>
    <row r="220" spans="2:2">
      <c r="B220" s="8"/>
    </row>
    <row r="221" spans="2:2">
      <c r="B221" s="8"/>
    </row>
    <row r="222" spans="2:2">
      <c r="B222" s="8"/>
    </row>
    <row r="223" spans="2:2">
      <c r="B223" s="8"/>
    </row>
    <row r="224" spans="2:2">
      <c r="B224" s="8"/>
    </row>
    <row r="225" spans="2:2">
      <c r="B225" s="8"/>
    </row>
    <row r="226" spans="2:2">
      <c r="B226" s="8"/>
    </row>
    <row r="227" spans="2:2">
      <c r="B227" s="8"/>
    </row>
    <row r="228" spans="2:2">
      <c r="B228" s="8"/>
    </row>
    <row r="229" spans="2:2">
      <c r="B229" s="8"/>
    </row>
    <row r="230" spans="2:2">
      <c r="B230" s="8"/>
    </row>
    <row r="231" spans="2:2">
      <c r="B231" s="8"/>
    </row>
    <row r="232" spans="2:2">
      <c r="B232" s="8"/>
    </row>
    <row r="233" spans="2:2">
      <c r="B233" s="8"/>
    </row>
    <row r="234" spans="2:2">
      <c r="B234" s="8"/>
    </row>
    <row r="235" spans="2:2">
      <c r="B235" s="8"/>
    </row>
    <row r="236" spans="2:2">
      <c r="B236" s="8"/>
    </row>
    <row r="237" spans="2:2">
      <c r="B237" s="8"/>
    </row>
    <row r="238" spans="2:2">
      <c r="B238" s="8"/>
    </row>
    <row r="239" spans="2:2">
      <c r="B239" s="8"/>
    </row>
    <row r="240" spans="2:2">
      <c r="B240" s="8"/>
    </row>
    <row r="241" spans="2:2">
      <c r="B241" s="8"/>
    </row>
    <row r="242" spans="2:2">
      <c r="B242" s="8"/>
    </row>
    <row r="243" spans="2:2">
      <c r="B243" s="8"/>
    </row>
    <row r="244" spans="2:2">
      <c r="B244" s="8"/>
    </row>
    <row r="245" spans="2:2">
      <c r="B245" s="8"/>
    </row>
    <row r="246" spans="2:2">
      <c r="B246" s="8"/>
    </row>
    <row r="247" spans="2:2">
      <c r="B247" s="8"/>
    </row>
    <row r="248" spans="2:2">
      <c r="B248" s="8"/>
    </row>
    <row r="249" spans="2:2">
      <c r="B249" s="8"/>
    </row>
  </sheetData>
  <mergeCells count="10">
    <mergeCell ref="F26:K26"/>
    <mergeCell ref="F17:K17"/>
    <mergeCell ref="F7:K7"/>
    <mergeCell ref="F21:K21"/>
    <mergeCell ref="F85:K85"/>
    <mergeCell ref="F57:K57"/>
    <mergeCell ref="F78:K78"/>
    <mergeCell ref="F82:K82"/>
    <mergeCell ref="F83:K83"/>
    <mergeCell ref="F84:K84"/>
  </mergeCells>
  <phoneticPr fontId="0" type="noConversion"/>
  <printOptions horizontalCentered="1" gridLines="1"/>
  <pageMargins left="0" right="0" top="0.5" bottom="0.25" header="0.25" footer="0.25"/>
  <pageSetup paperSize="17" orientation="landscape" r:id="rId1"/>
  <headerFooter alignWithMargins="0">
    <oddFooter>&amp;L11/2008&amp;R&amp;"Times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6yrPlan As Submitted OSBM </vt:lpstr>
      <vt:lpstr>'6yrPlan As Submitted OSBM '!Print_Area</vt:lpstr>
      <vt:lpstr>'6yrPlan As Submitted OSBM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Russel</dc:creator>
  <cp:lastModifiedBy>WCUUser</cp:lastModifiedBy>
  <cp:lastPrinted>2012-04-03T18:49:14Z</cp:lastPrinted>
  <dcterms:created xsi:type="dcterms:W3CDTF">1999-07-13T18:21:22Z</dcterms:created>
  <dcterms:modified xsi:type="dcterms:W3CDTF">2012-10-09T17:15:35Z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