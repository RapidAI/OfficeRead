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15" yWindow="285" windowWidth="10575" windowHeight="10740" tabRatio="789" firstSheet="41" activeTab="46"/>
  </bookViews>
  <sheets>
    <sheet name="Sheet1" sheetId="1" r:id="rId1"/>
    <sheet name="Bath and Wells" sheetId="4" r:id="rId2"/>
    <sheet name="Birmingham" sheetId="7" r:id="rId3"/>
    <sheet name="Blackburn" sheetId="8" r:id="rId4"/>
    <sheet name="Bradford" sheetId="9" r:id="rId5"/>
    <sheet name="Bristol" sheetId="10" r:id="rId6"/>
    <sheet name="Canterbury" sheetId="11" r:id="rId7"/>
    <sheet name="Carlisle" sheetId="12" r:id="rId8"/>
    <sheet name="Chelmsford" sheetId="13" r:id="rId9"/>
    <sheet name="Chester" sheetId="14" r:id="rId10"/>
    <sheet name="Chichester" sheetId="15" r:id="rId11"/>
    <sheet name="Coventry" sheetId="17" r:id="rId12"/>
    <sheet name="Derby" sheetId="18" r:id="rId13"/>
    <sheet name="Durham" sheetId="19" r:id="rId14"/>
    <sheet name="Ely" sheetId="20" r:id="rId15"/>
    <sheet name="Exeter" sheetId="21" r:id="rId16"/>
    <sheet name="Gloucester" sheetId="22" r:id="rId17"/>
    <sheet name="Guildford" sheetId="23" r:id="rId18"/>
    <sheet name="Hereford" sheetId="24" r:id="rId19"/>
    <sheet name="Leicester" sheetId="25" r:id="rId20"/>
    <sheet name="Lichfield" sheetId="26" r:id="rId21"/>
    <sheet name="Lincoln" sheetId="27" r:id="rId22"/>
    <sheet name="Liverpool" sheetId="28" r:id="rId23"/>
    <sheet name="London" sheetId="29" r:id="rId24"/>
    <sheet name="Manchester" sheetId="30" r:id="rId25"/>
    <sheet name="Newcastle" sheetId="31" r:id="rId26"/>
    <sheet name="Norwich" sheetId="32" r:id="rId27"/>
    <sheet name="Oxford" sheetId="33" r:id="rId28"/>
    <sheet name="Peterborough" sheetId="34" r:id="rId29"/>
    <sheet name="Portsmouth" sheetId="35" r:id="rId30"/>
    <sheet name="Ripon and Leeds" sheetId="36" r:id="rId31"/>
    <sheet name="Rochester" sheetId="37" r:id="rId32"/>
    <sheet name="St Albans" sheetId="38" r:id="rId33"/>
    <sheet name="St Eds and Ispwich" sheetId="39" r:id="rId34"/>
    <sheet name="Salisbury" sheetId="40" r:id="rId35"/>
    <sheet name="Sheffield" sheetId="41" r:id="rId36"/>
    <sheet name="Sodor and Man" sheetId="42" r:id="rId37"/>
    <sheet name="Southwark" sheetId="43" r:id="rId38"/>
    <sheet name="Southwell" sheetId="44" r:id="rId39"/>
    <sheet name="Truro" sheetId="45" r:id="rId40"/>
    <sheet name="Wakefield" sheetId="46" r:id="rId41"/>
    <sheet name="Winchester" sheetId="47" r:id="rId42"/>
    <sheet name="Worcester" sheetId="48" r:id="rId43"/>
    <sheet name="York" sheetId="49" r:id="rId44"/>
    <sheet name="Europe" sheetId="50" r:id="rId45"/>
    <sheet name="Data" sheetId="3" r:id="rId46"/>
    <sheet name="Ranking" sheetId="52" r:id="rId47"/>
  </sheets>
  <calcPr calcId="125725" calcOnSave="0"/>
</workbook>
</file>

<file path=xl/calcChain.xml><?xml version="1.0" encoding="utf-8"?>
<calcChain xmlns="http://schemas.openxmlformats.org/spreadsheetml/2006/main">
  <c r="L14" i="3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J15"/>
  <c r="AK15"/>
  <c r="AL15"/>
  <c r="AM15"/>
  <c r="AN15"/>
  <c r="AO15"/>
  <c r="AP15"/>
  <c r="AQ15"/>
  <c r="AR15"/>
  <c r="AS15"/>
  <c r="AT15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J16"/>
  <c r="AK16"/>
  <c r="AL16"/>
  <c r="AM16"/>
  <c r="AN16"/>
  <c r="AO16"/>
  <c r="AP16"/>
  <c r="AQ16"/>
  <c r="AR16"/>
  <c r="AS16"/>
  <c r="AT16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J17"/>
  <c r="AK17"/>
  <c r="AL17"/>
  <c r="AM17"/>
  <c r="AN17"/>
  <c r="AO17"/>
  <c r="AP17"/>
  <c r="AQ17"/>
  <c r="AR17"/>
  <c r="AS17"/>
  <c r="AT17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J18"/>
  <c r="AK18"/>
  <c r="AL18"/>
  <c r="AM18"/>
  <c r="AN18"/>
  <c r="AO18"/>
  <c r="AP18"/>
  <c r="AQ18"/>
  <c r="AR18"/>
  <c r="AS18"/>
  <c r="AT18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J20"/>
  <c r="AK20"/>
  <c r="AL20"/>
  <c r="AM20"/>
  <c r="AN20"/>
  <c r="AO20"/>
  <c r="AP20"/>
  <c r="AQ20"/>
  <c r="AR20"/>
  <c r="AS20"/>
  <c r="AT20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P22"/>
  <c r="AQ22"/>
  <c r="AR22"/>
  <c r="AS22"/>
  <c r="AT22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J23"/>
  <c r="AK23"/>
  <c r="AL23"/>
  <c r="AM23"/>
  <c r="AN23"/>
  <c r="AO23"/>
  <c r="AP23"/>
  <c r="AQ23"/>
  <c r="AR23"/>
  <c r="AS23"/>
  <c r="AT23"/>
  <c r="D14"/>
  <c r="E14"/>
  <c r="F14"/>
  <c r="G14"/>
  <c r="H14"/>
  <c r="I14"/>
  <c r="J14"/>
  <c r="K14"/>
  <c r="D15"/>
  <c r="E15"/>
  <c r="F15"/>
  <c r="G15"/>
  <c r="H15"/>
  <c r="I15"/>
  <c r="J15"/>
  <c r="K15"/>
  <c r="D16"/>
  <c r="E16"/>
  <c r="F16"/>
  <c r="G16"/>
  <c r="H16"/>
  <c r="I16"/>
  <c r="J16"/>
  <c r="K16"/>
  <c r="D17"/>
  <c r="E17"/>
  <c r="F17"/>
  <c r="G17"/>
  <c r="H17"/>
  <c r="I17"/>
  <c r="J17"/>
  <c r="K17"/>
  <c r="D18"/>
  <c r="E18"/>
  <c r="F18"/>
  <c r="G18"/>
  <c r="H18"/>
  <c r="I18"/>
  <c r="J18"/>
  <c r="K18"/>
  <c r="D19"/>
  <c r="E19"/>
  <c r="F19"/>
  <c r="G19"/>
  <c r="H19"/>
  <c r="I19"/>
  <c r="J19"/>
  <c r="K19"/>
  <c r="D20"/>
  <c r="E20"/>
  <c r="F20"/>
  <c r="G20"/>
  <c r="H20"/>
  <c r="I20"/>
  <c r="J20"/>
  <c r="K20"/>
  <c r="D21"/>
  <c r="E21"/>
  <c r="F21"/>
  <c r="G21"/>
  <c r="H21"/>
  <c r="I21"/>
  <c r="J21"/>
  <c r="K21"/>
  <c r="D22"/>
  <c r="E22"/>
  <c r="F22"/>
  <c r="G22"/>
  <c r="H22"/>
  <c r="I22"/>
  <c r="J22"/>
  <c r="K22"/>
  <c r="D23"/>
  <c r="E23"/>
  <c r="F23"/>
  <c r="G23"/>
  <c r="H23"/>
  <c r="I23"/>
  <c r="J23"/>
  <c r="K23"/>
  <c r="C15"/>
  <c r="C16"/>
  <c r="C17"/>
  <c r="C18"/>
  <c r="C19"/>
  <c r="C20"/>
  <c r="C21"/>
  <c r="C22"/>
  <c r="C23"/>
  <c r="C14"/>
</calcChain>
</file>

<file path=xl/sharedStrings.xml><?xml version="1.0" encoding="utf-8"?>
<sst xmlns="http://schemas.openxmlformats.org/spreadsheetml/2006/main" count="1379" uniqueCount="78">
  <si>
    <t>Bath &amp; Wells</t>
  </si>
  <si>
    <t>Birmingham</t>
  </si>
  <si>
    <t>Blackburn</t>
  </si>
  <si>
    <t>Bradford</t>
  </si>
  <si>
    <t>Bristol</t>
  </si>
  <si>
    <t>Canterbury</t>
  </si>
  <si>
    <t>Carlisle</t>
  </si>
  <si>
    <t>Chelmsford</t>
  </si>
  <si>
    <t>Chester</t>
  </si>
  <si>
    <t>Chichester</t>
  </si>
  <si>
    <t>Coventry</t>
  </si>
  <si>
    <t>Derby</t>
  </si>
  <si>
    <t>Durham</t>
  </si>
  <si>
    <t>Ely</t>
  </si>
  <si>
    <t>Exeter</t>
  </si>
  <si>
    <t>Gloucester</t>
  </si>
  <si>
    <t>Guildford</t>
  </si>
  <si>
    <t>Hereford</t>
  </si>
  <si>
    <t>Leicester</t>
  </si>
  <si>
    <t>Lichfield</t>
  </si>
  <si>
    <t>Lincoln</t>
  </si>
  <si>
    <t>Liverpool</t>
  </si>
  <si>
    <t>London</t>
  </si>
  <si>
    <t>Manchester</t>
  </si>
  <si>
    <t>Newcastle</t>
  </si>
  <si>
    <t>Norwich</t>
  </si>
  <si>
    <t>Oxford</t>
  </si>
  <si>
    <t>Peterborough</t>
  </si>
  <si>
    <t>Portsmouth</t>
  </si>
  <si>
    <t>Ripon &amp; Leeds</t>
  </si>
  <si>
    <t>Rochester</t>
  </si>
  <si>
    <t>St. Albans</t>
  </si>
  <si>
    <t>St. Edms &amp; Ipswich</t>
  </si>
  <si>
    <t>Salisbury</t>
  </si>
  <si>
    <t>Sheffield</t>
  </si>
  <si>
    <t>Sodor &amp; Man</t>
  </si>
  <si>
    <t>Southwark</t>
  </si>
  <si>
    <t xml:space="preserve">Southwell &amp; Nottingham </t>
  </si>
  <si>
    <t>Truro</t>
  </si>
  <si>
    <t>Wakefield</t>
  </si>
  <si>
    <t>Winchester</t>
  </si>
  <si>
    <t>Worcester</t>
  </si>
  <si>
    <t>York</t>
  </si>
  <si>
    <t>Europe</t>
  </si>
  <si>
    <t>Decline</t>
  </si>
  <si>
    <t>Flat</t>
  </si>
  <si>
    <t>Growth</t>
  </si>
  <si>
    <t>Diocese</t>
  </si>
  <si>
    <t>Change</t>
  </si>
  <si>
    <t>Year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</si>
  <si>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</si>
  <si>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</si>
  <si>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</si>
  <si>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</si>
  <si>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</si>
  <si>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</si>
  <si>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</si>
  <si>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</si>
  <si>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</si>
  <si>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</si>
  <si>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</si>
  <si>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</si>
  <si>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</si>
  <si>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</si>
  <si>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</si>
  <si>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</si>
  <si>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</si>
  <si>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</si>
  <si>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</si>
  <si>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</si>
  <si>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</si>
  <si>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</si>
  <si>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</si>
  <si>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</si>
  <si>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</si>
  <si>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Static</t>
  </si>
  <si>
    <t>Sodor and Man</t>
  </si>
  <si>
    <t>St. Eds and Ipswich</t>
  </si>
</sst>
</file>

<file path=xl/styles.xml><?xml version="1.0" encoding="utf-8"?>
<styleSheet xmlns="http://schemas.openxmlformats.org/spreadsheetml/2006/main">
  <numFmts count="1">
    <numFmt numFmtId="164" formatCode="0.0%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Fill="1" applyBorder="1" applyAlignment="1"/>
    <xf numFmtId="10" fontId="0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Border="1" applyAlignment="1">
      <alignment horizontal="center"/>
    </xf>
    <xf numFmtId="10" fontId="0" fillId="0" borderId="0" xfId="1" applyNumberFormat="1" applyFont="1"/>
    <xf numFmtId="164" fontId="0" fillId="0" borderId="0" xfId="1" applyNumberFormat="1" applyFont="1" applyAlignment="1">
      <alignment horizontal="center"/>
    </xf>
    <xf numFmtId="0" fontId="0" fillId="0" borderId="0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S41"/>
  <sheetViews>
    <sheetView workbookViewId="0">
      <selection activeCell="J7" sqref="J7:K17"/>
    </sheetView>
  </sheetViews>
  <sheetFormatPr defaultRowHeight="15"/>
  <cols>
    <col min="1" max="1" width="7.7109375" bestFit="1" customWidth="1"/>
    <col min="2" max="2" width="12.85546875" bestFit="1" customWidth="1"/>
    <col min="3" max="3" width="23.7109375" bestFit="1" customWidth="1"/>
    <col min="4" max="4" width="10" bestFit="1" customWidth="1"/>
    <col min="5" max="5" width="9" bestFit="1" customWidth="1"/>
    <col min="6" max="6" width="7" bestFit="1" customWidth="1"/>
    <col min="7" max="7" width="11.140625" bestFit="1" customWidth="1"/>
    <col min="8" max="8" width="7.85546875" bestFit="1" customWidth="1"/>
    <col min="9" max="9" width="11.5703125" bestFit="1" customWidth="1"/>
    <col min="10" max="10" width="8.140625" bestFit="1" customWidth="1"/>
    <col min="11" max="11" width="10.7109375" bestFit="1" customWidth="1"/>
    <col min="12" max="12" width="9.28515625" bestFit="1" customWidth="1"/>
    <col min="13" max="13" width="6.85546875" bestFit="1" customWidth="1"/>
    <col min="14" max="14" width="8.28515625" bestFit="1" customWidth="1"/>
    <col min="15" max="15" width="13" bestFit="1" customWidth="1"/>
    <col min="16" max="16" width="7" bestFit="1" customWidth="1"/>
    <col min="17" max="17" width="11" bestFit="1" customWidth="1"/>
    <col min="18" max="18" width="9.85546875" bestFit="1" customWidth="1"/>
    <col min="19" max="20" width="9.28515625" bestFit="1" customWidth="1"/>
    <col min="21" max="21" width="8.85546875" bestFit="1" customWidth="1"/>
    <col min="22" max="22" width="7.5703125" bestFit="1" customWidth="1"/>
    <col min="23" max="23" width="9.5703125" bestFit="1" customWidth="1"/>
    <col min="24" max="24" width="7.85546875" bestFit="1" customWidth="1"/>
    <col min="25" max="25" width="11.85546875" bestFit="1" customWidth="1"/>
    <col min="26" max="26" width="10.5703125" bestFit="1" customWidth="1"/>
    <col min="27" max="27" width="8.7109375" bestFit="1" customWidth="1"/>
    <col min="28" max="28" width="7.42578125" bestFit="1" customWidth="1"/>
    <col min="29" max="29" width="13.7109375" bestFit="1" customWidth="1"/>
    <col min="30" max="30" width="11.7109375" bestFit="1" customWidth="1"/>
    <col min="31" max="31" width="14.140625" bestFit="1" customWidth="1"/>
    <col min="32" max="32" width="10.140625" bestFit="1" customWidth="1"/>
    <col min="33" max="33" width="10" bestFit="1" customWidth="1"/>
    <col min="34" max="34" width="18.140625" bestFit="1" customWidth="1"/>
    <col min="35" max="35" width="9.28515625" bestFit="1" customWidth="1"/>
    <col min="36" max="36" width="9.42578125" bestFit="1" customWidth="1"/>
    <col min="37" max="37" width="12.85546875" bestFit="1" customWidth="1"/>
    <col min="38" max="38" width="10.7109375" bestFit="1" customWidth="1"/>
    <col min="39" max="39" width="24.140625" bestFit="1" customWidth="1"/>
    <col min="40" max="40" width="6.85546875" bestFit="1" customWidth="1"/>
    <col min="41" max="41" width="10.5703125" bestFit="1" customWidth="1"/>
    <col min="42" max="42" width="11.5703125" bestFit="1" customWidth="1"/>
    <col min="43" max="43" width="10.5703125" bestFit="1" customWidth="1"/>
    <col min="44" max="44" width="6.85546875" bestFit="1" customWidth="1"/>
    <col min="45" max="45" width="7.5703125" bestFit="1" customWidth="1"/>
  </cols>
  <sheetData>
    <row r="2" spans="1: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</row>
    <row r="3" spans="1:45">
      <c r="A3" t="s">
        <v>44</v>
      </c>
      <c r="B3" s="3">
        <v>-8.2309582309582317E-3</v>
      </c>
      <c r="C3" s="3"/>
      <c r="D3" s="3">
        <v>-2.0676215531520992E-2</v>
      </c>
      <c r="E3" s="3">
        <v>-1.592148878970585E-2</v>
      </c>
      <c r="F3" s="3">
        <v>-1.8416399698895358E-2</v>
      </c>
      <c r="G3" s="3">
        <v>-9.4461463232227306E-3</v>
      </c>
      <c r="H3" s="3">
        <v>-1.3557654466745379E-2</v>
      </c>
      <c r="I3" s="3">
        <v>-1.0530625241658514E-2</v>
      </c>
      <c r="J3" s="3">
        <v>-1.0119976589933674E-2</v>
      </c>
      <c r="K3" s="3">
        <v>-7.9378111108645566E-3</v>
      </c>
      <c r="L3" s="3"/>
      <c r="M3" s="3">
        <v>-1.8444882885617433E-2</v>
      </c>
      <c r="N3" s="3">
        <v>-1.2623026718640318E-2</v>
      </c>
      <c r="O3" s="3"/>
      <c r="P3" s="3">
        <v>-9.9797046679263677E-3</v>
      </c>
      <c r="Q3" s="3"/>
      <c r="R3" s="3">
        <v>-1.2804161013116235E-2</v>
      </c>
      <c r="S3" s="3">
        <v>-4.9509176269739727E-3</v>
      </c>
      <c r="T3" s="3">
        <v>-1.2957560197611549E-2</v>
      </c>
      <c r="U3" s="3">
        <v>-1.3108879390967649E-2</v>
      </c>
      <c r="V3" s="5"/>
      <c r="W3" s="3">
        <v>-2.4303010107741857E-2</v>
      </c>
      <c r="X3" s="5"/>
      <c r="Y3" s="5"/>
      <c r="Z3" s="5"/>
      <c r="AA3" s="3">
        <v>-2.3252181050346196E-2</v>
      </c>
      <c r="AB3" s="3">
        <v>-1.0689835003273302E-2</v>
      </c>
      <c r="AC3" s="3">
        <v>-2.0095693779904306E-2</v>
      </c>
      <c r="AD3" s="3">
        <v>-1.5209392699160771E-2</v>
      </c>
      <c r="AE3" s="3">
        <v>-1.580494976721392E-2</v>
      </c>
      <c r="AF3" s="3">
        <v>-1.028064800026076E-2</v>
      </c>
      <c r="AG3" s="3">
        <v>-1.0538576737478508E-2</v>
      </c>
      <c r="AH3" s="3">
        <v>-1.1391054821892696E-2</v>
      </c>
      <c r="AI3" s="3">
        <v>-1.3970775718348529E-2</v>
      </c>
      <c r="AJ3" s="3">
        <v>-1.5582604285533149E-2</v>
      </c>
      <c r="AK3" s="3">
        <v>-1.951561951561951E-2</v>
      </c>
      <c r="AL3" s="5"/>
      <c r="AM3" s="3">
        <v>-1.6157840083073721E-2</v>
      </c>
      <c r="AN3" s="3">
        <v>-1.6608697628952684E-2</v>
      </c>
      <c r="AO3" s="3">
        <v>-1.870390653523183E-2</v>
      </c>
      <c r="AP3" s="3">
        <v>-1.1232296598150249E-2</v>
      </c>
      <c r="AQ3" s="3">
        <v>-2.1927955936822313E-2</v>
      </c>
      <c r="AR3" s="3">
        <v>-1.0319291537565655E-2</v>
      </c>
      <c r="AS3" s="5"/>
    </row>
    <row r="4" spans="1:45">
      <c r="A4" t="s">
        <v>45</v>
      </c>
      <c r="B4" s="3"/>
      <c r="C4" s="3">
        <v>-9.6070789002422816E-3</v>
      </c>
      <c r="D4" s="3"/>
      <c r="E4" s="3"/>
      <c r="F4" s="3"/>
      <c r="G4" s="3"/>
      <c r="H4" s="3"/>
      <c r="I4" s="3"/>
      <c r="J4" s="3"/>
      <c r="K4" s="3"/>
      <c r="L4" s="3">
        <v>-5.446924573330931E-3</v>
      </c>
      <c r="M4" s="3"/>
      <c r="N4" s="3"/>
      <c r="O4" s="3">
        <v>-6.6687759263165322E-3</v>
      </c>
      <c r="P4" s="3"/>
      <c r="Q4" s="3">
        <v>-1.1782265963897575E-2</v>
      </c>
      <c r="R4" s="3"/>
      <c r="S4" s="3"/>
      <c r="T4" s="5"/>
      <c r="U4" s="5"/>
      <c r="V4" s="3">
        <v>-9.4263406557330252E-3</v>
      </c>
      <c r="W4" s="5"/>
      <c r="X4" s="3">
        <v>4.5451884960225628E-3</v>
      </c>
      <c r="Y4" s="3">
        <v>-4.0701841867422928E-3</v>
      </c>
      <c r="Z4" s="3">
        <v>-1.933621933621939E-3</v>
      </c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3">
        <v>3.3537318410622667E-3</v>
      </c>
      <c r="AM4" s="5"/>
      <c r="AN4" s="5"/>
      <c r="AO4" s="5"/>
      <c r="AP4" s="5"/>
      <c r="AQ4" s="5"/>
      <c r="AR4" s="5"/>
      <c r="AS4" s="5"/>
    </row>
    <row r="5" spans="1:45">
      <c r="A5" t="s">
        <v>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3">
        <v>4.3532437233224554E-3</v>
      </c>
    </row>
    <row r="7" spans="1:45">
      <c r="C7" t="s">
        <v>47</v>
      </c>
      <c r="D7" t="s">
        <v>44</v>
      </c>
      <c r="G7" t="s">
        <v>47</v>
      </c>
      <c r="H7" t="s">
        <v>48</v>
      </c>
      <c r="J7" s="1" t="s">
        <v>49</v>
      </c>
      <c r="K7" s="1" t="s">
        <v>43</v>
      </c>
    </row>
    <row r="8" spans="1:45">
      <c r="C8" t="s">
        <v>21</v>
      </c>
      <c r="D8" s="6">
        <v>-2.4303010107741857E-2</v>
      </c>
      <c r="G8" t="s">
        <v>15</v>
      </c>
      <c r="H8" s="6">
        <v>-1.1782265963897575E-2</v>
      </c>
      <c r="J8" s="1">
        <v>2001</v>
      </c>
      <c r="K8" s="4">
        <v>11430</v>
      </c>
    </row>
    <row r="9" spans="1:45">
      <c r="C9" t="s">
        <v>25</v>
      </c>
      <c r="D9" s="6">
        <v>-2.3252181050346196E-2</v>
      </c>
      <c r="G9" t="s">
        <v>1</v>
      </c>
      <c r="H9" s="6">
        <v>-9.6070789002422816E-3</v>
      </c>
      <c r="J9" s="1">
        <v>2002</v>
      </c>
      <c r="K9" s="4">
        <v>11250</v>
      </c>
    </row>
    <row r="10" spans="1:45">
      <c r="C10" t="s">
        <v>41</v>
      </c>
      <c r="D10" s="6">
        <v>-2.1927955936822313E-2</v>
      </c>
      <c r="G10" t="s">
        <v>20</v>
      </c>
      <c r="H10" s="6">
        <v>-9.4263406557330252E-3</v>
      </c>
      <c r="J10" s="1">
        <v>2003</v>
      </c>
      <c r="K10" s="4">
        <v>11400</v>
      </c>
    </row>
    <row r="11" spans="1:45">
      <c r="C11" t="s">
        <v>2</v>
      </c>
      <c r="D11" s="6">
        <v>-2.0676215531520992E-2</v>
      </c>
      <c r="G11" t="s">
        <v>13</v>
      </c>
      <c r="H11" s="6">
        <v>-6.6687759263165322E-3</v>
      </c>
      <c r="J11" s="1">
        <v>2004</v>
      </c>
      <c r="K11" s="4">
        <v>11500</v>
      </c>
    </row>
    <row r="12" spans="1:45">
      <c r="C12" t="s">
        <v>27</v>
      </c>
      <c r="D12" s="6">
        <v>-2.0095693779904306E-2</v>
      </c>
      <c r="G12" t="s">
        <v>10</v>
      </c>
      <c r="H12" s="6">
        <v>-5.446924573330931E-3</v>
      </c>
      <c r="J12" s="1">
        <v>2005</v>
      </c>
      <c r="K12" s="4">
        <v>11360</v>
      </c>
    </row>
    <row r="13" spans="1:45">
      <c r="C13" t="s">
        <v>35</v>
      </c>
      <c r="D13" s="6">
        <v>-1.951561951561951E-2</v>
      </c>
      <c r="G13" t="s">
        <v>23</v>
      </c>
      <c r="H13" s="6">
        <v>-4.0701841867422928E-3</v>
      </c>
      <c r="J13" s="1">
        <v>2006</v>
      </c>
      <c r="K13" s="4">
        <v>11510</v>
      </c>
    </row>
    <row r="14" spans="1:45">
      <c r="C14" t="s">
        <v>39</v>
      </c>
      <c r="D14" s="6">
        <v>-1.870390653523183E-2</v>
      </c>
      <c r="G14" t="s">
        <v>24</v>
      </c>
      <c r="H14" s="6">
        <v>-1.933621933621939E-3</v>
      </c>
      <c r="J14" s="1">
        <v>2007</v>
      </c>
      <c r="K14" s="4">
        <v>11640</v>
      </c>
    </row>
    <row r="15" spans="1:45">
      <c r="C15" t="s">
        <v>11</v>
      </c>
      <c r="D15" s="6">
        <v>-1.8444882885617433E-2</v>
      </c>
      <c r="G15" t="s">
        <v>36</v>
      </c>
      <c r="H15" s="6">
        <v>3.3537318410622667E-3</v>
      </c>
      <c r="J15" s="1">
        <v>2008</v>
      </c>
      <c r="K15" s="4">
        <v>11880</v>
      </c>
    </row>
    <row r="16" spans="1:45">
      <c r="C16" t="s">
        <v>4</v>
      </c>
      <c r="D16" s="6">
        <v>-1.8416399698895358E-2</v>
      </c>
      <c r="G16" t="s">
        <v>22</v>
      </c>
      <c r="H16" s="6">
        <v>4.5451884960225628E-3</v>
      </c>
      <c r="J16" s="1">
        <v>2009</v>
      </c>
      <c r="K16" s="4">
        <v>11780</v>
      </c>
    </row>
    <row r="17" spans="3:11">
      <c r="C17" t="s">
        <v>38</v>
      </c>
      <c r="D17" s="6">
        <v>-1.6608697628952684E-2</v>
      </c>
      <c r="J17" s="1">
        <v>2010</v>
      </c>
      <c r="K17" s="4">
        <v>11600</v>
      </c>
    </row>
    <row r="18" spans="3:11">
      <c r="C18" t="s">
        <v>37</v>
      </c>
      <c r="D18" s="6">
        <v>-1.6157840083073721E-2</v>
      </c>
    </row>
    <row r="19" spans="3:11">
      <c r="C19" t="s">
        <v>3</v>
      </c>
      <c r="D19" s="6">
        <v>-1.592148878970585E-2</v>
      </c>
    </row>
    <row r="20" spans="3:11">
      <c r="C20" t="s">
        <v>29</v>
      </c>
      <c r="D20" s="6">
        <v>-1.580494976721392E-2</v>
      </c>
    </row>
    <row r="21" spans="3:11">
      <c r="C21" t="s">
        <v>34</v>
      </c>
      <c r="D21" s="6">
        <v>-1.5582604285533149E-2</v>
      </c>
    </row>
    <row r="22" spans="3:11">
      <c r="C22" t="s">
        <v>28</v>
      </c>
      <c r="D22" s="6">
        <v>-1.5209392699160771E-2</v>
      </c>
    </row>
    <row r="23" spans="3:11">
      <c r="C23" t="s">
        <v>33</v>
      </c>
      <c r="D23" s="6">
        <v>-1.3970775718348529E-2</v>
      </c>
    </row>
    <row r="24" spans="3:11">
      <c r="C24" t="s">
        <v>6</v>
      </c>
      <c r="D24" s="6">
        <v>-1.3557654466745379E-2</v>
      </c>
    </row>
    <row r="25" spans="3:11">
      <c r="C25" t="s">
        <v>19</v>
      </c>
      <c r="D25" s="6">
        <v>-1.3108879390967649E-2</v>
      </c>
    </row>
    <row r="26" spans="3:11">
      <c r="C26" t="s">
        <v>18</v>
      </c>
      <c r="D26" s="6">
        <v>-1.2957560197611549E-2</v>
      </c>
    </row>
    <row r="27" spans="3:11">
      <c r="C27" t="s">
        <v>16</v>
      </c>
      <c r="D27" s="6">
        <v>-1.2804161013116235E-2</v>
      </c>
    </row>
    <row r="28" spans="3:11">
      <c r="C28" t="s">
        <v>12</v>
      </c>
      <c r="D28" s="6">
        <v>-1.2623026718640318E-2</v>
      </c>
    </row>
    <row r="29" spans="3:11">
      <c r="C29" t="s">
        <v>32</v>
      </c>
      <c r="D29" s="6">
        <v>-1.1391054821892696E-2</v>
      </c>
    </row>
    <row r="30" spans="3:11">
      <c r="C30" t="s">
        <v>40</v>
      </c>
      <c r="D30" s="6">
        <v>-1.1232296598150249E-2</v>
      </c>
    </row>
    <row r="31" spans="3:11">
      <c r="C31" t="s">
        <v>26</v>
      </c>
      <c r="D31" s="6">
        <v>-1.0689835003273302E-2</v>
      </c>
    </row>
    <row r="32" spans="3:11">
      <c r="C32" t="s">
        <v>31</v>
      </c>
      <c r="D32" s="6">
        <v>-1.0538576737478508E-2</v>
      </c>
    </row>
    <row r="33" spans="3:4">
      <c r="C33" t="s">
        <v>7</v>
      </c>
      <c r="D33" s="6">
        <v>-1.0530625241658514E-2</v>
      </c>
    </row>
    <row r="34" spans="3:4">
      <c r="C34" t="s">
        <v>42</v>
      </c>
      <c r="D34" s="6">
        <v>-1.0319291537565655E-2</v>
      </c>
    </row>
    <row r="35" spans="3:4">
      <c r="C35" t="s">
        <v>30</v>
      </c>
      <c r="D35" s="6">
        <v>-1.028064800026076E-2</v>
      </c>
    </row>
    <row r="36" spans="3:4">
      <c r="C36" t="s">
        <v>8</v>
      </c>
      <c r="D36" s="6">
        <v>-1.0119976589933674E-2</v>
      </c>
    </row>
    <row r="37" spans="3:4">
      <c r="C37" t="s">
        <v>14</v>
      </c>
      <c r="D37" s="6">
        <v>-9.9797046679263677E-3</v>
      </c>
    </row>
    <row r="38" spans="3:4">
      <c r="C38" t="s">
        <v>5</v>
      </c>
      <c r="D38" s="6">
        <v>-9.4461463232227306E-3</v>
      </c>
    </row>
    <row r="39" spans="3:4">
      <c r="C39" t="s">
        <v>0</v>
      </c>
      <c r="D39" s="6">
        <v>-8.2309582309582317E-3</v>
      </c>
    </row>
    <row r="40" spans="3:4">
      <c r="C40" t="s">
        <v>9</v>
      </c>
      <c r="D40" s="6">
        <v>-7.9378111108645566E-3</v>
      </c>
    </row>
    <row r="41" spans="3:4">
      <c r="C41" t="s">
        <v>17</v>
      </c>
      <c r="D41" s="6">
        <v>-4.9509176269739727E-3</v>
      </c>
    </row>
  </sheetData>
  <sortState ref="F7:G50">
    <sortCondition ref="G7:G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0.65045151760363029</v>
      </c>
    </row>
    <row r="5" spans="1:9">
      <c r="A5" s="8" t="s">
        <v>53</v>
      </c>
      <c r="B5" s="8">
        <v>0.42308717675286583</v>
      </c>
    </row>
    <row r="6" spans="1:9">
      <c r="A6" s="8" t="s">
        <v>54</v>
      </c>
      <c r="B6" s="8">
        <v>0.35097307384697407</v>
      </c>
    </row>
    <row r="7" spans="1:9">
      <c r="A7" s="8" t="s">
        <v>55</v>
      </c>
      <c r="B7" s="8">
        <v>0.17423876441771993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0.17811447811447811</v>
      </c>
      <c r="D12" s="8">
        <v>0.17811447811447811</v>
      </c>
      <c r="E12" s="8">
        <v>5.8669131238447303</v>
      </c>
      <c r="F12" s="8">
        <v>4.170856509468833E-2</v>
      </c>
    </row>
    <row r="13" spans="1:9">
      <c r="A13" s="8" t="s">
        <v>59</v>
      </c>
      <c r="B13" s="8">
        <v>8</v>
      </c>
      <c r="C13" s="8">
        <v>0.24287317620650961</v>
      </c>
      <c r="D13" s="8">
        <v>3.0359147025813701E-2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0.42098765432098773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-92.040404040404042</v>
      </c>
      <c r="C17" s="8">
        <v>38.471659488745459</v>
      </c>
      <c r="D17" s="8">
        <v>-2.3924209473555371</v>
      </c>
      <c r="E17" s="8">
        <v>4.3690446689318103E-2</v>
      </c>
      <c r="F17" s="8">
        <v>-180.75620983632729</v>
      </c>
      <c r="G17" s="8">
        <v>-3.3245982444808106</v>
      </c>
      <c r="H17" s="8">
        <v>-180.75620983632729</v>
      </c>
      <c r="I17" s="8">
        <v>-3.3245982444808106</v>
      </c>
    </row>
    <row r="18" spans="1:9" ht="15.75" thickBot="1">
      <c r="A18" s="2" t="s">
        <v>74</v>
      </c>
      <c r="B18" s="2">
        <v>4.6464646464646465E-2</v>
      </c>
      <c r="C18" s="2">
        <v>1.9183056610429787E-2</v>
      </c>
      <c r="D18" s="2">
        <v>2.4221711590729362</v>
      </c>
      <c r="E18" s="2">
        <v>4.1708565094688302E-2</v>
      </c>
      <c r="F18" s="2">
        <v>2.2284386316844193E-3</v>
      </c>
      <c r="G18" s="2">
        <v>9.0700854297608519E-2</v>
      </c>
      <c r="H18" s="2">
        <v>2.2284386316844193E-3</v>
      </c>
      <c r="I18" s="2">
        <v>9.0700854297608519E-2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0.42511697433875589</v>
      </c>
    </row>
    <row r="5" spans="1:9">
      <c r="A5" s="8" t="s">
        <v>53</v>
      </c>
      <c r="B5" s="8">
        <v>0.18072444187093845</v>
      </c>
    </row>
    <row r="6" spans="1:9">
      <c r="A6" s="8" t="s">
        <v>54</v>
      </c>
      <c r="B6" s="8">
        <v>7.8314997104805745E-2</v>
      </c>
    </row>
    <row r="7" spans="1:9">
      <c r="A7" s="8" t="s">
        <v>55</v>
      </c>
      <c r="B7" s="8">
        <v>0.27453041863803684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0.13300189393939377</v>
      </c>
      <c r="D12" s="8">
        <v>0.13300189393939377</v>
      </c>
      <c r="E12" s="8">
        <v>1.76472435998115</v>
      </c>
      <c r="F12" s="8">
        <v>0.22068037612642477</v>
      </c>
    </row>
    <row r="13" spans="1:9">
      <c r="A13" s="8" t="s">
        <v>59</v>
      </c>
      <c r="B13" s="8">
        <v>8</v>
      </c>
      <c r="C13" s="8">
        <v>0.60293560606060626</v>
      </c>
      <c r="D13" s="8">
        <v>7.5366950757575782E-2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0.73593750000000002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-79.123863636363637</v>
      </c>
      <c r="C17" s="8">
        <v>60.615907260595712</v>
      </c>
      <c r="D17" s="8">
        <v>-1.3053316730243729</v>
      </c>
      <c r="E17" s="8">
        <v>0.22806855850604169</v>
      </c>
      <c r="F17" s="8">
        <v>-218.90439632297333</v>
      </c>
      <c r="G17" s="8">
        <v>60.656669050246052</v>
      </c>
      <c r="H17" s="8">
        <v>-218.90439632297333</v>
      </c>
      <c r="I17" s="8">
        <v>60.656669050246052</v>
      </c>
    </row>
    <row r="18" spans="1:9" ht="15.75" thickBot="1">
      <c r="A18" s="2" t="s">
        <v>74</v>
      </c>
      <c r="B18" s="2">
        <v>4.0151515151515153E-2</v>
      </c>
      <c r="C18" s="2">
        <v>3.022480433454491E-2</v>
      </c>
      <c r="D18" s="2">
        <v>1.32842928301854</v>
      </c>
      <c r="E18" s="2">
        <v>0.22068037612642466</v>
      </c>
      <c r="F18" s="2">
        <v>-2.9547008572102483E-2</v>
      </c>
      <c r="G18" s="2">
        <v>0.10985003887513278</v>
      </c>
      <c r="H18" s="2">
        <v>-2.9547008572102483E-2</v>
      </c>
      <c r="I18" s="2">
        <v>0.10985003887513278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0.73886293972307304</v>
      </c>
    </row>
    <row r="5" spans="1:9">
      <c r="A5" s="8" t="s">
        <v>53</v>
      </c>
      <c r="B5" s="8">
        <v>0.54591844369622144</v>
      </c>
    </row>
    <row r="6" spans="1:9">
      <c r="A6" s="8" t="s">
        <v>54</v>
      </c>
      <c r="B6" s="8">
        <v>0.48915824915824913</v>
      </c>
    </row>
    <row r="7" spans="1:9">
      <c r="A7" s="8" t="s">
        <v>55</v>
      </c>
      <c r="B7" s="8">
        <v>0.22601808574575422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0.49132659932659933</v>
      </c>
      <c r="D12" s="8">
        <v>0.49132659932659933</v>
      </c>
      <c r="E12" s="8">
        <v>9.6179804903770076</v>
      </c>
      <c r="F12" s="8">
        <v>1.4637221862178274E-2</v>
      </c>
    </row>
    <row r="13" spans="1:9">
      <c r="A13" s="8" t="s">
        <v>59</v>
      </c>
      <c r="B13" s="8">
        <v>8</v>
      </c>
      <c r="C13" s="8">
        <v>0.4086734006734008</v>
      </c>
      <c r="D13" s="8">
        <v>5.10841750841751E-2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0.90000000000000013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-153.46787878787873</v>
      </c>
      <c r="C17" s="8">
        <v>49.904456463331222</v>
      </c>
      <c r="D17" s="8">
        <v>-3.0752339503115076</v>
      </c>
      <c r="E17" s="8">
        <v>1.5226551549282657E-2</v>
      </c>
      <c r="F17" s="8">
        <v>-268.54776166236638</v>
      </c>
      <c r="G17" s="8">
        <v>-38.387995913391094</v>
      </c>
      <c r="H17" s="8">
        <v>-268.54776166236638</v>
      </c>
      <c r="I17" s="8">
        <v>-38.387995913391094</v>
      </c>
    </row>
    <row r="18" spans="1:9" ht="15.75" thickBot="1">
      <c r="A18" s="2" t="s">
        <v>74</v>
      </c>
      <c r="B18" s="2">
        <v>7.7171717171717155E-2</v>
      </c>
      <c r="C18" s="2">
        <v>2.488377226692982E-2</v>
      </c>
      <c r="D18" s="2">
        <v>3.1012869087488504</v>
      </c>
      <c r="E18" s="2">
        <v>1.4637221862178291E-2</v>
      </c>
      <c r="F18" s="2">
        <v>1.9789635472103044E-2</v>
      </c>
      <c r="G18" s="2">
        <v>0.13455379887133126</v>
      </c>
      <c r="H18" s="2">
        <v>1.9789635472103044E-2</v>
      </c>
      <c r="I18" s="2">
        <v>0.13455379887133126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2.7524094128160991E-2</v>
      </c>
    </row>
    <row r="5" spans="1:9">
      <c r="A5" s="8" t="s">
        <v>53</v>
      </c>
      <c r="B5" s="8">
        <v>7.5757575757586632E-4</v>
      </c>
    </row>
    <row r="6" spans="1:9">
      <c r="A6" s="8" t="s">
        <v>54</v>
      </c>
      <c r="B6" s="8">
        <v>-0.12414772727272715</v>
      </c>
    </row>
    <row r="7" spans="1:9">
      <c r="A7" s="8" t="s">
        <v>55</v>
      </c>
      <c r="B7" s="8">
        <v>0.15707530821370438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1.4964459408906006E-4</v>
      </c>
      <c r="D12" s="8">
        <v>1.4964459408906006E-4</v>
      </c>
      <c r="E12" s="8">
        <v>6.0652009097810081E-3</v>
      </c>
      <c r="F12" s="8">
        <v>0.93983663621518487</v>
      </c>
    </row>
    <row r="13" spans="1:9">
      <c r="A13" s="8" t="s">
        <v>59</v>
      </c>
      <c r="B13" s="8">
        <v>8</v>
      </c>
      <c r="C13" s="8">
        <v>0.19738121960344185</v>
      </c>
      <c r="D13" s="8">
        <v>2.4672652450430231E-2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0.19753086419753091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-1.8121212121212156</v>
      </c>
      <c r="C17" s="8">
        <v>34.681993940223421</v>
      </c>
      <c r="D17" s="8">
        <v>-5.2249625994529598E-2</v>
      </c>
      <c r="E17" s="8">
        <v>0.95961091484934002</v>
      </c>
      <c r="F17" s="8">
        <v>-81.788942589331356</v>
      </c>
      <c r="G17" s="8">
        <v>78.164700165088931</v>
      </c>
      <c r="H17" s="8">
        <v>-81.788942589331356</v>
      </c>
      <c r="I17" s="8">
        <v>78.164700165088931</v>
      </c>
    </row>
    <row r="18" spans="1:9" ht="15.75" thickBot="1">
      <c r="A18" s="2" t="s">
        <v>74</v>
      </c>
      <c r="B18" s="2">
        <v>1.3468013468013486E-3</v>
      </c>
      <c r="C18" s="2">
        <v>1.7293422273934357E-2</v>
      </c>
      <c r="D18" s="2">
        <v>7.7879399777991035E-2</v>
      </c>
      <c r="E18" s="2">
        <v>0.93983663621518487</v>
      </c>
      <c r="F18" s="2">
        <v>-3.8531901895778299E-2</v>
      </c>
      <c r="G18" s="2">
        <v>4.1225504589380992E-2</v>
      </c>
      <c r="H18" s="2">
        <v>-3.8531901895778299E-2</v>
      </c>
      <c r="I18" s="2">
        <v>4.1225504589380992E-2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0.39460889908758923</v>
      </c>
    </row>
    <row r="5" spans="1:9">
      <c r="A5" s="8" t="s">
        <v>53</v>
      </c>
      <c r="B5" s="8">
        <v>0.15571618323911918</v>
      </c>
    </row>
    <row r="6" spans="1:9">
      <c r="A6" s="8" t="s">
        <v>54</v>
      </c>
      <c r="B6" s="8">
        <v>5.0180706144009074E-2</v>
      </c>
    </row>
    <row r="7" spans="1:9">
      <c r="A7" s="8" t="s">
        <v>55</v>
      </c>
      <c r="B7" s="8">
        <v>0.21450750106573893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6.7892255892255948E-2</v>
      </c>
      <c r="D12" s="8">
        <v>6.7892255892255948E-2</v>
      </c>
      <c r="E12" s="8">
        <v>1.4754866091028849</v>
      </c>
      <c r="F12" s="8">
        <v>0.2591155511089186</v>
      </c>
    </row>
    <row r="13" spans="1:9">
      <c r="A13" s="8" t="s">
        <v>59</v>
      </c>
      <c r="B13" s="8">
        <v>8</v>
      </c>
      <c r="C13" s="8">
        <v>0.36810774410774394</v>
      </c>
      <c r="D13" s="8">
        <v>4.6013468013467992E-2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0.43599999999999989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-56.578181818181825</v>
      </c>
      <c r="C17" s="8">
        <v>47.362936521969189</v>
      </c>
      <c r="D17" s="8">
        <v>-1.1945665951674715</v>
      </c>
      <c r="E17" s="8">
        <v>0.26646860347013246</v>
      </c>
      <c r="F17" s="8">
        <v>-165.79730920302649</v>
      </c>
      <c r="G17" s="8">
        <v>52.640945566662843</v>
      </c>
      <c r="H17" s="8">
        <v>-165.79730920302649</v>
      </c>
      <c r="I17" s="8">
        <v>52.640945566662843</v>
      </c>
    </row>
    <row r="18" spans="1:9" ht="15.75" thickBot="1">
      <c r="A18" s="2" t="s">
        <v>74</v>
      </c>
      <c r="B18" s="2">
        <v>2.8686868686868691E-2</v>
      </c>
      <c r="C18" s="2">
        <v>2.3616498602118279E-2</v>
      </c>
      <c r="D18" s="2">
        <v>1.2146960974263825</v>
      </c>
      <c r="E18" s="2">
        <v>0.25911555110891915</v>
      </c>
      <c r="F18" s="2">
        <v>-2.5772874703668881E-2</v>
      </c>
      <c r="G18" s="2">
        <v>8.3146612077406257E-2</v>
      </c>
      <c r="H18" s="2">
        <v>-2.5772874703668881E-2</v>
      </c>
      <c r="I18" s="2">
        <v>8.3146612077406257E-2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0.59543719613864787</v>
      </c>
    </row>
    <row r="5" spans="1:9">
      <c r="A5" s="8" t="s">
        <v>53</v>
      </c>
      <c r="B5" s="8">
        <v>0.35454545454545461</v>
      </c>
    </row>
    <row r="6" spans="1:9">
      <c r="A6" s="8" t="s">
        <v>54</v>
      </c>
      <c r="B6" s="8">
        <v>0.27386363636363642</v>
      </c>
    </row>
    <row r="7" spans="1:9">
      <c r="A7" s="8" t="s">
        <v>55</v>
      </c>
      <c r="B7" s="8">
        <v>9.3103676164810759E-2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3.8091660405709993E-2</v>
      </c>
      <c r="D12" s="8">
        <v>3.8091660405709993E-2</v>
      </c>
      <c r="E12" s="8">
        <v>4.3943661971830998</v>
      </c>
      <c r="F12" s="8">
        <v>6.9338176204207319E-2</v>
      </c>
    </row>
    <row r="13" spans="1:9">
      <c r="A13" s="8" t="s">
        <v>59</v>
      </c>
      <c r="B13" s="8">
        <v>8</v>
      </c>
      <c r="C13" s="8">
        <v>6.9346356123215602E-2</v>
      </c>
      <c r="D13" s="8">
        <v>8.6682945154019503E-3</v>
      </c>
      <c r="E13" s="8"/>
      <c r="F13" s="8"/>
    </row>
    <row r="14" spans="1:9" ht="15.75" thickBot="1">
      <c r="A14" s="2" t="s">
        <v>60</v>
      </c>
      <c r="B14" s="2">
        <v>9</v>
      </c>
      <c r="C14" s="2">
        <v>0.1074380165289256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-42.093388429752075</v>
      </c>
      <c r="C17" s="8">
        <v>20.557152930537853</v>
      </c>
      <c r="D17" s="8">
        <v>-2.0476273427543523</v>
      </c>
      <c r="E17" s="8">
        <v>7.4783151737480791E-2</v>
      </c>
      <c r="F17" s="8">
        <v>-89.498268056434426</v>
      </c>
      <c r="G17" s="8">
        <v>5.3114911969302767</v>
      </c>
      <c r="H17" s="8">
        <v>-89.498268056434426</v>
      </c>
      <c r="I17" s="8">
        <v>5.3114911969302767</v>
      </c>
    </row>
    <row r="18" spans="1:9" ht="15.75" thickBot="1">
      <c r="A18" s="2" t="s">
        <v>74</v>
      </c>
      <c r="B18" s="2">
        <v>2.1487603305785127E-2</v>
      </c>
      <c r="C18" s="2">
        <v>1.0250377385751545E-2</v>
      </c>
      <c r="D18" s="2">
        <v>2.0962743611424295</v>
      </c>
      <c r="E18" s="2">
        <v>6.9338176204207319E-2</v>
      </c>
      <c r="F18" s="2">
        <v>-2.1498093136337361E-3</v>
      </c>
      <c r="G18" s="2">
        <v>4.5125015925203987E-2</v>
      </c>
      <c r="H18" s="2">
        <v>-2.1498093136337361E-3</v>
      </c>
      <c r="I18" s="2">
        <v>4.5125015925203987E-2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3.2325409191761113E-2</v>
      </c>
    </row>
    <row r="5" spans="1:9">
      <c r="A5" s="8" t="s">
        <v>53</v>
      </c>
      <c r="B5" s="8">
        <v>1.0449320794147937E-3</v>
      </c>
    </row>
    <row r="6" spans="1:9">
      <c r="A6" s="8" t="s">
        <v>54</v>
      </c>
      <c r="B6" s="8">
        <v>-0.12382445141065836</v>
      </c>
    </row>
    <row r="7" spans="1:9">
      <c r="A7" s="8" t="s">
        <v>55</v>
      </c>
      <c r="B7" s="8">
        <v>0.25789932021857337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5.5658627087196155E-4</v>
      </c>
      <c r="D12" s="8">
        <v>5.5658627087196155E-4</v>
      </c>
      <c r="E12" s="8">
        <v>8.3682008368197273E-3</v>
      </c>
      <c r="F12" s="8">
        <v>0.92936201014671493</v>
      </c>
    </row>
    <row r="13" spans="1:9">
      <c r="A13" s="8" t="s">
        <v>59</v>
      </c>
      <c r="B13" s="8">
        <v>8</v>
      </c>
      <c r="C13" s="8">
        <v>0.53209647495361789</v>
      </c>
      <c r="D13" s="8">
        <v>6.6512059369202237E-2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0.53265306122448985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-4.0233766233766239</v>
      </c>
      <c r="C17" s="8">
        <v>56.943785517448504</v>
      </c>
      <c r="D17" s="8">
        <v>-7.0655236332045332E-2</v>
      </c>
      <c r="E17" s="8">
        <v>0.94540647498917363</v>
      </c>
      <c r="F17" s="8">
        <v>-135.33598139231128</v>
      </c>
      <c r="G17" s="8">
        <v>127.28922814555803</v>
      </c>
      <c r="H17" s="8">
        <v>-135.33598139231128</v>
      </c>
      <c r="I17" s="8">
        <v>127.28922814555803</v>
      </c>
    </row>
    <row r="18" spans="1:9" ht="15.75" thickBot="1">
      <c r="A18" s="2" t="s">
        <v>74</v>
      </c>
      <c r="B18" s="2">
        <v>2.5974025974025978E-3</v>
      </c>
      <c r="C18" s="2">
        <v>2.8393780661136948E-2</v>
      </c>
      <c r="D18" s="2">
        <v>9.1477870749269649E-2</v>
      </c>
      <c r="E18" s="2">
        <v>0.92936201014671493</v>
      </c>
      <c r="F18" s="2">
        <v>-6.2878772967167748E-2</v>
      </c>
      <c r="G18" s="2">
        <v>6.8073578161972945E-2</v>
      </c>
      <c r="H18" s="2">
        <v>-6.2878772967167748E-2</v>
      </c>
      <c r="I18" s="2">
        <v>6.8073578161972945E-2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0.8732847546054282</v>
      </c>
    </row>
    <row r="5" spans="1:9">
      <c r="A5" s="8" t="s">
        <v>53</v>
      </c>
      <c r="B5" s="8">
        <v>0.76262626262626299</v>
      </c>
    </row>
    <row r="6" spans="1:9">
      <c r="A6" s="8" t="s">
        <v>54</v>
      </c>
      <c r="B6" s="8">
        <v>0.73295454545454586</v>
      </c>
    </row>
    <row r="7" spans="1:9">
      <c r="A7" s="8" t="s">
        <v>55</v>
      </c>
      <c r="B7" s="8">
        <v>6.9769815882319314E-2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0.12511351633126203</v>
      </c>
      <c r="D12" s="8">
        <v>0.12511351633126203</v>
      </c>
      <c r="E12" s="8">
        <v>25.702127659574511</v>
      </c>
      <c r="F12" s="8">
        <v>9.6533571800429393E-4</v>
      </c>
    </row>
    <row r="13" spans="1:9">
      <c r="A13" s="8" t="s">
        <v>59</v>
      </c>
      <c r="B13" s="8">
        <v>8</v>
      </c>
      <c r="C13" s="8">
        <v>3.8942617666021889E-2</v>
      </c>
      <c r="D13" s="8">
        <v>4.8678272082527362E-3</v>
      </c>
      <c r="E13" s="8"/>
      <c r="F13" s="8"/>
    </row>
    <row r="14" spans="1:9" ht="15.75" thickBot="1">
      <c r="A14" s="2" t="s">
        <v>60</v>
      </c>
      <c r="B14" s="2">
        <v>9</v>
      </c>
      <c r="C14" s="2">
        <v>0.16405613399728391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-76.941972920696372</v>
      </c>
      <c r="C17" s="8">
        <v>15.405071358185531</v>
      </c>
      <c r="D17" s="8">
        <v>-4.9945872454406404</v>
      </c>
      <c r="E17" s="8">
        <v>1.0599710471833896E-3</v>
      </c>
      <c r="F17" s="8">
        <v>-112.46613114644005</v>
      </c>
      <c r="G17" s="8">
        <v>-41.417814694952696</v>
      </c>
      <c r="H17" s="8">
        <v>-112.46613114644005</v>
      </c>
      <c r="I17" s="8">
        <v>-41.417814694952696</v>
      </c>
    </row>
    <row r="18" spans="1:9" ht="15.75" thickBot="1">
      <c r="A18" s="2" t="s">
        <v>74</v>
      </c>
      <c r="B18" s="2">
        <v>3.8942617666021945E-2</v>
      </c>
      <c r="C18" s="2">
        <v>7.6814039185971227E-3</v>
      </c>
      <c r="D18" s="2">
        <v>5.0697265862741077</v>
      </c>
      <c r="E18" s="2">
        <v>9.6533571800429393E-4</v>
      </c>
      <c r="F18" s="2">
        <v>2.1229268480196944E-2</v>
      </c>
      <c r="G18" s="2">
        <v>5.6655966851846942E-2</v>
      </c>
      <c r="H18" s="2">
        <v>2.1229268480196944E-2</v>
      </c>
      <c r="I18" s="2">
        <v>5.6655966851846942E-2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0.81992849047672656</v>
      </c>
    </row>
    <row r="5" spans="1:9">
      <c r="A5" s="8" t="s">
        <v>53</v>
      </c>
      <c r="B5" s="8">
        <v>0.67228272949544354</v>
      </c>
    </row>
    <row r="6" spans="1:9">
      <c r="A6" s="8" t="s">
        <v>54</v>
      </c>
      <c r="B6" s="8">
        <v>0.631318070682374</v>
      </c>
    </row>
    <row r="7" spans="1:9">
      <c r="A7" s="8" t="s">
        <v>55</v>
      </c>
      <c r="B7" s="8">
        <v>0.15233430876461893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0.38083606144547971</v>
      </c>
      <c r="D12" s="8">
        <v>0.38083606144547971</v>
      </c>
      <c r="E12" s="8">
        <v>16.411285946825831</v>
      </c>
      <c r="F12" s="8">
        <v>3.6786680604855683E-3</v>
      </c>
    </row>
    <row r="13" spans="1:9">
      <c r="A13" s="8" t="s">
        <v>59</v>
      </c>
      <c r="B13" s="8">
        <v>8</v>
      </c>
      <c r="C13" s="8">
        <v>0.185645933014354</v>
      </c>
      <c r="D13" s="8">
        <v>2.320574162679425E-2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0.56648199445983372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-135.02200956937799</v>
      </c>
      <c r="C17" s="8">
        <v>33.635188328102139</v>
      </c>
      <c r="D17" s="8">
        <v>-4.0143081183989491</v>
      </c>
      <c r="E17" s="8">
        <v>3.8717377552610955E-3</v>
      </c>
      <c r="F17" s="8">
        <v>-212.58489287827575</v>
      </c>
      <c r="G17" s="8">
        <v>-57.459126260480232</v>
      </c>
      <c r="H17" s="8">
        <v>-212.58489287827575</v>
      </c>
      <c r="I17" s="8">
        <v>-57.459126260480232</v>
      </c>
    </row>
    <row r="18" spans="1:9" ht="15.75" thickBot="1">
      <c r="A18" s="2" t="s">
        <v>74</v>
      </c>
      <c r="B18" s="2">
        <v>6.7942583732057416E-2</v>
      </c>
      <c r="C18" s="2">
        <v>1.677145541354164E-2</v>
      </c>
      <c r="D18" s="2">
        <v>4.0510845395802138</v>
      </c>
      <c r="E18" s="2">
        <v>3.6786680604855683E-3</v>
      </c>
      <c r="F18" s="2">
        <v>2.9267538226988542E-2</v>
      </c>
      <c r="G18" s="2">
        <v>0.10661762923712628</v>
      </c>
      <c r="H18" s="2">
        <v>2.9267538226988542E-2</v>
      </c>
      <c r="I18" s="2">
        <v>0.10661762923712628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0.83779130619514175</v>
      </c>
    </row>
    <row r="5" spans="1:9">
      <c r="A5" s="8" t="s">
        <v>53</v>
      </c>
      <c r="B5" s="8">
        <v>0.70189427273616178</v>
      </c>
    </row>
    <row r="6" spans="1:9">
      <c r="A6" s="8" t="s">
        <v>54</v>
      </c>
      <c r="B6" s="8">
        <v>0.66463105682818202</v>
      </c>
    </row>
    <row r="7" spans="1:9">
      <c r="A7" s="8" t="s">
        <v>55</v>
      </c>
      <c r="B7" s="8">
        <v>0.17820655363250745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0.59818939393939385</v>
      </c>
      <c r="D12" s="8">
        <v>0.59818939393939385</v>
      </c>
      <c r="E12" s="8">
        <v>18.836116412213737</v>
      </c>
      <c r="F12" s="8">
        <v>2.4781884494148977E-3</v>
      </c>
    </row>
    <row r="13" spans="1:9">
      <c r="A13" s="8" t="s">
        <v>59</v>
      </c>
      <c r="B13" s="8">
        <v>8</v>
      </c>
      <c r="C13" s="8">
        <v>0.25406060606060604</v>
      </c>
      <c r="D13" s="8">
        <v>3.1757575757575755E-2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0.85224999999999995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-169.42636363636359</v>
      </c>
      <c r="C17" s="8">
        <v>39.347741433567251</v>
      </c>
      <c r="D17" s="8">
        <v>-4.3058726489400811</v>
      </c>
      <c r="E17" s="8">
        <v>2.595081877605022E-3</v>
      </c>
      <c r="F17" s="8">
        <v>-260.1624180181546</v>
      </c>
      <c r="G17" s="8">
        <v>-78.690309254572583</v>
      </c>
      <c r="H17" s="8">
        <v>-260.1624180181546</v>
      </c>
      <c r="I17" s="8">
        <v>-78.690309254572583</v>
      </c>
    </row>
    <row r="18" spans="1:9" ht="15.75" thickBot="1">
      <c r="A18" s="2" t="s">
        <v>74</v>
      </c>
      <c r="B18" s="2">
        <v>8.5151515151515131E-2</v>
      </c>
      <c r="C18" s="2">
        <v>1.9619895825743812E-2</v>
      </c>
      <c r="D18" s="2">
        <v>4.340059494086888</v>
      </c>
      <c r="E18" s="2">
        <v>2.4781884494149008E-3</v>
      </c>
      <c r="F18" s="2">
        <v>3.99079542824518E-2</v>
      </c>
      <c r="G18" s="2">
        <v>0.13039507602057845</v>
      </c>
      <c r="H18" s="2">
        <v>3.99079542824518E-2</v>
      </c>
      <c r="I18" s="2">
        <v>0.13039507602057845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0.48580336444090721</v>
      </c>
    </row>
    <row r="5" spans="1:9">
      <c r="A5" s="8" t="s">
        <v>53</v>
      </c>
      <c r="B5" s="8">
        <v>0.2360049089021049</v>
      </c>
    </row>
    <row r="6" spans="1:9">
      <c r="A6" s="8" t="s">
        <v>54</v>
      </c>
      <c r="B6" s="8">
        <v>0.14050552251486803</v>
      </c>
    </row>
    <row r="7" spans="1:9">
      <c r="A7" s="8" t="s">
        <v>55</v>
      </c>
      <c r="B7" s="8">
        <v>0.29181093113284762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0.2104377104377102</v>
      </c>
      <c r="D12" s="8">
        <v>0.2104377104377102</v>
      </c>
      <c r="E12" s="8">
        <v>2.471271469170885</v>
      </c>
      <c r="F12" s="8">
        <v>0.15458775379092976</v>
      </c>
    </row>
    <row r="13" spans="1:9">
      <c r="A13" s="8" t="s">
        <v>59</v>
      </c>
      <c r="B13" s="8">
        <v>8</v>
      </c>
      <c r="C13" s="8">
        <v>0.68122895622895641</v>
      </c>
      <c r="D13" s="8">
        <v>8.5153619528619551E-2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0.89166666666666661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-100.17121212121209</v>
      </c>
      <c r="C17" s="8">
        <v>64.431418663658434</v>
      </c>
      <c r="D17" s="8">
        <v>-1.5546951192262377</v>
      </c>
      <c r="E17" s="8">
        <v>0.15862664518588301</v>
      </c>
      <c r="F17" s="8">
        <v>-248.75032987393433</v>
      </c>
      <c r="G17" s="8">
        <v>48.407905631510133</v>
      </c>
      <c r="H17" s="8">
        <v>-248.75032987393433</v>
      </c>
      <c r="I17" s="8">
        <v>48.407905631510133</v>
      </c>
    </row>
    <row r="18" spans="1:9" ht="15.75" thickBot="1">
      <c r="A18" s="2" t="s">
        <v>74</v>
      </c>
      <c r="B18" s="2">
        <v>5.050505050505049E-2</v>
      </c>
      <c r="C18" s="2">
        <v>3.2127326144504906E-2</v>
      </c>
      <c r="D18" s="2">
        <v>1.5720278207369254</v>
      </c>
      <c r="E18" s="2">
        <v>0.15458775379092973</v>
      </c>
      <c r="F18" s="2">
        <v>-2.3580696376026618E-2</v>
      </c>
      <c r="G18" s="2">
        <v>0.12459079738612761</v>
      </c>
      <c r="H18" s="2">
        <v>-2.3580696376026618E-2</v>
      </c>
      <c r="I18" s="2">
        <v>0.12459079738612761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0.59165660428943878</v>
      </c>
    </row>
    <row r="5" spans="1:9">
      <c r="A5" s="8" t="s">
        <v>53</v>
      </c>
      <c r="B5" s="8">
        <v>0.35005753739930956</v>
      </c>
    </row>
    <row r="6" spans="1:9">
      <c r="A6" s="8" t="s">
        <v>54</v>
      </c>
      <c r="B6" s="8">
        <v>0.26881472957422325</v>
      </c>
    </row>
    <row r="7" spans="1:9">
      <c r="A7" s="8" t="s">
        <v>55</v>
      </c>
      <c r="B7" s="8">
        <v>0.23867574408025766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0.24545454545454543</v>
      </c>
      <c r="D12" s="8">
        <v>0.24545454545454543</v>
      </c>
      <c r="E12" s="8">
        <v>4.3087818696883851</v>
      </c>
      <c r="F12" s="8">
        <v>7.1585349193086387E-2</v>
      </c>
    </row>
    <row r="13" spans="1:9">
      <c r="A13" s="8" t="s">
        <v>59</v>
      </c>
      <c r="B13" s="8">
        <v>8</v>
      </c>
      <c r="C13" s="8">
        <v>0.45572888649811721</v>
      </c>
      <c r="D13" s="8">
        <v>5.6966110812264652E-2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0.70118343195266264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-108.19860139860137</v>
      </c>
      <c r="C17" s="8">
        <v>52.699248557944898</v>
      </c>
      <c r="D17" s="8">
        <v>-2.0531336662159947</v>
      </c>
      <c r="E17" s="8">
        <v>7.4146500960613385E-2</v>
      </c>
      <c r="F17" s="8">
        <v>-229.72328639497985</v>
      </c>
      <c r="G17" s="8">
        <v>13.326083597777114</v>
      </c>
      <c r="H17" s="8">
        <v>-229.72328639497985</v>
      </c>
      <c r="I17" s="8">
        <v>13.326083597777114</v>
      </c>
    </row>
    <row r="18" spans="1:9" ht="15.75" thickBot="1">
      <c r="A18" s="2" t="s">
        <v>74</v>
      </c>
      <c r="B18" s="2">
        <v>5.4545454545454529E-2</v>
      </c>
      <c r="C18" s="2">
        <v>2.6277334584693616E-2</v>
      </c>
      <c r="D18" s="2">
        <v>2.0757605521081621</v>
      </c>
      <c r="E18" s="2">
        <v>7.158534919308647E-2</v>
      </c>
      <c r="F18" s="2">
        <v>-6.0501876189327924E-3</v>
      </c>
      <c r="G18" s="2">
        <v>0.11514109670984185</v>
      </c>
      <c r="H18" s="2">
        <v>-6.0501876189327924E-3</v>
      </c>
      <c r="I18" s="2">
        <v>0.11514109670984185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0.90203876267952521</v>
      </c>
    </row>
    <row r="5" spans="1:9">
      <c r="A5" s="8" t="s">
        <v>53</v>
      </c>
      <c r="B5" s="8">
        <v>0.8136739293764087</v>
      </c>
    </row>
    <row r="6" spans="1:9">
      <c r="A6" s="8" t="s">
        <v>54</v>
      </c>
      <c r="B6" s="8">
        <v>0.79038317054845975</v>
      </c>
    </row>
    <row r="7" spans="1:9">
      <c r="A7" s="8" t="s">
        <v>55</v>
      </c>
      <c r="B7" s="8">
        <v>0.22751378681542497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1.8083487940630802</v>
      </c>
      <c r="D12" s="8">
        <v>1.8083487940630802</v>
      </c>
      <c r="E12" s="8">
        <v>34.935483870967737</v>
      </c>
      <c r="F12" s="8">
        <v>3.574420628576958E-4</v>
      </c>
    </row>
    <row r="13" spans="1:9">
      <c r="A13" s="8" t="s">
        <v>59</v>
      </c>
      <c r="B13" s="8">
        <v>8</v>
      </c>
      <c r="C13" s="8">
        <v>0.4141001855287571</v>
      </c>
      <c r="D13" s="8">
        <v>5.1762523191094638E-2</v>
      </c>
      <c r="E13" s="8"/>
      <c r="F13" s="8"/>
    </row>
    <row r="14" spans="1:9" ht="15.75" thickBot="1">
      <c r="A14" s="2" t="s">
        <v>60</v>
      </c>
      <c r="B14" s="2">
        <v>9</v>
      </c>
      <c r="C14" s="2">
        <v>2.2224489795918374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-295.54675324675327</v>
      </c>
      <c r="C17" s="8">
        <v>50.234705030242395</v>
      </c>
      <c r="D17" s="8">
        <v>-5.8833181775194587</v>
      </c>
      <c r="E17" s="8">
        <v>3.6861775683947413E-4</v>
      </c>
      <c r="F17" s="8">
        <v>-411.38819068155419</v>
      </c>
      <c r="G17" s="8">
        <v>-179.70531581195235</v>
      </c>
      <c r="H17" s="8">
        <v>-411.38819068155419</v>
      </c>
      <c r="I17" s="8">
        <v>-179.70531581195235</v>
      </c>
    </row>
    <row r="18" spans="1:9" ht="15.75" thickBot="1">
      <c r="A18" s="2" t="s">
        <v>74</v>
      </c>
      <c r="B18" s="2">
        <v>0.14805194805194807</v>
      </c>
      <c r="C18" s="2">
        <v>2.5048443535046643E-2</v>
      </c>
      <c r="D18" s="2">
        <v>5.9106246599634238</v>
      </c>
      <c r="E18" s="2">
        <v>3.574420628576958E-4</v>
      </c>
      <c r="F18" s="2">
        <v>9.0290133727420965E-2</v>
      </c>
      <c r="G18" s="2">
        <v>0.2058137623764752</v>
      </c>
      <c r="H18" s="2">
        <v>9.0290133727420965E-2</v>
      </c>
      <c r="I18" s="2">
        <v>0.2058137623764752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0.74265828699271597</v>
      </c>
    </row>
    <row r="5" spans="1:9">
      <c r="A5" s="8" t="s">
        <v>53</v>
      </c>
      <c r="B5" s="8">
        <v>0.55154133123895532</v>
      </c>
    </row>
    <row r="6" spans="1:9">
      <c r="A6" s="8" t="s">
        <v>54</v>
      </c>
      <c r="B6" s="8">
        <v>0.49548399764382478</v>
      </c>
    </row>
    <row r="7" spans="1:9">
      <c r="A7" s="8" t="s">
        <v>55</v>
      </c>
      <c r="B7" s="8">
        <v>0.2146465877008511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0.45330823023130706</v>
      </c>
      <c r="D12" s="8">
        <v>0.45330823023130706</v>
      </c>
      <c r="E12" s="8">
        <v>9.8388791593695224</v>
      </c>
      <c r="F12" s="8">
        <v>1.387420685276711E-2</v>
      </c>
    </row>
    <row r="13" spans="1:9">
      <c r="A13" s="8" t="s">
        <v>59</v>
      </c>
      <c r="B13" s="8">
        <v>8</v>
      </c>
      <c r="C13" s="8">
        <v>0.36858526089295329</v>
      </c>
      <c r="D13" s="8">
        <v>4.6073157611619162E-2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0.82189349112426036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-147.43636363636364</v>
      </c>
      <c r="C17" s="8">
        <v>47.393646643699853</v>
      </c>
      <c r="D17" s="8">
        <v>-3.1108887810379682</v>
      </c>
      <c r="E17" s="8">
        <v>1.4426085689041395E-2</v>
      </c>
      <c r="F17" s="8">
        <v>-256.72630868885335</v>
      </c>
      <c r="G17" s="8">
        <v>-38.146418583873938</v>
      </c>
      <c r="H17" s="8">
        <v>-256.72630868885335</v>
      </c>
      <c r="I17" s="8">
        <v>-38.146418583873938</v>
      </c>
    </row>
    <row r="18" spans="1:9" ht="15.75" thickBot="1">
      <c r="A18" s="2" t="s">
        <v>74</v>
      </c>
      <c r="B18" s="2">
        <v>7.4125874125874125E-2</v>
      </c>
      <c r="C18" s="2">
        <v>2.3631811536665461E-2</v>
      </c>
      <c r="D18" s="2">
        <v>3.1366987677125646</v>
      </c>
      <c r="E18" s="2">
        <v>1.3874206852767117E-2</v>
      </c>
      <c r="F18" s="2">
        <v>1.9630819044977807E-2</v>
      </c>
      <c r="G18" s="2">
        <v>0.12862092920677043</v>
      </c>
      <c r="H18" s="2">
        <v>1.9630819044977807E-2</v>
      </c>
      <c r="I18" s="2">
        <v>0.12862092920677043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0.90050718259944273</v>
      </c>
    </row>
    <row r="5" spans="1:9">
      <c r="A5" s="8" t="s">
        <v>53</v>
      </c>
      <c r="B5" s="8">
        <v>0.81091318591318617</v>
      </c>
    </row>
    <row r="6" spans="1:9">
      <c r="A6" s="8" t="s">
        <v>54</v>
      </c>
      <c r="B6" s="8">
        <v>0.78727733415233447</v>
      </c>
    </row>
    <row r="7" spans="1:9">
      <c r="A7" s="8" t="s">
        <v>55</v>
      </c>
      <c r="B7" s="8">
        <v>9.293706964971879E-2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0.29633370744481863</v>
      </c>
      <c r="D12" s="8">
        <v>0.29633370744481863</v>
      </c>
      <c r="E12" s="8">
        <v>34.308608554412608</v>
      </c>
      <c r="F12" s="8">
        <v>3.7960113164932152E-4</v>
      </c>
    </row>
    <row r="13" spans="1:9">
      <c r="A13" s="8" t="s">
        <v>59</v>
      </c>
      <c r="B13" s="8">
        <v>8</v>
      </c>
      <c r="C13" s="8">
        <v>6.9098391320613461E-2</v>
      </c>
      <c r="D13" s="8">
        <v>8.6372989150766827E-3</v>
      </c>
      <c r="E13" s="8"/>
      <c r="F13" s="8"/>
    </row>
    <row r="14" spans="1:9" ht="15.75" thickBot="1">
      <c r="A14" s="2" t="s">
        <v>60</v>
      </c>
      <c r="B14" s="2">
        <v>9</v>
      </c>
      <c r="C14" s="2">
        <v>0.36543209876543209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-118.95050505050506</v>
      </c>
      <c r="C17" s="8">
        <v>20.52036646032473</v>
      </c>
      <c r="D17" s="8">
        <v>-5.7967047167744727</v>
      </c>
      <c r="E17" s="8">
        <v>4.0668814743201879E-4</v>
      </c>
      <c r="F17" s="8">
        <v>-166.27055492482646</v>
      </c>
      <c r="G17" s="8">
        <v>-71.630455176183659</v>
      </c>
      <c r="H17" s="8">
        <v>-166.27055492482646</v>
      </c>
      <c r="I17" s="8">
        <v>-71.630455176183659</v>
      </c>
    </row>
    <row r="18" spans="1:9" ht="15.75" thickBot="1">
      <c r="A18" s="2" t="s">
        <v>74</v>
      </c>
      <c r="B18" s="2">
        <v>5.9932659932659935E-2</v>
      </c>
      <c r="C18" s="2">
        <v>1.0232034612136523E-2</v>
      </c>
      <c r="D18" s="2">
        <v>5.8573550818106117</v>
      </c>
      <c r="E18" s="2">
        <v>3.7960113164932152E-4</v>
      </c>
      <c r="F18" s="2">
        <v>3.6337545825013487E-2</v>
      </c>
      <c r="G18" s="2">
        <v>8.3527774040306382E-2</v>
      </c>
      <c r="H18" s="2">
        <v>3.6337545825013487E-2</v>
      </c>
      <c r="I18" s="2">
        <v>8.3527774040306382E-2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0.75698214162999466</v>
      </c>
    </row>
    <row r="5" spans="1:9">
      <c r="A5" s="8" t="s">
        <v>53</v>
      </c>
      <c r="B5" s="8">
        <v>0.57302196274673334</v>
      </c>
    </row>
    <row r="6" spans="1:9">
      <c r="A6" s="8" t="s">
        <v>54</v>
      </c>
      <c r="B6" s="8">
        <v>0.51964970809007505</v>
      </c>
    </row>
    <row r="7" spans="1:9">
      <c r="A7" s="8" t="s">
        <v>55</v>
      </c>
      <c r="B7" s="8">
        <v>0.2243324537511652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0.54030617594631436</v>
      </c>
      <c r="D12" s="8">
        <v>0.54030617594631436</v>
      </c>
      <c r="E12" s="8">
        <v>10.736326700697987</v>
      </c>
      <c r="F12" s="8">
        <v>1.124420918558045E-2</v>
      </c>
    </row>
    <row r="13" spans="1:9">
      <c r="A13" s="8" t="s">
        <v>59</v>
      </c>
      <c r="B13" s="8">
        <v>8</v>
      </c>
      <c r="C13" s="8">
        <v>0.40260039844814943</v>
      </c>
      <c r="D13" s="8">
        <v>5.0325049806018679E-2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0.94290657439446379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-161.09304812834225</v>
      </c>
      <c r="C17" s="8">
        <v>49.532271431281217</v>
      </c>
      <c r="D17" s="8">
        <v>-3.2522846918465125</v>
      </c>
      <c r="E17" s="8">
        <v>1.1661132323017267E-2</v>
      </c>
      <c r="F17" s="8">
        <v>-275.31467078057051</v>
      </c>
      <c r="G17" s="8">
        <v>-46.871425476113984</v>
      </c>
      <c r="H17" s="8">
        <v>-275.31467078057051</v>
      </c>
      <c r="I17" s="8">
        <v>-46.871425476113984</v>
      </c>
    </row>
    <row r="18" spans="1:9" ht="15.75" thickBot="1">
      <c r="A18" s="2" t="s">
        <v>74</v>
      </c>
      <c r="B18" s="2">
        <v>8.0926916221033873E-2</v>
      </c>
      <c r="C18" s="2">
        <v>2.4698190292191804E-2</v>
      </c>
      <c r="D18" s="2">
        <v>3.276633440087247</v>
      </c>
      <c r="E18" s="2">
        <v>1.124420918558045E-2</v>
      </c>
      <c r="F18" s="2">
        <v>2.3972787322231438E-2</v>
      </c>
      <c r="G18" s="2">
        <v>0.13788104511983632</v>
      </c>
      <c r="H18" s="2">
        <v>2.3972787322231438E-2</v>
      </c>
      <c r="I18" s="2">
        <v>0.13788104511983632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0.43519413988924466</v>
      </c>
    </row>
    <row r="5" spans="1:9">
      <c r="A5" s="8" t="s">
        <v>53</v>
      </c>
      <c r="B5" s="8">
        <v>0.18939393939393945</v>
      </c>
    </row>
    <row r="6" spans="1:9">
      <c r="A6" s="8" t="s">
        <v>54</v>
      </c>
      <c r="B6" s="8">
        <v>8.8068181818181879E-2</v>
      </c>
    </row>
    <row r="7" spans="1:9">
      <c r="A7" s="8" t="s">
        <v>55</v>
      </c>
      <c r="B7" s="8">
        <v>6.7107130793731651E-2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8.4175084175084278E-3</v>
      </c>
      <c r="D12" s="8">
        <v>8.4175084175084278E-3</v>
      </c>
      <c r="E12" s="8">
        <v>1.8691588785046735</v>
      </c>
      <c r="F12" s="8">
        <v>0.20874863014710165</v>
      </c>
    </row>
    <row r="13" spans="1:9">
      <c r="A13" s="8" t="s">
        <v>59</v>
      </c>
      <c r="B13" s="8">
        <v>8</v>
      </c>
      <c r="C13" s="8">
        <v>3.602693602693606E-2</v>
      </c>
      <c r="D13" s="8">
        <v>4.5033670033670075E-3</v>
      </c>
      <c r="E13" s="8"/>
      <c r="F13" s="8"/>
    </row>
    <row r="14" spans="1:9" ht="15.75" thickBot="1">
      <c r="A14" s="2" t="s">
        <v>60</v>
      </c>
      <c r="B14" s="2">
        <v>9</v>
      </c>
      <c r="C14" s="2">
        <v>4.4444444444444488E-2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-19.179797979797986</v>
      </c>
      <c r="C17" s="8">
        <v>14.817154459232324</v>
      </c>
      <c r="D17" s="8">
        <v>-1.2944319391802905</v>
      </c>
      <c r="E17" s="8">
        <v>0.23162758086393875</v>
      </c>
      <c r="F17" s="8">
        <v>-53.348217406519169</v>
      </c>
      <c r="G17" s="8">
        <v>14.988621446923201</v>
      </c>
      <c r="H17" s="8">
        <v>-53.348217406519169</v>
      </c>
      <c r="I17" s="8">
        <v>14.988621446923201</v>
      </c>
    </row>
    <row r="18" spans="1:9" ht="15.75" thickBot="1">
      <c r="A18" s="2" t="s">
        <v>74</v>
      </c>
      <c r="B18" s="2">
        <v>1.0101010101010105E-2</v>
      </c>
      <c r="C18" s="2">
        <v>7.3882519385493946E-3</v>
      </c>
      <c r="D18" s="2">
        <v>1.3671718540493263</v>
      </c>
      <c r="E18" s="2">
        <v>0.20874863014710154</v>
      </c>
      <c r="F18" s="2">
        <v>-6.9363294071400159E-3</v>
      </c>
      <c r="G18" s="2">
        <v>2.7138349609160228E-2</v>
      </c>
      <c r="H18" s="2">
        <v>-6.9363294071400159E-3</v>
      </c>
      <c r="I18" s="2">
        <v>2.7138349609160228E-2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0.18759161984421649</v>
      </c>
    </row>
    <row r="5" spans="1:9">
      <c r="A5" s="8" t="s">
        <v>53</v>
      </c>
      <c r="B5" s="8">
        <v>3.5190615835777039E-2</v>
      </c>
    </row>
    <row r="6" spans="1:9">
      <c r="A6" s="8" t="s">
        <v>54</v>
      </c>
      <c r="B6" s="8">
        <v>-8.5410557184750824E-2</v>
      </c>
    </row>
    <row r="7" spans="1:9">
      <c r="A7" s="8" t="s">
        <v>55</v>
      </c>
      <c r="B7" s="8">
        <v>0.20381463156604834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1.2121212121212088E-2</v>
      </c>
      <c r="D12" s="8">
        <v>1.2121212121212088E-2</v>
      </c>
      <c r="E12" s="8">
        <v>0.29179331306990808</v>
      </c>
      <c r="F12" s="8">
        <v>0.60378168386116959</v>
      </c>
    </row>
    <row r="13" spans="1:9">
      <c r="A13" s="8" t="s">
        <v>59</v>
      </c>
      <c r="B13" s="8">
        <v>8</v>
      </c>
      <c r="C13" s="8">
        <v>0.33232323232323224</v>
      </c>
      <c r="D13" s="8">
        <v>4.154040404040403E-2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0.34444444444444433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-23.075757575757571</v>
      </c>
      <c r="C17" s="8">
        <v>45.001966873656798</v>
      </c>
      <c r="D17" s="8">
        <v>-0.5127722003916596</v>
      </c>
      <c r="E17" s="8">
        <v>0.62196555921881891</v>
      </c>
      <c r="F17" s="8">
        <v>-126.8504791930001</v>
      </c>
      <c r="G17" s="8">
        <v>80.69896404148497</v>
      </c>
      <c r="H17" s="8">
        <v>-126.8504791930001</v>
      </c>
      <c r="I17" s="8">
        <v>80.69896404148497</v>
      </c>
    </row>
    <row r="18" spans="1:9" ht="15.75" thickBot="1">
      <c r="A18" s="2" t="s">
        <v>74</v>
      </c>
      <c r="B18" s="2">
        <v>1.2121212121212119E-2</v>
      </c>
      <c r="C18" s="2">
        <v>2.2439252415679858E-2</v>
      </c>
      <c r="D18" s="2">
        <v>0.54017896392761244</v>
      </c>
      <c r="E18" s="2">
        <v>0.60378168386116959</v>
      </c>
      <c r="F18" s="2">
        <v>-3.9623796697487834E-2</v>
      </c>
      <c r="G18" s="2">
        <v>6.386622093991208E-2</v>
      </c>
      <c r="H18" s="2">
        <v>-3.9623796697487834E-2</v>
      </c>
      <c r="I18" s="2">
        <v>6.386622093991208E-2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0.48147500643146768</v>
      </c>
    </row>
    <row r="5" spans="1:9">
      <c r="A5" s="8" t="s">
        <v>53</v>
      </c>
      <c r="B5" s="8">
        <v>0.23181818181818184</v>
      </c>
    </row>
    <row r="6" spans="1:9">
      <c r="A6" s="8" t="s">
        <v>54</v>
      </c>
      <c r="B6" s="8">
        <v>0.13579545454545455</v>
      </c>
    </row>
    <row r="7" spans="1:9">
      <c r="A7" s="8" t="s">
        <v>55</v>
      </c>
      <c r="B7" s="8">
        <v>0.30114470161889173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0.21893939393939399</v>
      </c>
      <c r="D12" s="8">
        <v>0.21893939393939399</v>
      </c>
      <c r="E12" s="8">
        <v>2.414201183431953</v>
      </c>
      <c r="F12" s="8">
        <v>0.15884487975136713</v>
      </c>
    </row>
    <row r="13" spans="1:9">
      <c r="A13" s="8" t="s">
        <v>59</v>
      </c>
      <c r="B13" s="8">
        <v>8</v>
      </c>
      <c r="C13" s="8">
        <v>0.72550505050505054</v>
      </c>
      <c r="D13" s="8">
        <v>9.0688131313131318E-2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0.94444444444444453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-102.06363636363638</v>
      </c>
      <c r="C17" s="8">
        <v>66.492301275430862</v>
      </c>
      <c r="D17" s="8">
        <v>-1.534969228104446</v>
      </c>
      <c r="E17" s="8">
        <v>0.16333903735738287</v>
      </c>
      <c r="F17" s="8">
        <v>-255.39515793735012</v>
      </c>
      <c r="G17" s="8">
        <v>51.267885210077353</v>
      </c>
      <c r="H17" s="8">
        <v>-255.39515793735012</v>
      </c>
      <c r="I17" s="8">
        <v>51.267885210077353</v>
      </c>
    </row>
    <row r="18" spans="1:9" ht="15.75" thickBot="1">
      <c r="A18" s="2" t="s">
        <v>74</v>
      </c>
      <c r="B18" s="2">
        <v>5.1515151515151521E-2</v>
      </c>
      <c r="C18" s="2">
        <v>3.3154940454218941E-2</v>
      </c>
      <c r="D18" s="2">
        <v>1.5537699905172431</v>
      </c>
      <c r="E18" s="2">
        <v>0.15884487975136713</v>
      </c>
      <c r="F18" s="2">
        <v>-2.4940278211563464E-2</v>
      </c>
      <c r="G18" s="2">
        <v>0.1279705812418665</v>
      </c>
      <c r="H18" s="2">
        <v>-2.4940278211563464E-2</v>
      </c>
      <c r="I18" s="2">
        <v>0.1279705812418665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0.89704051144699826</v>
      </c>
    </row>
    <row r="5" spans="1:9">
      <c r="A5" s="8" t="s">
        <v>53</v>
      </c>
      <c r="B5" s="8">
        <v>0.80468167917709221</v>
      </c>
    </row>
    <row r="6" spans="1:9">
      <c r="A6" s="8" t="s">
        <v>54</v>
      </c>
      <c r="B6" s="8">
        <v>0.7802668890742287</v>
      </c>
    </row>
    <row r="7" spans="1:9">
      <c r="A7" s="8" t="s">
        <v>55</v>
      </c>
      <c r="B7" s="8">
        <v>8.8942995699401256E-2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0.26073217309840385</v>
      </c>
      <c r="D12" s="8">
        <v>0.26073217309840385</v>
      </c>
      <c r="E12" s="8">
        <v>32.958779321339129</v>
      </c>
      <c r="F12" s="8">
        <v>4.3346108214653491E-4</v>
      </c>
    </row>
    <row r="13" spans="1:9">
      <c r="A13" s="8" t="s">
        <v>59</v>
      </c>
      <c r="B13" s="8">
        <v>8</v>
      </c>
      <c r="C13" s="8">
        <v>6.3286851871869679E-2</v>
      </c>
      <c r="D13" s="8">
        <v>7.9108564839837098E-3</v>
      </c>
      <c r="E13" s="8"/>
      <c r="F13" s="8"/>
    </row>
    <row r="14" spans="1:9" ht="15.75" thickBot="1">
      <c r="A14" s="2" t="s">
        <v>60</v>
      </c>
      <c r="B14" s="2">
        <v>9</v>
      </c>
      <c r="C14" s="2">
        <v>0.32401902497027352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-111.41630094043882</v>
      </c>
      <c r="C17" s="8">
        <v>19.63848088507407</v>
      </c>
      <c r="D17" s="8">
        <v>-5.673366570075137</v>
      </c>
      <c r="E17" s="8">
        <v>4.6857146270878929E-4</v>
      </c>
      <c r="F17" s="8">
        <v>-156.70271903313534</v>
      </c>
      <c r="G17" s="8">
        <v>-66.129882847742294</v>
      </c>
      <c r="H17" s="8">
        <v>-156.70271903313534</v>
      </c>
      <c r="I17" s="8">
        <v>-66.129882847742294</v>
      </c>
    </row>
    <row r="18" spans="1:9" ht="15.75" thickBot="1">
      <c r="A18" s="2" t="s">
        <v>74</v>
      </c>
      <c r="B18" s="2">
        <v>5.6217345872518261E-2</v>
      </c>
      <c r="C18" s="2">
        <v>9.7923015426830511E-3</v>
      </c>
      <c r="D18" s="2">
        <v>5.7409737258882387</v>
      </c>
      <c r="E18" s="2">
        <v>4.3346108214653703E-4</v>
      </c>
      <c r="F18" s="2">
        <v>3.3636258040579819E-2</v>
      </c>
      <c r="G18" s="2">
        <v>7.8798433704456702E-2</v>
      </c>
      <c r="H18" s="2">
        <v>3.3636258040579819E-2</v>
      </c>
      <c r="I18" s="2">
        <v>7.8798433704456702E-2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0.77543683107538131</v>
      </c>
    </row>
    <row r="5" spans="1:9">
      <c r="A5" s="8" t="s">
        <v>53</v>
      </c>
      <c r="B5" s="8">
        <v>0.60130227898822952</v>
      </c>
    </row>
    <row r="6" spans="1:9">
      <c r="A6" s="8" t="s">
        <v>54</v>
      </c>
      <c r="B6" s="8">
        <v>0.5514650638617582</v>
      </c>
    </row>
    <row r="7" spans="1:9">
      <c r="A7" s="8" t="s">
        <v>55</v>
      </c>
      <c r="B7" s="8">
        <v>0.11648253868362336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0.16370454545454549</v>
      </c>
      <c r="D12" s="8">
        <v>0.16370454545454549</v>
      </c>
      <c r="E12" s="8">
        <v>12.065326633165835</v>
      </c>
      <c r="F12" s="8">
        <v>8.399213778972207E-3</v>
      </c>
    </row>
    <row r="13" spans="1:9">
      <c r="A13" s="8" t="s">
        <v>59</v>
      </c>
      <c r="B13" s="8">
        <v>8</v>
      </c>
      <c r="C13" s="8">
        <v>0.10854545454545451</v>
      </c>
      <c r="D13" s="8">
        <v>1.3568181818181814E-2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0.27224999999999999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-88.290909090909082</v>
      </c>
      <c r="C17" s="8">
        <v>25.719170929596174</v>
      </c>
      <c r="D17" s="8">
        <v>-3.4328831723463091</v>
      </c>
      <c r="E17" s="8">
        <v>8.9168541092260155E-3</v>
      </c>
      <c r="F17" s="8">
        <v>-147.59942355958435</v>
      </c>
      <c r="G17" s="8">
        <v>-28.982394622233805</v>
      </c>
      <c r="H17" s="8">
        <v>-147.59942355958435</v>
      </c>
      <c r="I17" s="8">
        <v>-28.982394622233805</v>
      </c>
    </row>
    <row r="18" spans="1:9" ht="15.75" thickBot="1">
      <c r="A18" s="2" t="s">
        <v>74</v>
      </c>
      <c r="B18" s="2">
        <v>4.4545454545454541E-2</v>
      </c>
      <c r="C18" s="2">
        <v>1.2824305436059894E-2</v>
      </c>
      <c r="D18" s="2">
        <v>3.473517904540846</v>
      </c>
      <c r="E18" s="2">
        <v>8.3992137789722122E-3</v>
      </c>
      <c r="F18" s="2">
        <v>1.4972553203210087E-2</v>
      </c>
      <c r="G18" s="2">
        <v>7.4118355887698995E-2</v>
      </c>
      <c r="H18" s="2">
        <v>1.4972553203210087E-2</v>
      </c>
      <c r="I18" s="2">
        <v>7.4118355887698995E-2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0.86614412164284393</v>
      </c>
    </row>
    <row r="5" spans="1:9">
      <c r="A5" s="8" t="s">
        <v>53</v>
      </c>
      <c r="B5" s="8">
        <v>0.75020563945645369</v>
      </c>
    </row>
    <row r="6" spans="1:9">
      <c r="A6" s="8" t="s">
        <v>54</v>
      </c>
      <c r="B6" s="8">
        <v>0.71898134438851036</v>
      </c>
    </row>
    <row r="7" spans="1:9">
      <c r="A7" s="8" t="s">
        <v>55</v>
      </c>
      <c r="B7" s="8">
        <v>8.4790293898499625E-2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0.17273484848484852</v>
      </c>
      <c r="D12" s="8">
        <v>0.17273484848484852</v>
      </c>
      <c r="E12" s="8">
        <v>24.026343519494198</v>
      </c>
      <c r="F12" s="8">
        <v>1.1912579386412266E-3</v>
      </c>
    </row>
    <row r="13" spans="1:9">
      <c r="A13" s="8" t="s">
        <v>59</v>
      </c>
      <c r="B13" s="8">
        <v>8</v>
      </c>
      <c r="C13" s="8">
        <v>5.7515151515151547E-2</v>
      </c>
      <c r="D13" s="8">
        <v>7.1893939393939434E-3</v>
      </c>
      <c r="E13" s="8"/>
      <c r="F13" s="8"/>
    </row>
    <row r="14" spans="1:9" ht="15.75" thickBot="1">
      <c r="A14" s="2" t="s">
        <v>60</v>
      </c>
      <c r="B14" s="2">
        <v>9</v>
      </c>
      <c r="C14" s="2">
        <v>0.23025000000000007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-90.701818181818197</v>
      </c>
      <c r="C17" s="8">
        <v>18.721570516841801</v>
      </c>
      <c r="D17" s="8">
        <v>-4.8447761420562152</v>
      </c>
      <c r="E17" s="8">
        <v>1.2803280849317232E-3</v>
      </c>
      <c r="F17" s="8">
        <v>-133.87383717550628</v>
      </c>
      <c r="G17" s="8">
        <v>-47.529799188130113</v>
      </c>
      <c r="H17" s="8">
        <v>-133.87383717550628</v>
      </c>
      <c r="I17" s="8">
        <v>-47.529799188130113</v>
      </c>
    </row>
    <row r="18" spans="1:9" ht="15.75" thickBot="1">
      <c r="A18" s="2" t="s">
        <v>74</v>
      </c>
      <c r="B18" s="2">
        <v>4.5757575757575761E-2</v>
      </c>
      <c r="C18" s="2">
        <v>9.3351041216662833E-3</v>
      </c>
      <c r="D18" s="2">
        <v>4.9016674223670247</v>
      </c>
      <c r="E18" s="2">
        <v>1.1912579386412281E-3</v>
      </c>
      <c r="F18" s="2">
        <v>2.4230787068235685E-2</v>
      </c>
      <c r="G18" s="2">
        <v>6.7284364446915837E-2</v>
      </c>
      <c r="H18" s="2">
        <v>2.4230787068235685E-2</v>
      </c>
      <c r="I18" s="2">
        <v>6.7284364446915837E-2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0.4134220739215328</v>
      </c>
    </row>
    <row r="5" spans="1:9">
      <c r="A5" s="8" t="s">
        <v>53</v>
      </c>
      <c r="B5" s="8">
        <v>0.1709178112055813</v>
      </c>
    </row>
    <row r="6" spans="1:9">
      <c r="A6" s="8" t="s">
        <v>54</v>
      </c>
      <c r="B6" s="8">
        <v>6.7282537606278975E-2</v>
      </c>
    </row>
    <row r="7" spans="1:9">
      <c r="A7" s="8" t="s">
        <v>55</v>
      </c>
      <c r="B7" s="8">
        <v>3.810225203989611E-2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2.3943135054246192E-3</v>
      </c>
      <c r="D12" s="8">
        <v>2.3943135054246192E-3</v>
      </c>
      <c r="E12" s="8">
        <v>1.6492242966079449</v>
      </c>
      <c r="F12" s="8">
        <v>0.23500424803197062</v>
      </c>
    </row>
    <row r="13" spans="1:9">
      <c r="A13" s="8" t="s">
        <v>59</v>
      </c>
      <c r="B13" s="8">
        <v>8</v>
      </c>
      <c r="C13" s="8">
        <v>1.161425288409414E-2</v>
      </c>
      <c r="D13" s="8">
        <v>1.4517816105117675E-3</v>
      </c>
      <c r="E13" s="8"/>
      <c r="F13" s="8"/>
    </row>
    <row r="14" spans="1:9" ht="15.75" thickBot="1">
      <c r="A14" s="2" t="s">
        <v>60</v>
      </c>
      <c r="B14" s="2">
        <v>9</v>
      </c>
      <c r="C14" s="2">
        <v>1.4008566389518759E-2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-9.743722943722938</v>
      </c>
      <c r="C17" s="8">
        <v>8.4129204607936483</v>
      </c>
      <c r="D17" s="8">
        <v>-1.1581855538907289</v>
      </c>
      <c r="E17" s="8">
        <v>0.28019259516934136</v>
      </c>
      <c r="F17" s="8">
        <v>-29.143952299429806</v>
      </c>
      <c r="G17" s="8">
        <v>9.6565064119839281</v>
      </c>
      <c r="H17" s="8">
        <v>-29.143952299429806</v>
      </c>
      <c r="I17" s="8">
        <v>9.6565064119839281</v>
      </c>
    </row>
    <row r="18" spans="1:9" ht="15.75" thickBot="1">
      <c r="A18" s="2" t="s">
        <v>74</v>
      </c>
      <c r="B18" s="2">
        <v>5.387205387205384E-3</v>
      </c>
      <c r="C18" s="2">
        <v>4.1949198865637582E-3</v>
      </c>
      <c r="D18" s="2">
        <v>1.2842212802348125</v>
      </c>
      <c r="E18" s="2">
        <v>0.23500424803197151</v>
      </c>
      <c r="F18" s="2">
        <v>-4.2862972100693062E-3</v>
      </c>
      <c r="G18" s="2">
        <v>1.5060707984480073E-2</v>
      </c>
      <c r="H18" s="2">
        <v>-4.2862972100693062E-3</v>
      </c>
      <c r="I18" s="2">
        <v>1.5060707984480073E-2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0.77440887924832691</v>
      </c>
    </row>
    <row r="5" spans="1:9">
      <c r="A5" s="8" t="s">
        <v>53</v>
      </c>
      <c r="B5" s="8">
        <v>0.59970911225864976</v>
      </c>
    </row>
    <row r="6" spans="1:9">
      <c r="A6" s="8" t="s">
        <v>54</v>
      </c>
      <c r="B6" s="8">
        <v>0.54967275129098092</v>
      </c>
    </row>
    <row r="7" spans="1:9">
      <c r="A7" s="8" t="s">
        <v>55</v>
      </c>
      <c r="B7" s="8">
        <v>0.33709431285261371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1.3619393939393938</v>
      </c>
      <c r="D12" s="8">
        <v>1.3619393939393938</v>
      </c>
      <c r="E12" s="8">
        <v>11.985466182206066</v>
      </c>
      <c r="F12" s="8">
        <v>8.5425826617871597E-3</v>
      </c>
    </row>
    <row r="13" spans="1:9">
      <c r="A13" s="8" t="s">
        <v>59</v>
      </c>
      <c r="B13" s="8">
        <v>8</v>
      </c>
      <c r="C13" s="8">
        <v>0.90906060606060657</v>
      </c>
      <c r="D13" s="8">
        <v>0.11363257575757582</v>
      </c>
      <c r="E13" s="8"/>
      <c r="F13" s="8"/>
    </row>
    <row r="14" spans="1:9" ht="15.75" thickBot="1">
      <c r="A14" s="2" t="s">
        <v>60</v>
      </c>
      <c r="B14" s="2">
        <v>9</v>
      </c>
      <c r="C14" s="2">
        <v>2.2710000000000004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-255.99636363636364</v>
      </c>
      <c r="C17" s="8">
        <v>74.429921854631189</v>
      </c>
      <c r="D17" s="8">
        <v>-3.4394280856071462</v>
      </c>
      <c r="E17" s="8">
        <v>8.8312463017059667E-3</v>
      </c>
      <c r="F17" s="8">
        <v>-427.63207107427343</v>
      </c>
      <c r="G17" s="8">
        <v>-84.360656198453825</v>
      </c>
      <c r="H17" s="8">
        <v>-427.63207107427343</v>
      </c>
      <c r="I17" s="8">
        <v>-84.360656198453825</v>
      </c>
    </row>
    <row r="18" spans="1:9" ht="15.75" thickBot="1">
      <c r="A18" s="2" t="s">
        <v>74</v>
      </c>
      <c r="B18" s="2">
        <v>0.12848484848484848</v>
      </c>
      <c r="C18" s="2">
        <v>3.7112862388089696E-2</v>
      </c>
      <c r="D18" s="2">
        <v>3.4620032036677935</v>
      </c>
      <c r="E18" s="2">
        <v>8.5425826617871597E-3</v>
      </c>
      <c r="F18" s="2">
        <v>4.2902434419352292E-2</v>
      </c>
      <c r="G18" s="2">
        <v>0.21406726255034467</v>
      </c>
      <c r="H18" s="2">
        <v>4.2902434419352292E-2</v>
      </c>
      <c r="I18" s="2">
        <v>0.21406726255034467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0.1142306255976763</v>
      </c>
    </row>
    <row r="5" spans="1:9">
      <c r="A5" s="8" t="s">
        <v>53</v>
      </c>
      <c r="B5" s="8">
        <v>1.3048635824436499E-2</v>
      </c>
    </row>
    <row r="6" spans="1:9">
      <c r="A6" s="8" t="s">
        <v>54</v>
      </c>
      <c r="B6" s="8">
        <v>-0.11032028469750894</v>
      </c>
    </row>
    <row r="7" spans="1:9">
      <c r="A7" s="8" t="s">
        <v>55</v>
      </c>
      <c r="B7" s="8">
        <v>0.16926351568204778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3.0303030303030221E-3</v>
      </c>
      <c r="D12" s="8">
        <v>3.0303030303030221E-3</v>
      </c>
      <c r="E12" s="8">
        <v>0.10576923076923048</v>
      </c>
      <c r="F12" s="8">
        <v>0.75335564462062599</v>
      </c>
    </row>
    <row r="13" spans="1:9">
      <c r="A13" s="8" t="s">
        <v>59</v>
      </c>
      <c r="B13" s="8">
        <v>8</v>
      </c>
      <c r="C13" s="8">
        <v>0.22920110192837467</v>
      </c>
      <c r="D13" s="8">
        <v>2.8650137741046834E-2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0.2322314049586777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13.218181818181808</v>
      </c>
      <c r="C17" s="8">
        <v>37.373131983283393</v>
      </c>
      <c r="D17" s="8">
        <v>0.35368140470791049</v>
      </c>
      <c r="E17" s="8">
        <v>0.73271754213839824</v>
      </c>
      <c r="F17" s="8">
        <v>-72.96441500960313</v>
      </c>
      <c r="G17" s="8">
        <v>99.400778645966739</v>
      </c>
      <c r="H17" s="8">
        <v>-72.96441500960313</v>
      </c>
      <c r="I17" s="8">
        <v>99.400778645966739</v>
      </c>
    </row>
    <row r="18" spans="1:9" ht="15.75" thickBot="1">
      <c r="A18" s="2" t="s">
        <v>74</v>
      </c>
      <c r="B18" s="2">
        <v>-6.0606060606060554E-3</v>
      </c>
      <c r="C18" s="2">
        <v>1.8635299752383212E-2</v>
      </c>
      <c r="D18" s="2">
        <v>-0.32522181779399512</v>
      </c>
      <c r="E18" s="2">
        <v>0.75335564462062599</v>
      </c>
      <c r="F18" s="2">
        <v>-4.9033684314869763E-2</v>
      </c>
      <c r="G18" s="2">
        <v>3.6912472193657647E-2</v>
      </c>
      <c r="H18" s="2">
        <v>-4.9033684314869763E-2</v>
      </c>
      <c r="I18" s="2">
        <v>3.6912472193657647E-2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0.69093915797258931</v>
      </c>
    </row>
    <row r="5" spans="1:9">
      <c r="A5" s="8" t="s">
        <v>53</v>
      </c>
      <c r="B5" s="8">
        <v>0.47739692001987077</v>
      </c>
    </row>
    <row r="6" spans="1:9">
      <c r="A6" s="8" t="s">
        <v>54</v>
      </c>
      <c r="B6" s="8">
        <v>0.41207153502235461</v>
      </c>
    </row>
    <row r="7" spans="1:9">
      <c r="A7" s="8" t="s">
        <v>55</v>
      </c>
      <c r="B7" s="8">
        <v>0.11836060558541196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0.10237926136363633</v>
      </c>
      <c r="D12" s="8">
        <v>0.10237926136363633</v>
      </c>
      <c r="E12" s="8">
        <v>7.3079847908745217</v>
      </c>
      <c r="F12" s="8">
        <v>2.6934857015595705E-2</v>
      </c>
    </row>
    <row r="13" spans="1:9">
      <c r="A13" s="8" t="s">
        <v>59</v>
      </c>
      <c r="B13" s="8">
        <v>8</v>
      </c>
      <c r="C13" s="8">
        <v>0.11207386363636364</v>
      </c>
      <c r="D13" s="8">
        <v>1.4009232954545455E-2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0.21445312499999997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-69.642045454545453</v>
      </c>
      <c r="C17" s="8">
        <v>26.133845302340674</v>
      </c>
      <c r="D17" s="8">
        <v>-2.6648219827148045</v>
      </c>
      <c r="E17" s="8">
        <v>2.8590874702158691E-2</v>
      </c>
      <c r="F17" s="8">
        <v>-129.90680074074277</v>
      </c>
      <c r="G17" s="8">
        <v>-9.3772901683481393</v>
      </c>
      <c r="H17" s="8">
        <v>-129.90680074074277</v>
      </c>
      <c r="I17" s="8">
        <v>-9.3772901683481393</v>
      </c>
    </row>
    <row r="18" spans="1:9" ht="15.75" thickBot="1">
      <c r="A18" s="2" t="s">
        <v>74</v>
      </c>
      <c r="B18" s="2">
        <v>3.5227272727272725E-2</v>
      </c>
      <c r="C18" s="2">
        <v>1.3031073796795131E-2</v>
      </c>
      <c r="D18" s="2">
        <v>2.7033284652210732</v>
      </c>
      <c r="E18" s="2">
        <v>2.6934857015595674E-2</v>
      </c>
      <c r="F18" s="2">
        <v>5.1775626905373323E-3</v>
      </c>
      <c r="G18" s="2">
        <v>6.5276982764008118E-2</v>
      </c>
      <c r="H18" s="2">
        <v>5.1775626905373323E-3</v>
      </c>
      <c r="I18" s="2">
        <v>6.5276982764008118E-2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0.86428029185021904</v>
      </c>
    </row>
    <row r="5" spans="1:9">
      <c r="A5" s="8" t="s">
        <v>53</v>
      </c>
      <c r="B5" s="8">
        <v>0.74698042288069988</v>
      </c>
    </row>
    <row r="6" spans="1:9">
      <c r="A6" s="8" t="s">
        <v>54</v>
      </c>
      <c r="B6" s="8">
        <v>0.71535297574078738</v>
      </c>
    </row>
    <row r="7" spans="1:9">
      <c r="A7" s="8" t="s">
        <v>55</v>
      </c>
      <c r="B7" s="8">
        <v>0.11053731904212127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0.28857781140777566</v>
      </c>
      <c r="D12" s="8">
        <v>0.28857781140777566</v>
      </c>
      <c r="E12" s="8">
        <v>23.618106753170157</v>
      </c>
      <c r="F12" s="8">
        <v>1.2560478096215813E-3</v>
      </c>
    </row>
    <row r="13" spans="1:9">
      <c r="A13" s="8" t="s">
        <v>59</v>
      </c>
      <c r="B13" s="8">
        <v>8</v>
      </c>
      <c r="C13" s="8">
        <v>9.774799120815765E-2</v>
      </c>
      <c r="D13" s="8">
        <v>1.2218498901019706E-2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0.3863258026159333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-117.22884012539186</v>
      </c>
      <c r="C17" s="8">
        <v>24.406475293822897</v>
      </c>
      <c r="D17" s="8">
        <v>-4.8031859870835847</v>
      </c>
      <c r="E17" s="8">
        <v>1.3500289608746306E-3</v>
      </c>
      <c r="F17" s="8">
        <v>-173.51027303221025</v>
      </c>
      <c r="G17" s="8">
        <v>-60.947407218573467</v>
      </c>
      <c r="H17" s="8">
        <v>-173.51027303221025</v>
      </c>
      <c r="I17" s="8">
        <v>-60.947407218573467</v>
      </c>
    </row>
    <row r="18" spans="1:9" ht="15.75" thickBot="1">
      <c r="A18" s="2" t="s">
        <v>74</v>
      </c>
      <c r="B18" s="2">
        <v>5.9143155694879837E-2</v>
      </c>
      <c r="C18" s="2">
        <v>1.216975829595876E-2</v>
      </c>
      <c r="D18" s="2">
        <v>4.8598463713547737</v>
      </c>
      <c r="E18" s="2">
        <v>1.25604780962158E-3</v>
      </c>
      <c r="F18" s="2">
        <v>3.1079642763147713E-2</v>
      </c>
      <c r="G18" s="2">
        <v>8.7206668626611958E-2</v>
      </c>
      <c r="H18" s="2">
        <v>3.1079642763147713E-2</v>
      </c>
      <c r="I18" s="2">
        <v>8.7206668626611958E-2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0.13168801833658766</v>
      </c>
    </row>
    <row r="5" spans="1:9">
      <c r="A5" s="8" t="s">
        <v>53</v>
      </c>
      <c r="B5" s="8">
        <v>1.7341734173417448E-2</v>
      </c>
    </row>
    <row r="6" spans="1:9">
      <c r="A6" s="8" t="s">
        <v>54</v>
      </c>
      <c r="B6" s="8">
        <v>-0.10549054905490537</v>
      </c>
    </row>
    <row r="7" spans="1:9">
      <c r="A7" s="8" t="s">
        <v>55</v>
      </c>
      <c r="B7" s="8">
        <v>0.14650519675030421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3.0303030303030498E-3</v>
      </c>
      <c r="D12" s="8">
        <v>3.0303030303030498E-3</v>
      </c>
      <c r="E12" s="8">
        <v>0.14118221787982499</v>
      </c>
      <c r="F12" s="8">
        <v>0.71687628591253527</v>
      </c>
    </row>
    <row r="13" spans="1:9">
      <c r="A13" s="8" t="s">
        <v>59</v>
      </c>
      <c r="B13" s="8">
        <v>8</v>
      </c>
      <c r="C13" s="8">
        <v>0.17171018139876276</v>
      </c>
      <c r="D13" s="8">
        <v>2.1463772674845345E-2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0.17474048442906581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-11.125133689839576</v>
      </c>
      <c r="C17" s="8">
        <v>32.34812908335887</v>
      </c>
      <c r="D17" s="8">
        <v>-0.34391892220940762</v>
      </c>
      <c r="E17" s="8">
        <v>0.73977201695595152</v>
      </c>
      <c r="F17" s="8">
        <v>-85.720053060558513</v>
      </c>
      <c r="G17" s="8">
        <v>63.469785680879369</v>
      </c>
      <c r="H17" s="8">
        <v>-85.720053060558513</v>
      </c>
      <c r="I17" s="8">
        <v>63.469785680879369</v>
      </c>
    </row>
    <row r="18" spans="1:9" ht="15.75" thickBot="1">
      <c r="A18" s="2" t="s">
        <v>74</v>
      </c>
      <c r="B18" s="2">
        <v>6.0606060606060623E-3</v>
      </c>
      <c r="C18" s="2">
        <v>1.6129691302479317E-2</v>
      </c>
      <c r="D18" s="2">
        <v>0.37574222264715496</v>
      </c>
      <c r="E18" s="2">
        <v>0.71687628591253527</v>
      </c>
      <c r="F18" s="2">
        <v>-3.1134528751750063E-2</v>
      </c>
      <c r="G18" s="2">
        <v>4.325574087296219E-2</v>
      </c>
      <c r="H18" s="2">
        <v>-3.1134528751750063E-2</v>
      </c>
      <c r="I18" s="2">
        <v>4.325574087296219E-2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0.75438996269224212</v>
      </c>
    </row>
    <row r="5" spans="1:9">
      <c r="A5" s="8" t="s">
        <v>53</v>
      </c>
      <c r="B5" s="8">
        <v>0.56910421581080239</v>
      </c>
    </row>
    <row r="6" spans="1:9">
      <c r="A6" s="8" t="s">
        <v>54</v>
      </c>
      <c r="B6" s="8">
        <v>0.51524224278715269</v>
      </c>
    </row>
    <row r="7" spans="1:9">
      <c r="A7" s="8" t="s">
        <v>55</v>
      </c>
      <c r="B7" s="8">
        <v>0.1493369601720502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0.23563736538943142</v>
      </c>
      <c r="D12" s="8">
        <v>0.23563736538943142</v>
      </c>
      <c r="E12" s="8">
        <v>10.565974171813579</v>
      </c>
      <c r="F12" s="8">
        <v>1.1691722289174389E-2</v>
      </c>
    </row>
    <row r="13" spans="1:9">
      <c r="A13" s="8" t="s">
        <v>59</v>
      </c>
      <c r="B13" s="8">
        <v>8</v>
      </c>
      <c r="C13" s="8">
        <v>0.17841222138742807</v>
      </c>
      <c r="D13" s="8">
        <v>2.2301527673428509E-2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0.41404958677685949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-105.97190082644626</v>
      </c>
      <c r="C17" s="8">
        <v>32.973378226270135</v>
      </c>
      <c r="D17" s="8">
        <v>-3.2138624104344169</v>
      </c>
      <c r="E17" s="8">
        <v>1.2352458221362748E-2</v>
      </c>
      <c r="F17" s="8">
        <v>-182.00864730506032</v>
      </c>
      <c r="G17" s="8">
        <v>-29.93515434783221</v>
      </c>
      <c r="H17" s="8">
        <v>-182.00864730506032</v>
      </c>
      <c r="I17" s="8">
        <v>-29.93515434783221</v>
      </c>
    </row>
    <row r="18" spans="1:9" ht="15.75" thickBot="1">
      <c r="A18" s="2" t="s">
        <v>74</v>
      </c>
      <c r="B18" s="2">
        <v>5.3443526170798887E-2</v>
      </c>
      <c r="C18" s="2">
        <v>1.6441458194354577E-2</v>
      </c>
      <c r="D18" s="2">
        <v>3.2505344440281783</v>
      </c>
      <c r="E18" s="2">
        <v>1.1691722289174389E-2</v>
      </c>
      <c r="F18" s="2">
        <v>1.552945561715259E-2</v>
      </c>
      <c r="G18" s="2">
        <v>9.1357596724445184E-2</v>
      </c>
      <c r="H18" s="2">
        <v>1.552945561715259E-2</v>
      </c>
      <c r="I18" s="2">
        <v>9.1357596724445184E-2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0.82129871258570353</v>
      </c>
    </row>
    <row r="5" spans="1:9">
      <c r="A5" s="8" t="s">
        <v>53</v>
      </c>
      <c r="B5" s="8">
        <v>0.67453157529493402</v>
      </c>
    </row>
    <row r="6" spans="1:9">
      <c r="A6" s="8" t="s">
        <v>54</v>
      </c>
      <c r="B6" s="8">
        <v>0.63384802220680081</v>
      </c>
    </row>
    <row r="7" spans="1:9">
      <c r="A7" s="8" t="s">
        <v>55</v>
      </c>
      <c r="B7" s="8">
        <v>0.14600747178888424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0.35345454545454535</v>
      </c>
      <c r="D12" s="8">
        <v>0.35345454545454535</v>
      </c>
      <c r="E12" s="8">
        <v>16.579957356076751</v>
      </c>
      <c r="F12" s="8">
        <v>3.5742524492082118E-3</v>
      </c>
    </row>
    <row r="13" spans="1:9">
      <c r="A13" s="8" t="s">
        <v>59</v>
      </c>
      <c r="B13" s="8">
        <v>8</v>
      </c>
      <c r="C13" s="8">
        <v>0.17054545454545458</v>
      </c>
      <c r="D13" s="8">
        <v>2.1318181818181823E-2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0.52399999999999991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-130.1090909090909</v>
      </c>
      <c r="C17" s="8">
        <v>32.238232153713</v>
      </c>
      <c r="D17" s="8">
        <v>-4.0358630798589168</v>
      </c>
      <c r="E17" s="8">
        <v>3.7572919471884035E-3</v>
      </c>
      <c r="F17" s="8">
        <v>-204.45058750580958</v>
      </c>
      <c r="G17" s="8">
        <v>-55.767594312372211</v>
      </c>
      <c r="H17" s="8">
        <v>-204.45058750580958</v>
      </c>
      <c r="I17" s="8">
        <v>-55.767594312372211</v>
      </c>
    </row>
    <row r="18" spans="1:9" ht="15.75" thickBot="1">
      <c r="A18" s="2" t="s">
        <v>74</v>
      </c>
      <c r="B18" s="2">
        <v>6.5454545454545446E-2</v>
      </c>
      <c r="C18" s="2">
        <v>1.6074893587727089E-2</v>
      </c>
      <c r="D18" s="2">
        <v>4.0718493778720184</v>
      </c>
      <c r="E18" s="2">
        <v>3.5742524492082201E-3</v>
      </c>
      <c r="F18" s="2">
        <v>2.8385774398903302E-2</v>
      </c>
      <c r="G18" s="2">
        <v>0.10252331651018759</v>
      </c>
      <c r="H18" s="2">
        <v>2.8385774398903302E-2</v>
      </c>
      <c r="I18" s="2">
        <v>0.10252331651018759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0.86470697077594272</v>
      </c>
    </row>
    <row r="5" spans="1:9">
      <c r="A5" s="8" t="s">
        <v>53</v>
      </c>
      <c r="B5" s="8">
        <v>0.747718145308507</v>
      </c>
    </row>
    <row r="6" spans="1:9">
      <c r="A6" s="8" t="s">
        <v>54</v>
      </c>
      <c r="B6" s="8">
        <v>0.71618291347207041</v>
      </c>
    </row>
    <row r="7" spans="1:9">
      <c r="A7" s="8" t="s">
        <v>55</v>
      </c>
      <c r="B7" s="8">
        <v>6.0293543997773452E-2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8.6195286195286214E-2</v>
      </c>
      <c r="D12" s="8">
        <v>8.6195286195286214E-2</v>
      </c>
      <c r="E12" s="8">
        <v>23.710564399421166</v>
      </c>
      <c r="F12" s="8">
        <v>1.2409951952321726E-3</v>
      </c>
    </row>
    <row r="13" spans="1:9">
      <c r="A13" s="8" t="s">
        <v>59</v>
      </c>
      <c r="B13" s="8">
        <v>8</v>
      </c>
      <c r="C13" s="8">
        <v>2.9082491582491543E-2</v>
      </c>
      <c r="D13" s="8">
        <v>3.6353114478114429E-3</v>
      </c>
      <c r="E13" s="8"/>
      <c r="F13" s="8"/>
    </row>
    <row r="14" spans="1:9" ht="15.75" thickBot="1">
      <c r="A14" s="2" t="s">
        <v>60</v>
      </c>
      <c r="B14" s="2">
        <v>9</v>
      </c>
      <c r="C14" s="2">
        <v>0.11527777777777776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-63.682575757575762</v>
      </c>
      <c r="C17" s="8">
        <v>13.312724650015552</v>
      </c>
      <c r="D17" s="8">
        <v>-4.7835869389442651</v>
      </c>
      <c r="E17" s="8">
        <v>1.3842985184844977E-3</v>
      </c>
      <c r="F17" s="8">
        <v>-94.381773825984666</v>
      </c>
      <c r="G17" s="8">
        <v>-32.983377689166858</v>
      </c>
      <c r="H17" s="8">
        <v>-94.381773825984666</v>
      </c>
      <c r="I17" s="8">
        <v>-32.983377689166858</v>
      </c>
    </row>
    <row r="18" spans="1:9" ht="15.75" thickBot="1">
      <c r="A18" s="2" t="s">
        <v>74</v>
      </c>
      <c r="B18" s="2">
        <v>3.2323232323232323E-2</v>
      </c>
      <c r="C18" s="2">
        <v>6.6381007212600544E-3</v>
      </c>
      <c r="D18" s="2">
        <v>4.8693494842146174</v>
      </c>
      <c r="E18" s="2">
        <v>1.2409951952321735E-3</v>
      </c>
      <c r="F18" s="2">
        <v>1.7015744622750788E-2</v>
      </c>
      <c r="G18" s="2">
        <v>4.7630720023713859E-2</v>
      </c>
      <c r="H18" s="2">
        <v>1.7015744622750788E-2</v>
      </c>
      <c r="I18" s="2">
        <v>4.7630720023713859E-2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0.90632342031651236</v>
      </c>
    </row>
    <row r="5" spans="1:9">
      <c r="A5" s="8" t="s">
        <v>53</v>
      </c>
      <c r="B5" s="8">
        <v>0.8214221422142215</v>
      </c>
    </row>
    <row r="6" spans="1:9">
      <c r="A6" s="8" t="s">
        <v>54</v>
      </c>
      <c r="B6" s="8">
        <v>0.79909990999099922</v>
      </c>
    </row>
    <row r="7" spans="1:9">
      <c r="A7" s="8" t="s">
        <v>55</v>
      </c>
      <c r="B7" s="8">
        <v>3.6611413970298233E-2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4.9324397362447259E-2</v>
      </c>
      <c r="D12" s="8">
        <v>4.9324397362447259E-2</v>
      </c>
      <c r="E12" s="8">
        <v>36.798387096774228</v>
      </c>
      <c r="F12" s="8">
        <v>3.0048764438261064E-4</v>
      </c>
    </row>
    <row r="13" spans="1:9">
      <c r="A13" s="8" t="s">
        <v>59</v>
      </c>
      <c r="B13" s="8">
        <v>8</v>
      </c>
      <c r="C13" s="8">
        <v>1.0723165063236388E-2</v>
      </c>
      <c r="D13" s="8">
        <v>1.3403956329045485E-3</v>
      </c>
      <c r="E13" s="8"/>
      <c r="F13" s="8"/>
    </row>
    <row r="14" spans="1:9" ht="15.75" thickBot="1">
      <c r="A14" s="2" t="s">
        <v>60</v>
      </c>
      <c r="B14" s="2">
        <v>9</v>
      </c>
      <c r="C14" s="2">
        <v>6.0047562425683647E-2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-47.9166144200627</v>
      </c>
      <c r="C17" s="8">
        <v>8.0837456370504928</v>
      </c>
      <c r="D17" s="8">
        <v>-5.927526244819596</v>
      </c>
      <c r="E17" s="8">
        <v>3.5071190454659499E-4</v>
      </c>
      <c r="F17" s="8">
        <v>-66.557765271639838</v>
      </c>
      <c r="G17" s="8">
        <v>-29.275463568485559</v>
      </c>
      <c r="H17" s="8">
        <v>-66.557765271639838</v>
      </c>
      <c r="I17" s="8">
        <v>-29.275463568485559</v>
      </c>
    </row>
    <row r="18" spans="1:9" ht="15.75" thickBot="1">
      <c r="A18" s="2" t="s">
        <v>74</v>
      </c>
      <c r="B18" s="2">
        <v>2.4451410658307211E-2</v>
      </c>
      <c r="C18" s="2">
        <v>4.0307840171339383E-3</v>
      </c>
      <c r="D18" s="2">
        <v>6.0661674141729929</v>
      </c>
      <c r="E18" s="2">
        <v>3.0048764438261009E-4</v>
      </c>
      <c r="F18" s="2">
        <v>1.5156406054360329E-2</v>
      </c>
      <c r="G18" s="2">
        <v>3.3746415262254095E-2</v>
      </c>
      <c r="H18" s="2">
        <v>1.5156406054360329E-2</v>
      </c>
      <c r="I18" s="2">
        <v>3.3746415262254095E-2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E18" sqref="E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0.56293605919018808</v>
      </c>
    </row>
    <row r="5" spans="1:9">
      <c r="A5" s="8" t="s">
        <v>53</v>
      </c>
      <c r="B5" s="8">
        <v>0.31689700673657895</v>
      </c>
    </row>
    <row r="6" spans="1:9">
      <c r="A6" s="8" t="s">
        <v>54</v>
      </c>
      <c r="B6" s="8">
        <v>0.2315091325786513</v>
      </c>
    </row>
    <row r="7" spans="1:9">
      <c r="A7" s="8" t="s">
        <v>55</v>
      </c>
      <c r="B7" s="8">
        <v>0.25717252661472362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0.24545454545454537</v>
      </c>
      <c r="D12" s="8">
        <v>0.24545454545454537</v>
      </c>
      <c r="E12" s="8">
        <v>3.7112647417649449</v>
      </c>
      <c r="F12" s="8">
        <v>9.0211490497633412E-2</v>
      </c>
    </row>
    <row r="13" spans="1:9">
      <c r="A13" s="8" t="s">
        <v>59</v>
      </c>
      <c r="B13" s="8">
        <v>8</v>
      </c>
      <c r="C13" s="8">
        <v>0.52910166756320587</v>
      </c>
      <c r="D13" s="8">
        <v>6.6137708445400734E-2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0.77455621301775124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-108.30629370629367</v>
      </c>
      <c r="C17" s="8">
        <v>56.78331057297018</v>
      </c>
      <c r="D17" s="8">
        <v>-1.9073613816002004</v>
      </c>
      <c r="E17" s="8">
        <v>9.2908230131288433E-2</v>
      </c>
      <c r="F17" s="8">
        <v>-239.24884258997037</v>
      </c>
      <c r="G17" s="8">
        <v>22.636255177383021</v>
      </c>
      <c r="H17" s="8">
        <v>-239.24884258997037</v>
      </c>
      <c r="I17" s="8">
        <v>22.636255177383021</v>
      </c>
    </row>
    <row r="18" spans="1:9" ht="15.75" thickBot="1">
      <c r="A18" s="2" t="s">
        <v>74</v>
      </c>
      <c r="B18" s="2">
        <v>5.4545454545454529E-2</v>
      </c>
      <c r="C18" s="2">
        <v>2.8313763318880532E-2</v>
      </c>
      <c r="D18" s="2">
        <v>1.9264643110540469</v>
      </c>
      <c r="E18" s="2">
        <v>9.0211490497633579E-2</v>
      </c>
      <c r="F18" s="2">
        <v>-1.0746200697136908E-2</v>
      </c>
      <c r="G18" s="2">
        <v>0.11983710978804596</v>
      </c>
      <c r="H18" s="2">
        <v>-1.0746200697136908E-2</v>
      </c>
      <c r="I18" s="2">
        <v>0.11983710978804596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0.61402096971917841</v>
      </c>
    </row>
    <row r="5" spans="1:9">
      <c r="A5" s="8" t="s">
        <v>53</v>
      </c>
      <c r="B5" s="8">
        <v>0.37702175125488019</v>
      </c>
    </row>
    <row r="6" spans="1:9">
      <c r="A6" s="8" t="s">
        <v>54</v>
      </c>
      <c r="B6" s="8">
        <v>0.29914947016174021</v>
      </c>
    </row>
    <row r="7" spans="1:9">
      <c r="A7" s="8" t="s">
        <v>55</v>
      </c>
      <c r="B7" s="8">
        <v>0.24392476252469175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0.28806818181818195</v>
      </c>
      <c r="D12" s="8">
        <v>0.28806818181818195</v>
      </c>
      <c r="E12" s="8">
        <v>4.841539838854076</v>
      </c>
      <c r="F12" s="8">
        <v>5.8961723823686397E-2</v>
      </c>
    </row>
    <row r="13" spans="1:9">
      <c r="A13" s="8" t="s">
        <v>59</v>
      </c>
      <c r="B13" s="8">
        <v>8</v>
      </c>
      <c r="C13" s="8">
        <v>0.47599431818181814</v>
      </c>
      <c r="D13" s="8">
        <v>5.9499289772727268E-2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0.76406250000000009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-117.18181818181814</v>
      </c>
      <c r="C17" s="8">
        <v>53.85822400706072</v>
      </c>
      <c r="D17" s="8">
        <v>-2.1757460507137369</v>
      </c>
      <c r="E17" s="8">
        <v>6.1267366769021114E-2</v>
      </c>
      <c r="F17" s="8">
        <v>-241.37910535424993</v>
      </c>
      <c r="G17" s="8">
        <v>7.0154689906136269</v>
      </c>
      <c r="H17" s="8">
        <v>-241.37910535424993</v>
      </c>
      <c r="I17" s="8">
        <v>7.0154689906136269</v>
      </c>
    </row>
    <row r="18" spans="1:9" ht="15.75" thickBot="1">
      <c r="A18" s="2" t="s">
        <v>74</v>
      </c>
      <c r="B18" s="2">
        <v>5.9090909090909076E-2</v>
      </c>
      <c r="C18" s="2">
        <v>2.6855232495673804E-2</v>
      </c>
      <c r="D18" s="2">
        <v>2.2003499355452694</v>
      </c>
      <c r="E18" s="2">
        <v>5.8961723823686453E-2</v>
      </c>
      <c r="F18" s="2">
        <v>-2.837368044823485E-3</v>
      </c>
      <c r="G18" s="2">
        <v>0.12101918622664164</v>
      </c>
      <c r="H18" s="2">
        <v>-2.837368044823485E-3</v>
      </c>
      <c r="I18" s="2">
        <v>0.12101918622664164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G33" sqref="G33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0.89564865547318318</v>
      </c>
    </row>
    <row r="5" spans="1:9">
      <c r="A5" s="8" t="s">
        <v>53</v>
      </c>
      <c r="B5" s="8">
        <v>0.80218651405092078</v>
      </c>
    </row>
    <row r="6" spans="1:9">
      <c r="A6" s="8" t="s">
        <v>54</v>
      </c>
      <c r="B6" s="8">
        <v>0.77745982830728588</v>
      </c>
    </row>
    <row r="7" spans="1:9">
      <c r="A7" s="8" t="s">
        <v>55</v>
      </c>
      <c r="B7" s="8">
        <v>0.18217956509826769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1.0767348484848487</v>
      </c>
      <c r="D12" s="8">
        <v>1.0767348484848487</v>
      </c>
      <c r="E12" s="8">
        <v>32.442136498516319</v>
      </c>
      <c r="F12" s="8">
        <v>4.5658633839372681E-4</v>
      </c>
    </row>
    <row r="13" spans="1:9">
      <c r="A13" s="8" t="s">
        <v>59</v>
      </c>
      <c r="B13" s="8">
        <v>8</v>
      </c>
      <c r="C13" s="8">
        <v>0.26551515151515159</v>
      </c>
      <c r="D13" s="8">
        <v>3.3189393939393949E-2</v>
      </c>
      <c r="E13" s="8"/>
      <c r="F13" s="8"/>
    </row>
    <row r="14" spans="1:9" ht="15.75" thickBot="1">
      <c r="A14" s="2" t="s">
        <v>60</v>
      </c>
      <c r="B14" s="2">
        <v>9</v>
      </c>
      <c r="C14" s="2">
        <v>1.3422500000000004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-227.8681818181818</v>
      </c>
      <c r="C17" s="8">
        <v>40.224976443620292</v>
      </c>
      <c r="D17" s="8">
        <v>-5.6648431388782541</v>
      </c>
      <c r="E17" s="8">
        <v>4.7321541214016371E-4</v>
      </c>
      <c r="F17" s="8">
        <v>-320.62714375902982</v>
      </c>
      <c r="G17" s="8">
        <v>-135.10921987733377</v>
      </c>
      <c r="H17" s="8">
        <v>-320.62714375902982</v>
      </c>
      <c r="I17" s="8">
        <v>-135.10921987733377</v>
      </c>
    </row>
    <row r="18" spans="1:9" ht="15.75" thickBot="1">
      <c r="A18" s="2" t="s">
        <v>74</v>
      </c>
      <c r="B18" s="2">
        <v>0.11424242424242423</v>
      </c>
      <c r="C18" s="2">
        <v>2.005730999196717E-2</v>
      </c>
      <c r="D18" s="2">
        <v>5.6957998997960155</v>
      </c>
      <c r="E18" s="2">
        <v>4.5658633839372757E-4</v>
      </c>
      <c r="F18" s="2">
        <v>6.7990184498086248E-2</v>
      </c>
      <c r="G18" s="2">
        <v>0.16049466398676221</v>
      </c>
      <c r="H18" s="2">
        <v>6.7990184498086248E-2</v>
      </c>
      <c r="I18" s="2">
        <v>0.16049466398676221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0.3674047167570349</v>
      </c>
    </row>
    <row r="5" spans="1:9">
      <c r="A5" s="8" t="s">
        <v>53</v>
      </c>
      <c r="B5" s="8">
        <v>0.13498622589531706</v>
      </c>
    </row>
    <row r="6" spans="1:9">
      <c r="A6" s="8" t="s">
        <v>54</v>
      </c>
      <c r="B6" s="8">
        <v>2.6859504132231704E-2</v>
      </c>
    </row>
    <row r="7" spans="1:9">
      <c r="A7" s="8" t="s">
        <v>55</v>
      </c>
      <c r="B7" s="8">
        <v>0.34487591092941516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0.14848484848484877</v>
      </c>
      <c r="D12" s="8">
        <v>0.14848484848484877</v>
      </c>
      <c r="E12" s="8">
        <v>1.2484076433121045</v>
      </c>
      <c r="F12" s="8">
        <v>0.2962860739651143</v>
      </c>
    </row>
    <row r="13" spans="1:9">
      <c r="A13" s="8" t="s">
        <v>59</v>
      </c>
      <c r="B13" s="8">
        <v>8</v>
      </c>
      <c r="C13" s="8">
        <v>0.95151515151515131</v>
      </c>
      <c r="D13" s="8">
        <v>0.11893939393939391</v>
      </c>
      <c r="E13" s="8"/>
      <c r="F13" s="8"/>
    </row>
    <row r="14" spans="1:9" ht="15.75" thickBot="1">
      <c r="A14" s="2" t="s">
        <v>60</v>
      </c>
      <c r="B14" s="2">
        <v>9</v>
      </c>
      <c r="C14" s="2">
        <v>1.1000000000000001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-84.38181818181819</v>
      </c>
      <c r="C17" s="8">
        <v>76.148087111882845</v>
      </c>
      <c r="D17" s="8">
        <v>-1.1081278779575603</v>
      </c>
      <c r="E17" s="8">
        <v>0.30000714532227213</v>
      </c>
      <c r="F17" s="8">
        <v>-259.97962180464128</v>
      </c>
      <c r="G17" s="8">
        <v>91.215985441004889</v>
      </c>
      <c r="H17" s="8">
        <v>-259.97962180464128</v>
      </c>
      <c r="I17" s="8">
        <v>91.215985441004889</v>
      </c>
    </row>
    <row r="18" spans="1:9" ht="15.75" thickBot="1">
      <c r="A18" s="2" t="s">
        <v>74</v>
      </c>
      <c r="B18" s="2">
        <v>4.2424242424242427E-2</v>
      </c>
      <c r="C18" s="2">
        <v>3.7969588139823235E-2</v>
      </c>
      <c r="D18" s="2">
        <v>1.1173216382546711</v>
      </c>
      <c r="E18" s="2">
        <v>0.29628607396511519</v>
      </c>
      <c r="F18" s="2">
        <v>-4.5133784765855091E-2</v>
      </c>
      <c r="G18" s="2">
        <v>0.12998226961433995</v>
      </c>
      <c r="H18" s="2">
        <v>-4.5133784765855091E-2</v>
      </c>
      <c r="I18" s="2">
        <v>0.12998226961433995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0.5724916952712612</v>
      </c>
    </row>
    <row r="5" spans="1:9">
      <c r="A5" s="8" t="s">
        <v>53</v>
      </c>
      <c r="B5" s="8">
        <v>0.32774674115456259</v>
      </c>
    </row>
    <row r="6" spans="1:9">
      <c r="A6" s="8" t="s">
        <v>54</v>
      </c>
      <c r="B6" s="8">
        <v>0.2437150837988829</v>
      </c>
    </row>
    <row r="7" spans="1:9">
      <c r="A7" s="8" t="s">
        <v>55</v>
      </c>
      <c r="B7" s="8">
        <v>5.7043940758093728E-2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1.2691544979268082E-2</v>
      </c>
      <c r="D12" s="8">
        <v>1.2691544979268082E-2</v>
      </c>
      <c r="E12" s="8">
        <v>3.9002770083102534</v>
      </c>
      <c r="F12" s="8">
        <v>8.370517461932922E-2</v>
      </c>
    </row>
    <row r="13" spans="1:9">
      <c r="A13" s="8" t="s">
        <v>59</v>
      </c>
      <c r="B13" s="8">
        <v>8</v>
      </c>
      <c r="C13" s="8">
        <v>2.6032089417703255E-2</v>
      </c>
      <c r="D13" s="8">
        <v>3.2540111772129069E-3</v>
      </c>
      <c r="E13" s="8"/>
      <c r="F13" s="8"/>
    </row>
    <row r="14" spans="1:9" ht="15.75" thickBot="1">
      <c r="A14" s="2" t="s">
        <v>60</v>
      </c>
      <c r="B14" s="2">
        <v>9</v>
      </c>
      <c r="C14" s="2">
        <v>3.8723634396971338E-2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-23.902325581395356</v>
      </c>
      <c r="C17" s="8">
        <v>12.59521709807513</v>
      </c>
      <c r="D17" s="8">
        <v>-1.8977303364662321</v>
      </c>
      <c r="E17" s="8">
        <v>9.4296937335063391E-2</v>
      </c>
      <c r="F17" s="8">
        <v>-52.946948269356319</v>
      </c>
      <c r="G17" s="8">
        <v>5.1422971065656071</v>
      </c>
      <c r="H17" s="8">
        <v>-52.946948269356319</v>
      </c>
      <c r="I17" s="8">
        <v>5.1422971065656071</v>
      </c>
    </row>
    <row r="18" spans="1:9" ht="15.75" thickBot="1">
      <c r="A18" s="2" t="s">
        <v>74</v>
      </c>
      <c r="B18" s="2">
        <v>1.2403100775193802E-2</v>
      </c>
      <c r="C18" s="2">
        <v>6.2803311794675937E-3</v>
      </c>
      <c r="D18" s="2">
        <v>1.9749118988730237</v>
      </c>
      <c r="E18" s="2">
        <v>8.3705174619329317E-2</v>
      </c>
      <c r="F18" s="2">
        <v>-2.079368883145789E-3</v>
      </c>
      <c r="G18" s="2">
        <v>2.6885570433533394E-2</v>
      </c>
      <c r="H18" s="2">
        <v>-2.079368883145789E-3</v>
      </c>
      <c r="I18" s="2">
        <v>2.6885570433533394E-2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0.84944268681258539</v>
      </c>
    </row>
    <row r="5" spans="1:9">
      <c r="A5" s="8" t="s">
        <v>53</v>
      </c>
      <c r="B5" s="8">
        <v>0.72155287817938407</v>
      </c>
    </row>
    <row r="6" spans="1:9">
      <c r="A6" s="8" t="s">
        <v>54</v>
      </c>
      <c r="B6" s="8">
        <v>0.68674698795180711</v>
      </c>
    </row>
    <row r="7" spans="1:9">
      <c r="A7" s="8" t="s">
        <v>55</v>
      </c>
      <c r="B7" s="8">
        <v>9.3094933625126275E-2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0.17966666666666659</v>
      </c>
      <c r="D12" s="8">
        <v>0.17966666666666659</v>
      </c>
      <c r="E12" s="8">
        <v>20.730769230769219</v>
      </c>
      <c r="F12" s="8">
        <v>1.8667403397580112E-3</v>
      </c>
    </row>
    <row r="13" spans="1:9">
      <c r="A13" s="8" t="s">
        <v>59</v>
      </c>
      <c r="B13" s="8">
        <v>8</v>
      </c>
      <c r="C13" s="8">
        <v>6.9333333333333344E-2</v>
      </c>
      <c r="D13" s="8">
        <v>8.666666666666668E-3</v>
      </c>
      <c r="E13" s="8"/>
      <c r="F13" s="8"/>
    </row>
    <row r="14" spans="1:9" ht="15.75" thickBot="1">
      <c r="A14" s="2" t="s">
        <v>60</v>
      </c>
      <c r="B14" s="2">
        <v>9</v>
      </c>
      <c r="C14" s="2">
        <v>0.24899999999999994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-92.479999999999976</v>
      </c>
      <c r="C17" s="8">
        <v>20.555222590805865</v>
      </c>
      <c r="D17" s="8">
        <v>-4.4990999047300662</v>
      </c>
      <c r="E17" s="8">
        <v>2.0044762059607184E-3</v>
      </c>
      <c r="F17" s="8">
        <v>-139.88042825528169</v>
      </c>
      <c r="G17" s="8">
        <v>-45.079571744718258</v>
      </c>
      <c r="H17" s="8">
        <v>-139.88042825528169</v>
      </c>
      <c r="I17" s="8">
        <v>-45.079571744718258</v>
      </c>
    </row>
    <row r="18" spans="1:9" ht="15.75" thickBot="1">
      <c r="A18" s="2" t="s">
        <v>74</v>
      </c>
      <c r="B18" s="2">
        <v>4.6666666666666655E-2</v>
      </c>
      <c r="C18" s="2">
        <v>1.0249414863810768E-2</v>
      </c>
      <c r="D18" s="2">
        <v>4.5531054491159342</v>
      </c>
      <c r="E18" s="2">
        <v>1.8667403397580129E-3</v>
      </c>
      <c r="F18" s="2">
        <v>2.3031473626821616E-2</v>
      </c>
      <c r="G18" s="2">
        <v>7.0301859706511691E-2</v>
      </c>
      <c r="H18" s="2">
        <v>2.3031473626821616E-2</v>
      </c>
      <c r="I18" s="2">
        <v>7.0301859706511691E-2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0.69395423593525363</v>
      </c>
    </row>
    <row r="5" spans="1:9">
      <c r="A5" s="8" t="s">
        <v>53</v>
      </c>
      <c r="B5" s="8">
        <v>0.48157248157248161</v>
      </c>
    </row>
    <row r="6" spans="1:9">
      <c r="A6" s="8" t="s">
        <v>54</v>
      </c>
      <c r="B6" s="8">
        <v>0.41676904176904184</v>
      </c>
    </row>
    <row r="7" spans="1:9">
      <c r="A7" s="8" t="s">
        <v>55</v>
      </c>
      <c r="B7" s="8">
        <v>0.21203156926183506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0.33409090909090911</v>
      </c>
      <c r="D12" s="8">
        <v>0.33409090909090911</v>
      </c>
      <c r="E12" s="8">
        <v>7.4312796208530818</v>
      </c>
      <c r="F12" s="8">
        <v>2.6004696558848326E-2</v>
      </c>
    </row>
    <row r="13" spans="1:9">
      <c r="A13" s="8" t="s">
        <v>59</v>
      </c>
      <c r="B13" s="8">
        <v>8</v>
      </c>
      <c r="C13" s="8">
        <v>0.35965909090909087</v>
      </c>
      <c r="D13" s="8">
        <v>4.4957386363636359E-2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0.69374999999999998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-126.44772727272729</v>
      </c>
      <c r="C17" s="8">
        <v>46.816254469927159</v>
      </c>
      <c r="D17" s="8">
        <v>-2.7009364312549207</v>
      </c>
      <c r="E17" s="8">
        <v>2.7034804080183234E-2</v>
      </c>
      <c r="F17" s="8">
        <v>-234.4062035859626</v>
      </c>
      <c r="G17" s="8">
        <v>-18.489250959491983</v>
      </c>
      <c r="H17" s="8">
        <v>-234.4062035859626</v>
      </c>
      <c r="I17" s="8">
        <v>-18.489250959491983</v>
      </c>
    </row>
    <row r="18" spans="1:9" ht="15.75" thickBot="1">
      <c r="A18" s="2" t="s">
        <v>74</v>
      </c>
      <c r="B18" s="2">
        <v>6.3636363636363644E-2</v>
      </c>
      <c r="C18" s="2">
        <v>2.3343907482016063E-2</v>
      </c>
      <c r="D18" s="2">
        <v>2.7260373476629192</v>
      </c>
      <c r="E18" s="2">
        <v>2.6004696558848326E-2</v>
      </c>
      <c r="F18" s="2">
        <v>9.8052164954824106E-3</v>
      </c>
      <c r="G18" s="2">
        <v>0.11746751077724488</v>
      </c>
      <c r="H18" s="2">
        <v>9.8052164954824106E-3</v>
      </c>
      <c r="I18" s="2">
        <v>0.11746751077724488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0.72721325331407261</v>
      </c>
    </row>
    <row r="5" spans="1:9">
      <c r="A5" s="8" t="s">
        <v>53</v>
      </c>
      <c r="B5" s="8">
        <v>0.52883911579563758</v>
      </c>
    </row>
    <row r="6" spans="1:9">
      <c r="A6" s="8" t="s">
        <v>54</v>
      </c>
      <c r="B6" s="8">
        <v>0.46994400527009228</v>
      </c>
    </row>
    <row r="7" spans="1:9">
      <c r="A7" s="8" t="s">
        <v>55</v>
      </c>
      <c r="B7" s="8">
        <v>0.13578192166660133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0.16554963624906927</v>
      </c>
      <c r="D12" s="8">
        <v>0.16554963624906927</v>
      </c>
      <c r="E12" s="8">
        <v>8.9793382010253247</v>
      </c>
      <c r="F12" s="8">
        <v>1.7161577778067948E-2</v>
      </c>
    </row>
    <row r="13" spans="1:9">
      <c r="A13" s="8" t="s">
        <v>59</v>
      </c>
      <c r="B13" s="8">
        <v>8</v>
      </c>
      <c r="C13" s="8">
        <v>0.14749384201180049</v>
      </c>
      <c r="D13" s="8">
        <v>1.8436730251475061E-2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0.31304347826086976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-88.872727272727303</v>
      </c>
      <c r="C17" s="8">
        <v>29.980445927414674</v>
      </c>
      <c r="D17" s="8">
        <v>-2.9643564171092076</v>
      </c>
      <c r="E17" s="8">
        <v>1.8025844626056119E-2</v>
      </c>
      <c r="F17" s="8">
        <v>-158.00775949949622</v>
      </c>
      <c r="G17" s="8">
        <v>-19.737695045958375</v>
      </c>
      <c r="H17" s="8">
        <v>-158.00775949949622</v>
      </c>
      <c r="I17" s="8">
        <v>-19.737695045958375</v>
      </c>
    </row>
    <row r="18" spans="1:9" ht="15.75" thickBot="1">
      <c r="A18" s="2" t="s">
        <v>74</v>
      </c>
      <c r="B18" s="2">
        <v>4.4795783926218725E-2</v>
      </c>
      <c r="C18" s="2">
        <v>1.4949097571415397E-2</v>
      </c>
      <c r="D18" s="2">
        <v>2.9965543881306949</v>
      </c>
      <c r="E18" s="2">
        <v>1.7161577778067955E-2</v>
      </c>
      <c r="F18" s="2">
        <v>1.0323103137443022E-2</v>
      </c>
      <c r="G18" s="2">
        <v>7.9268464714994435E-2</v>
      </c>
      <c r="H18" s="2">
        <v>1.0323103137443022E-2</v>
      </c>
      <c r="I18" s="2">
        <v>7.9268464714994435E-2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6.0939368677263038E-2</v>
      </c>
    </row>
    <row r="5" spans="1:9">
      <c r="A5" s="8" t="s">
        <v>53</v>
      </c>
      <c r="B5" s="8">
        <v>3.7136066547833876E-3</v>
      </c>
    </row>
    <row r="6" spans="1:9">
      <c r="A6" s="8" t="s">
        <v>54</v>
      </c>
      <c r="B6" s="8">
        <v>-0.12082219251336869</v>
      </c>
    </row>
    <row r="7" spans="1:9">
      <c r="A7" s="8" t="s">
        <v>55</v>
      </c>
      <c r="B7" s="8">
        <v>0.15180039116433292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6.8714354428645041E-4</v>
      </c>
      <c r="D12" s="8">
        <v>6.8714354428645041E-4</v>
      </c>
      <c r="E12" s="8">
        <v>2.9819591471598954E-2</v>
      </c>
      <c r="F12" s="8">
        <v>0.86718907081791374</v>
      </c>
    </row>
    <row r="13" spans="1:9">
      <c r="A13" s="8" t="s">
        <v>59</v>
      </c>
      <c r="B13" s="8">
        <v>8</v>
      </c>
      <c r="C13" s="8">
        <v>0.18434687006115585</v>
      </c>
      <c r="D13" s="8">
        <v>2.3043358757644482E-2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0.1850340136054423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6.8450216450216477</v>
      </c>
      <c r="C17" s="8">
        <v>33.517300117738074</v>
      </c>
      <c r="D17" s="8">
        <v>0.20422353891801431</v>
      </c>
      <c r="E17" s="8">
        <v>0.84327853079240589</v>
      </c>
      <c r="F17" s="8">
        <v>-70.446010963509337</v>
      </c>
      <c r="G17" s="8">
        <v>84.136054253552629</v>
      </c>
      <c r="H17" s="8">
        <v>-70.446010963509337</v>
      </c>
      <c r="I17" s="8">
        <v>84.136054253552629</v>
      </c>
    </row>
    <row r="18" spans="1:9" ht="15.75" thickBot="1">
      <c r="A18" s="2" t="s">
        <v>74</v>
      </c>
      <c r="B18" s="2">
        <v>-2.8860028860028869E-3</v>
      </c>
      <c r="C18" s="2">
        <v>1.671267302039383E-2</v>
      </c>
      <c r="D18" s="2">
        <v>-0.17268350086674997</v>
      </c>
      <c r="E18" s="2">
        <v>0.86718907081791763</v>
      </c>
      <c r="F18" s="2">
        <v>-4.1425495949507701E-2</v>
      </c>
      <c r="G18" s="2">
        <v>3.5653490177501926E-2</v>
      </c>
      <c r="H18" s="2">
        <v>-4.1425495949507701E-2</v>
      </c>
      <c r="I18" s="2">
        <v>3.5653490177501926E-2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0.65870634324726829</v>
      </c>
    </row>
    <row r="5" spans="1:9">
      <c r="A5" s="8" t="s">
        <v>53</v>
      </c>
      <c r="B5" s="8">
        <v>0.43389404663418807</v>
      </c>
    </row>
    <row r="6" spans="1:9">
      <c r="A6" s="8" t="s">
        <v>54</v>
      </c>
      <c r="B6" s="8">
        <v>0.36313080246346158</v>
      </c>
    </row>
    <row r="7" spans="1:9">
      <c r="A7" s="8" t="s">
        <v>55</v>
      </c>
      <c r="B7" s="8">
        <v>0.24049681444059323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0.3546456298522413</v>
      </c>
      <c r="D12" s="8">
        <v>0.3546456298522413</v>
      </c>
      <c r="E12" s="8">
        <v>6.1316302229919861</v>
      </c>
      <c r="F12" s="8">
        <v>3.8337316487958961E-2</v>
      </c>
    </row>
    <row r="13" spans="1:9">
      <c r="A13" s="8" t="s">
        <v>59</v>
      </c>
      <c r="B13" s="8">
        <v>8</v>
      </c>
      <c r="C13" s="8">
        <v>0.46270974204858512</v>
      </c>
      <c r="D13" s="8">
        <v>5.7838717756073139E-2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0.81735537190082641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-130.1173553719008</v>
      </c>
      <c r="C17" s="8">
        <v>53.101338179287239</v>
      </c>
      <c r="D17" s="8">
        <v>-2.4503592533314822</v>
      </c>
      <c r="E17" s="8">
        <v>3.9914359832481976E-2</v>
      </c>
      <c r="F17" s="8">
        <v>-252.56926069705139</v>
      </c>
      <c r="G17" s="8">
        <v>-7.6654500467502089</v>
      </c>
      <c r="H17" s="8">
        <v>-252.56926069705139</v>
      </c>
      <c r="I17" s="8">
        <v>-7.6654500467502089</v>
      </c>
    </row>
    <row r="18" spans="1:9" ht="15.75" thickBot="1">
      <c r="A18" s="2" t="s">
        <v>74</v>
      </c>
      <c r="B18" s="2">
        <v>6.556473829201101E-2</v>
      </c>
      <c r="C18" s="2">
        <v>2.6477827832741125E-2</v>
      </c>
      <c r="D18" s="2">
        <v>2.4762128791749682</v>
      </c>
      <c r="E18" s="2">
        <v>3.8337316487958961E-2</v>
      </c>
      <c r="F18" s="2">
        <v>4.5067578689275689E-3</v>
      </c>
      <c r="G18" s="2">
        <v>0.12662271871509445</v>
      </c>
      <c r="H18" s="2">
        <v>4.5067578689275689E-3</v>
      </c>
      <c r="I18" s="2">
        <v>0.12662271871509445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0.84581316783554972</v>
      </c>
    </row>
    <row r="5" spans="1:9">
      <c r="A5" s="8" t="s">
        <v>53</v>
      </c>
      <c r="B5" s="8">
        <v>0.71539991488400778</v>
      </c>
    </row>
    <row r="6" spans="1:9">
      <c r="A6" s="8" t="s">
        <v>54</v>
      </c>
      <c r="B6" s="8">
        <v>0.67982490424450881</v>
      </c>
    </row>
    <row r="7" spans="1:9">
      <c r="A7" s="8" t="s">
        <v>55</v>
      </c>
      <c r="B7" s="8">
        <v>0.23487226989362356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1.1093468013468013</v>
      </c>
      <c r="D12" s="8">
        <v>1.1093468013468013</v>
      </c>
      <c r="E12" s="8">
        <v>20.109619140625004</v>
      </c>
      <c r="F12" s="8">
        <v>2.0439158090356456E-3</v>
      </c>
    </row>
    <row r="13" spans="1:9">
      <c r="A13" s="8" t="s">
        <v>59</v>
      </c>
      <c r="B13" s="8">
        <v>8</v>
      </c>
      <c r="C13" s="8">
        <v>0.44131986531986522</v>
      </c>
      <c r="D13" s="8">
        <v>5.5164983164983153E-2</v>
      </c>
      <c r="E13" s="8"/>
      <c r="F13" s="8"/>
    </row>
    <row r="14" spans="1:9" ht="15.75" thickBot="1">
      <c r="A14" s="2" t="s">
        <v>60</v>
      </c>
      <c r="B14" s="2">
        <v>9</v>
      </c>
      <c r="C14" s="2">
        <v>1.5506666666666664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-230.89696969696971</v>
      </c>
      <c r="C17" s="8">
        <v>51.859447126435555</v>
      </c>
      <c r="D17" s="8">
        <v>-4.4523608038865703</v>
      </c>
      <c r="E17" s="8">
        <v>2.1325973317179456E-3</v>
      </c>
      <c r="F17" s="8">
        <v>-350.48506912113714</v>
      </c>
      <c r="G17" s="8">
        <v>-111.30887027280228</v>
      </c>
      <c r="H17" s="8">
        <v>-350.48506912113714</v>
      </c>
      <c r="I17" s="8">
        <v>-111.30887027280228</v>
      </c>
    </row>
    <row r="18" spans="1:9" ht="15.75" thickBot="1">
      <c r="A18" s="2" t="s">
        <v>74</v>
      </c>
      <c r="B18" s="2">
        <v>0.11595959595959596</v>
      </c>
      <c r="C18" s="2">
        <v>2.5858585858585855E-2</v>
      </c>
      <c r="D18" s="2">
        <v>4.4843750000000009</v>
      </c>
      <c r="E18" s="2">
        <v>2.043915809035643E-3</v>
      </c>
      <c r="F18" s="2">
        <v>5.6329590088426876E-2</v>
      </c>
      <c r="G18" s="2">
        <v>0.17558960183076505</v>
      </c>
      <c r="H18" s="2">
        <v>5.6329590088426876E-2</v>
      </c>
      <c r="I18" s="2">
        <v>0.17558960183076505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B18" sqref="B18"/>
    </sheetView>
  </sheetViews>
  <sheetFormatPr defaultRowHeight="15"/>
  <sheetData>
    <row r="1" spans="1:9">
      <c r="A1" t="s">
        <v>50</v>
      </c>
    </row>
    <row r="2" spans="1:9" ht="15.75" thickBot="1"/>
    <row r="3" spans="1:9">
      <c r="A3" s="10" t="s">
        <v>51</v>
      </c>
      <c r="B3" s="10"/>
    </row>
    <row r="4" spans="1:9">
      <c r="A4" s="8" t="s">
        <v>52</v>
      </c>
      <c r="B4" s="8">
        <v>8.3863469589856132E-2</v>
      </c>
    </row>
    <row r="5" spans="1:9">
      <c r="A5" s="8" t="s">
        <v>53</v>
      </c>
      <c r="B5" s="8">
        <v>7.0330815316487242E-3</v>
      </c>
    </row>
    <row r="6" spans="1:9">
      <c r="A6" s="8" t="s">
        <v>54</v>
      </c>
      <c r="B6" s="8">
        <v>-0.11708778327689519</v>
      </c>
    </row>
    <row r="7" spans="1:9">
      <c r="A7" s="8" t="s">
        <v>55</v>
      </c>
      <c r="B7" s="8">
        <v>0.2973288628609187</v>
      </c>
    </row>
    <row r="8" spans="1:9" ht="15.75" thickBot="1">
      <c r="A8" s="2" t="s">
        <v>56</v>
      </c>
      <c r="B8" s="2">
        <v>10</v>
      </c>
    </row>
    <row r="10" spans="1:9" ht="15.75" thickBot="1">
      <c r="A10" t="s">
        <v>57</v>
      </c>
    </row>
    <row r="11" spans="1:9">
      <c r="A11" s="9"/>
      <c r="B11" s="9" t="s">
        <v>62</v>
      </c>
      <c r="C11" s="9" t="s">
        <v>63</v>
      </c>
      <c r="D11" s="9" t="s">
        <v>64</v>
      </c>
      <c r="E11" s="9" t="s">
        <v>65</v>
      </c>
      <c r="F11" s="9" t="s">
        <v>66</v>
      </c>
    </row>
    <row r="12" spans="1:9">
      <c r="A12" s="8" t="s">
        <v>58</v>
      </c>
      <c r="B12" s="8">
        <v>1</v>
      </c>
      <c r="C12" s="8">
        <v>5.009276437847765E-3</v>
      </c>
      <c r="D12" s="8">
        <v>5.009276437847765E-3</v>
      </c>
      <c r="E12" s="8">
        <v>5.6663168940187719E-2</v>
      </c>
      <c r="F12" s="8">
        <v>0.81783345306425081</v>
      </c>
    </row>
    <row r="13" spans="1:9">
      <c r="A13" s="8" t="s">
        <v>59</v>
      </c>
      <c r="B13" s="8">
        <v>8</v>
      </c>
      <c r="C13" s="8">
        <v>0.7072356215213359</v>
      </c>
      <c r="D13" s="8">
        <v>8.8404452690166987E-2</v>
      </c>
      <c r="E13" s="8"/>
      <c r="F13" s="8"/>
    </row>
    <row r="14" spans="1:9" ht="15.75" thickBot="1">
      <c r="A14" s="2" t="s">
        <v>60</v>
      </c>
      <c r="B14" s="2">
        <v>9</v>
      </c>
      <c r="C14" s="2">
        <v>0.71224489795918366</v>
      </c>
      <c r="D14" s="2"/>
      <c r="E14" s="2"/>
      <c r="F14" s="2"/>
    </row>
    <row r="15" spans="1:9" ht="15.75" thickBot="1"/>
    <row r="16" spans="1:9">
      <c r="A16" s="9"/>
      <c r="B16" s="9" t="s">
        <v>67</v>
      </c>
      <c r="C16" s="9" t="s">
        <v>55</v>
      </c>
      <c r="D16" s="9" t="s">
        <v>68</v>
      </c>
      <c r="E16" s="9" t="s">
        <v>69</v>
      </c>
      <c r="F16" s="9" t="s">
        <v>70</v>
      </c>
      <c r="G16" s="9" t="s">
        <v>71</v>
      </c>
      <c r="H16" s="9" t="s">
        <v>72</v>
      </c>
      <c r="I16" s="9" t="s">
        <v>73</v>
      </c>
    </row>
    <row r="17" spans="1:9">
      <c r="A17" s="8" t="s">
        <v>61</v>
      </c>
      <c r="B17" s="8">
        <v>-14.355844155844146</v>
      </c>
      <c r="C17" s="8">
        <v>65.649769764998695</v>
      </c>
      <c r="D17" s="8">
        <v>-0.21867318358057658</v>
      </c>
      <c r="E17" s="8">
        <v>0.83238009072325814</v>
      </c>
      <c r="F17" s="8">
        <v>-165.74448458406656</v>
      </c>
      <c r="G17" s="8">
        <v>137.03279627237825</v>
      </c>
      <c r="H17" s="8">
        <v>-165.74448458406656</v>
      </c>
      <c r="I17" s="8">
        <v>137.03279627237825</v>
      </c>
    </row>
    <row r="18" spans="1:9" ht="15.75" thickBot="1">
      <c r="A18" s="2" t="s">
        <v>74</v>
      </c>
      <c r="B18" s="2">
        <v>7.7922077922077879E-3</v>
      </c>
      <c r="C18" s="2">
        <v>3.2734830433609641E-2</v>
      </c>
      <c r="D18" s="2">
        <v>0.23804026747630072</v>
      </c>
      <c r="E18" s="2">
        <v>0.81783345306425081</v>
      </c>
      <c r="F18" s="2">
        <v>-6.7694446490541765E-2</v>
      </c>
      <c r="G18" s="2">
        <v>8.3278862074957355E-2</v>
      </c>
      <c r="H18" s="2">
        <v>-6.7694446490541765E-2</v>
      </c>
      <c r="I18" s="2">
        <v>8.3278862074957355E-2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B2:AT23"/>
  <sheetViews>
    <sheetView workbookViewId="0">
      <selection activeCell="C2" sqref="C2:AT2"/>
    </sheetView>
  </sheetViews>
  <sheetFormatPr defaultRowHeight="15"/>
  <cols>
    <col min="1" max="1" width="9.140625" style="4"/>
    <col min="2" max="2" width="5" style="4" bestFit="1" customWidth="1"/>
    <col min="3" max="3" width="12.28515625" style="4" bestFit="1" customWidth="1"/>
    <col min="4" max="4" width="11.7109375" style="4" bestFit="1" customWidth="1"/>
    <col min="5" max="5" width="9.7109375" style="4" bestFit="1" customWidth="1"/>
    <col min="6" max="6" width="8.7109375" style="4" bestFit="1" customWidth="1"/>
    <col min="7" max="7" width="7.140625" style="4" bestFit="1" customWidth="1"/>
    <col min="8" max="8" width="10.85546875" style="4" bestFit="1" customWidth="1"/>
    <col min="9" max="9" width="7.5703125" style="4" bestFit="1" customWidth="1"/>
    <col min="10" max="10" width="11.28515625" style="4" bestFit="1" customWidth="1"/>
    <col min="11" max="11" width="7.85546875" style="4" bestFit="1" customWidth="1"/>
    <col min="12" max="12" width="10.42578125" style="4" bestFit="1" customWidth="1"/>
    <col min="13" max="13" width="9" style="4" bestFit="1" customWidth="1"/>
    <col min="14" max="14" width="7.140625" style="4" bestFit="1" customWidth="1"/>
    <col min="15" max="15" width="8" style="4" bestFit="1" customWidth="1"/>
    <col min="16" max="17" width="7.140625" style="4" bestFit="1" customWidth="1"/>
    <col min="18" max="18" width="10.5703125" style="4" bestFit="1" customWidth="1"/>
    <col min="19" max="19" width="9.42578125" style="4" bestFit="1" customWidth="1"/>
    <col min="20" max="21" width="9" style="4" bestFit="1" customWidth="1"/>
    <col min="22" max="22" width="8.5703125" style="4" bestFit="1" customWidth="1"/>
    <col min="23" max="23" width="7.28515625" style="4" bestFit="1" customWidth="1"/>
    <col min="24" max="24" width="9.28515625" style="4" bestFit="1" customWidth="1"/>
    <col min="25" max="25" width="7.5703125" style="4" bestFit="1" customWidth="1"/>
    <col min="26" max="26" width="11.42578125" style="4" bestFit="1" customWidth="1"/>
    <col min="27" max="27" width="10.28515625" style="4" bestFit="1" customWidth="1"/>
    <col min="28" max="28" width="8.42578125" style="4" bestFit="1" customWidth="1"/>
    <col min="29" max="29" width="7.140625" style="4" bestFit="1" customWidth="1"/>
    <col min="30" max="30" width="13.42578125" style="4" bestFit="1" customWidth="1"/>
    <col min="31" max="31" width="11.42578125" style="4" bestFit="1" customWidth="1"/>
    <col min="32" max="32" width="13.7109375" style="4" bestFit="1" customWidth="1"/>
    <col min="33" max="33" width="9.85546875" style="4" bestFit="1" customWidth="1"/>
    <col min="34" max="34" width="9.7109375" style="4" bestFit="1" customWidth="1"/>
    <col min="35" max="35" width="17.7109375" style="4" bestFit="1" customWidth="1"/>
    <col min="36" max="36" width="9" style="4" bestFit="1" customWidth="1"/>
    <col min="37" max="37" width="9.140625" style="4"/>
    <col min="38" max="38" width="12.28515625" style="4" bestFit="1" customWidth="1"/>
    <col min="39" max="39" width="10.42578125" style="4" bestFit="1" customWidth="1"/>
    <col min="40" max="40" width="23.7109375" style="4" bestFit="1" customWidth="1"/>
    <col min="41" max="41" width="7.140625" style="4" bestFit="1" customWidth="1"/>
    <col min="42" max="42" width="10.140625" style="4" bestFit="1" customWidth="1"/>
    <col min="43" max="43" width="11.140625" style="4" bestFit="1" customWidth="1"/>
    <col min="44" max="44" width="10.140625" style="4" bestFit="1" customWidth="1"/>
    <col min="45" max="45" width="7.140625" style="4" bestFit="1" customWidth="1"/>
    <col min="46" max="46" width="7.28515625" style="4" bestFit="1" customWidth="1"/>
    <col min="47" max="16384" width="9.140625" style="4"/>
  </cols>
  <sheetData>
    <row r="2" spans="2:46">
      <c r="B2" s="4" t="s">
        <v>49</v>
      </c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39</v>
      </c>
      <c r="AQ2" s="4" t="s">
        <v>40</v>
      </c>
      <c r="AR2" s="4" t="s">
        <v>41</v>
      </c>
      <c r="AS2" s="4" t="s">
        <v>42</v>
      </c>
      <c r="AT2" s="4" t="s">
        <v>43</v>
      </c>
    </row>
    <row r="3" spans="2:46">
      <c r="B3" s="4">
        <v>2001</v>
      </c>
      <c r="C3" s="4">
        <v>180</v>
      </c>
      <c r="D3" s="4">
        <v>160</v>
      </c>
      <c r="E3" s="4">
        <v>150</v>
      </c>
      <c r="F3" s="4">
        <v>90</v>
      </c>
      <c r="G3" s="4">
        <v>150</v>
      </c>
      <c r="H3" s="4">
        <v>220</v>
      </c>
      <c r="I3" s="4">
        <v>70</v>
      </c>
      <c r="J3" s="4">
        <v>470</v>
      </c>
      <c r="K3" s="4">
        <v>190</v>
      </c>
      <c r="L3" s="4">
        <v>200</v>
      </c>
      <c r="M3" s="4">
        <v>120</v>
      </c>
      <c r="N3" s="4">
        <v>130</v>
      </c>
      <c r="O3" s="4">
        <v>140</v>
      </c>
      <c r="P3" s="4">
        <v>130</v>
      </c>
      <c r="Q3" s="4">
        <v>180</v>
      </c>
      <c r="R3" s="4">
        <v>170</v>
      </c>
      <c r="S3" s="4">
        <v>180</v>
      </c>
      <c r="T3" s="4">
        <v>60</v>
      </c>
      <c r="U3" s="4">
        <v>120</v>
      </c>
      <c r="V3" s="4">
        <v>290</v>
      </c>
      <c r="W3" s="4">
        <v>200</v>
      </c>
      <c r="X3" s="4">
        <v>200</v>
      </c>
      <c r="Y3" s="4">
        <v>630</v>
      </c>
      <c r="Z3" s="4">
        <v>200</v>
      </c>
      <c r="AA3" s="4">
        <v>110</v>
      </c>
      <c r="AB3" s="4">
        <v>160</v>
      </c>
      <c r="AC3" s="4">
        <v>290</v>
      </c>
      <c r="AD3" s="4">
        <v>170</v>
      </c>
      <c r="AE3" s="4">
        <v>110</v>
      </c>
      <c r="AF3" s="4">
        <v>100</v>
      </c>
      <c r="AG3" s="4">
        <v>240</v>
      </c>
      <c r="AH3" s="4">
        <v>290</v>
      </c>
      <c r="AI3" s="4">
        <v>130</v>
      </c>
      <c r="AJ3" s="4">
        <v>160</v>
      </c>
      <c r="AK3" s="4">
        <v>200</v>
      </c>
      <c r="AL3" s="4">
        <v>20</v>
      </c>
      <c r="AM3" s="4">
        <v>430</v>
      </c>
      <c r="AN3" s="4">
        <v>200</v>
      </c>
      <c r="AO3" s="4">
        <v>80</v>
      </c>
      <c r="AP3" s="4">
        <v>230</v>
      </c>
      <c r="AQ3" s="4">
        <v>210</v>
      </c>
      <c r="AR3" s="4">
        <v>110</v>
      </c>
      <c r="AS3" s="4">
        <v>150</v>
      </c>
      <c r="AT3" s="4">
        <v>70</v>
      </c>
    </row>
    <row r="4" spans="2:46">
      <c r="B4" s="4">
        <v>2002</v>
      </c>
      <c r="C4" s="4">
        <v>210</v>
      </c>
      <c r="D4" s="4">
        <v>180</v>
      </c>
      <c r="E4" s="4">
        <v>180</v>
      </c>
      <c r="F4" s="4">
        <v>70</v>
      </c>
      <c r="G4" s="4">
        <v>100</v>
      </c>
      <c r="H4" s="4">
        <v>200</v>
      </c>
      <c r="I4" s="4">
        <v>70</v>
      </c>
      <c r="J4" s="4">
        <v>510</v>
      </c>
      <c r="K4" s="4">
        <v>220</v>
      </c>
      <c r="L4" s="4">
        <v>270</v>
      </c>
      <c r="M4" s="4">
        <v>110</v>
      </c>
      <c r="N4" s="4">
        <v>180</v>
      </c>
      <c r="O4" s="4">
        <v>120</v>
      </c>
      <c r="P4" s="4">
        <v>120</v>
      </c>
      <c r="Q4" s="4">
        <v>170</v>
      </c>
      <c r="R4" s="4">
        <v>160</v>
      </c>
      <c r="S4" s="4">
        <v>190</v>
      </c>
      <c r="T4" s="4">
        <v>80</v>
      </c>
      <c r="U4" s="4">
        <v>130</v>
      </c>
      <c r="V4" s="4">
        <v>310</v>
      </c>
      <c r="W4" s="4">
        <v>190</v>
      </c>
      <c r="X4" s="4">
        <v>170</v>
      </c>
      <c r="Y4" s="4">
        <v>660</v>
      </c>
      <c r="Z4" s="4">
        <v>240</v>
      </c>
      <c r="AA4" s="4">
        <v>130</v>
      </c>
      <c r="AB4" s="4">
        <v>130</v>
      </c>
      <c r="AC4" s="4">
        <v>360</v>
      </c>
      <c r="AD4" s="4">
        <v>160</v>
      </c>
      <c r="AE4" s="4">
        <v>130</v>
      </c>
      <c r="AF4" s="4">
        <v>110</v>
      </c>
      <c r="AG4" s="4">
        <v>260</v>
      </c>
      <c r="AH4" s="4">
        <v>310</v>
      </c>
      <c r="AI4" s="4">
        <v>150</v>
      </c>
      <c r="AJ4" s="4">
        <v>180</v>
      </c>
      <c r="AK4" s="4">
        <v>160</v>
      </c>
      <c r="AL4" s="4">
        <v>10</v>
      </c>
      <c r="AM4" s="4">
        <v>390</v>
      </c>
      <c r="AN4" s="4">
        <v>210</v>
      </c>
      <c r="AO4" s="4">
        <v>90</v>
      </c>
      <c r="AP4" s="4">
        <v>170</v>
      </c>
      <c r="AQ4" s="4">
        <v>200</v>
      </c>
      <c r="AR4" s="4">
        <v>140</v>
      </c>
      <c r="AS4" s="4">
        <v>200</v>
      </c>
      <c r="AT4" s="4">
        <v>90</v>
      </c>
    </row>
    <row r="5" spans="2:46">
      <c r="B5" s="4">
        <v>2003</v>
      </c>
      <c r="C5" s="4">
        <v>170</v>
      </c>
      <c r="D5" s="4">
        <v>190</v>
      </c>
      <c r="E5" s="4">
        <v>150</v>
      </c>
      <c r="F5" s="4">
        <v>70</v>
      </c>
      <c r="G5" s="4">
        <v>120</v>
      </c>
      <c r="H5" s="4">
        <v>190</v>
      </c>
      <c r="I5" s="4">
        <v>110</v>
      </c>
      <c r="J5" s="4">
        <v>480</v>
      </c>
      <c r="K5" s="4">
        <v>190</v>
      </c>
      <c r="L5" s="4">
        <v>180</v>
      </c>
      <c r="M5" s="4">
        <v>80</v>
      </c>
      <c r="N5" s="4">
        <v>130</v>
      </c>
      <c r="O5" s="4">
        <v>150</v>
      </c>
      <c r="P5" s="4">
        <v>160</v>
      </c>
      <c r="Q5" s="4">
        <v>200</v>
      </c>
      <c r="R5" s="4">
        <v>170</v>
      </c>
      <c r="S5" s="4">
        <v>180</v>
      </c>
      <c r="T5" s="4">
        <v>70</v>
      </c>
      <c r="U5" s="4">
        <v>110</v>
      </c>
      <c r="V5" s="4">
        <v>380</v>
      </c>
      <c r="W5" s="4">
        <v>160</v>
      </c>
      <c r="X5" s="4">
        <v>190</v>
      </c>
      <c r="Y5" s="4">
        <v>660</v>
      </c>
      <c r="Z5" s="4">
        <v>300</v>
      </c>
      <c r="AA5" s="4">
        <v>120</v>
      </c>
      <c r="AB5" s="4">
        <v>150</v>
      </c>
      <c r="AC5" s="4">
        <v>330</v>
      </c>
      <c r="AD5" s="4">
        <v>200</v>
      </c>
      <c r="AE5" s="4">
        <v>110</v>
      </c>
      <c r="AF5" s="4">
        <v>90</v>
      </c>
      <c r="AG5" s="4">
        <v>250</v>
      </c>
      <c r="AH5" s="4">
        <v>300</v>
      </c>
      <c r="AI5" s="4">
        <v>100</v>
      </c>
      <c r="AJ5" s="4">
        <v>260</v>
      </c>
      <c r="AK5" s="4">
        <v>190</v>
      </c>
      <c r="AL5" s="4">
        <v>10</v>
      </c>
      <c r="AM5" s="4">
        <v>370</v>
      </c>
      <c r="AN5" s="4">
        <v>180</v>
      </c>
      <c r="AO5" s="4">
        <v>80</v>
      </c>
      <c r="AP5" s="4">
        <v>190</v>
      </c>
      <c r="AQ5" s="4">
        <v>210</v>
      </c>
      <c r="AR5" s="4">
        <v>130</v>
      </c>
      <c r="AS5" s="4">
        <v>170</v>
      </c>
      <c r="AT5" s="4">
        <v>70</v>
      </c>
    </row>
    <row r="6" spans="2:46">
      <c r="B6" s="4">
        <v>2004</v>
      </c>
      <c r="C6" s="4">
        <v>160</v>
      </c>
      <c r="D6" s="4">
        <v>290</v>
      </c>
      <c r="E6" s="4">
        <v>150</v>
      </c>
      <c r="F6" s="4">
        <v>90</v>
      </c>
      <c r="G6" s="4">
        <v>160</v>
      </c>
      <c r="H6" s="4">
        <v>230</v>
      </c>
      <c r="I6" s="4">
        <v>80</v>
      </c>
      <c r="J6" s="4">
        <v>530</v>
      </c>
      <c r="K6" s="4">
        <v>210</v>
      </c>
      <c r="L6" s="4">
        <v>240</v>
      </c>
      <c r="M6" s="4">
        <v>120</v>
      </c>
      <c r="N6" s="4">
        <v>100</v>
      </c>
      <c r="O6" s="4">
        <v>140</v>
      </c>
      <c r="P6" s="4">
        <v>150</v>
      </c>
      <c r="Q6" s="4">
        <v>230</v>
      </c>
      <c r="R6" s="4">
        <v>150</v>
      </c>
      <c r="S6" s="4">
        <v>200</v>
      </c>
      <c r="T6" s="4">
        <v>60</v>
      </c>
      <c r="U6" s="4">
        <v>120</v>
      </c>
      <c r="V6" s="4">
        <v>360</v>
      </c>
      <c r="W6" s="4">
        <v>180</v>
      </c>
      <c r="X6" s="4">
        <v>180</v>
      </c>
      <c r="Y6" s="4">
        <v>650</v>
      </c>
      <c r="Z6" s="4">
        <v>280</v>
      </c>
      <c r="AA6" s="4">
        <v>140</v>
      </c>
      <c r="AB6" s="4">
        <v>160</v>
      </c>
      <c r="AC6" s="4">
        <v>420</v>
      </c>
      <c r="AD6" s="4">
        <v>190</v>
      </c>
      <c r="AE6" s="4">
        <v>120</v>
      </c>
      <c r="AF6" s="4">
        <v>90</v>
      </c>
      <c r="AG6" s="4">
        <v>270</v>
      </c>
      <c r="AH6" s="4">
        <v>300</v>
      </c>
      <c r="AI6" s="4">
        <v>100</v>
      </c>
      <c r="AJ6" s="4">
        <v>170</v>
      </c>
      <c r="AK6" s="4">
        <v>180</v>
      </c>
      <c r="AL6" s="4">
        <v>10</v>
      </c>
      <c r="AM6" s="4">
        <v>400</v>
      </c>
      <c r="AN6" s="4">
        <v>200</v>
      </c>
      <c r="AO6" s="4">
        <v>70</v>
      </c>
      <c r="AP6" s="4">
        <v>180</v>
      </c>
      <c r="AQ6" s="4">
        <v>270</v>
      </c>
      <c r="AR6" s="4">
        <v>120</v>
      </c>
      <c r="AS6" s="4">
        <v>230</v>
      </c>
      <c r="AT6" s="4">
        <v>90</v>
      </c>
    </row>
    <row r="7" spans="2:46">
      <c r="B7" s="4">
        <v>2005</v>
      </c>
      <c r="C7" s="4">
        <v>210</v>
      </c>
      <c r="D7" s="4">
        <v>260</v>
      </c>
      <c r="E7" s="4">
        <v>190</v>
      </c>
      <c r="F7" s="4">
        <v>90</v>
      </c>
      <c r="G7" s="4">
        <v>140</v>
      </c>
      <c r="H7" s="4">
        <v>180</v>
      </c>
      <c r="I7" s="4">
        <v>80</v>
      </c>
      <c r="J7" s="4">
        <v>520</v>
      </c>
      <c r="K7" s="4">
        <v>220</v>
      </c>
      <c r="L7" s="4">
        <v>210</v>
      </c>
      <c r="M7" s="4">
        <v>110</v>
      </c>
      <c r="N7" s="4">
        <v>140</v>
      </c>
      <c r="O7" s="4">
        <v>150</v>
      </c>
      <c r="P7" s="4">
        <v>140</v>
      </c>
      <c r="Q7" s="4">
        <v>220</v>
      </c>
      <c r="R7" s="4">
        <v>230</v>
      </c>
      <c r="S7" s="4">
        <v>200</v>
      </c>
      <c r="T7" s="4">
        <v>90</v>
      </c>
      <c r="U7" s="4">
        <v>210</v>
      </c>
      <c r="V7" s="4">
        <v>370</v>
      </c>
      <c r="W7" s="4">
        <v>190</v>
      </c>
      <c r="X7" s="4">
        <v>200</v>
      </c>
      <c r="Y7" s="4">
        <v>670</v>
      </c>
      <c r="Z7" s="4">
        <v>300</v>
      </c>
      <c r="AA7" s="4">
        <v>100</v>
      </c>
      <c r="AB7" s="4">
        <v>150</v>
      </c>
      <c r="AC7" s="4">
        <v>400</v>
      </c>
      <c r="AD7" s="4">
        <v>150</v>
      </c>
      <c r="AE7" s="4">
        <v>120</v>
      </c>
      <c r="AF7" s="4">
        <v>100</v>
      </c>
      <c r="AG7" s="4">
        <v>270</v>
      </c>
      <c r="AH7" s="4">
        <v>320</v>
      </c>
      <c r="AI7" s="4">
        <v>110</v>
      </c>
      <c r="AJ7" s="4">
        <v>210</v>
      </c>
      <c r="AK7" s="4">
        <v>220</v>
      </c>
      <c r="AL7" s="4">
        <v>10</v>
      </c>
      <c r="AM7" s="4">
        <v>430</v>
      </c>
      <c r="AN7" s="4">
        <v>190</v>
      </c>
      <c r="AO7" s="4">
        <v>100</v>
      </c>
      <c r="AP7" s="4">
        <v>170</v>
      </c>
      <c r="AQ7" s="4">
        <v>210</v>
      </c>
      <c r="AR7" s="4">
        <v>160</v>
      </c>
      <c r="AS7" s="4">
        <v>250</v>
      </c>
      <c r="AT7" s="4">
        <v>140</v>
      </c>
    </row>
    <row r="8" spans="2:46">
      <c r="B8" s="4">
        <v>2006</v>
      </c>
      <c r="C8" s="4">
        <v>170</v>
      </c>
      <c r="D8" s="4">
        <v>190</v>
      </c>
      <c r="E8" s="4">
        <v>160</v>
      </c>
      <c r="F8" s="4">
        <v>70</v>
      </c>
      <c r="G8" s="4">
        <v>120</v>
      </c>
      <c r="H8" s="4">
        <v>230</v>
      </c>
      <c r="I8" s="4">
        <v>70</v>
      </c>
      <c r="J8" s="4">
        <v>540</v>
      </c>
      <c r="K8" s="4">
        <v>190</v>
      </c>
      <c r="L8" s="4">
        <v>260</v>
      </c>
      <c r="M8" s="4">
        <v>200</v>
      </c>
      <c r="N8" s="4">
        <v>130</v>
      </c>
      <c r="O8" s="4">
        <v>170</v>
      </c>
      <c r="P8" s="4">
        <v>140</v>
      </c>
      <c r="Q8" s="4">
        <v>220</v>
      </c>
      <c r="R8" s="4">
        <v>220</v>
      </c>
      <c r="S8" s="4">
        <v>180</v>
      </c>
      <c r="T8" s="4">
        <v>80</v>
      </c>
      <c r="U8" s="4">
        <v>180</v>
      </c>
      <c r="V8" s="4">
        <v>410</v>
      </c>
      <c r="W8" s="4">
        <v>180</v>
      </c>
      <c r="X8" s="4">
        <v>220</v>
      </c>
      <c r="Y8" s="4">
        <v>710</v>
      </c>
      <c r="Z8" s="4">
        <v>290</v>
      </c>
      <c r="AA8" s="4">
        <v>100</v>
      </c>
      <c r="AB8" s="4">
        <v>130</v>
      </c>
      <c r="AC8" s="4">
        <v>430</v>
      </c>
      <c r="AD8" s="4">
        <v>160</v>
      </c>
      <c r="AE8" s="4">
        <v>130</v>
      </c>
      <c r="AF8" s="4">
        <v>120</v>
      </c>
      <c r="AG8" s="4">
        <v>250</v>
      </c>
      <c r="AH8" s="4">
        <v>340</v>
      </c>
      <c r="AI8" s="4">
        <v>150</v>
      </c>
      <c r="AJ8" s="4">
        <v>170</v>
      </c>
      <c r="AK8" s="4">
        <v>270</v>
      </c>
      <c r="AL8" s="4">
        <v>10</v>
      </c>
      <c r="AM8" s="4">
        <v>430</v>
      </c>
      <c r="AN8" s="4">
        <v>220</v>
      </c>
      <c r="AO8" s="4">
        <v>80</v>
      </c>
      <c r="AP8" s="4">
        <v>220</v>
      </c>
      <c r="AQ8" s="4">
        <v>240</v>
      </c>
      <c r="AR8" s="4">
        <v>160</v>
      </c>
      <c r="AS8" s="4">
        <v>290</v>
      </c>
      <c r="AT8" s="4">
        <v>90</v>
      </c>
    </row>
    <row r="9" spans="2:46">
      <c r="B9" s="4">
        <v>2007</v>
      </c>
      <c r="C9" s="4">
        <v>230</v>
      </c>
      <c r="D9" s="4">
        <v>290</v>
      </c>
      <c r="E9" s="4">
        <v>230</v>
      </c>
      <c r="F9" s="4">
        <v>60</v>
      </c>
      <c r="G9" s="4">
        <v>120</v>
      </c>
      <c r="H9" s="4">
        <v>240</v>
      </c>
      <c r="I9" s="4">
        <v>110</v>
      </c>
      <c r="J9" s="4">
        <v>540</v>
      </c>
      <c r="K9" s="4">
        <v>230</v>
      </c>
      <c r="L9" s="4">
        <v>330</v>
      </c>
      <c r="M9" s="4">
        <v>190</v>
      </c>
      <c r="N9" s="4">
        <v>150</v>
      </c>
      <c r="O9" s="4">
        <v>220</v>
      </c>
      <c r="P9" s="4">
        <v>150</v>
      </c>
      <c r="Q9" s="4">
        <v>250</v>
      </c>
      <c r="R9" s="4">
        <v>170</v>
      </c>
      <c r="S9" s="4">
        <v>220</v>
      </c>
      <c r="T9" s="4">
        <v>90</v>
      </c>
      <c r="U9" s="4">
        <v>110</v>
      </c>
      <c r="V9" s="4">
        <v>430</v>
      </c>
      <c r="W9" s="4">
        <v>250</v>
      </c>
      <c r="X9" s="4">
        <v>210</v>
      </c>
      <c r="Y9" s="4">
        <v>710</v>
      </c>
      <c r="Z9" s="4">
        <v>540</v>
      </c>
      <c r="AA9" s="4">
        <v>140</v>
      </c>
      <c r="AB9" s="4">
        <v>150</v>
      </c>
      <c r="AC9" s="4">
        <v>440</v>
      </c>
      <c r="AD9" s="4">
        <v>150</v>
      </c>
      <c r="AE9" s="4">
        <v>130</v>
      </c>
      <c r="AF9" s="4">
        <v>120</v>
      </c>
      <c r="AG9" s="4">
        <v>290</v>
      </c>
      <c r="AH9" s="4">
        <v>350</v>
      </c>
      <c r="AI9" s="4">
        <v>130</v>
      </c>
      <c r="AJ9" s="4">
        <v>210</v>
      </c>
      <c r="AK9" s="4">
        <v>220</v>
      </c>
      <c r="AL9" s="4">
        <v>10</v>
      </c>
      <c r="AM9" s="4">
        <v>410</v>
      </c>
      <c r="AN9" s="4">
        <v>240</v>
      </c>
      <c r="AO9" s="4">
        <v>90</v>
      </c>
      <c r="AP9" s="4">
        <v>270</v>
      </c>
      <c r="AQ9" s="4">
        <v>270</v>
      </c>
      <c r="AR9" s="4">
        <v>140</v>
      </c>
      <c r="AS9" s="4">
        <v>280</v>
      </c>
      <c r="AT9" s="4">
        <v>90</v>
      </c>
    </row>
    <row r="10" spans="2:46">
      <c r="B10" s="4">
        <v>2008</v>
      </c>
      <c r="C10" s="4">
        <v>210</v>
      </c>
      <c r="D10" s="4">
        <v>230</v>
      </c>
      <c r="E10" s="4">
        <v>260</v>
      </c>
      <c r="F10" s="4">
        <v>90</v>
      </c>
      <c r="G10" s="4">
        <v>220</v>
      </c>
      <c r="H10" s="4">
        <v>230</v>
      </c>
      <c r="I10" s="4">
        <v>100</v>
      </c>
      <c r="J10" s="4">
        <v>540</v>
      </c>
      <c r="K10" s="4">
        <v>310</v>
      </c>
      <c r="L10" s="4">
        <v>310</v>
      </c>
      <c r="M10" s="4">
        <v>120</v>
      </c>
      <c r="N10" s="4">
        <v>190</v>
      </c>
      <c r="O10" s="4">
        <v>210</v>
      </c>
      <c r="P10" s="4">
        <v>160</v>
      </c>
      <c r="Q10" s="4">
        <v>220</v>
      </c>
      <c r="R10" s="4">
        <v>200</v>
      </c>
      <c r="S10" s="4">
        <v>200</v>
      </c>
      <c r="T10" s="4">
        <v>60</v>
      </c>
      <c r="U10" s="4">
        <v>160</v>
      </c>
      <c r="V10" s="4">
        <v>410</v>
      </c>
      <c r="W10" s="4">
        <v>240</v>
      </c>
      <c r="X10" s="4">
        <v>240</v>
      </c>
      <c r="Y10" s="4">
        <v>660</v>
      </c>
      <c r="Z10" s="4">
        <v>410</v>
      </c>
      <c r="AA10" s="4">
        <v>90</v>
      </c>
      <c r="AB10" s="4">
        <v>190</v>
      </c>
      <c r="AC10" s="4">
        <v>430</v>
      </c>
      <c r="AD10" s="4">
        <v>220</v>
      </c>
      <c r="AE10" s="4">
        <v>140</v>
      </c>
      <c r="AF10" s="4">
        <v>130</v>
      </c>
      <c r="AG10" s="4">
        <v>280</v>
      </c>
      <c r="AH10" s="4">
        <v>350</v>
      </c>
      <c r="AI10" s="4">
        <v>160</v>
      </c>
      <c r="AJ10" s="4">
        <v>230</v>
      </c>
      <c r="AK10" s="4">
        <v>310</v>
      </c>
      <c r="AL10" s="4">
        <v>20</v>
      </c>
      <c r="AM10" s="4">
        <v>440</v>
      </c>
      <c r="AN10" s="4">
        <v>230</v>
      </c>
      <c r="AO10" s="4">
        <v>100</v>
      </c>
      <c r="AP10" s="4">
        <v>240</v>
      </c>
      <c r="AQ10" s="4">
        <v>230</v>
      </c>
      <c r="AR10" s="4">
        <v>190</v>
      </c>
      <c r="AS10" s="4">
        <v>340</v>
      </c>
      <c r="AT10" s="4">
        <v>80</v>
      </c>
    </row>
    <row r="11" spans="2:46">
      <c r="B11" s="4">
        <v>2009</v>
      </c>
      <c r="C11" s="4">
        <v>290</v>
      </c>
      <c r="D11" s="4">
        <v>210</v>
      </c>
      <c r="E11" s="4">
        <v>280</v>
      </c>
      <c r="F11" s="4">
        <v>100</v>
      </c>
      <c r="G11" s="4">
        <v>150</v>
      </c>
      <c r="H11" s="4">
        <v>220</v>
      </c>
      <c r="I11" s="4">
        <v>70</v>
      </c>
      <c r="J11" s="4">
        <v>660</v>
      </c>
      <c r="K11" s="4">
        <v>280</v>
      </c>
      <c r="L11" s="4">
        <v>340</v>
      </c>
      <c r="M11" s="4">
        <v>130</v>
      </c>
      <c r="N11" s="4">
        <v>220</v>
      </c>
      <c r="O11" s="4">
        <v>310</v>
      </c>
      <c r="P11" s="4">
        <v>180</v>
      </c>
      <c r="Q11" s="4">
        <v>260</v>
      </c>
      <c r="R11" s="4">
        <v>250</v>
      </c>
      <c r="S11" s="4">
        <v>200</v>
      </c>
      <c r="T11" s="4">
        <v>80</v>
      </c>
      <c r="U11" s="4">
        <v>210</v>
      </c>
      <c r="V11" s="4">
        <v>470</v>
      </c>
      <c r="W11" s="4">
        <v>250</v>
      </c>
      <c r="X11" s="4">
        <v>270</v>
      </c>
      <c r="Y11" s="4">
        <v>670</v>
      </c>
      <c r="Z11" s="4">
        <v>400</v>
      </c>
      <c r="AA11" s="4">
        <v>110</v>
      </c>
      <c r="AB11" s="4">
        <v>190</v>
      </c>
      <c r="AC11" s="4">
        <v>410</v>
      </c>
      <c r="AD11" s="4">
        <v>160</v>
      </c>
      <c r="AE11" s="4">
        <v>190</v>
      </c>
      <c r="AF11" s="4">
        <v>130</v>
      </c>
      <c r="AG11" s="4">
        <v>300</v>
      </c>
      <c r="AH11" s="4">
        <v>340</v>
      </c>
      <c r="AI11" s="4">
        <v>230</v>
      </c>
      <c r="AJ11" s="4">
        <v>220</v>
      </c>
      <c r="AK11" s="4">
        <v>370</v>
      </c>
      <c r="AL11" s="4">
        <v>10</v>
      </c>
      <c r="AM11" s="4">
        <v>410</v>
      </c>
      <c r="AN11" s="4">
        <v>270</v>
      </c>
      <c r="AO11" s="4">
        <v>100</v>
      </c>
      <c r="AP11" s="4">
        <v>280</v>
      </c>
      <c r="AQ11" s="4">
        <v>180</v>
      </c>
      <c r="AR11" s="4">
        <v>220</v>
      </c>
      <c r="AS11" s="4">
        <v>320</v>
      </c>
      <c r="AT11" s="4">
        <v>90</v>
      </c>
    </row>
    <row r="12" spans="2:46">
      <c r="B12" s="4">
        <v>2010</v>
      </c>
      <c r="C12" s="4">
        <v>230</v>
      </c>
      <c r="D12" s="4">
        <v>240</v>
      </c>
      <c r="E12" s="4">
        <v>200</v>
      </c>
      <c r="F12" s="4">
        <v>70</v>
      </c>
      <c r="G12" s="4">
        <v>150</v>
      </c>
      <c r="H12" s="4">
        <v>260</v>
      </c>
      <c r="I12" s="4">
        <v>70</v>
      </c>
      <c r="J12" s="4">
        <v>650</v>
      </c>
      <c r="K12" s="4">
        <v>310</v>
      </c>
      <c r="L12" s="4">
        <v>350</v>
      </c>
      <c r="M12" s="4">
        <v>160</v>
      </c>
      <c r="N12" s="4">
        <v>180</v>
      </c>
      <c r="O12" s="4">
        <v>310</v>
      </c>
      <c r="P12" s="4">
        <v>260</v>
      </c>
      <c r="Q12" s="4">
        <v>290</v>
      </c>
      <c r="R12" s="4">
        <v>330</v>
      </c>
      <c r="S12" s="4">
        <v>190</v>
      </c>
      <c r="T12" s="4">
        <v>70</v>
      </c>
      <c r="U12" s="4">
        <v>150</v>
      </c>
      <c r="V12" s="4">
        <v>420</v>
      </c>
      <c r="W12" s="4">
        <v>250</v>
      </c>
      <c r="X12" s="4">
        <v>250</v>
      </c>
      <c r="Y12" s="4">
        <v>660</v>
      </c>
      <c r="Z12" s="4">
        <v>400</v>
      </c>
      <c r="AA12" s="4">
        <v>130</v>
      </c>
      <c r="AB12" s="4">
        <v>200</v>
      </c>
      <c r="AC12" s="4">
        <v>500</v>
      </c>
      <c r="AD12" s="4">
        <v>190</v>
      </c>
      <c r="AE12" s="4">
        <v>150</v>
      </c>
      <c r="AF12" s="4">
        <v>170</v>
      </c>
      <c r="AG12" s="4">
        <v>330</v>
      </c>
      <c r="AH12" s="4">
        <v>350</v>
      </c>
      <c r="AI12" s="4">
        <v>150</v>
      </c>
      <c r="AJ12" s="4">
        <v>310</v>
      </c>
      <c r="AK12" s="4">
        <v>370</v>
      </c>
      <c r="AL12" s="4">
        <v>30</v>
      </c>
      <c r="AM12" s="4">
        <v>470</v>
      </c>
      <c r="AN12" s="4">
        <v>280</v>
      </c>
      <c r="AO12" s="4">
        <v>150</v>
      </c>
      <c r="AP12" s="4">
        <v>270</v>
      </c>
      <c r="AQ12" s="4">
        <v>200</v>
      </c>
      <c r="AR12" s="4">
        <v>140</v>
      </c>
      <c r="AS12" s="4">
        <v>260</v>
      </c>
      <c r="AT12" s="4">
        <v>80</v>
      </c>
    </row>
    <row r="14" spans="2:46">
      <c r="B14" s="4">
        <v>2001</v>
      </c>
      <c r="C14" s="7">
        <f>C3/C$3</f>
        <v>1</v>
      </c>
      <c r="D14" s="7">
        <f t="shared" ref="D14:L14" si="0">D3/D$3</f>
        <v>1</v>
      </c>
      <c r="E14" s="7">
        <f t="shared" si="0"/>
        <v>1</v>
      </c>
      <c r="F14" s="7">
        <f t="shared" si="0"/>
        <v>1</v>
      </c>
      <c r="G14" s="7">
        <f t="shared" si="0"/>
        <v>1</v>
      </c>
      <c r="H14" s="7">
        <f t="shared" si="0"/>
        <v>1</v>
      </c>
      <c r="I14" s="7">
        <f t="shared" si="0"/>
        <v>1</v>
      </c>
      <c r="J14" s="7">
        <f t="shared" si="0"/>
        <v>1</v>
      </c>
      <c r="K14" s="7">
        <f t="shared" si="0"/>
        <v>1</v>
      </c>
      <c r="L14" s="7">
        <f t="shared" si="0"/>
        <v>1</v>
      </c>
      <c r="M14" s="7">
        <f t="shared" ref="M14:AT14" si="1">M3/M$3</f>
        <v>1</v>
      </c>
      <c r="N14" s="7">
        <f t="shared" si="1"/>
        <v>1</v>
      </c>
      <c r="O14" s="7">
        <f t="shared" si="1"/>
        <v>1</v>
      </c>
      <c r="P14" s="7">
        <f t="shared" si="1"/>
        <v>1</v>
      </c>
      <c r="Q14" s="7">
        <f t="shared" si="1"/>
        <v>1</v>
      </c>
      <c r="R14" s="7">
        <f t="shared" si="1"/>
        <v>1</v>
      </c>
      <c r="S14" s="7">
        <f t="shared" si="1"/>
        <v>1</v>
      </c>
      <c r="T14" s="7">
        <f t="shared" si="1"/>
        <v>1</v>
      </c>
      <c r="U14" s="7">
        <f t="shared" si="1"/>
        <v>1</v>
      </c>
      <c r="V14" s="7">
        <f t="shared" si="1"/>
        <v>1</v>
      </c>
      <c r="W14" s="7">
        <f t="shared" si="1"/>
        <v>1</v>
      </c>
      <c r="X14" s="7">
        <f t="shared" si="1"/>
        <v>1</v>
      </c>
      <c r="Y14" s="7">
        <f t="shared" si="1"/>
        <v>1</v>
      </c>
      <c r="Z14" s="7">
        <f t="shared" si="1"/>
        <v>1</v>
      </c>
      <c r="AA14" s="7">
        <f t="shared" si="1"/>
        <v>1</v>
      </c>
      <c r="AB14" s="7">
        <f t="shared" si="1"/>
        <v>1</v>
      </c>
      <c r="AC14" s="7">
        <f t="shared" si="1"/>
        <v>1</v>
      </c>
      <c r="AD14" s="7">
        <f t="shared" si="1"/>
        <v>1</v>
      </c>
      <c r="AE14" s="7">
        <f t="shared" si="1"/>
        <v>1</v>
      </c>
      <c r="AF14" s="7">
        <f t="shared" si="1"/>
        <v>1</v>
      </c>
      <c r="AG14" s="7">
        <f t="shared" si="1"/>
        <v>1</v>
      </c>
      <c r="AH14" s="7">
        <f t="shared" si="1"/>
        <v>1</v>
      </c>
      <c r="AI14" s="7">
        <f t="shared" si="1"/>
        <v>1</v>
      </c>
      <c r="AJ14" s="7">
        <f t="shared" si="1"/>
        <v>1</v>
      </c>
      <c r="AK14" s="7">
        <f t="shared" si="1"/>
        <v>1</v>
      </c>
      <c r="AL14" s="7">
        <f t="shared" si="1"/>
        <v>1</v>
      </c>
      <c r="AM14" s="7">
        <f t="shared" si="1"/>
        <v>1</v>
      </c>
      <c r="AN14" s="7">
        <f t="shared" si="1"/>
        <v>1</v>
      </c>
      <c r="AO14" s="7">
        <f t="shared" si="1"/>
        <v>1</v>
      </c>
      <c r="AP14" s="7">
        <f t="shared" si="1"/>
        <v>1</v>
      </c>
      <c r="AQ14" s="7">
        <f t="shared" si="1"/>
        <v>1</v>
      </c>
      <c r="AR14" s="7">
        <f t="shared" si="1"/>
        <v>1</v>
      </c>
      <c r="AS14" s="7">
        <f t="shared" si="1"/>
        <v>1</v>
      </c>
      <c r="AT14" s="7">
        <f t="shared" si="1"/>
        <v>1</v>
      </c>
    </row>
    <row r="15" spans="2:46">
      <c r="B15" s="4">
        <v>2002</v>
      </c>
      <c r="C15" s="7">
        <f t="shared" ref="C15:K23" si="2">C4/C$3</f>
        <v>1.1666666666666667</v>
      </c>
      <c r="D15" s="7">
        <f t="shared" si="2"/>
        <v>1.125</v>
      </c>
      <c r="E15" s="7">
        <f t="shared" si="2"/>
        <v>1.2</v>
      </c>
      <c r="F15" s="7">
        <f t="shared" si="2"/>
        <v>0.77777777777777779</v>
      </c>
      <c r="G15" s="7">
        <f t="shared" si="2"/>
        <v>0.66666666666666663</v>
      </c>
      <c r="H15" s="7">
        <f t="shared" si="2"/>
        <v>0.90909090909090906</v>
      </c>
      <c r="I15" s="7">
        <f t="shared" si="2"/>
        <v>1</v>
      </c>
      <c r="J15" s="7">
        <f t="shared" si="2"/>
        <v>1.0851063829787233</v>
      </c>
      <c r="K15" s="7">
        <f t="shared" si="2"/>
        <v>1.1578947368421053</v>
      </c>
      <c r="L15" s="7">
        <f t="shared" ref="L15:AT15" si="3">L4/L$3</f>
        <v>1.35</v>
      </c>
      <c r="M15" s="7">
        <f t="shared" si="3"/>
        <v>0.91666666666666663</v>
      </c>
      <c r="N15" s="7">
        <f t="shared" si="3"/>
        <v>1.3846153846153846</v>
      </c>
      <c r="O15" s="7">
        <f t="shared" si="3"/>
        <v>0.8571428571428571</v>
      </c>
      <c r="P15" s="7">
        <f t="shared" si="3"/>
        <v>0.92307692307692313</v>
      </c>
      <c r="Q15" s="7">
        <f t="shared" si="3"/>
        <v>0.94444444444444442</v>
      </c>
      <c r="R15" s="7">
        <f t="shared" si="3"/>
        <v>0.94117647058823528</v>
      </c>
      <c r="S15" s="7">
        <f t="shared" si="3"/>
        <v>1.0555555555555556</v>
      </c>
      <c r="T15" s="7">
        <f t="shared" si="3"/>
        <v>1.3333333333333333</v>
      </c>
      <c r="U15" s="7">
        <f t="shared" si="3"/>
        <v>1.0833333333333333</v>
      </c>
      <c r="V15" s="7">
        <f t="shared" si="3"/>
        <v>1.0689655172413792</v>
      </c>
      <c r="W15" s="7">
        <f t="shared" si="3"/>
        <v>0.95</v>
      </c>
      <c r="X15" s="7">
        <f t="shared" si="3"/>
        <v>0.85</v>
      </c>
      <c r="Y15" s="7">
        <f t="shared" si="3"/>
        <v>1.0476190476190477</v>
      </c>
      <c r="Z15" s="7">
        <f t="shared" si="3"/>
        <v>1.2</v>
      </c>
      <c r="AA15" s="7">
        <f t="shared" si="3"/>
        <v>1.1818181818181819</v>
      </c>
      <c r="AB15" s="7">
        <f t="shared" si="3"/>
        <v>0.8125</v>
      </c>
      <c r="AC15" s="7">
        <f t="shared" si="3"/>
        <v>1.2413793103448276</v>
      </c>
      <c r="AD15" s="7">
        <f t="shared" si="3"/>
        <v>0.94117647058823528</v>
      </c>
      <c r="AE15" s="7">
        <f t="shared" si="3"/>
        <v>1.1818181818181819</v>
      </c>
      <c r="AF15" s="7">
        <f t="shared" si="3"/>
        <v>1.1000000000000001</v>
      </c>
      <c r="AG15" s="7">
        <f t="shared" si="3"/>
        <v>1.0833333333333333</v>
      </c>
      <c r="AH15" s="7">
        <f t="shared" si="3"/>
        <v>1.0689655172413792</v>
      </c>
      <c r="AI15" s="7">
        <f t="shared" si="3"/>
        <v>1.1538461538461537</v>
      </c>
      <c r="AJ15" s="7">
        <f t="shared" si="3"/>
        <v>1.125</v>
      </c>
      <c r="AK15" s="7">
        <f t="shared" si="3"/>
        <v>0.8</v>
      </c>
      <c r="AL15" s="7">
        <f t="shared" si="3"/>
        <v>0.5</v>
      </c>
      <c r="AM15" s="7">
        <f t="shared" si="3"/>
        <v>0.90697674418604646</v>
      </c>
      <c r="AN15" s="7">
        <f t="shared" si="3"/>
        <v>1.05</v>
      </c>
      <c r="AO15" s="7">
        <f t="shared" si="3"/>
        <v>1.125</v>
      </c>
      <c r="AP15" s="7">
        <f t="shared" si="3"/>
        <v>0.73913043478260865</v>
      </c>
      <c r="AQ15" s="7">
        <f t="shared" si="3"/>
        <v>0.95238095238095233</v>
      </c>
      <c r="AR15" s="7">
        <f t="shared" si="3"/>
        <v>1.2727272727272727</v>
      </c>
      <c r="AS15" s="7">
        <f t="shared" si="3"/>
        <v>1.3333333333333333</v>
      </c>
      <c r="AT15" s="7">
        <f t="shared" si="3"/>
        <v>1.2857142857142858</v>
      </c>
    </row>
    <row r="16" spans="2:46">
      <c r="B16" s="4">
        <v>2003</v>
      </c>
      <c r="C16" s="7">
        <f t="shared" si="2"/>
        <v>0.94444444444444442</v>
      </c>
      <c r="D16" s="7">
        <f t="shared" si="2"/>
        <v>1.1875</v>
      </c>
      <c r="E16" s="7">
        <f t="shared" si="2"/>
        <v>1</v>
      </c>
      <c r="F16" s="7">
        <f t="shared" si="2"/>
        <v>0.77777777777777779</v>
      </c>
      <c r="G16" s="7">
        <f t="shared" si="2"/>
        <v>0.8</v>
      </c>
      <c r="H16" s="7">
        <f t="shared" si="2"/>
        <v>0.86363636363636365</v>
      </c>
      <c r="I16" s="7">
        <f t="shared" si="2"/>
        <v>1.5714285714285714</v>
      </c>
      <c r="J16" s="7">
        <f t="shared" si="2"/>
        <v>1.0212765957446808</v>
      </c>
      <c r="K16" s="7">
        <f t="shared" si="2"/>
        <v>1</v>
      </c>
      <c r="L16" s="7">
        <f t="shared" ref="L16:AT16" si="4">L5/L$3</f>
        <v>0.9</v>
      </c>
      <c r="M16" s="7">
        <f t="shared" si="4"/>
        <v>0.66666666666666663</v>
      </c>
      <c r="N16" s="7">
        <f t="shared" si="4"/>
        <v>1</v>
      </c>
      <c r="O16" s="7">
        <f t="shared" si="4"/>
        <v>1.0714285714285714</v>
      </c>
      <c r="P16" s="7">
        <f t="shared" si="4"/>
        <v>1.2307692307692308</v>
      </c>
      <c r="Q16" s="7">
        <f t="shared" si="4"/>
        <v>1.1111111111111112</v>
      </c>
      <c r="R16" s="7">
        <f t="shared" si="4"/>
        <v>1</v>
      </c>
      <c r="S16" s="7">
        <f t="shared" si="4"/>
        <v>1</v>
      </c>
      <c r="T16" s="7">
        <f t="shared" si="4"/>
        <v>1.1666666666666667</v>
      </c>
      <c r="U16" s="7">
        <f t="shared" si="4"/>
        <v>0.91666666666666663</v>
      </c>
      <c r="V16" s="7">
        <f t="shared" si="4"/>
        <v>1.3103448275862069</v>
      </c>
      <c r="W16" s="7">
        <f t="shared" si="4"/>
        <v>0.8</v>
      </c>
      <c r="X16" s="7">
        <f t="shared" si="4"/>
        <v>0.95</v>
      </c>
      <c r="Y16" s="7">
        <f t="shared" si="4"/>
        <v>1.0476190476190477</v>
      </c>
      <c r="Z16" s="7">
        <f t="shared" si="4"/>
        <v>1.5</v>
      </c>
      <c r="AA16" s="7">
        <f t="shared" si="4"/>
        <v>1.0909090909090908</v>
      </c>
      <c r="AB16" s="7">
        <f t="shared" si="4"/>
        <v>0.9375</v>
      </c>
      <c r="AC16" s="7">
        <f t="shared" si="4"/>
        <v>1.1379310344827587</v>
      </c>
      <c r="AD16" s="7">
        <f t="shared" si="4"/>
        <v>1.1764705882352942</v>
      </c>
      <c r="AE16" s="7">
        <f t="shared" si="4"/>
        <v>1</v>
      </c>
      <c r="AF16" s="7">
        <f t="shared" si="4"/>
        <v>0.9</v>
      </c>
      <c r="AG16" s="7">
        <f t="shared" si="4"/>
        <v>1.0416666666666667</v>
      </c>
      <c r="AH16" s="7">
        <f t="shared" si="4"/>
        <v>1.0344827586206897</v>
      </c>
      <c r="AI16" s="7">
        <f t="shared" si="4"/>
        <v>0.76923076923076927</v>
      </c>
      <c r="AJ16" s="7">
        <f t="shared" si="4"/>
        <v>1.625</v>
      </c>
      <c r="AK16" s="7">
        <f t="shared" si="4"/>
        <v>0.95</v>
      </c>
      <c r="AL16" s="7">
        <f t="shared" si="4"/>
        <v>0.5</v>
      </c>
      <c r="AM16" s="7">
        <f t="shared" si="4"/>
        <v>0.86046511627906974</v>
      </c>
      <c r="AN16" s="7">
        <f t="shared" si="4"/>
        <v>0.9</v>
      </c>
      <c r="AO16" s="7">
        <f t="shared" si="4"/>
        <v>1</v>
      </c>
      <c r="AP16" s="7">
        <f t="shared" si="4"/>
        <v>0.82608695652173914</v>
      </c>
      <c r="AQ16" s="7">
        <f t="shared" si="4"/>
        <v>1</v>
      </c>
      <c r="AR16" s="7">
        <f t="shared" si="4"/>
        <v>1.1818181818181819</v>
      </c>
      <c r="AS16" s="7">
        <f t="shared" si="4"/>
        <v>1.1333333333333333</v>
      </c>
      <c r="AT16" s="7">
        <f t="shared" si="4"/>
        <v>1</v>
      </c>
    </row>
    <row r="17" spans="2:46">
      <c r="B17" s="4">
        <v>2004</v>
      </c>
      <c r="C17" s="7">
        <f t="shared" si="2"/>
        <v>0.88888888888888884</v>
      </c>
      <c r="D17" s="7">
        <f t="shared" si="2"/>
        <v>1.8125</v>
      </c>
      <c r="E17" s="7">
        <f t="shared" si="2"/>
        <v>1</v>
      </c>
      <c r="F17" s="7">
        <f t="shared" si="2"/>
        <v>1</v>
      </c>
      <c r="G17" s="7">
        <f t="shared" si="2"/>
        <v>1.0666666666666667</v>
      </c>
      <c r="H17" s="7">
        <f t="shared" si="2"/>
        <v>1.0454545454545454</v>
      </c>
      <c r="I17" s="7">
        <f t="shared" si="2"/>
        <v>1.1428571428571428</v>
      </c>
      <c r="J17" s="7">
        <f t="shared" si="2"/>
        <v>1.1276595744680851</v>
      </c>
      <c r="K17" s="7">
        <f t="shared" si="2"/>
        <v>1.1052631578947369</v>
      </c>
      <c r="L17" s="7">
        <f t="shared" ref="L17:AT17" si="5">L6/L$3</f>
        <v>1.2</v>
      </c>
      <c r="M17" s="7">
        <f t="shared" si="5"/>
        <v>1</v>
      </c>
      <c r="N17" s="7">
        <f t="shared" si="5"/>
        <v>0.76923076923076927</v>
      </c>
      <c r="O17" s="7">
        <f t="shared" si="5"/>
        <v>1</v>
      </c>
      <c r="P17" s="7">
        <f t="shared" si="5"/>
        <v>1.1538461538461537</v>
      </c>
      <c r="Q17" s="7">
        <f t="shared" si="5"/>
        <v>1.2777777777777777</v>
      </c>
      <c r="R17" s="7">
        <f t="shared" si="5"/>
        <v>0.88235294117647056</v>
      </c>
      <c r="S17" s="7">
        <f t="shared" si="5"/>
        <v>1.1111111111111112</v>
      </c>
      <c r="T17" s="7">
        <f t="shared" si="5"/>
        <v>1</v>
      </c>
      <c r="U17" s="7">
        <f t="shared" si="5"/>
        <v>1</v>
      </c>
      <c r="V17" s="7">
        <f t="shared" si="5"/>
        <v>1.2413793103448276</v>
      </c>
      <c r="W17" s="7">
        <f t="shared" si="5"/>
        <v>0.9</v>
      </c>
      <c r="X17" s="7">
        <f t="shared" si="5"/>
        <v>0.9</v>
      </c>
      <c r="Y17" s="7">
        <f t="shared" si="5"/>
        <v>1.0317460317460319</v>
      </c>
      <c r="Z17" s="7">
        <f t="shared" si="5"/>
        <v>1.4</v>
      </c>
      <c r="AA17" s="7">
        <f t="shared" si="5"/>
        <v>1.2727272727272727</v>
      </c>
      <c r="AB17" s="7">
        <f t="shared" si="5"/>
        <v>1</v>
      </c>
      <c r="AC17" s="7">
        <f t="shared" si="5"/>
        <v>1.4482758620689655</v>
      </c>
      <c r="AD17" s="7">
        <f t="shared" si="5"/>
        <v>1.1176470588235294</v>
      </c>
      <c r="AE17" s="7">
        <f t="shared" si="5"/>
        <v>1.0909090909090908</v>
      </c>
      <c r="AF17" s="7">
        <f t="shared" si="5"/>
        <v>0.9</v>
      </c>
      <c r="AG17" s="7">
        <f t="shared" si="5"/>
        <v>1.125</v>
      </c>
      <c r="AH17" s="7">
        <f t="shared" si="5"/>
        <v>1.0344827586206897</v>
      </c>
      <c r="AI17" s="7">
        <f t="shared" si="5"/>
        <v>0.76923076923076927</v>
      </c>
      <c r="AJ17" s="7">
        <f t="shared" si="5"/>
        <v>1.0625</v>
      </c>
      <c r="AK17" s="7">
        <f t="shared" si="5"/>
        <v>0.9</v>
      </c>
      <c r="AL17" s="7">
        <f t="shared" si="5"/>
        <v>0.5</v>
      </c>
      <c r="AM17" s="7">
        <f t="shared" si="5"/>
        <v>0.93023255813953487</v>
      </c>
      <c r="AN17" s="7">
        <f t="shared" si="5"/>
        <v>1</v>
      </c>
      <c r="AO17" s="7">
        <f t="shared" si="5"/>
        <v>0.875</v>
      </c>
      <c r="AP17" s="7">
        <f t="shared" si="5"/>
        <v>0.78260869565217395</v>
      </c>
      <c r="AQ17" s="7">
        <f t="shared" si="5"/>
        <v>1.2857142857142858</v>
      </c>
      <c r="AR17" s="7">
        <f t="shared" si="5"/>
        <v>1.0909090909090908</v>
      </c>
      <c r="AS17" s="7">
        <f t="shared" si="5"/>
        <v>1.5333333333333334</v>
      </c>
      <c r="AT17" s="7">
        <f t="shared" si="5"/>
        <v>1.2857142857142858</v>
      </c>
    </row>
    <row r="18" spans="2:46">
      <c r="B18" s="4">
        <v>2005</v>
      </c>
      <c r="C18" s="7">
        <f t="shared" si="2"/>
        <v>1.1666666666666667</v>
      </c>
      <c r="D18" s="7">
        <f t="shared" si="2"/>
        <v>1.625</v>
      </c>
      <c r="E18" s="7">
        <f t="shared" si="2"/>
        <v>1.2666666666666666</v>
      </c>
      <c r="F18" s="7">
        <f t="shared" si="2"/>
        <v>1</v>
      </c>
      <c r="G18" s="7">
        <f t="shared" si="2"/>
        <v>0.93333333333333335</v>
      </c>
      <c r="H18" s="7">
        <f t="shared" si="2"/>
        <v>0.81818181818181823</v>
      </c>
      <c r="I18" s="7">
        <f t="shared" si="2"/>
        <v>1.1428571428571428</v>
      </c>
      <c r="J18" s="7">
        <f t="shared" si="2"/>
        <v>1.1063829787234043</v>
      </c>
      <c r="K18" s="7">
        <f t="shared" si="2"/>
        <v>1.1578947368421053</v>
      </c>
      <c r="L18" s="7">
        <f t="shared" ref="L18:AT18" si="6">L7/L$3</f>
        <v>1.05</v>
      </c>
      <c r="M18" s="7">
        <f t="shared" si="6"/>
        <v>0.91666666666666663</v>
      </c>
      <c r="N18" s="7">
        <f t="shared" si="6"/>
        <v>1.0769230769230769</v>
      </c>
      <c r="O18" s="7">
        <f t="shared" si="6"/>
        <v>1.0714285714285714</v>
      </c>
      <c r="P18" s="7">
        <f t="shared" si="6"/>
        <v>1.0769230769230769</v>
      </c>
      <c r="Q18" s="7">
        <f t="shared" si="6"/>
        <v>1.2222222222222223</v>
      </c>
      <c r="R18" s="7">
        <f t="shared" si="6"/>
        <v>1.3529411764705883</v>
      </c>
      <c r="S18" s="7">
        <f t="shared" si="6"/>
        <v>1.1111111111111112</v>
      </c>
      <c r="T18" s="7">
        <f t="shared" si="6"/>
        <v>1.5</v>
      </c>
      <c r="U18" s="7">
        <f t="shared" si="6"/>
        <v>1.75</v>
      </c>
      <c r="V18" s="7">
        <f t="shared" si="6"/>
        <v>1.2758620689655173</v>
      </c>
      <c r="W18" s="7">
        <f t="shared" si="6"/>
        <v>0.95</v>
      </c>
      <c r="X18" s="7">
        <f t="shared" si="6"/>
        <v>1</v>
      </c>
      <c r="Y18" s="7">
        <f t="shared" si="6"/>
        <v>1.0634920634920635</v>
      </c>
      <c r="Z18" s="7">
        <f t="shared" si="6"/>
        <v>1.5</v>
      </c>
      <c r="AA18" s="7">
        <f t="shared" si="6"/>
        <v>0.90909090909090906</v>
      </c>
      <c r="AB18" s="7">
        <f t="shared" si="6"/>
        <v>0.9375</v>
      </c>
      <c r="AC18" s="7">
        <f t="shared" si="6"/>
        <v>1.3793103448275863</v>
      </c>
      <c r="AD18" s="7">
        <f t="shared" si="6"/>
        <v>0.88235294117647056</v>
      </c>
      <c r="AE18" s="7">
        <f t="shared" si="6"/>
        <v>1.0909090909090908</v>
      </c>
      <c r="AF18" s="7">
        <f t="shared" si="6"/>
        <v>1</v>
      </c>
      <c r="AG18" s="7">
        <f t="shared" si="6"/>
        <v>1.125</v>
      </c>
      <c r="AH18" s="7">
        <f t="shared" si="6"/>
        <v>1.103448275862069</v>
      </c>
      <c r="AI18" s="7">
        <f t="shared" si="6"/>
        <v>0.84615384615384615</v>
      </c>
      <c r="AJ18" s="7">
        <f t="shared" si="6"/>
        <v>1.3125</v>
      </c>
      <c r="AK18" s="7">
        <f t="shared" si="6"/>
        <v>1.1000000000000001</v>
      </c>
      <c r="AL18" s="7">
        <f t="shared" si="6"/>
        <v>0.5</v>
      </c>
      <c r="AM18" s="7">
        <f t="shared" si="6"/>
        <v>1</v>
      </c>
      <c r="AN18" s="7">
        <f t="shared" si="6"/>
        <v>0.95</v>
      </c>
      <c r="AO18" s="7">
        <f t="shared" si="6"/>
        <v>1.25</v>
      </c>
      <c r="AP18" s="7">
        <f t="shared" si="6"/>
        <v>0.73913043478260865</v>
      </c>
      <c r="AQ18" s="7">
        <f t="shared" si="6"/>
        <v>1</v>
      </c>
      <c r="AR18" s="7">
        <f t="shared" si="6"/>
        <v>1.4545454545454546</v>
      </c>
      <c r="AS18" s="7">
        <f t="shared" si="6"/>
        <v>1.6666666666666667</v>
      </c>
      <c r="AT18" s="7">
        <f t="shared" si="6"/>
        <v>2</v>
      </c>
    </row>
    <row r="19" spans="2:46">
      <c r="B19" s="4">
        <v>2006</v>
      </c>
      <c r="C19" s="7">
        <f t="shared" si="2"/>
        <v>0.94444444444444442</v>
      </c>
      <c r="D19" s="7">
        <f t="shared" si="2"/>
        <v>1.1875</v>
      </c>
      <c r="E19" s="7">
        <f t="shared" si="2"/>
        <v>1.0666666666666667</v>
      </c>
      <c r="F19" s="7">
        <f t="shared" si="2"/>
        <v>0.77777777777777779</v>
      </c>
      <c r="G19" s="7">
        <f t="shared" si="2"/>
        <v>0.8</v>
      </c>
      <c r="H19" s="7">
        <f t="shared" si="2"/>
        <v>1.0454545454545454</v>
      </c>
      <c r="I19" s="7">
        <f t="shared" si="2"/>
        <v>1</v>
      </c>
      <c r="J19" s="7">
        <f t="shared" si="2"/>
        <v>1.1489361702127661</v>
      </c>
      <c r="K19" s="7">
        <f t="shared" si="2"/>
        <v>1</v>
      </c>
      <c r="L19" s="7">
        <f t="shared" ref="L19:AT19" si="7">L8/L$3</f>
        <v>1.3</v>
      </c>
      <c r="M19" s="7">
        <f t="shared" si="7"/>
        <v>1.6666666666666667</v>
      </c>
      <c r="N19" s="7">
        <f t="shared" si="7"/>
        <v>1</v>
      </c>
      <c r="O19" s="7">
        <f t="shared" si="7"/>
        <v>1.2142857142857142</v>
      </c>
      <c r="P19" s="7">
        <f t="shared" si="7"/>
        <v>1.0769230769230769</v>
      </c>
      <c r="Q19" s="7">
        <f t="shared" si="7"/>
        <v>1.2222222222222223</v>
      </c>
      <c r="R19" s="7">
        <f t="shared" si="7"/>
        <v>1.2941176470588236</v>
      </c>
      <c r="S19" s="7">
        <f t="shared" si="7"/>
        <v>1</v>
      </c>
      <c r="T19" s="7">
        <f t="shared" si="7"/>
        <v>1.3333333333333333</v>
      </c>
      <c r="U19" s="7">
        <f t="shared" si="7"/>
        <v>1.5</v>
      </c>
      <c r="V19" s="7">
        <f t="shared" si="7"/>
        <v>1.4137931034482758</v>
      </c>
      <c r="W19" s="7">
        <f t="shared" si="7"/>
        <v>0.9</v>
      </c>
      <c r="X19" s="7">
        <f t="shared" si="7"/>
        <v>1.1000000000000001</v>
      </c>
      <c r="Y19" s="7">
        <f t="shared" si="7"/>
        <v>1.126984126984127</v>
      </c>
      <c r="Z19" s="7">
        <f t="shared" si="7"/>
        <v>1.45</v>
      </c>
      <c r="AA19" s="7">
        <f t="shared" si="7"/>
        <v>0.90909090909090906</v>
      </c>
      <c r="AB19" s="7">
        <f t="shared" si="7"/>
        <v>0.8125</v>
      </c>
      <c r="AC19" s="7">
        <f t="shared" si="7"/>
        <v>1.4827586206896552</v>
      </c>
      <c r="AD19" s="7">
        <f t="shared" si="7"/>
        <v>0.94117647058823528</v>
      </c>
      <c r="AE19" s="7">
        <f t="shared" si="7"/>
        <v>1.1818181818181819</v>
      </c>
      <c r="AF19" s="7">
        <f t="shared" si="7"/>
        <v>1.2</v>
      </c>
      <c r="AG19" s="7">
        <f t="shared" si="7"/>
        <v>1.0416666666666667</v>
      </c>
      <c r="AH19" s="7">
        <f t="shared" si="7"/>
        <v>1.1724137931034482</v>
      </c>
      <c r="AI19" s="7">
        <f t="shared" si="7"/>
        <v>1.1538461538461537</v>
      </c>
      <c r="AJ19" s="7">
        <f t="shared" si="7"/>
        <v>1.0625</v>
      </c>
      <c r="AK19" s="7">
        <f t="shared" si="7"/>
        <v>1.35</v>
      </c>
      <c r="AL19" s="7">
        <f t="shared" si="7"/>
        <v>0.5</v>
      </c>
      <c r="AM19" s="7">
        <f t="shared" si="7"/>
        <v>1</v>
      </c>
      <c r="AN19" s="7">
        <f t="shared" si="7"/>
        <v>1.1000000000000001</v>
      </c>
      <c r="AO19" s="7">
        <f t="shared" si="7"/>
        <v>1</v>
      </c>
      <c r="AP19" s="7">
        <f t="shared" si="7"/>
        <v>0.95652173913043481</v>
      </c>
      <c r="AQ19" s="7">
        <f t="shared" si="7"/>
        <v>1.1428571428571428</v>
      </c>
      <c r="AR19" s="7">
        <f t="shared" si="7"/>
        <v>1.4545454545454546</v>
      </c>
      <c r="AS19" s="7">
        <f t="shared" si="7"/>
        <v>1.9333333333333333</v>
      </c>
      <c r="AT19" s="7">
        <f t="shared" si="7"/>
        <v>1.2857142857142858</v>
      </c>
    </row>
    <row r="20" spans="2:46">
      <c r="B20" s="4">
        <v>2007</v>
      </c>
      <c r="C20" s="7">
        <f t="shared" si="2"/>
        <v>1.2777777777777777</v>
      </c>
      <c r="D20" s="7">
        <f t="shared" si="2"/>
        <v>1.8125</v>
      </c>
      <c r="E20" s="7">
        <f t="shared" si="2"/>
        <v>1.5333333333333334</v>
      </c>
      <c r="F20" s="7">
        <f t="shared" si="2"/>
        <v>0.66666666666666663</v>
      </c>
      <c r="G20" s="7">
        <f t="shared" si="2"/>
        <v>0.8</v>
      </c>
      <c r="H20" s="7">
        <f t="shared" si="2"/>
        <v>1.0909090909090908</v>
      </c>
      <c r="I20" s="7">
        <f t="shared" si="2"/>
        <v>1.5714285714285714</v>
      </c>
      <c r="J20" s="7">
        <f t="shared" si="2"/>
        <v>1.1489361702127661</v>
      </c>
      <c r="K20" s="7">
        <f t="shared" si="2"/>
        <v>1.2105263157894737</v>
      </c>
      <c r="L20" s="7">
        <f t="shared" ref="L20:AT20" si="8">L9/L$3</f>
        <v>1.65</v>
      </c>
      <c r="M20" s="7">
        <f t="shared" si="8"/>
        <v>1.5833333333333333</v>
      </c>
      <c r="N20" s="7">
        <f t="shared" si="8"/>
        <v>1.1538461538461537</v>
      </c>
      <c r="O20" s="7">
        <f t="shared" si="8"/>
        <v>1.5714285714285714</v>
      </c>
      <c r="P20" s="7">
        <f t="shared" si="8"/>
        <v>1.1538461538461537</v>
      </c>
      <c r="Q20" s="7">
        <f t="shared" si="8"/>
        <v>1.3888888888888888</v>
      </c>
      <c r="R20" s="7">
        <f t="shared" si="8"/>
        <v>1</v>
      </c>
      <c r="S20" s="7">
        <f t="shared" si="8"/>
        <v>1.2222222222222223</v>
      </c>
      <c r="T20" s="7">
        <f t="shared" si="8"/>
        <v>1.5</v>
      </c>
      <c r="U20" s="7">
        <f t="shared" si="8"/>
        <v>0.91666666666666663</v>
      </c>
      <c r="V20" s="7">
        <f t="shared" si="8"/>
        <v>1.4827586206896552</v>
      </c>
      <c r="W20" s="7">
        <f t="shared" si="8"/>
        <v>1.25</v>
      </c>
      <c r="X20" s="7">
        <f t="shared" si="8"/>
        <v>1.05</v>
      </c>
      <c r="Y20" s="7">
        <f t="shared" si="8"/>
        <v>1.126984126984127</v>
      </c>
      <c r="Z20" s="7">
        <f t="shared" si="8"/>
        <v>2.7</v>
      </c>
      <c r="AA20" s="7">
        <f t="shared" si="8"/>
        <v>1.2727272727272727</v>
      </c>
      <c r="AB20" s="7">
        <f t="shared" si="8"/>
        <v>0.9375</v>
      </c>
      <c r="AC20" s="7">
        <f t="shared" si="8"/>
        <v>1.5172413793103448</v>
      </c>
      <c r="AD20" s="7">
        <f t="shared" si="8"/>
        <v>0.88235294117647056</v>
      </c>
      <c r="AE20" s="7">
        <f t="shared" si="8"/>
        <v>1.1818181818181819</v>
      </c>
      <c r="AF20" s="7">
        <f t="shared" si="8"/>
        <v>1.2</v>
      </c>
      <c r="AG20" s="7">
        <f t="shared" si="8"/>
        <v>1.2083333333333333</v>
      </c>
      <c r="AH20" s="7">
        <f t="shared" si="8"/>
        <v>1.2068965517241379</v>
      </c>
      <c r="AI20" s="7">
        <f t="shared" si="8"/>
        <v>1</v>
      </c>
      <c r="AJ20" s="7">
        <f t="shared" si="8"/>
        <v>1.3125</v>
      </c>
      <c r="AK20" s="7">
        <f t="shared" si="8"/>
        <v>1.1000000000000001</v>
      </c>
      <c r="AL20" s="7">
        <f t="shared" si="8"/>
        <v>0.5</v>
      </c>
      <c r="AM20" s="7">
        <f t="shared" si="8"/>
        <v>0.95348837209302328</v>
      </c>
      <c r="AN20" s="7">
        <f t="shared" si="8"/>
        <v>1.2</v>
      </c>
      <c r="AO20" s="7">
        <f t="shared" si="8"/>
        <v>1.125</v>
      </c>
      <c r="AP20" s="7">
        <f t="shared" si="8"/>
        <v>1.173913043478261</v>
      </c>
      <c r="AQ20" s="7">
        <f t="shared" si="8"/>
        <v>1.2857142857142858</v>
      </c>
      <c r="AR20" s="7">
        <f t="shared" si="8"/>
        <v>1.2727272727272727</v>
      </c>
      <c r="AS20" s="7">
        <f t="shared" si="8"/>
        <v>1.8666666666666667</v>
      </c>
      <c r="AT20" s="7">
        <f t="shared" si="8"/>
        <v>1.2857142857142858</v>
      </c>
    </row>
    <row r="21" spans="2:46">
      <c r="B21" s="4">
        <v>2008</v>
      </c>
      <c r="C21" s="7">
        <f t="shared" si="2"/>
        <v>1.1666666666666667</v>
      </c>
      <c r="D21" s="7">
        <f t="shared" si="2"/>
        <v>1.4375</v>
      </c>
      <c r="E21" s="7">
        <f t="shared" si="2"/>
        <v>1.7333333333333334</v>
      </c>
      <c r="F21" s="7">
        <f t="shared" si="2"/>
        <v>1</v>
      </c>
      <c r="G21" s="7">
        <f t="shared" si="2"/>
        <v>1.4666666666666666</v>
      </c>
      <c r="H21" s="7">
        <f t="shared" si="2"/>
        <v>1.0454545454545454</v>
      </c>
      <c r="I21" s="7">
        <f t="shared" si="2"/>
        <v>1.4285714285714286</v>
      </c>
      <c r="J21" s="7">
        <f t="shared" si="2"/>
        <v>1.1489361702127661</v>
      </c>
      <c r="K21" s="7">
        <f t="shared" si="2"/>
        <v>1.631578947368421</v>
      </c>
      <c r="L21" s="7">
        <f t="shared" ref="L21:AT21" si="9">L10/L$3</f>
        <v>1.55</v>
      </c>
      <c r="M21" s="7">
        <f t="shared" si="9"/>
        <v>1</v>
      </c>
      <c r="N21" s="7">
        <f t="shared" si="9"/>
        <v>1.4615384615384615</v>
      </c>
      <c r="O21" s="7">
        <f t="shared" si="9"/>
        <v>1.5</v>
      </c>
      <c r="P21" s="7">
        <f t="shared" si="9"/>
        <v>1.2307692307692308</v>
      </c>
      <c r="Q21" s="7">
        <f t="shared" si="9"/>
        <v>1.2222222222222223</v>
      </c>
      <c r="R21" s="7">
        <f t="shared" si="9"/>
        <v>1.1764705882352942</v>
      </c>
      <c r="S21" s="7">
        <f t="shared" si="9"/>
        <v>1.1111111111111112</v>
      </c>
      <c r="T21" s="7">
        <f t="shared" si="9"/>
        <v>1</v>
      </c>
      <c r="U21" s="7">
        <f t="shared" si="9"/>
        <v>1.3333333333333333</v>
      </c>
      <c r="V21" s="7">
        <f t="shared" si="9"/>
        <v>1.4137931034482758</v>
      </c>
      <c r="W21" s="7">
        <f t="shared" si="9"/>
        <v>1.2</v>
      </c>
      <c r="X21" s="7">
        <f t="shared" si="9"/>
        <v>1.2</v>
      </c>
      <c r="Y21" s="7">
        <f t="shared" si="9"/>
        <v>1.0476190476190477</v>
      </c>
      <c r="Z21" s="7">
        <f t="shared" si="9"/>
        <v>2.0499999999999998</v>
      </c>
      <c r="AA21" s="7">
        <f t="shared" si="9"/>
        <v>0.81818181818181823</v>
      </c>
      <c r="AB21" s="7">
        <f t="shared" si="9"/>
        <v>1.1875</v>
      </c>
      <c r="AC21" s="7">
        <f t="shared" si="9"/>
        <v>1.4827586206896552</v>
      </c>
      <c r="AD21" s="7">
        <f t="shared" si="9"/>
        <v>1.2941176470588236</v>
      </c>
      <c r="AE21" s="7">
        <f t="shared" si="9"/>
        <v>1.2727272727272727</v>
      </c>
      <c r="AF21" s="7">
        <f t="shared" si="9"/>
        <v>1.3</v>
      </c>
      <c r="AG21" s="7">
        <f t="shared" si="9"/>
        <v>1.1666666666666667</v>
      </c>
      <c r="AH21" s="7">
        <f t="shared" si="9"/>
        <v>1.2068965517241379</v>
      </c>
      <c r="AI21" s="7">
        <f t="shared" si="9"/>
        <v>1.2307692307692308</v>
      </c>
      <c r="AJ21" s="7">
        <f t="shared" si="9"/>
        <v>1.4375</v>
      </c>
      <c r="AK21" s="7">
        <f t="shared" si="9"/>
        <v>1.55</v>
      </c>
      <c r="AL21" s="7">
        <f t="shared" si="9"/>
        <v>1</v>
      </c>
      <c r="AM21" s="7">
        <f t="shared" si="9"/>
        <v>1.0232558139534884</v>
      </c>
      <c r="AN21" s="7">
        <f t="shared" si="9"/>
        <v>1.1499999999999999</v>
      </c>
      <c r="AO21" s="7">
        <f t="shared" si="9"/>
        <v>1.25</v>
      </c>
      <c r="AP21" s="7">
        <f t="shared" si="9"/>
        <v>1.0434782608695652</v>
      </c>
      <c r="AQ21" s="7">
        <f t="shared" si="9"/>
        <v>1.0952380952380953</v>
      </c>
      <c r="AR21" s="7">
        <f t="shared" si="9"/>
        <v>1.7272727272727273</v>
      </c>
      <c r="AS21" s="7">
        <f t="shared" si="9"/>
        <v>2.2666666666666666</v>
      </c>
      <c r="AT21" s="7">
        <f t="shared" si="9"/>
        <v>1.1428571428571428</v>
      </c>
    </row>
    <row r="22" spans="2:46">
      <c r="B22" s="4">
        <v>2009</v>
      </c>
      <c r="C22" s="7">
        <f t="shared" si="2"/>
        <v>1.6111111111111112</v>
      </c>
      <c r="D22" s="7">
        <f t="shared" si="2"/>
        <v>1.3125</v>
      </c>
      <c r="E22" s="7">
        <f t="shared" si="2"/>
        <v>1.8666666666666667</v>
      </c>
      <c r="F22" s="7">
        <f t="shared" si="2"/>
        <v>1.1111111111111112</v>
      </c>
      <c r="G22" s="7">
        <f t="shared" si="2"/>
        <v>1</v>
      </c>
      <c r="H22" s="7">
        <f t="shared" si="2"/>
        <v>1</v>
      </c>
      <c r="I22" s="7">
        <f t="shared" si="2"/>
        <v>1</v>
      </c>
      <c r="J22" s="7">
        <f t="shared" si="2"/>
        <v>1.4042553191489362</v>
      </c>
      <c r="K22" s="7">
        <f t="shared" si="2"/>
        <v>1.4736842105263157</v>
      </c>
      <c r="L22" s="7">
        <f t="shared" ref="L22:AT22" si="10">L11/L$3</f>
        <v>1.7</v>
      </c>
      <c r="M22" s="7">
        <f t="shared" si="10"/>
        <v>1.0833333333333333</v>
      </c>
      <c r="N22" s="7">
        <f t="shared" si="10"/>
        <v>1.6923076923076923</v>
      </c>
      <c r="O22" s="7">
        <f t="shared" si="10"/>
        <v>2.2142857142857144</v>
      </c>
      <c r="P22" s="7">
        <f t="shared" si="10"/>
        <v>1.3846153846153846</v>
      </c>
      <c r="Q22" s="7">
        <f t="shared" si="10"/>
        <v>1.4444444444444444</v>
      </c>
      <c r="R22" s="7">
        <f t="shared" si="10"/>
        <v>1.4705882352941178</v>
      </c>
      <c r="S22" s="7">
        <f t="shared" si="10"/>
        <v>1.1111111111111112</v>
      </c>
      <c r="T22" s="7">
        <f t="shared" si="10"/>
        <v>1.3333333333333333</v>
      </c>
      <c r="U22" s="7">
        <f t="shared" si="10"/>
        <v>1.75</v>
      </c>
      <c r="V22" s="7">
        <f t="shared" si="10"/>
        <v>1.6206896551724137</v>
      </c>
      <c r="W22" s="7">
        <f t="shared" si="10"/>
        <v>1.25</v>
      </c>
      <c r="X22" s="7">
        <f t="shared" si="10"/>
        <v>1.35</v>
      </c>
      <c r="Y22" s="7">
        <f t="shared" si="10"/>
        <v>1.0634920634920635</v>
      </c>
      <c r="Z22" s="7">
        <f t="shared" si="10"/>
        <v>2</v>
      </c>
      <c r="AA22" s="7">
        <f t="shared" si="10"/>
        <v>1</v>
      </c>
      <c r="AB22" s="7">
        <f t="shared" si="10"/>
        <v>1.1875</v>
      </c>
      <c r="AC22" s="7">
        <f t="shared" si="10"/>
        <v>1.4137931034482758</v>
      </c>
      <c r="AD22" s="7">
        <f t="shared" si="10"/>
        <v>0.94117647058823528</v>
      </c>
      <c r="AE22" s="7">
        <f t="shared" si="10"/>
        <v>1.7272727272727273</v>
      </c>
      <c r="AF22" s="7">
        <f t="shared" si="10"/>
        <v>1.3</v>
      </c>
      <c r="AG22" s="7">
        <f t="shared" si="10"/>
        <v>1.25</v>
      </c>
      <c r="AH22" s="7">
        <f t="shared" si="10"/>
        <v>1.1724137931034482</v>
      </c>
      <c r="AI22" s="7">
        <f t="shared" si="10"/>
        <v>1.7692307692307692</v>
      </c>
      <c r="AJ22" s="7">
        <f t="shared" si="10"/>
        <v>1.375</v>
      </c>
      <c r="AK22" s="7">
        <f t="shared" si="10"/>
        <v>1.85</v>
      </c>
      <c r="AL22" s="7">
        <f t="shared" si="10"/>
        <v>0.5</v>
      </c>
      <c r="AM22" s="7">
        <f t="shared" si="10"/>
        <v>0.95348837209302328</v>
      </c>
      <c r="AN22" s="7">
        <f t="shared" si="10"/>
        <v>1.35</v>
      </c>
      <c r="AO22" s="7">
        <f t="shared" si="10"/>
        <v>1.25</v>
      </c>
      <c r="AP22" s="7">
        <f t="shared" si="10"/>
        <v>1.2173913043478262</v>
      </c>
      <c r="AQ22" s="7">
        <f t="shared" si="10"/>
        <v>0.8571428571428571</v>
      </c>
      <c r="AR22" s="7">
        <f t="shared" si="10"/>
        <v>2</v>
      </c>
      <c r="AS22" s="7">
        <f t="shared" si="10"/>
        <v>2.1333333333333333</v>
      </c>
      <c r="AT22" s="7">
        <f t="shared" si="10"/>
        <v>1.2857142857142858</v>
      </c>
    </row>
    <row r="23" spans="2:46">
      <c r="B23" s="4">
        <v>2010</v>
      </c>
      <c r="C23" s="7">
        <f t="shared" si="2"/>
        <v>1.2777777777777777</v>
      </c>
      <c r="D23" s="7">
        <f t="shared" si="2"/>
        <v>1.5</v>
      </c>
      <c r="E23" s="7">
        <f t="shared" si="2"/>
        <v>1.3333333333333333</v>
      </c>
      <c r="F23" s="7">
        <f t="shared" si="2"/>
        <v>0.77777777777777779</v>
      </c>
      <c r="G23" s="7">
        <f t="shared" si="2"/>
        <v>1</v>
      </c>
      <c r="H23" s="7">
        <f t="shared" si="2"/>
        <v>1.1818181818181819</v>
      </c>
      <c r="I23" s="7">
        <f t="shared" si="2"/>
        <v>1</v>
      </c>
      <c r="J23" s="7">
        <f t="shared" si="2"/>
        <v>1.3829787234042554</v>
      </c>
      <c r="K23" s="7">
        <f t="shared" si="2"/>
        <v>1.631578947368421</v>
      </c>
      <c r="L23" s="7">
        <f t="shared" ref="L23:AT23" si="11">L12/L$3</f>
        <v>1.75</v>
      </c>
      <c r="M23" s="7">
        <f t="shared" si="11"/>
        <v>1.3333333333333333</v>
      </c>
      <c r="N23" s="7">
        <f t="shared" si="11"/>
        <v>1.3846153846153846</v>
      </c>
      <c r="O23" s="7">
        <f t="shared" si="11"/>
        <v>2.2142857142857144</v>
      </c>
      <c r="P23" s="7">
        <f t="shared" si="11"/>
        <v>2</v>
      </c>
      <c r="Q23" s="7">
        <f t="shared" si="11"/>
        <v>1.6111111111111112</v>
      </c>
      <c r="R23" s="7">
        <f t="shared" si="11"/>
        <v>1.9411764705882353</v>
      </c>
      <c r="S23" s="7">
        <f t="shared" si="11"/>
        <v>1.0555555555555556</v>
      </c>
      <c r="T23" s="7">
        <f t="shared" si="11"/>
        <v>1.1666666666666667</v>
      </c>
      <c r="U23" s="7">
        <f t="shared" si="11"/>
        <v>1.25</v>
      </c>
      <c r="V23" s="7">
        <f t="shared" si="11"/>
        <v>1.4482758620689655</v>
      </c>
      <c r="W23" s="7">
        <f t="shared" si="11"/>
        <v>1.25</v>
      </c>
      <c r="X23" s="7">
        <f t="shared" si="11"/>
        <v>1.25</v>
      </c>
      <c r="Y23" s="7">
        <f t="shared" si="11"/>
        <v>1.0476190476190477</v>
      </c>
      <c r="Z23" s="7">
        <f t="shared" si="11"/>
        <v>2</v>
      </c>
      <c r="AA23" s="7">
        <f t="shared" si="11"/>
        <v>1.1818181818181819</v>
      </c>
      <c r="AB23" s="7">
        <f t="shared" si="11"/>
        <v>1.25</v>
      </c>
      <c r="AC23" s="7">
        <f t="shared" si="11"/>
        <v>1.7241379310344827</v>
      </c>
      <c r="AD23" s="7">
        <f t="shared" si="11"/>
        <v>1.1176470588235294</v>
      </c>
      <c r="AE23" s="7">
        <f t="shared" si="11"/>
        <v>1.3636363636363635</v>
      </c>
      <c r="AF23" s="7">
        <f t="shared" si="11"/>
        <v>1.7</v>
      </c>
      <c r="AG23" s="7">
        <f t="shared" si="11"/>
        <v>1.375</v>
      </c>
      <c r="AH23" s="7">
        <f t="shared" si="11"/>
        <v>1.2068965517241379</v>
      </c>
      <c r="AI23" s="7">
        <f t="shared" si="11"/>
        <v>1.1538461538461537</v>
      </c>
      <c r="AJ23" s="7">
        <f t="shared" si="11"/>
        <v>1.9375</v>
      </c>
      <c r="AK23" s="7">
        <f t="shared" si="11"/>
        <v>1.85</v>
      </c>
      <c r="AL23" s="7">
        <f t="shared" si="11"/>
        <v>1.5</v>
      </c>
      <c r="AM23" s="7">
        <f t="shared" si="11"/>
        <v>1.0930232558139534</v>
      </c>
      <c r="AN23" s="7">
        <f t="shared" si="11"/>
        <v>1.4</v>
      </c>
      <c r="AO23" s="7">
        <f t="shared" si="11"/>
        <v>1.875</v>
      </c>
      <c r="AP23" s="7">
        <f t="shared" si="11"/>
        <v>1.173913043478261</v>
      </c>
      <c r="AQ23" s="7">
        <f t="shared" si="11"/>
        <v>0.95238095238095233</v>
      </c>
      <c r="AR23" s="7">
        <f t="shared" si="11"/>
        <v>1.2727272727272727</v>
      </c>
      <c r="AS23" s="7">
        <f t="shared" si="11"/>
        <v>1.7333333333333334</v>
      </c>
      <c r="AT23" s="7">
        <f t="shared" si="11"/>
        <v>1.1428571428571428</v>
      </c>
    </row>
  </sheetData>
  <sortState ref="B3:BC19">
    <sortCondition ref="B3:B19"/>
  </sortState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2:AS32"/>
  <sheetViews>
    <sheetView tabSelected="1" workbookViewId="0">
      <selection activeCell="F16" sqref="F16"/>
    </sheetView>
  </sheetViews>
  <sheetFormatPr defaultRowHeight="15"/>
  <cols>
    <col min="2" max="2" width="12.28515625" bestFit="1" customWidth="1"/>
    <col min="3" max="3" width="13.7109375" customWidth="1"/>
    <col min="4" max="4" width="9.7109375" bestFit="1" customWidth="1"/>
    <col min="5" max="5" width="8.7109375" bestFit="1" customWidth="1"/>
    <col min="6" max="6" width="6.7109375" bestFit="1" customWidth="1"/>
    <col min="7" max="7" width="17.5703125" customWidth="1"/>
    <col min="8" max="8" width="8.7109375" customWidth="1"/>
    <col min="9" max="9" width="11.28515625" bestFit="1" customWidth="1"/>
    <col min="10" max="10" width="7.85546875" bestFit="1" customWidth="1"/>
    <col min="11" max="11" width="10.42578125" bestFit="1" customWidth="1"/>
    <col min="12" max="12" width="9" bestFit="1" customWidth="1"/>
    <col min="13" max="13" width="6.28515625" bestFit="1" customWidth="1"/>
    <col min="14" max="14" width="8" bestFit="1" customWidth="1"/>
    <col min="15" max="15" width="8.42578125" customWidth="1"/>
    <col min="16" max="16" width="6.7109375" bestFit="1" customWidth="1"/>
    <col min="17" max="17" width="10.5703125" bestFit="1" customWidth="1"/>
    <col min="18" max="18" width="9.42578125" bestFit="1" customWidth="1"/>
    <col min="19" max="20" width="9" bestFit="1" customWidth="1"/>
    <col min="21" max="21" width="8.5703125" bestFit="1" customWidth="1"/>
    <col min="22" max="22" width="7.28515625" bestFit="1" customWidth="1"/>
    <col min="23" max="23" width="9.28515625" bestFit="1" customWidth="1"/>
    <col min="24" max="24" width="7.5703125" bestFit="1" customWidth="1"/>
    <col min="25" max="25" width="11.42578125" bestFit="1" customWidth="1"/>
    <col min="26" max="26" width="10.28515625" bestFit="1" customWidth="1"/>
    <col min="27" max="27" width="8.42578125" bestFit="1" customWidth="1"/>
    <col min="28" max="28" width="7.140625" bestFit="1" customWidth="1"/>
    <col min="29" max="29" width="13.42578125" bestFit="1" customWidth="1"/>
    <col min="30" max="30" width="11.42578125" bestFit="1" customWidth="1"/>
    <col min="31" max="31" width="13.7109375" bestFit="1" customWidth="1"/>
    <col min="32" max="32" width="9.85546875" bestFit="1" customWidth="1"/>
    <col min="33" max="33" width="9.7109375" bestFit="1" customWidth="1"/>
    <col min="34" max="34" width="17.7109375" bestFit="1" customWidth="1"/>
    <col min="35" max="35" width="9" bestFit="1" customWidth="1"/>
    <col min="37" max="37" width="12.28515625" bestFit="1" customWidth="1"/>
    <col min="38" max="38" width="10.42578125" bestFit="1" customWidth="1"/>
    <col min="39" max="39" width="23.7109375" bestFit="1" customWidth="1"/>
    <col min="40" max="40" width="5.7109375" bestFit="1" customWidth="1"/>
    <col min="41" max="41" width="10.140625" bestFit="1" customWidth="1"/>
    <col min="42" max="42" width="11.140625" bestFit="1" customWidth="1"/>
    <col min="43" max="43" width="10.140625" bestFit="1" customWidth="1"/>
    <col min="44" max="44" width="4.85546875" bestFit="1" customWidth="1"/>
    <col min="45" max="45" width="7.28515625" bestFit="1" customWidth="1"/>
  </cols>
  <sheetData>
    <row r="2" spans="1:45"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2" t="s">
        <v>20</v>
      </c>
      <c r="W2" s="12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2" t="s">
        <v>26</v>
      </c>
      <c r="AC2" s="12" t="s">
        <v>27</v>
      </c>
      <c r="AD2" s="12" t="s">
        <v>28</v>
      </c>
      <c r="AE2" s="12" t="s">
        <v>29</v>
      </c>
      <c r="AF2" s="12" t="s">
        <v>30</v>
      </c>
      <c r="AG2" s="12" t="s">
        <v>31</v>
      </c>
      <c r="AH2" s="12" t="s">
        <v>32</v>
      </c>
      <c r="AI2" s="12" t="s">
        <v>33</v>
      </c>
      <c r="AJ2" s="12" t="s">
        <v>34</v>
      </c>
      <c r="AK2" s="12" t="s">
        <v>35</v>
      </c>
      <c r="AL2" s="12" t="s">
        <v>36</v>
      </c>
      <c r="AM2" s="12" t="s">
        <v>37</v>
      </c>
      <c r="AN2" s="12" t="s">
        <v>38</v>
      </c>
      <c r="AO2" s="12" t="s">
        <v>39</v>
      </c>
      <c r="AP2" s="12" t="s">
        <v>40</v>
      </c>
      <c r="AQ2" s="12" t="s">
        <v>41</v>
      </c>
      <c r="AR2" s="12" t="s">
        <v>42</v>
      </c>
      <c r="AS2" s="12" t="s">
        <v>43</v>
      </c>
    </row>
    <row r="3" spans="1:45">
      <c r="A3" t="s">
        <v>46</v>
      </c>
      <c r="B3" s="8">
        <v>4.6464646464646465E-2</v>
      </c>
      <c r="C3" s="11"/>
      <c r="D3" s="8">
        <v>7.7171717171717155E-2</v>
      </c>
      <c r="E3" s="11"/>
      <c r="F3" s="11"/>
      <c r="G3" s="11"/>
      <c r="H3" s="11"/>
      <c r="I3" s="8">
        <v>3.8942617666021945E-2</v>
      </c>
      <c r="J3" s="8">
        <v>6.7942583732057416E-2</v>
      </c>
      <c r="K3" s="8">
        <v>8.5151515151515131E-2</v>
      </c>
      <c r="L3" s="11"/>
      <c r="M3" s="11"/>
      <c r="N3" s="8">
        <v>0.14805194805194807</v>
      </c>
      <c r="O3" s="8">
        <v>7.4125874125874125E-2</v>
      </c>
      <c r="P3" s="8">
        <v>5.9932659932659935E-2</v>
      </c>
      <c r="Q3" s="8">
        <v>8.0926916221033873E-2</v>
      </c>
      <c r="R3" s="11"/>
      <c r="S3" s="11"/>
      <c r="T3" s="11"/>
      <c r="U3" s="8">
        <v>5.6217345872518261E-2</v>
      </c>
      <c r="V3" s="8">
        <v>4.4545454545454541E-2</v>
      </c>
      <c r="W3" s="8">
        <v>4.5757575757575761E-2</v>
      </c>
      <c r="X3" s="11"/>
      <c r="Y3" s="8">
        <v>0.12848484848484848</v>
      </c>
      <c r="Z3" s="11"/>
      <c r="AA3" s="8">
        <v>3.5227272727272725E-2</v>
      </c>
      <c r="AB3" s="8">
        <v>5.9143155694879837E-2</v>
      </c>
      <c r="AC3" s="11"/>
      <c r="AD3" s="8">
        <v>5.3443526170798887E-2</v>
      </c>
      <c r="AE3" s="8">
        <v>6.5454545454545446E-2</v>
      </c>
      <c r="AF3" s="8">
        <v>3.2323232323232323E-2</v>
      </c>
      <c r="AG3" s="8">
        <v>2.4451410658307211E-2</v>
      </c>
      <c r="AH3" s="11"/>
      <c r="AI3" s="11"/>
      <c r="AJ3" s="8">
        <v>0.11424242424242423</v>
      </c>
      <c r="AK3" s="11"/>
      <c r="AL3" s="11"/>
      <c r="AM3" s="8">
        <v>4.6666666666666655E-2</v>
      </c>
      <c r="AN3" s="8">
        <v>6.3636363636363644E-2</v>
      </c>
      <c r="AO3" s="8">
        <v>4.4795783926218725E-2</v>
      </c>
      <c r="AP3" s="11"/>
      <c r="AQ3" s="8">
        <v>6.556473829201101E-2</v>
      </c>
      <c r="AR3" s="8">
        <v>0.11595959595959596</v>
      </c>
      <c r="AS3" s="11"/>
    </row>
    <row r="4" spans="1:45">
      <c r="A4" t="s">
        <v>75</v>
      </c>
      <c r="B4" s="11"/>
      <c r="C4" s="8">
        <v>4.0151515151515153E-2</v>
      </c>
      <c r="D4" s="11"/>
      <c r="E4" s="8">
        <v>1.3468013468013486E-3</v>
      </c>
      <c r="F4" s="8">
        <v>2.8686868686868691E-2</v>
      </c>
      <c r="G4" s="8">
        <v>2.1487603305785127E-2</v>
      </c>
      <c r="H4" s="8">
        <v>2.5974025974025978E-3</v>
      </c>
      <c r="I4" s="11"/>
      <c r="J4" s="11"/>
      <c r="K4" s="11"/>
      <c r="L4" s="8">
        <v>5.050505050505049E-2</v>
      </c>
      <c r="M4" s="8">
        <v>5.4545454545454529E-2</v>
      </c>
      <c r="N4" s="11"/>
      <c r="O4" s="11"/>
      <c r="P4" s="11"/>
      <c r="Q4" s="11"/>
      <c r="R4" s="8">
        <v>1.0101010101010105E-2</v>
      </c>
      <c r="S4" s="8">
        <v>1.2121212121212119E-2</v>
      </c>
      <c r="T4" s="8">
        <v>5.1515151515151521E-2</v>
      </c>
      <c r="U4" s="11"/>
      <c r="V4" s="11"/>
      <c r="W4" s="11"/>
      <c r="X4" s="8">
        <v>5.387205387205384E-3</v>
      </c>
      <c r="Y4" s="11"/>
      <c r="Z4" s="8">
        <v>-6.0606060606060554E-3</v>
      </c>
      <c r="AA4" s="11"/>
      <c r="AB4" s="11"/>
      <c r="AC4" s="8">
        <v>6.0606060606060623E-3</v>
      </c>
      <c r="AD4" s="11"/>
      <c r="AE4" s="11"/>
      <c r="AF4" s="11"/>
      <c r="AG4" s="11"/>
      <c r="AH4" s="8">
        <v>5.4545454545454529E-2</v>
      </c>
      <c r="AI4" s="8">
        <v>5.9090909090909076E-2</v>
      </c>
      <c r="AJ4" s="11"/>
      <c r="AK4" s="8">
        <v>4.2424242424242427E-2</v>
      </c>
      <c r="AL4" s="8">
        <v>1.2403100775193802E-2</v>
      </c>
      <c r="AM4" s="11"/>
      <c r="AN4" s="11"/>
      <c r="AO4" s="11"/>
      <c r="AP4" s="8">
        <v>-2.8860028860028869E-3</v>
      </c>
      <c r="AQ4" s="11"/>
      <c r="AR4" s="11"/>
      <c r="AS4" s="8">
        <v>7.7922077922077879E-3</v>
      </c>
    </row>
    <row r="5" spans="1: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7" spans="1:45">
      <c r="C7" t="s">
        <v>47</v>
      </c>
      <c r="D7" t="s">
        <v>46</v>
      </c>
      <c r="G7" t="s">
        <v>47</v>
      </c>
      <c r="H7" t="s">
        <v>48</v>
      </c>
    </row>
    <row r="8" spans="1:45">
      <c r="C8" t="s">
        <v>12</v>
      </c>
      <c r="D8">
        <v>0.14805194805194807</v>
      </c>
      <c r="G8" t="s">
        <v>33</v>
      </c>
      <c r="H8">
        <v>5.9090909090909076E-2</v>
      </c>
    </row>
    <row r="9" spans="1:45">
      <c r="C9" t="s">
        <v>23</v>
      </c>
      <c r="D9">
        <v>0.12848484848484848</v>
      </c>
      <c r="G9" t="s">
        <v>11</v>
      </c>
      <c r="H9">
        <v>5.4545454545454529E-2</v>
      </c>
    </row>
    <row r="10" spans="1:45">
      <c r="C10" t="s">
        <v>42</v>
      </c>
      <c r="D10">
        <v>0.11595959595959596</v>
      </c>
      <c r="G10" t="s">
        <v>77</v>
      </c>
      <c r="H10">
        <v>5.4545454545454529E-2</v>
      </c>
    </row>
    <row r="11" spans="1:45">
      <c r="C11" t="s">
        <v>34</v>
      </c>
      <c r="D11">
        <v>0.11424242424242423</v>
      </c>
      <c r="G11" t="s">
        <v>18</v>
      </c>
      <c r="H11">
        <v>5.1515151515151521E-2</v>
      </c>
    </row>
    <row r="12" spans="1:45">
      <c r="C12" t="s">
        <v>9</v>
      </c>
      <c r="D12">
        <v>8.5151515151515131E-2</v>
      </c>
      <c r="G12" t="s">
        <v>10</v>
      </c>
      <c r="H12">
        <v>5.050505050505049E-2</v>
      </c>
    </row>
    <row r="13" spans="1:45">
      <c r="C13" t="s">
        <v>15</v>
      </c>
      <c r="D13">
        <v>8.0926916221033873E-2</v>
      </c>
      <c r="G13" t="s">
        <v>76</v>
      </c>
      <c r="H13">
        <v>4.2424242424242427E-2</v>
      </c>
    </row>
    <row r="14" spans="1:45">
      <c r="C14" t="s">
        <v>2</v>
      </c>
      <c r="D14">
        <v>7.7171717171717155E-2</v>
      </c>
      <c r="G14" t="s">
        <v>1</v>
      </c>
      <c r="H14">
        <v>4.0151515151515153E-2</v>
      </c>
    </row>
    <row r="15" spans="1:45">
      <c r="C15" t="s">
        <v>13</v>
      </c>
      <c r="D15">
        <v>7.4125874125874125E-2</v>
      </c>
      <c r="G15" t="s">
        <v>4</v>
      </c>
      <c r="H15">
        <v>2.8686868686868691E-2</v>
      </c>
    </row>
    <row r="16" spans="1:45">
      <c r="C16" t="s">
        <v>8</v>
      </c>
      <c r="D16">
        <v>6.7942583732057416E-2</v>
      </c>
      <c r="G16" t="s">
        <v>5</v>
      </c>
      <c r="H16">
        <v>2.1487603305785127E-2</v>
      </c>
    </row>
    <row r="17" spans="3:8">
      <c r="C17" t="s">
        <v>41</v>
      </c>
      <c r="D17">
        <v>6.556473829201101E-2</v>
      </c>
      <c r="G17" t="s">
        <v>36</v>
      </c>
      <c r="H17">
        <v>1.2403100775193802E-2</v>
      </c>
    </row>
    <row r="18" spans="3:8">
      <c r="C18" t="s">
        <v>29</v>
      </c>
      <c r="D18">
        <v>6.5454545454545446E-2</v>
      </c>
      <c r="G18" t="s">
        <v>17</v>
      </c>
      <c r="H18">
        <v>1.2121212121212119E-2</v>
      </c>
    </row>
    <row r="19" spans="3:8">
      <c r="C19" t="s">
        <v>38</v>
      </c>
      <c r="D19">
        <v>6.3636363636363644E-2</v>
      </c>
      <c r="G19" t="s">
        <v>16</v>
      </c>
      <c r="H19">
        <v>1.0101010101010105E-2</v>
      </c>
    </row>
    <row r="20" spans="3:8">
      <c r="C20" t="s">
        <v>14</v>
      </c>
      <c r="D20">
        <v>5.9932659932659935E-2</v>
      </c>
      <c r="G20" t="s">
        <v>43</v>
      </c>
      <c r="H20">
        <v>7.7922077922077879E-3</v>
      </c>
    </row>
    <row r="21" spans="3:8">
      <c r="C21" t="s">
        <v>26</v>
      </c>
      <c r="D21">
        <v>5.9143155694879837E-2</v>
      </c>
      <c r="G21" t="s">
        <v>27</v>
      </c>
      <c r="H21">
        <v>6.0606060606060623E-3</v>
      </c>
    </row>
    <row r="22" spans="3:8">
      <c r="C22" t="s">
        <v>19</v>
      </c>
      <c r="D22">
        <v>5.6217345872518261E-2</v>
      </c>
      <c r="G22" t="s">
        <v>22</v>
      </c>
      <c r="H22">
        <v>5.387205387205384E-3</v>
      </c>
    </row>
    <row r="23" spans="3:8">
      <c r="C23" t="s">
        <v>28</v>
      </c>
      <c r="D23">
        <v>5.3443526170798887E-2</v>
      </c>
      <c r="G23" t="s">
        <v>6</v>
      </c>
      <c r="H23">
        <v>2.5974025974025978E-3</v>
      </c>
    </row>
    <row r="24" spans="3:8">
      <c r="C24" t="s">
        <v>37</v>
      </c>
      <c r="D24">
        <v>4.6666666666666655E-2</v>
      </c>
      <c r="G24" t="s">
        <v>3</v>
      </c>
      <c r="H24">
        <v>1.3468013468013486E-3</v>
      </c>
    </row>
    <row r="25" spans="3:8">
      <c r="C25" t="s">
        <v>0</v>
      </c>
      <c r="D25">
        <v>4.6464646464646465E-2</v>
      </c>
      <c r="G25" t="s">
        <v>40</v>
      </c>
      <c r="H25">
        <v>-2.8860028860028869E-3</v>
      </c>
    </row>
    <row r="26" spans="3:8">
      <c r="C26" t="s">
        <v>21</v>
      </c>
      <c r="D26">
        <v>4.5757575757575761E-2</v>
      </c>
      <c r="G26" t="s">
        <v>24</v>
      </c>
      <c r="H26">
        <v>-6.0606060606060554E-3</v>
      </c>
    </row>
    <row r="27" spans="3:8">
      <c r="C27" t="s">
        <v>39</v>
      </c>
      <c r="D27">
        <v>4.4795783926218725E-2</v>
      </c>
    </row>
    <row r="28" spans="3:8">
      <c r="C28" t="s">
        <v>20</v>
      </c>
      <c r="D28">
        <v>4.4545454545454541E-2</v>
      </c>
    </row>
    <row r="29" spans="3:8">
      <c r="C29" t="s">
        <v>7</v>
      </c>
      <c r="D29">
        <v>3.8942617666021945E-2</v>
      </c>
    </row>
    <row r="30" spans="3:8">
      <c r="C30" t="s">
        <v>25</v>
      </c>
      <c r="D30">
        <v>3.5227272727272725E-2</v>
      </c>
    </row>
    <row r="31" spans="3:8">
      <c r="C31" t="s">
        <v>30</v>
      </c>
      <c r="D31">
        <v>3.2323232323232323E-2</v>
      </c>
    </row>
    <row r="32" spans="3:8">
      <c r="C32" t="s">
        <v>31</v>
      </c>
      <c r="D32">
        <v>2.4451410658307211E-2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Sheet1</vt:lpstr>
      <vt:lpstr>Bath and Wells</vt:lpstr>
      <vt:lpstr>Birmingham</vt:lpstr>
      <vt:lpstr>Blackburn</vt:lpstr>
      <vt:lpstr>Bradford</vt:lpstr>
      <vt:lpstr>Bristol</vt:lpstr>
      <vt:lpstr>Canterbury</vt:lpstr>
      <vt:lpstr>Carlisle</vt:lpstr>
      <vt:lpstr>Chelmsford</vt:lpstr>
      <vt:lpstr>Chester</vt:lpstr>
      <vt:lpstr>Chichester</vt:lpstr>
      <vt:lpstr>Coventry</vt:lpstr>
      <vt:lpstr>Derby</vt:lpstr>
      <vt:lpstr>Durham</vt:lpstr>
      <vt:lpstr>Ely</vt:lpstr>
      <vt:lpstr>Exeter</vt:lpstr>
      <vt:lpstr>Gloucester</vt:lpstr>
      <vt:lpstr>Guildford</vt:lpstr>
      <vt:lpstr>Hereford</vt:lpstr>
      <vt:lpstr>Leicester</vt:lpstr>
      <vt:lpstr>Lichfield</vt:lpstr>
      <vt:lpstr>Lincoln</vt:lpstr>
      <vt:lpstr>Liverpool</vt:lpstr>
      <vt:lpstr>London</vt:lpstr>
      <vt:lpstr>Manchester</vt:lpstr>
      <vt:lpstr>Newcastle</vt:lpstr>
      <vt:lpstr>Norwich</vt:lpstr>
      <vt:lpstr>Oxford</vt:lpstr>
      <vt:lpstr>Peterborough</vt:lpstr>
      <vt:lpstr>Portsmouth</vt:lpstr>
      <vt:lpstr>Ripon and Leeds</vt:lpstr>
      <vt:lpstr>Rochester</vt:lpstr>
      <vt:lpstr>St Albans</vt:lpstr>
      <vt:lpstr>St Eds and Ispwich</vt:lpstr>
      <vt:lpstr>Salisbury</vt:lpstr>
      <vt:lpstr>Sheffield</vt:lpstr>
      <vt:lpstr>Sodor and Man</vt:lpstr>
      <vt:lpstr>Southwark</vt:lpstr>
      <vt:lpstr>Southwell</vt:lpstr>
      <vt:lpstr>Truro</vt:lpstr>
      <vt:lpstr>Wakefield</vt:lpstr>
      <vt:lpstr>Winchester</vt:lpstr>
      <vt:lpstr>Worcester</vt:lpstr>
      <vt:lpstr>York</vt:lpstr>
      <vt:lpstr>Europe</vt:lpstr>
      <vt:lpstr>Data</vt:lpstr>
      <vt:lpstr>Ranking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2012-07-26T15:12:45Z</dcterms:created>
  <dcterms:modified xsi:type="dcterms:W3CDTF">2012-09-21T09:37:47Z</dcterms:modified>
</cp:coreProperties>
</file>