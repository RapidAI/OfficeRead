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600" windowWidth="18555" windowHeight="7935" firstSheet="1" activeTab="1"/>
  </bookViews>
  <sheets>
    <sheet name="HIV Incidence-Proportion &amp; Orga" sheetId="4" r:id="rId1"/>
    <sheet name="Scope of Work Example " sheetId="12" r:id="rId2"/>
    <sheet name="Blank Scope of Work Example" sheetId="13" r:id="rId3"/>
  </sheets>
  <calcPr calcId="125725" concurrentCalc="0"/>
</workbook>
</file>

<file path=xl/calcChain.xml><?xml version="1.0" encoding="utf-8"?>
<calcChain xmlns="http://schemas.openxmlformats.org/spreadsheetml/2006/main">
  <c r="H3" i="4"/>
  <c r="G3"/>
  <c r="H5"/>
  <c r="G5"/>
  <c r="H6"/>
  <c r="G6"/>
  <c r="H4"/>
  <c r="G4"/>
  <c r="H7"/>
  <c r="G7"/>
  <c r="H9"/>
  <c r="G9"/>
  <c r="H10"/>
  <c r="G10"/>
  <c r="H8"/>
  <c r="G8"/>
  <c r="H11"/>
  <c r="G11"/>
  <c r="H12"/>
  <c r="G12"/>
  <c r="H14"/>
  <c r="G14"/>
  <c r="H15"/>
  <c r="G15"/>
  <c r="H13"/>
  <c r="G13"/>
  <c r="H16"/>
  <c r="G16"/>
  <c r="H18"/>
  <c r="G18"/>
  <c r="H17"/>
  <c r="G17"/>
  <c r="G19"/>
  <c r="F3"/>
  <c r="F5"/>
  <c r="F6"/>
  <c r="F4"/>
  <c r="F7"/>
  <c r="F9"/>
  <c r="F10"/>
  <c r="F8"/>
  <c r="F11"/>
  <c r="F12"/>
  <c r="F14"/>
  <c r="F15"/>
  <c r="F13"/>
  <c r="F16"/>
  <c r="F18"/>
  <c r="F17"/>
  <c r="F19"/>
  <c r="E3"/>
  <c r="E5"/>
  <c r="E6"/>
  <c r="E4"/>
  <c r="E7"/>
  <c r="E9"/>
  <c r="E10"/>
  <c r="E8"/>
  <c r="E11"/>
  <c r="E12"/>
  <c r="E14"/>
  <c r="E15"/>
  <c r="E13"/>
  <c r="E16"/>
  <c r="E18"/>
  <c r="E17"/>
  <c r="E19"/>
</calcChain>
</file>

<file path=xl/sharedStrings.xml><?xml version="1.0" encoding="utf-8"?>
<sst xmlns="http://schemas.openxmlformats.org/spreadsheetml/2006/main" count="194" uniqueCount="46">
  <si>
    <t>Total</t>
  </si>
  <si>
    <t>IDU</t>
  </si>
  <si>
    <t>MSM/IDU</t>
  </si>
  <si>
    <t>Heterosexual</t>
  </si>
  <si>
    <t>Perinatal</t>
  </si>
  <si>
    <t>MSM</t>
  </si>
  <si>
    <t>API &amp; Other</t>
  </si>
  <si>
    <t>African American</t>
  </si>
  <si>
    <t>White</t>
  </si>
  <si>
    <t>Hispanic</t>
  </si>
  <si>
    <t>Small Budget</t>
  </si>
  <si>
    <t>Medium Budget</t>
  </si>
  <si>
    <t>Large Budget</t>
  </si>
  <si>
    <t>Distribution by HIV Incidence-Proportion and Organization Budget Size</t>
  </si>
  <si>
    <t>% Cases*</t>
  </si>
  <si>
    <t>*Percentages are based upon Illinois CY2010 HIV/AIDS Diagnoses (excluding incarcerated populations) with reported  race/ ethnicity, and exposure risk.</t>
  </si>
  <si>
    <t>Sero</t>
  </si>
  <si>
    <t>Race/Ethnicity Risk</t>
  </si>
  <si>
    <t>Total Funding Requested</t>
  </si>
  <si>
    <t>for</t>
  </si>
  <si>
    <t>HIV+</t>
  </si>
  <si>
    <t>Black MSM</t>
  </si>
  <si>
    <t>Black IDU</t>
  </si>
  <si>
    <t>Black HRH</t>
  </si>
  <si>
    <t>Black MSM-IDU</t>
  </si>
  <si>
    <t>Hispanic MSM</t>
  </si>
  <si>
    <t>Hispanic IDU</t>
  </si>
  <si>
    <t>Hispanic HRH</t>
  </si>
  <si>
    <t>Hispanic MSM-IDU</t>
  </si>
  <si>
    <t>OtherRace MSM</t>
  </si>
  <si>
    <t>OtherRace IDU</t>
  </si>
  <si>
    <t>OtherRace HRH</t>
  </si>
  <si>
    <t>OtherRace MSM-IDU</t>
  </si>
  <si>
    <t>HIV-Neg/Unk</t>
  </si>
  <si>
    <t>Population Specifiers (optional)</t>
  </si>
  <si>
    <t>Intervention Name</t>
  </si>
  <si>
    <t xml:space="preserve">HIV - </t>
  </si>
  <si>
    <t>Females</t>
  </si>
  <si>
    <t>Location</t>
  </si>
  <si>
    <t>Many Men Many Voices</t>
  </si>
  <si>
    <t>Harvey 100 Club (substance abuse agency)</t>
  </si>
  <si>
    <t>2-day retreat at Holiday Inn in Bloomingdale, IL</t>
  </si>
  <si>
    <t>Planned # of Interventions</t>
  </si>
  <si>
    <t xml:space="preserve"> Clients Intended </t>
  </si>
  <si>
    <t>HIV CTR</t>
  </si>
  <si>
    <t>E</t>
  </si>
</sst>
</file>

<file path=xl/styles.xml><?xml version="1.0" encoding="utf-8"?>
<styleSheet xmlns="http://schemas.openxmlformats.org/spreadsheetml/2006/main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#,##0.00[$%-409]"/>
    <numFmt numFmtId="166" formatCode="_(&quot;$&quot;* #,##0_);_(&quot;$&quot;* \(#,##0\);_(&quot;$&quot;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2"/>
      <color rgb="FF002288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0"/>
      <name val="Times New Roman"/>
      <family val="1"/>
    </font>
    <font>
      <b/>
      <sz val="11"/>
      <color theme="0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6" fillId="0" borderId="0" xfId="0" applyFont="1" applyBorder="1"/>
    <xf numFmtId="0" fontId="7" fillId="2" borderId="0" xfId="0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left"/>
    </xf>
    <xf numFmtId="0" fontId="6" fillId="0" borderId="0" xfId="0" applyFont="1" applyFill="1" applyBorder="1"/>
    <xf numFmtId="0" fontId="4" fillId="0" borderId="0" xfId="0" applyFont="1" applyBorder="1"/>
    <xf numFmtId="164" fontId="4" fillId="0" borderId="0" xfId="0" applyNumberFormat="1" applyFont="1" applyBorder="1"/>
    <xf numFmtId="0" fontId="0" fillId="0" borderId="0" xfId="0" applyBorder="1"/>
    <xf numFmtId="164" fontId="8" fillId="0" borderId="0" xfId="0" applyNumberFormat="1" applyFont="1" applyBorder="1"/>
    <xf numFmtId="164" fontId="4" fillId="3" borderId="0" xfId="0" applyNumberFormat="1" applyFont="1" applyFill="1" applyBorder="1"/>
    <xf numFmtId="164" fontId="5" fillId="3" borderId="0" xfId="0" applyNumberFormat="1" applyFont="1" applyFill="1" applyBorder="1"/>
    <xf numFmtId="164" fontId="9" fillId="0" borderId="0" xfId="0" applyNumberFormat="1" applyFont="1" applyBorder="1"/>
    <xf numFmtId="6" fontId="9" fillId="0" borderId="0" xfId="0" applyNumberFormat="1" applyFont="1" applyBorder="1"/>
    <xf numFmtId="6" fontId="4" fillId="0" borderId="0" xfId="0" applyNumberFormat="1" applyFont="1" applyBorder="1"/>
    <xf numFmtId="0" fontId="2" fillId="0" borderId="0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9" fontId="6" fillId="0" borderId="0" xfId="2" applyFont="1" applyBorder="1" applyAlignment="1">
      <alignment horizontal="right"/>
    </xf>
    <xf numFmtId="9" fontId="10" fillId="0" borderId="0" xfId="2" applyFont="1" applyBorder="1" applyAlignment="1">
      <alignment horizontal="right"/>
    </xf>
    <xf numFmtId="0" fontId="0" fillId="0" borderId="2" xfId="0" applyBorder="1"/>
    <xf numFmtId="0" fontId="3" fillId="0" borderId="4" xfId="0" applyFont="1" applyBorder="1"/>
    <xf numFmtId="0" fontId="9" fillId="0" borderId="0" xfId="0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164" fontId="4" fillId="0" borderId="0" xfId="0" applyNumberFormat="1" applyFont="1" applyBorder="1" applyAlignment="1">
      <alignment horizontal="right"/>
    </xf>
    <xf numFmtId="164" fontId="9" fillId="0" borderId="0" xfId="1" applyNumberFormat="1" applyFont="1" applyBorder="1"/>
    <xf numFmtId="0" fontId="3" fillId="0" borderId="1" xfId="0" applyFont="1" applyBorder="1"/>
    <xf numFmtId="9" fontId="0" fillId="0" borderId="0" xfId="0" applyNumberFormat="1"/>
    <xf numFmtId="164" fontId="5" fillId="0" borderId="5" xfId="0" applyNumberFormat="1" applyFont="1" applyFill="1" applyBorder="1"/>
    <xf numFmtId="6" fontId="11" fillId="0" borderId="0" xfId="0" applyNumberFormat="1" applyFont="1" applyBorder="1"/>
    <xf numFmtId="164" fontId="5" fillId="0" borderId="0" xfId="0" applyNumberFormat="1" applyFont="1" applyFill="1" applyBorder="1" applyAlignment="1">
      <alignment horizontal="right" wrapText="1"/>
    </xf>
    <xf numFmtId="164" fontId="5" fillId="0" borderId="9" xfId="0" applyNumberFormat="1" applyFont="1" applyFill="1" applyBorder="1"/>
    <xf numFmtId="164" fontId="5" fillId="0" borderId="10" xfId="0" applyNumberFormat="1" applyFont="1" applyFill="1" applyBorder="1"/>
    <xf numFmtId="164" fontId="5" fillId="0" borderId="3" xfId="0" applyNumberFormat="1" applyFont="1" applyFill="1" applyBorder="1"/>
    <xf numFmtId="9" fontId="4" fillId="0" borderId="1" xfId="2" applyFont="1" applyBorder="1"/>
    <xf numFmtId="9" fontId="4" fillId="0" borderId="4" xfId="2" applyFont="1" applyBorder="1"/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wrapText="1"/>
    </xf>
    <xf numFmtId="164" fontId="5" fillId="0" borderId="10" xfId="1" applyNumberFormat="1" applyFont="1" applyFill="1" applyBorder="1"/>
    <xf numFmtId="164" fontId="5" fillId="0" borderId="5" xfId="1" applyNumberFormat="1" applyFont="1" applyFill="1" applyBorder="1"/>
    <xf numFmtId="0" fontId="3" fillId="0" borderId="0" xfId="0" applyFont="1" applyBorder="1" applyAlignment="1">
      <alignment vertical="top"/>
    </xf>
    <xf numFmtId="0" fontId="6" fillId="0" borderId="6" xfId="0" applyFont="1" applyBorder="1"/>
    <xf numFmtId="0" fontId="7" fillId="0" borderId="8" xfId="0" applyFont="1" applyFill="1" applyBorder="1" applyAlignment="1">
      <alignment horizontal="center" vertical="top" wrapText="1"/>
    </xf>
    <xf numFmtId="165" fontId="12" fillId="0" borderId="0" xfId="0" applyNumberFormat="1" applyFont="1" applyBorder="1" applyAlignment="1">
      <alignment horizontal="center" wrapText="1"/>
    </xf>
    <xf numFmtId="165" fontId="12" fillId="4" borderId="0" xfId="0" applyNumberFormat="1" applyFont="1" applyFill="1" applyBorder="1" applyAlignment="1">
      <alignment horizontal="center" wrapText="1"/>
    </xf>
    <xf numFmtId="165" fontId="12" fillId="0" borderId="0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0" fillId="0" borderId="0" xfId="0" applyFont="1"/>
    <xf numFmtId="165" fontId="5" fillId="0" borderId="6" xfId="0" applyNumberFormat="1" applyFont="1" applyBorder="1" applyAlignment="1">
      <alignment horizontal="center" wrapText="1"/>
    </xf>
    <xf numFmtId="165" fontId="5" fillId="0" borderId="7" xfId="0" applyNumberFormat="1" applyFont="1" applyBorder="1" applyAlignment="1">
      <alignment horizontal="center" wrapText="1"/>
    </xf>
    <xf numFmtId="165" fontId="4" fillId="0" borderId="7" xfId="0" applyNumberFormat="1" applyFont="1" applyBorder="1" applyAlignment="1">
      <alignment horizontal="left" wrapText="1"/>
    </xf>
    <xf numFmtId="0" fontId="4" fillId="4" borderId="7" xfId="0" applyFont="1" applyFill="1" applyBorder="1"/>
    <xf numFmtId="0" fontId="0" fillId="0" borderId="7" xfId="0" applyFont="1" applyBorder="1"/>
    <xf numFmtId="166" fontId="4" fillId="0" borderId="8" xfId="1" applyNumberFormat="1" applyFont="1" applyFill="1" applyBorder="1"/>
    <xf numFmtId="165" fontId="5" fillId="0" borderId="1" xfId="0" applyNumberFormat="1" applyFont="1" applyBorder="1" applyAlignment="1">
      <alignment horizontal="center" wrapText="1"/>
    </xf>
    <xf numFmtId="165" fontId="5" fillId="0" borderId="2" xfId="0" applyNumberFormat="1" applyFont="1" applyBorder="1" applyAlignment="1">
      <alignment horizontal="center" wrapText="1"/>
    </xf>
    <xf numFmtId="165" fontId="4" fillId="0" borderId="2" xfId="0" applyNumberFormat="1" applyFont="1" applyBorder="1" applyAlignment="1">
      <alignment horizontal="left" wrapText="1"/>
    </xf>
    <xf numFmtId="0" fontId="13" fillId="4" borderId="2" xfId="0" applyFont="1" applyFill="1" applyBorder="1"/>
    <xf numFmtId="0" fontId="0" fillId="0" borderId="2" xfId="0" applyFont="1" applyBorder="1"/>
    <xf numFmtId="166" fontId="4" fillId="0" borderId="3" xfId="1" applyNumberFormat="1" applyFont="1" applyFill="1" applyBorder="1"/>
    <xf numFmtId="0" fontId="4" fillId="4" borderId="2" xfId="0" applyFont="1" applyFill="1" applyBorder="1"/>
    <xf numFmtId="0" fontId="0" fillId="0" borderId="0" xfId="0" applyFont="1" applyBorder="1"/>
    <xf numFmtId="165" fontId="5" fillId="0" borderId="4" xfId="0" applyNumberFormat="1" applyFont="1" applyBorder="1" applyAlignment="1">
      <alignment horizontal="center" wrapText="1"/>
    </xf>
    <xf numFmtId="165" fontId="5" fillId="0" borderId="0" xfId="0" applyNumberFormat="1" applyFont="1" applyBorder="1" applyAlignment="1">
      <alignment horizontal="center" wrapText="1"/>
    </xf>
    <xf numFmtId="165" fontId="4" fillId="0" borderId="0" xfId="0" applyNumberFormat="1" applyFont="1" applyBorder="1" applyAlignment="1">
      <alignment horizontal="left" wrapText="1"/>
    </xf>
    <xf numFmtId="0" fontId="4" fillId="4" borderId="0" xfId="0" applyFont="1" applyFill="1" applyBorder="1"/>
    <xf numFmtId="44" fontId="4" fillId="0" borderId="5" xfId="1" applyFont="1" applyFill="1" applyBorder="1"/>
    <xf numFmtId="0" fontId="13" fillId="4" borderId="0" xfId="0" applyFont="1" applyFill="1" applyBorder="1"/>
    <xf numFmtId="166" fontId="4" fillId="0" borderId="14" xfId="1" applyNumberFormat="1" applyFont="1" applyFill="1" applyBorder="1"/>
    <xf numFmtId="166" fontId="4" fillId="0" borderId="15" xfId="1" applyNumberFormat="1" applyFont="1" applyFill="1" applyBorder="1"/>
    <xf numFmtId="166" fontId="4" fillId="0" borderId="16" xfId="1" applyNumberFormat="1" applyFont="1" applyFill="1" applyBorder="1"/>
    <xf numFmtId="165" fontId="12" fillId="5" borderId="0" xfId="0" applyNumberFormat="1" applyFont="1" applyFill="1" applyBorder="1" applyAlignment="1">
      <alignment horizontal="center" wrapText="1"/>
    </xf>
    <xf numFmtId="165" fontId="9" fillId="5" borderId="0" xfId="0" applyNumberFormat="1" applyFont="1" applyFill="1" applyBorder="1" applyAlignment="1">
      <alignment horizontal="left" wrapText="1"/>
    </xf>
    <xf numFmtId="0" fontId="14" fillId="5" borderId="0" xfId="0" applyFont="1" applyFill="1" applyBorder="1"/>
    <xf numFmtId="0" fontId="9" fillId="5" borderId="0" xfId="0" applyFont="1" applyFill="1" applyBorder="1" applyAlignment="1">
      <alignment horizontal="center" wrapText="1"/>
    </xf>
    <xf numFmtId="166" fontId="9" fillId="5" borderId="14" xfId="1" applyNumberFormat="1" applyFont="1" applyFill="1" applyBorder="1"/>
    <xf numFmtId="0" fontId="3" fillId="0" borderId="11" xfId="0" applyFont="1" applyBorder="1" applyAlignment="1">
      <alignment horizontal="left" wrapText="1"/>
    </xf>
    <xf numFmtId="0" fontId="3" fillId="0" borderId="12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166" fontId="4" fillId="5" borderId="15" xfId="1" applyNumberFormat="1" applyFont="1" applyFill="1" applyBorder="1"/>
    <xf numFmtId="165" fontId="12" fillId="5" borderId="7" xfId="0" applyNumberFormat="1" applyFont="1" applyFill="1" applyBorder="1" applyAlignment="1">
      <alignment horizontal="center" wrapText="1"/>
    </xf>
    <xf numFmtId="165" fontId="9" fillId="5" borderId="7" xfId="0" applyNumberFormat="1" applyFont="1" applyFill="1" applyBorder="1" applyAlignment="1">
      <alignment horizontal="left" wrapText="1"/>
    </xf>
    <xf numFmtId="165" fontId="12" fillId="5" borderId="17" xfId="0" applyNumberFormat="1" applyFont="1" applyFill="1" applyBorder="1" applyAlignment="1">
      <alignment horizontal="center" wrapText="1"/>
    </xf>
    <xf numFmtId="0" fontId="9" fillId="5" borderId="17" xfId="0" applyFont="1" applyFill="1" applyBorder="1" applyAlignment="1">
      <alignment horizontal="center" wrapText="1"/>
    </xf>
    <xf numFmtId="0" fontId="9" fillId="5" borderId="7" xfId="0" applyFont="1" applyFill="1" applyBorder="1" applyAlignment="1">
      <alignment horizontal="center"/>
    </xf>
    <xf numFmtId="0" fontId="4" fillId="0" borderId="7" xfId="0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U69"/>
  <sheetViews>
    <sheetView workbookViewId="0">
      <selection activeCell="D27" sqref="D27"/>
    </sheetView>
  </sheetViews>
  <sheetFormatPr defaultRowHeight="15"/>
  <cols>
    <col min="1" max="1" width="4.140625" customWidth="1"/>
    <col min="2" max="2" width="15.28515625" customWidth="1"/>
    <col min="3" max="3" width="14" customWidth="1"/>
    <col min="4" max="4" width="9.42578125" customWidth="1"/>
    <col min="5" max="5" width="11" customWidth="1"/>
    <col min="6" max="6" width="12.7109375" customWidth="1"/>
    <col min="7" max="7" width="11.28515625" customWidth="1"/>
    <col min="8" max="8" width="10.28515625" customWidth="1"/>
    <col min="9" max="9" width="14.85546875" customWidth="1"/>
    <col min="10" max="10" width="10.85546875" customWidth="1"/>
    <col min="11" max="11" width="18.5703125" customWidth="1"/>
    <col min="12" max="12" width="3.28515625" customWidth="1"/>
    <col min="13" max="13" width="11" customWidth="1"/>
    <col min="14" max="14" width="7.140625" customWidth="1"/>
    <col min="15" max="15" width="11.140625" customWidth="1"/>
    <col min="16" max="16" width="26.42578125" customWidth="1"/>
  </cols>
  <sheetData>
    <row r="1" spans="2:21">
      <c r="B1" s="14" t="s">
        <v>13</v>
      </c>
      <c r="C1" s="22"/>
      <c r="D1" s="22"/>
      <c r="E1" s="31"/>
      <c r="F1" s="31"/>
      <c r="G1" s="31"/>
      <c r="L1" s="9"/>
      <c r="M1" s="18"/>
      <c r="N1" s="14"/>
      <c r="O1" s="24"/>
      <c r="P1" s="25"/>
      <c r="Q1" s="9"/>
      <c r="R1" s="9"/>
      <c r="S1" s="9"/>
      <c r="T1" s="9"/>
      <c r="U1" s="9"/>
    </row>
    <row r="2" spans="2:21" ht="36.75" customHeight="1" thickBot="1">
      <c r="B2" s="43"/>
      <c r="C2" s="43"/>
      <c r="D2" s="32" t="s">
        <v>14</v>
      </c>
      <c r="E2" s="32" t="s">
        <v>10</v>
      </c>
      <c r="F2" s="32" t="s">
        <v>11</v>
      </c>
      <c r="G2" s="32" t="s">
        <v>12</v>
      </c>
      <c r="H2" s="32" t="s">
        <v>0</v>
      </c>
      <c r="L2" s="9"/>
      <c r="M2" s="8"/>
      <c r="N2" s="14"/>
      <c r="O2" s="8"/>
      <c r="P2" s="26"/>
      <c r="Q2" s="9"/>
      <c r="R2" s="9"/>
      <c r="S2" s="9"/>
      <c r="T2" s="9"/>
      <c r="U2" s="9"/>
    </row>
    <row r="3" spans="2:21">
      <c r="B3" s="28" t="s">
        <v>7</v>
      </c>
      <c r="C3" s="38" t="s">
        <v>5</v>
      </c>
      <c r="D3" s="36">
        <v>0.28770301624129929</v>
      </c>
      <c r="E3" s="33">
        <f t="shared" ref="E3:E18" si="0">H3*0.5</f>
        <v>345243.61948955915</v>
      </c>
      <c r="F3" s="35">
        <f t="shared" ref="F3:F18" si="1">H3*0.25</f>
        <v>172621.80974477957</v>
      </c>
      <c r="G3" s="33">
        <f t="shared" ref="G3:G18" si="2">H3*0.25</f>
        <v>172621.80974477957</v>
      </c>
      <c r="H3" s="35">
        <f t="shared" ref="H3:H18" si="3">D3*H$19</f>
        <v>690487.23897911829</v>
      </c>
      <c r="L3" s="9"/>
      <c r="M3" s="9"/>
      <c r="N3" s="14"/>
      <c r="O3" s="9"/>
      <c r="P3" s="9"/>
      <c r="Q3" s="9"/>
      <c r="R3" s="9"/>
      <c r="S3" s="9"/>
      <c r="T3" s="9"/>
      <c r="U3" s="9"/>
    </row>
    <row r="4" spans="2:21">
      <c r="B4" s="23"/>
      <c r="C4" s="39" t="s">
        <v>3</v>
      </c>
      <c r="D4" s="37">
        <v>0.10208816705336426</v>
      </c>
      <c r="E4" s="34">
        <f t="shared" si="0"/>
        <v>122505.80046403712</v>
      </c>
      <c r="F4" s="30">
        <f t="shared" si="1"/>
        <v>61252.900232018561</v>
      </c>
      <c r="G4" s="34">
        <f t="shared" si="2"/>
        <v>61252.900232018561</v>
      </c>
      <c r="H4" s="30">
        <f t="shared" si="3"/>
        <v>245011.60092807424</v>
      </c>
      <c r="L4" s="9"/>
      <c r="M4" s="8"/>
      <c r="N4" s="9"/>
      <c r="O4" s="9"/>
      <c r="P4" s="9"/>
      <c r="Q4" s="9"/>
      <c r="R4" s="9"/>
      <c r="S4" s="9"/>
      <c r="T4" s="9"/>
      <c r="U4" s="9"/>
    </row>
    <row r="5" spans="2:21">
      <c r="B5" s="23"/>
      <c r="C5" s="39" t="s">
        <v>1</v>
      </c>
      <c r="D5" s="37">
        <v>4.8723897911832945E-2</v>
      </c>
      <c r="E5" s="34">
        <f t="shared" si="0"/>
        <v>58468.677494199532</v>
      </c>
      <c r="F5" s="30">
        <f t="shared" si="1"/>
        <v>29234.338747099766</v>
      </c>
      <c r="G5" s="34">
        <f t="shared" si="2"/>
        <v>29234.338747099766</v>
      </c>
      <c r="H5" s="30">
        <f t="shared" si="3"/>
        <v>116937.35498839906</v>
      </c>
      <c r="L5" s="9"/>
      <c r="M5" s="8"/>
      <c r="N5" s="15"/>
      <c r="O5" s="8"/>
      <c r="P5" s="26"/>
      <c r="Q5" s="9"/>
      <c r="R5" s="9"/>
      <c r="S5" s="9"/>
      <c r="T5" s="9"/>
      <c r="U5" s="9"/>
    </row>
    <row r="6" spans="2:21">
      <c r="B6" s="23"/>
      <c r="C6" s="39" t="s">
        <v>2</v>
      </c>
      <c r="D6" s="37">
        <v>1.3921113689095127E-2</v>
      </c>
      <c r="E6" s="34">
        <f t="shared" si="0"/>
        <v>16705.336426914153</v>
      </c>
      <c r="F6" s="30">
        <f t="shared" si="1"/>
        <v>8352.6682134570765</v>
      </c>
      <c r="G6" s="34">
        <f t="shared" si="2"/>
        <v>8352.6682134570765</v>
      </c>
      <c r="H6" s="30">
        <f t="shared" si="3"/>
        <v>33410.672853828306</v>
      </c>
      <c r="L6" s="9"/>
      <c r="M6" s="8"/>
      <c r="N6" s="7"/>
      <c r="O6" s="7"/>
      <c r="P6" s="9"/>
      <c r="Q6" s="9"/>
      <c r="R6" s="9"/>
      <c r="S6" s="9"/>
      <c r="T6" s="9"/>
      <c r="U6" s="9"/>
    </row>
    <row r="7" spans="2:21">
      <c r="B7" s="23" t="s">
        <v>8</v>
      </c>
      <c r="C7" s="39" t="s">
        <v>5</v>
      </c>
      <c r="D7" s="37">
        <v>0.32018561484918795</v>
      </c>
      <c r="E7" s="34">
        <f t="shared" si="0"/>
        <v>384222.73781902553</v>
      </c>
      <c r="F7" s="30">
        <f t="shared" si="1"/>
        <v>192111.36890951276</v>
      </c>
      <c r="G7" s="34">
        <f t="shared" si="2"/>
        <v>192111.36890951276</v>
      </c>
      <c r="H7" s="30">
        <f t="shared" si="3"/>
        <v>768445.47563805105</v>
      </c>
      <c r="L7" s="9"/>
      <c r="M7" s="8"/>
      <c r="N7" s="7"/>
      <c r="O7" s="7"/>
      <c r="P7" s="9"/>
      <c r="Q7" s="9"/>
      <c r="R7" s="9"/>
      <c r="S7" s="9"/>
      <c r="T7" s="9"/>
      <c r="U7" s="9"/>
    </row>
    <row r="8" spans="2:21">
      <c r="B8" s="23"/>
      <c r="C8" s="39" t="s">
        <v>3</v>
      </c>
      <c r="D8" s="37">
        <v>1.3921113689095127E-2</v>
      </c>
      <c r="E8" s="34">
        <f t="shared" si="0"/>
        <v>16705.336426914153</v>
      </c>
      <c r="F8" s="30">
        <f t="shared" si="1"/>
        <v>8352.6682134570765</v>
      </c>
      <c r="G8" s="34">
        <f t="shared" si="2"/>
        <v>8352.6682134570765</v>
      </c>
      <c r="H8" s="30">
        <f t="shared" si="3"/>
        <v>33410.672853828306</v>
      </c>
      <c r="L8" s="9"/>
      <c r="M8" s="8"/>
      <c r="N8" s="15"/>
      <c r="O8" s="8"/>
      <c r="P8" s="9"/>
      <c r="Q8" s="9"/>
      <c r="R8" s="9"/>
      <c r="S8" s="9"/>
      <c r="T8" s="9"/>
      <c r="U8" s="9"/>
    </row>
    <row r="9" spans="2:21">
      <c r="B9" s="23"/>
      <c r="C9" s="39" t="s">
        <v>1</v>
      </c>
      <c r="D9" s="37">
        <v>1.6241299303944315E-2</v>
      </c>
      <c r="E9" s="34">
        <f t="shared" si="0"/>
        <v>19489.559164733178</v>
      </c>
      <c r="F9" s="30">
        <f t="shared" si="1"/>
        <v>9744.7795823665892</v>
      </c>
      <c r="G9" s="34">
        <f t="shared" si="2"/>
        <v>9744.7795823665892</v>
      </c>
      <c r="H9" s="30">
        <f t="shared" si="3"/>
        <v>38979.118329466357</v>
      </c>
      <c r="L9" s="9"/>
      <c r="M9" s="10"/>
      <c r="N9" s="7"/>
      <c r="O9" s="7"/>
      <c r="P9" s="9"/>
      <c r="Q9" s="9"/>
      <c r="R9" s="9"/>
      <c r="S9" s="9"/>
      <c r="T9" s="9"/>
      <c r="U9" s="9"/>
    </row>
    <row r="10" spans="2:21">
      <c r="B10" s="23"/>
      <c r="C10" s="39" t="s">
        <v>2</v>
      </c>
      <c r="D10" s="37">
        <v>1.3921113689095127E-2</v>
      </c>
      <c r="E10" s="34">
        <f t="shared" si="0"/>
        <v>16705.336426914153</v>
      </c>
      <c r="F10" s="30">
        <f t="shared" si="1"/>
        <v>8352.6682134570765</v>
      </c>
      <c r="G10" s="34">
        <f t="shared" si="2"/>
        <v>8352.6682134570765</v>
      </c>
      <c r="H10" s="30">
        <f t="shared" si="3"/>
        <v>33410.672853828306</v>
      </c>
      <c r="L10" s="9"/>
      <c r="M10" s="11"/>
      <c r="N10" s="9"/>
      <c r="O10" s="7"/>
      <c r="P10" s="9"/>
      <c r="Q10" s="9"/>
      <c r="R10" s="9"/>
      <c r="S10" s="9"/>
      <c r="T10" s="9"/>
      <c r="U10" s="9"/>
    </row>
    <row r="11" spans="2:21">
      <c r="B11" s="23"/>
      <c r="C11" s="40" t="s">
        <v>4</v>
      </c>
      <c r="D11" s="37">
        <v>2.3201856148491878E-3</v>
      </c>
      <c r="E11" s="34">
        <f t="shared" si="0"/>
        <v>2784.2227378190255</v>
      </c>
      <c r="F11" s="30">
        <f t="shared" si="1"/>
        <v>1392.1113689095127</v>
      </c>
      <c r="G11" s="34">
        <f t="shared" si="2"/>
        <v>1392.1113689095127</v>
      </c>
      <c r="H11" s="30">
        <f t="shared" si="3"/>
        <v>5568.445475638051</v>
      </c>
      <c r="L11" s="9"/>
      <c r="M11" s="12"/>
      <c r="N11" s="14"/>
      <c r="O11" s="8"/>
      <c r="P11" s="26"/>
      <c r="Q11" s="9"/>
      <c r="R11" s="9"/>
      <c r="S11" s="9"/>
      <c r="T11" s="9"/>
      <c r="U11" s="9"/>
    </row>
    <row r="12" spans="2:21">
      <c r="B12" s="23" t="s">
        <v>9</v>
      </c>
      <c r="C12" s="39" t="s">
        <v>5</v>
      </c>
      <c r="D12" s="37">
        <v>0.10208816705336426</v>
      </c>
      <c r="E12" s="34">
        <f t="shared" si="0"/>
        <v>122505.80046403712</v>
      </c>
      <c r="F12" s="30">
        <f t="shared" si="1"/>
        <v>61252.900232018561</v>
      </c>
      <c r="G12" s="34">
        <f t="shared" si="2"/>
        <v>61252.900232018561</v>
      </c>
      <c r="H12" s="30">
        <f t="shared" si="3"/>
        <v>245011.60092807424</v>
      </c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2:21">
      <c r="B13" s="23"/>
      <c r="C13" s="39" t="s">
        <v>3</v>
      </c>
      <c r="D13" s="37">
        <v>2.7842227378190254E-2</v>
      </c>
      <c r="E13" s="34">
        <f t="shared" si="0"/>
        <v>33410.672853828306</v>
      </c>
      <c r="F13" s="30">
        <f t="shared" si="1"/>
        <v>16705.336426914153</v>
      </c>
      <c r="G13" s="34">
        <f t="shared" si="2"/>
        <v>16705.336426914153</v>
      </c>
      <c r="H13" s="30">
        <f t="shared" si="3"/>
        <v>66821.345707656612</v>
      </c>
      <c r="L13" s="9"/>
      <c r="M13" s="8"/>
      <c r="N13" s="14"/>
      <c r="O13" s="8"/>
      <c r="P13" s="26"/>
      <c r="Q13" s="9"/>
      <c r="R13" s="9"/>
      <c r="S13" s="9"/>
      <c r="T13" s="9"/>
      <c r="U13" s="9"/>
    </row>
    <row r="14" spans="2:21">
      <c r="B14" s="23"/>
      <c r="C14" s="39" t="s">
        <v>1</v>
      </c>
      <c r="D14" s="37">
        <v>6.9605568445475635E-3</v>
      </c>
      <c r="E14" s="34">
        <f t="shared" si="0"/>
        <v>8352.6682134570765</v>
      </c>
      <c r="F14" s="30">
        <f t="shared" si="1"/>
        <v>4176.3341067285382</v>
      </c>
      <c r="G14" s="34">
        <f t="shared" si="2"/>
        <v>4176.3341067285382</v>
      </c>
      <c r="H14" s="30">
        <f t="shared" si="3"/>
        <v>16705.336426914153</v>
      </c>
      <c r="L14" s="9"/>
      <c r="M14" s="12"/>
      <c r="N14" s="14"/>
      <c r="O14" s="8"/>
      <c r="P14" s="26"/>
      <c r="Q14" s="9"/>
      <c r="R14" s="9"/>
      <c r="S14" s="9"/>
      <c r="T14" s="9"/>
      <c r="U14" s="9"/>
    </row>
    <row r="15" spans="2:21">
      <c r="B15" s="23"/>
      <c r="C15" s="39" t="s">
        <v>2</v>
      </c>
      <c r="D15" s="37">
        <v>2.3201856148491878E-3</v>
      </c>
      <c r="E15" s="34">
        <f t="shared" si="0"/>
        <v>2784.2227378190255</v>
      </c>
      <c r="F15" s="30">
        <f t="shared" si="1"/>
        <v>1392.1113689095127</v>
      </c>
      <c r="G15" s="34">
        <f t="shared" si="2"/>
        <v>1392.1113689095127</v>
      </c>
      <c r="H15" s="30">
        <f t="shared" si="3"/>
        <v>5568.445475638051</v>
      </c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2:21">
      <c r="B16" s="23" t="s">
        <v>6</v>
      </c>
      <c r="C16" s="39" t="s">
        <v>5</v>
      </c>
      <c r="D16" s="37">
        <v>2.7842227378190254E-2</v>
      </c>
      <c r="E16" s="34">
        <f t="shared" si="0"/>
        <v>33410.672853828306</v>
      </c>
      <c r="F16" s="30">
        <f t="shared" si="1"/>
        <v>16705.336426914153</v>
      </c>
      <c r="G16" s="34">
        <f t="shared" si="2"/>
        <v>16705.336426914153</v>
      </c>
      <c r="H16" s="30">
        <f t="shared" si="3"/>
        <v>66821.345707656612</v>
      </c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2:21">
      <c r="B17" s="23"/>
      <c r="C17" s="39" t="s">
        <v>3</v>
      </c>
      <c r="D17" s="37">
        <v>1.1600928074245939E-2</v>
      </c>
      <c r="E17" s="34">
        <f t="shared" si="0"/>
        <v>13921.113689095127</v>
      </c>
      <c r="F17" s="30">
        <f t="shared" si="1"/>
        <v>6960.5568445475637</v>
      </c>
      <c r="G17" s="34">
        <f t="shared" si="2"/>
        <v>6960.5568445475637</v>
      </c>
      <c r="H17" s="30">
        <f t="shared" si="3"/>
        <v>27842.227378190255</v>
      </c>
      <c r="L17" s="9"/>
      <c r="M17" s="8"/>
      <c r="N17" s="14"/>
      <c r="O17" s="9"/>
      <c r="P17" s="26"/>
      <c r="Q17" s="9"/>
      <c r="R17" s="9"/>
      <c r="S17" s="9"/>
      <c r="T17" s="9"/>
      <c r="U17" s="9"/>
    </row>
    <row r="18" spans="2:21">
      <c r="B18" s="23"/>
      <c r="C18" s="39" t="s">
        <v>2</v>
      </c>
      <c r="D18" s="37">
        <v>2.3201856148491878E-3</v>
      </c>
      <c r="E18" s="34">
        <f t="shared" si="0"/>
        <v>2784.2227378190255</v>
      </c>
      <c r="F18" s="30">
        <f t="shared" si="1"/>
        <v>1392.1113689095127</v>
      </c>
      <c r="G18" s="34">
        <f t="shared" si="2"/>
        <v>1392.1113689095127</v>
      </c>
      <c r="H18" s="30">
        <f t="shared" si="3"/>
        <v>5568.445475638051</v>
      </c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2:21" ht="16.5" thickBot="1">
      <c r="B19" s="44" t="s">
        <v>0</v>
      </c>
      <c r="C19" s="45"/>
      <c r="D19" s="37">
        <v>1</v>
      </c>
      <c r="E19" s="41">
        <f>SUM(E3:E18)</f>
        <v>1200000.0000000002</v>
      </c>
      <c r="F19" s="42">
        <f>SUM(F3:F18)</f>
        <v>600000.00000000012</v>
      </c>
      <c r="G19" s="41">
        <f>SUM(G3:G18)</f>
        <v>600000.00000000012</v>
      </c>
      <c r="H19" s="30">
        <v>2400000</v>
      </c>
      <c r="L19" s="9"/>
      <c r="M19" s="8"/>
      <c r="N19" s="9"/>
      <c r="O19" s="9"/>
      <c r="P19" s="9"/>
      <c r="Q19" s="9"/>
      <c r="R19" s="9"/>
      <c r="S19" s="9"/>
      <c r="T19" s="9"/>
      <c r="U19" s="9"/>
    </row>
    <row r="20" spans="2:21" s="1" customFormat="1" ht="27.75" customHeight="1" thickBot="1">
      <c r="B20" s="79" t="s">
        <v>15</v>
      </c>
      <c r="C20" s="80"/>
      <c r="D20" s="80"/>
      <c r="E20" s="80"/>
      <c r="F20" s="80"/>
      <c r="G20" s="80"/>
      <c r="H20" s="81"/>
      <c r="J20" s="9"/>
      <c r="K20" s="9"/>
      <c r="L20" s="9"/>
      <c r="M20" s="9"/>
      <c r="N20" s="9"/>
      <c r="O20" s="9"/>
      <c r="P20" s="9"/>
    </row>
    <row r="21" spans="2:21">
      <c r="E21" s="19"/>
      <c r="F21" s="9"/>
      <c r="G21" s="9"/>
      <c r="H21" s="1"/>
      <c r="I21" s="2"/>
      <c r="J21" s="20"/>
      <c r="K21" s="20"/>
      <c r="L21" s="9"/>
      <c r="M21" s="13"/>
      <c r="N21" s="9"/>
      <c r="O21" s="7"/>
      <c r="P21" s="9"/>
      <c r="Q21" s="9"/>
      <c r="R21" s="9"/>
      <c r="S21" s="9"/>
      <c r="T21" s="9"/>
      <c r="U21" s="9"/>
    </row>
    <row r="22" spans="2:21">
      <c r="E22" s="19"/>
      <c r="F22" s="16"/>
      <c r="G22" s="16"/>
      <c r="H22" s="9"/>
      <c r="I22" s="9"/>
      <c r="J22" s="20"/>
      <c r="K22" s="20"/>
      <c r="L22" s="9"/>
      <c r="M22" s="9"/>
      <c r="N22" s="16"/>
      <c r="O22" s="9"/>
      <c r="P22" s="9"/>
      <c r="Q22" s="9"/>
      <c r="R22" s="9"/>
      <c r="S22" s="9"/>
      <c r="T22" s="9"/>
      <c r="U22" s="9"/>
    </row>
    <row r="23" spans="2:21">
      <c r="E23" s="18"/>
      <c r="F23" s="14"/>
      <c r="G23" s="14"/>
      <c r="H23" s="3"/>
      <c r="I23" s="5"/>
      <c r="J23" s="20"/>
      <c r="K23" s="20"/>
      <c r="L23" s="9"/>
      <c r="M23" s="8"/>
      <c r="N23" s="14"/>
      <c r="O23" s="8"/>
      <c r="P23" s="26"/>
      <c r="Q23" s="9"/>
      <c r="R23" s="9"/>
      <c r="S23" s="9"/>
      <c r="T23" s="9"/>
      <c r="U23" s="9"/>
    </row>
    <row r="24" spans="2:21">
      <c r="E24" s="9"/>
      <c r="F24" s="16"/>
      <c r="G24" s="16"/>
      <c r="H24" s="9"/>
      <c r="I24" s="9"/>
      <c r="J24" s="20"/>
      <c r="K24" s="20"/>
      <c r="L24" s="9"/>
      <c r="M24" s="9"/>
      <c r="N24" s="16"/>
      <c r="O24" s="9"/>
      <c r="P24" s="9"/>
      <c r="Q24" s="9"/>
      <c r="R24" s="9"/>
      <c r="S24" s="9"/>
      <c r="T24" s="9"/>
      <c r="U24" s="9"/>
    </row>
    <row r="25" spans="2:21">
      <c r="C25" s="9"/>
      <c r="D25" s="9"/>
      <c r="E25" s="18"/>
      <c r="F25" s="14"/>
      <c r="G25" s="14"/>
      <c r="H25" s="3"/>
      <c r="I25" s="5"/>
      <c r="J25" s="20"/>
      <c r="K25" s="20"/>
      <c r="L25" s="9"/>
      <c r="M25" s="8"/>
      <c r="N25" s="14"/>
      <c r="O25" s="8"/>
      <c r="P25" s="26"/>
      <c r="Q25" s="9"/>
      <c r="R25" s="9"/>
      <c r="S25" s="9"/>
      <c r="T25" s="9"/>
      <c r="U25" s="9"/>
    </row>
    <row r="26" spans="2:21">
      <c r="B26" s="14"/>
      <c r="C26" s="14"/>
      <c r="D26" s="14"/>
      <c r="E26" s="14"/>
      <c r="F26" s="14"/>
      <c r="G26" s="14"/>
      <c r="H26" s="3"/>
      <c r="I26" s="5"/>
      <c r="J26" s="20"/>
      <c r="K26" s="20"/>
      <c r="L26" s="9"/>
      <c r="M26" s="8"/>
      <c r="N26" s="14"/>
      <c r="O26" s="8"/>
      <c r="P26" s="26"/>
      <c r="Q26" s="9"/>
      <c r="R26" s="9"/>
      <c r="S26" s="9"/>
      <c r="T26" s="9"/>
      <c r="U26" s="9"/>
    </row>
    <row r="27" spans="2:21">
      <c r="B27" s="14"/>
      <c r="C27" s="14"/>
      <c r="D27" s="14"/>
      <c r="E27" s="14"/>
      <c r="F27" s="14"/>
      <c r="G27" s="14"/>
      <c r="H27" s="3"/>
      <c r="I27" s="5"/>
      <c r="J27" s="20"/>
      <c r="K27" s="20"/>
      <c r="L27" s="9"/>
      <c r="M27" s="8"/>
      <c r="N27" s="14"/>
      <c r="O27" s="8"/>
      <c r="P27" s="9"/>
      <c r="Q27" s="9"/>
      <c r="R27" s="9"/>
      <c r="S27" s="9"/>
      <c r="T27" s="9"/>
      <c r="U27" s="9"/>
    </row>
    <row r="28" spans="2:21" ht="28.5" customHeight="1">
      <c r="B28" s="14"/>
      <c r="C28" s="14"/>
      <c r="D28" s="14"/>
      <c r="E28" s="14"/>
      <c r="F28" s="14"/>
      <c r="G28" s="14"/>
      <c r="H28" s="1"/>
      <c r="I28" s="2"/>
      <c r="J28" s="20"/>
      <c r="K28" s="20"/>
      <c r="L28" s="9"/>
      <c r="M28" s="8"/>
      <c r="N28" s="14"/>
      <c r="O28" s="7"/>
      <c r="P28" s="9"/>
      <c r="Q28" s="9"/>
      <c r="R28" s="9"/>
      <c r="S28" s="9"/>
      <c r="T28" s="9"/>
      <c r="U28" s="9"/>
    </row>
    <row r="29" spans="2:21">
      <c r="B29" s="14"/>
      <c r="C29" s="14"/>
      <c r="D29" s="14"/>
      <c r="E29" s="14"/>
      <c r="F29" s="14"/>
      <c r="G29" s="14"/>
      <c r="H29" s="3"/>
      <c r="I29" s="9"/>
      <c r="J29" s="20"/>
      <c r="K29" s="20"/>
      <c r="L29" s="9"/>
      <c r="M29" s="9"/>
      <c r="N29" s="14"/>
      <c r="O29" s="7"/>
      <c r="P29" s="9"/>
      <c r="Q29" s="9"/>
      <c r="R29" s="9"/>
      <c r="S29" s="9"/>
      <c r="T29" s="9"/>
      <c r="U29" s="9"/>
    </row>
    <row r="30" spans="2:21">
      <c r="B30" s="14"/>
      <c r="C30" s="14"/>
      <c r="D30" s="14"/>
      <c r="E30" s="14"/>
      <c r="F30" s="14"/>
      <c r="G30" s="17"/>
      <c r="H30" s="1"/>
      <c r="I30" s="2"/>
      <c r="J30" s="20"/>
      <c r="K30" s="20"/>
      <c r="L30" s="9"/>
      <c r="M30" s="8"/>
      <c r="N30" s="17"/>
      <c r="O30" s="7"/>
      <c r="P30" s="9"/>
      <c r="Q30" s="9"/>
      <c r="R30" s="9"/>
      <c r="S30" s="9"/>
      <c r="T30" s="9"/>
      <c r="U30" s="9"/>
    </row>
    <row r="31" spans="2:21">
      <c r="B31" s="14"/>
      <c r="C31" s="14"/>
      <c r="D31" s="14"/>
      <c r="E31" s="14"/>
      <c r="F31" s="14"/>
      <c r="G31" s="17"/>
      <c r="H31" s="1"/>
      <c r="I31" s="2"/>
      <c r="J31" s="20"/>
      <c r="K31" s="20"/>
      <c r="L31" s="9"/>
      <c r="M31" s="8"/>
      <c r="N31" s="17"/>
      <c r="O31" s="7"/>
      <c r="P31" s="9"/>
      <c r="Q31" s="9"/>
      <c r="R31" s="9"/>
      <c r="S31" s="9"/>
      <c r="T31" s="9"/>
      <c r="U31" s="9"/>
    </row>
    <row r="32" spans="2:21">
      <c r="B32" s="14"/>
      <c r="C32" s="14"/>
      <c r="D32" s="14"/>
      <c r="E32" s="14"/>
      <c r="F32" s="14"/>
      <c r="G32" s="17"/>
      <c r="H32" s="1"/>
      <c r="I32" s="2"/>
      <c r="J32" s="21"/>
      <c r="K32" s="20"/>
      <c r="L32" s="9"/>
      <c r="M32" s="10"/>
      <c r="N32" s="17"/>
      <c r="O32" s="7"/>
      <c r="P32" s="9"/>
      <c r="Q32" s="9"/>
      <c r="R32" s="9"/>
      <c r="S32" s="9"/>
      <c r="T32" s="9"/>
      <c r="U32" s="9"/>
    </row>
    <row r="33" spans="2:21">
      <c r="B33" s="14"/>
      <c r="C33" s="14"/>
      <c r="D33" s="14"/>
      <c r="E33" s="14"/>
      <c r="F33" s="14"/>
      <c r="G33" s="9"/>
      <c r="H33" s="1"/>
      <c r="I33" s="2"/>
      <c r="J33" s="20"/>
      <c r="K33" s="20"/>
      <c r="L33" s="9"/>
      <c r="M33" s="13"/>
      <c r="N33" s="9"/>
      <c r="O33" s="7"/>
      <c r="P33" s="9"/>
      <c r="Q33" s="9"/>
      <c r="R33" s="9"/>
      <c r="S33" s="9"/>
      <c r="T33" s="9"/>
      <c r="U33" s="9"/>
    </row>
    <row r="34" spans="2:21">
      <c r="B34" s="14"/>
      <c r="C34" s="14"/>
      <c r="D34" s="14"/>
      <c r="E34" s="14"/>
      <c r="F34" s="14"/>
      <c r="G34" s="17"/>
      <c r="H34" s="7"/>
      <c r="I34" s="7"/>
      <c r="J34" s="20"/>
      <c r="K34" s="20"/>
      <c r="L34" s="9"/>
      <c r="M34" s="7"/>
      <c r="N34" s="17"/>
      <c r="O34" s="7"/>
      <c r="P34" s="9"/>
      <c r="Q34" s="9"/>
      <c r="R34" s="9"/>
      <c r="S34" s="9"/>
      <c r="T34" s="9"/>
      <c r="U34" s="9"/>
    </row>
    <row r="35" spans="2:21">
      <c r="B35" s="14"/>
      <c r="C35" s="14"/>
      <c r="D35" s="14"/>
      <c r="E35" s="14"/>
      <c r="F35" s="14"/>
      <c r="G35" s="14"/>
      <c r="H35" s="6"/>
      <c r="I35" s="9"/>
      <c r="J35" s="20"/>
      <c r="K35" s="20"/>
      <c r="L35" s="9"/>
      <c r="M35" s="9"/>
      <c r="N35" s="14"/>
      <c r="O35" s="7"/>
      <c r="P35" s="9"/>
      <c r="Q35" s="9"/>
      <c r="R35" s="9"/>
      <c r="S35" s="9"/>
      <c r="T35" s="9"/>
      <c r="U35" s="9"/>
    </row>
    <row r="36" spans="2:21">
      <c r="B36" s="14"/>
      <c r="C36" s="14"/>
      <c r="D36" s="14"/>
      <c r="E36" s="14"/>
      <c r="F36" s="14"/>
      <c r="G36" s="17"/>
      <c r="H36" s="1"/>
      <c r="I36" s="2"/>
      <c r="J36" s="20"/>
      <c r="K36" s="20"/>
      <c r="L36" s="9"/>
      <c r="M36" s="8"/>
      <c r="N36" s="17"/>
      <c r="O36" s="7"/>
      <c r="P36" s="9"/>
      <c r="Q36" s="9"/>
      <c r="R36" s="9"/>
      <c r="S36" s="9"/>
      <c r="T36" s="9"/>
      <c r="U36" s="9"/>
    </row>
    <row r="37" spans="2:21">
      <c r="B37" s="14"/>
      <c r="C37" s="14"/>
      <c r="D37" s="14"/>
      <c r="E37" s="14"/>
      <c r="F37" s="14"/>
      <c r="G37" s="17"/>
      <c r="H37" s="1"/>
      <c r="I37" s="2"/>
      <c r="J37" s="20"/>
      <c r="K37" s="20"/>
      <c r="L37" s="9"/>
      <c r="M37" s="8"/>
      <c r="N37" s="17"/>
      <c r="O37" s="7"/>
      <c r="P37" s="26"/>
      <c r="Q37" s="9"/>
      <c r="R37" s="9"/>
      <c r="S37" s="9"/>
      <c r="T37" s="9"/>
      <c r="U37" s="9"/>
    </row>
    <row r="38" spans="2:21">
      <c r="B38" s="14"/>
      <c r="C38" s="14"/>
      <c r="D38" s="14"/>
      <c r="E38" s="14"/>
      <c r="F38" s="14"/>
      <c r="G38" s="17"/>
      <c r="H38" s="1"/>
      <c r="I38" s="2"/>
      <c r="J38" s="20"/>
      <c r="K38" s="20"/>
      <c r="L38" s="9"/>
      <c r="M38" s="8"/>
      <c r="N38" s="17"/>
      <c r="O38" s="7"/>
      <c r="P38" s="26"/>
      <c r="Q38" s="9"/>
      <c r="R38" s="9"/>
      <c r="S38" s="9"/>
      <c r="T38" s="9"/>
      <c r="U38" s="9"/>
    </row>
    <row r="39" spans="2:21">
      <c r="B39" s="14"/>
      <c r="C39" s="14"/>
      <c r="D39" s="14"/>
      <c r="E39" s="14"/>
      <c r="F39" s="14"/>
      <c r="G39" s="17"/>
      <c r="H39" s="1"/>
      <c r="I39" s="2"/>
      <c r="J39" s="20"/>
      <c r="K39" s="20"/>
      <c r="L39" s="9"/>
      <c r="M39" s="8"/>
      <c r="N39" s="17"/>
      <c r="O39" s="7"/>
      <c r="P39" s="9"/>
      <c r="Q39" s="9"/>
      <c r="R39" s="9"/>
      <c r="S39" s="9"/>
      <c r="T39" s="9"/>
      <c r="U39" s="9"/>
    </row>
    <row r="40" spans="2:21">
      <c r="B40" s="14"/>
      <c r="C40" s="14"/>
      <c r="D40" s="14"/>
      <c r="E40" s="14"/>
      <c r="F40" s="14"/>
      <c r="G40" s="17"/>
      <c r="H40" s="1"/>
      <c r="I40" s="2"/>
      <c r="J40" s="20"/>
      <c r="K40" s="20"/>
      <c r="L40" s="9"/>
      <c r="M40" s="8"/>
      <c r="N40" s="17"/>
      <c r="O40" s="7"/>
      <c r="P40" s="9"/>
      <c r="Q40" s="9"/>
      <c r="R40" s="9"/>
      <c r="S40" s="9"/>
      <c r="T40" s="9"/>
      <c r="U40" s="9"/>
    </row>
    <row r="41" spans="2:21">
      <c r="B41" s="14"/>
      <c r="C41" s="14"/>
      <c r="D41" s="14"/>
      <c r="E41" s="14"/>
      <c r="F41" s="14"/>
      <c r="G41" s="17"/>
      <c r="H41" s="1"/>
      <c r="I41" s="2"/>
      <c r="J41" s="21"/>
      <c r="K41" s="20"/>
      <c r="L41" s="9"/>
      <c r="M41" s="10"/>
      <c r="N41" s="17"/>
      <c r="O41" s="7"/>
      <c r="P41" s="9"/>
      <c r="Q41" s="9"/>
      <c r="R41" s="9"/>
      <c r="S41" s="9"/>
      <c r="T41" s="9"/>
      <c r="U41" s="9"/>
    </row>
    <row r="42" spans="2:21">
      <c r="B42" s="14"/>
      <c r="C42" s="14"/>
      <c r="D42" s="14"/>
      <c r="E42" s="14"/>
      <c r="F42" s="14"/>
      <c r="G42" s="9"/>
      <c r="H42" s="7"/>
      <c r="I42" s="7"/>
      <c r="J42" s="20"/>
      <c r="K42" s="20"/>
      <c r="L42" s="9"/>
      <c r="M42" s="13"/>
      <c r="N42" s="9"/>
      <c r="O42" s="7"/>
      <c r="P42" s="9"/>
      <c r="Q42" s="9"/>
      <c r="R42" s="9"/>
      <c r="S42" s="9"/>
      <c r="T42" s="9"/>
      <c r="U42" s="9"/>
    </row>
    <row r="43" spans="2:21">
      <c r="B43" s="14"/>
      <c r="C43" s="14"/>
      <c r="D43" s="14"/>
      <c r="E43" s="14"/>
      <c r="F43" s="14"/>
      <c r="G43" s="7"/>
      <c r="H43" s="9"/>
      <c r="I43" s="9"/>
      <c r="J43" s="20"/>
      <c r="K43" s="20"/>
      <c r="L43" s="9"/>
      <c r="M43" s="9"/>
      <c r="N43" s="7"/>
      <c r="O43" s="7"/>
      <c r="P43" s="9"/>
      <c r="Q43" s="9"/>
      <c r="R43" s="9"/>
      <c r="S43" s="9"/>
      <c r="T43" s="9"/>
      <c r="U43" s="9"/>
    </row>
    <row r="44" spans="2:21" ht="15.75">
      <c r="B44" s="14"/>
      <c r="C44" s="14"/>
      <c r="D44" s="14"/>
      <c r="E44" s="14"/>
      <c r="F44" s="14"/>
      <c r="G44" s="14"/>
      <c r="H44" s="3"/>
      <c r="I44" s="4"/>
      <c r="J44" s="4"/>
      <c r="K44" s="4"/>
      <c r="L44" s="9"/>
      <c r="M44" s="9"/>
      <c r="N44" s="14"/>
      <c r="O44" s="7"/>
      <c r="P44" s="9"/>
      <c r="Q44" s="9"/>
      <c r="R44" s="9"/>
      <c r="S44" s="9"/>
      <c r="T44" s="9"/>
      <c r="U44" s="9"/>
    </row>
    <row r="45" spans="2:21">
      <c r="B45" s="14"/>
      <c r="C45" s="14"/>
      <c r="D45" s="14"/>
      <c r="E45" s="14"/>
      <c r="F45" s="14"/>
      <c r="G45" s="9"/>
      <c r="H45" s="9"/>
      <c r="I45" s="9"/>
      <c r="J45" s="9"/>
      <c r="K45" s="9"/>
      <c r="L45" s="9"/>
      <c r="M45" s="27"/>
      <c r="N45" s="9"/>
      <c r="O45" s="9"/>
      <c r="P45" s="9"/>
      <c r="Q45" s="9"/>
      <c r="R45" s="9"/>
      <c r="S45" s="9"/>
      <c r="T45" s="9"/>
      <c r="U45" s="9"/>
    </row>
    <row r="46" spans="2:21">
      <c r="B46" s="14"/>
      <c r="C46" s="14"/>
      <c r="D46" s="14"/>
      <c r="E46" s="14"/>
      <c r="F46" s="14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2:21">
      <c r="B47" s="14"/>
      <c r="C47" s="14"/>
      <c r="D47" s="14"/>
      <c r="E47" s="14"/>
      <c r="F47" s="14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2:21">
      <c r="B48" s="14"/>
      <c r="C48" s="14"/>
      <c r="D48" s="14"/>
      <c r="E48" s="14"/>
      <c r="F48" s="14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2:21">
      <c r="B49" s="14"/>
      <c r="C49" s="14"/>
      <c r="D49" s="14"/>
      <c r="E49" s="14"/>
      <c r="F49" s="14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2:21">
      <c r="B50" s="14"/>
      <c r="C50" s="14"/>
      <c r="D50" s="14"/>
      <c r="E50" s="14"/>
      <c r="F50" s="14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2:21">
      <c r="B51" s="14"/>
      <c r="C51" s="14"/>
      <c r="D51" s="14"/>
      <c r="E51" s="14"/>
      <c r="F51" s="14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2:21">
      <c r="B52" s="14"/>
      <c r="C52" s="14"/>
      <c r="D52" s="14"/>
      <c r="E52" s="14"/>
      <c r="F52" s="14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2:21">
      <c r="B53" s="14"/>
      <c r="C53" s="14"/>
      <c r="D53" s="14"/>
      <c r="E53" s="14"/>
      <c r="F53" s="14"/>
    </row>
    <row r="54" spans="2:21">
      <c r="B54" s="14"/>
      <c r="C54" s="14"/>
      <c r="D54" s="14"/>
      <c r="E54" s="14"/>
      <c r="F54" s="14"/>
    </row>
    <row r="55" spans="2:21">
      <c r="D55" s="29"/>
    </row>
    <row r="56" spans="2:21">
      <c r="D56" s="29"/>
    </row>
    <row r="57" spans="2:21">
      <c r="D57" s="29"/>
    </row>
    <row r="58" spans="2:21">
      <c r="D58" s="29"/>
    </row>
    <row r="59" spans="2:21">
      <c r="D59" s="29"/>
    </row>
    <row r="60" spans="2:21">
      <c r="D60" s="29"/>
    </row>
    <row r="61" spans="2:21">
      <c r="D61" s="29"/>
    </row>
    <row r="62" spans="2:21">
      <c r="D62" s="29"/>
    </row>
    <row r="63" spans="2:21">
      <c r="D63" s="29"/>
    </row>
    <row r="64" spans="2:21">
      <c r="D64" s="29"/>
    </row>
    <row r="65" spans="4:4">
      <c r="D65" s="29"/>
    </row>
    <row r="66" spans="4:4">
      <c r="D66" s="29"/>
    </row>
    <row r="67" spans="4:4">
      <c r="D67" s="29"/>
    </row>
    <row r="68" spans="4:4">
      <c r="D68" s="29"/>
    </row>
    <row r="69" spans="4:4">
      <c r="D69" s="29"/>
    </row>
  </sheetData>
  <mergeCells count="1">
    <mergeCell ref="B20:H20"/>
  </mergeCells>
  <pageMargins left="0.7" right="0.7" top="0.75" bottom="0.75" header="0.3" footer="0.3"/>
  <pageSetup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>
      <selection activeCell="H6" sqref="H6"/>
    </sheetView>
  </sheetViews>
  <sheetFormatPr defaultRowHeight="15"/>
  <cols>
    <col min="1" max="1" width="18.42578125" customWidth="1"/>
    <col min="3" max="3" width="11.85546875" customWidth="1"/>
    <col min="4" max="4" width="17.85546875" customWidth="1"/>
    <col min="5" max="5" width="18.140625" customWidth="1"/>
    <col min="6" max="6" width="15.42578125" customWidth="1"/>
    <col min="7" max="7" width="18.140625" customWidth="1"/>
    <col min="8" max="8" width="17.85546875" customWidth="1"/>
    <col min="9" max="9" width="18.5703125" customWidth="1"/>
  </cols>
  <sheetData>
    <row r="1" spans="1:15" ht="43.5">
      <c r="A1" s="46" t="s">
        <v>35</v>
      </c>
      <c r="B1" s="46"/>
      <c r="C1" s="46" t="s">
        <v>16</v>
      </c>
      <c r="D1" s="46" t="s">
        <v>17</v>
      </c>
      <c r="E1" s="47" t="s">
        <v>34</v>
      </c>
      <c r="F1" s="48" t="s">
        <v>43</v>
      </c>
      <c r="G1" s="49" t="s">
        <v>42</v>
      </c>
      <c r="H1" s="48" t="s">
        <v>38</v>
      </c>
      <c r="I1" s="48" t="s">
        <v>18</v>
      </c>
      <c r="J1" s="50"/>
      <c r="K1" s="50"/>
      <c r="L1" s="50"/>
      <c r="M1" s="50"/>
    </row>
    <row r="2" spans="1:15">
      <c r="A2" s="66"/>
      <c r="B2" s="66" t="s">
        <v>19</v>
      </c>
      <c r="C2" s="66" t="s">
        <v>20</v>
      </c>
      <c r="D2" s="67" t="s">
        <v>23</v>
      </c>
      <c r="E2" s="70"/>
      <c r="F2" s="64"/>
      <c r="G2" s="64"/>
      <c r="H2" s="64"/>
      <c r="I2" s="71">
        <v>0</v>
      </c>
      <c r="J2" s="50"/>
      <c r="K2" s="50"/>
      <c r="L2" s="50"/>
      <c r="M2" s="50"/>
    </row>
    <row r="3" spans="1:15" ht="44.25" thickBot="1">
      <c r="A3" s="83" t="s">
        <v>44</v>
      </c>
      <c r="B3" s="83" t="s">
        <v>19</v>
      </c>
      <c r="C3" s="83" t="s">
        <v>33</v>
      </c>
      <c r="D3" s="84" t="s">
        <v>23</v>
      </c>
      <c r="E3" s="85" t="s">
        <v>37</v>
      </c>
      <c r="F3" s="87">
        <v>100</v>
      </c>
      <c r="G3" s="87">
        <v>100</v>
      </c>
      <c r="H3" s="86" t="s">
        <v>40</v>
      </c>
      <c r="I3" s="82">
        <v>0</v>
      </c>
      <c r="J3" s="50"/>
      <c r="K3" s="50"/>
      <c r="L3" s="50"/>
      <c r="M3" s="50"/>
    </row>
    <row r="4" spans="1:15">
      <c r="A4" s="65"/>
      <c r="B4" s="66" t="s">
        <v>19</v>
      </c>
      <c r="C4" s="66" t="s">
        <v>20</v>
      </c>
      <c r="D4" s="67" t="s">
        <v>22</v>
      </c>
      <c r="E4" s="70"/>
      <c r="F4" s="7"/>
      <c r="G4" s="7"/>
      <c r="H4" s="7"/>
      <c r="I4" s="71">
        <v>0</v>
      </c>
      <c r="J4" s="50"/>
      <c r="K4" s="50"/>
      <c r="L4" s="50"/>
      <c r="M4" s="50"/>
    </row>
    <row r="5" spans="1:15" ht="30.75" thickBot="1">
      <c r="A5" s="51"/>
      <c r="B5" s="52" t="s">
        <v>19</v>
      </c>
      <c r="C5" s="52" t="s">
        <v>33</v>
      </c>
      <c r="D5" s="53" t="s">
        <v>22</v>
      </c>
      <c r="E5" s="54"/>
      <c r="F5" s="88"/>
      <c r="G5" s="88"/>
      <c r="H5" s="88"/>
      <c r="I5" s="72">
        <v>0</v>
      </c>
      <c r="J5" s="50"/>
      <c r="K5" s="50"/>
      <c r="L5" s="50"/>
      <c r="M5" s="50"/>
    </row>
    <row r="6" spans="1:15" ht="43.5">
      <c r="A6" s="74" t="s">
        <v>39</v>
      </c>
      <c r="B6" s="74" t="s">
        <v>19</v>
      </c>
      <c r="C6" s="74" t="s">
        <v>20</v>
      </c>
      <c r="D6" s="75" t="s">
        <v>21</v>
      </c>
      <c r="E6" s="76"/>
      <c r="F6" s="77">
        <v>48</v>
      </c>
      <c r="G6" s="77">
        <v>6</v>
      </c>
      <c r="H6" s="77" t="s">
        <v>41</v>
      </c>
      <c r="I6" s="78">
        <v>0</v>
      </c>
      <c r="J6" s="50"/>
      <c r="K6" s="50"/>
      <c r="L6" s="50"/>
      <c r="M6" s="50"/>
    </row>
    <row r="7" spans="1:15" ht="30.75" thickBot="1">
      <c r="A7" s="51"/>
      <c r="B7" s="52" t="s">
        <v>19</v>
      </c>
      <c r="C7" s="52" t="s">
        <v>33</v>
      </c>
      <c r="D7" s="53" t="s">
        <v>21</v>
      </c>
      <c r="E7" s="54"/>
      <c r="F7" s="55"/>
      <c r="G7" s="55"/>
      <c r="H7" s="55"/>
      <c r="I7" s="72">
        <v>0</v>
      </c>
      <c r="J7" s="50"/>
      <c r="K7" s="50"/>
      <c r="L7" s="50"/>
      <c r="M7" s="50"/>
    </row>
    <row r="8" spans="1:15">
      <c r="A8" s="57"/>
      <c r="B8" s="58" t="s">
        <v>19</v>
      </c>
      <c r="C8" s="58" t="s">
        <v>20</v>
      </c>
      <c r="D8" s="59" t="s">
        <v>24</v>
      </c>
      <c r="E8" s="63"/>
      <c r="F8" s="61"/>
      <c r="G8" s="61"/>
      <c r="H8" s="61"/>
      <c r="I8" s="62">
        <v>0</v>
      </c>
      <c r="J8" s="50"/>
      <c r="K8" s="50"/>
      <c r="L8" s="50"/>
      <c r="M8" s="50"/>
      <c r="O8" t="s">
        <v>45</v>
      </c>
    </row>
    <row r="9" spans="1:15" ht="30.75" thickBot="1">
      <c r="A9" s="51"/>
      <c r="B9" s="52" t="s">
        <v>19</v>
      </c>
      <c r="C9" s="52" t="s">
        <v>33</v>
      </c>
      <c r="D9" s="53" t="s">
        <v>24</v>
      </c>
      <c r="E9" s="54"/>
      <c r="F9" s="55"/>
      <c r="G9" s="55"/>
      <c r="H9" s="55"/>
      <c r="I9" s="56">
        <v>0</v>
      </c>
      <c r="J9" s="50"/>
      <c r="K9" s="50"/>
      <c r="L9" s="50"/>
      <c r="M9" s="50"/>
    </row>
    <row r="10" spans="1:15">
      <c r="A10" s="57"/>
      <c r="B10" s="58" t="s">
        <v>19</v>
      </c>
      <c r="C10" s="58" t="s">
        <v>20</v>
      </c>
      <c r="D10" s="59" t="s">
        <v>27</v>
      </c>
      <c r="E10" s="63"/>
      <c r="F10" s="61"/>
      <c r="G10" s="61"/>
      <c r="H10" s="61"/>
      <c r="I10" s="62">
        <v>0</v>
      </c>
      <c r="J10" s="50"/>
      <c r="K10" s="50"/>
      <c r="L10" s="50"/>
      <c r="M10" s="50"/>
    </row>
    <row r="11" spans="1:15" ht="30.75" thickBot="1">
      <c r="A11" s="51"/>
      <c r="B11" s="52" t="s">
        <v>19</v>
      </c>
      <c r="C11" s="52" t="s">
        <v>33</v>
      </c>
      <c r="D11" s="53" t="s">
        <v>27</v>
      </c>
      <c r="E11" s="54"/>
      <c r="F11" s="55"/>
      <c r="G11" s="55"/>
      <c r="H11" s="55"/>
      <c r="I11" s="56">
        <v>0</v>
      </c>
      <c r="J11" s="50"/>
      <c r="K11" s="50"/>
      <c r="L11" s="50"/>
      <c r="M11" s="50"/>
    </row>
    <row r="12" spans="1:15">
      <c r="A12" s="57"/>
      <c r="B12" s="58" t="s">
        <v>19</v>
      </c>
      <c r="C12" s="58" t="s">
        <v>20</v>
      </c>
      <c r="D12" s="59" t="s">
        <v>26</v>
      </c>
      <c r="E12" s="63"/>
      <c r="F12" s="61"/>
      <c r="G12" s="61"/>
      <c r="H12" s="61"/>
      <c r="I12" s="62">
        <v>0</v>
      </c>
      <c r="J12" s="50"/>
      <c r="K12" s="50"/>
      <c r="L12" s="50"/>
      <c r="M12" s="50"/>
    </row>
    <row r="13" spans="1:15" ht="30.75" thickBot="1">
      <c r="A13" s="51"/>
      <c r="B13" s="52" t="s">
        <v>19</v>
      </c>
      <c r="C13" s="52" t="s">
        <v>33</v>
      </c>
      <c r="D13" s="53" t="s">
        <v>26</v>
      </c>
      <c r="E13" s="54"/>
      <c r="F13" s="55"/>
      <c r="G13" s="55"/>
      <c r="H13" s="55"/>
      <c r="I13" s="56">
        <v>0</v>
      </c>
      <c r="J13" s="50"/>
      <c r="K13" s="50"/>
      <c r="L13" s="50"/>
      <c r="M13" s="50"/>
    </row>
    <row r="14" spans="1:15">
      <c r="A14" s="57"/>
      <c r="B14" s="58" t="s">
        <v>19</v>
      </c>
      <c r="C14" s="58" t="s">
        <v>20</v>
      </c>
      <c r="D14" s="59" t="s">
        <v>25</v>
      </c>
      <c r="E14" s="63"/>
      <c r="F14" s="61"/>
      <c r="G14" s="61"/>
      <c r="H14" s="61"/>
      <c r="I14" s="62">
        <v>0</v>
      </c>
      <c r="J14" s="50"/>
      <c r="K14" s="50"/>
      <c r="L14" s="50"/>
      <c r="M14" s="50"/>
    </row>
    <row r="15" spans="1:15" ht="30.75" thickBot="1">
      <c r="A15" s="51"/>
      <c r="B15" s="52" t="s">
        <v>19</v>
      </c>
      <c r="C15" s="52" t="s">
        <v>33</v>
      </c>
      <c r="D15" s="53" t="s">
        <v>25</v>
      </c>
      <c r="E15" s="54"/>
      <c r="F15" s="55"/>
      <c r="G15" s="55"/>
      <c r="H15" s="55"/>
      <c r="I15" s="56">
        <v>0</v>
      </c>
      <c r="J15" s="50"/>
      <c r="K15" s="50"/>
      <c r="L15" s="50"/>
      <c r="M15" s="50"/>
    </row>
    <row r="16" spans="1:15" ht="30">
      <c r="A16" s="57"/>
      <c r="B16" s="58" t="s">
        <v>19</v>
      </c>
      <c r="C16" s="58" t="s">
        <v>20</v>
      </c>
      <c r="D16" s="59" t="s">
        <v>28</v>
      </c>
      <c r="E16" s="63"/>
      <c r="F16" s="61"/>
      <c r="G16" s="61"/>
      <c r="H16" s="61"/>
      <c r="I16" s="62">
        <v>0</v>
      </c>
      <c r="J16" s="50"/>
      <c r="K16" s="50"/>
      <c r="L16" s="50"/>
      <c r="M16" s="50"/>
    </row>
    <row r="17" spans="1:13" ht="30.75" thickBot="1">
      <c r="A17" s="51"/>
      <c r="B17" s="52" t="s">
        <v>19</v>
      </c>
      <c r="C17" s="52" t="s">
        <v>33</v>
      </c>
      <c r="D17" s="53" t="s">
        <v>28</v>
      </c>
      <c r="E17" s="54"/>
      <c r="F17" s="55"/>
      <c r="G17" s="55"/>
      <c r="H17" s="55"/>
      <c r="I17" s="56">
        <v>0</v>
      </c>
      <c r="J17" s="50"/>
      <c r="K17" s="50"/>
      <c r="L17" s="50"/>
      <c r="M17" s="50"/>
    </row>
    <row r="18" spans="1:13">
      <c r="A18" s="57"/>
      <c r="B18" s="58" t="s">
        <v>19</v>
      </c>
      <c r="C18" s="58" t="s">
        <v>20</v>
      </c>
      <c r="D18" s="59" t="s">
        <v>31</v>
      </c>
      <c r="E18" s="63"/>
      <c r="F18" s="61"/>
      <c r="G18" s="61"/>
      <c r="H18" s="61"/>
      <c r="I18" s="62">
        <v>0</v>
      </c>
      <c r="J18" s="50"/>
      <c r="K18" s="50"/>
      <c r="L18" s="50"/>
      <c r="M18" s="50"/>
    </row>
    <row r="19" spans="1:13" ht="30.75" thickBot="1">
      <c r="A19" s="51"/>
      <c r="B19" s="52" t="s">
        <v>19</v>
      </c>
      <c r="C19" s="52" t="s">
        <v>33</v>
      </c>
      <c r="D19" s="53" t="s">
        <v>31</v>
      </c>
      <c r="E19" s="54"/>
      <c r="F19" s="55"/>
      <c r="G19" s="55"/>
      <c r="H19" s="55"/>
      <c r="I19" s="56">
        <v>0</v>
      </c>
      <c r="J19" s="50"/>
      <c r="K19" s="50"/>
      <c r="L19" s="50"/>
      <c r="M19" s="50"/>
    </row>
    <row r="20" spans="1:13">
      <c r="A20" s="57"/>
      <c r="B20" s="58" t="s">
        <v>19</v>
      </c>
      <c r="C20" s="58" t="s">
        <v>20</v>
      </c>
      <c r="D20" s="59" t="s">
        <v>30</v>
      </c>
      <c r="E20" s="63"/>
      <c r="F20" s="61"/>
      <c r="G20" s="61"/>
      <c r="H20" s="61"/>
      <c r="I20" s="62">
        <v>0</v>
      </c>
      <c r="J20" s="50"/>
      <c r="K20" s="50"/>
      <c r="L20" s="50"/>
      <c r="M20" s="50"/>
    </row>
    <row r="21" spans="1:13" ht="30.75" thickBot="1">
      <c r="A21" s="51"/>
      <c r="B21" s="52" t="s">
        <v>19</v>
      </c>
      <c r="C21" s="52" t="s">
        <v>33</v>
      </c>
      <c r="D21" s="53" t="s">
        <v>30</v>
      </c>
      <c r="E21" s="54"/>
      <c r="F21" s="55"/>
      <c r="G21" s="55"/>
      <c r="H21" s="55"/>
      <c r="I21" s="56">
        <v>0</v>
      </c>
      <c r="J21" s="50"/>
      <c r="K21" s="50"/>
      <c r="L21" s="50"/>
      <c r="M21" s="50"/>
    </row>
    <row r="22" spans="1:13">
      <c r="A22" s="57"/>
      <c r="B22" s="58" t="s">
        <v>19</v>
      </c>
      <c r="C22" s="58" t="s">
        <v>20</v>
      </c>
      <c r="D22" s="59" t="s">
        <v>29</v>
      </c>
      <c r="E22" s="63"/>
      <c r="F22" s="61"/>
      <c r="G22" s="61"/>
      <c r="H22" s="61"/>
      <c r="I22" s="62">
        <v>0</v>
      </c>
      <c r="J22" s="50"/>
      <c r="K22" s="50"/>
      <c r="L22" s="50"/>
      <c r="M22" s="50"/>
    </row>
    <row r="23" spans="1:13" ht="30.75" thickBot="1">
      <c r="A23" s="51"/>
      <c r="B23" s="52" t="s">
        <v>19</v>
      </c>
      <c r="C23" s="52" t="s">
        <v>33</v>
      </c>
      <c r="D23" s="53" t="s">
        <v>29</v>
      </c>
      <c r="E23" s="54"/>
      <c r="F23" s="55"/>
      <c r="G23" s="55"/>
      <c r="H23" s="55"/>
      <c r="I23" s="56">
        <v>0</v>
      </c>
      <c r="J23" s="50"/>
      <c r="K23" s="50"/>
      <c r="L23" s="50"/>
      <c r="M23" s="50"/>
    </row>
    <row r="24" spans="1:13" ht="30">
      <c r="A24" s="57"/>
      <c r="B24" s="58" t="s">
        <v>19</v>
      </c>
      <c r="C24" s="58" t="s">
        <v>20</v>
      </c>
      <c r="D24" s="59" t="s">
        <v>32</v>
      </c>
      <c r="E24" s="63"/>
      <c r="F24" s="61"/>
      <c r="G24" s="61"/>
      <c r="H24" s="61"/>
      <c r="I24" s="62">
        <v>0</v>
      </c>
      <c r="J24" s="50"/>
      <c r="K24" s="50"/>
      <c r="L24" s="50"/>
      <c r="M24" s="50"/>
    </row>
    <row r="25" spans="1:13" ht="30.75" thickBot="1">
      <c r="A25" s="51"/>
      <c r="B25" s="52" t="s">
        <v>19</v>
      </c>
      <c r="C25" s="52" t="s">
        <v>33</v>
      </c>
      <c r="D25" s="53" t="s">
        <v>32</v>
      </c>
      <c r="E25" s="54"/>
      <c r="F25" s="55"/>
      <c r="G25" s="55"/>
      <c r="H25" s="55"/>
      <c r="I25" s="56">
        <v>0</v>
      </c>
      <c r="J25" s="50"/>
      <c r="K25" s="50"/>
      <c r="L25" s="50"/>
      <c r="M25" s="50"/>
    </row>
    <row r="26" spans="1:1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A2" sqref="A2:I2"/>
    </sheetView>
  </sheetViews>
  <sheetFormatPr defaultRowHeight="15"/>
  <cols>
    <col min="1" max="1" width="18" customWidth="1"/>
    <col min="4" max="4" width="18.7109375" customWidth="1"/>
    <col min="5" max="5" width="18.5703125" customWidth="1"/>
    <col min="7" max="7" width="18.28515625" customWidth="1"/>
    <col min="8" max="8" width="18.5703125" customWidth="1"/>
    <col min="9" max="9" width="17" customWidth="1"/>
  </cols>
  <sheetData>
    <row r="1" spans="1:10" ht="43.5">
      <c r="A1" s="46" t="s">
        <v>35</v>
      </c>
      <c r="B1" s="46"/>
      <c r="C1" s="46" t="s">
        <v>16</v>
      </c>
      <c r="D1" s="46" t="s">
        <v>17</v>
      </c>
      <c r="E1" s="47" t="s">
        <v>34</v>
      </c>
      <c r="F1" s="48" t="s">
        <v>43</v>
      </c>
      <c r="G1" s="49" t="s">
        <v>42</v>
      </c>
      <c r="H1" s="48" t="s">
        <v>38</v>
      </c>
      <c r="I1" s="48" t="s">
        <v>18</v>
      </c>
      <c r="J1" s="50"/>
    </row>
    <row r="2" spans="1:10">
      <c r="A2" s="66"/>
      <c r="B2" s="66" t="s">
        <v>19</v>
      </c>
      <c r="C2" s="66" t="s">
        <v>20</v>
      </c>
      <c r="D2" s="67" t="s">
        <v>23</v>
      </c>
      <c r="E2" s="70"/>
      <c r="F2" s="64"/>
      <c r="G2" s="64"/>
      <c r="H2" s="64"/>
      <c r="I2" s="71">
        <v>0</v>
      </c>
      <c r="J2" s="50"/>
    </row>
    <row r="3" spans="1:10" ht="30.75" thickBot="1">
      <c r="A3" s="51"/>
      <c r="B3" s="52" t="s">
        <v>19</v>
      </c>
      <c r="C3" s="52" t="s">
        <v>33</v>
      </c>
      <c r="D3" s="53" t="s">
        <v>23</v>
      </c>
      <c r="E3" s="54"/>
      <c r="F3" s="55"/>
      <c r="G3" s="55"/>
      <c r="H3" s="55"/>
      <c r="I3" s="72">
        <v>0</v>
      </c>
      <c r="J3" s="50"/>
    </row>
    <row r="4" spans="1:10">
      <c r="A4" s="57"/>
      <c r="B4" s="58" t="s">
        <v>19</v>
      </c>
      <c r="C4" s="58" t="s">
        <v>20</v>
      </c>
      <c r="D4" s="59" t="s">
        <v>22</v>
      </c>
      <c r="E4" s="60"/>
      <c r="F4" s="61"/>
      <c r="G4" s="61"/>
      <c r="H4" s="61"/>
      <c r="I4" s="73">
        <v>0</v>
      </c>
      <c r="J4" s="50"/>
    </row>
    <row r="5" spans="1:10" ht="30.75" thickBot="1">
      <c r="A5" s="52"/>
      <c r="B5" s="52" t="s">
        <v>19</v>
      </c>
      <c r="C5" s="52" t="s">
        <v>33</v>
      </c>
      <c r="D5" s="53" t="s">
        <v>22</v>
      </c>
      <c r="E5" s="54"/>
      <c r="F5" s="55"/>
      <c r="G5" s="55"/>
      <c r="H5" s="55"/>
      <c r="I5" s="72">
        <v>0</v>
      </c>
      <c r="J5" s="50"/>
    </row>
    <row r="6" spans="1:10" ht="30">
      <c r="A6" s="66"/>
      <c r="B6" s="66" t="s">
        <v>19</v>
      </c>
      <c r="C6" s="66" t="s">
        <v>33</v>
      </c>
      <c r="D6" s="67" t="s">
        <v>21</v>
      </c>
      <c r="E6" s="68"/>
      <c r="F6" s="64"/>
      <c r="G6" s="64"/>
      <c r="H6" s="64"/>
      <c r="I6" s="71">
        <v>0</v>
      </c>
      <c r="J6" s="50"/>
    </row>
    <row r="7" spans="1:10" ht="15.75" thickBot="1">
      <c r="A7" s="65"/>
      <c r="B7" s="66" t="s">
        <v>19</v>
      </c>
      <c r="C7" s="66" t="s">
        <v>36</v>
      </c>
      <c r="D7" s="67" t="s">
        <v>21</v>
      </c>
      <c r="E7" s="68"/>
      <c r="F7" s="64"/>
      <c r="G7" s="64"/>
      <c r="H7" s="64"/>
      <c r="I7" s="69"/>
      <c r="J7" s="50"/>
    </row>
    <row r="8" spans="1:10">
      <c r="A8" s="57"/>
      <c r="B8" s="58" t="s">
        <v>19</v>
      </c>
      <c r="C8" s="58" t="s">
        <v>20</v>
      </c>
      <c r="D8" s="59" t="s">
        <v>24</v>
      </c>
      <c r="E8" s="63"/>
      <c r="F8" s="61"/>
      <c r="G8" s="61"/>
      <c r="H8" s="61"/>
      <c r="I8" s="62">
        <v>0</v>
      </c>
      <c r="J8" s="50"/>
    </row>
    <row r="9" spans="1:10" ht="30.75" thickBot="1">
      <c r="A9" s="51"/>
      <c r="B9" s="52" t="s">
        <v>19</v>
      </c>
      <c r="C9" s="52" t="s">
        <v>33</v>
      </c>
      <c r="D9" s="53" t="s">
        <v>24</v>
      </c>
      <c r="E9" s="54"/>
      <c r="F9" s="55"/>
      <c r="G9" s="55"/>
      <c r="H9" s="55"/>
      <c r="I9" s="56">
        <v>0</v>
      </c>
      <c r="J9" s="50"/>
    </row>
    <row r="10" spans="1:10">
      <c r="A10" s="57"/>
      <c r="B10" s="58" t="s">
        <v>19</v>
      </c>
      <c r="C10" s="58" t="s">
        <v>20</v>
      </c>
      <c r="D10" s="59" t="s">
        <v>27</v>
      </c>
      <c r="E10" s="63"/>
      <c r="F10" s="61"/>
      <c r="G10" s="61"/>
      <c r="H10" s="61"/>
      <c r="I10" s="62">
        <v>0</v>
      </c>
      <c r="J10" s="50"/>
    </row>
    <row r="11" spans="1:10" ht="30.75" thickBot="1">
      <c r="A11" s="51"/>
      <c r="B11" s="52" t="s">
        <v>19</v>
      </c>
      <c r="C11" s="52" t="s">
        <v>33</v>
      </c>
      <c r="D11" s="53" t="s">
        <v>27</v>
      </c>
      <c r="E11" s="54"/>
      <c r="F11" s="55"/>
      <c r="G11" s="55"/>
      <c r="H11" s="55"/>
      <c r="I11" s="56">
        <v>0</v>
      </c>
      <c r="J11" s="50"/>
    </row>
    <row r="12" spans="1:10">
      <c r="A12" s="57"/>
      <c r="B12" s="58" t="s">
        <v>19</v>
      </c>
      <c r="C12" s="58" t="s">
        <v>20</v>
      </c>
      <c r="D12" s="59" t="s">
        <v>26</v>
      </c>
      <c r="E12" s="63"/>
      <c r="F12" s="61"/>
      <c r="G12" s="61"/>
      <c r="H12" s="61"/>
      <c r="I12" s="62">
        <v>0</v>
      </c>
      <c r="J12" s="50"/>
    </row>
    <row r="13" spans="1:10" ht="30.75" thickBot="1">
      <c r="A13" s="51"/>
      <c r="B13" s="52" t="s">
        <v>19</v>
      </c>
      <c r="C13" s="52" t="s">
        <v>33</v>
      </c>
      <c r="D13" s="53" t="s">
        <v>26</v>
      </c>
      <c r="E13" s="54"/>
      <c r="F13" s="55"/>
      <c r="G13" s="55"/>
      <c r="H13" s="55"/>
      <c r="I13" s="56">
        <v>0</v>
      </c>
      <c r="J13" s="50"/>
    </row>
    <row r="14" spans="1:10">
      <c r="A14" s="57"/>
      <c r="B14" s="58" t="s">
        <v>19</v>
      </c>
      <c r="C14" s="58" t="s">
        <v>20</v>
      </c>
      <c r="D14" s="59" t="s">
        <v>25</v>
      </c>
      <c r="E14" s="63"/>
      <c r="F14" s="61"/>
      <c r="G14" s="61"/>
      <c r="H14" s="61"/>
      <c r="I14" s="62">
        <v>0</v>
      </c>
      <c r="J14" s="50"/>
    </row>
    <row r="15" spans="1:10" ht="30.75" thickBot="1">
      <c r="A15" s="51"/>
      <c r="B15" s="52" t="s">
        <v>19</v>
      </c>
      <c r="C15" s="52" t="s">
        <v>33</v>
      </c>
      <c r="D15" s="53" t="s">
        <v>25</v>
      </c>
      <c r="E15" s="54"/>
      <c r="F15" s="55"/>
      <c r="G15" s="55"/>
      <c r="H15" s="55"/>
      <c r="I15" s="56">
        <v>0</v>
      </c>
      <c r="J15" s="50"/>
    </row>
    <row r="16" spans="1:10">
      <c r="A16" s="57"/>
      <c r="B16" s="58" t="s">
        <v>19</v>
      </c>
      <c r="C16" s="58" t="s">
        <v>20</v>
      </c>
      <c r="D16" s="59" t="s">
        <v>28</v>
      </c>
      <c r="E16" s="63"/>
      <c r="F16" s="61"/>
      <c r="G16" s="61"/>
      <c r="H16" s="61"/>
      <c r="I16" s="62">
        <v>0</v>
      </c>
      <c r="J16" s="50"/>
    </row>
    <row r="17" spans="1:10" ht="30.75" thickBot="1">
      <c r="A17" s="51"/>
      <c r="B17" s="52" t="s">
        <v>19</v>
      </c>
      <c r="C17" s="52" t="s">
        <v>33</v>
      </c>
      <c r="D17" s="53" t="s">
        <v>28</v>
      </c>
      <c r="E17" s="54"/>
      <c r="F17" s="55"/>
      <c r="G17" s="55"/>
      <c r="H17" s="55"/>
      <c r="I17" s="56">
        <v>0</v>
      </c>
      <c r="J17" s="50"/>
    </row>
    <row r="18" spans="1:10">
      <c r="A18" s="57"/>
      <c r="B18" s="58" t="s">
        <v>19</v>
      </c>
      <c r="C18" s="58" t="s">
        <v>20</v>
      </c>
      <c r="D18" s="59" t="s">
        <v>31</v>
      </c>
      <c r="E18" s="63"/>
      <c r="F18" s="61"/>
      <c r="G18" s="61"/>
      <c r="H18" s="61"/>
      <c r="I18" s="62">
        <v>0</v>
      </c>
      <c r="J18" s="50"/>
    </row>
    <row r="19" spans="1:10" ht="30.75" thickBot="1">
      <c r="A19" s="51"/>
      <c r="B19" s="52" t="s">
        <v>19</v>
      </c>
      <c r="C19" s="52" t="s">
        <v>33</v>
      </c>
      <c r="D19" s="53" t="s">
        <v>31</v>
      </c>
      <c r="E19" s="54"/>
      <c r="F19" s="55"/>
      <c r="G19" s="55"/>
      <c r="H19" s="55"/>
      <c r="I19" s="56">
        <v>0</v>
      </c>
      <c r="J19" s="50"/>
    </row>
    <row r="20" spans="1:10">
      <c r="A20" s="57"/>
      <c r="B20" s="58" t="s">
        <v>19</v>
      </c>
      <c r="C20" s="58" t="s">
        <v>20</v>
      </c>
      <c r="D20" s="59" t="s">
        <v>30</v>
      </c>
      <c r="E20" s="63"/>
      <c r="F20" s="61"/>
      <c r="G20" s="61"/>
      <c r="H20" s="61"/>
      <c r="I20" s="62">
        <v>0</v>
      </c>
      <c r="J20" s="50"/>
    </row>
    <row r="21" spans="1:10" ht="30.75" thickBot="1">
      <c r="A21" s="51"/>
      <c r="B21" s="52" t="s">
        <v>19</v>
      </c>
      <c r="C21" s="52" t="s">
        <v>33</v>
      </c>
      <c r="D21" s="53" t="s">
        <v>30</v>
      </c>
      <c r="E21" s="54"/>
      <c r="F21" s="55"/>
      <c r="G21" s="55"/>
      <c r="H21" s="55"/>
      <c r="I21" s="56">
        <v>0</v>
      </c>
      <c r="J21" s="50"/>
    </row>
    <row r="22" spans="1:10">
      <c r="A22" s="57"/>
      <c r="B22" s="58" t="s">
        <v>19</v>
      </c>
      <c r="C22" s="58" t="s">
        <v>20</v>
      </c>
      <c r="D22" s="59" t="s">
        <v>29</v>
      </c>
      <c r="E22" s="63"/>
      <c r="F22" s="61"/>
      <c r="G22" s="61"/>
      <c r="H22" s="61"/>
      <c r="I22" s="62">
        <v>0</v>
      </c>
      <c r="J22" s="50"/>
    </row>
    <row r="23" spans="1:10" ht="30.75" thickBot="1">
      <c r="A23" s="51"/>
      <c r="B23" s="52" t="s">
        <v>19</v>
      </c>
      <c r="C23" s="52" t="s">
        <v>33</v>
      </c>
      <c r="D23" s="53" t="s">
        <v>29</v>
      </c>
      <c r="E23" s="54"/>
      <c r="F23" s="55"/>
      <c r="G23" s="55"/>
      <c r="H23" s="55"/>
      <c r="I23" s="56">
        <v>0</v>
      </c>
      <c r="J23" s="50"/>
    </row>
    <row r="24" spans="1:10" ht="30">
      <c r="A24" s="57"/>
      <c r="B24" s="58" t="s">
        <v>19</v>
      </c>
      <c r="C24" s="58" t="s">
        <v>20</v>
      </c>
      <c r="D24" s="59" t="s">
        <v>32</v>
      </c>
      <c r="E24" s="63"/>
      <c r="F24" s="61"/>
      <c r="G24" s="61"/>
      <c r="H24" s="61"/>
      <c r="I24" s="62">
        <v>0</v>
      </c>
      <c r="J24" s="50"/>
    </row>
    <row r="25" spans="1:10" ht="30.75" thickBot="1">
      <c r="A25" s="51"/>
      <c r="B25" s="52" t="s">
        <v>19</v>
      </c>
      <c r="C25" s="52" t="s">
        <v>33</v>
      </c>
      <c r="D25" s="53" t="s">
        <v>32</v>
      </c>
      <c r="E25" s="54"/>
      <c r="F25" s="55"/>
      <c r="G25" s="55"/>
      <c r="H25" s="55"/>
      <c r="I25" s="56">
        <v>0</v>
      </c>
      <c r="J25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HIV Incidence-Proportion &amp; Orga</vt:lpstr>
      <vt:lpstr>Scope of Work Example </vt:lpstr>
      <vt:lpstr>Blank Scope of Work Example</vt:lpstr>
    </vt:vector>
  </TitlesOfParts>
  <Company>State of Illinois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 Hicks</dc:creator>
  <cp:lastModifiedBy>iwillisj</cp:lastModifiedBy>
  <cp:lastPrinted>2011-08-23T00:27:46Z</cp:lastPrinted>
  <dcterms:created xsi:type="dcterms:W3CDTF">2011-08-19T15:51:09Z</dcterms:created>
  <dcterms:modified xsi:type="dcterms:W3CDTF">2012-08-08T14:57:18Z</dcterms:modified>
</cp:coreProperties>
</file>