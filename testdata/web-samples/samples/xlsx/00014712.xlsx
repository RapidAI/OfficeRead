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15" windowWidth="12510" windowHeight="6465" activeTab="1"/>
  </bookViews>
  <sheets>
    <sheet name="Summary" sheetId="6" r:id="rId1"/>
    <sheet name="2009-2010 Title IV Funding" sheetId="5" r:id="rId2"/>
  </sheets>
  <definedNames>
    <definedName name="_xlnm.Print_Area" localSheetId="1">'2009-2010 Title IV Funding'!$A$2:$I$20</definedName>
    <definedName name="_xlnm.Print_Titles" localSheetId="1">'2009-2010 Title IV Funding'!$2:$9</definedName>
  </definedNames>
  <calcPr calcId="145621" concurrentCalc="0"/>
</workbook>
</file>

<file path=xl/calcChain.xml><?xml version="1.0" encoding="utf-8"?>
<calcChain xmlns="http://schemas.openxmlformats.org/spreadsheetml/2006/main">
  <c r="I10" i="5" l="1"/>
  <c r="C18" i="6"/>
</calcChain>
</file>

<file path=xl/sharedStrings.xml><?xml version="1.0" encoding="utf-8"?>
<sst xmlns="http://schemas.openxmlformats.org/spreadsheetml/2006/main" count="105" uniqueCount="91">
  <si>
    <t>Bayamon</t>
  </si>
  <si>
    <t>03124200</t>
  </si>
  <si>
    <t>Nova College of Puerto Rico</t>
  </si>
  <si>
    <t>FL</t>
  </si>
  <si>
    <t>Fort Lauderdale</t>
  </si>
  <si>
    <t>Columbus</t>
  </si>
  <si>
    <t>Milwaukee</t>
  </si>
  <si>
    <t>ATI Career Training Center</t>
  </si>
  <si>
    <t>Healthy Hair Academy</t>
  </si>
  <si>
    <t>CO</t>
  </si>
  <si>
    <t>NY</t>
  </si>
  <si>
    <t>Hempstead</t>
  </si>
  <si>
    <t>Woodland Park</t>
  </si>
  <si>
    <t>PR</t>
  </si>
  <si>
    <t>01093000</t>
  </si>
  <si>
    <t>Suburban Technical School</t>
  </si>
  <si>
    <t>CA</t>
  </si>
  <si>
    <t>Los Angeles</t>
  </si>
  <si>
    <t>02312400</t>
  </si>
  <si>
    <t>LA College International</t>
  </si>
  <si>
    <t>Inglewood</t>
  </si>
  <si>
    <t>04127800</t>
  </si>
  <si>
    <t>04137200</t>
  </si>
  <si>
    <t>Borner's Barber College</t>
  </si>
  <si>
    <t>OPEID</t>
  </si>
  <si>
    <t>School Name</t>
  </si>
  <si>
    <t>City</t>
  </si>
  <si>
    <t>ST</t>
  </si>
  <si>
    <t>Fiscal</t>
  </si>
  <si>
    <t>Year</t>
  </si>
  <si>
    <t>Ending</t>
  </si>
  <si>
    <t>Date</t>
  </si>
  <si>
    <t>02215900</t>
  </si>
  <si>
    <t>02337800</t>
  </si>
  <si>
    <t>College Of Office Technology</t>
  </si>
  <si>
    <t>Chicago</t>
  </si>
  <si>
    <t>IL</t>
  </si>
  <si>
    <t>OH</t>
  </si>
  <si>
    <t>00485500</t>
  </si>
  <si>
    <t>Davis College</t>
  </si>
  <si>
    <t>Toledo</t>
  </si>
  <si>
    <t>WI</t>
  </si>
  <si>
    <t>02311200</t>
  </si>
  <si>
    <t>American School of Technology</t>
  </si>
  <si>
    <t>Proprietary School 90/10 Revenue Percentages from Financial Statements</t>
  </si>
  <si>
    <r>
      <t xml:space="preserve">with Fiscal Year Ending Dates Between </t>
    </r>
    <r>
      <rPr>
        <b/>
        <u/>
        <sz val="14"/>
        <color indexed="8"/>
        <rFont val="Calibri"/>
        <family val="2"/>
      </rPr>
      <t>7/1/2009 and 6/30/2010</t>
    </r>
  </si>
  <si>
    <t>04124800</t>
  </si>
  <si>
    <t>Visions in Hair Design Institute of Cosmetology</t>
  </si>
  <si>
    <t>04151100</t>
  </si>
  <si>
    <t>Summit Salon &amp; Beauty School</t>
  </si>
  <si>
    <t>Proprietary School 90/10 Revenue Attestation Percentages</t>
  </si>
  <si>
    <t xml:space="preserve">from Financial Statements with Fiscal Year Ending Dates </t>
  </si>
  <si>
    <t>Revenue Attestation Percentage</t>
  </si>
  <si>
    <t>Number of Schools</t>
  </si>
  <si>
    <t>Total Number of Schools</t>
  </si>
  <si>
    <t>Between 7/1/2009 and 6/30/2010</t>
  </si>
  <si>
    <t>Source:  eZ-Audit as of 6/14/2011</t>
  </si>
  <si>
    <t>Greater than 90 from Title IV Sources</t>
  </si>
  <si>
    <t>Greater than 85 and up to 90 from Title IV Sources</t>
  </si>
  <si>
    <t>Greater than 80 and up to 85 from Title IV Sources</t>
  </si>
  <si>
    <t>Greater than 70 and up to 80 from Title IV Sources</t>
  </si>
  <si>
    <t>Greater than 60 and up to 70 from Title IV Sources</t>
  </si>
  <si>
    <t>Greater than 50 and up to 60 from Title IV Sources</t>
  </si>
  <si>
    <t>Greater than 40 and up to 50 from Title IV Sources</t>
  </si>
  <si>
    <t>Greater than 30 and up to 40 from Title IV Sources</t>
  </si>
  <si>
    <t>Greater than 20 and up to 30 from Title IV Sources</t>
  </si>
  <si>
    <t>Greater than 10 and up to 20 from Title IV Sources</t>
  </si>
  <si>
    <t>Between 0 and 10 from Title IV Sources</t>
  </si>
  <si>
    <t>for Schools Not Meeting the 90/10 rule   source: eZ-Audit as of 6/14/11</t>
  </si>
  <si>
    <t>Funds</t>
  </si>
  <si>
    <t>Cash</t>
  </si>
  <si>
    <t>From</t>
  </si>
  <si>
    <t>Title IV</t>
  </si>
  <si>
    <t>Other</t>
  </si>
  <si>
    <t>% Cash</t>
  </si>
  <si>
    <t>The HEOA moves the 90/10 Rule to the PPA from Title I of the HEA (the 90/10 Rule</t>
  </si>
  <si>
    <t>applies only to proprietary institutions and requires those institutions to derive at least 10</t>
  </si>
  <si>
    <t>percent of their revenue from non-Title IV sources). As a result, an institution that now</t>
  </si>
  <si>
    <t>violates the 90/10 Rule for one year would no longer lose its eligibility to participate in</t>
  </si>
  <si>
    <t>the Title IV programs. Instead, the institution's participation becomes provisional for</t>
  </si>
  <si>
    <t>two fiscal years. However, if the institution does not satisfy the 90/10 Rule for two</t>
  </si>
  <si>
    <t>consecutive fiscal years, it loses its eligibility to participate in the Title IV programs for at</t>
  </si>
  <si>
    <t>least two fiscal years.</t>
  </si>
  <si>
    <t>If an institution fails to satisfy the 90/10 Rule, the HEOA requires the Department to</t>
  </si>
  <si>
    <t>publicly disclose on the College Navigator Website the identity of that institution and the</t>
  </si>
  <si>
    <t>extent to which the institution failed to satisfy the rule. In addition, no later than July 1 of</t>
  </si>
  <si>
    <t>each year, the Secretary must submit to Congress a report that contains, for each</t>
  </si>
  <si>
    <t>proprietary institution, the amount and percentage of the institution's revenues from Title</t>
  </si>
  <si>
    <t>IV sources and non-Title IV sources, as provided by the institution in its audited financial</t>
  </si>
  <si>
    <t>statements.</t>
  </si>
  <si>
    <t>U.S. Department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</si>
</sst>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charset val="204"/>
    </font>
    <font>
      <sz val="10"/>
      <color indexed="8"/>
      <name val="Arial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u/>
      <sz val="14"/>
      <color indexed="8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rgb="FFCCFFFF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1">
    <xf numFmtId="0" fontId="0" fillId="0" borderId="0" xfId="0"/>
    <xf numFmtId="0" fontId="3" fillId="0" borderId="1" xfId="1" applyFont="1" applyFill="1" applyBorder="1" applyAlignment="1">
      <alignment vertical="top" wrapText="1"/>
    </xf>
    <xf numFmtId="14" fontId="3" fillId="0" borderId="1" xfId="1" applyNumberFormat="1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center"/>
    </xf>
    <xf numFmtId="0" fontId="5" fillId="4" borderId="3" xfId="2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0" borderId="0" xfId="1" applyFont="1" applyFill="1" applyBorder="1" applyAlignment="1">
      <alignment vertical="top" wrapText="1"/>
    </xf>
    <xf numFmtId="0" fontId="2" fillId="0" borderId="7" xfId="2" applyFont="1" applyFill="1" applyBorder="1" applyAlignment="1">
      <alignment horizontal="center" wrapText="1"/>
    </xf>
    <xf numFmtId="3" fontId="2" fillId="0" borderId="8" xfId="2" applyNumberFormat="1" applyFont="1" applyFill="1" applyBorder="1" applyAlignment="1">
      <alignment wrapText="1"/>
    </xf>
    <xf numFmtId="0" fontId="2" fillId="0" borderId="9" xfId="2" applyFont="1" applyFill="1" applyBorder="1" applyAlignment="1">
      <alignment horizontal="center" wrapText="1"/>
    </xf>
    <xf numFmtId="3" fontId="2" fillId="0" borderId="10" xfId="2" applyNumberFormat="1" applyFont="1" applyFill="1" applyBorder="1" applyAlignment="1">
      <alignment wrapText="1"/>
    </xf>
    <xf numFmtId="3" fontId="2" fillId="0" borderId="11" xfId="2" applyNumberFormat="1" applyFont="1" applyFill="1" applyBorder="1" applyAlignment="1">
      <alignment wrapText="1"/>
    </xf>
    <xf numFmtId="0" fontId="5" fillId="0" borderId="9" xfId="2" applyFont="1" applyFill="1" applyBorder="1" applyAlignment="1">
      <alignment horizontal="center" wrapText="1"/>
    </xf>
    <xf numFmtId="3" fontId="5" fillId="0" borderId="12" xfId="2" applyNumberFormat="1" applyFont="1" applyFill="1" applyBorder="1" applyAlignment="1">
      <alignment wrapText="1"/>
    </xf>
    <xf numFmtId="0" fontId="5" fillId="3" borderId="5" xfId="0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right" vertical="top" wrapText="1"/>
    </xf>
    <xf numFmtId="164" fontId="1" fillId="0" borderId="1" xfId="1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10" fontId="3" fillId="0" borderId="1" xfId="1" applyNumberFormat="1" applyFont="1" applyFill="1" applyBorder="1" applyAlignment="1">
      <alignment horizontal="center" vertical="top" wrapText="1"/>
    </xf>
    <xf numFmtId="10" fontId="0" fillId="0" borderId="0" xfId="0" applyNumberFormat="1" applyAlignment="1">
      <alignment horizontal="center"/>
    </xf>
    <xf numFmtId="0" fontId="0" fillId="0" borderId="0" xfId="0" applyFont="1"/>
    <xf numFmtId="0" fontId="10" fillId="5" borderId="5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12" fillId="0" borderId="0" xfId="0" applyFont="1"/>
  </cellXfs>
  <cellStyles count="3">
    <cellStyle name="Normal" xfId="0" builtinId="0"/>
    <cellStyle name="Normal_Schools" xfId="1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workbookViewId="0">
      <selection activeCell="B4" sqref="B4:C4"/>
    </sheetView>
  </sheetViews>
  <sheetFormatPr defaultRowHeight="15" x14ac:dyDescent="0.25"/>
  <cols>
    <col min="1" max="1" width="1.7109375" customWidth="1"/>
    <col min="2" max="2" width="52.7109375" customWidth="1"/>
    <col min="3" max="3" width="18.7109375" customWidth="1"/>
  </cols>
  <sheetData>
    <row r="1" spans="2:3" ht="6.75" customHeight="1" x14ac:dyDescent="0.25"/>
    <row r="2" spans="2:3" ht="15.75" x14ac:dyDescent="0.25">
      <c r="B2" s="23" t="s">
        <v>50</v>
      </c>
      <c r="C2" s="24"/>
    </row>
    <row r="3" spans="2:3" ht="15.75" x14ac:dyDescent="0.25">
      <c r="B3" s="25" t="s">
        <v>51</v>
      </c>
      <c r="C3" s="26"/>
    </row>
    <row r="4" spans="2:3" ht="15.75" x14ac:dyDescent="0.25">
      <c r="B4" s="25" t="s">
        <v>55</v>
      </c>
      <c r="C4" s="26"/>
    </row>
    <row r="5" spans="2:3" x14ac:dyDescent="0.25">
      <c r="B5" s="27" t="s">
        <v>56</v>
      </c>
      <c r="C5" s="28"/>
    </row>
    <row r="6" spans="2:3" x14ac:dyDescent="0.25">
      <c r="B6" s="4" t="s">
        <v>52</v>
      </c>
      <c r="C6" s="4" t="s">
        <v>53</v>
      </c>
    </row>
    <row r="7" spans="2:3" x14ac:dyDescent="0.25">
      <c r="B7" s="9" t="s">
        <v>57</v>
      </c>
      <c r="C7" s="10">
        <v>11</v>
      </c>
    </row>
    <row r="8" spans="2:3" x14ac:dyDescent="0.25">
      <c r="B8" s="11" t="s">
        <v>58</v>
      </c>
      <c r="C8" s="12">
        <v>313</v>
      </c>
    </row>
    <row r="9" spans="2:3" x14ac:dyDescent="0.25">
      <c r="B9" s="11" t="s">
        <v>59</v>
      </c>
      <c r="C9" s="12">
        <v>388</v>
      </c>
    </row>
    <row r="10" spans="2:3" x14ac:dyDescent="0.25">
      <c r="B10" s="11" t="s">
        <v>60</v>
      </c>
      <c r="C10" s="12">
        <v>512</v>
      </c>
    </row>
    <row r="11" spans="2:3" x14ac:dyDescent="0.25">
      <c r="B11" s="11" t="s">
        <v>61</v>
      </c>
      <c r="C11" s="12">
        <v>321</v>
      </c>
    </row>
    <row r="12" spans="2:3" x14ac:dyDescent="0.25">
      <c r="B12" s="11" t="s">
        <v>62</v>
      </c>
      <c r="C12" s="12">
        <v>169</v>
      </c>
    </row>
    <row r="13" spans="2:3" x14ac:dyDescent="0.25">
      <c r="B13" s="11" t="s">
        <v>63</v>
      </c>
      <c r="C13" s="12">
        <v>92</v>
      </c>
    </row>
    <row r="14" spans="2:3" x14ac:dyDescent="0.25">
      <c r="B14" s="11" t="s">
        <v>64</v>
      </c>
      <c r="C14" s="12">
        <v>59</v>
      </c>
    </row>
    <row r="15" spans="2:3" x14ac:dyDescent="0.25">
      <c r="B15" s="11" t="s">
        <v>65</v>
      </c>
      <c r="C15" s="12">
        <v>29</v>
      </c>
    </row>
    <row r="16" spans="2:3" x14ac:dyDescent="0.25">
      <c r="B16" s="11" t="s">
        <v>66</v>
      </c>
      <c r="C16" s="12">
        <v>31</v>
      </c>
    </row>
    <row r="17" spans="2:3" x14ac:dyDescent="0.25">
      <c r="B17" s="11" t="s">
        <v>67</v>
      </c>
      <c r="C17" s="13">
        <v>19</v>
      </c>
    </row>
    <row r="18" spans="2:3" ht="15.75" thickBot="1" x14ac:dyDescent="0.3">
      <c r="B18" s="14" t="s">
        <v>54</v>
      </c>
      <c r="C18" s="15">
        <f>SUM(C7:C17)</f>
        <v>1944</v>
      </c>
    </row>
    <row r="19" spans="2:3" ht="8.1" customHeight="1" thickTop="1" x14ac:dyDescent="0.25">
      <c r="B19" s="29"/>
      <c r="C19" s="30"/>
    </row>
  </sheetData>
  <mergeCells count="5">
    <mergeCell ref="B2:C2"/>
    <mergeCell ref="B3:C3"/>
    <mergeCell ref="B4:C4"/>
    <mergeCell ref="B5:C5"/>
    <mergeCell ref="B19:C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tabSelected="1" zoomScaleNormal="100" workbookViewId="0">
      <selection activeCell="L10" sqref="L10"/>
    </sheetView>
  </sheetViews>
  <sheetFormatPr defaultRowHeight="15" x14ac:dyDescent="0.25"/>
  <cols>
    <col min="1" max="1" width="9" bestFit="1" customWidth="1"/>
    <col min="2" max="2" width="43.85546875" customWidth="1"/>
    <col min="3" max="3" width="18.7109375" bestFit="1" customWidth="1"/>
    <col min="4" max="4" width="4.140625" bestFit="1" customWidth="1"/>
    <col min="5" max="5" width="10.7109375" bestFit="1" customWidth="1"/>
    <col min="6" max="7" width="10.7109375" customWidth="1"/>
    <col min="8" max="8" width="10.7109375" style="19" customWidth="1"/>
    <col min="9" max="9" width="11" style="19" customWidth="1"/>
  </cols>
  <sheetData>
    <row r="1" spans="1:9" ht="21" x14ac:dyDescent="0.35">
      <c r="C1" s="40" t="s">
        <v>90</v>
      </c>
    </row>
    <row r="2" spans="1:9" ht="34.5" customHeight="1" x14ac:dyDescent="0.3">
      <c r="A2" s="31" t="s">
        <v>44</v>
      </c>
      <c r="B2" s="32"/>
      <c r="C2" s="32"/>
      <c r="D2" s="32"/>
      <c r="E2" s="32"/>
      <c r="F2" s="32"/>
      <c r="G2" s="32"/>
      <c r="H2" s="32"/>
      <c r="I2" s="33"/>
    </row>
    <row r="3" spans="1:9" ht="26.25" customHeight="1" x14ac:dyDescent="0.3">
      <c r="A3" s="34" t="s">
        <v>45</v>
      </c>
      <c r="B3" s="35"/>
      <c r="C3" s="35"/>
      <c r="D3" s="35"/>
      <c r="E3" s="35"/>
      <c r="F3" s="35"/>
      <c r="G3" s="35"/>
      <c r="H3" s="35"/>
      <c r="I3" s="36"/>
    </row>
    <row r="4" spans="1:9" x14ac:dyDescent="0.25">
      <c r="A4" s="37" t="s">
        <v>68</v>
      </c>
      <c r="B4" s="38"/>
      <c r="C4" s="38"/>
      <c r="D4" s="38"/>
      <c r="E4" s="38"/>
      <c r="F4" s="38"/>
      <c r="G4" s="38"/>
      <c r="H4" s="38"/>
      <c r="I4" s="39"/>
    </row>
    <row r="5" spans="1:9" x14ac:dyDescent="0.25">
      <c r="B5" s="8"/>
    </row>
    <row r="6" spans="1:9" x14ac:dyDescent="0.25">
      <c r="A6" s="5"/>
      <c r="B6" s="5"/>
      <c r="C6" s="5"/>
      <c r="D6" s="5"/>
      <c r="E6" s="5" t="s">
        <v>28</v>
      </c>
      <c r="F6" s="16" t="s">
        <v>70</v>
      </c>
      <c r="G6" s="16" t="s">
        <v>70</v>
      </c>
      <c r="H6" s="16" t="s">
        <v>74</v>
      </c>
      <c r="I6" s="16" t="s">
        <v>74</v>
      </c>
    </row>
    <row r="7" spans="1:9" x14ac:dyDescent="0.25">
      <c r="A7" s="3"/>
      <c r="B7" s="3"/>
      <c r="C7" s="3"/>
      <c r="D7" s="3"/>
      <c r="E7" s="3" t="s">
        <v>29</v>
      </c>
      <c r="F7" s="7" t="s">
        <v>71</v>
      </c>
      <c r="G7" s="7" t="s">
        <v>71</v>
      </c>
      <c r="H7" s="7" t="s">
        <v>71</v>
      </c>
      <c r="I7" s="7" t="s">
        <v>71</v>
      </c>
    </row>
    <row r="8" spans="1:9" x14ac:dyDescent="0.25">
      <c r="A8" s="3"/>
      <c r="B8" s="3"/>
      <c r="C8" s="3"/>
      <c r="D8" s="3"/>
      <c r="E8" s="3" t="s">
        <v>30</v>
      </c>
      <c r="F8" s="6" t="s">
        <v>72</v>
      </c>
      <c r="G8" s="6" t="s">
        <v>73</v>
      </c>
      <c r="H8" s="6" t="s">
        <v>72</v>
      </c>
      <c r="I8" s="6" t="s">
        <v>73</v>
      </c>
    </row>
    <row r="9" spans="1:9" x14ac:dyDescent="0.25">
      <c r="A9" s="4" t="s">
        <v>24</v>
      </c>
      <c r="B9" s="4" t="s">
        <v>25</v>
      </c>
      <c r="C9" s="4" t="s">
        <v>26</v>
      </c>
      <c r="D9" s="4" t="s">
        <v>27</v>
      </c>
      <c r="E9" s="4" t="s">
        <v>31</v>
      </c>
      <c r="F9" s="4" t="s">
        <v>69</v>
      </c>
      <c r="G9" s="4" t="s">
        <v>69</v>
      </c>
      <c r="H9" s="4" t="s">
        <v>69</v>
      </c>
      <c r="I9" s="4" t="s">
        <v>69</v>
      </c>
    </row>
    <row r="10" spans="1:9" x14ac:dyDescent="0.25">
      <c r="A10" s="1" t="s">
        <v>46</v>
      </c>
      <c r="B10" s="1" t="s">
        <v>47</v>
      </c>
      <c r="C10" s="1" t="s">
        <v>6</v>
      </c>
      <c r="D10" s="1" t="s">
        <v>41</v>
      </c>
      <c r="E10" s="2">
        <v>40178</v>
      </c>
      <c r="F10" s="17">
        <v>57700</v>
      </c>
      <c r="G10" s="17">
        <v>387</v>
      </c>
      <c r="H10" s="21">
        <v>0.99</v>
      </c>
      <c r="I10" s="20">
        <f t="shared" ref="I10" si="0">1-H10</f>
        <v>1.0000000000000009E-2</v>
      </c>
    </row>
    <row r="11" spans="1:9" x14ac:dyDescent="0.25">
      <c r="A11" s="1" t="s">
        <v>21</v>
      </c>
      <c r="B11" s="1" t="s">
        <v>8</v>
      </c>
      <c r="C11" s="1" t="s">
        <v>20</v>
      </c>
      <c r="D11" s="1" t="s">
        <v>16</v>
      </c>
      <c r="E11" s="2">
        <v>40178</v>
      </c>
      <c r="F11" s="17">
        <v>1223440</v>
      </c>
      <c r="G11" s="17">
        <v>74141</v>
      </c>
      <c r="H11" s="20">
        <v>0.94289999999999996</v>
      </c>
      <c r="I11" s="20">
        <v>5.7099999999999998E-2</v>
      </c>
    </row>
    <row r="12" spans="1:9" x14ac:dyDescent="0.25">
      <c r="A12" s="1" t="s">
        <v>1</v>
      </c>
      <c r="B12" s="1" t="s">
        <v>2</v>
      </c>
      <c r="C12" s="1" t="s">
        <v>0</v>
      </c>
      <c r="D12" s="1" t="s">
        <v>13</v>
      </c>
      <c r="E12" s="2">
        <v>40178</v>
      </c>
      <c r="F12" s="17">
        <v>1314240</v>
      </c>
      <c r="G12" s="17">
        <v>80689</v>
      </c>
      <c r="H12" s="20">
        <v>0.94220000000000004</v>
      </c>
      <c r="I12" s="20">
        <v>5.7799999999999997E-2</v>
      </c>
    </row>
    <row r="13" spans="1:9" x14ac:dyDescent="0.25">
      <c r="A13" s="1" t="s">
        <v>42</v>
      </c>
      <c r="B13" s="1" t="s">
        <v>43</v>
      </c>
      <c r="C13" s="1" t="s">
        <v>5</v>
      </c>
      <c r="D13" s="1" t="s">
        <v>37</v>
      </c>
      <c r="E13" s="2">
        <v>40178</v>
      </c>
      <c r="F13" s="17">
        <v>3650934</v>
      </c>
      <c r="G13" s="17">
        <v>225128</v>
      </c>
      <c r="H13" s="20">
        <v>0.94199999999999995</v>
      </c>
      <c r="I13" s="20">
        <v>5.8000000000000003E-2</v>
      </c>
    </row>
    <row r="14" spans="1:9" x14ac:dyDescent="0.25">
      <c r="A14" s="1" t="s">
        <v>18</v>
      </c>
      <c r="B14" s="1" t="s">
        <v>19</v>
      </c>
      <c r="C14" s="1" t="s">
        <v>17</v>
      </c>
      <c r="D14" s="1" t="s">
        <v>16</v>
      </c>
      <c r="E14" s="2">
        <v>40178</v>
      </c>
      <c r="F14" s="17">
        <v>4108602</v>
      </c>
      <c r="G14" s="17">
        <v>280931</v>
      </c>
      <c r="H14" s="20">
        <v>0.93600000000000005</v>
      </c>
      <c r="I14" s="20">
        <v>6.4000000000000001E-2</v>
      </c>
    </row>
    <row r="15" spans="1:9" x14ac:dyDescent="0.25">
      <c r="A15" s="1" t="s">
        <v>22</v>
      </c>
      <c r="B15" s="1" t="s">
        <v>23</v>
      </c>
      <c r="C15" s="1" t="s">
        <v>17</v>
      </c>
      <c r="D15" s="1" t="s">
        <v>16</v>
      </c>
      <c r="E15" s="2">
        <v>40178</v>
      </c>
      <c r="F15" s="17">
        <v>134435</v>
      </c>
      <c r="G15" s="17">
        <v>9271</v>
      </c>
      <c r="H15" s="20">
        <v>0.9355</v>
      </c>
      <c r="I15" s="20">
        <v>6.4500000000000002E-2</v>
      </c>
    </row>
    <row r="16" spans="1:9" x14ac:dyDescent="0.25">
      <c r="A16" s="1" t="s">
        <v>38</v>
      </c>
      <c r="B16" s="1" t="s">
        <v>39</v>
      </c>
      <c r="C16" s="1" t="s">
        <v>40</v>
      </c>
      <c r="D16" s="1" t="s">
        <v>37</v>
      </c>
      <c r="E16" s="2">
        <v>40359</v>
      </c>
      <c r="F16" s="17">
        <v>5220055</v>
      </c>
      <c r="G16" s="17">
        <v>396462</v>
      </c>
      <c r="H16" s="20">
        <v>0.9294</v>
      </c>
      <c r="I16" s="20">
        <v>7.0599999999999996E-2</v>
      </c>
    </row>
    <row r="17" spans="1:9" x14ac:dyDescent="0.25">
      <c r="A17" s="1" t="s">
        <v>48</v>
      </c>
      <c r="B17" s="1" t="s">
        <v>49</v>
      </c>
      <c r="C17" s="1" t="s">
        <v>12</v>
      </c>
      <c r="D17" s="1" t="s">
        <v>9</v>
      </c>
      <c r="E17" s="2">
        <v>40178</v>
      </c>
      <c r="F17" s="17">
        <v>131485</v>
      </c>
      <c r="G17" s="17">
        <v>10816</v>
      </c>
      <c r="H17" s="20">
        <v>0.92</v>
      </c>
      <c r="I17" s="20">
        <v>0.08</v>
      </c>
    </row>
    <row r="18" spans="1:9" x14ac:dyDescent="0.25">
      <c r="A18" s="1" t="s">
        <v>14</v>
      </c>
      <c r="B18" s="1" t="s">
        <v>15</v>
      </c>
      <c r="C18" s="1" t="s">
        <v>11</v>
      </c>
      <c r="D18" s="1" t="s">
        <v>10</v>
      </c>
      <c r="E18" s="2">
        <v>40178</v>
      </c>
      <c r="F18" s="17">
        <v>7315944</v>
      </c>
      <c r="G18" s="17">
        <v>666507</v>
      </c>
      <c r="H18" s="20">
        <v>0.91700000000000004</v>
      </c>
      <c r="I18" s="20">
        <v>8.3000000000000004E-2</v>
      </c>
    </row>
    <row r="19" spans="1:9" x14ac:dyDescent="0.25">
      <c r="A19" s="1" t="s">
        <v>33</v>
      </c>
      <c r="B19" s="1" t="s">
        <v>34</v>
      </c>
      <c r="C19" s="1" t="s">
        <v>35</v>
      </c>
      <c r="D19" s="1" t="s">
        <v>36</v>
      </c>
      <c r="E19" s="2">
        <v>40359</v>
      </c>
      <c r="F19" s="18">
        <v>3495363</v>
      </c>
      <c r="G19" s="17">
        <v>366532</v>
      </c>
      <c r="H19" s="20">
        <v>0.90510000000000002</v>
      </c>
      <c r="I19" s="20">
        <v>9.4899999999999998E-2</v>
      </c>
    </row>
    <row r="20" spans="1:9" x14ac:dyDescent="0.25">
      <c r="A20" s="1" t="s">
        <v>32</v>
      </c>
      <c r="B20" s="1" t="s">
        <v>7</v>
      </c>
      <c r="C20" s="1" t="s">
        <v>4</v>
      </c>
      <c r="D20" s="1" t="s">
        <v>3</v>
      </c>
      <c r="E20" s="2">
        <v>40178</v>
      </c>
      <c r="F20" s="17">
        <v>7975751</v>
      </c>
      <c r="G20" s="17">
        <v>867855</v>
      </c>
      <c r="H20" s="20">
        <v>0.90200000000000002</v>
      </c>
      <c r="I20" s="20">
        <v>9.8000000000000004E-2</v>
      </c>
    </row>
    <row r="23" spans="1:9" x14ac:dyDescent="0.25">
      <c r="A23" s="22" t="s">
        <v>75</v>
      </c>
      <c r="B23" s="22"/>
      <c r="C23" s="22"/>
      <c r="D23" s="22"/>
      <c r="E23" s="22"/>
      <c r="F23" s="22"/>
      <c r="G23" s="22"/>
    </row>
    <row r="24" spans="1:9" x14ac:dyDescent="0.25">
      <c r="A24" s="22" t="s">
        <v>76</v>
      </c>
      <c r="B24" s="22"/>
      <c r="C24" s="22"/>
      <c r="D24" s="22"/>
      <c r="E24" s="22"/>
      <c r="F24" s="22"/>
      <c r="G24" s="22"/>
    </row>
    <row r="25" spans="1:9" x14ac:dyDescent="0.25">
      <c r="A25" s="22" t="s">
        <v>77</v>
      </c>
      <c r="B25" s="22"/>
      <c r="C25" s="22"/>
      <c r="D25" s="22"/>
      <c r="E25" s="22"/>
      <c r="F25" s="22"/>
      <c r="G25" s="22"/>
    </row>
    <row r="26" spans="1:9" x14ac:dyDescent="0.25">
      <c r="A26" s="22" t="s">
        <v>78</v>
      </c>
      <c r="B26" s="22"/>
      <c r="C26" s="22"/>
      <c r="D26" s="22"/>
      <c r="E26" s="22"/>
      <c r="F26" s="22"/>
      <c r="G26" s="22"/>
    </row>
    <row r="27" spans="1:9" x14ac:dyDescent="0.25">
      <c r="A27" s="22" t="s">
        <v>79</v>
      </c>
      <c r="B27" s="22"/>
      <c r="C27" s="22"/>
      <c r="D27" s="22"/>
      <c r="E27" s="22"/>
      <c r="F27" s="22"/>
      <c r="G27" s="22"/>
    </row>
    <row r="28" spans="1:9" x14ac:dyDescent="0.25">
      <c r="A28" s="22" t="s">
        <v>80</v>
      </c>
      <c r="B28" s="22"/>
      <c r="C28" s="22"/>
      <c r="D28" s="22"/>
      <c r="E28" s="22"/>
      <c r="F28" s="22"/>
      <c r="G28" s="22"/>
    </row>
    <row r="29" spans="1:9" x14ac:dyDescent="0.25">
      <c r="A29" s="22" t="s">
        <v>81</v>
      </c>
      <c r="B29" s="22"/>
      <c r="C29" s="22"/>
      <c r="D29" s="22"/>
      <c r="E29" s="22"/>
      <c r="F29" s="22"/>
      <c r="G29" s="22"/>
    </row>
    <row r="30" spans="1:9" x14ac:dyDescent="0.25">
      <c r="A30" s="22" t="s">
        <v>82</v>
      </c>
      <c r="B30" s="22"/>
      <c r="C30" s="22"/>
      <c r="D30" s="22"/>
      <c r="E30" s="22"/>
      <c r="F30" s="22"/>
      <c r="G30" s="22"/>
    </row>
    <row r="31" spans="1:9" x14ac:dyDescent="0.25">
      <c r="A31" s="22" t="s">
        <v>83</v>
      </c>
      <c r="B31" s="22"/>
      <c r="C31" s="22"/>
      <c r="D31" s="22"/>
      <c r="E31" s="22"/>
      <c r="F31" s="22"/>
      <c r="G31" s="22"/>
    </row>
    <row r="32" spans="1:9" x14ac:dyDescent="0.25">
      <c r="A32" s="22" t="s">
        <v>84</v>
      </c>
      <c r="B32" s="22"/>
      <c r="C32" s="22"/>
      <c r="D32" s="22"/>
      <c r="E32" s="22"/>
      <c r="F32" s="22"/>
      <c r="G32" s="22"/>
    </row>
    <row r="33" spans="1:7" x14ac:dyDescent="0.25">
      <c r="A33" s="22" t="s">
        <v>85</v>
      </c>
      <c r="B33" s="22"/>
      <c r="C33" s="22"/>
      <c r="D33" s="22"/>
      <c r="E33" s="22"/>
      <c r="F33" s="22"/>
      <c r="G33" s="22"/>
    </row>
    <row r="34" spans="1:7" x14ac:dyDescent="0.25">
      <c r="A34" s="22" t="s">
        <v>86</v>
      </c>
      <c r="B34" s="22"/>
      <c r="C34" s="22"/>
      <c r="D34" s="22"/>
      <c r="E34" s="22"/>
      <c r="F34" s="22"/>
      <c r="G34" s="22"/>
    </row>
    <row r="35" spans="1:7" x14ac:dyDescent="0.25">
      <c r="A35" s="22" t="s">
        <v>87</v>
      </c>
      <c r="B35" s="22"/>
      <c r="C35" s="22"/>
      <c r="D35" s="22"/>
      <c r="E35" s="22"/>
      <c r="F35" s="22"/>
      <c r="G35" s="22"/>
    </row>
    <row r="36" spans="1:7" x14ac:dyDescent="0.25">
      <c r="A36" s="22" t="s">
        <v>88</v>
      </c>
      <c r="B36" s="22"/>
      <c r="C36" s="22"/>
      <c r="D36" s="22"/>
      <c r="E36" s="22"/>
      <c r="F36" s="22"/>
      <c r="G36" s="22"/>
    </row>
    <row r="37" spans="1:7" x14ac:dyDescent="0.25">
      <c r="A37" s="22" t="s">
        <v>89</v>
      </c>
      <c r="B37" s="22"/>
      <c r="C37" s="22"/>
      <c r="D37" s="22"/>
      <c r="E37" s="22"/>
      <c r="F37" s="22"/>
      <c r="G37" s="22"/>
    </row>
  </sheetData>
  <sortState ref="A9:I1952">
    <sortCondition descending="1" ref="I9:I1952"/>
  </sortState>
  <mergeCells count="3">
    <mergeCell ref="A2:I2"/>
    <mergeCell ref="A3:I3"/>
    <mergeCell ref="A4:I4"/>
  </mergeCells>
  <phoneticPr fontId="9" type="noConversion"/>
  <printOptions horizontalCentered="1"/>
  <pageMargins left="0.45" right="0.45" top="0.75" bottom="0.75" header="0.3" footer="0.3"/>
  <pageSetup scale="99" fitToHeight="65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2009-2010 Title IV Funding</vt:lpstr>
      <vt:lpstr>'2009-2010 Title IV Funding'!Print_Area</vt:lpstr>
      <vt:lpstr>'2009-2010 Title IV Funding'!Print_Titles</vt:lpstr>
    </vt:vector>
  </TitlesOfParts>
  <Company>U.S.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Behdad Baniani</cp:lastModifiedBy>
  <cp:lastPrinted>2011-11-04T16:31:41Z</cp:lastPrinted>
  <dcterms:created xsi:type="dcterms:W3CDTF">2009-09-30T21:55:57Z</dcterms:created>
  <dcterms:modified xsi:type="dcterms:W3CDTF">2012-03-07T17:45:01Z</dcterms:modified>
</cp:coreProperties>
</file>