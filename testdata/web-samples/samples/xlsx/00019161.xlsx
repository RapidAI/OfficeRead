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fileSharing readOnlyRecommended="1"/>
  <workbookPr defaultThemeVersion="124226"/>
  <bookViews>
    <workbookView xWindow="480" yWindow="15" windowWidth="9435" windowHeight="7935"/>
  </bookViews>
  <sheets>
    <sheet name="Non-Appropriated" sheetId="2" r:id="rId1"/>
  </sheets>
  <definedNames>
    <definedName name="_xlnm.Print_Area" localSheetId="0">'Non-Appropriated'!$A$1:$B$58</definedName>
  </definedNames>
  <calcPr calcId="145621"/>
</workbook>
</file>

<file path=xl/calcChain.xml><?xml version="1.0" encoding="utf-8"?>
<calcChain xmlns="http://schemas.openxmlformats.org/spreadsheetml/2006/main">
  <c r="B19" i="2" l="1"/>
  <c r="B54" i="2"/>
  <c r="B47" i="2"/>
  <c r="B45" i="2"/>
  <c r="B44" i="2"/>
  <c r="B26" i="2"/>
  <c r="B8" i="2"/>
</calcChain>
</file>

<file path=xl/sharedStrings.xml><?xml version="1.0" encoding="utf-8"?>
<sst xmlns="http://schemas.openxmlformats.org/spreadsheetml/2006/main" count="72" uniqueCount="37">
  <si>
    <t>Designer Start</t>
  </si>
  <si>
    <t>Construction Start</t>
  </si>
  <si>
    <t>Construction Complete</t>
  </si>
  <si>
    <t>Occupancy</t>
  </si>
  <si>
    <t>Institution Name:</t>
  </si>
  <si>
    <t>Project #1 (Prioritized):</t>
  </si>
  <si>
    <t>Estimated Schedule: (MM/DD/YYYY)</t>
  </si>
  <si>
    <t>Proposed Project Title:</t>
  </si>
  <si>
    <t>Description:</t>
  </si>
  <si>
    <t>Justification:</t>
  </si>
  <si>
    <t>Estimated Indebtedness ($):</t>
  </si>
  <si>
    <t>Source of Funds:</t>
  </si>
  <si>
    <t>Six Year Non-Appropriated Capital Improvements Projects Plan</t>
  </si>
  <si>
    <t>Estimated Total Cost ($):</t>
  </si>
  <si>
    <t>Design Cost:</t>
  </si>
  <si>
    <t>Construction Cost:</t>
  </si>
  <si>
    <t>Contingency Cost:</t>
  </si>
  <si>
    <t>Required Student Fee Process Completed on (MM/YYYY):</t>
  </si>
  <si>
    <t>Amount of any needed Debt Service Fee ($)</t>
  </si>
  <si>
    <t>Wesern Carolina University</t>
  </si>
  <si>
    <t>Hennon-Childress Baseball Stadium Renovations and Expansion</t>
  </si>
  <si>
    <t>Hennon-Childress Baseball Stadium Renovation and Expansion</t>
  </si>
  <si>
    <t>Project #2 (Prioritized):</t>
  </si>
  <si>
    <t>Project #3 (Prioritized):</t>
  </si>
  <si>
    <t xml:space="preserve">This project is developed to address much needed improvements to an outdated athletic facility that will enhance the Baseball recruiting efforts for the university.  It will also provided much needed space for the baseball program in the new fieldhouse, while creating a venue for the WCU Alumni to strive to support the baseball program even more. The baseball program continues to grow as a result of student enrollment along with the a winning program.  </t>
  </si>
  <si>
    <t>New Campus Intramural Fields</t>
  </si>
  <si>
    <t>This project is to provide replacement of Intramural Fields that were lost as a result of new construction on campus and planned construction in the near future.  There are two locations on campus at this time being considered which is represented in the cost provided.  Plans are for soccer fields and softball fields w/ drainage &amp; irrigation systems, along with field lighting.  Also included are support buildings for storage and restroom facilities at each site. These fields are necessary to address the needs of the increase in enrollment projections and student services programs. These are essential to the universities programs and services for campus life.</t>
  </si>
  <si>
    <t xml:space="preserve">As the student enrollment grows and new construction on campus takes space once used for intramural sports, the need to provide these fields have come to a crucial point. In order to meet the program requirements for the university student services, it is critical we provide such amenities. The present population is lacking in the intramural fields therefore the need is now as well as the future. Planned construction is on hold in the areas presently housing intramural fields until new ones can be completed. This project impacts future expansion needs. </t>
  </si>
  <si>
    <t>To be determined</t>
  </si>
  <si>
    <t>Fund Raising Efforts</t>
  </si>
  <si>
    <t xml:space="preserve"> </t>
  </si>
  <si>
    <t>This project is to upgrade the existing Baseball Stadium by adding elevator to pressbox, reconstructing stadium enclosure, enlarging concessions and restroom building;  Adding site amenities, new scoreboard, etc.;  Construct a new 10,000 square foot field house to house all the Baseball Program functions including the coaches ffices, dressing rooms, laundry facilities, meeting area, home dugout, etc. Enclosure the facility with decorative fencing and construct a entry way to the facility.  Basically the scope of the project is to upgrade the faciilty to university standards and provide for a growing baseball team and alumni.</t>
  </si>
  <si>
    <t>Upper Campus New Residence Hall</t>
  </si>
  <si>
    <t>2013-14 through 2018-19</t>
  </si>
  <si>
    <t>Indebtedness except for design services</t>
  </si>
  <si>
    <t xml:space="preserve">This project address much needed space utilization and programming needs for the Residential Living Community.  It will provide up-to-date living/learning residential life accomodations for students as well as some meeting space for programs, etc. The replacement of Buchanan Residence Hall is found to be more feasible than a comprehensive renovation and the overall site deveopment will enhance program requirements.  This project will address the increase in enrollment projections and UNC Tomorrow findings as we prepare for the future. </t>
  </si>
  <si>
    <t xml:space="preserve">This project is to develop an approximate 8 acre portion of the upper campus to replace Buchannan Residence Hall and associated parking.  In conjunction the design will incorporate visual and site amenity connection to adjacent structures.  Buchanan is a three story structure constructed in 1959 and houses 181 students but is not considered an accessible building and is programaticaly out of date. The new 170,000 square foot residence hall is anticipated to be constructed in two phases in order to relocated students from Buchanan Residence Hall before its demolition. The design is to be based around 300 beds per phase, therefore total occupancy of 600 beds. </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</si>
</sst>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8"/>
      <name val="Arial"/>
    </font>
    <font>
      <b/>
      <sz val="11"/>
      <name val="Times"/>
      <family val="1"/>
    </font>
    <font>
      <sz val="11"/>
      <name val="Times"/>
      <family val="1"/>
    </font>
    <font>
      <b/>
      <sz val="11"/>
      <color indexed="48"/>
      <name val="Times"/>
      <family val="1"/>
    </font>
    <font>
      <sz val="10"/>
      <name val="Arial"/>
      <family val="2"/>
    </font>
    <font>
      <sz val="10"/>
      <name val="Times"/>
      <family val="1"/>
    </font>
    <font>
      <sz val="10"/>
      <name val="Times New Roman"/>
      <family val="1"/>
    </font>
    <font>
      <sz val="10"/>
      <name val="Arial Narrow"/>
      <family val="2"/>
    </font>
  </fonts>
  <fills count="2">
    <fill>
      <patternFill patternType="none"/>
    </fill>
    <fill>
      <patternFill patternType="gray125"/>
    </fill>
  </fills>
  <borders count="1">
    <border>
      <left/>
      <right/>
      <top/>
      <bottom/>
      <diagonal/>
    </border>
  </borders>
  <cellStyleXfs count="3">
    <xf numFmtId="0" fontId="0" fillId="0" borderId="0"/>
    <xf numFmtId="0" fontId="5" fillId="0" borderId="0"/>
    <xf numFmtId="0" fontId="5" fillId="0" borderId="0"/>
  </cellStyleXfs>
  <cellXfs count="20">
    <xf numFmtId="0" fontId="0" fillId="0" borderId="0" xfId="0"/>
    <xf numFmtId="0" fontId="3" fillId="0" borderId="0" xfId="0" applyFont="1"/>
    <xf numFmtId="0" fontId="2" fillId="0" borderId="0" xfId="0" applyFont="1" applyAlignment="1">
      <alignment vertical="top"/>
    </xf>
    <xf numFmtId="0" fontId="2" fillId="0" borderId="0" xfId="0" applyFont="1" applyAlignment="1">
      <alignment horizontal="left" indent="1"/>
    </xf>
    <xf numFmtId="0" fontId="2" fillId="0" borderId="0" xfId="0" applyFont="1" applyAlignment="1">
      <alignment horizontal="left" vertical="top" indent="1"/>
    </xf>
    <xf numFmtId="3" fontId="3" fillId="0" borderId="0" xfId="0" applyNumberFormat="1" applyFont="1"/>
    <xf numFmtId="0" fontId="3" fillId="0" borderId="0" xfId="0" applyFont="1" applyAlignment="1">
      <alignment horizontal="left" vertical="top" indent="2"/>
    </xf>
    <xf numFmtId="0" fontId="2" fillId="0" borderId="0" xfId="0" applyNumberFormat="1" applyFont="1" applyAlignment="1">
      <alignment horizontal="left" vertical="top" wrapText="1" indent="1"/>
    </xf>
    <xf numFmtId="0" fontId="3" fillId="0" borderId="0" xfId="0" applyNumberFormat="1" applyFont="1" applyAlignment="1">
      <alignment horizontal="left" vertical="top" wrapText="1" indent="2"/>
    </xf>
    <xf numFmtId="14" fontId="3" fillId="0" borderId="0" xfId="0" applyNumberFormat="1" applyFont="1"/>
    <xf numFmtId="0" fontId="4" fillId="0" borderId="0" xfId="0" applyFont="1"/>
    <xf numFmtId="0" fontId="2" fillId="0" borderId="0" xfId="0" applyFont="1" applyAlignment="1">
      <alignment horizontal="left" vertical="top" wrapText="1" indent="1"/>
    </xf>
    <xf numFmtId="0" fontId="5" fillId="0" borderId="0" xfId="0" applyFont="1" applyBorder="1" applyAlignment="1">
      <alignment horizontal="left" vertical="top" wrapText="1"/>
    </xf>
    <xf numFmtId="0" fontId="3" fillId="0" borderId="0" xfId="0" applyFont="1" applyBorder="1"/>
    <xf numFmtId="0" fontId="6" fillId="0" borderId="0" xfId="0" applyFont="1" applyBorder="1" applyAlignment="1">
      <alignment horizontal="left" vertical="top" wrapText="1"/>
    </xf>
    <xf numFmtId="0" fontId="6" fillId="0" borderId="0" xfId="0" applyNumberFormat="1" applyFont="1" applyBorder="1" applyAlignment="1">
      <alignment horizontal="left" vertical="top" wrapText="1"/>
    </xf>
    <xf numFmtId="0" fontId="6" fillId="0" borderId="0" xfId="0" applyNumberFormat="1" applyFont="1" applyAlignment="1">
      <alignment horizontal="left" vertical="top" wrapText="1"/>
    </xf>
    <xf numFmtId="0" fontId="7" fillId="0" borderId="0" xfId="0" applyFont="1" applyBorder="1" applyAlignment="1">
      <alignment horizontal="left" vertical="top" wrapText="1"/>
    </xf>
    <xf numFmtId="0" fontId="8" fillId="0" borderId="0" xfId="0" applyFont="1" applyBorder="1" applyAlignment="1">
      <alignment horizontal="left" vertical="top" wrapText="1"/>
    </xf>
    <xf numFmtId="0" fontId="2" fillId="0" borderId="0" xfId="0" applyFont="1" applyAlignment="1">
      <alignment horizontal="center"/>
    </xf>
  </cellXfs>
  <cellStyles count="3">
    <cellStyle name="Normal" xfId="0" builtinId="0"/>
    <cellStyle name="Normal 2" xfId="1"/>
    <cellStyle name="Normal 2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8"/>
  <sheetViews>
    <sheetView tabSelected="1" zoomScaleNormal="100" workbookViewId="0">
      <selection activeCell="F9" sqref="F9"/>
    </sheetView>
  </sheetViews>
  <sheetFormatPr defaultRowHeight="15" x14ac:dyDescent="0.25"/>
  <cols>
    <col min="1" max="1" width="32.140625" style="1" bestFit="1" customWidth="1"/>
    <col min="2" max="2" width="63.85546875" style="1" customWidth="1"/>
    <col min="3" max="16384" width="9.140625" style="1"/>
  </cols>
  <sheetData>
    <row r="1" spans="1:2" x14ac:dyDescent="0.25">
      <c r="A1" s="19" t="s">
        <v>12</v>
      </c>
      <c r="B1" s="19"/>
    </row>
    <row r="2" spans="1:2" x14ac:dyDescent="0.25">
      <c r="A2" s="19" t="s">
        <v>33</v>
      </c>
      <c r="B2" s="19"/>
    </row>
    <row r="4" spans="1:2" x14ac:dyDescent="0.25">
      <c r="A4" s="2" t="s">
        <v>4</v>
      </c>
      <c r="B4" s="10" t="s">
        <v>19</v>
      </c>
    </row>
    <row r="5" spans="1:2" x14ac:dyDescent="0.25">
      <c r="A5" s="2"/>
    </row>
    <row r="6" spans="1:2" x14ac:dyDescent="0.25">
      <c r="A6" s="2" t="s">
        <v>5</v>
      </c>
      <c r="B6" s="1" t="s">
        <v>32</v>
      </c>
    </row>
    <row r="7" spans="1:2" x14ac:dyDescent="0.25">
      <c r="A7" s="3" t="s">
        <v>7</v>
      </c>
      <c r="B7" s="1" t="s">
        <v>32</v>
      </c>
    </row>
    <row r="8" spans="1:2" x14ac:dyDescent="0.25">
      <c r="A8" s="4" t="s">
        <v>13</v>
      </c>
      <c r="B8" s="5">
        <f>SUM(B9:B11)</f>
        <v>48000000</v>
      </c>
    </row>
    <row r="9" spans="1:2" x14ac:dyDescent="0.25">
      <c r="A9" s="6" t="s">
        <v>14</v>
      </c>
      <c r="B9" s="5">
        <v>3318400</v>
      </c>
    </row>
    <row r="10" spans="1:2" x14ac:dyDescent="0.25">
      <c r="A10" s="6" t="s">
        <v>15</v>
      </c>
      <c r="B10" s="5">
        <v>43437200</v>
      </c>
    </row>
    <row r="11" spans="1:2" x14ac:dyDescent="0.25">
      <c r="A11" s="6" t="s">
        <v>16</v>
      </c>
      <c r="B11" s="5">
        <v>1244400</v>
      </c>
    </row>
    <row r="12" spans="1:2" ht="28.5" x14ac:dyDescent="0.25">
      <c r="A12" s="7" t="s">
        <v>6</v>
      </c>
    </row>
    <row r="13" spans="1:2" x14ac:dyDescent="0.25">
      <c r="A13" s="8" t="s">
        <v>0</v>
      </c>
      <c r="B13" s="9">
        <v>41244</v>
      </c>
    </row>
    <row r="14" spans="1:2" x14ac:dyDescent="0.25">
      <c r="A14" s="8" t="s">
        <v>1</v>
      </c>
      <c r="B14" s="9">
        <v>41760</v>
      </c>
    </row>
    <row r="15" spans="1:2" x14ac:dyDescent="0.25">
      <c r="A15" s="8" t="s">
        <v>2</v>
      </c>
      <c r="B15" s="9">
        <v>42583</v>
      </c>
    </row>
    <row r="16" spans="1:2" x14ac:dyDescent="0.25">
      <c r="A16" s="8" t="s">
        <v>3</v>
      </c>
      <c r="B16" s="9">
        <v>42597</v>
      </c>
    </row>
    <row r="17" spans="1:21" x14ac:dyDescent="0.25">
      <c r="A17" s="7" t="s">
        <v>11</v>
      </c>
      <c r="B17" s="9" t="s">
        <v>34</v>
      </c>
    </row>
    <row r="18" spans="1:21" x14ac:dyDescent="0.25">
      <c r="A18" s="7" t="s">
        <v>10</v>
      </c>
      <c r="B18" s="5">
        <v>17289000</v>
      </c>
    </row>
    <row r="19" spans="1:21" ht="28.5" x14ac:dyDescent="0.25">
      <c r="A19" s="11" t="s">
        <v>18</v>
      </c>
      <c r="B19" s="5">
        <f>+B8-B9</f>
        <v>44681600</v>
      </c>
    </row>
    <row r="20" spans="1:21" ht="28.5" x14ac:dyDescent="0.25">
      <c r="A20" s="7" t="s">
        <v>17</v>
      </c>
    </row>
    <row r="21" spans="1:21" ht="114.75" x14ac:dyDescent="0.25">
      <c r="A21" s="4" t="s">
        <v>8</v>
      </c>
      <c r="B21" s="17" t="s">
        <v>36</v>
      </c>
      <c r="C21" s="18"/>
      <c r="D21" s="18"/>
      <c r="E21" s="18"/>
      <c r="F21" s="18"/>
      <c r="G21" s="18"/>
      <c r="H21" s="18"/>
      <c r="I21" s="18"/>
      <c r="J21" s="18"/>
      <c r="K21" s="18"/>
      <c r="L21" s="13"/>
      <c r="M21" s="13"/>
      <c r="N21" s="13"/>
      <c r="O21" s="13"/>
      <c r="P21" s="13"/>
      <c r="Q21" s="13"/>
      <c r="R21" s="13"/>
      <c r="S21" s="13"/>
      <c r="T21" s="13"/>
      <c r="U21" s="13"/>
    </row>
    <row r="22" spans="1:21" ht="93.75" customHeight="1" x14ac:dyDescent="0.25">
      <c r="A22" s="4" t="s">
        <v>9</v>
      </c>
      <c r="B22" s="15" t="s">
        <v>35</v>
      </c>
      <c r="C22" s="13"/>
      <c r="D22" s="13"/>
      <c r="E22" s="13"/>
      <c r="F22" s="13"/>
      <c r="G22" s="13"/>
      <c r="H22" s="13"/>
      <c r="I22" s="13"/>
      <c r="J22" s="13"/>
      <c r="K22" s="13"/>
      <c r="L22" s="13"/>
    </row>
    <row r="24" spans="1:21" x14ac:dyDescent="0.25">
      <c r="A24" s="2" t="s">
        <v>22</v>
      </c>
      <c r="B24" s="1" t="s">
        <v>20</v>
      </c>
    </row>
    <row r="25" spans="1:21" x14ac:dyDescent="0.25">
      <c r="A25" s="3" t="s">
        <v>7</v>
      </c>
      <c r="B25" s="1" t="s">
        <v>21</v>
      </c>
    </row>
    <row r="26" spans="1:21" x14ac:dyDescent="0.25">
      <c r="A26" s="4" t="s">
        <v>13</v>
      </c>
      <c r="B26" s="5">
        <f>SUM(B27:B29)</f>
        <v>4623000</v>
      </c>
    </row>
    <row r="27" spans="1:21" x14ac:dyDescent="0.25">
      <c r="A27" s="6" t="s">
        <v>14</v>
      </c>
      <c r="B27" s="5">
        <v>377400</v>
      </c>
    </row>
    <row r="28" spans="1:21" x14ac:dyDescent="0.25">
      <c r="A28" s="6" t="s">
        <v>15</v>
      </c>
      <c r="B28" s="5">
        <v>4065800</v>
      </c>
    </row>
    <row r="29" spans="1:21" x14ac:dyDescent="0.25">
      <c r="A29" s="6" t="s">
        <v>16</v>
      </c>
      <c r="B29" s="5">
        <v>179800</v>
      </c>
    </row>
    <row r="30" spans="1:21" ht="28.5" x14ac:dyDescent="0.25">
      <c r="A30" s="7" t="s">
        <v>6</v>
      </c>
    </row>
    <row r="31" spans="1:21" x14ac:dyDescent="0.25">
      <c r="A31" s="8" t="s">
        <v>0</v>
      </c>
      <c r="B31" s="9">
        <v>42005</v>
      </c>
    </row>
    <row r="32" spans="1:21" x14ac:dyDescent="0.25">
      <c r="A32" s="8" t="s">
        <v>1</v>
      </c>
      <c r="B32" s="9">
        <v>42370</v>
      </c>
    </row>
    <row r="33" spans="1:11" x14ac:dyDescent="0.25">
      <c r="A33" s="8" t="s">
        <v>2</v>
      </c>
      <c r="B33" s="9">
        <v>42736</v>
      </c>
    </row>
    <row r="34" spans="1:11" x14ac:dyDescent="0.25">
      <c r="A34" s="8" t="s">
        <v>3</v>
      </c>
      <c r="B34" s="9">
        <v>42767</v>
      </c>
    </row>
    <row r="35" spans="1:11" x14ac:dyDescent="0.25">
      <c r="A35" s="7" t="s">
        <v>11</v>
      </c>
      <c r="B35" s="9" t="s">
        <v>29</v>
      </c>
    </row>
    <row r="36" spans="1:11" x14ac:dyDescent="0.25">
      <c r="A36" s="7" t="s">
        <v>10</v>
      </c>
      <c r="B36" s="5">
        <v>0</v>
      </c>
    </row>
    <row r="37" spans="1:11" ht="28.5" x14ac:dyDescent="0.25">
      <c r="A37" s="11" t="s">
        <v>18</v>
      </c>
      <c r="B37" s="5">
        <v>0</v>
      </c>
    </row>
    <row r="38" spans="1:11" ht="28.5" x14ac:dyDescent="0.25">
      <c r="A38" s="7" t="s">
        <v>17</v>
      </c>
    </row>
    <row r="39" spans="1:11" ht="108" customHeight="1" x14ac:dyDescent="0.25">
      <c r="A39" s="4" t="s">
        <v>8</v>
      </c>
      <c r="B39" s="17" t="s">
        <v>31</v>
      </c>
      <c r="C39" s="12"/>
      <c r="D39" s="12"/>
      <c r="E39" s="12"/>
      <c r="F39" s="12"/>
      <c r="G39" s="12"/>
      <c r="H39" s="12"/>
      <c r="I39" s="12"/>
      <c r="J39" s="12"/>
      <c r="K39" s="12"/>
    </row>
    <row r="40" spans="1:11" ht="81" customHeight="1" x14ac:dyDescent="0.25">
      <c r="A40" s="4" t="s">
        <v>9</v>
      </c>
      <c r="B40" s="16" t="s">
        <v>24</v>
      </c>
    </row>
    <row r="42" spans="1:11" x14ac:dyDescent="0.25">
      <c r="A42" s="2" t="s">
        <v>23</v>
      </c>
      <c r="B42" s="1" t="s">
        <v>25</v>
      </c>
    </row>
    <row r="43" spans="1:11" x14ac:dyDescent="0.25">
      <c r="A43" s="3" t="s">
        <v>7</v>
      </c>
      <c r="B43" s="1" t="s">
        <v>25</v>
      </c>
    </row>
    <row r="44" spans="1:11" x14ac:dyDescent="0.25">
      <c r="A44" s="4" t="s">
        <v>13</v>
      </c>
      <c r="B44" s="5">
        <f>SUM(B45:B47)</f>
        <v>8137350</v>
      </c>
    </row>
    <row r="45" spans="1:11" x14ac:dyDescent="0.25">
      <c r="A45" s="6" t="s">
        <v>14</v>
      </c>
      <c r="B45" s="5">
        <f>+B46*0.14</f>
        <v>973700.00000000012</v>
      </c>
    </row>
    <row r="46" spans="1:11" x14ac:dyDescent="0.25">
      <c r="A46" s="6" t="s">
        <v>15</v>
      </c>
      <c r="B46" s="5">
        <v>6955000</v>
      </c>
    </row>
    <row r="47" spans="1:11" x14ac:dyDescent="0.25">
      <c r="A47" s="6" t="s">
        <v>16</v>
      </c>
      <c r="B47" s="5">
        <f>+B46*0.03</f>
        <v>208650</v>
      </c>
    </row>
    <row r="48" spans="1:11" ht="28.5" x14ac:dyDescent="0.25">
      <c r="A48" s="7" t="s">
        <v>6</v>
      </c>
    </row>
    <row r="49" spans="1:12" x14ac:dyDescent="0.25">
      <c r="A49" s="8" t="s">
        <v>0</v>
      </c>
      <c r="B49" s="9">
        <v>41640</v>
      </c>
    </row>
    <row r="50" spans="1:12" x14ac:dyDescent="0.25">
      <c r="A50" s="8" t="s">
        <v>1</v>
      </c>
      <c r="B50" s="9">
        <v>42064</v>
      </c>
    </row>
    <row r="51" spans="1:12" x14ac:dyDescent="0.25">
      <c r="A51" s="8" t="s">
        <v>2</v>
      </c>
      <c r="B51" s="9">
        <v>42430</v>
      </c>
    </row>
    <row r="52" spans="1:12" x14ac:dyDescent="0.25">
      <c r="A52" s="8" t="s">
        <v>3</v>
      </c>
      <c r="B52" s="9">
        <v>42461</v>
      </c>
    </row>
    <row r="53" spans="1:12" x14ac:dyDescent="0.25">
      <c r="A53" s="7" t="s">
        <v>11</v>
      </c>
      <c r="B53" s="9" t="s">
        <v>28</v>
      </c>
    </row>
    <row r="54" spans="1:12" x14ac:dyDescent="0.25">
      <c r="A54" s="7" t="s">
        <v>10</v>
      </c>
      <c r="B54" s="5">
        <f>B44</f>
        <v>8137350</v>
      </c>
    </row>
    <row r="55" spans="1:12" ht="28.5" x14ac:dyDescent="0.25">
      <c r="A55" s="11" t="s">
        <v>18</v>
      </c>
      <c r="B55" s="5" t="s">
        <v>28</v>
      </c>
      <c r="L55" s="1" t="s">
        <v>30</v>
      </c>
    </row>
    <row r="56" spans="1:12" ht="28.5" x14ac:dyDescent="0.25">
      <c r="A56" s="7" t="s">
        <v>17</v>
      </c>
    </row>
    <row r="57" spans="1:12" ht="114.75" x14ac:dyDescent="0.25">
      <c r="A57" s="4" t="s">
        <v>8</v>
      </c>
      <c r="B57" s="14" t="s">
        <v>26</v>
      </c>
      <c r="C57" s="12"/>
      <c r="D57" s="12"/>
      <c r="E57" s="12"/>
      <c r="F57" s="12"/>
      <c r="G57" s="12"/>
      <c r="H57" s="12"/>
      <c r="I57" s="12"/>
      <c r="J57" s="12"/>
      <c r="K57" s="12"/>
    </row>
    <row r="58" spans="1:12" ht="95.25" customHeight="1" x14ac:dyDescent="0.25">
      <c r="A58" s="4" t="s">
        <v>9</v>
      </c>
      <c r="B58" s="16" t="s">
        <v>27</v>
      </c>
    </row>
  </sheetData>
  <mergeCells count="2">
    <mergeCell ref="A1:B1"/>
    <mergeCell ref="A2:B2"/>
  </mergeCells>
  <phoneticPr fontId="1" type="noConversion"/>
  <printOptions horizontalCentered="1" gridLines="1"/>
  <pageMargins left="0.25" right="0.25" top="1" bottom="0.5" header="0.5" footer="0.5"/>
  <pageSetup orientation="portrait" r:id="rId1"/>
  <headerFooter alignWithMargins="0"/>
  <rowBreaks count="2" manualBreakCount="2">
    <brk id="23" max="16383" man="1"/>
    <brk id="41" max="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Non-Appropriated</vt:lpstr>
      <vt:lpstr>'Non-Appropriated'!Print_Area</vt:lpstr>
    </vt:vector>
  </TitlesOfParts>
  <Company>UNC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jrose</dc:creator>
  <cp:lastModifiedBy>WCUUser</cp:lastModifiedBy>
  <cp:lastPrinted>2012-09-17T18:17:00Z</cp:lastPrinted>
  <dcterms:created xsi:type="dcterms:W3CDTF">2006-02-14T17:18:00Z</dcterms:created>
  <dcterms:modified xsi:type="dcterms:W3CDTF">2012-10-09T17:17:12Z</dcterms:modified>
</cp:coreProperties>
</file>