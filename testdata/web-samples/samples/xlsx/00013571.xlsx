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emf" ContentType="image/x-em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72" yWindow="480" windowWidth="11208" windowHeight="11256" tabRatio="870"/>
  </bookViews>
  <sheets>
    <sheet name="Cover Page" sheetId="49" r:id="rId1"/>
    <sheet name="Table of Contents" sheetId="50" r:id="rId2"/>
    <sheet name="1" sheetId="1" r:id="rId3"/>
    <sheet name="2" sheetId="2" r:id="rId4"/>
    <sheet name="3" sheetId="3" r:id="rId5"/>
    <sheet name="4" sheetId="4" r:id="rId6"/>
    <sheet name="5" sheetId="5" r:id="rId7"/>
    <sheet name="6" sheetId="6" r:id="rId8"/>
    <sheet name="7" sheetId="7" r:id="rId9"/>
    <sheet name="8" sheetId="8" r:id="rId10"/>
    <sheet name="9" sheetId="59" r:id="rId11"/>
    <sheet name="10" sheetId="9" r:id="rId12"/>
    <sheet name="11" sheetId="12" r:id="rId13"/>
    <sheet name="12" sheetId="14" r:id="rId14"/>
    <sheet name="13" sheetId="16" r:id="rId15"/>
    <sheet name="14" sheetId="17" r:id="rId16"/>
    <sheet name="15" sheetId="18" r:id="rId17"/>
    <sheet name="16" sheetId="19" r:id="rId18"/>
    <sheet name="17" sheetId="52" r:id="rId19"/>
    <sheet name="18" sheetId="20" r:id="rId20"/>
    <sheet name="19" sheetId="61" r:id="rId21"/>
    <sheet name="20" sheetId="62" r:id="rId22"/>
    <sheet name="21 " sheetId="63" r:id="rId23"/>
    <sheet name="22" sheetId="57" r:id="rId24"/>
    <sheet name="23" sheetId="24" r:id="rId25"/>
    <sheet name="24" sheetId="56" r:id="rId26"/>
    <sheet name="25" sheetId="25" r:id="rId27"/>
    <sheet name="26" sheetId="26" r:id="rId28"/>
    <sheet name="27" sheetId="27" r:id="rId29"/>
    <sheet name="28" sheetId="28" r:id="rId30"/>
    <sheet name="29" sheetId="31" r:id="rId31"/>
    <sheet name="30" sheetId="32" r:id="rId32"/>
    <sheet name="31" sheetId="34" r:id="rId33"/>
    <sheet name="32" sheetId="35" r:id="rId34"/>
    <sheet name="33" sheetId="36" r:id="rId35"/>
    <sheet name="34" sheetId="37" r:id="rId36"/>
    <sheet name="35" sheetId="38" r:id="rId37"/>
    <sheet name="36" sheetId="60" r:id="rId38"/>
    <sheet name="37" sheetId="40" r:id="rId39"/>
    <sheet name="38" sheetId="41" r:id="rId40"/>
    <sheet name="39" sheetId="42" r:id="rId41"/>
    <sheet name="40" sheetId="43" r:id="rId42"/>
    <sheet name="41" sheetId="44" r:id="rId43"/>
    <sheet name="42" sheetId="45" r:id="rId44"/>
    <sheet name="43" sheetId="46" r:id="rId45"/>
    <sheet name="44" sheetId="47" r:id="rId46"/>
    <sheet name="45" sheetId="48" r:id="rId47"/>
  </sheets>
  <definedNames>
    <definedName name="_xlnm.Print_Area" localSheetId="2">'1'!$A$1:$Y$58</definedName>
    <definedName name="_xlnm.Print_Area" localSheetId="15">'14'!$A$1:$AP$84</definedName>
    <definedName name="_xlnm.Print_Area" localSheetId="16">'15'!$A$1:$AR$77</definedName>
    <definedName name="_xlnm.Print_Area" localSheetId="17">'16'!$A$1:$W$57</definedName>
    <definedName name="_xlnm.Print_Area" localSheetId="20">'19'!$A$1:$Z$49</definedName>
    <definedName name="_xlnm.Print_Area" localSheetId="3">'2'!$A$1:$Z$66</definedName>
    <definedName name="_xlnm.Print_Area" localSheetId="25">'24'!$A$1:$O$64</definedName>
    <definedName name="_xlnm.Print_Area" localSheetId="29">'28'!$A$1:$Z$52</definedName>
    <definedName name="_xlnm.Print_Area" localSheetId="35">'34'!$A$1:$Y$64</definedName>
  </definedNames>
  <calcPr calcId="125725"/>
</workbook>
</file>

<file path=xl/calcChain.xml><?xml version="1.0" encoding="utf-8"?>
<calcChain xmlns="http://schemas.openxmlformats.org/spreadsheetml/2006/main">
  <c r="C20" i="50"/>
  <c r="C21"/>
  <c r="C22"/>
  <c r="C23"/>
  <c r="C24"/>
  <c r="C25"/>
  <c r="C26"/>
  <c r="C27"/>
  <c r="C28"/>
  <c r="C29"/>
  <c r="C30"/>
  <c r="C31"/>
  <c r="C32"/>
  <c r="C33"/>
  <c r="C34"/>
  <c r="C35"/>
  <c r="C36"/>
  <c r="C39"/>
  <c r="C40"/>
  <c r="C41"/>
  <c r="C42"/>
  <c r="C43"/>
  <c r="C44"/>
  <c r="C45"/>
  <c r="C47"/>
  <c r="C50"/>
  <c r="C51"/>
  <c r="C52"/>
  <c r="C53"/>
  <c r="C54"/>
  <c r="C55"/>
  <c r="C56"/>
  <c r="E30" i="57"/>
  <c r="E12"/>
  <c r="E22"/>
  <c r="E35"/>
  <c r="T30"/>
  <c r="Q30"/>
  <c r="N30"/>
  <c r="K30"/>
  <c r="H30"/>
  <c r="T12"/>
  <c r="T22"/>
  <c r="T35"/>
  <c r="Q12"/>
  <c r="Q22"/>
  <c r="Q35"/>
  <c r="N12"/>
  <c r="N22"/>
  <c r="N35"/>
  <c r="K12"/>
  <c r="K22"/>
  <c r="K35"/>
  <c r="H12"/>
  <c r="H22"/>
  <c r="H35"/>
</calcChain>
</file>

<file path=xl/sharedStrings.xml><?xml version="1.0" encoding="utf-8"?>
<sst xmlns="http://schemas.openxmlformats.org/spreadsheetml/2006/main" count="4036" uniqueCount="1152">
  <si>
    <t>Annuities and institutional and bank products:</t>
  </si>
  <si>
    <t>2012</t>
  </si>
  <si>
    <t>2011</t>
  </si>
  <si>
    <t>For the three months ended March 31, 2012</t>
  </si>
  <si>
    <t>Acquisition Costs as of March 31, 2012</t>
  </si>
  <si>
    <t>March 31, 2012</t>
  </si>
  <si>
    <t>Acquisition Costs as of March 31, 2011</t>
  </si>
  <si>
    <t>of purchased intangible assets, after-tax</t>
  </si>
  <si>
    <t xml:space="preserve">  of purchased intangible assets</t>
  </si>
  <si>
    <t xml:space="preserve">  of purchased intangible assets, after-tax</t>
  </si>
  <si>
    <t>of purchased intangible assets on combined ratio</t>
  </si>
  <si>
    <r>
      <t>Esurance brand</t>
    </r>
    <r>
      <rPr>
        <sz val="9"/>
        <rFont val="Arial"/>
        <family val="2"/>
      </rPr>
      <t/>
    </r>
  </si>
  <si>
    <t xml:space="preserve">California </t>
  </si>
  <si>
    <t xml:space="preserve">Florida </t>
  </si>
  <si>
    <t>New York</t>
  </si>
  <si>
    <t>Pennsylvania</t>
  </si>
  <si>
    <t>Texas</t>
  </si>
  <si>
    <t>All other states &amp; Canada</t>
  </si>
  <si>
    <t>Total Allstate brand standard auto</t>
  </si>
  <si>
    <t>Dec. 31</t>
  </si>
  <si>
    <t>March 31</t>
  </si>
  <si>
    <t>June 30</t>
  </si>
  <si>
    <t>Sept. 30</t>
  </si>
  <si>
    <t>Contribution to Income</t>
  </si>
  <si>
    <t>Property-Liability Results</t>
  </si>
  <si>
    <t>Premiums Written by Market Segment</t>
  </si>
  <si>
    <t>Allstate Protection Market Segment Analysis</t>
  </si>
  <si>
    <t>Allstate Protection Historical Market Segment Analysis</t>
  </si>
  <si>
    <r>
      <t>Standard Auto Profitability Measures</t>
    </r>
    <r>
      <rPr>
        <vertAlign val="superscript"/>
        <sz val="10"/>
        <rFont val="Arial"/>
        <family val="2"/>
      </rPr>
      <t xml:space="preserve"> </t>
    </r>
  </si>
  <si>
    <t>Auto Profitability Measures</t>
  </si>
  <si>
    <t>Allstate Brand Domestic Operating Measures and Statistics</t>
  </si>
  <si>
    <t xml:space="preserve">Effect of Prior Year Reserve Reestimates on the Combined Ratio </t>
  </si>
  <si>
    <t>Premiums and Contract Charges</t>
  </si>
  <si>
    <t>Allstate Financial Supplemental Product Information</t>
  </si>
  <si>
    <r>
      <t>Corporate and Other Results</t>
    </r>
    <r>
      <rPr>
        <sz val="10"/>
        <rFont val="Arial"/>
        <family val="2"/>
      </rPr>
      <t/>
    </r>
  </si>
  <si>
    <t xml:space="preserve">ALLSTATE BRAND STANDARD AUTO LOSS RATIO OF TOP 5 STATES </t>
  </si>
  <si>
    <t>Allstate Brand Standard Auto Loss Ratio of Top 5 States</t>
  </si>
  <si>
    <t>ISSUED LIFE INSURANCE POLICIES BY</t>
  </si>
  <si>
    <t>For the three months ended March 31, 2011</t>
  </si>
  <si>
    <r>
      <t xml:space="preserve">Good Hands Roadside Members </t>
    </r>
    <r>
      <rPr>
        <sz val="9"/>
        <rFont val="Arial"/>
        <family val="2"/>
      </rPr>
      <t>(in thousands)</t>
    </r>
  </si>
  <si>
    <t xml:space="preserve">   Net cash provided by investing activities</t>
  </si>
  <si>
    <t xml:space="preserve">  Expense ratio </t>
  </si>
  <si>
    <t>Not available.</t>
  </si>
  <si>
    <r>
      <t xml:space="preserve">(3) </t>
    </r>
    <r>
      <rPr>
        <b/>
        <u/>
        <sz val="9"/>
        <rFont val="Arial"/>
        <family val="2"/>
      </rPr>
      <t>Premium Rate Changes</t>
    </r>
  </si>
  <si>
    <r>
      <t xml:space="preserve">Premium rate changes </t>
    </r>
    <r>
      <rPr>
        <vertAlign val="superscript"/>
        <sz val="9"/>
        <rFont val="Arial"/>
        <family val="2"/>
      </rPr>
      <t>(3)</t>
    </r>
  </si>
  <si>
    <r>
      <t xml:space="preserve">EMA limited partnership income </t>
    </r>
    <r>
      <rPr>
        <vertAlign val="superscript"/>
        <sz val="9"/>
        <rFont val="Arial"/>
        <family val="2"/>
      </rPr>
      <t>(1)</t>
    </r>
  </si>
  <si>
    <r>
      <t>Limited partnership interests</t>
    </r>
    <r>
      <rPr>
        <vertAlign val="superscript"/>
        <sz val="9"/>
        <rFont val="Arial"/>
        <family val="2"/>
      </rPr>
      <t xml:space="preserve">  (2)</t>
    </r>
  </si>
  <si>
    <r>
      <t xml:space="preserve">EMA limited partnership income </t>
    </r>
    <r>
      <rPr>
        <vertAlign val="superscript"/>
        <sz val="9"/>
        <rFont val="Arial"/>
        <family val="2"/>
      </rPr>
      <t>(2)</t>
    </r>
  </si>
  <si>
    <r>
      <t xml:space="preserve">PRE-TAX YIELDS </t>
    </r>
    <r>
      <rPr>
        <vertAlign val="superscript"/>
        <sz val="9"/>
        <rFont val="Arial"/>
        <family val="2"/>
      </rPr>
      <t>(3)</t>
    </r>
  </si>
  <si>
    <t>Business combination expenses, after-tax</t>
  </si>
  <si>
    <t>ALLSTATE PROTECTION CATASTROPHE BY SIZE OF EVENT</t>
  </si>
  <si>
    <t>Allstate Protection Catastrophe by Size of Event</t>
  </si>
  <si>
    <t>Auto</t>
  </si>
  <si>
    <t>Impact of Net Rate Changes Approved on Premiums Written</t>
  </si>
  <si>
    <t>IMPACT OF NET RATE CHANGES APPROVED ON PREMIUMS WRITTEN</t>
  </si>
  <si>
    <t>This homeowners supplemental information schedule displays financial results for the homeowners business (defined to include standard homeowners, scheduled personal property and other than primary residence lines).  Each state in which the Company writes business has been categorized into one of two exposure groupings (Hurricane or Other).   Hurricane exposure states are comprised of those states in which hurricanes are the primary catastrophe exposure. However, the catastrophe losses for these states include losses due to other kinds of catastrophes.  A catastrophe is defined by Allstate as an event that produces pre-tax losses before reinsurance in excess of $1 million, and involves multiple first party policyholders, or an event that produces a number of claims in excess of a preset per-event threshold of average claims in a specific area, occurring within a certain amount of time following the event.</t>
  </si>
  <si>
    <t>Income from EMA limited partnerships is reported in net investment income in 2012 and realized capital gains and losses in 2011.</t>
  </si>
  <si>
    <t>Pre-tax yields are calculated as annualized investment income (including dividend income in the case of equity securities) divided by the average of investment balances at the end of each quarter during the year.  Investment balances, for purposes of the pre-tax yield calculation, exclude unrealized capital gains and losses.  EMA limited partnership interests are included in the 2012 yields since their 2012 income is reported in net investment income.</t>
  </si>
  <si>
    <r>
      <t>Limited partnership interests</t>
    </r>
    <r>
      <rPr>
        <vertAlign val="superscript"/>
        <sz val="9"/>
        <rFont val="Arial"/>
        <family val="2"/>
      </rPr>
      <t xml:space="preserve"> (1) (2)</t>
    </r>
  </si>
  <si>
    <r>
      <t>Allstate agencies</t>
    </r>
    <r>
      <rPr>
        <vertAlign val="superscript"/>
        <sz val="9"/>
        <rFont val="Arial"/>
        <family val="2"/>
      </rPr>
      <t xml:space="preserve"> (1)</t>
    </r>
  </si>
  <si>
    <t>Includes products directly sold through call centers and internet.</t>
  </si>
  <si>
    <t>Excludes Allstate Benefits and non-proprietary products.</t>
  </si>
  <si>
    <t xml:space="preserve">DAC and DSI amortization relating to realized capital </t>
  </si>
  <si>
    <t>gains and losses and valuation changes on embedded</t>
  </si>
  <si>
    <t>derivatives that are not hedged, after-tax</t>
  </si>
  <si>
    <t xml:space="preserve">   products </t>
  </si>
  <si>
    <t xml:space="preserve">Maturities of and interest payments on institutional </t>
  </si>
  <si>
    <t>Ba or lower</t>
  </si>
  <si>
    <t>ESURANCE BRAND PROFITABILITY MEASURES AND STATISTICS</t>
  </si>
  <si>
    <r>
      <t>Dec. 31,</t>
    </r>
    <r>
      <rPr>
        <vertAlign val="superscript"/>
        <sz val="9"/>
        <rFont val="Arial"/>
        <family val="2"/>
      </rPr>
      <t>(1)</t>
    </r>
  </si>
  <si>
    <t>Incurred non-catastrophe losses</t>
  </si>
  <si>
    <t>Incurred catastrophe losses</t>
  </si>
  <si>
    <t>Business combination expenses and amortization of</t>
  </si>
  <si>
    <t>Advertising expenses</t>
  </si>
  <si>
    <t>Other expenses</t>
  </si>
  <si>
    <t>Underwriting Loss</t>
  </si>
  <si>
    <t>Effect of advertising expenses on combined ratio</t>
  </si>
  <si>
    <t>Esurance brand combined ratio excluding the effect of catastrophes,</t>
  </si>
  <si>
    <t xml:space="preserve">      prior year reserve reestimates, business combination expenses,</t>
  </si>
  <si>
    <t xml:space="preserve">      and the amortization of purchased intangible assets ("underlying") </t>
  </si>
  <si>
    <t>Effect of prior year non-catastrophe reserve reestimates</t>
  </si>
  <si>
    <t>Effect of business combination expense and the amortization of</t>
  </si>
  <si>
    <t xml:space="preserve">     purchased intangible assets</t>
  </si>
  <si>
    <t xml:space="preserve">Esurance brand combined ratio </t>
  </si>
  <si>
    <t>Policies in Force (in thousands)</t>
  </si>
  <si>
    <t>Renewal Ratio (%)</t>
  </si>
  <si>
    <t>Impact of Esurance brand on Allstate Protection combined ratio</t>
  </si>
  <si>
    <t>Impact of Esurance brand on Allstate Protection expense ratio</t>
  </si>
  <si>
    <t>Represents period from October 7, 2011 to December, 31, 2011.</t>
  </si>
  <si>
    <t>Esurance Brand Profitability Measures and Statistics</t>
  </si>
  <si>
    <t>PROPERTY-LIABILITY POLICIES IN FORCE</t>
  </si>
  <si>
    <r>
      <t xml:space="preserve">Policies in Force </t>
    </r>
    <r>
      <rPr>
        <sz val="9"/>
        <rFont val="Arial"/>
        <family val="2"/>
      </rPr>
      <t>(in thousands)</t>
    </r>
    <r>
      <rPr>
        <b/>
        <sz val="9"/>
        <rFont val="Arial"/>
        <family val="2"/>
      </rPr>
      <t xml:space="preserve"> </t>
    </r>
    <r>
      <rPr>
        <vertAlign val="superscript"/>
        <sz val="9"/>
        <rFont val="Arial"/>
        <family val="2"/>
      </rPr>
      <t>(1)</t>
    </r>
  </si>
  <si>
    <t xml:space="preserve">Total Policies in Force </t>
  </si>
  <si>
    <t>Property-Liability Policies in Force</t>
  </si>
  <si>
    <r>
      <t>New Issued Applications</t>
    </r>
    <r>
      <rPr>
        <sz val="9"/>
        <rFont val="Arial"/>
        <family val="2"/>
      </rPr>
      <t xml:space="preserve"> (in thousands) </t>
    </r>
    <r>
      <rPr>
        <vertAlign val="superscript"/>
        <sz val="9"/>
        <rFont val="Arial"/>
        <family val="2"/>
      </rPr>
      <t>(2)</t>
    </r>
  </si>
  <si>
    <t xml:space="preserve">   Underwriting income (loss) *</t>
  </si>
  <si>
    <t>THE ALLSTATE CORPORATION</t>
  </si>
  <si>
    <t>CONSOLIDATED STATEMENTS OF OPERATIONS</t>
  </si>
  <si>
    <t>($ in millions, except per share data)</t>
  </si>
  <si>
    <t>Three months ended</t>
  </si>
  <si>
    <t>Six months ended</t>
  </si>
  <si>
    <t>Twelve months ended</t>
  </si>
  <si>
    <t>Dec. 31,</t>
  </si>
  <si>
    <t>Sept. 30,</t>
  </si>
  <si>
    <t>June 30,</t>
  </si>
  <si>
    <t>March 31,</t>
  </si>
  <si>
    <t>Revenues</t>
  </si>
  <si>
    <t>Property-liability insurance premiums</t>
  </si>
  <si>
    <t>$</t>
  </si>
  <si>
    <t>Life and annuity premiums and contract charges</t>
  </si>
  <si>
    <t xml:space="preserve"> Net investment income</t>
  </si>
  <si>
    <t xml:space="preserve"> Realized capital gains and losses: </t>
  </si>
  <si>
    <t xml:space="preserve">Total other-than-temporary impairment losses </t>
  </si>
  <si>
    <t>Portion of loss recognized in other comprehensive</t>
  </si>
  <si>
    <t xml:space="preserve">     income</t>
  </si>
  <si>
    <t xml:space="preserve">   Net other-than-temporary impairment losses </t>
  </si>
  <si>
    <t xml:space="preserve">      recognized in earnings</t>
  </si>
  <si>
    <t>Sales and other realized capital gains and losses</t>
  </si>
  <si>
    <t xml:space="preserve">      Total realized capital gains and losses</t>
  </si>
  <si>
    <t>Total revenues</t>
  </si>
  <si>
    <t>Costs and expenses</t>
  </si>
  <si>
    <t>9-10</t>
  </si>
  <si>
    <t>For the three months ended June 30, 2012</t>
  </si>
  <si>
    <t>For the three months ended June 30, 2011</t>
  </si>
  <si>
    <t>Acquisition Costs as of June 30, 2012</t>
  </si>
  <si>
    <t>Acquisition Costs as of June 30, 2011</t>
  </si>
  <si>
    <r>
      <t>losses</t>
    </r>
    <r>
      <rPr>
        <vertAlign val="superscript"/>
        <sz val="9"/>
        <rFont val="Arial"/>
        <family val="2"/>
      </rPr>
      <t xml:space="preserve"> </t>
    </r>
    <r>
      <rPr>
        <sz val="9"/>
        <rFont val="Arial"/>
        <family val="2"/>
      </rPr>
      <t>and</t>
    </r>
  </si>
  <si>
    <t xml:space="preserve">(charged) credited </t>
  </si>
  <si>
    <r>
      <t>$1,291, $3,517 and $2,536)</t>
    </r>
    <r>
      <rPr>
        <vertAlign val="superscript"/>
        <sz val="9"/>
        <rFont val="Arial"/>
        <family val="2"/>
      </rPr>
      <t xml:space="preserve"> </t>
    </r>
  </si>
  <si>
    <t>For the six months ended June 30, 2012</t>
  </si>
  <si>
    <t>For the six months ended June 30, 2011</t>
  </si>
  <si>
    <t xml:space="preserve">   (amortized cost $73,925, $74,060,   </t>
  </si>
  <si>
    <t xml:space="preserve">   (cost $3,430, $3,430, $4,203, </t>
  </si>
  <si>
    <t xml:space="preserve">   (amortized cost $1,867, 1,886, </t>
  </si>
  <si>
    <t xml:space="preserve">Common stock, 486 million, 493 million, 501 million, </t>
  </si>
  <si>
    <t xml:space="preserve">Treasury stock, at cost (414 million, 407 million, </t>
  </si>
  <si>
    <t>Excluding the impact of zero-coupon securities, the percentage of amortized cost to par value would be 100.5% for corporates, 101.2% for U.S. government and agencies, 102.1% for municipals and 104.4% for foreign governments.  Similarly, excluding the impact of zero-coupon securities, the percentage of fair value to par value would be 107.3% for corporates, 105.5% for U.S. government and agencies, 108.3% for municipals and 112.9% for foreign governments.</t>
  </si>
  <si>
    <t>Included in par value are zero-coupon securities that are generally purchased at a deep discount to the par value that is received at maturity.  These primarily included corporate, U.S. government and agencies, municipal and foreign government zero-coupon securities with par value of $488 million, $947 million, $3.10 billion and $382 million, respectively.</t>
  </si>
  <si>
    <t xml:space="preserve">Reinsurance recoverables of unpaid losses related to Property-Liability were $2,544 million, $2,571 million, $2,588 million, $2,271 million and $2,099 million as of June 30, 2012, March 31, 2012, December 31, 2011, September 30, 2011 and June 30, 2011, respectively. </t>
  </si>
  <si>
    <t>Total portfolio</t>
  </si>
  <si>
    <r>
      <t>AVERAGE INVESTED ASSETS</t>
    </r>
    <r>
      <rPr>
        <sz val="9"/>
        <rFont val="Arial"/>
        <family val="2"/>
      </rPr>
      <t xml:space="preserve"> (in billions)</t>
    </r>
    <r>
      <rPr>
        <vertAlign val="superscript"/>
        <sz val="9"/>
        <rFont val="Arial"/>
        <family val="2"/>
      </rPr>
      <t xml:space="preserve"> (4)</t>
    </r>
  </si>
  <si>
    <r>
      <t>AVERAGE INVESTED ASSETS</t>
    </r>
    <r>
      <rPr>
        <sz val="9"/>
        <rFont val="Arial"/>
        <family val="2"/>
      </rPr>
      <t xml:space="preserve"> (in billions) </t>
    </r>
    <r>
      <rPr>
        <vertAlign val="superscript"/>
        <sz val="9"/>
        <rFont val="Arial"/>
        <family val="2"/>
      </rPr>
      <t>(4)</t>
    </r>
  </si>
  <si>
    <t xml:space="preserve">Emerging Businesses include Business Insurance (commercial products for small business owners), Consumer Household (specialty products including motorcycle, boat, trailers, motor homes, off-road vehicles, renters, landlords, umbrella, manufactured homes and condominium insurance policies), Allstate Dealer Services (insurance and non-insurance products sold primarily to auto dealers), Allstate Roadside Services (roadside assistance products) and Ivantage (insurance agency).  Premiums written by Emerging Businesses totaled $683 million, $594 million, $582 million, $657 million, $672 million and $575 million for the three months ended June 30, 2012, March 31, 2012, December 31, 2011, September 30, 2011, June 30, 2011 and March 31, 2011, respectively.  Premiums written by Emerging Businesses totaled $1.28 billion and $1.25 billion for the six months ended June 30, 2012 and 2011, respectively. </t>
  </si>
  <si>
    <t>Average Premium - Gross Written ($)</t>
  </si>
  <si>
    <t xml:space="preserve">ABS </t>
  </si>
  <si>
    <t xml:space="preserve">Total fixed income securities </t>
  </si>
  <si>
    <t>FAIR VALUE AND UNREALIZED NET CAPITAL GAINS AND LOSSES FOR FIXED INCOME SECURITIES BY CREDIT RATING</t>
  </si>
  <si>
    <t xml:space="preserve">Aaa </t>
  </si>
  <si>
    <t>Aa</t>
  </si>
  <si>
    <t xml:space="preserve">A </t>
  </si>
  <si>
    <t xml:space="preserve">Baa </t>
  </si>
  <si>
    <t xml:space="preserve">Fair </t>
  </si>
  <si>
    <t>Unrealized</t>
  </si>
  <si>
    <t>gain/(loss)</t>
  </si>
  <si>
    <t xml:space="preserve">U.S. government and agencies </t>
  </si>
  <si>
    <t xml:space="preserve">   Tax exempt</t>
  </si>
  <si>
    <t xml:space="preserve">   Taxable</t>
  </si>
  <si>
    <t xml:space="preserve">   Auction rate securities</t>
  </si>
  <si>
    <t xml:space="preserve">   Public</t>
  </si>
  <si>
    <t xml:space="preserve">   Privately placed </t>
  </si>
  <si>
    <t xml:space="preserve">   U.S. government sponsored entities </t>
  </si>
  <si>
    <t xml:space="preserve">   Prime residential mortgage-backed securities </t>
  </si>
  <si>
    <t xml:space="preserve">   Alt-A residential mortgage-backed securities </t>
  </si>
  <si>
    <t xml:space="preserve">   Subprime residential mortgage-backed securities </t>
  </si>
  <si>
    <t xml:space="preserve">   Collateralized debt obligations</t>
  </si>
  <si>
    <t xml:space="preserve">   Consumer and other asset-backed securities   </t>
  </si>
  <si>
    <t>Total fixed income securities</t>
  </si>
  <si>
    <t>REALIZED CAPITAL GAINS AND LOSSES BY TRANSACTION TYPE</t>
  </si>
  <si>
    <r>
      <t>Impairment write-downs</t>
    </r>
    <r>
      <rPr>
        <vertAlign val="superscript"/>
        <sz val="9"/>
        <rFont val="Arial"/>
        <family val="2"/>
      </rPr>
      <t xml:space="preserve"> </t>
    </r>
  </si>
  <si>
    <t xml:space="preserve">Change in intent write-downs </t>
  </si>
  <si>
    <t xml:space="preserve">   Net other-than-temporary impairment </t>
  </si>
  <si>
    <t xml:space="preserve">losses recognized in earnings </t>
  </si>
  <si>
    <r>
      <t xml:space="preserve">Sales </t>
    </r>
    <r>
      <rPr>
        <vertAlign val="superscript"/>
        <sz val="9"/>
        <rFont val="Arial"/>
        <family val="2"/>
      </rPr>
      <t xml:space="preserve">  </t>
    </r>
  </si>
  <si>
    <t>Valuation of derivative instruments</t>
  </si>
  <si>
    <t xml:space="preserve">Settlements of derivative instruments </t>
  </si>
  <si>
    <t>NET INVESTMENT INCOME, YIELDS AND REALIZED CAPITAL GAINS AND LOSSES (PRE-TAX)</t>
  </si>
  <si>
    <t xml:space="preserve">NET INVESTMENT INCOME </t>
  </si>
  <si>
    <t>Fixed income securities:</t>
  </si>
  <si>
    <t xml:space="preserve">    Tax-exempt </t>
  </si>
  <si>
    <r>
      <t xml:space="preserve">    Taxable</t>
    </r>
    <r>
      <rPr>
        <vertAlign val="superscript"/>
        <sz val="9"/>
        <rFont val="Arial"/>
        <family val="2"/>
      </rPr>
      <t xml:space="preserve"> </t>
    </r>
  </si>
  <si>
    <t>-</t>
  </si>
  <si>
    <t xml:space="preserve">Short-term </t>
  </si>
  <si>
    <t xml:space="preserve">     Sub-total</t>
  </si>
  <si>
    <t>Less:  Investment expense</t>
  </si>
  <si>
    <r>
      <t xml:space="preserve">     Net investment income</t>
    </r>
    <r>
      <rPr>
        <vertAlign val="superscript"/>
        <sz val="9"/>
        <rFont val="Arial"/>
        <family val="2"/>
      </rPr>
      <t xml:space="preserve"> </t>
    </r>
  </si>
  <si>
    <t xml:space="preserve">     Net investment income, after-tax</t>
  </si>
  <si>
    <t xml:space="preserve">  Tax-exempt </t>
  </si>
  <si>
    <t xml:space="preserve">  Equivalent yield for tax-exempt</t>
  </si>
  <si>
    <r>
      <t xml:space="preserve">  Taxable</t>
    </r>
    <r>
      <rPr>
        <vertAlign val="superscript"/>
        <sz val="9"/>
        <rFont val="Arial"/>
        <family val="2"/>
      </rPr>
      <t xml:space="preserve"> </t>
    </r>
  </si>
  <si>
    <t xml:space="preserve">REALIZED CAPITAL GAINS AND LOSSES </t>
  </si>
  <si>
    <t xml:space="preserve"> (PRE-TAX) BY ASSET TYPE</t>
  </si>
  <si>
    <r>
      <t>Derivatives and other</t>
    </r>
    <r>
      <rPr>
        <vertAlign val="superscript"/>
        <sz val="9"/>
        <rFont val="Arial"/>
        <family val="2"/>
      </rPr>
      <t xml:space="preserve"> </t>
    </r>
  </si>
  <si>
    <t>REALIZED CAPITAL GAINS AND LOSSES</t>
  </si>
  <si>
    <t xml:space="preserve"> (PRE-TAX) BY TRANSACTION TYPE </t>
  </si>
  <si>
    <t>Impairment write-downs</t>
  </si>
  <si>
    <r>
      <t>Change in intent write-downs</t>
    </r>
    <r>
      <rPr>
        <vertAlign val="superscript"/>
        <sz val="9"/>
        <rFont val="Arial"/>
        <family val="2"/>
      </rPr>
      <t xml:space="preserve"> </t>
    </r>
  </si>
  <si>
    <t>Sales</t>
  </si>
  <si>
    <t>Average invested assets for the quarter are calculated as the average of the current and prior quarter invested assets. Year-to-date average invested assets are calculated as the average of invested assets at the end of each quarter during the year.  For purposes of the average invested assets calculation, unrealized capital gains and losses are excluded.</t>
  </si>
  <si>
    <t>NET INVESTMENT INCOME</t>
  </si>
  <si>
    <t>Short-term</t>
  </si>
  <si>
    <r>
      <t xml:space="preserve">     Net investment income</t>
    </r>
    <r>
      <rPr>
        <vertAlign val="superscript"/>
        <sz val="9"/>
        <rFont val="Arial"/>
        <family val="2"/>
      </rPr>
      <t xml:space="preserve">  </t>
    </r>
  </si>
  <si>
    <r>
      <t>Fixed income securities</t>
    </r>
    <r>
      <rPr>
        <vertAlign val="superscript"/>
        <sz val="9"/>
        <rFont val="Arial"/>
        <family val="2"/>
      </rPr>
      <t xml:space="preserve"> </t>
    </r>
  </si>
  <si>
    <t xml:space="preserve">Mortgage loans </t>
  </si>
  <si>
    <t xml:space="preserve">Impairment write-downs </t>
  </si>
  <si>
    <t xml:space="preserve">   Net other-than-temporary impairment   </t>
  </si>
  <si>
    <t xml:space="preserve">Sales </t>
  </si>
  <si>
    <t>Settlements of derivative instruments</t>
  </si>
  <si>
    <t>Definitions of Non-GAAP and Operating Measures</t>
  </si>
  <si>
    <t>We believe that investors’ understanding of Allstate’s performance is enhanced by our disclosure of the following non-GAAP financial measures.  Our methods for calculating these measures may differ from those used by other companies and therefore comparability may be limited.</t>
  </si>
  <si>
    <r>
      <t xml:space="preserve">Operating income (loss) </t>
    </r>
    <r>
      <rPr>
        <sz val="10"/>
        <rFont val="Arial"/>
        <family val="2"/>
      </rPr>
      <t>is net income (loss), excluding:</t>
    </r>
  </si>
  <si>
    <t xml:space="preserve"> - realized capital gains and losses, after-tax, except for periodic settlements and accruals on non-hedge derivative instruments, which are reported with realized capital gains and losses but included in operating income (loss),</t>
  </si>
  <si>
    <t xml:space="preserve"> - valuation changes on embedded derivatives that are not hedged, after-tax,</t>
  </si>
  <si>
    <t>net cash provided by operating activities:</t>
  </si>
  <si>
    <t>Depreciation, amortization and</t>
  </si>
  <si>
    <t xml:space="preserve">   other non-cash items</t>
  </si>
  <si>
    <t>(Gain) loss on disposition of operations</t>
  </si>
  <si>
    <t>Changes in:</t>
  </si>
  <si>
    <t>Policy benefits and other insurance reserves</t>
  </si>
  <si>
    <t>Reinsurance recoverables, net</t>
  </si>
  <si>
    <t>Income taxes</t>
  </si>
  <si>
    <t>Other operating assets and liabilities</t>
  </si>
  <si>
    <t xml:space="preserve">   Net cash provided by operating activities</t>
  </si>
  <si>
    <t>CASH FLOWS FROM INVESTING ACTIVITIES</t>
  </si>
  <si>
    <t>Proceeds from sales</t>
  </si>
  <si>
    <r>
      <t>Fixed income securities</t>
    </r>
    <r>
      <rPr>
        <vertAlign val="superscript"/>
        <sz val="9"/>
        <rFont val="Arial"/>
        <family val="2"/>
      </rPr>
      <t xml:space="preserve">  </t>
    </r>
  </si>
  <si>
    <r>
      <t>Equity securities</t>
    </r>
    <r>
      <rPr>
        <vertAlign val="superscript"/>
        <sz val="9"/>
        <rFont val="Arial"/>
        <family val="2"/>
      </rPr>
      <t xml:space="preserve">  </t>
    </r>
  </si>
  <si>
    <r>
      <t>Limited partnership interests</t>
    </r>
    <r>
      <rPr>
        <vertAlign val="superscript"/>
        <sz val="9"/>
        <rFont val="Arial"/>
        <family val="2"/>
      </rPr>
      <t xml:space="preserve">  </t>
    </r>
  </si>
  <si>
    <t xml:space="preserve">Other investments </t>
  </si>
  <si>
    <t>Investment collections</t>
  </si>
  <si>
    <t>Investment purchases</t>
  </si>
  <si>
    <r>
      <t>Equity securities</t>
    </r>
    <r>
      <rPr>
        <vertAlign val="superscript"/>
        <sz val="9"/>
        <rFont val="Arial"/>
        <family val="2"/>
      </rPr>
      <t xml:space="preserve"> </t>
    </r>
  </si>
  <si>
    <t>Change in short-term investments, net</t>
  </si>
  <si>
    <r>
      <t>Change in other investments, net</t>
    </r>
    <r>
      <rPr>
        <vertAlign val="superscript"/>
        <sz val="9"/>
        <rFont val="Arial"/>
        <family val="2"/>
      </rPr>
      <t xml:space="preserve">  </t>
    </r>
  </si>
  <si>
    <t>Purchases of property and equipment, net</t>
  </si>
  <si>
    <t>CASH FLOWS FROM FINANCING ACTIVITIES</t>
  </si>
  <si>
    <t>Proceeds from issuance of long-term debt</t>
  </si>
  <si>
    <t>Repayment of long-term debt</t>
  </si>
  <si>
    <t>Contractholder fund deposits</t>
  </si>
  <si>
    <t>Contractholder fund withdrawals</t>
  </si>
  <si>
    <t>Dividends paid</t>
  </si>
  <si>
    <t>Treasury stock purchases</t>
  </si>
  <si>
    <t xml:space="preserve">Shares reissued under equity incentive plans, net </t>
  </si>
  <si>
    <t>Excess tax benefits on share-based payment arrangements</t>
  </si>
  <si>
    <t xml:space="preserve">                       </t>
  </si>
  <si>
    <t xml:space="preserve">   Net cash used in financing activities</t>
  </si>
  <si>
    <t>NET (DECREASE) INCREASE IN CASH</t>
  </si>
  <si>
    <t>CASH AT BEGINNING OF PERIOD</t>
  </si>
  <si>
    <t>CASH AT END OF PERIOD</t>
  </si>
  <si>
    <t xml:space="preserve">ANALYSIS OF DEFERRED POLICY ACQUISITION COSTS </t>
  </si>
  <si>
    <t>Change in Deferred Policy Acquisition Costs</t>
  </si>
  <si>
    <t>Amortization</t>
  </si>
  <si>
    <t xml:space="preserve">relating to realized </t>
  </si>
  <si>
    <t>capital gains and</t>
  </si>
  <si>
    <t xml:space="preserve">Amortization  </t>
  </si>
  <si>
    <t xml:space="preserve">(acceleration) </t>
  </si>
  <si>
    <t xml:space="preserve">Effect of </t>
  </si>
  <si>
    <t>Beginning</t>
  </si>
  <si>
    <t>Acquisition</t>
  </si>
  <si>
    <t xml:space="preserve">valuation changes on </t>
  </si>
  <si>
    <t>deceleration</t>
  </si>
  <si>
    <t xml:space="preserve">unrealized </t>
  </si>
  <si>
    <t xml:space="preserve">Ending </t>
  </si>
  <si>
    <t>balance</t>
  </si>
  <si>
    <t>costs</t>
  </si>
  <si>
    <t>before</t>
  </si>
  <si>
    <t xml:space="preserve">embedded derivatives </t>
  </si>
  <si>
    <t>capital gains</t>
  </si>
  <si>
    <t>June 30, 2011</t>
  </si>
  <si>
    <t>deferred</t>
  </si>
  <si>
    <r>
      <t xml:space="preserve">adjustments </t>
    </r>
    <r>
      <rPr>
        <vertAlign val="superscript"/>
        <sz val="9"/>
        <rFont val="Arial"/>
        <family val="2"/>
      </rPr>
      <t>(1) (2)</t>
    </r>
  </si>
  <si>
    <r>
      <t>that are not hedged</t>
    </r>
    <r>
      <rPr>
        <vertAlign val="superscript"/>
        <sz val="9"/>
        <rFont val="Arial"/>
        <family val="2"/>
      </rPr>
      <t xml:space="preserve"> (2)</t>
    </r>
  </si>
  <si>
    <r>
      <t xml:space="preserve">to income </t>
    </r>
    <r>
      <rPr>
        <vertAlign val="superscript"/>
        <sz val="9"/>
        <rFont val="Arial"/>
        <family val="2"/>
      </rPr>
      <t>(2)</t>
    </r>
  </si>
  <si>
    <t>and losses</t>
  </si>
  <si>
    <t>Allstate Financial:</t>
  </si>
  <si>
    <t>Traditional life and</t>
  </si>
  <si>
    <t>accident and health</t>
  </si>
  <si>
    <t>Interest-sensitive life</t>
  </si>
  <si>
    <t xml:space="preserve">Fixed annuity </t>
  </si>
  <si>
    <t>Other</t>
  </si>
  <si>
    <t>Sub-total</t>
  </si>
  <si>
    <t>Consolidated</t>
  </si>
  <si>
    <r>
      <t xml:space="preserve">losses </t>
    </r>
    <r>
      <rPr>
        <vertAlign val="superscript"/>
        <sz val="9"/>
        <rFont val="Arial"/>
        <family val="2"/>
      </rPr>
      <t>(2)</t>
    </r>
  </si>
  <si>
    <t xml:space="preserve">  Interest-sensitive life </t>
  </si>
  <si>
    <t xml:space="preserve">  Fixed annuity </t>
  </si>
  <si>
    <t>Amortization before adjustments reflects total DAC amortization before amortization/accretion related to realized capital gains and losses, valuation changes on embedded derivatives that are not hedged and amortization acceleration/deceleration charged/credited to income.</t>
  </si>
  <si>
    <t>Included as a component of amortization of DAC on the Consolidated Statements of Operations.</t>
  </si>
  <si>
    <t>Dec. 31, 2011</t>
  </si>
  <si>
    <t>Dec. 31, 2010</t>
  </si>
  <si>
    <t>Reconciliation of Deferred Policy</t>
  </si>
  <si>
    <t>DAC before</t>
  </si>
  <si>
    <t>DAC after</t>
  </si>
  <si>
    <r>
      <t xml:space="preserve">losses </t>
    </r>
    <r>
      <rPr>
        <sz val="9"/>
        <rFont val="Arial"/>
        <family val="2"/>
      </rPr>
      <t>and</t>
    </r>
  </si>
  <si>
    <t xml:space="preserve">impact of </t>
  </si>
  <si>
    <t xml:space="preserve">Impact of </t>
  </si>
  <si>
    <t>unrealized</t>
  </si>
  <si>
    <t>(charged) credited</t>
  </si>
  <si>
    <t>Operating income</t>
  </si>
  <si>
    <t xml:space="preserve">Realized capital gains and losses, after-tax </t>
  </si>
  <si>
    <t xml:space="preserve"> </t>
  </si>
  <si>
    <t>PROPERTY-LIABILITY RESULTS</t>
  </si>
  <si>
    <t>($ in millions, except ratios)</t>
  </si>
  <si>
    <r>
      <t>Premiums written *</t>
    </r>
    <r>
      <rPr>
        <vertAlign val="superscript"/>
        <sz val="9"/>
        <rFont val="Arial"/>
        <family val="2"/>
      </rPr>
      <t xml:space="preserve"> </t>
    </r>
  </si>
  <si>
    <t>Premiums earned</t>
  </si>
  <si>
    <r>
      <t>Claims and claims expense</t>
    </r>
    <r>
      <rPr>
        <vertAlign val="superscript"/>
        <sz val="9"/>
        <rFont val="Arial"/>
        <family val="2"/>
      </rPr>
      <t xml:space="preserve"> </t>
    </r>
  </si>
  <si>
    <t>Amortization of deferred policy acquisition costs</t>
  </si>
  <si>
    <r>
      <t>Operating costs and expenses</t>
    </r>
    <r>
      <rPr>
        <vertAlign val="superscript"/>
        <sz val="9"/>
        <rFont val="Arial"/>
        <family val="2"/>
      </rPr>
      <t xml:space="preserve"> </t>
    </r>
  </si>
  <si>
    <r>
      <t>Restructuring and related charges</t>
    </r>
    <r>
      <rPr>
        <vertAlign val="superscript"/>
        <sz val="9"/>
        <rFont val="Arial"/>
        <family val="2"/>
      </rPr>
      <t xml:space="preserve"> </t>
    </r>
  </si>
  <si>
    <t xml:space="preserve">Net investment income </t>
  </si>
  <si>
    <t>Periodic settlements and accruals on non-hedge</t>
  </si>
  <si>
    <t xml:space="preserve">   derivative instruments</t>
  </si>
  <si>
    <t>Income tax (expense) benefit on operations</t>
  </si>
  <si>
    <t>Reclassification of periodic settlements and accruals</t>
  </si>
  <si>
    <t xml:space="preserve">   on non-hedge derivative instruments, after-tax</t>
  </si>
  <si>
    <t>Catastrophe losses</t>
  </si>
  <si>
    <t xml:space="preserve">  Claims and claims expense ("loss") ratio</t>
  </si>
  <si>
    <t xml:space="preserve">  Combined ratio </t>
  </si>
  <si>
    <r>
      <t xml:space="preserve">  Combined ratio excluding the effect of catastrophes </t>
    </r>
    <r>
      <rPr>
        <sz val="9"/>
        <rFont val="Arial"/>
        <family val="2"/>
      </rPr>
      <t>*</t>
    </r>
  </si>
  <si>
    <t xml:space="preserve">  Effect of prior year reserve reestimates</t>
  </si>
  <si>
    <t xml:space="preserve">  Effect of catastrophe losses included in prior year</t>
  </si>
  <si>
    <t xml:space="preserve">    </t>
  </si>
  <si>
    <t>reserve reestimates on combined ratio</t>
  </si>
  <si>
    <t xml:space="preserve">  Effect of restructuring and related  </t>
  </si>
  <si>
    <t xml:space="preserve">  Effect of Discontinued Lines and Coverages</t>
  </si>
  <si>
    <t xml:space="preserve">    on combined ratio</t>
  </si>
  <si>
    <t>Twelve months ended December 31,</t>
  </si>
  <si>
    <t>Restructuring and related charges</t>
  </si>
  <si>
    <t xml:space="preserve">  Effect of catastrophe losses on combined ratio</t>
  </si>
  <si>
    <t>PROPERTY-LIABILITY UNDERWRITING RESULTS BY AREA OF BUSINESS</t>
  </si>
  <si>
    <t>Property-Liability Underwriting Summary</t>
  </si>
  <si>
    <t xml:space="preserve">  Allstate Protection</t>
  </si>
  <si>
    <t xml:space="preserve">  Discontinued Lines and Coverages</t>
  </si>
  <si>
    <t xml:space="preserve">  Underwriting income (loss) </t>
  </si>
  <si>
    <t>Allstate Protection Underwriting Summary</t>
  </si>
  <si>
    <t xml:space="preserve">  Premiums written</t>
  </si>
  <si>
    <t xml:space="preserve">  Premiums earned</t>
  </si>
  <si>
    <t xml:space="preserve">  Claims and claims expense </t>
  </si>
  <si>
    <t xml:space="preserve">  Amortization of deferred policy</t>
  </si>
  <si>
    <t xml:space="preserve">    acquisition costs</t>
  </si>
  <si>
    <t xml:space="preserve">  Operating costs and expenses </t>
  </si>
  <si>
    <t xml:space="preserve">  Restructuring and related charges</t>
  </si>
  <si>
    <t xml:space="preserve">    Underwriting income (loss)</t>
  </si>
  <si>
    <t xml:space="preserve">  Catastrophe losses</t>
  </si>
  <si>
    <t xml:space="preserve">  Operating ratios</t>
  </si>
  <si>
    <r>
      <t xml:space="preserve">    Loss ratio</t>
    </r>
    <r>
      <rPr>
        <vertAlign val="superscript"/>
        <sz val="9"/>
        <rFont val="Arial"/>
        <family val="2"/>
      </rPr>
      <t xml:space="preserve"> </t>
    </r>
  </si>
  <si>
    <r>
      <t xml:space="preserve">    Expense ratio</t>
    </r>
    <r>
      <rPr>
        <vertAlign val="superscript"/>
        <sz val="10"/>
        <rFont val="Arial"/>
        <family val="2"/>
      </rPr>
      <t xml:space="preserve"> </t>
    </r>
  </si>
  <si>
    <t xml:space="preserve">    Combined ratio</t>
  </si>
  <si>
    <t xml:space="preserve">  Effect of catastrophe losses</t>
  </si>
  <si>
    <t xml:space="preserve">  Effect of restructuring and related</t>
  </si>
  <si>
    <t xml:space="preserve">    charges on combined ratio</t>
  </si>
  <si>
    <t>Discontinued Lines and Coverages</t>
  </si>
  <si>
    <t xml:space="preserve">  Underwriting Summary</t>
  </si>
  <si>
    <t xml:space="preserve">  Operating costs and expenses</t>
  </si>
  <si>
    <t xml:space="preserve">    Underwriting loss</t>
  </si>
  <si>
    <t xml:space="preserve">    on the Property-Liability combined ratio</t>
  </si>
  <si>
    <t>Allstate Protection</t>
  </si>
  <si>
    <t>Loss ratio</t>
  </si>
  <si>
    <t>Expense ratio</t>
  </si>
  <si>
    <t>Combined ratio</t>
  </si>
  <si>
    <t>Effect of catastrophe losses</t>
  </si>
  <si>
    <t>on combined ratio</t>
  </si>
  <si>
    <t>PROPERTY-LIABILITY PREMIUMS WRITTEN BY MARKET SEGMENT</t>
  </si>
  <si>
    <t>Allstate brand</t>
  </si>
  <si>
    <t xml:space="preserve"> Standard auto </t>
  </si>
  <si>
    <t xml:space="preserve"> Non-standard auto </t>
  </si>
  <si>
    <t xml:space="preserve">     Auto</t>
  </si>
  <si>
    <t>Involuntary auto</t>
  </si>
  <si>
    <t>Commercial lines</t>
  </si>
  <si>
    <t>Homeowners</t>
  </si>
  <si>
    <t>Other personal lines</t>
  </si>
  <si>
    <t>Encompass brand</t>
  </si>
  <si>
    <t xml:space="preserve"> Standard auto</t>
  </si>
  <si>
    <t xml:space="preserve">Non-standard auto </t>
  </si>
  <si>
    <t xml:space="preserve">Standard auto </t>
  </si>
  <si>
    <t>ALLSTATE PROTECTION MARKET SEGMENT ANALYSIS</t>
  </si>
  <si>
    <t xml:space="preserve">amortization of </t>
  </si>
  <si>
    <t>purchased intangible</t>
  </si>
  <si>
    <t>Incurred</t>
  </si>
  <si>
    <t>catastrophe losses</t>
  </si>
  <si>
    <t xml:space="preserve">reserve reestimates </t>
  </si>
  <si>
    <t>Incurred losses</t>
  </si>
  <si>
    <t xml:space="preserve">catastrophe losses </t>
  </si>
  <si>
    <t>Expenses</t>
  </si>
  <si>
    <r>
      <t>Loss ratio</t>
    </r>
    <r>
      <rPr>
        <vertAlign val="superscript"/>
        <sz val="9"/>
        <rFont val="Arial"/>
        <family val="2"/>
      </rPr>
      <t xml:space="preserve">  (2)</t>
    </r>
  </si>
  <si>
    <t>combined ratio</t>
  </si>
  <si>
    <t>Standard auto</t>
  </si>
  <si>
    <t>Non-standard auto</t>
  </si>
  <si>
    <t xml:space="preserve">      Auto</t>
  </si>
  <si>
    <r>
      <t xml:space="preserve">Other personal lines </t>
    </r>
    <r>
      <rPr>
        <vertAlign val="superscript"/>
        <sz val="9"/>
        <rFont val="Arial"/>
        <family val="2"/>
      </rPr>
      <t>(1)</t>
    </r>
  </si>
  <si>
    <r>
      <t xml:space="preserve">  Total Allstate brand</t>
    </r>
    <r>
      <rPr>
        <vertAlign val="superscript"/>
        <sz val="9"/>
        <rFont val="Arial"/>
        <family val="2"/>
      </rPr>
      <t xml:space="preserve"> </t>
    </r>
  </si>
  <si>
    <t xml:space="preserve">  Total Encompass brand</t>
  </si>
  <si>
    <t xml:space="preserve">Three months ended June 30, </t>
  </si>
  <si>
    <t xml:space="preserve">  Total Allstate brand </t>
  </si>
  <si>
    <t>Six months ended June 30,</t>
  </si>
  <si>
    <t>Other personal lines includes commercial, condominium, renters, involuntary auto and other personal lines.</t>
  </si>
  <si>
    <t xml:space="preserve">Ratios are calculated using the premiums earned for the respective line of business. </t>
  </si>
  <si>
    <t>ALLSTATE PROTECTION HISTORICAL MARKET SEGMENT ANALYSIS</t>
  </si>
  <si>
    <t xml:space="preserve">Three months ended </t>
  </si>
  <si>
    <t>December 31, 2011</t>
  </si>
  <si>
    <t>September 30, 2011</t>
  </si>
  <si>
    <t>March 31, 2011</t>
  </si>
  <si>
    <t>Effect of</t>
  </si>
  <si>
    <t>CAT losses</t>
  </si>
  <si>
    <t xml:space="preserve">Premiums </t>
  </si>
  <si>
    <t>Loss</t>
  </si>
  <si>
    <t xml:space="preserve">on combined </t>
  </si>
  <si>
    <t>Expense</t>
  </si>
  <si>
    <t>earned</t>
  </si>
  <si>
    <t>ratio</t>
  </si>
  <si>
    <t>December 31, 2010</t>
  </si>
  <si>
    <t>September 30, 2010</t>
  </si>
  <si>
    <t xml:space="preserve">  Total Allstate brand</t>
  </si>
  <si>
    <t xml:space="preserve"> - </t>
  </si>
  <si>
    <t>PROPERTY-LIABILITY</t>
  </si>
  <si>
    <t xml:space="preserve">June 30, 2011 </t>
  </si>
  <si>
    <t xml:space="preserve">Number of </t>
  </si>
  <si>
    <t xml:space="preserve">State     </t>
  </si>
  <si>
    <t>states</t>
  </si>
  <si>
    <r>
      <t xml:space="preserve">Countrywide (%) </t>
    </r>
    <r>
      <rPr>
        <vertAlign val="superscript"/>
        <sz val="9"/>
        <rFont val="Arial"/>
        <family val="2"/>
      </rPr>
      <t>(4)</t>
    </r>
  </si>
  <si>
    <r>
      <t xml:space="preserve">specific (%) </t>
    </r>
    <r>
      <rPr>
        <vertAlign val="superscript"/>
        <sz val="9"/>
        <rFont val="Arial"/>
        <family val="2"/>
      </rPr>
      <t>(5)</t>
    </r>
  </si>
  <si>
    <r>
      <t xml:space="preserve">Standard auto </t>
    </r>
    <r>
      <rPr>
        <vertAlign val="superscript"/>
        <sz val="9"/>
        <rFont val="Arial"/>
        <family val="2"/>
      </rPr>
      <t>(2)</t>
    </r>
  </si>
  <si>
    <t>(11)</t>
  </si>
  <si>
    <t>(10)</t>
  </si>
  <si>
    <t>(9)</t>
  </si>
  <si>
    <t>(7)(8)</t>
  </si>
  <si>
    <r>
      <t>Non-standard auto</t>
    </r>
    <r>
      <rPr>
        <vertAlign val="superscript"/>
        <sz val="9"/>
        <rFont val="Arial"/>
        <family val="2"/>
      </rPr>
      <t xml:space="preserve"> </t>
    </r>
  </si>
  <si>
    <r>
      <t xml:space="preserve">Homeowners </t>
    </r>
    <r>
      <rPr>
        <vertAlign val="superscript"/>
        <sz val="9"/>
        <rFont val="Arial"/>
        <family val="2"/>
      </rPr>
      <t>(3)</t>
    </r>
  </si>
  <si>
    <t>(6)</t>
  </si>
  <si>
    <r>
      <t>Homeowners</t>
    </r>
    <r>
      <rPr>
        <vertAlign val="superscript"/>
        <sz val="9"/>
        <rFont val="Arial"/>
        <family val="2"/>
      </rPr>
      <t xml:space="preserve"> </t>
    </r>
  </si>
  <si>
    <t>Esurance brand</t>
  </si>
  <si>
    <t>n/a</t>
  </si>
  <si>
    <t>(7)</t>
  </si>
  <si>
    <r>
      <t>Homeowners</t>
    </r>
    <r>
      <rPr>
        <vertAlign val="superscript"/>
        <sz val="9"/>
        <rFont val="Arial"/>
        <family val="2"/>
      </rPr>
      <t xml:space="preserve"> (3)</t>
    </r>
  </si>
  <si>
    <t>(4)</t>
  </si>
  <si>
    <t xml:space="preserve">Represents the impact in the states where rate changes were approved during the year as a percentage of total countrywide prior year-end premiums written. </t>
  </si>
  <si>
    <t>(5)</t>
  </si>
  <si>
    <t>Represents the impact in the states where rate changes were approved during the year as a percentage of its respective total prior year-end premiums written in those states.</t>
  </si>
  <si>
    <t>Includes Washington, D.C.</t>
  </si>
  <si>
    <t>Includes targeted rate decreases in certain markets to improve our competitive position for target customers (multi-car residence owners).</t>
  </si>
  <si>
    <t>(8)</t>
  </si>
  <si>
    <t>Includes the impact of a 20.9% and 2.3% rate increases in Florida and a 12.0% rate increase in New York in the first quarter of 2011.</t>
  </si>
  <si>
    <t>Includes the impact of a 20.0% and 6.0% rate increases in Florida and a 3.7% rate increase in New York in the second quarter of 2011.</t>
  </si>
  <si>
    <t>Includes the impact of a 9.9% average rate increase in New York in the third quarter of 2011.</t>
  </si>
  <si>
    <t xml:space="preserve">Impacts of Allstate brand standard auto effective rate changes as a percentage of total countrywide prior year-end premiums written were 0.9%, 0.4%, 1.2% 1.6%, 0.5% and 1.4% for the three months ended June 30, 2012, March 31, 2012, December 31, 2011, September 30, 2011, June 30, 2011 and March 31, 2011, respectively. </t>
  </si>
  <si>
    <t xml:space="preserve">Impacts of Allstate brand homeowners effective rate changes as a percentage of total countrywide prior year-end premiums written were 2.0%, 3.6%, 2.6%, 1.1%, 1.2% and 2.9% for the three months ended June 30, 2012, March 31, 2012, December 31, 2011, September 30, 2011, June 30, 2011 and March 31, 2011, respectively.  </t>
  </si>
  <si>
    <t xml:space="preserve">and magnitude and can have a significant impact on the combined ratio.  We believe it is useful for investors to evaluate these components separately and in the aggregate when reviewing our underwriting performance.  The combined ratio excluding the effect of catastrophes should not be considered </t>
  </si>
  <si>
    <t>a substitute for the combined ratio and does not reflect the overall underwriting profitability of our business.  A reconciliation of combined ratio excluding the effect of catastrophes to combined ratio is provided in the schedule, "Property-Liability Results".</t>
  </si>
  <si>
    <r>
      <t>Operating income return on shareholders' equity</t>
    </r>
    <r>
      <rPr>
        <sz val="10"/>
        <rFont val="Arial"/>
        <family val="2"/>
      </rPr>
      <t xml:space="preserve"> is a ratio that uses a non-GAAP measure. It is calculated by dividing the rolling 12-month operating income by the average of shareholders’ equity at the beginning and at the end of the 12-months, after excluding the effect of unrealized net capital gains and</t>
    </r>
  </si>
  <si>
    <t xml:space="preserve">losses. Return on shareholders' equity is the most directly comparable GAAP measure.  We use operating income as the numerator for the same reasons we use operating income, as discussed above.  We use average shareholders' equity excluding the effect of unrealized net capital gains and losses for the </t>
  </si>
  <si>
    <t>denominator as a representation of shareholders’ equity primarily attributable to the Company’s earned and realized business operations because it eliminates the effect of items that are unrealized and vary significantly between periods due to external economic developments such as capital market</t>
  </si>
  <si>
    <t>conditions like changes in equity prices and interest rates, the amount and timing of which are unrelated to the insurance underwriting process.  We use it to supplement our evaluation of net income and return on shareholders' equity because it excludes the effect of items that tend to be highly variable from period to</t>
  </si>
  <si>
    <t xml:space="preserve">period.  We believe that this measure is useful to investors and that it provides a valuable tool for investors when considered along with net income return on shareholders' equity because it eliminates the after-tax effects of realized and unrealized net capital gains and losses that can fluctuate significantly from period </t>
  </si>
  <si>
    <t xml:space="preserve">to period and that are driven by economic developments, the magnitude and timing of which are generally not influenced by management.  In addition, it eliminates non-recurring items that are not indicative of our ongoing business or economic trends. A byproduct of excluding the items noted above to determine </t>
  </si>
  <si>
    <t xml:space="preserve">operating income return on shareholders' equity from return on shareholders' equity is the transparency and understanding of their significance to return on shareholders' equity variability and profitability while recognizing these or similar items may recur in subsequent periods.  Therefore, we believe it is useful for </t>
  </si>
  <si>
    <t xml:space="preserve">investors to have operating income return on shareholders' equity and return on shareholders' equity when evaluating our performance.  We note that investors, financial analysts, financial and business media organizations and rating agencies utilize operating income return on shareholders' equity results in their  </t>
  </si>
  <si>
    <t xml:space="preserve">evaluation of our and our industry’s financial performance and in their investment decisions, recommendations and communications as it represents a reliable, representative and consistent measurement of the industry and the company and management’s utilization of capital.  Operating income return on shareholders' </t>
  </si>
  <si>
    <t>equity should not be considered as a substitute for return on shareholders' equity and does not reflect the overall profitability of our business.  A reconciliation of return on shareholders' equity and operating income return on shareholders' equity can be found in the schedule, "Return on Shareholders' Equity".</t>
  </si>
  <si>
    <r>
      <t xml:space="preserve">Book value per share, excluding the impact of unrealized net capital gains and losses on fixed income securities, </t>
    </r>
    <r>
      <rPr>
        <sz val="10"/>
        <rFont val="Arial"/>
        <family val="2"/>
      </rPr>
      <t xml:space="preserve">is a ratio that uses a non-GAAP measure.  It is calculated by dividing shareholders’ equity after excluding the impact of unrealized net capital gains and losses </t>
    </r>
  </si>
  <si>
    <t xml:space="preserve">impact of unrealized net capital gains and losses on fixed income securities, is a measure commonly used by insurance investors as a valuation technique.  Book value per share is the most directly comparable GAAP measure.  Book value per share, excluding the impact of unrealized net capital gains </t>
  </si>
  <si>
    <t xml:space="preserve">and losses on fixed income securities, should not be considered as a substitute for book value per share, and does not reflect the recorded net worth of our business.  A reconciliation of book value per share, excluding the impact of unrealized net capital gains on fixed income securities, and book value </t>
  </si>
  <si>
    <t>per share can be found in the schedule, "Book Value per Share".</t>
  </si>
  <si>
    <t>Operating Measure</t>
  </si>
  <si>
    <t>We believe that investors’ understanding of Allstate’s performance is enhanced by our disclosure of the following operating financial measure.  Our method for calculating this measure may differ from those used by other companies and therefore comparability may be limited.</t>
  </si>
  <si>
    <r>
      <t>Premiums written</t>
    </r>
    <r>
      <rPr>
        <sz val="10"/>
        <rFont val="Arial"/>
        <family val="2"/>
      </rPr>
      <t xml:space="preserve"> is the amount of premiums charged for policies issued during a fiscal period.  Premiums earned is a GAAP measure.  Premiums are considered earned and are included in financial results on a pro-rata basis over the policy period.  The portion of premiums written applicable to the </t>
    </r>
  </si>
  <si>
    <t>Definitions of GAAP Operating Ratios and Impacts of Specific Items on the GAAP Operating Ratios</t>
  </si>
  <si>
    <t>We use the following operating ratios to measure the profitability of our Property-Liability results.  We believe that they enhance an investor’s understanding of our profitability.  They are calculated as follows:</t>
  </si>
  <si>
    <r>
      <t xml:space="preserve">Claims and claims expense (“loss”) ratio </t>
    </r>
    <r>
      <rPr>
        <sz val="10"/>
        <rFont val="Arial"/>
        <family val="2"/>
      </rPr>
      <t>is the ratio of claims and claims expense to premiums earned.  Loss ratios include the impact of catastrophe losses.</t>
    </r>
  </si>
  <si>
    <r>
      <t xml:space="preserve">Expense ratio </t>
    </r>
    <r>
      <rPr>
        <sz val="10"/>
        <rFont val="Arial"/>
        <family val="2"/>
      </rPr>
      <t>is the ratio of amortization of DAC, operating costs and expenses and restructuring and related charges to premiums earned.</t>
    </r>
  </si>
  <si>
    <r>
      <t>Combined ratio</t>
    </r>
    <r>
      <rPr>
        <sz val="10"/>
        <rFont val="Arial"/>
        <family val="2"/>
      </rPr>
      <t xml:space="preserve"> is the ratio of claims and claims expense, amortization of DAC, operating costs and expenses and restructuring and related charges to premiums earned.  The combined ratio is the sum of the loss ratio and the expense ratio.  The difference between 100% and the combined ratio </t>
    </r>
  </si>
  <si>
    <t>represents underwriting income (loss) as a percentage of premiums earned or underwriting margin.</t>
  </si>
  <si>
    <t>the combined ratio and the Allstate Protection combined ratio is equal to the Property-Liability combined ratio.</t>
  </si>
  <si>
    <r>
      <t xml:space="preserve">Effect of catastrophe losses on combined ratio </t>
    </r>
    <r>
      <rPr>
        <sz val="10"/>
        <rFont val="Arial"/>
        <family val="2"/>
      </rPr>
      <t xml:space="preserve">is the percentage of catastrophe losses included in claims and claims expense to premiums earned.  This ratio includes prior year reserve reestimates of catastrophe losses.  </t>
    </r>
  </si>
  <si>
    <r>
      <t>Effect of prior year reserve reestimates on combined ratio</t>
    </r>
    <r>
      <rPr>
        <sz val="10"/>
        <rFont val="Arial"/>
        <family val="2"/>
      </rPr>
      <t xml:space="preserve"> is the percentage of prior year reserve reestimates included in claims and claims expense to premiums earned.  This ratio includes prior year reserve reestimates of catastrophe losses.</t>
    </r>
  </si>
  <si>
    <r>
      <t xml:space="preserve">Effect of restructuring and related charges on combined ratio </t>
    </r>
    <r>
      <rPr>
        <sz val="10"/>
        <rFont val="Arial"/>
        <family val="2"/>
      </rPr>
      <t>is the percentage of restructuring and related charges to premiums earned.</t>
    </r>
  </si>
  <si>
    <t>Table of Contents</t>
  </si>
  <si>
    <t>PAGE</t>
  </si>
  <si>
    <t>(net of reinsurance)</t>
  </si>
  <si>
    <t>ASBESTOS AND ENVIRONMENTAL RESERVES</t>
  </si>
  <si>
    <t>Asbestos claims</t>
  </si>
  <si>
    <t>Beginning reserves</t>
  </si>
  <si>
    <t>Incurred claims and claims expense</t>
  </si>
  <si>
    <t>Claims and claims expense paid</t>
  </si>
  <si>
    <t>Ending reserves</t>
  </si>
  <si>
    <t xml:space="preserve">     as a percent of ending reserves</t>
  </si>
  <si>
    <t>Environmental claims</t>
  </si>
  <si>
    <t>ALLSTATE FINANCIAL RESULTS</t>
  </si>
  <si>
    <t/>
  </si>
  <si>
    <t xml:space="preserve">Contract charges </t>
  </si>
  <si>
    <t>Periodic settlements and accruals on non-</t>
  </si>
  <si>
    <t xml:space="preserve">   hedge derivative instruments</t>
  </si>
  <si>
    <t>Contract benefits</t>
  </si>
  <si>
    <t xml:space="preserve">Amortization of deferred policy </t>
  </si>
  <si>
    <t xml:space="preserve">   acquisition costs</t>
  </si>
  <si>
    <t xml:space="preserve">Operating costs and expenses </t>
  </si>
  <si>
    <t>Income tax expense on operations</t>
  </si>
  <si>
    <t>Valuation changes on embedded derivatives that are not</t>
  </si>
  <si>
    <t xml:space="preserve">   hedged, after-tax</t>
  </si>
  <si>
    <t xml:space="preserve">   realized capital gains and losses and valuation changes </t>
  </si>
  <si>
    <t xml:space="preserve">   on embedded derivatives that are not hedged, after-tax </t>
  </si>
  <si>
    <t xml:space="preserve">DAC and DSI unlocking relating to realized capital gains </t>
  </si>
  <si>
    <t xml:space="preserve">   and losses, after-tax</t>
  </si>
  <si>
    <t xml:space="preserve">Reclassification of periodic settlements and accruals on </t>
  </si>
  <si>
    <t xml:space="preserve">   non-hedge derivative instruments, after-tax</t>
  </si>
  <si>
    <t>Contract charges</t>
  </si>
  <si>
    <t>ALLSTATE FINANCIAL</t>
  </si>
  <si>
    <t>RETURN ON ATTRIBUTED EQUITY</t>
  </si>
  <si>
    <t>Return on Attributed Equity</t>
  </si>
  <si>
    <r>
      <t xml:space="preserve">  Beginning attributed equity</t>
    </r>
    <r>
      <rPr>
        <vertAlign val="superscript"/>
        <sz val="9"/>
        <rFont val="Arial"/>
        <family val="2"/>
      </rPr>
      <t xml:space="preserve"> (2)</t>
    </r>
  </si>
  <si>
    <t xml:space="preserve">  Ending attributed equity</t>
  </si>
  <si>
    <r>
      <t>Average attributed equity</t>
    </r>
    <r>
      <rPr>
        <vertAlign val="superscript"/>
        <sz val="10"/>
        <rFont val="Arial"/>
        <family val="2"/>
      </rPr>
      <t xml:space="preserve"> (3)</t>
    </r>
  </si>
  <si>
    <r>
      <t xml:space="preserve">   Return on attributed equity</t>
    </r>
    <r>
      <rPr>
        <vertAlign val="superscript"/>
        <sz val="9"/>
        <rFont val="Arial"/>
        <family val="2"/>
      </rPr>
      <t xml:space="preserve"> </t>
    </r>
  </si>
  <si>
    <t>Operating Income Return on Attributed Equity</t>
  </si>
  <si>
    <t xml:space="preserve">  Beginning attributed equity</t>
  </si>
  <si>
    <t xml:space="preserve">  Unrealized net capital gains and losses</t>
  </si>
  <si>
    <t xml:space="preserve">  Adjusted beginning attributed equity</t>
  </si>
  <si>
    <t xml:space="preserve">  Adjusted ending attributed equity</t>
  </si>
  <si>
    <r>
      <t>Average adjusted attributed equity</t>
    </r>
    <r>
      <rPr>
        <vertAlign val="superscript"/>
        <sz val="9"/>
        <rFont val="Arial"/>
        <family val="2"/>
      </rPr>
      <t xml:space="preserve"> (3)</t>
    </r>
  </si>
  <si>
    <t xml:space="preserve">   Operating income return on attributed equity</t>
  </si>
  <si>
    <t>Average attributed equity and average adjusted attributed equity are determined using a two-point average, with the beginning and ending attributed equity and adjusted attributed equity, respectively, for the twelve-month period as data points.</t>
  </si>
  <si>
    <t>ALLSTATE FINANCIAL PREMIUMS AND CONTRACT CHARGES</t>
  </si>
  <si>
    <t xml:space="preserve">PREMIUMS AND CONTRACT CHARGES - </t>
  </si>
  <si>
    <t xml:space="preserve">   BY PRODUCT</t>
  </si>
  <si>
    <t>Underwritten Products</t>
  </si>
  <si>
    <t>Traditional life insurance premiums</t>
  </si>
  <si>
    <t>Accident and health insurance premiums</t>
  </si>
  <si>
    <t>Interest-sensitive life insurance contract charges</t>
  </si>
  <si>
    <t>Annuities</t>
  </si>
  <si>
    <t>Immediate annuities with life contingencies premiums</t>
  </si>
  <si>
    <t xml:space="preserve">Other fixed annuity contract charges </t>
  </si>
  <si>
    <t xml:space="preserve">   BY DISTRIBUTION CHANNEL</t>
  </si>
  <si>
    <t>Workplace enrolling agents</t>
  </si>
  <si>
    <t>CHANGE IN CONTRACTHOLDER FUNDS</t>
  </si>
  <si>
    <t xml:space="preserve">Six months ended </t>
  </si>
  <si>
    <t xml:space="preserve">  Beginning balance</t>
  </si>
  <si>
    <t>Deposits</t>
  </si>
  <si>
    <t>Fixed annuities</t>
  </si>
  <si>
    <t>Interest-sensitive life insurance</t>
  </si>
  <si>
    <t>Total deposits</t>
  </si>
  <si>
    <t>Interest credited</t>
  </si>
  <si>
    <t xml:space="preserve">Maturities, benefits, withdrawals </t>
  </si>
  <si>
    <t>and other adjustments</t>
  </si>
  <si>
    <t xml:space="preserve">Benefits </t>
  </si>
  <si>
    <t xml:space="preserve">Surrenders and partial withdrawals </t>
  </si>
  <si>
    <t>Net transfers from separate accounts</t>
  </si>
  <si>
    <t>Fair value hedge adjustments for institutional products</t>
  </si>
  <si>
    <t>Other adjustments</t>
  </si>
  <si>
    <t xml:space="preserve">Total maturities, benefits, withdrawals </t>
  </si>
  <si>
    <t xml:space="preserve">   and other adjustments</t>
  </si>
  <si>
    <t xml:space="preserve">  Ending balance</t>
  </si>
  <si>
    <t>ALLSTATE FINANCIAL ANALYSIS OF NET INCOME</t>
  </si>
  <si>
    <t>Benefit spread</t>
  </si>
  <si>
    <t xml:space="preserve">  Premiums </t>
  </si>
  <si>
    <r>
      <t xml:space="preserve">  Cost of insurance contract charges </t>
    </r>
    <r>
      <rPr>
        <vertAlign val="superscript"/>
        <sz val="9"/>
        <rFont val="Arial"/>
        <family val="2"/>
      </rPr>
      <t xml:space="preserve">(1) </t>
    </r>
  </si>
  <si>
    <t xml:space="preserve">  Contract benefits excluding the implied interest</t>
  </si>
  <si>
    <r>
      <t xml:space="preserve">     on immediate annuities with life contingencies </t>
    </r>
    <r>
      <rPr>
        <vertAlign val="superscript"/>
        <sz val="9"/>
        <rFont val="Arial"/>
        <family val="2"/>
      </rPr>
      <t>(2)</t>
    </r>
  </si>
  <si>
    <t xml:space="preserve">   Total benefit spread </t>
  </si>
  <si>
    <t>Investment spread</t>
  </si>
  <si>
    <t xml:space="preserve">  Net investment income </t>
  </si>
  <si>
    <t xml:space="preserve">  Implied interest on immediate annuities with  </t>
  </si>
  <si>
    <t xml:space="preserve">  Interest credited to contractholder funds</t>
  </si>
  <si>
    <t xml:space="preserve">  Total investment spread</t>
  </si>
  <si>
    <t xml:space="preserve">Surrender charges and contract maintenance </t>
  </si>
  <si>
    <r>
      <t>expense fees</t>
    </r>
    <r>
      <rPr>
        <vertAlign val="superscript"/>
        <sz val="9"/>
        <rFont val="Arial"/>
        <family val="2"/>
      </rPr>
      <t xml:space="preserve"> (1)</t>
    </r>
  </si>
  <si>
    <t xml:space="preserve">Realized capital gains and losses </t>
  </si>
  <si>
    <t>Benefit spread by product group</t>
  </si>
  <si>
    <t xml:space="preserve">  Life insurance</t>
  </si>
  <si>
    <t xml:space="preserve">  Accident and health insurance</t>
  </si>
  <si>
    <t xml:space="preserve">  Annuities</t>
  </si>
  <si>
    <t xml:space="preserve">  Total benefit spread</t>
  </si>
  <si>
    <t>Investment spread by product group</t>
  </si>
  <si>
    <t xml:space="preserve">  Annuities and institutional products</t>
  </si>
  <si>
    <r>
      <t xml:space="preserve">  Life insurance</t>
    </r>
    <r>
      <rPr>
        <vertAlign val="superscript"/>
        <sz val="9"/>
        <rFont val="Arial"/>
        <family val="2"/>
      </rPr>
      <t xml:space="preserve"> </t>
    </r>
  </si>
  <si>
    <t xml:space="preserve">  Allstate Bank products</t>
  </si>
  <si>
    <t xml:space="preserve">  Net investment income on investments </t>
  </si>
  <si>
    <r>
      <t>supporting capital</t>
    </r>
    <r>
      <rPr>
        <vertAlign val="superscript"/>
        <sz val="9"/>
        <rFont val="Arial"/>
        <family val="2"/>
      </rPr>
      <t xml:space="preserve"> </t>
    </r>
  </si>
  <si>
    <r>
      <t xml:space="preserve">(1) </t>
    </r>
    <r>
      <rPr>
        <b/>
        <sz val="9"/>
        <rFont val="Arial"/>
        <family val="2"/>
      </rPr>
      <t>Reconciliation of contract charges</t>
    </r>
    <r>
      <rPr>
        <b/>
        <vertAlign val="superscript"/>
        <sz val="9"/>
        <rFont val="Arial"/>
        <family val="2"/>
      </rPr>
      <t xml:space="preserve"> </t>
    </r>
  </si>
  <si>
    <t xml:space="preserve">  Cost of insurance contract charges</t>
  </si>
  <si>
    <t xml:space="preserve">  Surrender charges and contract maintenance </t>
  </si>
  <si>
    <t>expense fees</t>
  </si>
  <si>
    <t xml:space="preserve">  Total contract charges</t>
  </si>
  <si>
    <r>
      <t>(2)</t>
    </r>
    <r>
      <rPr>
        <b/>
        <sz val="9"/>
        <rFont val="Arial"/>
        <family val="2"/>
      </rPr>
      <t xml:space="preserve"> Reconciliation of contract benefits</t>
    </r>
  </si>
  <si>
    <t xml:space="preserve">     on immediate annuities with life contingencies</t>
  </si>
  <si>
    <t xml:space="preserve">      life contingencies  </t>
  </si>
  <si>
    <t>Total contract benefits</t>
  </si>
  <si>
    <t>ALLSTATE FINANCIAL WEIGHTED AVERAGE INVESTMENT SPREADS</t>
  </si>
  <si>
    <t>Weighted average</t>
  </si>
  <si>
    <t>investment yield</t>
  </si>
  <si>
    <t>interest crediting rate</t>
  </si>
  <si>
    <t>investment spreads</t>
  </si>
  <si>
    <t xml:space="preserve">Deferred fixed annuities and </t>
  </si>
  <si>
    <t xml:space="preserve">   institutional products</t>
  </si>
  <si>
    <t>Immediate fixed annuities with and</t>
  </si>
  <si>
    <t xml:space="preserve">   without life contingencies</t>
  </si>
  <si>
    <t>Investments supporting capital,</t>
  </si>
  <si>
    <t xml:space="preserve">   traditional life and other products</t>
  </si>
  <si>
    <t>ALLSTATE FINANCIAL SUPPLEMENTAL PRODUCT INFORMATION</t>
  </si>
  <si>
    <t xml:space="preserve">June 30, </t>
  </si>
  <si>
    <t>Life insurance</t>
  </si>
  <si>
    <t>Accident and health insurance</t>
  </si>
  <si>
    <t>Deferred Annuities</t>
  </si>
  <si>
    <t>Structured settlement annuities for annuitants with severe injuries or other health impairments which significantly reduced their life expectancy at the time the annuity was issued and group annuity contracts issued to sponsors of terminated pension plans.</t>
  </si>
  <si>
    <t>CORPORATE AND OTHER RESULTS</t>
  </si>
  <si>
    <t>Income tax benefit on operations</t>
  </si>
  <si>
    <t>Operating loss</t>
  </si>
  <si>
    <t>Net loss</t>
  </si>
  <si>
    <t>INVESTMENTS</t>
  </si>
  <si>
    <t>Fixed income securities, at fair value:</t>
  </si>
  <si>
    <t xml:space="preserve">     Tax-exempt</t>
  </si>
  <si>
    <r>
      <t xml:space="preserve">     Taxable</t>
    </r>
    <r>
      <rPr>
        <vertAlign val="superscript"/>
        <sz val="9"/>
        <rFont val="Arial"/>
        <family val="2"/>
      </rPr>
      <t xml:space="preserve"> </t>
    </r>
  </si>
  <si>
    <t xml:space="preserve">Equity securities, at fair value </t>
  </si>
  <si>
    <t>Limited partnership interests</t>
  </si>
  <si>
    <t>Short-term, at fair value</t>
  </si>
  <si>
    <t xml:space="preserve">     Total</t>
  </si>
  <si>
    <t>Fixed income securities, at amortized cost:</t>
  </si>
  <si>
    <t xml:space="preserve">     Ratio of fair value to amortized cost</t>
  </si>
  <si>
    <r>
      <t xml:space="preserve">Equity securities, at cost </t>
    </r>
    <r>
      <rPr>
        <vertAlign val="superscript"/>
        <sz val="9"/>
        <rFont val="Arial"/>
        <family val="2"/>
      </rPr>
      <t xml:space="preserve"> </t>
    </r>
  </si>
  <si>
    <t>Short-term, at amortized cost</t>
  </si>
  <si>
    <t>CORPORATE AND OTHER</t>
  </si>
  <si>
    <t>CONSOLIDATED</t>
  </si>
  <si>
    <t>Sept 30,</t>
  </si>
  <si>
    <t>UNREALIZED NET CAPITAL GAINS AND LOSSES ON SECURITY PORTFOLIO BY TYPE</t>
  </si>
  <si>
    <t>Unrealized net</t>
  </si>
  <si>
    <t>Fair value</t>
  </si>
  <si>
    <t>Fair</t>
  </si>
  <si>
    <t>as a percent of</t>
  </si>
  <si>
    <t>value</t>
  </si>
  <si>
    <r>
      <t xml:space="preserve">amortized cost </t>
    </r>
    <r>
      <rPr>
        <vertAlign val="superscript"/>
        <sz val="9"/>
        <rFont val="Arial"/>
        <family val="2"/>
      </rPr>
      <t>(1)</t>
    </r>
  </si>
  <si>
    <t>Fixed income securities</t>
  </si>
  <si>
    <t>U.S. government and agencies</t>
  </si>
  <si>
    <t>Municipal</t>
  </si>
  <si>
    <t>Corporate</t>
  </si>
  <si>
    <t>Foreign government</t>
  </si>
  <si>
    <t>Residential mortgage-backed securities ("RMBS")</t>
  </si>
  <si>
    <t>Commercial mortgage-backed securities ("CMBS")</t>
  </si>
  <si>
    <t>Asset-backed securities ("ABS")</t>
  </si>
  <si>
    <t>Redeemable preferred stock</t>
  </si>
  <si>
    <t xml:space="preserve">    Total fixed income securities</t>
  </si>
  <si>
    <t>Equity securities</t>
  </si>
  <si>
    <t>Short-term investments</t>
  </si>
  <si>
    <t xml:space="preserve">Derivatives </t>
  </si>
  <si>
    <r>
      <t xml:space="preserve">EMA limited partnership interests </t>
    </r>
    <r>
      <rPr>
        <vertAlign val="superscript"/>
        <sz val="9"/>
        <rFont val="Arial"/>
        <family val="2"/>
      </rPr>
      <t>(2)</t>
    </r>
  </si>
  <si>
    <t>Unrealized net capital gains and losses, pre-tax</t>
  </si>
  <si>
    <t>Amounts recognized for:</t>
  </si>
  <si>
    <r>
      <t xml:space="preserve">   Insurance reserves </t>
    </r>
    <r>
      <rPr>
        <vertAlign val="superscript"/>
        <sz val="9"/>
        <rFont val="Arial"/>
        <family val="2"/>
      </rPr>
      <t>(3)</t>
    </r>
  </si>
  <si>
    <r>
      <t xml:space="preserve">   DAC and DSI </t>
    </r>
    <r>
      <rPr>
        <vertAlign val="superscript"/>
        <sz val="9"/>
        <rFont val="Arial"/>
        <family val="2"/>
      </rPr>
      <t>(4)</t>
    </r>
  </si>
  <si>
    <t xml:space="preserve">      Amounts recognized</t>
  </si>
  <si>
    <t>Deferred income taxes</t>
  </si>
  <si>
    <t>Unrealized net capital gains and losses, after-tax</t>
  </si>
  <si>
    <t>RMBS</t>
  </si>
  <si>
    <t>CMBS</t>
  </si>
  <si>
    <t>ABS</t>
  </si>
  <si>
    <t xml:space="preserve">The comparison of percentages from period to period may be distorted by investment transactions such as sales, purchases and impairment write-downs.  </t>
  </si>
  <si>
    <t>Unrealized net capital gains and losses for limited partnership interest represent the Company's share of Equity Method of Accounting ("EMA") limited partnerships' other comprehensive income.  Fair value and amortized cost are not applicable.</t>
  </si>
  <si>
    <t>The insurance reserves adjustment represents the amount by which the reserve balance would increase if the net unrealized gains in the applicable product portfolios were realized and reinvested at current lower interest rates, resulting in a premium deficiency.  Although we evaluate premium deficiencies on the combined performance of our life insurance and immediate annuities with life contingencies, the adjustment primarily relates to structured settlement annuities with life contingencies, in addition to annuity buy-outs and certain payout annuities with life contingencies.</t>
  </si>
  <si>
    <t xml:space="preserve">The DAC and DSI adjustment balance represents the amount by which the amortization of DAC and DSI would increase or decrease if the unrealized gains or losses in the respective product portfolios were realized.  </t>
  </si>
  <si>
    <t>GROSS UNREALIZED GAINS AND LOSSES ON FIXED INCOME SECURITIES BY TYPE AND SECTOR</t>
  </si>
  <si>
    <t>Amortized</t>
  </si>
  <si>
    <t>cost as a</t>
  </si>
  <si>
    <t>Par</t>
  </si>
  <si>
    <t>Gross unrealized</t>
  </si>
  <si>
    <t>percent of</t>
  </si>
  <si>
    <t>as a percent</t>
  </si>
  <si>
    <r>
      <t xml:space="preserve">value </t>
    </r>
    <r>
      <rPr>
        <vertAlign val="superscript"/>
        <sz val="9"/>
        <rFont val="Arial"/>
        <family val="2"/>
      </rPr>
      <t>(1)</t>
    </r>
  </si>
  <si>
    <t>cost</t>
  </si>
  <si>
    <t>Gains</t>
  </si>
  <si>
    <t>Losses</t>
  </si>
  <si>
    <r>
      <t xml:space="preserve">par value </t>
    </r>
    <r>
      <rPr>
        <vertAlign val="superscript"/>
        <sz val="9"/>
        <rFont val="Arial"/>
        <family val="2"/>
      </rPr>
      <t>(2)</t>
    </r>
  </si>
  <si>
    <r>
      <t xml:space="preserve">of par value </t>
    </r>
    <r>
      <rPr>
        <vertAlign val="superscript"/>
        <sz val="9"/>
        <rFont val="Arial"/>
        <family val="2"/>
      </rPr>
      <t>(2)</t>
    </r>
  </si>
  <si>
    <t>Corporate:</t>
  </si>
  <si>
    <t>Banking</t>
  </si>
  <si>
    <t>Financial services</t>
  </si>
  <si>
    <t>Capital goods</t>
  </si>
  <si>
    <t>Utilities</t>
  </si>
  <si>
    <t>Consumer goods (cyclical and non-cyclical)</t>
  </si>
  <si>
    <t>Transportation</t>
  </si>
  <si>
    <t>Communications</t>
  </si>
  <si>
    <t>Basic industry</t>
  </si>
  <si>
    <t>Energy</t>
  </si>
  <si>
    <t>Technology</t>
  </si>
  <si>
    <t xml:space="preserve">Total corporate fixed income portfolio </t>
  </si>
  <si>
    <t xml:space="preserve">Municipal </t>
  </si>
  <si>
    <r>
      <t>RMBS</t>
    </r>
    <r>
      <rPr>
        <vertAlign val="superscript"/>
        <sz val="9"/>
        <rFont val="Arial"/>
        <family val="2"/>
      </rPr>
      <t xml:space="preserve"> </t>
    </r>
  </si>
  <si>
    <t xml:space="preserve">CMBS </t>
  </si>
  <si>
    <t>profitability of our business.  A reconciliation of the underlying combined ratio to combined ratio is provided in the schedules, "Property-Liability Results", "Standard Auto Profitability Measures" and "Homeowners Profitability Measures".</t>
  </si>
  <si>
    <t>the amortization of purchased intangible assets ("underlying")</t>
  </si>
  <si>
    <t xml:space="preserve">  Effect of business combination expenses and the amortization of</t>
  </si>
  <si>
    <t>the amortization of purchased intangible assets primarily relate to the acquisition purchase price and are not indicative of our underlying insurance business results or trends.  We believe it is useful for investors to evaluate these components separately and in the aggregate when reviewing our underwriting</t>
  </si>
  <si>
    <r>
      <t xml:space="preserve">Effect of Discontinued Lines and Coverages on combined ratio </t>
    </r>
    <r>
      <rPr>
        <sz val="10"/>
        <rFont val="Arial"/>
        <family val="2"/>
      </rPr>
      <t xml:space="preserve">is the ratio of claims and claims expense and operating costs and expenses in the Discontinued Lines and Coverages segment to Property-Liability premiums earned.  The sum of the effect of Discontinued Lines and Coverages on </t>
    </r>
  </si>
  <si>
    <t>Effect of prior year</t>
  </si>
  <si>
    <t xml:space="preserve">Effect of catastrophe losses on combined ratio </t>
  </si>
  <si>
    <t xml:space="preserve">Effect of prior year reserve reestimates on combined ratio </t>
  </si>
  <si>
    <t xml:space="preserve">      catastrophes and prior year reserve reestimates ("underlying") </t>
  </si>
  <si>
    <t>Effect of prior year reserve reestimates on combined ratio</t>
  </si>
  <si>
    <t xml:space="preserve">catastrophes and prior year reserve reestimates ("underlying") </t>
  </si>
  <si>
    <t>EFFECT OF PRIOR YEAR RESERVE REESTIMATES ON THE COMBINED RATIO</t>
  </si>
  <si>
    <r>
      <t xml:space="preserve">Prior Year Reserve Reestimates </t>
    </r>
    <r>
      <rPr>
        <vertAlign val="superscript"/>
        <sz val="9"/>
        <rFont val="Arial"/>
        <family val="2"/>
      </rPr>
      <t>(1)</t>
    </r>
  </si>
  <si>
    <t>Effect of Prior Year Reserve</t>
  </si>
  <si>
    <t xml:space="preserve">Allstate Protection </t>
  </si>
  <si>
    <t xml:space="preserve">Bank </t>
  </si>
  <si>
    <t xml:space="preserve">Attributed equity is allocated to each product line based on statutory capital adjusted for GAAP reporting differences and the amount of capital held in Allstate Financial may vary from economic capital. The calculation of statutory capital by product incorporates internal factors for invested asset risk, insurance risk (mortality and morbidity), interest rate risk and business risk.  Due to the unavailability of final statutory financial statements at the time we release our GAAP financial results, the allocation is derived from average statutory capital over the prior four quarters.  Statutory capital is adjusted for appropriate GAAP accounting differences.  Changes in internal capital factors, investment portfolio mix and risk as well as changes in GAAP and statutory reporting differences will result in changes to the allocation of attributed equity to products.      </t>
  </si>
  <si>
    <t xml:space="preserve"> - amortization of deferred acquisition costs ("DAC") and deferred sales inducements (“DSI”), to the extent they resulted from the recognition of certain realized capital gains and losses or valuation changes on embedded derivatives that are not hedged, after-tax,</t>
  </si>
  <si>
    <t xml:space="preserve"> - gain (loss) on disposition of operations, after-tax, and</t>
  </si>
  <si>
    <t xml:space="preserve"> - adjustments for other significant non-recurring, infrequent or unusual items, when (a) the nature of the charge or gain is such that it is reasonably unlikely to recur within two years, or (b) there has been no similar charge or gain within the prior two years.  </t>
  </si>
  <si>
    <t xml:space="preserve">Net income (loss) is the GAAP measure that is most directly comparable to operating income (loss).   We use operating income (loss) as an important measure to evaluate our results of operations.  We believe that the measure provides investors with a valuable measure of the Company's ongoing </t>
  </si>
  <si>
    <t xml:space="preserve">intangible assets, gain (loss) on disposition of operations and adjustments for other significant non-recurring, infrequent or unusual items.  Realized capital gains and losses, valuation changes on embedded derivatives that are not hedged and gain (loss) on disposition of operations may vary significantly </t>
  </si>
  <si>
    <t xml:space="preserve">between periods and are generally driven by business decisions and external economic developments such as capital market conditions, the timing of which is unrelated to the insurance underwriting process.  Consistent with our intent to protect results or earn additional income, operating income (loss) </t>
  </si>
  <si>
    <t xml:space="preserve">includes periodic settlements and accruals on certain derivative instruments that are reported in realized capital gains and losses because they do not qualify for hedge accounting or are not designated as hedges for accounting purposes.  These instruments are used for economic hedges and to </t>
  </si>
  <si>
    <r>
      <t xml:space="preserve">Underwriting income (loss) </t>
    </r>
    <r>
      <rPr>
        <sz val="10"/>
        <rFont val="Arial"/>
        <family val="2"/>
      </rPr>
      <t xml:space="preserve">is calculated as premiums earned, less claims and claims expense (“losses”), amortization of DAC, operating costs and expenses and restructuring and related charges as determined using GAAP.  Management uses this measure in its evaluation of the results </t>
    </r>
  </si>
  <si>
    <t xml:space="preserve">of operations to analyze the profitability of our Property-Liability insurance operations separately from investment results.  It is also an integral component of incentive compensation.  It is useful for investors to evaluate the components of income separately and in the aggregate when reviewing  </t>
  </si>
  <si>
    <t>performance.   Net income (loss) is the most directly comparable GAAP measure.  Underwriting income (loss) should not be considered as a substitute for net income (loss) and does not reflect the overall profitability of our business.  A reconciliation of Property-Liability underwriting</t>
  </si>
  <si>
    <t>income (loss) to net income (loss) is provided in the schedule, "Property-Liability Results".</t>
  </si>
  <si>
    <r>
      <t xml:space="preserve">Combined ratio excluding the effect of catastrophes </t>
    </r>
    <r>
      <rPr>
        <sz val="10"/>
        <rFont val="Arial"/>
        <family val="2"/>
      </rPr>
      <t xml:space="preserve">is a non-GAAP ratio, which is computed as the difference between two GAAP operating ratios:  the combined ratio and the effect of catastrophes on the combined ratio.  The most directly comparable GAAP measure is the combined ratio.  </t>
    </r>
  </si>
  <si>
    <t xml:space="preserve">We believe that this ratio is useful to investors and it is used by management to reveal the trends in our Property-Liability business that may be obscured by catastrophe losses.  Catastrophe losses cause our loss trends to vary significantly between periods as a result of their incidence of occurrence </t>
  </si>
  <si>
    <t>June</t>
  </si>
  <si>
    <t>March</t>
  </si>
  <si>
    <t>Dec.</t>
  </si>
  <si>
    <r>
      <t xml:space="preserve">capital gains/losses </t>
    </r>
    <r>
      <rPr>
        <vertAlign val="superscript"/>
        <sz val="9"/>
        <color indexed="8"/>
        <rFont val="Arial"/>
        <family val="2"/>
      </rPr>
      <t>(3)(4)</t>
    </r>
  </si>
  <si>
    <r>
      <t>income</t>
    </r>
    <r>
      <rPr>
        <vertAlign val="superscript"/>
        <sz val="9"/>
        <color indexed="8"/>
        <rFont val="Arial"/>
        <family val="2"/>
      </rPr>
      <t xml:space="preserve"> (5)</t>
    </r>
  </si>
  <si>
    <t>on attributed equity (%)</t>
  </si>
  <si>
    <t>Underwritten products</t>
  </si>
  <si>
    <r>
      <t xml:space="preserve">   pension terminations</t>
    </r>
    <r>
      <rPr>
        <vertAlign val="superscript"/>
        <sz val="9"/>
        <color indexed="8"/>
        <rFont val="Arial"/>
        <family val="2"/>
      </rPr>
      <t xml:space="preserve"> (1)</t>
    </r>
  </si>
  <si>
    <r>
      <t xml:space="preserve">Standard structured settlements and SPIA </t>
    </r>
    <r>
      <rPr>
        <vertAlign val="superscript"/>
        <sz val="9"/>
        <color indexed="8"/>
        <rFont val="Arial"/>
        <family val="2"/>
      </rPr>
      <t>(2)</t>
    </r>
  </si>
  <si>
    <t xml:space="preserve">(6)  </t>
  </si>
  <si>
    <r>
      <t xml:space="preserve">Average Premium - Gross Written ($) </t>
    </r>
    <r>
      <rPr>
        <vertAlign val="superscript"/>
        <sz val="9"/>
        <rFont val="Arial"/>
        <family val="2"/>
      </rPr>
      <t>(4)</t>
    </r>
  </si>
  <si>
    <r>
      <t>Average Premium - Net Earned ($)</t>
    </r>
    <r>
      <rPr>
        <b/>
        <vertAlign val="superscript"/>
        <sz val="9"/>
        <rFont val="Arial"/>
        <family val="2"/>
      </rPr>
      <t xml:space="preserve"> </t>
    </r>
    <r>
      <rPr>
        <vertAlign val="superscript"/>
        <sz val="9"/>
        <rFont val="Arial"/>
        <family val="2"/>
      </rPr>
      <t>(5)</t>
    </r>
  </si>
  <si>
    <r>
      <t xml:space="preserve">Renewal Ratio (%) </t>
    </r>
    <r>
      <rPr>
        <vertAlign val="superscript"/>
        <sz val="9"/>
        <rFont val="Arial"/>
        <family val="2"/>
      </rPr>
      <t>(6)</t>
    </r>
  </si>
  <si>
    <t>Excess and surplus lines are excluded from homeowners new issued applications.  All other homeowners statistics include excess and surplus lines.</t>
  </si>
  <si>
    <t>unexpired terms of the policies is recorded as unearned premiums on our Condensed Consolidated Statements of Financial Position.  A reconciliation of premiums written to premiums earned is presented in the schedule, "Property-Liability Results".</t>
  </si>
  <si>
    <t>Rate changes include changes approved based on our net cost of reinsurance.  These rate changes do not reflect initial rates filed for insurance subsidiaries initially writing business.  Based on historical premiums written in those states, rate changes approved for the three month period ending June 30, 2012 are estimated to total $317 million.  Rate changes do not include rating plan enhancements, including the introduction of discounts and surcharges, that result in no change in the overall rate level in the state.  Rate changes also exclude Company's Canadian operations, specialty auto, and excess and surplus homeowners lines.</t>
  </si>
  <si>
    <t>Gain on disposition of operations, after-tax</t>
  </si>
  <si>
    <t xml:space="preserve">Operating ratios </t>
  </si>
  <si>
    <t xml:space="preserve">  Effect of catastrophe losses on combined ratio </t>
  </si>
  <si>
    <r>
      <t>on combined ratio</t>
    </r>
    <r>
      <rPr>
        <sz val="9"/>
        <rFont val="Arial"/>
        <family val="2"/>
      </rPr>
      <t xml:space="preserve"> </t>
    </r>
  </si>
  <si>
    <t>purchased intangible assets on combined ratio</t>
  </si>
  <si>
    <t xml:space="preserve">    charges on combined ratio </t>
  </si>
  <si>
    <t>Esurance present value of future profits balance of $21 million as of December 31, 2011 was fully amortized in the first quarter of 2012.</t>
  </si>
  <si>
    <r>
      <t>purchased intangible assets</t>
    </r>
    <r>
      <rPr>
        <vertAlign val="superscript"/>
        <sz val="9"/>
        <rFont val="Arial"/>
        <family val="2"/>
      </rPr>
      <t xml:space="preserve"> (2)</t>
    </r>
  </si>
  <si>
    <t xml:space="preserve">Esurance brand </t>
  </si>
  <si>
    <t xml:space="preserve">replicate fixed income securities, and by including them in operating income (loss), we are appropriately reflecting their trends in our performance and in a manner consistent with the economically hedged investments, product attributes (e.g., net investment income and interest credited to contractholder </t>
  </si>
  <si>
    <t xml:space="preserve">The consolidated financial statements and financial exhibits included herein are unaudited. These consolidated financial statements and exhibits should be read in conjunction with the consolidated financial statements and notes thereto included in the most recent Annual Report on Form 10-K, the Current Report on Form 8-K filed on May 2, 2012 (retrospective adoption of deferred acquisition costs "DAC") and Quarterly Reports on Form 10-Q.  The results of operations for interim periods should not be considered indicative of results to be expected for the full year. </t>
  </si>
  <si>
    <t>New Issued Applications:  Item counts of automobiles or homeowners insurance applications for insurance policies that were issued during the period, regardless of whether the customer was previously insured by another Allstate Protection market segment.  Does not include automobiles that are added by existing customers.</t>
  </si>
  <si>
    <t>Allstate Financial attributed equity is the sum of equity for Allstate Life Insurance Company, the applicable equity for American Heritage Life Investment Corporation, and the equity for Allstate Bank. Allstate Bank's equity is zero beginning March 31, 2012.</t>
  </si>
  <si>
    <t>Total Allstate Financial attributed equity is the sum of equity for Allstate Life Insurance Company, the applicable equity for American Heritage Life Investment Corporation, and the equity for Allstate Bank. Allstate Bank's equity is zero beginning March 31, 2012.</t>
  </si>
  <si>
    <t>Disposition (acquisition) of operations, net of cash acquired</t>
  </si>
  <si>
    <t>Pre-tax yields are calculated as annualized investment income (including dividend income in the case of equity securities) divided by the average of investment balances at the end of each quarter during the year.  Investment balances, for purposes of the pre-tax yield calculation, exclude unrealized capital gains and losses.  EMA limited partnership interests are included in the 2012 yields since their 2012 income is reported in net investment income. Total portfolio yield for The Allstate Corporation was 4.6% in the second quarter of 2012 compared to 4.5% in the second quarter of 2011.</t>
  </si>
  <si>
    <t xml:space="preserve">As of June 30, 2012, Allstate Financial has commitments to invest in additional limited partnership interests totaling $714 million.  </t>
  </si>
  <si>
    <t xml:space="preserve">As of June 30, 2012, Property-Liability has commitments to invest in additional limited partnership interests totaling $1.38 billion.  </t>
  </si>
  <si>
    <r>
      <t xml:space="preserve">   DISTRIBUTION CHANNEL</t>
    </r>
    <r>
      <rPr>
        <vertAlign val="superscript"/>
        <sz val="9"/>
        <rFont val="Arial"/>
        <family val="2"/>
      </rPr>
      <t>(2)</t>
    </r>
  </si>
  <si>
    <r>
      <t xml:space="preserve">      life contingencies</t>
    </r>
    <r>
      <rPr>
        <vertAlign val="superscript"/>
        <sz val="9"/>
        <rFont val="Arial"/>
        <family val="2"/>
      </rPr>
      <t xml:space="preserve"> (2)</t>
    </r>
  </si>
  <si>
    <t xml:space="preserve">Average Premium - Gross Written:  Gross premiums written divided by issued item count.  Gross premiums written include the impacts from discounts and surcharges and exclude the impacts from mid-term premium adjustments, ceded reinsurance premiums, and premium refund accruals.  Average premiums represent the appropriate policy term for each line, which is 6 months for auto and 12 months for homeowners.
</t>
  </si>
  <si>
    <t xml:space="preserve">Property-liability insurance claims </t>
  </si>
  <si>
    <t>and claims expense</t>
  </si>
  <si>
    <t>Life and annuity contract benefits</t>
  </si>
  <si>
    <t>Interest credited to contractholder funds</t>
  </si>
  <si>
    <t>Amortization of deferred policy</t>
  </si>
  <si>
    <t>acquisition costs</t>
  </si>
  <si>
    <t>Operating costs and expenses</t>
  </si>
  <si>
    <t xml:space="preserve"> Restructuring and related charges</t>
  </si>
  <si>
    <t>Interest expense</t>
  </si>
  <si>
    <t>Total costs and expenses</t>
  </si>
  <si>
    <t>Gain (loss) on disposition of operations</t>
  </si>
  <si>
    <t>Income (loss) from operations before income</t>
  </si>
  <si>
    <t>tax expense (benefit)</t>
  </si>
  <si>
    <t xml:space="preserve">Income tax expense (benefit) </t>
  </si>
  <si>
    <t xml:space="preserve"> Net income (loss)</t>
  </si>
  <si>
    <r>
      <t xml:space="preserve"> Earnings per share:</t>
    </r>
    <r>
      <rPr>
        <b/>
        <vertAlign val="superscript"/>
        <sz val="9"/>
        <rFont val="Arial"/>
        <family val="2"/>
      </rPr>
      <t xml:space="preserve"> </t>
    </r>
    <r>
      <rPr>
        <vertAlign val="superscript"/>
        <sz val="9"/>
        <rFont val="Arial"/>
        <family val="2"/>
      </rPr>
      <t>(1)</t>
    </r>
  </si>
  <si>
    <t xml:space="preserve">Net income (loss) per share - Basic </t>
  </si>
  <si>
    <t>Weighted average shares - Basic</t>
  </si>
  <si>
    <r>
      <t xml:space="preserve">Net income (loss) per share - Diluted </t>
    </r>
    <r>
      <rPr>
        <vertAlign val="superscript"/>
        <sz val="9"/>
        <rFont val="Arial"/>
        <family val="2"/>
      </rPr>
      <t>(2)</t>
    </r>
  </si>
  <si>
    <r>
      <t xml:space="preserve">Weighted average shares - Diluted </t>
    </r>
    <r>
      <rPr>
        <vertAlign val="superscript"/>
        <sz val="9"/>
        <rFont val="Arial"/>
        <family val="2"/>
      </rPr>
      <t>(2)</t>
    </r>
  </si>
  <si>
    <t xml:space="preserve"> Cash dividends declared per share</t>
  </si>
  <si>
    <t>(1)</t>
  </si>
  <si>
    <t>In accordance with GAAP, the quarter and year-to-date per share amounts are calculated discretely.  Therefore, the sum of each quarter may not equal the year-to-date amount.</t>
  </si>
  <si>
    <t>(2)</t>
  </si>
  <si>
    <t>As a result of the net loss for the three-months ended June 30, 2011, weighted average dilutive potential common shares outstanding resulting from 2.1 million stock options and 0.5 million restricted stock units (non-participating) were not included in the computation of diluted earnings per share in that quarter, since inclusion of these securities would have an anti-dilutive effect.</t>
  </si>
  <si>
    <t>CONTRIBUTION TO INCOME</t>
  </si>
  <si>
    <t>Contribution to income</t>
  </si>
  <si>
    <t>Operating income (loss) before the impact of</t>
  </si>
  <si>
    <t>restructuring and related charges</t>
  </si>
  <si>
    <t>Restructuring and related charges, after-tax</t>
  </si>
  <si>
    <t>Operating income (loss) *</t>
  </si>
  <si>
    <t xml:space="preserve"> Realized capital gains and losses, after-tax </t>
  </si>
  <si>
    <t xml:space="preserve">Valuation changes on embedded derivatives that </t>
  </si>
  <si>
    <t>are not hedged, after-tax</t>
  </si>
  <si>
    <t>DAC and DSI (amortization) accretion relating to</t>
  </si>
  <si>
    <t>DAC and DSI unlocking relating to realized capital</t>
  </si>
  <si>
    <t xml:space="preserve">gains and losses, after-tax </t>
  </si>
  <si>
    <t>Reclassification of periodic settlements</t>
  </si>
  <si>
    <t xml:space="preserve">and accruals on non-hedge derivative </t>
  </si>
  <si>
    <t>instruments, after-tax</t>
  </si>
  <si>
    <t xml:space="preserve">Business combination expenses and the amortization </t>
  </si>
  <si>
    <t>Gain (loss) on disposition of operations, after-tax</t>
  </si>
  <si>
    <t>Net income (loss)</t>
  </si>
  <si>
    <r>
      <t>Income per share - Diluted</t>
    </r>
    <r>
      <rPr>
        <vertAlign val="superscript"/>
        <sz val="9"/>
        <rFont val="Arial"/>
        <family val="2"/>
      </rPr>
      <t xml:space="preserve"> (1) (2)</t>
    </r>
  </si>
  <si>
    <t xml:space="preserve"> Operating income (loss) before the impact of</t>
  </si>
  <si>
    <t xml:space="preserve">restructuring and related charges </t>
  </si>
  <si>
    <t>Operating income (loss)</t>
  </si>
  <si>
    <t xml:space="preserve">instruments, after-tax </t>
  </si>
  <si>
    <t xml:space="preserve">Weighted average shares - Diluted </t>
  </si>
  <si>
    <t>(3)</t>
  </si>
  <si>
    <t>REVENUES</t>
  </si>
  <si>
    <t>($ in millions)</t>
  </si>
  <si>
    <t>Property-Liability</t>
  </si>
  <si>
    <t xml:space="preserve"> Property-liability insurance premiums</t>
  </si>
  <si>
    <t xml:space="preserve"> Net investment income </t>
  </si>
  <si>
    <t xml:space="preserve"> Realized capital gains and losses </t>
  </si>
  <si>
    <t>Total Property-Liability revenues</t>
  </si>
  <si>
    <t>Allstate Financial</t>
  </si>
  <si>
    <t>Total Allstate Financial revenues</t>
  </si>
  <si>
    <t xml:space="preserve">Corporate and Other </t>
  </si>
  <si>
    <r>
      <t xml:space="preserve"> Service fees </t>
    </r>
    <r>
      <rPr>
        <vertAlign val="superscript"/>
        <sz val="9"/>
        <rFont val="Arial"/>
        <family val="2"/>
      </rPr>
      <t>(1)</t>
    </r>
  </si>
  <si>
    <t>Total Corporate and Other revenues before</t>
  </si>
  <si>
    <t xml:space="preserve">   reclassification of services fees</t>
  </si>
  <si>
    <r>
      <t xml:space="preserve">Reclassification of service fees </t>
    </r>
    <r>
      <rPr>
        <vertAlign val="superscript"/>
        <sz val="9"/>
        <rFont val="Arial"/>
        <family val="2"/>
      </rPr>
      <t>(1)</t>
    </r>
  </si>
  <si>
    <t>Total Corporate and Other revenues</t>
  </si>
  <si>
    <t>Consolidated revenues</t>
  </si>
  <si>
    <t>For presentation in the Consolidated Statements of Operations, service fees of the Corporate and Other segment are reclassified to Operating costs and expenses.</t>
  </si>
  <si>
    <t>CONSOLIDATED STATEMENTS OF FINANCIAL POSITION</t>
  </si>
  <si>
    <t>Assets</t>
  </si>
  <si>
    <t>Liabilities</t>
  </si>
  <si>
    <t>Investments</t>
  </si>
  <si>
    <t>Reserve for property-liability insurance</t>
  </si>
  <si>
    <t>Fixed income securities, at fair value</t>
  </si>
  <si>
    <t>claims and claims expense</t>
  </si>
  <si>
    <t>Reserve for life-contingent contract benefits</t>
  </si>
  <si>
    <t>Contractholder funds</t>
  </si>
  <si>
    <r>
      <t>Equity securities, at fair value</t>
    </r>
    <r>
      <rPr>
        <vertAlign val="superscript"/>
        <sz val="9"/>
        <rFont val="Arial"/>
        <family val="2"/>
      </rPr>
      <t xml:space="preserve"> </t>
    </r>
  </si>
  <si>
    <t>Unearned premiums</t>
  </si>
  <si>
    <t>Claim payments outstanding</t>
  </si>
  <si>
    <t xml:space="preserve">Other liabilities and accrued expenses </t>
  </si>
  <si>
    <t>Mortgage loans</t>
  </si>
  <si>
    <t>Long-term debt</t>
  </si>
  <si>
    <r>
      <t>Limited partnership interests</t>
    </r>
    <r>
      <rPr>
        <vertAlign val="superscript"/>
        <sz val="9"/>
        <rFont val="Arial"/>
        <family val="2"/>
      </rPr>
      <t xml:space="preserve"> </t>
    </r>
  </si>
  <si>
    <t>Separate Accounts</t>
  </si>
  <si>
    <t xml:space="preserve">Short-term, at fair value </t>
  </si>
  <si>
    <t xml:space="preserve">    Total liabilities </t>
  </si>
  <si>
    <t>Equity</t>
  </si>
  <si>
    <r>
      <t>Other</t>
    </r>
    <r>
      <rPr>
        <vertAlign val="superscript"/>
        <sz val="9"/>
        <rFont val="Arial"/>
        <family val="2"/>
      </rPr>
      <t xml:space="preserve"> </t>
    </r>
  </si>
  <si>
    <r>
      <t>Total investments</t>
    </r>
    <r>
      <rPr>
        <vertAlign val="superscript"/>
        <sz val="9"/>
        <rFont val="Arial"/>
        <family val="2"/>
      </rPr>
      <t xml:space="preserve"> </t>
    </r>
  </si>
  <si>
    <t>Additional capital paid-in</t>
  </si>
  <si>
    <t xml:space="preserve">Retained income </t>
  </si>
  <si>
    <t>Deferred ESOP expense</t>
  </si>
  <si>
    <t>Accumulated other comprehensive income:</t>
  </si>
  <si>
    <t>Unrealized net capital gains and losses:</t>
  </si>
  <si>
    <t xml:space="preserve">   Unrealized net capital losses on fixed income </t>
  </si>
  <si>
    <t xml:space="preserve">      securities with other-than-temporary impairments</t>
  </si>
  <si>
    <t xml:space="preserve">   Other unrealized net capital gains and losses</t>
  </si>
  <si>
    <t>Cash</t>
  </si>
  <si>
    <t xml:space="preserve">   Unrealized adjustment to DAC, DSI and insurance</t>
  </si>
  <si>
    <t>Premium installment receivables, net</t>
  </si>
  <si>
    <t xml:space="preserve">      reserves</t>
  </si>
  <si>
    <t>Deferred policy acquisition costs</t>
  </si>
  <si>
    <t xml:space="preserve">      Total unrealized net capital gains and losses </t>
  </si>
  <si>
    <r>
      <t>Reinsurance recoverables, net</t>
    </r>
    <r>
      <rPr>
        <vertAlign val="superscript"/>
        <sz val="10"/>
        <rFont val="Arial"/>
        <family val="2"/>
      </rPr>
      <t xml:space="preserve"> (1)</t>
    </r>
  </si>
  <si>
    <t>Unrealized foreign currency translation</t>
  </si>
  <si>
    <t>Accrued investment income</t>
  </si>
  <si>
    <t xml:space="preserve">   adjustments</t>
  </si>
  <si>
    <t xml:space="preserve">Deferred income taxes </t>
  </si>
  <si>
    <t>Unrecognized pension and other</t>
  </si>
  <si>
    <t>Property and equipment, net</t>
  </si>
  <si>
    <t xml:space="preserve">   postretirement benefit cost</t>
  </si>
  <si>
    <t>Goodwill</t>
  </si>
  <si>
    <t xml:space="preserve">      Total accumulated other comprehensive </t>
  </si>
  <si>
    <t>Other assets</t>
  </si>
  <si>
    <t xml:space="preserve">   </t>
  </si>
  <si>
    <t xml:space="preserve">      Total shareholders' equity</t>
  </si>
  <si>
    <t xml:space="preserve">Noncontrolling interest </t>
  </si>
  <si>
    <t xml:space="preserve">      Total equity             </t>
  </si>
  <si>
    <t>Total assets</t>
  </si>
  <si>
    <t xml:space="preserve">      Total liabilities and equity             </t>
  </si>
  <si>
    <t>BOOK VALUE PER SHARE</t>
  </si>
  <si>
    <t>($ in millions, except per share data )</t>
  </si>
  <si>
    <t>Book value per share</t>
  </si>
  <si>
    <t>Numerator:</t>
  </si>
  <si>
    <t>Shareholders' equity</t>
  </si>
  <si>
    <t>Denominator:</t>
  </si>
  <si>
    <t>Shares outstanding and dilutive potential</t>
  </si>
  <si>
    <t xml:space="preserve">      shares outstanding </t>
  </si>
  <si>
    <t xml:space="preserve">Book value per share </t>
  </si>
  <si>
    <t>Book value per share, excluding the</t>
  </si>
  <si>
    <t xml:space="preserve">impact of unrealized net capital gains  </t>
  </si>
  <si>
    <t>and losses on fixed income securities *</t>
  </si>
  <si>
    <t>Unrealized net capital gains and losses on</t>
  </si>
  <si>
    <t xml:space="preserve">     fixed income securities</t>
  </si>
  <si>
    <t>Adjusted shareholders' equity</t>
  </si>
  <si>
    <t xml:space="preserve">     impact of unrealized net capital gains </t>
  </si>
  <si>
    <t xml:space="preserve">      and losses on fixed income securities </t>
  </si>
  <si>
    <t>RETURN ON SHAREHOLDERS' EQUITY</t>
  </si>
  <si>
    <t>Return on Shareholders' Equity</t>
  </si>
  <si>
    <r>
      <t xml:space="preserve">Net income </t>
    </r>
    <r>
      <rPr>
        <vertAlign val="superscript"/>
        <sz val="9"/>
        <rFont val="Arial"/>
        <family val="2"/>
      </rPr>
      <t>(1)</t>
    </r>
  </si>
  <si>
    <t>Beginning shareholders' equity</t>
  </si>
  <si>
    <t>Ending shareholders' equity</t>
  </si>
  <si>
    <r>
      <t>Average shareholders' equity</t>
    </r>
    <r>
      <rPr>
        <vertAlign val="superscript"/>
        <sz val="10"/>
        <rFont val="Arial"/>
        <family val="2"/>
      </rPr>
      <t xml:space="preserve"> (2)</t>
    </r>
  </si>
  <si>
    <t xml:space="preserve">   Return on shareholders' equity </t>
  </si>
  <si>
    <t>%</t>
  </si>
  <si>
    <t>Operating Income Return on Shareholders' Equity *</t>
  </si>
  <si>
    <r>
      <t xml:space="preserve">Operating income </t>
    </r>
    <r>
      <rPr>
        <vertAlign val="superscript"/>
        <sz val="9"/>
        <rFont val="Arial"/>
        <family val="2"/>
      </rPr>
      <t>(1)</t>
    </r>
  </si>
  <si>
    <t>Unrealized net capital gains and losses</t>
  </si>
  <si>
    <t>Adjusted beginning shareholders' equity</t>
  </si>
  <si>
    <t>Adjusted ending shareholders' equity</t>
  </si>
  <si>
    <r>
      <t>Average adjusted shareholders' equity</t>
    </r>
    <r>
      <rPr>
        <vertAlign val="superscript"/>
        <sz val="9"/>
        <rFont val="Arial"/>
        <family val="2"/>
      </rPr>
      <t xml:space="preserve"> (2)</t>
    </r>
  </si>
  <si>
    <t xml:space="preserve">   Operating income return on shareholders' equity </t>
  </si>
  <si>
    <t>Net income and operating income reflect a trailing twelve-month period.</t>
  </si>
  <si>
    <t>Average shareholders' equity and average adjusted shareholders' equity are determined using a two-point average, with the beginning and ending shareholders' equity and adjusted shareholders' equity, respectively, for the twelve-month period as data points.</t>
  </si>
  <si>
    <t>DEBT TO CAPITAL</t>
  </si>
  <si>
    <t>Debt</t>
  </si>
  <si>
    <t>Capital resources</t>
  </si>
  <si>
    <t>Common stock</t>
  </si>
  <si>
    <t xml:space="preserve">Additional capital paid-in </t>
  </si>
  <si>
    <t>Retained income</t>
  </si>
  <si>
    <r>
      <t>Deferred ESOP expense</t>
    </r>
    <r>
      <rPr>
        <vertAlign val="superscript"/>
        <sz val="9"/>
        <rFont val="Arial"/>
        <family val="2"/>
      </rPr>
      <t xml:space="preserve"> </t>
    </r>
  </si>
  <si>
    <t>Treasury stock</t>
  </si>
  <si>
    <t xml:space="preserve">Unrealized foreign currency translation </t>
  </si>
  <si>
    <t xml:space="preserve">   Total shareholders' equity</t>
  </si>
  <si>
    <t xml:space="preserve">    Total capital resources</t>
  </si>
  <si>
    <t xml:space="preserve"> Ratio of debt to shareholders' equity </t>
  </si>
  <si>
    <t xml:space="preserve"> Ratio of debt to capital resources </t>
  </si>
  <si>
    <t>CONSOLIDATED STATEMENTS OF CASH FLOWS</t>
  </si>
  <si>
    <t>CASH FLOWS FROM OPERATING ACTIVITIES</t>
  </si>
  <si>
    <t>Adjustments to reconcile net income (loss) to</t>
  </si>
  <si>
    <t xml:space="preserve">Statements of Operations </t>
  </si>
  <si>
    <t xml:space="preserve">Revenues </t>
  </si>
  <si>
    <t>Statements of Financial Position</t>
  </si>
  <si>
    <t>Book Value Per Share</t>
  </si>
  <si>
    <t>Debt to Capital</t>
  </si>
  <si>
    <t xml:space="preserve">Statements of Cash Flows </t>
  </si>
  <si>
    <t>Analysis of Deferred Policy Acquisition Costs</t>
  </si>
  <si>
    <t>Property-Liability Operations</t>
  </si>
  <si>
    <t xml:space="preserve">Underwriting Results by Area of Business </t>
  </si>
  <si>
    <t>Non-standard Auto Profitability Measures</t>
  </si>
  <si>
    <t>Homeowners Profitability Measures</t>
  </si>
  <si>
    <t>Homeowners Supplemental Information</t>
  </si>
  <si>
    <t>Effect of Catastrophe Losses on the Combined Ratio</t>
  </si>
  <si>
    <t>Asbestos and Environmental Reserves</t>
  </si>
  <si>
    <t>Allstate Financial Operations and Reconciliations</t>
  </si>
  <si>
    <t>Allstate Financial Results</t>
  </si>
  <si>
    <t>Change in Contractholder Funds</t>
  </si>
  <si>
    <t>Analysis of Net Income</t>
  </si>
  <si>
    <t>Allstate Financial Weighted Average Investment Spreads</t>
  </si>
  <si>
    <t>Unrealized Net Capital Gains and Losses on Security Portfolio by Type</t>
  </si>
  <si>
    <t>Gross Unrealized Gains and Losses on Fixed Income Securities by Type and Sector</t>
  </si>
  <si>
    <t>Fair Value and Unrealized Net Capital Gains and Losses for Fixed Income Securities by Credit Rating</t>
  </si>
  <si>
    <t>Realized Capital Gains and Losses by Transaction Type</t>
  </si>
  <si>
    <t>Property-Liability Net Investment Income, Yields and Realized Capital Gains and Losses (Pre-tax)</t>
  </si>
  <si>
    <t>Allstate Financial Net Investment Income, Yields and Realized Capital Gains and Losses (Pre-tax)</t>
  </si>
  <si>
    <t xml:space="preserve">THE ALLSTATE CORPORATION </t>
  </si>
  <si>
    <t>Investor Supplement</t>
  </si>
  <si>
    <t xml:space="preserve">Measures used in these financial statements and exhibits that are not based on generally accepted accounting principles ("non-GAAP") and operating measures are denoted with an asterisk (*) the first time they appear.  These measures are defined on the page "Definitions of Non-GAAP and Operating Measures" and non-GAAP measures are reconciled to the most directly comparable GAAP measure herein.  </t>
  </si>
  <si>
    <t>Net income</t>
  </si>
  <si>
    <t xml:space="preserve">Effect of business </t>
  </si>
  <si>
    <t xml:space="preserve">combination </t>
  </si>
  <si>
    <t xml:space="preserve">expenses and the </t>
  </si>
  <si>
    <t xml:space="preserve">  Effect of business combination expenses and the </t>
  </si>
  <si>
    <t xml:space="preserve">    amortization of purchased intangible assets </t>
  </si>
  <si>
    <t xml:space="preserve">of purchased </t>
  </si>
  <si>
    <t>expenses and</t>
  </si>
  <si>
    <t xml:space="preserve">Effect of business combination expenses and the amortization </t>
  </si>
  <si>
    <t xml:space="preserve"> the amort.</t>
  </si>
  <si>
    <t>bus. comb.</t>
  </si>
  <si>
    <t xml:space="preserve">Attributed equity </t>
  </si>
  <si>
    <t>Reserves and</t>
  </si>
  <si>
    <t xml:space="preserve">excluding unrealized </t>
  </si>
  <si>
    <t>Operating</t>
  </si>
  <si>
    <t xml:space="preserve">Operating income return </t>
  </si>
  <si>
    <t>Immediate Annuities:</t>
  </si>
  <si>
    <t>Sub-standard structured settlements and group</t>
  </si>
  <si>
    <t>Institutional products</t>
  </si>
  <si>
    <t>Total Allstate Financial</t>
  </si>
  <si>
    <t>Life</t>
  </si>
  <si>
    <t xml:space="preserve">Accident and </t>
  </si>
  <si>
    <t xml:space="preserve">Allstate </t>
  </si>
  <si>
    <t xml:space="preserve">insurance </t>
  </si>
  <si>
    <t>health insurance</t>
  </si>
  <si>
    <t xml:space="preserve">Financial </t>
  </si>
  <si>
    <t>Life-contingent structured settlement annuities for annuitants with standard life expectancy, period certain structured settlements and single premium immediate annuities with and without life contingencies.</t>
  </si>
  <si>
    <t xml:space="preserve">  </t>
  </si>
  <si>
    <t xml:space="preserve">  Combined ratio excluding the effect of catastrophes, prior year</t>
  </si>
  <si>
    <t xml:space="preserve">on fixed income securities and related DAC, DSI and life insurance reserves by total shares outstanding plus dilutive potential shares outstanding.  We use the trend in book value per share, excluding the impact of unrealized net capital gains and losses on fixed income securities, in conjunction with book value </t>
  </si>
  <si>
    <t xml:space="preserve">per share to identify and analyze the change in net worth attributable to management efforts between periods.  We believe the non-GAAP ratio is useful to investors because it eliminates the effect of items that can fluctuate significantly from period to period and are generally driven by economic developments, </t>
  </si>
  <si>
    <t xml:space="preserve">primarily capital market conditions, the magnitude and timing of which are generally not influenced by management, and we believe it enhances understanding and comparability of performance by highlighting underlying business activity and profitability drivers.  We note that book value per share, excluding the </t>
  </si>
  <si>
    <t xml:space="preserve">reserve reestimates, business combination expenses and </t>
  </si>
  <si>
    <t>assets on</t>
  </si>
  <si>
    <t>intangibles on</t>
  </si>
  <si>
    <t xml:space="preserve">Decrease (increase) in unearned premiums </t>
  </si>
  <si>
    <t xml:space="preserve"> - business combination expenses and the amortization of purchased intangible assets, after-tax,</t>
  </si>
  <si>
    <r>
      <rPr>
        <b/>
        <sz val="10"/>
        <rFont val="Arial"/>
        <family val="2"/>
      </rPr>
      <t xml:space="preserve">Effect of business combination expenses and the amortization of purchased intangible assets on the combined and expense ratio </t>
    </r>
    <r>
      <rPr>
        <sz val="10"/>
        <rFont val="Arial"/>
        <family val="2"/>
      </rPr>
      <t>is the percentage of business combination expenses and the amortization of purchased intangible assets to premiums earned.</t>
    </r>
  </si>
  <si>
    <t>funds) or replicated investments.  Business combination expenses are excluded because they are non-recurring in nature and the amortization of purchased intangible assets is excluded because it relates to the acquisition purchase price and is not indicative of our underlying insurance business</t>
  </si>
  <si>
    <t xml:space="preserve">results or trends. Non-recurring items are excluded because, by their nature, they are not indicative of our business or economic trends.  Accordingly, operating income (loss) excludes the effect of items that tend to be highly variable from period to period and highlights the results from ongoing operations </t>
  </si>
  <si>
    <t>and the underlying profitability of our business.  A byproduct of excluding these items to determine operating income (loss) is the transparency and understanding of their significance to net income variability and profitability while recognizing these or similar  items may recur in subsequent periods.  Operating</t>
  </si>
  <si>
    <t xml:space="preserve">income (loss) is used by management along with the other components of net income (loss) to assess our performance.  We use adjusted measures of operating income (loss) and operating income (loss) per diluted share in incentive compensation.  Therefore, we believe it is useful for investors </t>
  </si>
  <si>
    <t>to evaluate net income (loss), operating income (loss) and their components separately and in the aggregate when reviewing and evaluating our performance.  We note that investors, financial analysts, financial and business media organizations and rating agencies utilize operating income (loss)</t>
  </si>
  <si>
    <t>results in their evaluation of our and our industry's financial performance and in their investment decisions, recommendations and communications as it represents a reliable, representative and consistent measurement of the industry and the Company and management's performance.  We note that</t>
  </si>
  <si>
    <t>our business.  A reconciliation of operating income (loss) to net income (loss) is provided in the schedule, "Contribution to Income".</t>
  </si>
  <si>
    <t>the price to earnings multiple commonly used by insurance investors as a forward-looking valuation technique uses operating income (loss) as the denominator.  Operating income (loss) should not be considered as a substitute for net income (loss) and does not reflect the overall profitability of</t>
  </si>
  <si>
    <r>
      <t xml:space="preserve">Combined ratio excluding the effect of catastrophes, prior year reserve reestimates, business combination expenses and the amortization of purchased intangible assets ("underlying combined ratio") </t>
    </r>
    <r>
      <rPr>
        <sz val="10"/>
        <rFont val="Arial"/>
        <family val="2"/>
      </rPr>
      <t xml:space="preserve">is a non-GAAP ratio, which is computed as the difference between four </t>
    </r>
  </si>
  <si>
    <t>GAAP operating ratios: the combined ratio, the effect of catastrophes on the combined ratio, the effect of prior year reserve reestimates on the combined ratio, the effect of business combination expenses and the amortization of purchased intangible assets on the combined ratio.   We believe that this ratio is useful</t>
  </si>
  <si>
    <t xml:space="preserve">trends to vary significantly between periods as a result of their incidence of occurrence and magnitude, and can have a significant impact on the combined ratio.  Prior year reserve reestimates are caused by  unexpected loss development on historical reserves.  Business combination expenses and </t>
  </si>
  <si>
    <t xml:space="preserve">performance.  We also provide it to facilitate a comparison to our outlook on the underlying combined ratio. The most directly comparable GAAP measure is the combined ratio.  The underlying combined ratio should not be considered a substitute for the combined ratio and does not reflect the overall underwriting </t>
  </si>
  <si>
    <t>Favorable reserve reestimates included in catastrophe losses totaled $93 million and $17 million in the three months ended June 30, 2012 and 2011, respectively.  Favorable reserve reestimates included in catastrophe losses totaled $254 million and $51 million in the six months ended June 30, 2012 and 2011, respectively.</t>
  </si>
  <si>
    <t>Includes the impact of a 8.0% rate increase in Florida and a 1.2% rate increase in New York in the fourth quarter of 2011.</t>
  </si>
  <si>
    <t>STANDARD AUTO PROFITABILITY MEASURES</t>
  </si>
  <si>
    <t>Net premiums written</t>
  </si>
  <si>
    <t>Net premiums earned</t>
  </si>
  <si>
    <t>Underwriting Income</t>
  </si>
  <si>
    <t xml:space="preserve">     Allstate Protection</t>
  </si>
  <si>
    <t>Effect of catastrophe losses on combined ratio</t>
  </si>
  <si>
    <t xml:space="preserve">Allstate brand combined ratio excluding the effect of </t>
  </si>
  <si>
    <t>Effect of catastrophe losses included in prior year</t>
  </si>
  <si>
    <t xml:space="preserve">     reserve reestimates on combined ratio</t>
  </si>
  <si>
    <t xml:space="preserve">  Allstate brand combined ratio </t>
  </si>
  <si>
    <t>NON-STANDARD AUTO PROFITABILITY MEASURES</t>
  </si>
  <si>
    <t>AUTO PROFITABILITY MEASURES</t>
  </si>
  <si>
    <t>HOMEOWNERS PROFITABILITY MEASURES</t>
  </si>
  <si>
    <t xml:space="preserve">Encompass brand </t>
  </si>
  <si>
    <r>
      <t xml:space="preserve">ALLSTATE BRAND DOMESTIC OPERATING MEASURES AND STATISTICS </t>
    </r>
    <r>
      <rPr>
        <vertAlign val="superscript"/>
        <sz val="10"/>
        <rFont val="Arial"/>
        <family val="2"/>
      </rPr>
      <t>(1)</t>
    </r>
  </si>
  <si>
    <t xml:space="preserve">    Auto</t>
  </si>
  <si>
    <t>Bodily Injury Claim Frequency</t>
  </si>
  <si>
    <t>(% change year-over-year)</t>
  </si>
  <si>
    <t>Property Damage Claim Frequency</t>
  </si>
  <si>
    <t>Auto Paid Severity</t>
  </si>
  <si>
    <t>Bodily injury</t>
  </si>
  <si>
    <t>Property damage</t>
  </si>
  <si>
    <t>Homeowners Excluding Catastrophe Losses</t>
  </si>
  <si>
    <t xml:space="preserve">Claim frequency </t>
  </si>
  <si>
    <t>Claim severity</t>
  </si>
  <si>
    <t xml:space="preserve">Average Premium - Net Earned:  Earned premium divided by average policies in force for the period.  Earned premium includes the impacts from mid-term premium adjustments and ceded reinsurance, but does not include impacts of premium refund accruals.  Average premiums represent the appropriate policy term for each line, which is 6 months for auto and 12 months for homeowners.
</t>
  </si>
  <si>
    <t>Renewal ratio:  Renewal policies issued during the period, based on contract effective dates, divided by the total policies issued 6 months prior for auto or 12 months prior for homeowners.</t>
  </si>
  <si>
    <t xml:space="preserve">HOMEOWNERS SUPPLEMENTAL INFORMATION </t>
  </si>
  <si>
    <t xml:space="preserve">Annual impact of </t>
  </si>
  <si>
    <t>rate changes</t>
  </si>
  <si>
    <t xml:space="preserve">Earned </t>
  </si>
  <si>
    <t>Catastrophe</t>
  </si>
  <si>
    <t xml:space="preserve">catastrophes </t>
  </si>
  <si>
    <t>on state specific</t>
  </si>
  <si>
    <r>
      <t>Primary Exposure Groupings</t>
    </r>
    <r>
      <rPr>
        <vertAlign val="superscript"/>
        <sz val="10"/>
        <rFont val="Arial"/>
        <family val="2"/>
      </rPr>
      <t xml:space="preserve"> (1)</t>
    </r>
  </si>
  <si>
    <t>premiums</t>
  </si>
  <si>
    <t>losses</t>
  </si>
  <si>
    <t>Loss ratios</t>
  </si>
  <si>
    <t>on loss ratio</t>
  </si>
  <si>
    <t>catastrophes</t>
  </si>
  <si>
    <t>premiums written</t>
  </si>
  <si>
    <t>Florida</t>
  </si>
  <si>
    <t>Other hurricane exposure states</t>
  </si>
  <si>
    <r>
      <t xml:space="preserve">Total hurricane exposure states  </t>
    </r>
    <r>
      <rPr>
        <vertAlign val="superscript"/>
        <sz val="10"/>
        <rFont val="Arial"/>
        <family val="2"/>
      </rPr>
      <t>(2)</t>
    </r>
  </si>
  <si>
    <t>Other catastrophe exposure states</t>
  </si>
  <si>
    <t>Total</t>
  </si>
  <si>
    <r>
      <t xml:space="preserve">(1) </t>
    </r>
    <r>
      <rPr>
        <b/>
        <u/>
        <sz val="9"/>
        <rFont val="Arial"/>
        <family val="2"/>
      </rPr>
      <t>Basis of Presentation</t>
    </r>
  </si>
  <si>
    <r>
      <t>(2)</t>
    </r>
    <r>
      <rPr>
        <b/>
        <sz val="9"/>
        <rFont val="Arial"/>
        <family val="2"/>
      </rPr>
      <t xml:space="preserve"> </t>
    </r>
    <r>
      <rPr>
        <b/>
        <u/>
        <sz val="9"/>
        <rFont val="Arial"/>
        <family val="2"/>
      </rPr>
      <t>Hurricane Exposure States</t>
    </r>
  </si>
  <si>
    <t xml:space="preserve">Hurricane exposure states include the following coastal locations:  Alabama, Connecticut, Delaware, Florida, Georgia, Louisiana, Maine, Maryland, Massachusetts, Mississippi, New Hampshire, New Jersey, New York, North Carolina, Pennsylvania, Rhode Island, South Carolina, Texas, Virginia and Washington, D.C.  </t>
  </si>
  <si>
    <t xml:space="preserve">Represents the impact in the states where rate changes were approved during the year as a percentage of total prior year-end premiums written in those states.  </t>
  </si>
  <si>
    <t>EFFECT OF CATASTROPHE LOSSES ON THE COMBINED RATIO</t>
  </si>
  <si>
    <t xml:space="preserve">Excludes the effect of </t>
  </si>
  <si>
    <t xml:space="preserve">catastrophe losses relating to </t>
  </si>
  <si>
    <t>earthquakes and hurricanes</t>
  </si>
  <si>
    <t>Effect of all catastrophe losses on the Property-Liability</t>
  </si>
  <si>
    <t>Effect on the</t>
  </si>
  <si>
    <t>catastrophe</t>
  </si>
  <si>
    <t>Quarter 1</t>
  </si>
  <si>
    <t>Quarter 2</t>
  </si>
  <si>
    <t>Quarter 3</t>
  </si>
  <si>
    <t>Quarter 4</t>
  </si>
  <si>
    <t xml:space="preserve">Year </t>
  </si>
  <si>
    <t>year-to-date</t>
  </si>
  <si>
    <t>losses by year</t>
  </si>
  <si>
    <r>
      <t xml:space="preserve">1992 </t>
    </r>
    <r>
      <rPr>
        <vertAlign val="superscript"/>
        <sz val="9"/>
        <rFont val="Arial"/>
        <family val="2"/>
      </rPr>
      <t>(3)</t>
    </r>
  </si>
  <si>
    <r>
      <t>1993</t>
    </r>
    <r>
      <rPr>
        <vertAlign val="superscript"/>
        <sz val="9"/>
        <rFont val="Arial"/>
        <family val="2"/>
      </rPr>
      <t xml:space="preserve"> (3)</t>
    </r>
  </si>
  <si>
    <r>
      <t xml:space="preserve">1994 </t>
    </r>
    <r>
      <rPr>
        <vertAlign val="superscript"/>
        <sz val="9"/>
        <rFont val="Arial"/>
        <family val="2"/>
      </rPr>
      <t>(3)</t>
    </r>
  </si>
  <si>
    <r>
      <t xml:space="preserve">Average </t>
    </r>
    <r>
      <rPr>
        <vertAlign val="superscript"/>
        <sz val="9"/>
        <rFont val="Arial"/>
        <family val="2"/>
      </rPr>
      <t>(2)</t>
    </r>
  </si>
  <si>
    <t>Excludes the effect of catastrophe losses relating to</t>
  </si>
  <si>
    <t>Hurricane Andrew, California Earthquakes,</t>
  </si>
  <si>
    <r>
      <t xml:space="preserve">and Hawaii Hurricanes </t>
    </r>
    <r>
      <rPr>
        <vertAlign val="superscript"/>
        <sz val="9"/>
        <rFont val="Arial"/>
        <family val="2"/>
      </rPr>
      <t>(1)</t>
    </r>
  </si>
  <si>
    <t>Year</t>
  </si>
  <si>
    <r>
      <t>Average</t>
    </r>
    <r>
      <rPr>
        <vertAlign val="superscript"/>
        <sz val="9"/>
        <rFont val="Arial"/>
        <family val="2"/>
      </rPr>
      <t xml:space="preserve"> (2)</t>
    </r>
  </si>
  <si>
    <t>The effect of Catastrophe losses on the combined ratio is presented excluding the effects of those events for which the exposure is now covered by an industry reinsurance or insurance mechanism (i.e., Florida Hurricane Catastrophe Fund and California Earthquake Authority) or with Hawaii hurricanes, coverage is being brokered to a non-affiliated insurance company (see the "Commitments, Guarantees and Contingent Liabilities" footnote to the Consolidated Financial Statements).</t>
  </si>
  <si>
    <t xml:space="preserve">The effect of Catastrophes and Catastrophes excluding extraordinary catastrophes on the Combined Ratio calculated as an average for all periods since 1992.  </t>
  </si>
  <si>
    <t>The years 1992-1994 have been adjusted to exclude the premiums earned of the PMI Group, a mortgage guarantee insurer that was sold in 1995.</t>
  </si>
  <si>
    <t>Average</t>
  </si>
  <si>
    <t xml:space="preserve">Number </t>
  </si>
  <si>
    <t>Claim and</t>
  </si>
  <si>
    <t xml:space="preserve">Combined </t>
  </si>
  <si>
    <t>Size of catastrophe</t>
  </si>
  <si>
    <t>of events</t>
  </si>
  <si>
    <t>claim expense</t>
  </si>
  <si>
    <t>ratio impact</t>
  </si>
  <si>
    <t>loss per event</t>
  </si>
  <si>
    <t>Greater than $250 million</t>
  </si>
  <si>
    <t>$101 million to $250 million</t>
  </si>
  <si>
    <t>$50 million to $100 million</t>
  </si>
  <si>
    <t>Less than $50 million</t>
  </si>
  <si>
    <t xml:space="preserve">   Total</t>
  </si>
  <si>
    <t>Prior year reserve reestimates</t>
  </si>
  <si>
    <t>Prior quarter reserve reestimates</t>
  </si>
  <si>
    <t xml:space="preserve">   Total catastrophe losses</t>
  </si>
  <si>
    <t xml:space="preserve">PROPERTY-LIABILITY </t>
  </si>
  <si>
    <r>
      <t>Auto</t>
    </r>
    <r>
      <rPr>
        <vertAlign val="superscript"/>
        <sz val="9"/>
        <rFont val="Arial"/>
        <family val="2"/>
      </rPr>
      <t xml:space="preserve"> </t>
    </r>
  </si>
  <si>
    <r>
      <t xml:space="preserve">   Allstate Protection </t>
    </r>
    <r>
      <rPr>
        <vertAlign val="superscript"/>
        <sz val="9"/>
        <rFont val="Arial"/>
        <family val="2"/>
      </rPr>
      <t>(2)</t>
    </r>
  </si>
  <si>
    <t xml:space="preserve">   Discontinued Lines and Coverages</t>
  </si>
  <si>
    <t xml:space="preserve">      Property-Liability</t>
  </si>
  <si>
    <r>
      <t xml:space="preserve">Allstate Protection </t>
    </r>
    <r>
      <rPr>
        <vertAlign val="superscript"/>
        <sz val="9"/>
        <rFont val="Arial"/>
        <family val="2"/>
      </rPr>
      <t>(2)</t>
    </r>
  </si>
  <si>
    <r>
      <t xml:space="preserve">Reestimates on Combined Ratio </t>
    </r>
    <r>
      <rPr>
        <vertAlign val="superscript"/>
        <sz val="9"/>
        <rFont val="Arial"/>
        <family val="2"/>
      </rPr>
      <t>(1)</t>
    </r>
  </si>
  <si>
    <t>Favorable reserve reestimates are shown in parentheses.</t>
  </si>
  <si>
    <t xml:space="preserve">Beginning in first quarter 2012, excess and surplus lines policies in force are reported separately.  Previously, these policy counts were included in the homeowners total.  Excess and surplus lines represent policies written by North Light Specialty Insurance Company. </t>
  </si>
  <si>
    <t>Bank deposits</t>
  </si>
  <si>
    <t>Bank withdrawals</t>
  </si>
  <si>
    <t>NM</t>
  </si>
  <si>
    <t>Product line operating income includes allocation of income on investments supporting capital. Operating income reflects a trailing twelve-month period.</t>
  </si>
  <si>
    <r>
      <t>Allstate brand</t>
    </r>
    <r>
      <rPr>
        <vertAlign val="superscript"/>
        <sz val="9"/>
        <rFont val="Arial"/>
        <family val="2"/>
      </rPr>
      <t xml:space="preserve"> (1)</t>
    </r>
  </si>
  <si>
    <r>
      <t>Allstate brand standard auto loss ratio</t>
    </r>
    <r>
      <rPr>
        <vertAlign val="superscript"/>
        <sz val="9"/>
        <rFont val="Arial"/>
        <family val="2"/>
      </rPr>
      <t xml:space="preserve"> (1)</t>
    </r>
  </si>
  <si>
    <t>Loss ratios include prior year reserve reestimates.</t>
  </si>
  <si>
    <t>institutional products</t>
  </si>
  <si>
    <t xml:space="preserve">        income (loss)  </t>
  </si>
  <si>
    <t>Annuities and</t>
  </si>
  <si>
    <t xml:space="preserve">    Standard auto</t>
  </si>
  <si>
    <t xml:space="preserve">    Non-standard auto </t>
  </si>
  <si>
    <t xml:space="preserve">       Auto</t>
  </si>
  <si>
    <r>
      <t xml:space="preserve">    Homeowners</t>
    </r>
    <r>
      <rPr>
        <vertAlign val="superscript"/>
        <sz val="9"/>
        <rFont val="Arial"/>
        <family val="2"/>
      </rPr>
      <t xml:space="preserve"> (2)</t>
    </r>
  </si>
  <si>
    <t xml:space="preserve">       Specialty auto</t>
  </si>
  <si>
    <t xml:space="preserve">       Specialty property</t>
  </si>
  <si>
    <t xml:space="preserve">       Business Insurance</t>
  </si>
  <si>
    <t xml:space="preserve">       Allstate Roadside Services </t>
  </si>
  <si>
    <t xml:space="preserve">    Canada</t>
  </si>
  <si>
    <t xml:space="preserve">    Involuntary auto</t>
  </si>
  <si>
    <r>
      <t xml:space="preserve">    Excess and surplus</t>
    </r>
    <r>
      <rPr>
        <vertAlign val="superscript"/>
        <sz val="9"/>
        <rFont val="Arial"/>
        <family val="2"/>
      </rPr>
      <t xml:space="preserve"> (2)</t>
    </r>
  </si>
  <si>
    <t xml:space="preserve">          Total Allstate brand</t>
  </si>
  <si>
    <t xml:space="preserve">     Standard auto</t>
  </si>
  <si>
    <t xml:space="preserve">     Non-standard auto</t>
  </si>
  <si>
    <t xml:space="preserve">     Homeowners</t>
  </si>
  <si>
    <t xml:space="preserve">         Total Encompass brand</t>
  </si>
  <si>
    <t xml:space="preserve"> Esurance brand standard auto</t>
  </si>
  <si>
    <t xml:space="preserve">     Specialty auto</t>
  </si>
  <si>
    <t xml:space="preserve">     Specialty property</t>
  </si>
  <si>
    <t xml:space="preserve">     Involuntary auto</t>
  </si>
  <si>
    <r>
      <t xml:space="preserve">    Emerging Businesses </t>
    </r>
    <r>
      <rPr>
        <vertAlign val="superscript"/>
        <sz val="9"/>
        <rFont val="Arial"/>
        <family val="2"/>
      </rPr>
      <t>(3)</t>
    </r>
  </si>
  <si>
    <t>Income tax expense</t>
  </si>
  <si>
    <t>Measures and statistics presented for Allstate brand exclude the Company's Canadian operations and specialty auto.</t>
  </si>
  <si>
    <t xml:space="preserve">Policies in Force:  Policy counts are based on items rather than customers.  A multi-car customer would generate multiple item (policy) counts, even if all cars were insured under one policy. Allstate Dealer Services (insurance and non-insurance products sold primarily to auto dealers), Ivantage (insurance agency), Answer Financial (independent insurance agency) and Partnership Marketing Group (roadside assistance partners) statistics are not included in total policies in force since these are not meaningful measurements. 
</t>
  </si>
  <si>
    <t>Emerging Businesses policies in force include statistics for Consumer Household (specialty products including motorcycle, boat, trailers, motor homes, off-road vehicles, renters, landlords, umbrella, manufactured homes and condominium insurance policies), Business Insurance (commercial products for small business owners) and Allstate Roadside Services (roadside assistance products sold by Allstate Motor Club).</t>
  </si>
  <si>
    <t>Second Quarter 2012</t>
  </si>
  <si>
    <t>Investor Supplement - Second Quarter 2012</t>
  </si>
  <si>
    <t xml:space="preserve"> $73,379, $73,935 and $76,502)</t>
  </si>
  <si>
    <t>$4,252 and $4,329)</t>
  </si>
  <si>
    <t xml:space="preserve">   505 million and 517 million shares outstanding</t>
  </si>
  <si>
    <t>399 million, 395 million and 383 million shares)</t>
  </si>
  <si>
    <t>June 30, 2012</t>
  </si>
  <si>
    <r>
      <t xml:space="preserve">June 30, 2012 </t>
    </r>
    <r>
      <rPr>
        <vertAlign val="superscript"/>
        <sz val="9"/>
        <rFont val="Arial"/>
        <family val="2"/>
      </rPr>
      <t>(1)</t>
    </r>
  </si>
  <si>
    <t>Three months ended June 30, 2012</t>
  </si>
  <si>
    <t>Six months ended June 30, 2012</t>
  </si>
  <si>
    <t>As of June 30, 2012</t>
  </si>
  <si>
    <t>Twelve months ended June 30, 2012</t>
  </si>
  <si>
    <t>Three months ended June 30, 2011</t>
  </si>
  <si>
    <t>Six months ended June 30, 2011</t>
  </si>
  <si>
    <t xml:space="preserve">performance because it reveals trends in our insurance and financial services business that may be obscured by the net effect of realized capital gains and losses, valuation changes on embedded derivatives that are not hedged, business combination expenses and the amortization of purchased </t>
  </si>
  <si>
    <t xml:space="preserve">to investors and it is used by management to reveal the trends in our Property-Liability business that may be obscured by catastrophe losses, prior year reserve reestimates, business combination expenses and the amortization of purchased intangible assets.  Catastrophe losses cause our loss </t>
  </si>
</sst>
</file>

<file path=xl/styles.xml><?xml version="1.0" encoding="utf-8"?>
<styleSheet xmlns="http://schemas.openxmlformats.org/spreadsheetml/2006/main">
  <numFmts count="22">
    <numFmt numFmtId="42" formatCode="_(&quot;$&quot;* #,##0_);_(&quot;$&quot;* \(#,##0\);_(&quot;$&quot;* &quot;-&quot;_);_(@_)"/>
    <numFmt numFmtId="41" formatCode="_(* #,##0_);_(* \(#,##0\);_(* &quot;-&quot;_);_(@_)"/>
    <numFmt numFmtId="43" formatCode="_(* #,##0.00_);_(* \(#,##0.00\);_(* &quot;-&quot;??_);_(@_)"/>
    <numFmt numFmtId="164" formatCode="_(* #,##0.0_);_(* \(#,##0.0\);_(* &quot;-&quot;??_);_(@_)"/>
    <numFmt numFmtId="165" formatCode="_(* #,##0.0_);_(* \(#,##0.0\);_(* &quot;-&quot;?_);_(@_)"/>
    <numFmt numFmtId="166" formatCode="_(* #,##0.00_);_(* \(#,##0.00\);_(* &quot;-&quot;_);_(@_)"/>
    <numFmt numFmtId="167" formatCode="_(* #,##0.0_);_(* \(#,##0.0\);_(* &quot;-&quot;_);_(@_)"/>
    <numFmt numFmtId="168" formatCode="#,##0.0_);\(#,##0.0\)"/>
    <numFmt numFmtId="169" formatCode="_(* #,##0_);_(* \(#,##0\);_(* &quot;-&quot;??_);_(@_)"/>
    <numFmt numFmtId="170" formatCode="0.0"/>
    <numFmt numFmtId="171" formatCode="0.0_);\(0.0\)"/>
    <numFmt numFmtId="172" formatCode="0.0_)"/>
    <numFmt numFmtId="173" formatCode="_(* #,##0.0000_);_(* \(#,##0.0000\);_(* &quot;-&quot;?_);_(@_)"/>
    <numFmt numFmtId="174" formatCode="mmmm\ d\,\ yyyy"/>
    <numFmt numFmtId="175" formatCode="#,##0.000000_);\(#,##0.000000\)"/>
    <numFmt numFmtId="176" formatCode="#,##0.00000_);\(#,##0.00000\)"/>
    <numFmt numFmtId="177" formatCode="_(* #,##0.000_);_(* \(#,##0.000\);_(* &quot;-&quot;_);_(@_)"/>
    <numFmt numFmtId="178" formatCode="_(* #,##0_);_(* \(#,##0\);_(* &quot;-&quot;?_);_(@_)"/>
    <numFmt numFmtId="179" formatCode="0.0%"/>
    <numFmt numFmtId="180" formatCode="_(* #,##0.000_);_(* \(#,##0.000\);_(* &quot;-&quot;??_);_(@_)"/>
    <numFmt numFmtId="181" formatCode="_(* #,##0.000000_);_(* \(#,##0.000000\);_(* &quot;-&quot;_);_(@_)"/>
    <numFmt numFmtId="182" formatCode="_(* #,##0.000000_);_(* \(#,##0.000000\);_(* &quot;-&quot;??_);_(@_)"/>
  </numFmts>
  <fonts count="33">
    <font>
      <sz val="11"/>
      <color theme="1"/>
      <name val="Calibri"/>
      <family val="2"/>
      <scheme val="minor"/>
    </font>
    <font>
      <sz val="11"/>
      <color indexed="8"/>
      <name val="Calibri"/>
      <family val="2"/>
    </font>
    <font>
      <b/>
      <sz val="10"/>
      <name val="Arial"/>
      <family val="2"/>
    </font>
    <font>
      <sz val="8"/>
      <name val="Arial"/>
      <family val="2"/>
    </font>
    <font>
      <b/>
      <sz val="8"/>
      <name val="Arial"/>
      <family val="2"/>
    </font>
    <font>
      <sz val="9"/>
      <name val="Arial"/>
      <family val="2"/>
    </font>
    <font>
      <b/>
      <sz val="9"/>
      <name val="Arial"/>
      <family val="2"/>
    </font>
    <font>
      <sz val="10"/>
      <name val="Arial"/>
      <family val="2"/>
    </font>
    <font>
      <b/>
      <vertAlign val="superscript"/>
      <sz val="9"/>
      <name val="Arial"/>
      <family val="2"/>
    </font>
    <font>
      <vertAlign val="superscript"/>
      <sz val="9"/>
      <name val="Arial"/>
      <family val="2"/>
    </font>
    <font>
      <sz val="12"/>
      <name val="Arial"/>
      <family val="2"/>
    </font>
    <font>
      <vertAlign val="superscript"/>
      <sz val="10"/>
      <name val="Arial"/>
      <family val="2"/>
    </font>
    <font>
      <sz val="11"/>
      <name val="Times New Roman"/>
      <family val="1"/>
    </font>
    <font>
      <vertAlign val="superscript"/>
      <sz val="8"/>
      <name val="Arial"/>
      <family val="2"/>
    </font>
    <font>
      <b/>
      <sz val="11"/>
      <name val="Arial"/>
      <family val="2"/>
    </font>
    <font>
      <sz val="9"/>
      <color indexed="10"/>
      <name val="Arial"/>
      <family val="2"/>
    </font>
    <font>
      <u/>
      <sz val="9"/>
      <color indexed="8"/>
      <name val="Arial"/>
      <family val="2"/>
    </font>
    <font>
      <u/>
      <sz val="9"/>
      <name val="Arial"/>
      <family val="2"/>
    </font>
    <font>
      <sz val="10"/>
      <name val="Times New Roman"/>
      <family val="1"/>
    </font>
    <font>
      <b/>
      <u/>
      <sz val="9"/>
      <name val="Arial"/>
      <family val="2"/>
    </font>
    <font>
      <sz val="9"/>
      <color indexed="8"/>
      <name val="Arial"/>
      <family val="2"/>
    </font>
    <font>
      <b/>
      <sz val="24"/>
      <color indexed="10"/>
      <name val="Arial"/>
      <family val="2"/>
    </font>
    <font>
      <b/>
      <sz val="26"/>
      <color indexed="10"/>
      <name val="Arial"/>
      <family val="2"/>
    </font>
    <font>
      <b/>
      <sz val="24"/>
      <name val="Arial"/>
      <family val="2"/>
    </font>
    <font>
      <sz val="8"/>
      <name val="Calibri"/>
      <family val="2"/>
    </font>
    <font>
      <sz val="11"/>
      <color indexed="8"/>
      <name val="Calibri"/>
      <family val="2"/>
    </font>
    <font>
      <b/>
      <sz val="11"/>
      <color indexed="8"/>
      <name val="Calibri"/>
      <family val="2"/>
    </font>
    <font>
      <b/>
      <sz val="10"/>
      <color indexed="8"/>
      <name val="Arial"/>
      <family val="2"/>
    </font>
    <font>
      <b/>
      <sz val="9"/>
      <color indexed="8"/>
      <name val="Arial"/>
      <family val="2"/>
    </font>
    <font>
      <sz val="9"/>
      <color indexed="8"/>
      <name val="Arial"/>
      <family val="2"/>
    </font>
    <font>
      <vertAlign val="superscript"/>
      <sz val="9"/>
      <color indexed="8"/>
      <name val="Arial"/>
      <family val="2"/>
    </font>
    <font>
      <sz val="8"/>
      <color indexed="8"/>
      <name val="Arial"/>
      <family val="2"/>
    </font>
    <font>
      <sz val="11"/>
      <color theme="1"/>
      <name val="Calibri"/>
      <family val="2"/>
      <scheme val="minor"/>
    </font>
  </fonts>
  <fills count="2">
    <fill>
      <patternFill patternType="none"/>
    </fill>
    <fill>
      <patternFill patternType="gray125"/>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diagonal/>
    </border>
    <border>
      <left/>
      <right/>
      <top style="thin">
        <color indexed="64"/>
      </top>
      <bottom style="thin">
        <color indexed="64"/>
      </bottom>
      <diagonal/>
    </border>
    <border>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bottom style="thin">
        <color indexed="8"/>
      </bottom>
      <diagonal/>
    </border>
    <border>
      <left/>
      <right/>
      <top/>
      <bottom style="double">
        <color indexed="8"/>
      </bottom>
      <diagonal/>
    </border>
    <border>
      <left/>
      <right/>
      <top style="double">
        <color indexed="64"/>
      </top>
      <bottom style="double">
        <color indexed="64"/>
      </bottom>
      <diagonal/>
    </border>
    <border>
      <left/>
      <right/>
      <top style="thin">
        <color indexed="64"/>
      </top>
      <bottom/>
      <diagonal/>
    </border>
  </borders>
  <cellStyleXfs count="19">
    <xf numFmtId="0" fontId="0" fillId="0" borderId="0"/>
    <xf numFmtId="43" fontId="1" fillId="0" borderId="0" applyFont="0" applyFill="0" applyBorder="0" applyAlignment="0" applyProtection="0"/>
    <xf numFmtId="43" fontId="25" fillId="0" borderId="0" applyFont="0" applyFill="0" applyBorder="0" applyAlignment="0" applyProtection="0"/>
    <xf numFmtId="0" fontId="7" fillId="0" borderId="0"/>
    <xf numFmtId="0" fontId="32" fillId="0" borderId="0"/>
    <xf numFmtId="0" fontId="18" fillId="0" borderId="0"/>
    <xf numFmtId="0" fontId="3" fillId="0" borderId="0"/>
    <xf numFmtId="168" fontId="10"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9" fontId="1" fillId="0" borderId="0" applyFont="0" applyFill="0" applyBorder="0" applyAlignment="0" applyProtection="0"/>
  </cellStyleXfs>
  <cellXfs count="1076">
    <xf numFmtId="0" fontId="0" fillId="0" borderId="0" xfId="0"/>
    <xf numFmtId="0" fontId="2" fillId="0" borderId="0" xfId="0" applyFont="1" applyFill="1" applyAlignment="1">
      <alignment horizontal="center"/>
    </xf>
    <xf numFmtId="0" fontId="3" fillId="0" borderId="0" xfId="0" applyFont="1" applyFill="1"/>
    <xf numFmtId="0" fontId="4" fillId="0" borderId="0" xfId="0" applyFont="1" applyFill="1" applyAlignment="1">
      <alignment horizontal="centerContinuous"/>
    </xf>
    <xf numFmtId="0" fontId="3" fillId="0" borderId="0" xfId="0" applyFont="1" applyFill="1" applyAlignment="1">
      <alignment horizontal="centerContinuous"/>
    </xf>
    <xf numFmtId="0" fontId="5" fillId="0" borderId="0" xfId="0" applyFont="1" applyFill="1"/>
    <xf numFmtId="0" fontId="5" fillId="0" borderId="0" xfId="0" applyFont="1" applyFill="1" applyBorder="1" applyAlignment="1">
      <alignment horizontal="center"/>
    </xf>
    <xf numFmtId="0" fontId="5" fillId="0" borderId="1" xfId="0" applyFont="1" applyFill="1" applyBorder="1" applyAlignment="1">
      <alignment horizontal="center"/>
    </xf>
    <xf numFmtId="0" fontId="5" fillId="0" borderId="2" xfId="0" applyFont="1" applyFill="1" applyBorder="1" applyAlignment="1">
      <alignment horizontal="center"/>
    </xf>
    <xf numFmtId="0" fontId="5" fillId="0" borderId="3" xfId="0" applyFont="1" applyFill="1" applyBorder="1" applyAlignment="1">
      <alignment horizontal="center"/>
    </xf>
    <xf numFmtId="0" fontId="5" fillId="0" borderId="0" xfId="0" applyFont="1" applyFill="1" applyAlignment="1">
      <alignment horizontal="center"/>
    </xf>
    <xf numFmtId="0" fontId="5" fillId="0" borderId="0" xfId="0" applyFont="1" applyFill="1" applyBorder="1"/>
    <xf numFmtId="0" fontId="5" fillId="0" borderId="4" xfId="0" applyFont="1" applyFill="1" applyBorder="1" applyAlignment="1">
      <alignment horizontal="center"/>
    </xf>
    <xf numFmtId="0" fontId="5" fillId="0" borderId="5" xfId="0" applyFont="1" applyFill="1" applyBorder="1" applyAlignment="1">
      <alignment horizontal="center"/>
    </xf>
    <xf numFmtId="0" fontId="5" fillId="0" borderId="6" xfId="0" applyFont="1" applyFill="1" applyBorder="1" applyAlignment="1">
      <alignment horizontal="center"/>
    </xf>
    <xf numFmtId="0" fontId="5" fillId="0" borderId="0" xfId="0" applyFont="1" applyFill="1" applyBorder="1" applyAlignment="1">
      <alignment horizontal="left"/>
    </xf>
    <xf numFmtId="41" fontId="5" fillId="0" borderId="0" xfId="0" applyNumberFormat="1" applyFont="1" applyFill="1" applyAlignment="1">
      <alignment horizontal="center"/>
    </xf>
    <xf numFmtId="41" fontId="5" fillId="0" borderId="4" xfId="0" applyNumberFormat="1" applyFont="1" applyFill="1" applyBorder="1" applyAlignment="1">
      <alignment horizontal="center"/>
    </xf>
    <xf numFmtId="41" fontId="5" fillId="0" borderId="0" xfId="0" applyNumberFormat="1" applyFont="1" applyFill="1" applyBorder="1" applyAlignment="1">
      <alignment horizontal="center"/>
    </xf>
    <xf numFmtId="41" fontId="5" fillId="0" borderId="6" xfId="0" applyNumberFormat="1" applyFont="1" applyFill="1" applyBorder="1" applyAlignment="1">
      <alignment horizontal="center"/>
    </xf>
    <xf numFmtId="41" fontId="6" fillId="0" borderId="0" xfId="0" applyNumberFormat="1" applyFont="1" applyFill="1"/>
    <xf numFmtId="41" fontId="5" fillId="0" borderId="0" xfId="0" applyNumberFormat="1" applyFont="1" applyFill="1"/>
    <xf numFmtId="41" fontId="5" fillId="0" borderId="4" xfId="0" applyNumberFormat="1" applyFont="1" applyFill="1" applyBorder="1"/>
    <xf numFmtId="41" fontId="5" fillId="0" borderId="0" xfId="0" applyNumberFormat="1" applyFont="1" applyFill="1" applyBorder="1"/>
    <xf numFmtId="41" fontId="5" fillId="0" borderId="6" xfId="0" applyNumberFormat="1" applyFont="1" applyFill="1" applyBorder="1"/>
    <xf numFmtId="41" fontId="5" fillId="0" borderId="0" xfId="1" applyNumberFormat="1" applyFont="1" applyFill="1"/>
    <xf numFmtId="41" fontId="5" fillId="0" borderId="6" xfId="1" applyNumberFormat="1" applyFont="1" applyFill="1" applyBorder="1"/>
    <xf numFmtId="41" fontId="5" fillId="0" borderId="0" xfId="1" applyNumberFormat="1" applyFont="1" applyFill="1" applyBorder="1"/>
    <xf numFmtId="41" fontId="5" fillId="0" borderId="4" xfId="1" applyNumberFormat="1" applyFont="1" applyFill="1" applyBorder="1"/>
    <xf numFmtId="0" fontId="5" fillId="0" borderId="0" xfId="0" applyFont="1" applyFill="1" applyAlignment="1">
      <alignment vertical="top"/>
    </xf>
    <xf numFmtId="41" fontId="5" fillId="0" borderId="5" xfId="1" applyNumberFormat="1" applyFont="1" applyFill="1" applyBorder="1"/>
    <xf numFmtId="41" fontId="5" fillId="0" borderId="7" xfId="0" applyNumberFormat="1" applyFont="1" applyFill="1" applyBorder="1"/>
    <xf numFmtId="41" fontId="5" fillId="0" borderId="0" xfId="0" applyNumberFormat="1" applyFont="1" applyFill="1" applyAlignment="1"/>
    <xf numFmtId="41" fontId="5" fillId="0" borderId="6" xfId="0" applyNumberFormat="1" applyFont="1" applyFill="1" applyBorder="1" applyAlignment="1"/>
    <xf numFmtId="41" fontId="5" fillId="0" borderId="0" xfId="0" applyNumberFormat="1" applyFont="1" applyFill="1" applyBorder="1" applyAlignment="1"/>
    <xf numFmtId="0" fontId="3" fillId="0" borderId="0" xfId="0" applyFont="1" applyFill="1" applyBorder="1"/>
    <xf numFmtId="0" fontId="5" fillId="0" borderId="4" xfId="0" applyFont="1" applyFill="1" applyBorder="1"/>
    <xf numFmtId="0" fontId="5" fillId="0" borderId="6" xfId="0" applyFont="1" applyFill="1" applyBorder="1"/>
    <xf numFmtId="1" fontId="5" fillId="0" borderId="0" xfId="0" applyNumberFormat="1" applyFont="1" applyFill="1" applyAlignment="1" applyProtection="1">
      <alignment horizontal="left"/>
    </xf>
    <xf numFmtId="41" fontId="5" fillId="0" borderId="5" xfId="0" applyNumberFormat="1" applyFont="1" applyFill="1" applyBorder="1"/>
    <xf numFmtId="41" fontId="5" fillId="0" borderId="7" xfId="1" applyNumberFormat="1" applyFont="1" applyFill="1" applyBorder="1"/>
    <xf numFmtId="41" fontId="6" fillId="0" borderId="0" xfId="0" applyNumberFormat="1" applyFont="1" applyFill="1" applyAlignment="1">
      <alignment horizontal="left"/>
    </xf>
    <xf numFmtId="41" fontId="6" fillId="0" borderId="0" xfId="0" quotePrefix="1" applyNumberFormat="1" applyFont="1" applyFill="1" applyAlignment="1">
      <alignment horizontal="left"/>
    </xf>
    <xf numFmtId="0" fontId="3" fillId="0" borderId="4" xfId="0" applyFont="1" applyFill="1" applyBorder="1"/>
    <xf numFmtId="0" fontId="6" fillId="0" borderId="0" xfId="0" applyFont="1" applyFill="1"/>
    <xf numFmtId="41" fontId="5" fillId="0" borderId="8" xfId="0" applyNumberFormat="1" applyFont="1" applyFill="1" applyBorder="1"/>
    <xf numFmtId="41" fontId="5" fillId="0" borderId="8" xfId="1" applyNumberFormat="1" applyFont="1" applyFill="1" applyBorder="1"/>
    <xf numFmtId="0" fontId="3" fillId="0" borderId="6" xfId="0" applyFont="1" applyFill="1" applyBorder="1"/>
    <xf numFmtId="1" fontId="5" fillId="0" borderId="0" xfId="0" applyNumberFormat="1" applyFont="1" applyFill="1" applyBorder="1" applyAlignment="1" applyProtection="1">
      <alignment horizontal="left"/>
    </xf>
    <xf numFmtId="43" fontId="5" fillId="0" borderId="8" xfId="0" applyNumberFormat="1" applyFont="1" applyFill="1" applyBorder="1"/>
    <xf numFmtId="164" fontId="5" fillId="0" borderId="8" xfId="0" applyNumberFormat="1" applyFont="1" applyFill="1" applyBorder="1"/>
    <xf numFmtId="41" fontId="3" fillId="0" borderId="4" xfId="0" applyNumberFormat="1" applyFont="1" applyFill="1" applyBorder="1"/>
    <xf numFmtId="43" fontId="5" fillId="0" borderId="0" xfId="0" applyNumberFormat="1" applyFont="1" applyFill="1"/>
    <xf numFmtId="41" fontId="3" fillId="0" borderId="6" xfId="0" applyNumberFormat="1" applyFont="1" applyFill="1" applyBorder="1"/>
    <xf numFmtId="43" fontId="5" fillId="0" borderId="0" xfId="0" applyNumberFormat="1" applyFont="1" applyFill="1" applyBorder="1"/>
    <xf numFmtId="0" fontId="6" fillId="0" borderId="0" xfId="0" applyFont="1" applyFill="1" applyAlignment="1"/>
    <xf numFmtId="41" fontId="3" fillId="0" borderId="9" xfId="0" applyNumberFormat="1" applyFont="1" applyFill="1" applyBorder="1"/>
    <xf numFmtId="41" fontId="3" fillId="0" borderId="10" xfId="0" applyNumberFormat="1" applyFont="1" applyFill="1" applyBorder="1"/>
    <xf numFmtId="41" fontId="3" fillId="0" borderId="11" xfId="0" applyNumberFormat="1" applyFont="1" applyFill="1" applyBorder="1"/>
    <xf numFmtId="41" fontId="3" fillId="0" borderId="0" xfId="0" applyNumberFormat="1" applyFont="1" applyFill="1" applyBorder="1" applyAlignment="1"/>
    <xf numFmtId="0" fontId="9" fillId="0" borderId="0" xfId="0" quotePrefix="1" applyFont="1" applyFill="1" applyAlignment="1">
      <alignment vertical="top"/>
    </xf>
    <xf numFmtId="0" fontId="3" fillId="0" borderId="0" xfId="0" applyFont="1" applyFill="1" applyAlignment="1">
      <alignment vertical="top"/>
    </xf>
    <xf numFmtId="41" fontId="3" fillId="0" borderId="0" xfId="0" applyNumberFormat="1" applyFont="1" applyFill="1" applyAlignment="1">
      <alignment vertical="top"/>
    </xf>
    <xf numFmtId="41" fontId="3" fillId="0" borderId="0" xfId="0" applyNumberFormat="1" applyFont="1" applyFill="1"/>
    <xf numFmtId="41" fontId="3" fillId="0" borderId="0" xfId="0" applyNumberFormat="1" applyFont="1" applyFill="1" applyAlignment="1"/>
    <xf numFmtId="0" fontId="3" fillId="0" borderId="0" xfId="0" applyFont="1" applyFill="1" applyAlignment="1"/>
    <xf numFmtId="0" fontId="5" fillId="0" borderId="0" xfId="0" applyFont="1" applyFill="1" applyBorder="1" applyAlignment="1"/>
    <xf numFmtId="0" fontId="5" fillId="0" borderId="0" xfId="0" applyFont="1" applyFill="1" applyAlignment="1"/>
    <xf numFmtId="0" fontId="5" fillId="0" borderId="0" xfId="0" applyNumberFormat="1" applyFont="1" applyFill="1" applyAlignment="1"/>
    <xf numFmtId="0" fontId="5" fillId="0" borderId="0" xfId="0" applyNumberFormat="1" applyFont="1" applyFill="1"/>
    <xf numFmtId="0" fontId="5" fillId="0" borderId="0" xfId="0" applyNumberFormat="1" applyFont="1" applyFill="1" applyBorder="1"/>
    <xf numFmtId="0" fontId="5" fillId="0" borderId="1" xfId="0" applyNumberFormat="1" applyFont="1" applyFill="1" applyBorder="1"/>
    <xf numFmtId="0" fontId="5" fillId="0" borderId="2" xfId="0" applyNumberFormat="1" applyFont="1" applyFill="1" applyBorder="1" applyAlignment="1">
      <alignment horizontal="center"/>
    </xf>
    <xf numFmtId="0" fontId="5" fillId="0" borderId="3" xfId="0" applyNumberFormat="1" applyFont="1" applyFill="1" applyBorder="1" applyAlignment="1">
      <alignment horizontal="center"/>
    </xf>
    <xf numFmtId="0" fontId="5" fillId="0" borderId="0" xfId="0" applyNumberFormat="1" applyFont="1" applyFill="1" applyBorder="1" applyAlignment="1">
      <alignment horizontal="center"/>
    </xf>
    <xf numFmtId="0" fontId="5" fillId="0" borderId="4" xfId="0" applyNumberFormat="1" applyFont="1" applyFill="1" applyBorder="1"/>
    <xf numFmtId="0" fontId="5" fillId="0" borderId="5" xfId="0" applyNumberFormat="1" applyFont="1" applyFill="1" applyBorder="1" applyAlignment="1">
      <alignment horizontal="center"/>
    </xf>
    <xf numFmtId="0" fontId="5" fillId="0" borderId="6" xfId="0" applyNumberFormat="1" applyFont="1" applyFill="1" applyBorder="1" applyAlignment="1">
      <alignment horizontal="center"/>
    </xf>
    <xf numFmtId="37" fontId="5" fillId="0" borderId="0" xfId="0" applyNumberFormat="1" applyFont="1" applyFill="1" applyBorder="1"/>
    <xf numFmtId="41" fontId="5" fillId="0" borderId="0" xfId="0" applyNumberFormat="1" applyFont="1" applyFill="1" applyAlignment="1">
      <alignment horizontal="left"/>
    </xf>
    <xf numFmtId="41" fontId="5" fillId="0" borderId="0" xfId="0" applyNumberFormat="1" applyFont="1" applyFill="1" applyBorder="1" applyAlignment="1">
      <alignment horizontal="left"/>
    </xf>
    <xf numFmtId="0" fontId="6" fillId="0" borderId="0" xfId="0" applyNumberFormat="1" applyFont="1" applyFill="1"/>
    <xf numFmtId="166" fontId="5" fillId="0" borderId="0" xfId="0" applyNumberFormat="1" applyFont="1" applyFill="1" applyBorder="1"/>
    <xf numFmtId="166" fontId="5" fillId="0" borderId="0" xfId="0" applyNumberFormat="1" applyFont="1" applyFill="1"/>
    <xf numFmtId="166" fontId="5" fillId="0" borderId="5" xfId="0" applyNumberFormat="1" applyFont="1" applyFill="1" applyBorder="1"/>
    <xf numFmtId="166" fontId="5" fillId="0" borderId="6" xfId="0" applyNumberFormat="1" applyFont="1" applyFill="1" applyBorder="1"/>
    <xf numFmtId="166" fontId="5" fillId="0" borderId="8" xfId="0" applyNumberFormat="1" applyFont="1" applyFill="1" applyBorder="1"/>
    <xf numFmtId="167" fontId="5" fillId="0" borderId="8" xfId="0" applyNumberFormat="1" applyFont="1" applyFill="1" applyBorder="1"/>
    <xf numFmtId="167" fontId="5" fillId="0" borderId="6" xfId="0" applyNumberFormat="1" applyFont="1" applyFill="1" applyBorder="1"/>
    <xf numFmtId="167" fontId="5" fillId="0" borderId="0" xfId="0" applyNumberFormat="1" applyFont="1" applyFill="1" applyBorder="1"/>
    <xf numFmtId="41" fontId="5" fillId="0" borderId="9" xfId="0" applyNumberFormat="1" applyFont="1" applyFill="1" applyBorder="1"/>
    <xf numFmtId="41" fontId="5" fillId="0" borderId="10" xfId="0" applyNumberFormat="1" applyFont="1" applyFill="1" applyBorder="1"/>
    <xf numFmtId="41" fontId="5" fillId="0" borderId="11" xfId="0" applyNumberFormat="1" applyFont="1" applyFill="1" applyBorder="1"/>
    <xf numFmtId="41" fontId="5" fillId="0" borderId="0" xfId="0" applyNumberFormat="1" applyFont="1" applyFill="1" applyAlignment="1">
      <alignment vertical="top"/>
    </xf>
    <xf numFmtId="166" fontId="5" fillId="0" borderId="0" xfId="0" applyNumberFormat="1" applyFont="1" applyFill="1" applyAlignment="1">
      <alignment vertical="top"/>
    </xf>
    <xf numFmtId="0" fontId="6" fillId="0" borderId="0" xfId="0" applyFont="1" applyFill="1" applyAlignment="1">
      <alignment horizontal="centerContinuous"/>
    </xf>
    <xf numFmtId="0" fontId="5" fillId="0" borderId="0" xfId="0" applyFont="1" applyFill="1" applyAlignment="1">
      <alignment horizontal="centerContinuous"/>
    </xf>
    <xf numFmtId="37" fontId="5" fillId="0" borderId="0" xfId="0" applyNumberFormat="1" applyFont="1" applyFill="1" applyAlignment="1">
      <alignment horizontal="left"/>
    </xf>
    <xf numFmtId="0" fontId="5" fillId="0" borderId="0" xfId="0" applyFont="1" applyFill="1" applyAlignment="1">
      <alignment horizontal="left"/>
    </xf>
    <xf numFmtId="0" fontId="5" fillId="0" borderId="0" xfId="0" applyNumberFormat="1" applyFont="1" applyFill="1" applyAlignment="1">
      <alignment vertical="top"/>
    </xf>
    <xf numFmtId="168" fontId="5" fillId="0" borderId="0" xfId="7" applyFont="1" applyFill="1" applyAlignment="1">
      <alignment vertical="top"/>
    </xf>
    <xf numFmtId="41" fontId="3" fillId="0" borderId="0" xfId="0" applyNumberFormat="1" applyFont="1" applyFill="1" applyAlignment="1">
      <alignment horizontal="centerContinuous"/>
    </xf>
    <xf numFmtId="1" fontId="3" fillId="0" borderId="0" xfId="0" applyNumberFormat="1" applyFont="1" applyFill="1" applyAlignment="1">
      <alignment horizontal="centerContinuous"/>
    </xf>
    <xf numFmtId="1" fontId="5" fillId="0" borderId="0" xfId="0" applyNumberFormat="1" applyFont="1" applyFill="1"/>
    <xf numFmtId="16" fontId="5" fillId="0" borderId="0" xfId="0" applyNumberFormat="1" applyFont="1" applyFill="1" applyBorder="1" applyAlignment="1">
      <alignment horizontal="center"/>
    </xf>
    <xf numFmtId="16" fontId="5" fillId="0" borderId="0" xfId="0" quotePrefix="1" applyNumberFormat="1" applyFont="1" applyFill="1" applyBorder="1" applyAlignment="1">
      <alignment horizontal="center"/>
    </xf>
    <xf numFmtId="1" fontId="5" fillId="0" borderId="0" xfId="0" applyNumberFormat="1" applyFont="1" applyFill="1" applyBorder="1"/>
    <xf numFmtId="41" fontId="5" fillId="0" borderId="0" xfId="0" quotePrefix="1" applyNumberFormat="1" applyFont="1" applyFill="1" applyBorder="1" applyAlignment="1">
      <alignment horizontal="center"/>
    </xf>
    <xf numFmtId="1" fontId="6" fillId="0" borderId="0" xfId="0" applyNumberFormat="1" applyFont="1" applyFill="1"/>
    <xf numFmtId="1" fontId="3" fillId="0" borderId="0" xfId="0" applyNumberFormat="1" applyFont="1" applyFill="1"/>
    <xf numFmtId="1" fontId="5" fillId="0" borderId="0" xfId="0" applyNumberFormat="1" applyFont="1" applyFill="1" applyAlignment="1">
      <alignment horizontal="left"/>
    </xf>
    <xf numFmtId="41" fontId="5" fillId="0" borderId="0" xfId="0" applyNumberFormat="1" applyFont="1" applyFill="1" applyProtection="1"/>
    <xf numFmtId="1" fontId="5" fillId="0" borderId="0" xfId="0" applyNumberFormat="1" applyFont="1" applyFill="1" applyProtection="1"/>
    <xf numFmtId="41" fontId="5" fillId="0" borderId="5" xfId="0" applyNumberFormat="1" applyFont="1" applyFill="1" applyBorder="1" applyProtection="1"/>
    <xf numFmtId="41" fontId="5" fillId="0" borderId="8" xfId="0" applyNumberFormat="1" applyFont="1" applyFill="1" applyBorder="1" applyProtection="1"/>
    <xf numFmtId="1" fontId="9" fillId="0" borderId="0" xfId="0" quotePrefix="1" applyNumberFormat="1" applyFont="1" applyFill="1" applyAlignment="1">
      <alignment horizontal="left" vertical="top"/>
    </xf>
    <xf numFmtId="1" fontId="3" fillId="0" borderId="0" xfId="0" applyNumberFormat="1" applyFont="1" applyFill="1" applyAlignment="1">
      <alignment vertical="top"/>
    </xf>
    <xf numFmtId="169" fontId="5" fillId="0" borderId="0" xfId="1" applyNumberFormat="1" applyFont="1" applyFill="1"/>
    <xf numFmtId="169" fontId="5" fillId="0" borderId="1" xfId="1" applyNumberFormat="1" applyFont="1" applyFill="1" applyBorder="1"/>
    <xf numFmtId="169" fontId="5" fillId="0" borderId="2" xfId="1" applyNumberFormat="1" applyFont="1" applyFill="1" applyBorder="1" applyAlignment="1">
      <alignment horizontal="center"/>
    </xf>
    <xf numFmtId="169" fontId="2" fillId="0" borderId="3" xfId="1" applyNumberFormat="1" applyFont="1" applyFill="1" applyBorder="1" applyAlignment="1">
      <alignment horizontal="center"/>
    </xf>
    <xf numFmtId="169" fontId="5" fillId="0" borderId="0" xfId="1" applyNumberFormat="1" applyFont="1" applyFill="1" applyBorder="1"/>
    <xf numFmtId="169" fontId="5" fillId="0" borderId="0" xfId="1" applyNumberFormat="1" applyFont="1" applyFill="1" applyBorder="1" applyAlignment="1">
      <alignment horizontal="center"/>
    </xf>
    <xf numFmtId="169" fontId="2" fillId="0" borderId="0" xfId="1" applyNumberFormat="1" applyFont="1" applyFill="1" applyBorder="1" applyAlignment="1">
      <alignment horizontal="center"/>
    </xf>
    <xf numFmtId="0" fontId="5" fillId="0" borderId="0" xfId="1" applyNumberFormat="1" applyFont="1" applyFill="1"/>
    <xf numFmtId="0" fontId="5" fillId="0" borderId="4" xfId="1" applyNumberFormat="1" applyFont="1" applyFill="1" applyBorder="1"/>
    <xf numFmtId="0" fontId="5" fillId="0" borderId="5" xfId="1" applyNumberFormat="1" applyFont="1" applyFill="1" applyBorder="1" applyAlignment="1">
      <alignment horizontal="center"/>
    </xf>
    <xf numFmtId="0" fontId="5" fillId="0" borderId="6" xfId="1" applyNumberFormat="1" applyFont="1" applyFill="1" applyBorder="1"/>
    <xf numFmtId="0" fontId="5" fillId="0" borderId="0" xfId="1" applyNumberFormat="1" applyFont="1" applyFill="1" applyBorder="1"/>
    <xf numFmtId="169" fontId="6" fillId="0" borderId="0" xfId="1" applyNumberFormat="1" applyFont="1" applyFill="1" applyAlignment="1"/>
    <xf numFmtId="169" fontId="5" fillId="0" borderId="0" xfId="1" applyNumberFormat="1" applyFont="1" applyFill="1" applyAlignment="1">
      <alignment horizontal="center"/>
    </xf>
    <xf numFmtId="169" fontId="5" fillId="0" borderId="4" xfId="1" applyNumberFormat="1" applyFont="1" applyFill="1" applyBorder="1" applyAlignment="1">
      <alignment horizontal="center"/>
    </xf>
    <xf numFmtId="169" fontId="5" fillId="0" borderId="6" xfId="1" applyNumberFormat="1" applyFont="1" applyFill="1" applyBorder="1" applyAlignment="1">
      <alignment horizontal="center"/>
    </xf>
    <xf numFmtId="169" fontId="5" fillId="0" borderId="4" xfId="1" applyNumberFormat="1" applyFont="1" applyFill="1" applyBorder="1"/>
    <xf numFmtId="169" fontId="5" fillId="0" borderId="6" xfId="1" applyNumberFormat="1" applyFont="1" applyFill="1" applyBorder="1"/>
    <xf numFmtId="2" fontId="5" fillId="0" borderId="0" xfId="1" applyNumberFormat="1" applyFont="1" applyFill="1"/>
    <xf numFmtId="169" fontId="5" fillId="0" borderId="8" xfId="1" applyNumberFormat="1" applyFont="1" applyFill="1" applyBorder="1"/>
    <xf numFmtId="2" fontId="5" fillId="0" borderId="0" xfId="1" applyNumberFormat="1" applyFont="1" applyFill="1" applyAlignment="1">
      <alignment horizontal="left"/>
    </xf>
    <xf numFmtId="164" fontId="5" fillId="0" borderId="8" xfId="1" applyNumberFormat="1" applyFont="1" applyFill="1" applyBorder="1"/>
    <xf numFmtId="43" fontId="5" fillId="0" borderId="8" xfId="1" applyNumberFormat="1" applyFont="1" applyFill="1" applyBorder="1"/>
    <xf numFmtId="169" fontId="6" fillId="0" borderId="0" xfId="1" applyNumberFormat="1" applyFont="1" applyFill="1" applyAlignment="1">
      <alignment horizontal="left"/>
    </xf>
    <xf numFmtId="169" fontId="5" fillId="0" borderId="5" xfId="1" applyNumberFormat="1" applyFont="1" applyFill="1" applyBorder="1"/>
    <xf numFmtId="164" fontId="5" fillId="0" borderId="0" xfId="1" applyNumberFormat="1" applyFont="1" applyFill="1" applyBorder="1"/>
    <xf numFmtId="169" fontId="5" fillId="0" borderId="0" xfId="1" applyNumberFormat="1" applyFont="1" applyFill="1" applyAlignment="1">
      <alignment horizontal="left"/>
    </xf>
    <xf numFmtId="169" fontId="5" fillId="0" borderId="9" xfId="1" applyNumberFormat="1" applyFont="1" applyFill="1" applyBorder="1"/>
    <xf numFmtId="169" fontId="5" fillId="0" borderId="10" xfId="1" applyNumberFormat="1" applyFont="1" applyFill="1" applyBorder="1"/>
    <xf numFmtId="169" fontId="5" fillId="0" borderId="11" xfId="1" applyNumberFormat="1" applyFont="1" applyFill="1" applyBorder="1"/>
    <xf numFmtId="169" fontId="11" fillId="0" borderId="0" xfId="1" quotePrefix="1" applyNumberFormat="1" applyFont="1" applyFill="1"/>
    <xf numFmtId="169" fontId="11" fillId="0" borderId="0" xfId="1" applyNumberFormat="1" applyFont="1" applyFill="1"/>
    <xf numFmtId="169" fontId="9" fillId="0" borderId="0" xfId="1" quotePrefix="1" applyNumberFormat="1" applyFont="1" applyFill="1" applyAlignment="1">
      <alignment vertical="top"/>
    </xf>
    <xf numFmtId="0" fontId="5" fillId="0" borderId="0" xfId="1" applyNumberFormat="1" applyFont="1" applyFill="1" applyAlignment="1">
      <alignment vertical="top"/>
    </xf>
    <xf numFmtId="0" fontId="5" fillId="0" borderId="0" xfId="1" applyNumberFormat="1" applyFont="1" applyFill="1" applyAlignment="1"/>
    <xf numFmtId="169" fontId="2" fillId="0" borderId="0" xfId="1" applyNumberFormat="1" applyFont="1" applyFill="1" applyAlignment="1">
      <alignment horizontal="left"/>
    </xf>
    <xf numFmtId="41" fontId="5" fillId="0" borderId="0" xfId="1" applyNumberFormat="1" applyFont="1" applyFill="1" applyAlignment="1">
      <alignment horizontal="left"/>
    </xf>
    <xf numFmtId="41" fontId="5" fillId="0" borderId="0" xfId="1" applyNumberFormat="1" applyFont="1" applyFill="1" applyBorder="1" applyAlignment="1">
      <alignment horizontal="left"/>
    </xf>
    <xf numFmtId="41" fontId="6" fillId="0" borderId="0" xfId="1" applyNumberFormat="1" applyFont="1" applyFill="1" applyAlignment="1">
      <alignment horizontal="left"/>
    </xf>
    <xf numFmtId="0" fontId="5" fillId="0" borderId="0" xfId="0" applyNumberFormat="1" applyFont="1" applyFill="1" applyBorder="1" applyAlignment="1" applyProtection="1">
      <alignment horizontal="left" vertical="top" indent="1"/>
    </xf>
    <xf numFmtId="0" fontId="5" fillId="0" borderId="0" xfId="1" applyNumberFormat="1" applyFont="1" applyFill="1" applyBorder="1" applyAlignment="1">
      <alignment horizontal="left" vertical="top"/>
    </xf>
    <xf numFmtId="41" fontId="5" fillId="0" borderId="6" xfId="1" applyNumberFormat="1" applyFont="1" applyFill="1" applyBorder="1" applyAlignment="1">
      <alignment horizontal="center"/>
    </xf>
    <xf numFmtId="41" fontId="5" fillId="0" borderId="0" xfId="1" applyNumberFormat="1" applyFont="1" applyFill="1" applyBorder="1" applyAlignment="1">
      <alignment horizontal="center"/>
    </xf>
    <xf numFmtId="0" fontId="5" fillId="0" borderId="0" xfId="0" applyNumberFormat="1" applyFont="1" applyFill="1" applyBorder="1" applyAlignment="1">
      <alignment horizontal="left" vertical="top"/>
    </xf>
    <xf numFmtId="0" fontId="5" fillId="0" borderId="0" xfId="0" applyNumberFormat="1" applyFont="1" applyFill="1" applyBorder="1" applyAlignment="1" applyProtection="1">
      <alignment horizontal="left" vertical="top"/>
    </xf>
    <xf numFmtId="41" fontId="5" fillId="0" borderId="0" xfId="0" applyNumberFormat="1" applyFont="1" applyFill="1" applyAlignment="1" applyProtection="1">
      <alignment horizontal="left"/>
    </xf>
    <xf numFmtId="41" fontId="5" fillId="0" borderId="5" xfId="1" applyNumberFormat="1" applyFont="1" applyFill="1" applyBorder="1" applyAlignment="1">
      <alignment horizontal="center"/>
    </xf>
    <xf numFmtId="41" fontId="5" fillId="0" borderId="0" xfId="0" applyNumberFormat="1" applyFont="1" applyFill="1" applyBorder="1" applyAlignment="1" applyProtection="1">
      <alignment horizontal="left"/>
    </xf>
    <xf numFmtId="41" fontId="5" fillId="0" borderId="0" xfId="1" applyNumberFormat="1" applyFont="1" applyFill="1" applyBorder="1" applyAlignment="1">
      <alignment horizontal="left" indent="1"/>
    </xf>
    <xf numFmtId="37" fontId="6" fillId="0" borderId="0" xfId="1" applyNumberFormat="1" applyFont="1" applyFill="1" applyAlignment="1">
      <alignment horizontal="left"/>
    </xf>
    <xf numFmtId="170" fontId="5" fillId="0" borderId="8" xfId="18" applyNumberFormat="1" applyFont="1" applyFill="1" applyBorder="1"/>
    <xf numFmtId="164" fontId="5" fillId="0" borderId="6" xfId="1" applyNumberFormat="1" applyFont="1" applyFill="1" applyBorder="1"/>
    <xf numFmtId="37" fontId="11" fillId="0" borderId="0" xfId="1" quotePrefix="1" applyNumberFormat="1" applyFont="1" applyFill="1" applyAlignment="1">
      <alignment horizontal="left"/>
    </xf>
    <xf numFmtId="169" fontId="11" fillId="0" borderId="0" xfId="1" applyNumberFormat="1" applyFont="1" applyFill="1" applyAlignment="1">
      <alignment horizontal="left"/>
    </xf>
    <xf numFmtId="169" fontId="7" fillId="0" borderId="0" xfId="1" applyNumberFormat="1" applyFont="1" applyFill="1"/>
    <xf numFmtId="169" fontId="6" fillId="0" borderId="0" xfId="1" applyNumberFormat="1" applyFont="1" applyFill="1" applyAlignment="1">
      <alignment horizontal="centerContinuous"/>
    </xf>
    <xf numFmtId="169" fontId="6" fillId="0" borderId="0" xfId="1" applyNumberFormat="1" applyFont="1" applyFill="1" applyBorder="1" applyAlignment="1">
      <alignment horizontal="centerContinuous"/>
    </xf>
    <xf numFmtId="169" fontId="5" fillId="0" borderId="3" xfId="1" applyNumberFormat="1" applyFont="1" applyFill="1" applyBorder="1"/>
    <xf numFmtId="0" fontId="5" fillId="0" borderId="0" xfId="1" applyNumberFormat="1" applyFont="1" applyFill="1" applyAlignment="1">
      <alignment horizontal="left"/>
    </xf>
    <xf numFmtId="41" fontId="5" fillId="0" borderId="0" xfId="0" applyNumberFormat="1" applyFont="1" applyFill="1" applyBorder="1" applyProtection="1"/>
    <xf numFmtId="169" fontId="5" fillId="0" borderId="0" xfId="1" applyNumberFormat="1" applyFont="1" applyFill="1" applyBorder="1" applyAlignment="1">
      <alignment horizontal="left"/>
    </xf>
    <xf numFmtId="0" fontId="5" fillId="0" borderId="0" xfId="1" applyNumberFormat="1" applyFont="1" applyFill="1" applyAlignment="1">
      <alignment horizontal="left" vertical="center"/>
    </xf>
    <xf numFmtId="41" fontId="5" fillId="0" borderId="12" xfId="1" applyNumberFormat="1" applyFont="1" applyFill="1" applyBorder="1"/>
    <xf numFmtId="169" fontId="5" fillId="0" borderId="0" xfId="1" applyNumberFormat="1" applyFont="1" applyFill="1" applyAlignment="1"/>
    <xf numFmtId="169" fontId="6" fillId="0" borderId="0" xfId="1" applyNumberFormat="1" applyFont="1" applyFill="1" applyBorder="1" applyAlignment="1">
      <alignment horizontal="center"/>
    </xf>
    <xf numFmtId="2" fontId="5" fillId="0" borderId="0" xfId="1" applyNumberFormat="1" applyFont="1" applyFill="1" applyBorder="1" applyAlignment="1">
      <alignment horizontal="center"/>
    </xf>
    <xf numFmtId="169" fontId="5" fillId="0" borderId="5" xfId="1" quotePrefix="1" applyNumberFormat="1" applyFont="1" applyFill="1" applyBorder="1" applyAlignment="1">
      <alignment horizontal="center"/>
    </xf>
    <xf numFmtId="2" fontId="5" fillId="0" borderId="5" xfId="1" applyNumberFormat="1" applyFont="1" applyFill="1" applyBorder="1" applyAlignment="1">
      <alignment horizontal="center"/>
    </xf>
    <xf numFmtId="169" fontId="6" fillId="0" borderId="0" xfId="1" applyNumberFormat="1" applyFont="1" applyFill="1"/>
    <xf numFmtId="41" fontId="5" fillId="0" borderId="0" xfId="1" applyNumberFormat="1" applyFont="1" applyFill="1" applyAlignment="1">
      <alignment horizontal="right"/>
    </xf>
    <xf numFmtId="169" fontId="11" fillId="0" borderId="0" xfId="1" quotePrefix="1" applyNumberFormat="1" applyFont="1" applyFill="1" applyAlignment="1">
      <alignment vertical="top"/>
    </xf>
    <xf numFmtId="169" fontId="6" fillId="0" borderId="0" xfId="1" applyNumberFormat="1" applyFont="1" applyFill="1" applyBorder="1" applyAlignment="1"/>
    <xf numFmtId="169" fontId="5" fillId="0" borderId="7" xfId="1" applyNumberFormat="1" applyFont="1" applyFill="1" applyBorder="1"/>
    <xf numFmtId="169" fontId="5" fillId="0" borderId="0" xfId="1" quotePrefix="1" applyNumberFormat="1" applyFont="1" applyFill="1" applyBorder="1" applyAlignment="1">
      <alignment horizontal="center"/>
    </xf>
    <xf numFmtId="0" fontId="7" fillId="0" borderId="0" xfId="0" applyFont="1" applyFill="1" applyAlignment="1"/>
    <xf numFmtId="0" fontId="7" fillId="0" borderId="0" xfId="0" applyFont="1" applyFill="1"/>
    <xf numFmtId="0" fontId="5" fillId="0" borderId="13" xfId="0" applyFont="1" applyFill="1" applyBorder="1" applyAlignment="1">
      <alignment horizontal="center"/>
    </xf>
    <xf numFmtId="0" fontId="6" fillId="0" borderId="0" xfId="0" applyFont="1" applyFill="1" applyAlignment="1">
      <alignment horizontal="left"/>
    </xf>
    <xf numFmtId="0" fontId="5" fillId="0" borderId="0" xfId="0" quotePrefix="1" applyFont="1" applyFill="1" applyAlignment="1">
      <alignment horizontal="left"/>
    </xf>
    <xf numFmtId="41" fontId="5" fillId="0" borderId="12" xfId="0" applyNumberFormat="1" applyFont="1" applyFill="1" applyBorder="1" applyProtection="1"/>
    <xf numFmtId="0" fontId="5" fillId="0" borderId="0" xfId="0" applyFont="1" applyFill="1" applyAlignment="1">
      <alignment wrapText="1"/>
    </xf>
    <xf numFmtId="2" fontId="5" fillId="0" borderId="0" xfId="7" applyNumberFormat="1" applyFont="1" applyFill="1" applyAlignment="1">
      <alignment vertical="top" wrapText="1"/>
    </xf>
    <xf numFmtId="0" fontId="2" fillId="0" borderId="0" xfId="0" applyFont="1" applyAlignment="1">
      <alignment horizontal="center"/>
    </xf>
    <xf numFmtId="0" fontId="7" fillId="0" borderId="0" xfId="0" applyFont="1"/>
    <xf numFmtId="0" fontId="4" fillId="0" borderId="0" xfId="0" applyFont="1" applyAlignment="1">
      <alignment horizontal="center"/>
    </xf>
    <xf numFmtId="0" fontId="3" fillId="0" borderId="0" xfId="0" applyFont="1"/>
    <xf numFmtId="0" fontId="7" fillId="0" borderId="0" xfId="0" applyFont="1" applyBorder="1"/>
    <xf numFmtId="0" fontId="5" fillId="0" borderId="0" xfId="0" applyFont="1"/>
    <xf numFmtId="0" fontId="5" fillId="0" borderId="5" xfId="0" applyFont="1" applyBorder="1" applyAlignment="1">
      <alignment horizontal="center"/>
    </xf>
    <xf numFmtId="0" fontId="5" fillId="0" borderId="0" xfId="0" applyFont="1" applyBorder="1"/>
    <xf numFmtId="0" fontId="7" fillId="0" borderId="0" xfId="0" applyFont="1" applyBorder="1" applyAlignment="1"/>
    <xf numFmtId="0" fontId="5" fillId="0" borderId="0" xfId="0" applyFont="1" applyBorder="1" applyAlignment="1">
      <alignment horizontal="center"/>
    </xf>
    <xf numFmtId="0" fontId="5" fillId="0" borderId="3" xfId="0" applyFont="1" applyFill="1" applyBorder="1"/>
    <xf numFmtId="0" fontId="7" fillId="0" borderId="4" xfId="0" applyFont="1" applyFill="1" applyBorder="1" applyAlignment="1">
      <alignment horizontal="center"/>
    </xf>
    <xf numFmtId="0" fontId="5" fillId="0" borderId="0" xfId="0" applyFont="1" applyBorder="1" applyAlignment="1">
      <alignment horizontal="left"/>
    </xf>
    <xf numFmtId="41" fontId="5" fillId="0" borderId="0" xfId="0" applyNumberFormat="1" applyFont="1"/>
    <xf numFmtId="167" fontId="5" fillId="0" borderId="0" xfId="0" applyNumberFormat="1" applyFont="1" applyFill="1" applyBorder="1" applyProtection="1"/>
    <xf numFmtId="167" fontId="5" fillId="0" borderId="0" xfId="0" applyNumberFormat="1" applyFont="1" applyBorder="1" applyProtection="1"/>
    <xf numFmtId="0" fontId="5" fillId="0" borderId="0" xfId="0" applyFont="1" applyAlignment="1">
      <alignment horizontal="left"/>
    </xf>
    <xf numFmtId="0" fontId="5" fillId="0" borderId="0" xfId="0" quotePrefix="1" applyFont="1" applyAlignment="1">
      <alignment horizontal="left"/>
    </xf>
    <xf numFmtId="41" fontId="5" fillId="0" borderId="14" xfId="0" applyNumberFormat="1" applyFont="1" applyFill="1" applyBorder="1" applyProtection="1"/>
    <xf numFmtId="37" fontId="5" fillId="0" borderId="0" xfId="0" applyNumberFormat="1" applyFont="1" applyFill="1" applyBorder="1" applyProtection="1"/>
    <xf numFmtId="37" fontId="5" fillId="0" borderId="0" xfId="0" applyNumberFormat="1" applyFont="1" applyFill="1" applyProtection="1"/>
    <xf numFmtId="0" fontId="5" fillId="0" borderId="0" xfId="0" applyFont="1" applyAlignment="1"/>
    <xf numFmtId="0" fontId="5" fillId="0" borderId="0" xfId="0" applyFont="1" applyBorder="1" applyAlignment="1"/>
    <xf numFmtId="168" fontId="5" fillId="0" borderId="0" xfId="0" applyNumberFormat="1" applyFont="1" applyFill="1" applyBorder="1" applyProtection="1"/>
    <xf numFmtId="168" fontId="5" fillId="0" borderId="0" xfId="0" applyNumberFormat="1" applyFont="1" applyFill="1" applyProtection="1"/>
    <xf numFmtId="168" fontId="5" fillId="0" borderId="5" xfId="0" applyNumberFormat="1" applyFont="1" applyFill="1" applyBorder="1" applyProtection="1"/>
    <xf numFmtId="168" fontId="5" fillId="0" borderId="12" xfId="0" applyNumberFormat="1" applyFont="1" applyFill="1" applyBorder="1" applyProtection="1"/>
    <xf numFmtId="168" fontId="5" fillId="0" borderId="12" xfId="0" applyNumberFormat="1" applyFont="1" applyFill="1" applyBorder="1"/>
    <xf numFmtId="168" fontId="5" fillId="0" borderId="0" xfId="0" applyNumberFormat="1" applyFont="1" applyFill="1" applyBorder="1"/>
    <xf numFmtId="0" fontId="5" fillId="0" borderId="0" xfId="0" applyFont="1" applyAlignment="1" applyProtection="1">
      <alignment horizontal="left"/>
    </xf>
    <xf numFmtId="0" fontId="5" fillId="0" borderId="0" xfId="0" applyFont="1" applyBorder="1" applyAlignment="1" applyProtection="1">
      <alignment horizontal="left"/>
    </xf>
    <xf numFmtId="0" fontId="5" fillId="0" borderId="4" xfId="0" applyFont="1" applyFill="1" applyBorder="1" applyAlignment="1"/>
    <xf numFmtId="167" fontId="5" fillId="0" borderId="0" xfId="0" applyNumberFormat="1" applyFont="1" applyFill="1" applyBorder="1" applyAlignment="1" applyProtection="1">
      <alignment horizontal="right"/>
    </xf>
    <xf numFmtId="164" fontId="5" fillId="0" borderId="12" xfId="0" applyNumberFormat="1" applyFont="1" applyFill="1" applyBorder="1"/>
    <xf numFmtId="165" fontId="5" fillId="0" borderId="12" xfId="0" applyNumberFormat="1" applyFont="1" applyFill="1" applyBorder="1"/>
    <xf numFmtId="167" fontId="5" fillId="0" borderId="8" xfId="0" applyNumberFormat="1" applyFont="1" applyFill="1" applyBorder="1" applyProtection="1"/>
    <xf numFmtId="0" fontId="5" fillId="0" borderId="0" xfId="0" applyFont="1" applyFill="1" applyBorder="1" applyAlignment="1" applyProtection="1">
      <alignment horizontal="left"/>
    </xf>
    <xf numFmtId="0" fontId="5" fillId="0" borderId="9" xfId="0" applyFont="1" applyFill="1" applyBorder="1" applyAlignment="1"/>
    <xf numFmtId="0" fontId="5" fillId="0" borderId="10" xfId="0" applyFont="1" applyFill="1" applyBorder="1" applyAlignment="1"/>
    <xf numFmtId="0" fontId="5" fillId="0" borderId="11" xfId="0" applyFont="1" applyFill="1" applyBorder="1"/>
    <xf numFmtId="0" fontId="3" fillId="0" borderId="0" xfId="0" applyFont="1" applyAlignment="1"/>
    <xf numFmtId="0" fontId="3" fillId="0" borderId="0" xfId="0" applyFont="1" applyBorder="1" applyAlignment="1"/>
    <xf numFmtId="0" fontId="13" fillId="0" borderId="0" xfId="14" quotePrefix="1" applyFont="1" applyAlignment="1">
      <alignment horizontal="left" vertical="top"/>
    </xf>
    <xf numFmtId="0" fontId="3" fillId="0" borderId="0" xfId="0" applyFont="1" applyBorder="1"/>
    <xf numFmtId="0" fontId="7" fillId="0" borderId="0" xfId="0" applyFont="1" applyAlignment="1"/>
    <xf numFmtId="0" fontId="5" fillId="0" borderId="0" xfId="0" applyFont="1" applyFill="1" applyBorder="1" applyAlignment="1">
      <alignment horizontal="centerContinuous"/>
    </xf>
    <xf numFmtId="41" fontId="5" fillId="0" borderId="7" xfId="0" applyNumberFormat="1" applyFont="1" applyFill="1" applyBorder="1" applyProtection="1"/>
    <xf numFmtId="0" fontId="5" fillId="0" borderId="0" xfId="0" applyFont="1" applyFill="1" applyAlignment="1" applyProtection="1">
      <alignment horizontal="left"/>
    </xf>
    <xf numFmtId="0" fontId="5" fillId="0" borderId="0" xfId="0" applyFont="1" applyFill="1" applyProtection="1"/>
    <xf numFmtId="0" fontId="5" fillId="0" borderId="0" xfId="0" applyFont="1" applyFill="1" applyBorder="1" applyAlignment="1" applyProtection="1">
      <alignment horizontal="centerContinuous"/>
    </xf>
    <xf numFmtId="0" fontId="0" fillId="0" borderId="0" xfId="0" applyFill="1"/>
    <xf numFmtId="0" fontId="5" fillId="0" borderId="1" xfId="0" applyFont="1" applyFill="1" applyBorder="1" applyProtection="1"/>
    <xf numFmtId="0" fontId="5" fillId="0" borderId="0" xfId="0" applyFont="1" applyFill="1" applyBorder="1" applyProtection="1"/>
    <xf numFmtId="0" fontId="5" fillId="0" borderId="4" xfId="0" applyFont="1" applyFill="1" applyBorder="1" applyProtection="1"/>
    <xf numFmtId="0" fontId="6" fillId="0" borderId="0" xfId="0" applyFont="1" applyFill="1" applyAlignment="1" applyProtection="1">
      <alignment horizontal="left"/>
    </xf>
    <xf numFmtId="0" fontId="5" fillId="0" borderId="4" xfId="0" applyFont="1" applyFill="1" applyBorder="1" applyAlignment="1" applyProtection="1">
      <alignment horizontal="right"/>
    </xf>
    <xf numFmtId="0" fontId="5" fillId="0" borderId="0" xfId="0" applyFont="1" applyFill="1" applyBorder="1" applyAlignment="1" applyProtection="1">
      <alignment horizontal="right"/>
    </xf>
    <xf numFmtId="0" fontId="5" fillId="0" borderId="0" xfId="0" applyFont="1" applyFill="1" applyAlignment="1" applyProtection="1">
      <alignment horizontal="right"/>
    </xf>
    <xf numFmtId="165" fontId="5" fillId="0" borderId="0" xfId="0" applyNumberFormat="1" applyFont="1" applyFill="1" applyBorder="1" applyProtection="1"/>
    <xf numFmtId="171" fontId="5" fillId="0" borderId="0" xfId="0" applyNumberFormat="1" applyFont="1" applyFill="1" applyBorder="1" applyProtection="1"/>
    <xf numFmtId="171" fontId="5" fillId="0" borderId="6" xfId="0" applyNumberFormat="1" applyFont="1" applyFill="1" applyBorder="1"/>
    <xf numFmtId="171" fontId="5" fillId="0" borderId="0" xfId="0" applyNumberFormat="1" applyFont="1" applyFill="1" applyBorder="1"/>
    <xf numFmtId="165" fontId="5" fillId="0" borderId="5" xfId="0" applyNumberFormat="1" applyFont="1" applyFill="1" applyBorder="1" applyProtection="1"/>
    <xf numFmtId="165" fontId="5" fillId="0" borderId="12" xfId="0" applyNumberFormat="1" applyFont="1" applyFill="1" applyBorder="1" applyProtection="1"/>
    <xf numFmtId="171" fontId="5" fillId="0" borderId="12" xfId="0" applyNumberFormat="1" applyFont="1" applyFill="1" applyBorder="1" applyProtection="1"/>
    <xf numFmtId="37" fontId="7" fillId="0" borderId="4" xfId="0" applyNumberFormat="1" applyFont="1" applyFill="1" applyBorder="1" applyProtection="1"/>
    <xf numFmtId="37" fontId="7" fillId="0" borderId="0" xfId="0" applyNumberFormat="1" applyFont="1" applyFill="1" applyBorder="1" applyProtection="1"/>
    <xf numFmtId="37" fontId="7" fillId="0" borderId="0" xfId="0" applyNumberFormat="1" applyFont="1" applyFill="1" applyProtection="1"/>
    <xf numFmtId="0" fontId="0" fillId="0" borderId="4" xfId="0" applyFill="1" applyBorder="1"/>
    <xf numFmtId="171" fontId="5" fillId="0" borderId="8" xfId="0" applyNumberFormat="1" applyFont="1" applyFill="1" applyBorder="1" applyProtection="1"/>
    <xf numFmtId="0" fontId="0" fillId="0" borderId="0" xfId="0" applyFill="1" applyBorder="1"/>
    <xf numFmtId="167" fontId="5" fillId="0" borderId="14" xfId="0" applyNumberFormat="1" applyFont="1" applyFill="1" applyBorder="1" applyAlignment="1" applyProtection="1"/>
    <xf numFmtId="41" fontId="5" fillId="0" borderId="14" xfId="0" applyNumberFormat="1" applyFont="1" applyFill="1" applyBorder="1" applyAlignment="1" applyProtection="1"/>
    <xf numFmtId="167" fontId="5" fillId="0" borderId="0" xfId="0" applyNumberFormat="1" applyFont="1" applyFill="1" applyBorder="1" applyAlignment="1" applyProtection="1"/>
    <xf numFmtId="41" fontId="5" fillId="0" borderId="0" xfId="0" applyNumberFormat="1" applyFont="1" applyFill="1" applyBorder="1" applyAlignment="1" applyProtection="1"/>
    <xf numFmtId="172" fontId="5" fillId="0" borderId="0" xfId="0" applyNumberFormat="1" applyFont="1" applyFill="1" applyBorder="1" applyProtection="1"/>
    <xf numFmtId="0" fontId="5" fillId="0" borderId="0" xfId="0" applyFont="1" applyProtection="1"/>
    <xf numFmtId="0" fontId="5" fillId="0" borderId="0" xfId="0" applyFont="1" applyBorder="1" applyProtection="1"/>
    <xf numFmtId="0" fontId="5" fillId="0" borderId="0" xfId="0" applyFont="1" applyBorder="1" applyAlignment="1">
      <alignment horizontal="centerContinuous"/>
    </xf>
    <xf numFmtId="165" fontId="5" fillId="0" borderId="0" xfId="0" applyNumberFormat="1" applyFont="1"/>
    <xf numFmtId="168" fontId="7" fillId="0" borderId="0" xfId="7" applyFont="1"/>
    <xf numFmtId="168" fontId="14" fillId="0" borderId="0" xfId="7" applyFont="1" applyAlignment="1">
      <alignment horizontal="center"/>
    </xf>
    <xf numFmtId="168" fontId="14" fillId="0" borderId="0" xfId="7" applyFont="1" applyFill="1" applyAlignment="1">
      <alignment horizontal="center"/>
    </xf>
    <xf numFmtId="168" fontId="7" fillId="0" borderId="0" xfId="7" applyFont="1" applyFill="1" applyAlignment="1">
      <alignment horizontal="centerContinuous"/>
    </xf>
    <xf numFmtId="168" fontId="7" fillId="0" borderId="0" xfId="7" applyFont="1" applyAlignment="1">
      <alignment horizontal="centerContinuous"/>
    </xf>
    <xf numFmtId="168" fontId="7" fillId="0" borderId="0" xfId="7" applyFont="1" applyFill="1"/>
    <xf numFmtId="168" fontId="5" fillId="0" borderId="0" xfId="7" applyFont="1"/>
    <xf numFmtId="168" fontId="6" fillId="0" borderId="0" xfId="7" applyFont="1" applyAlignment="1">
      <alignment horizontal="center"/>
    </xf>
    <xf numFmtId="168" fontId="6" fillId="0" borderId="0" xfId="7" applyFont="1" applyFill="1" applyAlignment="1">
      <alignment horizontal="center"/>
    </xf>
    <xf numFmtId="168" fontId="5" fillId="0" borderId="0" xfId="7" applyFont="1" applyFill="1" applyAlignment="1">
      <alignment horizontal="centerContinuous"/>
    </xf>
    <xf numFmtId="168" fontId="5" fillId="0" borderId="0" xfId="7" applyFont="1" applyAlignment="1">
      <alignment horizontal="centerContinuous"/>
    </xf>
    <xf numFmtId="168" fontId="5" fillId="0" borderId="0" xfId="7" applyFont="1" applyFill="1"/>
    <xf numFmtId="168" fontId="6" fillId="0" borderId="1" xfId="7" applyFont="1" applyFill="1" applyBorder="1" applyAlignment="1">
      <alignment horizontal="center"/>
    </xf>
    <xf numFmtId="168" fontId="5" fillId="0" borderId="3" xfId="7" applyFont="1" applyFill="1" applyBorder="1" applyAlignment="1">
      <alignment horizontal="centerContinuous"/>
    </xf>
    <xf numFmtId="168" fontId="6" fillId="0" borderId="0" xfId="7" applyFont="1" applyFill="1" applyBorder="1" applyAlignment="1">
      <alignment horizontal="center"/>
    </xf>
    <xf numFmtId="168" fontId="6" fillId="0" borderId="0" xfId="7" applyFont="1" applyBorder="1" applyAlignment="1">
      <alignment horizontal="center"/>
    </xf>
    <xf numFmtId="168" fontId="6" fillId="0" borderId="4" xfId="7" applyFont="1" applyFill="1" applyBorder="1" applyAlignment="1">
      <alignment horizontal="center"/>
    </xf>
    <xf numFmtId="168" fontId="5" fillId="0" borderId="6" xfId="7" applyFont="1" applyFill="1" applyBorder="1" applyAlignment="1">
      <alignment horizontal="centerContinuous"/>
    </xf>
    <xf numFmtId="168" fontId="5" fillId="0" borderId="4" xfId="7" applyFont="1" applyFill="1" applyBorder="1"/>
    <xf numFmtId="168" fontId="5" fillId="0" borderId="0" xfId="7" applyFont="1" applyFill="1" applyBorder="1" applyAlignment="1">
      <alignment horizontal="center"/>
    </xf>
    <xf numFmtId="168" fontId="5" fillId="0" borderId="6" xfId="7" applyFont="1" applyFill="1" applyBorder="1"/>
    <xf numFmtId="168" fontId="5" fillId="0" borderId="0" xfId="7" applyFont="1" applyFill="1" applyBorder="1"/>
    <xf numFmtId="168" fontId="6" fillId="0" borderId="0" xfId="7" applyFont="1" applyFill="1" applyBorder="1" applyAlignment="1">
      <alignment horizontal="centerContinuous"/>
    </xf>
    <xf numFmtId="168" fontId="5" fillId="0" borderId="0" xfId="7" applyFont="1" applyFill="1" applyAlignment="1">
      <alignment horizontal="center"/>
    </xf>
    <xf numFmtId="168" fontId="6" fillId="0" borderId="0" xfId="7" applyFont="1"/>
    <xf numFmtId="0" fontId="5" fillId="0" borderId="0" xfId="8" applyFont="1" applyFill="1"/>
    <xf numFmtId="0" fontId="5" fillId="0" borderId="0" xfId="8" applyFont="1" applyFill="1" applyBorder="1"/>
    <xf numFmtId="2" fontId="5" fillId="0" borderId="0" xfId="0" applyNumberFormat="1" applyFont="1" applyFill="1" applyBorder="1" applyAlignment="1">
      <alignment horizontal="left"/>
    </xf>
    <xf numFmtId="168" fontId="5" fillId="0" borderId="4" xfId="7" applyFont="1" applyFill="1" applyBorder="1" applyAlignment="1">
      <alignment horizontal="right"/>
    </xf>
    <xf numFmtId="41" fontId="5" fillId="0" borderId="0" xfId="7" applyNumberFormat="1" applyFont="1" applyFill="1" applyBorder="1" applyProtection="1"/>
    <xf numFmtId="168" fontId="5" fillId="0" borderId="0" xfId="7" applyFont="1" applyFill="1" applyBorder="1" applyAlignment="1">
      <alignment horizontal="right"/>
    </xf>
    <xf numFmtId="41" fontId="5" fillId="0" borderId="0" xfId="7" applyNumberFormat="1" applyFont="1" applyFill="1" applyProtection="1"/>
    <xf numFmtId="168" fontId="5" fillId="0" borderId="0" xfId="7" applyFont="1" applyFill="1" applyAlignment="1">
      <alignment horizontal="right"/>
    </xf>
    <xf numFmtId="41" fontId="5" fillId="0" borderId="5" xfId="7" applyNumberFormat="1" applyFont="1" applyFill="1" applyBorder="1" applyProtection="1"/>
    <xf numFmtId="168" fontId="7" fillId="0" borderId="0" xfId="7" applyFont="1" applyFill="1" applyBorder="1"/>
    <xf numFmtId="41" fontId="5" fillId="0" borderId="0" xfId="8" applyNumberFormat="1" applyFont="1" applyFill="1" applyBorder="1" applyAlignment="1">
      <alignment horizontal="left"/>
    </xf>
    <xf numFmtId="2" fontId="6" fillId="0" borderId="0" xfId="0" applyNumberFormat="1" applyFont="1" applyFill="1" applyBorder="1" applyAlignment="1">
      <alignment horizontal="left"/>
    </xf>
    <xf numFmtId="41" fontId="5" fillId="0" borderId="0" xfId="8" applyNumberFormat="1" applyFont="1" applyFill="1" applyBorder="1"/>
    <xf numFmtId="41" fontId="6" fillId="0" borderId="0" xfId="8" applyNumberFormat="1" applyFont="1" applyFill="1" applyBorder="1" applyAlignment="1">
      <alignment horizontal="left"/>
    </xf>
    <xf numFmtId="168" fontId="5" fillId="0" borderId="4" xfId="7" applyFont="1" applyFill="1" applyBorder="1" applyAlignment="1"/>
    <xf numFmtId="168" fontId="5" fillId="0" borderId="0" xfId="7" applyFont="1" applyFill="1" applyBorder="1" applyAlignment="1"/>
    <xf numFmtId="0" fontId="6" fillId="0" borderId="0" xfId="8" applyNumberFormat="1" applyFont="1" applyFill="1" applyBorder="1" applyAlignment="1">
      <alignment horizontal="left"/>
    </xf>
    <xf numFmtId="168" fontId="5" fillId="0" borderId="4" xfId="7" applyFont="1" applyFill="1" applyBorder="1" applyAlignment="1">
      <alignment horizontal="center"/>
    </xf>
    <xf numFmtId="49" fontId="5" fillId="0" borderId="0" xfId="7" applyNumberFormat="1" applyFont="1" applyFill="1" applyBorder="1" applyAlignment="1">
      <alignment horizontal="center"/>
    </xf>
    <xf numFmtId="0" fontId="6" fillId="0" borderId="0" xfId="8" applyFont="1" applyFill="1"/>
    <xf numFmtId="41" fontId="5" fillId="0" borderId="4" xfId="7" applyNumberFormat="1" applyFont="1" applyFill="1" applyBorder="1" applyAlignment="1">
      <alignment horizontal="center"/>
    </xf>
    <xf numFmtId="41" fontId="5" fillId="0" borderId="0" xfId="7" applyNumberFormat="1" applyFont="1" applyFill="1" applyBorder="1" applyAlignment="1">
      <alignment horizontal="center"/>
    </xf>
    <xf numFmtId="1" fontId="16" fillId="0" borderId="0" xfId="7" applyNumberFormat="1" applyFont="1" applyFill="1" applyBorder="1" applyAlignment="1" applyProtection="1">
      <alignment horizontal="center"/>
    </xf>
    <xf numFmtId="41" fontId="5" fillId="0" borderId="8" xfId="7" applyNumberFormat="1" applyFont="1" applyFill="1" applyBorder="1" applyProtection="1"/>
    <xf numFmtId="41" fontId="5" fillId="0" borderId="0" xfId="7" applyNumberFormat="1" applyFont="1" applyFill="1" applyBorder="1" applyAlignment="1">
      <alignment horizontal="left"/>
    </xf>
    <xf numFmtId="41" fontId="7" fillId="0" borderId="0" xfId="7" applyNumberFormat="1" applyFont="1" applyFill="1" applyBorder="1" applyProtection="1"/>
    <xf numFmtId="168" fontId="7" fillId="0" borderId="6" xfId="7" applyFont="1" applyFill="1" applyBorder="1"/>
    <xf numFmtId="41" fontId="7" fillId="0" borderId="0" xfId="7" applyNumberFormat="1" applyFont="1" applyFill="1" applyBorder="1" applyAlignment="1">
      <alignment horizontal="left"/>
    </xf>
    <xf numFmtId="41" fontId="7" fillId="0" borderId="0" xfId="7" applyNumberFormat="1" applyFont="1" applyFill="1" applyBorder="1"/>
    <xf numFmtId="41" fontId="5" fillId="0" borderId="0" xfId="7" applyNumberFormat="1" applyFont="1" applyFill="1" applyBorder="1"/>
    <xf numFmtId="41" fontId="5" fillId="0" borderId="0" xfId="7" applyNumberFormat="1" applyFont="1" applyFill="1"/>
    <xf numFmtId="41" fontId="5" fillId="0" borderId="5" xfId="7" applyNumberFormat="1" applyFont="1" applyFill="1" applyBorder="1"/>
    <xf numFmtId="37" fontId="5" fillId="0" borderId="0" xfId="7" applyNumberFormat="1" applyFont="1" applyFill="1" applyBorder="1"/>
    <xf numFmtId="41" fontId="5" fillId="0" borderId="8" xfId="7" applyNumberFormat="1" applyFont="1" applyFill="1" applyBorder="1"/>
    <xf numFmtId="168" fontId="7" fillId="0" borderId="9" xfId="7" applyFont="1" applyFill="1" applyBorder="1"/>
    <xf numFmtId="168" fontId="7" fillId="0" borderId="10" xfId="7" applyFont="1" applyFill="1" applyBorder="1"/>
    <xf numFmtId="168" fontId="7" fillId="0" borderId="0" xfId="7" applyFont="1" applyBorder="1"/>
    <xf numFmtId="0" fontId="17" fillId="0" borderId="0" xfId="0" applyFont="1" applyFill="1" applyBorder="1" applyAlignment="1">
      <alignment horizontal="center"/>
    </xf>
    <xf numFmtId="0" fontId="17" fillId="0" borderId="0" xfId="0" applyNumberFormat="1" applyFont="1" applyFill="1" applyBorder="1" applyAlignment="1">
      <alignment horizontal="center"/>
    </xf>
    <xf numFmtId="16" fontId="5" fillId="0" borderId="0" xfId="0" applyNumberFormat="1" applyFont="1" applyFill="1" applyBorder="1" applyAlignment="1">
      <alignment horizontal="centerContinuous"/>
    </xf>
    <xf numFmtId="2" fontId="5" fillId="0" borderId="0" xfId="0" applyNumberFormat="1" applyFont="1" applyFill="1"/>
    <xf numFmtId="41" fontId="6" fillId="0" borderId="0" xfId="0" applyNumberFormat="1" applyFont="1" applyFill="1" applyBorder="1" applyAlignment="1">
      <alignment horizontal="left"/>
    </xf>
    <xf numFmtId="2" fontId="3" fillId="0" borderId="0" xfId="0" applyNumberFormat="1" applyFont="1" applyFill="1"/>
    <xf numFmtId="165" fontId="5" fillId="0" borderId="0" xfId="0" applyNumberFormat="1" applyFont="1" applyFill="1" applyBorder="1"/>
    <xf numFmtId="2" fontId="5" fillId="0" borderId="0" xfId="0" applyNumberFormat="1" applyFont="1" applyFill="1" applyBorder="1"/>
    <xf numFmtId="2" fontId="5" fillId="0" borderId="0" xfId="0" applyNumberFormat="1" applyFont="1" applyFill="1" applyAlignment="1"/>
    <xf numFmtId="2" fontId="3" fillId="0" borderId="0" xfId="0" applyNumberFormat="1" applyFont="1" applyFill="1" applyAlignment="1"/>
    <xf numFmtId="167" fontId="3" fillId="0" borderId="0" xfId="0" applyNumberFormat="1" applyFont="1" applyFill="1"/>
    <xf numFmtId="167" fontId="3" fillId="0" borderId="0" xfId="0" applyNumberFormat="1" applyFont="1" applyFill="1" applyAlignment="1"/>
    <xf numFmtId="2" fontId="5" fillId="0" borderId="0" xfId="0" applyNumberFormat="1" applyFont="1" applyFill="1" applyBorder="1" applyAlignment="1"/>
    <xf numFmtId="170" fontId="5" fillId="0" borderId="0" xfId="0" applyNumberFormat="1" applyFont="1" applyFill="1" applyBorder="1" applyAlignment="1"/>
    <xf numFmtId="0" fontId="3" fillId="0" borderId="0" xfId="0" applyFont="1" applyFill="1" applyBorder="1" applyAlignment="1"/>
    <xf numFmtId="165" fontId="5" fillId="0" borderId="0" xfId="0" applyNumberFormat="1" applyFont="1" applyFill="1" applyBorder="1" applyAlignment="1" applyProtection="1"/>
    <xf numFmtId="165" fontId="5" fillId="0" borderId="0" xfId="0" applyNumberFormat="1" applyFont="1" applyFill="1" applyAlignment="1" applyProtection="1">
      <alignment horizontal="right"/>
    </xf>
    <xf numFmtId="165" fontId="5" fillId="0" borderId="0" xfId="0" applyNumberFormat="1" applyFont="1" applyFill="1" applyBorder="1" applyAlignment="1"/>
    <xf numFmtId="165" fontId="3" fillId="0" borderId="0" xfId="0" applyNumberFormat="1" applyFont="1" applyFill="1" applyAlignment="1"/>
    <xf numFmtId="167" fontId="5" fillId="0" borderId="0" xfId="0" applyNumberFormat="1" applyFont="1" applyFill="1" applyBorder="1" applyAlignment="1"/>
    <xf numFmtId="167" fontId="7" fillId="0" borderId="0" xfId="0" applyNumberFormat="1" applyFont="1" applyFill="1" applyBorder="1" applyAlignment="1" applyProtection="1"/>
    <xf numFmtId="165" fontId="5" fillId="0" borderId="0" xfId="0" applyNumberFormat="1" applyFont="1" applyFill="1" applyBorder="1" applyAlignment="1" applyProtection="1">
      <alignment horizontal="right"/>
    </xf>
    <xf numFmtId="173" fontId="5" fillId="0" borderId="0" xfId="0" applyNumberFormat="1" applyFont="1" applyFill="1" applyBorder="1" applyAlignment="1"/>
    <xf numFmtId="0" fontId="11" fillId="0" borderId="0" xfId="0" quotePrefix="1" applyFont="1" applyFill="1" applyAlignment="1">
      <alignment horizontal="left" vertical="top"/>
    </xf>
    <xf numFmtId="167" fontId="3" fillId="0" borderId="0" xfId="0" applyNumberFormat="1" applyFont="1" applyFill="1" applyBorder="1"/>
    <xf numFmtId="170" fontId="3" fillId="0" borderId="0" xfId="0" applyNumberFormat="1" applyFont="1" applyFill="1"/>
    <xf numFmtId="0" fontId="2" fillId="0" borderId="0" xfId="0" applyFont="1" applyBorder="1" applyAlignment="1">
      <alignment horizontal="center"/>
    </xf>
    <xf numFmtId="41" fontId="5" fillId="0" borderId="0" xfId="0" applyNumberFormat="1" applyFont="1" applyBorder="1" applyAlignment="1"/>
    <xf numFmtId="49" fontId="5" fillId="0" borderId="0" xfId="0" applyNumberFormat="1" applyFont="1" applyBorder="1" applyAlignment="1"/>
    <xf numFmtId="49" fontId="5" fillId="0" borderId="0" xfId="0" applyNumberFormat="1" applyFont="1" applyBorder="1" applyAlignment="1">
      <alignment horizontal="center"/>
    </xf>
    <xf numFmtId="41" fontId="5" fillId="0" borderId="0" xfId="0" applyNumberFormat="1" applyFont="1" applyBorder="1"/>
    <xf numFmtId="174" fontId="5" fillId="0" borderId="0" xfId="0" applyNumberFormat="1" applyFont="1" applyBorder="1" applyAlignment="1">
      <alignment horizontal="center"/>
    </xf>
    <xf numFmtId="174" fontId="5" fillId="0" borderId="0" xfId="0" applyNumberFormat="1" applyFont="1" applyBorder="1" applyAlignment="1"/>
    <xf numFmtId="174" fontId="5" fillId="0" borderId="0" xfId="0" applyNumberFormat="1" applyFont="1" applyFill="1" applyBorder="1" applyAlignment="1">
      <alignment horizontal="center"/>
    </xf>
    <xf numFmtId="2" fontId="6" fillId="0" borderId="0" xfId="0" applyNumberFormat="1" applyFont="1" applyBorder="1" applyAlignment="1">
      <alignment horizontal="left"/>
    </xf>
    <xf numFmtId="2" fontId="5" fillId="0" borderId="0" xfId="0" applyNumberFormat="1" applyFont="1"/>
    <xf numFmtId="2" fontId="5" fillId="0" borderId="0" xfId="0" applyNumberFormat="1" applyFont="1" applyBorder="1" applyAlignment="1">
      <alignment horizontal="left"/>
    </xf>
    <xf numFmtId="0" fontId="5" fillId="0" borderId="0" xfId="0" applyFont="1" applyAlignment="1" applyProtection="1">
      <alignment horizontal="right"/>
    </xf>
    <xf numFmtId="2" fontId="5" fillId="0" borderId="0" xfId="0" applyNumberFormat="1" applyFont="1" applyBorder="1"/>
    <xf numFmtId="41" fontId="5" fillId="0" borderId="0" xfId="0" applyNumberFormat="1" applyFont="1" applyBorder="1" applyProtection="1"/>
    <xf numFmtId="0" fontId="5" fillId="0" borderId="0" xfId="0" applyFont="1" applyAlignment="1">
      <alignment horizontal="center"/>
    </xf>
    <xf numFmtId="167" fontId="5" fillId="0" borderId="0" xfId="0" applyNumberFormat="1" applyFont="1" applyFill="1"/>
    <xf numFmtId="2" fontId="3" fillId="0" borderId="0" xfId="0" applyNumberFormat="1" applyFont="1" applyFill="1" applyBorder="1"/>
    <xf numFmtId="0" fontId="7" fillId="0" borderId="0" xfId="8" applyFont="1"/>
    <xf numFmtId="0" fontId="7" fillId="0" borderId="0" xfId="14" applyFont="1"/>
    <xf numFmtId="0" fontId="7" fillId="0" borderId="0" xfId="14" applyFont="1" applyFill="1"/>
    <xf numFmtId="0" fontId="6" fillId="0" borderId="0" xfId="14" applyFont="1" applyAlignment="1">
      <alignment horizontal="center"/>
    </xf>
    <xf numFmtId="0" fontId="5" fillId="0" borderId="0" xfId="14" applyFont="1"/>
    <xf numFmtId="0" fontId="5" fillId="0" borderId="0" xfId="14" applyFont="1" applyFill="1" applyAlignment="1">
      <alignment horizontal="center"/>
    </xf>
    <xf numFmtId="0" fontId="5" fillId="0" borderId="0" xfId="14" applyFont="1" applyBorder="1" applyAlignment="1">
      <alignment horizontal="center"/>
    </xf>
    <xf numFmtId="0" fontId="5" fillId="0" borderId="0" xfId="14" applyFont="1" applyFill="1" applyBorder="1" applyAlignment="1">
      <alignment horizontal="center"/>
    </xf>
    <xf numFmtId="49" fontId="5" fillId="0" borderId="0" xfId="14" applyNumberFormat="1" applyFont="1" applyFill="1" applyBorder="1" applyAlignment="1">
      <alignment horizontal="center"/>
    </xf>
    <xf numFmtId="0" fontId="5" fillId="0" borderId="0" xfId="14" applyFont="1" applyFill="1"/>
    <xf numFmtId="0" fontId="5" fillId="0" borderId="0" xfId="14" applyFont="1" applyFill="1" applyBorder="1" applyAlignment="1">
      <alignment horizontal="center" wrapText="1"/>
    </xf>
    <xf numFmtId="0" fontId="5" fillId="0" borderId="5" xfId="14" applyFont="1" applyFill="1" applyBorder="1" applyAlignment="1">
      <alignment horizontal="center"/>
    </xf>
    <xf numFmtId="0" fontId="6" fillId="0" borderId="0" xfId="14" applyFont="1"/>
    <xf numFmtId="0" fontId="5" fillId="0" borderId="0" xfId="14" applyFont="1" applyFill="1" applyBorder="1"/>
    <xf numFmtId="41" fontId="5" fillId="0" borderId="0" xfId="14" applyNumberFormat="1" applyFont="1" applyFill="1"/>
    <xf numFmtId="0" fontId="9" fillId="0" borderId="0" xfId="14" quotePrefix="1" applyFont="1" applyFill="1"/>
    <xf numFmtId="164" fontId="5" fillId="0" borderId="0" xfId="1" applyNumberFormat="1" applyFont="1" applyFill="1"/>
    <xf numFmtId="167" fontId="5" fillId="0" borderId="0" xfId="14" applyNumberFormat="1" applyFont="1" applyFill="1"/>
    <xf numFmtId="165" fontId="5" fillId="0" borderId="0" xfId="14" applyNumberFormat="1" applyFont="1" applyFill="1"/>
    <xf numFmtId="165" fontId="5" fillId="0" borderId="0" xfId="14" applyNumberFormat="1" applyFont="1" applyFill="1" applyBorder="1"/>
    <xf numFmtId="0" fontId="6" fillId="0" borderId="0" xfId="14" applyFont="1" applyFill="1" applyAlignment="1">
      <alignment horizontal="center"/>
    </xf>
    <xf numFmtId="41" fontId="5" fillId="0" borderId="0" xfId="14" applyNumberFormat="1" applyFont="1" applyFill="1" applyBorder="1"/>
    <xf numFmtId="41" fontId="7" fillId="0" borderId="0" xfId="14" applyNumberFormat="1" applyFont="1" applyFill="1"/>
    <xf numFmtId="165" fontId="7" fillId="0" borderId="0" xfId="14" applyNumberFormat="1" applyFont="1" applyFill="1"/>
    <xf numFmtId="165" fontId="7" fillId="0" borderId="0" xfId="14" applyNumberFormat="1" applyFont="1" applyFill="1" applyBorder="1"/>
    <xf numFmtId="0" fontId="5" fillId="0" borderId="0" xfId="1" applyNumberFormat="1" applyFont="1" applyFill="1" applyAlignment="1">
      <alignment vertical="top" wrapText="1"/>
    </xf>
    <xf numFmtId="0" fontId="3" fillId="0" borderId="0" xfId="14" applyFont="1" applyAlignment="1">
      <alignment vertical="top"/>
    </xf>
    <xf numFmtId="0" fontId="3" fillId="0" borderId="0" xfId="14" applyFont="1" applyFill="1" applyAlignment="1">
      <alignment vertical="top"/>
    </xf>
    <xf numFmtId="0" fontId="7" fillId="0" borderId="0" xfId="14" applyFont="1" applyAlignment="1">
      <alignment vertical="top"/>
    </xf>
    <xf numFmtId="0" fontId="7" fillId="0" borderId="0" xfId="14" applyFont="1" applyFill="1" applyAlignment="1">
      <alignment vertical="top"/>
    </xf>
    <xf numFmtId="168" fontId="6" fillId="0" borderId="0" xfId="7" applyFont="1" applyFill="1" applyAlignment="1">
      <alignment horizontal="right"/>
    </xf>
    <xf numFmtId="168" fontId="6" fillId="0" borderId="1" xfId="7" applyFont="1" applyFill="1" applyBorder="1" applyAlignment="1">
      <alignment horizontal="right"/>
    </xf>
    <xf numFmtId="168" fontId="6" fillId="0" borderId="0" xfId="7" applyFont="1" applyFill="1" applyBorder="1" applyAlignment="1">
      <alignment horizontal="right"/>
    </xf>
    <xf numFmtId="168" fontId="5" fillId="0" borderId="0" xfId="7" applyFont="1" applyFill="1" applyBorder="1" applyAlignment="1">
      <alignment horizontal="centerContinuous"/>
    </xf>
    <xf numFmtId="168" fontId="6" fillId="0" borderId="4" xfId="7" applyFont="1" applyFill="1" applyBorder="1" applyAlignment="1">
      <alignment horizontal="right"/>
    </xf>
    <xf numFmtId="2" fontId="6" fillId="0" borderId="0" xfId="8" applyNumberFormat="1" applyFont="1" applyFill="1" applyBorder="1" applyAlignment="1">
      <alignment horizontal="left"/>
    </xf>
    <xf numFmtId="2" fontId="5" fillId="0" borderId="0" xfId="8" applyNumberFormat="1" applyFont="1" applyFill="1" applyBorder="1" applyAlignment="1">
      <alignment horizontal="left"/>
    </xf>
    <xf numFmtId="2" fontId="5" fillId="0" borderId="0" xfId="8" applyNumberFormat="1" applyFont="1" applyFill="1"/>
    <xf numFmtId="41" fontId="5" fillId="0" borderId="0" xfId="8" applyNumberFormat="1" applyFont="1" applyFill="1" applyBorder="1" applyProtection="1"/>
    <xf numFmtId="2" fontId="5" fillId="0" borderId="6" xfId="8" applyNumberFormat="1" applyFont="1" applyFill="1" applyBorder="1" applyAlignment="1">
      <alignment horizontal="left"/>
    </xf>
    <xf numFmtId="167" fontId="15" fillId="0" borderId="0" xfId="7" applyNumberFormat="1" applyFont="1" applyFill="1" applyBorder="1" applyProtection="1"/>
    <xf numFmtId="41" fontId="5" fillId="0" borderId="5" xfId="8" applyNumberFormat="1" applyFont="1" applyFill="1" applyBorder="1" applyProtection="1"/>
    <xf numFmtId="167" fontId="5" fillId="0" borderId="0" xfId="7" applyNumberFormat="1" applyFont="1" applyFill="1" applyBorder="1" applyProtection="1"/>
    <xf numFmtId="2" fontId="5" fillId="0" borderId="6" xfId="0" applyNumberFormat="1" applyFont="1" applyFill="1" applyBorder="1" applyAlignment="1">
      <alignment horizontal="left"/>
    </xf>
    <xf numFmtId="2" fontId="5" fillId="0" borderId="0" xfId="8" applyNumberFormat="1" applyFont="1" applyFill="1" applyBorder="1"/>
    <xf numFmtId="167" fontId="15" fillId="0" borderId="6" xfId="7" applyNumberFormat="1" applyFont="1" applyFill="1" applyBorder="1" applyProtection="1"/>
    <xf numFmtId="167" fontId="5" fillId="0" borderId="5" xfId="7" applyNumberFormat="1" applyFont="1" applyFill="1" applyBorder="1" applyProtection="1"/>
    <xf numFmtId="167" fontId="5" fillId="0" borderId="12" xfId="7" applyNumberFormat="1" applyFont="1" applyFill="1" applyBorder="1" applyProtection="1"/>
    <xf numFmtId="168" fontId="5" fillId="0" borderId="9" xfId="7" applyFont="1" applyFill="1" applyBorder="1" applyAlignment="1">
      <alignment horizontal="right"/>
    </xf>
    <xf numFmtId="167" fontId="5" fillId="0" borderId="10" xfId="7" applyNumberFormat="1" applyFont="1" applyFill="1" applyBorder="1" applyProtection="1"/>
    <xf numFmtId="2" fontId="5" fillId="0" borderId="0" xfId="7" applyNumberFormat="1" applyFont="1" applyFill="1"/>
    <xf numFmtId="2" fontId="5" fillId="0" borderId="0" xfId="7" applyNumberFormat="1" applyFont="1" applyFill="1" applyBorder="1" applyAlignment="1">
      <alignment horizontal="right"/>
    </xf>
    <xf numFmtId="2" fontId="5" fillId="0" borderId="0" xfId="7" applyNumberFormat="1" applyFont="1" applyFill="1" applyBorder="1"/>
    <xf numFmtId="2" fontId="5" fillId="0" borderId="0" xfId="7" applyNumberFormat="1" applyFont="1" applyFill="1" applyAlignment="1">
      <alignment horizontal="right"/>
    </xf>
    <xf numFmtId="167" fontId="5" fillId="0" borderId="0" xfId="7" applyNumberFormat="1" applyFont="1" applyFill="1" applyBorder="1" applyAlignment="1">
      <alignment horizontal="right"/>
    </xf>
    <xf numFmtId="167" fontId="5" fillId="0" borderId="0" xfId="7" applyNumberFormat="1" applyFont="1" applyFill="1" applyBorder="1"/>
    <xf numFmtId="2" fontId="9" fillId="0" borderId="0" xfId="7" quotePrefix="1" applyNumberFormat="1" applyFont="1" applyFill="1" applyAlignment="1">
      <alignment horizontal="center" vertical="top"/>
    </xf>
    <xf numFmtId="2" fontId="5" fillId="0" borderId="0" xfId="7" applyNumberFormat="1" applyFont="1" applyFill="1" applyAlignment="1">
      <alignment vertical="top"/>
    </xf>
    <xf numFmtId="168" fontId="7" fillId="0" borderId="0" xfId="7" applyFont="1" applyFill="1" applyBorder="1" applyAlignment="1">
      <alignment horizontal="right"/>
    </xf>
    <xf numFmtId="168" fontId="7" fillId="0" borderId="0" xfId="7" applyFont="1" applyFill="1" applyAlignment="1">
      <alignment horizontal="right"/>
    </xf>
    <xf numFmtId="167" fontId="5" fillId="0" borderId="4" xfId="7" applyNumberFormat="1" applyFont="1" applyFill="1" applyBorder="1" applyAlignment="1">
      <alignment horizontal="right"/>
    </xf>
    <xf numFmtId="165" fontId="5" fillId="0" borderId="0" xfId="7" applyNumberFormat="1" applyFont="1" applyFill="1" applyBorder="1" applyProtection="1"/>
    <xf numFmtId="2" fontId="6" fillId="0" borderId="0" xfId="7" applyNumberFormat="1" applyFont="1" applyFill="1" applyAlignment="1">
      <alignment horizontal="left"/>
    </xf>
    <xf numFmtId="2" fontId="6" fillId="0" borderId="0" xfId="7" applyNumberFormat="1" applyFont="1" applyFill="1" applyBorder="1" applyAlignment="1">
      <alignment horizontal="right"/>
    </xf>
    <xf numFmtId="2" fontId="6" fillId="0" borderId="0" xfId="7" applyNumberFormat="1" applyFont="1" applyFill="1" applyBorder="1" applyAlignment="1">
      <alignment horizontal="left"/>
    </xf>
    <xf numFmtId="167" fontId="7" fillId="0" borderId="0" xfId="7" applyNumberFormat="1" applyFont="1" applyFill="1" applyBorder="1"/>
    <xf numFmtId="2" fontId="5" fillId="0" borderId="0" xfId="7" applyNumberFormat="1" applyFont="1" applyFill="1" applyBorder="1" applyAlignment="1">
      <alignment vertical="top"/>
    </xf>
    <xf numFmtId="0" fontId="5" fillId="0" borderId="0" xfId="12" applyFont="1" applyFill="1" applyAlignment="1">
      <alignment horizontal="right" vertical="top"/>
    </xf>
    <xf numFmtId="0" fontId="5" fillId="0" borderId="0" xfId="12" applyFont="1" applyFill="1" applyAlignment="1">
      <alignment horizontal="left" vertical="top"/>
    </xf>
    <xf numFmtId="168" fontId="7" fillId="0" borderId="0" xfId="7" applyFont="1" applyFill="1" applyAlignment="1">
      <alignment vertical="top"/>
    </xf>
    <xf numFmtId="175" fontId="5" fillId="0" borderId="0" xfId="7" applyNumberFormat="1" applyFont="1" applyFill="1"/>
    <xf numFmtId="176" fontId="5" fillId="0" borderId="0" xfId="7" applyNumberFormat="1" applyFont="1" applyFill="1"/>
    <xf numFmtId="167" fontId="15" fillId="0" borderId="11" xfId="7" applyNumberFormat="1" applyFont="1" applyFill="1" applyBorder="1" applyProtection="1"/>
    <xf numFmtId="2" fontId="7" fillId="0" borderId="0" xfId="7" applyNumberFormat="1" applyFont="1" applyFill="1" applyAlignment="1">
      <alignment horizontal="right"/>
    </xf>
    <xf numFmtId="2" fontId="7" fillId="0" borderId="0" xfId="7" applyNumberFormat="1" applyFont="1" applyFill="1"/>
    <xf numFmtId="2" fontId="6" fillId="0" borderId="0" xfId="7" applyNumberFormat="1" applyFont="1" applyFill="1" applyBorder="1" applyAlignment="1">
      <alignment horizontal="centerContinuous"/>
    </xf>
    <xf numFmtId="165" fontId="5" fillId="0" borderId="0" xfId="7" applyNumberFormat="1" applyFont="1" applyFill="1" applyBorder="1"/>
    <xf numFmtId="41" fontId="5" fillId="0" borderId="6" xfId="7" applyNumberFormat="1" applyFont="1" applyFill="1" applyBorder="1" applyProtection="1"/>
    <xf numFmtId="41" fontId="5" fillId="0" borderId="6" xfId="8" applyNumberFormat="1" applyFont="1" applyFill="1" applyBorder="1" applyProtection="1"/>
    <xf numFmtId="177" fontId="5" fillId="0" borderId="0" xfId="7" applyNumberFormat="1" applyFont="1" applyFill="1" applyBorder="1" applyProtection="1"/>
    <xf numFmtId="0" fontId="7" fillId="0" borderId="0" xfId="12" applyFill="1"/>
    <xf numFmtId="0" fontId="5" fillId="0" borderId="0" xfId="12" applyFont="1" applyFill="1"/>
    <xf numFmtId="0" fontId="5" fillId="0" borderId="0" xfId="12" applyFont="1" applyFill="1" applyBorder="1"/>
    <xf numFmtId="0" fontId="5" fillId="0" borderId="1" xfId="12" applyFont="1" applyFill="1" applyBorder="1"/>
    <xf numFmtId="0" fontId="5" fillId="0" borderId="2" xfId="12" applyFont="1" applyFill="1" applyBorder="1" applyAlignment="1">
      <alignment horizontal="center"/>
    </xf>
    <xf numFmtId="0" fontId="5" fillId="0" borderId="3" xfId="12" applyFont="1" applyFill="1" applyBorder="1" applyAlignment="1">
      <alignment horizontal="center"/>
    </xf>
    <xf numFmtId="0" fontId="5" fillId="0" borderId="0" xfId="12" applyFont="1" applyFill="1" applyBorder="1" applyAlignment="1">
      <alignment horizontal="center"/>
    </xf>
    <xf numFmtId="0" fontId="7" fillId="0" borderId="0" xfId="12" applyFill="1" applyBorder="1"/>
    <xf numFmtId="0" fontId="5" fillId="0" borderId="4" xfId="12" applyFont="1" applyFill="1" applyBorder="1"/>
    <xf numFmtId="0" fontId="5" fillId="0" borderId="5" xfId="12" applyFont="1" applyFill="1" applyBorder="1" applyAlignment="1">
      <alignment horizontal="center"/>
    </xf>
    <xf numFmtId="0" fontId="5" fillId="0" borderId="6" xfId="12" applyFont="1" applyFill="1" applyBorder="1" applyAlignment="1">
      <alignment horizontal="center"/>
    </xf>
    <xf numFmtId="2" fontId="6" fillId="0" borderId="0" xfId="12" applyNumberFormat="1" applyFont="1" applyFill="1"/>
    <xf numFmtId="2" fontId="5" fillId="0" borderId="0" xfId="12" applyNumberFormat="1" applyFont="1" applyFill="1"/>
    <xf numFmtId="0" fontId="5" fillId="0" borderId="6" xfId="12" applyFont="1" applyFill="1" applyBorder="1"/>
    <xf numFmtId="178" fontId="5" fillId="0" borderId="6" xfId="12" applyNumberFormat="1" applyFont="1" applyFill="1" applyBorder="1"/>
    <xf numFmtId="178" fontId="5" fillId="0" borderId="0" xfId="12" applyNumberFormat="1" applyFont="1" applyFill="1" applyBorder="1"/>
    <xf numFmtId="165" fontId="5" fillId="0" borderId="0" xfId="12" applyNumberFormat="1" applyFont="1" applyFill="1" applyBorder="1"/>
    <xf numFmtId="165" fontId="5" fillId="0" borderId="6" xfId="12" applyNumberFormat="1" applyFont="1" applyFill="1" applyBorder="1"/>
    <xf numFmtId="0" fontId="5" fillId="0" borderId="9" xfId="12" applyFont="1" applyFill="1" applyBorder="1"/>
    <xf numFmtId="0" fontId="5" fillId="0" borderId="10" xfId="12" applyFont="1" applyFill="1" applyBorder="1"/>
    <xf numFmtId="0" fontId="5" fillId="0" borderId="11" xfId="12" applyFont="1" applyFill="1" applyBorder="1"/>
    <xf numFmtId="0" fontId="11" fillId="0" borderId="0" xfId="12" quotePrefix="1" applyFont="1" applyFill="1" applyAlignment="1">
      <alignment vertical="top"/>
    </xf>
    <xf numFmtId="0" fontId="5" fillId="0" borderId="0" xfId="5" applyFont="1"/>
    <xf numFmtId="0" fontId="6" fillId="0" borderId="0" xfId="5" applyFont="1" applyAlignment="1">
      <alignment horizontal="center"/>
    </xf>
    <xf numFmtId="0" fontId="6" fillId="0" borderId="0" xfId="5" applyFont="1" applyFill="1" applyAlignment="1">
      <alignment horizontal="center"/>
    </xf>
    <xf numFmtId="0" fontId="5" fillId="0" borderId="0" xfId="5" applyFont="1" applyFill="1"/>
    <xf numFmtId="0" fontId="5" fillId="0" borderId="0" xfId="5" applyFont="1" applyFill="1" applyAlignment="1">
      <alignment horizontal="center"/>
    </xf>
    <xf numFmtId="0" fontId="5" fillId="0" borderId="0" xfId="5" applyFont="1" applyFill="1" applyBorder="1" applyAlignment="1">
      <alignment horizontal="center"/>
    </xf>
    <xf numFmtId="49" fontId="5" fillId="0" borderId="0" xfId="0" applyNumberFormat="1" applyFont="1" applyFill="1" applyBorder="1" applyAlignment="1">
      <alignment horizontal="center"/>
    </xf>
    <xf numFmtId="0" fontId="5" fillId="0" borderId="5" xfId="5" applyFont="1" applyBorder="1"/>
    <xf numFmtId="0" fontId="5" fillId="0" borderId="5" xfId="5" applyFont="1" applyFill="1" applyBorder="1" applyAlignment="1">
      <alignment horizontal="center"/>
    </xf>
    <xf numFmtId="169" fontId="5" fillId="0" borderId="0" xfId="5" applyNumberFormat="1" applyFont="1"/>
    <xf numFmtId="41" fontId="5" fillId="0" borderId="0" xfId="5" applyNumberFormat="1" applyFont="1" applyFill="1"/>
    <xf numFmtId="169" fontId="5" fillId="0" borderId="0" xfId="5" applyNumberFormat="1" applyFont="1" applyFill="1"/>
    <xf numFmtId="179" fontId="5" fillId="0" borderId="0" xfId="18" applyNumberFormat="1" applyFont="1" applyFill="1"/>
    <xf numFmtId="41" fontId="5" fillId="0" borderId="0" xfId="5" applyNumberFormat="1" applyFont="1" applyFill="1" applyBorder="1"/>
    <xf numFmtId="0" fontId="5" fillId="0" borderId="0" xfId="5" applyFont="1" applyFill="1" applyBorder="1"/>
    <xf numFmtId="179" fontId="5" fillId="0" borderId="0" xfId="5" quotePrefix="1" applyNumberFormat="1" applyFont="1" applyFill="1" applyBorder="1" applyAlignment="1">
      <alignment horizontal="center"/>
    </xf>
    <xf numFmtId="41" fontId="5" fillId="0" borderId="5" xfId="5" applyNumberFormat="1" applyFont="1" applyFill="1" applyBorder="1"/>
    <xf numFmtId="179" fontId="5" fillId="0" borderId="0" xfId="5" applyNumberFormat="1" applyFont="1" applyFill="1" applyBorder="1" applyAlignment="1">
      <alignment horizontal="center"/>
    </xf>
    <xf numFmtId="0" fontId="5" fillId="0" borderId="0" xfId="5" applyFont="1" applyBorder="1"/>
    <xf numFmtId="179" fontId="5" fillId="0" borderId="0" xfId="5" applyNumberFormat="1" applyFont="1" applyFill="1" applyBorder="1"/>
    <xf numFmtId="41" fontId="5" fillId="0" borderId="8" xfId="5" applyNumberFormat="1" applyFont="1" applyFill="1" applyBorder="1"/>
    <xf numFmtId="164" fontId="5" fillId="0" borderId="0" xfId="1" applyNumberFormat="1" applyFont="1" applyFill="1" applyBorder="1" applyAlignment="1">
      <alignment horizontal="right"/>
    </xf>
    <xf numFmtId="169" fontId="5" fillId="0" borderId="0" xfId="1" applyNumberFormat="1" applyFont="1" applyFill="1" applyBorder="1" applyAlignment="1">
      <alignment horizontal="right"/>
    </xf>
    <xf numFmtId="179" fontId="5" fillId="0" borderId="0" xfId="18" applyNumberFormat="1" applyFont="1" applyFill="1" applyBorder="1"/>
    <xf numFmtId="167" fontId="5" fillId="0" borderId="0" xfId="5" applyNumberFormat="1" applyFont="1" applyFill="1" applyBorder="1"/>
    <xf numFmtId="164" fontId="5" fillId="0" borderId="0" xfId="1" applyNumberFormat="1" applyFont="1" applyBorder="1" applyAlignment="1">
      <alignment horizontal="right"/>
    </xf>
    <xf numFmtId="179" fontId="5" fillId="0" borderId="0" xfId="18" applyNumberFormat="1" applyFont="1" applyBorder="1"/>
    <xf numFmtId="0" fontId="11" fillId="0" borderId="0" xfId="5" applyFont="1" applyFill="1"/>
    <xf numFmtId="0" fontId="11" fillId="0" borderId="0" xfId="5" applyFont="1" applyFill="1" applyAlignment="1"/>
    <xf numFmtId="0" fontId="5" fillId="0" borderId="0" xfId="5" applyFont="1" applyFill="1" applyAlignment="1"/>
    <xf numFmtId="0" fontId="3" fillId="0" borderId="0" xfId="17" applyFill="1" applyAlignment="1"/>
    <xf numFmtId="0" fontId="3" fillId="0" borderId="0" xfId="17" applyAlignment="1"/>
    <xf numFmtId="0" fontId="0" fillId="0" borderId="0" xfId="0" applyAlignment="1">
      <alignment wrapText="1"/>
    </xf>
    <xf numFmtId="0" fontId="3" fillId="0" borderId="0" xfId="0" applyFont="1" applyAlignment="1">
      <alignment horizontal="left"/>
    </xf>
    <xf numFmtId="164" fontId="5" fillId="0" borderId="0" xfId="1" applyNumberFormat="1" applyFont="1"/>
    <xf numFmtId="42" fontId="5" fillId="0" borderId="0" xfId="1" applyNumberFormat="1" applyFont="1"/>
    <xf numFmtId="42" fontId="5" fillId="0" borderId="0" xfId="0" applyNumberFormat="1" applyFont="1" applyFill="1"/>
    <xf numFmtId="42" fontId="5" fillId="0" borderId="0" xfId="0" applyNumberFormat="1" applyFont="1"/>
    <xf numFmtId="41" fontId="5" fillId="0" borderId="0" xfId="1" applyNumberFormat="1" applyFont="1"/>
    <xf numFmtId="0" fontId="13" fillId="0" borderId="0" xfId="0" quotePrefix="1" applyFont="1"/>
    <xf numFmtId="165" fontId="5" fillId="0" borderId="0" xfId="0" applyNumberFormat="1" applyFont="1" applyFill="1"/>
    <xf numFmtId="164" fontId="9" fillId="0" borderId="0" xfId="1" quotePrefix="1" applyNumberFormat="1" applyFont="1" applyFill="1" applyAlignment="1">
      <alignment horizontal="left"/>
    </xf>
    <xf numFmtId="164" fontId="5" fillId="0" borderId="0" xfId="1" applyNumberFormat="1" applyFont="1" applyFill="1" applyAlignment="1">
      <alignment horizontal="right"/>
    </xf>
    <xf numFmtId="164" fontId="9" fillId="0" borderId="0" xfId="1" quotePrefix="1" applyNumberFormat="1" applyFont="1" applyFill="1" applyAlignment="1">
      <alignment horizontal="right"/>
    </xf>
    <xf numFmtId="165" fontId="5" fillId="0" borderId="0" xfId="1" applyNumberFormat="1" applyFont="1" applyFill="1" applyAlignment="1">
      <alignment horizontal="right"/>
    </xf>
    <xf numFmtId="41" fontId="9" fillId="0" borderId="0" xfId="1" quotePrefix="1" applyNumberFormat="1" applyFont="1" applyFill="1" applyAlignment="1">
      <alignment horizontal="right"/>
    </xf>
    <xf numFmtId="168" fontId="5" fillId="0" borderId="0" xfId="1" applyNumberFormat="1" applyFont="1" applyFill="1" applyAlignment="1">
      <alignment horizontal="right"/>
    </xf>
    <xf numFmtId="42" fontId="5" fillId="0" borderId="0" xfId="1" applyNumberFormat="1" applyFont="1" applyFill="1"/>
    <xf numFmtId="0" fontId="11" fillId="0" borderId="0" xfId="0" quotePrefix="1" applyFont="1" applyAlignment="1">
      <alignment vertical="top"/>
    </xf>
    <xf numFmtId="0" fontId="11" fillId="0" borderId="0" xfId="0" quotePrefix="1" applyFont="1" applyFill="1" applyAlignment="1">
      <alignment vertical="top"/>
    </xf>
    <xf numFmtId="0" fontId="2" fillId="0" borderId="0" xfId="0" applyFont="1" applyAlignment="1"/>
    <xf numFmtId="0" fontId="4" fillId="0" borderId="0" xfId="0" applyFont="1" applyAlignment="1"/>
    <xf numFmtId="0" fontId="5" fillId="0" borderId="0" xfId="5" applyFont="1" applyFill="1" applyBorder="1" applyAlignment="1">
      <alignment horizontal="center" wrapText="1"/>
    </xf>
    <xf numFmtId="0" fontId="5" fillId="0" borderId="5" xfId="0" applyFont="1" applyFill="1" applyBorder="1"/>
    <xf numFmtId="0" fontId="17" fillId="0" borderId="0" xfId="0" applyFont="1" applyFill="1" applyAlignment="1">
      <alignment horizontal="center"/>
    </xf>
    <xf numFmtId="0" fontId="5" fillId="0" borderId="0" xfId="0" applyFont="1" applyFill="1" applyAlignment="1">
      <alignment horizontal="right"/>
    </xf>
    <xf numFmtId="165" fontId="5" fillId="0" borderId="5" xfId="0" applyNumberFormat="1" applyFont="1" applyFill="1" applyBorder="1"/>
    <xf numFmtId="41" fontId="5" fillId="0" borderId="12" xfId="0" applyNumberFormat="1" applyFont="1" applyFill="1" applyBorder="1"/>
    <xf numFmtId="167" fontId="5" fillId="0" borderId="12" xfId="0" applyNumberFormat="1" applyFont="1" applyFill="1" applyBorder="1"/>
    <xf numFmtId="0" fontId="5" fillId="0" borderId="0" xfId="0" applyFont="1" applyFill="1" applyBorder="1" applyAlignment="1">
      <alignment wrapText="1"/>
    </xf>
    <xf numFmtId="41" fontId="7" fillId="0" borderId="0" xfId="6" applyNumberFormat="1" applyFont="1"/>
    <xf numFmtId="0" fontId="2" fillId="0" borderId="0" xfId="0" applyFont="1"/>
    <xf numFmtId="0" fontId="6" fillId="0" borderId="0" xfId="0" applyFont="1"/>
    <xf numFmtId="0" fontId="5" fillId="0" borderId="4" xfId="0" applyFont="1" applyFill="1" applyBorder="1" applyAlignment="1">
      <alignment horizontal="right"/>
    </xf>
    <xf numFmtId="0" fontId="5" fillId="0" borderId="0" xfId="0" applyFont="1" applyFill="1" applyBorder="1" applyAlignment="1">
      <alignment horizontal="right"/>
    </xf>
    <xf numFmtId="0" fontId="7" fillId="0" borderId="9" xfId="0" applyFont="1" applyFill="1" applyBorder="1"/>
    <xf numFmtId="0" fontId="7" fillId="0" borderId="11" xfId="0" applyFont="1" applyFill="1" applyBorder="1"/>
    <xf numFmtId="0" fontId="7" fillId="0" borderId="0" xfId="0" applyFont="1" applyFill="1" applyBorder="1"/>
    <xf numFmtId="0" fontId="0" fillId="0" borderId="0" xfId="0" applyBorder="1"/>
    <xf numFmtId="169" fontId="5" fillId="0" borderId="0" xfId="1" applyNumberFormat="1" applyFont="1"/>
    <xf numFmtId="169" fontId="5" fillId="0" borderId="0" xfId="1" applyNumberFormat="1" applyFont="1" applyBorder="1"/>
    <xf numFmtId="0" fontId="6" fillId="0" borderId="0" xfId="0" applyFont="1" applyAlignment="1">
      <alignment horizontal="left"/>
    </xf>
    <xf numFmtId="0" fontId="7" fillId="0" borderId="0" xfId="9" applyFont="1"/>
    <xf numFmtId="0" fontId="3" fillId="0" borderId="0" xfId="9" applyFont="1"/>
    <xf numFmtId="0" fontId="4" fillId="0" borderId="0" xfId="9" applyFont="1" applyAlignment="1">
      <alignment horizontal="center"/>
    </xf>
    <xf numFmtId="0" fontId="5" fillId="0" borderId="0" xfId="9" applyFont="1"/>
    <xf numFmtId="0" fontId="5" fillId="0" borderId="0" xfId="9" applyFont="1" applyAlignment="1">
      <alignment horizontal="center"/>
    </xf>
    <xf numFmtId="0" fontId="5" fillId="0" borderId="0" xfId="9" applyFont="1" applyBorder="1" applyAlignment="1">
      <alignment horizontal="center"/>
    </xf>
    <xf numFmtId="0" fontId="5" fillId="0" borderId="0" xfId="9" applyFont="1" applyAlignment="1"/>
    <xf numFmtId="0" fontId="5" fillId="0" borderId="0" xfId="9" applyFont="1" applyBorder="1" applyAlignment="1"/>
    <xf numFmtId="0" fontId="5" fillId="0" borderId="0" xfId="9" applyFont="1" applyBorder="1" applyAlignment="1">
      <alignment horizontal="center" wrapText="1"/>
    </xf>
    <xf numFmtId="0" fontId="5" fillId="0" borderId="0" xfId="9" applyFont="1" applyBorder="1" applyAlignment="1">
      <alignment wrapText="1"/>
    </xf>
    <xf numFmtId="0" fontId="5" fillId="0" borderId="0" xfId="9" applyFont="1" applyBorder="1"/>
    <xf numFmtId="0" fontId="5" fillId="0" borderId="0" xfId="9" applyFont="1" applyFill="1" applyBorder="1" applyAlignment="1">
      <alignment horizontal="center"/>
    </xf>
    <xf numFmtId="0" fontId="5" fillId="0" borderId="5" xfId="9" applyFont="1" applyFill="1" applyBorder="1" applyAlignment="1">
      <alignment horizontal="center"/>
    </xf>
    <xf numFmtId="0" fontId="6" fillId="0" borderId="0" xfId="9" applyFont="1" applyAlignment="1">
      <alignment horizontal="left"/>
    </xf>
    <xf numFmtId="0" fontId="5" fillId="0" borderId="0" xfId="9" applyFont="1" applyFill="1" applyBorder="1"/>
    <xf numFmtId="0" fontId="5" fillId="0" borderId="0" xfId="9" applyFont="1" applyAlignment="1">
      <alignment horizontal="left"/>
    </xf>
    <xf numFmtId="0" fontId="5" fillId="0" borderId="0" xfId="9" applyFont="1" applyBorder="1" applyAlignment="1">
      <alignment horizontal="left"/>
    </xf>
    <xf numFmtId="41" fontId="5" fillId="0" borderId="0" xfId="9" applyNumberFormat="1" applyFont="1" applyFill="1" applyBorder="1"/>
    <xf numFmtId="0" fontId="5" fillId="0" borderId="0" xfId="9" applyFont="1" applyFill="1" applyBorder="1" applyAlignment="1">
      <alignment horizontal="left"/>
    </xf>
    <xf numFmtId="41" fontId="5" fillId="0" borderId="0" xfId="9" applyNumberFormat="1" applyFont="1" applyBorder="1"/>
    <xf numFmtId="41" fontId="5" fillId="0" borderId="0" xfId="9" applyNumberFormat="1" applyFont="1" applyFill="1" applyBorder="1" applyProtection="1"/>
    <xf numFmtId="41" fontId="5" fillId="0" borderId="0" xfId="9" applyNumberFormat="1" applyFont="1" applyBorder="1" applyProtection="1"/>
    <xf numFmtId="41" fontId="5" fillId="0" borderId="5" xfId="9" applyNumberFormat="1" applyFont="1" applyFill="1" applyBorder="1" applyProtection="1"/>
    <xf numFmtId="41" fontId="5" fillId="0" borderId="13" xfId="9" applyNumberFormat="1" applyFont="1" applyFill="1" applyBorder="1" applyProtection="1"/>
    <xf numFmtId="41" fontId="5" fillId="0" borderId="12" xfId="9" applyNumberFormat="1" applyFont="1" applyFill="1" applyBorder="1" applyProtection="1"/>
    <xf numFmtId="41" fontId="5" fillId="0" borderId="14" xfId="9" applyNumberFormat="1" applyFont="1" applyFill="1" applyBorder="1" applyProtection="1"/>
    <xf numFmtId="179" fontId="5" fillId="0" borderId="0" xfId="9" applyNumberFormat="1" applyFont="1" applyFill="1" applyBorder="1" applyProtection="1"/>
    <xf numFmtId="179" fontId="5" fillId="0" borderId="0" xfId="9" quotePrefix="1" applyNumberFormat="1" applyFont="1" applyFill="1" applyBorder="1" applyAlignment="1" applyProtection="1">
      <alignment horizontal="right"/>
    </xf>
    <xf numFmtId="179" fontId="5" fillId="0" borderId="0" xfId="9" applyNumberFormat="1" applyFont="1" applyBorder="1" applyProtection="1"/>
    <xf numFmtId="0" fontId="5" fillId="0" borderId="0" xfId="9" applyFont="1" applyFill="1"/>
    <xf numFmtId="0" fontId="5" fillId="0" borderId="1" xfId="0" applyFont="1" applyBorder="1" applyAlignment="1">
      <alignment horizontal="center"/>
    </xf>
    <xf numFmtId="0" fontId="5" fillId="0" borderId="2" xfId="0" applyFont="1" applyBorder="1" applyAlignment="1">
      <alignment horizontal="center"/>
    </xf>
    <xf numFmtId="0" fontId="7" fillId="0" borderId="4" xfId="0" applyFont="1" applyBorder="1" applyAlignment="1">
      <alignment horizontal="center"/>
    </xf>
    <xf numFmtId="41" fontId="5" fillId="0" borderId="8" xfId="0" applyNumberFormat="1" applyFont="1" applyFill="1" applyBorder="1" applyAlignment="1" applyProtection="1">
      <alignment horizontal="right"/>
    </xf>
    <xf numFmtId="0" fontId="5" fillId="0" borderId="0" xfId="0" quotePrefix="1" applyFont="1" applyFill="1" applyBorder="1" applyAlignment="1">
      <alignment horizontal="left"/>
    </xf>
    <xf numFmtId="0" fontId="5" fillId="0" borderId="0" xfId="16" applyFont="1" applyFill="1" applyAlignment="1">
      <alignment vertical="center"/>
    </xf>
    <xf numFmtId="0" fontId="5" fillId="0" borderId="0" xfId="16" applyFont="1" applyFill="1" applyBorder="1" applyAlignment="1">
      <alignment vertical="center" wrapText="1"/>
    </xf>
    <xf numFmtId="167" fontId="5" fillId="0" borderId="4" xfId="0" applyNumberFormat="1" applyFont="1" applyFill="1" applyBorder="1" applyProtection="1"/>
    <xf numFmtId="167" fontId="5" fillId="0" borderId="9" xfId="0" applyNumberFormat="1" applyFont="1" applyBorder="1" applyProtection="1"/>
    <xf numFmtId="41" fontId="5" fillId="0" borderId="10" xfId="0" applyNumberFormat="1" applyFont="1" applyFill="1" applyBorder="1" applyProtection="1"/>
    <xf numFmtId="0" fontId="5" fillId="0" borderId="11" xfId="0" applyFont="1" applyBorder="1"/>
    <xf numFmtId="41" fontId="9" fillId="0" borderId="0" xfId="0" quotePrefix="1" applyNumberFormat="1" applyFont="1" applyAlignment="1">
      <alignment horizontal="left" vertical="top"/>
    </xf>
    <xf numFmtId="0" fontId="5" fillId="0" borderId="0" xfId="0" applyNumberFormat="1" applyFont="1" applyAlignment="1">
      <alignment vertical="top" wrapText="1"/>
    </xf>
    <xf numFmtId="2" fontId="5" fillId="0" borderId="0" xfId="1" applyNumberFormat="1" applyFont="1" applyFill="1" applyBorder="1"/>
    <xf numFmtId="0" fontId="5" fillId="0" borderId="0" xfId="1" applyNumberFormat="1" applyFont="1" applyFill="1" applyBorder="1" applyAlignment="1">
      <alignment horizontal="left"/>
    </xf>
    <xf numFmtId="0" fontId="5" fillId="0" borderId="0" xfId="16" applyFont="1" applyFill="1" applyAlignment="1">
      <alignment vertical="top" wrapText="1"/>
    </xf>
    <xf numFmtId="0" fontId="5" fillId="0" borderId="0" xfId="1" applyNumberFormat="1" applyFont="1" applyFill="1" applyAlignment="1">
      <alignment horizontal="left" wrapText="1"/>
    </xf>
    <xf numFmtId="41" fontId="7" fillId="0" borderId="0" xfId="11" applyNumberFormat="1" applyFont="1"/>
    <xf numFmtId="41" fontId="3" fillId="0" borderId="0" xfId="11" applyNumberFormat="1" applyFont="1"/>
    <xf numFmtId="41" fontId="4" fillId="0" borderId="0" xfId="11" applyNumberFormat="1" applyFont="1" applyAlignment="1">
      <alignment horizontal="centerContinuous"/>
    </xf>
    <xf numFmtId="41" fontId="4" fillId="0" borderId="0" xfId="11" applyNumberFormat="1" applyFont="1" applyBorder="1" applyAlignment="1">
      <alignment horizontal="centerContinuous"/>
    </xf>
    <xf numFmtId="41" fontId="3" fillId="0" borderId="0" xfId="11" applyNumberFormat="1" applyFont="1" applyBorder="1"/>
    <xf numFmtId="41" fontId="4" fillId="0" borderId="1" xfId="11" applyNumberFormat="1" applyFont="1" applyBorder="1" applyAlignment="1">
      <alignment horizontal="centerContinuous"/>
    </xf>
    <xf numFmtId="0" fontId="5" fillId="0" borderId="2" xfId="11" applyFont="1" applyBorder="1" applyAlignment="1">
      <alignment horizontal="center"/>
    </xf>
    <xf numFmtId="41" fontId="4" fillId="0" borderId="3" xfId="11" applyNumberFormat="1" applyFont="1" applyBorder="1" applyAlignment="1">
      <alignment horizontal="centerContinuous"/>
    </xf>
    <xf numFmtId="0" fontId="5" fillId="0" borderId="0" xfId="11" applyFont="1" applyFill="1" applyBorder="1" applyAlignment="1">
      <alignment horizontal="center"/>
    </xf>
    <xf numFmtId="0" fontId="5" fillId="0" borderId="0" xfId="11" applyFont="1" applyBorder="1" applyAlignment="1">
      <alignment horizontal="center"/>
    </xf>
    <xf numFmtId="0" fontId="5" fillId="0" borderId="0" xfId="11" applyFont="1" applyAlignment="1">
      <alignment horizontal="center"/>
    </xf>
    <xf numFmtId="41" fontId="6" fillId="0" borderId="0" xfId="11" applyNumberFormat="1" applyFont="1" applyAlignment="1">
      <alignment horizontal="left"/>
    </xf>
    <xf numFmtId="41" fontId="6" fillId="0" borderId="0" xfId="11" applyNumberFormat="1" applyFont="1"/>
    <xf numFmtId="41" fontId="6" fillId="0" borderId="0" xfId="11" applyNumberFormat="1" applyFont="1" applyBorder="1"/>
    <xf numFmtId="41" fontId="4" fillId="0" borderId="4" xfId="11" applyNumberFormat="1" applyFont="1" applyBorder="1" applyAlignment="1">
      <alignment horizontal="centerContinuous"/>
    </xf>
    <xf numFmtId="0" fontId="5" fillId="0" borderId="5" xfId="11" applyFont="1" applyFill="1" applyBorder="1" applyAlignment="1">
      <alignment horizontal="center"/>
    </xf>
    <xf numFmtId="41" fontId="4" fillId="0" borderId="6" xfId="11" applyNumberFormat="1" applyFont="1" applyBorder="1" applyAlignment="1">
      <alignment horizontal="centerContinuous"/>
    </xf>
    <xf numFmtId="0" fontId="5" fillId="0" borderId="0" xfId="11" applyFont="1" applyFill="1" applyBorder="1"/>
    <xf numFmtId="41" fontId="6" fillId="0" borderId="0" xfId="11" applyNumberFormat="1" applyFont="1" applyFill="1" applyBorder="1"/>
    <xf numFmtId="0" fontId="5" fillId="0" borderId="0" xfId="11" applyFont="1" applyBorder="1"/>
    <xf numFmtId="0" fontId="5" fillId="0" borderId="0" xfId="11" applyFont="1"/>
    <xf numFmtId="0" fontId="5" fillId="0" borderId="5" xfId="11" applyFont="1" applyBorder="1" applyAlignment="1">
      <alignment horizontal="center"/>
    </xf>
    <xf numFmtId="0" fontId="6" fillId="0" borderId="0" xfId="11" applyNumberFormat="1" applyFont="1"/>
    <xf numFmtId="41" fontId="4" fillId="0" borderId="0" xfId="11" applyNumberFormat="1" applyFont="1" applyFill="1" applyBorder="1" applyAlignment="1">
      <alignment horizontal="centerContinuous"/>
    </xf>
    <xf numFmtId="41" fontId="4" fillId="0" borderId="4" xfId="11" applyNumberFormat="1" applyFont="1" applyFill="1" applyBorder="1" applyAlignment="1">
      <alignment horizontal="centerContinuous"/>
    </xf>
    <xf numFmtId="41" fontId="5" fillId="0" borderId="0" xfId="11" applyNumberFormat="1" applyFont="1" applyFill="1" applyBorder="1" applyAlignment="1">
      <alignment horizontal="center"/>
    </xf>
    <xf numFmtId="41" fontId="4" fillId="0" borderId="6" xfId="11" applyNumberFormat="1" applyFont="1" applyFill="1" applyBorder="1" applyAlignment="1">
      <alignment horizontal="centerContinuous"/>
    </xf>
    <xf numFmtId="41" fontId="5" fillId="0" borderId="0" xfId="11" applyNumberFormat="1" applyFont="1" applyFill="1" applyAlignment="1">
      <alignment horizontal="center"/>
    </xf>
    <xf numFmtId="41" fontId="3" fillId="0" borderId="0" xfId="11" applyNumberFormat="1" applyFont="1" applyFill="1"/>
    <xf numFmtId="41" fontId="5" fillId="0" borderId="0" xfId="11" applyNumberFormat="1" applyFont="1"/>
    <xf numFmtId="41" fontId="5" fillId="0" borderId="0" xfId="11" applyNumberFormat="1" applyFont="1" applyFill="1" applyBorder="1"/>
    <xf numFmtId="41" fontId="5" fillId="0" borderId="4" xfId="11" applyNumberFormat="1" applyFont="1" applyFill="1" applyBorder="1"/>
    <xf numFmtId="41" fontId="5" fillId="0" borderId="6" xfId="11" applyNumberFormat="1" applyFont="1" applyFill="1" applyBorder="1"/>
    <xf numFmtId="41" fontId="5" fillId="0" borderId="0" xfId="11" applyNumberFormat="1" applyFont="1" applyFill="1"/>
    <xf numFmtId="169" fontId="5" fillId="0" borderId="0" xfId="11" applyNumberFormat="1" applyFont="1"/>
    <xf numFmtId="0" fontId="5" fillId="0" borderId="0" xfId="11" applyNumberFormat="1" applyFont="1" applyFill="1" applyBorder="1"/>
    <xf numFmtId="0" fontId="5" fillId="0" borderId="4" xfId="11" applyFont="1" applyFill="1" applyBorder="1" applyAlignment="1" applyProtection="1">
      <alignment horizontal="right"/>
    </xf>
    <xf numFmtId="0" fontId="5" fillId="0" borderId="0" xfId="11" applyFont="1" applyFill="1" applyBorder="1" applyAlignment="1" applyProtection="1">
      <alignment horizontal="right"/>
    </xf>
    <xf numFmtId="0" fontId="5" fillId="0" borderId="0" xfId="11" applyFont="1" applyFill="1" applyAlignment="1" applyProtection="1">
      <alignment horizontal="right"/>
    </xf>
    <xf numFmtId="41" fontId="5" fillId="0" borderId="5" xfId="11" applyNumberFormat="1" applyFont="1" applyFill="1" applyBorder="1"/>
    <xf numFmtId="41" fontId="5" fillId="0" borderId="0" xfId="11" applyNumberFormat="1" applyFont="1" applyAlignment="1">
      <alignment horizontal="left"/>
    </xf>
    <xf numFmtId="41" fontId="3" fillId="0" borderId="4" xfId="11" applyNumberFormat="1" applyFont="1" applyFill="1" applyBorder="1"/>
    <xf numFmtId="41" fontId="5" fillId="0" borderId="0" xfId="11" applyNumberFormat="1" applyFont="1" applyFill="1" applyBorder="1" applyProtection="1">
      <protection locked="0"/>
    </xf>
    <xf numFmtId="41" fontId="5" fillId="0" borderId="6" xfId="11" applyNumberFormat="1" applyFont="1" applyFill="1" applyBorder="1" applyAlignment="1">
      <alignment horizontal="left"/>
    </xf>
    <xf numFmtId="41" fontId="3" fillId="0" borderId="0" xfId="11" applyNumberFormat="1" applyFont="1" applyFill="1" applyBorder="1"/>
    <xf numFmtId="41" fontId="5" fillId="0" borderId="0" xfId="11" applyNumberFormat="1" applyFont="1" applyFill="1" applyProtection="1"/>
    <xf numFmtId="41" fontId="3" fillId="0" borderId="6" xfId="11" applyNumberFormat="1" applyFont="1" applyFill="1" applyBorder="1"/>
    <xf numFmtId="41" fontId="5" fillId="0" borderId="5" xfId="11" applyNumberFormat="1" applyFont="1" applyFill="1" applyBorder="1" applyProtection="1"/>
    <xf numFmtId="41" fontId="5" fillId="0" borderId="0" xfId="11" applyNumberFormat="1" applyFont="1" applyFill="1" applyBorder="1" applyProtection="1"/>
    <xf numFmtId="41" fontId="5" fillId="0" borderId="7" xfId="11" applyNumberFormat="1" applyFont="1" applyFill="1" applyBorder="1" applyProtection="1"/>
    <xf numFmtId="41" fontId="5" fillId="0" borderId="8" xfId="11" applyNumberFormat="1" applyFont="1" applyFill="1" applyBorder="1"/>
    <xf numFmtId="0" fontId="6" fillId="0" borderId="0" xfId="11" applyNumberFormat="1" applyFont="1" applyAlignment="1"/>
    <xf numFmtId="0" fontId="5" fillId="0" borderId="0" xfId="11" applyFont="1" applyFill="1" applyBorder="1" applyAlignment="1"/>
    <xf numFmtId="41" fontId="5" fillId="0" borderId="12" xfId="11" applyNumberFormat="1" applyFont="1" applyFill="1" applyBorder="1" applyProtection="1"/>
    <xf numFmtId="41" fontId="5" fillId="0" borderId="0" xfId="11" applyNumberFormat="1" applyFont="1" applyBorder="1"/>
    <xf numFmtId="169" fontId="2" fillId="0" borderId="0" xfId="1" applyNumberFormat="1" applyFont="1" applyAlignment="1">
      <alignment horizontal="center"/>
    </xf>
    <xf numFmtId="169" fontId="2" fillId="0" borderId="0" xfId="1" applyNumberFormat="1" applyFont="1" applyBorder="1" applyAlignment="1">
      <alignment horizontal="center"/>
    </xf>
    <xf numFmtId="0" fontId="0" fillId="0" borderId="0" xfId="0" applyAlignment="1"/>
    <xf numFmtId="169" fontId="5" fillId="0" borderId="0" xfId="1" applyNumberFormat="1" applyFont="1" applyAlignment="1">
      <alignment horizontal="center"/>
    </xf>
    <xf numFmtId="169" fontId="6" fillId="0" borderId="0" xfId="1" applyNumberFormat="1" applyFont="1" applyAlignment="1">
      <alignment horizontal="center"/>
    </xf>
    <xf numFmtId="169" fontId="6" fillId="0" borderId="0" xfId="1" applyNumberFormat="1" applyFont="1" applyBorder="1" applyAlignment="1">
      <alignment horizontal="center"/>
    </xf>
    <xf numFmtId="169" fontId="5" fillId="0" borderId="1" xfId="1" applyNumberFormat="1" applyFont="1" applyBorder="1"/>
    <xf numFmtId="169" fontId="5" fillId="0" borderId="3" xfId="1" applyNumberFormat="1" applyFont="1" applyBorder="1"/>
    <xf numFmtId="169" fontId="6" fillId="0" borderId="0" xfId="1" applyNumberFormat="1" applyFont="1"/>
    <xf numFmtId="169" fontId="5" fillId="0" borderId="4" xfId="1" applyNumberFormat="1" applyFont="1" applyBorder="1"/>
    <xf numFmtId="169" fontId="5" fillId="0" borderId="6" xfId="1" applyNumberFormat="1" applyFont="1" applyBorder="1"/>
    <xf numFmtId="169" fontId="5" fillId="0" borderId="0" xfId="1" applyNumberFormat="1" applyFont="1" applyBorder="1" applyAlignment="1">
      <alignment horizontal="center"/>
    </xf>
    <xf numFmtId="0" fontId="6" fillId="0" borderId="0" xfId="1" applyNumberFormat="1" applyFont="1"/>
    <xf numFmtId="0" fontId="5" fillId="0" borderId="0" xfId="1" applyNumberFormat="1" applyFont="1"/>
    <xf numFmtId="169" fontId="6" fillId="0" borderId="0" xfId="1" applyNumberFormat="1" applyFont="1" applyBorder="1"/>
    <xf numFmtId="41" fontId="5" fillId="0" borderId="0" xfId="1" applyNumberFormat="1" applyFont="1" applyFill="1" applyBorder="1" applyAlignment="1">
      <alignment horizontal="right"/>
    </xf>
    <xf numFmtId="169" fontId="5" fillId="0" borderId="9" xfId="1" applyNumberFormat="1" applyFont="1" applyBorder="1"/>
    <xf numFmtId="169" fontId="5" fillId="0" borderId="10" xfId="1" applyNumberFormat="1" applyFont="1" applyBorder="1"/>
    <xf numFmtId="169" fontId="5" fillId="0" borderId="11" xfId="1" applyNumberFormat="1" applyFont="1" applyBorder="1"/>
    <xf numFmtId="0" fontId="7" fillId="0" borderId="0" xfId="0" applyFont="1" applyFill="1" applyBorder="1" applyAlignment="1"/>
    <xf numFmtId="41" fontId="7" fillId="0" borderId="4" xfId="0" applyNumberFormat="1" applyFont="1" applyFill="1" applyBorder="1"/>
    <xf numFmtId="41" fontId="7" fillId="0" borderId="6" xfId="0" applyNumberFormat="1" applyFont="1" applyFill="1" applyBorder="1" applyAlignment="1">
      <alignment horizontal="center"/>
    </xf>
    <xf numFmtId="0" fontId="6" fillId="0" borderId="0" xfId="10" applyFont="1" applyFill="1" applyAlignment="1"/>
    <xf numFmtId="10" fontId="5" fillId="0" borderId="0" xfId="18" applyNumberFormat="1" applyFont="1" applyFill="1" applyBorder="1" applyProtection="1"/>
    <xf numFmtId="0" fontId="5" fillId="0" borderId="0" xfId="10" applyFont="1" applyFill="1" applyAlignment="1"/>
    <xf numFmtId="0" fontId="5" fillId="0" borderId="0" xfId="10" applyFont="1" applyFill="1"/>
    <xf numFmtId="0" fontId="9" fillId="0" borderId="0" xfId="0" applyFont="1" applyFill="1"/>
    <xf numFmtId="41" fontId="0" fillId="0" borderId="0" xfId="0" applyNumberFormat="1" applyFill="1"/>
    <xf numFmtId="0" fontId="5" fillId="0" borderId="3" xfId="0" applyFont="1" applyBorder="1"/>
    <xf numFmtId="0" fontId="5" fillId="0" borderId="6" xfId="0" applyFont="1" applyBorder="1"/>
    <xf numFmtId="0" fontId="5" fillId="0" borderId="4" xfId="0" applyFont="1" applyBorder="1"/>
    <xf numFmtId="41" fontId="7" fillId="0" borderId="0" xfId="0" applyNumberFormat="1" applyFont="1" applyBorder="1" applyAlignment="1">
      <alignment horizontal="center"/>
    </xf>
    <xf numFmtId="169" fontId="5" fillId="0" borderId="12" xfId="1" applyNumberFormat="1" applyFont="1" applyFill="1" applyBorder="1"/>
    <xf numFmtId="169" fontId="3" fillId="0" borderId="0" xfId="1" applyNumberFormat="1" applyFont="1" applyBorder="1"/>
    <xf numFmtId="169" fontId="3" fillId="0" borderId="0" xfId="1" applyNumberFormat="1" applyFont="1"/>
    <xf numFmtId="169" fontId="3" fillId="0" borderId="0" xfId="1" applyNumberFormat="1" applyFont="1" applyFill="1"/>
    <xf numFmtId="169" fontId="5" fillId="0" borderId="2" xfId="1" applyNumberFormat="1" applyFont="1" applyFill="1" applyBorder="1"/>
    <xf numFmtId="169" fontId="5" fillId="0" borderId="0" xfId="1" quotePrefix="1" applyNumberFormat="1" applyFont="1" applyFill="1" applyBorder="1"/>
    <xf numFmtId="0" fontId="5" fillId="0" borderId="0" xfId="1" applyNumberFormat="1" applyFont="1" applyFill="1" applyBorder="1" applyAlignment="1">
      <alignment horizontal="center"/>
    </xf>
    <xf numFmtId="0" fontId="7" fillId="0" borderId="0" xfId="1" applyNumberFormat="1" applyFont="1" applyFill="1"/>
    <xf numFmtId="169" fontId="5" fillId="0" borderId="0" xfId="1" quotePrefix="1" applyNumberFormat="1" applyFont="1" applyFill="1" applyAlignment="1">
      <alignment horizontal="left"/>
    </xf>
    <xf numFmtId="0" fontId="6" fillId="0" borderId="0" xfId="1" applyNumberFormat="1" applyFont="1" applyFill="1" applyBorder="1" applyAlignment="1"/>
    <xf numFmtId="0" fontId="6" fillId="0" borderId="0" xfId="1" applyNumberFormat="1" applyFont="1" applyFill="1" applyBorder="1" applyAlignment="1">
      <alignment horizontal="center"/>
    </xf>
    <xf numFmtId="169" fontId="7" fillId="0" borderId="0" xfId="1" applyNumberFormat="1" applyFont="1" applyFill="1" applyBorder="1"/>
    <xf numFmtId="169" fontId="9" fillId="0" borderId="0" xfId="1" applyNumberFormat="1" applyFont="1" applyFill="1"/>
    <xf numFmtId="0" fontId="6" fillId="0" borderId="0" xfId="0" applyFont="1" applyBorder="1" applyAlignment="1">
      <alignment horizontal="center"/>
    </xf>
    <xf numFmtId="0" fontId="6" fillId="0" borderId="0" xfId="0" applyFont="1" applyFill="1" applyBorder="1" applyAlignment="1">
      <alignment horizontal="center"/>
    </xf>
    <xf numFmtId="165" fontId="5" fillId="0" borderId="0" xfId="18" applyNumberFormat="1" applyFont="1" applyFill="1" applyBorder="1" applyProtection="1"/>
    <xf numFmtId="41" fontId="5" fillId="0" borderId="0" xfId="0" applyNumberFormat="1" applyFont="1" applyFill="1" applyBorder="1" applyAlignment="1" applyProtection="1">
      <alignment horizontal="right"/>
    </xf>
    <xf numFmtId="0" fontId="5" fillId="0" borderId="0" xfId="15" applyFont="1" applyProtection="1"/>
    <xf numFmtId="41" fontId="5" fillId="0" borderId="0" xfId="0" applyNumberFormat="1" applyFont="1" applyFill="1" applyAlignment="1" applyProtection="1">
      <alignment horizontal="right"/>
    </xf>
    <xf numFmtId="41" fontId="5" fillId="0" borderId="0" xfId="18" applyNumberFormat="1" applyFont="1" applyFill="1" applyBorder="1" applyProtection="1"/>
    <xf numFmtId="41" fontId="5" fillId="0" borderId="5" xfId="0" applyNumberFormat="1" applyFont="1" applyFill="1" applyBorder="1" applyAlignment="1">
      <alignment horizontal="left"/>
    </xf>
    <xf numFmtId="41" fontId="5" fillId="0" borderId="8" xfId="0" applyNumberFormat="1" applyFont="1" applyFill="1" applyBorder="1" applyAlignment="1">
      <alignment horizontal="left"/>
    </xf>
    <xf numFmtId="41" fontId="5" fillId="0" borderId="0" xfId="0" applyNumberFormat="1" applyFont="1" applyAlignment="1" applyProtection="1">
      <alignment horizontal="right"/>
    </xf>
    <xf numFmtId="0" fontId="9" fillId="0" borderId="0" xfId="0" quotePrefix="1" applyFont="1" applyAlignment="1">
      <alignment vertical="top"/>
    </xf>
    <xf numFmtId="0" fontId="9" fillId="0" borderId="0" xfId="0" quotePrefix="1" applyFont="1" applyAlignment="1">
      <alignment vertical="top" wrapText="1"/>
    </xf>
    <xf numFmtId="0" fontId="3" fillId="0" borderId="0" xfId="0" applyFont="1" applyFill="1" applyAlignment="1">
      <alignment horizontal="left" indent="2"/>
    </xf>
    <xf numFmtId="165" fontId="5" fillId="0" borderId="0" xfId="0" applyNumberFormat="1" applyFont="1" applyBorder="1"/>
    <xf numFmtId="0" fontId="3" fillId="0" borderId="0" xfId="0" applyFont="1" applyFill="1" applyBorder="1" applyAlignment="1">
      <alignment horizontal="left" indent="2"/>
    </xf>
    <xf numFmtId="0" fontId="7" fillId="0" borderId="0" xfId="0" applyFont="1" applyBorder="1" applyAlignment="1">
      <alignment horizontal="center"/>
    </xf>
    <xf numFmtId="41" fontId="7" fillId="0" borderId="0" xfId="0" applyNumberFormat="1" applyFont="1" applyBorder="1"/>
    <xf numFmtId="0" fontId="6" fillId="0" borderId="0" xfId="0" applyFont="1" applyFill="1" applyBorder="1" applyAlignment="1">
      <alignment horizontal="left"/>
    </xf>
    <xf numFmtId="0" fontId="3" fillId="0" borderId="0" xfId="0" applyFont="1" applyAlignment="1">
      <alignment horizontal="left" vertical="top"/>
    </xf>
    <xf numFmtId="0" fontId="0" fillId="0" borderId="0" xfId="0" applyAlignment="1">
      <alignment horizontal="left" vertical="top"/>
    </xf>
    <xf numFmtId="169" fontId="5" fillId="0" borderId="3" xfId="1" applyNumberFormat="1" applyFont="1" applyFill="1" applyBorder="1" applyAlignment="1">
      <alignment horizontal="center"/>
    </xf>
    <xf numFmtId="0" fontId="5" fillId="0" borderId="6" xfId="1" applyNumberFormat="1" applyFont="1" applyFill="1" applyBorder="1" applyAlignment="1">
      <alignment horizontal="center"/>
    </xf>
    <xf numFmtId="169" fontId="5" fillId="0" borderId="0" xfId="1" applyNumberFormat="1" applyFont="1" applyFill="1" applyAlignment="1">
      <alignment vertical="center"/>
    </xf>
    <xf numFmtId="2" fontId="6" fillId="0" borderId="0" xfId="1" applyNumberFormat="1" applyFont="1" applyFill="1"/>
    <xf numFmtId="169" fontId="5" fillId="0" borderId="0" xfId="1" applyNumberFormat="1" applyFont="1" applyFill="1" applyBorder="1" applyAlignment="1" applyProtection="1">
      <alignment horizontal="right"/>
    </xf>
    <xf numFmtId="169" fontId="5" fillId="0" borderId="15" xfId="1" applyNumberFormat="1" applyFont="1" applyFill="1" applyBorder="1"/>
    <xf numFmtId="165" fontId="5" fillId="0" borderId="0" xfId="1" applyNumberFormat="1" applyFont="1" applyFill="1" applyBorder="1"/>
    <xf numFmtId="164" fontId="5" fillId="0" borderId="4" xfId="1" applyNumberFormat="1" applyFont="1" applyFill="1" applyBorder="1"/>
    <xf numFmtId="2" fontId="11" fillId="0" borderId="0" xfId="1" quotePrefix="1" applyNumberFormat="1" applyFont="1" applyFill="1" applyAlignment="1">
      <alignment vertical="top"/>
    </xf>
    <xf numFmtId="41" fontId="5" fillId="0" borderId="5" xfId="1" applyNumberFormat="1" applyFont="1" applyFill="1" applyBorder="1" applyAlignment="1">
      <alignment horizontal="right"/>
    </xf>
    <xf numFmtId="0" fontId="5" fillId="0" borderId="0" xfId="1" applyNumberFormat="1" applyFont="1" applyFill="1" applyAlignment="1">
      <alignment horizontal="left" vertical="top"/>
    </xf>
    <xf numFmtId="0" fontId="7" fillId="0" borderId="0" xfId="13" applyFont="1" applyFill="1"/>
    <xf numFmtId="0" fontId="7" fillId="0" borderId="0" xfId="13" applyNumberFormat="1" applyFont="1" applyFill="1"/>
    <xf numFmtId="0" fontId="2" fillId="0" borderId="0" xfId="0" applyFont="1" applyFill="1"/>
    <xf numFmtId="0" fontId="2" fillId="0" borderId="0" xfId="0" applyFont="1" applyFill="1" applyAlignment="1"/>
    <xf numFmtId="0" fontId="7" fillId="0" borderId="0" xfId="13" applyNumberFormat="1" applyFont="1" applyFill="1" applyAlignment="1"/>
    <xf numFmtId="0" fontId="2" fillId="0" borderId="0" xfId="13" applyFont="1" applyFill="1" applyAlignment="1"/>
    <xf numFmtId="0" fontId="7" fillId="0" borderId="0" xfId="13" applyFont="1" applyFill="1" applyAlignment="1"/>
    <xf numFmtId="0" fontId="2" fillId="0" borderId="0" xfId="13" applyFont="1" applyFill="1" applyAlignment="1">
      <alignment horizontal="justify" vertical="top" wrapText="1"/>
    </xf>
    <xf numFmtId="0" fontId="2" fillId="0" borderId="0" xfId="0" applyNumberFormat="1" applyFont="1" applyFill="1" applyAlignment="1">
      <alignment horizontal="center"/>
    </xf>
    <xf numFmtId="0" fontId="7" fillId="0" borderId="5" xfId="0" applyNumberFormat="1" applyFont="1" applyFill="1" applyBorder="1" applyAlignment="1">
      <alignment horizontal="center"/>
    </xf>
    <xf numFmtId="0" fontId="7" fillId="0" borderId="0" xfId="0" applyNumberFormat="1" applyFont="1" applyFill="1"/>
    <xf numFmtId="0" fontId="7" fillId="0" borderId="0" xfId="0" applyNumberFormat="1" applyFont="1" applyFill="1" applyAlignment="1">
      <alignment horizontal="center"/>
    </xf>
    <xf numFmtId="0" fontId="7" fillId="0" borderId="0" xfId="0" quotePrefix="1" applyNumberFormat="1" applyFont="1" applyFill="1" applyAlignment="1">
      <alignment horizontal="center"/>
    </xf>
    <xf numFmtId="0" fontId="7" fillId="0" borderId="0" xfId="0" applyFont="1" applyFill="1" applyAlignment="1">
      <alignment horizontal="center"/>
    </xf>
    <xf numFmtId="0" fontId="21" fillId="0" borderId="0" xfId="0" applyFont="1"/>
    <xf numFmtId="0" fontId="22" fillId="0" borderId="0" xfId="0" applyFont="1"/>
    <xf numFmtId="0" fontId="5" fillId="0" borderId="0" xfId="0" applyFont="1" applyFill="1" applyAlignment="1">
      <alignment horizontal="justify"/>
    </xf>
    <xf numFmtId="0" fontId="3" fillId="0" borderId="0" xfId="0" applyFont="1" applyFill="1" applyAlignment="1">
      <alignment horizontal="justify"/>
    </xf>
    <xf numFmtId="0" fontId="3" fillId="0" borderId="0" xfId="0" applyFont="1" applyAlignment="1">
      <alignment horizontal="justify"/>
    </xf>
    <xf numFmtId="0" fontId="5" fillId="0" borderId="0" xfId="14" applyFont="1" applyAlignment="1">
      <alignment horizontal="center"/>
    </xf>
    <xf numFmtId="0" fontId="5" fillId="0" borderId="0" xfId="8" applyFont="1"/>
    <xf numFmtId="165" fontId="5" fillId="0" borderId="0" xfId="14" applyNumberFormat="1" applyFont="1" applyFill="1" applyAlignment="1">
      <alignment horizontal="right"/>
    </xf>
    <xf numFmtId="0" fontId="5" fillId="0" borderId="0" xfId="16" applyFont="1" applyFill="1" applyAlignment="1"/>
    <xf numFmtId="169" fontId="5" fillId="0" borderId="0" xfId="11" applyNumberFormat="1" applyFont="1" applyBorder="1"/>
    <xf numFmtId="41" fontId="3" fillId="0" borderId="4" xfId="11" applyNumberFormat="1" applyFont="1" applyBorder="1"/>
    <xf numFmtId="41" fontId="3" fillId="0" borderId="6" xfId="11" applyNumberFormat="1" applyFont="1" applyBorder="1"/>
    <xf numFmtId="41" fontId="5" fillId="0" borderId="0" xfId="12" applyNumberFormat="1" applyFont="1" applyFill="1" applyBorder="1"/>
    <xf numFmtId="0" fontId="6" fillId="0" borderId="0" xfId="0" applyFont="1" applyFill="1" applyAlignment="1">
      <alignment horizontal="left" vertical="top"/>
    </xf>
    <xf numFmtId="0" fontId="7" fillId="0" borderId="10" xfId="0" applyFont="1" applyFill="1" applyBorder="1"/>
    <xf numFmtId="0" fontId="9" fillId="0" borderId="0" xfId="0" quotePrefix="1" applyFont="1" applyFill="1" applyAlignment="1">
      <alignment horizontal="right" vertical="top"/>
    </xf>
    <xf numFmtId="0" fontId="9" fillId="0" borderId="0" xfId="14" quotePrefix="1" applyFont="1" applyFill="1" applyAlignment="1">
      <alignment horizontal="left" vertical="top"/>
    </xf>
    <xf numFmtId="0" fontId="9" fillId="0" borderId="0" xfId="14" quotePrefix="1" applyFont="1" applyAlignment="1">
      <alignment horizontal="left" vertical="top"/>
    </xf>
    <xf numFmtId="0" fontId="3" fillId="0" borderId="0" xfId="14" applyFont="1"/>
    <xf numFmtId="0" fontId="3" fillId="0" borderId="0" xfId="1" applyNumberFormat="1" applyFont="1" applyFill="1" applyAlignment="1">
      <alignment vertical="top" wrapText="1"/>
    </xf>
    <xf numFmtId="41" fontId="6" fillId="0" borderId="0" xfId="11" applyNumberFormat="1" applyFont="1" applyFill="1"/>
    <xf numFmtId="0" fontId="6" fillId="0" borderId="0" xfId="11" applyNumberFormat="1" applyFont="1" applyFill="1"/>
    <xf numFmtId="2" fontId="6" fillId="0" borderId="0" xfId="11" applyNumberFormat="1" applyFont="1" applyFill="1"/>
    <xf numFmtId="41" fontId="5" fillId="0" borderId="5" xfId="11" applyNumberFormat="1" applyFont="1" applyFill="1" applyBorder="1" applyProtection="1">
      <protection locked="0"/>
    </xf>
    <xf numFmtId="41" fontId="6" fillId="0" borderId="0" xfId="11" applyNumberFormat="1" applyFont="1" applyFill="1" applyAlignment="1">
      <alignment horizontal="left"/>
    </xf>
    <xf numFmtId="41" fontId="3" fillId="0" borderId="9" xfId="11" applyNumberFormat="1" applyFont="1" applyFill="1" applyBorder="1"/>
    <xf numFmtId="41" fontId="5" fillId="0" borderId="10" xfId="11" applyNumberFormat="1" applyFont="1" applyFill="1" applyBorder="1" applyProtection="1"/>
    <xf numFmtId="41" fontId="3" fillId="0" borderId="11" xfId="11" applyNumberFormat="1" applyFont="1" applyFill="1" applyBorder="1"/>
    <xf numFmtId="0" fontId="2" fillId="0" borderId="0" xfId="13" applyFont="1" applyFill="1" applyAlignment="1">
      <alignment horizontal="left"/>
    </xf>
    <xf numFmtId="0" fontId="7" fillId="0" borderId="0" xfId="13" applyFont="1" applyFill="1" applyAlignment="1">
      <alignment horizontal="left"/>
    </xf>
    <xf numFmtId="0" fontId="7" fillId="0" borderId="0" xfId="13" applyFont="1" applyFill="1" applyAlignment="1">
      <alignment horizontal="left" wrapText="1"/>
    </xf>
    <xf numFmtId="0" fontId="7" fillId="0" borderId="0" xfId="13" applyNumberFormat="1" applyFont="1" applyFill="1" applyAlignment="1">
      <alignment horizontal="left"/>
    </xf>
    <xf numFmtId="0" fontId="7" fillId="0" borderId="0" xfId="0" applyFont="1" applyFill="1" applyAlignment="1">
      <alignment wrapText="1"/>
    </xf>
    <xf numFmtId="0" fontId="5" fillId="0" borderId="0" xfId="0" applyFont="1" applyFill="1" applyBorder="1" applyAlignment="1" applyProtection="1">
      <alignment horizontal="center"/>
    </xf>
    <xf numFmtId="0" fontId="2" fillId="0" borderId="0" xfId="0" applyFont="1" applyFill="1" applyBorder="1" applyAlignment="1">
      <alignment horizontal="center"/>
    </xf>
    <xf numFmtId="0" fontId="4" fillId="0" borderId="0" xfId="0" applyFont="1" applyFill="1" applyBorder="1" applyAlignment="1">
      <alignment horizontal="center"/>
    </xf>
    <xf numFmtId="0" fontId="9" fillId="0" borderId="0" xfId="0" quotePrefix="1" applyFont="1" applyFill="1" applyAlignment="1">
      <alignment horizontal="left" vertical="top"/>
    </xf>
    <xf numFmtId="2" fontId="5" fillId="0" borderId="0" xfId="0" applyNumberFormat="1" applyFont="1" applyFill="1" applyAlignment="1">
      <alignment horizontal="left"/>
    </xf>
    <xf numFmtId="0" fontId="5" fillId="0" borderId="0" xfId="4" quotePrefix="1" applyFont="1" applyFill="1" applyAlignment="1">
      <alignment horizontal="left"/>
    </xf>
    <xf numFmtId="0" fontId="5" fillId="0" borderId="0" xfId="4" applyFont="1" applyFill="1" applyAlignment="1">
      <alignment horizontal="left"/>
    </xf>
    <xf numFmtId="0" fontId="5" fillId="0" borderId="0" xfId="4" applyFont="1" applyFill="1" applyAlignment="1"/>
    <xf numFmtId="0" fontId="5" fillId="0" borderId="5" xfId="0" quotePrefix="1" applyFont="1" applyFill="1" applyBorder="1" applyAlignment="1">
      <alignment horizontal="center"/>
    </xf>
    <xf numFmtId="41" fontId="3" fillId="0" borderId="0" xfId="0" applyNumberFormat="1" applyFont="1" applyFill="1" applyBorder="1"/>
    <xf numFmtId="169" fontId="2" fillId="0" borderId="5" xfId="1" applyNumberFormat="1" applyFont="1" applyFill="1" applyBorder="1" applyAlignment="1">
      <alignment horizontal="center"/>
    </xf>
    <xf numFmtId="169" fontId="6" fillId="0" borderId="16" xfId="1" applyNumberFormat="1" applyFont="1" applyFill="1" applyBorder="1" applyAlignment="1">
      <alignment horizontal="centerContinuous"/>
    </xf>
    <xf numFmtId="0" fontId="7" fillId="0" borderId="16" xfId="0" applyFont="1" applyFill="1" applyBorder="1"/>
    <xf numFmtId="0" fontId="5" fillId="0" borderId="10" xfId="0" applyFont="1" applyFill="1" applyBorder="1"/>
    <xf numFmtId="0" fontId="7" fillId="0" borderId="0" xfId="0" applyFont="1" applyFill="1" applyBorder="1" applyAlignment="1">
      <alignment horizontal="center"/>
    </xf>
    <xf numFmtId="0" fontId="5" fillId="0" borderId="1" xfId="0" applyFont="1" applyBorder="1"/>
    <xf numFmtId="0" fontId="5" fillId="0" borderId="9" xfId="0" applyFont="1" applyFill="1" applyBorder="1"/>
    <xf numFmtId="0" fontId="7" fillId="0" borderId="6" xfId="0" applyFont="1" applyBorder="1"/>
    <xf numFmtId="0" fontId="5" fillId="0" borderId="16" xfId="0" applyFont="1" applyFill="1" applyBorder="1" applyProtection="1"/>
    <xf numFmtId="0" fontId="5" fillId="0" borderId="16" xfId="0" applyFont="1" applyFill="1" applyBorder="1" applyAlignment="1" applyProtection="1">
      <alignment horizontal="centerContinuous"/>
    </xf>
    <xf numFmtId="0" fontId="5" fillId="0" borderId="16" xfId="0" applyFont="1" applyFill="1" applyBorder="1"/>
    <xf numFmtId="0" fontId="6" fillId="0" borderId="0" xfId="0" applyFont="1" applyFill="1" applyBorder="1" applyAlignment="1" applyProtection="1">
      <alignment horizontal="left"/>
    </xf>
    <xf numFmtId="171" fontId="5" fillId="0" borderId="4" xfId="0" applyNumberFormat="1" applyFont="1" applyFill="1" applyBorder="1" applyProtection="1"/>
    <xf numFmtId="168" fontId="6" fillId="0" borderId="16" xfId="7" applyFont="1" applyFill="1" applyBorder="1" applyAlignment="1">
      <alignment horizontal="center"/>
    </xf>
    <xf numFmtId="41" fontId="15" fillId="0" borderId="0" xfId="7" applyNumberFormat="1" applyFont="1" applyFill="1" applyBorder="1" applyProtection="1"/>
    <xf numFmtId="168" fontId="7" fillId="0" borderId="4" xfId="7" applyFont="1" applyFill="1" applyBorder="1"/>
    <xf numFmtId="168" fontId="6" fillId="0" borderId="16" xfId="7" applyFont="1" applyBorder="1" applyAlignment="1">
      <alignment horizontal="center"/>
    </xf>
    <xf numFmtId="168" fontId="5" fillId="0" borderId="16" xfId="7" applyFont="1" applyBorder="1" applyAlignment="1">
      <alignment horizontal="centerContinuous"/>
    </xf>
    <xf numFmtId="168" fontId="6" fillId="0" borderId="6" xfId="7" applyFont="1" applyBorder="1" applyAlignment="1">
      <alignment horizontal="center"/>
    </xf>
    <xf numFmtId="168" fontId="6" fillId="0" borderId="6" xfId="7" applyFont="1" applyFill="1" applyBorder="1" applyAlignment="1">
      <alignment horizontal="centerContinuous"/>
    </xf>
    <xf numFmtId="0" fontId="5" fillId="0" borderId="6" xfId="8" applyFont="1" applyFill="1" applyBorder="1"/>
    <xf numFmtId="41" fontId="5" fillId="0" borderId="6" xfId="8" applyNumberFormat="1" applyFont="1" applyFill="1" applyBorder="1" applyAlignment="1">
      <alignment horizontal="left"/>
    </xf>
    <xf numFmtId="41" fontId="5" fillId="0" borderId="6" xfId="0" applyNumberFormat="1" applyFont="1" applyFill="1" applyBorder="1" applyAlignment="1">
      <alignment horizontal="left"/>
    </xf>
    <xf numFmtId="41" fontId="5" fillId="0" borderId="6" xfId="8" applyNumberFormat="1" applyFont="1" applyFill="1" applyBorder="1"/>
    <xf numFmtId="41" fontId="6" fillId="0" borderId="6" xfId="8" applyNumberFormat="1" applyFont="1" applyFill="1" applyBorder="1" applyAlignment="1">
      <alignment horizontal="left"/>
    </xf>
    <xf numFmtId="41" fontId="5" fillId="0" borderId="6" xfId="7" applyNumberFormat="1" applyFont="1" applyFill="1" applyBorder="1" applyAlignment="1">
      <alignment horizontal="left"/>
    </xf>
    <xf numFmtId="41" fontId="7" fillId="0" borderId="6" xfId="7" applyNumberFormat="1" applyFont="1" applyFill="1" applyBorder="1" applyAlignment="1">
      <alignment horizontal="left"/>
    </xf>
    <xf numFmtId="41" fontId="7" fillId="0" borderId="6" xfId="7" applyNumberFormat="1" applyFont="1" applyFill="1" applyBorder="1"/>
    <xf numFmtId="168" fontId="7" fillId="0" borderId="11" xfId="7" applyFont="1" applyBorder="1"/>
    <xf numFmtId="168" fontId="6" fillId="0" borderId="3" xfId="7" applyFont="1" applyBorder="1" applyAlignment="1">
      <alignment horizontal="center"/>
    </xf>
    <xf numFmtId="168" fontId="7" fillId="0" borderId="5" xfId="7" applyFont="1" applyBorder="1" applyAlignment="1">
      <alignment horizontal="centerContinuous"/>
    </xf>
    <xf numFmtId="41" fontId="5" fillId="0" borderId="16" xfId="0" applyNumberFormat="1" applyFont="1" applyFill="1" applyBorder="1"/>
    <xf numFmtId="41" fontId="5" fillId="0" borderId="5" xfId="0" applyNumberFormat="1" applyFont="1" applyFill="1" applyBorder="1" applyAlignment="1" applyProtection="1"/>
    <xf numFmtId="0" fontId="4" fillId="0" borderId="0" xfId="12" applyFont="1" applyFill="1" applyAlignment="1">
      <alignment horizontal="center"/>
    </xf>
    <xf numFmtId="168" fontId="6" fillId="0" borderId="16" xfId="7" applyFont="1" applyFill="1" applyBorder="1" applyAlignment="1">
      <alignment horizontal="right"/>
    </xf>
    <xf numFmtId="169" fontId="5" fillId="0" borderId="16" xfId="1" applyNumberFormat="1" applyFont="1" applyFill="1" applyBorder="1"/>
    <xf numFmtId="169" fontId="5" fillId="0" borderId="16" xfId="1" applyNumberFormat="1" applyFont="1" applyFill="1" applyBorder="1" applyAlignment="1">
      <alignment horizontal="center"/>
    </xf>
    <xf numFmtId="0" fontId="5" fillId="0" borderId="16" xfId="0" applyFont="1" applyBorder="1" applyAlignment="1">
      <alignment horizontal="center"/>
    </xf>
    <xf numFmtId="0" fontId="5" fillId="0" borderId="16" xfId="0" applyFont="1" applyBorder="1"/>
    <xf numFmtId="2" fontId="6" fillId="0" borderId="9" xfId="7" applyNumberFormat="1" applyFont="1" applyFill="1" applyBorder="1" applyAlignment="1">
      <alignment horizontal="right"/>
    </xf>
    <xf numFmtId="2" fontId="6" fillId="0" borderId="10" xfId="7" applyNumberFormat="1" applyFont="1" applyFill="1" applyBorder="1" applyAlignment="1">
      <alignment horizontal="left"/>
    </xf>
    <xf numFmtId="2" fontId="6" fillId="0" borderId="11" xfId="7" applyNumberFormat="1" applyFont="1" applyFill="1" applyBorder="1" applyAlignment="1">
      <alignment horizontal="left"/>
    </xf>
    <xf numFmtId="0" fontId="5" fillId="0" borderId="16" xfId="12" applyFont="1" applyFill="1" applyBorder="1"/>
    <xf numFmtId="2" fontId="5" fillId="0" borderId="0" xfId="12" applyNumberFormat="1" applyFont="1" applyFill="1" applyBorder="1"/>
    <xf numFmtId="41" fontId="5" fillId="0" borderId="4" xfId="12" applyNumberFormat="1" applyFont="1" applyFill="1" applyBorder="1"/>
    <xf numFmtId="41" fontId="5" fillId="0" borderId="6" xfId="12" applyNumberFormat="1" applyFont="1" applyFill="1" applyBorder="1"/>
    <xf numFmtId="0" fontId="5" fillId="0" borderId="0" xfId="0" applyFont="1" applyFill="1" applyAlignment="1">
      <alignment horizontal="left" vertical="top" wrapText="1"/>
    </xf>
    <xf numFmtId="0" fontId="0" fillId="0" borderId="0" xfId="0" applyFill="1" applyAlignment="1"/>
    <xf numFmtId="0" fontId="5" fillId="0" borderId="0" xfId="3" applyFont="1" applyFill="1" applyBorder="1" applyAlignment="1"/>
    <xf numFmtId="169" fontId="2" fillId="0" borderId="0" xfId="1" applyNumberFormat="1" applyFont="1" applyFill="1" applyAlignment="1"/>
    <xf numFmtId="169" fontId="4" fillId="0" borderId="0" xfId="1" applyNumberFormat="1" applyFont="1" applyFill="1" applyAlignment="1"/>
    <xf numFmtId="164" fontId="5" fillId="0" borderId="0" xfId="0" applyNumberFormat="1" applyFont="1" applyFill="1" applyBorder="1"/>
    <xf numFmtId="0" fontId="5" fillId="0" borderId="0" xfId="0" applyNumberFormat="1" applyFont="1" applyBorder="1"/>
    <xf numFmtId="170" fontId="5" fillId="0" borderId="0" xfId="0" applyNumberFormat="1" applyFont="1" applyBorder="1" applyAlignment="1">
      <alignment horizontal="right"/>
    </xf>
    <xf numFmtId="0" fontId="6" fillId="0" borderId="0" xfId="0" applyNumberFormat="1" applyFont="1" applyBorder="1" applyAlignment="1">
      <alignment horizontal="left"/>
    </xf>
    <xf numFmtId="0" fontId="5" fillId="0" borderId="0" xfId="0" applyNumberFormat="1" applyFont="1" applyBorder="1" applyAlignment="1">
      <alignment horizontal="left" indent="1"/>
    </xf>
    <xf numFmtId="0" fontId="5" fillId="0" borderId="0" xfId="0" applyNumberFormat="1" applyFont="1" applyBorder="1" applyAlignment="1">
      <alignment horizontal="left" indent="2"/>
    </xf>
    <xf numFmtId="0" fontId="5" fillId="0" borderId="2" xfId="0" quotePrefix="1" applyFont="1" applyFill="1" applyBorder="1" applyAlignment="1">
      <alignment horizontal="center"/>
    </xf>
    <xf numFmtId="0" fontId="3" fillId="0" borderId="4" xfId="0" applyFont="1" applyBorder="1"/>
    <xf numFmtId="0" fontId="3" fillId="0" borderId="9" xfId="0" applyFont="1" applyBorder="1"/>
    <xf numFmtId="0" fontId="3" fillId="0" borderId="11" xfId="0" applyFont="1" applyBorder="1"/>
    <xf numFmtId="0" fontId="5" fillId="0" borderId="3" xfId="0" applyFont="1" applyFill="1" applyBorder="1" applyAlignment="1"/>
    <xf numFmtId="174" fontId="5" fillId="0" borderId="6" xfId="0" applyNumberFormat="1" applyFont="1" applyBorder="1" applyAlignment="1"/>
    <xf numFmtId="170" fontId="5" fillId="0" borderId="10" xfId="0" applyNumberFormat="1" applyFont="1" applyBorder="1" applyAlignment="1">
      <alignment horizontal="right"/>
    </xf>
    <xf numFmtId="165" fontId="5" fillId="0" borderId="6" xfId="0" applyNumberFormat="1" applyFont="1" applyBorder="1" applyAlignment="1">
      <alignment horizontal="center"/>
    </xf>
    <xf numFmtId="165" fontId="3" fillId="0" borderId="0" xfId="0" applyNumberFormat="1" applyFont="1"/>
    <xf numFmtId="165" fontId="5" fillId="0" borderId="0" xfId="1" applyNumberFormat="1" applyFont="1" applyBorder="1" applyAlignment="1">
      <alignment horizontal="right"/>
    </xf>
    <xf numFmtId="165" fontId="3" fillId="0" borderId="4" xfId="0" applyNumberFormat="1" applyFont="1" applyBorder="1"/>
    <xf numFmtId="165" fontId="5" fillId="0" borderId="0" xfId="0" applyNumberFormat="1" applyFont="1" applyBorder="1" applyAlignment="1">
      <alignment horizontal="center"/>
    </xf>
    <xf numFmtId="165" fontId="5" fillId="0" borderId="6" xfId="0" applyNumberFormat="1" applyFont="1" applyBorder="1" applyAlignment="1">
      <alignment horizontal="centerContinuous"/>
    </xf>
    <xf numFmtId="165" fontId="5" fillId="0" borderId="0" xfId="0" applyNumberFormat="1" applyFont="1" applyBorder="1" applyAlignment="1">
      <alignment horizontal="right"/>
    </xf>
    <xf numFmtId="165" fontId="5" fillId="0" borderId="0" xfId="0" applyNumberFormat="1" applyFont="1" applyBorder="1" applyAlignment="1">
      <alignment horizontal="centerContinuous"/>
    </xf>
    <xf numFmtId="165" fontId="5" fillId="0" borderId="6" xfId="0" applyNumberFormat="1" applyFont="1" applyBorder="1"/>
    <xf numFmtId="165" fontId="3" fillId="0" borderId="6" xfId="0" applyNumberFormat="1" applyFont="1" applyBorder="1"/>
    <xf numFmtId="165" fontId="3" fillId="0" borderId="0" xfId="0" applyNumberFormat="1" applyFont="1" applyBorder="1"/>
    <xf numFmtId="174" fontId="5" fillId="0" borderId="0" xfId="0" applyNumberFormat="1" applyFont="1" applyFill="1" applyBorder="1" applyAlignment="1"/>
    <xf numFmtId="0" fontId="3" fillId="0" borderId="0" xfId="14" applyFont="1" applyFill="1" applyAlignment="1">
      <alignment horizontal="left" vertical="top"/>
    </xf>
    <xf numFmtId="169" fontId="9" fillId="0" borderId="0" xfId="1" quotePrefix="1" applyNumberFormat="1" applyFont="1" applyFill="1" applyAlignment="1">
      <alignment horizontal="left" vertical="top"/>
    </xf>
    <xf numFmtId="41" fontId="5" fillId="0" borderId="12" xfId="11" applyNumberFormat="1" applyFont="1" applyFill="1" applyBorder="1"/>
    <xf numFmtId="41" fontId="5" fillId="0" borderId="5" xfId="0" applyNumberFormat="1" applyFont="1" applyFill="1" applyBorder="1" applyAlignment="1" applyProtection="1">
      <alignment horizontal="right"/>
    </xf>
    <xf numFmtId="41" fontId="5" fillId="0" borderId="15" xfId="1" applyNumberFormat="1" applyFont="1" applyFill="1" applyBorder="1"/>
    <xf numFmtId="167" fontId="5" fillId="0" borderId="5" xfId="0" applyNumberFormat="1" applyFont="1" applyFill="1" applyBorder="1"/>
    <xf numFmtId="167" fontId="5" fillId="0" borderId="8" xfId="0" applyNumberFormat="1" applyFont="1" applyFill="1" applyBorder="1" applyAlignment="1" applyProtection="1">
      <alignment horizontal="right"/>
    </xf>
    <xf numFmtId="169" fontId="6" fillId="0" borderId="0" xfId="1" applyNumberFormat="1" applyFont="1" applyFill="1" applyBorder="1"/>
    <xf numFmtId="165" fontId="5" fillId="0" borderId="0" xfId="1" applyNumberFormat="1" applyFont="1" applyFill="1" applyBorder="1" applyAlignment="1">
      <alignment horizontal="right"/>
    </xf>
    <xf numFmtId="165" fontId="5" fillId="0" borderId="0" xfId="0" applyNumberFormat="1" applyFont="1" applyFill="1" applyBorder="1" applyAlignment="1">
      <alignment horizontal="right"/>
    </xf>
    <xf numFmtId="165" fontId="3" fillId="0" borderId="0" xfId="0" applyNumberFormat="1" applyFont="1" applyFill="1" applyBorder="1"/>
    <xf numFmtId="167" fontId="5" fillId="0" borderId="0" xfId="8" applyNumberFormat="1" applyFont="1" applyFill="1" applyBorder="1" applyProtection="1"/>
    <xf numFmtId="37" fontId="11" fillId="0" borderId="0" xfId="7" quotePrefix="1" applyNumberFormat="1" applyFont="1" applyFill="1"/>
    <xf numFmtId="0" fontId="7" fillId="0" borderId="4" xfId="12" applyFill="1" applyBorder="1"/>
    <xf numFmtId="0" fontId="7" fillId="0" borderId="6" xfId="12" applyFill="1" applyBorder="1"/>
    <xf numFmtId="2" fontId="5" fillId="0" borderId="0" xfId="12" applyNumberFormat="1" applyFont="1" applyFill="1" applyBorder="1" applyAlignment="1">
      <alignment horizontal="left" indent="3"/>
    </xf>
    <xf numFmtId="178" fontId="5" fillId="0" borderId="8" xfId="12" applyNumberFormat="1" applyFont="1" applyFill="1" applyBorder="1"/>
    <xf numFmtId="0" fontId="0" fillId="0" borderId="9" xfId="0" applyBorder="1"/>
    <xf numFmtId="0" fontId="0" fillId="0" borderId="10" xfId="0" applyBorder="1"/>
    <xf numFmtId="0" fontId="0" fillId="0" borderId="11" xfId="0" applyBorder="1"/>
    <xf numFmtId="168" fontId="11" fillId="0" borderId="0" xfId="7" quotePrefix="1" applyFont="1" applyAlignment="1">
      <alignment vertical="top"/>
    </xf>
    <xf numFmtId="178" fontId="5" fillId="0" borderId="0" xfId="14" applyNumberFormat="1" applyFont="1" applyFill="1" applyAlignment="1">
      <alignment horizontal="right"/>
    </xf>
    <xf numFmtId="41" fontId="5" fillId="0" borderId="0" xfId="7" applyNumberFormat="1" applyFont="1" applyFill="1" applyBorder="1" applyAlignment="1" applyProtection="1">
      <alignment horizontal="right"/>
    </xf>
    <xf numFmtId="0" fontId="5" fillId="0" borderId="0" xfId="11" applyNumberFormat="1" applyFont="1" applyFill="1"/>
    <xf numFmtId="0" fontId="5" fillId="0" borderId="0" xfId="11" applyNumberFormat="1" applyFont="1"/>
    <xf numFmtId="41" fontId="5" fillId="0" borderId="5" xfId="12" applyNumberFormat="1" applyFont="1" applyFill="1" applyBorder="1"/>
    <xf numFmtId="41" fontId="5" fillId="0" borderId="0" xfId="12" applyNumberFormat="1" applyFont="1" applyFill="1"/>
    <xf numFmtId="164" fontId="5" fillId="0" borderId="6" xfId="1" quotePrefix="1" applyNumberFormat="1" applyFont="1" applyFill="1" applyBorder="1" applyAlignment="1">
      <alignment horizontal="left"/>
    </xf>
    <xf numFmtId="169" fontId="2" fillId="0" borderId="0" xfId="1" applyNumberFormat="1" applyFont="1" applyFill="1" applyAlignment="1">
      <alignment horizontal="center"/>
    </xf>
    <xf numFmtId="169" fontId="4" fillId="0" borderId="0" xfId="1" applyNumberFormat="1" applyFont="1" applyFill="1" applyAlignment="1">
      <alignment horizontal="center"/>
    </xf>
    <xf numFmtId="0" fontId="12" fillId="0" borderId="0" xfId="0" applyFont="1" applyFill="1" applyAlignment="1">
      <alignment vertical="top"/>
    </xf>
    <xf numFmtId="0" fontId="7" fillId="0" borderId="5" xfId="0" applyFont="1" applyFill="1" applyBorder="1"/>
    <xf numFmtId="0" fontId="5" fillId="0" borderId="1" xfId="0" applyFont="1" applyFill="1" applyBorder="1"/>
    <xf numFmtId="0" fontId="0" fillId="0" borderId="0" xfId="0" applyFill="1" applyAlignment="1">
      <alignment vertical="top" wrapText="1"/>
    </xf>
    <xf numFmtId="2" fontId="3" fillId="0" borderId="0" xfId="0" applyNumberFormat="1" applyFont="1" applyFill="1" applyBorder="1" applyAlignment="1"/>
    <xf numFmtId="41" fontId="5" fillId="0" borderId="8" xfId="0" applyNumberFormat="1" applyFont="1" applyFill="1" applyBorder="1" applyAlignment="1" applyProtection="1"/>
    <xf numFmtId="168" fontId="2" fillId="0" borderId="0" xfId="7" applyFont="1" applyFill="1" applyAlignment="1">
      <alignment horizontal="center"/>
    </xf>
    <xf numFmtId="0" fontId="5" fillId="0" borderId="0" xfId="5" applyFont="1" applyAlignment="1"/>
    <xf numFmtId="0" fontId="0" fillId="0" borderId="0" xfId="0" applyFill="1" applyAlignment="1">
      <alignment wrapText="1"/>
    </xf>
    <xf numFmtId="41" fontId="9" fillId="0" borderId="0" xfId="11" quotePrefix="1" applyNumberFormat="1" applyFont="1" applyFill="1" applyAlignment="1">
      <alignment horizontal="left"/>
    </xf>
    <xf numFmtId="0" fontId="6" fillId="0" borderId="0" xfId="11" applyNumberFormat="1" applyFont="1" applyFill="1" applyBorder="1" applyAlignment="1">
      <alignment horizontal="left"/>
    </xf>
    <xf numFmtId="168" fontId="4" fillId="0" borderId="0" xfId="7" applyFont="1" applyFill="1" applyAlignment="1"/>
    <xf numFmtId="0" fontId="5" fillId="0" borderId="0" xfId="5" applyFont="1" applyFill="1" applyAlignment="1">
      <alignment vertical="top" wrapText="1"/>
    </xf>
    <xf numFmtId="167" fontId="5" fillId="0" borderId="4" xfId="0" applyNumberFormat="1" applyFont="1" applyFill="1" applyBorder="1"/>
    <xf numFmtId="0" fontId="7" fillId="0" borderId="0" xfId="3" applyFill="1" applyAlignment="1">
      <alignment vertical="top" wrapText="1"/>
    </xf>
    <xf numFmtId="165" fontId="5" fillId="0" borderId="0" xfId="1" applyNumberFormat="1" applyFont="1" applyFill="1"/>
    <xf numFmtId="165" fontId="5" fillId="0" borderId="4" xfId="1" applyNumberFormat="1" applyFont="1" applyFill="1" applyBorder="1"/>
    <xf numFmtId="165" fontId="5" fillId="0" borderId="6" xfId="1" applyNumberFormat="1" applyFont="1" applyFill="1" applyBorder="1" applyAlignment="1">
      <alignment horizontal="left"/>
    </xf>
    <xf numFmtId="165" fontId="5" fillId="0" borderId="0" xfId="1" applyNumberFormat="1" applyFont="1" applyFill="1" applyBorder="1" applyAlignment="1">
      <alignment horizontal="left"/>
    </xf>
    <xf numFmtId="165" fontId="5" fillId="0" borderId="6" xfId="1" applyNumberFormat="1" applyFont="1" applyFill="1" applyBorder="1"/>
    <xf numFmtId="165" fontId="5" fillId="0" borderId="8" xfId="1" applyNumberFormat="1" applyFont="1" applyFill="1" applyBorder="1"/>
    <xf numFmtId="0" fontId="11" fillId="0" borderId="0" xfId="14" quotePrefix="1" applyFont="1" applyFill="1"/>
    <xf numFmtId="169" fontId="5" fillId="0" borderId="5" xfId="1" applyNumberFormat="1" applyFont="1" applyFill="1" applyBorder="1" applyAlignment="1">
      <alignment horizontal="center"/>
    </xf>
    <xf numFmtId="169" fontId="6" fillId="0" borderId="0" xfId="1" applyNumberFormat="1" applyFont="1" applyFill="1" applyAlignment="1">
      <alignment horizontal="center"/>
    </xf>
    <xf numFmtId="179" fontId="7" fillId="0" borderId="0" xfId="18" applyNumberFormat="1" applyFont="1" applyFill="1"/>
    <xf numFmtId="180" fontId="5" fillId="0" borderId="0" xfId="1" applyNumberFormat="1" applyFont="1" applyFill="1"/>
    <xf numFmtId="0" fontId="3" fillId="0" borderId="0" xfId="0" applyNumberFormat="1" applyFont="1" applyAlignment="1">
      <alignment horizontal="center"/>
    </xf>
    <xf numFmtId="0" fontId="5" fillId="0" borderId="0" xfId="0" quotePrefix="1" applyNumberFormat="1" applyFont="1" applyFill="1" applyAlignment="1">
      <alignment horizontal="center"/>
    </xf>
    <xf numFmtId="0" fontId="2" fillId="0" borderId="0" xfId="0" applyFont="1" applyBorder="1" applyAlignment="1"/>
    <xf numFmtId="0" fontId="5" fillId="0" borderId="0" xfId="14" applyFont="1" applyFill="1" applyAlignment="1">
      <alignment horizontal="left" vertical="top"/>
    </xf>
    <xf numFmtId="0" fontId="28" fillId="0" borderId="0" xfId="0" applyFont="1" applyFill="1" applyAlignment="1">
      <alignment horizontal="center"/>
    </xf>
    <xf numFmtId="0" fontId="29" fillId="0" borderId="0" xfId="0" applyFont="1" applyFill="1" applyAlignment="1">
      <alignment horizontal="center"/>
    </xf>
    <xf numFmtId="0" fontId="29" fillId="0" borderId="5" xfId="0" applyFont="1" applyFill="1" applyBorder="1" applyAlignment="1">
      <alignment horizontal="center" wrapText="1"/>
    </xf>
    <xf numFmtId="0" fontId="29" fillId="0" borderId="0" xfId="0" applyFont="1" applyFill="1" applyBorder="1" applyAlignment="1">
      <alignment horizontal="center"/>
    </xf>
    <xf numFmtId="0" fontId="29" fillId="0" borderId="0" xfId="0" applyFont="1" applyFill="1" applyBorder="1" applyAlignment="1">
      <alignment horizontal="center" wrapText="1"/>
    </xf>
    <xf numFmtId="0" fontId="29" fillId="0" borderId="0" xfId="0" applyFont="1" applyFill="1"/>
    <xf numFmtId="0" fontId="29" fillId="0" borderId="5" xfId="0" applyFont="1" applyFill="1" applyBorder="1" applyAlignment="1">
      <alignment horizontal="center"/>
    </xf>
    <xf numFmtId="0" fontId="0" fillId="0" borderId="5" xfId="0" applyFill="1" applyBorder="1"/>
    <xf numFmtId="0" fontId="0" fillId="0" borderId="5" xfId="0" applyBorder="1"/>
    <xf numFmtId="41" fontId="20" fillId="0" borderId="0" xfId="2" applyNumberFormat="1" applyFont="1" applyFill="1"/>
    <xf numFmtId="41" fontId="29" fillId="0" borderId="0" xfId="2" applyNumberFormat="1" applyFont="1" applyFill="1"/>
    <xf numFmtId="167" fontId="20" fillId="0" borderId="0" xfId="2" applyNumberFormat="1" applyFont="1" applyFill="1"/>
    <xf numFmtId="167" fontId="29" fillId="0" borderId="0" xfId="2" applyNumberFormat="1" applyFont="1" applyFill="1"/>
    <xf numFmtId="41" fontId="20" fillId="0" borderId="5" xfId="2" applyNumberFormat="1" applyFont="1" applyFill="1" applyBorder="1"/>
    <xf numFmtId="41" fontId="29" fillId="0" borderId="0" xfId="0" applyNumberFormat="1" applyFont="1" applyFill="1"/>
    <xf numFmtId="0" fontId="29" fillId="0" borderId="0" xfId="0" applyFont="1" applyFill="1" applyAlignment="1"/>
    <xf numFmtId="167" fontId="20" fillId="0" borderId="0" xfId="2" applyNumberFormat="1" applyFont="1" applyFill="1" applyBorder="1" applyAlignment="1">
      <alignment horizontal="right"/>
    </xf>
    <xf numFmtId="41" fontId="29" fillId="0" borderId="0" xfId="2" applyNumberFormat="1" applyFont="1" applyFill="1" applyBorder="1"/>
    <xf numFmtId="0" fontId="28" fillId="0" borderId="0" xfId="0" applyFont="1" applyFill="1"/>
    <xf numFmtId="0" fontId="26" fillId="0" borderId="0" xfId="0" applyFont="1" applyFill="1"/>
    <xf numFmtId="41" fontId="29" fillId="0" borderId="12" xfId="2" applyNumberFormat="1" applyFont="1" applyFill="1" applyBorder="1"/>
    <xf numFmtId="167" fontId="20" fillId="0" borderId="0" xfId="2" applyNumberFormat="1" applyFont="1" applyFill="1" applyBorder="1"/>
    <xf numFmtId="41" fontId="29" fillId="0" borderId="0" xfId="0" applyNumberFormat="1" applyFont="1" applyFill="1" applyBorder="1"/>
    <xf numFmtId="167" fontId="29" fillId="0" borderId="0" xfId="2" applyNumberFormat="1" applyFont="1" applyFill="1" applyBorder="1"/>
    <xf numFmtId="41" fontId="29" fillId="0" borderId="0" xfId="4" applyNumberFormat="1" applyFont="1" applyFill="1" applyAlignment="1">
      <alignment horizontal="center"/>
    </xf>
    <xf numFmtId="0" fontId="29" fillId="0" borderId="0" xfId="4" applyFont="1" applyFill="1" applyAlignment="1">
      <alignment horizontal="center"/>
    </xf>
    <xf numFmtId="41" fontId="29" fillId="0" borderId="5" xfId="4" applyNumberFormat="1" applyFont="1" applyFill="1" applyBorder="1" applyAlignment="1">
      <alignment horizontal="center"/>
    </xf>
    <xf numFmtId="0" fontId="28" fillId="0" borderId="0" xfId="4" applyFont="1" applyFill="1" applyAlignment="1"/>
    <xf numFmtId="0" fontId="29" fillId="0" borderId="0" xfId="4" applyFont="1" applyFill="1" applyAlignment="1"/>
    <xf numFmtId="41" fontId="20" fillId="0" borderId="0" xfId="2" applyNumberFormat="1" applyFont="1" applyFill="1" applyBorder="1"/>
    <xf numFmtId="0" fontId="6" fillId="0" borderId="0" xfId="4" applyFont="1" applyFill="1" applyAlignment="1"/>
    <xf numFmtId="41" fontId="20" fillId="0" borderId="12" xfId="2" applyNumberFormat="1" applyFont="1" applyFill="1" applyBorder="1"/>
    <xf numFmtId="0" fontId="30" fillId="0" borderId="0" xfId="0" quotePrefix="1" applyFont="1" applyFill="1" applyAlignment="1">
      <alignment vertical="top"/>
    </xf>
    <xf numFmtId="43" fontId="28" fillId="0" borderId="0" xfId="0" applyNumberFormat="1" applyFont="1" applyFill="1" applyAlignment="1">
      <alignment horizontal="center"/>
    </xf>
    <xf numFmtId="181" fontId="28" fillId="0" borderId="0" xfId="0" applyNumberFormat="1" applyFont="1" applyFill="1" applyAlignment="1">
      <alignment horizontal="center"/>
    </xf>
    <xf numFmtId="182" fontId="28" fillId="0" borderId="0" xfId="0" applyNumberFormat="1" applyFont="1" applyFill="1" applyAlignment="1">
      <alignment horizontal="center"/>
    </xf>
    <xf numFmtId="167" fontId="29" fillId="0" borderId="0" xfId="2" applyNumberFormat="1" applyFont="1" applyFill="1" applyBorder="1" applyAlignment="1">
      <alignment horizontal="right"/>
    </xf>
    <xf numFmtId="167" fontId="5" fillId="0" borderId="8" xfId="1" applyNumberFormat="1" applyFont="1" applyFill="1" applyBorder="1"/>
    <xf numFmtId="168" fontId="5" fillId="0" borderId="5" xfId="7" applyFont="1" applyFill="1" applyBorder="1" applyAlignment="1">
      <alignment horizontal="center"/>
    </xf>
    <xf numFmtId="164" fontId="5" fillId="0" borderId="6" xfId="1" applyNumberFormat="1" applyFont="1" applyFill="1" applyBorder="1" applyAlignment="1">
      <alignment horizontal="left"/>
    </xf>
    <xf numFmtId="0" fontId="5" fillId="0" borderId="0" xfId="0" applyFont="1" applyAlignment="1">
      <alignment horizontal="left" wrapText="1"/>
    </xf>
    <xf numFmtId="0" fontId="23" fillId="0" borderId="0" xfId="0" applyFont="1" applyAlignment="1">
      <alignment horizontal="center"/>
    </xf>
    <xf numFmtId="0" fontId="5" fillId="0" borderId="0" xfId="0" applyFont="1" applyFill="1" applyAlignment="1">
      <alignment horizontal="justify" wrapText="1"/>
    </xf>
    <xf numFmtId="0" fontId="2" fillId="0" borderId="0" xfId="0" applyFont="1" applyFill="1" applyAlignment="1">
      <alignment horizontal="center"/>
    </xf>
    <xf numFmtId="0" fontId="5" fillId="0" borderId="0" xfId="0" applyFont="1" applyFill="1" applyAlignment="1">
      <alignment horizontal="left" vertical="top" wrapText="1"/>
    </xf>
    <xf numFmtId="0" fontId="4" fillId="0" borderId="0" xfId="0" applyFont="1" applyFill="1" applyAlignment="1">
      <alignment horizontal="center"/>
    </xf>
    <xf numFmtId="0" fontId="5" fillId="0" borderId="5" xfId="0" applyFont="1" applyFill="1" applyBorder="1" applyAlignment="1">
      <alignment horizontal="center"/>
    </xf>
    <xf numFmtId="0" fontId="5" fillId="0" borderId="0" xfId="0" applyNumberFormat="1" applyFont="1" applyFill="1" applyAlignment="1" applyProtection="1">
      <alignment horizontal="left" vertical="top" wrapText="1"/>
    </xf>
    <xf numFmtId="0" fontId="5" fillId="0" borderId="0" xfId="0" applyFont="1" applyFill="1" applyAlignment="1">
      <alignment horizontal="center" vertical="top" wrapText="1"/>
    </xf>
    <xf numFmtId="169" fontId="2" fillId="0" borderId="0" xfId="1" applyNumberFormat="1" applyFont="1" applyFill="1" applyAlignment="1">
      <alignment horizontal="center"/>
    </xf>
    <xf numFmtId="169" fontId="4" fillId="0" borderId="0" xfId="1" applyNumberFormat="1" applyFont="1" applyFill="1" applyAlignment="1">
      <alignment horizontal="center"/>
    </xf>
    <xf numFmtId="0" fontId="5" fillId="0" borderId="0" xfId="1" applyNumberFormat="1" applyFont="1" applyFill="1" applyAlignment="1">
      <alignment horizontal="left" vertical="top" wrapText="1"/>
    </xf>
    <xf numFmtId="169" fontId="5" fillId="0" borderId="5" xfId="1" applyNumberFormat="1" applyFont="1" applyFill="1" applyBorder="1" applyAlignment="1">
      <alignment horizontal="center"/>
    </xf>
    <xf numFmtId="169" fontId="6" fillId="0" borderId="5" xfId="1" applyNumberFormat="1" applyFont="1" applyFill="1" applyBorder="1" applyAlignment="1">
      <alignment horizontal="center"/>
    </xf>
    <xf numFmtId="169" fontId="6" fillId="0" borderId="0" xfId="1" applyNumberFormat="1" applyFont="1" applyFill="1" applyBorder="1" applyAlignment="1">
      <alignment horizontal="center"/>
    </xf>
    <xf numFmtId="169" fontId="6" fillId="0" borderId="0" xfId="1" applyNumberFormat="1" applyFont="1" applyFill="1" applyAlignment="1">
      <alignment horizontal="center"/>
    </xf>
    <xf numFmtId="0" fontId="2" fillId="0" borderId="0" xfId="0" applyFont="1" applyFill="1" applyAlignment="1" applyProtection="1">
      <alignment horizontal="center"/>
    </xf>
    <xf numFmtId="0" fontId="4" fillId="0" borderId="0" xfId="0" applyFont="1" applyFill="1" applyAlignment="1" applyProtection="1">
      <alignment horizontal="center"/>
    </xf>
    <xf numFmtId="0" fontId="5" fillId="0" borderId="0" xfId="12" applyNumberFormat="1" applyFont="1" applyFill="1" applyAlignment="1">
      <alignment horizontal="left" vertical="top" wrapText="1"/>
    </xf>
    <xf numFmtId="168" fontId="2" fillId="0" borderId="0" xfId="7" applyFont="1" applyAlignment="1">
      <alignment horizontal="center"/>
    </xf>
    <xf numFmtId="168" fontId="4" fillId="0" borderId="0" xfId="7" applyFont="1" applyAlignment="1">
      <alignment horizontal="center"/>
    </xf>
    <xf numFmtId="0" fontId="5" fillId="0" borderId="5" xfId="0" applyFont="1" applyBorder="1" applyAlignment="1">
      <alignment horizontal="center"/>
    </xf>
    <xf numFmtId="168" fontId="5" fillId="0" borderId="5" xfId="7" applyFont="1" applyBorder="1" applyAlignment="1">
      <alignment horizontal="center"/>
    </xf>
    <xf numFmtId="0" fontId="5" fillId="0" borderId="0" xfId="0" applyFont="1" applyFill="1" applyAlignment="1">
      <alignment horizontal="center"/>
    </xf>
    <xf numFmtId="0" fontId="5" fillId="0" borderId="0" xfId="0" applyFont="1" applyFill="1" applyBorder="1" applyAlignment="1" applyProtection="1">
      <alignment horizontal="center"/>
    </xf>
    <xf numFmtId="0" fontId="5" fillId="0" borderId="0" xfId="0" applyFont="1" applyFill="1" applyBorder="1" applyAlignment="1">
      <alignment horizontal="center"/>
    </xf>
    <xf numFmtId="0" fontId="5" fillId="0" borderId="0" xfId="0" applyFont="1" applyFill="1" applyBorder="1" applyAlignment="1">
      <alignment horizontal="left" vertical="top" wrapText="1"/>
    </xf>
    <xf numFmtId="0" fontId="2" fillId="0" borderId="0" xfId="0" applyFont="1" applyFill="1" applyBorder="1" applyAlignment="1">
      <alignment horizontal="center"/>
    </xf>
    <xf numFmtId="0" fontId="4" fillId="0" borderId="0" xfId="0" applyFont="1" applyFill="1" applyBorder="1" applyAlignment="1">
      <alignment horizontal="center"/>
    </xf>
    <xf numFmtId="0" fontId="5" fillId="0" borderId="0" xfId="0" applyFont="1" applyFill="1" applyBorder="1" applyAlignment="1">
      <alignment horizontal="left" vertical="top"/>
    </xf>
    <xf numFmtId="2" fontId="5" fillId="0" borderId="0" xfId="7" applyNumberFormat="1" applyFont="1" applyFill="1" applyAlignment="1">
      <alignment horizontal="left" vertical="top" wrapText="1"/>
    </xf>
    <xf numFmtId="49" fontId="5" fillId="0" borderId="5" xfId="0" applyNumberFormat="1" applyFont="1" applyFill="1" applyBorder="1" applyAlignment="1">
      <alignment horizontal="center"/>
    </xf>
    <xf numFmtId="0" fontId="3" fillId="0" borderId="0" xfId="14" applyFont="1" applyFill="1" applyAlignment="1">
      <alignment horizontal="left" vertical="top" wrapText="1"/>
    </xf>
    <xf numFmtId="2" fontId="3" fillId="0" borderId="0" xfId="7" applyNumberFormat="1" applyFont="1" applyFill="1" applyAlignment="1">
      <alignment horizontal="left" vertical="top" wrapText="1"/>
    </xf>
    <xf numFmtId="49" fontId="5" fillId="0" borderId="5" xfId="14" applyNumberFormat="1" applyFont="1" applyBorder="1" applyAlignment="1">
      <alignment horizontal="center"/>
    </xf>
    <xf numFmtId="0" fontId="3" fillId="0" borderId="0" xfId="1" applyNumberFormat="1" applyFont="1" applyFill="1" applyAlignment="1">
      <alignment horizontal="left" vertical="top" wrapText="1"/>
    </xf>
    <xf numFmtId="0" fontId="5" fillId="0" borderId="0" xfId="14" applyFont="1" applyAlignment="1">
      <alignment horizontal="center"/>
    </xf>
    <xf numFmtId="0" fontId="2" fillId="0" borderId="0" xfId="8" applyFont="1" applyAlignment="1">
      <alignment horizontal="center"/>
    </xf>
    <xf numFmtId="0" fontId="2" fillId="0" borderId="0" xfId="8" applyFont="1" applyBorder="1" applyAlignment="1">
      <alignment horizontal="center"/>
    </xf>
    <xf numFmtId="0" fontId="14" fillId="0" borderId="0" xfId="14" applyFont="1" applyAlignment="1">
      <alignment horizontal="center"/>
    </xf>
    <xf numFmtId="0" fontId="2" fillId="0" borderId="0" xfId="0" applyFont="1" applyAlignment="1">
      <alignment horizontal="center"/>
    </xf>
    <xf numFmtId="0" fontId="2" fillId="0" borderId="0" xfId="0" applyFont="1" applyBorder="1" applyAlignment="1">
      <alignment horizontal="center"/>
    </xf>
    <xf numFmtId="168" fontId="2" fillId="0" borderId="0" xfId="7" applyFont="1" applyFill="1" applyAlignment="1">
      <alignment horizontal="center"/>
    </xf>
    <xf numFmtId="168" fontId="4" fillId="0" borderId="0" xfId="7" applyFont="1" applyFill="1" applyAlignment="1">
      <alignment horizontal="center"/>
    </xf>
    <xf numFmtId="168" fontId="5" fillId="0" borderId="5" xfId="7" applyFont="1" applyFill="1" applyBorder="1" applyAlignment="1">
      <alignment horizontal="center"/>
    </xf>
    <xf numFmtId="168" fontId="5" fillId="0" borderId="0" xfId="7" applyFont="1" applyFill="1" applyBorder="1" applyAlignment="1">
      <alignment horizontal="left"/>
    </xf>
    <xf numFmtId="0" fontId="5" fillId="0" borderId="0" xfId="12" applyFont="1" applyFill="1" applyAlignment="1">
      <alignment horizontal="left" vertical="top" wrapText="1"/>
    </xf>
    <xf numFmtId="0" fontId="2" fillId="0" borderId="0" xfId="12" applyFont="1" applyFill="1" applyAlignment="1">
      <alignment horizontal="center"/>
    </xf>
    <xf numFmtId="0" fontId="4" fillId="0" borderId="0" xfId="12" applyFont="1" applyFill="1" applyAlignment="1">
      <alignment horizontal="center"/>
    </xf>
    <xf numFmtId="0" fontId="5" fillId="0" borderId="5" xfId="12" applyFont="1" applyFill="1" applyBorder="1" applyAlignment="1">
      <alignment horizontal="center"/>
    </xf>
    <xf numFmtId="0" fontId="2" fillId="0" borderId="0" xfId="5" applyFont="1" applyAlignment="1">
      <alignment horizontal="center"/>
    </xf>
    <xf numFmtId="0" fontId="4" fillId="0" borderId="0" xfId="5" applyFont="1" applyAlignment="1">
      <alignment horizontal="center"/>
    </xf>
    <xf numFmtId="0" fontId="5" fillId="0" borderId="5" xfId="5" applyFont="1" applyFill="1" applyBorder="1" applyAlignment="1">
      <alignment horizontal="center" wrapText="1"/>
    </xf>
    <xf numFmtId="0" fontId="5" fillId="0" borderId="5" xfId="5" applyFont="1" applyFill="1" applyBorder="1" applyAlignment="1">
      <alignment horizontal="center"/>
    </xf>
    <xf numFmtId="0" fontId="5" fillId="0" borderId="0" xfId="5" applyFont="1" applyFill="1" applyAlignment="1">
      <alignment horizontal="left" vertical="top" wrapText="1"/>
    </xf>
    <xf numFmtId="0" fontId="5" fillId="0" borderId="0" xfId="0" applyFont="1" applyAlignment="1">
      <alignment horizontal="center"/>
    </xf>
    <xf numFmtId="0" fontId="4" fillId="0" borderId="0" xfId="0" applyFont="1" applyAlignment="1">
      <alignment horizontal="center"/>
    </xf>
    <xf numFmtId="0" fontId="7" fillId="0" borderId="0" xfId="0" applyFont="1" applyBorder="1" applyAlignment="1">
      <alignment horizontal="center"/>
    </xf>
    <xf numFmtId="0" fontId="5" fillId="0" borderId="0" xfId="8" applyFont="1" applyFill="1" applyAlignment="1">
      <alignment horizontal="left" vertical="top"/>
    </xf>
    <xf numFmtId="0" fontId="2" fillId="0" borderId="0" xfId="9" applyFont="1" applyAlignment="1">
      <alignment horizontal="center"/>
    </xf>
    <xf numFmtId="0" fontId="4" fillId="0" borderId="0" xfId="9" applyFont="1" applyAlignment="1">
      <alignment horizontal="center"/>
    </xf>
    <xf numFmtId="0" fontId="5" fillId="0" borderId="5" xfId="9" applyFont="1" applyBorder="1" applyAlignment="1">
      <alignment horizontal="center"/>
    </xf>
    <xf numFmtId="0" fontId="5" fillId="0" borderId="5" xfId="9" applyFont="1" applyBorder="1" applyAlignment="1">
      <alignment horizontal="center" wrapText="1"/>
    </xf>
    <xf numFmtId="0" fontId="5" fillId="0" borderId="5" xfId="3" applyFont="1" applyFill="1" applyBorder="1" applyAlignment="1">
      <alignment horizontal="center"/>
    </xf>
    <xf numFmtId="0" fontId="5" fillId="0" borderId="0" xfId="16" applyFont="1" applyFill="1" applyAlignment="1">
      <alignment horizontal="left" vertical="top" wrapText="1"/>
    </xf>
    <xf numFmtId="0" fontId="5" fillId="0" borderId="0" xfId="1" applyNumberFormat="1" applyFont="1" applyFill="1" applyAlignment="1">
      <alignment horizontal="left" vertical="top"/>
    </xf>
    <xf numFmtId="41" fontId="2" fillId="0" borderId="0" xfId="11" applyNumberFormat="1" applyFont="1" applyAlignment="1">
      <alignment horizontal="center"/>
    </xf>
    <xf numFmtId="41" fontId="4" fillId="0" borderId="0" xfId="11" applyNumberFormat="1" applyFont="1" applyAlignment="1">
      <alignment horizontal="center"/>
    </xf>
    <xf numFmtId="0" fontId="5" fillId="0" borderId="5" xfId="11" applyNumberFormat="1" applyFont="1" applyBorder="1" applyAlignment="1">
      <alignment horizontal="center"/>
    </xf>
    <xf numFmtId="41" fontId="5" fillId="0" borderId="5" xfId="11" applyNumberFormat="1" applyFont="1" applyBorder="1" applyAlignment="1">
      <alignment horizontal="center"/>
    </xf>
    <xf numFmtId="169" fontId="2" fillId="0" borderId="0" xfId="1" applyNumberFormat="1" applyFont="1" applyAlignment="1">
      <alignment horizontal="center"/>
    </xf>
    <xf numFmtId="169" fontId="4" fillId="0" borderId="0" xfId="1" applyNumberFormat="1" applyFont="1" applyAlignment="1">
      <alignment horizontal="center"/>
    </xf>
    <xf numFmtId="49" fontId="5" fillId="0" borderId="5" xfId="14" applyNumberFormat="1" applyFont="1" applyFill="1" applyBorder="1" applyAlignment="1">
      <alignment horizontal="center"/>
    </xf>
    <xf numFmtId="0" fontId="6" fillId="0" borderId="0" xfId="14" applyFont="1" applyAlignment="1">
      <alignment horizontal="center"/>
    </xf>
    <xf numFmtId="0" fontId="5" fillId="0" borderId="5" xfId="14" applyFont="1" applyBorder="1" applyAlignment="1">
      <alignment horizontal="center"/>
    </xf>
    <xf numFmtId="0" fontId="29" fillId="0" borderId="0" xfId="0" applyFont="1" applyFill="1" applyAlignment="1">
      <alignment horizontal="center"/>
    </xf>
    <xf numFmtId="0" fontId="27" fillId="0" borderId="0" xfId="0" applyFont="1" applyFill="1" applyAlignment="1">
      <alignment horizontal="center"/>
    </xf>
    <xf numFmtId="0" fontId="29" fillId="0" borderId="5" xfId="0" applyFont="1" applyFill="1" applyBorder="1" applyAlignment="1">
      <alignment horizontal="center"/>
    </xf>
    <xf numFmtId="0" fontId="29" fillId="0" borderId="5" xfId="0" applyFont="1" applyFill="1" applyBorder="1" applyAlignment="1">
      <alignment horizontal="center" wrapText="1"/>
    </xf>
    <xf numFmtId="0" fontId="31" fillId="0" borderId="0" xfId="0" applyFont="1" applyFill="1" applyAlignment="1">
      <alignment horizontal="left" vertical="top" wrapText="1"/>
    </xf>
    <xf numFmtId="0" fontId="28" fillId="0" borderId="0" xfId="0" applyFont="1" applyFill="1" applyAlignment="1">
      <alignment horizontal="left"/>
    </xf>
    <xf numFmtId="41" fontId="29" fillId="0" borderId="5" xfId="2" applyNumberFormat="1" applyFont="1" applyFill="1" applyBorder="1" applyAlignment="1">
      <alignment horizontal="center"/>
    </xf>
    <xf numFmtId="0" fontId="6" fillId="0" borderId="0" xfId="0" applyFont="1" applyAlignment="1">
      <alignment horizontal="center"/>
    </xf>
    <xf numFmtId="0" fontId="6" fillId="0" borderId="5" xfId="1" applyNumberFormat="1" applyFont="1" applyFill="1" applyBorder="1" applyAlignment="1">
      <alignment horizontal="center"/>
    </xf>
    <xf numFmtId="0" fontId="5" fillId="0" borderId="0" xfId="0" applyNumberFormat="1" applyFont="1" applyFill="1" applyBorder="1" applyAlignment="1">
      <alignment horizontal="left" vertical="top" wrapText="1"/>
    </xf>
    <xf numFmtId="174" fontId="5" fillId="0" borderId="0" xfId="0" applyNumberFormat="1" applyFont="1" applyBorder="1" applyAlignment="1">
      <alignment horizontal="center"/>
    </xf>
    <xf numFmtId="174" fontId="5" fillId="0" borderId="16" xfId="0" applyNumberFormat="1" applyFont="1" applyBorder="1" applyAlignment="1">
      <alignment horizontal="center"/>
    </xf>
    <xf numFmtId="0" fontId="5" fillId="0" borderId="0" xfId="0" applyFont="1" applyBorder="1" applyAlignment="1">
      <alignment horizontal="left" vertical="top"/>
    </xf>
    <xf numFmtId="0" fontId="5" fillId="0" borderId="0" xfId="0" applyFont="1" applyBorder="1" applyAlignment="1">
      <alignment horizontal="left" vertical="top" wrapText="1"/>
    </xf>
    <xf numFmtId="49" fontId="5" fillId="0" borderId="5" xfId="0" applyNumberFormat="1" applyFont="1" applyBorder="1" applyAlignment="1">
      <alignment horizontal="center"/>
    </xf>
    <xf numFmtId="0" fontId="7" fillId="0" borderId="5" xfId="0" applyFont="1" applyBorder="1" applyAlignment="1">
      <alignment horizontal="center"/>
    </xf>
    <xf numFmtId="0" fontId="20" fillId="0" borderId="0" xfId="0" applyFont="1" applyAlignment="1">
      <alignment horizontal="left" vertical="top" wrapText="1"/>
    </xf>
    <xf numFmtId="0" fontId="20" fillId="0" borderId="0" xfId="0" applyFont="1" applyFill="1" applyAlignment="1">
      <alignment horizontal="left" vertical="top" wrapText="1"/>
    </xf>
    <xf numFmtId="0" fontId="0" fillId="0" borderId="0" xfId="0" applyFill="1" applyAlignment="1">
      <alignment horizontal="center"/>
    </xf>
    <xf numFmtId="0" fontId="3" fillId="0" borderId="0" xfId="0" applyFont="1" applyFill="1" applyAlignment="1">
      <alignment horizontal="center"/>
    </xf>
    <xf numFmtId="0" fontId="20" fillId="0" borderId="0" xfId="0" applyFont="1" applyAlignment="1">
      <alignment horizontal="left" wrapText="1"/>
    </xf>
    <xf numFmtId="0" fontId="7" fillId="0" borderId="0" xfId="0" applyNumberFormat="1" applyFont="1" applyFill="1" applyAlignment="1">
      <alignment horizontal="left" wrapText="1"/>
    </xf>
    <xf numFmtId="0" fontId="7" fillId="0" borderId="0" xfId="13" applyFont="1" applyFill="1" applyAlignment="1">
      <alignment horizontal="left"/>
    </xf>
    <xf numFmtId="0" fontId="2" fillId="0" borderId="0" xfId="13" applyFont="1" applyFill="1" applyAlignment="1">
      <alignment horizontal="left"/>
    </xf>
    <xf numFmtId="0" fontId="2" fillId="0" borderId="0" xfId="13" applyFont="1" applyFill="1" applyAlignment="1">
      <alignment horizontal="left" wrapText="1"/>
    </xf>
    <xf numFmtId="0" fontId="7" fillId="0" borderId="0" xfId="13" applyFont="1" applyFill="1" applyAlignment="1">
      <alignment horizontal="left" wrapText="1"/>
    </xf>
    <xf numFmtId="0" fontId="2" fillId="0" borderId="0" xfId="0" applyNumberFormat="1" applyFont="1" applyFill="1" applyAlignment="1">
      <alignment wrapText="1"/>
    </xf>
    <xf numFmtId="0" fontId="7" fillId="0" borderId="0" xfId="0" applyFont="1" applyFill="1" applyAlignment="1">
      <alignment wrapText="1"/>
    </xf>
    <xf numFmtId="0" fontId="7" fillId="0" borderId="0" xfId="0" applyNumberFormat="1" applyFont="1" applyFill="1" applyAlignment="1">
      <alignment wrapText="1"/>
    </xf>
    <xf numFmtId="0" fontId="7" fillId="0" borderId="0" xfId="0" applyFont="1" applyFill="1" applyAlignment="1">
      <alignment horizontal="left" wrapText="1"/>
    </xf>
    <xf numFmtId="0" fontId="7" fillId="0" borderId="0" xfId="13" applyNumberFormat="1" applyFont="1" applyFill="1" applyAlignment="1">
      <alignment horizontal="left"/>
    </xf>
    <xf numFmtId="0" fontId="7" fillId="0" borderId="0" xfId="13" quotePrefix="1" applyFont="1" applyFill="1" applyAlignment="1">
      <alignment horizontal="left"/>
    </xf>
  </cellXfs>
  <cellStyles count="19">
    <cellStyle name="Comma" xfId="1" builtinId="3"/>
    <cellStyle name="Comma 2" xfId="2"/>
    <cellStyle name="Normal" xfId="0" builtinId="0"/>
    <cellStyle name="Normal 5" xfId="3"/>
    <cellStyle name="Normal 6" xfId="4"/>
    <cellStyle name="Normal_0202 Homeowners_Supplement" xfId="5"/>
    <cellStyle name="Normal_1qtr02Sup" xfId="6"/>
    <cellStyle name="Normal_2Qtr02PR" xfId="7"/>
    <cellStyle name="Normal_3QTR01" xfId="8"/>
    <cellStyle name="Normal_4QTR02SUP" xfId="9"/>
    <cellStyle name="Normal_af - gross margin - updated" xfId="10"/>
    <cellStyle name="Normal_AF Prem CC Dep Schedule 2.7.11" xfId="11"/>
    <cellStyle name="Normal_Allstate-brand statistics" xfId="12"/>
    <cellStyle name="Normal_Definitions of Non-GAAP" xfId="13"/>
    <cellStyle name="Normal_PR Q1 2009" xfId="14"/>
    <cellStyle name="Normal_PR Q4 2008 - CONVERSION IN PROCESS" xfId="15"/>
    <cellStyle name="Normal_Recon AF-ALIC-IS FINAL" xfId="16"/>
    <cellStyle name="Normal_Sheet1" xfId="17"/>
    <cellStyle name="Percent" xfId="18"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oleObject" Target="../embeddings/oleObject2.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sheetPr>
    <pageSetUpPr fitToPage="1"/>
  </sheetPr>
  <dimension ref="A3:Q23"/>
  <sheetViews>
    <sheetView tabSelected="1" zoomScale="75" zoomScaleNormal="75" workbookViewId="0"/>
  </sheetViews>
  <sheetFormatPr defaultRowHeight="14.4"/>
  <sheetData>
    <row r="3" spans="1:17" ht="33">
      <c r="A3" s="750"/>
      <c r="F3" t="s">
        <v>298</v>
      </c>
      <c r="M3" s="751"/>
      <c r="N3" s="751"/>
    </row>
    <row r="13" spans="1:17" ht="30">
      <c r="A13" s="970" t="s">
        <v>944</v>
      </c>
      <c r="B13" s="970"/>
      <c r="C13" s="970"/>
      <c r="D13" s="970"/>
      <c r="E13" s="970"/>
      <c r="F13" s="970"/>
      <c r="G13" s="970"/>
      <c r="H13" s="970"/>
      <c r="I13" s="970"/>
      <c r="J13" s="970"/>
      <c r="K13" s="970"/>
      <c r="L13" s="970"/>
      <c r="M13" s="970"/>
      <c r="N13" s="970"/>
      <c r="O13" s="970"/>
      <c r="P13" s="970"/>
      <c r="Q13" s="970"/>
    </row>
    <row r="15" spans="1:17" ht="30">
      <c r="A15" s="970" t="s">
        <v>945</v>
      </c>
      <c r="B15" s="970"/>
      <c r="C15" s="970"/>
      <c r="D15" s="970"/>
      <c r="E15" s="970"/>
      <c r="F15" s="970"/>
      <c r="G15" s="970"/>
      <c r="H15" s="970"/>
      <c r="I15" s="970"/>
      <c r="J15" s="970"/>
      <c r="K15" s="970"/>
      <c r="L15" s="970"/>
      <c r="M15" s="970"/>
      <c r="N15" s="970"/>
      <c r="O15" s="970"/>
      <c r="P15" s="970"/>
      <c r="Q15" s="970"/>
    </row>
    <row r="16" spans="1:17" ht="30">
      <c r="A16" s="970" t="s">
        <v>1136</v>
      </c>
      <c r="B16" s="970"/>
      <c r="C16" s="970"/>
      <c r="D16" s="970"/>
      <c r="E16" s="970"/>
      <c r="F16" s="970"/>
      <c r="G16" s="970"/>
      <c r="H16" s="970"/>
      <c r="I16" s="970"/>
      <c r="J16" s="970"/>
      <c r="K16" s="970"/>
      <c r="L16" s="970"/>
      <c r="M16" s="970"/>
      <c r="N16" s="970"/>
      <c r="O16" s="970"/>
      <c r="P16" s="970"/>
      <c r="Q16" s="970"/>
    </row>
    <row r="21" spans="1:17" ht="40.5" customHeight="1">
      <c r="A21" s="971" t="s">
        <v>738</v>
      </c>
      <c r="B21" s="971"/>
      <c r="C21" s="971"/>
      <c r="D21" s="971"/>
      <c r="E21" s="971"/>
      <c r="F21" s="971"/>
      <c r="G21" s="971"/>
      <c r="H21" s="971"/>
      <c r="I21" s="971"/>
      <c r="J21" s="971"/>
      <c r="K21" s="971"/>
      <c r="L21" s="971"/>
      <c r="M21" s="971"/>
      <c r="N21" s="971"/>
      <c r="O21" s="971"/>
      <c r="P21" s="971"/>
      <c r="Q21" s="971"/>
    </row>
    <row r="22" spans="1:17" s="202" customFormat="1" ht="11.4">
      <c r="A22" s="752"/>
      <c r="B22" s="753"/>
      <c r="C22" s="753"/>
      <c r="D22" s="753"/>
      <c r="E22" s="753"/>
      <c r="F22" s="753"/>
      <c r="G22" s="753"/>
      <c r="H22" s="753"/>
      <c r="I22" s="753"/>
      <c r="J22" s="753"/>
      <c r="K22" s="753"/>
      <c r="L22" s="753"/>
      <c r="M22" s="753"/>
      <c r="N22" s="753"/>
      <c r="O22" s="753"/>
      <c r="P22" s="753"/>
      <c r="Q22" s="754"/>
    </row>
    <row r="23" spans="1:17" ht="39.75" customHeight="1">
      <c r="A23" s="969" t="s">
        <v>946</v>
      </c>
      <c r="B23" s="969"/>
      <c r="C23" s="969"/>
      <c r="D23" s="969"/>
      <c r="E23" s="969"/>
      <c r="F23" s="969"/>
      <c r="G23" s="969"/>
      <c r="H23" s="969"/>
      <c r="I23" s="969"/>
      <c r="J23" s="969"/>
      <c r="K23" s="969"/>
      <c r="L23" s="969"/>
      <c r="M23" s="969"/>
      <c r="N23" s="969"/>
      <c r="O23" s="969"/>
      <c r="P23" s="969"/>
      <c r="Q23" s="969"/>
    </row>
  </sheetData>
  <mergeCells count="5">
    <mergeCell ref="A23:Q23"/>
    <mergeCell ref="A13:Q13"/>
    <mergeCell ref="A15:Q15"/>
    <mergeCell ref="A16:Q16"/>
    <mergeCell ref="A21:Q21"/>
  </mergeCells>
  <phoneticPr fontId="24" type="noConversion"/>
  <printOptions horizontalCentered="1"/>
  <pageMargins left="0.25" right="0.25" top="0.5" bottom="0.5" header="0.3" footer="0.3"/>
  <pageSetup scale="83" orientation="landscape" r:id="rId1"/>
  <headerFooter alignWithMargins="0"/>
  <legacyDrawing r:id="rId2"/>
  <oleObjects>
    <oleObject progId="Word.Picture.8" shapeId="1025" r:id="rId3"/>
    <oleObject progId="Word.Picture.8" shapeId="1026" r:id="rId4"/>
  </oleObjects>
</worksheet>
</file>

<file path=xl/worksheets/sheet2.xml><?xml version="1.0" encoding="utf-8"?>
<worksheet xmlns="http://schemas.openxmlformats.org/spreadsheetml/2006/main" xmlns:r="http://schemas.openxmlformats.org/officeDocument/2006/relationships">
  <sheetPr>
    <pageSetUpPr fitToPage="1"/>
  </sheetPr>
  <dimension ref="A1:C60"/>
  <sheetViews>
    <sheetView zoomScale="75" zoomScaleNormal="75" workbookViewId="0">
      <selection sqref="A1:C1"/>
    </sheetView>
  </sheetViews>
  <sheetFormatPr defaultColWidth="19.109375" defaultRowHeight="13.2"/>
  <cols>
    <col min="1" max="1" width="4.88671875" style="192" customWidth="1"/>
    <col min="2" max="2" width="100.6640625" style="192" customWidth="1"/>
    <col min="3" max="3" width="17.88671875" style="746" customWidth="1"/>
    <col min="4" max="16384" width="19.109375" style="192"/>
  </cols>
  <sheetData>
    <row r="1" spans="1:3">
      <c r="A1" s="972" t="s">
        <v>96</v>
      </c>
      <c r="B1" s="972"/>
      <c r="C1" s="972"/>
    </row>
    <row r="2" spans="1:3">
      <c r="A2" s="972" t="s">
        <v>1137</v>
      </c>
      <c r="B2" s="972"/>
      <c r="C2" s="972"/>
    </row>
    <row r="3" spans="1:3">
      <c r="A3" s="972" t="s">
        <v>473</v>
      </c>
      <c r="B3" s="972"/>
      <c r="C3" s="972"/>
    </row>
    <row r="4" spans="1:3">
      <c r="A4" s="1"/>
      <c r="B4" s="1"/>
      <c r="C4" s="744"/>
    </row>
    <row r="5" spans="1:3">
      <c r="C5" s="745" t="s">
        <v>474</v>
      </c>
    </row>
    <row r="6" spans="1:3">
      <c r="A6" s="738" t="s">
        <v>280</v>
      </c>
    </row>
    <row r="7" spans="1:3">
      <c r="B7" s="192" t="s">
        <v>919</v>
      </c>
      <c r="C7" s="747">
        <v>1</v>
      </c>
    </row>
    <row r="8" spans="1:3">
      <c r="B8" s="192" t="s">
        <v>23</v>
      </c>
      <c r="C8" s="748">
        <v>2</v>
      </c>
    </row>
    <row r="9" spans="1:3">
      <c r="B9" s="192" t="s">
        <v>920</v>
      </c>
      <c r="C9" s="748">
        <v>3</v>
      </c>
    </row>
    <row r="10" spans="1:3">
      <c r="B10" s="192" t="s">
        <v>921</v>
      </c>
      <c r="C10" s="748">
        <v>4</v>
      </c>
    </row>
    <row r="11" spans="1:3">
      <c r="B11" s="192" t="s">
        <v>922</v>
      </c>
      <c r="C11" s="747">
        <v>5</v>
      </c>
    </row>
    <row r="12" spans="1:3">
      <c r="B12" s="192" t="s">
        <v>887</v>
      </c>
      <c r="C12" s="747">
        <v>6</v>
      </c>
    </row>
    <row r="13" spans="1:3">
      <c r="B13" s="192" t="s">
        <v>923</v>
      </c>
      <c r="C13" s="747">
        <v>7</v>
      </c>
    </row>
    <row r="14" spans="1:3">
      <c r="B14" s="192" t="s">
        <v>924</v>
      </c>
      <c r="C14" s="747">
        <v>8</v>
      </c>
    </row>
    <row r="15" spans="1:3">
      <c r="B15" s="192" t="s">
        <v>925</v>
      </c>
      <c r="C15" s="748" t="s">
        <v>121</v>
      </c>
    </row>
    <row r="16" spans="1:3">
      <c r="C16" s="747"/>
    </row>
    <row r="17" spans="1:3">
      <c r="A17" s="738" t="s">
        <v>926</v>
      </c>
      <c r="C17" s="747"/>
    </row>
    <row r="18" spans="1:3">
      <c r="A18" s="738"/>
      <c r="B18" s="192" t="s">
        <v>24</v>
      </c>
      <c r="C18" s="747">
        <v>11</v>
      </c>
    </row>
    <row r="19" spans="1:3">
      <c r="B19" s="192" t="s">
        <v>927</v>
      </c>
      <c r="C19" s="747">
        <v>12</v>
      </c>
    </row>
    <row r="20" spans="1:3">
      <c r="B20" s="192" t="s">
        <v>25</v>
      </c>
      <c r="C20" s="747">
        <f>C19+1</f>
        <v>13</v>
      </c>
    </row>
    <row r="21" spans="1:3">
      <c r="B21" s="192" t="s">
        <v>26</v>
      </c>
      <c r="C21" s="747">
        <f t="shared" ref="C21:C36" si="0">C20+1</f>
        <v>14</v>
      </c>
    </row>
    <row r="22" spans="1:3">
      <c r="B22" s="192" t="s">
        <v>27</v>
      </c>
      <c r="C22" s="747">
        <f t="shared" si="0"/>
        <v>15</v>
      </c>
    </row>
    <row r="23" spans="1:3">
      <c r="B23" s="192" t="s">
        <v>53</v>
      </c>
      <c r="C23" s="747">
        <f t="shared" si="0"/>
        <v>16</v>
      </c>
    </row>
    <row r="24" spans="1:3">
      <c r="B24" s="192" t="s">
        <v>36</v>
      </c>
      <c r="C24" s="747">
        <f t="shared" si="0"/>
        <v>17</v>
      </c>
    </row>
    <row r="25" spans="1:3" ht="15.6">
      <c r="B25" s="192" t="s">
        <v>28</v>
      </c>
      <c r="C25" s="747">
        <f t="shared" si="0"/>
        <v>18</v>
      </c>
    </row>
    <row r="26" spans="1:3">
      <c r="B26" s="192" t="s">
        <v>928</v>
      </c>
      <c r="C26" s="747">
        <f t="shared" si="0"/>
        <v>19</v>
      </c>
    </row>
    <row r="27" spans="1:3">
      <c r="B27" s="192" t="s">
        <v>29</v>
      </c>
      <c r="C27" s="747">
        <f t="shared" si="0"/>
        <v>20</v>
      </c>
    </row>
    <row r="28" spans="1:3">
      <c r="B28" s="192" t="s">
        <v>929</v>
      </c>
      <c r="C28" s="747">
        <f t="shared" si="0"/>
        <v>21</v>
      </c>
    </row>
    <row r="29" spans="1:3">
      <c r="B29" s="192" t="s">
        <v>93</v>
      </c>
      <c r="C29" s="747">
        <f t="shared" si="0"/>
        <v>22</v>
      </c>
    </row>
    <row r="30" spans="1:3">
      <c r="B30" s="192" t="s">
        <v>30</v>
      </c>
      <c r="C30" s="747">
        <f t="shared" si="0"/>
        <v>23</v>
      </c>
    </row>
    <row r="31" spans="1:3">
      <c r="B31" s="192" t="s">
        <v>89</v>
      </c>
      <c r="C31" s="747">
        <f t="shared" si="0"/>
        <v>24</v>
      </c>
    </row>
    <row r="32" spans="1:3">
      <c r="B32" s="192" t="s">
        <v>930</v>
      </c>
      <c r="C32" s="747">
        <f t="shared" si="0"/>
        <v>25</v>
      </c>
    </row>
    <row r="33" spans="1:3">
      <c r="B33" s="192" t="s">
        <v>931</v>
      </c>
      <c r="C33" s="747">
        <f t="shared" si="0"/>
        <v>26</v>
      </c>
    </row>
    <row r="34" spans="1:3">
      <c r="B34" s="192" t="s">
        <v>51</v>
      </c>
      <c r="C34" s="747">
        <f t="shared" si="0"/>
        <v>27</v>
      </c>
    </row>
    <row r="35" spans="1:3">
      <c r="B35" s="192" t="s">
        <v>31</v>
      </c>
      <c r="C35" s="747">
        <f t="shared" si="0"/>
        <v>28</v>
      </c>
    </row>
    <row r="36" spans="1:3">
      <c r="B36" s="192" t="s">
        <v>932</v>
      </c>
      <c r="C36" s="747">
        <f t="shared" si="0"/>
        <v>29</v>
      </c>
    </row>
    <row r="37" spans="1:3">
      <c r="C37" s="747"/>
    </row>
    <row r="38" spans="1:3">
      <c r="A38" s="738" t="s">
        <v>933</v>
      </c>
      <c r="C38" s="747"/>
    </row>
    <row r="39" spans="1:3">
      <c r="A39" s="738"/>
      <c r="B39" s="192" t="s">
        <v>934</v>
      </c>
      <c r="C39" s="749">
        <f>C36+1</f>
        <v>30</v>
      </c>
    </row>
    <row r="40" spans="1:3">
      <c r="A40" s="738"/>
      <c r="B40" s="192" t="s">
        <v>505</v>
      </c>
      <c r="C40" s="749">
        <f t="shared" ref="C40:C45" si="1">C39+1</f>
        <v>31</v>
      </c>
    </row>
    <row r="41" spans="1:3">
      <c r="B41" s="192" t="s">
        <v>32</v>
      </c>
      <c r="C41" s="749">
        <f t="shared" si="1"/>
        <v>32</v>
      </c>
    </row>
    <row r="42" spans="1:3">
      <c r="B42" s="192" t="s">
        <v>935</v>
      </c>
      <c r="C42" s="749">
        <f t="shared" si="1"/>
        <v>33</v>
      </c>
    </row>
    <row r="43" spans="1:3">
      <c r="B43" s="192" t="s">
        <v>936</v>
      </c>
      <c r="C43" s="749">
        <f t="shared" si="1"/>
        <v>34</v>
      </c>
    </row>
    <row r="44" spans="1:3">
      <c r="B44" s="192" t="s">
        <v>937</v>
      </c>
      <c r="C44" s="749">
        <f t="shared" si="1"/>
        <v>35</v>
      </c>
    </row>
    <row r="45" spans="1:3">
      <c r="B45" s="192" t="s">
        <v>33</v>
      </c>
      <c r="C45" s="749">
        <f t="shared" si="1"/>
        <v>36</v>
      </c>
    </row>
    <row r="46" spans="1:3">
      <c r="C46" s="747"/>
    </row>
    <row r="47" spans="1:3">
      <c r="A47" s="738" t="s">
        <v>34</v>
      </c>
      <c r="C47" s="747">
        <f>C45+1</f>
        <v>37</v>
      </c>
    </row>
    <row r="49" spans="1:3">
      <c r="A49" s="738" t="s">
        <v>819</v>
      </c>
      <c r="C49" s="747"/>
    </row>
    <row r="50" spans="1:3">
      <c r="B50" s="192" t="s">
        <v>819</v>
      </c>
      <c r="C50" s="747">
        <f>C47+1</f>
        <v>38</v>
      </c>
    </row>
    <row r="51" spans="1:3">
      <c r="B51" s="192" t="s">
        <v>938</v>
      </c>
      <c r="C51" s="747">
        <f t="shared" ref="C51:C56" si="2">C50+1</f>
        <v>39</v>
      </c>
    </row>
    <row r="52" spans="1:3">
      <c r="B52" s="192" t="s">
        <v>939</v>
      </c>
      <c r="C52" s="747">
        <f t="shared" si="2"/>
        <v>40</v>
      </c>
    </row>
    <row r="53" spans="1:3">
      <c r="B53" s="192" t="s">
        <v>940</v>
      </c>
      <c r="C53" s="747">
        <f t="shared" si="2"/>
        <v>41</v>
      </c>
    </row>
    <row r="54" spans="1:3">
      <c r="B54" s="192" t="s">
        <v>941</v>
      </c>
      <c r="C54" s="747">
        <f t="shared" si="2"/>
        <v>42</v>
      </c>
    </row>
    <row r="55" spans="1:3">
      <c r="B55" s="192" t="s">
        <v>942</v>
      </c>
      <c r="C55" s="747">
        <f t="shared" si="2"/>
        <v>43</v>
      </c>
    </row>
    <row r="56" spans="1:3">
      <c r="B56" s="192" t="s">
        <v>943</v>
      </c>
      <c r="C56" s="747">
        <f t="shared" si="2"/>
        <v>44</v>
      </c>
    </row>
    <row r="57" spans="1:3">
      <c r="C57" s="747"/>
    </row>
    <row r="58" spans="1:3">
      <c r="A58" s="738" t="s">
        <v>207</v>
      </c>
      <c r="C58" s="747">
        <v>45</v>
      </c>
    </row>
    <row r="59" spans="1:3">
      <c r="C59" s="747"/>
    </row>
    <row r="60" spans="1:3">
      <c r="A60" s="60"/>
    </row>
  </sheetData>
  <mergeCells count="3">
    <mergeCell ref="A1:C1"/>
    <mergeCell ref="A2:C2"/>
    <mergeCell ref="A3:C3"/>
  </mergeCells>
  <phoneticPr fontId="24" type="noConversion"/>
  <printOptions horizontalCentered="1"/>
  <pageMargins left="0.25" right="0.25" top="0.5" bottom="0.5" header="0.3" footer="0.3"/>
  <pageSetup scale="70" orientation="landscape"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AA361"/>
  <sheetViews>
    <sheetView zoomScale="75" zoomScaleNormal="75" workbookViewId="0"/>
  </sheetViews>
  <sheetFormatPr defaultColWidth="9.109375" defaultRowHeight="10.199999999999999"/>
  <cols>
    <col min="1" max="1" width="3.109375" style="2" customWidth="1"/>
    <col min="2" max="2" width="2.44140625" style="2" customWidth="1"/>
    <col min="3" max="3" width="43.6640625" style="2" customWidth="1"/>
    <col min="4" max="4" width="2.44140625" style="2" customWidth="1"/>
    <col min="5" max="5" width="8.33203125" style="2" customWidth="1"/>
    <col min="6" max="7" width="2.44140625" style="2" customWidth="1"/>
    <col min="8" max="8" width="8.5546875" style="2" customWidth="1"/>
    <col min="9" max="10" width="2.44140625" style="2" customWidth="1"/>
    <col min="11" max="11" width="8.5546875" style="2" customWidth="1"/>
    <col min="12" max="13" width="2.44140625" style="2" customWidth="1"/>
    <col min="14" max="14" width="8.44140625" style="2" customWidth="1"/>
    <col min="15" max="16" width="2.44140625" style="2" customWidth="1"/>
    <col min="17" max="17" width="8.33203125" style="2" customWidth="1"/>
    <col min="18" max="19" width="2.44140625" style="2" customWidth="1"/>
    <col min="20" max="20" width="8.44140625" style="65" customWidth="1"/>
    <col min="21" max="22" width="2.44140625" style="2" customWidth="1"/>
    <col min="23" max="23" width="8.44140625" style="2" customWidth="1"/>
    <col min="24" max="24" width="2.44140625" style="2" customWidth="1"/>
    <col min="25" max="25" width="8.44140625" style="2" customWidth="1"/>
    <col min="26" max="26" width="2" style="2" customWidth="1"/>
    <col min="27" max="16384" width="9.109375" style="2"/>
  </cols>
  <sheetData>
    <row r="1" spans="1:27" ht="14.4">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840"/>
    </row>
    <row r="2" spans="1:27" ht="14.4">
      <c r="A2" s="972" t="s">
        <v>97</v>
      </c>
      <c r="B2" s="972"/>
      <c r="C2" s="972"/>
      <c r="D2" s="972"/>
      <c r="E2" s="972"/>
      <c r="F2" s="972"/>
      <c r="G2" s="972"/>
      <c r="H2" s="972"/>
      <c r="I2" s="972"/>
      <c r="J2" s="972"/>
      <c r="K2" s="972"/>
      <c r="L2" s="972"/>
      <c r="M2" s="972"/>
      <c r="N2" s="972"/>
      <c r="O2" s="972"/>
      <c r="P2" s="972"/>
      <c r="Q2" s="972"/>
      <c r="R2" s="972"/>
      <c r="S2" s="972"/>
      <c r="T2" s="972"/>
      <c r="U2" s="972"/>
      <c r="V2" s="972"/>
      <c r="W2" s="972"/>
      <c r="X2" s="972"/>
      <c r="Y2" s="972"/>
      <c r="Z2" s="840"/>
    </row>
    <row r="3" spans="1:27" ht="14.4">
      <c r="A3" s="974" t="s">
        <v>98</v>
      </c>
      <c r="B3" s="974"/>
      <c r="C3" s="974"/>
      <c r="D3" s="974"/>
      <c r="E3" s="974"/>
      <c r="F3" s="974"/>
      <c r="G3" s="974"/>
      <c r="H3" s="974"/>
      <c r="I3" s="974"/>
      <c r="J3" s="974"/>
      <c r="K3" s="974"/>
      <c r="L3" s="974"/>
      <c r="M3" s="974"/>
      <c r="N3" s="974"/>
      <c r="O3" s="974"/>
      <c r="P3" s="974"/>
      <c r="Q3" s="974"/>
      <c r="R3" s="974"/>
      <c r="S3" s="974"/>
      <c r="T3" s="974"/>
      <c r="U3" s="974"/>
      <c r="V3" s="974"/>
      <c r="W3" s="974"/>
      <c r="X3" s="974"/>
      <c r="Y3" s="974"/>
      <c r="Z3" s="840"/>
    </row>
    <row r="4" spans="1:27">
      <c r="A4" s="3"/>
      <c r="B4" s="4"/>
      <c r="C4" s="4"/>
      <c r="D4" s="4"/>
      <c r="E4" s="4"/>
      <c r="F4" s="4"/>
      <c r="G4" s="4"/>
      <c r="H4" s="4"/>
      <c r="I4" s="4"/>
      <c r="J4" s="4"/>
      <c r="K4" s="4"/>
      <c r="L4" s="4"/>
      <c r="M4" s="4"/>
      <c r="N4" s="4"/>
      <c r="O4" s="4"/>
      <c r="P4" s="4"/>
      <c r="Q4" s="4"/>
      <c r="R4" s="4"/>
      <c r="S4" s="4"/>
      <c r="T4" s="4"/>
    </row>
    <row r="5" spans="1:27" s="5" customFormat="1" ht="12.75" customHeight="1">
      <c r="D5" s="975" t="s">
        <v>99</v>
      </c>
      <c r="E5" s="975"/>
      <c r="F5" s="975"/>
      <c r="G5" s="975"/>
      <c r="H5" s="975"/>
      <c r="I5" s="975"/>
      <c r="J5" s="975"/>
      <c r="K5" s="975"/>
      <c r="L5" s="975"/>
      <c r="M5" s="975"/>
      <c r="N5" s="975"/>
      <c r="O5" s="975"/>
      <c r="P5" s="975"/>
      <c r="Q5" s="975"/>
      <c r="R5" s="975"/>
      <c r="S5" s="975"/>
      <c r="T5" s="975"/>
      <c r="U5" s="2"/>
      <c r="V5" s="2"/>
      <c r="W5" s="975" t="s">
        <v>100</v>
      </c>
      <c r="X5" s="975"/>
      <c r="Y5" s="975"/>
      <c r="Z5" s="6"/>
    </row>
    <row r="6" spans="1:27" s="5" customFormat="1" ht="12" thickBot="1">
      <c r="T6" s="6"/>
      <c r="U6" s="2"/>
      <c r="V6" s="2"/>
      <c r="W6" s="6"/>
      <c r="Y6" s="6"/>
      <c r="Z6" s="6"/>
    </row>
    <row r="7" spans="1:27" s="5" customFormat="1" ht="11.4">
      <c r="D7" s="7"/>
      <c r="E7" s="8" t="s">
        <v>104</v>
      </c>
      <c r="F7" s="9"/>
      <c r="G7" s="10"/>
      <c r="H7" s="10" t="s">
        <v>105</v>
      </c>
      <c r="I7" s="10"/>
      <c r="J7" s="10"/>
      <c r="K7" s="10" t="s">
        <v>102</v>
      </c>
      <c r="L7" s="10"/>
      <c r="M7" s="10"/>
      <c r="N7" s="10" t="s">
        <v>103</v>
      </c>
      <c r="O7" s="10"/>
      <c r="P7" s="7"/>
      <c r="Q7" s="8" t="s">
        <v>104</v>
      </c>
      <c r="R7" s="9"/>
      <c r="S7" s="10"/>
      <c r="T7" s="10" t="s">
        <v>105</v>
      </c>
      <c r="U7" s="6"/>
      <c r="V7" s="10"/>
      <c r="W7" s="10" t="s">
        <v>104</v>
      </c>
      <c r="X7" s="10"/>
      <c r="Y7" s="10" t="s">
        <v>104</v>
      </c>
      <c r="Z7" s="10"/>
      <c r="AA7" s="11"/>
    </row>
    <row r="8" spans="1:27" s="5" customFormat="1" ht="11.4">
      <c r="D8" s="12"/>
      <c r="E8" s="13">
        <v>2012</v>
      </c>
      <c r="F8" s="14"/>
      <c r="H8" s="13">
        <v>2012</v>
      </c>
      <c r="K8" s="13">
        <v>2011</v>
      </c>
      <c r="N8" s="13">
        <v>2011</v>
      </c>
      <c r="P8" s="12"/>
      <c r="Q8" s="13">
        <v>2011</v>
      </c>
      <c r="R8" s="14"/>
      <c r="T8" s="13">
        <v>2011</v>
      </c>
      <c r="U8" s="6"/>
      <c r="W8" s="13">
        <v>2012</v>
      </c>
      <c r="Y8" s="13">
        <v>2011</v>
      </c>
      <c r="Z8" s="6"/>
      <c r="AA8" s="11"/>
    </row>
    <row r="9" spans="1:27" s="16" customFormat="1" ht="11.4">
      <c r="D9" s="17"/>
      <c r="E9" s="18"/>
      <c r="F9" s="19"/>
      <c r="P9" s="17"/>
      <c r="Q9" s="18"/>
      <c r="R9" s="19"/>
      <c r="U9" s="18"/>
      <c r="AA9" s="18"/>
    </row>
    <row r="10" spans="1:27" s="21" customFormat="1" ht="12">
      <c r="A10" s="20" t="s">
        <v>106</v>
      </c>
      <c r="D10" s="22"/>
      <c r="E10" s="23"/>
      <c r="F10" s="24"/>
      <c r="P10" s="22"/>
      <c r="Q10" s="23"/>
      <c r="R10" s="24"/>
      <c r="U10" s="23"/>
      <c r="AA10" s="23"/>
    </row>
    <row r="11" spans="1:27" s="21" customFormat="1" ht="11.4">
      <c r="B11" s="21" t="s">
        <v>107</v>
      </c>
      <c r="D11" s="22" t="s">
        <v>108</v>
      </c>
      <c r="E11" s="25">
        <v>6666</v>
      </c>
      <c r="F11" s="26"/>
      <c r="G11" s="23" t="s">
        <v>108</v>
      </c>
      <c r="H11" s="25">
        <v>6630</v>
      </c>
      <c r="I11" s="23"/>
      <c r="J11" s="23" t="s">
        <v>108</v>
      </c>
      <c r="K11" s="25">
        <v>6605</v>
      </c>
      <c r="L11" s="23"/>
      <c r="M11" s="23" t="s">
        <v>108</v>
      </c>
      <c r="N11" s="25">
        <v>6432</v>
      </c>
      <c r="O11" s="23"/>
      <c r="P11" s="22" t="s">
        <v>108</v>
      </c>
      <c r="Q11" s="25">
        <v>6457</v>
      </c>
      <c r="R11" s="26"/>
      <c r="S11" s="23" t="s">
        <v>108</v>
      </c>
      <c r="T11" s="25">
        <v>6448</v>
      </c>
      <c r="U11" s="27"/>
      <c r="V11" s="23" t="s">
        <v>108</v>
      </c>
      <c r="W11" s="25">
        <v>13296</v>
      </c>
      <c r="X11" s="23" t="s">
        <v>108</v>
      </c>
      <c r="Y11" s="25">
        <v>12905</v>
      </c>
      <c r="Z11" s="25"/>
      <c r="AA11" s="23"/>
    </row>
    <row r="12" spans="1:27" s="21" customFormat="1" ht="11.4">
      <c r="B12" s="21" t="s">
        <v>109</v>
      </c>
      <c r="D12" s="28"/>
      <c r="E12" s="25">
        <v>559</v>
      </c>
      <c r="F12" s="26"/>
      <c r="G12" s="27"/>
      <c r="H12" s="25">
        <v>553</v>
      </c>
      <c r="I12" s="27"/>
      <c r="J12" s="27"/>
      <c r="K12" s="25">
        <v>570</v>
      </c>
      <c r="L12" s="27"/>
      <c r="M12" s="27"/>
      <c r="N12" s="25">
        <v>552</v>
      </c>
      <c r="O12" s="27"/>
      <c r="P12" s="28"/>
      <c r="Q12" s="25">
        <v>547</v>
      </c>
      <c r="R12" s="26"/>
      <c r="S12" s="27"/>
      <c r="T12" s="25">
        <v>569</v>
      </c>
      <c r="U12" s="27"/>
      <c r="V12" s="27"/>
      <c r="W12" s="25">
        <v>1112</v>
      </c>
      <c r="X12" s="27"/>
      <c r="Y12" s="25">
        <v>1116</v>
      </c>
      <c r="Z12" s="25"/>
      <c r="AA12" s="23"/>
    </row>
    <row r="13" spans="1:27" s="21" customFormat="1" ht="11.4">
      <c r="B13" s="29" t="s">
        <v>110</v>
      </c>
      <c r="D13" s="28"/>
      <c r="E13" s="25">
        <v>1026</v>
      </c>
      <c r="F13" s="26"/>
      <c r="G13" s="27"/>
      <c r="H13" s="25">
        <v>1011</v>
      </c>
      <c r="I13" s="27"/>
      <c r="J13" s="27"/>
      <c r="K13" s="25">
        <v>975</v>
      </c>
      <c r="L13" s="27"/>
      <c r="M13" s="27"/>
      <c r="N13" s="25">
        <v>994</v>
      </c>
      <c r="O13" s="27"/>
      <c r="P13" s="28"/>
      <c r="Q13" s="25">
        <v>1020</v>
      </c>
      <c r="R13" s="26"/>
      <c r="S13" s="27"/>
      <c r="T13" s="25">
        <v>982</v>
      </c>
      <c r="U13" s="27"/>
      <c r="V13" s="27"/>
      <c r="W13" s="25">
        <v>2037</v>
      </c>
      <c r="X13" s="27"/>
      <c r="Y13" s="25">
        <v>2002</v>
      </c>
      <c r="Z13" s="25"/>
      <c r="AA13" s="23"/>
    </row>
    <row r="14" spans="1:27" s="21" customFormat="1" ht="11.4">
      <c r="B14" s="29" t="s">
        <v>111</v>
      </c>
      <c r="D14" s="22"/>
      <c r="E14" s="27"/>
      <c r="F14" s="24"/>
      <c r="G14" s="23"/>
      <c r="H14" s="27"/>
      <c r="I14" s="23"/>
      <c r="J14" s="23"/>
      <c r="K14" s="27"/>
      <c r="L14" s="23"/>
      <c r="M14" s="23"/>
      <c r="N14" s="27"/>
      <c r="O14" s="23"/>
      <c r="P14" s="22"/>
      <c r="Q14" s="27"/>
      <c r="R14" s="24"/>
      <c r="S14" s="23"/>
      <c r="T14" s="27"/>
      <c r="U14" s="23"/>
      <c r="V14" s="23"/>
      <c r="W14" s="27"/>
      <c r="X14" s="23"/>
      <c r="Y14" s="27"/>
      <c r="Z14" s="27"/>
      <c r="AA14" s="23"/>
    </row>
    <row r="15" spans="1:27" s="21" customFormat="1" ht="11.4">
      <c r="B15" s="29"/>
      <c r="C15" s="21" t="s">
        <v>112</v>
      </c>
      <c r="D15" s="22"/>
      <c r="E15" s="27">
        <v>-69</v>
      </c>
      <c r="F15" s="24"/>
      <c r="G15" s="23"/>
      <c r="H15" s="27">
        <v>-87</v>
      </c>
      <c r="I15" s="23"/>
      <c r="J15" s="23"/>
      <c r="K15" s="27">
        <v>-128</v>
      </c>
      <c r="L15" s="23"/>
      <c r="M15" s="23"/>
      <c r="N15" s="27">
        <v>-197</v>
      </c>
      <c r="O15" s="23"/>
      <c r="P15" s="22"/>
      <c r="Q15" s="27">
        <v>-82</v>
      </c>
      <c r="R15" s="24"/>
      <c r="S15" s="23"/>
      <c r="T15" s="27">
        <v>-156</v>
      </c>
      <c r="U15" s="23"/>
      <c r="V15" s="23"/>
      <c r="W15" s="27">
        <v>-156</v>
      </c>
      <c r="X15" s="23"/>
      <c r="Y15" s="27">
        <v>-238</v>
      </c>
      <c r="Z15" s="27"/>
      <c r="AA15" s="23"/>
    </row>
    <row r="16" spans="1:27" s="21" customFormat="1" ht="11.4">
      <c r="B16" s="29"/>
      <c r="C16" s="21" t="s">
        <v>113</v>
      </c>
      <c r="D16" s="22"/>
      <c r="E16" s="27"/>
      <c r="F16" s="24"/>
      <c r="G16" s="23"/>
      <c r="H16" s="27"/>
      <c r="I16" s="23"/>
      <c r="J16" s="23"/>
      <c r="K16" s="27"/>
      <c r="L16" s="23"/>
      <c r="M16" s="23"/>
      <c r="N16" s="27"/>
      <c r="O16" s="23"/>
      <c r="P16" s="22"/>
      <c r="Q16" s="27"/>
      <c r="R16" s="24"/>
      <c r="S16" s="23"/>
      <c r="T16" s="27"/>
      <c r="U16" s="23"/>
      <c r="V16" s="23"/>
      <c r="W16" s="27"/>
      <c r="X16" s="23"/>
      <c r="Y16" s="27"/>
      <c r="Z16" s="27"/>
      <c r="AA16" s="23"/>
    </row>
    <row r="17" spans="1:27" s="21" customFormat="1" ht="11.4">
      <c r="B17" s="29"/>
      <c r="C17" s="21" t="s">
        <v>114</v>
      </c>
      <c r="D17" s="22"/>
      <c r="E17" s="30">
        <v>19</v>
      </c>
      <c r="F17" s="24"/>
      <c r="G17" s="23"/>
      <c r="H17" s="30">
        <v>4</v>
      </c>
      <c r="I17" s="23"/>
      <c r="J17" s="23"/>
      <c r="K17" s="30">
        <v>4</v>
      </c>
      <c r="L17" s="23"/>
      <c r="M17" s="23"/>
      <c r="N17" s="30">
        <v>-6</v>
      </c>
      <c r="O17" s="23"/>
      <c r="P17" s="22"/>
      <c r="Q17" s="30">
        <v>-4</v>
      </c>
      <c r="R17" s="24"/>
      <c r="S17" s="23"/>
      <c r="T17" s="30">
        <v>-27</v>
      </c>
      <c r="U17" s="23"/>
      <c r="V17" s="23"/>
      <c r="W17" s="30">
        <v>23</v>
      </c>
      <c r="X17" s="23"/>
      <c r="Y17" s="30">
        <v>-31</v>
      </c>
      <c r="Z17" s="27"/>
      <c r="AA17" s="23"/>
    </row>
    <row r="18" spans="1:27" s="21" customFormat="1" ht="11.4">
      <c r="B18" s="29"/>
      <c r="C18" s="21" t="s">
        <v>115</v>
      </c>
      <c r="D18" s="22"/>
      <c r="E18" s="27"/>
      <c r="F18" s="24"/>
      <c r="G18" s="23"/>
      <c r="H18" s="27"/>
      <c r="I18" s="23"/>
      <c r="J18" s="23"/>
      <c r="K18" s="27"/>
      <c r="L18" s="23"/>
      <c r="M18" s="23"/>
      <c r="N18" s="27"/>
      <c r="O18" s="23"/>
      <c r="P18" s="22"/>
      <c r="Q18" s="27"/>
      <c r="R18" s="24"/>
      <c r="S18" s="23"/>
      <c r="T18" s="27"/>
      <c r="U18" s="23"/>
      <c r="V18" s="23"/>
      <c r="W18" s="27"/>
      <c r="X18" s="23"/>
      <c r="Y18" s="27"/>
      <c r="Z18" s="27"/>
      <c r="AA18" s="23"/>
    </row>
    <row r="19" spans="1:27" s="21" customFormat="1" ht="11.4">
      <c r="B19" s="29"/>
      <c r="C19" s="21" t="s">
        <v>116</v>
      </c>
      <c r="D19" s="22"/>
      <c r="E19" s="27">
        <v>-50</v>
      </c>
      <c r="F19" s="24"/>
      <c r="G19" s="23"/>
      <c r="H19" s="27">
        <v>-83</v>
      </c>
      <c r="I19" s="23"/>
      <c r="J19" s="23"/>
      <c r="K19" s="27">
        <v>-124</v>
      </c>
      <c r="L19" s="23"/>
      <c r="M19" s="23"/>
      <c r="N19" s="27">
        <v>-203</v>
      </c>
      <c r="O19" s="23"/>
      <c r="P19" s="22"/>
      <c r="Q19" s="27">
        <v>-86</v>
      </c>
      <c r="R19" s="24"/>
      <c r="S19" s="23"/>
      <c r="T19" s="27">
        <v>-183</v>
      </c>
      <c r="U19" s="23"/>
      <c r="V19" s="23"/>
      <c r="W19" s="27">
        <v>-133</v>
      </c>
      <c r="X19" s="23"/>
      <c r="Y19" s="27">
        <v>-269</v>
      </c>
      <c r="Z19" s="27"/>
      <c r="AA19" s="23"/>
    </row>
    <row r="20" spans="1:27" s="21" customFormat="1" ht="11.4">
      <c r="B20" s="29"/>
      <c r="C20" s="21" t="s">
        <v>117</v>
      </c>
      <c r="D20" s="22"/>
      <c r="E20" s="30">
        <v>77</v>
      </c>
      <c r="F20" s="24"/>
      <c r="G20" s="23"/>
      <c r="H20" s="30">
        <v>251</v>
      </c>
      <c r="I20" s="23"/>
      <c r="J20" s="23"/>
      <c r="K20" s="30">
        <v>210</v>
      </c>
      <c r="L20" s="23"/>
      <c r="M20" s="23"/>
      <c r="N20" s="30">
        <v>467</v>
      </c>
      <c r="O20" s="23"/>
      <c r="P20" s="22"/>
      <c r="Q20" s="30">
        <v>143</v>
      </c>
      <c r="R20" s="24"/>
      <c r="S20" s="23"/>
      <c r="T20" s="30">
        <v>279</v>
      </c>
      <c r="U20" s="23"/>
      <c r="V20" s="23"/>
      <c r="W20" s="30">
        <v>328</v>
      </c>
      <c r="X20" s="23"/>
      <c r="Y20" s="30">
        <v>422</v>
      </c>
      <c r="Z20" s="27"/>
      <c r="AA20" s="23"/>
    </row>
    <row r="21" spans="1:27" s="21" customFormat="1" ht="11.4">
      <c r="B21" s="29"/>
      <c r="C21" s="21" t="s">
        <v>118</v>
      </c>
      <c r="D21" s="22"/>
      <c r="E21" s="27">
        <v>27</v>
      </c>
      <c r="F21" s="24"/>
      <c r="G21" s="23"/>
      <c r="H21" s="27">
        <v>168</v>
      </c>
      <c r="I21" s="23"/>
      <c r="J21" s="23"/>
      <c r="K21" s="27">
        <v>86</v>
      </c>
      <c r="L21" s="23"/>
      <c r="M21" s="23"/>
      <c r="N21" s="27">
        <v>264</v>
      </c>
      <c r="O21" s="23"/>
      <c r="P21" s="22"/>
      <c r="Q21" s="27">
        <v>57</v>
      </c>
      <c r="R21" s="24"/>
      <c r="S21" s="23"/>
      <c r="T21" s="27">
        <v>96</v>
      </c>
      <c r="U21" s="23"/>
      <c r="V21" s="23"/>
      <c r="W21" s="27">
        <v>195</v>
      </c>
      <c r="X21" s="23"/>
      <c r="Y21" s="27">
        <v>153</v>
      </c>
      <c r="Z21" s="27"/>
      <c r="AA21" s="23"/>
    </row>
    <row r="22" spans="1:27" s="21" customFormat="1" ht="16.5" customHeight="1">
      <c r="C22" s="21" t="s">
        <v>119</v>
      </c>
      <c r="D22" s="22"/>
      <c r="E22" s="31">
        <v>8278</v>
      </c>
      <c r="F22" s="24"/>
      <c r="G22" s="23"/>
      <c r="H22" s="31">
        <v>8362</v>
      </c>
      <c r="I22" s="23"/>
      <c r="J22" s="23"/>
      <c r="K22" s="31">
        <v>8236</v>
      </c>
      <c r="L22" s="23"/>
      <c r="M22" s="23"/>
      <c r="N22" s="31">
        <v>8242</v>
      </c>
      <c r="O22" s="23"/>
      <c r="P22" s="22"/>
      <c r="Q22" s="31">
        <v>8081</v>
      </c>
      <c r="R22" s="24"/>
      <c r="S22" s="23"/>
      <c r="T22" s="31">
        <v>8095</v>
      </c>
      <c r="U22" s="23"/>
      <c r="V22" s="23"/>
      <c r="W22" s="31">
        <v>16640</v>
      </c>
      <c r="X22" s="23"/>
      <c r="Y22" s="31">
        <v>16176</v>
      </c>
      <c r="Z22" s="23"/>
      <c r="AA22" s="23"/>
    </row>
    <row r="23" spans="1:27" s="21" customFormat="1" ht="11.4">
      <c r="B23" s="2"/>
      <c r="C23" s="2"/>
      <c r="D23" s="22"/>
      <c r="E23" s="32"/>
      <c r="F23" s="33"/>
      <c r="G23" s="23"/>
      <c r="H23" s="32"/>
      <c r="I23" s="23"/>
      <c r="J23" s="23"/>
      <c r="K23" s="32"/>
      <c r="L23" s="23"/>
      <c r="M23" s="23"/>
      <c r="N23" s="32"/>
      <c r="O23" s="23"/>
      <c r="P23" s="22"/>
      <c r="Q23" s="32"/>
      <c r="R23" s="33"/>
      <c r="S23" s="23"/>
      <c r="T23" s="32"/>
      <c r="U23" s="34"/>
      <c r="V23" s="23"/>
      <c r="W23" s="32"/>
      <c r="X23" s="23"/>
      <c r="Y23" s="32"/>
      <c r="Z23" s="32"/>
      <c r="AA23" s="23"/>
    </row>
    <row r="24" spans="1:27" s="21" customFormat="1" ht="12">
      <c r="A24" s="20" t="s">
        <v>120</v>
      </c>
      <c r="D24" s="22"/>
      <c r="E24" s="32"/>
      <c r="F24" s="33"/>
      <c r="G24" s="23"/>
      <c r="H24" s="32"/>
      <c r="I24" s="23"/>
      <c r="J24" s="23"/>
      <c r="K24" s="32"/>
      <c r="L24" s="23"/>
      <c r="M24" s="23"/>
      <c r="N24" s="32"/>
      <c r="O24" s="23"/>
      <c r="P24" s="22"/>
      <c r="Q24" s="32"/>
      <c r="R24" s="33"/>
      <c r="S24" s="23"/>
      <c r="T24" s="32"/>
      <c r="U24" s="34"/>
      <c r="V24" s="23"/>
      <c r="W24" s="32"/>
      <c r="X24" s="23"/>
      <c r="Y24" s="32"/>
      <c r="Z24" s="32"/>
      <c r="AA24" s="23"/>
    </row>
    <row r="25" spans="1:27" s="21" customFormat="1" ht="11.4">
      <c r="B25" s="21" t="s">
        <v>749</v>
      </c>
      <c r="D25" s="22"/>
      <c r="E25" s="32"/>
      <c r="F25" s="33"/>
      <c r="G25" s="23"/>
      <c r="H25" s="32"/>
      <c r="I25" s="23"/>
      <c r="J25" s="23"/>
      <c r="K25" s="32"/>
      <c r="L25" s="23"/>
      <c r="M25" s="23"/>
      <c r="N25" s="32"/>
      <c r="O25" s="23"/>
      <c r="P25" s="22"/>
      <c r="Q25" s="32"/>
      <c r="R25" s="33"/>
      <c r="S25" s="23"/>
      <c r="T25" s="32"/>
      <c r="U25" s="34"/>
      <c r="V25" s="23"/>
      <c r="W25" s="32"/>
      <c r="X25" s="23"/>
      <c r="Y25" s="32"/>
      <c r="Z25" s="32"/>
      <c r="AA25" s="23"/>
    </row>
    <row r="26" spans="1:27" s="21" customFormat="1" ht="11.4">
      <c r="B26" s="5"/>
      <c r="C26" s="21" t="s">
        <v>750</v>
      </c>
      <c r="D26" s="22"/>
      <c r="E26" s="21">
        <v>4810</v>
      </c>
      <c r="F26" s="24"/>
      <c r="G26" s="23"/>
      <c r="H26" s="25">
        <v>4339</v>
      </c>
      <c r="I26" s="23"/>
      <c r="J26" s="23"/>
      <c r="K26" s="25">
        <v>4198</v>
      </c>
      <c r="L26" s="23"/>
      <c r="M26" s="23"/>
      <c r="N26" s="25">
        <v>5132</v>
      </c>
      <c r="O26" s="23"/>
      <c r="P26" s="22"/>
      <c r="Q26" s="21">
        <v>6355</v>
      </c>
      <c r="R26" s="24"/>
      <c r="S26" s="23"/>
      <c r="T26" s="25">
        <v>4476</v>
      </c>
      <c r="U26" s="23"/>
      <c r="V26" s="23"/>
      <c r="W26" s="21">
        <v>9149</v>
      </c>
      <c r="X26" s="23"/>
      <c r="Y26" s="21">
        <v>10831</v>
      </c>
      <c r="AA26" s="23"/>
    </row>
    <row r="27" spans="1:27" s="21" customFormat="1" ht="11.4">
      <c r="B27" s="21" t="s">
        <v>751</v>
      </c>
      <c r="D27" s="22"/>
      <c r="E27" s="21">
        <v>462</v>
      </c>
      <c r="F27" s="24"/>
      <c r="G27" s="23"/>
      <c r="H27" s="25">
        <v>439</v>
      </c>
      <c r="I27" s="23"/>
      <c r="J27" s="23"/>
      <c r="K27" s="25">
        <v>430</v>
      </c>
      <c r="L27" s="23"/>
      <c r="M27" s="23"/>
      <c r="N27" s="25">
        <v>455</v>
      </c>
      <c r="O27" s="23"/>
      <c r="P27" s="22"/>
      <c r="Q27" s="21">
        <v>422</v>
      </c>
      <c r="R27" s="24"/>
      <c r="S27" s="23"/>
      <c r="T27" s="25">
        <v>454</v>
      </c>
      <c r="U27" s="23"/>
      <c r="V27" s="23"/>
      <c r="W27" s="21">
        <v>901</v>
      </c>
      <c r="X27" s="23"/>
      <c r="Y27" s="21">
        <v>876</v>
      </c>
      <c r="AA27" s="23"/>
    </row>
    <row r="28" spans="1:27" s="21" customFormat="1" ht="11.4">
      <c r="B28" s="21" t="s">
        <v>752</v>
      </c>
      <c r="D28" s="22"/>
      <c r="E28" s="21">
        <v>366</v>
      </c>
      <c r="F28" s="24"/>
      <c r="G28" s="23"/>
      <c r="H28" s="25">
        <v>378</v>
      </c>
      <c r="I28" s="23"/>
      <c r="J28" s="23"/>
      <c r="K28" s="25">
        <v>405</v>
      </c>
      <c r="L28" s="23"/>
      <c r="M28" s="23"/>
      <c r="N28" s="25">
        <v>405</v>
      </c>
      <c r="O28" s="23"/>
      <c r="P28" s="22"/>
      <c r="Q28" s="21">
        <v>417</v>
      </c>
      <c r="R28" s="24"/>
      <c r="S28" s="23"/>
      <c r="T28" s="25">
        <v>418</v>
      </c>
      <c r="U28" s="23"/>
      <c r="V28" s="23"/>
      <c r="W28" s="21">
        <v>744</v>
      </c>
      <c r="X28" s="23"/>
      <c r="Y28" s="21">
        <v>835</v>
      </c>
      <c r="AA28" s="23"/>
    </row>
    <row r="29" spans="1:27" s="21" customFormat="1" ht="11.4">
      <c r="B29" s="21" t="s">
        <v>753</v>
      </c>
      <c r="D29" s="36"/>
      <c r="F29" s="37"/>
      <c r="G29" s="11"/>
      <c r="I29" s="11"/>
      <c r="J29" s="11"/>
      <c r="L29" s="11"/>
      <c r="M29" s="11"/>
      <c r="O29" s="11"/>
      <c r="P29" s="36"/>
      <c r="R29" s="37"/>
      <c r="S29" s="11"/>
      <c r="U29" s="11"/>
      <c r="V29" s="11"/>
      <c r="X29" s="11"/>
      <c r="AA29" s="23"/>
    </row>
    <row r="30" spans="1:27" s="21" customFormat="1" ht="11.4">
      <c r="C30" s="21" t="s">
        <v>754</v>
      </c>
      <c r="D30" s="22"/>
      <c r="E30" s="21">
        <v>942</v>
      </c>
      <c r="F30" s="24"/>
      <c r="G30" s="23"/>
      <c r="H30" s="25">
        <v>979</v>
      </c>
      <c r="I30" s="23"/>
      <c r="J30" s="23"/>
      <c r="K30" s="25">
        <v>981</v>
      </c>
      <c r="L30" s="23"/>
      <c r="M30" s="23"/>
      <c r="N30" s="25">
        <v>1046</v>
      </c>
      <c r="O30" s="23"/>
      <c r="P30" s="22"/>
      <c r="Q30" s="21">
        <v>960</v>
      </c>
      <c r="R30" s="24"/>
      <c r="S30" s="23"/>
      <c r="T30" s="25">
        <v>984</v>
      </c>
      <c r="U30" s="23"/>
      <c r="V30" s="23"/>
      <c r="W30" s="21">
        <v>1921</v>
      </c>
      <c r="X30" s="23"/>
      <c r="Y30" s="21">
        <v>1944</v>
      </c>
      <c r="AA30" s="23"/>
    </row>
    <row r="31" spans="1:27" s="21" customFormat="1" ht="11.4">
      <c r="B31" s="21" t="s">
        <v>755</v>
      </c>
      <c r="D31" s="22"/>
      <c r="E31" s="21">
        <v>996</v>
      </c>
      <c r="F31" s="24"/>
      <c r="G31" s="23"/>
      <c r="H31" s="25">
        <v>1017</v>
      </c>
      <c r="I31" s="23"/>
      <c r="J31" s="23"/>
      <c r="K31" s="25">
        <v>1083</v>
      </c>
      <c r="L31" s="23"/>
      <c r="M31" s="23"/>
      <c r="N31" s="25">
        <v>888</v>
      </c>
      <c r="O31" s="23"/>
      <c r="P31" s="22"/>
      <c r="Q31" s="21">
        <v>868</v>
      </c>
      <c r="R31" s="24"/>
      <c r="S31" s="23"/>
      <c r="T31" s="25">
        <v>900</v>
      </c>
      <c r="U31" s="23"/>
      <c r="V31" s="23"/>
      <c r="W31" s="21">
        <v>2013</v>
      </c>
      <c r="X31" s="23"/>
      <c r="Y31" s="21">
        <v>1768</v>
      </c>
      <c r="AA31" s="23"/>
    </row>
    <row r="32" spans="1:27" s="21" customFormat="1" ht="11.4">
      <c r="B32" s="38" t="s">
        <v>756</v>
      </c>
      <c r="D32" s="22"/>
      <c r="E32" s="21">
        <v>10</v>
      </c>
      <c r="F32" s="24"/>
      <c r="G32" s="23"/>
      <c r="H32" s="25">
        <v>6</v>
      </c>
      <c r="I32" s="23"/>
      <c r="J32" s="23"/>
      <c r="K32" s="25">
        <v>16</v>
      </c>
      <c r="L32" s="23"/>
      <c r="M32" s="23"/>
      <c r="N32" s="25">
        <v>8</v>
      </c>
      <c r="O32" s="23"/>
      <c r="P32" s="22"/>
      <c r="Q32" s="21">
        <v>11</v>
      </c>
      <c r="R32" s="24"/>
      <c r="S32" s="23"/>
      <c r="T32" s="25">
        <v>9</v>
      </c>
      <c r="U32" s="23"/>
      <c r="V32" s="23"/>
      <c r="W32" s="21">
        <v>16</v>
      </c>
      <c r="X32" s="23"/>
      <c r="Y32" s="21">
        <v>20</v>
      </c>
      <c r="AA32" s="23"/>
    </row>
    <row r="33" spans="1:27" s="21" customFormat="1" ht="11.4">
      <c r="B33" s="21" t="s">
        <v>757</v>
      </c>
      <c r="D33" s="22"/>
      <c r="E33" s="39">
        <v>93</v>
      </c>
      <c r="F33" s="24"/>
      <c r="G33" s="23"/>
      <c r="H33" s="25">
        <v>95</v>
      </c>
      <c r="I33" s="23"/>
      <c r="J33" s="23"/>
      <c r="K33" s="25">
        <v>92</v>
      </c>
      <c r="L33" s="23"/>
      <c r="M33" s="23"/>
      <c r="N33" s="25">
        <v>92</v>
      </c>
      <c r="O33" s="23"/>
      <c r="P33" s="22"/>
      <c r="Q33" s="39">
        <v>91</v>
      </c>
      <c r="R33" s="24"/>
      <c r="S33" s="23"/>
      <c r="T33" s="25">
        <v>92</v>
      </c>
      <c r="U33" s="23"/>
      <c r="V33" s="23"/>
      <c r="W33" s="39">
        <v>188</v>
      </c>
      <c r="X33" s="23"/>
      <c r="Y33" s="39">
        <v>183</v>
      </c>
      <c r="Z33" s="23"/>
      <c r="AA33" s="23"/>
    </row>
    <row r="34" spans="1:27" s="21" customFormat="1" ht="11.4">
      <c r="C34" s="21" t="s">
        <v>758</v>
      </c>
      <c r="D34" s="22"/>
      <c r="E34" s="39">
        <v>7679</v>
      </c>
      <c r="F34" s="24"/>
      <c r="G34" s="23"/>
      <c r="H34" s="40">
        <v>7253</v>
      </c>
      <c r="I34" s="23"/>
      <c r="J34" s="23"/>
      <c r="K34" s="40">
        <v>7205</v>
      </c>
      <c r="L34" s="23"/>
      <c r="M34" s="23"/>
      <c r="N34" s="40">
        <v>8026</v>
      </c>
      <c r="O34" s="23"/>
      <c r="P34" s="22"/>
      <c r="Q34" s="39">
        <v>9124</v>
      </c>
      <c r="R34" s="24"/>
      <c r="S34" s="23"/>
      <c r="T34" s="40">
        <v>7333</v>
      </c>
      <c r="U34" s="23"/>
      <c r="V34" s="23"/>
      <c r="W34" s="39">
        <v>14932</v>
      </c>
      <c r="X34" s="23"/>
      <c r="Y34" s="39">
        <v>16457</v>
      </c>
      <c r="Z34" s="23"/>
      <c r="AA34" s="23"/>
    </row>
    <row r="35" spans="1:27" s="21" customFormat="1" ht="11.4">
      <c r="D35" s="22"/>
      <c r="E35" s="23"/>
      <c r="F35" s="24"/>
      <c r="G35" s="23"/>
      <c r="H35" s="23"/>
      <c r="I35" s="23"/>
      <c r="J35" s="23"/>
      <c r="K35" s="23"/>
      <c r="L35" s="23"/>
      <c r="M35" s="23"/>
      <c r="N35" s="23"/>
      <c r="O35" s="23"/>
      <c r="P35" s="22"/>
      <c r="Q35" s="23"/>
      <c r="R35" s="24"/>
      <c r="S35" s="23"/>
      <c r="T35" s="23"/>
      <c r="U35" s="23"/>
      <c r="V35" s="23"/>
      <c r="W35" s="23"/>
      <c r="X35" s="23"/>
      <c r="Y35" s="23"/>
      <c r="Z35" s="23"/>
      <c r="AA35" s="23"/>
    </row>
    <row r="36" spans="1:27" s="21" customFormat="1" ht="11.4">
      <c r="A36" s="21" t="s">
        <v>759</v>
      </c>
      <c r="D36" s="22"/>
      <c r="E36" s="39">
        <v>3</v>
      </c>
      <c r="F36" s="24"/>
      <c r="G36" s="23"/>
      <c r="H36" s="30">
        <v>3</v>
      </c>
      <c r="I36" s="23"/>
      <c r="J36" s="23"/>
      <c r="K36" s="30">
        <v>3</v>
      </c>
      <c r="L36" s="23"/>
      <c r="M36" s="23"/>
      <c r="N36" s="30">
        <v>3</v>
      </c>
      <c r="O36" s="23"/>
      <c r="P36" s="22"/>
      <c r="Q36" s="39">
        <v>7</v>
      </c>
      <c r="R36" s="24"/>
      <c r="S36" s="23"/>
      <c r="T36" s="30">
        <v>-20</v>
      </c>
      <c r="U36" s="23"/>
      <c r="V36" s="23"/>
      <c r="W36" s="39">
        <v>6</v>
      </c>
      <c r="X36" s="23"/>
      <c r="Y36" s="39">
        <v>-13</v>
      </c>
      <c r="Z36" s="23"/>
      <c r="AA36" s="23"/>
    </row>
    <row r="37" spans="1:27" s="21" customFormat="1" ht="12.75" customHeight="1">
      <c r="D37" s="22"/>
      <c r="F37" s="24"/>
      <c r="G37" s="23"/>
      <c r="I37" s="23"/>
      <c r="J37" s="23"/>
      <c r="L37" s="23"/>
      <c r="M37" s="23"/>
      <c r="O37" s="23"/>
      <c r="P37" s="22"/>
      <c r="R37" s="24"/>
      <c r="S37" s="23"/>
      <c r="U37" s="23"/>
      <c r="V37" s="23"/>
      <c r="X37" s="23"/>
      <c r="AA37" s="23"/>
    </row>
    <row r="38" spans="1:27" s="21" customFormat="1" ht="12.75" customHeight="1">
      <c r="A38" s="41" t="s">
        <v>760</v>
      </c>
      <c r="D38" s="22"/>
      <c r="F38" s="24"/>
      <c r="G38" s="23"/>
      <c r="I38" s="23"/>
      <c r="J38" s="23"/>
      <c r="L38" s="23"/>
      <c r="M38" s="23"/>
      <c r="O38" s="23"/>
      <c r="P38" s="22"/>
      <c r="R38" s="24"/>
      <c r="S38" s="23"/>
      <c r="U38" s="23"/>
      <c r="V38" s="23"/>
      <c r="X38" s="23"/>
      <c r="AA38" s="23"/>
    </row>
    <row r="39" spans="1:27" s="21" customFormat="1" ht="12">
      <c r="A39" s="42"/>
      <c r="B39" s="41" t="s">
        <v>761</v>
      </c>
      <c r="D39" s="22"/>
      <c r="E39" s="23">
        <v>602</v>
      </c>
      <c r="F39" s="24"/>
      <c r="G39" s="23"/>
      <c r="H39" s="25">
        <v>1112</v>
      </c>
      <c r="I39" s="23"/>
      <c r="J39" s="23"/>
      <c r="K39" s="25">
        <v>1034</v>
      </c>
      <c r="L39" s="23"/>
      <c r="M39" s="23"/>
      <c r="N39" s="25">
        <v>219</v>
      </c>
      <c r="O39" s="23"/>
      <c r="P39" s="22"/>
      <c r="Q39" s="23">
        <v>-1036</v>
      </c>
      <c r="R39" s="24"/>
      <c r="S39" s="23"/>
      <c r="T39" s="25">
        <v>742</v>
      </c>
      <c r="U39" s="23"/>
      <c r="V39" s="23"/>
      <c r="W39" s="23">
        <v>1714</v>
      </c>
      <c r="X39" s="23"/>
      <c r="Y39" s="23">
        <v>-294</v>
      </c>
      <c r="Z39" s="23"/>
      <c r="AA39" s="23"/>
    </row>
    <row r="40" spans="1:27" s="21" customFormat="1" ht="12">
      <c r="B40" s="41"/>
      <c r="D40" s="43"/>
      <c r="F40" s="24"/>
      <c r="G40" s="11"/>
      <c r="I40" s="11"/>
      <c r="J40" s="11"/>
      <c r="L40" s="11"/>
      <c r="M40" s="11"/>
      <c r="O40" s="11"/>
      <c r="P40" s="43"/>
      <c r="R40" s="24"/>
      <c r="S40" s="11"/>
      <c r="U40" s="23"/>
      <c r="V40" s="11"/>
      <c r="X40" s="11"/>
      <c r="AA40" s="23"/>
    </row>
    <row r="41" spans="1:27" s="21" customFormat="1" ht="12">
      <c r="A41" s="20" t="s">
        <v>762</v>
      </c>
      <c r="D41" s="22"/>
      <c r="E41" s="39">
        <v>179</v>
      </c>
      <c r="F41" s="24"/>
      <c r="G41" s="23"/>
      <c r="H41" s="30">
        <v>346</v>
      </c>
      <c r="I41" s="23"/>
      <c r="J41" s="23"/>
      <c r="K41" s="30">
        <v>322</v>
      </c>
      <c r="L41" s="23"/>
      <c r="M41" s="23"/>
      <c r="N41" s="30">
        <v>44</v>
      </c>
      <c r="O41" s="23"/>
      <c r="P41" s="22"/>
      <c r="Q41" s="39">
        <v>-412</v>
      </c>
      <c r="R41" s="24"/>
      <c r="S41" s="23"/>
      <c r="T41" s="30">
        <v>218</v>
      </c>
      <c r="U41" s="23"/>
      <c r="V41" s="23"/>
      <c r="W41" s="39">
        <v>525</v>
      </c>
      <c r="X41" s="23"/>
      <c r="Y41" s="39">
        <v>-194</v>
      </c>
      <c r="Z41" s="23"/>
      <c r="AA41" s="23"/>
    </row>
    <row r="42" spans="1:27" s="21" customFormat="1" ht="11.4">
      <c r="D42" s="22"/>
      <c r="E42" s="23"/>
      <c r="F42" s="24"/>
      <c r="G42" s="23"/>
      <c r="H42" s="23"/>
      <c r="I42" s="23"/>
      <c r="J42" s="23"/>
      <c r="K42" s="23"/>
      <c r="L42" s="23"/>
      <c r="M42" s="23"/>
      <c r="N42" s="23"/>
      <c r="O42" s="23"/>
      <c r="P42" s="22"/>
      <c r="Q42" s="23"/>
      <c r="R42" s="24"/>
      <c r="S42" s="23"/>
      <c r="T42" s="23"/>
      <c r="U42" s="23"/>
      <c r="V42" s="23"/>
      <c r="W42" s="23"/>
      <c r="X42" s="23"/>
      <c r="Y42" s="23"/>
      <c r="Z42" s="23"/>
      <c r="AA42" s="23"/>
    </row>
    <row r="43" spans="1:27" s="21" customFormat="1" ht="11.4">
      <c r="D43" s="22"/>
      <c r="E43" s="23"/>
      <c r="F43" s="24"/>
      <c r="G43" s="23"/>
      <c r="H43" s="23"/>
      <c r="I43" s="23"/>
      <c r="J43" s="23"/>
      <c r="K43" s="23"/>
      <c r="L43" s="23"/>
      <c r="M43" s="23"/>
      <c r="N43" s="23"/>
      <c r="O43" s="23"/>
      <c r="P43" s="22"/>
      <c r="Q43" s="23"/>
      <c r="R43" s="24"/>
      <c r="S43" s="23"/>
      <c r="T43" s="23"/>
      <c r="U43" s="23"/>
      <c r="V43" s="23"/>
      <c r="W43" s="23"/>
      <c r="X43" s="23"/>
      <c r="Y43" s="23"/>
      <c r="Z43" s="23"/>
      <c r="AA43" s="23"/>
    </row>
    <row r="44" spans="1:27" s="21" customFormat="1" ht="12.6" thickBot="1">
      <c r="A44" s="44" t="s">
        <v>763</v>
      </c>
      <c r="D44" s="22" t="s">
        <v>108</v>
      </c>
      <c r="E44" s="45">
        <v>423</v>
      </c>
      <c r="F44" s="24"/>
      <c r="G44" s="23" t="s">
        <v>108</v>
      </c>
      <c r="H44" s="46">
        <v>766</v>
      </c>
      <c r="I44" s="23"/>
      <c r="J44" s="23" t="s">
        <v>108</v>
      </c>
      <c r="K44" s="46">
        <v>712</v>
      </c>
      <c r="L44" s="23"/>
      <c r="M44" s="23" t="s">
        <v>108</v>
      </c>
      <c r="N44" s="46">
        <v>175</v>
      </c>
      <c r="O44" s="23"/>
      <c r="P44" s="22" t="s">
        <v>108</v>
      </c>
      <c r="Q44" s="45">
        <v>-624</v>
      </c>
      <c r="R44" s="24"/>
      <c r="S44" s="23" t="s">
        <v>108</v>
      </c>
      <c r="T44" s="46">
        <v>524</v>
      </c>
      <c r="U44" s="23"/>
      <c r="V44" s="23" t="s">
        <v>108</v>
      </c>
      <c r="W44" s="45">
        <v>1189</v>
      </c>
      <c r="X44" s="23" t="s">
        <v>108</v>
      </c>
      <c r="Y44" s="45">
        <v>-100</v>
      </c>
      <c r="Z44" s="23"/>
      <c r="AA44" s="23"/>
    </row>
    <row r="45" spans="1:27" s="21" customFormat="1" ht="12" thickTop="1">
      <c r="B45" s="2"/>
      <c r="C45" s="2"/>
      <c r="D45" s="43"/>
      <c r="E45" s="5"/>
      <c r="F45" s="47"/>
      <c r="G45" s="11"/>
      <c r="H45" s="5"/>
      <c r="I45" s="11"/>
      <c r="J45" s="11"/>
      <c r="K45" s="5"/>
      <c r="L45" s="11"/>
      <c r="M45" s="11"/>
      <c r="N45" s="5"/>
      <c r="O45" s="11"/>
      <c r="P45" s="43"/>
      <c r="Q45" s="5"/>
      <c r="R45" s="47"/>
      <c r="S45" s="11"/>
      <c r="T45" s="5"/>
      <c r="U45" s="35"/>
      <c r="V45" s="11"/>
      <c r="W45" s="5"/>
      <c r="X45" s="11"/>
      <c r="Y45" s="5"/>
      <c r="Z45" s="5"/>
      <c r="AA45" s="23"/>
    </row>
    <row r="46" spans="1:27" s="21" customFormat="1" ht="13.8">
      <c r="A46" s="44" t="s">
        <v>764</v>
      </c>
      <c r="B46" s="2"/>
      <c r="C46" s="2"/>
      <c r="D46" s="22"/>
      <c r="F46" s="24"/>
      <c r="G46" s="23"/>
      <c r="I46" s="23"/>
      <c r="J46" s="23"/>
      <c r="L46" s="23"/>
      <c r="M46" s="23"/>
      <c r="O46" s="23"/>
      <c r="P46" s="22"/>
      <c r="R46" s="24"/>
      <c r="S46" s="23"/>
      <c r="U46" s="23"/>
      <c r="V46" s="23"/>
      <c r="X46" s="23"/>
      <c r="AA46" s="23"/>
    </row>
    <row r="47" spans="1:27" s="21" customFormat="1" ht="11.4">
      <c r="A47" s="48"/>
      <c r="D47" s="22"/>
      <c r="F47" s="24"/>
      <c r="G47" s="23"/>
      <c r="I47" s="23"/>
      <c r="J47" s="23"/>
      <c r="L47" s="23"/>
      <c r="M47" s="23"/>
      <c r="O47" s="23"/>
      <c r="P47" s="22"/>
      <c r="R47" s="24"/>
      <c r="S47" s="23"/>
      <c r="U47" s="23"/>
      <c r="V47" s="23"/>
      <c r="X47" s="23"/>
      <c r="AA47" s="23"/>
    </row>
    <row r="48" spans="1:27" s="21" customFormat="1" ht="16.5" customHeight="1" thickBot="1">
      <c r="A48" s="2"/>
      <c r="B48" s="44" t="s">
        <v>765</v>
      </c>
      <c r="C48" s="5"/>
      <c r="D48" s="22" t="s">
        <v>108</v>
      </c>
      <c r="E48" s="49">
        <v>0.86220953933958411</v>
      </c>
      <c r="F48" s="47"/>
      <c r="G48" s="23" t="s">
        <v>108</v>
      </c>
      <c r="H48" s="49">
        <v>1.5359935833166232</v>
      </c>
      <c r="I48" s="23"/>
      <c r="J48" s="23" t="s">
        <v>108</v>
      </c>
      <c r="K48" s="49">
        <v>1.4112983151635283</v>
      </c>
      <c r="L48" s="23"/>
      <c r="M48" s="23" t="s">
        <v>108</v>
      </c>
      <c r="N48" s="49">
        <v>0.341796875</v>
      </c>
      <c r="O48" s="23"/>
      <c r="P48" s="22" t="s">
        <v>108</v>
      </c>
      <c r="Q48" s="49">
        <v>-1.1928885490346013</v>
      </c>
      <c r="R48" s="47"/>
      <c r="S48" s="23" t="s">
        <v>108</v>
      </c>
      <c r="T48" s="49">
        <v>0.98681732580037662</v>
      </c>
      <c r="U48" s="35"/>
      <c r="V48" s="23" t="s">
        <v>108</v>
      </c>
      <c r="W48" s="49">
        <v>2.402505556678117</v>
      </c>
      <c r="X48" s="23" t="s">
        <v>108</v>
      </c>
      <c r="Y48" s="49">
        <v>-0.19121544869367699</v>
      </c>
      <c r="Z48" s="54"/>
      <c r="AA48" s="23"/>
    </row>
    <row r="49" spans="1:27" s="21" customFormat="1" ht="15" customHeight="1" thickTop="1" thickBot="1">
      <c r="B49" s="44" t="s">
        <v>766</v>
      </c>
      <c r="C49" s="2"/>
      <c r="D49" s="43"/>
      <c r="E49" s="50">
        <v>490.6</v>
      </c>
      <c r="F49" s="47"/>
      <c r="G49" s="11"/>
      <c r="H49" s="50">
        <v>498.7</v>
      </c>
      <c r="I49" s="11"/>
      <c r="J49" s="11"/>
      <c r="K49" s="50">
        <v>504.5</v>
      </c>
      <c r="L49" s="11"/>
      <c r="M49" s="11"/>
      <c r="N49" s="50">
        <v>512</v>
      </c>
      <c r="O49" s="11"/>
      <c r="P49" s="43"/>
      <c r="Q49" s="50">
        <v>523.1</v>
      </c>
      <c r="R49" s="47"/>
      <c r="S49" s="11"/>
      <c r="T49" s="50">
        <v>531</v>
      </c>
      <c r="U49" s="35"/>
      <c r="V49" s="11"/>
      <c r="W49" s="50">
        <v>494.9</v>
      </c>
      <c r="X49" s="11"/>
      <c r="Y49" s="50">
        <v>528.20000000000005</v>
      </c>
      <c r="Z49" s="844"/>
      <c r="AA49" s="23"/>
    </row>
    <row r="50" spans="1:27" s="21" customFormat="1" ht="12.6" thickTop="1">
      <c r="A50" s="2"/>
      <c r="B50" s="44"/>
      <c r="C50" s="2"/>
      <c r="D50" s="51"/>
      <c r="E50" s="52"/>
      <c r="F50" s="53"/>
      <c r="G50" s="23"/>
      <c r="H50" s="52"/>
      <c r="I50" s="23"/>
      <c r="J50" s="23"/>
      <c r="K50" s="52"/>
      <c r="L50" s="23"/>
      <c r="M50" s="23"/>
      <c r="N50" s="52"/>
      <c r="O50" s="23"/>
      <c r="P50" s="51"/>
      <c r="Q50" s="52"/>
      <c r="R50" s="53"/>
      <c r="S50" s="23"/>
      <c r="T50" s="52"/>
      <c r="U50" s="792"/>
      <c r="V50" s="23"/>
      <c r="W50" s="52"/>
      <c r="X50" s="23"/>
      <c r="Y50" s="52"/>
      <c r="Z50" s="52"/>
      <c r="AA50" s="23"/>
    </row>
    <row r="51" spans="1:27" s="21" customFormat="1" ht="16.5" customHeight="1" thickBot="1">
      <c r="A51" s="2"/>
      <c r="B51" s="55" t="s">
        <v>767</v>
      </c>
      <c r="C51" s="2"/>
      <c r="D51" s="22" t="s">
        <v>108</v>
      </c>
      <c r="E51" s="49">
        <v>0.85662211421628187</v>
      </c>
      <c r="F51" s="47"/>
      <c r="G51" s="23" t="s">
        <v>108</v>
      </c>
      <c r="H51" s="49">
        <v>1.5274177467597208</v>
      </c>
      <c r="I51" s="23"/>
      <c r="J51" s="23" t="s">
        <v>108</v>
      </c>
      <c r="K51" s="49">
        <v>1.4048934490923441</v>
      </c>
      <c r="L51" s="23"/>
      <c r="M51" s="23" t="s">
        <v>108</v>
      </c>
      <c r="N51" s="49">
        <v>0.34033450019447681</v>
      </c>
      <c r="O51" s="23"/>
      <c r="P51" s="22" t="s">
        <v>108</v>
      </c>
      <c r="Q51" s="49">
        <v>-1.1928885490346013</v>
      </c>
      <c r="R51" s="47"/>
      <c r="S51" s="23" t="s">
        <v>108</v>
      </c>
      <c r="T51" s="49">
        <v>0.98200899550224885</v>
      </c>
      <c r="U51" s="35"/>
      <c r="V51" s="23" t="s">
        <v>108</v>
      </c>
      <c r="W51" s="49">
        <v>2.3880297248443463</v>
      </c>
      <c r="X51" s="23" t="s">
        <v>108</v>
      </c>
      <c r="Y51" s="49">
        <v>-0.19121544869367663</v>
      </c>
      <c r="Z51" s="54"/>
      <c r="AA51" s="23"/>
    </row>
    <row r="52" spans="1:27" s="21" customFormat="1" ht="15" customHeight="1" thickTop="1" thickBot="1">
      <c r="A52" s="2"/>
      <c r="B52" s="55" t="s">
        <v>768</v>
      </c>
      <c r="C52" s="2"/>
      <c r="D52" s="51"/>
      <c r="E52" s="50">
        <v>493.8</v>
      </c>
      <c r="F52" s="53"/>
      <c r="G52" s="23"/>
      <c r="H52" s="50">
        <v>501.5</v>
      </c>
      <c r="I52" s="23"/>
      <c r="J52" s="23"/>
      <c r="K52" s="50">
        <v>506.8</v>
      </c>
      <c r="L52" s="23"/>
      <c r="M52" s="23"/>
      <c r="N52" s="50">
        <v>514.20000000000005</v>
      </c>
      <c r="O52" s="23"/>
      <c r="P52" s="51"/>
      <c r="Q52" s="50">
        <v>523.1</v>
      </c>
      <c r="R52" s="53"/>
      <c r="S52" s="23"/>
      <c r="T52" s="50">
        <v>533.6</v>
      </c>
      <c r="U52" s="792"/>
      <c r="V52" s="23"/>
      <c r="W52" s="50">
        <v>497.9</v>
      </c>
      <c r="X52" s="23"/>
      <c r="Y52" s="50">
        <v>528.20000000000005</v>
      </c>
      <c r="Z52" s="844"/>
      <c r="AA52" s="23"/>
    </row>
    <row r="53" spans="1:27" s="21" customFormat="1" ht="15" customHeight="1" thickTop="1">
      <c r="A53" s="2"/>
      <c r="B53" s="44"/>
      <c r="C53" s="2"/>
      <c r="D53" s="51"/>
      <c r="E53" s="54"/>
      <c r="F53" s="53"/>
      <c r="G53" s="23"/>
      <c r="H53" s="54"/>
      <c r="I53" s="23"/>
      <c r="J53" s="23"/>
      <c r="K53" s="54"/>
      <c r="L53" s="23"/>
      <c r="M53" s="23"/>
      <c r="N53" s="54"/>
      <c r="O53" s="23"/>
      <c r="P53" s="51"/>
      <c r="Q53" s="54"/>
      <c r="R53" s="53"/>
      <c r="S53" s="23"/>
      <c r="T53" s="54"/>
      <c r="U53" s="792"/>
      <c r="V53" s="23"/>
      <c r="W53" s="54"/>
      <c r="X53" s="23"/>
      <c r="Y53" s="54"/>
      <c r="Z53" s="54"/>
      <c r="AA53" s="23"/>
    </row>
    <row r="54" spans="1:27" s="21" customFormat="1" ht="15" customHeight="1" thickBot="1">
      <c r="A54" s="44" t="s">
        <v>769</v>
      </c>
      <c r="C54" s="2"/>
      <c r="D54" s="22" t="s">
        <v>108</v>
      </c>
      <c r="E54" s="49">
        <v>0.22</v>
      </c>
      <c r="F54" s="53"/>
      <c r="G54" s="23" t="s">
        <v>108</v>
      </c>
      <c r="H54" s="49">
        <v>0.22</v>
      </c>
      <c r="I54" s="23"/>
      <c r="J54" s="23" t="s">
        <v>108</v>
      </c>
      <c r="K54" s="49">
        <v>0.21</v>
      </c>
      <c r="L54" s="23"/>
      <c r="M54" s="23" t="s">
        <v>108</v>
      </c>
      <c r="N54" s="49">
        <v>0.21</v>
      </c>
      <c r="O54" s="23"/>
      <c r="P54" s="22" t="s">
        <v>108</v>
      </c>
      <c r="Q54" s="49">
        <v>0.21</v>
      </c>
      <c r="R54" s="53"/>
      <c r="S54" s="23" t="s">
        <v>108</v>
      </c>
      <c r="T54" s="49">
        <v>0.21</v>
      </c>
      <c r="U54" s="792"/>
      <c r="V54" s="23" t="s">
        <v>108</v>
      </c>
      <c r="W54" s="49">
        <v>0.44</v>
      </c>
      <c r="X54" s="23" t="s">
        <v>108</v>
      </c>
      <c r="Y54" s="49">
        <v>0.42</v>
      </c>
      <c r="Z54" s="54"/>
      <c r="AA54" s="23"/>
    </row>
    <row r="55" spans="1:27" s="21" customFormat="1" ht="12.6" thickTop="1" thickBot="1">
      <c r="A55" s="2"/>
      <c r="B55" s="2"/>
      <c r="C55" s="2"/>
      <c r="D55" s="56"/>
      <c r="E55" s="57"/>
      <c r="F55" s="58"/>
      <c r="G55" s="23"/>
      <c r="H55" s="23"/>
      <c r="I55" s="23"/>
      <c r="J55" s="23"/>
      <c r="K55" s="23"/>
      <c r="L55" s="23"/>
      <c r="M55" s="23"/>
      <c r="N55" s="23"/>
      <c r="O55" s="23"/>
      <c r="P55" s="56"/>
      <c r="Q55" s="57"/>
      <c r="R55" s="58"/>
      <c r="S55" s="23"/>
      <c r="T55" s="23"/>
      <c r="U55" s="792"/>
      <c r="V55" s="23"/>
      <c r="W55" s="23"/>
      <c r="X55" s="23"/>
      <c r="Y55" s="23"/>
      <c r="AA55" s="23"/>
    </row>
    <row r="56" spans="1:27" s="21" customFormat="1" ht="11.4">
      <c r="B56" s="2"/>
      <c r="C56" s="2"/>
      <c r="D56" s="2"/>
      <c r="E56" s="2"/>
      <c r="F56" s="2"/>
      <c r="G56" s="2"/>
      <c r="H56" s="2"/>
      <c r="I56" s="2"/>
      <c r="J56" s="2"/>
      <c r="K56" s="2"/>
      <c r="L56" s="2"/>
      <c r="M56" s="2"/>
      <c r="N56" s="2"/>
      <c r="O56" s="2"/>
      <c r="P56" s="2"/>
      <c r="Q56" s="2"/>
      <c r="R56" s="2"/>
      <c r="S56" s="35"/>
      <c r="T56" s="59"/>
      <c r="U56" s="23"/>
      <c r="V56" s="23"/>
      <c r="W56" s="23"/>
      <c r="X56" s="23"/>
      <c r="Y56" s="23"/>
      <c r="AA56" s="23"/>
    </row>
    <row r="57" spans="1:27" s="21" customFormat="1" ht="13.2">
      <c r="A57" s="60" t="s">
        <v>770</v>
      </c>
      <c r="B57" s="973" t="s">
        <v>771</v>
      </c>
      <c r="C57" s="973"/>
      <c r="D57" s="973"/>
      <c r="E57" s="973"/>
      <c r="F57" s="973"/>
      <c r="G57" s="973"/>
      <c r="H57" s="973"/>
      <c r="I57" s="973"/>
      <c r="J57" s="973"/>
      <c r="K57" s="973"/>
      <c r="L57" s="973"/>
      <c r="M57" s="973"/>
      <c r="N57" s="973"/>
      <c r="O57" s="973"/>
      <c r="P57" s="973"/>
      <c r="Q57" s="973"/>
      <c r="R57" s="973"/>
      <c r="S57" s="973"/>
      <c r="T57" s="973"/>
      <c r="U57" s="973"/>
      <c r="V57" s="973"/>
      <c r="W57" s="973"/>
      <c r="X57" s="973"/>
      <c r="Y57" s="973"/>
      <c r="Z57" s="839"/>
      <c r="AA57" s="23"/>
    </row>
    <row r="58" spans="1:27" s="21" customFormat="1" ht="27" customHeight="1">
      <c r="A58" s="60" t="s">
        <v>772</v>
      </c>
      <c r="B58" s="973" t="s">
        <v>773</v>
      </c>
      <c r="C58" s="973"/>
      <c r="D58" s="973"/>
      <c r="E58" s="973"/>
      <c r="F58" s="973"/>
      <c r="G58" s="973"/>
      <c r="H58" s="973"/>
      <c r="I58" s="973"/>
      <c r="J58" s="973"/>
      <c r="K58" s="973"/>
      <c r="L58" s="973"/>
      <c r="M58" s="973"/>
      <c r="N58" s="973"/>
      <c r="O58" s="973"/>
      <c r="P58" s="973"/>
      <c r="Q58" s="973"/>
      <c r="R58" s="973"/>
      <c r="S58" s="973"/>
      <c r="T58" s="973"/>
      <c r="U58" s="973"/>
      <c r="V58" s="973"/>
      <c r="W58" s="973"/>
      <c r="X58" s="973"/>
      <c r="Y58" s="973"/>
      <c r="Z58" s="839"/>
    </row>
    <row r="59" spans="1:27" s="63" customFormat="1">
      <c r="A59" s="61"/>
      <c r="B59" s="61"/>
      <c r="C59" s="61"/>
      <c r="D59" s="61"/>
      <c r="E59" s="61"/>
      <c r="F59" s="61"/>
      <c r="G59" s="61"/>
      <c r="H59" s="61"/>
      <c r="I59" s="61"/>
      <c r="J59" s="61"/>
      <c r="K59" s="61"/>
      <c r="L59" s="61"/>
      <c r="M59" s="61"/>
      <c r="N59" s="61"/>
      <c r="O59" s="61"/>
      <c r="P59" s="61"/>
      <c r="Q59" s="61"/>
      <c r="R59" s="61"/>
      <c r="S59" s="61"/>
      <c r="T59" s="62"/>
      <c r="U59" s="62"/>
      <c r="V59" s="62"/>
      <c r="W59" s="62"/>
      <c r="X59" s="62"/>
      <c r="Y59" s="62"/>
    </row>
    <row r="60" spans="1:27" s="63" customFormat="1">
      <c r="A60" s="61"/>
      <c r="B60" s="61"/>
      <c r="C60" s="61"/>
      <c r="D60" s="61"/>
      <c r="E60" s="61"/>
      <c r="F60" s="61"/>
      <c r="G60" s="61"/>
      <c r="H60" s="61"/>
      <c r="I60" s="61"/>
      <c r="J60" s="61"/>
      <c r="K60" s="61"/>
      <c r="L60" s="61"/>
      <c r="M60" s="61"/>
      <c r="N60" s="61"/>
      <c r="O60" s="61"/>
      <c r="P60" s="61"/>
      <c r="Q60" s="61"/>
      <c r="R60" s="61"/>
      <c r="S60" s="61"/>
      <c r="T60" s="62"/>
      <c r="U60" s="62"/>
      <c r="V60" s="62"/>
      <c r="W60" s="62"/>
      <c r="X60" s="62"/>
      <c r="Y60" s="62"/>
    </row>
    <row r="61" spans="1:27" s="63" customFormat="1">
      <c r="A61" s="61"/>
      <c r="B61" s="61"/>
      <c r="C61" s="61"/>
      <c r="D61" s="61"/>
      <c r="E61" s="61"/>
      <c r="F61" s="61"/>
      <c r="G61" s="61"/>
      <c r="H61" s="61"/>
      <c r="I61" s="61"/>
      <c r="J61" s="61"/>
      <c r="K61" s="61"/>
      <c r="L61" s="61"/>
      <c r="M61" s="61"/>
      <c r="N61" s="61"/>
      <c r="O61" s="61"/>
      <c r="P61" s="61"/>
      <c r="Q61" s="61"/>
      <c r="R61" s="61"/>
      <c r="S61" s="61"/>
      <c r="T61" s="62"/>
      <c r="U61" s="62"/>
      <c r="V61" s="62"/>
      <c r="W61" s="62"/>
      <c r="X61" s="62"/>
      <c r="Y61" s="62"/>
    </row>
    <row r="62" spans="1:27" s="63" customFormat="1">
      <c r="A62" s="61"/>
      <c r="B62" s="61"/>
      <c r="C62" s="61"/>
      <c r="D62" s="61"/>
      <c r="E62" s="61"/>
      <c r="F62" s="61"/>
      <c r="G62" s="61"/>
      <c r="H62" s="61"/>
      <c r="I62" s="61"/>
      <c r="J62" s="61"/>
      <c r="K62" s="61"/>
      <c r="L62" s="61"/>
      <c r="M62" s="61"/>
      <c r="N62" s="61"/>
      <c r="O62" s="61"/>
      <c r="P62" s="61"/>
      <c r="Q62" s="61"/>
      <c r="R62" s="61"/>
      <c r="S62" s="61"/>
      <c r="T62" s="62"/>
      <c r="U62" s="62"/>
      <c r="V62" s="62"/>
      <c r="W62" s="62"/>
      <c r="X62" s="62"/>
      <c r="Y62" s="62"/>
    </row>
    <row r="63" spans="1:27" s="63" customFormat="1">
      <c r="A63" s="61"/>
      <c r="B63" s="61"/>
      <c r="C63" s="61"/>
      <c r="D63" s="61"/>
      <c r="E63" s="61"/>
      <c r="F63" s="61"/>
      <c r="G63" s="61"/>
      <c r="H63" s="61"/>
      <c r="I63" s="61"/>
      <c r="J63" s="61"/>
      <c r="K63" s="61"/>
      <c r="L63" s="61"/>
      <c r="M63" s="61"/>
      <c r="N63" s="61"/>
      <c r="O63" s="61"/>
      <c r="P63" s="61"/>
      <c r="Q63" s="61"/>
      <c r="R63" s="61"/>
      <c r="S63" s="61"/>
      <c r="T63" s="62"/>
      <c r="U63" s="62"/>
      <c r="V63" s="62"/>
      <c r="W63" s="62"/>
      <c r="X63" s="62"/>
      <c r="Y63" s="62"/>
    </row>
    <row r="64" spans="1:27" s="63" customFormat="1">
      <c r="A64" s="61"/>
      <c r="B64" s="62"/>
      <c r="C64" s="62"/>
      <c r="D64" s="61"/>
      <c r="E64" s="61"/>
      <c r="F64" s="61"/>
      <c r="G64" s="62"/>
      <c r="H64" s="62"/>
      <c r="I64" s="62"/>
      <c r="J64" s="62"/>
      <c r="K64" s="62"/>
      <c r="L64" s="62"/>
      <c r="M64" s="62"/>
      <c r="N64" s="62"/>
      <c r="O64" s="62"/>
      <c r="P64" s="62"/>
      <c r="Q64" s="62"/>
      <c r="R64" s="62"/>
      <c r="S64" s="62"/>
      <c r="T64" s="62"/>
      <c r="U64" s="62"/>
      <c r="V64" s="62"/>
      <c r="W64" s="62"/>
      <c r="X64" s="62"/>
      <c r="Y64" s="62"/>
    </row>
    <row r="65" spans="1:25" s="63" customFormat="1">
      <c r="A65" s="61"/>
      <c r="B65" s="61"/>
      <c r="C65" s="61"/>
      <c r="D65" s="62"/>
      <c r="E65" s="62"/>
      <c r="F65" s="62"/>
      <c r="G65" s="61"/>
      <c r="H65" s="61"/>
      <c r="I65" s="61"/>
      <c r="J65" s="61"/>
      <c r="K65" s="61"/>
      <c r="L65" s="61"/>
      <c r="M65" s="61"/>
      <c r="N65" s="61"/>
      <c r="O65" s="61"/>
      <c r="P65" s="61"/>
      <c r="Q65" s="61"/>
      <c r="R65" s="61"/>
      <c r="S65" s="61"/>
      <c r="T65" s="61"/>
      <c r="U65" s="62"/>
      <c r="V65" s="62"/>
      <c r="W65" s="62"/>
      <c r="X65" s="62"/>
      <c r="Y65" s="62"/>
    </row>
    <row r="66" spans="1:25" s="63" customFormat="1">
      <c r="A66" s="62"/>
      <c r="B66" s="61"/>
      <c r="C66" s="61"/>
      <c r="D66" s="61"/>
      <c r="E66" s="61"/>
      <c r="F66" s="61"/>
      <c r="G66" s="61"/>
      <c r="H66" s="61"/>
      <c r="I66" s="61"/>
      <c r="J66" s="61"/>
      <c r="K66" s="61"/>
      <c r="L66" s="61"/>
      <c r="M66" s="61"/>
      <c r="N66" s="61"/>
      <c r="O66" s="61"/>
      <c r="P66" s="61"/>
      <c r="Q66" s="61"/>
      <c r="R66" s="61"/>
      <c r="S66" s="61"/>
      <c r="T66" s="61"/>
      <c r="U66" s="62"/>
      <c r="V66" s="62"/>
      <c r="W66" s="62"/>
      <c r="X66" s="62"/>
      <c r="Y66" s="62"/>
    </row>
    <row r="67" spans="1:25" s="63" customFormat="1">
      <c r="A67" s="61"/>
      <c r="B67" s="62"/>
      <c r="C67" s="62"/>
      <c r="D67" s="61"/>
      <c r="E67" s="61"/>
      <c r="F67" s="61"/>
      <c r="G67" s="62"/>
      <c r="H67" s="62"/>
      <c r="I67" s="62"/>
      <c r="J67" s="62"/>
      <c r="K67" s="62"/>
      <c r="L67" s="62"/>
      <c r="M67" s="62"/>
      <c r="N67" s="62"/>
      <c r="O67" s="62"/>
      <c r="P67" s="62"/>
      <c r="Q67" s="62"/>
      <c r="R67" s="62"/>
      <c r="S67" s="62"/>
      <c r="T67" s="62"/>
      <c r="U67" s="62"/>
      <c r="V67" s="62"/>
      <c r="W67" s="62"/>
      <c r="X67" s="62"/>
      <c r="Y67" s="62"/>
    </row>
    <row r="68" spans="1:25" s="63" customFormat="1">
      <c r="A68" s="61"/>
      <c r="B68" s="62"/>
      <c r="C68" s="62"/>
      <c r="D68" s="62"/>
      <c r="E68" s="62"/>
      <c r="F68" s="62"/>
      <c r="G68" s="62"/>
      <c r="H68" s="62"/>
      <c r="I68" s="62"/>
      <c r="J68" s="62"/>
      <c r="K68" s="62"/>
      <c r="L68" s="62"/>
      <c r="M68" s="62"/>
      <c r="N68" s="62"/>
      <c r="O68" s="62"/>
      <c r="P68" s="62"/>
      <c r="Q68" s="62"/>
      <c r="R68" s="62"/>
      <c r="S68" s="62"/>
      <c r="T68" s="62"/>
      <c r="U68" s="62"/>
      <c r="V68" s="62"/>
      <c r="W68" s="62"/>
      <c r="X68" s="62"/>
      <c r="Y68" s="62"/>
    </row>
    <row r="69" spans="1:25" s="63" customFormat="1">
      <c r="A69" s="62"/>
      <c r="B69" s="62"/>
      <c r="C69" s="62"/>
      <c r="D69" s="62"/>
      <c r="E69" s="62"/>
      <c r="F69" s="62"/>
      <c r="G69" s="62"/>
      <c r="H69" s="62"/>
      <c r="I69" s="62"/>
      <c r="J69" s="62"/>
      <c r="K69" s="62"/>
      <c r="L69" s="62"/>
      <c r="M69" s="62"/>
      <c r="N69" s="62"/>
      <c r="O69" s="62"/>
      <c r="P69" s="62"/>
      <c r="Q69" s="62"/>
      <c r="R69" s="62"/>
      <c r="S69" s="62"/>
      <c r="T69" s="62"/>
      <c r="U69" s="62"/>
      <c r="V69" s="62"/>
      <c r="W69" s="62"/>
      <c r="X69" s="62"/>
      <c r="Y69" s="62"/>
    </row>
    <row r="70" spans="1:25" s="63" customFormat="1">
      <c r="A70" s="62"/>
      <c r="B70" s="62"/>
      <c r="C70" s="62"/>
      <c r="D70" s="62"/>
      <c r="E70" s="62"/>
      <c r="F70" s="62"/>
      <c r="G70" s="62"/>
      <c r="H70" s="62"/>
      <c r="I70" s="62"/>
      <c r="J70" s="62"/>
      <c r="K70" s="62"/>
      <c r="L70" s="62"/>
      <c r="M70" s="62"/>
      <c r="N70" s="62"/>
      <c r="O70" s="62"/>
      <c r="P70" s="62"/>
      <c r="Q70" s="62"/>
      <c r="R70" s="62"/>
      <c r="S70" s="62"/>
      <c r="T70" s="62"/>
      <c r="U70" s="62"/>
      <c r="V70" s="62"/>
      <c r="W70" s="62"/>
      <c r="X70" s="62"/>
      <c r="Y70" s="62"/>
    </row>
    <row r="71" spans="1:25" s="63" customFormat="1">
      <c r="T71" s="64"/>
    </row>
    <row r="72" spans="1:25" s="63" customFormat="1">
      <c r="T72" s="64"/>
    </row>
    <row r="73" spans="1:25" s="63" customFormat="1">
      <c r="T73" s="64"/>
    </row>
    <row r="74" spans="1:25" s="63" customFormat="1">
      <c r="T74" s="64"/>
    </row>
    <row r="75" spans="1:25" s="63" customFormat="1">
      <c r="T75" s="64"/>
    </row>
    <row r="76" spans="1:25" s="63" customFormat="1">
      <c r="T76" s="64"/>
    </row>
    <row r="77" spans="1:25" s="63" customFormat="1">
      <c r="T77" s="64"/>
    </row>
    <row r="78" spans="1:25" s="63" customFormat="1">
      <c r="T78" s="64"/>
    </row>
    <row r="79" spans="1:25" s="63" customFormat="1">
      <c r="T79" s="64"/>
    </row>
    <row r="80" spans="1:25" s="63" customFormat="1">
      <c r="T80" s="64"/>
    </row>
    <row r="81" spans="20:20" s="63" customFormat="1">
      <c r="T81" s="64"/>
    </row>
    <row r="82" spans="20:20" s="63" customFormat="1">
      <c r="T82" s="64"/>
    </row>
    <row r="83" spans="20:20" s="63" customFormat="1">
      <c r="T83" s="64"/>
    </row>
    <row r="84" spans="20:20" s="63" customFormat="1">
      <c r="T84" s="64"/>
    </row>
    <row r="85" spans="20:20" s="63" customFormat="1">
      <c r="T85" s="64"/>
    </row>
    <row r="86" spans="20:20" s="63" customFormat="1">
      <c r="T86" s="64"/>
    </row>
    <row r="87" spans="20:20" s="63" customFormat="1">
      <c r="T87" s="64"/>
    </row>
    <row r="88" spans="20:20" s="63" customFormat="1">
      <c r="T88" s="64"/>
    </row>
    <row r="89" spans="20:20" s="63" customFormat="1">
      <c r="T89" s="64"/>
    </row>
    <row r="90" spans="20:20" s="63" customFormat="1">
      <c r="T90" s="64"/>
    </row>
    <row r="91" spans="20:20" s="63" customFormat="1">
      <c r="T91" s="64"/>
    </row>
    <row r="92" spans="20:20" s="63" customFormat="1">
      <c r="T92" s="64"/>
    </row>
    <row r="93" spans="20:20" s="63" customFormat="1">
      <c r="T93" s="64"/>
    </row>
    <row r="94" spans="20:20" s="63" customFormat="1">
      <c r="T94" s="64"/>
    </row>
    <row r="95" spans="20:20" s="63" customFormat="1">
      <c r="T95" s="64"/>
    </row>
    <row r="96" spans="20:20" s="63" customFormat="1">
      <c r="T96" s="64"/>
    </row>
    <row r="97" spans="20:20" s="63" customFormat="1">
      <c r="T97" s="64"/>
    </row>
    <row r="98" spans="20:20" s="63" customFormat="1">
      <c r="T98" s="64"/>
    </row>
    <row r="99" spans="20:20" s="63" customFormat="1">
      <c r="T99" s="64"/>
    </row>
    <row r="100" spans="20:20" s="63" customFormat="1">
      <c r="T100" s="64"/>
    </row>
    <row r="101" spans="20:20" s="63" customFormat="1">
      <c r="T101" s="64"/>
    </row>
    <row r="102" spans="20:20" s="63" customFormat="1">
      <c r="T102" s="64"/>
    </row>
    <row r="103" spans="20:20" s="63" customFormat="1">
      <c r="T103" s="64"/>
    </row>
    <row r="104" spans="20:20" s="63" customFormat="1">
      <c r="T104" s="64"/>
    </row>
    <row r="105" spans="20:20" s="63" customFormat="1">
      <c r="T105" s="64"/>
    </row>
    <row r="106" spans="20:20" s="63" customFormat="1">
      <c r="T106" s="64"/>
    </row>
    <row r="107" spans="20:20" s="63" customFormat="1">
      <c r="T107" s="64"/>
    </row>
    <row r="108" spans="20:20" s="63" customFormat="1">
      <c r="T108" s="64"/>
    </row>
    <row r="109" spans="20:20" s="63" customFormat="1">
      <c r="T109" s="64"/>
    </row>
    <row r="110" spans="20:20" s="63" customFormat="1">
      <c r="T110" s="64"/>
    </row>
    <row r="111" spans="20:20" s="63" customFormat="1">
      <c r="T111" s="64"/>
    </row>
    <row r="112" spans="20:20" s="63" customFormat="1">
      <c r="T112" s="64"/>
    </row>
    <row r="113" spans="20:20" s="63" customFormat="1">
      <c r="T113" s="64"/>
    </row>
    <row r="114" spans="20:20" s="63" customFormat="1">
      <c r="T114" s="64"/>
    </row>
    <row r="115" spans="20:20" s="63" customFormat="1">
      <c r="T115" s="64"/>
    </row>
    <row r="116" spans="20:20" s="63" customFormat="1">
      <c r="T116" s="64"/>
    </row>
    <row r="117" spans="20:20" s="63" customFormat="1">
      <c r="T117" s="64"/>
    </row>
    <row r="118" spans="20:20" s="63" customFormat="1">
      <c r="T118" s="64"/>
    </row>
    <row r="119" spans="20:20" s="63" customFormat="1">
      <c r="T119" s="64"/>
    </row>
    <row r="120" spans="20:20" s="63" customFormat="1">
      <c r="T120" s="64"/>
    </row>
    <row r="121" spans="20:20" s="63" customFormat="1">
      <c r="T121" s="64"/>
    </row>
    <row r="122" spans="20:20" s="63" customFormat="1">
      <c r="T122" s="64"/>
    </row>
    <row r="123" spans="20:20" s="63" customFormat="1">
      <c r="T123" s="64"/>
    </row>
    <row r="124" spans="20:20" s="63" customFormat="1">
      <c r="T124" s="64"/>
    </row>
    <row r="125" spans="20:20" s="63" customFormat="1">
      <c r="T125" s="64"/>
    </row>
    <row r="126" spans="20:20" s="63" customFormat="1">
      <c r="T126" s="64"/>
    </row>
    <row r="127" spans="20:20" s="63" customFormat="1">
      <c r="T127" s="64"/>
    </row>
    <row r="128" spans="20:20" s="63" customFormat="1">
      <c r="T128" s="64"/>
    </row>
    <row r="129" spans="20:20" s="63" customFormat="1">
      <c r="T129" s="64"/>
    </row>
    <row r="130" spans="20:20" s="63" customFormat="1">
      <c r="T130" s="64"/>
    </row>
    <row r="131" spans="20:20" s="63" customFormat="1">
      <c r="T131" s="64"/>
    </row>
    <row r="132" spans="20:20" s="63" customFormat="1">
      <c r="T132" s="64"/>
    </row>
    <row r="133" spans="20:20" s="63" customFormat="1">
      <c r="T133" s="64"/>
    </row>
    <row r="134" spans="20:20" s="63" customFormat="1">
      <c r="T134" s="64"/>
    </row>
    <row r="135" spans="20:20" s="63" customFormat="1">
      <c r="T135" s="64"/>
    </row>
    <row r="136" spans="20:20" s="63" customFormat="1">
      <c r="T136" s="64"/>
    </row>
    <row r="137" spans="20:20" s="63" customFormat="1">
      <c r="T137" s="64"/>
    </row>
    <row r="138" spans="20:20" s="63" customFormat="1">
      <c r="T138" s="64"/>
    </row>
    <row r="139" spans="20:20" s="63" customFormat="1">
      <c r="T139" s="64"/>
    </row>
    <row r="140" spans="20:20" s="63" customFormat="1">
      <c r="T140" s="64"/>
    </row>
    <row r="141" spans="20:20" s="63" customFormat="1">
      <c r="T141" s="64"/>
    </row>
    <row r="142" spans="20:20" s="63" customFormat="1">
      <c r="T142" s="64"/>
    </row>
    <row r="143" spans="20:20" s="63" customFormat="1">
      <c r="T143" s="64"/>
    </row>
    <row r="144" spans="20:20" s="63" customFormat="1">
      <c r="T144" s="64"/>
    </row>
    <row r="145" spans="20:20" s="63" customFormat="1">
      <c r="T145" s="64"/>
    </row>
    <row r="146" spans="20:20" s="63" customFormat="1">
      <c r="T146" s="64"/>
    </row>
    <row r="147" spans="20:20" s="63" customFormat="1">
      <c r="T147" s="64"/>
    </row>
    <row r="148" spans="20:20" s="63" customFormat="1">
      <c r="T148" s="64"/>
    </row>
    <row r="149" spans="20:20" s="63" customFormat="1">
      <c r="T149" s="64"/>
    </row>
    <row r="150" spans="20:20" s="63" customFormat="1">
      <c r="T150" s="64"/>
    </row>
    <row r="151" spans="20:20" s="63" customFormat="1">
      <c r="T151" s="64"/>
    </row>
    <row r="152" spans="20:20" s="63" customFormat="1">
      <c r="T152" s="64"/>
    </row>
    <row r="153" spans="20:20" s="63" customFormat="1">
      <c r="T153" s="64"/>
    </row>
    <row r="154" spans="20:20" s="63" customFormat="1">
      <c r="T154" s="64"/>
    </row>
    <row r="155" spans="20:20" s="63" customFormat="1">
      <c r="T155" s="64"/>
    </row>
    <row r="156" spans="20:20" s="63" customFormat="1">
      <c r="T156" s="64"/>
    </row>
    <row r="157" spans="20:20" s="63" customFormat="1">
      <c r="T157" s="64"/>
    </row>
    <row r="158" spans="20:20" s="63" customFormat="1">
      <c r="T158" s="64"/>
    </row>
    <row r="159" spans="20:20" s="63" customFormat="1">
      <c r="T159" s="64"/>
    </row>
    <row r="160" spans="20:20" s="63" customFormat="1">
      <c r="T160" s="64"/>
    </row>
    <row r="161" spans="20:20" s="63" customFormat="1">
      <c r="T161" s="64"/>
    </row>
    <row r="162" spans="20:20" s="63" customFormat="1">
      <c r="T162" s="64"/>
    </row>
    <row r="163" spans="20:20" s="63" customFormat="1">
      <c r="T163" s="64"/>
    </row>
    <row r="164" spans="20:20" s="63" customFormat="1">
      <c r="T164" s="64"/>
    </row>
    <row r="165" spans="20:20" s="63" customFormat="1">
      <c r="T165" s="64"/>
    </row>
    <row r="166" spans="20:20" s="63" customFormat="1">
      <c r="T166" s="64"/>
    </row>
    <row r="167" spans="20:20" s="63" customFormat="1">
      <c r="T167" s="64"/>
    </row>
    <row r="168" spans="20:20" s="63" customFormat="1">
      <c r="T168" s="64"/>
    </row>
    <row r="169" spans="20:20" s="63" customFormat="1">
      <c r="T169" s="64"/>
    </row>
    <row r="170" spans="20:20" s="63" customFormat="1">
      <c r="T170" s="64"/>
    </row>
    <row r="171" spans="20:20" s="63" customFormat="1">
      <c r="T171" s="64"/>
    </row>
    <row r="172" spans="20:20" s="63" customFormat="1">
      <c r="T172" s="64"/>
    </row>
    <row r="173" spans="20:20" s="63" customFormat="1">
      <c r="T173" s="64"/>
    </row>
    <row r="174" spans="20:20" s="63" customFormat="1">
      <c r="T174" s="64"/>
    </row>
    <row r="175" spans="20:20" s="63" customFormat="1">
      <c r="T175" s="64"/>
    </row>
    <row r="176" spans="20:20" s="63" customFormat="1">
      <c r="T176" s="64"/>
    </row>
    <row r="177" spans="20:20" s="63" customFormat="1">
      <c r="T177" s="64"/>
    </row>
    <row r="178" spans="20:20" s="63" customFormat="1">
      <c r="T178" s="64"/>
    </row>
    <row r="179" spans="20:20" s="63" customFormat="1">
      <c r="T179" s="64"/>
    </row>
    <row r="180" spans="20:20" s="63" customFormat="1">
      <c r="T180" s="64"/>
    </row>
    <row r="181" spans="20:20" s="63" customFormat="1">
      <c r="T181" s="64"/>
    </row>
    <row r="182" spans="20:20" s="63" customFormat="1">
      <c r="T182" s="64"/>
    </row>
    <row r="183" spans="20:20" s="63" customFormat="1">
      <c r="T183" s="64"/>
    </row>
    <row r="184" spans="20:20" s="63" customFormat="1">
      <c r="T184" s="64"/>
    </row>
    <row r="185" spans="20:20" s="63" customFormat="1">
      <c r="T185" s="64"/>
    </row>
    <row r="186" spans="20:20" s="63" customFormat="1">
      <c r="T186" s="64"/>
    </row>
    <row r="187" spans="20:20" s="63" customFormat="1">
      <c r="T187" s="64"/>
    </row>
    <row r="188" spans="20:20" s="63" customFormat="1">
      <c r="T188" s="64"/>
    </row>
    <row r="189" spans="20:20" s="63" customFormat="1">
      <c r="T189" s="64"/>
    </row>
    <row r="190" spans="20:20" s="63" customFormat="1">
      <c r="T190" s="64"/>
    </row>
    <row r="191" spans="20:20" s="63" customFormat="1">
      <c r="T191" s="64"/>
    </row>
    <row r="192" spans="20:20" s="63" customFormat="1">
      <c r="T192" s="64"/>
    </row>
    <row r="193" spans="20:20" s="63" customFormat="1">
      <c r="T193" s="64"/>
    </row>
    <row r="194" spans="20:20" s="63" customFormat="1">
      <c r="T194" s="64"/>
    </row>
    <row r="195" spans="20:20" s="63" customFormat="1">
      <c r="T195" s="64"/>
    </row>
    <row r="196" spans="20:20" s="63" customFormat="1">
      <c r="T196" s="64"/>
    </row>
    <row r="197" spans="20:20" s="63" customFormat="1">
      <c r="T197" s="64"/>
    </row>
    <row r="198" spans="20:20" s="63" customFormat="1">
      <c r="T198" s="64"/>
    </row>
    <row r="199" spans="20:20" s="63" customFormat="1">
      <c r="T199" s="64"/>
    </row>
    <row r="200" spans="20:20" s="63" customFormat="1">
      <c r="T200" s="64"/>
    </row>
    <row r="201" spans="20:20" s="63" customFormat="1">
      <c r="T201" s="64"/>
    </row>
    <row r="202" spans="20:20" s="63" customFormat="1">
      <c r="T202" s="64"/>
    </row>
    <row r="203" spans="20:20" s="63" customFormat="1">
      <c r="T203" s="64"/>
    </row>
    <row r="204" spans="20:20" s="63" customFormat="1">
      <c r="T204" s="64"/>
    </row>
    <row r="205" spans="20:20" s="63" customFormat="1">
      <c r="T205" s="64"/>
    </row>
    <row r="206" spans="20:20" s="63" customFormat="1">
      <c r="T206" s="64"/>
    </row>
    <row r="207" spans="20:20" s="63" customFormat="1">
      <c r="T207" s="64"/>
    </row>
    <row r="208" spans="20:20" s="63" customFormat="1">
      <c r="T208" s="64"/>
    </row>
    <row r="209" spans="20:20" s="63" customFormat="1">
      <c r="T209" s="64"/>
    </row>
    <row r="210" spans="20:20" s="63" customFormat="1">
      <c r="T210" s="64"/>
    </row>
    <row r="211" spans="20:20" s="63" customFormat="1">
      <c r="T211" s="64"/>
    </row>
    <row r="212" spans="20:20" s="63" customFormat="1">
      <c r="T212" s="64"/>
    </row>
    <row r="213" spans="20:20" s="63" customFormat="1">
      <c r="T213" s="64"/>
    </row>
    <row r="214" spans="20:20" s="63" customFormat="1">
      <c r="T214" s="64"/>
    </row>
    <row r="215" spans="20:20" s="63" customFormat="1">
      <c r="T215" s="64"/>
    </row>
    <row r="216" spans="20:20" s="63" customFormat="1">
      <c r="T216" s="64"/>
    </row>
    <row r="217" spans="20:20" s="63" customFormat="1">
      <c r="T217" s="64"/>
    </row>
    <row r="218" spans="20:20" s="63" customFormat="1">
      <c r="T218" s="64"/>
    </row>
    <row r="219" spans="20:20" s="63" customFormat="1">
      <c r="T219" s="64"/>
    </row>
    <row r="220" spans="20:20" s="63" customFormat="1">
      <c r="T220" s="64"/>
    </row>
    <row r="221" spans="20:20" s="63" customFormat="1">
      <c r="T221" s="64"/>
    </row>
    <row r="222" spans="20:20" s="63" customFormat="1">
      <c r="T222" s="64"/>
    </row>
    <row r="223" spans="20:20" s="63" customFormat="1">
      <c r="T223" s="64"/>
    </row>
    <row r="224" spans="20:20" s="63" customFormat="1">
      <c r="T224" s="64"/>
    </row>
    <row r="225" spans="20:20" s="63" customFormat="1">
      <c r="T225" s="64"/>
    </row>
    <row r="226" spans="20:20" s="63" customFormat="1">
      <c r="T226" s="64"/>
    </row>
    <row r="227" spans="20:20" s="63" customFormat="1">
      <c r="T227" s="64"/>
    </row>
    <row r="228" spans="20:20" s="63" customFormat="1">
      <c r="T228" s="64"/>
    </row>
    <row r="229" spans="20:20" s="63" customFormat="1">
      <c r="T229" s="64"/>
    </row>
    <row r="230" spans="20:20" s="63" customFormat="1">
      <c r="T230" s="64"/>
    </row>
    <row r="231" spans="20:20" s="63" customFormat="1">
      <c r="T231" s="64"/>
    </row>
    <row r="232" spans="20:20" s="63" customFormat="1">
      <c r="T232" s="64"/>
    </row>
    <row r="233" spans="20:20" s="63" customFormat="1">
      <c r="T233" s="64"/>
    </row>
    <row r="234" spans="20:20" s="63" customFormat="1">
      <c r="T234" s="64"/>
    </row>
    <row r="235" spans="20:20" s="63" customFormat="1">
      <c r="T235" s="64"/>
    </row>
    <row r="236" spans="20:20" s="63" customFormat="1">
      <c r="T236" s="64"/>
    </row>
    <row r="237" spans="20:20" s="63" customFormat="1">
      <c r="T237" s="64"/>
    </row>
    <row r="238" spans="20:20" s="63" customFormat="1">
      <c r="T238" s="64"/>
    </row>
    <row r="239" spans="20:20" s="63" customFormat="1">
      <c r="T239" s="64"/>
    </row>
    <row r="240" spans="20:20" s="63" customFormat="1">
      <c r="T240" s="64"/>
    </row>
    <row r="241" spans="20:20" s="63" customFormat="1">
      <c r="T241" s="64"/>
    </row>
    <row r="242" spans="20:20" s="63" customFormat="1">
      <c r="T242" s="64"/>
    </row>
    <row r="243" spans="20:20" s="63" customFormat="1">
      <c r="T243" s="64"/>
    </row>
    <row r="244" spans="20:20" s="63" customFormat="1">
      <c r="T244" s="64"/>
    </row>
    <row r="245" spans="20:20" s="63" customFormat="1">
      <c r="T245" s="64"/>
    </row>
    <row r="246" spans="20:20" s="63" customFormat="1">
      <c r="T246" s="64"/>
    </row>
    <row r="247" spans="20:20" s="63" customFormat="1">
      <c r="T247" s="64"/>
    </row>
    <row r="248" spans="20:20" s="63" customFormat="1">
      <c r="T248" s="64"/>
    </row>
    <row r="249" spans="20:20" s="63" customFormat="1">
      <c r="T249" s="64"/>
    </row>
    <row r="250" spans="20:20" s="63" customFormat="1">
      <c r="T250" s="64"/>
    </row>
    <row r="251" spans="20:20" s="63" customFormat="1">
      <c r="T251" s="64"/>
    </row>
    <row r="252" spans="20:20" s="63" customFormat="1">
      <c r="T252" s="64"/>
    </row>
    <row r="253" spans="20:20" s="63" customFormat="1">
      <c r="T253" s="64"/>
    </row>
    <row r="254" spans="20:20" s="63" customFormat="1">
      <c r="T254" s="64"/>
    </row>
    <row r="255" spans="20:20" s="63" customFormat="1">
      <c r="T255" s="64"/>
    </row>
    <row r="256" spans="20:20" s="63" customFormat="1">
      <c r="T256" s="64"/>
    </row>
    <row r="257" spans="20:20" s="63" customFormat="1">
      <c r="T257" s="64"/>
    </row>
    <row r="258" spans="20:20" s="63" customFormat="1">
      <c r="T258" s="64"/>
    </row>
    <row r="259" spans="20:20" s="63" customFormat="1">
      <c r="T259" s="64"/>
    </row>
    <row r="260" spans="20:20" s="63" customFormat="1">
      <c r="T260" s="64"/>
    </row>
    <row r="261" spans="20:20" s="63" customFormat="1">
      <c r="T261" s="64"/>
    </row>
    <row r="262" spans="20:20" s="63" customFormat="1">
      <c r="T262" s="64"/>
    </row>
    <row r="263" spans="20:20" s="63" customFormat="1">
      <c r="T263" s="64"/>
    </row>
    <row r="264" spans="20:20" s="63" customFormat="1">
      <c r="T264" s="64"/>
    </row>
    <row r="265" spans="20:20" s="63" customFormat="1">
      <c r="T265" s="64"/>
    </row>
    <row r="266" spans="20:20" s="63" customFormat="1">
      <c r="T266" s="64"/>
    </row>
    <row r="267" spans="20:20" s="63" customFormat="1">
      <c r="T267" s="64"/>
    </row>
    <row r="268" spans="20:20" s="63" customFormat="1">
      <c r="T268" s="64"/>
    </row>
    <row r="269" spans="20:20" s="63" customFormat="1">
      <c r="T269" s="64"/>
    </row>
    <row r="270" spans="20:20" s="63" customFormat="1">
      <c r="T270" s="64"/>
    </row>
    <row r="271" spans="20:20" s="63" customFormat="1">
      <c r="T271" s="64"/>
    </row>
    <row r="272" spans="20:20" s="63" customFormat="1">
      <c r="T272" s="64"/>
    </row>
    <row r="273" spans="20:20" s="63" customFormat="1">
      <c r="T273" s="64"/>
    </row>
    <row r="274" spans="20:20" s="63" customFormat="1">
      <c r="T274" s="64"/>
    </row>
    <row r="275" spans="20:20" s="63" customFormat="1">
      <c r="T275" s="64"/>
    </row>
    <row r="276" spans="20:20" s="63" customFormat="1">
      <c r="T276" s="64"/>
    </row>
    <row r="277" spans="20:20" s="63" customFormat="1">
      <c r="T277" s="64"/>
    </row>
    <row r="278" spans="20:20" s="63" customFormat="1">
      <c r="T278" s="64"/>
    </row>
    <row r="279" spans="20:20" s="63" customFormat="1">
      <c r="T279" s="64"/>
    </row>
    <row r="280" spans="20:20" s="63" customFormat="1">
      <c r="T280" s="64"/>
    </row>
    <row r="281" spans="20:20" s="63" customFormat="1">
      <c r="T281" s="64"/>
    </row>
    <row r="282" spans="20:20" s="63" customFormat="1">
      <c r="T282" s="64"/>
    </row>
    <row r="283" spans="20:20" s="63" customFormat="1">
      <c r="T283" s="64"/>
    </row>
    <row r="284" spans="20:20" s="63" customFormat="1">
      <c r="T284" s="64"/>
    </row>
    <row r="285" spans="20:20" s="63" customFormat="1">
      <c r="T285" s="64"/>
    </row>
    <row r="286" spans="20:20" s="63" customFormat="1">
      <c r="T286" s="64"/>
    </row>
    <row r="287" spans="20:20" s="63" customFormat="1">
      <c r="T287" s="64"/>
    </row>
    <row r="288" spans="20:20" s="63" customFormat="1">
      <c r="T288" s="64"/>
    </row>
    <row r="289" spans="20:20" s="63" customFormat="1">
      <c r="T289" s="64"/>
    </row>
    <row r="290" spans="20:20" s="63" customFormat="1">
      <c r="T290" s="64"/>
    </row>
    <row r="291" spans="20:20" s="63" customFormat="1">
      <c r="T291" s="64"/>
    </row>
    <row r="292" spans="20:20" s="63" customFormat="1">
      <c r="T292" s="64"/>
    </row>
    <row r="293" spans="20:20" s="63" customFormat="1">
      <c r="T293" s="64"/>
    </row>
    <row r="294" spans="20:20" s="63" customFormat="1">
      <c r="T294" s="64"/>
    </row>
    <row r="295" spans="20:20" s="63" customFormat="1">
      <c r="T295" s="64"/>
    </row>
    <row r="296" spans="20:20" s="63" customFormat="1">
      <c r="T296" s="64"/>
    </row>
    <row r="297" spans="20:20" s="63" customFormat="1">
      <c r="T297" s="64"/>
    </row>
    <row r="298" spans="20:20" s="63" customFormat="1">
      <c r="T298" s="64"/>
    </row>
    <row r="299" spans="20:20" s="63" customFormat="1">
      <c r="T299" s="64"/>
    </row>
    <row r="300" spans="20:20" s="63" customFormat="1">
      <c r="T300" s="64"/>
    </row>
    <row r="301" spans="20:20" s="63" customFormat="1">
      <c r="T301" s="64"/>
    </row>
    <row r="302" spans="20:20" s="63" customFormat="1">
      <c r="T302" s="64"/>
    </row>
    <row r="303" spans="20:20" s="63" customFormat="1">
      <c r="T303" s="64"/>
    </row>
    <row r="304" spans="20:20" s="63" customFormat="1">
      <c r="T304" s="64"/>
    </row>
    <row r="305" spans="20:20" s="63" customFormat="1">
      <c r="T305" s="64"/>
    </row>
    <row r="306" spans="20:20" s="63" customFormat="1">
      <c r="T306" s="64"/>
    </row>
    <row r="307" spans="20:20" s="63" customFormat="1">
      <c r="T307" s="64"/>
    </row>
    <row r="308" spans="20:20" s="63" customFormat="1">
      <c r="T308" s="64"/>
    </row>
    <row r="309" spans="20:20" s="63" customFormat="1">
      <c r="T309" s="64"/>
    </row>
    <row r="310" spans="20:20" s="63" customFormat="1">
      <c r="T310" s="64"/>
    </row>
    <row r="311" spans="20:20" s="63" customFormat="1">
      <c r="T311" s="64"/>
    </row>
    <row r="312" spans="20:20" s="63" customFormat="1">
      <c r="T312" s="64"/>
    </row>
    <row r="313" spans="20:20" s="63" customFormat="1">
      <c r="T313" s="64"/>
    </row>
    <row r="314" spans="20:20" s="63" customFormat="1">
      <c r="T314" s="64"/>
    </row>
    <row r="315" spans="20:20" s="63" customFormat="1">
      <c r="T315" s="64"/>
    </row>
    <row r="316" spans="20:20" s="63" customFormat="1">
      <c r="T316" s="64"/>
    </row>
    <row r="317" spans="20:20" s="63" customFormat="1">
      <c r="T317" s="64"/>
    </row>
    <row r="318" spans="20:20" s="63" customFormat="1">
      <c r="T318" s="64"/>
    </row>
    <row r="319" spans="20:20" s="63" customFormat="1">
      <c r="T319" s="64"/>
    </row>
    <row r="320" spans="20:20" s="63" customFormat="1">
      <c r="T320" s="64"/>
    </row>
    <row r="321" spans="20:20" s="63" customFormat="1">
      <c r="T321" s="64"/>
    </row>
    <row r="322" spans="20:20" s="63" customFormat="1">
      <c r="T322" s="64"/>
    </row>
    <row r="323" spans="20:20" s="63" customFormat="1">
      <c r="T323" s="64"/>
    </row>
    <row r="324" spans="20:20" s="63" customFormat="1">
      <c r="T324" s="64"/>
    </row>
    <row r="325" spans="20:20" s="63" customFormat="1">
      <c r="T325" s="64"/>
    </row>
    <row r="326" spans="20:20" s="63" customFormat="1">
      <c r="T326" s="64"/>
    </row>
    <row r="327" spans="20:20" s="63" customFormat="1">
      <c r="T327" s="64"/>
    </row>
    <row r="328" spans="20:20" s="63" customFormat="1">
      <c r="T328" s="64"/>
    </row>
    <row r="329" spans="20:20" s="63" customFormat="1">
      <c r="T329" s="64"/>
    </row>
    <row r="330" spans="20:20" s="63" customFormat="1">
      <c r="T330" s="64"/>
    </row>
    <row r="331" spans="20:20" s="63" customFormat="1">
      <c r="T331" s="64"/>
    </row>
    <row r="332" spans="20:20" s="63" customFormat="1">
      <c r="T332" s="64"/>
    </row>
    <row r="333" spans="20:20" s="63" customFormat="1">
      <c r="T333" s="64"/>
    </row>
    <row r="334" spans="20:20" s="63" customFormat="1">
      <c r="T334" s="64"/>
    </row>
    <row r="335" spans="20:20" s="63" customFormat="1">
      <c r="T335" s="64"/>
    </row>
    <row r="336" spans="20:20" s="63" customFormat="1">
      <c r="T336" s="64"/>
    </row>
    <row r="337" spans="20:20" s="63" customFormat="1">
      <c r="T337" s="64"/>
    </row>
    <row r="338" spans="20:20" s="63" customFormat="1">
      <c r="T338" s="64"/>
    </row>
    <row r="339" spans="20:20" s="63" customFormat="1">
      <c r="T339" s="64"/>
    </row>
    <row r="340" spans="20:20" s="63" customFormat="1">
      <c r="T340" s="64"/>
    </row>
    <row r="341" spans="20:20" s="63" customFormat="1">
      <c r="T341" s="64"/>
    </row>
    <row r="342" spans="20:20" s="63" customFormat="1">
      <c r="T342" s="64"/>
    </row>
    <row r="343" spans="20:20" s="63" customFormat="1">
      <c r="T343" s="64"/>
    </row>
    <row r="344" spans="20:20" s="63" customFormat="1">
      <c r="T344" s="64"/>
    </row>
    <row r="345" spans="20:20" s="63" customFormat="1">
      <c r="T345" s="64"/>
    </row>
    <row r="346" spans="20:20" s="63" customFormat="1">
      <c r="T346" s="64"/>
    </row>
    <row r="347" spans="20:20" s="63" customFormat="1">
      <c r="T347" s="64"/>
    </row>
    <row r="348" spans="20:20" s="63" customFormat="1">
      <c r="T348" s="64"/>
    </row>
    <row r="349" spans="20:20" s="63" customFormat="1">
      <c r="T349" s="64"/>
    </row>
    <row r="350" spans="20:20" s="63" customFormat="1">
      <c r="T350" s="64"/>
    </row>
    <row r="351" spans="20:20" s="63" customFormat="1">
      <c r="T351" s="64"/>
    </row>
    <row r="352" spans="20:20" s="63" customFormat="1">
      <c r="T352" s="64"/>
    </row>
    <row r="353" spans="1:20" s="63" customFormat="1">
      <c r="T353" s="64"/>
    </row>
    <row r="354" spans="1:20" s="63" customFormat="1">
      <c r="T354" s="64"/>
    </row>
    <row r="355" spans="1:20" s="63" customFormat="1">
      <c r="T355" s="64"/>
    </row>
    <row r="356" spans="1:20" s="63" customFormat="1">
      <c r="B356" s="2"/>
      <c r="C356" s="2"/>
      <c r="G356" s="2"/>
      <c r="H356" s="2"/>
      <c r="I356" s="2"/>
      <c r="J356" s="2"/>
      <c r="K356" s="2"/>
      <c r="L356" s="2"/>
      <c r="M356" s="2"/>
      <c r="N356" s="2"/>
      <c r="O356" s="2"/>
      <c r="P356" s="2"/>
      <c r="Q356" s="2"/>
      <c r="R356" s="2"/>
      <c r="S356" s="2"/>
      <c r="T356" s="65"/>
    </row>
    <row r="357" spans="1:20" s="63" customFormat="1">
      <c r="B357" s="2"/>
      <c r="C357" s="2"/>
      <c r="D357" s="2"/>
      <c r="E357" s="2"/>
      <c r="F357" s="2"/>
      <c r="G357" s="2"/>
      <c r="H357" s="2"/>
      <c r="I357" s="2"/>
      <c r="J357" s="2"/>
      <c r="K357" s="2"/>
      <c r="L357" s="2"/>
      <c r="M357" s="2"/>
      <c r="N357" s="2"/>
      <c r="O357" s="2"/>
      <c r="P357" s="2"/>
      <c r="Q357" s="2"/>
      <c r="R357" s="2"/>
      <c r="S357" s="2"/>
      <c r="T357" s="65"/>
    </row>
    <row r="358" spans="1:20" s="63" customFormat="1">
      <c r="A358" s="2"/>
      <c r="B358" s="2"/>
      <c r="C358" s="2"/>
      <c r="D358" s="2"/>
      <c r="E358" s="2"/>
      <c r="F358" s="2"/>
      <c r="G358" s="2"/>
      <c r="H358" s="2"/>
      <c r="I358" s="2"/>
      <c r="J358" s="2"/>
      <c r="K358" s="2"/>
      <c r="L358" s="2"/>
      <c r="M358" s="2"/>
      <c r="N358" s="2"/>
      <c r="O358" s="2"/>
      <c r="P358" s="2"/>
      <c r="Q358" s="2"/>
      <c r="R358" s="2"/>
      <c r="S358" s="2"/>
      <c r="T358" s="65"/>
    </row>
    <row r="359" spans="1:20" s="63" customFormat="1">
      <c r="A359" s="2"/>
      <c r="B359" s="2"/>
      <c r="C359" s="2"/>
      <c r="D359" s="2"/>
      <c r="E359" s="2"/>
      <c r="F359" s="2"/>
      <c r="G359" s="2"/>
      <c r="H359" s="2"/>
      <c r="I359" s="2"/>
      <c r="J359" s="2"/>
      <c r="K359" s="2"/>
      <c r="L359" s="2"/>
      <c r="M359" s="2"/>
      <c r="N359" s="2"/>
      <c r="O359" s="2"/>
      <c r="P359" s="2"/>
      <c r="Q359" s="2"/>
      <c r="R359" s="2"/>
      <c r="S359" s="2"/>
      <c r="T359" s="65"/>
    </row>
    <row r="360" spans="1:20" s="63" customFormat="1">
      <c r="A360" s="2"/>
      <c r="B360" s="2"/>
      <c r="C360" s="2"/>
      <c r="D360" s="2"/>
      <c r="E360" s="2"/>
      <c r="F360" s="2"/>
      <c r="G360" s="2"/>
      <c r="H360" s="2"/>
      <c r="I360" s="2"/>
      <c r="J360" s="2"/>
      <c r="K360" s="2"/>
      <c r="L360" s="2"/>
      <c r="M360" s="2"/>
      <c r="N360" s="2"/>
      <c r="O360" s="2"/>
      <c r="P360" s="2"/>
      <c r="Q360" s="2"/>
      <c r="R360" s="2"/>
      <c r="S360" s="2"/>
      <c r="T360" s="65"/>
    </row>
    <row r="361" spans="1:20" s="63" customFormat="1">
      <c r="A361" s="2"/>
      <c r="B361" s="2"/>
      <c r="C361" s="2"/>
      <c r="D361" s="2"/>
      <c r="E361" s="2"/>
      <c r="F361" s="2"/>
      <c r="G361" s="2"/>
      <c r="H361" s="2"/>
      <c r="I361" s="2"/>
      <c r="J361" s="2"/>
      <c r="K361" s="2"/>
      <c r="L361" s="2"/>
      <c r="M361" s="2"/>
      <c r="N361" s="2"/>
      <c r="O361" s="2"/>
      <c r="P361" s="2"/>
      <c r="Q361" s="2"/>
      <c r="R361" s="2"/>
      <c r="S361" s="2"/>
      <c r="T361" s="65"/>
    </row>
  </sheetData>
  <mergeCells count="7">
    <mergeCell ref="B57:Y57"/>
    <mergeCell ref="B58:Y58"/>
    <mergeCell ref="A1:Y1"/>
    <mergeCell ref="A2:Y2"/>
    <mergeCell ref="A3:Y3"/>
    <mergeCell ref="D5:T5"/>
    <mergeCell ref="W5:Y5"/>
  </mergeCells>
  <phoneticPr fontId="24" type="noConversion"/>
  <printOptions horizontalCentered="1"/>
  <pageMargins left="0.25" right="0.25" top="0.5" bottom="0.5" header="0.3" footer="0.25"/>
  <pageSetup scale="74" orientation="landscape" r:id="rId1"/>
  <headerFooter alignWithMargins="0">
    <oddFooter>&amp;R&amp;"Calibri,Regular"&amp;A</oddFooter>
  </headerFooter>
  <ignoredErrors>
    <ignoredError sqref="A57:A58" numberStoredAsText="1"/>
  </ignoredErrors>
</worksheet>
</file>

<file path=xl/worksheets/sheet4.xml><?xml version="1.0" encoding="utf-8"?>
<worksheet xmlns="http://schemas.openxmlformats.org/spreadsheetml/2006/main" xmlns:r="http://schemas.openxmlformats.org/officeDocument/2006/relationships">
  <sheetPr>
    <pageSetUpPr fitToPage="1"/>
  </sheetPr>
  <dimension ref="A1:Z387"/>
  <sheetViews>
    <sheetView zoomScale="75" zoomScaleNormal="75" workbookViewId="0"/>
  </sheetViews>
  <sheetFormatPr defaultColWidth="9.109375" defaultRowHeight="10.199999999999999"/>
  <cols>
    <col min="1" max="1" width="3.109375" style="2" customWidth="1"/>
    <col min="2" max="2" width="2.44140625" style="2" customWidth="1"/>
    <col min="3" max="3" width="45.5546875" style="2" customWidth="1"/>
    <col min="4" max="4" width="2.44140625" style="2" customWidth="1"/>
    <col min="5" max="5" width="8.44140625" style="2" customWidth="1"/>
    <col min="6" max="7" width="2.44140625" style="2" customWidth="1"/>
    <col min="8" max="8" width="8.44140625" style="2" customWidth="1"/>
    <col min="9" max="10" width="2.44140625" style="2" customWidth="1"/>
    <col min="11" max="11" width="8.44140625" style="2" customWidth="1"/>
    <col min="12" max="12" width="2.33203125" style="2" customWidth="1"/>
    <col min="13" max="13" width="2.44140625" style="2" customWidth="1"/>
    <col min="14" max="14" width="8.44140625" style="2" customWidth="1"/>
    <col min="15" max="15" width="2.33203125" style="2" customWidth="1"/>
    <col min="16" max="16" width="2.44140625" style="2" customWidth="1"/>
    <col min="17" max="17" width="8.44140625" style="2" customWidth="1"/>
    <col min="18" max="19" width="2.44140625" style="2" customWidth="1"/>
    <col min="20" max="20" width="8.5546875" style="2" customWidth="1"/>
    <col min="21" max="22" width="2.44140625" style="2" customWidth="1"/>
    <col min="23" max="23" width="8.44140625" style="2" customWidth="1"/>
    <col min="24" max="25" width="2.44140625" style="2" customWidth="1"/>
    <col min="26" max="26" width="8.44140625" style="2" customWidth="1"/>
    <col min="27" max="16384" width="9.109375" style="2"/>
  </cols>
  <sheetData>
    <row r="1" spans="1:26" ht="13.2">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972"/>
    </row>
    <row r="2" spans="1:26" ht="13.2">
      <c r="A2" s="972" t="s">
        <v>774</v>
      </c>
      <c r="B2" s="972"/>
      <c r="C2" s="972"/>
      <c r="D2" s="972"/>
      <c r="E2" s="972"/>
      <c r="F2" s="972"/>
      <c r="G2" s="972"/>
      <c r="H2" s="972"/>
      <c r="I2" s="972"/>
      <c r="J2" s="972"/>
      <c r="K2" s="972"/>
      <c r="L2" s="972"/>
      <c r="M2" s="972"/>
      <c r="N2" s="972"/>
      <c r="O2" s="972"/>
      <c r="P2" s="972"/>
      <c r="Q2" s="972"/>
      <c r="R2" s="972"/>
      <c r="S2" s="972"/>
      <c r="T2" s="972"/>
      <c r="U2" s="972"/>
      <c r="V2" s="972"/>
      <c r="W2" s="972"/>
      <c r="X2" s="972"/>
      <c r="Y2" s="972"/>
      <c r="Z2" s="972"/>
    </row>
    <row r="3" spans="1:26">
      <c r="A3" s="974" t="s">
        <v>98</v>
      </c>
      <c r="B3" s="974"/>
      <c r="C3" s="974"/>
      <c r="D3" s="974"/>
      <c r="E3" s="974"/>
      <c r="F3" s="974"/>
      <c r="G3" s="974"/>
      <c r="H3" s="974"/>
      <c r="I3" s="974"/>
      <c r="J3" s="974"/>
      <c r="K3" s="974"/>
      <c r="L3" s="974"/>
      <c r="M3" s="974"/>
      <c r="N3" s="974"/>
      <c r="O3" s="974"/>
      <c r="P3" s="974"/>
      <c r="Q3" s="974"/>
      <c r="R3" s="974"/>
      <c r="S3" s="974"/>
      <c r="T3" s="974"/>
      <c r="U3" s="974"/>
      <c r="V3" s="974"/>
      <c r="W3" s="974"/>
      <c r="X3" s="974"/>
      <c r="Y3" s="974"/>
      <c r="Z3" s="974"/>
    </row>
    <row r="4" spans="1:26">
      <c r="A4" s="4"/>
      <c r="B4" s="4"/>
      <c r="C4" s="4"/>
      <c r="D4" s="4"/>
      <c r="E4" s="4"/>
      <c r="F4" s="4"/>
      <c r="G4" s="4"/>
      <c r="H4" s="4"/>
      <c r="I4" s="4"/>
      <c r="J4" s="4"/>
      <c r="K4" s="4"/>
      <c r="L4" s="4"/>
      <c r="M4" s="4"/>
      <c r="N4" s="4"/>
      <c r="O4" s="4"/>
      <c r="P4" s="4"/>
      <c r="Q4" s="4"/>
      <c r="R4" s="4"/>
      <c r="S4" s="4"/>
      <c r="T4" s="4"/>
      <c r="U4" s="4"/>
    </row>
    <row r="5" spans="1:26" s="5" customFormat="1" ht="12.75" customHeight="1">
      <c r="D5" s="975" t="s">
        <v>99</v>
      </c>
      <c r="E5" s="975"/>
      <c r="F5" s="975"/>
      <c r="G5" s="975"/>
      <c r="H5" s="975"/>
      <c r="I5" s="975"/>
      <c r="J5" s="975"/>
      <c r="K5" s="975"/>
      <c r="L5" s="975"/>
      <c r="M5" s="975"/>
      <c r="N5" s="975"/>
      <c r="O5" s="975"/>
      <c r="P5" s="975"/>
      <c r="Q5" s="975"/>
      <c r="R5" s="975"/>
      <c r="S5" s="975"/>
      <c r="T5" s="975"/>
      <c r="U5" s="4"/>
      <c r="W5" s="975" t="s">
        <v>100</v>
      </c>
      <c r="X5" s="975"/>
      <c r="Y5" s="975"/>
      <c r="Z5" s="975"/>
    </row>
    <row r="6" spans="1:26" s="5" customFormat="1" ht="12" thickBot="1">
      <c r="A6" s="67"/>
      <c r="T6" s="6"/>
      <c r="U6" s="4"/>
      <c r="V6" s="6"/>
      <c r="W6" s="6"/>
      <c r="X6" s="6"/>
      <c r="Y6" s="6"/>
      <c r="Z6" s="6"/>
    </row>
    <row r="7" spans="1:26" s="69" customFormat="1" ht="11.4">
      <c r="A7" s="68"/>
      <c r="C7" s="70"/>
      <c r="D7" s="71"/>
      <c r="E7" s="72" t="s">
        <v>104</v>
      </c>
      <c r="F7" s="73"/>
      <c r="G7" s="74"/>
      <c r="H7" s="6" t="s">
        <v>105</v>
      </c>
      <c r="I7" s="6"/>
      <c r="J7" s="74"/>
      <c r="K7" s="6" t="s">
        <v>102</v>
      </c>
      <c r="L7" s="6"/>
      <c r="M7" s="74"/>
      <c r="N7" s="6" t="s">
        <v>103</v>
      </c>
      <c r="O7" s="6"/>
      <c r="P7" s="71"/>
      <c r="Q7" s="72" t="s">
        <v>104</v>
      </c>
      <c r="R7" s="73"/>
      <c r="S7" s="74"/>
      <c r="T7" s="6" t="s">
        <v>105</v>
      </c>
      <c r="U7" s="74"/>
      <c r="V7" s="74"/>
      <c r="W7" s="6" t="s">
        <v>104</v>
      </c>
      <c r="X7" s="6"/>
      <c r="Y7" s="74"/>
      <c r="Z7" s="6" t="s">
        <v>104</v>
      </c>
    </row>
    <row r="8" spans="1:26" s="69" customFormat="1" ht="11.4">
      <c r="C8" s="70"/>
      <c r="D8" s="75"/>
      <c r="E8" s="76">
        <v>2012</v>
      </c>
      <c r="F8" s="77"/>
      <c r="G8" s="74"/>
      <c r="H8" s="76">
        <v>2012</v>
      </c>
      <c r="I8" s="6"/>
      <c r="J8" s="74"/>
      <c r="K8" s="76">
        <v>2011</v>
      </c>
      <c r="L8" s="6"/>
      <c r="M8" s="74"/>
      <c r="N8" s="76">
        <v>2011</v>
      </c>
      <c r="O8" s="6"/>
      <c r="P8" s="75"/>
      <c r="Q8" s="76">
        <v>2011</v>
      </c>
      <c r="R8" s="77"/>
      <c r="S8" s="74"/>
      <c r="T8" s="76">
        <v>2011</v>
      </c>
      <c r="U8" s="74"/>
      <c r="V8" s="74"/>
      <c r="W8" s="13">
        <v>2012</v>
      </c>
      <c r="X8" s="6"/>
      <c r="Y8" s="74"/>
      <c r="Z8" s="76">
        <v>2011</v>
      </c>
    </row>
    <row r="9" spans="1:26" s="21" customFormat="1" ht="11.4">
      <c r="C9" s="23"/>
      <c r="D9" s="22"/>
      <c r="E9" s="18"/>
      <c r="F9" s="19"/>
      <c r="G9" s="18"/>
      <c r="H9" s="16"/>
      <c r="I9" s="18"/>
      <c r="J9" s="18"/>
      <c r="K9" s="16"/>
      <c r="L9" s="18"/>
      <c r="M9" s="18"/>
      <c r="N9" s="16"/>
      <c r="O9" s="18"/>
      <c r="P9" s="22"/>
      <c r="Q9" s="18"/>
      <c r="R9" s="19"/>
      <c r="S9" s="18"/>
      <c r="T9" s="16"/>
      <c r="U9" s="18"/>
      <c r="V9" s="18"/>
      <c r="W9" s="16"/>
      <c r="X9" s="18"/>
      <c r="Y9" s="18"/>
      <c r="Z9" s="16"/>
    </row>
    <row r="10" spans="1:26" s="21" customFormat="1" ht="12">
      <c r="A10" s="20" t="s">
        <v>775</v>
      </c>
      <c r="C10" s="23"/>
      <c r="D10" s="22"/>
      <c r="E10" s="23"/>
      <c r="F10" s="24"/>
      <c r="G10" s="23"/>
      <c r="H10" s="23"/>
      <c r="I10" s="23"/>
      <c r="J10" s="23"/>
      <c r="K10" s="23"/>
      <c r="L10" s="23"/>
      <c r="M10" s="23"/>
      <c r="N10" s="23"/>
      <c r="O10" s="23"/>
      <c r="P10" s="22"/>
      <c r="Q10" s="23"/>
      <c r="R10" s="24"/>
      <c r="S10" s="23"/>
      <c r="T10" s="23"/>
      <c r="U10" s="23"/>
      <c r="V10" s="23"/>
      <c r="W10" s="23"/>
      <c r="X10" s="23"/>
      <c r="Y10" s="23"/>
      <c r="Z10" s="23"/>
    </row>
    <row r="11" spans="1:26" s="21" customFormat="1" ht="6" customHeight="1">
      <c r="A11" s="20"/>
      <c r="C11" s="23"/>
      <c r="D11" s="22"/>
      <c r="E11" s="23"/>
      <c r="F11" s="24"/>
      <c r="G11" s="23"/>
      <c r="H11" s="23"/>
      <c r="I11" s="23"/>
      <c r="J11" s="23"/>
      <c r="K11" s="23"/>
      <c r="L11" s="23"/>
      <c r="M11" s="23"/>
      <c r="N11" s="23"/>
      <c r="O11" s="23"/>
      <c r="P11" s="22"/>
      <c r="Q11" s="23"/>
      <c r="R11" s="24"/>
      <c r="S11" s="23"/>
      <c r="T11" s="23"/>
      <c r="U11" s="23"/>
      <c r="V11" s="23"/>
      <c r="W11" s="23"/>
      <c r="X11" s="23"/>
      <c r="Y11" s="23"/>
      <c r="Z11" s="23"/>
    </row>
    <row r="12" spans="1:26" s="21" customFormat="1" ht="12" customHeight="1">
      <c r="A12" s="20"/>
      <c r="B12" s="21" t="s">
        <v>776</v>
      </c>
      <c r="C12" s="23"/>
      <c r="D12" s="22"/>
      <c r="E12" s="23"/>
      <c r="F12" s="24"/>
      <c r="G12" s="23"/>
      <c r="H12" s="23"/>
      <c r="I12" s="23"/>
      <c r="J12" s="23"/>
      <c r="K12" s="23"/>
      <c r="L12" s="23"/>
      <c r="M12" s="23"/>
      <c r="N12" s="23"/>
      <c r="O12" s="23"/>
      <c r="P12" s="22"/>
      <c r="Q12" s="23"/>
      <c r="R12" s="24"/>
      <c r="S12" s="23"/>
      <c r="T12" s="23"/>
      <c r="U12" s="23"/>
      <c r="V12" s="23"/>
      <c r="W12" s="23"/>
      <c r="X12" s="23"/>
      <c r="Y12" s="23"/>
      <c r="Z12" s="23"/>
    </row>
    <row r="13" spans="1:26" s="21" customFormat="1" ht="12" customHeight="1">
      <c r="A13" s="20"/>
      <c r="C13" s="21" t="s">
        <v>777</v>
      </c>
      <c r="D13" s="22" t="s">
        <v>108</v>
      </c>
      <c r="E13" s="23">
        <v>438</v>
      </c>
      <c r="F13" s="24"/>
      <c r="G13" s="23" t="s">
        <v>108</v>
      </c>
      <c r="H13" s="23">
        <v>714</v>
      </c>
      <c r="I13" s="23"/>
      <c r="J13" s="23" t="s">
        <v>108</v>
      </c>
      <c r="K13" s="23">
        <v>746</v>
      </c>
      <c r="L13" s="23"/>
      <c r="M13" s="23" t="s">
        <v>108</v>
      </c>
      <c r="N13" s="23">
        <v>85</v>
      </c>
      <c r="O13" s="23"/>
      <c r="P13" s="22" t="s">
        <v>108</v>
      </c>
      <c r="Q13" s="23">
        <v>-640</v>
      </c>
      <c r="R13" s="24"/>
      <c r="S13" s="23" t="s">
        <v>108</v>
      </c>
      <c r="T13" s="23">
        <v>500</v>
      </c>
      <c r="U13" s="23"/>
      <c r="V13" s="23" t="s">
        <v>108</v>
      </c>
      <c r="W13" s="23">
        <v>1152</v>
      </c>
      <c r="X13" s="23"/>
      <c r="Y13" s="23" t="s">
        <v>108</v>
      </c>
      <c r="Z13" s="23">
        <v>-140</v>
      </c>
    </row>
    <row r="14" spans="1:26" s="21" customFormat="1" ht="12" hidden="1" customHeight="1">
      <c r="A14" s="20"/>
      <c r="C14" s="23"/>
      <c r="D14" s="22"/>
      <c r="E14" s="39"/>
      <c r="F14" s="24"/>
      <c r="G14" s="23"/>
      <c r="H14" s="39"/>
      <c r="I14" s="23"/>
      <c r="J14" s="23"/>
      <c r="K14" s="39"/>
      <c r="L14" s="23"/>
      <c r="M14" s="23"/>
      <c r="N14" s="39"/>
      <c r="O14" s="23"/>
      <c r="P14" s="22"/>
      <c r="Q14" s="39"/>
      <c r="R14" s="24"/>
      <c r="S14" s="23"/>
      <c r="T14" s="39"/>
      <c r="U14" s="23"/>
      <c r="V14" s="23"/>
      <c r="W14" s="39"/>
      <c r="X14" s="23"/>
      <c r="Y14" s="23"/>
      <c r="Z14" s="39"/>
    </row>
    <row r="15" spans="1:26" s="21" customFormat="1" ht="12" customHeight="1">
      <c r="A15" s="20"/>
      <c r="B15" s="21" t="s">
        <v>778</v>
      </c>
      <c r="D15" s="22"/>
      <c r="E15" s="39">
        <v>-6</v>
      </c>
      <c r="F15" s="24"/>
      <c r="G15" s="23"/>
      <c r="H15" s="23">
        <v>-4</v>
      </c>
      <c r="I15" s="23"/>
      <c r="J15" s="23"/>
      <c r="K15" s="23">
        <v>-11</v>
      </c>
      <c r="L15" s="23"/>
      <c r="M15" s="23"/>
      <c r="N15" s="39">
        <v>-5</v>
      </c>
      <c r="O15" s="23"/>
      <c r="P15" s="22"/>
      <c r="Q15" s="39">
        <v>-7</v>
      </c>
      <c r="R15" s="24"/>
      <c r="S15" s="23"/>
      <c r="T15" s="23">
        <v>-6</v>
      </c>
      <c r="U15" s="23"/>
      <c r="V15" s="23"/>
      <c r="W15" s="39">
        <v>-10</v>
      </c>
      <c r="X15" s="23"/>
      <c r="Y15" s="23"/>
      <c r="Z15" s="39">
        <v>-13</v>
      </c>
    </row>
    <row r="16" spans="1:26" s="21" customFormat="1" ht="6" customHeight="1">
      <c r="A16" s="20"/>
      <c r="C16" s="23"/>
      <c r="D16" s="22"/>
      <c r="E16" s="23"/>
      <c r="F16" s="24"/>
      <c r="G16" s="23"/>
      <c r="H16" s="824"/>
      <c r="I16" s="23"/>
      <c r="J16" s="23"/>
      <c r="K16" s="824"/>
      <c r="L16" s="23"/>
      <c r="M16" s="23"/>
      <c r="N16" s="23"/>
      <c r="O16" s="23"/>
      <c r="P16" s="22"/>
      <c r="Q16" s="23"/>
      <c r="R16" s="24"/>
      <c r="S16" s="23"/>
      <c r="T16" s="824"/>
      <c r="U16" s="23"/>
      <c r="V16" s="23"/>
      <c r="W16" s="23"/>
      <c r="X16" s="23"/>
      <c r="Y16" s="23"/>
      <c r="Z16" s="23"/>
    </row>
    <row r="17" spans="1:26" s="21" customFormat="1" ht="11.4">
      <c r="B17" s="21" t="s">
        <v>779</v>
      </c>
      <c r="C17" s="23"/>
      <c r="D17" s="22"/>
      <c r="E17" s="23">
        <v>432</v>
      </c>
      <c r="F17" s="24"/>
      <c r="G17" s="23"/>
      <c r="H17" s="23">
        <v>710</v>
      </c>
      <c r="I17" s="23"/>
      <c r="J17" s="23"/>
      <c r="K17" s="23">
        <v>735</v>
      </c>
      <c r="L17" s="23"/>
      <c r="M17" s="23"/>
      <c r="N17" s="23">
        <v>80</v>
      </c>
      <c r="O17" s="23"/>
      <c r="P17" s="22"/>
      <c r="Q17" s="23">
        <v>-647</v>
      </c>
      <c r="R17" s="24"/>
      <c r="S17" s="23"/>
      <c r="T17" s="23">
        <v>494</v>
      </c>
      <c r="U17" s="23"/>
      <c r="V17" s="23"/>
      <c r="W17" s="23">
        <v>1142</v>
      </c>
      <c r="X17" s="23"/>
      <c r="Y17" s="23"/>
      <c r="Z17" s="23">
        <v>-153</v>
      </c>
    </row>
    <row r="18" spans="1:26" s="21" customFormat="1" ht="6" customHeight="1">
      <c r="C18" s="23"/>
      <c r="D18" s="22"/>
      <c r="E18" s="23"/>
      <c r="F18" s="24"/>
      <c r="G18" s="23"/>
      <c r="H18" s="23"/>
      <c r="I18" s="23"/>
      <c r="J18" s="23"/>
      <c r="K18" s="23"/>
      <c r="L18" s="23"/>
      <c r="M18" s="23"/>
      <c r="N18" s="23"/>
      <c r="O18" s="23"/>
      <c r="P18" s="22"/>
      <c r="Q18" s="23"/>
      <c r="R18" s="24"/>
      <c r="S18" s="23"/>
      <c r="T18" s="23"/>
      <c r="U18" s="23"/>
      <c r="V18" s="23"/>
      <c r="W18" s="23"/>
      <c r="X18" s="23"/>
      <c r="Y18" s="23"/>
      <c r="Z18" s="23"/>
    </row>
    <row r="19" spans="1:26" s="21" customFormat="1" ht="11.4">
      <c r="B19" s="29" t="s">
        <v>780</v>
      </c>
      <c r="C19" s="23"/>
      <c r="D19" s="22"/>
      <c r="E19" s="23">
        <v>17</v>
      </c>
      <c r="F19" s="24"/>
      <c r="G19" s="23"/>
      <c r="H19" s="23">
        <v>110</v>
      </c>
      <c r="I19" s="23"/>
      <c r="J19" s="23"/>
      <c r="K19" s="23">
        <v>55</v>
      </c>
      <c r="L19" s="23"/>
      <c r="M19" s="23"/>
      <c r="N19" s="23">
        <v>170</v>
      </c>
      <c r="O19" s="23"/>
      <c r="P19" s="22"/>
      <c r="Q19" s="23">
        <v>36</v>
      </c>
      <c r="R19" s="24"/>
      <c r="S19" s="23"/>
      <c r="T19" s="23">
        <v>63</v>
      </c>
      <c r="U19" s="23"/>
      <c r="V19" s="23"/>
      <c r="W19" s="23">
        <v>127</v>
      </c>
      <c r="X19" s="23"/>
      <c r="Y19" s="23"/>
      <c r="Z19" s="23">
        <v>99</v>
      </c>
    </row>
    <row r="20" spans="1:26" s="21" customFormat="1" ht="11.4">
      <c r="B20" s="21" t="s">
        <v>781</v>
      </c>
      <c r="C20" s="23"/>
      <c r="D20" s="22"/>
      <c r="E20" s="23"/>
      <c r="F20" s="24"/>
      <c r="G20" s="23"/>
      <c r="H20" s="23"/>
      <c r="I20" s="23"/>
      <c r="J20" s="23"/>
      <c r="K20" s="23"/>
      <c r="L20" s="23"/>
      <c r="M20" s="23"/>
      <c r="N20" s="23"/>
      <c r="O20" s="23"/>
      <c r="P20" s="22"/>
      <c r="Q20" s="23"/>
      <c r="R20" s="24"/>
      <c r="S20" s="23"/>
      <c r="T20" s="23"/>
      <c r="U20" s="23"/>
      <c r="V20" s="23"/>
      <c r="W20" s="23"/>
      <c r="X20" s="23"/>
      <c r="Y20" s="23"/>
      <c r="Z20" s="23"/>
    </row>
    <row r="21" spans="1:26" s="21" customFormat="1" ht="11.4">
      <c r="A21" s="2"/>
      <c r="C21" s="23" t="s">
        <v>782</v>
      </c>
      <c r="D21" s="22"/>
      <c r="E21" s="23">
        <v>-3</v>
      </c>
      <c r="F21" s="24"/>
      <c r="G21" s="23"/>
      <c r="H21" s="23">
        <v>-6</v>
      </c>
      <c r="I21" s="23"/>
      <c r="J21" s="23"/>
      <c r="K21" s="23">
        <v>-13</v>
      </c>
      <c r="L21" s="23"/>
      <c r="M21" s="23"/>
      <c r="N21" s="23">
        <v>-4</v>
      </c>
      <c r="O21" s="23"/>
      <c r="P21" s="22"/>
      <c r="Q21" s="23">
        <v>-3</v>
      </c>
      <c r="R21" s="24"/>
      <c r="S21" s="23"/>
      <c r="T21" s="23">
        <v>8</v>
      </c>
      <c r="U21" s="23"/>
      <c r="V21" s="23"/>
      <c r="W21" s="23">
        <v>-9</v>
      </c>
      <c r="X21" s="23"/>
      <c r="Y21" s="23"/>
      <c r="Z21" s="23">
        <v>5</v>
      </c>
    </row>
    <row r="22" spans="1:26" s="21" customFormat="1" ht="11.4">
      <c r="B22" s="21" t="s">
        <v>62</v>
      </c>
      <c r="C22" s="23"/>
      <c r="D22" s="22"/>
      <c r="E22" s="23"/>
      <c r="F22" s="24"/>
      <c r="G22" s="23"/>
      <c r="H22" s="23"/>
      <c r="I22" s="23"/>
      <c r="J22" s="23"/>
      <c r="K22" s="23"/>
      <c r="L22" s="23"/>
      <c r="M22" s="23"/>
      <c r="N22" s="23"/>
      <c r="O22" s="23"/>
      <c r="P22" s="22"/>
      <c r="Q22" s="23"/>
      <c r="R22" s="24"/>
      <c r="S22" s="23"/>
      <c r="T22" s="23"/>
      <c r="U22" s="23"/>
      <c r="V22" s="23"/>
      <c r="W22" s="23"/>
      <c r="X22" s="23"/>
      <c r="Y22" s="23"/>
      <c r="Z22" s="23"/>
    </row>
    <row r="23" spans="1:26" s="21" customFormat="1" ht="11.4">
      <c r="C23" s="78" t="s">
        <v>63</v>
      </c>
      <c r="D23" s="22"/>
      <c r="F23" s="24"/>
      <c r="G23" s="23"/>
      <c r="H23" s="23"/>
      <c r="I23" s="23"/>
      <c r="J23" s="23"/>
      <c r="K23" s="23"/>
      <c r="L23" s="23"/>
      <c r="M23" s="23"/>
      <c r="N23" s="23"/>
      <c r="O23" s="23"/>
      <c r="P23" s="22"/>
      <c r="R23" s="24"/>
      <c r="S23" s="23"/>
      <c r="T23" s="23"/>
      <c r="U23" s="23"/>
      <c r="V23" s="23"/>
      <c r="W23" s="23"/>
      <c r="X23" s="23"/>
      <c r="Y23" s="23"/>
      <c r="Z23" s="23"/>
    </row>
    <row r="24" spans="1:26" s="21" customFormat="1" ht="11.4">
      <c r="C24" s="78" t="s">
        <v>64</v>
      </c>
      <c r="D24" s="22"/>
      <c r="E24" s="23">
        <v>0</v>
      </c>
      <c r="F24" s="24"/>
      <c r="G24" s="23"/>
      <c r="H24" s="23">
        <v>-10</v>
      </c>
      <c r="I24" s="23"/>
      <c r="J24" s="23"/>
      <c r="K24" s="23">
        <v>-16</v>
      </c>
      <c r="L24" s="23"/>
      <c r="M24" s="23"/>
      <c r="N24" s="23">
        <v>-65</v>
      </c>
      <c r="O24" s="23"/>
      <c r="P24" s="22"/>
      <c r="Q24" s="23">
        <v>-5</v>
      </c>
      <c r="R24" s="24"/>
      <c r="S24" s="23"/>
      <c r="T24" s="23">
        <v>-22</v>
      </c>
      <c r="U24" s="23"/>
      <c r="V24" s="23"/>
      <c r="W24" s="23">
        <v>-10</v>
      </c>
      <c r="X24" s="23"/>
      <c r="Y24" s="23"/>
      <c r="Z24" s="23">
        <v>-27</v>
      </c>
    </row>
    <row r="25" spans="1:26" s="21" customFormat="1" ht="11.4">
      <c r="B25" s="21" t="s">
        <v>784</v>
      </c>
      <c r="C25" s="78"/>
      <c r="D25" s="22"/>
      <c r="E25" s="23"/>
      <c r="F25" s="24"/>
      <c r="G25" s="23"/>
      <c r="H25" s="23"/>
      <c r="I25" s="23"/>
      <c r="J25" s="23"/>
      <c r="K25" s="23"/>
      <c r="L25" s="23"/>
      <c r="M25" s="23"/>
      <c r="N25" s="23"/>
      <c r="O25" s="23"/>
      <c r="P25" s="22"/>
      <c r="Q25" s="23"/>
      <c r="R25" s="24"/>
      <c r="S25" s="23"/>
      <c r="T25" s="23"/>
      <c r="U25" s="23"/>
      <c r="V25" s="23"/>
      <c r="W25" s="23"/>
      <c r="X25" s="23"/>
      <c r="Y25" s="23"/>
      <c r="Z25" s="23"/>
    </row>
    <row r="26" spans="1:26" s="21" customFormat="1" ht="11.4">
      <c r="C26" s="78" t="s">
        <v>785</v>
      </c>
      <c r="D26" s="22"/>
      <c r="E26" s="23">
        <v>0</v>
      </c>
      <c r="F26" s="24"/>
      <c r="G26" s="23"/>
      <c r="H26" s="23">
        <v>0</v>
      </c>
      <c r="I26" s="23"/>
      <c r="J26" s="23"/>
      <c r="K26" s="23">
        <v>0</v>
      </c>
      <c r="L26" s="23"/>
      <c r="M26" s="23"/>
      <c r="N26" s="23">
        <v>0</v>
      </c>
      <c r="O26" s="23"/>
      <c r="P26" s="22"/>
      <c r="Q26" s="23">
        <v>0</v>
      </c>
      <c r="R26" s="24"/>
      <c r="S26" s="23"/>
      <c r="T26" s="23">
        <v>3</v>
      </c>
      <c r="U26" s="23"/>
      <c r="V26" s="23"/>
      <c r="W26" s="23">
        <v>0</v>
      </c>
      <c r="X26" s="23"/>
      <c r="Y26" s="23"/>
      <c r="Z26" s="23">
        <v>3</v>
      </c>
    </row>
    <row r="27" spans="1:26" s="21" customFormat="1" ht="11.4">
      <c r="B27" s="21" t="s">
        <v>786</v>
      </c>
      <c r="C27" s="23"/>
      <c r="D27" s="22"/>
      <c r="E27" s="23"/>
      <c r="F27" s="24"/>
      <c r="G27" s="23"/>
      <c r="H27" s="23"/>
      <c r="I27" s="23"/>
      <c r="J27" s="23"/>
      <c r="K27" s="23"/>
      <c r="L27" s="23"/>
      <c r="M27" s="23"/>
      <c r="N27" s="23"/>
      <c r="O27" s="23"/>
      <c r="P27" s="22"/>
      <c r="Q27" s="23"/>
      <c r="R27" s="24"/>
      <c r="S27" s="23"/>
      <c r="T27" s="23"/>
      <c r="U27" s="23"/>
      <c r="V27" s="23"/>
      <c r="W27" s="23"/>
      <c r="X27" s="23"/>
      <c r="Y27" s="23"/>
      <c r="Z27" s="23"/>
    </row>
    <row r="28" spans="1:26" s="21" customFormat="1" ht="11.4">
      <c r="C28" s="23" t="s">
        <v>787</v>
      </c>
      <c r="D28" s="22"/>
      <c r="E28" s="23"/>
      <c r="F28" s="24"/>
      <c r="G28" s="23"/>
      <c r="H28" s="23"/>
      <c r="I28" s="23"/>
      <c r="J28" s="23"/>
      <c r="K28" s="23"/>
      <c r="L28" s="23"/>
      <c r="M28" s="23"/>
      <c r="N28" s="23"/>
      <c r="O28" s="23"/>
      <c r="P28" s="22"/>
      <c r="Q28" s="23"/>
      <c r="R28" s="24"/>
      <c r="S28" s="23"/>
      <c r="T28" s="23"/>
      <c r="U28" s="23"/>
      <c r="V28" s="23"/>
      <c r="W28" s="23"/>
      <c r="X28" s="23"/>
      <c r="Y28" s="23"/>
      <c r="Z28" s="23"/>
    </row>
    <row r="29" spans="1:26" s="21" customFormat="1" ht="11.4">
      <c r="C29" s="23" t="s">
        <v>788</v>
      </c>
      <c r="D29" s="22"/>
      <c r="E29" s="23">
        <v>-9</v>
      </c>
      <c r="F29" s="24"/>
      <c r="G29" s="23"/>
      <c r="H29" s="23">
        <v>-9</v>
      </c>
      <c r="I29" s="23"/>
      <c r="J29" s="23"/>
      <c r="K29" s="23">
        <v>-8</v>
      </c>
      <c r="L29" s="23"/>
      <c r="M29" s="23"/>
      <c r="N29" s="23">
        <v>-8</v>
      </c>
      <c r="O29" s="23"/>
      <c r="P29" s="22"/>
      <c r="Q29" s="23">
        <v>-10</v>
      </c>
      <c r="R29" s="24"/>
      <c r="S29" s="23"/>
      <c r="T29" s="23">
        <v>-9</v>
      </c>
      <c r="U29" s="23"/>
      <c r="V29" s="23"/>
      <c r="W29" s="23">
        <v>-18</v>
      </c>
      <c r="X29" s="23"/>
      <c r="Y29" s="23"/>
      <c r="Z29" s="23">
        <v>-19</v>
      </c>
    </row>
    <row r="30" spans="1:26" s="21" customFormat="1" ht="11.4">
      <c r="B30" s="79" t="s">
        <v>789</v>
      </c>
      <c r="C30" s="23"/>
      <c r="D30" s="22"/>
      <c r="E30" s="23"/>
      <c r="F30" s="24"/>
      <c r="G30" s="23"/>
      <c r="H30" s="23"/>
      <c r="I30" s="23"/>
      <c r="J30" s="23"/>
      <c r="K30" s="23"/>
      <c r="L30" s="23"/>
      <c r="M30" s="23"/>
      <c r="N30" s="23"/>
      <c r="O30" s="23"/>
      <c r="P30" s="22"/>
      <c r="Q30" s="23"/>
      <c r="R30" s="24"/>
      <c r="S30" s="23"/>
      <c r="T30" s="23"/>
      <c r="U30" s="23"/>
      <c r="V30" s="23"/>
      <c r="W30" s="23"/>
      <c r="X30" s="23"/>
      <c r="Y30" s="23"/>
      <c r="Z30" s="23"/>
    </row>
    <row r="31" spans="1:26" s="21" customFormat="1" ht="11.4">
      <c r="B31" s="79"/>
      <c r="C31" s="348" t="s">
        <v>7</v>
      </c>
      <c r="D31" s="22"/>
      <c r="E31" s="23">
        <v>-16</v>
      </c>
      <c r="F31" s="24"/>
      <c r="G31" s="23"/>
      <c r="H31" s="23">
        <v>-31</v>
      </c>
      <c r="I31" s="23"/>
      <c r="J31" s="23"/>
      <c r="K31" s="23">
        <v>-42</v>
      </c>
      <c r="L31" s="23"/>
      <c r="M31" s="23"/>
      <c r="N31" s="23">
        <v>0</v>
      </c>
      <c r="O31" s="23"/>
      <c r="P31" s="22"/>
      <c r="Q31" s="23">
        <v>0</v>
      </c>
      <c r="R31" s="24"/>
      <c r="S31" s="23"/>
      <c r="T31" s="23">
        <v>0</v>
      </c>
      <c r="U31" s="23"/>
      <c r="V31" s="23"/>
      <c r="W31" s="23">
        <v>-47</v>
      </c>
      <c r="X31" s="23"/>
      <c r="Y31" s="23"/>
      <c r="Z31" s="23">
        <v>0</v>
      </c>
    </row>
    <row r="32" spans="1:26" s="21" customFormat="1" ht="11.4">
      <c r="B32" s="79" t="s">
        <v>790</v>
      </c>
      <c r="C32" s="80"/>
      <c r="D32" s="22"/>
      <c r="E32" s="39">
        <v>2</v>
      </c>
      <c r="F32" s="24"/>
      <c r="G32" s="23"/>
      <c r="H32" s="39">
        <v>2</v>
      </c>
      <c r="I32" s="23"/>
      <c r="J32" s="23"/>
      <c r="K32" s="39">
        <v>1</v>
      </c>
      <c r="L32" s="23"/>
      <c r="M32" s="23"/>
      <c r="N32" s="39">
        <v>2</v>
      </c>
      <c r="O32" s="23"/>
      <c r="P32" s="22"/>
      <c r="Q32" s="39">
        <v>5</v>
      </c>
      <c r="R32" s="24"/>
      <c r="S32" s="23"/>
      <c r="T32" s="39">
        <v>-13</v>
      </c>
      <c r="U32" s="23"/>
      <c r="V32" s="23"/>
      <c r="W32" s="39">
        <v>4</v>
      </c>
      <c r="X32" s="23"/>
      <c r="Y32" s="23"/>
      <c r="Z32" s="39">
        <v>-8</v>
      </c>
    </row>
    <row r="33" spans="1:26" s="21" customFormat="1" ht="6" customHeight="1">
      <c r="C33" s="23"/>
      <c r="D33" s="22"/>
      <c r="E33" s="23"/>
      <c r="F33" s="24"/>
      <c r="G33" s="23"/>
      <c r="H33" s="23"/>
      <c r="I33" s="23"/>
      <c r="J33" s="23"/>
      <c r="K33" s="23"/>
      <c r="L33" s="23"/>
      <c r="M33" s="23"/>
      <c r="N33" s="23"/>
      <c r="O33" s="23"/>
      <c r="P33" s="22"/>
      <c r="Q33" s="23"/>
      <c r="R33" s="24"/>
      <c r="S33" s="23"/>
      <c r="T33" s="23"/>
      <c r="U33" s="23"/>
      <c r="V33" s="23"/>
      <c r="W33" s="23"/>
      <c r="X33" s="23"/>
      <c r="Y33" s="23"/>
      <c r="Z33" s="23"/>
    </row>
    <row r="34" spans="1:26" s="21" customFormat="1" ht="12" thickBot="1">
      <c r="B34" s="21" t="s">
        <v>791</v>
      </c>
      <c r="C34" s="23"/>
      <c r="D34" s="22" t="s">
        <v>108</v>
      </c>
      <c r="E34" s="45">
        <v>423</v>
      </c>
      <c r="F34" s="24"/>
      <c r="G34" s="23" t="s">
        <v>108</v>
      </c>
      <c r="H34" s="45">
        <v>766</v>
      </c>
      <c r="I34" s="23"/>
      <c r="J34" s="23" t="s">
        <v>108</v>
      </c>
      <c r="K34" s="45">
        <v>712</v>
      </c>
      <c r="L34" s="23"/>
      <c r="M34" s="23" t="s">
        <v>108</v>
      </c>
      <c r="N34" s="45">
        <v>175</v>
      </c>
      <c r="O34" s="23"/>
      <c r="P34" s="22" t="s">
        <v>108</v>
      </c>
      <c r="Q34" s="45">
        <v>-624</v>
      </c>
      <c r="R34" s="24"/>
      <c r="S34" s="23" t="s">
        <v>108</v>
      </c>
      <c r="T34" s="45">
        <v>524</v>
      </c>
      <c r="U34" s="23"/>
      <c r="V34" s="23" t="s">
        <v>108</v>
      </c>
      <c r="W34" s="45">
        <v>1189</v>
      </c>
      <c r="X34" s="23"/>
      <c r="Y34" s="23" t="s">
        <v>108</v>
      </c>
      <c r="Z34" s="45">
        <v>-100</v>
      </c>
    </row>
    <row r="35" spans="1:26" s="21" customFormat="1" ht="12" thickTop="1">
      <c r="C35" s="23"/>
      <c r="D35" s="22"/>
      <c r="E35" s="23"/>
      <c r="F35" s="24"/>
      <c r="G35" s="23"/>
      <c r="H35" s="23"/>
      <c r="I35" s="23"/>
      <c r="J35" s="23"/>
      <c r="K35" s="23"/>
      <c r="L35" s="23"/>
      <c r="M35" s="23"/>
      <c r="N35" s="23"/>
      <c r="O35" s="23"/>
      <c r="P35" s="22"/>
      <c r="Q35" s="23"/>
      <c r="R35" s="24"/>
      <c r="S35" s="23"/>
      <c r="T35" s="23"/>
      <c r="U35" s="23"/>
      <c r="V35" s="23"/>
      <c r="W35" s="23"/>
      <c r="X35" s="23"/>
      <c r="Y35" s="23"/>
      <c r="Z35" s="23"/>
    </row>
    <row r="36" spans="1:26" s="21" customFormat="1" ht="13.8">
      <c r="A36" s="81" t="s">
        <v>792</v>
      </c>
      <c r="B36" s="5"/>
      <c r="C36" s="11"/>
      <c r="D36" s="22"/>
      <c r="E36" s="23"/>
      <c r="F36" s="24"/>
      <c r="G36" s="23"/>
      <c r="H36" s="23"/>
      <c r="I36" s="23"/>
      <c r="J36" s="23"/>
      <c r="K36" s="23"/>
      <c r="L36" s="23"/>
      <c r="M36" s="23"/>
      <c r="N36" s="23"/>
      <c r="O36" s="23"/>
      <c r="P36" s="22"/>
      <c r="Q36" s="23"/>
      <c r="R36" s="24"/>
      <c r="S36" s="23"/>
      <c r="T36" s="23"/>
      <c r="U36" s="23"/>
      <c r="V36" s="23"/>
      <c r="W36" s="23"/>
      <c r="X36" s="23"/>
      <c r="Y36" s="23"/>
      <c r="Z36" s="23"/>
    </row>
    <row r="37" spans="1:26" s="21" customFormat="1" ht="12">
      <c r="A37" s="20"/>
      <c r="B37" s="5" t="s">
        <v>793</v>
      </c>
      <c r="C37" s="11"/>
      <c r="D37" s="22"/>
      <c r="E37" s="23"/>
      <c r="F37" s="24"/>
      <c r="G37" s="23"/>
      <c r="H37" s="23"/>
      <c r="I37" s="23"/>
      <c r="J37" s="23"/>
      <c r="K37" s="23"/>
      <c r="L37" s="23"/>
      <c r="M37" s="23"/>
      <c r="N37" s="23"/>
      <c r="O37" s="23"/>
      <c r="P37" s="22"/>
      <c r="Q37" s="23"/>
      <c r="R37" s="24"/>
      <c r="S37" s="23"/>
      <c r="T37" s="23"/>
      <c r="U37" s="23"/>
      <c r="V37" s="23"/>
      <c r="W37" s="23"/>
      <c r="X37" s="23"/>
      <c r="Y37" s="23"/>
      <c r="Z37" s="23"/>
    </row>
    <row r="38" spans="1:26" s="21" customFormat="1" ht="12">
      <c r="A38" s="20"/>
      <c r="C38" s="21" t="s">
        <v>794</v>
      </c>
      <c r="D38" s="22" t="s">
        <v>108</v>
      </c>
      <c r="E38" s="82">
        <v>0.89</v>
      </c>
      <c r="F38" s="24"/>
      <c r="G38" s="23" t="s">
        <v>108</v>
      </c>
      <c r="H38" s="82">
        <v>1.42</v>
      </c>
      <c r="I38" s="82"/>
      <c r="J38" s="23" t="s">
        <v>108</v>
      </c>
      <c r="K38" s="82">
        <v>1.47</v>
      </c>
      <c r="L38" s="82"/>
      <c r="M38" s="23" t="s">
        <v>108</v>
      </c>
      <c r="N38" s="82">
        <v>0.17</v>
      </c>
      <c r="O38" s="82"/>
      <c r="P38" s="22" t="s">
        <v>108</v>
      </c>
      <c r="Q38" s="82">
        <v>-1.22</v>
      </c>
      <c r="R38" s="24"/>
      <c r="S38" s="23" t="s">
        <v>108</v>
      </c>
      <c r="T38" s="82">
        <v>0.94</v>
      </c>
      <c r="U38" s="23"/>
      <c r="V38" s="23" t="s">
        <v>108</v>
      </c>
      <c r="W38" s="82">
        <v>2.31</v>
      </c>
      <c r="X38" s="82"/>
      <c r="Y38" s="23" t="s">
        <v>108</v>
      </c>
      <c r="Z38" s="82">
        <v>-0.27</v>
      </c>
    </row>
    <row r="39" spans="1:26" s="21" customFormat="1" ht="12">
      <c r="A39" s="20"/>
      <c r="B39" s="21" t="s">
        <v>778</v>
      </c>
      <c r="C39" s="23"/>
      <c r="D39" s="36"/>
      <c r="E39" s="84">
        <v>-0.02</v>
      </c>
      <c r="F39" s="37"/>
      <c r="G39" s="35"/>
      <c r="H39" s="84">
        <v>0</v>
      </c>
      <c r="I39" s="82"/>
      <c r="J39" s="35"/>
      <c r="K39" s="84">
        <v>-0.02</v>
      </c>
      <c r="L39" s="82"/>
      <c r="M39" s="35"/>
      <c r="N39" s="84">
        <v>-0.01</v>
      </c>
      <c r="O39" s="82"/>
      <c r="P39" s="36"/>
      <c r="Q39" s="84">
        <v>-0.02</v>
      </c>
      <c r="R39" s="37"/>
      <c r="S39" s="35"/>
      <c r="T39" s="84">
        <v>-0.01</v>
      </c>
      <c r="U39" s="11"/>
      <c r="V39" s="35"/>
      <c r="W39" s="84">
        <v>-0.02</v>
      </c>
      <c r="X39" s="82"/>
      <c r="Y39" s="35"/>
      <c r="Z39" s="84">
        <v>-0.02</v>
      </c>
    </row>
    <row r="40" spans="1:26" s="21" customFormat="1" ht="11.4" hidden="1">
      <c r="D40" s="36"/>
      <c r="E40" s="82"/>
      <c r="F40" s="37"/>
      <c r="G40" s="35"/>
      <c r="H40" s="84"/>
      <c r="I40" s="82"/>
      <c r="J40" s="35"/>
      <c r="K40" s="84"/>
      <c r="L40" s="82"/>
      <c r="M40" s="35"/>
      <c r="N40" s="84"/>
      <c r="O40" s="82"/>
      <c r="P40" s="36"/>
      <c r="Q40" s="82"/>
      <c r="R40" s="37"/>
      <c r="S40" s="35"/>
      <c r="T40" s="84"/>
      <c r="U40" s="11"/>
      <c r="V40" s="35"/>
      <c r="W40" s="84"/>
      <c r="X40" s="82"/>
      <c r="Y40" s="35"/>
      <c r="Z40" s="82"/>
    </row>
    <row r="41" spans="1:26" s="21" customFormat="1" ht="5.25" customHeight="1">
      <c r="C41" s="23"/>
      <c r="D41" s="36"/>
      <c r="E41" s="35"/>
      <c r="F41" s="37"/>
      <c r="G41" s="35"/>
      <c r="H41" s="35"/>
      <c r="I41" s="35"/>
      <c r="J41" s="35"/>
      <c r="K41" s="35"/>
      <c r="L41" s="35"/>
      <c r="M41" s="35"/>
      <c r="N41" s="35"/>
      <c r="O41" s="35"/>
      <c r="P41" s="36"/>
      <c r="Q41" s="35"/>
      <c r="R41" s="37"/>
      <c r="S41" s="35"/>
      <c r="T41" s="35"/>
      <c r="U41" s="11"/>
      <c r="V41" s="35"/>
      <c r="W41" s="35"/>
      <c r="X41" s="35"/>
      <c r="Y41" s="35"/>
      <c r="Z41" s="35"/>
    </row>
    <row r="42" spans="1:26" s="21" customFormat="1" ht="11.4">
      <c r="B42" s="21" t="s">
        <v>795</v>
      </c>
      <c r="C42" s="23"/>
      <c r="D42" s="22"/>
      <c r="E42" s="82">
        <v>0.87</v>
      </c>
      <c r="F42" s="85"/>
      <c r="G42" s="23"/>
      <c r="H42" s="82">
        <v>1.42</v>
      </c>
      <c r="I42" s="82"/>
      <c r="J42" s="23"/>
      <c r="K42" s="82">
        <v>1.45</v>
      </c>
      <c r="L42" s="82"/>
      <c r="M42" s="23"/>
      <c r="N42" s="82">
        <v>0.16</v>
      </c>
      <c r="O42" s="82"/>
      <c r="P42" s="22"/>
      <c r="Q42" s="82">
        <v>-1.24</v>
      </c>
      <c r="R42" s="85"/>
      <c r="S42" s="23"/>
      <c r="T42" s="82">
        <v>0.92999999999999994</v>
      </c>
      <c r="U42" s="82"/>
      <c r="V42" s="23"/>
      <c r="W42" s="82">
        <v>2.29</v>
      </c>
      <c r="X42" s="82"/>
      <c r="Y42" s="23"/>
      <c r="Z42" s="82">
        <v>-0.29000000000000004</v>
      </c>
    </row>
    <row r="43" spans="1:26" s="21" customFormat="1" ht="5.25" customHeight="1">
      <c r="C43" s="23"/>
      <c r="D43" s="22"/>
      <c r="E43" s="82"/>
      <c r="F43" s="85"/>
      <c r="G43" s="23"/>
      <c r="H43" s="82"/>
      <c r="I43" s="82"/>
      <c r="J43" s="23"/>
      <c r="K43" s="82"/>
      <c r="L43" s="82"/>
      <c r="M43" s="23"/>
      <c r="N43" s="82"/>
      <c r="O43" s="82"/>
      <c r="P43" s="22"/>
      <c r="Q43" s="82"/>
      <c r="R43" s="85"/>
      <c r="S43" s="23"/>
      <c r="T43" s="82"/>
      <c r="U43" s="82"/>
      <c r="V43" s="23"/>
      <c r="W43" s="82"/>
      <c r="X43" s="82"/>
      <c r="Y43" s="23"/>
      <c r="Z43" s="82"/>
    </row>
    <row r="44" spans="1:26" s="21" customFormat="1" ht="11.4">
      <c r="A44" s="2"/>
      <c r="B44" s="29" t="s">
        <v>780</v>
      </c>
      <c r="C44" s="23"/>
      <c r="D44" s="22"/>
      <c r="E44" s="82">
        <v>0.04</v>
      </c>
      <c r="F44" s="85"/>
      <c r="G44" s="82"/>
      <c r="H44" s="82">
        <v>0.22</v>
      </c>
      <c r="I44" s="82"/>
      <c r="J44" s="82"/>
      <c r="K44" s="82">
        <v>0.11</v>
      </c>
      <c r="L44" s="82"/>
      <c r="M44" s="82"/>
      <c r="N44" s="82">
        <v>0.33</v>
      </c>
      <c r="O44" s="82"/>
      <c r="P44" s="22"/>
      <c r="Q44" s="82">
        <v>7.0000000000000007E-2</v>
      </c>
      <c r="R44" s="85"/>
      <c r="S44" s="82"/>
      <c r="T44" s="82">
        <v>0.12</v>
      </c>
      <c r="U44" s="82"/>
      <c r="V44" s="82"/>
      <c r="W44" s="82">
        <v>0.26</v>
      </c>
      <c r="X44" s="82"/>
      <c r="Y44" s="82"/>
      <c r="Z44" s="82">
        <v>0.19</v>
      </c>
    </row>
    <row r="45" spans="1:26" s="21" customFormat="1" ht="11.4">
      <c r="A45" s="2"/>
      <c r="B45" s="21" t="s">
        <v>781</v>
      </c>
      <c r="C45" s="23"/>
      <c r="D45" s="22"/>
      <c r="E45" s="82"/>
      <c r="F45" s="85"/>
      <c r="G45" s="82"/>
      <c r="H45" s="82"/>
      <c r="I45" s="82"/>
      <c r="J45" s="82"/>
      <c r="K45" s="82"/>
      <c r="L45" s="82"/>
      <c r="M45" s="82"/>
      <c r="N45" s="82"/>
      <c r="O45" s="82"/>
      <c r="P45" s="22"/>
      <c r="Q45" s="82"/>
      <c r="R45" s="85"/>
      <c r="S45" s="82"/>
      <c r="T45" s="82"/>
      <c r="U45" s="82"/>
      <c r="V45" s="82"/>
      <c r="W45" s="82"/>
      <c r="X45" s="82"/>
      <c r="Y45" s="82"/>
      <c r="Z45" s="82"/>
    </row>
    <row r="46" spans="1:26" s="21" customFormat="1" ht="11.4">
      <c r="A46" s="2"/>
      <c r="C46" s="23" t="s">
        <v>782</v>
      </c>
      <c r="D46" s="22"/>
      <c r="E46" s="82">
        <v>-0.01</v>
      </c>
      <c r="F46" s="85"/>
      <c r="G46" s="82"/>
      <c r="H46" s="82">
        <v>-0.01</v>
      </c>
      <c r="I46" s="82"/>
      <c r="J46" s="82"/>
      <c r="K46" s="82">
        <v>-0.03</v>
      </c>
      <c r="L46" s="82"/>
      <c r="M46" s="82"/>
      <c r="N46" s="82">
        <v>-0.01</v>
      </c>
      <c r="O46" s="82"/>
      <c r="P46" s="22"/>
      <c r="Q46" s="82">
        <v>-0.01</v>
      </c>
      <c r="R46" s="85"/>
      <c r="S46" s="82"/>
      <c r="T46" s="82">
        <v>0.02</v>
      </c>
      <c r="U46" s="82"/>
      <c r="V46" s="82"/>
      <c r="W46" s="82">
        <v>-0.02</v>
      </c>
      <c r="X46" s="82"/>
      <c r="Y46" s="82"/>
      <c r="Z46" s="82">
        <v>0.01</v>
      </c>
    </row>
    <row r="47" spans="1:26" s="21" customFormat="1" ht="11.4">
      <c r="A47" s="2"/>
      <c r="B47" s="21" t="s">
        <v>62</v>
      </c>
      <c r="C47" s="23"/>
      <c r="D47" s="22"/>
      <c r="E47" s="82"/>
      <c r="F47" s="85"/>
      <c r="G47" s="82"/>
      <c r="H47" s="82"/>
      <c r="I47" s="82"/>
      <c r="J47" s="82"/>
      <c r="K47" s="82"/>
      <c r="L47" s="82"/>
      <c r="M47" s="82"/>
      <c r="N47" s="82"/>
      <c r="O47" s="82"/>
      <c r="P47" s="22"/>
      <c r="Q47" s="82"/>
      <c r="R47" s="85"/>
      <c r="S47" s="82"/>
      <c r="T47" s="82"/>
      <c r="U47" s="82"/>
      <c r="V47" s="82"/>
      <c r="W47" s="82"/>
      <c r="X47" s="82"/>
      <c r="Y47" s="82"/>
      <c r="Z47" s="82"/>
    </row>
    <row r="48" spans="1:26" s="21" customFormat="1" ht="11.4">
      <c r="A48" s="2"/>
      <c r="C48" s="78" t="s">
        <v>63</v>
      </c>
      <c r="D48" s="22"/>
      <c r="E48" s="82"/>
      <c r="F48" s="85"/>
      <c r="G48" s="82"/>
      <c r="H48" s="82"/>
      <c r="I48" s="82"/>
      <c r="J48" s="82"/>
      <c r="K48" s="82"/>
      <c r="L48" s="82"/>
      <c r="M48" s="82"/>
      <c r="N48" s="82"/>
      <c r="O48" s="82"/>
      <c r="P48" s="22"/>
      <c r="Q48" s="82"/>
      <c r="R48" s="85"/>
      <c r="S48" s="82"/>
      <c r="T48" s="82"/>
      <c r="U48" s="82"/>
      <c r="V48" s="82"/>
      <c r="W48" s="82"/>
      <c r="X48" s="82"/>
      <c r="Y48" s="82"/>
      <c r="Z48" s="82"/>
    </row>
    <row r="49" spans="1:26" s="21" customFormat="1" ht="11.4">
      <c r="A49" s="2"/>
      <c r="C49" s="78" t="s">
        <v>64</v>
      </c>
      <c r="D49" s="22"/>
      <c r="E49" s="82">
        <v>0</v>
      </c>
      <c r="F49" s="85"/>
      <c r="G49" s="82"/>
      <c r="H49" s="82">
        <v>-0.02</v>
      </c>
      <c r="I49" s="82"/>
      <c r="J49" s="82"/>
      <c r="K49" s="82">
        <v>-0.03</v>
      </c>
      <c r="L49" s="82"/>
      <c r="M49" s="82"/>
      <c r="N49" s="82">
        <v>-0.13</v>
      </c>
      <c r="O49" s="82"/>
      <c r="P49" s="22"/>
      <c r="Q49" s="82">
        <v>-0.01</v>
      </c>
      <c r="R49" s="85"/>
      <c r="S49" s="82"/>
      <c r="T49" s="82">
        <v>-0.04</v>
      </c>
      <c r="U49" s="82"/>
      <c r="V49" s="82"/>
      <c r="W49" s="82">
        <v>-0.02</v>
      </c>
      <c r="X49" s="82"/>
      <c r="Y49" s="82"/>
      <c r="Z49" s="82">
        <v>-0.05</v>
      </c>
    </row>
    <row r="50" spans="1:26" s="21" customFormat="1" ht="12" customHeight="1">
      <c r="A50" s="2"/>
      <c r="B50" s="21" t="s">
        <v>784</v>
      </c>
      <c r="C50" s="78"/>
      <c r="D50" s="22"/>
      <c r="E50" s="82"/>
      <c r="F50" s="85"/>
      <c r="G50" s="82"/>
      <c r="H50" s="82"/>
      <c r="I50" s="82"/>
      <c r="J50" s="82"/>
      <c r="K50" s="82"/>
      <c r="L50" s="82"/>
      <c r="M50" s="82"/>
      <c r="N50" s="82"/>
      <c r="O50" s="82"/>
      <c r="P50" s="22"/>
      <c r="Q50" s="82"/>
      <c r="R50" s="85"/>
      <c r="S50" s="82"/>
      <c r="T50" s="82"/>
      <c r="U50" s="82"/>
      <c r="V50" s="82"/>
      <c r="W50" s="82"/>
      <c r="X50" s="82"/>
      <c r="Y50" s="82"/>
      <c r="Z50" s="82"/>
    </row>
    <row r="51" spans="1:26" s="21" customFormat="1" ht="12" customHeight="1">
      <c r="A51" s="2"/>
      <c r="C51" s="78" t="s">
        <v>785</v>
      </c>
      <c r="D51" s="22"/>
      <c r="E51" s="82">
        <v>0</v>
      </c>
      <c r="F51" s="85"/>
      <c r="G51" s="82"/>
      <c r="H51" s="82">
        <v>0</v>
      </c>
      <c r="I51" s="82"/>
      <c r="J51" s="82"/>
      <c r="K51" s="82">
        <v>0</v>
      </c>
      <c r="L51" s="82"/>
      <c r="M51" s="82"/>
      <c r="N51" s="82">
        <v>0</v>
      </c>
      <c r="O51" s="82"/>
      <c r="P51" s="22"/>
      <c r="Q51" s="82">
        <v>0</v>
      </c>
      <c r="R51" s="85"/>
      <c r="S51" s="82"/>
      <c r="T51" s="82">
        <v>0</v>
      </c>
      <c r="U51" s="82"/>
      <c r="V51" s="82"/>
      <c r="W51" s="82">
        <v>0</v>
      </c>
      <c r="X51" s="82"/>
      <c r="Y51" s="82"/>
      <c r="Z51" s="82">
        <v>0.01</v>
      </c>
    </row>
    <row r="52" spans="1:26" s="21" customFormat="1" ht="11.4">
      <c r="A52" s="2"/>
      <c r="B52" s="21" t="s">
        <v>786</v>
      </c>
      <c r="C52" s="23"/>
      <c r="D52" s="22"/>
      <c r="E52" s="82"/>
      <c r="F52" s="85"/>
      <c r="G52" s="82"/>
      <c r="H52" s="82"/>
      <c r="I52" s="82"/>
      <c r="J52" s="82"/>
      <c r="K52" s="82"/>
      <c r="L52" s="82"/>
      <c r="M52" s="82"/>
      <c r="N52" s="82"/>
      <c r="O52" s="82"/>
      <c r="P52" s="22"/>
      <c r="Q52" s="82"/>
      <c r="R52" s="85"/>
      <c r="S52" s="82"/>
      <c r="T52" s="82"/>
      <c r="U52" s="82"/>
      <c r="V52" s="82"/>
      <c r="W52" s="82"/>
      <c r="X52" s="82"/>
      <c r="Y52" s="82"/>
      <c r="Z52" s="82"/>
    </row>
    <row r="53" spans="1:26" s="21" customFormat="1" ht="11.4">
      <c r="A53" s="2"/>
      <c r="C53" s="23" t="s">
        <v>787</v>
      </c>
      <c r="D53" s="22"/>
      <c r="E53" s="82"/>
      <c r="F53" s="85"/>
      <c r="G53" s="82"/>
      <c r="H53" s="82"/>
      <c r="I53" s="82"/>
      <c r="J53" s="82"/>
      <c r="K53" s="82"/>
      <c r="L53" s="82"/>
      <c r="M53" s="82"/>
      <c r="N53" s="82"/>
      <c r="O53" s="82"/>
      <c r="P53" s="22"/>
      <c r="Q53" s="82"/>
      <c r="R53" s="85"/>
      <c r="S53" s="82"/>
      <c r="T53" s="82"/>
      <c r="U53" s="82"/>
      <c r="V53" s="82"/>
      <c r="W53" s="82"/>
      <c r="X53" s="82"/>
      <c r="Y53" s="82"/>
      <c r="Z53" s="82"/>
    </row>
    <row r="54" spans="1:26" s="21" customFormat="1" ht="11.4">
      <c r="A54" s="2"/>
      <c r="C54" s="23" t="s">
        <v>796</v>
      </c>
      <c r="D54" s="22"/>
      <c r="E54" s="82">
        <v>-0.02</v>
      </c>
      <c r="F54" s="85"/>
      <c r="G54" s="82"/>
      <c r="H54" s="82">
        <v>-0.02</v>
      </c>
      <c r="I54" s="82"/>
      <c r="J54" s="82"/>
      <c r="K54" s="82">
        <v>-0.02</v>
      </c>
      <c r="L54" s="82"/>
      <c r="M54" s="82"/>
      <c r="N54" s="82">
        <v>-0.01</v>
      </c>
      <c r="O54" s="82"/>
      <c r="P54" s="22"/>
      <c r="Q54" s="82">
        <v>-0.02</v>
      </c>
      <c r="R54" s="85"/>
      <c r="S54" s="82"/>
      <c r="T54" s="82">
        <v>-0.02</v>
      </c>
      <c r="U54" s="82"/>
      <c r="V54" s="82"/>
      <c r="W54" s="82">
        <v>-0.04</v>
      </c>
      <c r="X54" s="82"/>
      <c r="Y54" s="82"/>
      <c r="Z54" s="82">
        <v>-0.04</v>
      </c>
    </row>
    <row r="55" spans="1:26" s="21" customFormat="1" ht="11.4">
      <c r="A55" s="2"/>
      <c r="B55" s="79" t="s">
        <v>789</v>
      </c>
      <c r="C55" s="23"/>
      <c r="D55" s="22"/>
      <c r="E55" s="82"/>
      <c r="F55" s="85"/>
      <c r="G55" s="82"/>
      <c r="H55" s="82"/>
      <c r="I55" s="82"/>
      <c r="J55" s="82"/>
      <c r="K55" s="82"/>
      <c r="L55" s="82"/>
      <c r="M55" s="82"/>
      <c r="N55" s="82"/>
      <c r="O55" s="82"/>
      <c r="P55" s="22"/>
      <c r="Q55" s="82"/>
      <c r="R55" s="85"/>
      <c r="S55" s="82"/>
      <c r="T55" s="82"/>
      <c r="U55" s="82"/>
      <c r="V55" s="82"/>
      <c r="W55" s="82"/>
      <c r="X55" s="82"/>
      <c r="Y55" s="82"/>
      <c r="Z55" s="82"/>
    </row>
    <row r="56" spans="1:26" s="21" customFormat="1" ht="11.4">
      <c r="A56" s="2"/>
      <c r="B56" s="79"/>
      <c r="C56" s="348" t="s">
        <v>7</v>
      </c>
      <c r="D56" s="22"/>
      <c r="E56" s="82">
        <v>-0.03</v>
      </c>
      <c r="F56" s="85"/>
      <c r="G56" s="82"/>
      <c r="H56" s="82">
        <v>-0.06</v>
      </c>
      <c r="I56" s="82"/>
      <c r="J56" s="82"/>
      <c r="K56" s="82">
        <v>-0.08</v>
      </c>
      <c r="L56" s="82"/>
      <c r="M56" s="82"/>
      <c r="N56" s="82">
        <v>0</v>
      </c>
      <c r="O56" s="82"/>
      <c r="P56" s="22"/>
      <c r="Q56" s="82">
        <v>0</v>
      </c>
      <c r="R56" s="85"/>
      <c r="S56" s="82"/>
      <c r="T56" s="82">
        <v>0</v>
      </c>
      <c r="U56" s="82"/>
      <c r="V56" s="82"/>
      <c r="W56" s="82">
        <v>-0.09</v>
      </c>
      <c r="X56" s="82"/>
      <c r="Y56" s="82"/>
      <c r="Z56" s="82">
        <v>0</v>
      </c>
    </row>
    <row r="57" spans="1:26" s="21" customFormat="1" ht="11.4">
      <c r="A57" s="2"/>
      <c r="B57" s="79" t="s">
        <v>790</v>
      </c>
      <c r="C57" s="23"/>
      <c r="D57" s="22"/>
      <c r="E57" s="84">
        <v>0.01</v>
      </c>
      <c r="F57" s="85"/>
      <c r="G57" s="82"/>
      <c r="H57" s="84">
        <v>0</v>
      </c>
      <c r="I57" s="82"/>
      <c r="J57" s="82"/>
      <c r="K57" s="84">
        <v>0</v>
      </c>
      <c r="L57" s="82"/>
      <c r="M57" s="82"/>
      <c r="N57" s="84">
        <v>0</v>
      </c>
      <c r="O57" s="82"/>
      <c r="P57" s="22"/>
      <c r="Q57" s="84">
        <v>0.02</v>
      </c>
      <c r="R57" s="85"/>
      <c r="S57" s="82"/>
      <c r="T57" s="84">
        <v>-0.03</v>
      </c>
      <c r="U57" s="82"/>
      <c r="V57" s="82"/>
      <c r="W57" s="84">
        <v>0.01</v>
      </c>
      <c r="X57" s="82"/>
      <c r="Y57" s="82"/>
      <c r="Z57" s="84">
        <v>-0.02</v>
      </c>
    </row>
    <row r="58" spans="1:26" s="21" customFormat="1" ht="6" customHeight="1">
      <c r="A58" s="5"/>
      <c r="C58" s="11"/>
      <c r="D58" s="22"/>
      <c r="E58" s="82"/>
      <c r="F58" s="85"/>
      <c r="G58" s="23"/>
      <c r="H58" s="82"/>
      <c r="I58" s="82"/>
      <c r="J58" s="23"/>
      <c r="K58" s="82"/>
      <c r="L58" s="82"/>
      <c r="M58" s="23"/>
      <c r="N58" s="82"/>
      <c r="O58" s="82"/>
      <c r="P58" s="22"/>
      <c r="Q58" s="82"/>
      <c r="R58" s="85"/>
      <c r="S58" s="23"/>
      <c r="T58" s="82"/>
      <c r="U58" s="82"/>
      <c r="V58" s="23"/>
      <c r="W58" s="82"/>
      <c r="X58" s="82"/>
      <c r="Y58" s="23"/>
      <c r="Z58" s="82"/>
    </row>
    <row r="59" spans="1:26" s="21" customFormat="1" ht="12" thickBot="1">
      <c r="A59" s="5"/>
      <c r="B59" s="21" t="s">
        <v>791</v>
      </c>
      <c r="C59" s="23"/>
      <c r="D59" s="22" t="s">
        <v>108</v>
      </c>
      <c r="E59" s="86">
        <v>0.86</v>
      </c>
      <c r="F59" s="85"/>
      <c r="G59" s="23" t="s">
        <v>108</v>
      </c>
      <c r="H59" s="86">
        <v>1.5299999999999998</v>
      </c>
      <c r="I59" s="82"/>
      <c r="J59" s="23" t="s">
        <v>108</v>
      </c>
      <c r="K59" s="86">
        <v>1.4</v>
      </c>
      <c r="L59" s="82"/>
      <c r="M59" s="23" t="s">
        <v>108</v>
      </c>
      <c r="N59" s="86">
        <v>0.33999999999999997</v>
      </c>
      <c r="O59" s="82"/>
      <c r="P59" s="22" t="s">
        <v>108</v>
      </c>
      <c r="Q59" s="86">
        <v>-1.19</v>
      </c>
      <c r="R59" s="85"/>
      <c r="S59" s="23" t="s">
        <v>108</v>
      </c>
      <c r="T59" s="86">
        <v>0.97999999999999976</v>
      </c>
      <c r="U59" s="82"/>
      <c r="V59" s="23" t="s">
        <v>108</v>
      </c>
      <c r="W59" s="86">
        <v>2.3899999999999997</v>
      </c>
      <c r="X59" s="82"/>
      <c r="Y59" s="23" t="s">
        <v>108</v>
      </c>
      <c r="Z59" s="86">
        <v>-0.19000000000000003</v>
      </c>
    </row>
    <row r="60" spans="1:26" s="21" customFormat="1" ht="6" customHeight="1" thickTop="1">
      <c r="B60" s="23"/>
      <c r="C60" s="11"/>
      <c r="D60" s="22"/>
      <c r="E60" s="23"/>
      <c r="F60" s="85"/>
      <c r="G60" s="23"/>
      <c r="H60" s="23"/>
      <c r="I60" s="23"/>
      <c r="J60" s="23"/>
      <c r="K60" s="23"/>
      <c r="L60" s="23"/>
      <c r="M60" s="23"/>
      <c r="N60" s="23"/>
      <c r="O60" s="23"/>
      <c r="P60" s="22"/>
      <c r="Q60" s="23"/>
      <c r="R60" s="85"/>
      <c r="S60" s="23"/>
      <c r="T60" s="23"/>
      <c r="U60" s="82"/>
      <c r="V60" s="23"/>
      <c r="W60" s="23"/>
      <c r="X60" s="23"/>
      <c r="Y60" s="23"/>
      <c r="Z60" s="23"/>
    </row>
    <row r="61" spans="1:26" s="21" customFormat="1" ht="6" customHeight="1">
      <c r="C61" s="23"/>
      <c r="D61" s="22"/>
      <c r="E61" s="23"/>
      <c r="F61" s="24"/>
      <c r="G61" s="23"/>
      <c r="H61" s="23"/>
      <c r="I61" s="23"/>
      <c r="J61" s="23"/>
      <c r="K61" s="23"/>
      <c r="L61" s="23"/>
      <c r="M61" s="23"/>
      <c r="N61" s="23"/>
      <c r="O61" s="23"/>
      <c r="P61" s="22"/>
      <c r="Q61" s="23"/>
      <c r="R61" s="24"/>
      <c r="S61" s="23"/>
      <c r="T61" s="23"/>
      <c r="U61" s="23"/>
      <c r="V61" s="23"/>
      <c r="W61" s="23"/>
      <c r="X61" s="23"/>
      <c r="Y61" s="23"/>
      <c r="Z61" s="23"/>
    </row>
    <row r="62" spans="1:26" s="21" customFormat="1" ht="12" thickBot="1">
      <c r="B62" s="21" t="s">
        <v>797</v>
      </c>
      <c r="C62" s="23"/>
      <c r="D62" s="22"/>
      <c r="E62" s="87">
        <v>493.8</v>
      </c>
      <c r="F62" s="88"/>
      <c r="G62" s="23"/>
      <c r="H62" s="87">
        <v>501.5</v>
      </c>
      <c r="I62" s="89"/>
      <c r="J62" s="23"/>
      <c r="K62" s="87">
        <v>506.8</v>
      </c>
      <c r="L62" s="89"/>
      <c r="M62" s="23"/>
      <c r="N62" s="87">
        <v>514.20000000000005</v>
      </c>
      <c r="O62" s="89"/>
      <c r="P62" s="22"/>
      <c r="Q62" s="87">
        <v>523.1</v>
      </c>
      <c r="R62" s="88"/>
      <c r="S62" s="23"/>
      <c r="T62" s="87">
        <v>533.6</v>
      </c>
      <c r="U62" s="89"/>
      <c r="V62" s="23"/>
      <c r="W62" s="87">
        <v>497.9</v>
      </c>
      <c r="X62" s="89"/>
      <c r="Y62" s="23"/>
      <c r="Z62" s="87">
        <v>528.20000000000005</v>
      </c>
    </row>
    <row r="63" spans="1:26" s="21" customFormat="1" ht="12.6" thickTop="1" thickBot="1">
      <c r="C63" s="23"/>
      <c r="D63" s="90"/>
      <c r="E63" s="91"/>
      <c r="F63" s="92"/>
      <c r="G63" s="23"/>
      <c r="H63" s="23"/>
      <c r="I63" s="23"/>
      <c r="J63" s="23"/>
      <c r="K63" s="23"/>
      <c r="L63" s="23"/>
      <c r="M63" s="23"/>
      <c r="N63" s="23"/>
      <c r="O63" s="23"/>
      <c r="P63" s="90"/>
      <c r="Q63" s="91"/>
      <c r="R63" s="92"/>
      <c r="S63" s="23"/>
      <c r="T63" s="23"/>
      <c r="U63" s="23"/>
      <c r="V63" s="23"/>
      <c r="W63" s="23"/>
      <c r="X63" s="23"/>
      <c r="Y63" s="23"/>
      <c r="Z63" s="23"/>
    </row>
    <row r="64" spans="1:26" s="21" customFormat="1" ht="11.4">
      <c r="C64" s="23"/>
      <c r="G64" s="23"/>
      <c r="H64" s="23"/>
      <c r="I64" s="23"/>
      <c r="S64" s="23"/>
      <c r="T64" s="23"/>
      <c r="U64" s="23"/>
      <c r="V64" s="23"/>
      <c r="W64" s="23"/>
      <c r="X64" s="23"/>
      <c r="Y64" s="23"/>
      <c r="Z64" s="23"/>
    </row>
    <row r="65" spans="1:26" s="21" customFormat="1" ht="13.2">
      <c r="A65" s="60" t="s">
        <v>770</v>
      </c>
      <c r="B65" s="976" t="s">
        <v>771</v>
      </c>
      <c r="C65" s="976"/>
      <c r="D65" s="976"/>
      <c r="E65" s="976"/>
      <c r="F65" s="976"/>
      <c r="G65" s="976"/>
      <c r="H65" s="976"/>
      <c r="I65" s="976"/>
      <c r="J65" s="976"/>
      <c r="K65" s="976"/>
      <c r="L65" s="976"/>
      <c r="M65" s="976"/>
      <c r="N65" s="976"/>
      <c r="O65" s="976"/>
      <c r="P65" s="976"/>
      <c r="Q65" s="976"/>
      <c r="R65" s="976"/>
      <c r="S65" s="976"/>
      <c r="T65" s="976"/>
      <c r="U65" s="976"/>
      <c r="V65" s="976"/>
      <c r="W65" s="976"/>
      <c r="X65" s="976"/>
      <c r="Y65" s="976"/>
      <c r="Z65" s="976"/>
    </row>
    <row r="66" spans="1:26" s="21" customFormat="1" ht="27.75" customHeight="1">
      <c r="A66" s="60" t="s">
        <v>772</v>
      </c>
      <c r="B66" s="973" t="s">
        <v>773</v>
      </c>
      <c r="C66" s="973"/>
      <c r="D66" s="973"/>
      <c r="E66" s="973"/>
      <c r="F66" s="973"/>
      <c r="G66" s="973"/>
      <c r="H66" s="973"/>
      <c r="I66" s="973"/>
      <c r="J66" s="973"/>
      <c r="K66" s="973"/>
      <c r="L66" s="973"/>
      <c r="M66" s="973"/>
      <c r="N66" s="973"/>
      <c r="O66" s="973"/>
      <c r="P66" s="973"/>
      <c r="Q66" s="973"/>
      <c r="R66" s="973"/>
      <c r="S66" s="973"/>
      <c r="T66" s="973"/>
      <c r="U66" s="973"/>
      <c r="V66" s="973"/>
      <c r="W66" s="973"/>
      <c r="X66" s="973"/>
      <c r="Y66" s="973"/>
      <c r="Z66" s="973"/>
    </row>
    <row r="67" spans="1:26" s="21" customFormat="1" ht="11.4">
      <c r="A67" s="93"/>
      <c r="B67" s="93"/>
      <c r="C67" s="93"/>
      <c r="D67" s="93"/>
      <c r="E67" s="93"/>
      <c r="F67" s="93"/>
      <c r="G67" s="93"/>
      <c r="H67" s="93"/>
      <c r="I67" s="93"/>
      <c r="J67" s="93"/>
      <c r="K67" s="93"/>
      <c r="L67" s="93"/>
      <c r="M67" s="93"/>
      <c r="N67" s="94"/>
      <c r="O67" s="93"/>
      <c r="P67" s="93"/>
      <c r="Q67" s="94"/>
      <c r="R67" s="93"/>
      <c r="S67" s="93"/>
      <c r="T67" s="94"/>
      <c r="U67" s="93"/>
      <c r="V67" s="93"/>
      <c r="W67" s="93"/>
      <c r="X67" s="93"/>
      <c r="Y67" s="93"/>
      <c r="Z67" s="93"/>
    </row>
    <row r="68" spans="1:26" s="21" customFormat="1" ht="11.4">
      <c r="A68" s="93"/>
      <c r="B68" s="93"/>
      <c r="C68" s="93"/>
      <c r="D68" s="93"/>
      <c r="E68" s="93"/>
      <c r="F68" s="93"/>
      <c r="G68" s="93"/>
      <c r="H68" s="93"/>
      <c r="I68" s="93"/>
      <c r="J68" s="93"/>
      <c r="K68" s="93"/>
      <c r="L68" s="93"/>
      <c r="M68" s="93"/>
      <c r="N68" s="94"/>
      <c r="O68" s="93"/>
      <c r="P68" s="93"/>
      <c r="Q68" s="94"/>
      <c r="R68" s="93"/>
      <c r="S68" s="93"/>
      <c r="T68" s="94"/>
      <c r="U68" s="93"/>
      <c r="V68" s="93"/>
      <c r="W68" s="93"/>
      <c r="X68" s="93"/>
      <c r="Y68" s="93"/>
      <c r="Z68" s="93"/>
    </row>
    <row r="69" spans="1:26" s="21" customFormat="1" ht="11.4">
      <c r="A69" s="93"/>
      <c r="B69" s="93"/>
      <c r="C69" s="93"/>
      <c r="D69" s="93"/>
      <c r="E69" s="93"/>
      <c r="F69" s="93"/>
      <c r="G69" s="93"/>
      <c r="H69" s="93"/>
      <c r="I69" s="93"/>
      <c r="J69" s="93"/>
      <c r="K69" s="93"/>
      <c r="L69" s="93"/>
      <c r="M69" s="93"/>
      <c r="N69" s="94"/>
      <c r="O69" s="93"/>
      <c r="P69" s="93"/>
      <c r="Q69" s="94"/>
      <c r="R69" s="93"/>
      <c r="S69" s="93"/>
      <c r="T69" s="94"/>
      <c r="U69" s="93"/>
      <c r="V69" s="93"/>
      <c r="W69" s="93"/>
      <c r="X69" s="93"/>
      <c r="Y69" s="93"/>
      <c r="Z69" s="93"/>
    </row>
    <row r="70" spans="1:26" s="21" customFormat="1" ht="11.4">
      <c r="A70" s="93"/>
      <c r="B70" s="93"/>
      <c r="C70" s="93"/>
      <c r="D70" s="93"/>
      <c r="E70" s="93"/>
      <c r="F70" s="93"/>
      <c r="G70" s="93"/>
      <c r="H70" s="93"/>
      <c r="I70" s="93"/>
      <c r="J70" s="93"/>
      <c r="K70" s="93"/>
      <c r="L70" s="93"/>
      <c r="M70" s="93"/>
      <c r="N70" s="94"/>
      <c r="O70" s="93"/>
      <c r="P70" s="93"/>
      <c r="Q70" s="94"/>
      <c r="R70" s="93"/>
      <c r="S70" s="93"/>
      <c r="T70" s="94"/>
      <c r="U70" s="93"/>
      <c r="V70" s="93"/>
      <c r="W70" s="93"/>
      <c r="X70" s="93"/>
      <c r="Y70" s="93"/>
      <c r="Z70" s="93"/>
    </row>
    <row r="71" spans="1:26" s="21" customFormat="1" ht="11.4">
      <c r="A71" s="93"/>
      <c r="B71" s="93"/>
      <c r="C71" s="93"/>
      <c r="D71" s="93"/>
      <c r="E71" s="93"/>
      <c r="F71" s="93"/>
      <c r="G71" s="93"/>
      <c r="H71" s="93"/>
      <c r="I71" s="93"/>
      <c r="J71" s="93"/>
      <c r="K71" s="93"/>
      <c r="L71" s="93"/>
      <c r="M71" s="93"/>
      <c r="N71" s="94"/>
      <c r="O71" s="93"/>
      <c r="P71" s="93"/>
      <c r="Q71" s="94"/>
      <c r="R71" s="93"/>
      <c r="S71" s="93"/>
      <c r="T71" s="94"/>
      <c r="U71" s="93"/>
      <c r="V71" s="93"/>
      <c r="W71" s="93"/>
      <c r="X71" s="93"/>
      <c r="Y71" s="93"/>
      <c r="Z71" s="93"/>
    </row>
    <row r="72" spans="1:26" s="21" customFormat="1" ht="11.4">
      <c r="A72" s="93"/>
      <c r="B72" s="93"/>
      <c r="C72" s="93"/>
      <c r="D72" s="93"/>
      <c r="E72" s="93"/>
      <c r="F72" s="93"/>
      <c r="G72" s="93"/>
      <c r="H72" s="93"/>
      <c r="I72" s="93"/>
      <c r="J72" s="93"/>
      <c r="K72" s="93"/>
      <c r="L72" s="93"/>
      <c r="M72" s="93"/>
      <c r="N72" s="94"/>
      <c r="O72" s="93"/>
      <c r="P72" s="93"/>
      <c r="Q72" s="94"/>
      <c r="R72" s="93"/>
      <c r="S72" s="93"/>
      <c r="T72" s="94"/>
      <c r="U72" s="93"/>
      <c r="V72" s="93"/>
      <c r="W72" s="93"/>
      <c r="X72" s="93"/>
      <c r="Y72" s="93"/>
      <c r="Z72" s="93"/>
    </row>
    <row r="73" spans="1:26" s="21" customFormat="1" ht="11.4">
      <c r="A73" s="93"/>
      <c r="B73" s="93"/>
      <c r="C73" s="93"/>
      <c r="D73" s="93"/>
      <c r="E73" s="93"/>
      <c r="F73" s="93"/>
      <c r="G73" s="93"/>
      <c r="H73" s="93"/>
      <c r="I73" s="93"/>
      <c r="J73" s="93"/>
      <c r="K73" s="93"/>
      <c r="L73" s="93"/>
      <c r="M73" s="93"/>
      <c r="N73" s="94"/>
      <c r="O73" s="93"/>
      <c r="P73" s="93"/>
      <c r="Q73" s="94"/>
      <c r="R73" s="93"/>
      <c r="S73" s="93"/>
      <c r="T73" s="94"/>
      <c r="U73" s="93"/>
      <c r="V73" s="93"/>
      <c r="W73" s="93"/>
      <c r="X73" s="93"/>
      <c r="Y73" s="93"/>
      <c r="Z73" s="93"/>
    </row>
    <row r="74" spans="1:26" s="21" customFormat="1" ht="11.4">
      <c r="A74" s="93"/>
      <c r="B74" s="93"/>
      <c r="C74" s="93"/>
      <c r="D74" s="93"/>
      <c r="E74" s="93"/>
      <c r="F74" s="93"/>
      <c r="G74" s="93"/>
      <c r="H74" s="93"/>
      <c r="I74" s="93"/>
      <c r="J74" s="93"/>
      <c r="K74" s="93"/>
      <c r="L74" s="93"/>
      <c r="M74" s="93"/>
      <c r="N74" s="94"/>
      <c r="O74" s="93"/>
      <c r="P74" s="93"/>
      <c r="Q74" s="94"/>
      <c r="R74" s="93"/>
      <c r="S74" s="93"/>
      <c r="T74" s="94"/>
      <c r="U74" s="93"/>
      <c r="V74" s="93"/>
      <c r="W74" s="93"/>
      <c r="X74" s="93"/>
      <c r="Y74" s="93"/>
      <c r="Z74" s="93"/>
    </row>
    <row r="75" spans="1:26" s="21" customFormat="1" ht="11.4">
      <c r="A75" s="93"/>
      <c r="B75" s="62"/>
      <c r="C75" s="62"/>
      <c r="D75" s="93"/>
      <c r="E75" s="93"/>
      <c r="F75" s="93"/>
      <c r="G75" s="62"/>
      <c r="H75" s="62"/>
      <c r="I75" s="62"/>
      <c r="J75" s="62"/>
      <c r="K75" s="62"/>
      <c r="L75" s="62"/>
      <c r="M75" s="62"/>
      <c r="N75" s="94"/>
      <c r="O75" s="93"/>
      <c r="P75" s="62"/>
      <c r="Q75" s="94"/>
      <c r="R75" s="62"/>
      <c r="S75" s="62"/>
      <c r="T75" s="94"/>
      <c r="U75" s="62"/>
      <c r="V75" s="93"/>
      <c r="W75" s="93"/>
      <c r="X75" s="93"/>
      <c r="Y75" s="93"/>
      <c r="Z75" s="93"/>
    </row>
    <row r="76" spans="1:26" s="21" customFormat="1" ht="11.4">
      <c r="A76" s="93"/>
      <c r="B76" s="62"/>
      <c r="C76" s="62"/>
      <c r="D76" s="93"/>
      <c r="E76" s="93"/>
      <c r="F76" s="93"/>
      <c r="G76" s="62"/>
      <c r="H76" s="62"/>
      <c r="I76" s="62"/>
      <c r="J76" s="62"/>
      <c r="K76" s="62"/>
      <c r="L76" s="62"/>
      <c r="M76" s="62"/>
      <c r="N76" s="94"/>
      <c r="O76" s="93"/>
      <c r="P76" s="62"/>
      <c r="Q76" s="94"/>
      <c r="R76" s="62"/>
      <c r="S76" s="62"/>
      <c r="T76" s="94"/>
      <c r="U76" s="62"/>
      <c r="V76" s="93"/>
      <c r="W76" s="93"/>
      <c r="X76" s="93"/>
      <c r="Y76" s="93"/>
      <c r="Z76" s="93"/>
    </row>
    <row r="77" spans="1:26" s="21" customFormat="1" ht="11.4">
      <c r="A77" s="93"/>
      <c r="B77" s="62"/>
      <c r="C77" s="62"/>
      <c r="D77" s="62"/>
      <c r="E77" s="62"/>
      <c r="F77" s="62"/>
      <c r="G77" s="62"/>
      <c r="H77" s="62"/>
      <c r="I77" s="62"/>
      <c r="J77" s="62"/>
      <c r="K77" s="62"/>
      <c r="L77" s="62"/>
      <c r="M77" s="62"/>
      <c r="N77" s="94"/>
      <c r="O77" s="93"/>
      <c r="P77" s="62"/>
      <c r="Q77" s="94"/>
      <c r="R77" s="62"/>
      <c r="S77" s="62"/>
      <c r="T77" s="94"/>
      <c r="U77" s="62"/>
      <c r="V77" s="93"/>
      <c r="W77" s="93"/>
      <c r="X77" s="93"/>
      <c r="Y77" s="93"/>
      <c r="Z77" s="93"/>
    </row>
    <row r="78" spans="1:26" s="21" customFormat="1" ht="11.4">
      <c r="A78" s="62"/>
      <c r="B78" s="62"/>
      <c r="C78" s="62"/>
      <c r="D78" s="62"/>
      <c r="E78" s="62"/>
      <c r="F78" s="62"/>
      <c r="G78" s="62"/>
      <c r="H78" s="62"/>
      <c r="I78" s="62"/>
      <c r="J78" s="62"/>
      <c r="K78" s="62"/>
      <c r="L78" s="62"/>
      <c r="M78" s="62"/>
      <c r="N78" s="94"/>
      <c r="O78" s="93"/>
      <c r="P78" s="62"/>
      <c r="Q78" s="94"/>
      <c r="R78" s="62"/>
      <c r="S78" s="62"/>
      <c r="T78" s="94"/>
      <c r="U78" s="62"/>
      <c r="V78" s="93"/>
      <c r="W78" s="93"/>
      <c r="X78" s="93"/>
      <c r="Y78" s="93"/>
      <c r="Z78" s="93"/>
    </row>
    <row r="79" spans="1:26" s="63" customFormat="1" ht="11.4">
      <c r="A79" s="62"/>
      <c r="B79" s="62"/>
      <c r="C79" s="62"/>
      <c r="D79" s="62"/>
      <c r="E79" s="62"/>
      <c r="F79" s="62"/>
      <c r="G79" s="62"/>
      <c r="H79" s="62"/>
      <c r="I79" s="62"/>
      <c r="J79" s="62"/>
      <c r="K79" s="62"/>
      <c r="L79" s="62"/>
      <c r="M79" s="62"/>
      <c r="N79" s="94"/>
      <c r="O79" s="93"/>
      <c r="P79" s="62"/>
      <c r="Q79" s="94"/>
      <c r="R79" s="62"/>
      <c r="S79" s="62"/>
      <c r="T79" s="94"/>
      <c r="U79" s="62"/>
      <c r="V79" s="62"/>
      <c r="W79" s="62"/>
      <c r="X79" s="62"/>
      <c r="Y79" s="62"/>
      <c r="Z79" s="62"/>
    </row>
    <row r="80" spans="1:26" s="63" customFormat="1" ht="11.4">
      <c r="A80" s="62"/>
      <c r="B80" s="62"/>
      <c r="C80" s="62"/>
      <c r="D80" s="62"/>
      <c r="E80" s="62"/>
      <c r="F80" s="62"/>
      <c r="G80" s="62"/>
      <c r="H80" s="62"/>
      <c r="I80" s="62"/>
      <c r="J80" s="62"/>
      <c r="K80" s="62"/>
      <c r="L80" s="62"/>
      <c r="M80" s="62"/>
      <c r="N80" s="94"/>
      <c r="O80" s="93"/>
      <c r="P80" s="62"/>
      <c r="Q80" s="94"/>
      <c r="R80" s="62"/>
      <c r="S80" s="62"/>
      <c r="T80" s="94"/>
      <c r="U80" s="62"/>
      <c r="V80" s="62"/>
      <c r="W80" s="62"/>
      <c r="X80" s="62"/>
      <c r="Y80" s="62"/>
      <c r="Z80" s="62"/>
    </row>
    <row r="81" spans="14:20" s="63" customFormat="1" ht="11.4">
      <c r="N81" s="83"/>
      <c r="O81" s="21"/>
      <c r="Q81" s="83"/>
      <c r="T81" s="83"/>
    </row>
    <row r="82" spans="14:20" s="63" customFormat="1" ht="11.4">
      <c r="N82" s="83"/>
      <c r="O82" s="21"/>
      <c r="Q82" s="83"/>
      <c r="T82" s="83"/>
    </row>
    <row r="83" spans="14:20" s="63" customFormat="1" ht="11.4">
      <c r="N83" s="83"/>
      <c r="O83" s="21"/>
      <c r="Q83" s="83"/>
      <c r="T83" s="83"/>
    </row>
    <row r="84" spans="14:20" s="63" customFormat="1" ht="11.4">
      <c r="N84" s="83"/>
      <c r="O84" s="21"/>
      <c r="Q84" s="83"/>
      <c r="T84" s="83"/>
    </row>
    <row r="85" spans="14:20" s="63" customFormat="1" ht="11.4">
      <c r="N85" s="83"/>
      <c r="O85" s="21"/>
      <c r="Q85" s="83"/>
      <c r="T85" s="83"/>
    </row>
    <row r="86" spans="14:20" s="63" customFormat="1" ht="11.4">
      <c r="N86" s="83"/>
      <c r="O86" s="21"/>
      <c r="Q86" s="83"/>
      <c r="T86" s="83"/>
    </row>
    <row r="87" spans="14:20" s="63" customFormat="1" ht="11.4">
      <c r="N87" s="83"/>
      <c r="O87" s="21"/>
      <c r="Q87" s="83"/>
      <c r="T87" s="83"/>
    </row>
    <row r="88" spans="14:20" s="63" customFormat="1" ht="11.4">
      <c r="N88" s="83"/>
      <c r="O88" s="21"/>
      <c r="Q88" s="83"/>
      <c r="T88" s="83"/>
    </row>
    <row r="89" spans="14:20" s="63" customFormat="1" ht="11.4">
      <c r="Q89" s="83"/>
      <c r="T89" s="83"/>
    </row>
    <row r="90" spans="14:20" s="63" customFormat="1"/>
    <row r="91" spans="14:20" s="63" customFormat="1"/>
    <row r="92" spans="14:20" s="63" customFormat="1"/>
    <row r="93" spans="14:20" s="63" customFormat="1"/>
    <row r="94" spans="14:20" s="63" customFormat="1"/>
    <row r="95" spans="14:20" s="63" customFormat="1"/>
    <row r="96" spans="14:20" s="63" customFormat="1"/>
    <row r="97" s="63" customFormat="1"/>
    <row r="98" s="63" customFormat="1"/>
    <row r="99" s="63" customFormat="1"/>
    <row r="100" s="63" customFormat="1"/>
    <row r="101" s="63" customFormat="1"/>
    <row r="102" s="63" customFormat="1"/>
    <row r="103" s="63" customFormat="1"/>
    <row r="104" s="63" customFormat="1"/>
    <row r="105" s="63" customFormat="1"/>
    <row r="106" s="63" customFormat="1"/>
    <row r="107" s="63" customFormat="1"/>
    <row r="108" s="63" customFormat="1"/>
    <row r="109" s="63" customFormat="1"/>
    <row r="110" s="63" customFormat="1"/>
    <row r="111" s="63" customFormat="1"/>
    <row r="112" s="63" customFormat="1"/>
    <row r="113" s="63" customFormat="1"/>
    <row r="114" s="63" customFormat="1"/>
    <row r="115" s="63" customFormat="1"/>
    <row r="116" s="63" customFormat="1"/>
    <row r="117" s="63" customFormat="1"/>
    <row r="118" s="63" customFormat="1"/>
    <row r="119" s="63" customFormat="1"/>
    <row r="120" s="63" customFormat="1"/>
    <row r="121" s="63" customFormat="1"/>
    <row r="122" s="63" customFormat="1"/>
    <row r="123" s="63" customFormat="1"/>
    <row r="124" s="63" customFormat="1"/>
    <row r="125" s="63" customFormat="1"/>
    <row r="126" s="63" customFormat="1"/>
    <row r="127" s="63" customFormat="1"/>
    <row r="128" s="63" customFormat="1"/>
    <row r="129" s="63" customFormat="1"/>
    <row r="130" s="63" customFormat="1"/>
    <row r="131" s="63" customFormat="1"/>
    <row r="132" s="63" customFormat="1"/>
    <row r="133" s="63" customFormat="1"/>
    <row r="134" s="63" customFormat="1"/>
    <row r="135" s="63" customFormat="1"/>
    <row r="136" s="63" customFormat="1"/>
    <row r="137" s="63" customFormat="1"/>
    <row r="138" s="63" customFormat="1"/>
    <row r="139" s="63" customFormat="1"/>
    <row r="140" s="63" customFormat="1"/>
    <row r="141" s="63" customFormat="1"/>
    <row r="142" s="63" customFormat="1"/>
    <row r="143" s="63" customFormat="1"/>
    <row r="144" s="63" customFormat="1"/>
    <row r="145" s="63" customFormat="1"/>
    <row r="146" s="63" customFormat="1"/>
    <row r="147" s="63" customFormat="1"/>
    <row r="148" s="63" customFormat="1"/>
    <row r="149" s="63" customFormat="1"/>
    <row r="150" s="63" customFormat="1"/>
    <row r="151" s="63" customFormat="1"/>
    <row r="152" s="63" customFormat="1"/>
    <row r="153" s="63" customFormat="1"/>
    <row r="154" s="63" customFormat="1"/>
    <row r="155" s="63" customFormat="1"/>
    <row r="156" s="63" customFormat="1"/>
    <row r="157" s="63" customFormat="1"/>
    <row r="158" s="63" customFormat="1"/>
    <row r="159" s="63" customFormat="1"/>
    <row r="160" s="63" customFormat="1"/>
    <row r="161" s="63" customFormat="1"/>
    <row r="162" s="63" customFormat="1"/>
    <row r="163" s="63" customFormat="1"/>
    <row r="164" s="63" customFormat="1"/>
    <row r="165" s="63" customFormat="1"/>
    <row r="166" s="63" customFormat="1"/>
    <row r="167" s="63" customFormat="1"/>
    <row r="168" s="63" customFormat="1"/>
    <row r="169" s="63" customFormat="1"/>
    <row r="170" s="63" customFormat="1"/>
    <row r="171" s="63" customFormat="1"/>
    <row r="172" s="63" customFormat="1"/>
    <row r="173" s="63" customFormat="1"/>
    <row r="174" s="63" customFormat="1"/>
    <row r="175" s="63" customFormat="1"/>
    <row r="176" s="63" customFormat="1"/>
    <row r="177" s="63" customFormat="1"/>
    <row r="178" s="63" customFormat="1"/>
    <row r="179" s="63" customFormat="1"/>
    <row r="180" s="63" customFormat="1"/>
    <row r="181" s="63" customFormat="1"/>
    <row r="182" s="63" customFormat="1"/>
    <row r="183" s="63" customFormat="1"/>
    <row r="184" s="63" customFormat="1"/>
    <row r="185" s="63" customFormat="1"/>
    <row r="186" s="63" customFormat="1"/>
    <row r="187" s="63" customFormat="1"/>
    <row r="188" s="63" customFormat="1"/>
    <row r="189" s="63" customFormat="1"/>
    <row r="190" s="63" customFormat="1"/>
    <row r="191" s="63" customFormat="1"/>
    <row r="192" s="63" customFormat="1"/>
    <row r="193" s="63" customFormat="1"/>
    <row r="194" s="63" customFormat="1"/>
    <row r="195" s="63" customFormat="1"/>
    <row r="196" s="63" customFormat="1"/>
    <row r="197" s="63" customFormat="1"/>
    <row r="198" s="63" customFormat="1"/>
    <row r="199" s="63" customFormat="1"/>
    <row r="200" s="63" customFormat="1"/>
    <row r="201" s="63" customFormat="1"/>
    <row r="202" s="63" customFormat="1"/>
    <row r="203" s="63" customFormat="1"/>
    <row r="204" s="63" customFormat="1"/>
    <row r="205" s="63" customFormat="1"/>
    <row r="206" s="63" customFormat="1"/>
    <row r="207" s="63" customFormat="1"/>
    <row r="208" s="63" customFormat="1"/>
    <row r="209" s="63" customFormat="1"/>
    <row r="210" s="63" customFormat="1"/>
    <row r="211" s="63" customFormat="1"/>
    <row r="212" s="63" customFormat="1"/>
    <row r="213" s="63" customFormat="1"/>
    <row r="214" s="63" customFormat="1"/>
    <row r="215" s="63" customFormat="1"/>
    <row r="216" s="63" customFormat="1"/>
    <row r="217" s="63" customFormat="1"/>
    <row r="218" s="63" customFormat="1"/>
    <row r="219" s="63" customFormat="1"/>
    <row r="220" s="63" customFormat="1"/>
    <row r="221" s="63" customFormat="1"/>
    <row r="222" s="63" customFormat="1"/>
    <row r="223" s="63" customFormat="1"/>
    <row r="224" s="63" customFormat="1"/>
    <row r="225" s="63" customFormat="1"/>
    <row r="226" s="63" customFormat="1"/>
    <row r="227" s="63" customFormat="1"/>
    <row r="228" s="63" customFormat="1"/>
    <row r="229" s="63" customFormat="1"/>
    <row r="230" s="63" customFormat="1"/>
    <row r="231" s="63" customFormat="1"/>
    <row r="232" s="63" customFormat="1"/>
    <row r="233" s="63" customFormat="1"/>
    <row r="234" s="63" customFormat="1"/>
    <row r="235" s="63" customFormat="1"/>
    <row r="236" s="63" customFormat="1"/>
    <row r="237" s="63" customFormat="1"/>
    <row r="238" s="63" customFormat="1"/>
    <row r="239" s="63" customFormat="1"/>
    <row r="240" s="63" customFormat="1"/>
    <row r="241" s="63" customFormat="1"/>
    <row r="242" s="63" customFormat="1"/>
    <row r="243" s="63" customFormat="1"/>
    <row r="244" s="63" customFormat="1"/>
    <row r="245" s="63" customFormat="1"/>
    <row r="246" s="63" customFormat="1"/>
    <row r="247" s="63" customFormat="1"/>
    <row r="248" s="63" customFormat="1"/>
    <row r="249" s="63" customFormat="1"/>
    <row r="250" s="63" customFormat="1"/>
    <row r="251" s="63" customFormat="1"/>
    <row r="252" s="63" customFormat="1"/>
    <row r="253" s="63" customFormat="1"/>
    <row r="254" s="63" customFormat="1"/>
    <row r="255" s="63" customFormat="1"/>
    <row r="256" s="63" customFormat="1"/>
    <row r="257" s="63" customFormat="1"/>
    <row r="258" s="63" customFormat="1"/>
    <row r="259" s="63" customFormat="1"/>
    <row r="260" s="63" customFormat="1"/>
    <row r="261" s="63" customFormat="1"/>
    <row r="262" s="63" customFormat="1"/>
    <row r="263" s="63" customFormat="1"/>
    <row r="264" s="63" customFormat="1"/>
    <row r="265" s="63" customFormat="1"/>
    <row r="266" s="63" customFormat="1"/>
    <row r="267" s="63" customFormat="1"/>
    <row r="268" s="63" customFormat="1"/>
    <row r="269" s="63" customFormat="1"/>
    <row r="270" s="63" customFormat="1"/>
    <row r="271" s="63" customFormat="1"/>
    <row r="272" s="63" customFormat="1"/>
    <row r="273" s="63" customFormat="1"/>
    <row r="274" s="63" customFormat="1"/>
    <row r="275" s="63" customFormat="1"/>
    <row r="276" s="63" customFormat="1"/>
    <row r="277" s="63" customFormat="1"/>
    <row r="278" s="63" customFormat="1"/>
    <row r="279" s="63" customFormat="1"/>
    <row r="280" s="63" customFormat="1"/>
    <row r="281" s="63" customFormat="1"/>
    <row r="282" s="63" customFormat="1"/>
    <row r="283" s="63" customFormat="1"/>
    <row r="284" s="63" customFormat="1"/>
    <row r="285" s="63" customFormat="1"/>
    <row r="286" s="63" customFormat="1"/>
    <row r="287" s="63" customFormat="1"/>
    <row r="288" s="63" customFormat="1"/>
    <row r="289" s="63" customFormat="1"/>
    <row r="290" s="63" customFormat="1"/>
    <row r="291" s="63" customFormat="1"/>
    <row r="292" s="63" customFormat="1"/>
    <row r="293" s="63" customFormat="1"/>
    <row r="294" s="63" customFormat="1"/>
    <row r="295" s="63" customFormat="1"/>
    <row r="296" s="63" customFormat="1"/>
    <row r="297" s="63" customFormat="1"/>
    <row r="298" s="63" customFormat="1"/>
    <row r="299" s="63" customFormat="1"/>
    <row r="300" s="63" customFormat="1"/>
    <row r="301" s="63" customFormat="1"/>
    <row r="302" s="63" customFormat="1"/>
    <row r="303" s="63" customFormat="1"/>
    <row r="304" s="63" customFormat="1"/>
    <row r="305" s="63" customFormat="1"/>
    <row r="306" s="63" customFormat="1"/>
    <row r="307" s="63" customFormat="1"/>
    <row r="308" s="63" customFormat="1"/>
    <row r="309" s="63" customFormat="1"/>
    <row r="310" s="63" customFormat="1"/>
    <row r="311" s="63" customFormat="1"/>
    <row r="312" s="63" customFormat="1"/>
    <row r="313" s="63" customFormat="1"/>
    <row r="314" s="63" customFormat="1"/>
    <row r="315" s="63" customFormat="1"/>
    <row r="316" s="63" customFormat="1"/>
    <row r="317" s="63" customFormat="1"/>
    <row r="318" s="63" customFormat="1"/>
    <row r="319" s="63" customFormat="1"/>
    <row r="320" s="63" customFormat="1"/>
    <row r="321" s="63" customFormat="1"/>
    <row r="322" s="63" customFormat="1"/>
    <row r="323" s="63" customFormat="1"/>
    <row r="324" s="63" customFormat="1"/>
    <row r="325" s="63" customFormat="1"/>
    <row r="326" s="63" customFormat="1"/>
    <row r="327" s="63" customFormat="1"/>
    <row r="328" s="63" customFormat="1"/>
    <row r="329" s="63" customFormat="1"/>
    <row r="330" s="63" customFormat="1"/>
    <row r="331" s="63" customFormat="1"/>
    <row r="332" s="63" customFormat="1"/>
    <row r="333" s="63" customFormat="1"/>
    <row r="334" s="63" customFormat="1"/>
    <row r="335" s="63" customFormat="1"/>
    <row r="336" s="63" customFormat="1"/>
    <row r="337" s="63" customFormat="1"/>
    <row r="338" s="63" customFormat="1"/>
    <row r="339" s="63" customFormat="1"/>
    <row r="340" s="63" customFormat="1"/>
    <row r="341" s="63" customFormat="1"/>
    <row r="342" s="63" customFormat="1"/>
    <row r="343" s="63" customFormat="1"/>
    <row r="344" s="63" customFormat="1"/>
    <row r="345" s="63" customFormat="1"/>
    <row r="346" s="63" customFormat="1"/>
    <row r="347" s="63" customFormat="1"/>
    <row r="348" s="63" customFormat="1"/>
    <row r="349" s="63" customFormat="1"/>
    <row r="350" s="63" customFormat="1"/>
    <row r="351" s="63" customFormat="1"/>
    <row r="352" s="63" customFormat="1"/>
    <row r="353" s="63" customFormat="1"/>
    <row r="354" s="63" customFormat="1"/>
    <row r="355" s="63" customFormat="1"/>
    <row r="356" s="63" customFormat="1"/>
    <row r="357" s="63" customFormat="1"/>
    <row r="358" s="63" customFormat="1"/>
    <row r="359" s="63" customFormat="1"/>
    <row r="360" s="63" customFormat="1"/>
    <row r="361" s="63" customFormat="1"/>
    <row r="362" s="63" customFormat="1"/>
    <row r="363" s="63" customFormat="1"/>
    <row r="364" s="63" customFormat="1"/>
    <row r="365" s="63" customFormat="1"/>
    <row r="366" s="63" customFormat="1"/>
    <row r="367" s="63" customFormat="1"/>
    <row r="368" s="63" customFormat="1"/>
    <row r="369" spans="2:21" s="63" customFormat="1"/>
    <row r="370" spans="2:21" s="63" customFormat="1"/>
    <row r="371" spans="2:21" s="63" customFormat="1"/>
    <row r="372" spans="2:21" s="63" customFormat="1"/>
    <row r="373" spans="2:21" s="63" customFormat="1"/>
    <row r="374" spans="2:21" s="63" customFormat="1"/>
    <row r="375" spans="2:21" s="63" customFormat="1"/>
    <row r="376" spans="2:21" s="63" customFormat="1"/>
    <row r="377" spans="2:21" s="63" customFormat="1"/>
    <row r="378" spans="2:21" s="63" customFormat="1"/>
    <row r="379" spans="2:21" s="63" customFormat="1"/>
    <row r="380" spans="2:21" s="63" customFormat="1"/>
    <row r="381" spans="2:21" s="63" customFormat="1"/>
    <row r="382" spans="2:21" s="63" customFormat="1"/>
    <row r="383" spans="2:21" s="63" customFormat="1"/>
    <row r="384" spans="2:21" s="63" customFormat="1">
      <c r="B384" s="2"/>
      <c r="C384" s="2"/>
      <c r="G384" s="2"/>
      <c r="H384" s="2"/>
      <c r="I384" s="2"/>
      <c r="J384" s="2"/>
      <c r="K384" s="2"/>
      <c r="L384" s="2"/>
      <c r="M384" s="2"/>
      <c r="N384" s="2"/>
      <c r="O384" s="2"/>
      <c r="P384" s="2"/>
      <c r="Q384" s="2"/>
      <c r="R384" s="2"/>
      <c r="S384" s="2"/>
      <c r="T384" s="2"/>
      <c r="U384" s="2"/>
    </row>
    <row r="385" spans="1:21" s="63" customFormat="1">
      <c r="B385" s="2"/>
      <c r="C385" s="2"/>
      <c r="G385" s="2"/>
      <c r="H385" s="2"/>
      <c r="I385" s="2"/>
      <c r="J385" s="2"/>
      <c r="K385" s="2"/>
      <c r="L385" s="2"/>
      <c r="M385" s="2"/>
      <c r="N385" s="2"/>
      <c r="O385" s="2"/>
      <c r="P385" s="2"/>
      <c r="Q385" s="2"/>
      <c r="R385" s="2"/>
      <c r="S385" s="2"/>
      <c r="T385" s="2"/>
      <c r="U385" s="2"/>
    </row>
    <row r="386" spans="1:21" s="63" customFormat="1">
      <c r="B386" s="2"/>
      <c r="C386" s="2"/>
      <c r="D386" s="2"/>
      <c r="E386" s="2"/>
      <c r="F386" s="2"/>
      <c r="G386" s="2"/>
      <c r="H386" s="2"/>
      <c r="I386" s="2"/>
      <c r="J386" s="2"/>
      <c r="K386" s="2"/>
      <c r="L386" s="2"/>
      <c r="M386" s="2"/>
      <c r="N386" s="2"/>
      <c r="O386" s="2"/>
      <c r="P386" s="2"/>
      <c r="Q386" s="2"/>
      <c r="R386" s="2"/>
      <c r="S386" s="2"/>
      <c r="T386" s="2"/>
      <c r="U386" s="2"/>
    </row>
    <row r="387" spans="1:21" s="63" customFormat="1">
      <c r="A387" s="2"/>
      <c r="B387" s="2"/>
      <c r="C387" s="2"/>
      <c r="D387" s="2"/>
      <c r="E387" s="2"/>
      <c r="F387" s="2"/>
      <c r="G387" s="2"/>
      <c r="H387" s="2"/>
      <c r="I387" s="2"/>
      <c r="J387" s="2"/>
      <c r="K387" s="2"/>
      <c r="L387" s="2"/>
      <c r="M387" s="2"/>
      <c r="N387" s="2"/>
      <c r="O387" s="2"/>
      <c r="P387" s="2"/>
      <c r="Q387" s="2"/>
      <c r="R387" s="2"/>
      <c r="S387" s="2"/>
      <c r="T387" s="2"/>
      <c r="U387" s="2"/>
    </row>
  </sheetData>
  <mergeCells count="7">
    <mergeCell ref="B65:Z65"/>
    <mergeCell ref="B66:Z66"/>
    <mergeCell ref="A1:Z1"/>
    <mergeCell ref="A2:Z2"/>
    <mergeCell ref="A3:Z3"/>
    <mergeCell ref="D5:T5"/>
    <mergeCell ref="W5:Z5"/>
  </mergeCells>
  <phoneticPr fontId="24" type="noConversion"/>
  <printOptions horizontalCentered="1"/>
  <pageMargins left="0.25" right="0.25" top="0.5" bottom="0.5" header="0.3" footer="0.25"/>
  <pageSetup scale="75" orientation="landscape" r:id="rId1"/>
  <headerFooter alignWithMargins="0">
    <oddFooter>&amp;R&amp;"Calibri,Regular"&amp;A</oddFooter>
  </headerFooter>
  <ignoredErrors>
    <ignoredError sqref="A65:A66" numberStoredAsText="1"/>
  </ignoredErrors>
</worksheet>
</file>

<file path=xl/worksheets/sheet5.xml><?xml version="1.0" encoding="utf-8"?>
<worksheet xmlns="http://schemas.openxmlformats.org/spreadsheetml/2006/main" xmlns:r="http://schemas.openxmlformats.org/officeDocument/2006/relationships">
  <dimension ref="A1:Z334"/>
  <sheetViews>
    <sheetView zoomScale="75" zoomScaleNormal="75" workbookViewId="0"/>
  </sheetViews>
  <sheetFormatPr defaultColWidth="8" defaultRowHeight="11.4"/>
  <cols>
    <col min="1" max="2" width="2.44140625" style="5" customWidth="1"/>
    <col min="3" max="3" width="39.33203125" style="5" customWidth="1"/>
    <col min="4" max="4" width="2.44140625" style="5" customWidth="1"/>
    <col min="5" max="5" width="8.44140625" style="5" customWidth="1"/>
    <col min="6" max="7" width="2.44140625" style="5" customWidth="1"/>
    <col min="8" max="8" width="8.44140625" style="5" customWidth="1"/>
    <col min="9" max="10" width="2.44140625" style="5" customWidth="1"/>
    <col min="11" max="11" width="8.44140625" style="5" customWidth="1"/>
    <col min="12" max="13" width="2.44140625" style="5" customWidth="1"/>
    <col min="14" max="14" width="8.44140625" style="5" customWidth="1"/>
    <col min="15" max="16" width="2.44140625" style="5" customWidth="1"/>
    <col min="17" max="17" width="8.44140625" style="5" customWidth="1"/>
    <col min="18" max="19" width="2.44140625" style="5" customWidth="1"/>
    <col min="20" max="20" width="8.44140625" style="67" customWidth="1"/>
    <col min="21" max="21" width="2.44140625" style="67" customWidth="1"/>
    <col min="22" max="22" width="2.44140625" style="5" customWidth="1"/>
    <col min="23" max="23" width="8.44140625" style="5" customWidth="1"/>
    <col min="24" max="25" width="2.44140625" style="5" customWidth="1"/>
    <col min="26" max="26" width="8.44140625" style="5" customWidth="1"/>
    <col min="27" max="16384" width="8" style="5"/>
  </cols>
  <sheetData>
    <row r="1" spans="1:26" ht="13.2">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972"/>
    </row>
    <row r="2" spans="1:26" ht="13.2">
      <c r="A2" s="972" t="s">
        <v>799</v>
      </c>
      <c r="B2" s="972"/>
      <c r="C2" s="972"/>
      <c r="D2" s="972"/>
      <c r="E2" s="972"/>
      <c r="F2" s="972"/>
      <c r="G2" s="972"/>
      <c r="H2" s="972"/>
      <c r="I2" s="972"/>
      <c r="J2" s="972"/>
      <c r="K2" s="972"/>
      <c r="L2" s="972"/>
      <c r="M2" s="972"/>
      <c r="N2" s="972"/>
      <c r="O2" s="972"/>
      <c r="P2" s="972"/>
      <c r="Q2" s="972"/>
      <c r="R2" s="972"/>
      <c r="S2" s="972"/>
      <c r="T2" s="972"/>
      <c r="U2" s="972"/>
      <c r="V2" s="972"/>
      <c r="W2" s="972"/>
      <c r="X2" s="972"/>
      <c r="Y2" s="972"/>
      <c r="Z2" s="972"/>
    </row>
    <row r="3" spans="1:26">
      <c r="A3" s="974" t="s">
        <v>800</v>
      </c>
      <c r="B3" s="974"/>
      <c r="C3" s="974"/>
      <c r="D3" s="974"/>
      <c r="E3" s="974"/>
      <c r="F3" s="974"/>
      <c r="G3" s="974"/>
      <c r="H3" s="974"/>
      <c r="I3" s="974"/>
      <c r="J3" s="974"/>
      <c r="K3" s="974"/>
      <c r="L3" s="974"/>
      <c r="M3" s="974"/>
      <c r="N3" s="974"/>
      <c r="O3" s="974"/>
      <c r="P3" s="974"/>
      <c r="Q3" s="974"/>
      <c r="R3" s="974"/>
      <c r="S3" s="974"/>
      <c r="T3" s="974"/>
      <c r="U3" s="974"/>
      <c r="V3" s="974"/>
      <c r="W3" s="974"/>
      <c r="X3" s="974"/>
      <c r="Y3" s="974"/>
      <c r="Z3" s="974"/>
    </row>
    <row r="4" spans="1:26" ht="12">
      <c r="A4" s="95"/>
      <c r="B4" s="96"/>
      <c r="C4" s="96"/>
      <c r="D4" s="96"/>
      <c r="E4" s="96"/>
      <c r="F4" s="96"/>
      <c r="G4" s="96"/>
      <c r="H4" s="96"/>
      <c r="I4" s="96"/>
      <c r="J4" s="96"/>
      <c r="K4" s="96"/>
      <c r="L4" s="96"/>
      <c r="M4" s="96"/>
      <c r="N4" s="96"/>
      <c r="O4" s="96"/>
      <c r="P4" s="96"/>
      <c r="Q4" s="96"/>
      <c r="R4" s="96"/>
      <c r="S4" s="96"/>
      <c r="T4" s="96"/>
      <c r="U4" s="96"/>
    </row>
    <row r="5" spans="1:26" ht="12.75" customHeight="1">
      <c r="D5" s="975" t="s">
        <v>99</v>
      </c>
      <c r="E5" s="975"/>
      <c r="F5" s="975"/>
      <c r="G5" s="975"/>
      <c r="H5" s="975"/>
      <c r="I5" s="975"/>
      <c r="J5" s="975"/>
      <c r="K5" s="975"/>
      <c r="L5" s="975"/>
      <c r="M5" s="975"/>
      <c r="N5" s="975"/>
      <c r="O5" s="975"/>
      <c r="P5" s="975"/>
      <c r="Q5" s="975"/>
      <c r="R5" s="975"/>
      <c r="S5" s="975"/>
      <c r="T5" s="975"/>
      <c r="U5" s="96"/>
      <c r="W5" s="975" t="s">
        <v>100</v>
      </c>
      <c r="X5" s="975"/>
      <c r="Y5" s="975"/>
      <c r="Z5" s="975"/>
    </row>
    <row r="6" spans="1:26" ht="12" thickBot="1">
      <c r="T6" s="6"/>
      <c r="U6" s="96"/>
      <c r="W6" s="6"/>
      <c r="X6" s="6"/>
      <c r="Z6" s="6"/>
    </row>
    <row r="7" spans="1:26">
      <c r="C7" s="11"/>
      <c r="D7" s="7"/>
      <c r="E7" s="8" t="s">
        <v>104</v>
      </c>
      <c r="F7" s="9"/>
      <c r="G7" s="6"/>
      <c r="H7" s="6" t="s">
        <v>105</v>
      </c>
      <c r="I7" s="11"/>
      <c r="J7" s="6"/>
      <c r="K7" s="6" t="s">
        <v>102</v>
      </c>
      <c r="L7" s="11"/>
      <c r="M7" s="6"/>
      <c r="N7" s="6" t="s">
        <v>103</v>
      </c>
      <c r="O7" s="11"/>
      <c r="P7" s="7"/>
      <c r="Q7" s="8" t="s">
        <v>104</v>
      </c>
      <c r="R7" s="9"/>
      <c r="S7" s="6"/>
      <c r="T7" s="6" t="s">
        <v>105</v>
      </c>
      <c r="U7" s="6"/>
      <c r="V7" s="6"/>
      <c r="W7" s="6" t="s">
        <v>104</v>
      </c>
      <c r="X7" s="6"/>
      <c r="Y7" s="6"/>
      <c r="Z7" s="6" t="s">
        <v>104</v>
      </c>
    </row>
    <row r="8" spans="1:26">
      <c r="C8" s="11"/>
      <c r="D8" s="12"/>
      <c r="E8" s="791" t="s">
        <v>1</v>
      </c>
      <c r="F8" s="14"/>
      <c r="G8" s="11"/>
      <c r="H8" s="791" t="s">
        <v>1</v>
      </c>
      <c r="I8" s="11"/>
      <c r="J8" s="11"/>
      <c r="K8" s="791" t="s">
        <v>2</v>
      </c>
      <c r="L8" s="11"/>
      <c r="M8" s="11"/>
      <c r="N8" s="791" t="s">
        <v>2</v>
      </c>
      <c r="O8" s="11"/>
      <c r="P8" s="12"/>
      <c r="Q8" s="791" t="s">
        <v>2</v>
      </c>
      <c r="R8" s="14"/>
      <c r="S8" s="11"/>
      <c r="T8" s="791" t="s">
        <v>2</v>
      </c>
      <c r="U8" s="6"/>
      <c r="V8" s="11"/>
      <c r="W8" s="791" t="s">
        <v>1</v>
      </c>
      <c r="X8" s="6"/>
      <c r="Y8" s="11"/>
      <c r="Z8" s="791" t="s">
        <v>2</v>
      </c>
    </row>
    <row r="9" spans="1:26" s="16" customFormat="1">
      <c r="C9" s="18"/>
      <c r="D9" s="17"/>
      <c r="E9" s="18"/>
      <c r="F9" s="19"/>
      <c r="G9" s="18"/>
      <c r="H9" s="18"/>
      <c r="I9" s="18"/>
      <c r="J9" s="18"/>
      <c r="K9" s="18"/>
      <c r="L9" s="18"/>
      <c r="M9" s="18"/>
      <c r="N9" s="18"/>
      <c r="O9" s="18"/>
      <c r="P9" s="17"/>
      <c r="Q9" s="18"/>
      <c r="R9" s="19"/>
      <c r="S9" s="18"/>
      <c r="T9" s="18"/>
      <c r="U9" s="18"/>
      <c r="V9" s="18"/>
      <c r="W9" s="18"/>
      <c r="X9" s="18"/>
      <c r="Y9" s="18"/>
      <c r="Z9" s="18"/>
    </row>
    <row r="10" spans="1:26" s="21" customFormat="1" ht="12">
      <c r="A10" s="20" t="s">
        <v>801</v>
      </c>
      <c r="C10" s="23"/>
      <c r="D10" s="22"/>
      <c r="E10" s="34"/>
      <c r="F10" s="24"/>
      <c r="G10" s="23"/>
      <c r="H10" s="34"/>
      <c r="I10" s="23"/>
      <c r="J10" s="23"/>
      <c r="K10" s="34"/>
      <c r="L10" s="23"/>
      <c r="M10" s="23"/>
      <c r="N10" s="34"/>
      <c r="O10" s="23"/>
      <c r="P10" s="22"/>
      <c r="Q10" s="34"/>
      <c r="R10" s="24"/>
      <c r="S10" s="23"/>
      <c r="T10" s="34"/>
      <c r="U10" s="23"/>
      <c r="V10" s="23"/>
      <c r="W10" s="23"/>
      <c r="X10" s="23"/>
      <c r="Y10" s="23"/>
      <c r="Z10" s="23"/>
    </row>
    <row r="11" spans="1:26" s="21" customFormat="1">
      <c r="B11" s="97" t="s">
        <v>802</v>
      </c>
      <c r="C11" s="70"/>
      <c r="D11" s="22" t="s">
        <v>108</v>
      </c>
      <c r="E11" s="27">
        <v>6666</v>
      </c>
      <c r="F11" s="26"/>
      <c r="G11" s="23" t="s">
        <v>108</v>
      </c>
      <c r="H11" s="27">
        <v>6630</v>
      </c>
      <c r="I11" s="23"/>
      <c r="J11" s="23" t="s">
        <v>108</v>
      </c>
      <c r="K11" s="27">
        <v>6605</v>
      </c>
      <c r="L11" s="23"/>
      <c r="M11" s="23" t="s">
        <v>108</v>
      </c>
      <c r="N11" s="27">
        <v>6432</v>
      </c>
      <c r="O11" s="23"/>
      <c r="P11" s="22" t="s">
        <v>108</v>
      </c>
      <c r="Q11" s="27">
        <v>6457</v>
      </c>
      <c r="R11" s="26"/>
      <c r="S11" s="23" t="s">
        <v>108</v>
      </c>
      <c r="T11" s="27">
        <v>6448</v>
      </c>
      <c r="U11" s="27"/>
      <c r="V11" s="23" t="s">
        <v>108</v>
      </c>
      <c r="W11" s="27">
        <v>13296</v>
      </c>
      <c r="X11" s="27"/>
      <c r="Y11" s="23" t="s">
        <v>108</v>
      </c>
      <c r="Z11" s="27">
        <v>12905</v>
      </c>
    </row>
    <row r="12" spans="1:26" s="21" customFormat="1">
      <c r="B12" s="29" t="s">
        <v>803</v>
      </c>
      <c r="C12" s="23"/>
      <c r="D12" s="28"/>
      <c r="E12" s="27">
        <v>352</v>
      </c>
      <c r="F12" s="26"/>
      <c r="G12" s="23"/>
      <c r="H12" s="27">
        <v>313</v>
      </c>
      <c r="I12" s="23"/>
      <c r="J12" s="23"/>
      <c r="K12" s="27">
        <v>309</v>
      </c>
      <c r="L12" s="23"/>
      <c r="M12" s="23"/>
      <c r="N12" s="27">
        <v>298</v>
      </c>
      <c r="O12" s="23"/>
      <c r="P12" s="28"/>
      <c r="Q12" s="27">
        <v>310</v>
      </c>
      <c r="R12" s="26"/>
      <c r="S12" s="23"/>
      <c r="T12" s="27">
        <v>284</v>
      </c>
      <c r="U12" s="27"/>
      <c r="V12" s="27"/>
      <c r="W12" s="27">
        <v>665</v>
      </c>
      <c r="X12" s="27"/>
      <c r="Y12" s="27"/>
      <c r="Z12" s="27">
        <v>594</v>
      </c>
    </row>
    <row r="13" spans="1:26" s="21" customFormat="1" ht="12" customHeight="1">
      <c r="B13" s="29" t="s">
        <v>804</v>
      </c>
      <c r="C13" s="23"/>
      <c r="D13" s="22"/>
      <c r="E13" s="30">
        <v>19</v>
      </c>
      <c r="F13" s="24"/>
      <c r="G13" s="23"/>
      <c r="H13" s="30">
        <v>189</v>
      </c>
      <c r="I13" s="23"/>
      <c r="J13" s="23"/>
      <c r="K13" s="30">
        <v>12</v>
      </c>
      <c r="L13" s="23"/>
      <c r="M13" s="23"/>
      <c r="N13" s="30">
        <v>24</v>
      </c>
      <c r="O13" s="23"/>
      <c r="P13" s="22"/>
      <c r="Q13" s="30">
        <v>-8</v>
      </c>
      <c r="R13" s="24"/>
      <c r="S13" s="23"/>
      <c r="T13" s="30">
        <v>57</v>
      </c>
      <c r="U13" s="23"/>
      <c r="V13" s="23"/>
      <c r="W13" s="30">
        <v>208</v>
      </c>
      <c r="X13" s="27"/>
      <c r="Y13" s="23"/>
      <c r="Z13" s="30">
        <v>49</v>
      </c>
    </row>
    <row r="14" spans="1:26" s="21" customFormat="1">
      <c r="C14" s="23"/>
      <c r="D14" s="22"/>
      <c r="E14" s="23"/>
      <c r="F14" s="24"/>
      <c r="G14" s="23"/>
      <c r="H14" s="23"/>
      <c r="I14" s="23"/>
      <c r="J14" s="23"/>
      <c r="K14" s="23"/>
      <c r="L14" s="23"/>
      <c r="M14" s="23"/>
      <c r="N14" s="23"/>
      <c r="O14" s="23"/>
      <c r="P14" s="22"/>
      <c r="Q14" s="23"/>
      <c r="R14" s="24"/>
      <c r="S14" s="23"/>
      <c r="T14" s="23"/>
      <c r="U14" s="23"/>
      <c r="V14" s="23"/>
      <c r="W14" s="23"/>
      <c r="X14" s="27"/>
      <c r="Y14" s="23"/>
      <c r="Z14" s="23"/>
    </row>
    <row r="15" spans="1:26" s="21" customFormat="1">
      <c r="C15" s="11" t="s">
        <v>805</v>
      </c>
      <c r="D15" s="22"/>
      <c r="E15" s="23">
        <v>7037</v>
      </c>
      <c r="F15" s="24"/>
      <c r="G15" s="23"/>
      <c r="H15" s="23">
        <v>7132</v>
      </c>
      <c r="I15" s="23"/>
      <c r="J15" s="23"/>
      <c r="K15" s="23">
        <v>6926</v>
      </c>
      <c r="L15" s="23"/>
      <c r="M15" s="23"/>
      <c r="N15" s="23">
        <v>6754</v>
      </c>
      <c r="O15" s="23"/>
      <c r="P15" s="22"/>
      <c r="Q15" s="23">
        <v>6759</v>
      </c>
      <c r="R15" s="24"/>
      <c r="S15" s="23"/>
      <c r="T15" s="23">
        <v>6789</v>
      </c>
      <c r="U15" s="23"/>
      <c r="V15" s="23"/>
      <c r="W15" s="23">
        <v>14169</v>
      </c>
      <c r="X15" s="23"/>
      <c r="Y15" s="23"/>
      <c r="Z15" s="23">
        <v>13548</v>
      </c>
    </row>
    <row r="16" spans="1:26" s="21" customFormat="1">
      <c r="B16" s="5"/>
      <c r="C16" s="11"/>
      <c r="D16" s="22"/>
      <c r="E16" s="34"/>
      <c r="F16" s="33"/>
      <c r="G16" s="11"/>
      <c r="H16" s="34"/>
      <c r="I16" s="11"/>
      <c r="J16" s="11"/>
      <c r="K16" s="34"/>
      <c r="L16" s="11"/>
      <c r="M16" s="11"/>
      <c r="N16" s="34"/>
      <c r="O16" s="11"/>
      <c r="P16" s="22"/>
      <c r="Q16" s="34"/>
      <c r="R16" s="33"/>
      <c r="S16" s="11"/>
      <c r="T16" s="34"/>
      <c r="U16" s="34"/>
      <c r="V16" s="23"/>
      <c r="W16" s="34"/>
      <c r="X16" s="34"/>
      <c r="Y16" s="23"/>
      <c r="Z16" s="34"/>
    </row>
    <row r="17" spans="1:26" s="21" customFormat="1" ht="12">
      <c r="A17" s="20" t="s">
        <v>806</v>
      </c>
      <c r="C17" s="23"/>
      <c r="D17" s="22"/>
      <c r="E17" s="34"/>
      <c r="F17" s="33"/>
      <c r="G17" s="23"/>
      <c r="H17" s="34"/>
      <c r="I17" s="23"/>
      <c r="J17" s="23"/>
      <c r="K17" s="34"/>
      <c r="L17" s="23"/>
      <c r="M17" s="23"/>
      <c r="N17" s="34"/>
      <c r="O17" s="23"/>
      <c r="P17" s="22"/>
      <c r="Q17" s="34"/>
      <c r="R17" s="33"/>
      <c r="S17" s="23"/>
      <c r="T17" s="34"/>
      <c r="U17" s="34"/>
      <c r="V17" s="23"/>
      <c r="W17" s="34"/>
      <c r="X17" s="34"/>
      <c r="Y17" s="23"/>
      <c r="Z17" s="34"/>
    </row>
    <row r="18" spans="1:26" s="21" customFormat="1">
      <c r="B18" s="79" t="s">
        <v>109</v>
      </c>
      <c r="C18" s="23"/>
      <c r="D18" s="22"/>
      <c r="E18" s="27">
        <v>559</v>
      </c>
      <c r="F18" s="24"/>
      <c r="G18" s="23"/>
      <c r="H18" s="23">
        <v>553</v>
      </c>
      <c r="I18" s="23"/>
      <c r="J18" s="23"/>
      <c r="K18" s="23">
        <v>570</v>
      </c>
      <c r="L18" s="23"/>
      <c r="M18" s="23"/>
      <c r="N18" s="23">
        <v>552</v>
      </c>
      <c r="O18" s="23"/>
      <c r="P18" s="22"/>
      <c r="Q18" s="27">
        <v>547</v>
      </c>
      <c r="R18" s="24"/>
      <c r="S18" s="23"/>
      <c r="T18" s="23">
        <v>569</v>
      </c>
      <c r="U18" s="23"/>
      <c r="V18" s="23"/>
      <c r="W18" s="23">
        <v>1112</v>
      </c>
      <c r="X18" s="23"/>
      <c r="Y18" s="23"/>
      <c r="Z18" s="23">
        <v>1116</v>
      </c>
    </row>
    <row r="19" spans="1:26" s="21" customFormat="1">
      <c r="B19" s="29" t="s">
        <v>803</v>
      </c>
      <c r="C19" s="23"/>
      <c r="D19" s="22"/>
      <c r="E19" s="27">
        <v>663</v>
      </c>
      <c r="F19" s="24"/>
      <c r="G19" s="23"/>
      <c r="H19" s="23">
        <v>687</v>
      </c>
      <c r="I19" s="23"/>
      <c r="J19" s="23"/>
      <c r="K19" s="23">
        <v>656</v>
      </c>
      <c r="L19" s="23"/>
      <c r="M19" s="23"/>
      <c r="N19" s="23">
        <v>682</v>
      </c>
      <c r="O19" s="23"/>
      <c r="P19" s="22"/>
      <c r="Q19" s="27">
        <v>694</v>
      </c>
      <c r="R19" s="24"/>
      <c r="S19" s="23"/>
      <c r="T19" s="23">
        <v>684</v>
      </c>
      <c r="U19" s="23"/>
      <c r="V19" s="23"/>
      <c r="W19" s="23">
        <v>1350</v>
      </c>
      <c r="X19" s="23"/>
      <c r="Y19" s="23"/>
      <c r="Z19" s="23">
        <v>1378</v>
      </c>
    </row>
    <row r="20" spans="1:26" s="21" customFormat="1" ht="12" customHeight="1">
      <c r="B20" s="29" t="s">
        <v>804</v>
      </c>
      <c r="C20" s="23"/>
      <c r="D20" s="22"/>
      <c r="E20" s="30">
        <v>8</v>
      </c>
      <c r="F20" s="24"/>
      <c r="G20" s="23"/>
      <c r="H20" s="39">
        <v>-21</v>
      </c>
      <c r="I20" s="23"/>
      <c r="J20" s="23"/>
      <c r="K20" s="39">
        <v>68</v>
      </c>
      <c r="L20" s="23"/>
      <c r="M20" s="23"/>
      <c r="N20" s="39">
        <v>219</v>
      </c>
      <c r="O20" s="23"/>
      <c r="P20" s="22"/>
      <c r="Q20" s="30">
        <v>62</v>
      </c>
      <c r="R20" s="24"/>
      <c r="S20" s="23"/>
      <c r="T20" s="39">
        <v>39</v>
      </c>
      <c r="U20" s="23"/>
      <c r="V20" s="23"/>
      <c r="W20" s="39">
        <v>-13</v>
      </c>
      <c r="X20" s="23"/>
      <c r="Y20" s="23"/>
      <c r="Z20" s="39">
        <v>101</v>
      </c>
    </row>
    <row r="21" spans="1:26" s="21" customFormat="1">
      <c r="C21" s="23"/>
      <c r="D21" s="22"/>
      <c r="E21" s="23"/>
      <c r="F21" s="24"/>
      <c r="G21" s="23"/>
      <c r="H21" s="23"/>
      <c r="I21" s="23"/>
      <c r="J21" s="23"/>
      <c r="K21" s="23"/>
      <c r="L21" s="23"/>
      <c r="M21" s="23"/>
      <c r="N21" s="23"/>
      <c r="O21" s="23"/>
      <c r="P21" s="22"/>
      <c r="Q21" s="23"/>
      <c r="R21" s="24"/>
      <c r="S21" s="23"/>
      <c r="T21" s="23"/>
      <c r="U21" s="23"/>
      <c r="V21" s="23"/>
      <c r="W21" s="23"/>
      <c r="X21" s="23"/>
      <c r="Y21" s="23"/>
      <c r="Z21" s="23"/>
    </row>
    <row r="22" spans="1:26" s="21" customFormat="1">
      <c r="C22" s="11" t="s">
        <v>807</v>
      </c>
      <c r="D22" s="22"/>
      <c r="E22" s="23">
        <v>1230</v>
      </c>
      <c r="F22" s="24"/>
      <c r="G22" s="23"/>
      <c r="H22" s="23">
        <v>1219</v>
      </c>
      <c r="I22" s="23"/>
      <c r="J22" s="23"/>
      <c r="K22" s="23">
        <v>1294</v>
      </c>
      <c r="L22" s="23"/>
      <c r="M22" s="23"/>
      <c r="N22" s="23">
        <v>1453</v>
      </c>
      <c r="O22" s="23"/>
      <c r="P22" s="22"/>
      <c r="Q22" s="23">
        <v>1303</v>
      </c>
      <c r="R22" s="24"/>
      <c r="S22" s="23"/>
      <c r="T22" s="23">
        <v>1292</v>
      </c>
      <c r="U22" s="23"/>
      <c r="V22" s="23"/>
      <c r="W22" s="23">
        <v>2449</v>
      </c>
      <c r="X22" s="23"/>
      <c r="Y22" s="23"/>
      <c r="Z22" s="23">
        <v>2595</v>
      </c>
    </row>
    <row r="23" spans="1:26" s="21" customFormat="1">
      <c r="C23" s="23"/>
      <c r="D23" s="22"/>
      <c r="E23" s="23"/>
      <c r="F23" s="24"/>
      <c r="G23" s="23"/>
      <c r="H23" s="23"/>
      <c r="I23" s="23"/>
      <c r="J23" s="23"/>
      <c r="K23" s="23"/>
      <c r="L23" s="23"/>
      <c r="M23" s="23"/>
      <c r="N23" s="23"/>
      <c r="O23" s="23"/>
      <c r="P23" s="22"/>
      <c r="Q23" s="23"/>
      <c r="R23" s="24"/>
      <c r="S23" s="23"/>
      <c r="T23" s="23"/>
      <c r="U23" s="23"/>
      <c r="V23" s="23"/>
      <c r="W23" s="23"/>
      <c r="X23" s="23"/>
      <c r="Y23" s="23"/>
      <c r="Z23" s="23"/>
    </row>
    <row r="24" spans="1:26" s="21" customFormat="1" ht="12">
      <c r="A24" s="20" t="s">
        <v>808</v>
      </c>
      <c r="C24" s="23"/>
      <c r="D24" s="22"/>
      <c r="E24" s="23"/>
      <c r="F24" s="24"/>
      <c r="G24" s="23"/>
      <c r="H24" s="23"/>
      <c r="I24" s="23"/>
      <c r="J24" s="23"/>
      <c r="K24" s="23"/>
      <c r="L24" s="23"/>
      <c r="M24" s="23"/>
      <c r="N24" s="23"/>
      <c r="O24" s="23"/>
      <c r="P24" s="22"/>
      <c r="Q24" s="23"/>
      <c r="R24" s="24"/>
      <c r="S24" s="23"/>
      <c r="T24" s="23"/>
      <c r="U24" s="23"/>
      <c r="V24" s="23"/>
      <c r="W24" s="23"/>
      <c r="X24" s="23"/>
      <c r="Y24" s="23"/>
      <c r="Z24" s="23"/>
    </row>
    <row r="25" spans="1:26" s="21" customFormat="1" ht="14.25" customHeight="1">
      <c r="A25" s="5"/>
      <c r="B25" s="98" t="s">
        <v>809</v>
      </c>
      <c r="C25" s="11"/>
      <c r="D25" s="22"/>
      <c r="E25" s="27">
        <v>1</v>
      </c>
      <c r="F25" s="24"/>
      <c r="G25" s="23"/>
      <c r="H25" s="23">
        <v>1</v>
      </c>
      <c r="I25" s="23"/>
      <c r="J25" s="23"/>
      <c r="K25" s="23">
        <v>2</v>
      </c>
      <c r="L25" s="23"/>
      <c r="M25" s="23"/>
      <c r="N25" s="23">
        <v>1</v>
      </c>
      <c r="O25" s="23"/>
      <c r="P25" s="22"/>
      <c r="Q25" s="27">
        <v>2</v>
      </c>
      <c r="R25" s="24"/>
      <c r="S25" s="23"/>
      <c r="T25" s="23">
        <v>2</v>
      </c>
      <c r="U25" s="23"/>
      <c r="V25" s="23"/>
      <c r="W25" s="23">
        <v>2</v>
      </c>
      <c r="X25" s="23"/>
      <c r="Y25" s="23"/>
      <c r="Z25" s="23">
        <v>4</v>
      </c>
    </row>
    <row r="26" spans="1:26" s="21" customFormat="1">
      <c r="A26" s="5"/>
      <c r="B26" s="29" t="s">
        <v>803</v>
      </c>
      <c r="C26" s="11"/>
      <c r="D26" s="22"/>
      <c r="E26" s="27">
        <v>11</v>
      </c>
      <c r="F26" s="24"/>
      <c r="G26" s="23"/>
      <c r="H26" s="23">
        <v>11</v>
      </c>
      <c r="I26" s="11"/>
      <c r="J26" s="23"/>
      <c r="K26" s="23">
        <v>10</v>
      </c>
      <c r="L26" s="11"/>
      <c r="M26" s="23"/>
      <c r="N26" s="23">
        <v>14</v>
      </c>
      <c r="O26" s="11"/>
      <c r="P26" s="22"/>
      <c r="Q26" s="27">
        <v>16</v>
      </c>
      <c r="R26" s="24"/>
      <c r="S26" s="23"/>
      <c r="T26" s="23">
        <v>14</v>
      </c>
      <c r="U26" s="23"/>
      <c r="V26" s="23"/>
      <c r="W26" s="23">
        <v>22</v>
      </c>
      <c r="X26" s="23"/>
      <c r="Y26" s="23"/>
      <c r="Z26" s="23">
        <v>30</v>
      </c>
    </row>
    <row r="27" spans="1:26" s="21" customFormat="1" ht="12" customHeight="1">
      <c r="A27" s="5"/>
      <c r="B27" s="29" t="s">
        <v>804</v>
      </c>
      <c r="C27" s="11"/>
      <c r="D27" s="22"/>
      <c r="E27" s="30">
        <v>0</v>
      </c>
      <c r="F27" s="24"/>
      <c r="G27" s="23"/>
      <c r="H27" s="39">
        <v>0</v>
      </c>
      <c r="I27" s="11"/>
      <c r="J27" s="23"/>
      <c r="K27" s="39">
        <v>6</v>
      </c>
      <c r="L27" s="11"/>
      <c r="M27" s="23"/>
      <c r="N27" s="39">
        <v>21</v>
      </c>
      <c r="O27" s="11"/>
      <c r="P27" s="22"/>
      <c r="Q27" s="30">
        <v>3</v>
      </c>
      <c r="R27" s="24"/>
      <c r="S27" s="23"/>
      <c r="T27" s="39">
        <v>0</v>
      </c>
      <c r="U27" s="23"/>
      <c r="V27" s="23"/>
      <c r="W27" s="39">
        <v>0</v>
      </c>
      <c r="X27" s="23"/>
      <c r="Y27" s="23"/>
      <c r="Z27" s="39">
        <v>3</v>
      </c>
    </row>
    <row r="28" spans="1:26" s="21" customFormat="1">
      <c r="A28" s="5"/>
      <c r="B28" s="5"/>
      <c r="C28" s="11"/>
      <c r="D28" s="22"/>
      <c r="E28" s="23"/>
      <c r="F28" s="24"/>
      <c r="G28" s="23"/>
      <c r="H28" s="23"/>
      <c r="I28" s="11"/>
      <c r="J28" s="23"/>
      <c r="K28" s="23"/>
      <c r="L28" s="11"/>
      <c r="M28" s="23"/>
      <c r="N28" s="23"/>
      <c r="O28" s="11"/>
      <c r="P28" s="22"/>
      <c r="Q28" s="23"/>
      <c r="R28" s="24"/>
      <c r="S28" s="23"/>
      <c r="T28" s="23"/>
      <c r="U28" s="23"/>
      <c r="V28" s="23"/>
      <c r="W28" s="23"/>
      <c r="X28" s="23"/>
      <c r="Y28" s="23"/>
      <c r="Z28" s="23"/>
    </row>
    <row r="29" spans="1:26" s="21" customFormat="1">
      <c r="A29" s="5"/>
      <c r="B29" s="5"/>
      <c r="C29" s="11" t="s">
        <v>810</v>
      </c>
      <c r="D29" s="22"/>
      <c r="E29" s="23"/>
      <c r="F29" s="24"/>
      <c r="G29" s="23"/>
      <c r="H29" s="23"/>
      <c r="I29" s="11"/>
      <c r="J29" s="23"/>
      <c r="K29" s="23"/>
      <c r="L29" s="11"/>
      <c r="M29" s="23"/>
      <c r="N29" s="23"/>
      <c r="O29" s="11"/>
      <c r="P29" s="22"/>
      <c r="Q29" s="23"/>
      <c r="R29" s="24"/>
      <c r="S29" s="23"/>
      <c r="T29" s="23"/>
      <c r="U29" s="23"/>
      <c r="V29" s="23"/>
      <c r="W29" s="23"/>
      <c r="X29" s="23"/>
      <c r="Y29" s="23"/>
      <c r="Z29" s="23"/>
    </row>
    <row r="30" spans="1:26" s="21" customFormat="1">
      <c r="A30" s="5"/>
      <c r="B30" s="5"/>
      <c r="C30" s="11" t="s">
        <v>811</v>
      </c>
      <c r="D30" s="22"/>
      <c r="E30" s="23">
        <v>12</v>
      </c>
      <c r="F30" s="24"/>
      <c r="G30" s="23"/>
      <c r="H30" s="23">
        <v>12</v>
      </c>
      <c r="I30" s="11"/>
      <c r="J30" s="23"/>
      <c r="K30" s="23">
        <v>18</v>
      </c>
      <c r="L30" s="11"/>
      <c r="M30" s="23"/>
      <c r="N30" s="23">
        <v>36</v>
      </c>
      <c r="O30" s="11"/>
      <c r="P30" s="22"/>
      <c r="Q30" s="23">
        <v>21</v>
      </c>
      <c r="R30" s="24"/>
      <c r="S30" s="23"/>
      <c r="T30" s="23">
        <v>16</v>
      </c>
      <c r="U30" s="23"/>
      <c r="V30" s="23"/>
      <c r="W30" s="23">
        <v>24</v>
      </c>
      <c r="X30" s="23"/>
      <c r="Y30" s="23"/>
      <c r="Z30" s="23">
        <v>37</v>
      </c>
    </row>
    <row r="31" spans="1:26" s="21" customFormat="1">
      <c r="A31" s="5"/>
      <c r="B31" s="5"/>
      <c r="C31" s="11"/>
      <c r="D31" s="22"/>
      <c r="E31" s="23"/>
      <c r="F31" s="24"/>
      <c r="G31" s="23"/>
      <c r="H31" s="23"/>
      <c r="I31" s="11"/>
      <c r="J31" s="23"/>
      <c r="K31" s="23"/>
      <c r="L31" s="11"/>
      <c r="M31" s="23"/>
      <c r="N31" s="23"/>
      <c r="O31" s="11"/>
      <c r="P31" s="22"/>
      <c r="Q31" s="23"/>
      <c r="R31" s="24"/>
      <c r="S31" s="23"/>
      <c r="T31" s="23"/>
      <c r="U31" s="23"/>
      <c r="V31" s="23"/>
      <c r="W31" s="23"/>
      <c r="X31" s="23"/>
      <c r="Y31" s="23"/>
      <c r="Z31" s="23"/>
    </row>
    <row r="32" spans="1:26" s="21" customFormat="1" ht="13.5" customHeight="1">
      <c r="A32" s="5"/>
      <c r="B32" s="5"/>
      <c r="C32" s="11" t="s">
        <v>812</v>
      </c>
      <c r="D32" s="22"/>
      <c r="E32" s="30">
        <v>-1</v>
      </c>
      <c r="F32" s="24"/>
      <c r="G32" s="23"/>
      <c r="H32" s="39">
        <v>-1</v>
      </c>
      <c r="I32" s="11"/>
      <c r="J32" s="23"/>
      <c r="K32" s="39">
        <v>-2</v>
      </c>
      <c r="L32" s="11"/>
      <c r="M32" s="23"/>
      <c r="N32" s="39">
        <v>-1</v>
      </c>
      <c r="O32" s="11"/>
      <c r="P32" s="22"/>
      <c r="Q32" s="30">
        <v>-2</v>
      </c>
      <c r="R32" s="24"/>
      <c r="S32" s="23"/>
      <c r="T32" s="39">
        <v>-2</v>
      </c>
      <c r="U32" s="23"/>
      <c r="V32" s="23"/>
      <c r="W32" s="39">
        <v>-2</v>
      </c>
      <c r="X32" s="23"/>
      <c r="Y32" s="23"/>
      <c r="Z32" s="39">
        <v>-4</v>
      </c>
    </row>
    <row r="33" spans="1:26" s="21" customFormat="1">
      <c r="A33" s="5"/>
      <c r="B33" s="5"/>
      <c r="C33" s="11"/>
      <c r="D33" s="22"/>
      <c r="E33" s="23"/>
      <c r="F33" s="24"/>
      <c r="G33" s="23"/>
      <c r="H33" s="23"/>
      <c r="I33" s="11"/>
      <c r="J33" s="23"/>
      <c r="K33" s="23"/>
      <c r="L33" s="11"/>
      <c r="M33" s="23"/>
      <c r="N33" s="23"/>
      <c r="O33" s="11"/>
      <c r="P33" s="22"/>
      <c r="Q33" s="23"/>
      <c r="R33" s="24"/>
      <c r="S33" s="23"/>
      <c r="T33" s="23"/>
      <c r="U33" s="23"/>
      <c r="V33" s="23"/>
      <c r="W33" s="23"/>
      <c r="X33" s="23"/>
      <c r="Y33" s="23"/>
      <c r="Z33" s="23"/>
    </row>
    <row r="34" spans="1:26" s="21" customFormat="1">
      <c r="A34" s="5"/>
      <c r="B34" s="5"/>
      <c r="C34" s="11" t="s">
        <v>813</v>
      </c>
      <c r="D34" s="22"/>
      <c r="E34" s="39">
        <v>11</v>
      </c>
      <c r="F34" s="24"/>
      <c r="G34" s="23"/>
      <c r="H34" s="39">
        <v>11</v>
      </c>
      <c r="I34" s="11"/>
      <c r="J34" s="23"/>
      <c r="K34" s="39">
        <v>16</v>
      </c>
      <c r="L34" s="11"/>
      <c r="M34" s="23"/>
      <c r="N34" s="39">
        <v>35</v>
      </c>
      <c r="O34" s="11"/>
      <c r="P34" s="22"/>
      <c r="Q34" s="39">
        <v>19</v>
      </c>
      <c r="R34" s="24"/>
      <c r="S34" s="23"/>
      <c r="T34" s="39">
        <v>14</v>
      </c>
      <c r="U34" s="23"/>
      <c r="V34" s="23"/>
      <c r="W34" s="39">
        <v>22</v>
      </c>
      <c r="X34" s="23"/>
      <c r="Y34" s="23"/>
      <c r="Z34" s="39">
        <v>33</v>
      </c>
    </row>
    <row r="35" spans="1:26" s="21" customFormat="1">
      <c r="A35" s="5"/>
      <c r="B35" s="5"/>
      <c r="C35" s="11"/>
      <c r="D35" s="22"/>
      <c r="E35" s="23"/>
      <c r="F35" s="24"/>
      <c r="G35" s="23"/>
      <c r="H35" s="23"/>
      <c r="I35" s="11"/>
      <c r="J35" s="23"/>
      <c r="K35" s="23"/>
      <c r="L35" s="11"/>
      <c r="M35" s="23"/>
      <c r="N35" s="23"/>
      <c r="O35" s="11"/>
      <c r="P35" s="22"/>
      <c r="Q35" s="23"/>
      <c r="R35" s="24"/>
      <c r="S35" s="23"/>
      <c r="T35" s="23"/>
      <c r="U35" s="23"/>
      <c r="V35" s="23"/>
      <c r="W35" s="23"/>
      <c r="X35" s="23"/>
      <c r="Y35" s="23"/>
      <c r="Z35" s="23"/>
    </row>
    <row r="36" spans="1:26" s="21" customFormat="1">
      <c r="A36" s="5"/>
      <c r="B36" s="5"/>
      <c r="C36" s="11"/>
      <c r="D36" s="22"/>
      <c r="E36" s="23"/>
      <c r="F36" s="24"/>
      <c r="G36" s="23"/>
      <c r="H36" s="23"/>
      <c r="I36" s="11"/>
      <c r="J36" s="23"/>
      <c r="K36" s="23"/>
      <c r="L36" s="11"/>
      <c r="M36" s="23"/>
      <c r="N36" s="23"/>
      <c r="O36" s="11"/>
      <c r="P36" s="22"/>
      <c r="Q36" s="23"/>
      <c r="R36" s="24"/>
      <c r="S36" s="23"/>
      <c r="T36" s="23"/>
      <c r="U36" s="23"/>
      <c r="V36" s="23"/>
      <c r="W36" s="23"/>
      <c r="X36" s="23"/>
      <c r="Y36" s="23"/>
      <c r="Z36" s="23"/>
    </row>
    <row r="37" spans="1:26" s="21" customFormat="1" ht="12.6" thickBot="1">
      <c r="A37" s="44" t="s">
        <v>814</v>
      </c>
      <c r="B37" s="5"/>
      <c r="C37" s="11"/>
      <c r="D37" s="22" t="s">
        <v>108</v>
      </c>
      <c r="E37" s="45">
        <v>8278</v>
      </c>
      <c r="F37" s="24"/>
      <c r="G37" s="23" t="s">
        <v>108</v>
      </c>
      <c r="H37" s="45">
        <v>8362</v>
      </c>
      <c r="I37" s="11"/>
      <c r="J37" s="23" t="s">
        <v>108</v>
      </c>
      <c r="K37" s="45">
        <v>8236</v>
      </c>
      <c r="L37" s="11"/>
      <c r="M37" s="23" t="s">
        <v>108</v>
      </c>
      <c r="N37" s="45">
        <v>8242</v>
      </c>
      <c r="O37" s="11"/>
      <c r="P37" s="22" t="s">
        <v>108</v>
      </c>
      <c r="Q37" s="45">
        <v>8081</v>
      </c>
      <c r="R37" s="24"/>
      <c r="S37" s="23" t="s">
        <v>108</v>
      </c>
      <c r="T37" s="45">
        <v>8095</v>
      </c>
      <c r="U37" s="23"/>
      <c r="V37" s="23" t="s">
        <v>108</v>
      </c>
      <c r="W37" s="45">
        <v>16640</v>
      </c>
      <c r="X37" s="23"/>
      <c r="Y37" s="23" t="s">
        <v>108</v>
      </c>
      <c r="Z37" s="45">
        <v>16176</v>
      </c>
    </row>
    <row r="38" spans="1:26" s="21" customFormat="1" ht="12.6" thickTop="1" thickBot="1">
      <c r="A38" s="5"/>
      <c r="C38" s="23"/>
      <c r="D38" s="90"/>
      <c r="E38" s="91"/>
      <c r="F38" s="92"/>
      <c r="G38" s="23"/>
      <c r="H38" s="23"/>
      <c r="I38" s="23"/>
      <c r="J38" s="23"/>
      <c r="K38" s="23"/>
      <c r="L38" s="23"/>
      <c r="M38" s="23"/>
      <c r="N38" s="23"/>
      <c r="O38" s="23"/>
      <c r="P38" s="90"/>
      <c r="Q38" s="91"/>
      <c r="R38" s="92"/>
      <c r="S38" s="23"/>
      <c r="T38" s="23"/>
      <c r="U38" s="23"/>
      <c r="V38" s="23"/>
      <c r="W38" s="23"/>
      <c r="X38" s="23"/>
      <c r="Y38" s="23"/>
      <c r="Z38" s="23"/>
    </row>
    <row r="39" spans="1:26" s="21" customFormat="1">
      <c r="A39" s="5"/>
      <c r="B39" s="5"/>
      <c r="C39" s="11"/>
      <c r="D39" s="5"/>
      <c r="E39" s="5"/>
      <c r="F39" s="5"/>
      <c r="G39" s="5"/>
      <c r="H39" s="5"/>
      <c r="I39" s="5"/>
      <c r="J39" s="5"/>
      <c r="K39" s="5"/>
      <c r="L39" s="5"/>
      <c r="M39" s="5"/>
      <c r="N39" s="5"/>
      <c r="O39" s="5"/>
      <c r="P39" s="5"/>
      <c r="Q39" s="5"/>
      <c r="R39" s="5"/>
      <c r="S39" s="11"/>
      <c r="T39" s="11"/>
      <c r="U39" s="11"/>
    </row>
    <row r="40" spans="1:26" s="21" customFormat="1" ht="13.2">
      <c r="A40" s="60" t="s">
        <v>770</v>
      </c>
      <c r="B40" s="973" t="s">
        <v>815</v>
      </c>
      <c r="C40" s="973"/>
      <c r="D40" s="973"/>
      <c r="E40" s="973"/>
      <c r="F40" s="973"/>
      <c r="G40" s="973"/>
      <c r="H40" s="973"/>
      <c r="I40" s="973"/>
      <c r="J40" s="973"/>
      <c r="K40" s="973"/>
      <c r="L40" s="973"/>
      <c r="M40" s="973"/>
      <c r="N40" s="973"/>
      <c r="O40" s="973"/>
      <c r="P40" s="973"/>
      <c r="Q40" s="973"/>
      <c r="R40" s="973"/>
      <c r="S40" s="973"/>
      <c r="T40" s="973"/>
      <c r="U40" s="973"/>
      <c r="V40" s="973"/>
      <c r="W40" s="973"/>
      <c r="X40" s="973"/>
      <c r="Y40" s="973"/>
      <c r="Z40" s="973"/>
    </row>
    <row r="41" spans="1:26" s="21" customFormat="1">
      <c r="A41" s="29"/>
      <c r="B41" s="99"/>
      <c r="C41" s="29"/>
      <c r="D41" s="29"/>
      <c r="E41" s="29"/>
      <c r="F41" s="93"/>
      <c r="G41" s="29"/>
      <c r="H41" s="29"/>
      <c r="I41" s="29"/>
      <c r="J41" s="29"/>
      <c r="K41" s="29"/>
      <c r="L41" s="29"/>
      <c r="M41" s="29"/>
      <c r="N41" s="29"/>
      <c r="O41" s="29"/>
      <c r="P41" s="29"/>
      <c r="Q41" s="29"/>
      <c r="R41" s="93"/>
      <c r="S41" s="93"/>
      <c r="T41" s="93"/>
      <c r="U41" s="93"/>
      <c r="V41" s="93"/>
      <c r="W41" s="93"/>
      <c r="X41" s="93"/>
      <c r="Y41" s="93"/>
      <c r="Z41" s="93"/>
    </row>
    <row r="42" spans="1:26" s="21" customFormat="1">
      <c r="A42" s="93"/>
      <c r="B42" s="93"/>
      <c r="C42" s="100"/>
      <c r="D42" s="100"/>
      <c r="E42" s="100"/>
      <c r="F42" s="93"/>
      <c r="G42" s="100"/>
      <c r="H42" s="100"/>
      <c r="I42" s="100"/>
      <c r="J42" s="100"/>
      <c r="K42" s="100"/>
      <c r="L42" s="100"/>
      <c r="M42" s="100"/>
      <c r="N42" s="100"/>
      <c r="O42" s="100"/>
      <c r="P42" s="100"/>
      <c r="Q42" s="100"/>
      <c r="R42" s="93"/>
      <c r="S42" s="93"/>
      <c r="T42" s="93"/>
      <c r="U42" s="93"/>
      <c r="V42" s="93"/>
      <c r="W42" s="93"/>
      <c r="X42" s="93"/>
      <c r="Y42" s="93"/>
      <c r="Z42" s="93"/>
    </row>
    <row r="43" spans="1:26" s="21" customForma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s="21" customForma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s="21" customForma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s="21" customForma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s="21" customForma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s="21" customForma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s="21" customForma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s="21" customForma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s="21" customForma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s="21" customForma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s="21" customForma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s="21" customForma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s="21" customForma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s="21" customForma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s="21" customForma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s="21" customForma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s="21" customForma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s="21" customForma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s="21" customFormat="1">
      <c r="T61" s="32"/>
      <c r="U61" s="32"/>
    </row>
    <row r="62" spans="1:26" s="21" customFormat="1">
      <c r="T62" s="32"/>
      <c r="U62" s="32"/>
    </row>
    <row r="63" spans="1:26" s="21" customFormat="1">
      <c r="T63" s="32"/>
      <c r="U63" s="32"/>
    </row>
    <row r="64" spans="1:26" s="21" customFormat="1">
      <c r="T64" s="32"/>
      <c r="U64" s="32"/>
    </row>
    <row r="65" spans="20:21" s="21" customFormat="1">
      <c r="T65" s="32"/>
      <c r="U65" s="32"/>
    </row>
    <row r="66" spans="20:21" s="21" customFormat="1">
      <c r="T66" s="32"/>
      <c r="U66" s="32"/>
    </row>
    <row r="67" spans="20:21" s="21" customFormat="1">
      <c r="T67" s="32"/>
      <c r="U67" s="32"/>
    </row>
    <row r="68" spans="20:21" s="21" customFormat="1">
      <c r="T68" s="32"/>
      <c r="U68" s="32"/>
    </row>
    <row r="69" spans="20:21" s="21" customFormat="1">
      <c r="T69" s="32"/>
      <c r="U69" s="32"/>
    </row>
    <row r="70" spans="20:21" s="21" customFormat="1">
      <c r="T70" s="32"/>
      <c r="U70" s="32"/>
    </row>
    <row r="71" spans="20:21" s="21" customFormat="1">
      <c r="T71" s="32"/>
      <c r="U71" s="32"/>
    </row>
    <row r="72" spans="20:21" s="21" customFormat="1">
      <c r="T72" s="32"/>
      <c r="U72" s="32"/>
    </row>
    <row r="73" spans="20:21" s="21" customFormat="1">
      <c r="T73" s="32"/>
      <c r="U73" s="32"/>
    </row>
    <row r="74" spans="20:21" s="21" customFormat="1">
      <c r="T74" s="32"/>
      <c r="U74" s="32"/>
    </row>
    <row r="75" spans="20:21" s="21" customFormat="1">
      <c r="T75" s="32"/>
      <c r="U75" s="32"/>
    </row>
    <row r="76" spans="20:21" s="21" customFormat="1">
      <c r="T76" s="32"/>
      <c r="U76" s="32"/>
    </row>
    <row r="77" spans="20:21" s="21" customFormat="1">
      <c r="T77" s="32"/>
      <c r="U77" s="32"/>
    </row>
    <row r="78" spans="20:21" s="21" customFormat="1">
      <c r="T78" s="32"/>
      <c r="U78" s="32"/>
    </row>
    <row r="79" spans="20:21" s="21" customFormat="1">
      <c r="T79" s="32"/>
      <c r="U79" s="32"/>
    </row>
    <row r="80" spans="20:21" s="21" customFormat="1">
      <c r="T80" s="32"/>
      <c r="U80" s="32"/>
    </row>
    <row r="81" spans="20:21" s="21" customFormat="1">
      <c r="T81" s="32"/>
      <c r="U81" s="32"/>
    </row>
    <row r="82" spans="20:21" s="21" customFormat="1">
      <c r="T82" s="32"/>
      <c r="U82" s="32"/>
    </row>
    <row r="83" spans="20:21" s="21" customFormat="1">
      <c r="T83" s="32"/>
      <c r="U83" s="32"/>
    </row>
    <row r="84" spans="20:21" s="21" customFormat="1">
      <c r="T84" s="32"/>
      <c r="U84" s="32"/>
    </row>
    <row r="85" spans="20:21" s="21" customFormat="1">
      <c r="T85" s="32"/>
      <c r="U85" s="32"/>
    </row>
    <row r="86" spans="20:21" s="21" customFormat="1">
      <c r="T86" s="32"/>
      <c r="U86" s="32"/>
    </row>
    <row r="87" spans="20:21" s="21" customFormat="1">
      <c r="T87" s="32"/>
      <c r="U87" s="32"/>
    </row>
    <row r="88" spans="20:21" s="21" customFormat="1">
      <c r="T88" s="32"/>
      <c r="U88" s="32"/>
    </row>
    <row r="89" spans="20:21" s="21" customFormat="1">
      <c r="T89" s="32"/>
      <c r="U89" s="32"/>
    </row>
    <row r="90" spans="20:21" s="21" customFormat="1">
      <c r="T90" s="32"/>
      <c r="U90" s="32"/>
    </row>
    <row r="91" spans="20:21" s="21" customFormat="1">
      <c r="T91" s="32"/>
      <c r="U91" s="32"/>
    </row>
    <row r="92" spans="20:21" s="21" customFormat="1">
      <c r="T92" s="32"/>
      <c r="U92" s="32"/>
    </row>
    <row r="93" spans="20:21" s="21" customFormat="1">
      <c r="T93" s="32"/>
      <c r="U93" s="32"/>
    </row>
    <row r="94" spans="20:21" s="21" customFormat="1">
      <c r="T94" s="32"/>
      <c r="U94" s="32"/>
    </row>
    <row r="95" spans="20:21" s="21" customFormat="1">
      <c r="T95" s="32"/>
      <c r="U95" s="32"/>
    </row>
    <row r="96" spans="20:21" s="21" customFormat="1">
      <c r="T96" s="32"/>
      <c r="U96" s="32"/>
    </row>
    <row r="97" spans="20:21" s="21" customFormat="1">
      <c r="T97" s="32"/>
      <c r="U97" s="32"/>
    </row>
    <row r="98" spans="20:21" s="21" customFormat="1">
      <c r="T98" s="32"/>
      <c r="U98" s="32"/>
    </row>
    <row r="99" spans="20:21" s="21" customFormat="1">
      <c r="T99" s="32"/>
      <c r="U99" s="32"/>
    </row>
    <row r="100" spans="20:21" s="21" customFormat="1">
      <c r="T100" s="32"/>
      <c r="U100" s="32"/>
    </row>
    <row r="101" spans="20:21" s="21" customFormat="1">
      <c r="T101" s="32"/>
      <c r="U101" s="32"/>
    </row>
    <row r="102" spans="20:21" s="21" customFormat="1">
      <c r="T102" s="32"/>
      <c r="U102" s="32"/>
    </row>
    <row r="103" spans="20:21" s="21" customFormat="1">
      <c r="T103" s="32"/>
      <c r="U103" s="32"/>
    </row>
    <row r="104" spans="20:21" s="21" customFormat="1">
      <c r="T104" s="32"/>
      <c r="U104" s="32"/>
    </row>
    <row r="105" spans="20:21" s="21" customFormat="1">
      <c r="T105" s="32"/>
      <c r="U105" s="32"/>
    </row>
    <row r="106" spans="20:21" s="21" customFormat="1">
      <c r="T106" s="32"/>
      <c r="U106" s="32"/>
    </row>
    <row r="107" spans="20:21" s="21" customFormat="1">
      <c r="T107" s="32"/>
      <c r="U107" s="32"/>
    </row>
    <row r="108" spans="20:21" s="21" customFormat="1">
      <c r="T108" s="32"/>
      <c r="U108" s="32"/>
    </row>
    <row r="109" spans="20:21" s="21" customFormat="1">
      <c r="T109" s="32"/>
      <c r="U109" s="32"/>
    </row>
    <row r="110" spans="20:21" s="21" customFormat="1">
      <c r="T110" s="32"/>
      <c r="U110" s="32"/>
    </row>
    <row r="111" spans="20:21" s="21" customFormat="1">
      <c r="T111" s="32"/>
      <c r="U111" s="32"/>
    </row>
    <row r="112" spans="20:21" s="21" customFormat="1">
      <c r="T112" s="32"/>
      <c r="U112" s="32"/>
    </row>
    <row r="113" spans="20:21" s="21" customFormat="1">
      <c r="T113" s="32"/>
      <c r="U113" s="32"/>
    </row>
    <row r="114" spans="20:21" s="21" customFormat="1">
      <c r="T114" s="32"/>
      <c r="U114" s="32"/>
    </row>
    <row r="115" spans="20:21" s="21" customFormat="1">
      <c r="T115" s="32"/>
      <c r="U115" s="32"/>
    </row>
    <row r="116" spans="20:21" s="21" customFormat="1">
      <c r="T116" s="32"/>
      <c r="U116" s="32"/>
    </row>
    <row r="117" spans="20:21" s="21" customFormat="1">
      <c r="T117" s="32"/>
      <c r="U117" s="32"/>
    </row>
    <row r="118" spans="20:21" s="21" customFormat="1">
      <c r="T118" s="32"/>
      <c r="U118" s="32"/>
    </row>
    <row r="119" spans="20:21" s="21" customFormat="1">
      <c r="T119" s="32"/>
      <c r="U119" s="32"/>
    </row>
    <row r="120" spans="20:21" s="21" customFormat="1">
      <c r="T120" s="32"/>
      <c r="U120" s="32"/>
    </row>
    <row r="121" spans="20:21" s="21" customFormat="1">
      <c r="T121" s="32"/>
      <c r="U121" s="32"/>
    </row>
    <row r="122" spans="20:21" s="21" customFormat="1">
      <c r="T122" s="32"/>
      <c r="U122" s="32"/>
    </row>
    <row r="123" spans="20:21" s="21" customFormat="1">
      <c r="T123" s="32"/>
      <c r="U123" s="32"/>
    </row>
    <row r="124" spans="20:21" s="21" customFormat="1">
      <c r="T124" s="32"/>
      <c r="U124" s="32"/>
    </row>
    <row r="125" spans="20:21" s="21" customFormat="1">
      <c r="T125" s="32"/>
      <c r="U125" s="32"/>
    </row>
    <row r="126" spans="20:21" s="21" customFormat="1">
      <c r="T126" s="32"/>
      <c r="U126" s="32"/>
    </row>
    <row r="127" spans="20:21" s="21" customFormat="1">
      <c r="T127" s="32"/>
      <c r="U127" s="32"/>
    </row>
    <row r="128" spans="20:21" s="21" customFormat="1">
      <c r="T128" s="32"/>
      <c r="U128" s="32"/>
    </row>
    <row r="129" spans="20:21" s="21" customFormat="1">
      <c r="T129" s="32"/>
      <c r="U129" s="32"/>
    </row>
    <row r="130" spans="20:21" s="21" customFormat="1">
      <c r="T130" s="32"/>
      <c r="U130" s="32"/>
    </row>
    <row r="131" spans="20:21" s="21" customFormat="1">
      <c r="T131" s="32"/>
      <c r="U131" s="32"/>
    </row>
    <row r="132" spans="20:21" s="21" customFormat="1">
      <c r="T132" s="32"/>
      <c r="U132" s="32"/>
    </row>
    <row r="133" spans="20:21" s="21" customFormat="1">
      <c r="T133" s="32"/>
      <c r="U133" s="32"/>
    </row>
    <row r="134" spans="20:21" s="21" customFormat="1">
      <c r="T134" s="32"/>
      <c r="U134" s="32"/>
    </row>
    <row r="135" spans="20:21" s="21" customFormat="1">
      <c r="T135" s="32"/>
      <c r="U135" s="32"/>
    </row>
    <row r="136" spans="20:21" s="21" customFormat="1">
      <c r="T136" s="32"/>
      <c r="U136" s="32"/>
    </row>
    <row r="137" spans="20:21" s="21" customFormat="1">
      <c r="T137" s="32"/>
      <c r="U137" s="32"/>
    </row>
    <row r="138" spans="20:21" s="21" customFormat="1">
      <c r="T138" s="32"/>
      <c r="U138" s="32"/>
    </row>
    <row r="139" spans="20:21" s="21" customFormat="1">
      <c r="T139" s="32"/>
      <c r="U139" s="32"/>
    </row>
    <row r="140" spans="20:21" s="21" customFormat="1">
      <c r="T140" s="32"/>
      <c r="U140" s="32"/>
    </row>
    <row r="141" spans="20:21" s="21" customFormat="1">
      <c r="T141" s="32"/>
      <c r="U141" s="32"/>
    </row>
    <row r="142" spans="20:21" s="21" customFormat="1">
      <c r="T142" s="32"/>
      <c r="U142" s="32"/>
    </row>
    <row r="143" spans="20:21" s="21" customFormat="1">
      <c r="T143" s="32"/>
      <c r="U143" s="32"/>
    </row>
    <row r="144" spans="20:21" s="21" customFormat="1">
      <c r="T144" s="32"/>
      <c r="U144" s="32"/>
    </row>
    <row r="145" spans="20:21" s="21" customFormat="1">
      <c r="T145" s="32"/>
      <c r="U145" s="32"/>
    </row>
    <row r="146" spans="20:21" s="21" customFormat="1">
      <c r="T146" s="32"/>
      <c r="U146" s="32"/>
    </row>
    <row r="147" spans="20:21" s="21" customFormat="1">
      <c r="T147" s="32"/>
      <c r="U147" s="32"/>
    </row>
    <row r="148" spans="20:21" s="21" customFormat="1">
      <c r="T148" s="32"/>
      <c r="U148" s="32"/>
    </row>
    <row r="149" spans="20:21" s="21" customFormat="1">
      <c r="T149" s="32"/>
      <c r="U149" s="32"/>
    </row>
    <row r="150" spans="20:21" s="21" customFormat="1">
      <c r="T150" s="32"/>
      <c r="U150" s="32"/>
    </row>
    <row r="151" spans="20:21" s="21" customFormat="1">
      <c r="T151" s="32"/>
      <c r="U151" s="32"/>
    </row>
    <row r="152" spans="20:21" s="21" customFormat="1">
      <c r="T152" s="32"/>
      <c r="U152" s="32"/>
    </row>
    <row r="153" spans="20:21" s="21" customFormat="1">
      <c r="T153" s="32"/>
      <c r="U153" s="32"/>
    </row>
    <row r="154" spans="20:21" s="21" customFormat="1">
      <c r="T154" s="32"/>
      <c r="U154" s="32"/>
    </row>
    <row r="155" spans="20:21" s="21" customFormat="1">
      <c r="T155" s="32"/>
      <c r="U155" s="32"/>
    </row>
    <row r="156" spans="20:21" s="21" customFormat="1">
      <c r="T156" s="32"/>
      <c r="U156" s="32"/>
    </row>
    <row r="157" spans="20:21" s="21" customFormat="1">
      <c r="T157" s="32"/>
      <c r="U157" s="32"/>
    </row>
    <row r="158" spans="20:21" s="21" customFormat="1">
      <c r="T158" s="32"/>
      <c r="U158" s="32"/>
    </row>
    <row r="159" spans="20:21" s="21" customFormat="1">
      <c r="T159" s="32"/>
      <c r="U159" s="32"/>
    </row>
    <row r="160" spans="20:21" s="21" customFormat="1">
      <c r="T160" s="32"/>
      <c r="U160" s="32"/>
    </row>
    <row r="161" spans="20:21" s="21" customFormat="1">
      <c r="T161" s="32"/>
      <c r="U161" s="32"/>
    </row>
    <row r="162" spans="20:21" s="21" customFormat="1">
      <c r="T162" s="32"/>
      <c r="U162" s="32"/>
    </row>
    <row r="163" spans="20:21" s="21" customFormat="1">
      <c r="T163" s="32"/>
      <c r="U163" s="32"/>
    </row>
    <row r="164" spans="20:21" s="21" customFormat="1">
      <c r="T164" s="32"/>
      <c r="U164" s="32"/>
    </row>
    <row r="165" spans="20:21" s="21" customFormat="1">
      <c r="T165" s="32"/>
      <c r="U165" s="32"/>
    </row>
    <row r="166" spans="20:21" s="21" customFormat="1">
      <c r="T166" s="32"/>
      <c r="U166" s="32"/>
    </row>
    <row r="167" spans="20:21" s="21" customFormat="1">
      <c r="T167" s="32"/>
      <c r="U167" s="32"/>
    </row>
    <row r="168" spans="20:21" s="21" customFormat="1">
      <c r="T168" s="32"/>
      <c r="U168" s="32"/>
    </row>
    <row r="169" spans="20:21" s="21" customFormat="1">
      <c r="T169" s="32"/>
      <c r="U169" s="32"/>
    </row>
    <row r="170" spans="20:21" s="21" customFormat="1">
      <c r="T170" s="32"/>
      <c r="U170" s="32"/>
    </row>
    <row r="171" spans="20:21" s="21" customFormat="1">
      <c r="T171" s="32"/>
      <c r="U171" s="32"/>
    </row>
    <row r="172" spans="20:21" s="21" customFormat="1">
      <c r="T172" s="32"/>
      <c r="U172" s="32"/>
    </row>
    <row r="173" spans="20:21" s="21" customFormat="1">
      <c r="T173" s="32"/>
      <c r="U173" s="32"/>
    </row>
    <row r="174" spans="20:21" s="21" customFormat="1">
      <c r="T174" s="32"/>
      <c r="U174" s="32"/>
    </row>
    <row r="175" spans="20:21" s="21" customFormat="1">
      <c r="T175" s="32"/>
      <c r="U175" s="32"/>
    </row>
    <row r="176" spans="20:21" s="21" customFormat="1">
      <c r="T176" s="32"/>
      <c r="U176" s="32"/>
    </row>
    <row r="177" spans="20:21" s="21" customFormat="1">
      <c r="T177" s="32"/>
      <c r="U177" s="32"/>
    </row>
    <row r="178" spans="20:21" s="21" customFormat="1">
      <c r="T178" s="32"/>
      <c r="U178" s="32"/>
    </row>
    <row r="179" spans="20:21" s="21" customFormat="1">
      <c r="T179" s="32"/>
      <c r="U179" s="32"/>
    </row>
    <row r="180" spans="20:21" s="21" customFormat="1">
      <c r="T180" s="32"/>
      <c r="U180" s="32"/>
    </row>
    <row r="181" spans="20:21" s="21" customFormat="1">
      <c r="T181" s="32"/>
      <c r="U181" s="32"/>
    </row>
    <row r="182" spans="20:21" s="21" customFormat="1">
      <c r="T182" s="32"/>
      <c r="U182" s="32"/>
    </row>
    <row r="183" spans="20:21" s="21" customFormat="1">
      <c r="T183" s="32"/>
      <c r="U183" s="32"/>
    </row>
    <row r="184" spans="20:21" s="21" customFormat="1">
      <c r="T184" s="32"/>
      <c r="U184" s="32"/>
    </row>
    <row r="185" spans="20:21" s="21" customFormat="1">
      <c r="T185" s="32"/>
      <c r="U185" s="32"/>
    </row>
    <row r="186" spans="20:21" s="21" customFormat="1">
      <c r="T186" s="32"/>
      <c r="U186" s="32"/>
    </row>
    <row r="187" spans="20:21" s="21" customFormat="1">
      <c r="T187" s="32"/>
      <c r="U187" s="32"/>
    </row>
    <row r="188" spans="20:21" s="21" customFormat="1">
      <c r="T188" s="32"/>
      <c r="U188" s="32"/>
    </row>
    <row r="189" spans="20:21" s="21" customFormat="1">
      <c r="T189" s="32"/>
      <c r="U189" s="32"/>
    </row>
    <row r="190" spans="20:21" s="21" customFormat="1">
      <c r="T190" s="32"/>
      <c r="U190" s="32"/>
    </row>
    <row r="191" spans="20:21" s="21" customFormat="1">
      <c r="T191" s="32"/>
      <c r="U191" s="32"/>
    </row>
    <row r="192" spans="20:21" s="21" customFormat="1">
      <c r="T192" s="32"/>
      <c r="U192" s="32"/>
    </row>
    <row r="193" spans="20:21" s="21" customFormat="1">
      <c r="T193" s="32"/>
      <c r="U193" s="32"/>
    </row>
    <row r="194" spans="20:21" s="21" customFormat="1">
      <c r="T194" s="32"/>
      <c r="U194" s="32"/>
    </row>
    <row r="195" spans="20:21" s="21" customFormat="1">
      <c r="T195" s="32"/>
      <c r="U195" s="32"/>
    </row>
    <row r="196" spans="20:21" s="21" customFormat="1">
      <c r="T196" s="32"/>
      <c r="U196" s="32"/>
    </row>
    <row r="197" spans="20:21" s="21" customFormat="1">
      <c r="T197" s="32"/>
      <c r="U197" s="32"/>
    </row>
    <row r="198" spans="20:21" s="21" customFormat="1">
      <c r="T198" s="32"/>
      <c r="U198" s="32"/>
    </row>
    <row r="199" spans="20:21" s="21" customFormat="1">
      <c r="T199" s="32"/>
      <c r="U199" s="32"/>
    </row>
    <row r="200" spans="20:21" s="21" customFormat="1">
      <c r="T200" s="32"/>
      <c r="U200" s="32"/>
    </row>
    <row r="201" spans="20:21" s="21" customFormat="1">
      <c r="T201" s="32"/>
      <c r="U201" s="32"/>
    </row>
    <row r="202" spans="20:21" s="21" customFormat="1">
      <c r="T202" s="32"/>
      <c r="U202" s="32"/>
    </row>
    <row r="203" spans="20:21" s="21" customFormat="1">
      <c r="T203" s="32"/>
      <c r="U203" s="32"/>
    </row>
    <row r="204" spans="20:21" s="21" customFormat="1">
      <c r="T204" s="32"/>
      <c r="U204" s="32"/>
    </row>
    <row r="205" spans="20:21" s="21" customFormat="1">
      <c r="T205" s="32"/>
      <c r="U205" s="32"/>
    </row>
    <row r="206" spans="20:21" s="21" customFormat="1">
      <c r="T206" s="32"/>
      <c r="U206" s="32"/>
    </row>
    <row r="207" spans="20:21" s="21" customFormat="1">
      <c r="T207" s="32"/>
      <c r="U207" s="32"/>
    </row>
    <row r="208" spans="20:21" s="21" customFormat="1">
      <c r="T208" s="32"/>
      <c r="U208" s="32"/>
    </row>
    <row r="209" spans="20:21" s="21" customFormat="1">
      <c r="T209" s="32"/>
      <c r="U209" s="32"/>
    </row>
    <row r="210" spans="20:21" s="21" customFormat="1">
      <c r="T210" s="32"/>
      <c r="U210" s="32"/>
    </row>
    <row r="211" spans="20:21" s="21" customFormat="1">
      <c r="T211" s="32"/>
      <c r="U211" s="32"/>
    </row>
    <row r="212" spans="20:21" s="21" customFormat="1">
      <c r="T212" s="32"/>
      <c r="U212" s="32"/>
    </row>
    <row r="213" spans="20:21" s="21" customFormat="1">
      <c r="T213" s="32"/>
      <c r="U213" s="32"/>
    </row>
    <row r="214" spans="20:21" s="21" customFormat="1">
      <c r="T214" s="32"/>
      <c r="U214" s="32"/>
    </row>
    <row r="215" spans="20:21" s="21" customFormat="1">
      <c r="T215" s="32"/>
      <c r="U215" s="32"/>
    </row>
    <row r="216" spans="20:21" s="21" customFormat="1">
      <c r="T216" s="32"/>
      <c r="U216" s="32"/>
    </row>
    <row r="217" spans="20:21" s="21" customFormat="1">
      <c r="T217" s="32"/>
      <c r="U217" s="32"/>
    </row>
    <row r="218" spans="20:21" s="21" customFormat="1">
      <c r="T218" s="32"/>
      <c r="U218" s="32"/>
    </row>
    <row r="219" spans="20:21" s="21" customFormat="1">
      <c r="T219" s="32"/>
      <c r="U219" s="32"/>
    </row>
    <row r="220" spans="20:21" s="21" customFormat="1">
      <c r="T220" s="32"/>
      <c r="U220" s="32"/>
    </row>
    <row r="221" spans="20:21" s="21" customFormat="1">
      <c r="T221" s="32"/>
      <c r="U221" s="32"/>
    </row>
    <row r="222" spans="20:21" s="21" customFormat="1">
      <c r="T222" s="32"/>
      <c r="U222" s="32"/>
    </row>
    <row r="223" spans="20:21" s="21" customFormat="1">
      <c r="T223" s="32"/>
      <c r="U223" s="32"/>
    </row>
    <row r="224" spans="20:21" s="21" customFormat="1">
      <c r="T224" s="32"/>
      <c r="U224" s="32"/>
    </row>
    <row r="225" spans="20:21" s="21" customFormat="1">
      <c r="T225" s="32"/>
      <c r="U225" s="32"/>
    </row>
    <row r="226" spans="20:21" s="21" customFormat="1">
      <c r="T226" s="32"/>
      <c r="U226" s="32"/>
    </row>
    <row r="227" spans="20:21" s="21" customFormat="1">
      <c r="T227" s="32"/>
      <c r="U227" s="32"/>
    </row>
    <row r="228" spans="20:21" s="21" customFormat="1">
      <c r="T228" s="32"/>
      <c r="U228" s="32"/>
    </row>
    <row r="229" spans="20:21" s="21" customFormat="1">
      <c r="T229" s="32"/>
      <c r="U229" s="32"/>
    </row>
    <row r="230" spans="20:21" s="21" customFormat="1">
      <c r="T230" s="32"/>
      <c r="U230" s="32"/>
    </row>
    <row r="231" spans="20:21" s="21" customFormat="1">
      <c r="T231" s="32"/>
      <c r="U231" s="32"/>
    </row>
    <row r="232" spans="20:21" s="21" customFormat="1">
      <c r="T232" s="32"/>
      <c r="U232" s="32"/>
    </row>
    <row r="233" spans="20:21" s="21" customFormat="1">
      <c r="T233" s="32"/>
      <c r="U233" s="32"/>
    </row>
    <row r="234" spans="20:21" s="21" customFormat="1">
      <c r="T234" s="32"/>
      <c r="U234" s="32"/>
    </row>
    <row r="235" spans="20:21" s="21" customFormat="1">
      <c r="T235" s="32"/>
      <c r="U235" s="32"/>
    </row>
    <row r="236" spans="20:21" s="21" customFormat="1">
      <c r="T236" s="32"/>
      <c r="U236" s="32"/>
    </row>
    <row r="237" spans="20:21" s="21" customFormat="1">
      <c r="T237" s="32"/>
      <c r="U237" s="32"/>
    </row>
    <row r="238" spans="20:21" s="21" customFormat="1">
      <c r="T238" s="32"/>
      <c r="U238" s="32"/>
    </row>
    <row r="239" spans="20:21" s="21" customFormat="1">
      <c r="T239" s="32"/>
      <c r="U239" s="32"/>
    </row>
    <row r="240" spans="20:21" s="21" customFormat="1">
      <c r="T240" s="32"/>
      <c r="U240" s="32"/>
    </row>
    <row r="241" spans="20:21" s="21" customFormat="1">
      <c r="T241" s="32"/>
      <c r="U241" s="32"/>
    </row>
    <row r="242" spans="20:21" s="21" customFormat="1">
      <c r="T242" s="32"/>
      <c r="U242" s="32"/>
    </row>
    <row r="243" spans="20:21" s="21" customFormat="1">
      <c r="T243" s="32"/>
      <c r="U243" s="32"/>
    </row>
    <row r="244" spans="20:21" s="21" customFormat="1">
      <c r="T244" s="32"/>
      <c r="U244" s="32"/>
    </row>
    <row r="245" spans="20:21" s="21" customFormat="1">
      <c r="T245" s="32"/>
      <c r="U245" s="32"/>
    </row>
    <row r="246" spans="20:21" s="21" customFormat="1">
      <c r="T246" s="32"/>
      <c r="U246" s="32"/>
    </row>
    <row r="247" spans="20:21" s="21" customFormat="1">
      <c r="T247" s="32"/>
      <c r="U247" s="32"/>
    </row>
    <row r="248" spans="20:21" s="21" customFormat="1">
      <c r="T248" s="32"/>
      <c r="U248" s="32"/>
    </row>
    <row r="249" spans="20:21" s="21" customFormat="1">
      <c r="T249" s="32"/>
      <c r="U249" s="32"/>
    </row>
    <row r="250" spans="20:21" s="21" customFormat="1">
      <c r="T250" s="32"/>
      <c r="U250" s="32"/>
    </row>
    <row r="251" spans="20:21" s="21" customFormat="1">
      <c r="T251" s="32"/>
      <c r="U251" s="32"/>
    </row>
    <row r="252" spans="20:21" s="21" customFormat="1">
      <c r="T252" s="32"/>
      <c r="U252" s="32"/>
    </row>
    <row r="253" spans="20:21" s="21" customFormat="1">
      <c r="T253" s="32"/>
      <c r="U253" s="32"/>
    </row>
    <row r="254" spans="20:21" s="21" customFormat="1">
      <c r="T254" s="32"/>
      <c r="U254" s="32"/>
    </row>
    <row r="255" spans="20:21" s="21" customFormat="1">
      <c r="T255" s="32"/>
      <c r="U255" s="32"/>
    </row>
    <row r="256" spans="20:21" s="21" customFormat="1">
      <c r="T256" s="32"/>
      <c r="U256" s="32"/>
    </row>
    <row r="257" spans="20:21" s="21" customFormat="1">
      <c r="T257" s="32"/>
      <c r="U257" s="32"/>
    </row>
    <row r="258" spans="20:21" s="21" customFormat="1">
      <c r="T258" s="32"/>
      <c r="U258" s="32"/>
    </row>
    <row r="259" spans="20:21" s="21" customFormat="1">
      <c r="T259" s="32"/>
      <c r="U259" s="32"/>
    </row>
    <row r="260" spans="20:21" s="21" customFormat="1">
      <c r="T260" s="32"/>
      <c r="U260" s="32"/>
    </row>
    <row r="261" spans="20:21" s="21" customFormat="1">
      <c r="T261" s="32"/>
      <c r="U261" s="32"/>
    </row>
    <row r="262" spans="20:21" s="21" customFormat="1">
      <c r="T262" s="32"/>
      <c r="U262" s="32"/>
    </row>
    <row r="263" spans="20:21" s="21" customFormat="1">
      <c r="T263" s="32"/>
      <c r="U263" s="32"/>
    </row>
    <row r="264" spans="20:21" s="21" customFormat="1">
      <c r="T264" s="32"/>
      <c r="U264" s="32"/>
    </row>
    <row r="265" spans="20:21" s="21" customFormat="1">
      <c r="T265" s="32"/>
      <c r="U265" s="32"/>
    </row>
    <row r="266" spans="20:21" s="21" customFormat="1">
      <c r="T266" s="32"/>
      <c r="U266" s="32"/>
    </row>
    <row r="267" spans="20:21" s="21" customFormat="1">
      <c r="T267" s="32"/>
      <c r="U267" s="32"/>
    </row>
    <row r="268" spans="20:21" s="21" customFormat="1">
      <c r="T268" s="32"/>
      <c r="U268" s="32"/>
    </row>
    <row r="269" spans="20:21" s="21" customFormat="1">
      <c r="T269" s="32"/>
      <c r="U269" s="32"/>
    </row>
    <row r="270" spans="20:21" s="21" customFormat="1">
      <c r="T270" s="32"/>
      <c r="U270" s="32"/>
    </row>
    <row r="271" spans="20:21" s="21" customFormat="1">
      <c r="T271" s="32"/>
      <c r="U271" s="32"/>
    </row>
    <row r="272" spans="20:21" s="21" customFormat="1">
      <c r="T272" s="32"/>
      <c r="U272" s="32"/>
    </row>
    <row r="273" spans="20:21" s="21" customFormat="1">
      <c r="T273" s="32"/>
      <c r="U273" s="32"/>
    </row>
    <row r="274" spans="20:21" s="21" customFormat="1">
      <c r="T274" s="32"/>
      <c r="U274" s="32"/>
    </row>
    <row r="275" spans="20:21" s="21" customFormat="1">
      <c r="T275" s="32"/>
      <c r="U275" s="32"/>
    </row>
    <row r="276" spans="20:21" s="21" customFormat="1">
      <c r="T276" s="32"/>
      <c r="U276" s="32"/>
    </row>
    <row r="277" spans="20:21" s="21" customFormat="1">
      <c r="T277" s="32"/>
      <c r="U277" s="32"/>
    </row>
    <row r="278" spans="20:21" s="21" customFormat="1">
      <c r="T278" s="32"/>
      <c r="U278" s="32"/>
    </row>
    <row r="279" spans="20:21" s="21" customFormat="1">
      <c r="T279" s="32"/>
      <c r="U279" s="32"/>
    </row>
    <row r="280" spans="20:21" s="21" customFormat="1">
      <c r="T280" s="32"/>
      <c r="U280" s="32"/>
    </row>
    <row r="281" spans="20:21" s="21" customFormat="1">
      <c r="T281" s="32"/>
      <c r="U281" s="32"/>
    </row>
    <row r="282" spans="20:21" s="21" customFormat="1">
      <c r="T282" s="32"/>
      <c r="U282" s="32"/>
    </row>
    <row r="283" spans="20:21" s="21" customFormat="1">
      <c r="T283" s="32"/>
      <c r="U283" s="32"/>
    </row>
    <row r="284" spans="20:21" s="21" customFormat="1">
      <c r="T284" s="32"/>
      <c r="U284" s="32"/>
    </row>
    <row r="285" spans="20:21" s="21" customFormat="1">
      <c r="T285" s="32"/>
      <c r="U285" s="32"/>
    </row>
    <row r="286" spans="20:21" s="21" customFormat="1">
      <c r="T286" s="32"/>
      <c r="U286" s="32"/>
    </row>
    <row r="287" spans="20:21" s="21" customFormat="1">
      <c r="T287" s="32"/>
      <c r="U287" s="32"/>
    </row>
    <row r="288" spans="20:21" s="21" customFormat="1">
      <c r="T288" s="32"/>
      <c r="U288" s="32"/>
    </row>
    <row r="289" spans="20:21" s="21" customFormat="1">
      <c r="T289" s="32"/>
      <c r="U289" s="32"/>
    </row>
    <row r="290" spans="20:21" s="21" customFormat="1">
      <c r="T290" s="32"/>
      <c r="U290" s="32"/>
    </row>
    <row r="291" spans="20:21" s="21" customFormat="1">
      <c r="T291" s="32"/>
      <c r="U291" s="32"/>
    </row>
    <row r="292" spans="20:21" s="21" customFormat="1">
      <c r="T292" s="32"/>
      <c r="U292" s="32"/>
    </row>
    <row r="293" spans="20:21" s="21" customFormat="1">
      <c r="T293" s="32"/>
      <c r="U293" s="32"/>
    </row>
    <row r="294" spans="20:21" s="21" customFormat="1">
      <c r="T294" s="32"/>
      <c r="U294" s="32"/>
    </row>
    <row r="295" spans="20:21" s="21" customFormat="1">
      <c r="T295" s="32"/>
      <c r="U295" s="32"/>
    </row>
    <row r="296" spans="20:21" s="21" customFormat="1">
      <c r="T296" s="32"/>
      <c r="U296" s="32"/>
    </row>
    <row r="297" spans="20:21" s="21" customFormat="1">
      <c r="T297" s="32"/>
      <c r="U297" s="32"/>
    </row>
    <row r="298" spans="20:21" s="21" customFormat="1">
      <c r="T298" s="32"/>
      <c r="U298" s="32"/>
    </row>
    <row r="299" spans="20:21" s="21" customFormat="1">
      <c r="T299" s="32"/>
      <c r="U299" s="32"/>
    </row>
    <row r="300" spans="20:21" s="21" customFormat="1">
      <c r="T300" s="32"/>
      <c r="U300" s="32"/>
    </row>
    <row r="301" spans="20:21" s="21" customFormat="1">
      <c r="T301" s="32"/>
      <c r="U301" s="32"/>
    </row>
    <row r="302" spans="20:21" s="21" customFormat="1">
      <c r="T302" s="32"/>
      <c r="U302" s="32"/>
    </row>
    <row r="303" spans="20:21" s="21" customFormat="1">
      <c r="T303" s="32"/>
      <c r="U303" s="32"/>
    </row>
    <row r="304" spans="20:21" s="21" customFormat="1">
      <c r="T304" s="32"/>
      <c r="U304" s="32"/>
    </row>
    <row r="305" spans="20:21" s="21" customFormat="1">
      <c r="T305" s="32"/>
      <c r="U305" s="32"/>
    </row>
    <row r="306" spans="20:21" s="21" customFormat="1">
      <c r="T306" s="32"/>
      <c r="U306" s="32"/>
    </row>
    <row r="307" spans="20:21" s="21" customFormat="1">
      <c r="T307" s="32"/>
      <c r="U307" s="32"/>
    </row>
    <row r="308" spans="20:21" s="21" customFormat="1">
      <c r="T308" s="32"/>
      <c r="U308" s="32"/>
    </row>
    <row r="309" spans="20:21" s="21" customFormat="1">
      <c r="T309" s="32"/>
      <c r="U309" s="32"/>
    </row>
    <row r="310" spans="20:21" s="21" customFormat="1">
      <c r="T310" s="32"/>
      <c r="U310" s="32"/>
    </row>
    <row r="311" spans="20:21" s="21" customFormat="1">
      <c r="T311" s="32"/>
      <c r="U311" s="32"/>
    </row>
    <row r="312" spans="20:21" s="21" customFormat="1">
      <c r="T312" s="32"/>
      <c r="U312" s="32"/>
    </row>
    <row r="313" spans="20:21" s="21" customFormat="1">
      <c r="T313" s="32"/>
      <c r="U313" s="32"/>
    </row>
    <row r="314" spans="20:21" s="21" customFormat="1">
      <c r="T314" s="32"/>
      <c r="U314" s="32"/>
    </row>
    <row r="315" spans="20:21" s="21" customFormat="1">
      <c r="T315" s="32"/>
      <c r="U315" s="32"/>
    </row>
    <row r="316" spans="20:21" s="21" customFormat="1">
      <c r="T316" s="32"/>
      <c r="U316" s="32"/>
    </row>
    <row r="317" spans="20:21" s="21" customFormat="1">
      <c r="T317" s="32"/>
      <c r="U317" s="32"/>
    </row>
    <row r="318" spans="20:21" s="21" customFormat="1">
      <c r="T318" s="32"/>
      <c r="U318" s="32"/>
    </row>
    <row r="319" spans="20:21" s="21" customFormat="1">
      <c r="T319" s="32"/>
      <c r="U319" s="32"/>
    </row>
    <row r="320" spans="20:21" s="21" customFormat="1">
      <c r="T320" s="32"/>
      <c r="U320" s="32"/>
    </row>
    <row r="321" spans="1:21" s="21" customFormat="1">
      <c r="T321" s="32"/>
      <c r="U321" s="32"/>
    </row>
    <row r="322" spans="1:21" s="21" customFormat="1">
      <c r="T322" s="32"/>
      <c r="U322" s="32"/>
    </row>
    <row r="323" spans="1:21" s="21" customFormat="1">
      <c r="T323" s="32"/>
      <c r="U323" s="32"/>
    </row>
    <row r="324" spans="1:21" s="21" customFormat="1">
      <c r="T324" s="32"/>
      <c r="U324" s="32"/>
    </row>
    <row r="325" spans="1:21" s="21" customFormat="1">
      <c r="T325" s="32"/>
      <c r="U325" s="32"/>
    </row>
    <row r="326" spans="1:21" s="21" customFormat="1">
      <c r="T326" s="32"/>
      <c r="U326" s="32"/>
    </row>
    <row r="327" spans="1:21" s="21" customFormat="1">
      <c r="T327" s="32"/>
      <c r="U327" s="32"/>
    </row>
    <row r="328" spans="1:21" s="21" customFormat="1">
      <c r="T328" s="32"/>
      <c r="U328" s="32"/>
    </row>
    <row r="329" spans="1:21" s="21" customFormat="1">
      <c r="B329" s="5"/>
      <c r="C329" s="5"/>
      <c r="D329" s="5"/>
      <c r="E329" s="5"/>
      <c r="F329" s="5"/>
      <c r="G329" s="5"/>
      <c r="H329" s="5"/>
      <c r="I329" s="5"/>
      <c r="J329" s="5"/>
      <c r="K329" s="5"/>
      <c r="L329" s="5"/>
      <c r="M329" s="5"/>
      <c r="N329" s="5"/>
      <c r="O329" s="5"/>
      <c r="P329" s="5"/>
      <c r="Q329" s="5"/>
      <c r="R329" s="5"/>
      <c r="S329" s="5"/>
      <c r="T329" s="67"/>
      <c r="U329" s="67"/>
    </row>
    <row r="330" spans="1:21" s="21" customFormat="1">
      <c r="B330" s="5"/>
      <c r="C330" s="5"/>
      <c r="D330" s="5"/>
      <c r="E330" s="5"/>
      <c r="F330" s="5"/>
      <c r="G330" s="5"/>
      <c r="H330" s="5"/>
      <c r="I330" s="5"/>
      <c r="J330" s="5"/>
      <c r="K330" s="5"/>
      <c r="L330" s="5"/>
      <c r="M330" s="5"/>
      <c r="N330" s="5"/>
      <c r="O330" s="5"/>
      <c r="P330" s="5"/>
      <c r="Q330" s="5"/>
      <c r="R330" s="5"/>
      <c r="S330" s="5"/>
      <c r="T330" s="67"/>
      <c r="U330" s="67"/>
    </row>
    <row r="331" spans="1:21" s="21" customFormat="1">
      <c r="A331" s="5"/>
      <c r="B331" s="5"/>
      <c r="C331" s="5"/>
      <c r="D331" s="5"/>
      <c r="E331" s="5"/>
      <c r="F331" s="5"/>
      <c r="G331" s="5"/>
      <c r="H331" s="5"/>
      <c r="I331" s="5"/>
      <c r="J331" s="5"/>
      <c r="K331" s="5"/>
      <c r="L331" s="5"/>
      <c r="M331" s="5"/>
      <c r="N331" s="5"/>
      <c r="O331" s="5"/>
      <c r="P331" s="5"/>
      <c r="Q331" s="5"/>
      <c r="R331" s="5"/>
      <c r="S331" s="5"/>
      <c r="T331" s="67"/>
      <c r="U331" s="67"/>
    </row>
    <row r="332" spans="1:21" s="21" customFormat="1">
      <c r="A332" s="5"/>
      <c r="B332" s="5"/>
      <c r="C332" s="5"/>
      <c r="D332" s="5"/>
      <c r="E332" s="5"/>
      <c r="F332" s="5"/>
      <c r="G332" s="5"/>
      <c r="H332" s="5"/>
      <c r="I332" s="5"/>
      <c r="J332" s="5"/>
      <c r="K332" s="5"/>
      <c r="L332" s="5"/>
      <c r="M332" s="5"/>
      <c r="N332" s="5"/>
      <c r="O332" s="5"/>
      <c r="P332" s="5"/>
      <c r="Q332" s="5"/>
      <c r="R332" s="5"/>
      <c r="S332" s="5"/>
      <c r="T332" s="67"/>
      <c r="U332" s="67"/>
    </row>
    <row r="333" spans="1:21" s="21" customFormat="1">
      <c r="A333" s="5"/>
      <c r="B333" s="5"/>
      <c r="C333" s="5"/>
      <c r="D333" s="5"/>
      <c r="E333" s="5"/>
      <c r="F333" s="5"/>
      <c r="G333" s="5"/>
      <c r="H333" s="5"/>
      <c r="I333" s="5"/>
      <c r="J333" s="5"/>
      <c r="K333" s="5"/>
      <c r="L333" s="5"/>
      <c r="M333" s="5"/>
      <c r="N333" s="5"/>
      <c r="O333" s="5"/>
      <c r="P333" s="5"/>
      <c r="Q333" s="5"/>
      <c r="R333" s="5"/>
      <c r="S333" s="5"/>
      <c r="T333" s="67"/>
      <c r="U333" s="67"/>
    </row>
    <row r="334" spans="1:21" s="21" customFormat="1">
      <c r="A334" s="5"/>
      <c r="B334" s="5"/>
      <c r="C334" s="5"/>
      <c r="D334" s="5"/>
      <c r="E334" s="5"/>
      <c r="F334" s="5"/>
      <c r="G334" s="5"/>
      <c r="H334" s="5"/>
      <c r="I334" s="5"/>
      <c r="J334" s="5"/>
      <c r="K334" s="5"/>
      <c r="L334" s="5"/>
      <c r="M334" s="5"/>
      <c r="N334" s="5"/>
      <c r="O334" s="5"/>
      <c r="P334" s="5"/>
      <c r="Q334" s="5"/>
      <c r="R334" s="5"/>
      <c r="S334" s="5"/>
      <c r="T334" s="67"/>
      <c r="U334" s="67"/>
    </row>
  </sheetData>
  <mergeCells count="6">
    <mergeCell ref="B40:Z40"/>
    <mergeCell ref="A1:Z1"/>
    <mergeCell ref="A2:Z2"/>
    <mergeCell ref="A3:Z3"/>
    <mergeCell ref="D5:T5"/>
    <mergeCell ref="W5:Z5"/>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E8 H8 K8 N8 Q8 T8 W8 Z8 A40" numberStoredAsText="1"/>
  </ignoredErrors>
</worksheet>
</file>

<file path=xl/worksheets/sheet6.xml><?xml version="1.0" encoding="utf-8"?>
<worksheet xmlns="http://schemas.openxmlformats.org/spreadsheetml/2006/main" xmlns:r="http://schemas.openxmlformats.org/officeDocument/2006/relationships">
  <sheetPr>
    <pageSetUpPr fitToPage="1"/>
  </sheetPr>
  <dimension ref="A1:BU60"/>
  <sheetViews>
    <sheetView zoomScale="75" zoomScaleNormal="75" workbookViewId="0"/>
  </sheetViews>
  <sheetFormatPr defaultColWidth="9.109375" defaultRowHeight="10.199999999999999"/>
  <cols>
    <col min="1" max="1" width="3.33203125" style="63" customWidth="1"/>
    <col min="2" max="3" width="2.44140625" style="63" customWidth="1"/>
    <col min="4" max="4" width="2.44140625" style="109" customWidth="1"/>
    <col min="5" max="5" width="26.44140625" style="63" customWidth="1"/>
    <col min="6" max="6" width="2.44140625" style="63" customWidth="1"/>
    <col min="7" max="7" width="8.88671875" style="63" customWidth="1"/>
    <col min="8" max="8" width="2.44140625" style="63" customWidth="1"/>
    <col min="9" max="9" width="8.88671875" style="63" customWidth="1"/>
    <col min="10" max="10" width="2.44140625" style="63" customWidth="1"/>
    <col min="11" max="11" width="8.88671875" style="63" customWidth="1"/>
    <col min="12" max="12" width="2.44140625" style="63" customWidth="1"/>
    <col min="13" max="13" width="8.88671875" style="63" customWidth="1"/>
    <col min="14" max="14" width="2.44140625" style="63" customWidth="1"/>
    <col min="15" max="15" width="8.88671875" style="63" customWidth="1"/>
    <col min="16" max="16" width="4.33203125" style="63" customWidth="1"/>
    <col min="17" max="17" width="3.5546875" style="109" customWidth="1"/>
    <col min="18" max="18" width="2.44140625" style="109" customWidth="1"/>
    <col min="19" max="19" width="43.33203125" style="109" customWidth="1"/>
    <col min="20" max="20" width="2.44140625" style="63" customWidth="1"/>
    <col min="21" max="21" width="8.88671875" style="109" customWidth="1"/>
    <col min="22" max="22" width="2.44140625" style="63" customWidth="1"/>
    <col min="23" max="23" width="8.88671875" style="109" customWidth="1"/>
    <col min="24" max="24" width="2.44140625" style="63" customWidth="1"/>
    <col min="25" max="25" width="8.88671875" style="109" customWidth="1"/>
    <col min="26" max="26" width="2.44140625" style="63" customWidth="1"/>
    <col min="27" max="27" width="8.88671875" style="109" customWidth="1"/>
    <col min="28" max="28" width="2.44140625" style="63" customWidth="1"/>
    <col min="29" max="29" width="8.88671875" style="109" customWidth="1"/>
    <col min="30" max="30" width="2" style="63" customWidth="1"/>
    <col min="31" max="16384" width="9.109375" style="63"/>
  </cols>
  <sheetData>
    <row r="1" spans="1:29" ht="13.2">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972"/>
      <c r="AA1" s="972"/>
      <c r="AB1" s="972"/>
      <c r="AC1" s="972"/>
    </row>
    <row r="2" spans="1:29" ht="13.2">
      <c r="A2" s="972" t="s">
        <v>816</v>
      </c>
      <c r="B2" s="972"/>
      <c r="C2" s="972"/>
      <c r="D2" s="972"/>
      <c r="E2" s="972"/>
      <c r="F2" s="972"/>
      <c r="G2" s="972"/>
      <c r="H2" s="972"/>
      <c r="I2" s="972"/>
      <c r="J2" s="972"/>
      <c r="K2" s="972"/>
      <c r="L2" s="972"/>
      <c r="M2" s="972"/>
      <c r="N2" s="972"/>
      <c r="O2" s="972"/>
      <c r="P2" s="972"/>
      <c r="Q2" s="972"/>
      <c r="R2" s="972"/>
      <c r="S2" s="972"/>
      <c r="T2" s="972"/>
      <c r="U2" s="972"/>
      <c r="V2" s="972"/>
      <c r="W2" s="972"/>
      <c r="X2" s="972"/>
      <c r="Y2" s="972"/>
      <c r="Z2" s="972"/>
      <c r="AA2" s="972"/>
      <c r="AB2" s="972"/>
      <c r="AC2" s="972"/>
    </row>
    <row r="3" spans="1:29">
      <c r="A3" s="974" t="s">
        <v>800</v>
      </c>
      <c r="B3" s="974"/>
      <c r="C3" s="974"/>
      <c r="D3" s="974"/>
      <c r="E3" s="974"/>
      <c r="F3" s="974"/>
      <c r="G3" s="974"/>
      <c r="H3" s="974"/>
      <c r="I3" s="974"/>
      <c r="J3" s="974"/>
      <c r="K3" s="974"/>
      <c r="L3" s="974"/>
      <c r="M3" s="974"/>
      <c r="N3" s="974"/>
      <c r="O3" s="974"/>
      <c r="P3" s="974"/>
      <c r="Q3" s="974"/>
      <c r="R3" s="974"/>
      <c r="S3" s="974"/>
      <c r="T3" s="974"/>
      <c r="U3" s="974"/>
      <c r="V3" s="974"/>
      <c r="W3" s="974"/>
      <c r="X3" s="974"/>
      <c r="Y3" s="974"/>
      <c r="Z3" s="974"/>
      <c r="AA3" s="974"/>
      <c r="AB3" s="974"/>
      <c r="AC3" s="974"/>
    </row>
    <row r="4" spans="1:29" ht="11.4">
      <c r="A4" s="3"/>
      <c r="B4" s="101"/>
      <c r="C4" s="101"/>
      <c r="D4" s="102"/>
      <c r="E4" s="101"/>
      <c r="F4" s="101"/>
      <c r="G4" s="101"/>
      <c r="H4" s="101"/>
      <c r="I4" s="101"/>
      <c r="J4" s="101"/>
      <c r="K4" s="101"/>
      <c r="L4" s="101"/>
      <c r="M4" s="101"/>
      <c r="N4" s="101"/>
      <c r="O4" s="101"/>
      <c r="P4" s="101"/>
      <c r="Q4" s="102"/>
      <c r="R4" s="103"/>
      <c r="S4" s="103"/>
      <c r="T4" s="101"/>
      <c r="U4" s="103"/>
      <c r="V4" s="101"/>
      <c r="W4" s="103"/>
      <c r="X4" s="101"/>
      <c r="Y4" s="103"/>
      <c r="Z4" s="101"/>
      <c r="AA4" s="103"/>
      <c r="AB4" s="101"/>
      <c r="AC4" s="103"/>
    </row>
    <row r="5" spans="1:29" ht="11.4">
      <c r="A5" s="21"/>
      <c r="B5" s="21"/>
      <c r="C5" s="21"/>
      <c r="D5" s="103"/>
      <c r="E5" s="21"/>
      <c r="F5" s="21"/>
      <c r="G5" s="21"/>
      <c r="H5" s="21"/>
      <c r="I5" s="21"/>
      <c r="J5" s="21"/>
      <c r="K5" s="21"/>
      <c r="L5" s="21"/>
      <c r="M5" s="21"/>
      <c r="N5" s="21"/>
      <c r="O5" s="21"/>
      <c r="P5" s="21"/>
      <c r="Q5" s="103"/>
      <c r="R5" s="103"/>
      <c r="S5" s="103"/>
      <c r="T5" s="21"/>
      <c r="U5" s="103"/>
      <c r="V5" s="21"/>
      <c r="W5" s="103"/>
      <c r="X5" s="21"/>
      <c r="Y5" s="103"/>
      <c r="Z5" s="21"/>
      <c r="AA5" s="103"/>
      <c r="AB5" s="21"/>
      <c r="AC5" s="103"/>
    </row>
    <row r="6" spans="1:29" ht="11.4">
      <c r="A6" s="21"/>
      <c r="B6" s="21"/>
      <c r="C6" s="21"/>
      <c r="D6" s="103"/>
      <c r="E6" s="21"/>
      <c r="F6" s="21"/>
      <c r="G6" s="104" t="s">
        <v>104</v>
      </c>
      <c r="H6" s="21"/>
      <c r="I6" s="104" t="s">
        <v>105</v>
      </c>
      <c r="J6" s="21"/>
      <c r="K6" s="104" t="s">
        <v>102</v>
      </c>
      <c r="L6" s="21"/>
      <c r="M6" s="105" t="s">
        <v>103</v>
      </c>
      <c r="N6" s="21"/>
      <c r="O6" s="104" t="s">
        <v>104</v>
      </c>
      <c r="P6" s="23"/>
      <c r="Q6" s="106"/>
      <c r="R6" s="106"/>
      <c r="S6" s="106"/>
      <c r="T6" s="21"/>
      <c r="U6" s="104" t="s">
        <v>104</v>
      </c>
      <c r="V6" s="21"/>
      <c r="W6" s="104" t="s">
        <v>105</v>
      </c>
      <c r="X6" s="21"/>
      <c r="Y6" s="104" t="s">
        <v>102</v>
      </c>
      <c r="Z6" s="21"/>
      <c r="AA6" s="105" t="s">
        <v>103</v>
      </c>
      <c r="AB6" s="21"/>
      <c r="AC6" s="104" t="s">
        <v>104</v>
      </c>
    </row>
    <row r="7" spans="1:29" ht="11.4">
      <c r="A7" s="21"/>
      <c r="B7" s="21"/>
      <c r="C7" s="21"/>
      <c r="D7" s="103"/>
      <c r="E7" s="21"/>
      <c r="F7" s="21"/>
      <c r="G7" s="13">
        <v>2012</v>
      </c>
      <c r="H7" s="21"/>
      <c r="I7" s="13">
        <v>2012</v>
      </c>
      <c r="J7" s="21"/>
      <c r="K7" s="13">
        <v>2011</v>
      </c>
      <c r="L7" s="21"/>
      <c r="M7" s="13">
        <v>2011</v>
      </c>
      <c r="N7" s="21"/>
      <c r="O7" s="13">
        <v>2011</v>
      </c>
      <c r="P7" s="107"/>
      <c r="Q7" s="103"/>
      <c r="R7" s="103"/>
      <c r="S7" s="103"/>
      <c r="T7" s="21"/>
      <c r="U7" s="13">
        <v>2012</v>
      </c>
      <c r="V7" s="21"/>
      <c r="W7" s="13">
        <v>2012</v>
      </c>
      <c r="X7" s="21"/>
      <c r="Y7" s="13">
        <v>2011</v>
      </c>
      <c r="Z7" s="21"/>
      <c r="AA7" s="13">
        <v>2011</v>
      </c>
      <c r="AB7" s="21"/>
      <c r="AC7" s="13">
        <v>2011</v>
      </c>
    </row>
    <row r="8" spans="1:29" ht="11.4">
      <c r="A8" s="21"/>
      <c r="B8" s="21"/>
      <c r="C8" s="21"/>
      <c r="D8" s="103"/>
      <c r="E8" s="21"/>
      <c r="F8" s="21"/>
      <c r="G8" s="18"/>
      <c r="H8" s="21"/>
      <c r="I8" s="18"/>
      <c r="J8" s="21"/>
      <c r="K8" s="16"/>
      <c r="L8" s="21"/>
      <c r="M8" s="16"/>
      <c r="N8" s="21"/>
      <c r="O8" s="16"/>
      <c r="P8" s="21"/>
      <c r="Q8" s="2"/>
      <c r="R8" s="2"/>
      <c r="S8" s="2"/>
      <c r="T8" s="21"/>
      <c r="U8" s="18"/>
      <c r="V8" s="21"/>
      <c r="W8" s="18"/>
      <c r="X8" s="21"/>
      <c r="Y8" s="16"/>
      <c r="Z8" s="21"/>
      <c r="AA8" s="16"/>
      <c r="AB8" s="21"/>
      <c r="AC8" s="16"/>
    </row>
    <row r="9" spans="1:29" ht="12">
      <c r="A9" s="108" t="s">
        <v>817</v>
      </c>
      <c r="B9" s="21"/>
      <c r="C9" s="21"/>
      <c r="D9" s="103"/>
      <c r="E9" s="21"/>
      <c r="F9" s="21"/>
      <c r="G9" s="21"/>
      <c r="H9" s="21"/>
      <c r="I9" s="21"/>
      <c r="J9" s="21"/>
      <c r="K9" s="21"/>
      <c r="L9" s="21"/>
      <c r="M9" s="21"/>
      <c r="N9" s="21"/>
      <c r="O9" s="21"/>
      <c r="P9" s="21"/>
      <c r="Q9" s="108" t="s">
        <v>818</v>
      </c>
      <c r="R9" s="103"/>
      <c r="S9" s="103"/>
      <c r="T9" s="21"/>
      <c r="U9" s="5"/>
      <c r="V9" s="21"/>
      <c r="W9" s="5"/>
      <c r="X9" s="21"/>
      <c r="Y9" s="5"/>
      <c r="Z9" s="21"/>
      <c r="AA9" s="5"/>
      <c r="AB9" s="21"/>
      <c r="AC9" s="5"/>
    </row>
    <row r="10" spans="1:29" ht="11.4">
      <c r="A10" s="103"/>
      <c r="B10" s="103" t="s">
        <v>819</v>
      </c>
      <c r="C10" s="21"/>
      <c r="D10" s="103"/>
      <c r="E10" s="21"/>
      <c r="F10" s="21"/>
      <c r="G10" s="21"/>
      <c r="H10" s="21"/>
      <c r="I10" s="21"/>
      <c r="J10" s="21"/>
      <c r="K10" s="21"/>
      <c r="L10" s="21"/>
      <c r="M10" s="21"/>
      <c r="N10" s="21"/>
      <c r="O10" s="21"/>
      <c r="P10" s="21"/>
      <c r="R10" s="103" t="s">
        <v>820</v>
      </c>
      <c r="S10" s="103"/>
      <c r="T10" s="21"/>
      <c r="U10" s="21"/>
      <c r="V10" s="21"/>
      <c r="W10" s="21"/>
      <c r="X10" s="21"/>
      <c r="Y10" s="21"/>
      <c r="Z10" s="21"/>
      <c r="AA10" s="21"/>
      <c r="AB10" s="21"/>
      <c r="AC10" s="21"/>
    </row>
    <row r="11" spans="1:29" ht="11.4">
      <c r="A11" s="103"/>
      <c r="B11" s="103"/>
      <c r="C11" s="110" t="s">
        <v>821</v>
      </c>
      <c r="D11" s="2"/>
      <c r="E11" s="21"/>
      <c r="F11" s="21"/>
      <c r="G11" s="21"/>
      <c r="H11" s="21"/>
      <c r="I11" s="21"/>
      <c r="J11" s="21"/>
      <c r="K11" s="21"/>
      <c r="L11" s="21"/>
      <c r="M11" s="21"/>
      <c r="N11" s="21"/>
      <c r="O11" s="21"/>
      <c r="P11" s="21"/>
      <c r="Q11" s="103"/>
      <c r="R11" s="103"/>
      <c r="S11" s="103" t="s">
        <v>822</v>
      </c>
      <c r="T11" s="79" t="s">
        <v>108</v>
      </c>
      <c r="U11" s="21">
        <v>20395</v>
      </c>
      <c r="V11" s="79" t="s">
        <v>108</v>
      </c>
      <c r="W11" s="21">
        <v>20283</v>
      </c>
      <c r="X11" s="79" t="s">
        <v>108</v>
      </c>
      <c r="Y11" s="21">
        <v>20375</v>
      </c>
      <c r="Z11" s="79" t="s">
        <v>108</v>
      </c>
      <c r="AA11" s="21">
        <v>20395</v>
      </c>
      <c r="AB11" s="79" t="s">
        <v>108</v>
      </c>
      <c r="AC11" s="21">
        <v>20456</v>
      </c>
    </row>
    <row r="12" spans="1:29" ht="11.4">
      <c r="A12" s="103"/>
      <c r="B12" s="103"/>
      <c r="C12" s="103" t="s">
        <v>131</v>
      </c>
      <c r="E12" s="2"/>
      <c r="G12" s="2"/>
      <c r="I12" s="2"/>
      <c r="K12" s="2"/>
      <c r="M12" s="2"/>
      <c r="O12" s="2"/>
      <c r="P12" s="21"/>
      <c r="Q12" s="103"/>
      <c r="R12" s="103" t="s">
        <v>823</v>
      </c>
      <c r="S12" s="103"/>
      <c r="T12" s="21"/>
      <c r="U12" s="21">
        <v>14640</v>
      </c>
      <c r="V12" s="21"/>
      <c r="W12" s="21">
        <v>14296</v>
      </c>
      <c r="X12" s="21"/>
      <c r="Y12" s="21">
        <v>14406</v>
      </c>
      <c r="Z12" s="21"/>
      <c r="AA12" s="21">
        <v>14270</v>
      </c>
      <c r="AB12" s="21"/>
      <c r="AC12" s="21">
        <v>13751</v>
      </c>
    </row>
    <row r="13" spans="1:29" ht="11.4">
      <c r="A13" s="109"/>
      <c r="B13" s="109"/>
      <c r="D13" s="103" t="s">
        <v>1138</v>
      </c>
      <c r="F13" s="79" t="s">
        <v>108</v>
      </c>
      <c r="G13" s="21">
        <v>77926</v>
      </c>
      <c r="H13" s="79" t="s">
        <v>108</v>
      </c>
      <c r="I13" s="21">
        <v>77223</v>
      </c>
      <c r="J13" s="79" t="s">
        <v>108</v>
      </c>
      <c r="K13" s="21">
        <v>76113</v>
      </c>
      <c r="L13" s="79" t="s">
        <v>108</v>
      </c>
      <c r="M13" s="21">
        <v>76394</v>
      </c>
      <c r="N13" s="79" t="s">
        <v>108</v>
      </c>
      <c r="O13" s="21">
        <v>78414</v>
      </c>
      <c r="P13" s="21"/>
      <c r="Q13" s="103"/>
      <c r="R13" s="103" t="s">
        <v>824</v>
      </c>
      <c r="S13" s="103"/>
      <c r="U13" s="21">
        <v>40832</v>
      </c>
      <c r="W13" s="21">
        <v>41603</v>
      </c>
      <c r="Y13" s="21">
        <v>42332</v>
      </c>
      <c r="AA13" s="21">
        <v>43776</v>
      </c>
      <c r="AC13" s="21">
        <v>45078</v>
      </c>
    </row>
    <row r="14" spans="1:29" ht="13.2">
      <c r="C14" s="110" t="s">
        <v>825</v>
      </c>
      <c r="D14" s="2"/>
      <c r="E14" s="21"/>
      <c r="F14" s="21"/>
      <c r="G14" s="2"/>
      <c r="H14" s="21"/>
      <c r="I14" s="2"/>
      <c r="J14" s="21"/>
      <c r="K14" s="2"/>
      <c r="L14" s="21"/>
      <c r="M14" s="2"/>
      <c r="N14" s="21"/>
      <c r="O14" s="2"/>
      <c r="P14" s="21"/>
      <c r="Q14" s="103"/>
      <c r="R14" s="103" t="s">
        <v>826</v>
      </c>
      <c r="S14" s="103"/>
      <c r="U14" s="21">
        <v>10085</v>
      </c>
      <c r="W14" s="21">
        <v>9888</v>
      </c>
      <c r="Y14" s="21">
        <v>10057</v>
      </c>
      <c r="AA14" s="21">
        <v>10002</v>
      </c>
      <c r="AC14" s="21">
        <v>9727</v>
      </c>
    </row>
    <row r="15" spans="1:29" ht="11.4">
      <c r="A15" s="109"/>
      <c r="B15" s="109"/>
      <c r="C15" s="103" t="s">
        <v>132</v>
      </c>
      <c r="D15" s="2"/>
      <c r="E15" s="2"/>
      <c r="F15" s="2"/>
      <c r="H15" s="2"/>
      <c r="J15" s="2"/>
      <c r="L15" s="2"/>
      <c r="N15" s="2"/>
      <c r="P15" s="21"/>
      <c r="Q15" s="103"/>
      <c r="R15" s="103" t="s">
        <v>827</v>
      </c>
      <c r="S15" s="103"/>
      <c r="T15" s="21"/>
      <c r="U15" s="21">
        <v>813</v>
      </c>
      <c r="V15" s="21"/>
      <c r="W15" s="21">
        <v>750</v>
      </c>
      <c r="X15" s="21"/>
      <c r="Y15" s="21">
        <v>827</v>
      </c>
      <c r="Z15" s="21"/>
      <c r="AA15" s="21">
        <v>960</v>
      </c>
      <c r="AB15" s="21"/>
      <c r="AC15" s="21">
        <v>948</v>
      </c>
    </row>
    <row r="16" spans="1:29" ht="11.4">
      <c r="A16" s="103"/>
      <c r="B16" s="103"/>
      <c r="D16" s="103" t="s">
        <v>1139</v>
      </c>
      <c r="G16" s="21">
        <v>3681</v>
      </c>
      <c r="I16" s="21">
        <v>3847</v>
      </c>
      <c r="K16" s="21">
        <v>4363</v>
      </c>
      <c r="M16" s="21">
        <v>4157</v>
      </c>
      <c r="O16" s="21">
        <v>4954</v>
      </c>
      <c r="P16" s="21"/>
      <c r="Q16" s="103"/>
      <c r="R16" s="103" t="s">
        <v>645</v>
      </c>
      <c r="S16" s="103"/>
      <c r="T16" s="21"/>
      <c r="U16" s="21">
        <v>53</v>
      </c>
      <c r="V16" s="21"/>
      <c r="W16" s="21">
        <v>0</v>
      </c>
      <c r="X16" s="21"/>
      <c r="Y16" s="21">
        <v>0</v>
      </c>
      <c r="Z16" s="21"/>
      <c r="AA16" s="21">
        <v>0</v>
      </c>
      <c r="AB16" s="21"/>
      <c r="AC16" s="21">
        <v>0</v>
      </c>
    </row>
    <row r="17" spans="1:29" ht="11.4">
      <c r="A17" s="109"/>
      <c r="B17" s="109"/>
      <c r="C17" s="110" t="s">
        <v>829</v>
      </c>
      <c r="D17" s="2"/>
      <c r="E17" s="21"/>
      <c r="G17" s="21">
        <v>6928</v>
      </c>
      <c r="I17" s="21">
        <v>7167</v>
      </c>
      <c r="K17" s="21">
        <v>7139</v>
      </c>
      <c r="M17" s="21">
        <v>6956</v>
      </c>
      <c r="O17" s="21">
        <v>6827</v>
      </c>
      <c r="P17" s="21"/>
      <c r="R17" s="103" t="s">
        <v>828</v>
      </c>
      <c r="S17" s="103"/>
      <c r="T17" s="2"/>
      <c r="U17" s="21">
        <v>6394</v>
      </c>
      <c r="V17" s="2"/>
      <c r="W17" s="21">
        <v>6490</v>
      </c>
      <c r="X17" s="2"/>
      <c r="Y17" s="21">
        <v>5978</v>
      </c>
      <c r="Z17" s="2"/>
      <c r="AA17" s="21">
        <v>6741</v>
      </c>
      <c r="AB17" s="2"/>
      <c r="AC17" s="21">
        <v>6204</v>
      </c>
    </row>
    <row r="18" spans="1:29" ht="13.2">
      <c r="A18" s="109"/>
      <c r="B18" s="109"/>
      <c r="C18" s="110" t="s">
        <v>831</v>
      </c>
      <c r="D18" s="2"/>
      <c r="E18" s="21"/>
      <c r="G18" s="21">
        <v>4694</v>
      </c>
      <c r="I18" s="21">
        <v>4637</v>
      </c>
      <c r="K18" s="21">
        <v>4697</v>
      </c>
      <c r="M18" s="21">
        <v>4407</v>
      </c>
      <c r="O18" s="21">
        <v>4400</v>
      </c>
      <c r="P18" s="21"/>
      <c r="R18" s="103" t="s">
        <v>830</v>
      </c>
      <c r="S18" s="103"/>
      <c r="T18" s="21"/>
      <c r="U18" s="21">
        <v>6058</v>
      </c>
      <c r="W18" s="21">
        <v>6058</v>
      </c>
      <c r="X18" s="21"/>
      <c r="Y18" s="21">
        <v>5908</v>
      </c>
      <c r="Z18" s="21"/>
      <c r="AA18" s="21">
        <v>5907</v>
      </c>
      <c r="AB18" s="21"/>
      <c r="AC18" s="21">
        <v>5907</v>
      </c>
    </row>
    <row r="19" spans="1:29" ht="11.4">
      <c r="C19" s="110" t="s">
        <v>833</v>
      </c>
      <c r="D19" s="2"/>
      <c r="E19" s="21"/>
      <c r="H19" s="21"/>
      <c r="J19" s="21"/>
      <c r="P19" s="21"/>
      <c r="Q19" s="2"/>
      <c r="R19" s="103" t="s">
        <v>832</v>
      </c>
      <c r="S19" s="103"/>
      <c r="T19" s="21"/>
      <c r="U19" s="39">
        <v>6790</v>
      </c>
      <c r="V19" s="21"/>
      <c r="W19" s="39">
        <v>7355</v>
      </c>
      <c r="X19" s="21"/>
      <c r="Y19" s="39">
        <v>6984</v>
      </c>
      <c r="Z19" s="21"/>
      <c r="AA19" s="39">
        <v>6791</v>
      </c>
      <c r="AB19" s="21"/>
      <c r="AC19" s="39">
        <v>8175</v>
      </c>
    </row>
    <row r="20" spans="1:29" ht="12">
      <c r="C20" s="103" t="s">
        <v>133</v>
      </c>
      <c r="E20" s="21"/>
      <c r="G20" s="21"/>
      <c r="H20" s="21"/>
      <c r="I20" s="21"/>
      <c r="J20" s="21"/>
      <c r="K20" s="21"/>
      <c r="L20" s="21"/>
      <c r="M20" s="21"/>
      <c r="N20" s="21"/>
      <c r="O20" s="21"/>
      <c r="P20" s="21"/>
      <c r="Q20" s="44"/>
      <c r="R20" s="103"/>
      <c r="S20" s="103" t="s">
        <v>834</v>
      </c>
      <c r="T20" s="21"/>
      <c r="U20" s="23">
        <v>106060</v>
      </c>
      <c r="V20" s="21"/>
      <c r="W20" s="23">
        <v>106723</v>
      </c>
      <c r="X20" s="21"/>
      <c r="Y20" s="23">
        <v>106867</v>
      </c>
      <c r="Z20" s="21"/>
      <c r="AA20" s="23">
        <v>108842</v>
      </c>
      <c r="AB20" s="21"/>
      <c r="AC20" s="23">
        <v>110246</v>
      </c>
    </row>
    <row r="21" spans="1:29" ht="13.8">
      <c r="D21" s="103" t="s">
        <v>128</v>
      </c>
      <c r="E21" s="21"/>
      <c r="F21" s="21"/>
      <c r="G21" s="21">
        <v>1867</v>
      </c>
      <c r="H21" s="21"/>
      <c r="I21" s="21">
        <v>1886</v>
      </c>
      <c r="J21" s="21"/>
      <c r="K21" s="21">
        <v>1291</v>
      </c>
      <c r="L21" s="21"/>
      <c r="M21" s="21">
        <v>3517</v>
      </c>
      <c r="N21" s="21"/>
      <c r="O21" s="21">
        <v>2536</v>
      </c>
      <c r="P21" s="21"/>
      <c r="Q21" s="108" t="s">
        <v>835</v>
      </c>
      <c r="R21" s="103"/>
      <c r="S21" s="103"/>
      <c r="T21" s="21"/>
      <c r="U21" s="23"/>
      <c r="V21" s="21"/>
      <c r="W21" s="23"/>
      <c r="X21" s="21"/>
      <c r="Y21" s="23"/>
      <c r="Z21" s="21"/>
      <c r="AA21" s="23"/>
      <c r="AB21" s="21"/>
      <c r="AC21" s="23"/>
    </row>
    <row r="22" spans="1:29" ht="13.2">
      <c r="A22" s="103"/>
      <c r="B22" s="103"/>
      <c r="C22" s="110" t="s">
        <v>836</v>
      </c>
      <c r="D22" s="2"/>
      <c r="E22" s="21"/>
      <c r="F22" s="21"/>
      <c r="G22" s="39">
        <v>2224</v>
      </c>
      <c r="H22" s="21"/>
      <c r="I22" s="39">
        <v>2249</v>
      </c>
      <c r="J22" s="21"/>
      <c r="K22" s="39">
        <v>2015</v>
      </c>
      <c r="L22" s="21"/>
      <c r="M22" s="39">
        <v>2094</v>
      </c>
      <c r="N22" s="21"/>
      <c r="O22" s="39">
        <v>2158</v>
      </c>
      <c r="P22" s="21"/>
      <c r="Q22" s="63"/>
      <c r="R22" s="103"/>
      <c r="S22" s="103"/>
      <c r="T22" s="103"/>
      <c r="U22" s="2"/>
      <c r="V22" s="21"/>
      <c r="W22" s="2"/>
      <c r="X22" s="103"/>
      <c r="Y22" s="2"/>
      <c r="Z22" s="103"/>
      <c r="AA22" s="2"/>
      <c r="AB22" s="103"/>
      <c r="AC22" s="2"/>
    </row>
    <row r="23" spans="1:29" ht="13.2">
      <c r="A23" s="109"/>
      <c r="B23" s="103"/>
      <c r="C23" s="5"/>
      <c r="D23" s="103" t="s">
        <v>837</v>
      </c>
      <c r="E23" s="103"/>
      <c r="F23" s="21"/>
      <c r="G23" s="23">
        <v>97320</v>
      </c>
      <c r="H23" s="21"/>
      <c r="I23" s="23">
        <v>97009</v>
      </c>
      <c r="J23" s="21"/>
      <c r="K23" s="23">
        <v>95618</v>
      </c>
      <c r="L23" s="21"/>
      <c r="M23" s="23">
        <v>97525</v>
      </c>
      <c r="N23" s="21"/>
      <c r="O23" s="23">
        <v>99289</v>
      </c>
      <c r="P23" s="21"/>
      <c r="R23" s="38" t="s">
        <v>134</v>
      </c>
      <c r="T23" s="103"/>
      <c r="U23" s="111"/>
      <c r="V23" s="103"/>
      <c r="W23" s="111"/>
      <c r="X23" s="103"/>
      <c r="Y23" s="111"/>
      <c r="Z23" s="103"/>
      <c r="AA23" s="111"/>
      <c r="AB23" s="103"/>
      <c r="AC23" s="111"/>
    </row>
    <row r="24" spans="1:29" ht="11.4">
      <c r="A24" s="103"/>
      <c r="B24" s="103"/>
      <c r="F24" s="21"/>
      <c r="P24" s="21"/>
      <c r="Q24" s="112"/>
      <c r="R24" s="5" t="s">
        <v>1140</v>
      </c>
      <c r="S24" s="112"/>
      <c r="T24" s="21"/>
      <c r="U24" s="111">
        <v>9</v>
      </c>
      <c r="V24" s="103"/>
      <c r="W24" s="111">
        <v>9</v>
      </c>
      <c r="X24" s="21"/>
      <c r="Y24" s="111">
        <v>9</v>
      </c>
      <c r="Z24" s="21"/>
      <c r="AA24" s="111">
        <v>9</v>
      </c>
      <c r="AB24" s="21"/>
      <c r="AC24" s="111">
        <v>9</v>
      </c>
    </row>
    <row r="25" spans="1:29" ht="11.4">
      <c r="A25" s="103"/>
      <c r="B25" s="103"/>
      <c r="C25" s="5"/>
      <c r="D25" s="103"/>
      <c r="E25" s="103"/>
      <c r="G25" s="23"/>
      <c r="H25" s="103"/>
      <c r="I25" s="23"/>
      <c r="J25" s="103"/>
      <c r="K25" s="23"/>
      <c r="L25" s="103"/>
      <c r="M25" s="23"/>
      <c r="N25" s="103"/>
      <c r="O25" s="23"/>
      <c r="P25" s="21"/>
      <c r="Q25" s="112"/>
      <c r="R25" s="38" t="s">
        <v>838</v>
      </c>
      <c r="S25" s="112"/>
      <c r="U25" s="111">
        <v>3154</v>
      </c>
      <c r="V25" s="21"/>
      <c r="W25" s="111">
        <v>3151</v>
      </c>
      <c r="Y25" s="111">
        <v>3189</v>
      </c>
      <c r="AA25" s="111">
        <v>3177</v>
      </c>
      <c r="AC25" s="111">
        <v>3165</v>
      </c>
    </row>
    <row r="26" spans="1:29" ht="11.4">
      <c r="A26" s="103"/>
      <c r="B26" s="103"/>
      <c r="C26" s="5"/>
      <c r="D26" s="103"/>
      <c r="E26" s="103"/>
      <c r="F26" s="103"/>
      <c r="G26" s="23"/>
      <c r="H26" s="103"/>
      <c r="I26" s="23"/>
      <c r="J26" s="103"/>
      <c r="K26" s="23"/>
      <c r="L26" s="103"/>
      <c r="M26" s="23"/>
      <c r="N26" s="103"/>
      <c r="O26" s="23"/>
      <c r="P26" s="21"/>
      <c r="Q26" s="112"/>
      <c r="R26" s="38" t="s">
        <v>839</v>
      </c>
      <c r="S26" s="112"/>
      <c r="T26" s="5"/>
      <c r="U26" s="111">
        <v>32880</v>
      </c>
      <c r="W26" s="111">
        <v>32565</v>
      </c>
      <c r="X26" s="5"/>
      <c r="Y26" s="111">
        <v>31909</v>
      </c>
      <c r="Z26" s="5"/>
      <c r="AA26" s="111">
        <v>31303</v>
      </c>
      <c r="AB26" s="5"/>
      <c r="AC26" s="111">
        <v>31237</v>
      </c>
    </row>
    <row r="27" spans="1:29" ht="11.4">
      <c r="A27" s="103"/>
      <c r="B27" s="103"/>
      <c r="C27" s="21"/>
      <c r="D27" s="103"/>
      <c r="E27" s="21"/>
      <c r="F27" s="103"/>
      <c r="G27" s="23"/>
      <c r="H27" s="21"/>
      <c r="I27" s="23"/>
      <c r="J27" s="21"/>
      <c r="K27" s="23"/>
      <c r="L27" s="21"/>
      <c r="M27" s="23"/>
      <c r="N27" s="21"/>
      <c r="O27" s="23"/>
      <c r="P27" s="21"/>
      <c r="Q27" s="112"/>
      <c r="R27" s="38" t="s">
        <v>840</v>
      </c>
      <c r="S27" s="112"/>
      <c r="T27" s="5"/>
      <c r="U27" s="111">
        <v>-41</v>
      </c>
      <c r="V27" s="5"/>
      <c r="W27" s="111">
        <v>-41</v>
      </c>
      <c r="X27" s="5"/>
      <c r="Y27" s="111">
        <v>-43</v>
      </c>
      <c r="Z27" s="5"/>
      <c r="AA27" s="111">
        <v>-43</v>
      </c>
      <c r="AB27" s="5"/>
      <c r="AC27" s="111">
        <v>-43</v>
      </c>
    </row>
    <row r="28" spans="1:29" ht="11.4">
      <c r="A28" s="103"/>
      <c r="B28" s="103"/>
      <c r="C28" s="21"/>
      <c r="D28" s="103"/>
      <c r="E28" s="21"/>
      <c r="F28" s="21"/>
      <c r="G28" s="23"/>
      <c r="H28" s="21"/>
      <c r="I28" s="23"/>
      <c r="J28" s="21"/>
      <c r="K28" s="23"/>
      <c r="L28" s="21"/>
      <c r="M28" s="23"/>
      <c r="N28" s="21"/>
      <c r="O28" s="23"/>
      <c r="P28" s="21"/>
      <c r="Q28" s="112"/>
      <c r="R28" s="38" t="s">
        <v>135</v>
      </c>
      <c r="S28" s="112"/>
      <c r="T28" s="5"/>
      <c r="U28" s="63"/>
      <c r="V28" s="5"/>
      <c r="W28" s="63"/>
      <c r="X28" s="5"/>
      <c r="Y28" s="63"/>
      <c r="AA28" s="63"/>
      <c r="AC28" s="63"/>
    </row>
    <row r="29" spans="1:29" ht="11.4">
      <c r="A29" s="103"/>
      <c r="D29" s="63"/>
      <c r="F29" s="21"/>
      <c r="P29" s="21"/>
      <c r="Q29" s="112"/>
      <c r="R29" s="38"/>
      <c r="S29" s="112" t="s">
        <v>1141</v>
      </c>
      <c r="T29" s="5"/>
      <c r="U29" s="111">
        <v>-17272</v>
      </c>
      <c r="W29" s="111">
        <v>-17034</v>
      </c>
      <c r="X29" s="5"/>
      <c r="Y29" s="111">
        <v>-16795</v>
      </c>
      <c r="Z29" s="5"/>
      <c r="AA29" s="111">
        <v>-16693</v>
      </c>
      <c r="AB29" s="5"/>
      <c r="AC29" s="111">
        <v>-16387</v>
      </c>
    </row>
    <row r="30" spans="1:29" ht="11.4">
      <c r="A30" s="103"/>
      <c r="D30" s="63"/>
      <c r="P30" s="21"/>
      <c r="Q30" s="112"/>
      <c r="R30" s="112" t="s">
        <v>841</v>
      </c>
      <c r="S30" s="112"/>
      <c r="T30" s="5"/>
      <c r="U30" s="111"/>
      <c r="V30" s="5"/>
      <c r="W30" s="111"/>
      <c r="X30" s="5"/>
      <c r="Y30" s="111"/>
      <c r="Z30" s="5"/>
      <c r="AA30" s="111"/>
      <c r="AB30" s="5"/>
      <c r="AC30" s="111"/>
    </row>
    <row r="31" spans="1:29" ht="11.4">
      <c r="A31" s="103"/>
      <c r="D31" s="63"/>
      <c r="P31" s="21"/>
      <c r="Q31" s="63"/>
      <c r="R31" s="2"/>
      <c r="S31" s="38" t="s">
        <v>842</v>
      </c>
      <c r="T31" s="5"/>
      <c r="V31" s="5"/>
      <c r="X31" s="5"/>
      <c r="Z31" s="5"/>
      <c r="AB31" s="5"/>
    </row>
    <row r="32" spans="1:29" ht="11.4">
      <c r="A32" s="103"/>
      <c r="D32" s="63"/>
      <c r="P32" s="21"/>
      <c r="Q32" s="63"/>
      <c r="S32" s="103" t="s">
        <v>843</v>
      </c>
      <c r="U32" s="63"/>
      <c r="W32" s="63"/>
      <c r="Y32" s="63"/>
      <c r="AA32" s="63"/>
      <c r="AC32" s="63"/>
    </row>
    <row r="33" spans="1:29" ht="11.4">
      <c r="A33" s="103"/>
      <c r="Q33" s="112"/>
      <c r="S33" s="103" t="s">
        <v>844</v>
      </c>
      <c r="U33" s="21">
        <v>-105</v>
      </c>
      <c r="W33" s="21">
        <v>-100</v>
      </c>
      <c r="Y33" s="21">
        <v>-174</v>
      </c>
      <c r="AA33" s="21">
        <v>-155</v>
      </c>
      <c r="AC33" s="21">
        <v>-156</v>
      </c>
    </row>
    <row r="34" spans="1:29" ht="11.4">
      <c r="A34" s="103"/>
      <c r="B34" s="110" t="s">
        <v>846</v>
      </c>
      <c r="C34" s="21"/>
      <c r="E34" s="5"/>
      <c r="G34" s="21">
        <v>571</v>
      </c>
      <c r="H34" s="5"/>
      <c r="I34" s="21">
        <v>577</v>
      </c>
      <c r="J34" s="5"/>
      <c r="K34" s="21">
        <v>776</v>
      </c>
      <c r="L34" s="5"/>
      <c r="M34" s="21">
        <v>1026</v>
      </c>
      <c r="N34" s="5"/>
      <c r="O34" s="21">
        <v>693</v>
      </c>
      <c r="P34" s="21"/>
      <c r="Q34" s="112"/>
      <c r="S34" s="103" t="s">
        <v>845</v>
      </c>
      <c r="U34" s="21">
        <v>2859</v>
      </c>
      <c r="V34" s="21"/>
      <c r="W34" s="21">
        <v>2412</v>
      </c>
      <c r="Y34" s="21">
        <v>2041</v>
      </c>
      <c r="AA34" s="21">
        <v>1683</v>
      </c>
      <c r="AC34" s="21">
        <v>1783</v>
      </c>
    </row>
    <row r="35" spans="1:29" ht="11.4">
      <c r="A35" s="103"/>
      <c r="B35" s="110" t="s">
        <v>848</v>
      </c>
      <c r="C35" s="21"/>
      <c r="E35" s="5"/>
      <c r="F35" s="5"/>
      <c r="G35" s="21">
        <v>4929</v>
      </c>
      <c r="H35" s="5"/>
      <c r="I35" s="21">
        <v>4908</v>
      </c>
      <c r="J35" s="5"/>
      <c r="K35" s="21">
        <v>4920</v>
      </c>
      <c r="L35" s="5"/>
      <c r="M35" s="21">
        <v>4988</v>
      </c>
      <c r="N35" s="5"/>
      <c r="O35" s="21">
        <v>4869</v>
      </c>
      <c r="P35" s="21"/>
      <c r="Q35" s="112"/>
      <c r="S35" s="103" t="s">
        <v>847</v>
      </c>
      <c r="U35" s="63"/>
      <c r="V35" s="21"/>
      <c r="W35" s="63"/>
      <c r="Y35" s="63"/>
      <c r="AA35" s="63"/>
      <c r="AC35" s="63"/>
    </row>
    <row r="36" spans="1:29" ht="11.4">
      <c r="A36" s="103"/>
      <c r="B36" s="110" t="s">
        <v>850</v>
      </c>
      <c r="C36" s="21"/>
      <c r="E36" s="5"/>
      <c r="F36" s="5"/>
      <c r="G36" s="21">
        <v>3644</v>
      </c>
      <c r="H36" s="5"/>
      <c r="I36" s="21">
        <v>3716</v>
      </c>
      <c r="J36" s="5"/>
      <c r="K36" s="21">
        <v>3871</v>
      </c>
      <c r="L36" s="5"/>
      <c r="M36" s="21">
        <v>3889</v>
      </c>
      <c r="N36" s="5"/>
      <c r="O36" s="21">
        <v>4000</v>
      </c>
      <c r="P36" s="21"/>
      <c r="Q36" s="112"/>
      <c r="S36" s="103" t="s">
        <v>849</v>
      </c>
      <c r="U36" s="39">
        <v>-684</v>
      </c>
      <c r="W36" s="39">
        <v>-438</v>
      </c>
      <c r="Y36" s="39">
        <v>-467</v>
      </c>
      <c r="AA36" s="39">
        <v>-463</v>
      </c>
      <c r="AC36" s="39">
        <v>-152</v>
      </c>
    </row>
    <row r="37" spans="1:29" ht="15.6">
      <c r="A37" s="103"/>
      <c r="B37" s="110" t="s">
        <v>852</v>
      </c>
      <c r="C37" s="21"/>
      <c r="E37" s="5"/>
      <c r="F37" s="5"/>
      <c r="G37" s="21">
        <v>7120</v>
      </c>
      <c r="H37" s="5"/>
      <c r="I37" s="21">
        <v>7118</v>
      </c>
      <c r="J37" s="5"/>
      <c r="K37" s="21">
        <v>7251</v>
      </c>
      <c r="L37" s="5"/>
      <c r="M37" s="21">
        <v>6720</v>
      </c>
      <c r="N37" s="5"/>
      <c r="O37" s="21">
        <v>6446</v>
      </c>
      <c r="P37" s="21"/>
      <c r="Q37" s="112"/>
      <c r="S37" s="103" t="s">
        <v>851</v>
      </c>
      <c r="U37" s="111">
        <v>2070</v>
      </c>
      <c r="V37" s="21"/>
      <c r="W37" s="111">
        <v>1874</v>
      </c>
      <c r="Y37" s="111">
        <v>1400</v>
      </c>
      <c r="AA37" s="111">
        <v>1065</v>
      </c>
      <c r="AC37" s="111">
        <v>1475</v>
      </c>
    </row>
    <row r="38" spans="1:29" ht="11.4">
      <c r="A38" s="103"/>
      <c r="B38" s="110" t="s">
        <v>854</v>
      </c>
      <c r="C38" s="21"/>
      <c r="E38" s="5"/>
      <c r="F38" s="5"/>
      <c r="G38" s="21">
        <v>846</v>
      </c>
      <c r="H38" s="5"/>
      <c r="I38" s="21">
        <v>846</v>
      </c>
      <c r="J38" s="5"/>
      <c r="K38" s="21">
        <v>826</v>
      </c>
      <c r="L38" s="5"/>
      <c r="M38" s="21">
        <v>854</v>
      </c>
      <c r="N38" s="5"/>
      <c r="O38" s="21">
        <v>875</v>
      </c>
      <c r="P38" s="21"/>
      <c r="Q38" s="112"/>
      <c r="R38" s="2"/>
      <c r="S38" s="38" t="s">
        <v>853</v>
      </c>
      <c r="T38" s="5"/>
      <c r="U38" s="111"/>
      <c r="V38" s="5"/>
      <c r="W38" s="111"/>
      <c r="X38" s="5"/>
      <c r="Y38" s="111"/>
      <c r="Z38" s="5"/>
      <c r="AA38" s="111"/>
      <c r="AB38" s="5"/>
      <c r="AC38" s="111"/>
    </row>
    <row r="39" spans="1:29" ht="11.4">
      <c r="A39" s="103"/>
      <c r="B39" s="110" t="s">
        <v>856</v>
      </c>
      <c r="C39" s="21"/>
      <c r="E39" s="5"/>
      <c r="F39" s="5"/>
      <c r="G39" s="21">
        <v>0</v>
      </c>
      <c r="H39" s="5"/>
      <c r="I39" s="21">
        <v>201</v>
      </c>
      <c r="J39" s="5"/>
      <c r="K39" s="21">
        <v>722</v>
      </c>
      <c r="L39" s="5"/>
      <c r="M39" s="21">
        <v>991</v>
      </c>
      <c r="N39" s="5"/>
      <c r="O39" s="21">
        <v>731</v>
      </c>
      <c r="P39" s="21"/>
      <c r="Q39" s="112"/>
      <c r="R39" s="112"/>
      <c r="S39" s="38" t="s">
        <v>855</v>
      </c>
      <c r="U39" s="111">
        <v>58</v>
      </c>
      <c r="V39" s="5"/>
      <c r="W39" s="111">
        <v>65</v>
      </c>
      <c r="Y39" s="111">
        <v>56</v>
      </c>
      <c r="AA39" s="111">
        <v>49</v>
      </c>
      <c r="AC39" s="111">
        <v>82</v>
      </c>
    </row>
    <row r="40" spans="1:29" ht="11.4">
      <c r="A40" s="103"/>
      <c r="B40" s="110" t="s">
        <v>858</v>
      </c>
      <c r="C40" s="21"/>
      <c r="E40" s="5"/>
      <c r="F40" s="5"/>
      <c r="G40" s="21">
        <v>909</v>
      </c>
      <c r="H40" s="5"/>
      <c r="I40" s="21">
        <v>912</v>
      </c>
      <c r="J40" s="5"/>
      <c r="K40" s="21">
        <v>914</v>
      </c>
      <c r="L40" s="5"/>
      <c r="M40" s="21">
        <v>908</v>
      </c>
      <c r="N40" s="5"/>
      <c r="O40" s="21">
        <v>914</v>
      </c>
      <c r="P40" s="21"/>
      <c r="R40" s="112"/>
      <c r="S40" s="38" t="s">
        <v>857</v>
      </c>
      <c r="T40" s="5"/>
      <c r="U40" s="63"/>
      <c r="W40" s="63"/>
      <c r="X40" s="5"/>
      <c r="Y40" s="63"/>
      <c r="Z40" s="5"/>
      <c r="AA40" s="63"/>
      <c r="AB40" s="5"/>
      <c r="AC40" s="63"/>
    </row>
    <row r="41" spans="1:29" ht="11.4">
      <c r="A41" s="103"/>
      <c r="B41" s="110" t="s">
        <v>860</v>
      </c>
      <c r="F41" s="5"/>
      <c r="G41" s="21">
        <v>1242</v>
      </c>
      <c r="I41" s="21">
        <v>1242</v>
      </c>
      <c r="K41" s="21">
        <v>1242</v>
      </c>
      <c r="M41" s="21">
        <v>874</v>
      </c>
      <c r="O41" s="21">
        <v>874</v>
      </c>
      <c r="P41" s="21"/>
      <c r="R41" s="112"/>
      <c r="S41" s="38" t="s">
        <v>859</v>
      </c>
      <c r="T41" s="5"/>
      <c r="U41" s="113">
        <v>-1383</v>
      </c>
      <c r="V41" s="5"/>
      <c r="W41" s="113">
        <v>-1407</v>
      </c>
      <c r="X41" s="5"/>
      <c r="Y41" s="113">
        <v>-1427</v>
      </c>
      <c r="Z41" s="5"/>
      <c r="AA41" s="113">
        <v>-1135</v>
      </c>
      <c r="AB41" s="5"/>
      <c r="AC41" s="113">
        <v>-1156</v>
      </c>
    </row>
    <row r="42" spans="1:29" ht="11.4">
      <c r="A42" s="103"/>
      <c r="B42" s="110" t="s">
        <v>862</v>
      </c>
      <c r="C42" s="21"/>
      <c r="E42" s="5"/>
      <c r="G42" s="21">
        <v>2164</v>
      </c>
      <c r="H42" s="5"/>
      <c r="I42" s="21">
        <v>2049</v>
      </c>
      <c r="J42" s="5"/>
      <c r="K42" s="21">
        <v>2069</v>
      </c>
      <c r="L42" s="5"/>
      <c r="M42" s="21">
        <v>2037</v>
      </c>
      <c r="N42" s="5"/>
      <c r="O42" s="21">
        <v>1791</v>
      </c>
      <c r="P42" s="21"/>
      <c r="Q42" s="112"/>
      <c r="R42" s="112"/>
      <c r="S42" s="110" t="s">
        <v>861</v>
      </c>
      <c r="T42" s="5"/>
      <c r="V42" s="5"/>
      <c r="X42" s="5"/>
      <c r="Z42" s="5"/>
      <c r="AB42" s="5"/>
    </row>
    <row r="43" spans="1:29" ht="11.4">
      <c r="A43" s="109"/>
      <c r="B43" s="110" t="s">
        <v>832</v>
      </c>
      <c r="C43" s="21"/>
      <c r="E43" s="5"/>
      <c r="F43" s="5"/>
      <c r="G43" s="39">
        <v>6790</v>
      </c>
      <c r="H43" s="5"/>
      <c r="I43" s="39">
        <v>7355</v>
      </c>
      <c r="J43" s="5"/>
      <c r="K43" s="39">
        <v>6984</v>
      </c>
      <c r="L43" s="5"/>
      <c r="M43" s="39">
        <v>6791</v>
      </c>
      <c r="N43" s="5"/>
      <c r="O43" s="39">
        <v>8175</v>
      </c>
      <c r="P43" s="21"/>
      <c r="R43" s="38"/>
      <c r="S43" s="38" t="s">
        <v>1109</v>
      </c>
      <c r="T43" s="2"/>
      <c r="U43" s="113">
        <v>745</v>
      </c>
      <c r="V43" s="5"/>
      <c r="W43" s="113">
        <v>532</v>
      </c>
      <c r="X43" s="2"/>
      <c r="Y43" s="113">
        <v>29</v>
      </c>
      <c r="Z43" s="2"/>
      <c r="AA43" s="113">
        <v>-21</v>
      </c>
      <c r="AB43" s="2"/>
      <c r="AC43" s="113">
        <v>401</v>
      </c>
    </row>
    <row r="44" spans="1:29" ht="11.4">
      <c r="A44" s="109"/>
      <c r="B44" s="110"/>
      <c r="C44" s="21"/>
      <c r="E44" s="5"/>
      <c r="F44" s="5"/>
      <c r="G44" s="23"/>
      <c r="H44" s="5"/>
      <c r="I44" s="23"/>
      <c r="J44" s="5"/>
      <c r="K44" s="23"/>
      <c r="L44" s="5"/>
      <c r="M44" s="23"/>
      <c r="N44" s="5"/>
      <c r="O44" s="23"/>
      <c r="P44" s="21"/>
      <c r="R44" s="110" t="s">
        <v>863</v>
      </c>
      <c r="S44" s="110" t="s">
        <v>864</v>
      </c>
      <c r="T44" s="2"/>
      <c r="U44" s="23">
        <v>19475</v>
      </c>
      <c r="V44" s="2"/>
      <c r="W44" s="23">
        <v>19182</v>
      </c>
      <c r="X44" s="2"/>
      <c r="Y44" s="23">
        <v>18298</v>
      </c>
      <c r="Z44" s="2"/>
      <c r="AA44" s="23">
        <v>17732</v>
      </c>
      <c r="AB44" s="2"/>
      <c r="AC44" s="23">
        <v>18382</v>
      </c>
    </row>
    <row r="45" spans="1:29" ht="11.4">
      <c r="A45" s="109"/>
      <c r="B45" s="2"/>
      <c r="C45" s="2"/>
      <c r="E45" s="2"/>
      <c r="F45" s="5"/>
      <c r="G45" s="2"/>
      <c r="H45" s="2"/>
      <c r="I45" s="2"/>
      <c r="J45" s="2"/>
      <c r="K45" s="2"/>
      <c r="L45" s="2"/>
      <c r="M45" s="2"/>
      <c r="N45" s="2"/>
      <c r="O45" s="2"/>
      <c r="P45" s="21"/>
      <c r="R45" s="103" t="s">
        <v>865</v>
      </c>
      <c r="T45" s="2"/>
      <c r="U45" s="21">
        <v>0</v>
      </c>
      <c r="V45" s="2"/>
      <c r="W45" s="21">
        <v>28</v>
      </c>
      <c r="X45" s="2"/>
      <c r="Y45" s="21">
        <v>28</v>
      </c>
      <c r="Z45" s="2"/>
      <c r="AA45" s="21">
        <v>29</v>
      </c>
      <c r="AB45" s="2"/>
      <c r="AC45" s="21">
        <v>29</v>
      </c>
    </row>
    <row r="46" spans="1:29" ht="11.4">
      <c r="A46" s="109"/>
      <c r="B46" s="2"/>
      <c r="C46" s="2"/>
      <c r="P46" s="21"/>
      <c r="S46" s="103" t="s">
        <v>866</v>
      </c>
      <c r="U46" s="31">
        <v>19475</v>
      </c>
      <c r="V46" s="2"/>
      <c r="W46" s="31">
        <v>19210</v>
      </c>
      <c r="Y46" s="31">
        <v>18326</v>
      </c>
      <c r="AA46" s="31">
        <v>17761</v>
      </c>
      <c r="AC46" s="31">
        <v>18411</v>
      </c>
    </row>
    <row r="47" spans="1:29" ht="12" thickBot="1">
      <c r="A47" s="109"/>
      <c r="D47" s="110" t="s">
        <v>867</v>
      </c>
      <c r="E47" s="2"/>
      <c r="F47" s="79" t="s">
        <v>108</v>
      </c>
      <c r="G47" s="45">
        <v>125535</v>
      </c>
      <c r="H47" s="79" t="s">
        <v>108</v>
      </c>
      <c r="I47" s="45">
        <v>125933</v>
      </c>
      <c r="J47" s="79" t="s">
        <v>108</v>
      </c>
      <c r="K47" s="45">
        <v>125193</v>
      </c>
      <c r="L47" s="79" t="s">
        <v>108</v>
      </c>
      <c r="M47" s="45">
        <v>126603</v>
      </c>
      <c r="N47" s="79" t="s">
        <v>108</v>
      </c>
      <c r="O47" s="45">
        <v>128657</v>
      </c>
      <c r="P47" s="21"/>
      <c r="S47" s="103" t="s">
        <v>868</v>
      </c>
      <c r="T47" s="79" t="s">
        <v>108</v>
      </c>
      <c r="U47" s="114">
        <v>125535</v>
      </c>
      <c r="V47" s="79" t="s">
        <v>108</v>
      </c>
      <c r="W47" s="114">
        <v>125933</v>
      </c>
      <c r="X47" s="79" t="s">
        <v>108</v>
      </c>
      <c r="Y47" s="114">
        <v>125193</v>
      </c>
      <c r="Z47" s="79" t="s">
        <v>108</v>
      </c>
      <c r="AA47" s="114">
        <v>126603</v>
      </c>
      <c r="AB47" s="79" t="s">
        <v>108</v>
      </c>
      <c r="AC47" s="114">
        <v>128657</v>
      </c>
    </row>
    <row r="48" spans="1:29" ht="12" thickTop="1">
      <c r="A48" s="2"/>
      <c r="B48" s="2"/>
      <c r="P48" s="21"/>
      <c r="R48" s="63"/>
      <c r="S48" s="63"/>
      <c r="U48" s="63"/>
      <c r="W48" s="63"/>
      <c r="Y48" s="63"/>
      <c r="AA48" s="63"/>
      <c r="AC48" s="63"/>
    </row>
    <row r="49" spans="1:73" ht="13.5" customHeight="1">
      <c r="C49" s="839"/>
      <c r="D49" s="839"/>
      <c r="E49" s="839"/>
      <c r="F49" s="839"/>
      <c r="G49" s="839"/>
      <c r="H49" s="839"/>
      <c r="I49" s="839"/>
      <c r="J49" s="839"/>
      <c r="K49" s="839"/>
      <c r="L49" s="839"/>
      <c r="M49" s="839"/>
      <c r="N49" s="839"/>
      <c r="O49" s="839"/>
      <c r="P49" s="839"/>
      <c r="Q49" s="839"/>
      <c r="U49" s="63"/>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row>
    <row r="50" spans="1:73" ht="13.5" customHeight="1">
      <c r="A50" s="115" t="s">
        <v>770</v>
      </c>
      <c r="B50" s="977" t="s">
        <v>138</v>
      </c>
      <c r="C50" s="977"/>
      <c r="D50" s="977"/>
      <c r="E50" s="977"/>
      <c r="F50" s="977"/>
      <c r="G50" s="977"/>
      <c r="H50" s="977"/>
      <c r="I50" s="977"/>
      <c r="J50" s="977"/>
      <c r="K50" s="977"/>
      <c r="L50" s="977"/>
      <c r="M50" s="977"/>
      <c r="N50" s="977"/>
      <c r="O50" s="977"/>
      <c r="P50" s="977"/>
      <c r="Q50" s="977"/>
      <c r="R50" s="977"/>
      <c r="S50" s="977"/>
      <c r="T50" s="977"/>
      <c r="U50" s="977"/>
      <c r="V50" s="977"/>
      <c r="W50" s="977"/>
      <c r="X50" s="977"/>
      <c r="Y50" s="977"/>
      <c r="Z50" s="977"/>
      <c r="AA50" s="977"/>
      <c r="AB50" s="977"/>
      <c r="AC50" s="977"/>
    </row>
    <row r="51" spans="1:73" ht="12" customHeight="1">
      <c r="A51" s="62"/>
      <c r="B51" s="899"/>
      <c r="C51" s="62"/>
      <c r="D51" s="116"/>
      <c r="E51" s="62"/>
      <c r="F51" s="62"/>
      <c r="G51" s="62"/>
      <c r="H51" s="62"/>
      <c r="I51" s="62"/>
      <c r="J51" s="62"/>
      <c r="K51" s="62"/>
      <c r="L51" s="62"/>
      <c r="M51" s="62"/>
      <c r="N51" s="62"/>
      <c r="O51" s="62"/>
      <c r="P51" s="62"/>
      <c r="Q51" s="116"/>
      <c r="R51" s="116"/>
      <c r="S51" s="116"/>
      <c r="T51" s="62"/>
      <c r="U51" s="116"/>
      <c r="V51" s="62"/>
      <c r="W51" s="116"/>
      <c r="X51" s="62"/>
      <c r="Y51" s="116"/>
      <c r="Z51" s="62"/>
      <c r="AA51" s="116"/>
      <c r="AB51" s="62"/>
      <c r="AC51" s="116"/>
    </row>
    <row r="52" spans="1:73">
      <c r="A52" s="62"/>
      <c r="B52" s="62"/>
      <c r="C52" s="62"/>
      <c r="D52" s="116"/>
      <c r="E52" s="62"/>
      <c r="F52" s="62"/>
      <c r="G52" s="62"/>
      <c r="H52" s="62"/>
      <c r="I52" s="62"/>
      <c r="J52" s="62"/>
      <c r="K52" s="62"/>
      <c r="L52" s="62"/>
      <c r="M52" s="62"/>
      <c r="N52" s="62"/>
      <c r="O52" s="62"/>
      <c r="P52" s="62"/>
      <c r="Q52" s="116"/>
      <c r="R52" s="116"/>
      <c r="S52" s="116"/>
      <c r="T52" s="62"/>
      <c r="U52" s="116"/>
      <c r="V52" s="62"/>
      <c r="W52" s="116"/>
      <c r="X52" s="62"/>
      <c r="Y52" s="116"/>
      <c r="Z52" s="62"/>
      <c r="AA52" s="116"/>
      <c r="AB52" s="62"/>
      <c r="AC52" s="116"/>
    </row>
    <row r="53" spans="1:73">
      <c r="A53" s="62"/>
      <c r="B53" s="62"/>
      <c r="C53" s="62"/>
      <c r="D53" s="116"/>
      <c r="E53" s="62"/>
      <c r="F53" s="62"/>
      <c r="G53" s="62"/>
      <c r="H53" s="62"/>
      <c r="I53" s="62"/>
      <c r="J53" s="62"/>
      <c r="K53" s="62"/>
      <c r="L53" s="62"/>
      <c r="M53" s="62"/>
      <c r="N53" s="62"/>
      <c r="O53" s="62"/>
      <c r="P53" s="62"/>
      <c r="Q53" s="116"/>
      <c r="R53" s="116"/>
      <c r="S53" s="116"/>
      <c r="T53" s="62"/>
      <c r="U53" s="116"/>
      <c r="V53" s="62"/>
      <c r="W53" s="116"/>
      <c r="X53" s="62"/>
      <c r="Y53" s="116"/>
      <c r="Z53" s="62"/>
      <c r="AA53" s="116"/>
      <c r="AB53" s="62"/>
      <c r="AC53" s="116"/>
    </row>
    <row r="54" spans="1:73">
      <c r="A54" s="62"/>
      <c r="B54" s="62"/>
      <c r="C54" s="62"/>
      <c r="D54" s="116"/>
      <c r="E54" s="62"/>
      <c r="F54" s="62"/>
      <c r="G54" s="62"/>
      <c r="H54" s="62"/>
      <c r="I54" s="62"/>
      <c r="J54" s="62"/>
      <c r="K54" s="62"/>
      <c r="L54" s="62"/>
      <c r="M54" s="62"/>
      <c r="N54" s="62"/>
      <c r="O54" s="62"/>
      <c r="P54" s="62"/>
      <c r="Q54" s="116"/>
      <c r="R54" s="116"/>
      <c r="S54" s="116"/>
      <c r="T54" s="62"/>
      <c r="U54" s="116"/>
      <c r="V54" s="62"/>
      <c r="W54" s="116"/>
      <c r="X54" s="62"/>
      <c r="Y54" s="116"/>
      <c r="Z54" s="62"/>
      <c r="AA54" s="116"/>
      <c r="AB54" s="62"/>
      <c r="AC54" s="116"/>
    </row>
    <row r="55" spans="1:73">
      <c r="A55" s="62"/>
      <c r="B55" s="62"/>
      <c r="C55" s="62"/>
      <c r="D55" s="116"/>
      <c r="E55" s="62"/>
      <c r="F55" s="62"/>
      <c r="G55" s="62"/>
      <c r="H55" s="62"/>
      <c r="I55" s="62"/>
      <c r="J55" s="62"/>
      <c r="K55" s="62"/>
      <c r="L55" s="62"/>
      <c r="M55" s="62"/>
      <c r="N55" s="62"/>
      <c r="O55" s="62"/>
      <c r="P55" s="62"/>
      <c r="Q55" s="116"/>
      <c r="R55" s="116"/>
      <c r="S55" s="116"/>
      <c r="T55" s="62"/>
      <c r="U55" s="116"/>
      <c r="V55" s="62"/>
      <c r="W55" s="116"/>
      <c r="X55" s="62"/>
      <c r="Y55" s="116"/>
      <c r="Z55" s="62"/>
      <c r="AA55" s="116"/>
      <c r="AB55" s="62"/>
      <c r="AC55" s="116"/>
    </row>
    <row r="56" spans="1:73">
      <c r="A56" s="62"/>
      <c r="B56" s="62"/>
      <c r="C56" s="62"/>
      <c r="D56" s="116"/>
      <c r="E56" s="62"/>
      <c r="F56" s="62"/>
      <c r="G56" s="62"/>
      <c r="H56" s="62"/>
      <c r="I56" s="62"/>
      <c r="J56" s="62"/>
      <c r="K56" s="62"/>
      <c r="L56" s="62"/>
      <c r="M56" s="62"/>
      <c r="N56" s="62"/>
      <c r="O56" s="62"/>
      <c r="P56" s="62"/>
      <c r="Q56" s="116"/>
      <c r="R56" s="116"/>
      <c r="S56" s="116"/>
      <c r="T56" s="62"/>
      <c r="U56" s="116"/>
      <c r="V56" s="62"/>
      <c r="W56" s="116"/>
      <c r="X56" s="62"/>
      <c r="Y56" s="116"/>
      <c r="Z56" s="62"/>
      <c r="AA56" s="116"/>
      <c r="AB56" s="62"/>
      <c r="AC56" s="116"/>
    </row>
    <row r="57" spans="1:73">
      <c r="A57" s="62"/>
      <c r="B57" s="62"/>
      <c r="C57" s="62"/>
      <c r="D57" s="116"/>
      <c r="E57" s="62"/>
      <c r="F57" s="62"/>
      <c r="G57" s="62"/>
      <c r="H57" s="62"/>
      <c r="I57" s="62"/>
      <c r="J57" s="62"/>
      <c r="K57" s="62"/>
      <c r="L57" s="62"/>
      <c r="M57" s="62"/>
      <c r="N57" s="62"/>
      <c r="O57" s="62"/>
      <c r="P57" s="62"/>
      <c r="Q57" s="116"/>
      <c r="R57" s="116"/>
      <c r="S57" s="116"/>
      <c r="T57" s="62"/>
      <c r="U57" s="116"/>
      <c r="V57" s="62"/>
      <c r="W57" s="116"/>
      <c r="X57" s="62"/>
      <c r="Y57" s="116"/>
      <c r="Z57" s="62"/>
      <c r="AA57" s="116"/>
      <c r="AB57" s="62"/>
      <c r="AC57" s="116"/>
    </row>
    <row r="58" spans="1:73">
      <c r="A58" s="62"/>
      <c r="B58" s="62"/>
      <c r="C58" s="62"/>
      <c r="D58" s="116"/>
      <c r="E58" s="62"/>
      <c r="F58" s="62"/>
      <c r="G58" s="62"/>
      <c r="H58" s="62"/>
      <c r="I58" s="62"/>
      <c r="J58" s="62"/>
      <c r="K58" s="62"/>
      <c r="L58" s="62"/>
      <c r="M58" s="62"/>
      <c r="N58" s="62"/>
      <c r="O58" s="62"/>
      <c r="P58" s="62"/>
      <c r="Q58" s="116"/>
      <c r="R58" s="116"/>
      <c r="S58" s="116"/>
      <c r="T58" s="62"/>
      <c r="U58" s="116"/>
      <c r="V58" s="62"/>
      <c r="W58" s="116"/>
      <c r="X58" s="62"/>
      <c r="Y58" s="116"/>
      <c r="Z58" s="62"/>
      <c r="AA58" s="116"/>
      <c r="AB58" s="62"/>
      <c r="AC58" s="116"/>
    </row>
    <row r="59" spans="1:73">
      <c r="A59" s="62"/>
      <c r="B59" s="62"/>
      <c r="C59" s="62"/>
      <c r="D59" s="116"/>
      <c r="E59" s="62"/>
      <c r="F59" s="62"/>
      <c r="G59" s="62"/>
      <c r="H59" s="62"/>
      <c r="I59" s="62"/>
      <c r="J59" s="62"/>
      <c r="K59" s="62"/>
      <c r="L59" s="62"/>
      <c r="M59" s="62"/>
      <c r="N59" s="62"/>
      <c r="O59" s="62"/>
      <c r="P59" s="62"/>
      <c r="Q59" s="116"/>
      <c r="R59" s="116"/>
      <c r="S59" s="116"/>
      <c r="T59" s="62"/>
      <c r="U59" s="116"/>
      <c r="V59" s="62"/>
      <c r="W59" s="116"/>
      <c r="X59" s="62"/>
      <c r="Y59" s="116"/>
      <c r="Z59" s="62"/>
      <c r="AA59" s="116"/>
      <c r="AB59" s="62"/>
      <c r="AC59" s="116"/>
    </row>
    <row r="60" spans="1:73">
      <c r="R60" s="116"/>
      <c r="S60" s="116"/>
      <c r="T60" s="62"/>
      <c r="U60" s="116"/>
      <c r="V60" s="62"/>
      <c r="W60" s="116"/>
      <c r="X60" s="62"/>
      <c r="Y60" s="116"/>
      <c r="Z60" s="62"/>
      <c r="AA60" s="116"/>
      <c r="AB60" s="62"/>
      <c r="AC60" s="116"/>
    </row>
  </sheetData>
  <mergeCells count="4">
    <mergeCell ref="B50:AC50"/>
    <mergeCell ref="A1:AC1"/>
    <mergeCell ref="A2:AC2"/>
    <mergeCell ref="A3:AC3"/>
  </mergeCells>
  <phoneticPr fontId="24" type="noConversion"/>
  <printOptions horizontalCentered="1"/>
  <pageMargins left="0.25" right="0.25" top="0.5" bottom="0.5" header="0.3" footer="0.3"/>
  <pageSetup scale="65" orientation="landscape" r:id="rId1"/>
  <headerFooter alignWithMargins="0">
    <oddFooter>&amp;R&amp;A</oddFooter>
  </headerFooter>
  <ignoredErrors>
    <ignoredError sqref="A50" numberStoredAsText="1"/>
  </ignoredErrors>
</worksheet>
</file>

<file path=xl/worksheets/sheet7.xml><?xml version="1.0" encoding="utf-8"?>
<worksheet xmlns="http://schemas.openxmlformats.org/spreadsheetml/2006/main" xmlns:r="http://schemas.openxmlformats.org/officeDocument/2006/relationships">
  <dimension ref="A1:X47"/>
  <sheetViews>
    <sheetView zoomScale="75" zoomScaleNormal="75" workbookViewId="0"/>
  </sheetViews>
  <sheetFormatPr defaultColWidth="9.109375" defaultRowHeight="11.4"/>
  <cols>
    <col min="1" max="2" width="2.44140625" style="117" customWidth="1"/>
    <col min="3" max="3" width="38.44140625" style="117" customWidth="1"/>
    <col min="4" max="4" width="2.44140625" style="117" customWidth="1"/>
    <col min="5" max="5" width="8.88671875" style="117" customWidth="1"/>
    <col min="6" max="7" width="2.44140625" style="117" customWidth="1"/>
    <col min="8" max="8" width="8.88671875" style="117" customWidth="1"/>
    <col min="9" max="10" width="2.44140625" style="117" customWidth="1"/>
    <col min="11" max="11" width="8.88671875" style="117" customWidth="1"/>
    <col min="12" max="13" width="2.44140625" style="117" customWidth="1"/>
    <col min="14" max="14" width="8.88671875" style="117" customWidth="1"/>
    <col min="15" max="16" width="2.44140625" style="117" customWidth="1"/>
    <col min="17" max="17" width="8.88671875" style="117" customWidth="1"/>
    <col min="18" max="19" width="2.44140625" style="117" customWidth="1"/>
    <col min="20" max="20" width="8.88671875" style="117" customWidth="1"/>
    <col min="21" max="21" width="2.44140625" style="117" customWidth="1"/>
    <col min="22" max="16384" width="9.109375" style="117"/>
  </cols>
  <sheetData>
    <row r="1" spans="1:24" ht="13.2">
      <c r="A1" s="978" t="s">
        <v>96</v>
      </c>
      <c r="B1" s="978"/>
      <c r="C1" s="978"/>
      <c r="D1" s="978"/>
      <c r="E1" s="978"/>
      <c r="F1" s="978"/>
      <c r="G1" s="978"/>
      <c r="H1" s="978"/>
      <c r="I1" s="978"/>
      <c r="J1" s="978"/>
      <c r="K1" s="978"/>
      <c r="L1" s="978"/>
      <c r="M1" s="978"/>
      <c r="N1" s="978"/>
      <c r="O1" s="978"/>
      <c r="P1" s="978"/>
      <c r="Q1" s="978"/>
      <c r="R1" s="978"/>
      <c r="S1" s="978"/>
      <c r="T1" s="978"/>
    </row>
    <row r="2" spans="1:24" ht="13.2">
      <c r="A2" s="978" t="s">
        <v>869</v>
      </c>
      <c r="B2" s="978"/>
      <c r="C2" s="978"/>
      <c r="D2" s="978"/>
      <c r="E2" s="978"/>
      <c r="F2" s="978"/>
      <c r="G2" s="978"/>
      <c r="H2" s="978"/>
      <c r="I2" s="978"/>
      <c r="J2" s="978"/>
      <c r="K2" s="978"/>
      <c r="L2" s="978"/>
      <c r="M2" s="978"/>
      <c r="N2" s="978"/>
      <c r="O2" s="978"/>
      <c r="P2" s="978"/>
      <c r="Q2" s="978"/>
      <c r="R2" s="978"/>
      <c r="S2" s="978"/>
      <c r="T2" s="978"/>
    </row>
    <row r="3" spans="1:24">
      <c r="A3" s="979" t="s">
        <v>870</v>
      </c>
      <c r="B3" s="979"/>
      <c r="C3" s="979"/>
      <c r="D3" s="979"/>
      <c r="E3" s="979"/>
      <c r="F3" s="979"/>
      <c r="G3" s="979"/>
      <c r="H3" s="979"/>
      <c r="I3" s="979"/>
      <c r="J3" s="979"/>
      <c r="K3" s="979"/>
      <c r="L3" s="979"/>
      <c r="M3" s="979"/>
      <c r="N3" s="979"/>
      <c r="O3" s="979"/>
      <c r="P3" s="979"/>
      <c r="Q3" s="979"/>
      <c r="R3" s="979"/>
      <c r="S3" s="979"/>
      <c r="T3" s="979"/>
    </row>
    <row r="4" spans="1:24" ht="13.2">
      <c r="A4" s="897"/>
      <c r="B4" s="897"/>
      <c r="C4" s="897"/>
      <c r="D4" s="897"/>
      <c r="E4" s="897"/>
      <c r="F4" s="897"/>
      <c r="G4" s="897"/>
      <c r="H4" s="897"/>
      <c r="J4" s="897"/>
      <c r="K4" s="897"/>
      <c r="L4" s="897"/>
      <c r="M4" s="897"/>
      <c r="N4" s="897"/>
      <c r="O4" s="897"/>
      <c r="P4" s="897"/>
      <c r="Q4" s="897"/>
      <c r="R4" s="897"/>
      <c r="S4" s="897"/>
      <c r="T4" s="897"/>
    </row>
    <row r="5" spans="1:24" ht="13.2">
      <c r="A5" s="897"/>
      <c r="B5" s="897"/>
      <c r="C5" s="897"/>
      <c r="D5" s="897"/>
      <c r="E5" s="897"/>
      <c r="F5" s="897"/>
      <c r="G5" s="897"/>
      <c r="H5" s="897"/>
      <c r="J5" s="897"/>
      <c r="K5" s="897"/>
      <c r="L5" s="897"/>
      <c r="M5" s="897"/>
      <c r="N5" s="897"/>
      <c r="O5" s="897"/>
      <c r="P5" s="897"/>
      <c r="Q5" s="897"/>
      <c r="R5" s="897"/>
      <c r="S5" s="897"/>
      <c r="T5" s="897"/>
    </row>
    <row r="6" spans="1:24" ht="12.75" customHeight="1" thickBot="1">
      <c r="A6" s="897"/>
      <c r="B6" s="897"/>
      <c r="C6" s="897"/>
      <c r="D6" s="897"/>
      <c r="E6" s="897"/>
      <c r="F6" s="897"/>
      <c r="G6" s="897"/>
      <c r="H6" s="897"/>
      <c r="J6" s="897"/>
      <c r="K6" s="897"/>
      <c r="L6" s="897"/>
      <c r="M6" s="897"/>
      <c r="N6" s="897"/>
      <c r="O6" s="897"/>
      <c r="P6" s="897"/>
      <c r="Q6" s="897"/>
      <c r="R6" s="897"/>
      <c r="S6" s="897"/>
      <c r="T6" s="897"/>
    </row>
    <row r="7" spans="1:24" ht="12.75" customHeight="1">
      <c r="A7" s="897"/>
      <c r="B7" s="897"/>
      <c r="C7" s="897"/>
      <c r="D7" s="118"/>
      <c r="E7" s="119" t="s">
        <v>104</v>
      </c>
      <c r="F7" s="120"/>
      <c r="G7" s="121"/>
      <c r="H7" s="122" t="s">
        <v>105</v>
      </c>
      <c r="I7" s="123"/>
      <c r="J7" s="121"/>
      <c r="K7" s="122" t="s">
        <v>102</v>
      </c>
      <c r="L7" s="123"/>
      <c r="M7" s="121"/>
      <c r="N7" s="122" t="s">
        <v>103</v>
      </c>
      <c r="O7" s="123"/>
      <c r="P7" s="118"/>
      <c r="Q7" s="119" t="s">
        <v>104</v>
      </c>
      <c r="R7" s="120"/>
      <c r="S7" s="121"/>
      <c r="T7" s="122" t="s">
        <v>105</v>
      </c>
      <c r="U7" s="123"/>
      <c r="V7" s="121"/>
    </row>
    <row r="8" spans="1:24" s="124" customFormat="1" ht="12.75" customHeight="1">
      <c r="D8" s="125"/>
      <c r="E8" s="126">
        <v>2012</v>
      </c>
      <c r="F8" s="127"/>
      <c r="G8" s="128"/>
      <c r="H8" s="126">
        <v>2012</v>
      </c>
      <c r="I8" s="128"/>
      <c r="J8" s="128"/>
      <c r="K8" s="126">
        <v>2011</v>
      </c>
      <c r="L8" s="128"/>
      <c r="M8" s="128"/>
      <c r="N8" s="126">
        <v>2011</v>
      </c>
      <c r="O8" s="128"/>
      <c r="P8" s="125"/>
      <c r="Q8" s="126">
        <v>2011</v>
      </c>
      <c r="R8" s="127"/>
      <c r="S8" s="128"/>
      <c r="T8" s="126">
        <v>2011</v>
      </c>
      <c r="U8" s="128"/>
      <c r="V8" s="128"/>
      <c r="W8" s="117"/>
      <c r="X8" s="117"/>
    </row>
    <row r="9" spans="1:24" s="130" customFormat="1" ht="12.75" customHeight="1">
      <c r="A9" s="129" t="s">
        <v>871</v>
      </c>
      <c r="D9" s="131"/>
      <c r="E9" s="122"/>
      <c r="F9" s="132"/>
      <c r="G9" s="122"/>
      <c r="H9" s="122"/>
      <c r="I9" s="122"/>
      <c r="J9" s="122"/>
      <c r="K9" s="122"/>
      <c r="L9" s="122"/>
      <c r="M9" s="122"/>
      <c r="N9" s="122"/>
      <c r="O9" s="122"/>
      <c r="P9" s="131"/>
      <c r="Q9" s="122"/>
      <c r="R9" s="132"/>
      <c r="S9" s="122"/>
      <c r="T9" s="122"/>
      <c r="U9" s="122"/>
      <c r="V9" s="122"/>
      <c r="W9" s="117"/>
      <c r="X9" s="117"/>
    </row>
    <row r="10" spans="1:24" s="130" customFormat="1" ht="12.75" customHeight="1">
      <c r="D10" s="131"/>
      <c r="E10" s="122"/>
      <c r="F10" s="132"/>
      <c r="G10" s="122"/>
      <c r="H10" s="122"/>
      <c r="I10" s="122"/>
      <c r="J10" s="122"/>
      <c r="K10" s="122"/>
      <c r="L10" s="122"/>
      <c r="M10" s="122"/>
      <c r="N10" s="122"/>
      <c r="O10" s="122"/>
      <c r="P10" s="131"/>
      <c r="Q10" s="122"/>
      <c r="R10" s="132"/>
      <c r="S10" s="122"/>
      <c r="T10" s="122"/>
      <c r="U10" s="122"/>
      <c r="V10" s="122"/>
      <c r="W10" s="117"/>
      <c r="X10" s="117"/>
    </row>
    <row r="11" spans="1:24" ht="12.75" customHeight="1">
      <c r="B11" s="117" t="s">
        <v>872</v>
      </c>
      <c r="D11" s="133"/>
      <c r="E11" s="121"/>
      <c r="F11" s="134"/>
      <c r="G11" s="121"/>
      <c r="H11" s="121"/>
      <c r="I11" s="121"/>
      <c r="J11" s="121"/>
      <c r="K11" s="121"/>
      <c r="L11" s="121"/>
      <c r="M11" s="121"/>
      <c r="N11" s="121"/>
      <c r="O11" s="121"/>
      <c r="P11" s="133"/>
      <c r="Q11" s="121"/>
      <c r="R11" s="134"/>
      <c r="S11" s="121"/>
      <c r="T11" s="121"/>
      <c r="U11" s="121"/>
      <c r="V11" s="121"/>
    </row>
    <row r="12" spans="1:24" ht="12.75" customHeight="1">
      <c r="D12" s="133"/>
      <c r="E12" s="121"/>
      <c r="F12" s="134"/>
      <c r="G12" s="121"/>
      <c r="H12" s="121"/>
      <c r="I12" s="121"/>
      <c r="J12" s="121"/>
      <c r="K12" s="121"/>
      <c r="L12" s="121"/>
      <c r="M12" s="121"/>
      <c r="N12" s="121"/>
      <c r="O12" s="121"/>
      <c r="P12" s="133"/>
      <c r="Q12" s="121"/>
      <c r="R12" s="134"/>
      <c r="S12" s="121"/>
      <c r="T12" s="121"/>
      <c r="U12" s="121"/>
      <c r="V12" s="121"/>
    </row>
    <row r="13" spans="1:24" ht="12.75" customHeight="1" thickBot="1">
      <c r="C13" s="135" t="s">
        <v>873</v>
      </c>
      <c r="D13" s="133" t="s">
        <v>108</v>
      </c>
      <c r="E13" s="136">
        <v>19475</v>
      </c>
      <c r="F13" s="134"/>
      <c r="G13" s="121" t="s">
        <v>108</v>
      </c>
      <c r="H13" s="136">
        <v>19182</v>
      </c>
      <c r="I13" s="121"/>
      <c r="J13" s="121" t="s">
        <v>108</v>
      </c>
      <c r="K13" s="136">
        <v>18298</v>
      </c>
      <c r="L13" s="121"/>
      <c r="M13" s="121" t="s">
        <v>108</v>
      </c>
      <c r="N13" s="136">
        <v>17732</v>
      </c>
      <c r="O13" s="121"/>
      <c r="P13" s="133" t="s">
        <v>108</v>
      </c>
      <c r="Q13" s="136">
        <v>18382</v>
      </c>
      <c r="R13" s="134"/>
      <c r="S13" s="121" t="s">
        <v>108</v>
      </c>
      <c r="T13" s="136">
        <v>18898</v>
      </c>
      <c r="U13" s="121"/>
      <c r="V13" s="121"/>
    </row>
    <row r="14" spans="1:24" ht="12.75" customHeight="1" thickTop="1">
      <c r="D14" s="133"/>
      <c r="E14" s="121"/>
      <c r="F14" s="134"/>
      <c r="G14" s="121"/>
      <c r="H14" s="121"/>
      <c r="I14" s="121"/>
      <c r="J14" s="121"/>
      <c r="K14" s="121"/>
      <c r="L14" s="121"/>
      <c r="M14" s="121"/>
      <c r="N14" s="121"/>
      <c r="O14" s="121"/>
      <c r="P14" s="133"/>
      <c r="Q14" s="121"/>
      <c r="R14" s="134"/>
      <c r="S14" s="121"/>
      <c r="T14" s="121"/>
      <c r="U14" s="121"/>
      <c r="V14" s="121"/>
    </row>
    <row r="15" spans="1:24" ht="12.75" customHeight="1">
      <c r="B15" s="117" t="s">
        <v>874</v>
      </c>
      <c r="D15" s="133"/>
      <c r="E15" s="121"/>
      <c r="F15" s="134"/>
      <c r="G15" s="121"/>
      <c r="H15" s="121"/>
      <c r="I15" s="121"/>
      <c r="J15" s="121"/>
      <c r="K15" s="121"/>
      <c r="L15" s="121"/>
      <c r="M15" s="121"/>
      <c r="N15" s="121"/>
      <c r="O15" s="121"/>
      <c r="P15" s="133"/>
      <c r="Q15" s="121"/>
      <c r="R15" s="134"/>
      <c r="S15" s="121"/>
      <c r="T15" s="121"/>
      <c r="U15" s="121"/>
      <c r="V15" s="121"/>
    </row>
    <row r="16" spans="1:24" ht="12.75" customHeight="1">
      <c r="D16" s="133"/>
      <c r="E16" s="121"/>
      <c r="F16" s="134"/>
      <c r="G16" s="121"/>
      <c r="H16" s="121"/>
      <c r="I16" s="121"/>
      <c r="J16" s="121"/>
      <c r="K16" s="121"/>
      <c r="L16" s="121"/>
      <c r="M16" s="121"/>
      <c r="N16" s="121"/>
      <c r="O16" s="121"/>
      <c r="P16" s="133"/>
      <c r="Q16" s="121"/>
      <c r="R16" s="134"/>
      <c r="S16" s="121"/>
      <c r="T16" s="121"/>
      <c r="U16" s="121"/>
      <c r="V16" s="121"/>
    </row>
    <row r="17" spans="1:22" ht="12.75" customHeight="1">
      <c r="C17" s="135" t="s">
        <v>875</v>
      </c>
      <c r="D17" s="133"/>
      <c r="E17" s="121"/>
      <c r="F17" s="134"/>
      <c r="G17" s="121"/>
      <c r="H17" s="121"/>
      <c r="I17" s="121"/>
      <c r="J17" s="121"/>
      <c r="K17" s="121"/>
      <c r="L17" s="121"/>
      <c r="M17" s="121"/>
      <c r="N17" s="121"/>
      <c r="O17" s="121"/>
      <c r="P17" s="133"/>
      <c r="Q17" s="121"/>
      <c r="R17" s="134"/>
      <c r="S17" s="121"/>
      <c r="T17" s="121"/>
      <c r="U17" s="121"/>
      <c r="V17" s="121"/>
    </row>
    <row r="18" spans="1:22" ht="15" customHeight="1" thickBot="1">
      <c r="C18" s="137" t="s">
        <v>876</v>
      </c>
      <c r="D18" s="133"/>
      <c r="E18" s="138">
        <v>490.2</v>
      </c>
      <c r="F18" s="134"/>
      <c r="G18" s="121"/>
      <c r="H18" s="138">
        <v>497.3</v>
      </c>
      <c r="I18" s="121"/>
      <c r="J18" s="121"/>
      <c r="K18" s="138">
        <v>505.8</v>
      </c>
      <c r="L18" s="121"/>
      <c r="M18" s="121"/>
      <c r="N18" s="138">
        <v>509</v>
      </c>
      <c r="O18" s="121"/>
      <c r="P18" s="133"/>
      <c r="Q18" s="138">
        <v>522</v>
      </c>
      <c r="R18" s="134"/>
      <c r="S18" s="121"/>
      <c r="T18" s="138">
        <v>529</v>
      </c>
      <c r="U18" s="121"/>
      <c r="V18" s="121"/>
    </row>
    <row r="19" spans="1:22" ht="12.75" customHeight="1" thickTop="1">
      <c r="D19" s="133"/>
      <c r="E19" s="121"/>
      <c r="F19" s="134"/>
      <c r="G19" s="121"/>
      <c r="H19" s="121"/>
      <c r="I19" s="121"/>
      <c r="J19" s="121"/>
      <c r="K19" s="121"/>
      <c r="L19" s="121"/>
      <c r="M19" s="121"/>
      <c r="N19" s="121"/>
      <c r="O19" s="121"/>
      <c r="P19" s="133"/>
      <c r="Q19" s="121"/>
      <c r="R19" s="134"/>
      <c r="S19" s="121"/>
      <c r="T19" s="121"/>
      <c r="U19" s="121"/>
      <c r="V19" s="121"/>
    </row>
    <row r="20" spans="1:22" ht="15" customHeight="1" thickBot="1">
      <c r="C20" s="135" t="s">
        <v>877</v>
      </c>
      <c r="D20" s="133" t="s">
        <v>108</v>
      </c>
      <c r="E20" s="139">
        <v>39.728682170542633</v>
      </c>
      <c r="F20" s="134"/>
      <c r="G20" s="121" t="s">
        <v>108</v>
      </c>
      <c r="H20" s="139">
        <v>38.572290367987129</v>
      </c>
      <c r="I20" s="121"/>
      <c r="J20" s="121" t="s">
        <v>108</v>
      </c>
      <c r="K20" s="139">
        <v>36.176354290233292</v>
      </c>
      <c r="L20" s="121"/>
      <c r="M20" s="121" t="s">
        <v>108</v>
      </c>
      <c r="N20" s="139">
        <v>34.83693516699411</v>
      </c>
      <c r="O20" s="121"/>
      <c r="P20" s="133" t="s">
        <v>108</v>
      </c>
      <c r="Q20" s="139">
        <v>35.214559386973178</v>
      </c>
      <c r="R20" s="134"/>
      <c r="S20" s="121" t="s">
        <v>108</v>
      </c>
      <c r="T20" s="139">
        <v>35.724007561436672</v>
      </c>
      <c r="U20" s="121"/>
      <c r="V20" s="121"/>
    </row>
    <row r="21" spans="1:22" ht="12.75" customHeight="1" thickTop="1">
      <c r="D21" s="133"/>
      <c r="E21" s="121"/>
      <c r="F21" s="134"/>
      <c r="G21" s="121"/>
      <c r="H21" s="121"/>
      <c r="I21" s="121"/>
      <c r="J21" s="121"/>
      <c r="K21" s="121"/>
      <c r="L21" s="121"/>
      <c r="M21" s="121"/>
      <c r="N21" s="121"/>
      <c r="O21" s="121"/>
      <c r="P21" s="133"/>
      <c r="Q21" s="121"/>
      <c r="R21" s="134"/>
      <c r="S21" s="121"/>
      <c r="T21" s="121"/>
      <c r="U21" s="121"/>
      <c r="V21" s="121"/>
    </row>
    <row r="22" spans="1:22" ht="12.75" customHeight="1">
      <c r="A22" s="129" t="s">
        <v>878</v>
      </c>
      <c r="B22" s="130"/>
      <c r="C22" s="130"/>
      <c r="D22" s="131"/>
      <c r="E22" s="122"/>
      <c r="F22" s="132"/>
      <c r="G22" s="122"/>
      <c r="H22" s="122"/>
      <c r="I22" s="122"/>
      <c r="J22" s="122"/>
      <c r="K22" s="122"/>
      <c r="L22" s="122"/>
      <c r="M22" s="122"/>
      <c r="N22" s="122"/>
      <c r="O22" s="122"/>
      <c r="P22" s="131"/>
      <c r="Q22" s="122"/>
      <c r="R22" s="132"/>
      <c r="S22" s="122"/>
      <c r="T22" s="122"/>
      <c r="U22" s="122"/>
      <c r="V22" s="122"/>
    </row>
    <row r="23" spans="1:22" ht="12.75" customHeight="1">
      <c r="A23" s="129"/>
      <c r="B23" s="140" t="s">
        <v>879</v>
      </c>
      <c r="C23" s="130"/>
      <c r="D23" s="131"/>
      <c r="E23" s="122"/>
      <c r="F23" s="132"/>
      <c r="G23" s="122"/>
      <c r="H23" s="122"/>
      <c r="I23" s="122"/>
      <c r="J23" s="122"/>
      <c r="K23" s="122"/>
      <c r="L23" s="122"/>
      <c r="M23" s="122"/>
      <c r="N23" s="122"/>
      <c r="O23" s="122"/>
      <c r="P23" s="131"/>
      <c r="Q23" s="122"/>
      <c r="R23" s="132"/>
      <c r="S23" s="122"/>
      <c r="T23" s="122"/>
      <c r="U23" s="122"/>
      <c r="V23" s="122"/>
    </row>
    <row r="24" spans="1:22" ht="12.75" customHeight="1">
      <c r="A24" s="129"/>
      <c r="B24" s="140" t="s">
        <v>880</v>
      </c>
      <c r="C24" s="130"/>
      <c r="D24" s="131"/>
      <c r="E24" s="122"/>
      <c r="F24" s="132"/>
      <c r="G24" s="122"/>
      <c r="H24" s="122"/>
      <c r="I24" s="122"/>
      <c r="J24" s="122"/>
      <c r="K24" s="122"/>
      <c r="L24" s="122"/>
      <c r="M24" s="122"/>
      <c r="N24" s="122"/>
      <c r="O24" s="122"/>
      <c r="P24" s="131"/>
      <c r="Q24" s="122"/>
      <c r="R24" s="132"/>
      <c r="S24" s="122"/>
      <c r="T24" s="122"/>
      <c r="U24" s="122"/>
      <c r="V24" s="122"/>
    </row>
    <row r="25" spans="1:22" ht="12.75" customHeight="1">
      <c r="A25" s="130"/>
      <c r="B25" s="130"/>
      <c r="C25" s="130"/>
      <c r="D25" s="131"/>
      <c r="E25" s="122"/>
      <c r="F25" s="132"/>
      <c r="G25" s="122"/>
      <c r="H25" s="122"/>
      <c r="I25" s="122"/>
      <c r="J25" s="122"/>
      <c r="K25" s="122"/>
      <c r="L25" s="122"/>
      <c r="M25" s="122"/>
      <c r="N25" s="122"/>
      <c r="O25" s="122"/>
      <c r="P25" s="131"/>
      <c r="Q25" s="122"/>
      <c r="R25" s="132"/>
      <c r="S25" s="122"/>
      <c r="T25" s="122"/>
      <c r="U25" s="122"/>
      <c r="V25" s="122"/>
    </row>
    <row r="26" spans="1:22" ht="12.75" customHeight="1">
      <c r="B26" s="117" t="s">
        <v>872</v>
      </c>
      <c r="D26" s="133"/>
      <c r="E26" s="121"/>
      <c r="F26" s="134"/>
      <c r="G26" s="121"/>
      <c r="H26" s="121"/>
      <c r="I26" s="121"/>
      <c r="J26" s="121"/>
      <c r="K26" s="121"/>
      <c r="L26" s="121"/>
      <c r="M26" s="121"/>
      <c r="N26" s="121"/>
      <c r="O26" s="121"/>
      <c r="P26" s="133"/>
      <c r="Q26" s="121"/>
      <c r="R26" s="134"/>
      <c r="S26" s="121"/>
      <c r="T26" s="121"/>
      <c r="U26" s="121"/>
      <c r="V26" s="121"/>
    </row>
    <row r="27" spans="1:22" ht="12.75" customHeight="1">
      <c r="D27" s="133"/>
      <c r="E27" s="121"/>
      <c r="F27" s="134"/>
      <c r="G27" s="121"/>
      <c r="H27" s="121"/>
      <c r="I27" s="121"/>
      <c r="J27" s="121"/>
      <c r="K27" s="121"/>
      <c r="L27" s="121"/>
      <c r="M27" s="121"/>
      <c r="N27" s="121"/>
      <c r="O27" s="121"/>
      <c r="P27" s="133"/>
      <c r="Q27" s="121"/>
      <c r="R27" s="134"/>
      <c r="S27" s="121"/>
      <c r="T27" s="121"/>
      <c r="U27" s="121"/>
      <c r="V27" s="121"/>
    </row>
    <row r="28" spans="1:22" ht="12.75" customHeight="1">
      <c r="C28" s="135" t="s">
        <v>873</v>
      </c>
      <c r="D28" s="133" t="s">
        <v>108</v>
      </c>
      <c r="E28" s="121">
        <v>19475</v>
      </c>
      <c r="F28" s="134"/>
      <c r="G28" s="121" t="s">
        <v>108</v>
      </c>
      <c r="H28" s="121">
        <v>19182</v>
      </c>
      <c r="I28" s="121"/>
      <c r="J28" s="121" t="s">
        <v>108</v>
      </c>
      <c r="K28" s="121">
        <v>18298</v>
      </c>
      <c r="L28" s="121"/>
      <c r="M28" s="121" t="s">
        <v>108</v>
      </c>
      <c r="N28" s="121">
        <v>17732</v>
      </c>
      <c r="O28" s="121"/>
      <c r="P28" s="133" t="s">
        <v>108</v>
      </c>
      <c r="Q28" s="121">
        <v>18382</v>
      </c>
      <c r="R28" s="134"/>
      <c r="S28" s="121" t="s">
        <v>108</v>
      </c>
      <c r="T28" s="121">
        <v>18898</v>
      </c>
      <c r="U28" s="121"/>
      <c r="V28" s="121"/>
    </row>
    <row r="29" spans="1:22" ht="12.75" customHeight="1">
      <c r="D29" s="133"/>
      <c r="E29" s="121"/>
      <c r="F29" s="134"/>
      <c r="G29" s="121"/>
      <c r="H29" s="121"/>
      <c r="I29" s="121"/>
      <c r="J29" s="121"/>
      <c r="K29" s="121"/>
      <c r="L29" s="121"/>
      <c r="M29" s="121"/>
      <c r="N29" s="121"/>
      <c r="O29" s="121"/>
      <c r="P29" s="133"/>
      <c r="Q29" s="121"/>
      <c r="R29" s="134"/>
      <c r="S29" s="121"/>
      <c r="T29" s="121"/>
      <c r="U29" s="121"/>
      <c r="V29" s="121"/>
    </row>
    <row r="30" spans="1:22" ht="12.75" customHeight="1">
      <c r="C30" s="135" t="s">
        <v>881</v>
      </c>
      <c r="D30" s="133"/>
      <c r="E30" s="121"/>
      <c r="F30" s="134"/>
      <c r="G30" s="121"/>
      <c r="H30" s="121"/>
      <c r="I30" s="121"/>
      <c r="J30" s="121"/>
      <c r="K30" s="121"/>
      <c r="L30" s="121"/>
      <c r="M30" s="121"/>
      <c r="N30" s="121"/>
      <c r="O30" s="121"/>
      <c r="P30" s="133"/>
      <c r="Q30" s="121"/>
      <c r="R30" s="134"/>
      <c r="S30" s="121"/>
      <c r="T30" s="121"/>
      <c r="U30" s="121"/>
      <c r="V30" s="121"/>
    </row>
    <row r="31" spans="1:22" ht="12.75" customHeight="1">
      <c r="C31" s="117" t="s">
        <v>882</v>
      </c>
      <c r="D31" s="133"/>
      <c r="E31" s="141">
        <v>1919</v>
      </c>
      <c r="F31" s="134"/>
      <c r="G31" s="121"/>
      <c r="H31" s="141">
        <v>1620</v>
      </c>
      <c r="I31" s="121"/>
      <c r="J31" s="121"/>
      <c r="K31" s="141">
        <v>1311</v>
      </c>
      <c r="L31" s="121"/>
      <c r="M31" s="121"/>
      <c r="N31" s="141">
        <v>1136</v>
      </c>
      <c r="O31" s="121"/>
      <c r="P31" s="133"/>
      <c r="Q31" s="141">
        <v>1091</v>
      </c>
      <c r="R31" s="134"/>
      <c r="S31" s="121"/>
      <c r="T31" s="141">
        <v>671</v>
      </c>
      <c r="U31" s="121"/>
      <c r="V31" s="121"/>
    </row>
    <row r="32" spans="1:22" ht="12.75" customHeight="1">
      <c r="D32" s="133"/>
      <c r="E32" s="121"/>
      <c r="F32" s="134"/>
      <c r="G32" s="121"/>
      <c r="H32" s="121"/>
      <c r="I32" s="121"/>
      <c r="J32" s="121"/>
      <c r="K32" s="121"/>
      <c r="L32" s="121"/>
      <c r="M32" s="121"/>
      <c r="N32" s="121"/>
      <c r="O32" s="121"/>
      <c r="P32" s="133"/>
      <c r="Q32" s="121"/>
      <c r="R32" s="134"/>
      <c r="S32" s="121"/>
      <c r="T32" s="121"/>
      <c r="U32" s="121"/>
      <c r="V32" s="121"/>
    </row>
    <row r="33" spans="1:22" ht="12" thickBot="1">
      <c r="C33" s="135" t="s">
        <v>883</v>
      </c>
      <c r="D33" s="133" t="s">
        <v>108</v>
      </c>
      <c r="E33" s="136">
        <v>17556</v>
      </c>
      <c r="F33" s="134"/>
      <c r="G33" s="121" t="s">
        <v>108</v>
      </c>
      <c r="H33" s="136">
        <v>17562</v>
      </c>
      <c r="I33" s="121"/>
      <c r="J33" s="121" t="s">
        <v>108</v>
      </c>
      <c r="K33" s="136">
        <v>16987</v>
      </c>
      <c r="L33" s="121"/>
      <c r="M33" s="121" t="s">
        <v>108</v>
      </c>
      <c r="N33" s="136">
        <v>16596</v>
      </c>
      <c r="O33" s="121"/>
      <c r="P33" s="133" t="s">
        <v>108</v>
      </c>
      <c r="Q33" s="136">
        <v>17291</v>
      </c>
      <c r="R33" s="134"/>
      <c r="S33" s="121" t="s">
        <v>108</v>
      </c>
      <c r="T33" s="136">
        <v>18227</v>
      </c>
      <c r="U33" s="121"/>
      <c r="V33" s="121"/>
    </row>
    <row r="34" spans="1:22" ht="12.75" customHeight="1" thickTop="1">
      <c r="D34" s="133"/>
      <c r="E34" s="121"/>
      <c r="F34" s="134"/>
      <c r="G34" s="121"/>
      <c r="H34" s="121"/>
      <c r="I34" s="121"/>
      <c r="J34" s="121"/>
      <c r="K34" s="121"/>
      <c r="L34" s="121"/>
      <c r="M34" s="121"/>
      <c r="N34" s="121"/>
      <c r="O34" s="121"/>
      <c r="P34" s="133"/>
      <c r="Q34" s="121"/>
      <c r="R34" s="134"/>
      <c r="S34" s="121"/>
      <c r="T34" s="121"/>
      <c r="U34" s="121"/>
      <c r="V34" s="121"/>
    </row>
    <row r="35" spans="1:22" ht="12.75" customHeight="1">
      <c r="B35" s="117" t="s">
        <v>874</v>
      </c>
      <c r="D35" s="133"/>
      <c r="E35" s="121"/>
      <c r="F35" s="134"/>
      <c r="G35" s="121"/>
      <c r="H35" s="121"/>
      <c r="I35" s="121"/>
      <c r="J35" s="121"/>
      <c r="K35" s="121"/>
      <c r="L35" s="121"/>
      <c r="M35" s="121"/>
      <c r="N35" s="121"/>
      <c r="O35" s="121"/>
      <c r="P35" s="133"/>
      <c r="Q35" s="121"/>
      <c r="R35" s="134"/>
      <c r="S35" s="121"/>
      <c r="T35" s="121"/>
      <c r="U35" s="121"/>
      <c r="V35" s="121"/>
    </row>
    <row r="36" spans="1:22" ht="12.75" customHeight="1">
      <c r="D36" s="133"/>
      <c r="E36" s="121"/>
      <c r="F36" s="134"/>
      <c r="G36" s="121"/>
      <c r="H36" s="121"/>
      <c r="I36" s="121"/>
      <c r="J36" s="121"/>
      <c r="K36" s="121"/>
      <c r="L36" s="121"/>
      <c r="M36" s="121"/>
      <c r="N36" s="121"/>
      <c r="O36" s="121"/>
      <c r="P36" s="133"/>
      <c r="Q36" s="121"/>
      <c r="R36" s="134"/>
      <c r="S36" s="121"/>
      <c r="T36" s="121"/>
      <c r="U36" s="121"/>
      <c r="V36" s="121"/>
    </row>
    <row r="37" spans="1:22" ht="12.75" customHeight="1">
      <c r="C37" s="135" t="s">
        <v>875</v>
      </c>
      <c r="D37" s="133"/>
      <c r="E37" s="121"/>
      <c r="F37" s="134"/>
      <c r="G37" s="121"/>
      <c r="H37" s="121"/>
      <c r="I37" s="121"/>
      <c r="J37" s="121"/>
      <c r="K37" s="121"/>
      <c r="L37" s="121"/>
      <c r="M37" s="121"/>
      <c r="N37" s="121"/>
      <c r="O37" s="121"/>
      <c r="P37" s="133"/>
      <c r="Q37" s="121"/>
      <c r="R37" s="134"/>
      <c r="S37" s="121"/>
      <c r="T37" s="121"/>
      <c r="U37" s="121"/>
      <c r="V37" s="121"/>
    </row>
    <row r="38" spans="1:22" ht="15" customHeight="1" thickBot="1">
      <c r="C38" s="137" t="s">
        <v>876</v>
      </c>
      <c r="D38" s="133"/>
      <c r="E38" s="138">
        <v>490.2</v>
      </c>
      <c r="F38" s="134"/>
      <c r="G38" s="121"/>
      <c r="H38" s="138">
        <v>497.3</v>
      </c>
      <c r="I38" s="121"/>
      <c r="J38" s="121"/>
      <c r="K38" s="138">
        <v>505.8</v>
      </c>
      <c r="L38" s="121"/>
      <c r="M38" s="121"/>
      <c r="N38" s="138">
        <v>509</v>
      </c>
      <c r="O38" s="121"/>
      <c r="P38" s="133"/>
      <c r="Q38" s="138">
        <v>522</v>
      </c>
      <c r="R38" s="134"/>
      <c r="S38" s="121"/>
      <c r="T38" s="138">
        <v>529</v>
      </c>
      <c r="U38" s="121"/>
      <c r="V38" s="121"/>
    </row>
    <row r="39" spans="1:22" ht="12.75" customHeight="1" thickTop="1">
      <c r="D39" s="133"/>
      <c r="E39" s="121"/>
      <c r="F39" s="134"/>
      <c r="G39" s="121"/>
      <c r="H39" s="121"/>
      <c r="I39" s="121"/>
      <c r="J39" s="121"/>
      <c r="K39" s="121"/>
      <c r="L39" s="121"/>
      <c r="M39" s="121"/>
      <c r="N39" s="121"/>
      <c r="O39" s="121"/>
      <c r="P39" s="133"/>
      <c r="Q39" s="121"/>
      <c r="R39" s="134"/>
      <c r="S39" s="121"/>
      <c r="T39" s="121"/>
      <c r="U39" s="121"/>
      <c r="V39" s="121"/>
    </row>
    <row r="40" spans="1:22" ht="12.75" customHeight="1">
      <c r="C40" s="135" t="s">
        <v>878</v>
      </c>
      <c r="D40" s="133"/>
      <c r="E40" s="142"/>
      <c r="F40" s="134"/>
      <c r="G40" s="121"/>
      <c r="H40" s="142"/>
      <c r="I40" s="121"/>
      <c r="J40" s="121"/>
      <c r="K40" s="142"/>
      <c r="L40" s="121"/>
      <c r="M40" s="121"/>
      <c r="N40" s="142"/>
      <c r="O40" s="121"/>
      <c r="P40" s="133"/>
      <c r="Q40" s="142"/>
      <c r="R40" s="134"/>
      <c r="S40" s="121"/>
      <c r="T40" s="142"/>
      <c r="U40" s="121"/>
      <c r="V40" s="121"/>
    </row>
    <row r="41" spans="1:22" ht="12.75" customHeight="1">
      <c r="C41" s="143" t="s">
        <v>884</v>
      </c>
      <c r="D41" s="133"/>
      <c r="E41" s="121"/>
      <c r="F41" s="134"/>
      <c r="G41" s="121"/>
      <c r="H41" s="121"/>
      <c r="I41" s="121"/>
      <c r="J41" s="121"/>
      <c r="K41" s="121"/>
      <c r="L41" s="121"/>
      <c r="M41" s="121"/>
      <c r="N41" s="121"/>
      <c r="O41" s="121"/>
      <c r="P41" s="133"/>
      <c r="Q41" s="121"/>
      <c r="R41" s="134"/>
      <c r="S41" s="121"/>
      <c r="T41" s="121"/>
      <c r="U41" s="121"/>
      <c r="V41" s="121"/>
    </row>
    <row r="42" spans="1:22" ht="15" customHeight="1" thickBot="1">
      <c r="C42" s="137" t="s">
        <v>885</v>
      </c>
      <c r="D42" s="133" t="s">
        <v>108</v>
      </c>
      <c r="E42" s="139">
        <v>35.813953488372093</v>
      </c>
      <c r="F42" s="134"/>
      <c r="G42" s="121" t="s">
        <v>108</v>
      </c>
      <c r="H42" s="139">
        <v>35.314699376633818</v>
      </c>
      <c r="I42" s="121"/>
      <c r="J42" s="121" t="s">
        <v>108</v>
      </c>
      <c r="K42" s="139">
        <v>33.584420719652037</v>
      </c>
      <c r="L42" s="121"/>
      <c r="M42" s="121" t="s">
        <v>108</v>
      </c>
      <c r="N42" s="139">
        <v>32.605108055009822</v>
      </c>
      <c r="O42" s="121"/>
      <c r="P42" s="133" t="s">
        <v>108</v>
      </c>
      <c r="Q42" s="139">
        <v>33.124521072796938</v>
      </c>
      <c r="R42" s="134"/>
      <c r="S42" s="121" t="s">
        <v>108</v>
      </c>
      <c r="T42" s="139">
        <v>34.455576559546316</v>
      </c>
      <c r="U42" s="121"/>
      <c r="V42" s="121"/>
    </row>
    <row r="43" spans="1:22" ht="12.75" customHeight="1" thickTop="1" thickBot="1">
      <c r="D43" s="144"/>
      <c r="E43" s="145"/>
      <c r="F43" s="146"/>
      <c r="G43" s="121"/>
      <c r="H43" s="121"/>
      <c r="I43" s="121"/>
      <c r="J43" s="121"/>
      <c r="K43" s="121"/>
      <c r="L43" s="121"/>
      <c r="M43" s="121"/>
      <c r="N43" s="121"/>
      <c r="O43" s="121"/>
      <c r="P43" s="144"/>
      <c r="Q43" s="145"/>
      <c r="R43" s="146"/>
      <c r="S43" s="121"/>
      <c r="T43" s="121"/>
      <c r="U43" s="121"/>
      <c r="V43" s="121"/>
    </row>
    <row r="44" spans="1:22" ht="15.6">
      <c r="A44" s="147"/>
      <c r="D44" s="121"/>
      <c r="E44" s="121"/>
      <c r="F44" s="121"/>
      <c r="G44" s="121"/>
      <c r="H44" s="121"/>
      <c r="I44" s="121"/>
      <c r="J44" s="121"/>
      <c r="K44" s="121"/>
      <c r="L44" s="121"/>
      <c r="M44" s="121"/>
      <c r="N44" s="121"/>
      <c r="O44" s="121"/>
      <c r="P44" s="121"/>
      <c r="Q44" s="121"/>
      <c r="R44" s="121"/>
      <c r="S44" s="121"/>
      <c r="T44" s="121"/>
      <c r="U44" s="121"/>
    </row>
    <row r="45" spans="1:22" ht="15.6">
      <c r="A45" s="147"/>
      <c r="G45" s="121"/>
      <c r="H45" s="121"/>
      <c r="J45" s="121"/>
      <c r="K45" s="121"/>
      <c r="L45" s="121"/>
      <c r="M45" s="121"/>
      <c r="N45" s="121"/>
      <c r="O45" s="121"/>
      <c r="P45" s="121"/>
      <c r="Q45" s="121"/>
      <c r="R45" s="121"/>
      <c r="S45" s="121"/>
      <c r="T45" s="121"/>
    </row>
    <row r="46" spans="1:22" ht="15.6">
      <c r="A46" s="147"/>
      <c r="D46" s="121"/>
      <c r="E46" s="121"/>
      <c r="F46" s="121"/>
    </row>
    <row r="47" spans="1:22" ht="15.6">
      <c r="A47" s="148"/>
    </row>
  </sheetData>
  <mergeCells count="3">
    <mergeCell ref="A1:T1"/>
    <mergeCell ref="A2:T2"/>
    <mergeCell ref="A3:T3"/>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8.xml><?xml version="1.0" encoding="utf-8"?>
<worksheet xmlns="http://schemas.openxmlformats.org/spreadsheetml/2006/main" xmlns:r="http://schemas.openxmlformats.org/officeDocument/2006/relationships">
  <dimension ref="A1:AB48"/>
  <sheetViews>
    <sheetView zoomScale="75" zoomScaleNormal="75" workbookViewId="0"/>
  </sheetViews>
  <sheetFormatPr defaultColWidth="9.109375" defaultRowHeight="11.4"/>
  <cols>
    <col min="1" max="1" width="3.33203125" style="117" customWidth="1"/>
    <col min="2" max="2" width="2.44140625" style="117" customWidth="1"/>
    <col min="3" max="3" width="46.44140625" style="117" customWidth="1"/>
    <col min="4" max="4" width="2.44140625" style="117" customWidth="1"/>
    <col min="5" max="5" width="8.44140625" style="117" customWidth="1"/>
    <col min="6" max="6" width="3.6640625" style="117" customWidth="1"/>
    <col min="7" max="8" width="2.44140625" style="117" customWidth="1"/>
    <col min="9" max="9" width="8.44140625" style="117" customWidth="1"/>
    <col min="10" max="10" width="3.6640625" style="117" customWidth="1"/>
    <col min="11" max="11" width="2.33203125" style="117" customWidth="1"/>
    <col min="12" max="12" width="2.44140625" style="117" customWidth="1"/>
    <col min="13" max="13" width="8.44140625" style="117" customWidth="1"/>
    <col min="14" max="14" width="3.6640625" style="117" customWidth="1"/>
    <col min="15" max="16" width="2.44140625" style="117" customWidth="1"/>
    <col min="17" max="17" width="8.44140625" style="117" customWidth="1"/>
    <col min="18" max="18" width="3.6640625" style="117" customWidth="1"/>
    <col min="19" max="20" width="2.44140625" style="117" customWidth="1"/>
    <col min="21" max="21" width="8.44140625" style="117" customWidth="1"/>
    <col min="22" max="22" width="3.6640625" style="117" customWidth="1"/>
    <col min="23" max="24" width="2.44140625" style="117" customWidth="1"/>
    <col min="25" max="25" width="8.44140625" style="117" customWidth="1"/>
    <col min="26" max="26" width="3.6640625" style="117" customWidth="1"/>
    <col min="27" max="16384" width="9.109375" style="117"/>
  </cols>
  <sheetData>
    <row r="1" spans="1:28" ht="13.2">
      <c r="A1" s="978" t="s">
        <v>96</v>
      </c>
      <c r="B1" s="978"/>
      <c r="C1" s="978"/>
      <c r="D1" s="978"/>
      <c r="E1" s="978"/>
      <c r="F1" s="978"/>
      <c r="G1" s="978"/>
      <c r="H1" s="978"/>
      <c r="I1" s="978"/>
      <c r="J1" s="978"/>
      <c r="K1" s="978"/>
      <c r="L1" s="978"/>
      <c r="M1" s="978"/>
      <c r="N1" s="978"/>
      <c r="O1" s="978"/>
      <c r="P1" s="978"/>
      <c r="Q1" s="978"/>
      <c r="R1" s="978"/>
      <c r="S1" s="978"/>
      <c r="T1" s="978"/>
      <c r="U1" s="978"/>
      <c r="V1" s="978"/>
      <c r="W1" s="978"/>
      <c r="X1" s="978"/>
      <c r="Y1" s="978"/>
      <c r="Z1" s="978"/>
    </row>
    <row r="2" spans="1:28" ht="13.2">
      <c r="A2" s="978" t="s">
        <v>886</v>
      </c>
      <c r="B2" s="978"/>
      <c r="C2" s="978"/>
      <c r="D2" s="978"/>
      <c r="E2" s="978"/>
      <c r="F2" s="978"/>
      <c r="G2" s="978"/>
      <c r="H2" s="978"/>
      <c r="I2" s="978"/>
      <c r="J2" s="978"/>
      <c r="K2" s="978"/>
      <c r="L2" s="978"/>
      <c r="M2" s="978"/>
      <c r="N2" s="978"/>
      <c r="O2" s="978"/>
      <c r="P2" s="978"/>
      <c r="Q2" s="978"/>
      <c r="R2" s="978"/>
      <c r="S2" s="978"/>
      <c r="T2" s="978"/>
      <c r="U2" s="978"/>
      <c r="V2" s="978"/>
      <c r="W2" s="978"/>
      <c r="X2" s="978"/>
      <c r="Y2" s="978"/>
      <c r="Z2" s="978"/>
    </row>
    <row r="3" spans="1:28">
      <c r="A3" s="979" t="s">
        <v>800</v>
      </c>
      <c r="B3" s="979"/>
      <c r="C3" s="979"/>
      <c r="D3" s="979"/>
      <c r="E3" s="979"/>
      <c r="F3" s="979"/>
      <c r="G3" s="979"/>
      <c r="H3" s="979"/>
      <c r="I3" s="979"/>
      <c r="J3" s="979"/>
      <c r="K3" s="979"/>
      <c r="L3" s="979"/>
      <c r="M3" s="979"/>
      <c r="N3" s="979"/>
      <c r="O3" s="979"/>
      <c r="P3" s="979"/>
      <c r="Q3" s="979"/>
      <c r="R3" s="979"/>
      <c r="S3" s="979"/>
      <c r="T3" s="979"/>
      <c r="U3" s="979"/>
      <c r="V3" s="979"/>
      <c r="W3" s="979"/>
      <c r="X3" s="979"/>
      <c r="Y3" s="979"/>
      <c r="Z3" s="979"/>
    </row>
    <row r="4" spans="1:28" ht="13.2">
      <c r="A4" s="897"/>
      <c r="B4" s="897"/>
      <c r="C4" s="897"/>
      <c r="D4" s="897"/>
      <c r="E4" s="897"/>
      <c r="F4" s="897"/>
      <c r="G4" s="897"/>
      <c r="H4" s="897"/>
      <c r="I4" s="897"/>
      <c r="J4" s="897"/>
      <c r="K4" s="897"/>
      <c r="L4" s="897"/>
      <c r="M4" s="897"/>
      <c r="N4" s="897"/>
      <c r="O4" s="897"/>
      <c r="P4" s="897"/>
      <c r="Q4" s="897"/>
      <c r="R4" s="897"/>
      <c r="S4" s="897"/>
      <c r="T4" s="897"/>
      <c r="U4" s="897"/>
      <c r="V4" s="897"/>
      <c r="W4" s="897"/>
      <c r="X4" s="897"/>
      <c r="Y4" s="897"/>
      <c r="Z4" s="897"/>
    </row>
    <row r="5" spans="1:28" ht="13.2">
      <c r="A5" s="897"/>
      <c r="B5" s="897"/>
      <c r="C5" s="897"/>
      <c r="D5" s="981" t="s">
        <v>101</v>
      </c>
      <c r="E5" s="981"/>
      <c r="F5" s="981"/>
      <c r="G5" s="981"/>
      <c r="H5" s="981"/>
      <c r="I5" s="981"/>
      <c r="J5" s="981"/>
      <c r="K5" s="981"/>
      <c r="L5" s="981"/>
      <c r="M5" s="981"/>
      <c r="N5" s="981"/>
      <c r="O5" s="981"/>
      <c r="P5" s="981"/>
      <c r="Q5" s="981"/>
      <c r="R5" s="981"/>
      <c r="S5" s="981"/>
      <c r="T5" s="981"/>
      <c r="U5" s="981"/>
      <c r="V5" s="981"/>
      <c r="W5" s="981"/>
      <c r="X5" s="981"/>
      <c r="Y5" s="981"/>
      <c r="Z5" s="793"/>
    </row>
    <row r="6" spans="1:28" ht="13.8" thickBot="1">
      <c r="A6" s="897"/>
      <c r="B6" s="897"/>
      <c r="C6" s="897"/>
      <c r="D6" s="897"/>
      <c r="E6" s="897"/>
      <c r="F6" s="897"/>
      <c r="G6" s="897"/>
      <c r="H6" s="897"/>
      <c r="I6" s="897"/>
      <c r="J6" s="897"/>
      <c r="K6" s="897"/>
      <c r="L6" s="897"/>
      <c r="M6" s="897"/>
      <c r="N6" s="897"/>
      <c r="O6" s="897"/>
      <c r="P6" s="897"/>
      <c r="Q6" s="897"/>
      <c r="R6" s="897"/>
      <c r="S6" s="897"/>
      <c r="T6" s="897"/>
      <c r="U6" s="897"/>
      <c r="V6" s="897"/>
      <c r="W6" s="897"/>
      <c r="X6" s="897"/>
      <c r="Y6" s="897"/>
      <c r="Z6" s="897"/>
    </row>
    <row r="7" spans="1:28" ht="13.2">
      <c r="A7" s="897"/>
      <c r="B7" s="897"/>
      <c r="C7" s="897"/>
      <c r="D7" s="118"/>
      <c r="E7" s="119" t="s">
        <v>104</v>
      </c>
      <c r="F7" s="120"/>
      <c r="G7" s="123"/>
      <c r="H7" s="121"/>
      <c r="I7" s="122" t="s">
        <v>105</v>
      </c>
      <c r="J7" s="123"/>
      <c r="K7" s="123"/>
      <c r="L7" s="121"/>
      <c r="M7" s="122" t="s">
        <v>102</v>
      </c>
      <c r="N7" s="123"/>
      <c r="O7" s="123"/>
      <c r="P7" s="121"/>
      <c r="Q7" s="122" t="s">
        <v>103</v>
      </c>
      <c r="R7" s="123"/>
      <c r="S7" s="123"/>
      <c r="T7" s="118"/>
      <c r="U7" s="119" t="s">
        <v>104</v>
      </c>
      <c r="V7" s="120"/>
      <c r="W7" s="123"/>
      <c r="X7" s="121"/>
      <c r="Y7" s="122" t="s">
        <v>105</v>
      </c>
      <c r="Z7" s="123"/>
      <c r="AA7" s="121"/>
    </row>
    <row r="8" spans="1:28" s="124" customFormat="1">
      <c r="D8" s="125"/>
      <c r="E8" s="126">
        <v>2012</v>
      </c>
      <c r="F8" s="127"/>
      <c r="G8" s="128"/>
      <c r="H8" s="128"/>
      <c r="I8" s="126">
        <v>2012</v>
      </c>
      <c r="J8" s="128"/>
      <c r="K8" s="128"/>
      <c r="L8" s="128"/>
      <c r="M8" s="126">
        <v>2011</v>
      </c>
      <c r="N8" s="128"/>
      <c r="O8" s="128"/>
      <c r="P8" s="128"/>
      <c r="Q8" s="126">
        <v>2011</v>
      </c>
      <c r="R8" s="128"/>
      <c r="S8" s="128"/>
      <c r="T8" s="125"/>
      <c r="U8" s="126">
        <v>2011</v>
      </c>
      <c r="V8" s="127"/>
      <c r="W8" s="128"/>
      <c r="X8" s="128"/>
      <c r="Y8" s="126">
        <v>2011</v>
      </c>
      <c r="Z8" s="128"/>
      <c r="AA8" s="128"/>
      <c r="AB8" s="117"/>
    </row>
    <row r="9" spans="1:28" s="130" customFormat="1" ht="12">
      <c r="A9" s="129" t="s">
        <v>887</v>
      </c>
      <c r="D9" s="131"/>
      <c r="E9" s="122"/>
      <c r="F9" s="132"/>
      <c r="G9" s="122"/>
      <c r="H9" s="122"/>
      <c r="I9" s="122"/>
      <c r="J9" s="122"/>
      <c r="K9" s="122"/>
      <c r="L9" s="122"/>
      <c r="M9" s="122"/>
      <c r="N9" s="122"/>
      <c r="O9" s="122"/>
      <c r="P9" s="122"/>
      <c r="Q9" s="122"/>
      <c r="R9" s="122"/>
      <c r="S9" s="122"/>
      <c r="T9" s="131"/>
      <c r="U9" s="122"/>
      <c r="V9" s="132"/>
      <c r="W9" s="122"/>
      <c r="X9" s="122"/>
      <c r="Y9" s="122"/>
      <c r="Z9" s="122"/>
      <c r="AA9" s="122"/>
      <c r="AB9" s="117"/>
    </row>
    <row r="10" spans="1:28" s="130" customFormat="1">
      <c r="D10" s="131"/>
      <c r="E10" s="122"/>
      <c r="F10" s="132"/>
      <c r="G10" s="122"/>
      <c r="H10" s="122"/>
      <c r="I10" s="122"/>
      <c r="J10" s="122"/>
      <c r="K10" s="122"/>
      <c r="L10" s="122"/>
      <c r="M10" s="122"/>
      <c r="N10" s="122"/>
      <c r="O10" s="122"/>
      <c r="P10" s="122"/>
      <c r="Q10" s="122"/>
      <c r="R10" s="122"/>
      <c r="S10" s="122"/>
      <c r="T10" s="131"/>
      <c r="U10" s="122"/>
      <c r="V10" s="132"/>
      <c r="W10" s="122"/>
      <c r="X10" s="122"/>
      <c r="Y10" s="122"/>
      <c r="Z10" s="122"/>
      <c r="AA10" s="122"/>
      <c r="AB10" s="117"/>
    </row>
    <row r="11" spans="1:28">
      <c r="B11" s="117" t="s">
        <v>872</v>
      </c>
      <c r="D11" s="133"/>
      <c r="E11" s="121"/>
      <c r="F11" s="134"/>
      <c r="G11" s="121"/>
      <c r="H11" s="121"/>
      <c r="I11" s="121"/>
      <c r="J11" s="121"/>
      <c r="K11" s="121"/>
      <c r="L11" s="121"/>
      <c r="M11" s="121"/>
      <c r="N11" s="121"/>
      <c r="O11" s="121"/>
      <c r="P11" s="121"/>
      <c r="Q11" s="121"/>
      <c r="R11" s="121"/>
      <c r="S11" s="121"/>
      <c r="T11" s="133"/>
      <c r="U11" s="121"/>
      <c r="V11" s="134"/>
      <c r="W11" s="121"/>
      <c r="X11" s="121"/>
      <c r="Y11" s="121"/>
      <c r="Z11" s="121"/>
      <c r="AA11" s="121"/>
    </row>
    <row r="12" spans="1:28">
      <c r="D12" s="133"/>
      <c r="E12" s="121"/>
      <c r="F12" s="134"/>
      <c r="G12" s="121"/>
      <c r="H12" s="121"/>
      <c r="I12" s="121"/>
      <c r="J12" s="121"/>
      <c r="K12" s="121"/>
      <c r="L12" s="121"/>
      <c r="M12" s="121"/>
      <c r="N12" s="121"/>
      <c r="O12" s="121"/>
      <c r="P12" s="121"/>
      <c r="Q12" s="121"/>
      <c r="R12" s="121"/>
      <c r="S12" s="121"/>
      <c r="T12" s="133"/>
      <c r="U12" s="121"/>
      <c r="V12" s="134"/>
      <c r="W12" s="121"/>
      <c r="X12" s="121"/>
      <c r="Y12" s="121"/>
      <c r="Z12" s="121"/>
      <c r="AA12" s="121"/>
    </row>
    <row r="13" spans="1:28" ht="21" customHeight="1" thickBot="1">
      <c r="C13" s="135" t="s">
        <v>888</v>
      </c>
      <c r="D13" s="133" t="s">
        <v>108</v>
      </c>
      <c r="E13" s="136">
        <v>2076</v>
      </c>
      <c r="F13" s="134"/>
      <c r="G13" s="121"/>
      <c r="H13" s="121" t="s">
        <v>108</v>
      </c>
      <c r="I13" s="136">
        <v>1029</v>
      </c>
      <c r="J13" s="121"/>
      <c r="K13" s="121"/>
      <c r="L13" s="121" t="s">
        <v>108</v>
      </c>
      <c r="M13" s="136">
        <v>787</v>
      </c>
      <c r="N13" s="121"/>
      <c r="O13" s="121"/>
      <c r="P13" s="121" t="s">
        <v>108</v>
      </c>
      <c r="Q13" s="136">
        <v>368</v>
      </c>
      <c r="R13" s="121"/>
      <c r="S13" s="121"/>
      <c r="T13" s="133" t="s">
        <v>108</v>
      </c>
      <c r="U13" s="136">
        <v>554</v>
      </c>
      <c r="V13" s="134"/>
      <c r="W13" s="121"/>
      <c r="X13" s="121" t="s">
        <v>108</v>
      </c>
      <c r="Y13" s="136">
        <v>1315</v>
      </c>
      <c r="Z13" s="121"/>
      <c r="AA13" s="121"/>
    </row>
    <row r="14" spans="1:28" ht="12" thickTop="1">
      <c r="D14" s="133"/>
      <c r="E14" s="121"/>
      <c r="F14" s="134"/>
      <c r="G14" s="121"/>
      <c r="H14" s="121"/>
      <c r="I14" s="121"/>
      <c r="J14" s="121"/>
      <c r="K14" s="121"/>
      <c r="L14" s="121"/>
      <c r="M14" s="121"/>
      <c r="N14" s="121"/>
      <c r="O14" s="121"/>
      <c r="P14" s="121"/>
      <c r="Q14" s="121"/>
      <c r="R14" s="121"/>
      <c r="S14" s="121"/>
      <c r="T14" s="133"/>
      <c r="U14" s="121"/>
      <c r="V14" s="134"/>
      <c r="W14" s="121"/>
      <c r="X14" s="121"/>
      <c r="Y14" s="121"/>
      <c r="Z14" s="121"/>
      <c r="AA14" s="121"/>
    </row>
    <row r="15" spans="1:28">
      <c r="B15" s="117" t="s">
        <v>874</v>
      </c>
      <c r="D15" s="133"/>
      <c r="E15" s="121"/>
      <c r="F15" s="134"/>
      <c r="G15" s="121"/>
      <c r="H15" s="121"/>
      <c r="I15" s="121"/>
      <c r="J15" s="121"/>
      <c r="K15" s="121"/>
      <c r="L15" s="121"/>
      <c r="M15" s="121"/>
      <c r="N15" s="121"/>
      <c r="O15" s="121"/>
      <c r="P15" s="121"/>
      <c r="Q15" s="121"/>
      <c r="R15" s="121"/>
      <c r="S15" s="121"/>
      <c r="T15" s="133"/>
      <c r="U15" s="121"/>
      <c r="V15" s="134"/>
      <c r="W15" s="121"/>
      <c r="X15" s="121"/>
      <c r="Y15" s="121"/>
      <c r="Z15" s="121"/>
      <c r="AA15" s="121"/>
    </row>
    <row r="16" spans="1:28">
      <c r="D16" s="133"/>
      <c r="E16" s="121"/>
      <c r="F16" s="134"/>
      <c r="G16" s="121"/>
      <c r="H16" s="121"/>
      <c r="I16" s="121"/>
      <c r="J16" s="121"/>
      <c r="K16" s="121"/>
      <c r="L16" s="121"/>
      <c r="M16" s="121"/>
      <c r="N16" s="121"/>
      <c r="O16" s="121"/>
      <c r="P16" s="121"/>
      <c r="Q16" s="121"/>
      <c r="R16" s="121"/>
      <c r="S16" s="121"/>
      <c r="T16" s="133"/>
      <c r="U16" s="121"/>
      <c r="V16" s="134"/>
      <c r="W16" s="121"/>
      <c r="X16" s="121"/>
      <c r="Y16" s="121"/>
      <c r="Z16" s="121"/>
      <c r="AA16" s="121"/>
    </row>
    <row r="17" spans="1:27">
      <c r="C17" s="135" t="s">
        <v>889</v>
      </c>
      <c r="D17" s="133" t="s">
        <v>108</v>
      </c>
      <c r="E17" s="121">
        <v>18382</v>
      </c>
      <c r="F17" s="134"/>
      <c r="G17" s="121"/>
      <c r="H17" s="121" t="s">
        <v>108</v>
      </c>
      <c r="I17" s="121">
        <v>18898</v>
      </c>
      <c r="J17" s="121"/>
      <c r="K17" s="121"/>
      <c r="L17" s="121" t="s">
        <v>108</v>
      </c>
      <c r="M17" s="121">
        <v>18617</v>
      </c>
      <c r="N17" s="121"/>
      <c r="O17" s="121"/>
      <c r="P17" s="121" t="s">
        <v>108</v>
      </c>
      <c r="Q17" s="121">
        <v>18887</v>
      </c>
      <c r="R17" s="121"/>
      <c r="S17" s="121"/>
      <c r="T17" s="133" t="s">
        <v>108</v>
      </c>
      <c r="U17" s="121">
        <v>17619</v>
      </c>
      <c r="V17" s="134"/>
      <c r="W17" s="121"/>
      <c r="X17" s="121" t="s">
        <v>108</v>
      </c>
      <c r="Y17" s="121">
        <v>17104</v>
      </c>
      <c r="Z17" s="121"/>
      <c r="AA17" s="121"/>
    </row>
    <row r="18" spans="1:27">
      <c r="C18" s="135" t="s">
        <v>890</v>
      </c>
      <c r="D18" s="133"/>
      <c r="E18" s="121">
        <v>19475</v>
      </c>
      <c r="F18" s="134"/>
      <c r="G18" s="121"/>
      <c r="H18" s="121"/>
      <c r="I18" s="121">
        <v>19182</v>
      </c>
      <c r="J18" s="121"/>
      <c r="K18" s="121"/>
      <c r="L18" s="121"/>
      <c r="M18" s="121">
        <v>18298</v>
      </c>
      <c r="N18" s="121"/>
      <c r="O18" s="121"/>
      <c r="P18" s="121"/>
      <c r="Q18" s="121">
        <v>17732</v>
      </c>
      <c r="R18" s="121"/>
      <c r="S18" s="121"/>
      <c r="T18" s="133"/>
      <c r="U18" s="121">
        <v>18382</v>
      </c>
      <c r="V18" s="134"/>
      <c r="W18" s="121"/>
      <c r="X18" s="121"/>
      <c r="Y18" s="121">
        <v>18898</v>
      </c>
      <c r="Z18" s="121"/>
      <c r="AA18" s="121"/>
    </row>
    <row r="19" spans="1:27">
      <c r="D19" s="133"/>
      <c r="E19" s="121"/>
      <c r="F19" s="134"/>
      <c r="G19" s="121"/>
      <c r="H19" s="121"/>
      <c r="I19" s="121"/>
      <c r="J19" s="121"/>
      <c r="K19" s="121"/>
      <c r="L19" s="121"/>
      <c r="M19" s="121"/>
      <c r="N19" s="121"/>
      <c r="O19" s="121"/>
      <c r="P19" s="121"/>
      <c r="Q19" s="121"/>
      <c r="R19" s="121"/>
      <c r="S19" s="121"/>
      <c r="T19" s="133"/>
      <c r="U19" s="121"/>
      <c r="V19" s="134"/>
      <c r="W19" s="121"/>
      <c r="X19" s="121"/>
      <c r="Y19" s="121"/>
      <c r="Z19" s="121"/>
      <c r="AA19" s="121"/>
    </row>
    <row r="20" spans="1:27" ht="15.9" customHeight="1" thickBot="1">
      <c r="C20" s="135" t="s">
        <v>891</v>
      </c>
      <c r="D20" s="133" t="s">
        <v>108</v>
      </c>
      <c r="E20" s="136">
        <v>18928.5</v>
      </c>
      <c r="F20" s="134"/>
      <c r="G20" s="121"/>
      <c r="H20" s="121" t="s">
        <v>108</v>
      </c>
      <c r="I20" s="136">
        <v>19040</v>
      </c>
      <c r="J20" s="121"/>
      <c r="K20" s="121"/>
      <c r="L20" s="121" t="s">
        <v>108</v>
      </c>
      <c r="M20" s="136">
        <v>18457.5</v>
      </c>
      <c r="N20" s="121"/>
      <c r="O20" s="121"/>
      <c r="P20" s="121" t="s">
        <v>108</v>
      </c>
      <c r="Q20" s="136">
        <v>18309.5</v>
      </c>
      <c r="R20" s="121"/>
      <c r="S20" s="121"/>
      <c r="T20" s="133" t="s">
        <v>108</v>
      </c>
      <c r="U20" s="136">
        <v>18000.5</v>
      </c>
      <c r="V20" s="134"/>
      <c r="W20" s="121"/>
      <c r="X20" s="121" t="s">
        <v>108</v>
      </c>
      <c r="Y20" s="136">
        <v>18001</v>
      </c>
      <c r="Z20" s="121"/>
      <c r="AA20" s="121"/>
    </row>
    <row r="21" spans="1:27" ht="12" thickTop="1">
      <c r="D21" s="133"/>
      <c r="E21" s="121"/>
      <c r="F21" s="134"/>
      <c r="G21" s="121"/>
      <c r="H21" s="121"/>
      <c r="I21" s="121"/>
      <c r="J21" s="121"/>
      <c r="K21" s="121"/>
      <c r="L21" s="121"/>
      <c r="M21" s="121"/>
      <c r="N21" s="121"/>
      <c r="O21" s="121"/>
      <c r="P21" s="121"/>
      <c r="Q21" s="121"/>
      <c r="R21" s="121"/>
      <c r="S21" s="121"/>
      <c r="T21" s="133"/>
      <c r="U21" s="121"/>
      <c r="V21" s="134"/>
      <c r="W21" s="121"/>
      <c r="X21" s="121"/>
      <c r="Y21" s="121"/>
      <c r="Z21" s="121"/>
      <c r="AA21" s="121"/>
    </row>
    <row r="22" spans="1:27" ht="12" thickBot="1">
      <c r="C22" s="124" t="s">
        <v>892</v>
      </c>
      <c r="D22" s="133"/>
      <c r="E22" s="138">
        <v>10.967588556937951</v>
      </c>
      <c r="F22" s="134" t="s">
        <v>893</v>
      </c>
      <c r="G22" s="121"/>
      <c r="H22" s="121"/>
      <c r="I22" s="138">
        <v>5.4044117647058822</v>
      </c>
      <c r="J22" s="121" t="s">
        <v>893</v>
      </c>
      <c r="K22" s="121"/>
      <c r="L22" s="121"/>
      <c r="M22" s="138">
        <v>4.2638493837193554</v>
      </c>
      <c r="N22" s="121" t="s">
        <v>893</v>
      </c>
      <c r="O22" s="121"/>
      <c r="P22" s="121"/>
      <c r="Q22" s="138">
        <v>2.0098855785248095</v>
      </c>
      <c r="R22" s="121" t="s">
        <v>893</v>
      </c>
      <c r="S22" s="121"/>
      <c r="T22" s="133"/>
      <c r="U22" s="138">
        <v>3.0776922863253802</v>
      </c>
      <c r="V22" s="134" t="s">
        <v>893</v>
      </c>
      <c r="W22" s="121"/>
      <c r="X22" s="121"/>
      <c r="Y22" s="138">
        <v>7.3051497139047834</v>
      </c>
      <c r="Z22" s="121" t="s">
        <v>893</v>
      </c>
      <c r="AA22" s="121"/>
    </row>
    <row r="23" spans="1:27" ht="12" thickTop="1">
      <c r="D23" s="133"/>
      <c r="E23" s="121"/>
      <c r="F23" s="134"/>
      <c r="G23" s="121"/>
      <c r="H23" s="121"/>
      <c r="I23" s="121"/>
      <c r="J23" s="121"/>
      <c r="K23" s="121"/>
      <c r="L23" s="121"/>
      <c r="M23" s="121"/>
      <c r="N23" s="121"/>
      <c r="O23" s="121"/>
      <c r="P23" s="121"/>
      <c r="Q23" s="121"/>
      <c r="R23" s="121"/>
      <c r="S23" s="121"/>
      <c r="T23" s="133"/>
      <c r="U23" s="121"/>
      <c r="V23" s="134"/>
      <c r="W23" s="121"/>
      <c r="X23" s="121"/>
      <c r="Y23" s="121"/>
      <c r="Z23" s="121"/>
      <c r="AA23" s="121"/>
    </row>
    <row r="24" spans="1:27">
      <c r="D24" s="133"/>
      <c r="E24" s="121"/>
      <c r="F24" s="134"/>
      <c r="G24" s="121"/>
      <c r="H24" s="121"/>
      <c r="I24" s="121"/>
      <c r="J24" s="121"/>
      <c r="K24" s="121"/>
      <c r="L24" s="121"/>
      <c r="M24" s="121"/>
      <c r="N24" s="121"/>
      <c r="O24" s="121"/>
      <c r="P24" s="121"/>
      <c r="Q24" s="121"/>
      <c r="R24" s="121"/>
      <c r="S24" s="121"/>
      <c r="T24" s="133"/>
      <c r="U24" s="121"/>
      <c r="V24" s="134"/>
      <c r="W24" s="121"/>
      <c r="X24" s="121"/>
      <c r="Y24" s="121"/>
      <c r="Z24" s="121"/>
      <c r="AA24" s="121"/>
    </row>
    <row r="25" spans="1:27">
      <c r="D25" s="133"/>
      <c r="E25" s="121"/>
      <c r="F25" s="134"/>
      <c r="G25" s="121"/>
      <c r="H25" s="121"/>
      <c r="I25" s="121"/>
      <c r="J25" s="121"/>
      <c r="K25" s="121"/>
      <c r="L25" s="121"/>
      <c r="M25" s="121"/>
      <c r="N25" s="121"/>
      <c r="O25" s="121"/>
      <c r="P25" s="121"/>
      <c r="Q25" s="121"/>
      <c r="R25" s="121"/>
      <c r="S25" s="121"/>
      <c r="T25" s="133"/>
      <c r="U25" s="121"/>
      <c r="V25" s="134"/>
      <c r="W25" s="121"/>
      <c r="X25" s="121"/>
      <c r="Y25" s="121"/>
      <c r="Z25" s="121"/>
      <c r="AA25" s="121"/>
    </row>
    <row r="26" spans="1:27" ht="12">
      <c r="A26" s="129" t="s">
        <v>894</v>
      </c>
      <c r="B26" s="130"/>
      <c r="C26" s="130"/>
      <c r="D26" s="131"/>
      <c r="E26" s="122"/>
      <c r="F26" s="132"/>
      <c r="G26" s="122"/>
      <c r="H26" s="122"/>
      <c r="I26" s="122"/>
      <c r="J26" s="122"/>
      <c r="K26" s="122"/>
      <c r="L26" s="122"/>
      <c r="M26" s="122"/>
      <c r="N26" s="122"/>
      <c r="O26" s="122"/>
      <c r="P26" s="122"/>
      <c r="Q26" s="122"/>
      <c r="R26" s="122"/>
      <c r="S26" s="122"/>
      <c r="T26" s="131"/>
      <c r="U26" s="122"/>
      <c r="V26" s="132"/>
      <c r="W26" s="122"/>
      <c r="X26" s="122"/>
      <c r="Y26" s="122"/>
      <c r="Z26" s="122"/>
      <c r="AA26" s="121"/>
    </row>
    <row r="27" spans="1:27">
      <c r="A27" s="130"/>
      <c r="B27" s="130"/>
      <c r="C27" s="130"/>
      <c r="D27" s="131"/>
      <c r="E27" s="122"/>
      <c r="F27" s="132"/>
      <c r="G27" s="122"/>
      <c r="H27" s="122"/>
      <c r="I27" s="122"/>
      <c r="J27" s="122"/>
      <c r="K27" s="122"/>
      <c r="L27" s="122"/>
      <c r="M27" s="122"/>
      <c r="N27" s="122"/>
      <c r="O27" s="122"/>
      <c r="P27" s="122"/>
      <c r="Q27" s="122"/>
      <c r="R27" s="122"/>
      <c r="S27" s="122"/>
      <c r="T27" s="131"/>
      <c r="U27" s="122"/>
      <c r="V27" s="132"/>
      <c r="W27" s="122"/>
      <c r="X27" s="122"/>
      <c r="Y27" s="122"/>
      <c r="Z27" s="122"/>
      <c r="AA27" s="121"/>
    </row>
    <row r="28" spans="1:27">
      <c r="B28" s="117" t="s">
        <v>872</v>
      </c>
      <c r="D28" s="133"/>
      <c r="E28" s="121"/>
      <c r="F28" s="134"/>
      <c r="G28" s="121"/>
      <c r="H28" s="121"/>
      <c r="I28" s="121"/>
      <c r="J28" s="121"/>
      <c r="K28" s="121"/>
      <c r="L28" s="121"/>
      <c r="M28" s="121"/>
      <c r="N28" s="121"/>
      <c r="O28" s="121"/>
      <c r="P28" s="121"/>
      <c r="Q28" s="121"/>
      <c r="R28" s="121"/>
      <c r="S28" s="121"/>
      <c r="T28" s="133"/>
      <c r="U28" s="121"/>
      <c r="V28" s="134"/>
      <c r="W28" s="121"/>
      <c r="X28" s="121"/>
      <c r="Y28" s="121"/>
      <c r="Z28" s="121"/>
      <c r="AA28" s="121"/>
    </row>
    <row r="29" spans="1:27" ht="15.9" customHeight="1" thickBot="1">
      <c r="C29" s="135" t="s">
        <v>895</v>
      </c>
      <c r="D29" s="133" t="s">
        <v>108</v>
      </c>
      <c r="E29" s="136">
        <v>1957</v>
      </c>
      <c r="F29" s="134"/>
      <c r="G29" s="121"/>
      <c r="H29" s="121" t="s">
        <v>108</v>
      </c>
      <c r="I29" s="136">
        <v>878</v>
      </c>
      <c r="J29" s="121"/>
      <c r="K29" s="121"/>
      <c r="L29" s="121" t="s">
        <v>108</v>
      </c>
      <c r="M29" s="136">
        <v>662</v>
      </c>
      <c r="N29" s="121"/>
      <c r="O29" s="121"/>
      <c r="P29" s="121" t="s">
        <v>108</v>
      </c>
      <c r="Q29" s="136">
        <v>189</v>
      </c>
      <c r="R29" s="121"/>
      <c r="S29" s="121"/>
      <c r="T29" s="133" t="s">
        <v>108</v>
      </c>
      <c r="U29" s="136">
        <v>555</v>
      </c>
      <c r="V29" s="134"/>
      <c r="W29" s="121"/>
      <c r="X29" s="121" t="s">
        <v>108</v>
      </c>
      <c r="Y29" s="136">
        <v>1632</v>
      </c>
      <c r="Z29" s="121"/>
      <c r="AA29" s="121"/>
    </row>
    <row r="30" spans="1:27" ht="12" thickTop="1">
      <c r="D30" s="133"/>
      <c r="E30" s="121"/>
      <c r="F30" s="134"/>
      <c r="G30" s="121"/>
      <c r="H30" s="121"/>
      <c r="I30" s="121"/>
      <c r="J30" s="121"/>
      <c r="K30" s="121"/>
      <c r="L30" s="121"/>
      <c r="M30" s="121"/>
      <c r="N30" s="121"/>
      <c r="O30" s="121"/>
      <c r="P30" s="121"/>
      <c r="Q30" s="121"/>
      <c r="R30" s="121"/>
      <c r="S30" s="121"/>
      <c r="T30" s="133"/>
      <c r="U30" s="121"/>
      <c r="V30" s="134"/>
      <c r="W30" s="121"/>
      <c r="X30" s="121"/>
      <c r="Y30" s="121"/>
      <c r="Z30" s="121"/>
      <c r="AA30" s="121"/>
    </row>
    <row r="31" spans="1:27">
      <c r="B31" s="117" t="s">
        <v>874</v>
      </c>
      <c r="D31" s="133"/>
      <c r="E31" s="121"/>
      <c r="F31" s="134"/>
      <c r="G31" s="121"/>
      <c r="H31" s="121"/>
      <c r="I31" s="121"/>
      <c r="J31" s="121"/>
      <c r="K31" s="121"/>
      <c r="L31" s="121"/>
      <c r="M31" s="121"/>
      <c r="N31" s="121"/>
      <c r="O31" s="121"/>
      <c r="P31" s="121"/>
      <c r="Q31" s="121"/>
      <c r="R31" s="121"/>
      <c r="S31" s="121"/>
      <c r="T31" s="133"/>
      <c r="U31" s="121"/>
      <c r="V31" s="134"/>
      <c r="W31" s="121"/>
      <c r="X31" s="121"/>
      <c r="Y31" s="121"/>
      <c r="Z31" s="121"/>
      <c r="AA31" s="121"/>
    </row>
    <row r="32" spans="1:27">
      <c r="D32" s="133"/>
      <c r="E32" s="121"/>
      <c r="F32" s="134"/>
      <c r="G32" s="121"/>
      <c r="H32" s="121"/>
      <c r="I32" s="121"/>
      <c r="J32" s="121"/>
      <c r="K32" s="121"/>
      <c r="L32" s="121"/>
      <c r="M32" s="121"/>
      <c r="N32" s="121"/>
      <c r="O32" s="121"/>
      <c r="P32" s="121"/>
      <c r="Q32" s="121"/>
      <c r="R32" s="121"/>
      <c r="S32" s="121"/>
      <c r="T32" s="133"/>
      <c r="U32" s="121"/>
      <c r="V32" s="134"/>
      <c r="W32" s="121"/>
      <c r="X32" s="121"/>
      <c r="Y32" s="121"/>
      <c r="Z32" s="121"/>
      <c r="AA32" s="121"/>
    </row>
    <row r="33" spans="1:27">
      <c r="C33" s="135" t="s">
        <v>889</v>
      </c>
      <c r="D33" s="133" t="s">
        <v>108</v>
      </c>
      <c r="E33" s="121">
        <v>18382</v>
      </c>
      <c r="F33" s="134"/>
      <c r="G33" s="121"/>
      <c r="H33" s="121" t="s">
        <v>108</v>
      </c>
      <c r="I33" s="121">
        <v>18898</v>
      </c>
      <c r="J33" s="121"/>
      <c r="K33" s="121"/>
      <c r="L33" s="121" t="s">
        <v>108</v>
      </c>
      <c r="M33" s="121">
        <v>18617</v>
      </c>
      <c r="N33" s="121"/>
      <c r="O33" s="121"/>
      <c r="P33" s="121" t="s">
        <v>108</v>
      </c>
      <c r="Q33" s="121">
        <v>18887</v>
      </c>
      <c r="R33" s="121"/>
      <c r="S33" s="121"/>
      <c r="T33" s="133" t="s">
        <v>108</v>
      </c>
      <c r="U33" s="121">
        <v>17619</v>
      </c>
      <c r="V33" s="134"/>
      <c r="W33" s="121"/>
      <c r="X33" s="121" t="s">
        <v>108</v>
      </c>
      <c r="Y33" s="121">
        <v>17104</v>
      </c>
      <c r="Z33" s="121"/>
      <c r="AA33" s="121"/>
    </row>
    <row r="34" spans="1:27">
      <c r="C34" s="135" t="s">
        <v>896</v>
      </c>
      <c r="D34" s="133"/>
      <c r="E34" s="141">
        <v>1475</v>
      </c>
      <c r="F34" s="134"/>
      <c r="G34" s="121"/>
      <c r="H34" s="121"/>
      <c r="I34" s="141">
        <v>1072</v>
      </c>
      <c r="J34" s="121"/>
      <c r="K34" s="121"/>
      <c r="L34" s="121"/>
      <c r="M34" s="141">
        <v>948</v>
      </c>
      <c r="N34" s="121"/>
      <c r="O34" s="121"/>
      <c r="P34" s="121"/>
      <c r="Q34" s="141">
        <v>1313</v>
      </c>
      <c r="R34" s="121"/>
      <c r="S34" s="121"/>
      <c r="T34" s="133"/>
      <c r="U34" s="141">
        <v>312</v>
      </c>
      <c r="V34" s="134"/>
      <c r="W34" s="121"/>
      <c r="X34" s="121"/>
      <c r="Y34" s="141">
        <v>-145</v>
      </c>
      <c r="Z34" s="121"/>
      <c r="AA34" s="121"/>
    </row>
    <row r="35" spans="1:27">
      <c r="C35" s="135" t="s">
        <v>897</v>
      </c>
      <c r="D35" s="133"/>
      <c r="E35" s="121">
        <v>16907</v>
      </c>
      <c r="F35" s="134"/>
      <c r="G35" s="121"/>
      <c r="H35" s="121"/>
      <c r="I35" s="121">
        <v>17826</v>
      </c>
      <c r="J35" s="121"/>
      <c r="K35" s="121"/>
      <c r="L35" s="121"/>
      <c r="M35" s="121">
        <v>17669</v>
      </c>
      <c r="N35" s="121"/>
      <c r="O35" s="121"/>
      <c r="P35" s="121"/>
      <c r="Q35" s="121">
        <v>17574</v>
      </c>
      <c r="R35" s="121"/>
      <c r="S35" s="121"/>
      <c r="T35" s="133"/>
      <c r="U35" s="121">
        <v>17307</v>
      </c>
      <c r="V35" s="134"/>
      <c r="W35" s="121"/>
      <c r="X35" s="121"/>
      <c r="Y35" s="121">
        <v>17249</v>
      </c>
      <c r="Z35" s="121"/>
      <c r="AA35" s="121"/>
    </row>
    <row r="36" spans="1:27">
      <c r="D36" s="133"/>
      <c r="E36" s="121"/>
      <c r="F36" s="134"/>
      <c r="G36" s="121"/>
      <c r="H36" s="121"/>
      <c r="I36" s="121"/>
      <c r="J36" s="121"/>
      <c r="K36" s="121"/>
      <c r="L36" s="121"/>
      <c r="M36" s="121"/>
      <c r="N36" s="121"/>
      <c r="O36" s="121"/>
      <c r="P36" s="121"/>
      <c r="Q36" s="121"/>
      <c r="R36" s="121"/>
      <c r="S36" s="121"/>
      <c r="T36" s="133"/>
      <c r="U36" s="121"/>
      <c r="V36" s="134"/>
      <c r="W36" s="121"/>
      <c r="X36" s="121"/>
      <c r="Y36" s="121"/>
      <c r="Z36" s="121"/>
      <c r="AA36" s="121"/>
    </row>
    <row r="37" spans="1:27">
      <c r="C37" s="135" t="s">
        <v>890</v>
      </c>
      <c r="D37" s="133"/>
      <c r="E37" s="121">
        <v>19475</v>
      </c>
      <c r="F37" s="134"/>
      <c r="G37" s="121"/>
      <c r="H37" s="121"/>
      <c r="I37" s="121">
        <v>19182</v>
      </c>
      <c r="J37" s="121"/>
      <c r="K37" s="121"/>
      <c r="L37" s="121"/>
      <c r="M37" s="121">
        <v>18298</v>
      </c>
      <c r="N37" s="121"/>
      <c r="O37" s="121"/>
      <c r="P37" s="121"/>
      <c r="Q37" s="121">
        <v>17732</v>
      </c>
      <c r="R37" s="121"/>
      <c r="S37" s="121"/>
      <c r="T37" s="133"/>
      <c r="U37" s="121">
        <v>18382</v>
      </c>
      <c r="V37" s="134"/>
      <c r="W37" s="121"/>
      <c r="X37" s="121"/>
      <c r="Y37" s="121">
        <v>18898</v>
      </c>
      <c r="Z37" s="121"/>
      <c r="AA37" s="121"/>
    </row>
    <row r="38" spans="1:27">
      <c r="C38" s="135" t="s">
        <v>896</v>
      </c>
      <c r="D38" s="133"/>
      <c r="E38" s="141">
        <v>2070</v>
      </c>
      <c r="F38" s="134"/>
      <c r="G38" s="121"/>
      <c r="H38" s="121"/>
      <c r="I38" s="141">
        <v>1874</v>
      </c>
      <c r="J38" s="121"/>
      <c r="K38" s="121"/>
      <c r="L38" s="121"/>
      <c r="M38" s="141">
        <v>1400</v>
      </c>
      <c r="N38" s="121"/>
      <c r="O38" s="121"/>
      <c r="P38" s="121"/>
      <c r="Q38" s="141">
        <v>1065</v>
      </c>
      <c r="R38" s="121"/>
      <c r="S38" s="121"/>
      <c r="T38" s="133"/>
      <c r="U38" s="141">
        <v>1475</v>
      </c>
      <c r="V38" s="134"/>
      <c r="W38" s="121"/>
      <c r="X38" s="121"/>
      <c r="Y38" s="141">
        <v>1072</v>
      </c>
      <c r="Z38" s="121"/>
      <c r="AA38" s="121"/>
    </row>
    <row r="39" spans="1:27">
      <c r="C39" s="135" t="s">
        <v>898</v>
      </c>
      <c r="D39" s="133"/>
      <c r="E39" s="121">
        <v>17405</v>
      </c>
      <c r="F39" s="134"/>
      <c r="G39" s="121"/>
      <c r="H39" s="121"/>
      <c r="I39" s="121">
        <v>17308</v>
      </c>
      <c r="J39" s="121"/>
      <c r="K39" s="121"/>
      <c r="L39" s="121"/>
      <c r="M39" s="121">
        <v>16898</v>
      </c>
      <c r="N39" s="121"/>
      <c r="O39" s="121"/>
      <c r="P39" s="121"/>
      <c r="Q39" s="121">
        <v>16667</v>
      </c>
      <c r="R39" s="121"/>
      <c r="S39" s="121"/>
      <c r="T39" s="133"/>
      <c r="U39" s="121">
        <v>16907</v>
      </c>
      <c r="V39" s="134"/>
      <c r="W39" s="121"/>
      <c r="X39" s="121"/>
      <c r="Y39" s="121">
        <v>17826</v>
      </c>
      <c r="Z39" s="121"/>
      <c r="AA39" s="121"/>
    </row>
    <row r="40" spans="1:27">
      <c r="D40" s="133"/>
      <c r="E40" s="121"/>
      <c r="F40" s="134"/>
      <c r="G40" s="121"/>
      <c r="H40" s="121"/>
      <c r="I40" s="121"/>
      <c r="J40" s="121"/>
      <c r="K40" s="121"/>
      <c r="L40" s="121"/>
      <c r="M40" s="121"/>
      <c r="N40" s="121"/>
      <c r="O40" s="121"/>
      <c r="P40" s="121"/>
      <c r="Q40" s="121"/>
      <c r="R40" s="121"/>
      <c r="S40" s="121"/>
      <c r="T40" s="133"/>
      <c r="U40" s="121"/>
      <c r="V40" s="134"/>
      <c r="W40" s="121"/>
      <c r="X40" s="121"/>
      <c r="Y40" s="121"/>
      <c r="Z40" s="121"/>
      <c r="AA40" s="121"/>
    </row>
    <row r="41" spans="1:27" ht="15.9" customHeight="1" thickBot="1">
      <c r="C41" s="135" t="s">
        <v>899</v>
      </c>
      <c r="D41" s="133" t="s">
        <v>108</v>
      </c>
      <c r="E41" s="136">
        <v>17156</v>
      </c>
      <c r="F41" s="134"/>
      <c r="G41" s="121"/>
      <c r="H41" s="121" t="s">
        <v>108</v>
      </c>
      <c r="I41" s="136">
        <v>17567</v>
      </c>
      <c r="J41" s="121"/>
      <c r="K41" s="121"/>
      <c r="L41" s="121" t="s">
        <v>108</v>
      </c>
      <c r="M41" s="136">
        <v>17283.5</v>
      </c>
      <c r="N41" s="121"/>
      <c r="O41" s="121"/>
      <c r="P41" s="121" t="s">
        <v>108</v>
      </c>
      <c r="Q41" s="136">
        <v>17120.5</v>
      </c>
      <c r="R41" s="121"/>
      <c r="S41" s="121"/>
      <c r="T41" s="133" t="s">
        <v>108</v>
      </c>
      <c r="U41" s="136">
        <v>17107</v>
      </c>
      <c r="V41" s="134"/>
      <c r="W41" s="121"/>
      <c r="X41" s="121" t="s">
        <v>108</v>
      </c>
      <c r="Y41" s="136">
        <v>17537.5</v>
      </c>
      <c r="Z41" s="121"/>
      <c r="AA41" s="121"/>
    </row>
    <row r="42" spans="1:27" ht="12" thickTop="1">
      <c r="D42" s="133"/>
      <c r="E42" s="121"/>
      <c r="F42" s="134"/>
      <c r="G42" s="121"/>
      <c r="H42" s="121"/>
      <c r="I42" s="121"/>
      <c r="J42" s="121"/>
      <c r="K42" s="121"/>
      <c r="L42" s="121"/>
      <c r="M42" s="121"/>
      <c r="N42" s="121"/>
      <c r="O42" s="121"/>
      <c r="P42" s="121"/>
      <c r="Q42" s="121"/>
      <c r="R42" s="121"/>
      <c r="S42" s="121"/>
      <c r="T42" s="133"/>
      <c r="U42" s="121"/>
      <c r="V42" s="134"/>
      <c r="W42" s="121"/>
      <c r="X42" s="121"/>
      <c r="Y42" s="121"/>
      <c r="Z42" s="121"/>
      <c r="AA42" s="121"/>
    </row>
    <row r="43" spans="1:27" ht="12" thickBot="1">
      <c r="C43" s="124" t="s">
        <v>900</v>
      </c>
      <c r="D43" s="133"/>
      <c r="E43" s="138">
        <v>11.40708789927722</v>
      </c>
      <c r="F43" s="134" t="s">
        <v>893</v>
      </c>
      <c r="G43" s="121"/>
      <c r="H43" s="121"/>
      <c r="I43" s="138">
        <v>4.9980076279387493</v>
      </c>
      <c r="J43" s="121" t="s">
        <v>893</v>
      </c>
      <c r="K43" s="121"/>
      <c r="L43" s="121"/>
      <c r="M43" s="138">
        <v>3.8302427170422657</v>
      </c>
      <c r="N43" s="121" t="s">
        <v>893</v>
      </c>
      <c r="O43" s="121"/>
      <c r="P43" s="121"/>
      <c r="Q43" s="138">
        <v>1.1039397213866418</v>
      </c>
      <c r="R43" s="121" t="s">
        <v>893</v>
      </c>
      <c r="S43" s="121"/>
      <c r="T43" s="133"/>
      <c r="U43" s="138">
        <v>3.2442859648097269</v>
      </c>
      <c r="V43" s="134" t="s">
        <v>893</v>
      </c>
      <c r="W43" s="121"/>
      <c r="X43" s="121"/>
      <c r="Y43" s="138">
        <v>9.3057733428367797</v>
      </c>
      <c r="Z43" s="121" t="s">
        <v>893</v>
      </c>
      <c r="AA43" s="121"/>
    </row>
    <row r="44" spans="1:27" ht="12.6" thickTop="1" thickBot="1">
      <c r="D44" s="144"/>
      <c r="E44" s="145"/>
      <c r="F44" s="146"/>
      <c r="G44" s="121"/>
      <c r="H44" s="121"/>
      <c r="I44" s="121"/>
      <c r="J44" s="121"/>
      <c r="K44" s="121"/>
      <c r="L44" s="121"/>
      <c r="M44" s="121"/>
      <c r="N44" s="121"/>
      <c r="O44" s="121"/>
      <c r="P44" s="121"/>
      <c r="Q44" s="121"/>
      <c r="R44" s="121"/>
      <c r="S44" s="121"/>
      <c r="T44" s="144"/>
      <c r="U44" s="145"/>
      <c r="V44" s="146"/>
      <c r="W44" s="121"/>
      <c r="X44" s="121"/>
      <c r="Y44" s="121"/>
      <c r="Z44" s="121"/>
      <c r="AA44" s="121"/>
    </row>
    <row r="45" spans="1:27">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row>
    <row r="46" spans="1:27" ht="13.2">
      <c r="A46" s="149" t="s">
        <v>770</v>
      </c>
      <c r="B46" s="150" t="s">
        <v>901</v>
      </c>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spans="1:27" ht="29.25" customHeight="1">
      <c r="A47" s="149" t="s">
        <v>772</v>
      </c>
      <c r="B47" s="980" t="s">
        <v>902</v>
      </c>
      <c r="C47" s="980"/>
      <c r="D47" s="980"/>
      <c r="E47" s="980"/>
      <c r="F47" s="980"/>
      <c r="G47" s="980"/>
      <c r="H47" s="980"/>
      <c r="I47" s="980"/>
      <c r="J47" s="980"/>
      <c r="K47" s="980"/>
      <c r="L47" s="980"/>
      <c r="M47" s="980"/>
      <c r="N47" s="980"/>
      <c r="O47" s="980"/>
      <c r="P47" s="980"/>
      <c r="Q47" s="980"/>
      <c r="R47" s="980"/>
      <c r="S47" s="980"/>
      <c r="T47" s="980"/>
      <c r="U47" s="980"/>
      <c r="V47" s="980"/>
      <c r="W47" s="980"/>
      <c r="X47" s="980"/>
      <c r="Y47" s="980"/>
      <c r="Z47" s="980"/>
    </row>
    <row r="48" spans="1:27">
      <c r="D48" s="151"/>
      <c r="E48" s="151"/>
      <c r="F48" s="151"/>
      <c r="G48" s="151"/>
    </row>
  </sheetData>
  <mergeCells count="5">
    <mergeCell ref="B47:Z47"/>
    <mergeCell ref="A1:Z1"/>
    <mergeCell ref="A2:Z2"/>
    <mergeCell ref="A3:Z3"/>
    <mergeCell ref="D5:Y5"/>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A46:A47" numberStoredAsText="1"/>
  </ignoredErrors>
</worksheet>
</file>

<file path=xl/worksheets/sheet9.xml><?xml version="1.0" encoding="utf-8"?>
<worksheet xmlns="http://schemas.openxmlformats.org/spreadsheetml/2006/main" xmlns:r="http://schemas.openxmlformats.org/officeDocument/2006/relationships">
  <dimension ref="A1:AA48"/>
  <sheetViews>
    <sheetView zoomScale="75" zoomScaleNormal="75" workbookViewId="0"/>
  </sheetViews>
  <sheetFormatPr defaultColWidth="9.109375" defaultRowHeight="11.4"/>
  <cols>
    <col min="1" max="1" width="2.44140625" style="143" customWidth="1"/>
    <col min="2" max="2" width="2.44140625" style="117" customWidth="1"/>
    <col min="3" max="3" width="35" style="117" customWidth="1"/>
    <col min="4" max="4" width="3.6640625" style="117" customWidth="1"/>
    <col min="5" max="5" width="8.44140625" style="117" customWidth="1"/>
    <col min="6" max="6" width="3.6640625" style="117" customWidth="1"/>
    <col min="7" max="7" width="2.44140625" style="117" customWidth="1"/>
    <col min="8" max="8" width="3.6640625" style="117" customWidth="1"/>
    <col min="9" max="9" width="8.44140625" style="117" customWidth="1"/>
    <col min="10" max="10" width="3.6640625" style="117" customWidth="1"/>
    <col min="11" max="11" width="2.44140625" style="117" customWidth="1"/>
    <col min="12" max="12" width="3.6640625" style="117" customWidth="1"/>
    <col min="13" max="13" width="8.44140625" style="117" customWidth="1"/>
    <col min="14" max="14" width="3.6640625" style="117" customWidth="1"/>
    <col min="15" max="15" width="2.44140625" style="117" customWidth="1"/>
    <col min="16" max="16" width="3.6640625" style="117" customWidth="1"/>
    <col min="17" max="17" width="8.44140625" style="117" customWidth="1"/>
    <col min="18" max="18" width="3.6640625" style="117" customWidth="1"/>
    <col min="19" max="19" width="2.44140625" style="117" customWidth="1"/>
    <col min="20" max="20" width="3.6640625" style="117" customWidth="1"/>
    <col min="21" max="21" width="8.44140625" style="117" customWidth="1"/>
    <col min="22" max="22" width="3.6640625" style="117" customWidth="1"/>
    <col min="23" max="23" width="2.44140625" style="117" customWidth="1"/>
    <col min="24" max="24" width="3.6640625" style="117" customWidth="1"/>
    <col min="25" max="25" width="8.44140625" style="117" customWidth="1"/>
    <col min="26" max="26" width="3.6640625" style="117" customWidth="1"/>
    <col min="27" max="16384" width="9.109375" style="117"/>
  </cols>
  <sheetData>
    <row r="1" spans="1:27" ht="13.2">
      <c r="A1" s="978" t="s">
        <v>96</v>
      </c>
      <c r="B1" s="978"/>
      <c r="C1" s="978"/>
      <c r="D1" s="978"/>
      <c r="E1" s="978"/>
      <c r="F1" s="978"/>
      <c r="G1" s="978"/>
      <c r="H1" s="978"/>
      <c r="I1" s="978"/>
      <c r="J1" s="978"/>
      <c r="K1" s="978"/>
      <c r="L1" s="978"/>
      <c r="M1" s="978"/>
      <c r="N1" s="978"/>
      <c r="O1" s="978"/>
      <c r="P1" s="978"/>
      <c r="Q1" s="978"/>
      <c r="R1" s="978"/>
      <c r="S1" s="978"/>
      <c r="T1" s="978"/>
      <c r="U1" s="978"/>
      <c r="V1" s="978"/>
      <c r="W1" s="978"/>
      <c r="X1" s="978"/>
      <c r="Y1" s="978"/>
      <c r="Z1" s="978"/>
    </row>
    <row r="2" spans="1:27" ht="13.2">
      <c r="A2" s="978" t="s">
        <v>903</v>
      </c>
      <c r="B2" s="978"/>
      <c r="C2" s="978"/>
      <c r="D2" s="978"/>
      <c r="E2" s="978"/>
      <c r="F2" s="978"/>
      <c r="G2" s="978"/>
      <c r="H2" s="978"/>
      <c r="I2" s="978"/>
      <c r="J2" s="978"/>
      <c r="K2" s="978"/>
      <c r="L2" s="978"/>
      <c r="M2" s="978"/>
      <c r="N2" s="978"/>
      <c r="O2" s="978"/>
      <c r="P2" s="978"/>
      <c r="Q2" s="978"/>
      <c r="R2" s="978"/>
      <c r="S2" s="978"/>
      <c r="T2" s="978"/>
      <c r="U2" s="978"/>
      <c r="V2" s="978"/>
      <c r="W2" s="978"/>
      <c r="X2" s="978"/>
      <c r="Y2" s="978"/>
      <c r="Z2" s="978"/>
    </row>
    <row r="3" spans="1:27">
      <c r="A3" s="979" t="s">
        <v>800</v>
      </c>
      <c r="B3" s="979"/>
      <c r="C3" s="979"/>
      <c r="D3" s="979"/>
      <c r="E3" s="979"/>
      <c r="F3" s="979"/>
      <c r="G3" s="979"/>
      <c r="H3" s="979"/>
      <c r="I3" s="979"/>
      <c r="J3" s="979"/>
      <c r="K3" s="979"/>
      <c r="L3" s="979"/>
      <c r="M3" s="979"/>
      <c r="N3" s="979"/>
      <c r="O3" s="979"/>
      <c r="P3" s="979"/>
      <c r="Q3" s="979"/>
      <c r="R3" s="979"/>
      <c r="S3" s="979"/>
      <c r="T3" s="979"/>
      <c r="U3" s="979"/>
      <c r="V3" s="979"/>
      <c r="W3" s="979"/>
      <c r="X3" s="979"/>
      <c r="Y3" s="979"/>
      <c r="Z3" s="979"/>
    </row>
    <row r="4" spans="1:27" ht="13.2">
      <c r="A4" s="152"/>
      <c r="B4" s="897"/>
      <c r="C4" s="897"/>
      <c r="D4" s="897"/>
      <c r="E4" s="897"/>
      <c r="F4" s="897"/>
      <c r="G4" s="897"/>
      <c r="H4" s="897"/>
      <c r="I4" s="897"/>
      <c r="J4" s="897"/>
      <c r="K4" s="897"/>
      <c r="L4" s="897"/>
      <c r="M4" s="897"/>
      <c r="N4" s="897"/>
      <c r="O4" s="897"/>
      <c r="P4" s="897"/>
      <c r="Q4" s="897"/>
      <c r="R4" s="897"/>
      <c r="S4" s="897"/>
      <c r="T4" s="897"/>
      <c r="U4" s="897"/>
      <c r="V4" s="897"/>
      <c r="W4" s="897"/>
      <c r="X4" s="897"/>
      <c r="Y4" s="897"/>
      <c r="Z4" s="897"/>
    </row>
    <row r="5" spans="1:27" ht="13.2">
      <c r="A5" s="152"/>
      <c r="B5" s="897"/>
      <c r="C5" s="897"/>
      <c r="D5" s="897"/>
      <c r="E5" s="897"/>
      <c r="F5" s="897"/>
      <c r="G5" s="897"/>
      <c r="H5" s="897"/>
      <c r="I5" s="897"/>
      <c r="J5" s="897"/>
      <c r="K5" s="897"/>
      <c r="L5" s="897"/>
      <c r="M5" s="897"/>
      <c r="N5" s="897"/>
      <c r="O5" s="897"/>
      <c r="P5" s="897"/>
      <c r="Q5" s="897"/>
      <c r="R5" s="897"/>
      <c r="S5" s="897"/>
      <c r="T5" s="897"/>
      <c r="U5" s="897"/>
      <c r="V5" s="897"/>
      <c r="W5" s="897"/>
      <c r="X5" s="897"/>
      <c r="Y5" s="897"/>
      <c r="Z5" s="897"/>
    </row>
    <row r="6" spans="1:27" ht="12.75" customHeight="1" thickBot="1">
      <c r="A6" s="153"/>
      <c r="B6" s="153"/>
      <c r="C6" s="153"/>
      <c r="D6" s="123"/>
      <c r="E6" s="123"/>
      <c r="F6" s="123"/>
      <c r="G6" s="123"/>
      <c r="H6" s="123"/>
      <c r="I6" s="123"/>
      <c r="J6" s="123"/>
      <c r="K6" s="123"/>
      <c r="L6" s="123"/>
      <c r="M6" s="123"/>
      <c r="N6" s="123"/>
      <c r="O6" s="123"/>
      <c r="P6" s="123"/>
      <c r="Q6" s="123"/>
      <c r="R6" s="123"/>
      <c r="S6" s="123"/>
      <c r="T6" s="123"/>
      <c r="U6" s="123"/>
      <c r="V6" s="123"/>
      <c r="W6" s="123"/>
      <c r="X6" s="123"/>
      <c r="Y6" s="123"/>
      <c r="Z6" s="123"/>
      <c r="AA6" s="121"/>
    </row>
    <row r="7" spans="1:27" ht="12.75" customHeight="1">
      <c r="A7" s="153"/>
      <c r="B7" s="153"/>
      <c r="C7" s="154"/>
      <c r="D7" s="118"/>
      <c r="E7" s="119" t="s">
        <v>104</v>
      </c>
      <c r="F7" s="120"/>
      <c r="G7" s="123"/>
      <c r="H7" s="121"/>
      <c r="I7" s="122" t="s">
        <v>105</v>
      </c>
      <c r="J7" s="123"/>
      <c r="K7" s="123"/>
      <c r="L7" s="121"/>
      <c r="M7" s="122" t="s">
        <v>102</v>
      </c>
      <c r="N7" s="123"/>
      <c r="O7" s="123"/>
      <c r="P7" s="121"/>
      <c r="Q7" s="122" t="s">
        <v>103</v>
      </c>
      <c r="R7" s="123"/>
      <c r="S7" s="123"/>
      <c r="T7" s="118"/>
      <c r="U7" s="119" t="s">
        <v>104</v>
      </c>
      <c r="V7" s="120"/>
      <c r="W7" s="123"/>
      <c r="X7" s="121"/>
      <c r="Y7" s="122" t="s">
        <v>105</v>
      </c>
      <c r="Z7" s="123"/>
      <c r="AA7" s="123"/>
    </row>
    <row r="8" spans="1:27" s="124" customFormat="1" ht="12.75" customHeight="1">
      <c r="A8" s="153"/>
      <c r="B8" s="153"/>
      <c r="C8" s="154"/>
      <c r="D8" s="125"/>
      <c r="E8" s="126">
        <v>2012</v>
      </c>
      <c r="F8" s="127"/>
      <c r="G8" s="128"/>
      <c r="H8" s="128"/>
      <c r="I8" s="126">
        <v>2012</v>
      </c>
      <c r="J8" s="128"/>
      <c r="K8" s="128"/>
      <c r="L8" s="128"/>
      <c r="M8" s="126">
        <v>2011</v>
      </c>
      <c r="N8" s="128"/>
      <c r="O8" s="128"/>
      <c r="P8" s="128"/>
      <c r="Q8" s="126">
        <v>2011</v>
      </c>
      <c r="R8" s="128"/>
      <c r="S8" s="128"/>
      <c r="T8" s="125"/>
      <c r="U8" s="126">
        <v>2011</v>
      </c>
      <c r="V8" s="127"/>
      <c r="W8" s="128"/>
      <c r="X8" s="128"/>
      <c r="Y8" s="126">
        <v>2011</v>
      </c>
      <c r="Z8" s="128"/>
      <c r="AA8" s="128"/>
    </row>
    <row r="9" spans="1:27" s="130" customFormat="1" ht="12.75" customHeight="1">
      <c r="A9" s="153"/>
      <c r="B9" s="153"/>
      <c r="C9" s="154"/>
      <c r="D9" s="131"/>
      <c r="E9" s="122"/>
      <c r="F9" s="132"/>
      <c r="G9" s="122"/>
      <c r="H9" s="122"/>
      <c r="I9" s="122"/>
      <c r="J9" s="122"/>
      <c r="K9" s="122"/>
      <c r="L9" s="122"/>
      <c r="M9" s="122"/>
      <c r="N9" s="122"/>
      <c r="O9" s="122"/>
      <c r="P9" s="122"/>
      <c r="Q9" s="122"/>
      <c r="R9" s="122"/>
      <c r="S9" s="122"/>
      <c r="T9" s="131"/>
      <c r="U9" s="122"/>
      <c r="V9" s="132"/>
      <c r="W9" s="122"/>
      <c r="X9" s="122"/>
      <c r="Y9" s="122"/>
      <c r="Z9" s="122"/>
      <c r="AA9" s="128"/>
    </row>
    <row r="10" spans="1:27" s="130" customFormat="1" ht="12.75" customHeight="1">
      <c r="A10" s="155" t="s">
        <v>904</v>
      </c>
      <c r="B10" s="153"/>
      <c r="C10" s="154"/>
      <c r="D10" s="131"/>
      <c r="E10" s="122"/>
      <c r="F10" s="132"/>
      <c r="G10" s="122"/>
      <c r="H10" s="122"/>
      <c r="I10" s="122"/>
      <c r="J10" s="122"/>
      <c r="K10" s="122"/>
      <c r="L10" s="122"/>
      <c r="M10" s="122"/>
      <c r="N10" s="122"/>
      <c r="O10" s="122"/>
      <c r="P10" s="122"/>
      <c r="Q10" s="122"/>
      <c r="R10" s="122"/>
      <c r="S10" s="122"/>
      <c r="T10" s="131"/>
      <c r="U10" s="122"/>
      <c r="V10" s="132"/>
      <c r="W10" s="122"/>
      <c r="X10" s="122"/>
      <c r="Y10" s="122"/>
      <c r="Z10" s="122"/>
      <c r="AA10" s="128"/>
    </row>
    <row r="11" spans="1:27" s="130" customFormat="1" ht="12.75" customHeight="1">
      <c r="A11" s="153"/>
      <c r="B11" s="153"/>
      <c r="C11" s="154"/>
      <c r="D11" s="131"/>
      <c r="E11" s="122"/>
      <c r="F11" s="132"/>
      <c r="G11" s="122"/>
      <c r="H11" s="122"/>
      <c r="I11" s="122"/>
      <c r="J11" s="122"/>
      <c r="K11" s="122"/>
      <c r="L11" s="122"/>
      <c r="M11" s="122"/>
      <c r="N11" s="122"/>
      <c r="O11" s="122"/>
      <c r="P11" s="122"/>
      <c r="Q11" s="122"/>
      <c r="R11" s="122"/>
      <c r="S11" s="122"/>
      <c r="T11" s="131"/>
      <c r="U11" s="122"/>
      <c r="V11" s="132"/>
      <c r="W11" s="122"/>
      <c r="X11" s="122"/>
      <c r="Y11" s="122"/>
      <c r="Z11" s="122"/>
      <c r="AA11" s="128"/>
    </row>
    <row r="12" spans="1:27" ht="12.75" customHeight="1" thickBot="1">
      <c r="A12" s="153"/>
      <c r="B12" s="153" t="s">
        <v>830</v>
      </c>
      <c r="C12" s="154"/>
      <c r="D12" s="133" t="s">
        <v>108</v>
      </c>
      <c r="E12" s="46">
        <v>6058</v>
      </c>
      <c r="F12" s="26"/>
      <c r="G12" s="27"/>
      <c r="H12" s="121" t="s">
        <v>108</v>
      </c>
      <c r="I12" s="46">
        <v>6058</v>
      </c>
      <c r="J12" s="27"/>
      <c r="K12" s="27"/>
      <c r="L12" s="121" t="s">
        <v>108</v>
      </c>
      <c r="M12" s="46">
        <v>5908</v>
      </c>
      <c r="N12" s="27"/>
      <c r="O12" s="27"/>
      <c r="P12" s="121" t="s">
        <v>108</v>
      </c>
      <c r="Q12" s="46">
        <v>5907</v>
      </c>
      <c r="R12" s="27"/>
      <c r="S12" s="27"/>
      <c r="T12" s="133" t="s">
        <v>108</v>
      </c>
      <c r="U12" s="46">
        <v>5907</v>
      </c>
      <c r="V12" s="26"/>
      <c r="W12" s="27"/>
      <c r="X12" s="121" t="s">
        <v>108</v>
      </c>
      <c r="Y12" s="46">
        <v>5908</v>
      </c>
      <c r="Z12" s="27"/>
      <c r="AA12" s="128"/>
    </row>
    <row r="13" spans="1:27" ht="12.75" customHeight="1" thickTop="1">
      <c r="A13" s="153"/>
      <c r="B13" s="153"/>
      <c r="C13" s="154"/>
      <c r="D13" s="133"/>
      <c r="E13" s="27"/>
      <c r="F13" s="26"/>
      <c r="G13" s="27"/>
      <c r="H13" s="121"/>
      <c r="I13" s="27"/>
      <c r="J13" s="27"/>
      <c r="K13" s="27"/>
      <c r="L13" s="121"/>
      <c r="M13" s="27"/>
      <c r="N13" s="27"/>
      <c r="O13" s="27"/>
      <c r="P13" s="121"/>
      <c r="Q13" s="27"/>
      <c r="R13" s="27"/>
      <c r="S13" s="27"/>
      <c r="T13" s="133"/>
      <c r="U13" s="27"/>
      <c r="V13" s="26"/>
      <c r="W13" s="27"/>
      <c r="X13" s="121"/>
      <c r="Y13" s="27"/>
      <c r="Z13" s="27"/>
      <c r="AA13" s="128"/>
    </row>
    <row r="14" spans="1:27" ht="12.75" customHeight="1">
      <c r="A14" s="155" t="s">
        <v>905</v>
      </c>
      <c r="B14" s="153"/>
      <c r="C14" s="154"/>
      <c r="D14" s="133"/>
      <c r="E14" s="27"/>
      <c r="F14" s="26"/>
      <c r="G14" s="27"/>
      <c r="H14" s="121"/>
      <c r="I14" s="27"/>
      <c r="J14" s="27"/>
      <c r="K14" s="27"/>
      <c r="L14" s="121"/>
      <c r="M14" s="27"/>
      <c r="N14" s="27"/>
      <c r="O14" s="27"/>
      <c r="P14" s="121"/>
      <c r="Q14" s="27"/>
      <c r="R14" s="27"/>
      <c r="S14" s="27"/>
      <c r="T14" s="133"/>
      <c r="U14" s="27"/>
      <c r="V14" s="26"/>
      <c r="W14" s="27"/>
      <c r="X14" s="121"/>
      <c r="Y14" s="27"/>
      <c r="Z14" s="27"/>
      <c r="AA14" s="128"/>
    </row>
    <row r="15" spans="1:27" ht="12.75" customHeight="1">
      <c r="A15" s="153"/>
      <c r="B15" s="153"/>
      <c r="C15" s="154"/>
      <c r="D15" s="133"/>
      <c r="E15" s="27"/>
      <c r="F15" s="26"/>
      <c r="G15" s="27"/>
      <c r="H15" s="121"/>
      <c r="I15" s="27"/>
      <c r="J15" s="27"/>
      <c r="K15" s="27"/>
      <c r="L15" s="121"/>
      <c r="M15" s="27"/>
      <c r="N15" s="27"/>
      <c r="O15" s="27"/>
      <c r="P15" s="121"/>
      <c r="Q15" s="27"/>
      <c r="R15" s="27"/>
      <c r="S15" s="27"/>
      <c r="T15" s="133"/>
      <c r="U15" s="27"/>
      <c r="V15" s="26"/>
      <c r="W15" s="27"/>
      <c r="X15" s="121"/>
      <c r="Y15" s="27"/>
      <c r="Z15" s="27"/>
      <c r="AA15" s="128"/>
    </row>
    <row r="16" spans="1:27" ht="12.75" customHeight="1">
      <c r="A16" s="153"/>
      <c r="B16" s="153" t="s">
        <v>904</v>
      </c>
      <c r="C16" s="154"/>
      <c r="D16" s="133" t="s">
        <v>108</v>
      </c>
      <c r="E16" s="27">
        <v>6058</v>
      </c>
      <c r="F16" s="26"/>
      <c r="G16" s="27"/>
      <c r="H16" s="121" t="s">
        <v>108</v>
      </c>
      <c r="I16" s="27">
        <v>6058</v>
      </c>
      <c r="J16" s="27"/>
      <c r="K16" s="27"/>
      <c r="L16" s="121" t="s">
        <v>108</v>
      </c>
      <c r="M16" s="27">
        <v>5908</v>
      </c>
      <c r="N16" s="27"/>
      <c r="O16" s="27"/>
      <c r="P16" s="121" t="s">
        <v>108</v>
      </c>
      <c r="Q16" s="27">
        <v>5907</v>
      </c>
      <c r="R16" s="27"/>
      <c r="S16" s="27"/>
      <c r="T16" s="133" t="s">
        <v>108</v>
      </c>
      <c r="U16" s="27">
        <v>5907</v>
      </c>
      <c r="V16" s="26"/>
      <c r="W16" s="27"/>
      <c r="X16" s="121" t="s">
        <v>108</v>
      </c>
      <c r="Y16" s="27">
        <v>5908</v>
      </c>
      <c r="Z16" s="27"/>
      <c r="AA16" s="128"/>
    </row>
    <row r="17" spans="1:27" ht="12.75" customHeight="1">
      <c r="A17" s="153"/>
      <c r="B17" s="153"/>
      <c r="C17" s="154"/>
      <c r="D17" s="133"/>
      <c r="E17" s="27"/>
      <c r="F17" s="26"/>
      <c r="G17" s="27"/>
      <c r="H17" s="121"/>
      <c r="I17" s="27"/>
      <c r="J17" s="27"/>
      <c r="K17" s="27"/>
      <c r="L17" s="121"/>
      <c r="M17" s="27"/>
      <c r="N17" s="27"/>
      <c r="O17" s="27"/>
      <c r="P17" s="121"/>
      <c r="Q17" s="27"/>
      <c r="R17" s="27"/>
      <c r="S17" s="27"/>
      <c r="T17" s="133"/>
      <c r="U17" s="27"/>
      <c r="V17" s="26"/>
      <c r="W17" s="27"/>
      <c r="X17" s="121"/>
      <c r="Y17" s="27"/>
      <c r="Z17" s="27"/>
      <c r="AA17" s="128"/>
    </row>
    <row r="18" spans="1:27" ht="12.75" customHeight="1">
      <c r="A18" s="153"/>
      <c r="B18" s="153" t="s">
        <v>873</v>
      </c>
      <c r="C18" s="154"/>
      <c r="D18" s="133"/>
      <c r="E18" s="27"/>
      <c r="F18" s="26"/>
      <c r="G18" s="27"/>
      <c r="H18" s="121"/>
      <c r="I18" s="27"/>
      <c r="J18" s="27"/>
      <c r="K18" s="27"/>
      <c r="L18" s="121"/>
      <c r="M18" s="27"/>
      <c r="N18" s="27"/>
      <c r="O18" s="27"/>
      <c r="P18" s="121"/>
      <c r="Q18" s="27"/>
      <c r="R18" s="27"/>
      <c r="S18" s="27"/>
      <c r="T18" s="133"/>
      <c r="U18" s="27"/>
      <c r="V18" s="26"/>
      <c r="W18" s="27"/>
      <c r="X18" s="121"/>
      <c r="Y18" s="27"/>
      <c r="Z18" s="27"/>
      <c r="AA18" s="128"/>
    </row>
    <row r="19" spans="1:27" ht="12.75" customHeight="1">
      <c r="A19" s="153"/>
      <c r="B19" s="153"/>
      <c r="C19" s="157" t="s">
        <v>906</v>
      </c>
      <c r="D19" s="133"/>
      <c r="E19" s="27">
        <v>9</v>
      </c>
      <c r="F19" s="26"/>
      <c r="G19" s="27"/>
      <c r="H19" s="121"/>
      <c r="I19" s="27">
        <v>9</v>
      </c>
      <c r="J19" s="27"/>
      <c r="K19" s="27"/>
      <c r="L19" s="121"/>
      <c r="M19" s="27">
        <v>9</v>
      </c>
      <c r="N19" s="27"/>
      <c r="O19" s="27"/>
      <c r="P19" s="121"/>
      <c r="Q19" s="27">
        <v>9</v>
      </c>
      <c r="R19" s="27"/>
      <c r="S19" s="27"/>
      <c r="T19" s="133"/>
      <c r="U19" s="27">
        <v>9</v>
      </c>
      <c r="V19" s="26"/>
      <c r="W19" s="27"/>
      <c r="X19" s="121"/>
      <c r="Y19" s="27">
        <v>9</v>
      </c>
      <c r="Z19" s="27"/>
      <c r="AA19" s="128"/>
    </row>
    <row r="20" spans="1:27" ht="12.75" customHeight="1">
      <c r="A20" s="153"/>
      <c r="B20" s="153"/>
      <c r="C20" s="157" t="s">
        <v>907</v>
      </c>
      <c r="D20" s="133"/>
      <c r="E20" s="27">
        <v>3154</v>
      </c>
      <c r="F20" s="26"/>
      <c r="G20" s="27"/>
      <c r="H20" s="121"/>
      <c r="I20" s="27">
        <v>3151</v>
      </c>
      <c r="J20" s="27"/>
      <c r="K20" s="27"/>
      <c r="L20" s="121"/>
      <c r="M20" s="27">
        <v>3189</v>
      </c>
      <c r="N20" s="27"/>
      <c r="O20" s="27"/>
      <c r="P20" s="121"/>
      <c r="Q20" s="27">
        <v>3177</v>
      </c>
      <c r="R20" s="27"/>
      <c r="S20" s="27"/>
      <c r="T20" s="133"/>
      <c r="U20" s="27">
        <v>3165</v>
      </c>
      <c r="V20" s="26"/>
      <c r="W20" s="27"/>
      <c r="X20" s="121"/>
      <c r="Y20" s="27">
        <v>3156</v>
      </c>
      <c r="Z20" s="27"/>
      <c r="AA20" s="128"/>
    </row>
    <row r="21" spans="1:27" ht="12.75" customHeight="1">
      <c r="A21" s="153"/>
      <c r="B21" s="153"/>
      <c r="C21" s="157" t="s">
        <v>908</v>
      </c>
      <c r="D21" s="133"/>
      <c r="E21" s="27">
        <v>32880</v>
      </c>
      <c r="F21" s="26"/>
      <c r="G21" s="27"/>
      <c r="H21" s="121"/>
      <c r="I21" s="27">
        <v>32565</v>
      </c>
      <c r="J21" s="27"/>
      <c r="K21" s="27"/>
      <c r="L21" s="121"/>
      <c r="M21" s="27">
        <v>31909</v>
      </c>
      <c r="N21" s="27"/>
      <c r="O21" s="27"/>
      <c r="P21" s="121"/>
      <c r="Q21" s="27">
        <v>31303</v>
      </c>
      <c r="R21" s="27"/>
      <c r="S21" s="27"/>
      <c r="T21" s="133"/>
      <c r="U21" s="27">
        <v>31237</v>
      </c>
      <c r="V21" s="26"/>
      <c r="W21" s="27"/>
      <c r="X21" s="121"/>
      <c r="Y21" s="27">
        <v>31971</v>
      </c>
      <c r="Z21" s="27"/>
      <c r="AA21" s="128"/>
    </row>
    <row r="22" spans="1:27" ht="12.75" customHeight="1">
      <c r="A22" s="153"/>
      <c r="B22" s="153"/>
      <c r="C22" s="157" t="s">
        <v>909</v>
      </c>
      <c r="D22" s="133"/>
      <c r="E22" s="27">
        <v>-41</v>
      </c>
      <c r="F22" s="26"/>
      <c r="G22" s="27"/>
      <c r="H22" s="121"/>
      <c r="I22" s="27">
        <v>-41</v>
      </c>
      <c r="J22" s="27"/>
      <c r="K22" s="27"/>
      <c r="L22" s="121"/>
      <c r="M22" s="27">
        <v>-43</v>
      </c>
      <c r="N22" s="27"/>
      <c r="O22" s="27"/>
      <c r="P22" s="121"/>
      <c r="Q22" s="27">
        <v>-43</v>
      </c>
      <c r="R22" s="27"/>
      <c r="S22" s="27"/>
      <c r="T22" s="133"/>
      <c r="U22" s="27">
        <v>-43</v>
      </c>
      <c r="V22" s="26"/>
      <c r="W22" s="27"/>
      <c r="X22" s="121"/>
      <c r="Y22" s="27">
        <v>-42</v>
      </c>
      <c r="Z22" s="27"/>
      <c r="AA22" s="128"/>
    </row>
    <row r="23" spans="1:27" ht="12.75" customHeight="1">
      <c r="A23" s="153"/>
      <c r="B23" s="153"/>
      <c r="C23" s="157" t="s">
        <v>910</v>
      </c>
      <c r="D23" s="131"/>
      <c r="E23" s="27">
        <v>-17272</v>
      </c>
      <c r="F23" s="158"/>
      <c r="G23" s="159"/>
      <c r="H23" s="122"/>
      <c r="I23" s="159">
        <v>-17034</v>
      </c>
      <c r="J23" s="159"/>
      <c r="K23" s="159"/>
      <c r="L23" s="122"/>
      <c r="M23" s="159">
        <v>-16795</v>
      </c>
      <c r="N23" s="159"/>
      <c r="O23" s="159"/>
      <c r="P23" s="122"/>
      <c r="Q23" s="159">
        <v>-16693</v>
      </c>
      <c r="R23" s="159"/>
      <c r="S23" s="159"/>
      <c r="T23" s="131"/>
      <c r="U23" s="27">
        <v>-16387</v>
      </c>
      <c r="V23" s="158"/>
      <c r="W23" s="159"/>
      <c r="X23" s="122"/>
      <c r="Y23" s="159">
        <v>-16173</v>
      </c>
      <c r="Z23" s="159"/>
      <c r="AA23" s="128"/>
    </row>
    <row r="24" spans="1:27" ht="12.75" customHeight="1">
      <c r="A24" s="153"/>
      <c r="B24" s="153"/>
      <c r="C24" s="157" t="s">
        <v>896</v>
      </c>
      <c r="D24" s="131"/>
      <c r="E24" s="27">
        <v>2070</v>
      </c>
      <c r="F24" s="158"/>
      <c r="G24" s="159"/>
      <c r="H24" s="122"/>
      <c r="I24" s="159">
        <v>1874</v>
      </c>
      <c r="J24" s="159"/>
      <c r="K24" s="159"/>
      <c r="L24" s="122"/>
      <c r="M24" s="159">
        <v>1400</v>
      </c>
      <c r="N24" s="159"/>
      <c r="O24" s="159"/>
      <c r="P24" s="122"/>
      <c r="Q24" s="159">
        <v>1065</v>
      </c>
      <c r="R24" s="159"/>
      <c r="S24" s="159"/>
      <c r="T24" s="131"/>
      <c r="U24" s="27">
        <v>1475</v>
      </c>
      <c r="V24" s="158"/>
      <c r="W24" s="159"/>
      <c r="X24" s="122"/>
      <c r="Y24" s="159">
        <v>1072</v>
      </c>
      <c r="Z24" s="159"/>
      <c r="AA24" s="128"/>
    </row>
    <row r="25" spans="1:27" ht="12.75" customHeight="1">
      <c r="A25" s="79"/>
      <c r="B25" s="79"/>
      <c r="C25" s="160" t="s">
        <v>911</v>
      </c>
      <c r="D25" s="131"/>
      <c r="E25" s="27"/>
      <c r="F25" s="158"/>
      <c r="G25" s="159"/>
      <c r="H25" s="122"/>
      <c r="I25" s="159"/>
      <c r="J25" s="159"/>
      <c r="K25" s="159"/>
      <c r="L25" s="122"/>
      <c r="M25" s="159"/>
      <c r="N25" s="159"/>
      <c r="O25" s="159"/>
      <c r="P25" s="122"/>
      <c r="Q25" s="159"/>
      <c r="R25" s="159"/>
      <c r="S25" s="159"/>
      <c r="T25" s="131"/>
      <c r="U25" s="27"/>
      <c r="V25" s="158"/>
      <c r="W25" s="159"/>
      <c r="X25" s="122"/>
      <c r="Y25" s="159"/>
      <c r="Z25" s="159"/>
      <c r="AA25" s="128"/>
    </row>
    <row r="26" spans="1:27" ht="12.75" customHeight="1">
      <c r="A26" s="79"/>
      <c r="B26" s="79"/>
      <c r="C26" s="161" t="s">
        <v>855</v>
      </c>
      <c r="D26" s="131"/>
      <c r="E26" s="27">
        <v>58</v>
      </c>
      <c r="F26" s="158"/>
      <c r="G26" s="159"/>
      <c r="H26" s="122"/>
      <c r="I26" s="159">
        <v>65</v>
      </c>
      <c r="J26" s="159"/>
      <c r="K26" s="159"/>
      <c r="L26" s="122"/>
      <c r="M26" s="159">
        <v>56</v>
      </c>
      <c r="N26" s="159"/>
      <c r="O26" s="159"/>
      <c r="P26" s="122"/>
      <c r="Q26" s="159">
        <v>49</v>
      </c>
      <c r="R26" s="159"/>
      <c r="S26" s="159"/>
      <c r="T26" s="131"/>
      <c r="U26" s="27">
        <v>82</v>
      </c>
      <c r="V26" s="158"/>
      <c r="W26" s="159"/>
      <c r="X26" s="122"/>
      <c r="Y26" s="159">
        <v>78</v>
      </c>
      <c r="Z26" s="159"/>
      <c r="AA26" s="128"/>
    </row>
    <row r="27" spans="1:27" ht="12.75" customHeight="1">
      <c r="A27" s="79"/>
      <c r="B27" s="162"/>
      <c r="C27" s="161" t="s">
        <v>857</v>
      </c>
      <c r="D27" s="131"/>
      <c r="E27" s="27"/>
      <c r="F27" s="134"/>
      <c r="G27" s="121"/>
      <c r="H27" s="122"/>
      <c r="I27" s="121"/>
      <c r="J27" s="121"/>
      <c r="K27" s="121"/>
      <c r="L27" s="122"/>
      <c r="M27" s="121"/>
      <c r="N27" s="121"/>
      <c r="O27" s="121"/>
      <c r="P27" s="122"/>
      <c r="Q27" s="121"/>
      <c r="R27" s="121"/>
      <c r="S27" s="121"/>
      <c r="T27" s="131"/>
      <c r="U27" s="27"/>
      <c r="V27" s="134"/>
      <c r="W27" s="121"/>
      <c r="X27" s="122"/>
      <c r="Y27" s="121"/>
      <c r="Z27" s="121"/>
      <c r="AA27" s="128"/>
    </row>
    <row r="28" spans="1:27" ht="12.75" customHeight="1">
      <c r="A28" s="79"/>
      <c r="B28" s="162"/>
      <c r="C28" s="161" t="s">
        <v>859</v>
      </c>
      <c r="D28" s="131"/>
      <c r="E28" s="30">
        <v>-1383</v>
      </c>
      <c r="F28" s="158"/>
      <c r="G28" s="159"/>
      <c r="H28" s="122"/>
      <c r="I28" s="163">
        <v>-1407</v>
      </c>
      <c r="J28" s="159"/>
      <c r="K28" s="159"/>
      <c r="L28" s="122"/>
      <c r="M28" s="163">
        <v>-1427</v>
      </c>
      <c r="N28" s="159"/>
      <c r="O28" s="159"/>
      <c r="P28" s="122"/>
      <c r="Q28" s="163">
        <v>-1135</v>
      </c>
      <c r="R28" s="159"/>
      <c r="S28" s="159"/>
      <c r="T28" s="131"/>
      <c r="U28" s="30">
        <v>-1156</v>
      </c>
      <c r="V28" s="158"/>
      <c r="W28" s="159"/>
      <c r="X28" s="122"/>
      <c r="Y28" s="163">
        <v>-1173</v>
      </c>
      <c r="Z28" s="159"/>
      <c r="AA28" s="128"/>
    </row>
    <row r="29" spans="1:27" ht="12.75" customHeight="1">
      <c r="A29" s="79"/>
      <c r="B29" s="162"/>
      <c r="C29" s="156" t="s">
        <v>912</v>
      </c>
      <c r="D29" s="131"/>
      <c r="E29" s="159">
        <v>19475</v>
      </c>
      <c r="F29" s="158"/>
      <c r="G29" s="159"/>
      <c r="H29" s="122"/>
      <c r="I29" s="159">
        <v>19182</v>
      </c>
      <c r="J29" s="159"/>
      <c r="K29" s="159"/>
      <c r="L29" s="122"/>
      <c r="M29" s="159">
        <v>18298</v>
      </c>
      <c r="N29" s="159"/>
      <c r="O29" s="159"/>
      <c r="P29" s="122"/>
      <c r="Q29" s="159">
        <v>17732</v>
      </c>
      <c r="R29" s="159"/>
      <c r="S29" s="159"/>
      <c r="T29" s="131"/>
      <c r="U29" s="159">
        <v>18382</v>
      </c>
      <c r="V29" s="158"/>
      <c r="W29" s="159"/>
      <c r="X29" s="122"/>
      <c r="Y29" s="159">
        <v>18898</v>
      </c>
      <c r="Z29" s="159"/>
      <c r="AA29" s="128"/>
    </row>
    <row r="30" spans="1:27" ht="12.75" customHeight="1">
      <c r="A30" s="79"/>
      <c r="B30" s="162"/>
      <c r="C30" s="164"/>
      <c r="D30" s="131"/>
      <c r="E30" s="159"/>
      <c r="F30" s="158"/>
      <c r="G30" s="159"/>
      <c r="H30" s="122"/>
      <c r="I30" s="159"/>
      <c r="J30" s="159"/>
      <c r="K30" s="159"/>
      <c r="L30" s="122"/>
      <c r="M30" s="159"/>
      <c r="N30" s="159"/>
      <c r="O30" s="159"/>
      <c r="P30" s="122"/>
      <c r="Q30" s="159"/>
      <c r="R30" s="159"/>
      <c r="S30" s="159"/>
      <c r="T30" s="131"/>
      <c r="U30" s="159"/>
      <c r="V30" s="158"/>
      <c r="W30" s="159"/>
      <c r="X30" s="122"/>
      <c r="Y30" s="159"/>
      <c r="Z30" s="159"/>
      <c r="AA30" s="128"/>
    </row>
    <row r="31" spans="1:27" ht="12.75" customHeight="1" thickBot="1">
      <c r="A31" s="79"/>
      <c r="B31" s="79"/>
      <c r="C31" s="165" t="s">
        <v>913</v>
      </c>
      <c r="D31" s="133" t="s">
        <v>108</v>
      </c>
      <c r="E31" s="46">
        <v>25533</v>
      </c>
      <c r="F31" s="26"/>
      <c r="G31" s="27"/>
      <c r="H31" s="121" t="s">
        <v>108</v>
      </c>
      <c r="I31" s="46">
        <v>25240</v>
      </c>
      <c r="J31" s="27"/>
      <c r="K31" s="27"/>
      <c r="L31" s="121" t="s">
        <v>108</v>
      </c>
      <c r="M31" s="46">
        <v>24206</v>
      </c>
      <c r="N31" s="27"/>
      <c r="O31" s="27"/>
      <c r="P31" s="121" t="s">
        <v>108</v>
      </c>
      <c r="Q31" s="46">
        <v>23639</v>
      </c>
      <c r="R31" s="27"/>
      <c r="S31" s="27"/>
      <c r="T31" s="133" t="s">
        <v>108</v>
      </c>
      <c r="U31" s="46">
        <v>24289</v>
      </c>
      <c r="V31" s="26"/>
      <c r="W31" s="27"/>
      <c r="X31" s="121" t="s">
        <v>108</v>
      </c>
      <c r="Y31" s="46">
        <v>24806</v>
      </c>
      <c r="Z31" s="27"/>
      <c r="AA31" s="128"/>
    </row>
    <row r="32" spans="1:27" ht="12.75" customHeight="1" thickTop="1">
      <c r="A32" s="79"/>
      <c r="B32" s="79"/>
      <c r="C32" s="80"/>
      <c r="D32" s="133"/>
      <c r="E32" s="121"/>
      <c r="F32" s="134"/>
      <c r="G32" s="121"/>
      <c r="H32" s="121"/>
      <c r="I32" s="121"/>
      <c r="J32" s="121"/>
      <c r="K32" s="121"/>
      <c r="L32" s="121"/>
      <c r="M32" s="121"/>
      <c r="N32" s="121"/>
      <c r="O32" s="121"/>
      <c r="P32" s="121"/>
      <c r="Q32" s="121"/>
      <c r="R32" s="121"/>
      <c r="S32" s="121"/>
      <c r="T32" s="133"/>
      <c r="U32" s="121"/>
      <c r="V32" s="134"/>
      <c r="W32" s="121"/>
      <c r="X32" s="121"/>
      <c r="Y32" s="121"/>
      <c r="Z32" s="121"/>
      <c r="AA32" s="128"/>
    </row>
    <row r="33" spans="1:27" ht="18.75" customHeight="1" thickBot="1">
      <c r="A33" s="166" t="s">
        <v>914</v>
      </c>
      <c r="C33" s="121"/>
      <c r="D33" s="133"/>
      <c r="E33" s="167">
        <v>31.106546854942234</v>
      </c>
      <c r="F33" s="168" t="s">
        <v>893</v>
      </c>
      <c r="G33" s="142"/>
      <c r="H33" s="121"/>
      <c r="I33" s="167">
        <v>31.581691168804088</v>
      </c>
      <c r="J33" s="142" t="s">
        <v>893</v>
      </c>
      <c r="K33" s="142"/>
      <c r="L33" s="121"/>
      <c r="M33" s="167">
        <v>32.287681713848507</v>
      </c>
      <c r="N33" s="142" t="s">
        <v>893</v>
      </c>
      <c r="O33" s="142"/>
      <c r="P33" s="121"/>
      <c r="Q33" s="167">
        <v>33.312655086848636</v>
      </c>
      <c r="R33" s="142" t="s">
        <v>893</v>
      </c>
      <c r="S33" s="142"/>
      <c r="T33" s="133"/>
      <c r="U33" s="167">
        <v>32.134696986182135</v>
      </c>
      <c r="V33" s="168" t="s">
        <v>893</v>
      </c>
      <c r="W33" s="142"/>
      <c r="X33" s="121"/>
      <c r="Y33" s="167">
        <v>31.262567467456876</v>
      </c>
      <c r="Z33" s="142" t="s">
        <v>893</v>
      </c>
      <c r="AA33" s="128"/>
    </row>
    <row r="34" spans="1:27" ht="16.2" thickTop="1">
      <c r="A34" s="169"/>
      <c r="C34" s="121"/>
      <c r="D34" s="133"/>
      <c r="E34" s="142"/>
      <c r="F34" s="168"/>
      <c r="G34" s="142"/>
      <c r="H34" s="121"/>
      <c r="I34" s="142"/>
      <c r="J34" s="142"/>
      <c r="K34" s="142"/>
      <c r="L34" s="121"/>
      <c r="M34" s="142"/>
      <c r="N34" s="142"/>
      <c r="O34" s="142"/>
      <c r="P34" s="121"/>
      <c r="Q34" s="142"/>
      <c r="R34" s="142"/>
      <c r="S34" s="142"/>
      <c r="T34" s="133"/>
      <c r="U34" s="142"/>
      <c r="V34" s="168"/>
      <c r="W34" s="142"/>
      <c r="X34" s="121"/>
      <c r="Y34" s="142"/>
      <c r="Z34" s="142"/>
      <c r="AA34" s="128"/>
    </row>
    <row r="35" spans="1:27" ht="19.5" customHeight="1" thickBot="1">
      <c r="A35" s="166" t="s">
        <v>915</v>
      </c>
      <c r="C35" s="121"/>
      <c r="D35" s="133"/>
      <c r="E35" s="167">
        <v>23.726158304938707</v>
      </c>
      <c r="F35" s="168" t="s">
        <v>893</v>
      </c>
      <c r="G35" s="142"/>
      <c r="H35" s="121"/>
      <c r="I35" s="167">
        <v>24.001584786053883</v>
      </c>
      <c r="J35" s="142" t="s">
        <v>893</v>
      </c>
      <c r="K35" s="142"/>
      <c r="L35" s="121"/>
      <c r="M35" s="167">
        <v>24.407171775592829</v>
      </c>
      <c r="N35" s="142" t="s">
        <v>893</v>
      </c>
      <c r="O35" s="142"/>
      <c r="P35" s="121"/>
      <c r="Q35" s="167">
        <v>24.988366682177755</v>
      </c>
      <c r="R35" s="142" t="s">
        <v>893</v>
      </c>
      <c r="S35" s="142"/>
      <c r="T35" s="133"/>
      <c r="U35" s="167">
        <v>24.319650870764544</v>
      </c>
      <c r="V35" s="168" t="s">
        <v>893</v>
      </c>
      <c r="W35" s="142"/>
      <c r="X35" s="121"/>
      <c r="Y35" s="167">
        <v>23.816818511650407</v>
      </c>
      <c r="Z35" s="142" t="s">
        <v>893</v>
      </c>
      <c r="AA35" s="128"/>
    </row>
    <row r="36" spans="1:27" ht="16.8" thickTop="1" thickBot="1">
      <c r="A36" s="170"/>
      <c r="C36" s="121"/>
      <c r="D36" s="144"/>
      <c r="E36" s="145"/>
      <c r="F36" s="146"/>
      <c r="G36" s="121"/>
      <c r="H36" s="121"/>
      <c r="I36" s="121"/>
      <c r="J36" s="121"/>
      <c r="K36" s="121"/>
      <c r="L36" s="121"/>
      <c r="M36" s="121"/>
      <c r="N36" s="121"/>
      <c r="O36" s="121"/>
      <c r="P36" s="121"/>
      <c r="Q36" s="121"/>
      <c r="R36" s="121"/>
      <c r="S36" s="121"/>
      <c r="T36" s="144"/>
      <c r="U36" s="145"/>
      <c r="V36" s="146"/>
      <c r="W36" s="121"/>
      <c r="X36" s="121"/>
      <c r="Y36" s="121"/>
      <c r="Z36" s="121"/>
      <c r="AA36" s="128"/>
    </row>
    <row r="37" spans="1:27" ht="15.6">
      <c r="A37" s="170"/>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8"/>
    </row>
    <row r="38" spans="1:27">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8"/>
    </row>
    <row r="39" spans="1:27">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8"/>
    </row>
    <row r="40" spans="1:27">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8"/>
    </row>
    <row r="41" spans="1:27">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8"/>
    </row>
    <row r="42" spans="1:27">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8"/>
    </row>
    <row r="43" spans="1:27">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8"/>
    </row>
    <row r="44" spans="1:27">
      <c r="D44" s="121"/>
      <c r="E44" s="121"/>
      <c r="F44" s="121"/>
      <c r="AA44" s="128"/>
    </row>
    <row r="45" spans="1:27">
      <c r="AA45" s="128"/>
    </row>
    <row r="46" spans="1:27">
      <c r="AA46" s="128"/>
    </row>
    <row r="47" spans="1:27">
      <c r="AA47" s="128"/>
    </row>
    <row r="48" spans="1:27">
      <c r="AA48" s="128"/>
    </row>
  </sheetData>
  <mergeCells count="3">
    <mergeCell ref="A1:Z1"/>
    <mergeCell ref="A2:Z2"/>
    <mergeCell ref="A3:Z3"/>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AD101"/>
  <sheetViews>
    <sheetView zoomScale="75" zoomScaleNormal="75" workbookViewId="0"/>
  </sheetViews>
  <sheetFormatPr defaultColWidth="9.109375" defaultRowHeight="11.4"/>
  <cols>
    <col min="1" max="1" width="4" style="117" customWidth="1"/>
    <col min="2" max="4" width="2.44140625" style="117" customWidth="1"/>
    <col min="5" max="5" width="43.5546875" style="121" customWidth="1"/>
    <col min="6" max="6" width="2.44140625" style="117" customWidth="1"/>
    <col min="7" max="7" width="8.44140625" style="117" customWidth="1"/>
    <col min="8" max="9" width="2.44140625" style="117" customWidth="1"/>
    <col min="10" max="10" width="8.44140625" style="117" customWidth="1"/>
    <col min="11" max="12" width="2.44140625" style="117" customWidth="1"/>
    <col min="13" max="13" width="8.44140625" style="117" customWidth="1"/>
    <col min="14" max="15" width="2.44140625" style="117" customWidth="1"/>
    <col min="16" max="16" width="8.44140625" style="117" customWidth="1"/>
    <col min="17" max="18" width="2.44140625" style="117" customWidth="1"/>
    <col min="19" max="19" width="8.44140625" style="117" customWidth="1"/>
    <col min="20" max="21" width="2.44140625" style="117" customWidth="1"/>
    <col min="22" max="22" width="8.44140625" style="117" customWidth="1"/>
    <col min="23" max="24" width="2.44140625" style="117" customWidth="1"/>
    <col min="25" max="25" width="8.44140625" style="117" customWidth="1"/>
    <col min="26" max="27" width="2.44140625" style="117" customWidth="1"/>
    <col min="28" max="28" width="8.44140625" style="117" customWidth="1"/>
    <col min="29" max="29" width="2.33203125" style="117" customWidth="1"/>
    <col min="30" max="30" width="8.44140625" style="117" customWidth="1"/>
    <col min="31" max="16384" width="9.109375" style="117"/>
  </cols>
  <sheetData>
    <row r="1" spans="1:30" s="171" customFormat="1" ht="13.2">
      <c r="A1" s="978" t="s">
        <v>96</v>
      </c>
      <c r="B1" s="978"/>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897"/>
      <c r="AD1" s="703"/>
    </row>
    <row r="2" spans="1:30" s="171" customFormat="1" ht="13.2">
      <c r="A2" s="978" t="s">
        <v>916</v>
      </c>
      <c r="B2" s="978"/>
      <c r="C2" s="978"/>
      <c r="D2" s="978"/>
      <c r="E2" s="978"/>
      <c r="F2" s="978"/>
      <c r="G2" s="978"/>
      <c r="H2" s="978"/>
      <c r="I2" s="978"/>
      <c r="J2" s="978"/>
      <c r="K2" s="978"/>
      <c r="L2" s="978"/>
      <c r="M2" s="978"/>
      <c r="N2" s="978"/>
      <c r="O2" s="978"/>
      <c r="P2" s="978"/>
      <c r="Q2" s="978"/>
      <c r="R2" s="978"/>
      <c r="S2" s="978"/>
      <c r="T2" s="978"/>
      <c r="U2" s="978"/>
      <c r="V2" s="978"/>
      <c r="W2" s="978"/>
      <c r="X2" s="978"/>
      <c r="Y2" s="978"/>
      <c r="Z2" s="978"/>
      <c r="AA2" s="978"/>
      <c r="AB2" s="978"/>
      <c r="AC2" s="897"/>
      <c r="AD2" s="703"/>
    </row>
    <row r="3" spans="1:30" s="171" customFormat="1" ht="13.2">
      <c r="A3" s="979" t="s">
        <v>800</v>
      </c>
      <c r="B3" s="979"/>
      <c r="C3" s="979"/>
      <c r="D3" s="979"/>
      <c r="E3" s="979"/>
      <c r="F3" s="979"/>
      <c r="G3" s="979"/>
      <c r="H3" s="979"/>
      <c r="I3" s="979"/>
      <c r="J3" s="979"/>
      <c r="K3" s="979"/>
      <c r="L3" s="979"/>
      <c r="M3" s="979"/>
      <c r="N3" s="979"/>
      <c r="O3" s="979"/>
      <c r="P3" s="979"/>
      <c r="Q3" s="979"/>
      <c r="R3" s="979"/>
      <c r="S3" s="979"/>
      <c r="T3" s="979"/>
      <c r="U3" s="979"/>
      <c r="V3" s="979"/>
      <c r="W3" s="979"/>
      <c r="X3" s="979"/>
      <c r="Y3" s="979"/>
      <c r="Z3" s="979"/>
      <c r="AA3" s="979"/>
      <c r="AB3" s="979"/>
      <c r="AC3" s="898"/>
      <c r="AD3" s="703"/>
    </row>
    <row r="4" spans="1:30" ht="12">
      <c r="A4" s="172"/>
      <c r="B4" s="172"/>
      <c r="C4" s="172"/>
      <c r="D4" s="172"/>
      <c r="E4" s="173"/>
      <c r="F4" s="172"/>
      <c r="G4" s="172"/>
      <c r="H4" s="172"/>
      <c r="I4" s="172"/>
      <c r="J4" s="172"/>
      <c r="K4" s="172"/>
      <c r="L4" s="172"/>
      <c r="M4" s="172"/>
      <c r="N4" s="172"/>
      <c r="O4" s="172"/>
      <c r="P4" s="172"/>
      <c r="Q4" s="172"/>
      <c r="R4" s="172"/>
      <c r="S4" s="172"/>
      <c r="T4" s="172"/>
      <c r="V4" s="6"/>
      <c r="W4" s="6"/>
      <c r="AD4" s="121"/>
    </row>
    <row r="5" spans="1:30" ht="12">
      <c r="A5" s="172"/>
      <c r="B5" s="172"/>
      <c r="C5" s="172"/>
      <c r="D5" s="172"/>
      <c r="E5" s="173"/>
      <c r="F5" s="975" t="s">
        <v>99</v>
      </c>
      <c r="G5" s="975"/>
      <c r="H5" s="975"/>
      <c r="I5" s="975"/>
      <c r="J5" s="975"/>
      <c r="K5" s="975"/>
      <c r="L5" s="975"/>
      <c r="M5" s="975"/>
      <c r="N5" s="975"/>
      <c r="O5" s="975"/>
      <c r="P5" s="975"/>
      <c r="Q5" s="975"/>
      <c r="R5" s="975"/>
      <c r="S5" s="975"/>
      <c r="T5" s="975"/>
      <c r="U5" s="975"/>
      <c r="V5" s="975"/>
      <c r="Y5" s="975" t="s">
        <v>100</v>
      </c>
      <c r="Z5" s="975"/>
      <c r="AA5" s="975"/>
      <c r="AB5" s="975"/>
      <c r="AC5" s="6"/>
      <c r="AD5" s="121"/>
    </row>
    <row r="6" spans="1:30" ht="12.6" thickBot="1">
      <c r="A6" s="172"/>
      <c r="B6" s="172"/>
      <c r="C6" s="172"/>
      <c r="D6" s="172"/>
      <c r="E6" s="173"/>
      <c r="F6" s="172"/>
      <c r="G6" s="172"/>
      <c r="H6" s="172"/>
      <c r="I6" s="172"/>
      <c r="J6" s="172"/>
      <c r="K6" s="172"/>
      <c r="L6" s="794"/>
      <c r="M6" s="794"/>
      <c r="N6" s="794"/>
      <c r="O6" s="172"/>
      <c r="P6" s="172"/>
      <c r="Q6" s="172"/>
      <c r="R6" s="172"/>
      <c r="S6" s="172"/>
      <c r="T6" s="172"/>
      <c r="V6" s="121"/>
      <c r="Y6" s="6"/>
      <c r="Z6" s="6"/>
      <c r="AB6" s="6"/>
      <c r="AC6" s="6"/>
      <c r="AD6" s="121"/>
    </row>
    <row r="7" spans="1:30" ht="12">
      <c r="A7" s="172"/>
      <c r="B7" s="172"/>
      <c r="C7" s="172"/>
      <c r="D7" s="172"/>
      <c r="E7" s="173"/>
      <c r="F7" s="118"/>
      <c r="G7" s="8" t="s">
        <v>104</v>
      </c>
      <c r="H7" s="174"/>
      <c r="I7" s="121"/>
      <c r="J7" s="6" t="s">
        <v>105</v>
      </c>
      <c r="K7" s="121"/>
      <c r="L7" s="121"/>
      <c r="M7" s="6" t="s">
        <v>102</v>
      </c>
      <c r="N7" s="121"/>
      <c r="O7" s="121"/>
      <c r="P7" s="6" t="s">
        <v>103</v>
      </c>
      <c r="Q7" s="121"/>
      <c r="R7" s="118"/>
      <c r="S7" s="8" t="s">
        <v>104</v>
      </c>
      <c r="T7" s="174"/>
      <c r="U7" s="121"/>
      <c r="V7" s="6" t="s">
        <v>105</v>
      </c>
      <c r="W7" s="121"/>
      <c r="Y7" s="10" t="s">
        <v>104</v>
      </c>
      <c r="Z7" s="10"/>
      <c r="AB7" s="10" t="s">
        <v>104</v>
      </c>
      <c r="AC7" s="10"/>
      <c r="AD7" s="121"/>
    </row>
    <row r="8" spans="1:30" ht="12">
      <c r="A8" s="172"/>
      <c r="B8" s="172"/>
      <c r="C8" s="172"/>
      <c r="D8" s="172"/>
      <c r="E8" s="173"/>
      <c r="F8" s="133"/>
      <c r="G8" s="13">
        <v>2012</v>
      </c>
      <c r="H8" s="134"/>
      <c r="I8" s="121"/>
      <c r="J8" s="13">
        <v>2012</v>
      </c>
      <c r="K8" s="121"/>
      <c r="L8" s="121"/>
      <c r="M8" s="13">
        <v>2011</v>
      </c>
      <c r="N8" s="121"/>
      <c r="O8" s="121"/>
      <c r="P8" s="13">
        <v>2011</v>
      </c>
      <c r="Q8" s="121"/>
      <c r="R8" s="133"/>
      <c r="S8" s="13">
        <v>2011</v>
      </c>
      <c r="T8" s="134"/>
      <c r="U8" s="121"/>
      <c r="V8" s="13">
        <v>2011</v>
      </c>
      <c r="W8" s="121"/>
      <c r="Y8" s="13">
        <v>2012</v>
      </c>
      <c r="Z8" s="6"/>
      <c r="AB8" s="13">
        <v>2011</v>
      </c>
      <c r="AC8" s="6"/>
    </row>
    <row r="9" spans="1:30">
      <c r="F9" s="133"/>
      <c r="G9" s="122"/>
      <c r="H9" s="134"/>
      <c r="I9" s="121"/>
      <c r="J9" s="16"/>
      <c r="K9" s="121"/>
      <c r="L9" s="121"/>
      <c r="M9" s="16"/>
      <c r="N9" s="121"/>
      <c r="O9" s="121"/>
      <c r="P9" s="16"/>
      <c r="Q9" s="121"/>
      <c r="R9" s="133"/>
      <c r="S9" s="122"/>
      <c r="T9" s="134"/>
      <c r="U9" s="121"/>
      <c r="V9" s="16"/>
      <c r="W9" s="121"/>
      <c r="Y9" s="16"/>
      <c r="Z9" s="16"/>
      <c r="AB9" s="16"/>
      <c r="AC9" s="16"/>
    </row>
    <row r="10" spans="1:30" ht="12">
      <c r="A10" s="140" t="s">
        <v>917</v>
      </c>
      <c r="F10" s="133"/>
      <c r="G10" s="121"/>
      <c r="H10" s="134"/>
      <c r="I10" s="121"/>
      <c r="J10" s="121"/>
      <c r="K10" s="121"/>
      <c r="L10" s="121"/>
      <c r="M10" s="121"/>
      <c r="N10" s="121"/>
      <c r="O10" s="121"/>
      <c r="P10" s="121"/>
      <c r="Q10" s="121"/>
      <c r="R10" s="133"/>
      <c r="S10" s="121"/>
      <c r="T10" s="134"/>
      <c r="U10" s="121"/>
      <c r="V10" s="121"/>
      <c r="W10" s="121"/>
    </row>
    <row r="11" spans="1:30">
      <c r="A11" s="143"/>
      <c r="B11" s="175" t="s">
        <v>791</v>
      </c>
      <c r="F11" s="133" t="s">
        <v>108</v>
      </c>
      <c r="G11" s="27">
        <v>423</v>
      </c>
      <c r="H11" s="134"/>
      <c r="I11" s="121" t="s">
        <v>108</v>
      </c>
      <c r="J11" s="176">
        <v>766</v>
      </c>
      <c r="K11" s="121"/>
      <c r="L11" s="121" t="s">
        <v>108</v>
      </c>
      <c r="M11" s="176">
        <v>712</v>
      </c>
      <c r="N11" s="121"/>
      <c r="O11" s="121" t="s">
        <v>108</v>
      </c>
      <c r="P11" s="27">
        <v>175</v>
      </c>
      <c r="Q11" s="121"/>
      <c r="R11" s="133" t="s">
        <v>108</v>
      </c>
      <c r="S11" s="27">
        <v>-624</v>
      </c>
      <c r="T11" s="134"/>
      <c r="U11" s="121" t="s">
        <v>108</v>
      </c>
      <c r="V11" s="176">
        <v>524</v>
      </c>
      <c r="W11" s="121"/>
      <c r="X11" s="117" t="s">
        <v>108</v>
      </c>
      <c r="Y11" s="27">
        <v>1189</v>
      </c>
      <c r="Z11" s="27"/>
      <c r="AA11" s="117" t="s">
        <v>108</v>
      </c>
      <c r="AB11" s="27">
        <v>-100</v>
      </c>
      <c r="AC11" s="27"/>
    </row>
    <row r="12" spans="1:30">
      <c r="A12" s="143"/>
      <c r="B12" s="175" t="s">
        <v>918</v>
      </c>
      <c r="F12" s="133"/>
      <c r="G12" s="27"/>
      <c r="H12" s="134"/>
      <c r="I12" s="121"/>
      <c r="J12" s="176"/>
      <c r="K12" s="121"/>
      <c r="L12" s="121"/>
      <c r="M12" s="176"/>
      <c r="N12" s="121"/>
      <c r="O12" s="121"/>
      <c r="P12" s="27"/>
      <c r="Q12" s="121"/>
      <c r="R12" s="133"/>
      <c r="S12" s="27"/>
      <c r="T12" s="134"/>
      <c r="U12" s="121"/>
      <c r="V12" s="176"/>
      <c r="W12" s="121"/>
      <c r="Y12" s="27"/>
      <c r="Z12" s="27"/>
      <c r="AB12" s="27"/>
      <c r="AC12" s="27"/>
    </row>
    <row r="13" spans="1:30">
      <c r="C13" s="143" t="s">
        <v>212</v>
      </c>
      <c r="D13" s="143"/>
      <c r="F13" s="133"/>
      <c r="G13" s="27"/>
      <c r="H13" s="134"/>
      <c r="I13" s="121"/>
      <c r="J13" s="176"/>
      <c r="K13" s="121"/>
      <c r="L13" s="121"/>
      <c r="M13" s="176"/>
      <c r="N13" s="121"/>
      <c r="O13" s="121"/>
      <c r="P13" s="27"/>
      <c r="Q13" s="121"/>
      <c r="R13" s="133"/>
      <c r="S13" s="27"/>
      <c r="T13" s="134"/>
      <c r="U13" s="121"/>
      <c r="V13" s="176"/>
      <c r="W13" s="121"/>
      <c r="Y13" s="27"/>
      <c r="Z13" s="27"/>
      <c r="AB13" s="27"/>
      <c r="AC13" s="27"/>
    </row>
    <row r="14" spans="1:30">
      <c r="D14" s="143" t="s">
        <v>213</v>
      </c>
      <c r="F14" s="133"/>
      <c r="G14" s="27"/>
      <c r="H14" s="134"/>
      <c r="I14" s="121"/>
      <c r="J14" s="176"/>
      <c r="K14" s="121"/>
      <c r="L14" s="121"/>
      <c r="M14" s="176"/>
      <c r="N14" s="121"/>
      <c r="O14" s="121"/>
      <c r="P14" s="27"/>
      <c r="Q14" s="121"/>
      <c r="R14" s="133"/>
      <c r="S14" s="27"/>
      <c r="T14" s="134"/>
      <c r="U14" s="121"/>
      <c r="V14" s="176"/>
      <c r="W14" s="121"/>
      <c r="Y14" s="27"/>
      <c r="Z14" s="27"/>
      <c r="AB14" s="27"/>
      <c r="AC14" s="27"/>
    </row>
    <row r="15" spans="1:30">
      <c r="D15" s="117" t="s">
        <v>214</v>
      </c>
      <c r="F15" s="133"/>
      <c r="G15" s="27">
        <v>105</v>
      </c>
      <c r="H15" s="134"/>
      <c r="I15" s="121"/>
      <c r="J15" s="176">
        <v>96</v>
      </c>
      <c r="K15" s="121"/>
      <c r="L15" s="121"/>
      <c r="M15" s="176">
        <v>103</v>
      </c>
      <c r="N15" s="121"/>
      <c r="O15" s="121"/>
      <c r="P15" s="27">
        <v>60</v>
      </c>
      <c r="Q15" s="121"/>
      <c r="R15" s="133"/>
      <c r="S15" s="27">
        <v>58</v>
      </c>
      <c r="T15" s="134"/>
      <c r="U15" s="121"/>
      <c r="V15" s="176">
        <v>31</v>
      </c>
      <c r="W15" s="121"/>
      <c r="Y15" s="27">
        <v>201</v>
      </c>
      <c r="Z15" s="27"/>
      <c r="AB15" s="27">
        <v>89</v>
      </c>
      <c r="AC15" s="27"/>
    </row>
    <row r="16" spans="1:30">
      <c r="D16" s="5" t="s">
        <v>804</v>
      </c>
      <c r="F16" s="133"/>
      <c r="G16" s="27">
        <v>-27</v>
      </c>
      <c r="H16" s="134"/>
      <c r="I16" s="121"/>
      <c r="J16" s="176">
        <v>-168</v>
      </c>
      <c r="K16" s="121"/>
      <c r="L16" s="121"/>
      <c r="M16" s="176">
        <v>-86</v>
      </c>
      <c r="N16" s="121"/>
      <c r="O16" s="121"/>
      <c r="P16" s="27">
        <v>-264</v>
      </c>
      <c r="Q16" s="121"/>
      <c r="R16" s="133"/>
      <c r="S16" s="27">
        <v>-57</v>
      </c>
      <c r="T16" s="134"/>
      <c r="U16" s="121"/>
      <c r="V16" s="176">
        <v>-96</v>
      </c>
      <c r="W16" s="121"/>
      <c r="Y16" s="27">
        <v>-195</v>
      </c>
      <c r="Z16" s="27"/>
      <c r="AB16" s="27">
        <v>-153</v>
      </c>
      <c r="AC16" s="27"/>
    </row>
    <row r="17" spans="1:29">
      <c r="D17" s="143" t="s">
        <v>215</v>
      </c>
      <c r="F17" s="22"/>
      <c r="G17" s="27">
        <v>-3</v>
      </c>
      <c r="H17" s="24"/>
      <c r="I17" s="23"/>
      <c r="J17" s="176">
        <v>-3</v>
      </c>
      <c r="K17" s="23"/>
      <c r="L17" s="23"/>
      <c r="M17" s="176">
        <v>-3</v>
      </c>
      <c r="N17" s="23"/>
      <c r="O17" s="23"/>
      <c r="P17" s="27">
        <v>-3</v>
      </c>
      <c r="Q17" s="23"/>
      <c r="R17" s="22"/>
      <c r="S17" s="27">
        <v>-7</v>
      </c>
      <c r="T17" s="24"/>
      <c r="U17" s="23"/>
      <c r="V17" s="176">
        <v>20</v>
      </c>
      <c r="W17" s="23"/>
      <c r="Y17" s="27">
        <v>-6</v>
      </c>
      <c r="Z17" s="27"/>
      <c r="AB17" s="27">
        <v>13</v>
      </c>
      <c r="AC17" s="27"/>
    </row>
    <row r="18" spans="1:29">
      <c r="D18" s="143" t="s">
        <v>752</v>
      </c>
      <c r="F18" s="133"/>
      <c r="G18" s="27">
        <v>366</v>
      </c>
      <c r="H18" s="134"/>
      <c r="I18" s="121"/>
      <c r="J18" s="176">
        <v>378</v>
      </c>
      <c r="K18" s="121"/>
      <c r="L18" s="121"/>
      <c r="M18" s="176">
        <v>405</v>
      </c>
      <c r="N18" s="121"/>
      <c r="O18" s="121"/>
      <c r="P18" s="27">
        <v>405</v>
      </c>
      <c r="Q18" s="121"/>
      <c r="R18" s="133"/>
      <c r="S18" s="27">
        <v>417</v>
      </c>
      <c r="T18" s="134"/>
      <c r="U18" s="121"/>
      <c r="V18" s="176">
        <v>418</v>
      </c>
      <c r="W18" s="121"/>
      <c r="Y18" s="27">
        <v>744</v>
      </c>
      <c r="Z18" s="27"/>
      <c r="AB18" s="27">
        <v>835</v>
      </c>
      <c r="AC18" s="27"/>
    </row>
    <row r="19" spans="1:29">
      <c r="D19" s="143" t="s">
        <v>216</v>
      </c>
      <c r="F19" s="133"/>
      <c r="G19" s="27"/>
      <c r="H19" s="134"/>
      <c r="I19" s="121"/>
      <c r="J19" s="176"/>
      <c r="K19" s="121"/>
      <c r="L19" s="121"/>
      <c r="M19" s="176"/>
      <c r="N19" s="121"/>
      <c r="O19" s="121"/>
      <c r="P19" s="27"/>
      <c r="Q19" s="121"/>
      <c r="R19" s="133"/>
      <c r="S19" s="27"/>
      <c r="T19" s="134"/>
      <c r="U19" s="121"/>
      <c r="V19" s="176"/>
      <c r="W19" s="121"/>
      <c r="Y19" s="27"/>
      <c r="Z19" s="27"/>
      <c r="AB19" s="27"/>
      <c r="AC19" s="27"/>
    </row>
    <row r="20" spans="1:29">
      <c r="E20" s="177" t="s">
        <v>217</v>
      </c>
      <c r="F20" s="133"/>
      <c r="G20" s="27">
        <v>-31</v>
      </c>
      <c r="H20" s="134"/>
      <c r="I20" s="121"/>
      <c r="J20" s="176">
        <v>-346</v>
      </c>
      <c r="K20" s="121"/>
      <c r="L20" s="121"/>
      <c r="M20" s="176">
        <v>-623</v>
      </c>
      <c r="N20" s="121"/>
      <c r="O20" s="121"/>
      <c r="P20" s="27">
        <v>-119</v>
      </c>
      <c r="Q20" s="121"/>
      <c r="R20" s="133"/>
      <c r="S20" s="27">
        <v>723</v>
      </c>
      <c r="T20" s="134"/>
      <c r="U20" s="121"/>
      <c r="V20" s="176">
        <v>-58</v>
      </c>
      <c r="W20" s="121"/>
      <c r="Y20" s="27">
        <v>-377</v>
      </c>
      <c r="Z20" s="27"/>
      <c r="AB20" s="27">
        <v>665</v>
      </c>
      <c r="AC20" s="27"/>
    </row>
    <row r="21" spans="1:29">
      <c r="E21" s="177" t="s">
        <v>826</v>
      </c>
      <c r="F21" s="133"/>
      <c r="G21" s="27">
        <v>207</v>
      </c>
      <c r="H21" s="134"/>
      <c r="I21" s="121"/>
      <c r="J21" s="176">
        <v>-180</v>
      </c>
      <c r="K21" s="121"/>
      <c r="L21" s="121"/>
      <c r="M21" s="176">
        <v>-183</v>
      </c>
      <c r="N21" s="121"/>
      <c r="O21" s="121"/>
      <c r="P21" s="27">
        <v>307</v>
      </c>
      <c r="Q21" s="121"/>
      <c r="R21" s="133"/>
      <c r="S21" s="27">
        <v>161</v>
      </c>
      <c r="T21" s="134"/>
      <c r="U21" s="121"/>
      <c r="V21" s="176">
        <v>-248</v>
      </c>
      <c r="W21" s="121"/>
      <c r="Y21" s="27">
        <v>27</v>
      </c>
      <c r="Z21" s="27"/>
      <c r="AB21" s="27">
        <v>-87</v>
      </c>
      <c r="AC21" s="27"/>
    </row>
    <row r="22" spans="1:29">
      <c r="E22" s="177" t="s">
        <v>850</v>
      </c>
      <c r="F22" s="133"/>
      <c r="G22" s="27">
        <v>-46</v>
      </c>
      <c r="H22" s="134"/>
      <c r="I22" s="121"/>
      <c r="J22" s="176">
        <v>52</v>
      </c>
      <c r="K22" s="121"/>
      <c r="L22" s="121"/>
      <c r="M22" s="176">
        <v>48</v>
      </c>
      <c r="N22" s="121"/>
      <c r="O22" s="121"/>
      <c r="P22" s="27">
        <v>69</v>
      </c>
      <c r="Q22" s="121"/>
      <c r="R22" s="133"/>
      <c r="S22" s="27">
        <v>-7</v>
      </c>
      <c r="T22" s="134"/>
      <c r="U22" s="121"/>
      <c r="V22" s="176">
        <v>67</v>
      </c>
      <c r="W22" s="121"/>
      <c r="Y22" s="27">
        <v>6</v>
      </c>
      <c r="Z22" s="27"/>
      <c r="AB22" s="27">
        <v>60</v>
      </c>
      <c r="AC22" s="27"/>
    </row>
    <row r="23" spans="1:29">
      <c r="E23" s="177" t="s">
        <v>848</v>
      </c>
      <c r="F23" s="133"/>
      <c r="G23" s="27">
        <v>-28</v>
      </c>
      <c r="H23" s="134"/>
      <c r="I23" s="121"/>
      <c r="J23" s="176">
        <v>19</v>
      </c>
      <c r="K23" s="121"/>
      <c r="L23" s="121"/>
      <c r="M23" s="176">
        <v>191</v>
      </c>
      <c r="N23" s="121"/>
      <c r="O23" s="121"/>
      <c r="P23" s="27">
        <v>-136</v>
      </c>
      <c r="Q23" s="121"/>
      <c r="R23" s="133"/>
      <c r="S23" s="27">
        <v>-25</v>
      </c>
      <c r="T23" s="134"/>
      <c r="U23" s="121"/>
      <c r="V23" s="176">
        <v>3</v>
      </c>
      <c r="W23" s="121"/>
      <c r="Y23" s="27">
        <v>-9</v>
      </c>
      <c r="Z23" s="27"/>
      <c r="AB23" s="27">
        <v>-22</v>
      </c>
      <c r="AC23" s="27"/>
    </row>
    <row r="24" spans="1:29">
      <c r="E24" s="177" t="s">
        <v>218</v>
      </c>
      <c r="F24" s="133"/>
      <c r="G24" s="27">
        <v>-30</v>
      </c>
      <c r="H24" s="134"/>
      <c r="I24" s="121"/>
      <c r="J24" s="176">
        <v>57</v>
      </c>
      <c r="K24" s="121"/>
      <c r="L24" s="121"/>
      <c r="M24" s="176">
        <v>-441</v>
      </c>
      <c r="N24" s="121"/>
      <c r="O24" s="121"/>
      <c r="P24" s="27">
        <v>-235</v>
      </c>
      <c r="Q24" s="121"/>
      <c r="R24" s="133"/>
      <c r="S24" s="27">
        <v>77</v>
      </c>
      <c r="T24" s="134"/>
      <c r="U24" s="121"/>
      <c r="V24" s="176">
        <v>-117</v>
      </c>
      <c r="W24" s="121"/>
      <c r="Y24" s="27">
        <v>27</v>
      </c>
      <c r="Z24" s="27"/>
      <c r="AB24" s="27">
        <v>-40</v>
      </c>
      <c r="AC24" s="27"/>
    </row>
    <row r="25" spans="1:29">
      <c r="E25" s="177" t="s">
        <v>219</v>
      </c>
      <c r="F25" s="133"/>
      <c r="G25" s="27">
        <v>8</v>
      </c>
      <c r="H25" s="134"/>
      <c r="I25" s="121"/>
      <c r="J25" s="176">
        <v>333</v>
      </c>
      <c r="K25" s="121"/>
      <c r="L25" s="121"/>
      <c r="M25" s="176">
        <v>316</v>
      </c>
      <c r="N25" s="121"/>
      <c r="O25" s="121"/>
      <c r="P25" s="27">
        <v>43</v>
      </c>
      <c r="Q25" s="121"/>
      <c r="R25" s="133"/>
      <c r="S25" s="27">
        <v>-429</v>
      </c>
      <c r="T25" s="134"/>
      <c r="U25" s="121"/>
      <c r="V25" s="176">
        <v>203</v>
      </c>
      <c r="W25" s="121"/>
      <c r="Y25" s="27">
        <v>341</v>
      </c>
      <c r="Z25" s="27"/>
      <c r="AB25" s="27">
        <v>-226</v>
      </c>
      <c r="AC25" s="27"/>
    </row>
    <row r="26" spans="1:29">
      <c r="E26" s="177" t="s">
        <v>220</v>
      </c>
      <c r="F26" s="133"/>
      <c r="G26" s="30">
        <v>23</v>
      </c>
      <c r="H26" s="134"/>
      <c r="I26" s="121"/>
      <c r="J26" s="176">
        <v>-197</v>
      </c>
      <c r="K26" s="121"/>
      <c r="L26" s="121"/>
      <c r="M26" s="176">
        <v>-181</v>
      </c>
      <c r="N26" s="121"/>
      <c r="O26" s="121"/>
      <c r="P26" s="27">
        <v>109</v>
      </c>
      <c r="Q26" s="121"/>
      <c r="R26" s="133"/>
      <c r="S26" s="30">
        <v>247</v>
      </c>
      <c r="T26" s="134"/>
      <c r="U26" s="121"/>
      <c r="V26" s="176">
        <v>-21</v>
      </c>
      <c r="W26" s="121"/>
      <c r="Y26" s="30">
        <v>-174</v>
      </c>
      <c r="Z26" s="27"/>
      <c r="AB26" s="30">
        <v>226</v>
      </c>
      <c r="AC26" s="27"/>
    </row>
    <row r="27" spans="1:29">
      <c r="E27" s="177" t="s">
        <v>221</v>
      </c>
      <c r="F27" s="133"/>
      <c r="G27" s="40">
        <v>967</v>
      </c>
      <c r="H27" s="134"/>
      <c r="I27" s="121"/>
      <c r="J27" s="245">
        <v>807</v>
      </c>
      <c r="K27" s="121"/>
      <c r="L27" s="121"/>
      <c r="M27" s="245">
        <v>258</v>
      </c>
      <c r="N27" s="121"/>
      <c r="O27" s="121"/>
      <c r="P27" s="40">
        <v>411</v>
      </c>
      <c r="Q27" s="121"/>
      <c r="R27" s="133"/>
      <c r="S27" s="40">
        <v>534</v>
      </c>
      <c r="T27" s="134"/>
      <c r="U27" s="121"/>
      <c r="V27" s="245">
        <v>726</v>
      </c>
      <c r="W27" s="121"/>
      <c r="Y27" s="40">
        <v>1774</v>
      </c>
      <c r="Z27" s="27"/>
      <c r="AB27" s="40">
        <v>1260</v>
      </c>
      <c r="AC27" s="27"/>
    </row>
    <row r="28" spans="1:29">
      <c r="E28" s="177"/>
      <c r="F28" s="133"/>
      <c r="G28" s="27"/>
      <c r="H28" s="134"/>
      <c r="I28" s="121"/>
      <c r="J28" s="27"/>
      <c r="K28" s="121"/>
      <c r="L28" s="121"/>
      <c r="M28" s="27"/>
      <c r="N28" s="121"/>
      <c r="O28" s="121"/>
      <c r="P28" s="27"/>
      <c r="Q28" s="121"/>
      <c r="R28" s="133"/>
      <c r="S28" s="27"/>
      <c r="T28" s="134"/>
      <c r="U28" s="121"/>
      <c r="V28" s="27"/>
      <c r="W28" s="121"/>
      <c r="Y28" s="27"/>
      <c r="Z28" s="27"/>
      <c r="AB28" s="27"/>
      <c r="AC28" s="27"/>
    </row>
    <row r="29" spans="1:29" ht="12">
      <c r="A29" s="140" t="s">
        <v>222</v>
      </c>
      <c r="F29" s="133"/>
      <c r="G29" s="27"/>
      <c r="H29" s="134"/>
      <c r="I29" s="121"/>
      <c r="J29" s="27"/>
      <c r="K29" s="121"/>
      <c r="L29" s="121"/>
      <c r="M29" s="27"/>
      <c r="N29" s="121"/>
      <c r="O29" s="121"/>
      <c r="P29" s="27"/>
      <c r="Q29" s="121"/>
      <c r="R29" s="133"/>
      <c r="S29" s="27"/>
      <c r="T29" s="134"/>
      <c r="U29" s="121"/>
      <c r="V29" s="27"/>
      <c r="W29" s="121"/>
      <c r="Y29" s="27"/>
      <c r="Z29" s="27"/>
      <c r="AB29" s="27"/>
      <c r="AC29" s="27"/>
    </row>
    <row r="30" spans="1:29">
      <c r="B30" s="175" t="s">
        <v>223</v>
      </c>
      <c r="F30" s="133"/>
      <c r="G30" s="27"/>
      <c r="H30" s="134"/>
      <c r="I30" s="121"/>
      <c r="J30" s="27"/>
      <c r="K30" s="121"/>
      <c r="L30" s="121"/>
      <c r="M30" s="27"/>
      <c r="N30" s="121"/>
      <c r="O30" s="121"/>
      <c r="P30" s="27"/>
      <c r="Q30" s="121"/>
      <c r="R30" s="133"/>
      <c r="S30" s="27"/>
      <c r="T30" s="134"/>
      <c r="U30" s="121"/>
      <c r="V30" s="27"/>
      <c r="W30" s="121"/>
      <c r="Y30" s="27"/>
      <c r="Z30" s="27"/>
      <c r="AB30" s="27"/>
      <c r="AC30" s="27"/>
    </row>
    <row r="31" spans="1:29" ht="13.2">
      <c r="B31" s="124"/>
      <c r="D31" s="178" t="s">
        <v>224</v>
      </c>
      <c r="F31" s="133"/>
      <c r="G31" s="27">
        <v>4229</v>
      </c>
      <c r="H31" s="134"/>
      <c r="I31" s="121"/>
      <c r="J31" s="176">
        <v>5689</v>
      </c>
      <c r="K31" s="121"/>
      <c r="L31" s="121"/>
      <c r="M31" s="176">
        <v>5520</v>
      </c>
      <c r="N31" s="121"/>
      <c r="O31" s="121"/>
      <c r="P31" s="27">
        <v>9776</v>
      </c>
      <c r="Q31" s="121"/>
      <c r="R31" s="133"/>
      <c r="S31" s="27">
        <v>5777</v>
      </c>
      <c r="T31" s="134"/>
      <c r="U31" s="121"/>
      <c r="V31" s="176">
        <v>8363</v>
      </c>
      <c r="W31" s="121"/>
      <c r="Y31" s="27">
        <v>9918</v>
      </c>
      <c r="Z31" s="27"/>
      <c r="AB31" s="27">
        <v>14140</v>
      </c>
      <c r="AC31" s="27"/>
    </row>
    <row r="32" spans="1:29" ht="13.2">
      <c r="B32" s="124"/>
      <c r="D32" s="178" t="s">
        <v>225</v>
      </c>
      <c r="F32" s="133"/>
      <c r="G32" s="27">
        <v>216</v>
      </c>
      <c r="H32" s="134"/>
      <c r="I32" s="121"/>
      <c r="J32" s="176">
        <v>1059</v>
      </c>
      <c r="K32" s="121"/>
      <c r="L32" s="121"/>
      <c r="M32" s="176">
        <v>896</v>
      </c>
      <c r="N32" s="121"/>
      <c r="O32" s="121"/>
      <c r="P32" s="27">
        <v>262</v>
      </c>
      <c r="Q32" s="121"/>
      <c r="R32" s="133"/>
      <c r="S32" s="27">
        <v>212</v>
      </c>
      <c r="T32" s="134"/>
      <c r="U32" s="121"/>
      <c r="V32" s="176">
        <v>642</v>
      </c>
      <c r="W32" s="121"/>
      <c r="Y32" s="27">
        <v>1275</v>
      </c>
      <c r="Z32" s="27"/>
      <c r="AB32" s="27">
        <v>854</v>
      </c>
      <c r="AC32" s="27"/>
    </row>
    <row r="33" spans="2:29" ht="13.2">
      <c r="B33" s="124"/>
      <c r="D33" s="178" t="s">
        <v>226</v>
      </c>
      <c r="F33" s="133"/>
      <c r="G33" s="27">
        <v>393</v>
      </c>
      <c r="H33" s="134"/>
      <c r="I33" s="121"/>
      <c r="J33" s="176">
        <v>403</v>
      </c>
      <c r="K33" s="121"/>
      <c r="L33" s="121"/>
      <c r="M33" s="176">
        <v>238</v>
      </c>
      <c r="N33" s="121"/>
      <c r="O33" s="121"/>
      <c r="P33" s="27">
        <v>427</v>
      </c>
      <c r="Q33" s="121"/>
      <c r="R33" s="133"/>
      <c r="S33" s="27">
        <v>222</v>
      </c>
      <c r="T33" s="134"/>
      <c r="U33" s="121"/>
      <c r="V33" s="176">
        <v>113</v>
      </c>
      <c r="W33" s="121"/>
      <c r="Y33" s="27">
        <v>796</v>
      </c>
      <c r="Z33" s="27"/>
      <c r="AB33" s="27">
        <v>335</v>
      </c>
      <c r="AC33" s="27"/>
    </row>
    <row r="34" spans="2:29">
      <c r="B34" s="124"/>
      <c r="D34" s="178" t="s">
        <v>829</v>
      </c>
      <c r="F34" s="133"/>
      <c r="G34" s="27">
        <v>5</v>
      </c>
      <c r="H34" s="134"/>
      <c r="I34" s="121"/>
      <c r="J34" s="176">
        <v>6</v>
      </c>
      <c r="K34" s="121"/>
      <c r="L34" s="121"/>
      <c r="M34" s="176">
        <v>23</v>
      </c>
      <c r="N34" s="121"/>
      <c r="O34" s="121"/>
      <c r="P34" s="27">
        <v>9</v>
      </c>
      <c r="Q34" s="121"/>
      <c r="R34" s="133"/>
      <c r="S34" s="27">
        <v>39</v>
      </c>
      <c r="T34" s="134"/>
      <c r="U34" s="121"/>
      <c r="V34" s="176">
        <v>26</v>
      </c>
      <c r="W34" s="121"/>
      <c r="Y34" s="27">
        <v>11</v>
      </c>
      <c r="Z34" s="27"/>
      <c r="AB34" s="27">
        <v>65</v>
      </c>
      <c r="AC34" s="27"/>
    </row>
    <row r="35" spans="2:29">
      <c r="B35" s="124"/>
      <c r="D35" s="178" t="s">
        <v>227</v>
      </c>
      <c r="F35" s="133"/>
      <c r="G35" s="27">
        <v>52</v>
      </c>
      <c r="H35" s="134"/>
      <c r="I35" s="121"/>
      <c r="J35" s="176">
        <v>36</v>
      </c>
      <c r="K35" s="121"/>
      <c r="L35" s="121"/>
      <c r="M35" s="176">
        <v>15</v>
      </c>
      <c r="N35" s="121"/>
      <c r="O35" s="121"/>
      <c r="P35" s="27">
        <v>40</v>
      </c>
      <c r="Q35" s="121"/>
      <c r="R35" s="133"/>
      <c r="S35" s="27">
        <v>46</v>
      </c>
      <c r="T35" s="134"/>
      <c r="U35" s="121"/>
      <c r="V35" s="176">
        <v>63</v>
      </c>
      <c r="W35" s="121"/>
      <c r="Y35" s="27">
        <v>88</v>
      </c>
      <c r="Z35" s="27"/>
      <c r="AB35" s="27">
        <v>109</v>
      </c>
      <c r="AC35" s="27"/>
    </row>
    <row r="36" spans="2:29">
      <c r="B36" s="175" t="s">
        <v>228</v>
      </c>
      <c r="F36" s="133"/>
      <c r="G36" s="27"/>
      <c r="H36" s="134"/>
      <c r="I36" s="121"/>
      <c r="J36" s="176"/>
      <c r="K36" s="121"/>
      <c r="L36" s="121"/>
      <c r="M36" s="176"/>
      <c r="N36" s="121"/>
      <c r="O36" s="121"/>
      <c r="P36" s="27"/>
      <c r="Q36" s="121"/>
      <c r="R36" s="133"/>
      <c r="S36" s="27"/>
      <c r="T36" s="134"/>
      <c r="U36" s="121"/>
      <c r="V36" s="176"/>
      <c r="W36" s="121"/>
      <c r="Y36" s="27"/>
      <c r="Z36" s="27"/>
      <c r="AB36" s="27"/>
      <c r="AC36" s="27"/>
    </row>
    <row r="37" spans="2:29" ht="13.2">
      <c r="B37" s="124"/>
      <c r="D37" s="178" t="s">
        <v>224</v>
      </c>
      <c r="F37" s="133"/>
      <c r="G37" s="27">
        <v>1175</v>
      </c>
      <c r="H37" s="134"/>
      <c r="I37" s="121"/>
      <c r="J37" s="176">
        <v>966</v>
      </c>
      <c r="K37" s="121"/>
      <c r="L37" s="121"/>
      <c r="M37" s="176">
        <v>1087</v>
      </c>
      <c r="N37" s="121"/>
      <c r="O37" s="121"/>
      <c r="P37" s="27">
        <v>1479</v>
      </c>
      <c r="Q37" s="121"/>
      <c r="R37" s="133"/>
      <c r="S37" s="27">
        <v>1184</v>
      </c>
      <c r="T37" s="134"/>
      <c r="U37" s="121"/>
      <c r="V37" s="176">
        <v>1201</v>
      </c>
      <c r="W37" s="121"/>
      <c r="Y37" s="27">
        <v>2141</v>
      </c>
      <c r="Z37" s="27"/>
      <c r="AB37" s="27">
        <v>2385</v>
      </c>
      <c r="AC37" s="27"/>
    </row>
    <row r="38" spans="2:29">
      <c r="B38" s="124"/>
      <c r="D38" s="178" t="s">
        <v>829</v>
      </c>
      <c r="F38" s="133"/>
      <c r="G38" s="27">
        <v>288</v>
      </c>
      <c r="H38" s="134"/>
      <c r="I38" s="121"/>
      <c r="J38" s="176">
        <v>170</v>
      </c>
      <c r="K38" s="121"/>
      <c r="L38" s="121"/>
      <c r="M38" s="176">
        <v>143</v>
      </c>
      <c r="N38" s="121"/>
      <c r="O38" s="121"/>
      <c r="P38" s="27">
        <v>183</v>
      </c>
      <c r="Q38" s="121"/>
      <c r="R38" s="133"/>
      <c r="S38" s="27">
        <v>220</v>
      </c>
      <c r="T38" s="134"/>
      <c r="U38" s="121"/>
      <c r="V38" s="176">
        <v>88</v>
      </c>
      <c r="W38" s="121"/>
      <c r="Y38" s="27">
        <v>458</v>
      </c>
      <c r="Z38" s="27"/>
      <c r="AB38" s="27">
        <v>308</v>
      </c>
      <c r="AC38" s="27"/>
    </row>
    <row r="39" spans="2:29">
      <c r="B39" s="124"/>
      <c r="D39" s="178" t="s">
        <v>227</v>
      </c>
      <c r="F39" s="133"/>
      <c r="G39" s="27">
        <v>16</v>
      </c>
      <c r="H39" s="134"/>
      <c r="I39" s="121"/>
      <c r="J39" s="176">
        <v>23</v>
      </c>
      <c r="K39" s="121"/>
      <c r="L39" s="121"/>
      <c r="M39" s="176">
        <v>18</v>
      </c>
      <c r="N39" s="121"/>
      <c r="O39" s="121"/>
      <c r="P39" s="27">
        <v>13</v>
      </c>
      <c r="Q39" s="121"/>
      <c r="R39" s="133"/>
      <c r="S39" s="27">
        <v>15</v>
      </c>
      <c r="T39" s="134"/>
      <c r="U39" s="121"/>
      <c r="V39" s="176">
        <v>77</v>
      </c>
      <c r="W39" s="121"/>
      <c r="Y39" s="27">
        <v>39</v>
      </c>
      <c r="Z39" s="27"/>
      <c r="AB39" s="27">
        <v>92</v>
      </c>
      <c r="AC39" s="27"/>
    </row>
    <row r="40" spans="2:29">
      <c r="B40" s="175" t="s">
        <v>229</v>
      </c>
      <c r="F40" s="133"/>
      <c r="G40" s="27"/>
      <c r="H40" s="134"/>
      <c r="I40" s="121"/>
      <c r="J40" s="176"/>
      <c r="K40" s="121"/>
      <c r="L40" s="121"/>
      <c r="M40" s="176"/>
      <c r="N40" s="121"/>
      <c r="O40" s="121"/>
      <c r="P40" s="27"/>
      <c r="Q40" s="121"/>
      <c r="R40" s="133"/>
      <c r="S40" s="27"/>
      <c r="T40" s="134"/>
      <c r="U40" s="121"/>
      <c r="V40" s="176"/>
      <c r="W40" s="121"/>
      <c r="Y40" s="27"/>
      <c r="Z40" s="27"/>
      <c r="AB40" s="27"/>
      <c r="AC40" s="27"/>
    </row>
    <row r="41" spans="2:29" ht="13.2">
      <c r="D41" s="178" t="s">
        <v>224</v>
      </c>
      <c r="F41" s="133"/>
      <c r="G41" s="27">
        <v>-5337</v>
      </c>
      <c r="H41" s="134"/>
      <c r="I41" s="121"/>
      <c r="J41" s="176">
        <v>-7008</v>
      </c>
      <c r="K41" s="121"/>
      <c r="L41" s="121"/>
      <c r="M41" s="176">
        <v>-5996</v>
      </c>
      <c r="N41" s="121"/>
      <c r="O41" s="121"/>
      <c r="P41" s="27">
        <v>-7966</v>
      </c>
      <c r="Q41" s="121"/>
      <c r="R41" s="133"/>
      <c r="S41" s="27">
        <v>-3727</v>
      </c>
      <c r="T41" s="134"/>
      <c r="U41" s="121"/>
      <c r="V41" s="176">
        <v>-10207</v>
      </c>
      <c r="W41" s="121"/>
      <c r="Y41" s="27">
        <v>-12345</v>
      </c>
      <c r="Z41" s="27"/>
      <c r="AB41" s="27">
        <v>-13934</v>
      </c>
      <c r="AC41" s="27"/>
    </row>
    <row r="42" spans="2:29" ht="13.2">
      <c r="D42" s="178" t="s">
        <v>230</v>
      </c>
      <c r="F42" s="133"/>
      <c r="G42" s="27">
        <v>-162</v>
      </c>
      <c r="H42" s="134"/>
      <c r="I42" s="121"/>
      <c r="J42" s="176">
        <v>-128</v>
      </c>
      <c r="K42" s="121"/>
      <c r="L42" s="121"/>
      <c r="M42" s="176">
        <v>-758</v>
      </c>
      <c r="N42" s="121"/>
      <c r="O42" s="121"/>
      <c r="P42" s="27">
        <v>-285</v>
      </c>
      <c r="Q42" s="121"/>
      <c r="R42" s="133"/>
      <c r="S42" s="27">
        <v>-637</v>
      </c>
      <c r="T42" s="134"/>
      <c r="U42" s="121"/>
      <c r="V42" s="176">
        <v>-144</v>
      </c>
      <c r="W42" s="121"/>
      <c r="Y42" s="27">
        <v>-290</v>
      </c>
      <c r="Z42" s="27"/>
      <c r="AB42" s="27">
        <v>-781</v>
      </c>
      <c r="AC42" s="27"/>
    </row>
    <row r="43" spans="2:29" ht="13.2">
      <c r="D43" s="178" t="s">
        <v>831</v>
      </c>
      <c r="F43" s="133"/>
      <c r="G43" s="27">
        <v>-346</v>
      </c>
      <c r="H43" s="134"/>
      <c r="I43" s="121"/>
      <c r="J43" s="176">
        <v>-318</v>
      </c>
      <c r="K43" s="121"/>
      <c r="L43" s="121"/>
      <c r="M43" s="176">
        <v>-537</v>
      </c>
      <c r="N43" s="121"/>
      <c r="O43" s="121"/>
      <c r="P43" s="27">
        <v>-394</v>
      </c>
      <c r="Q43" s="121"/>
      <c r="R43" s="133"/>
      <c r="S43" s="27">
        <v>-431</v>
      </c>
      <c r="T43" s="134"/>
      <c r="U43" s="121"/>
      <c r="V43" s="176">
        <v>-334</v>
      </c>
      <c r="W43" s="121"/>
      <c r="Y43" s="27">
        <v>-664</v>
      </c>
      <c r="Z43" s="27"/>
      <c r="AB43" s="27">
        <v>-765</v>
      </c>
      <c r="AC43" s="27"/>
    </row>
    <row r="44" spans="2:29">
      <c r="D44" s="178" t="s">
        <v>829</v>
      </c>
      <c r="F44" s="133"/>
      <c r="G44" s="27">
        <v>-51</v>
      </c>
      <c r="H44" s="134"/>
      <c r="I44" s="121"/>
      <c r="J44" s="176">
        <v>-216</v>
      </c>
      <c r="K44" s="121"/>
      <c r="L44" s="121"/>
      <c r="M44" s="176">
        <v>-345</v>
      </c>
      <c r="N44" s="121"/>
      <c r="O44" s="121"/>
      <c r="P44" s="27">
        <v>-360</v>
      </c>
      <c r="Q44" s="121"/>
      <c r="R44" s="133"/>
      <c r="S44" s="27">
        <v>-510</v>
      </c>
      <c r="T44" s="134"/>
      <c r="U44" s="121"/>
      <c r="V44" s="176">
        <v>-26</v>
      </c>
      <c r="W44" s="121"/>
      <c r="Y44" s="27">
        <v>-267</v>
      </c>
      <c r="Z44" s="27"/>
      <c r="AB44" s="27">
        <v>-536</v>
      </c>
      <c r="AC44" s="27"/>
    </row>
    <row r="45" spans="2:29">
      <c r="D45" s="178" t="s">
        <v>227</v>
      </c>
      <c r="F45" s="133"/>
      <c r="G45" s="27">
        <v>-80</v>
      </c>
      <c r="H45" s="134"/>
      <c r="I45" s="121"/>
      <c r="J45" s="176">
        <v>-163</v>
      </c>
      <c r="K45" s="121"/>
      <c r="L45" s="121"/>
      <c r="M45" s="176">
        <v>-5</v>
      </c>
      <c r="N45" s="121"/>
      <c r="O45" s="121"/>
      <c r="P45" s="27">
        <v>-53</v>
      </c>
      <c r="Q45" s="121"/>
      <c r="R45" s="133"/>
      <c r="S45" s="27">
        <v>-88</v>
      </c>
      <c r="T45" s="134"/>
      <c r="U45" s="121"/>
      <c r="V45" s="176">
        <v>-58</v>
      </c>
      <c r="W45" s="121"/>
      <c r="Y45" s="27">
        <v>-243</v>
      </c>
      <c r="Z45" s="27"/>
      <c r="AB45" s="27">
        <v>-146</v>
      </c>
      <c r="AC45" s="27"/>
    </row>
    <row r="46" spans="2:29">
      <c r="B46" s="178" t="s">
        <v>231</v>
      </c>
      <c r="F46" s="133"/>
      <c r="G46" s="27">
        <v>-13</v>
      </c>
      <c r="H46" s="134"/>
      <c r="I46" s="121"/>
      <c r="J46" s="176">
        <v>-379</v>
      </c>
      <c r="K46" s="121"/>
      <c r="L46" s="121"/>
      <c r="M46" s="176">
        <v>2118</v>
      </c>
      <c r="N46" s="121"/>
      <c r="O46" s="121"/>
      <c r="P46" s="27">
        <v>-1102</v>
      </c>
      <c r="Q46" s="121"/>
      <c r="R46" s="133"/>
      <c r="S46" s="27">
        <v>-483</v>
      </c>
      <c r="T46" s="134"/>
      <c r="U46" s="121"/>
      <c r="V46" s="176">
        <v>1649</v>
      </c>
      <c r="W46" s="121"/>
      <c r="Y46" s="27">
        <v>-392</v>
      </c>
      <c r="Z46" s="27"/>
      <c r="AB46" s="27">
        <v>1166</v>
      </c>
      <c r="AC46" s="27"/>
    </row>
    <row r="47" spans="2:29" ht="13.2">
      <c r="B47" s="178" t="s">
        <v>232</v>
      </c>
      <c r="F47" s="133"/>
      <c r="G47" s="27">
        <v>-48</v>
      </c>
      <c r="H47" s="134"/>
      <c r="I47" s="121"/>
      <c r="J47" s="176">
        <v>-9</v>
      </c>
      <c r="K47" s="121"/>
      <c r="L47" s="121"/>
      <c r="M47" s="176">
        <v>-58</v>
      </c>
      <c r="N47" s="121"/>
      <c r="O47" s="121"/>
      <c r="P47" s="27">
        <v>-187</v>
      </c>
      <c r="Q47" s="121"/>
      <c r="R47" s="133"/>
      <c r="S47" s="27">
        <v>-51</v>
      </c>
      <c r="T47" s="134"/>
      <c r="U47" s="121"/>
      <c r="V47" s="176">
        <v>-119</v>
      </c>
      <c r="W47" s="121"/>
      <c r="Y47" s="27">
        <v>-57</v>
      </c>
      <c r="Z47" s="27"/>
      <c r="AB47" s="27">
        <v>-170</v>
      </c>
      <c r="AC47" s="27"/>
    </row>
    <row r="48" spans="2:29">
      <c r="B48" s="178" t="s">
        <v>742</v>
      </c>
      <c r="F48" s="133"/>
      <c r="G48" s="27">
        <v>1</v>
      </c>
      <c r="H48" s="134"/>
      <c r="I48" s="121"/>
      <c r="J48" s="176">
        <v>-1</v>
      </c>
      <c r="K48" s="121"/>
      <c r="L48" s="121"/>
      <c r="M48" s="176">
        <v>-917</v>
      </c>
      <c r="N48" s="121"/>
      <c r="O48" s="121"/>
      <c r="P48" s="27">
        <v>2</v>
      </c>
      <c r="Q48" s="121"/>
      <c r="R48" s="133"/>
      <c r="S48" s="27">
        <v>0</v>
      </c>
      <c r="T48" s="134"/>
      <c r="U48" s="121"/>
      <c r="V48" s="176">
        <v>-1</v>
      </c>
      <c r="W48" s="121"/>
      <c r="Y48" s="27">
        <v>0</v>
      </c>
      <c r="Z48" s="27"/>
      <c r="AB48" s="27">
        <v>-1</v>
      </c>
      <c r="AC48" s="27"/>
    </row>
    <row r="49" spans="1:29">
      <c r="B49" s="178" t="s">
        <v>233</v>
      </c>
      <c r="F49" s="133"/>
      <c r="G49" s="27">
        <v>-65</v>
      </c>
      <c r="H49" s="134"/>
      <c r="I49" s="121"/>
      <c r="J49" s="176">
        <v>-51</v>
      </c>
      <c r="K49" s="121"/>
      <c r="L49" s="121"/>
      <c r="M49" s="176">
        <v>-86</v>
      </c>
      <c r="N49" s="121"/>
      <c r="O49" s="121"/>
      <c r="P49" s="27">
        <v>-54</v>
      </c>
      <c r="Q49" s="121"/>
      <c r="R49" s="133"/>
      <c r="S49" s="27">
        <v>-58</v>
      </c>
      <c r="T49" s="134"/>
      <c r="U49" s="121"/>
      <c r="V49" s="176">
        <v>-48</v>
      </c>
      <c r="W49" s="121"/>
      <c r="Y49" s="27">
        <v>-116</v>
      </c>
      <c r="Z49" s="27"/>
      <c r="AB49" s="27">
        <v>-106</v>
      </c>
      <c r="AC49" s="27"/>
    </row>
    <row r="50" spans="1:29">
      <c r="C50" s="143"/>
      <c r="E50" s="121" t="s">
        <v>40</v>
      </c>
      <c r="F50" s="133"/>
      <c r="G50" s="40">
        <v>273</v>
      </c>
      <c r="H50" s="134"/>
      <c r="I50" s="121"/>
      <c r="J50" s="245">
        <v>79</v>
      </c>
      <c r="K50" s="121"/>
      <c r="L50" s="121"/>
      <c r="M50" s="245">
        <v>1356</v>
      </c>
      <c r="N50" s="121"/>
      <c r="O50" s="121"/>
      <c r="P50" s="40">
        <v>1790</v>
      </c>
      <c r="Q50" s="121"/>
      <c r="R50" s="133"/>
      <c r="S50" s="40">
        <v>1730</v>
      </c>
      <c r="T50" s="134"/>
      <c r="U50" s="121"/>
      <c r="V50" s="245">
        <v>1285</v>
      </c>
      <c r="W50" s="121"/>
      <c r="Y50" s="40">
        <v>352</v>
      </c>
      <c r="Z50" s="27"/>
      <c r="AB50" s="40">
        <v>3015</v>
      </c>
      <c r="AC50" s="27"/>
    </row>
    <row r="51" spans="1:29">
      <c r="C51" s="143"/>
      <c r="F51" s="133"/>
      <c r="G51" s="27"/>
      <c r="H51" s="134"/>
      <c r="I51" s="121"/>
      <c r="J51" s="27"/>
      <c r="K51" s="121"/>
      <c r="L51" s="121"/>
      <c r="M51" s="27"/>
      <c r="N51" s="121"/>
      <c r="O51" s="121"/>
      <c r="P51" s="27"/>
      <c r="Q51" s="121"/>
      <c r="R51" s="133"/>
      <c r="S51" s="27"/>
      <c r="T51" s="134"/>
      <c r="U51" s="121"/>
      <c r="V51" s="27"/>
      <c r="W51" s="121"/>
      <c r="Y51" s="27"/>
      <c r="Z51" s="27"/>
      <c r="AB51" s="27"/>
      <c r="AC51" s="27"/>
    </row>
    <row r="52" spans="1:29" ht="12">
      <c r="A52" s="140" t="s">
        <v>234</v>
      </c>
      <c r="F52" s="133"/>
      <c r="G52" s="27"/>
      <c r="H52" s="134"/>
      <c r="I52" s="121"/>
      <c r="J52" s="27"/>
      <c r="K52" s="121"/>
      <c r="L52" s="121"/>
      <c r="M52" s="27"/>
      <c r="N52" s="121"/>
      <c r="O52" s="121"/>
      <c r="P52" s="27"/>
      <c r="Q52" s="121"/>
      <c r="R52" s="133"/>
      <c r="S52" s="27"/>
      <c r="T52" s="134"/>
      <c r="U52" s="121"/>
      <c r="V52" s="27"/>
      <c r="W52" s="121"/>
      <c r="Y52" s="27"/>
      <c r="Z52" s="27"/>
      <c r="AB52" s="27"/>
      <c r="AC52" s="27"/>
    </row>
    <row r="53" spans="1:29">
      <c r="B53" s="69" t="s">
        <v>235</v>
      </c>
      <c r="F53" s="133"/>
      <c r="G53" s="27">
        <v>0</v>
      </c>
      <c r="H53" s="134"/>
      <c r="I53" s="121"/>
      <c r="J53" s="176">
        <v>493</v>
      </c>
      <c r="K53" s="121"/>
      <c r="L53" s="121"/>
      <c r="M53" s="176">
        <v>7</v>
      </c>
      <c r="N53" s="121"/>
      <c r="O53" s="121"/>
      <c r="P53" s="27">
        <v>0</v>
      </c>
      <c r="Q53" s="121"/>
      <c r="R53" s="133"/>
      <c r="S53" s="27">
        <v>0</v>
      </c>
      <c r="T53" s="134"/>
      <c r="U53" s="121"/>
      <c r="V53" s="176">
        <v>0</v>
      </c>
      <c r="W53" s="121"/>
      <c r="Y53" s="27">
        <v>493</v>
      </c>
      <c r="Z53" s="27"/>
      <c r="AB53" s="27">
        <v>0</v>
      </c>
      <c r="AC53" s="27"/>
    </row>
    <row r="54" spans="1:29">
      <c r="B54" s="124" t="s">
        <v>236</v>
      </c>
      <c r="F54" s="133"/>
      <c r="G54" s="27">
        <v>-1</v>
      </c>
      <c r="H54" s="134"/>
      <c r="I54" s="121"/>
      <c r="J54" s="176">
        <v>-350</v>
      </c>
      <c r="K54" s="121"/>
      <c r="L54" s="121"/>
      <c r="M54" s="176">
        <v>-6</v>
      </c>
      <c r="N54" s="121"/>
      <c r="O54" s="121"/>
      <c r="P54" s="27">
        <v>0</v>
      </c>
      <c r="Q54" s="121"/>
      <c r="R54" s="133"/>
      <c r="S54" s="27">
        <v>-1</v>
      </c>
      <c r="T54" s="134"/>
      <c r="U54" s="121"/>
      <c r="V54" s="176">
        <v>0</v>
      </c>
      <c r="W54" s="121"/>
      <c r="Y54" s="27">
        <v>-351</v>
      </c>
      <c r="Z54" s="27"/>
      <c r="AB54" s="27">
        <v>-1</v>
      </c>
      <c r="AC54" s="27"/>
    </row>
    <row r="55" spans="1:29">
      <c r="B55" s="175" t="s">
        <v>237</v>
      </c>
      <c r="F55" s="133"/>
      <c r="G55" s="27">
        <v>520</v>
      </c>
      <c r="H55" s="134"/>
      <c r="I55" s="121"/>
      <c r="J55" s="176">
        <v>485</v>
      </c>
      <c r="K55" s="121"/>
      <c r="L55" s="121"/>
      <c r="M55" s="176">
        <v>570</v>
      </c>
      <c r="N55" s="121"/>
      <c r="O55" s="121"/>
      <c r="P55" s="27">
        <v>486</v>
      </c>
      <c r="Q55" s="121"/>
      <c r="R55" s="133"/>
      <c r="S55" s="27">
        <v>524</v>
      </c>
      <c r="T55" s="134"/>
      <c r="U55" s="121"/>
      <c r="V55" s="176">
        <v>596</v>
      </c>
      <c r="W55" s="121"/>
      <c r="Y55" s="27">
        <v>1005</v>
      </c>
      <c r="Z55" s="27"/>
      <c r="AB55" s="27">
        <v>1120</v>
      </c>
      <c r="AC55" s="27"/>
    </row>
    <row r="56" spans="1:29">
      <c r="B56" s="175" t="s">
        <v>238</v>
      </c>
      <c r="F56" s="133"/>
      <c r="G56" s="27">
        <v>-1366</v>
      </c>
      <c r="H56" s="134"/>
      <c r="I56" s="121"/>
      <c r="J56" s="176">
        <v>-1299</v>
      </c>
      <c r="K56" s="121"/>
      <c r="L56" s="121"/>
      <c r="M56" s="176">
        <v>-2241</v>
      </c>
      <c r="N56" s="121"/>
      <c r="O56" s="121"/>
      <c r="P56" s="27">
        <v>-1931</v>
      </c>
      <c r="Q56" s="121"/>
      <c r="R56" s="133"/>
      <c r="S56" s="27">
        <v>-2386</v>
      </c>
      <c r="T56" s="134"/>
      <c r="U56" s="121"/>
      <c r="V56" s="176">
        <v>-2122</v>
      </c>
      <c r="W56" s="121"/>
      <c r="Y56" s="27">
        <v>-2665</v>
      </c>
      <c r="Z56" s="27"/>
      <c r="AB56" s="27">
        <v>-4508</v>
      </c>
      <c r="AC56" s="27"/>
    </row>
    <row r="57" spans="1:29">
      <c r="B57" s="175" t="s">
        <v>239</v>
      </c>
      <c r="F57" s="133"/>
      <c r="G57" s="27">
        <v>-109</v>
      </c>
      <c r="H57" s="134"/>
      <c r="I57" s="121"/>
      <c r="J57" s="176">
        <v>-106</v>
      </c>
      <c r="K57" s="121"/>
      <c r="L57" s="121"/>
      <c r="M57" s="176">
        <v>-108</v>
      </c>
      <c r="N57" s="121"/>
      <c r="O57" s="121"/>
      <c r="P57" s="27">
        <v>-109</v>
      </c>
      <c r="Q57" s="121"/>
      <c r="R57" s="133"/>
      <c r="S57" s="27">
        <v>-111</v>
      </c>
      <c r="T57" s="134"/>
      <c r="U57" s="121"/>
      <c r="V57" s="176">
        <v>-107</v>
      </c>
      <c r="W57" s="121"/>
      <c r="Y57" s="27">
        <v>-215</v>
      </c>
      <c r="Z57" s="27"/>
      <c r="AB57" s="27">
        <v>-218</v>
      </c>
      <c r="AC57" s="27"/>
    </row>
    <row r="58" spans="1:29">
      <c r="B58" s="175" t="s">
        <v>240</v>
      </c>
      <c r="F58" s="133"/>
      <c r="G58" s="27">
        <v>-274</v>
      </c>
      <c r="H58" s="134"/>
      <c r="I58" s="121"/>
      <c r="J58" s="176">
        <v>-309</v>
      </c>
      <c r="K58" s="121"/>
      <c r="L58" s="121"/>
      <c r="M58" s="176">
        <v>-95</v>
      </c>
      <c r="N58" s="121"/>
      <c r="O58" s="121"/>
      <c r="P58" s="27">
        <v>-314</v>
      </c>
      <c r="Q58" s="121"/>
      <c r="R58" s="133"/>
      <c r="S58" s="27">
        <v>-239</v>
      </c>
      <c r="T58" s="134"/>
      <c r="U58" s="121"/>
      <c r="V58" s="176">
        <v>-305</v>
      </c>
      <c r="W58" s="121"/>
      <c r="Y58" s="27">
        <v>-583</v>
      </c>
      <c r="Z58" s="27"/>
      <c r="AB58" s="27">
        <v>-544</v>
      </c>
      <c r="AC58" s="27"/>
    </row>
    <row r="59" spans="1:29">
      <c r="B59" s="175" t="s">
        <v>241</v>
      </c>
      <c r="F59" s="133"/>
      <c r="G59" s="27">
        <v>11</v>
      </c>
      <c r="H59" s="134"/>
      <c r="I59" s="121"/>
      <c r="J59" s="176">
        <v>15</v>
      </c>
      <c r="K59" s="121"/>
      <c r="L59" s="121"/>
      <c r="M59" s="176">
        <v>1</v>
      </c>
      <c r="N59" s="121"/>
      <c r="O59" s="121"/>
      <c r="P59" s="27">
        <v>1</v>
      </c>
      <c r="Q59" s="121"/>
      <c r="R59" s="133"/>
      <c r="S59" s="27">
        <v>8</v>
      </c>
      <c r="T59" s="134"/>
      <c r="U59" s="121"/>
      <c r="V59" s="176">
        <v>9</v>
      </c>
      <c r="W59" s="121"/>
      <c r="Y59" s="27">
        <v>26</v>
      </c>
      <c r="Z59" s="27"/>
      <c r="AB59" s="27">
        <v>17</v>
      </c>
      <c r="AC59" s="27"/>
    </row>
    <row r="60" spans="1:29">
      <c r="B60" s="175" t="s">
        <v>242</v>
      </c>
      <c r="F60" s="133"/>
      <c r="G60" s="27">
        <v>5</v>
      </c>
      <c r="H60" s="134"/>
      <c r="I60" s="121"/>
      <c r="J60" s="176">
        <v>-1</v>
      </c>
      <c r="K60" s="121"/>
      <c r="L60" s="121"/>
      <c r="M60" s="176">
        <v>-1</v>
      </c>
      <c r="N60" s="121"/>
      <c r="O60" s="121"/>
      <c r="P60" s="27">
        <v>-1</v>
      </c>
      <c r="Q60" s="121"/>
      <c r="R60" s="133"/>
      <c r="S60" s="27">
        <v>0</v>
      </c>
      <c r="T60" s="134"/>
      <c r="U60" s="121"/>
      <c r="V60" s="176">
        <v>-3</v>
      </c>
      <c r="W60" s="121"/>
      <c r="Y60" s="27">
        <v>4</v>
      </c>
      <c r="Z60" s="27"/>
      <c r="AB60" s="27">
        <v>-3</v>
      </c>
      <c r="AC60" s="27"/>
    </row>
    <row r="61" spans="1:29" ht="13.2">
      <c r="B61" s="124" t="s">
        <v>836</v>
      </c>
      <c r="F61" s="133"/>
      <c r="G61" s="30">
        <v>-32</v>
      </c>
      <c r="H61" s="134"/>
      <c r="I61" s="121"/>
      <c r="J61" s="176">
        <v>-13</v>
      </c>
      <c r="K61" s="121"/>
      <c r="L61" s="121"/>
      <c r="M61" s="176">
        <v>9</v>
      </c>
      <c r="N61" s="121"/>
      <c r="O61" s="121"/>
      <c r="P61" s="27">
        <v>0</v>
      </c>
      <c r="Q61" s="121"/>
      <c r="R61" s="133"/>
      <c r="S61" s="30">
        <v>-7</v>
      </c>
      <c r="T61" s="134"/>
      <c r="U61" s="121"/>
      <c r="V61" s="176">
        <v>0</v>
      </c>
      <c r="W61" s="121"/>
      <c r="Y61" s="30">
        <v>-45</v>
      </c>
      <c r="Z61" s="27"/>
      <c r="AB61" s="30">
        <v>-7</v>
      </c>
      <c r="AC61" s="27"/>
    </row>
    <row r="62" spans="1:29">
      <c r="B62" s="143" t="s">
        <v>243</v>
      </c>
      <c r="E62" s="121" t="s">
        <v>244</v>
      </c>
      <c r="F62" s="133"/>
      <c r="G62" s="40">
        <v>-1246</v>
      </c>
      <c r="H62" s="134"/>
      <c r="I62" s="121"/>
      <c r="J62" s="245">
        <v>-1085</v>
      </c>
      <c r="K62" s="121"/>
      <c r="L62" s="121"/>
      <c r="M62" s="245">
        <v>-1864</v>
      </c>
      <c r="N62" s="121"/>
      <c r="O62" s="121"/>
      <c r="P62" s="40">
        <v>-1868</v>
      </c>
      <c r="Q62" s="121"/>
      <c r="R62" s="133"/>
      <c r="S62" s="40">
        <v>-2212</v>
      </c>
      <c r="T62" s="134"/>
      <c r="U62" s="121"/>
      <c r="V62" s="245">
        <v>-1932</v>
      </c>
      <c r="W62" s="121"/>
      <c r="Y62" s="40">
        <v>-2331</v>
      </c>
      <c r="Z62" s="27"/>
      <c r="AB62" s="40">
        <v>-4144</v>
      </c>
      <c r="AC62" s="27"/>
    </row>
    <row r="63" spans="1:29">
      <c r="F63" s="133"/>
      <c r="G63" s="27"/>
      <c r="H63" s="134"/>
      <c r="I63" s="121"/>
      <c r="J63" s="27"/>
      <c r="K63" s="121"/>
      <c r="L63" s="121"/>
      <c r="M63" s="27"/>
      <c r="N63" s="121"/>
      <c r="O63" s="121"/>
      <c r="P63" s="27"/>
      <c r="Q63" s="121"/>
      <c r="R63" s="133"/>
      <c r="S63" s="27"/>
      <c r="T63" s="134"/>
      <c r="U63" s="121"/>
      <c r="V63" s="27"/>
      <c r="W63" s="121"/>
      <c r="Y63" s="27"/>
      <c r="Z63" s="27"/>
      <c r="AB63" s="27"/>
      <c r="AC63" s="27"/>
    </row>
    <row r="64" spans="1:29" ht="12">
      <c r="A64" s="140" t="s">
        <v>245</v>
      </c>
      <c r="F64" s="133"/>
      <c r="G64" s="27">
        <v>-6</v>
      </c>
      <c r="H64" s="134"/>
      <c r="I64" s="121"/>
      <c r="J64" s="176">
        <v>-199</v>
      </c>
      <c r="K64" s="121"/>
      <c r="L64" s="121"/>
      <c r="M64" s="176">
        <v>-250</v>
      </c>
      <c r="N64" s="121"/>
      <c r="O64" s="121"/>
      <c r="P64" s="27">
        <v>333</v>
      </c>
      <c r="Q64" s="121"/>
      <c r="R64" s="133"/>
      <c r="S64" s="27">
        <v>52</v>
      </c>
      <c r="T64" s="134"/>
      <c r="U64" s="121"/>
      <c r="V64" s="176">
        <v>79</v>
      </c>
      <c r="W64" s="121"/>
      <c r="Y64" s="27">
        <v>-205</v>
      </c>
      <c r="Z64" s="27"/>
      <c r="AB64" s="27">
        <v>131</v>
      </c>
      <c r="AC64" s="27"/>
    </row>
    <row r="65" spans="1:29" ht="12">
      <c r="A65" s="140" t="s">
        <v>246</v>
      </c>
      <c r="F65" s="133"/>
      <c r="G65" s="30">
        <v>577</v>
      </c>
      <c r="H65" s="134"/>
      <c r="I65" s="121"/>
      <c r="J65" s="30">
        <v>776</v>
      </c>
      <c r="K65" s="121"/>
      <c r="L65" s="121"/>
      <c r="M65" s="30">
        <v>1026</v>
      </c>
      <c r="N65" s="121"/>
      <c r="O65" s="121"/>
      <c r="P65" s="30">
        <v>693</v>
      </c>
      <c r="Q65" s="121"/>
      <c r="R65" s="133"/>
      <c r="S65" s="30">
        <v>641</v>
      </c>
      <c r="T65" s="134"/>
      <c r="U65" s="121"/>
      <c r="V65" s="30">
        <v>562</v>
      </c>
      <c r="W65" s="121"/>
      <c r="Y65" s="30">
        <v>776</v>
      </c>
      <c r="Z65" s="27"/>
      <c r="AB65" s="30">
        <v>562</v>
      </c>
      <c r="AC65" s="27"/>
    </row>
    <row r="66" spans="1:29" ht="12.6" thickBot="1">
      <c r="A66" s="140" t="s">
        <v>247</v>
      </c>
      <c r="F66" s="133" t="s">
        <v>108</v>
      </c>
      <c r="G66" s="179">
        <v>571</v>
      </c>
      <c r="H66" s="134"/>
      <c r="I66" s="121" t="s">
        <v>108</v>
      </c>
      <c r="J66" s="179">
        <v>577</v>
      </c>
      <c r="K66" s="121"/>
      <c r="L66" s="121" t="s">
        <v>108</v>
      </c>
      <c r="M66" s="179">
        <v>776</v>
      </c>
      <c r="N66" s="121"/>
      <c r="O66" s="121" t="s">
        <v>108</v>
      </c>
      <c r="P66" s="179">
        <v>1026</v>
      </c>
      <c r="Q66" s="121"/>
      <c r="R66" s="133" t="s">
        <v>108</v>
      </c>
      <c r="S66" s="179">
        <v>693</v>
      </c>
      <c r="T66" s="134"/>
      <c r="U66" s="121" t="s">
        <v>108</v>
      </c>
      <c r="V66" s="179">
        <v>641</v>
      </c>
      <c r="W66" s="121"/>
      <c r="X66" s="117" t="s">
        <v>108</v>
      </c>
      <c r="Y66" s="179">
        <v>571</v>
      </c>
      <c r="Z66" s="27"/>
      <c r="AA66" s="117" t="s">
        <v>108</v>
      </c>
      <c r="AB66" s="179">
        <v>693</v>
      </c>
      <c r="AC66" s="27"/>
    </row>
    <row r="67" spans="1:29" ht="12.6" thickTop="1" thickBot="1">
      <c r="F67" s="144"/>
      <c r="G67" s="145"/>
      <c r="H67" s="146"/>
      <c r="I67" s="121"/>
      <c r="J67" s="121"/>
      <c r="K67" s="121"/>
      <c r="L67" s="121"/>
      <c r="M67" s="121"/>
      <c r="N67" s="121"/>
      <c r="O67" s="121"/>
      <c r="P67" s="121"/>
      <c r="Q67" s="121"/>
      <c r="R67" s="144"/>
      <c r="S67" s="145"/>
      <c r="T67" s="146"/>
      <c r="U67" s="121"/>
      <c r="V67" s="121"/>
      <c r="W67" s="121"/>
    </row>
    <row r="68" spans="1:29">
      <c r="C68" s="5"/>
      <c r="U68" s="121"/>
      <c r="V68" s="121"/>
      <c r="W68" s="121"/>
    </row>
    <row r="69" spans="1:29">
      <c r="A69" s="180"/>
      <c r="U69" s="121"/>
      <c r="V69" s="121"/>
      <c r="W69" s="121"/>
    </row>
    <row r="70" spans="1:29">
      <c r="U70" s="121"/>
      <c r="V70" s="121"/>
      <c r="W70" s="121"/>
    </row>
    <row r="71" spans="1:29">
      <c r="U71" s="121"/>
      <c r="V71" s="121"/>
      <c r="W71" s="121"/>
    </row>
    <row r="72" spans="1:29">
      <c r="U72" s="121"/>
      <c r="V72" s="121"/>
      <c r="W72" s="121"/>
    </row>
    <row r="73" spans="1:29">
      <c r="U73" s="121"/>
      <c r="V73" s="121"/>
      <c r="W73" s="121"/>
    </row>
    <row r="74" spans="1:29">
      <c r="U74" s="121"/>
      <c r="V74" s="121"/>
      <c r="W74" s="121"/>
    </row>
    <row r="75" spans="1:29">
      <c r="U75" s="121"/>
      <c r="V75" s="121"/>
      <c r="W75" s="121"/>
    </row>
    <row r="76" spans="1:29">
      <c r="U76" s="121"/>
      <c r="V76" s="121"/>
      <c r="W76" s="121"/>
    </row>
    <row r="77" spans="1:29">
      <c r="U77" s="121"/>
      <c r="V77" s="121"/>
      <c r="W77" s="121"/>
    </row>
    <row r="78" spans="1:29">
      <c r="U78" s="121"/>
      <c r="V78" s="121"/>
      <c r="W78" s="121"/>
    </row>
    <row r="79" spans="1:29">
      <c r="U79" s="121"/>
      <c r="V79" s="121"/>
      <c r="W79" s="121"/>
    </row>
    <row r="80" spans="1:29">
      <c r="U80" s="121"/>
      <c r="V80" s="121"/>
      <c r="W80" s="121"/>
    </row>
    <row r="81" spans="21:23">
      <c r="U81" s="121"/>
      <c r="V81" s="121"/>
      <c r="W81" s="121"/>
    </row>
    <row r="82" spans="21:23">
      <c r="U82" s="121"/>
      <c r="V82" s="121"/>
      <c r="W82" s="121"/>
    </row>
    <row r="83" spans="21:23">
      <c r="U83" s="121"/>
      <c r="V83" s="121"/>
      <c r="W83" s="121"/>
    </row>
    <row r="84" spans="21:23">
      <c r="U84" s="121"/>
      <c r="V84" s="121"/>
      <c r="W84" s="121"/>
    </row>
    <row r="85" spans="21:23">
      <c r="U85" s="121"/>
      <c r="V85" s="121"/>
      <c r="W85" s="121"/>
    </row>
    <row r="86" spans="21:23">
      <c r="U86" s="121"/>
      <c r="V86" s="121"/>
      <c r="W86" s="121"/>
    </row>
    <row r="87" spans="21:23">
      <c r="U87" s="121"/>
      <c r="V87" s="121"/>
      <c r="W87" s="121"/>
    </row>
    <row r="88" spans="21:23">
      <c r="U88" s="121"/>
      <c r="V88" s="121"/>
      <c r="W88" s="121"/>
    </row>
    <row r="89" spans="21:23">
      <c r="U89" s="121"/>
      <c r="V89" s="121"/>
      <c r="W89" s="121"/>
    </row>
    <row r="90" spans="21:23">
      <c r="U90" s="121"/>
      <c r="V90" s="121"/>
      <c r="W90" s="121"/>
    </row>
    <row r="91" spans="21:23">
      <c r="U91" s="121"/>
      <c r="V91" s="121"/>
      <c r="W91" s="121"/>
    </row>
    <row r="92" spans="21:23">
      <c r="U92" s="121"/>
      <c r="V92" s="121"/>
      <c r="W92" s="121"/>
    </row>
    <row r="93" spans="21:23">
      <c r="U93" s="121"/>
      <c r="V93" s="121"/>
      <c r="W93" s="121"/>
    </row>
    <row r="94" spans="21:23">
      <c r="U94" s="121"/>
      <c r="V94" s="121"/>
      <c r="W94" s="121"/>
    </row>
    <row r="95" spans="21:23">
      <c r="U95" s="121"/>
      <c r="V95" s="121"/>
      <c r="W95" s="121"/>
    </row>
    <row r="96" spans="21:23">
      <c r="U96" s="121"/>
      <c r="V96" s="121"/>
      <c r="W96" s="121"/>
    </row>
    <row r="97" spans="21:23">
      <c r="U97" s="121"/>
      <c r="V97" s="121"/>
      <c r="W97" s="121"/>
    </row>
    <row r="98" spans="21:23">
      <c r="U98" s="121"/>
      <c r="V98" s="121"/>
      <c r="W98" s="121"/>
    </row>
    <row r="99" spans="21:23">
      <c r="U99" s="121"/>
      <c r="V99" s="121"/>
      <c r="W99" s="121"/>
    </row>
    <row r="100" spans="21:23">
      <c r="U100" s="121"/>
      <c r="V100" s="121"/>
      <c r="W100" s="121"/>
    </row>
    <row r="101" spans="21:23">
      <c r="U101" s="121"/>
      <c r="V101" s="121"/>
      <c r="W101" s="121"/>
    </row>
  </sheetData>
  <mergeCells count="5">
    <mergeCell ref="A1:AB1"/>
    <mergeCell ref="A2:AB2"/>
    <mergeCell ref="A3:AB3"/>
    <mergeCell ref="F5:V5"/>
    <mergeCell ref="Y5:AB5"/>
  </mergeCells>
  <phoneticPr fontId="24" type="noConversion"/>
  <printOptions horizontalCentered="1"/>
  <pageMargins left="0.25" right="0.25" top="0.5" bottom="0.5" header="0.3" footer="0.3"/>
  <pageSetup scale="68" orientation="landscape" r:id="rId1"/>
  <headerFooter alignWithMargins="0">
    <oddFooter>&amp;R&amp;A</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Y51"/>
  <sheetViews>
    <sheetView zoomScale="75" zoomScaleNormal="75" workbookViewId="0">
      <selection sqref="A1:W1"/>
    </sheetView>
  </sheetViews>
  <sheetFormatPr defaultColWidth="9.109375" defaultRowHeight="11.4"/>
  <cols>
    <col min="1" max="2" width="2.44140625" style="117" customWidth="1"/>
    <col min="3" max="3" width="20.44140625" style="117" customWidth="1"/>
    <col min="4" max="4" width="3.5546875" style="117" customWidth="1"/>
    <col min="5" max="5" width="16.6640625" style="117" customWidth="1"/>
    <col min="6" max="6" width="2.44140625" style="117" customWidth="1"/>
    <col min="7" max="7" width="3.5546875" style="117" customWidth="1"/>
    <col min="8" max="8" width="16.6640625" style="117" customWidth="1"/>
    <col min="9" max="9" width="2.33203125" style="117" customWidth="1"/>
    <col min="10" max="10" width="3.5546875" style="117" customWidth="1"/>
    <col min="11" max="11" width="16.6640625" style="117" customWidth="1"/>
    <col min="12" max="12" width="2.44140625" style="117" customWidth="1"/>
    <col min="13" max="13" width="3.5546875" style="117" customWidth="1"/>
    <col min="14" max="14" width="16.6640625" style="117" customWidth="1"/>
    <col min="15" max="15" width="2.44140625" style="117" customWidth="1"/>
    <col min="16" max="16" width="3.5546875" style="117" customWidth="1"/>
    <col min="17" max="17" width="16.6640625" style="117" customWidth="1"/>
    <col min="18" max="18" width="2.44140625" style="117" customWidth="1"/>
    <col min="19" max="19" width="3.5546875" style="117" customWidth="1"/>
    <col min="20" max="20" width="16.6640625" style="117" customWidth="1"/>
    <col min="21" max="21" width="2.44140625" style="117" customWidth="1"/>
    <col min="22" max="22" width="3.5546875" style="117" customWidth="1"/>
    <col min="23" max="23" width="16.6640625" style="117" customWidth="1"/>
    <col min="24" max="16384" width="9.109375" style="117"/>
  </cols>
  <sheetData>
    <row r="1" spans="1:23" ht="13.2">
      <c r="A1" s="978" t="s">
        <v>96</v>
      </c>
      <c r="B1" s="978"/>
      <c r="C1" s="978"/>
      <c r="D1" s="978"/>
      <c r="E1" s="978"/>
      <c r="F1" s="978"/>
      <c r="G1" s="978"/>
      <c r="H1" s="978"/>
      <c r="I1" s="978"/>
      <c r="J1" s="978"/>
      <c r="K1" s="978"/>
      <c r="L1" s="978"/>
      <c r="M1" s="978"/>
      <c r="N1" s="978"/>
      <c r="O1" s="978"/>
      <c r="P1" s="978"/>
      <c r="Q1" s="978"/>
      <c r="R1" s="978"/>
      <c r="S1" s="978"/>
      <c r="T1" s="978"/>
      <c r="U1" s="978"/>
      <c r="V1" s="978"/>
      <c r="W1" s="978"/>
    </row>
    <row r="2" spans="1:23" ht="13.2">
      <c r="A2" s="978" t="s">
        <v>248</v>
      </c>
      <c r="B2" s="978"/>
      <c r="C2" s="978"/>
      <c r="D2" s="978"/>
      <c r="E2" s="978"/>
      <c r="F2" s="978"/>
      <c r="G2" s="978"/>
      <c r="H2" s="978"/>
      <c r="I2" s="978"/>
      <c r="J2" s="978"/>
      <c r="K2" s="978"/>
      <c r="L2" s="978"/>
      <c r="M2" s="978"/>
      <c r="N2" s="978"/>
      <c r="O2" s="978"/>
      <c r="P2" s="978"/>
      <c r="Q2" s="978"/>
      <c r="R2" s="978"/>
      <c r="S2" s="978"/>
      <c r="T2" s="978"/>
      <c r="U2" s="978"/>
      <c r="V2" s="978"/>
      <c r="W2" s="978"/>
    </row>
    <row r="3" spans="1:23">
      <c r="A3" s="979" t="s">
        <v>800</v>
      </c>
      <c r="B3" s="979"/>
      <c r="C3" s="979"/>
      <c r="D3" s="979"/>
      <c r="E3" s="979"/>
      <c r="F3" s="979"/>
      <c r="G3" s="979"/>
      <c r="H3" s="979"/>
      <c r="I3" s="979"/>
      <c r="J3" s="979"/>
      <c r="K3" s="979"/>
      <c r="L3" s="979"/>
      <c r="M3" s="979"/>
      <c r="N3" s="979"/>
      <c r="O3" s="979"/>
      <c r="P3" s="979"/>
      <c r="Q3" s="979"/>
      <c r="R3" s="979"/>
      <c r="S3" s="979"/>
      <c r="T3" s="979"/>
      <c r="U3" s="979"/>
      <c r="V3" s="979"/>
      <c r="W3" s="979"/>
    </row>
    <row r="4" spans="1:23" ht="13.2">
      <c r="A4" s="897"/>
      <c r="B4" s="897"/>
      <c r="C4" s="897"/>
      <c r="D4" s="897"/>
      <c r="E4" s="897"/>
      <c r="F4" s="897"/>
      <c r="G4" s="897"/>
      <c r="H4" s="897"/>
      <c r="I4" s="897"/>
      <c r="J4" s="897"/>
      <c r="K4" s="897"/>
      <c r="L4" s="897"/>
      <c r="M4" s="897"/>
      <c r="N4" s="897"/>
      <c r="O4" s="897"/>
      <c r="P4" s="897"/>
      <c r="Q4" s="897"/>
      <c r="R4" s="897"/>
      <c r="S4" s="897"/>
      <c r="T4" s="897"/>
      <c r="U4" s="897"/>
      <c r="V4" s="897"/>
      <c r="W4" s="897"/>
    </row>
    <row r="5" spans="1:23" ht="13.2">
      <c r="A5" s="897"/>
      <c r="B5" s="897"/>
      <c r="C5" s="897"/>
      <c r="D5" s="983" t="s">
        <v>249</v>
      </c>
      <c r="E5" s="983"/>
      <c r="F5" s="983"/>
      <c r="G5" s="983"/>
      <c r="H5" s="983"/>
      <c r="I5" s="983"/>
      <c r="J5" s="983"/>
      <c r="K5" s="983"/>
      <c r="L5" s="983"/>
      <c r="M5" s="983"/>
      <c r="N5" s="983"/>
      <c r="O5" s="983"/>
      <c r="P5" s="983"/>
      <c r="Q5" s="983"/>
      <c r="R5" s="983"/>
      <c r="S5" s="983"/>
      <c r="T5" s="983"/>
      <c r="U5" s="983"/>
      <c r="V5" s="983"/>
      <c r="W5" s="983"/>
    </row>
    <row r="6" spans="1:23" ht="13.2">
      <c r="A6" s="897"/>
      <c r="B6" s="897"/>
      <c r="C6" s="897"/>
      <c r="D6" s="982" t="s">
        <v>122</v>
      </c>
      <c r="E6" s="982"/>
      <c r="F6" s="982"/>
      <c r="G6" s="982"/>
      <c r="H6" s="982"/>
      <c r="I6" s="982"/>
      <c r="J6" s="982"/>
      <c r="K6" s="982"/>
      <c r="L6" s="982"/>
      <c r="M6" s="982"/>
      <c r="N6" s="982"/>
      <c r="O6" s="982"/>
      <c r="P6" s="982"/>
      <c r="Q6" s="982"/>
      <c r="R6" s="982"/>
      <c r="S6" s="982"/>
      <c r="T6" s="982"/>
      <c r="U6" s="982"/>
      <c r="V6" s="982"/>
      <c r="W6" s="982"/>
    </row>
    <row r="7" spans="1:23" ht="13.2">
      <c r="A7" s="897"/>
      <c r="B7" s="897"/>
      <c r="C7" s="897"/>
      <c r="D7" s="181"/>
      <c r="E7" s="181"/>
      <c r="F7" s="181"/>
      <c r="G7" s="181"/>
      <c r="H7" s="181"/>
      <c r="I7" s="181"/>
      <c r="J7" s="181"/>
      <c r="K7" s="181"/>
      <c r="L7" s="181"/>
      <c r="M7" s="181"/>
      <c r="N7" s="181"/>
      <c r="O7" s="181"/>
      <c r="P7" s="181"/>
      <c r="Q7" s="181"/>
      <c r="R7" s="181"/>
      <c r="S7" s="181"/>
      <c r="T7" s="181"/>
      <c r="U7" s="181"/>
      <c r="V7" s="181"/>
      <c r="W7" s="181"/>
    </row>
    <row r="8" spans="1:23" ht="13.2">
      <c r="A8" s="897"/>
      <c r="B8" s="897"/>
      <c r="C8" s="897"/>
      <c r="D8" s="181"/>
      <c r="E8" s="181"/>
      <c r="F8" s="181"/>
      <c r="G8" s="181"/>
      <c r="H8" s="181"/>
      <c r="I8" s="181"/>
      <c r="J8" s="181"/>
      <c r="K8" s="181"/>
      <c r="L8" s="181"/>
      <c r="M8" s="181"/>
      <c r="N8" s="130" t="s">
        <v>250</v>
      </c>
      <c r="O8" s="181"/>
      <c r="P8" s="181"/>
      <c r="R8" s="181"/>
      <c r="S8" s="181"/>
      <c r="T8" s="181"/>
      <c r="U8" s="181"/>
      <c r="V8" s="181"/>
      <c r="W8" s="181"/>
    </row>
    <row r="9" spans="1:23" ht="13.2">
      <c r="A9" s="897"/>
      <c r="B9" s="897"/>
      <c r="C9" s="897"/>
      <c r="D9" s="897"/>
      <c r="E9" s="897"/>
      <c r="F9" s="897"/>
      <c r="G9" s="897"/>
      <c r="H9" s="897"/>
      <c r="I9" s="897"/>
      <c r="J9" s="897"/>
      <c r="K9" s="897"/>
      <c r="L9" s="897"/>
      <c r="M9" s="922"/>
      <c r="N9" s="130" t="s">
        <v>251</v>
      </c>
      <c r="Q9" s="130"/>
      <c r="U9" s="130"/>
      <c r="V9" s="897"/>
      <c r="W9" s="897"/>
    </row>
    <row r="10" spans="1:23" ht="13.2">
      <c r="A10" s="897"/>
      <c r="B10" s="897"/>
      <c r="C10" s="897"/>
      <c r="D10" s="897"/>
      <c r="E10" s="897"/>
      <c r="F10" s="897"/>
      <c r="G10" s="897"/>
      <c r="H10" s="897"/>
      <c r="I10" s="897"/>
      <c r="J10" s="897"/>
      <c r="K10" s="897"/>
      <c r="L10" s="897"/>
      <c r="M10" s="922"/>
      <c r="N10" s="122" t="s">
        <v>252</v>
      </c>
      <c r="P10" s="897"/>
      <c r="Q10" s="130" t="s">
        <v>253</v>
      </c>
      <c r="R10" s="897"/>
      <c r="S10" s="897"/>
      <c r="T10" s="130"/>
      <c r="W10" s="130"/>
    </row>
    <row r="11" spans="1:23" ht="13.2">
      <c r="N11" s="182" t="s">
        <v>126</v>
      </c>
      <c r="Q11" s="130" t="s">
        <v>254</v>
      </c>
      <c r="T11" s="130" t="s">
        <v>255</v>
      </c>
      <c r="W11" s="130"/>
    </row>
    <row r="12" spans="1:23" s="130" customFormat="1">
      <c r="E12" s="130" t="s">
        <v>256</v>
      </c>
      <c r="H12" s="130" t="s">
        <v>257</v>
      </c>
      <c r="K12" s="130" t="s">
        <v>250</v>
      </c>
      <c r="N12" s="130" t="s">
        <v>258</v>
      </c>
      <c r="Q12" s="130" t="s">
        <v>259</v>
      </c>
      <c r="T12" s="130" t="s">
        <v>260</v>
      </c>
      <c r="W12" s="130" t="s">
        <v>261</v>
      </c>
    </row>
    <row r="13" spans="1:23" s="130" customFormat="1">
      <c r="E13" s="130" t="s">
        <v>262</v>
      </c>
      <c r="H13" s="130" t="s">
        <v>263</v>
      </c>
      <c r="K13" s="122" t="s">
        <v>264</v>
      </c>
      <c r="N13" s="182" t="s">
        <v>265</v>
      </c>
      <c r="Q13" s="130" t="s">
        <v>127</v>
      </c>
      <c r="T13" s="130" t="s">
        <v>266</v>
      </c>
      <c r="W13" s="130" t="s">
        <v>262</v>
      </c>
    </row>
    <row r="14" spans="1:23" s="130" customFormat="1" ht="13.2">
      <c r="D14" s="122"/>
      <c r="E14" s="183" t="s">
        <v>5</v>
      </c>
      <c r="H14" s="921" t="s">
        <v>268</v>
      </c>
      <c r="K14" s="184" t="s">
        <v>269</v>
      </c>
      <c r="N14" s="184" t="s">
        <v>270</v>
      </c>
      <c r="Q14" s="184" t="s">
        <v>271</v>
      </c>
      <c r="T14" s="921" t="s">
        <v>272</v>
      </c>
      <c r="W14" s="183" t="s">
        <v>1142</v>
      </c>
    </row>
    <row r="16" spans="1:23" ht="12">
      <c r="A16" s="185" t="s">
        <v>801</v>
      </c>
      <c r="D16" s="117" t="s">
        <v>108</v>
      </c>
      <c r="E16" s="25">
        <v>1314</v>
      </c>
      <c r="F16" s="25"/>
      <c r="G16" s="25" t="s">
        <v>108</v>
      </c>
      <c r="H16" s="25">
        <v>899</v>
      </c>
      <c r="J16" s="25" t="s">
        <v>108</v>
      </c>
      <c r="K16" s="25">
        <v>-865</v>
      </c>
      <c r="M16" s="117" t="s">
        <v>108</v>
      </c>
      <c r="N16" s="25">
        <v>0</v>
      </c>
      <c r="O16" s="25"/>
      <c r="P16" s="25" t="s">
        <v>108</v>
      </c>
      <c r="Q16" s="25">
        <v>0</v>
      </c>
      <c r="R16" s="25"/>
      <c r="S16" s="25" t="s">
        <v>108</v>
      </c>
      <c r="T16" s="25">
        <v>0</v>
      </c>
      <c r="U16" s="25"/>
      <c r="V16" s="25" t="s">
        <v>108</v>
      </c>
      <c r="W16" s="25">
        <v>1348</v>
      </c>
    </row>
    <row r="17" spans="1:23">
      <c r="E17" s="25"/>
      <c r="F17" s="25"/>
      <c r="G17" s="25"/>
      <c r="H17" s="25"/>
      <c r="J17" s="25"/>
      <c r="K17" s="25"/>
      <c r="M17" s="25"/>
      <c r="N17" s="25"/>
      <c r="O17" s="25"/>
      <c r="P17" s="25"/>
      <c r="Q17" s="25"/>
      <c r="R17" s="25"/>
      <c r="S17" s="25"/>
      <c r="T17" s="25"/>
      <c r="U17" s="25"/>
      <c r="V17" s="25"/>
      <c r="W17" s="25"/>
    </row>
    <row r="18" spans="1:23" ht="12">
      <c r="A18" s="185" t="s">
        <v>273</v>
      </c>
      <c r="E18" s="25"/>
      <c r="F18" s="25"/>
      <c r="G18" s="25"/>
      <c r="H18" s="25"/>
      <c r="J18" s="25"/>
      <c r="K18" s="25"/>
      <c r="M18" s="25"/>
      <c r="N18" s="25"/>
      <c r="O18" s="25"/>
      <c r="P18" s="25"/>
      <c r="Q18" s="25"/>
      <c r="R18" s="25"/>
      <c r="S18" s="25"/>
      <c r="T18" s="25"/>
      <c r="U18" s="25"/>
      <c r="V18" s="25"/>
      <c r="W18" s="25"/>
    </row>
    <row r="19" spans="1:23">
      <c r="B19" s="143" t="s">
        <v>274</v>
      </c>
      <c r="N19" s="25"/>
    </row>
    <row r="20" spans="1:23">
      <c r="B20" s="143"/>
      <c r="C20" s="117" t="s">
        <v>275</v>
      </c>
      <c r="E20" s="25">
        <v>627</v>
      </c>
      <c r="H20" s="25">
        <v>36</v>
      </c>
      <c r="K20" s="25">
        <v>-23</v>
      </c>
      <c r="N20" s="25">
        <v>0</v>
      </c>
      <c r="Q20" s="25">
        <v>0</v>
      </c>
      <c r="T20" s="25">
        <v>0</v>
      </c>
      <c r="W20" s="25">
        <v>640</v>
      </c>
    </row>
    <row r="21" spans="1:23">
      <c r="B21" s="143" t="s">
        <v>276</v>
      </c>
      <c r="E21" s="25">
        <v>1674</v>
      </c>
      <c r="F21" s="25"/>
      <c r="G21" s="25"/>
      <c r="H21" s="25">
        <v>46</v>
      </c>
      <c r="J21" s="25"/>
      <c r="K21" s="25">
        <v>-46</v>
      </c>
      <c r="M21" s="25"/>
      <c r="N21" s="25">
        <v>-2</v>
      </c>
      <c r="O21" s="25"/>
      <c r="P21" s="25"/>
      <c r="Q21" s="25">
        <v>0</v>
      </c>
      <c r="R21" s="25"/>
      <c r="S21" s="25"/>
      <c r="T21" s="25">
        <v>-74</v>
      </c>
      <c r="U21" s="25"/>
      <c r="V21" s="25"/>
      <c r="W21" s="25">
        <v>1598</v>
      </c>
    </row>
    <row r="22" spans="1:23">
      <c r="B22" s="143" t="s">
        <v>277</v>
      </c>
      <c r="E22" s="25">
        <v>101</v>
      </c>
      <c r="F22" s="25"/>
      <c r="G22" s="25"/>
      <c r="H22" s="25">
        <v>6</v>
      </c>
      <c r="J22" s="25"/>
      <c r="K22" s="25">
        <v>-7</v>
      </c>
      <c r="M22" s="25"/>
      <c r="N22" s="25">
        <v>1</v>
      </c>
      <c r="O22" s="25"/>
      <c r="P22" s="25"/>
      <c r="Q22" s="25">
        <v>0</v>
      </c>
      <c r="R22" s="25"/>
      <c r="S22" s="25"/>
      <c r="T22" s="25">
        <v>-43</v>
      </c>
      <c r="U22" s="25"/>
      <c r="V22" s="25"/>
      <c r="W22" s="25">
        <v>58</v>
      </c>
    </row>
    <row r="23" spans="1:23">
      <c r="C23" s="117" t="s">
        <v>279</v>
      </c>
      <c r="E23" s="40">
        <v>2402</v>
      </c>
      <c r="H23" s="40">
        <v>88</v>
      </c>
      <c r="K23" s="40">
        <v>-76</v>
      </c>
      <c r="N23" s="40">
        <v>-1</v>
      </c>
      <c r="Q23" s="40">
        <v>0</v>
      </c>
      <c r="T23" s="40">
        <v>-117</v>
      </c>
      <c r="W23" s="40">
        <v>2296</v>
      </c>
    </row>
    <row r="25" spans="1:23" ht="12.6" thickBot="1">
      <c r="A25" s="185" t="s">
        <v>280</v>
      </c>
      <c r="D25" s="117" t="s">
        <v>108</v>
      </c>
      <c r="E25" s="136">
        <v>3716</v>
      </c>
      <c r="G25" s="117" t="s">
        <v>108</v>
      </c>
      <c r="H25" s="136">
        <v>987</v>
      </c>
      <c r="J25" s="117" t="s">
        <v>108</v>
      </c>
      <c r="K25" s="136">
        <v>-941</v>
      </c>
      <c r="M25" s="117" t="s">
        <v>108</v>
      </c>
      <c r="N25" s="136">
        <v>-1</v>
      </c>
      <c r="P25" s="117" t="s">
        <v>108</v>
      </c>
      <c r="Q25" s="46">
        <v>0</v>
      </c>
      <c r="S25" s="117" t="s">
        <v>108</v>
      </c>
      <c r="T25" s="136">
        <v>-117</v>
      </c>
      <c r="V25" s="117" t="s">
        <v>108</v>
      </c>
      <c r="W25" s="136">
        <v>3644</v>
      </c>
    </row>
    <row r="26" spans="1:23" ht="12" thickTop="1"/>
    <row r="28" spans="1:23" ht="12">
      <c r="D28" s="983" t="s">
        <v>249</v>
      </c>
      <c r="E28" s="983"/>
      <c r="F28" s="983"/>
      <c r="G28" s="983"/>
      <c r="H28" s="983"/>
      <c r="I28" s="983"/>
      <c r="J28" s="983"/>
      <c r="K28" s="983"/>
      <c r="L28" s="983"/>
      <c r="M28" s="983"/>
      <c r="N28" s="983"/>
      <c r="O28" s="983"/>
      <c r="P28" s="983"/>
      <c r="Q28" s="983"/>
      <c r="R28" s="983"/>
      <c r="S28" s="983"/>
      <c r="T28" s="983"/>
      <c r="U28" s="983"/>
      <c r="V28" s="983"/>
      <c r="W28" s="983"/>
    </row>
    <row r="29" spans="1:23" ht="12">
      <c r="D29" s="982" t="s">
        <v>123</v>
      </c>
      <c r="E29" s="982"/>
      <c r="F29" s="982"/>
      <c r="G29" s="982"/>
      <c r="H29" s="982"/>
      <c r="I29" s="982"/>
      <c r="J29" s="982"/>
      <c r="K29" s="982"/>
      <c r="L29" s="982"/>
      <c r="M29" s="982"/>
      <c r="N29" s="982"/>
      <c r="O29" s="982"/>
      <c r="P29" s="982"/>
      <c r="Q29" s="982"/>
      <c r="R29" s="982"/>
      <c r="S29" s="982"/>
      <c r="T29" s="982"/>
      <c r="U29" s="982"/>
      <c r="V29" s="982"/>
      <c r="W29" s="982"/>
    </row>
    <row r="30" spans="1:23" ht="12">
      <c r="D30" s="181"/>
      <c r="E30" s="181"/>
      <c r="F30" s="181"/>
      <c r="G30" s="181"/>
      <c r="H30" s="181"/>
      <c r="I30" s="181"/>
      <c r="J30" s="181"/>
      <c r="K30" s="181"/>
      <c r="L30" s="181"/>
      <c r="M30" s="181"/>
      <c r="N30" s="181"/>
      <c r="O30" s="181"/>
      <c r="P30" s="181"/>
      <c r="Q30" s="181"/>
      <c r="R30" s="181"/>
      <c r="S30" s="181"/>
      <c r="T30" s="181"/>
      <c r="U30" s="181"/>
      <c r="V30" s="181"/>
      <c r="W30" s="181"/>
    </row>
    <row r="31" spans="1:23" ht="12">
      <c r="D31" s="181"/>
      <c r="E31" s="181"/>
      <c r="F31" s="181"/>
      <c r="G31" s="181"/>
      <c r="H31" s="181"/>
      <c r="I31" s="181"/>
      <c r="J31" s="181"/>
      <c r="K31" s="181"/>
      <c r="L31" s="181"/>
      <c r="M31" s="181"/>
      <c r="N31" s="130" t="s">
        <v>250</v>
      </c>
      <c r="O31" s="181"/>
      <c r="P31" s="181"/>
      <c r="Q31" s="181"/>
      <c r="R31" s="181"/>
      <c r="S31" s="181"/>
      <c r="T31" s="122"/>
      <c r="U31" s="181"/>
      <c r="V31" s="181"/>
      <c r="W31" s="181"/>
    </row>
    <row r="32" spans="1:23" ht="12">
      <c r="M32" s="922"/>
      <c r="N32" s="130" t="s">
        <v>251</v>
      </c>
    </row>
    <row r="33" spans="1:25" ht="13.2">
      <c r="D33" s="897"/>
      <c r="E33" s="897"/>
      <c r="F33" s="897"/>
      <c r="G33" s="897"/>
      <c r="H33" s="897"/>
      <c r="I33" s="897"/>
      <c r="J33" s="897"/>
      <c r="K33" s="897"/>
      <c r="L33" s="897"/>
      <c r="M33" s="897"/>
      <c r="N33" s="122" t="s">
        <v>252</v>
      </c>
      <c r="O33" s="897"/>
      <c r="P33" s="897"/>
      <c r="Q33" s="130" t="s">
        <v>253</v>
      </c>
      <c r="R33" s="897"/>
      <c r="S33" s="897"/>
      <c r="T33" s="130"/>
      <c r="W33" s="130"/>
    </row>
    <row r="34" spans="1:25" ht="13.2">
      <c r="E34" s="121"/>
      <c r="N34" s="182" t="s">
        <v>126</v>
      </c>
      <c r="Q34" s="130" t="s">
        <v>254</v>
      </c>
      <c r="T34" s="130" t="s">
        <v>255</v>
      </c>
      <c r="W34" s="130"/>
    </row>
    <row r="35" spans="1:25" s="130" customFormat="1">
      <c r="E35" s="130" t="s">
        <v>256</v>
      </c>
      <c r="H35" s="130" t="s">
        <v>257</v>
      </c>
      <c r="K35" s="130" t="s">
        <v>250</v>
      </c>
      <c r="N35" s="130" t="s">
        <v>258</v>
      </c>
      <c r="Q35" s="130" t="s">
        <v>259</v>
      </c>
      <c r="T35" s="130" t="s">
        <v>260</v>
      </c>
      <c r="W35" s="130" t="s">
        <v>261</v>
      </c>
    </row>
    <row r="36" spans="1:25" s="130" customFormat="1">
      <c r="E36" s="130" t="s">
        <v>262</v>
      </c>
      <c r="H36" s="130" t="s">
        <v>263</v>
      </c>
      <c r="K36" s="122" t="s">
        <v>264</v>
      </c>
      <c r="N36" s="182" t="s">
        <v>265</v>
      </c>
      <c r="Q36" s="130" t="s">
        <v>127</v>
      </c>
      <c r="T36" s="130" t="s">
        <v>266</v>
      </c>
      <c r="W36" s="130" t="s">
        <v>262</v>
      </c>
    </row>
    <row r="37" spans="1:25" s="130" customFormat="1" ht="13.2">
      <c r="E37" s="183" t="s">
        <v>399</v>
      </c>
      <c r="H37" s="921" t="s">
        <v>268</v>
      </c>
      <c r="K37" s="184" t="s">
        <v>269</v>
      </c>
      <c r="N37" s="184" t="s">
        <v>270</v>
      </c>
      <c r="Q37" s="184" t="s">
        <v>271</v>
      </c>
      <c r="T37" s="921" t="s">
        <v>272</v>
      </c>
      <c r="W37" s="183" t="s">
        <v>267</v>
      </c>
    </row>
    <row r="38" spans="1:25">
      <c r="Y38" s="130"/>
    </row>
    <row r="39" spans="1:25" ht="12">
      <c r="A39" s="185" t="s">
        <v>801</v>
      </c>
      <c r="D39" s="117" t="s">
        <v>108</v>
      </c>
      <c r="E39" s="25">
        <v>1296</v>
      </c>
      <c r="F39" s="25"/>
      <c r="G39" s="25" t="s">
        <v>108</v>
      </c>
      <c r="H39" s="25">
        <v>884</v>
      </c>
      <c r="J39" s="25" t="s">
        <v>108</v>
      </c>
      <c r="K39" s="25">
        <v>-867</v>
      </c>
      <c r="M39" s="117" t="s">
        <v>108</v>
      </c>
      <c r="N39" s="25">
        <v>0</v>
      </c>
      <c r="O39" s="25"/>
      <c r="P39" s="25" t="s">
        <v>108</v>
      </c>
      <c r="Q39" s="25">
        <v>0</v>
      </c>
      <c r="R39" s="25"/>
      <c r="S39" s="25" t="s">
        <v>108</v>
      </c>
      <c r="T39" s="25">
        <v>0</v>
      </c>
      <c r="U39" s="25"/>
      <c r="V39" s="25" t="s">
        <v>108</v>
      </c>
      <c r="W39" s="25">
        <v>1313</v>
      </c>
      <c r="Y39" s="130"/>
    </row>
    <row r="40" spans="1:25">
      <c r="E40" s="25"/>
      <c r="F40" s="25"/>
      <c r="G40" s="25"/>
      <c r="H40" s="25"/>
      <c r="J40" s="25"/>
      <c r="K40" s="25"/>
      <c r="M40" s="25"/>
      <c r="N40" s="25"/>
      <c r="O40" s="25"/>
      <c r="P40" s="25"/>
      <c r="Q40" s="25"/>
      <c r="R40" s="25"/>
      <c r="S40" s="25"/>
      <c r="T40" s="25"/>
      <c r="U40" s="25"/>
      <c r="V40" s="25"/>
      <c r="W40" s="25"/>
      <c r="Y40" s="130"/>
    </row>
    <row r="41" spans="1:25" ht="12">
      <c r="A41" s="185" t="s">
        <v>273</v>
      </c>
      <c r="E41" s="25"/>
      <c r="F41" s="25"/>
      <c r="G41" s="25"/>
      <c r="H41" s="25"/>
      <c r="J41" s="25"/>
      <c r="K41" s="25"/>
      <c r="M41" s="25"/>
      <c r="N41" s="25"/>
      <c r="O41" s="25"/>
      <c r="P41" s="25"/>
      <c r="Q41" s="25"/>
      <c r="R41" s="25"/>
      <c r="S41" s="25"/>
      <c r="T41" s="25"/>
      <c r="U41" s="25"/>
      <c r="V41" s="25"/>
      <c r="W41" s="25"/>
      <c r="Y41" s="130"/>
    </row>
    <row r="42" spans="1:25">
      <c r="B42" s="143" t="s">
        <v>274</v>
      </c>
      <c r="N42" s="25"/>
      <c r="Y42" s="130"/>
    </row>
    <row r="43" spans="1:25">
      <c r="B43" s="143"/>
      <c r="C43" s="117" t="s">
        <v>275</v>
      </c>
      <c r="E43" s="25">
        <v>580</v>
      </c>
      <c r="H43" s="25">
        <v>34</v>
      </c>
      <c r="K43" s="25">
        <v>-24</v>
      </c>
      <c r="N43" s="25">
        <v>0</v>
      </c>
      <c r="Q43" s="25">
        <v>0</v>
      </c>
      <c r="T43" s="25">
        <v>0</v>
      </c>
      <c r="W43" s="25">
        <v>590</v>
      </c>
      <c r="Y43" s="130"/>
    </row>
    <row r="44" spans="1:25">
      <c r="B44" s="98" t="s">
        <v>282</v>
      </c>
      <c r="E44" s="25">
        <v>1889</v>
      </c>
      <c r="F44" s="25"/>
      <c r="G44" s="25"/>
      <c r="H44" s="25">
        <v>43</v>
      </c>
      <c r="J44" s="25"/>
      <c r="K44" s="25">
        <v>-47</v>
      </c>
      <c r="M44" s="25"/>
      <c r="N44" s="25">
        <v>-1</v>
      </c>
      <c r="O44" s="25"/>
      <c r="P44" s="25"/>
      <c r="Q44" s="25">
        <v>0</v>
      </c>
      <c r="R44" s="25"/>
      <c r="S44" s="25"/>
      <c r="T44" s="25">
        <v>-59</v>
      </c>
      <c r="U44" s="25"/>
      <c r="V44" s="25"/>
      <c r="W44" s="25">
        <v>1825</v>
      </c>
      <c r="Y44" s="130"/>
    </row>
    <row r="45" spans="1:25">
      <c r="B45" s="98" t="s">
        <v>283</v>
      </c>
      <c r="E45" s="25">
        <v>348</v>
      </c>
      <c r="F45" s="25"/>
      <c r="G45" s="25"/>
      <c r="H45" s="25">
        <v>6</v>
      </c>
      <c r="J45" s="25"/>
      <c r="K45" s="25">
        <v>-16</v>
      </c>
      <c r="M45" s="25"/>
      <c r="N45" s="25">
        <v>-5</v>
      </c>
      <c r="O45" s="25"/>
      <c r="P45" s="25"/>
      <c r="Q45" s="25">
        <v>0</v>
      </c>
      <c r="R45" s="25"/>
      <c r="S45" s="25"/>
      <c r="T45" s="25">
        <v>-61</v>
      </c>
      <c r="U45" s="25"/>
      <c r="V45" s="25"/>
      <c r="W45" s="25">
        <v>272</v>
      </c>
      <c r="Y45" s="130"/>
    </row>
    <row r="46" spans="1:25">
      <c r="C46" s="117" t="s">
        <v>279</v>
      </c>
      <c r="E46" s="40">
        <v>2817</v>
      </c>
      <c r="H46" s="40">
        <v>83</v>
      </c>
      <c r="K46" s="40">
        <v>-87</v>
      </c>
      <c r="N46" s="40">
        <v>-6</v>
      </c>
      <c r="Q46" s="40">
        <v>0</v>
      </c>
      <c r="T46" s="40">
        <v>-120</v>
      </c>
      <c r="W46" s="40">
        <v>2687</v>
      </c>
      <c r="Y46" s="130"/>
    </row>
    <row r="47" spans="1:25">
      <c r="Y47" s="130"/>
    </row>
    <row r="48" spans="1:25" ht="12.6" thickBot="1">
      <c r="A48" s="185" t="s">
        <v>280</v>
      </c>
      <c r="D48" s="117" t="s">
        <v>108</v>
      </c>
      <c r="E48" s="136">
        <v>4113</v>
      </c>
      <c r="G48" s="117" t="s">
        <v>108</v>
      </c>
      <c r="H48" s="136">
        <v>967</v>
      </c>
      <c r="J48" s="117" t="s">
        <v>108</v>
      </c>
      <c r="K48" s="136">
        <v>-954</v>
      </c>
      <c r="M48" s="117" t="s">
        <v>108</v>
      </c>
      <c r="N48" s="136">
        <v>-6</v>
      </c>
      <c r="P48" s="117" t="s">
        <v>108</v>
      </c>
      <c r="Q48" s="46">
        <v>0</v>
      </c>
      <c r="S48" s="117" t="s">
        <v>108</v>
      </c>
      <c r="T48" s="136">
        <v>-120</v>
      </c>
      <c r="V48" s="117" t="s">
        <v>108</v>
      </c>
      <c r="W48" s="136">
        <v>4000</v>
      </c>
      <c r="Y48" s="130"/>
    </row>
    <row r="49" spans="1:25" ht="12.6" thickTop="1">
      <c r="A49" s="185"/>
      <c r="E49" s="27"/>
      <c r="H49" s="121"/>
      <c r="K49" s="121"/>
      <c r="N49" s="121"/>
      <c r="Q49" s="27"/>
      <c r="T49" s="121"/>
      <c r="W49" s="27"/>
      <c r="Y49" s="130"/>
    </row>
    <row r="50" spans="1:25" ht="29.25" customHeight="1">
      <c r="A50" s="187" t="s">
        <v>770</v>
      </c>
      <c r="B50" s="980" t="s">
        <v>284</v>
      </c>
      <c r="C50" s="980"/>
      <c r="D50" s="980"/>
      <c r="E50" s="980"/>
      <c r="F50" s="980"/>
      <c r="G50" s="980"/>
      <c r="H50" s="980"/>
      <c r="I50" s="980"/>
      <c r="J50" s="980"/>
      <c r="K50" s="980"/>
      <c r="L50" s="980"/>
      <c r="M50" s="980"/>
      <c r="N50" s="980"/>
      <c r="O50" s="980"/>
      <c r="P50" s="980"/>
      <c r="Q50" s="980"/>
      <c r="R50" s="980"/>
      <c r="S50" s="980"/>
      <c r="T50" s="980"/>
      <c r="U50" s="980"/>
      <c r="V50" s="980"/>
      <c r="W50" s="980"/>
      <c r="Y50" s="130"/>
    </row>
    <row r="51" spans="1:25" ht="15" customHeight="1">
      <c r="A51" s="187" t="s">
        <v>772</v>
      </c>
      <c r="B51" s="150" t="s">
        <v>285</v>
      </c>
      <c r="C51" s="150"/>
      <c r="Y51" s="130"/>
    </row>
  </sheetData>
  <mergeCells count="8">
    <mergeCell ref="A1:W1"/>
    <mergeCell ref="A2:W2"/>
    <mergeCell ref="A3:W3"/>
    <mergeCell ref="D29:W29"/>
    <mergeCell ref="B50:W50"/>
    <mergeCell ref="D28:W28"/>
    <mergeCell ref="D5:W5"/>
    <mergeCell ref="D6:W6"/>
  </mergeCells>
  <phoneticPr fontId="24" type="noConversion"/>
  <printOptions horizontalCentered="1"/>
  <pageMargins left="0.25" right="0.25" top="0.5" bottom="0.5" header="0.3" footer="0.3"/>
  <pageSetup scale="74" orientation="landscape" r:id="rId1"/>
  <headerFooter alignWithMargins="0">
    <oddFooter>&amp;R&amp;A</oddFooter>
  </headerFooter>
  <ignoredErrors>
    <ignoredError sqref="A50:A51" numberStoredAsText="1"/>
  </ignoredErrors>
</worksheet>
</file>

<file path=xl/worksheets/sheet12.xml><?xml version="1.0" encoding="utf-8"?>
<worksheet xmlns="http://schemas.openxmlformats.org/spreadsheetml/2006/main" xmlns:r="http://schemas.openxmlformats.org/officeDocument/2006/relationships">
  <sheetPr>
    <pageSetUpPr fitToPage="1"/>
  </sheetPr>
  <dimension ref="A1:AF101"/>
  <sheetViews>
    <sheetView zoomScale="75" zoomScaleNormal="75" workbookViewId="0">
      <selection sqref="A1:AF1"/>
    </sheetView>
  </sheetViews>
  <sheetFormatPr defaultColWidth="9.109375" defaultRowHeight="11.4"/>
  <cols>
    <col min="1" max="2" width="2.44140625" style="117" customWidth="1"/>
    <col min="3" max="3" width="20.44140625" style="117" customWidth="1"/>
    <col min="4" max="4" width="3.5546875" style="117" customWidth="1"/>
    <col min="5" max="5" width="13.88671875" style="117" customWidth="1"/>
    <col min="6" max="6" width="2.5546875" style="117" customWidth="1"/>
    <col min="7" max="7" width="3.5546875" style="117" customWidth="1"/>
    <col min="8" max="8" width="13.88671875" style="117" customWidth="1"/>
    <col min="9" max="9" width="2.33203125" style="117" customWidth="1"/>
    <col min="10" max="10" width="3.5546875" style="117" customWidth="1"/>
    <col min="11" max="11" width="13.88671875" style="117" customWidth="1"/>
    <col min="12" max="12" width="2.44140625" style="117" customWidth="1"/>
    <col min="13" max="13" width="3.5546875" style="117" customWidth="1"/>
    <col min="14" max="14" width="13.88671875" style="117" customWidth="1"/>
    <col min="15" max="15" width="2.44140625" style="117" customWidth="1"/>
    <col min="16" max="16" width="3.5546875" style="117" customWidth="1"/>
    <col min="17" max="17" width="13.88671875" style="117" customWidth="1"/>
    <col min="18" max="18" width="2.44140625" style="117" customWidth="1"/>
    <col min="19" max="19" width="3.5546875" style="117" customWidth="1"/>
    <col min="20" max="20" width="13.88671875" style="117" customWidth="1"/>
    <col min="21" max="21" width="2.44140625" style="117" customWidth="1"/>
    <col min="22" max="22" width="3.5546875" style="117" customWidth="1"/>
    <col min="23" max="23" width="13.88671875" style="117" customWidth="1"/>
    <col min="24" max="24" width="2.44140625" style="117" customWidth="1"/>
    <col min="25" max="25" width="3.5546875" style="117" customWidth="1"/>
    <col min="26" max="26" width="13.88671875" style="117" customWidth="1"/>
    <col min="27" max="27" width="2.44140625" style="117" customWidth="1"/>
    <col min="28" max="28" width="3.5546875" style="117" customWidth="1"/>
    <col min="29" max="29" width="13.88671875" style="117" customWidth="1"/>
    <col min="30" max="30" width="2.88671875" style="117" customWidth="1"/>
    <col min="31" max="31" width="3.5546875" style="117" customWidth="1"/>
    <col min="32" max="32" width="13.88671875" style="117" customWidth="1"/>
    <col min="33" max="16384" width="9.109375" style="117"/>
  </cols>
  <sheetData>
    <row r="1" spans="1:32" ht="13.2">
      <c r="A1" s="978" t="s">
        <v>96</v>
      </c>
      <c r="B1" s="978"/>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row>
    <row r="2" spans="1:32" ht="13.2">
      <c r="A2" s="978" t="s">
        <v>248</v>
      </c>
      <c r="B2" s="978"/>
      <c r="C2" s="978"/>
      <c r="D2" s="978"/>
      <c r="E2" s="978"/>
      <c r="F2" s="978"/>
      <c r="G2" s="978"/>
      <c r="H2" s="978"/>
      <c r="I2" s="978"/>
      <c r="J2" s="978"/>
      <c r="K2" s="978"/>
      <c r="L2" s="978"/>
      <c r="M2" s="978"/>
      <c r="N2" s="978"/>
      <c r="O2" s="978"/>
      <c r="P2" s="978"/>
      <c r="Q2" s="978"/>
      <c r="R2" s="978"/>
      <c r="S2" s="978"/>
      <c r="T2" s="978"/>
      <c r="U2" s="978"/>
      <c r="V2" s="978"/>
      <c r="W2" s="978"/>
      <c r="X2" s="978"/>
      <c r="Y2" s="978"/>
      <c r="Z2" s="978"/>
      <c r="AA2" s="978"/>
      <c r="AB2" s="978"/>
      <c r="AC2" s="978"/>
      <c r="AD2" s="978"/>
      <c r="AE2" s="978"/>
      <c r="AF2" s="978"/>
    </row>
    <row r="3" spans="1:32" ht="13.2">
      <c r="A3" s="978" t="s">
        <v>800</v>
      </c>
      <c r="B3" s="978"/>
      <c r="C3" s="978"/>
      <c r="D3" s="978"/>
      <c r="E3" s="978"/>
      <c r="F3" s="978"/>
      <c r="G3" s="978"/>
      <c r="H3" s="978"/>
      <c r="I3" s="978"/>
      <c r="J3" s="978"/>
      <c r="K3" s="978"/>
      <c r="L3" s="978"/>
      <c r="M3" s="978"/>
      <c r="N3" s="978"/>
      <c r="O3" s="978"/>
      <c r="P3" s="978"/>
      <c r="Q3" s="978"/>
      <c r="R3" s="978"/>
      <c r="S3" s="978"/>
      <c r="T3" s="978"/>
      <c r="U3" s="978"/>
      <c r="V3" s="978"/>
      <c r="W3" s="978"/>
      <c r="X3" s="978"/>
      <c r="Y3" s="978"/>
      <c r="Z3" s="978"/>
      <c r="AA3" s="978"/>
      <c r="AB3" s="978"/>
      <c r="AC3" s="978"/>
      <c r="AD3" s="978"/>
      <c r="AE3" s="978"/>
      <c r="AF3" s="978"/>
    </row>
    <row r="4" spans="1:32" ht="13.2">
      <c r="A4" s="897"/>
      <c r="B4" s="897"/>
      <c r="C4" s="897"/>
      <c r="D4" s="897"/>
      <c r="E4" s="897"/>
      <c r="F4" s="897"/>
      <c r="G4" s="897"/>
      <c r="H4" s="897"/>
      <c r="I4" s="897"/>
      <c r="J4" s="897"/>
      <c r="K4" s="897"/>
      <c r="L4" s="897"/>
      <c r="M4" s="897"/>
      <c r="N4" s="897"/>
      <c r="O4" s="897"/>
      <c r="P4" s="897"/>
      <c r="Q4" s="897"/>
      <c r="R4" s="897"/>
      <c r="S4" s="897"/>
      <c r="T4" s="897"/>
      <c r="U4" s="897"/>
      <c r="V4" s="897"/>
      <c r="W4" s="897"/>
      <c r="X4" s="897"/>
      <c r="Y4" s="897"/>
      <c r="Z4" s="897"/>
      <c r="AA4" s="897"/>
      <c r="AB4" s="897"/>
      <c r="AD4" s="129"/>
      <c r="AE4" s="129"/>
      <c r="AF4" s="129"/>
    </row>
    <row r="5" spans="1:32" ht="13.2">
      <c r="A5" s="897"/>
      <c r="B5" s="897"/>
      <c r="C5" s="897"/>
      <c r="D5" s="983" t="s">
        <v>249</v>
      </c>
      <c r="E5" s="983"/>
      <c r="F5" s="983"/>
      <c r="G5" s="983"/>
      <c r="H5" s="983"/>
      <c r="I5" s="983"/>
      <c r="J5" s="983"/>
      <c r="K5" s="983"/>
      <c r="L5" s="983"/>
      <c r="M5" s="983"/>
      <c r="N5" s="983"/>
      <c r="O5" s="983"/>
      <c r="P5" s="983"/>
      <c r="Q5" s="983"/>
      <c r="R5" s="983"/>
      <c r="S5" s="983"/>
      <c r="T5" s="983"/>
      <c r="U5" s="983"/>
      <c r="V5" s="983"/>
      <c r="W5" s="983"/>
      <c r="X5" s="188"/>
      <c r="Z5" s="984" t="s">
        <v>288</v>
      </c>
      <c r="AA5" s="984"/>
      <c r="AB5" s="984"/>
      <c r="AC5" s="984"/>
      <c r="AD5" s="984"/>
      <c r="AE5" s="984"/>
      <c r="AF5" s="984"/>
    </row>
    <row r="6" spans="1:32" ht="13.2">
      <c r="A6" s="897"/>
      <c r="B6" s="897"/>
      <c r="C6" s="897"/>
      <c r="D6" s="982" t="s">
        <v>129</v>
      </c>
      <c r="E6" s="982"/>
      <c r="F6" s="982"/>
      <c r="G6" s="982"/>
      <c r="H6" s="982"/>
      <c r="I6" s="982"/>
      <c r="J6" s="982"/>
      <c r="K6" s="982"/>
      <c r="L6" s="982"/>
      <c r="M6" s="982"/>
      <c r="N6" s="982"/>
      <c r="O6" s="982"/>
      <c r="P6" s="982"/>
      <c r="Q6" s="982"/>
      <c r="R6" s="982"/>
      <c r="S6" s="982"/>
      <c r="T6" s="982"/>
      <c r="U6" s="982"/>
      <c r="V6" s="982"/>
      <c r="W6" s="982"/>
      <c r="X6" s="188"/>
      <c r="Z6" s="982" t="s">
        <v>124</v>
      </c>
      <c r="AA6" s="982"/>
      <c r="AB6" s="982"/>
      <c r="AC6" s="982"/>
      <c r="AD6" s="982"/>
      <c r="AE6" s="982"/>
      <c r="AF6" s="982"/>
    </row>
    <row r="7" spans="1:32" ht="13.2">
      <c r="A7" s="897"/>
      <c r="B7" s="897"/>
      <c r="C7" s="897"/>
      <c r="D7" s="181"/>
      <c r="E7" s="181"/>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row>
    <row r="8" spans="1:32" ht="13.2">
      <c r="A8" s="897"/>
      <c r="B8" s="897"/>
      <c r="C8" s="897"/>
      <c r="D8" s="181"/>
      <c r="E8" s="181"/>
      <c r="F8" s="181"/>
      <c r="G8" s="181"/>
      <c r="H8" s="181"/>
      <c r="I8" s="181"/>
      <c r="J8" s="181"/>
      <c r="K8" s="181"/>
      <c r="L8" s="181"/>
      <c r="M8" s="181"/>
      <c r="N8" s="130" t="s">
        <v>250</v>
      </c>
      <c r="O8" s="181"/>
      <c r="P8" s="181"/>
      <c r="Q8" s="130"/>
      <c r="R8" s="181"/>
      <c r="S8" s="181"/>
      <c r="T8" s="181"/>
      <c r="U8" s="181"/>
      <c r="V8" s="181"/>
      <c r="W8" s="181"/>
      <c r="X8" s="181"/>
      <c r="Y8" s="181"/>
      <c r="Z8" s="122"/>
      <c r="AA8" s="181"/>
      <c r="AB8" s="181"/>
      <c r="AC8" s="181"/>
      <c r="AD8" s="181"/>
      <c r="AE8" s="181"/>
    </row>
    <row r="9" spans="1:32" ht="13.2">
      <c r="A9" s="897"/>
      <c r="B9" s="897"/>
      <c r="C9" s="897"/>
      <c r="D9" s="897"/>
      <c r="E9" s="897"/>
      <c r="F9" s="897"/>
      <c r="G9" s="897"/>
      <c r="H9" s="897"/>
      <c r="I9" s="897"/>
      <c r="J9" s="897"/>
      <c r="K9" s="897"/>
      <c r="L9" s="897"/>
      <c r="M9" s="922"/>
      <c r="N9" s="130" t="s">
        <v>251</v>
      </c>
      <c r="Q9" s="130"/>
      <c r="U9" s="130"/>
      <c r="V9" s="897"/>
      <c r="W9" s="897"/>
      <c r="AE9" s="121"/>
      <c r="AF9" s="121"/>
    </row>
    <row r="10" spans="1:32" ht="13.2">
      <c r="A10" s="897"/>
      <c r="B10" s="897"/>
      <c r="C10" s="897"/>
      <c r="D10" s="897"/>
      <c r="E10" s="897"/>
      <c r="F10" s="897"/>
      <c r="G10" s="897"/>
      <c r="H10" s="897"/>
      <c r="I10" s="897"/>
      <c r="J10" s="897"/>
      <c r="K10" s="897"/>
      <c r="L10" s="897"/>
      <c r="M10" s="922"/>
      <c r="N10" s="122" t="s">
        <v>252</v>
      </c>
      <c r="P10" s="897"/>
      <c r="Q10" s="130" t="s">
        <v>253</v>
      </c>
      <c r="R10" s="897"/>
      <c r="S10" s="897"/>
      <c r="T10" s="130"/>
      <c r="W10" s="130"/>
      <c r="Y10" s="130"/>
      <c r="Z10" s="130" t="s">
        <v>289</v>
      </c>
      <c r="AC10" s="130"/>
      <c r="AF10" s="130" t="s">
        <v>290</v>
      </c>
    </row>
    <row r="11" spans="1:32" ht="14.25" customHeight="1">
      <c r="N11" s="182" t="s">
        <v>291</v>
      </c>
      <c r="O11" s="130"/>
      <c r="Q11" s="130" t="s">
        <v>254</v>
      </c>
      <c r="T11" s="130" t="s">
        <v>255</v>
      </c>
      <c r="W11" s="130"/>
      <c r="Y11" s="130"/>
      <c r="Z11" s="130" t="s">
        <v>292</v>
      </c>
      <c r="AC11" s="130" t="s">
        <v>293</v>
      </c>
      <c r="AF11" s="130" t="s">
        <v>292</v>
      </c>
    </row>
    <row r="12" spans="1:32" s="130" customFormat="1" ht="12" customHeight="1">
      <c r="E12" s="130" t="s">
        <v>256</v>
      </c>
      <c r="H12" s="130" t="s">
        <v>257</v>
      </c>
      <c r="K12" s="130" t="s">
        <v>250</v>
      </c>
      <c r="N12" s="130" t="s">
        <v>258</v>
      </c>
      <c r="Q12" s="130" t="s">
        <v>259</v>
      </c>
      <c r="T12" s="130" t="s">
        <v>260</v>
      </c>
      <c r="W12" s="130" t="s">
        <v>261</v>
      </c>
      <c r="Z12" s="130" t="s">
        <v>294</v>
      </c>
      <c r="AC12" s="130" t="s">
        <v>294</v>
      </c>
      <c r="AF12" s="130" t="s">
        <v>294</v>
      </c>
    </row>
    <row r="13" spans="1:32" s="130" customFormat="1" ht="12" customHeight="1">
      <c r="E13" s="130" t="s">
        <v>262</v>
      </c>
      <c r="H13" s="130" t="s">
        <v>263</v>
      </c>
      <c r="K13" s="122" t="s">
        <v>264</v>
      </c>
      <c r="N13" s="182" t="s">
        <v>265</v>
      </c>
      <c r="Q13" s="130" t="s">
        <v>295</v>
      </c>
      <c r="T13" s="130" t="s">
        <v>266</v>
      </c>
      <c r="W13" s="130" t="s">
        <v>262</v>
      </c>
      <c r="Z13" s="130" t="s">
        <v>266</v>
      </c>
      <c r="AC13" s="130" t="s">
        <v>266</v>
      </c>
      <c r="AF13" s="130" t="s">
        <v>266</v>
      </c>
    </row>
    <row r="14" spans="1:32" s="130" customFormat="1" ht="13.2">
      <c r="D14" s="122"/>
      <c r="E14" s="183" t="s">
        <v>286</v>
      </c>
      <c r="H14" s="921" t="s">
        <v>268</v>
      </c>
      <c r="K14" s="184" t="s">
        <v>269</v>
      </c>
      <c r="N14" s="184" t="s">
        <v>270</v>
      </c>
      <c r="Q14" s="184" t="s">
        <v>271</v>
      </c>
      <c r="T14" s="921" t="s">
        <v>272</v>
      </c>
      <c r="W14" s="183" t="s">
        <v>1142</v>
      </c>
      <c r="Y14" s="122"/>
      <c r="Z14" s="921" t="s">
        <v>272</v>
      </c>
      <c r="AC14" s="921" t="s">
        <v>272</v>
      </c>
      <c r="AF14" s="921" t="s">
        <v>272</v>
      </c>
    </row>
    <row r="16" spans="1:32" ht="12">
      <c r="A16" s="185" t="s">
        <v>801</v>
      </c>
      <c r="D16" s="117" t="s">
        <v>108</v>
      </c>
      <c r="E16" s="25">
        <v>1348</v>
      </c>
      <c r="F16" s="25"/>
      <c r="G16" s="25" t="s">
        <v>108</v>
      </c>
      <c r="H16" s="25">
        <v>1743</v>
      </c>
      <c r="J16" s="25" t="s">
        <v>108</v>
      </c>
      <c r="K16" s="25">
        <v>-1743</v>
      </c>
      <c r="L16" s="25"/>
      <c r="M16" s="117" t="s">
        <v>108</v>
      </c>
      <c r="N16" s="25">
        <v>0</v>
      </c>
      <c r="P16" s="25" t="s">
        <v>108</v>
      </c>
      <c r="Q16" s="25">
        <v>0</v>
      </c>
      <c r="R16" s="25"/>
      <c r="S16" s="25" t="s">
        <v>108</v>
      </c>
      <c r="T16" s="25">
        <v>0</v>
      </c>
      <c r="U16" s="25"/>
      <c r="V16" s="25" t="s">
        <v>108</v>
      </c>
      <c r="W16" s="25">
        <v>1348</v>
      </c>
      <c r="Y16" s="117" t="s">
        <v>108</v>
      </c>
      <c r="Z16" s="117">
        <v>1348</v>
      </c>
      <c r="AB16" s="117" t="s">
        <v>108</v>
      </c>
      <c r="AC16" s="25">
        <v>0</v>
      </c>
      <c r="AE16" s="117" t="s">
        <v>108</v>
      </c>
      <c r="AF16" s="117">
        <v>1348</v>
      </c>
    </row>
    <row r="17" spans="1:32">
      <c r="E17" s="25"/>
      <c r="F17" s="25"/>
      <c r="G17" s="25"/>
      <c r="H17" s="25"/>
      <c r="J17" s="25"/>
      <c r="K17" s="25"/>
      <c r="L17" s="25"/>
      <c r="M17" s="25"/>
      <c r="N17" s="25"/>
      <c r="P17" s="25"/>
      <c r="Q17" s="25"/>
      <c r="R17" s="25"/>
      <c r="S17" s="25"/>
      <c r="T17" s="25"/>
      <c r="U17" s="25"/>
      <c r="V17" s="25"/>
      <c r="W17" s="25"/>
    </row>
    <row r="18" spans="1:32" ht="12">
      <c r="A18" s="185" t="s">
        <v>273</v>
      </c>
      <c r="E18" s="25"/>
      <c r="F18" s="25"/>
      <c r="G18" s="25"/>
      <c r="H18" s="25"/>
      <c r="J18" s="25"/>
      <c r="K18" s="25"/>
      <c r="L18" s="25"/>
      <c r="M18" s="25"/>
      <c r="N18" s="25"/>
      <c r="P18" s="25"/>
      <c r="Q18" s="25"/>
      <c r="R18" s="25"/>
      <c r="S18" s="25"/>
      <c r="T18" s="25"/>
      <c r="U18" s="25"/>
      <c r="V18" s="25"/>
      <c r="W18" s="25"/>
    </row>
    <row r="19" spans="1:32">
      <c r="B19" s="143" t="s">
        <v>274</v>
      </c>
    </row>
    <row r="20" spans="1:32">
      <c r="B20" s="143"/>
      <c r="C20" s="117" t="s">
        <v>275</v>
      </c>
      <c r="E20" s="25">
        <v>616</v>
      </c>
      <c r="F20" s="25"/>
      <c r="G20" s="25"/>
      <c r="H20" s="25">
        <v>74</v>
      </c>
      <c r="J20" s="25"/>
      <c r="K20" s="25">
        <v>-50</v>
      </c>
      <c r="L20" s="25"/>
      <c r="M20" s="25"/>
      <c r="N20" s="25">
        <v>0</v>
      </c>
      <c r="P20" s="25"/>
      <c r="Q20" s="25">
        <v>0</v>
      </c>
      <c r="R20" s="25"/>
      <c r="S20" s="25"/>
      <c r="T20" s="25">
        <v>0</v>
      </c>
      <c r="U20" s="25"/>
      <c r="V20" s="25"/>
      <c r="W20" s="25">
        <v>640</v>
      </c>
      <c r="Z20" s="117">
        <v>640</v>
      </c>
      <c r="AC20" s="186">
        <v>0</v>
      </c>
      <c r="AF20" s="117">
        <v>640</v>
      </c>
    </row>
    <row r="21" spans="1:32">
      <c r="B21" s="143" t="s">
        <v>276</v>
      </c>
      <c r="E21" s="25">
        <v>1698</v>
      </c>
      <c r="F21" s="25"/>
      <c r="G21" s="25"/>
      <c r="H21" s="25">
        <v>88</v>
      </c>
      <c r="J21" s="25"/>
      <c r="K21" s="25">
        <v>-93</v>
      </c>
      <c r="L21" s="25"/>
      <c r="M21" s="25"/>
      <c r="N21" s="25">
        <v>-4</v>
      </c>
      <c r="P21" s="25"/>
      <c r="Q21" s="25">
        <v>0</v>
      </c>
      <c r="R21" s="25"/>
      <c r="S21" s="25"/>
      <c r="T21" s="25">
        <v>-91</v>
      </c>
      <c r="U21" s="25"/>
      <c r="V21" s="25"/>
      <c r="W21" s="25">
        <v>1598</v>
      </c>
      <c r="Z21" s="117">
        <v>1907</v>
      </c>
      <c r="AC21" s="186">
        <v>-309</v>
      </c>
      <c r="AF21" s="117">
        <v>1598</v>
      </c>
    </row>
    <row r="22" spans="1:32">
      <c r="B22" s="143" t="s">
        <v>277</v>
      </c>
      <c r="E22" s="25">
        <v>209</v>
      </c>
      <c r="F22" s="25"/>
      <c r="G22" s="25"/>
      <c r="H22" s="25">
        <v>10</v>
      </c>
      <c r="J22" s="25"/>
      <c r="K22" s="25">
        <v>-19</v>
      </c>
      <c r="L22" s="25"/>
      <c r="M22" s="25"/>
      <c r="N22" s="25">
        <v>-12</v>
      </c>
      <c r="P22" s="25"/>
      <c r="Q22" s="25">
        <v>0</v>
      </c>
      <c r="R22" s="25"/>
      <c r="S22" s="25"/>
      <c r="T22" s="25">
        <v>-130</v>
      </c>
      <c r="U22" s="25"/>
      <c r="V22" s="25"/>
      <c r="W22" s="25">
        <v>58</v>
      </c>
      <c r="Z22" s="117">
        <v>81</v>
      </c>
      <c r="AC22" s="186">
        <v>-23</v>
      </c>
      <c r="AF22" s="117">
        <v>58</v>
      </c>
    </row>
    <row r="23" spans="1:32">
      <c r="C23" s="117" t="s">
        <v>279</v>
      </c>
      <c r="E23" s="40">
        <v>2523</v>
      </c>
      <c r="H23" s="40">
        <v>172</v>
      </c>
      <c r="K23" s="40">
        <v>-162</v>
      </c>
      <c r="N23" s="40">
        <v>-16</v>
      </c>
      <c r="Q23" s="40">
        <v>0</v>
      </c>
      <c r="T23" s="40">
        <v>-221</v>
      </c>
      <c r="W23" s="40">
        <v>2296</v>
      </c>
      <c r="Z23" s="189">
        <v>2628</v>
      </c>
      <c r="AC23" s="40">
        <v>-332</v>
      </c>
      <c r="AF23" s="189">
        <v>2296</v>
      </c>
    </row>
    <row r="24" spans="1:32">
      <c r="E24" s="25"/>
      <c r="W24" s="25"/>
    </row>
    <row r="25" spans="1:32" ht="12.6" thickBot="1">
      <c r="A25" s="185" t="s">
        <v>280</v>
      </c>
      <c r="D25" s="117" t="s">
        <v>108</v>
      </c>
      <c r="E25" s="46">
        <v>3871</v>
      </c>
      <c r="G25" s="117" t="s">
        <v>108</v>
      </c>
      <c r="H25" s="46">
        <v>1915</v>
      </c>
      <c r="J25" s="117" t="s">
        <v>108</v>
      </c>
      <c r="K25" s="46">
        <v>-1905</v>
      </c>
      <c r="M25" s="117" t="s">
        <v>108</v>
      </c>
      <c r="N25" s="46">
        <v>-16</v>
      </c>
      <c r="P25" s="117" t="s">
        <v>108</v>
      </c>
      <c r="Q25" s="46">
        <v>0</v>
      </c>
      <c r="S25" s="117" t="s">
        <v>108</v>
      </c>
      <c r="T25" s="46">
        <v>-221</v>
      </c>
      <c r="V25" s="117" t="s">
        <v>108</v>
      </c>
      <c r="W25" s="46">
        <v>3644</v>
      </c>
      <c r="Y25" s="117" t="s">
        <v>108</v>
      </c>
      <c r="Z25" s="136">
        <v>3976</v>
      </c>
      <c r="AB25" s="117" t="s">
        <v>108</v>
      </c>
      <c r="AC25" s="46">
        <v>-332</v>
      </c>
      <c r="AE25" s="117" t="s">
        <v>108</v>
      </c>
      <c r="AF25" s="136">
        <v>3644</v>
      </c>
    </row>
    <row r="26" spans="1:32" ht="12" thickTop="1"/>
    <row r="28" spans="1:32" ht="12">
      <c r="D28" s="983" t="s">
        <v>249</v>
      </c>
      <c r="E28" s="983"/>
      <c r="F28" s="983"/>
      <c r="G28" s="983"/>
      <c r="H28" s="983"/>
      <c r="I28" s="983"/>
      <c r="J28" s="983"/>
      <c r="K28" s="983"/>
      <c r="L28" s="983"/>
      <c r="M28" s="983"/>
      <c r="N28" s="983"/>
      <c r="O28" s="983"/>
      <c r="P28" s="983"/>
      <c r="Q28" s="983"/>
      <c r="R28" s="983"/>
      <c r="S28" s="983"/>
      <c r="T28" s="983"/>
      <c r="U28" s="983"/>
      <c r="V28" s="983"/>
      <c r="W28" s="983"/>
      <c r="X28" s="188"/>
      <c r="Y28" s="188"/>
      <c r="Z28" s="188"/>
      <c r="AA28" s="188"/>
      <c r="AB28" s="188"/>
      <c r="AC28" s="922" t="s">
        <v>288</v>
      </c>
      <c r="AD28" s="922"/>
      <c r="AE28" s="922"/>
      <c r="AF28" s="922"/>
    </row>
    <row r="29" spans="1:32" ht="12">
      <c r="D29" s="982" t="s">
        <v>130</v>
      </c>
      <c r="E29" s="982"/>
      <c r="F29" s="982"/>
      <c r="G29" s="982"/>
      <c r="H29" s="982"/>
      <c r="I29" s="982"/>
      <c r="J29" s="982"/>
      <c r="K29" s="982"/>
      <c r="L29" s="982"/>
      <c r="M29" s="982"/>
      <c r="N29" s="982"/>
      <c r="O29" s="982"/>
      <c r="P29" s="982"/>
      <c r="Q29" s="982"/>
      <c r="R29" s="982"/>
      <c r="S29" s="982"/>
      <c r="T29" s="982"/>
      <c r="U29" s="982"/>
      <c r="V29" s="982"/>
      <c r="W29" s="982"/>
      <c r="X29" s="188"/>
      <c r="Y29" s="188"/>
      <c r="Z29" s="982" t="s">
        <v>125</v>
      </c>
      <c r="AA29" s="982"/>
      <c r="AB29" s="982"/>
      <c r="AC29" s="982"/>
      <c r="AD29" s="982"/>
      <c r="AE29" s="982"/>
      <c r="AF29" s="982"/>
    </row>
    <row r="30" spans="1:32" ht="12">
      <c r="D30" s="181"/>
      <c r="E30" s="181"/>
      <c r="F30" s="181"/>
      <c r="G30" s="181"/>
      <c r="H30" s="181"/>
      <c r="I30" s="181"/>
      <c r="J30" s="181"/>
      <c r="K30" s="181"/>
      <c r="L30" s="181"/>
      <c r="M30" s="181"/>
      <c r="N30" s="181"/>
      <c r="O30" s="181"/>
      <c r="P30" s="181"/>
      <c r="Q30" s="181"/>
      <c r="R30" s="181"/>
      <c r="S30" s="181"/>
      <c r="T30" s="181"/>
      <c r="U30" s="181"/>
      <c r="V30" s="181"/>
      <c r="W30" s="181"/>
      <c r="X30" s="188"/>
      <c r="Y30" s="188"/>
      <c r="Z30" s="181"/>
      <c r="AA30" s="181"/>
      <c r="AB30" s="181"/>
      <c r="AC30" s="181"/>
      <c r="AD30" s="181"/>
      <c r="AE30" s="181"/>
      <c r="AF30" s="181"/>
    </row>
    <row r="31" spans="1:32" ht="12">
      <c r="D31" s="181"/>
      <c r="E31" s="181"/>
      <c r="F31" s="181"/>
      <c r="G31" s="181"/>
      <c r="H31" s="181"/>
      <c r="I31" s="181"/>
      <c r="J31" s="181"/>
      <c r="K31" s="181"/>
      <c r="L31" s="181"/>
      <c r="M31" s="181"/>
      <c r="N31" s="130" t="s">
        <v>250</v>
      </c>
      <c r="O31" s="181"/>
      <c r="P31" s="181"/>
      <c r="Q31" s="181"/>
      <c r="R31" s="181"/>
      <c r="S31" s="181"/>
      <c r="T31" s="122"/>
      <c r="U31" s="181"/>
      <c r="V31" s="181"/>
      <c r="W31" s="181"/>
      <c r="X31" s="181"/>
      <c r="Y31" s="181"/>
      <c r="Z31" s="181"/>
      <c r="AA31" s="181"/>
      <c r="AB31" s="181"/>
      <c r="AC31" s="181"/>
      <c r="AD31" s="181"/>
      <c r="AE31" s="181"/>
      <c r="AF31" s="181"/>
    </row>
    <row r="32" spans="1:32" ht="13.2">
      <c r="I32" s="897"/>
      <c r="K32" s="897"/>
      <c r="L32" s="897"/>
      <c r="M32" s="922"/>
      <c r="N32" s="130" t="s">
        <v>251</v>
      </c>
      <c r="Q32" s="130"/>
      <c r="S32" s="922"/>
      <c r="T32" s="130"/>
    </row>
    <row r="33" spans="1:32" ht="13.2">
      <c r="D33" s="897"/>
      <c r="E33" s="897"/>
      <c r="F33" s="897"/>
      <c r="H33" s="130"/>
      <c r="I33" s="897"/>
      <c r="K33" s="897"/>
      <c r="L33" s="897"/>
      <c r="M33" s="922"/>
      <c r="N33" s="122" t="s">
        <v>252</v>
      </c>
      <c r="P33" s="897"/>
      <c r="Q33" s="130" t="s">
        <v>253</v>
      </c>
      <c r="R33" s="897"/>
      <c r="S33" s="897"/>
      <c r="T33" s="130"/>
      <c r="U33" s="897"/>
      <c r="V33" s="897"/>
      <c r="W33" s="130"/>
      <c r="X33" s="897"/>
      <c r="Y33" s="897"/>
      <c r="Z33" s="130" t="s">
        <v>289</v>
      </c>
      <c r="AC33" s="130"/>
      <c r="AF33" s="130" t="s">
        <v>290</v>
      </c>
    </row>
    <row r="34" spans="1:32">
      <c r="E34" s="121"/>
      <c r="H34" s="130"/>
      <c r="N34" s="182" t="s">
        <v>291</v>
      </c>
      <c r="Q34" s="130" t="s">
        <v>254</v>
      </c>
      <c r="T34" s="130" t="s">
        <v>255</v>
      </c>
      <c r="W34" s="130"/>
      <c r="Z34" s="130" t="s">
        <v>292</v>
      </c>
      <c r="AC34" s="130" t="s">
        <v>293</v>
      </c>
      <c r="AF34" s="130" t="s">
        <v>292</v>
      </c>
    </row>
    <row r="35" spans="1:32" s="130" customFormat="1">
      <c r="E35" s="130" t="s">
        <v>256</v>
      </c>
      <c r="H35" s="130" t="s">
        <v>257</v>
      </c>
      <c r="K35" s="130" t="s">
        <v>250</v>
      </c>
      <c r="N35" s="130" t="s">
        <v>258</v>
      </c>
      <c r="Q35" s="130" t="s">
        <v>259</v>
      </c>
      <c r="T35" s="130" t="s">
        <v>260</v>
      </c>
      <c r="W35" s="130" t="s">
        <v>261</v>
      </c>
      <c r="Z35" s="130" t="s">
        <v>294</v>
      </c>
      <c r="AC35" s="130" t="s">
        <v>294</v>
      </c>
      <c r="AF35" s="130" t="s">
        <v>294</v>
      </c>
    </row>
    <row r="36" spans="1:32" s="130" customFormat="1">
      <c r="E36" s="130" t="s">
        <v>262</v>
      </c>
      <c r="H36" s="130" t="s">
        <v>263</v>
      </c>
      <c r="K36" s="122" t="s">
        <v>264</v>
      </c>
      <c r="N36" s="182" t="s">
        <v>265</v>
      </c>
      <c r="Q36" s="130" t="s">
        <v>295</v>
      </c>
      <c r="T36" s="130" t="s">
        <v>266</v>
      </c>
      <c r="W36" s="130" t="s">
        <v>262</v>
      </c>
      <c r="Z36" s="130" t="s">
        <v>266</v>
      </c>
      <c r="AC36" s="130" t="s">
        <v>266</v>
      </c>
      <c r="AF36" s="130" t="s">
        <v>266</v>
      </c>
    </row>
    <row r="37" spans="1:32" s="130" customFormat="1" ht="13.2">
      <c r="E37" s="183" t="s">
        <v>287</v>
      </c>
      <c r="H37" s="921" t="s">
        <v>268</v>
      </c>
      <c r="K37" s="184" t="s">
        <v>269</v>
      </c>
      <c r="N37" s="184" t="s">
        <v>270</v>
      </c>
      <c r="Q37" s="184" t="s">
        <v>271</v>
      </c>
      <c r="T37" s="921" t="s">
        <v>272</v>
      </c>
      <c r="W37" s="183" t="s">
        <v>267</v>
      </c>
      <c r="Z37" s="921" t="s">
        <v>272</v>
      </c>
      <c r="AC37" s="183" t="s">
        <v>272</v>
      </c>
      <c r="AD37" s="190"/>
      <c r="AF37" s="921" t="s">
        <v>272</v>
      </c>
    </row>
    <row r="39" spans="1:32" ht="12">
      <c r="A39" s="185" t="s">
        <v>801</v>
      </c>
      <c r="D39" s="117" t="s">
        <v>108</v>
      </c>
      <c r="E39" s="25">
        <v>1321</v>
      </c>
      <c r="F39" s="25"/>
      <c r="G39" s="25" t="s">
        <v>108</v>
      </c>
      <c r="H39" s="25">
        <v>1723</v>
      </c>
      <c r="J39" s="25" t="s">
        <v>108</v>
      </c>
      <c r="K39" s="25">
        <v>-1731</v>
      </c>
      <c r="L39" s="25"/>
      <c r="M39" s="117" t="s">
        <v>108</v>
      </c>
      <c r="N39" s="25">
        <v>0</v>
      </c>
      <c r="P39" s="25" t="s">
        <v>108</v>
      </c>
      <c r="Q39" s="25">
        <v>0</v>
      </c>
      <c r="R39" s="25"/>
      <c r="S39" s="25" t="s">
        <v>108</v>
      </c>
      <c r="T39" s="25">
        <v>0</v>
      </c>
      <c r="U39" s="25"/>
      <c r="V39" s="25" t="s">
        <v>108</v>
      </c>
      <c r="W39" s="25">
        <v>1313</v>
      </c>
      <c r="Y39" s="25" t="s">
        <v>108</v>
      </c>
      <c r="Z39" s="117">
        <v>1313</v>
      </c>
      <c r="AA39" s="25"/>
      <c r="AB39" s="25" t="s">
        <v>108</v>
      </c>
      <c r="AC39" s="25">
        <v>0</v>
      </c>
      <c r="AE39" s="117" t="s">
        <v>108</v>
      </c>
      <c r="AF39" s="117">
        <v>1313</v>
      </c>
    </row>
    <row r="40" spans="1:32">
      <c r="E40" s="25"/>
      <c r="F40" s="25"/>
      <c r="G40" s="25"/>
      <c r="H40" s="25"/>
      <c r="J40" s="25"/>
      <c r="K40" s="25"/>
      <c r="L40" s="25"/>
      <c r="M40" s="25"/>
      <c r="N40" s="25"/>
      <c r="P40" s="25"/>
      <c r="Q40" s="25"/>
      <c r="R40" s="25"/>
      <c r="S40" s="25"/>
      <c r="T40" s="25"/>
      <c r="U40" s="25"/>
      <c r="V40" s="25"/>
      <c r="W40" s="25"/>
      <c r="Y40" s="25"/>
      <c r="AA40" s="25"/>
      <c r="AB40" s="25"/>
      <c r="AC40" s="25"/>
    </row>
    <row r="41" spans="1:32" ht="12">
      <c r="A41" s="185" t="s">
        <v>273</v>
      </c>
      <c r="E41" s="25"/>
      <c r="F41" s="25"/>
      <c r="G41" s="25"/>
      <c r="H41" s="25"/>
      <c r="J41" s="25"/>
      <c r="K41" s="25"/>
      <c r="L41" s="25"/>
      <c r="M41" s="25"/>
      <c r="N41" s="25"/>
      <c r="P41" s="25"/>
      <c r="Q41" s="25"/>
      <c r="R41" s="25"/>
      <c r="S41" s="25"/>
      <c r="T41" s="25"/>
      <c r="U41" s="25"/>
      <c r="V41" s="25"/>
      <c r="W41" s="25"/>
      <c r="Y41" s="25"/>
      <c r="Z41" s="25"/>
      <c r="AA41" s="25"/>
      <c r="AB41" s="25"/>
      <c r="AC41" s="25"/>
    </row>
    <row r="42" spans="1:32">
      <c r="B42" s="143" t="s">
        <v>274</v>
      </c>
    </row>
    <row r="43" spans="1:32">
      <c r="B43" s="143"/>
      <c r="C43" s="117" t="s">
        <v>275</v>
      </c>
      <c r="E43" s="25">
        <v>573</v>
      </c>
      <c r="F43" s="25"/>
      <c r="G43" s="25"/>
      <c r="H43" s="25">
        <v>64</v>
      </c>
      <c r="J43" s="25"/>
      <c r="K43" s="25">
        <v>-47</v>
      </c>
      <c r="L43" s="25"/>
      <c r="M43" s="25"/>
      <c r="N43" s="25">
        <v>0</v>
      </c>
      <c r="P43" s="25"/>
      <c r="Q43" s="25">
        <v>0</v>
      </c>
      <c r="R43" s="25"/>
      <c r="S43" s="25"/>
      <c r="T43" s="25">
        <v>0</v>
      </c>
      <c r="U43" s="25"/>
      <c r="V43" s="25"/>
      <c r="W43" s="25">
        <v>590</v>
      </c>
      <c r="Y43" s="25"/>
      <c r="Z43" s="117">
        <v>590</v>
      </c>
      <c r="AA43" s="25"/>
      <c r="AB43" s="25"/>
      <c r="AC43" s="25">
        <v>0</v>
      </c>
      <c r="AF43" s="117">
        <v>590</v>
      </c>
    </row>
    <row r="44" spans="1:32">
      <c r="B44" s="98" t="s">
        <v>282</v>
      </c>
      <c r="E44" s="25">
        <v>1917</v>
      </c>
      <c r="F44" s="25"/>
      <c r="G44" s="25"/>
      <c r="H44" s="25">
        <v>87</v>
      </c>
      <c r="J44" s="25"/>
      <c r="K44" s="25">
        <v>-95</v>
      </c>
      <c r="L44" s="25"/>
      <c r="M44" s="25"/>
      <c r="N44" s="25">
        <v>-10</v>
      </c>
      <c r="P44" s="25"/>
      <c r="Q44" s="25">
        <v>-12</v>
      </c>
      <c r="R44" s="25"/>
      <c r="S44" s="25"/>
      <c r="T44" s="25">
        <v>-62</v>
      </c>
      <c r="U44" s="25"/>
      <c r="V44" s="25"/>
      <c r="W44" s="25">
        <v>1825</v>
      </c>
      <c r="Y44" s="25"/>
      <c r="Z44" s="117">
        <v>1928</v>
      </c>
      <c r="AA44" s="25"/>
      <c r="AB44" s="25"/>
      <c r="AC44" s="25">
        <v>-103</v>
      </c>
      <c r="AF44" s="117">
        <v>1825</v>
      </c>
    </row>
    <row r="45" spans="1:32">
      <c r="B45" s="98" t="s">
        <v>283</v>
      </c>
      <c r="E45" s="25">
        <v>369</v>
      </c>
      <c r="F45" s="25"/>
      <c r="G45" s="25"/>
      <c r="H45" s="25">
        <v>12</v>
      </c>
      <c r="J45" s="25"/>
      <c r="K45" s="25">
        <v>-28</v>
      </c>
      <c r="L45" s="25"/>
      <c r="M45" s="25"/>
      <c r="N45" s="25">
        <v>-26</v>
      </c>
      <c r="P45" s="25"/>
      <c r="Q45" s="25">
        <v>5</v>
      </c>
      <c r="R45" s="25"/>
      <c r="S45" s="25"/>
      <c r="T45" s="25">
        <v>-60</v>
      </c>
      <c r="U45" s="25"/>
      <c r="V45" s="25"/>
      <c r="W45" s="25">
        <v>272</v>
      </c>
      <c r="Y45" s="25"/>
      <c r="Z45" s="117">
        <v>228</v>
      </c>
      <c r="AA45" s="25"/>
      <c r="AB45" s="25"/>
      <c r="AC45" s="25">
        <v>44</v>
      </c>
      <c r="AF45" s="117">
        <v>272</v>
      </c>
    </row>
    <row r="46" spans="1:32">
      <c r="C46" s="117" t="s">
        <v>279</v>
      </c>
      <c r="E46" s="40">
        <v>2859</v>
      </c>
      <c r="H46" s="40">
        <v>163</v>
      </c>
      <c r="K46" s="40">
        <v>-170</v>
      </c>
      <c r="N46" s="40">
        <v>-36</v>
      </c>
      <c r="Q46" s="40">
        <v>-7</v>
      </c>
      <c r="T46" s="40">
        <v>-122</v>
      </c>
      <c r="W46" s="40">
        <v>2687</v>
      </c>
      <c r="Z46" s="189">
        <v>2746</v>
      </c>
      <c r="AC46" s="40">
        <v>-59</v>
      </c>
      <c r="AD46" s="121"/>
      <c r="AF46" s="40">
        <v>2687</v>
      </c>
    </row>
    <row r="47" spans="1:32">
      <c r="E47" s="25"/>
      <c r="W47" s="25"/>
      <c r="AC47" s="25"/>
      <c r="AF47" s="25"/>
    </row>
    <row r="48" spans="1:32" ht="12.6" thickBot="1">
      <c r="A48" s="185" t="s">
        <v>280</v>
      </c>
      <c r="D48" s="117" t="s">
        <v>108</v>
      </c>
      <c r="E48" s="46">
        <v>4180</v>
      </c>
      <c r="G48" s="117" t="s">
        <v>108</v>
      </c>
      <c r="H48" s="46">
        <v>1886</v>
      </c>
      <c r="J48" s="117" t="s">
        <v>108</v>
      </c>
      <c r="K48" s="46">
        <v>-1901</v>
      </c>
      <c r="M48" s="117" t="s">
        <v>108</v>
      </c>
      <c r="N48" s="46">
        <v>-36</v>
      </c>
      <c r="P48" s="117" t="s">
        <v>108</v>
      </c>
      <c r="Q48" s="46">
        <v>-7</v>
      </c>
      <c r="S48" s="117" t="s">
        <v>108</v>
      </c>
      <c r="T48" s="46">
        <v>-122</v>
      </c>
      <c r="V48" s="117" t="s">
        <v>108</v>
      </c>
      <c r="W48" s="46">
        <v>4000</v>
      </c>
      <c r="Y48" s="117" t="s">
        <v>108</v>
      </c>
      <c r="Z48" s="136">
        <v>4059</v>
      </c>
      <c r="AB48" s="117" t="s">
        <v>108</v>
      </c>
      <c r="AC48" s="46">
        <v>-59</v>
      </c>
      <c r="AD48" s="121"/>
      <c r="AE48" s="117" t="s">
        <v>108</v>
      </c>
      <c r="AF48" s="46">
        <v>4000</v>
      </c>
    </row>
    <row r="49" spans="1:32" ht="12.6" thickTop="1">
      <c r="A49" s="185"/>
      <c r="E49" s="27"/>
      <c r="N49" s="121"/>
      <c r="Q49" s="121"/>
      <c r="T49" s="121"/>
      <c r="W49" s="27"/>
      <c r="Z49" s="121"/>
      <c r="AC49" s="27"/>
      <c r="AD49" s="121"/>
      <c r="AF49" s="27"/>
    </row>
    <row r="50" spans="1:32" ht="15" customHeight="1">
      <c r="A50" s="187"/>
      <c r="B50" s="150"/>
      <c r="C50" s="150"/>
    </row>
    <row r="51" spans="1:32" ht="15" hidden="1" customHeight="1">
      <c r="A51" s="187"/>
      <c r="B51" s="150"/>
      <c r="C51" s="150"/>
    </row>
    <row r="52" spans="1:32" ht="15.6" hidden="1">
      <c r="A52" s="187"/>
      <c r="B52" s="150"/>
    </row>
    <row r="53" spans="1:32" hidden="1"/>
    <row r="54" spans="1:32" hidden="1"/>
    <row r="55" spans="1:32" ht="13.2" hidden="1">
      <c r="A55" s="897"/>
      <c r="B55" s="897"/>
      <c r="C55" s="897"/>
      <c r="D55" s="983" t="s">
        <v>249</v>
      </c>
      <c r="E55" s="983"/>
      <c r="F55" s="983"/>
      <c r="G55" s="983"/>
      <c r="H55" s="983"/>
      <c r="I55" s="983"/>
      <c r="J55" s="983"/>
      <c r="K55" s="983"/>
      <c r="L55" s="983"/>
      <c r="M55" s="983"/>
      <c r="N55" s="983"/>
      <c r="O55" s="983"/>
      <c r="P55" s="983"/>
      <c r="Q55" s="983"/>
      <c r="R55" s="983"/>
      <c r="S55" s="983"/>
      <c r="T55" s="983"/>
      <c r="U55" s="983"/>
      <c r="V55" s="983"/>
      <c r="W55" s="983"/>
      <c r="X55" s="188"/>
      <c r="Z55" s="984" t="s">
        <v>288</v>
      </c>
      <c r="AA55" s="984"/>
      <c r="AB55" s="984"/>
      <c r="AC55" s="984"/>
      <c r="AD55" s="984"/>
      <c r="AE55" s="984"/>
      <c r="AF55" s="984"/>
    </row>
    <row r="56" spans="1:32" ht="13.2" hidden="1">
      <c r="A56" s="897"/>
      <c r="B56" s="897"/>
      <c r="C56" s="897"/>
      <c r="D56" s="982" t="s">
        <v>3</v>
      </c>
      <c r="E56" s="982"/>
      <c r="F56" s="982"/>
      <c r="G56" s="982"/>
      <c r="H56" s="982"/>
      <c r="I56" s="982"/>
      <c r="J56" s="982"/>
      <c r="K56" s="982"/>
      <c r="L56" s="982"/>
      <c r="M56" s="982"/>
      <c r="N56" s="982"/>
      <c r="O56" s="982"/>
      <c r="P56" s="982"/>
      <c r="Q56" s="982"/>
      <c r="R56" s="982"/>
      <c r="S56" s="982"/>
      <c r="T56" s="982"/>
      <c r="U56" s="982"/>
      <c r="V56" s="982"/>
      <c r="W56" s="982"/>
      <c r="X56" s="188"/>
      <c r="Z56" s="982" t="s">
        <v>4</v>
      </c>
      <c r="AA56" s="982"/>
      <c r="AB56" s="982"/>
      <c r="AC56" s="982"/>
      <c r="AD56" s="982"/>
      <c r="AE56" s="982"/>
      <c r="AF56" s="982"/>
    </row>
    <row r="57" spans="1:32" ht="13.2" hidden="1">
      <c r="A57" s="897"/>
      <c r="B57" s="897"/>
      <c r="C57" s="897"/>
      <c r="D57" s="181"/>
      <c r="E57" s="181"/>
      <c r="F57" s="181"/>
      <c r="G57" s="181"/>
      <c r="H57" s="181"/>
      <c r="I57" s="181"/>
      <c r="J57" s="181"/>
      <c r="K57" s="181"/>
      <c r="L57" s="181"/>
      <c r="M57" s="181"/>
      <c r="N57" s="181"/>
      <c r="O57" s="181"/>
      <c r="P57" s="181"/>
      <c r="Q57" s="181"/>
      <c r="R57" s="181"/>
      <c r="S57" s="181"/>
      <c r="T57" s="181"/>
      <c r="U57" s="181"/>
      <c r="V57" s="181"/>
      <c r="W57" s="181"/>
      <c r="X57" s="181"/>
      <c r="Y57" s="181"/>
      <c r="Z57" s="181"/>
      <c r="AA57" s="181"/>
      <c r="AB57" s="181"/>
      <c r="AC57" s="181"/>
      <c r="AD57" s="181"/>
      <c r="AE57" s="181"/>
    </row>
    <row r="58" spans="1:32" ht="13.2" hidden="1">
      <c r="A58" s="897"/>
      <c r="B58" s="897"/>
      <c r="C58" s="897"/>
      <c r="D58" s="181"/>
      <c r="E58" s="181"/>
      <c r="F58" s="181"/>
      <c r="G58" s="181"/>
      <c r="H58" s="181"/>
      <c r="I58" s="181"/>
      <c r="J58" s="181"/>
      <c r="K58" s="181"/>
      <c r="L58" s="181"/>
      <c r="M58" s="181"/>
      <c r="N58" s="130" t="s">
        <v>250</v>
      </c>
      <c r="O58" s="181"/>
      <c r="P58" s="181"/>
      <c r="Q58" s="130"/>
      <c r="R58" s="181"/>
      <c r="S58" s="181"/>
      <c r="T58" s="181"/>
      <c r="U58" s="181"/>
      <c r="V58" s="181"/>
      <c r="W58" s="181"/>
      <c r="X58" s="181"/>
      <c r="Y58" s="181"/>
      <c r="Z58" s="122"/>
      <c r="AA58" s="181"/>
      <c r="AB58" s="181"/>
      <c r="AC58" s="181"/>
      <c r="AD58" s="181"/>
      <c r="AE58" s="181"/>
    </row>
    <row r="59" spans="1:32" ht="13.2" hidden="1">
      <c r="A59" s="897"/>
      <c r="B59" s="897"/>
      <c r="C59" s="897"/>
      <c r="D59" s="897"/>
      <c r="E59" s="897"/>
      <c r="F59" s="897"/>
      <c r="G59" s="897"/>
      <c r="H59" s="897"/>
      <c r="I59" s="897"/>
      <c r="J59" s="897"/>
      <c r="K59" s="897"/>
      <c r="L59" s="897"/>
      <c r="M59" s="922"/>
      <c r="N59" s="130" t="s">
        <v>251</v>
      </c>
      <c r="Q59" s="130"/>
      <c r="U59" s="130"/>
      <c r="V59" s="897"/>
      <c r="W59" s="897"/>
      <c r="AE59" s="121"/>
      <c r="AF59" s="121"/>
    </row>
    <row r="60" spans="1:32" ht="13.2" hidden="1">
      <c r="A60" s="897"/>
      <c r="B60" s="897"/>
      <c r="C60" s="897"/>
      <c r="D60" s="897"/>
      <c r="E60" s="897"/>
      <c r="F60" s="897"/>
      <c r="G60" s="897"/>
      <c r="H60" s="897"/>
      <c r="I60" s="897"/>
      <c r="J60" s="897"/>
      <c r="K60" s="897"/>
      <c r="L60" s="897"/>
      <c r="M60" s="922"/>
      <c r="N60" s="122" t="s">
        <v>252</v>
      </c>
      <c r="P60" s="897"/>
      <c r="Q60" s="130" t="s">
        <v>253</v>
      </c>
      <c r="R60" s="897"/>
      <c r="S60" s="897"/>
      <c r="T60" s="130"/>
      <c r="W60" s="130"/>
      <c r="Y60" s="130"/>
      <c r="Z60" s="130" t="s">
        <v>289</v>
      </c>
      <c r="AC60" s="130"/>
      <c r="AF60" s="130" t="s">
        <v>290</v>
      </c>
    </row>
    <row r="61" spans="1:32" ht="14.25" hidden="1" customHeight="1">
      <c r="N61" s="182" t="s">
        <v>291</v>
      </c>
      <c r="O61" s="130"/>
      <c r="Q61" s="130" t="s">
        <v>254</v>
      </c>
      <c r="T61" s="130" t="s">
        <v>255</v>
      </c>
      <c r="W61" s="130"/>
      <c r="Y61" s="130"/>
      <c r="Z61" s="130" t="s">
        <v>292</v>
      </c>
      <c r="AC61" s="130" t="s">
        <v>293</v>
      </c>
      <c r="AF61" s="130" t="s">
        <v>292</v>
      </c>
    </row>
    <row r="62" spans="1:32" s="130" customFormat="1" ht="12" hidden="1" customHeight="1">
      <c r="E62" s="130" t="s">
        <v>256</v>
      </c>
      <c r="H62" s="130" t="s">
        <v>257</v>
      </c>
      <c r="K62" s="130" t="s">
        <v>250</v>
      </c>
      <c r="N62" s="130" t="s">
        <v>258</v>
      </c>
      <c r="Q62" s="130" t="s">
        <v>259</v>
      </c>
      <c r="T62" s="130" t="s">
        <v>260</v>
      </c>
      <c r="W62" s="130" t="s">
        <v>261</v>
      </c>
      <c r="Z62" s="130" t="s">
        <v>294</v>
      </c>
      <c r="AC62" s="130" t="s">
        <v>294</v>
      </c>
      <c r="AF62" s="130" t="s">
        <v>294</v>
      </c>
    </row>
    <row r="63" spans="1:32" s="130" customFormat="1" ht="12" hidden="1" customHeight="1">
      <c r="E63" s="130" t="s">
        <v>262</v>
      </c>
      <c r="H63" s="130" t="s">
        <v>263</v>
      </c>
      <c r="K63" s="122" t="s">
        <v>264</v>
      </c>
      <c r="N63" s="182" t="s">
        <v>265</v>
      </c>
      <c r="Q63" s="130" t="s">
        <v>295</v>
      </c>
      <c r="T63" s="130" t="s">
        <v>266</v>
      </c>
      <c r="W63" s="130" t="s">
        <v>262</v>
      </c>
      <c r="Z63" s="130" t="s">
        <v>266</v>
      </c>
      <c r="AC63" s="130" t="s">
        <v>266</v>
      </c>
      <c r="AF63" s="130" t="s">
        <v>266</v>
      </c>
    </row>
    <row r="64" spans="1:32" s="130" customFormat="1" ht="13.2" hidden="1">
      <c r="D64" s="122"/>
      <c r="E64" s="183" t="s">
        <v>286</v>
      </c>
      <c r="H64" s="921" t="s">
        <v>268</v>
      </c>
      <c r="K64" s="184" t="s">
        <v>269</v>
      </c>
      <c r="N64" s="184" t="s">
        <v>270</v>
      </c>
      <c r="Q64" s="184" t="s">
        <v>271</v>
      </c>
      <c r="T64" s="921" t="s">
        <v>272</v>
      </c>
      <c r="W64" s="183" t="s">
        <v>5</v>
      </c>
      <c r="Y64" s="122"/>
      <c r="Z64" s="921" t="s">
        <v>272</v>
      </c>
      <c r="AC64" s="921" t="s">
        <v>272</v>
      </c>
      <c r="AF64" s="921" t="s">
        <v>272</v>
      </c>
    </row>
    <row r="65" spans="1:32" hidden="1"/>
    <row r="66" spans="1:32" ht="12" hidden="1">
      <c r="A66" s="185" t="s">
        <v>801</v>
      </c>
      <c r="D66" s="117" t="s">
        <v>108</v>
      </c>
      <c r="E66" s="25">
        <v>1348</v>
      </c>
      <c r="F66" s="25"/>
      <c r="G66" s="25" t="s">
        <v>108</v>
      </c>
      <c r="H66" s="25">
        <v>844</v>
      </c>
      <c r="J66" s="25" t="s">
        <v>108</v>
      </c>
      <c r="K66" s="25">
        <v>-878</v>
      </c>
      <c r="L66" s="25"/>
      <c r="M66" s="117" t="s">
        <v>108</v>
      </c>
      <c r="N66" s="25">
        <v>0</v>
      </c>
      <c r="P66" s="25" t="s">
        <v>108</v>
      </c>
      <c r="Q66" s="25">
        <v>0</v>
      </c>
      <c r="R66" s="25"/>
      <c r="S66" s="25" t="s">
        <v>108</v>
      </c>
      <c r="T66" s="25">
        <v>0</v>
      </c>
      <c r="U66" s="25"/>
      <c r="V66" s="25" t="s">
        <v>108</v>
      </c>
      <c r="W66" s="25">
        <v>1314</v>
      </c>
      <c r="Y66" s="117" t="s">
        <v>108</v>
      </c>
      <c r="Z66" s="117">
        <v>1314</v>
      </c>
      <c r="AB66" s="117" t="s">
        <v>108</v>
      </c>
      <c r="AC66" s="25">
        <v>0</v>
      </c>
      <c r="AE66" s="117" t="s">
        <v>108</v>
      </c>
      <c r="AF66" s="117">
        <v>1314</v>
      </c>
    </row>
    <row r="67" spans="1:32" hidden="1">
      <c r="E67" s="25"/>
      <c r="F67" s="25"/>
      <c r="G67" s="25"/>
      <c r="H67" s="25"/>
      <c r="J67" s="25"/>
      <c r="K67" s="25"/>
      <c r="L67" s="25"/>
      <c r="M67" s="25"/>
      <c r="N67" s="25"/>
      <c r="P67" s="25"/>
      <c r="Q67" s="25"/>
      <c r="R67" s="25"/>
      <c r="S67" s="25"/>
      <c r="T67" s="25"/>
      <c r="U67" s="25"/>
      <c r="V67" s="25"/>
      <c r="W67" s="25"/>
    </row>
    <row r="68" spans="1:32" ht="12" hidden="1">
      <c r="A68" s="185" t="s">
        <v>273</v>
      </c>
      <c r="E68" s="25"/>
      <c r="F68" s="25"/>
      <c r="G68" s="25"/>
      <c r="H68" s="25"/>
      <c r="J68" s="25"/>
      <c r="K68" s="25"/>
      <c r="L68" s="25"/>
      <c r="M68" s="25"/>
      <c r="N68" s="25"/>
      <c r="P68" s="25"/>
      <c r="Q68" s="25"/>
      <c r="R68" s="25"/>
      <c r="S68" s="25"/>
      <c r="T68" s="25"/>
      <c r="U68" s="25"/>
      <c r="V68" s="25"/>
      <c r="W68" s="25"/>
    </row>
    <row r="69" spans="1:32" hidden="1">
      <c r="B69" s="143" t="s">
        <v>274</v>
      </c>
    </row>
    <row r="70" spans="1:32" hidden="1">
      <c r="B70" s="143"/>
      <c r="C70" s="117" t="s">
        <v>275</v>
      </c>
      <c r="E70" s="25">
        <v>616</v>
      </c>
      <c r="F70" s="25"/>
      <c r="G70" s="25"/>
      <c r="H70" s="25">
        <v>38</v>
      </c>
      <c r="J70" s="25"/>
      <c r="K70" s="25">
        <v>-27</v>
      </c>
      <c r="L70" s="25"/>
      <c r="M70" s="25"/>
      <c r="N70" s="25">
        <v>0</v>
      </c>
      <c r="P70" s="25"/>
      <c r="Q70" s="25">
        <v>0</v>
      </c>
      <c r="R70" s="25"/>
      <c r="S70" s="25"/>
      <c r="T70" s="25">
        <v>0</v>
      </c>
      <c r="U70" s="25"/>
      <c r="V70" s="25"/>
      <c r="W70" s="25">
        <v>627</v>
      </c>
      <c r="Z70" s="117">
        <v>627</v>
      </c>
      <c r="AC70" s="186">
        <v>0</v>
      </c>
      <c r="AF70" s="117">
        <v>627</v>
      </c>
    </row>
    <row r="71" spans="1:32" hidden="1">
      <c r="B71" s="143" t="s">
        <v>276</v>
      </c>
      <c r="E71" s="25">
        <v>1698</v>
      </c>
      <c r="F71" s="25"/>
      <c r="G71" s="25"/>
      <c r="H71" s="25">
        <v>42</v>
      </c>
      <c r="J71" s="25"/>
      <c r="K71" s="25">
        <v>-47</v>
      </c>
      <c r="L71" s="25"/>
      <c r="M71" s="25"/>
      <c r="N71" s="25">
        <v>-2</v>
      </c>
      <c r="P71" s="25"/>
      <c r="Q71" s="25">
        <v>0</v>
      </c>
      <c r="R71" s="25"/>
      <c r="S71" s="25"/>
      <c r="T71" s="25">
        <v>-17</v>
      </c>
      <c r="U71" s="25"/>
      <c r="V71" s="25"/>
      <c r="W71" s="25">
        <v>1674</v>
      </c>
      <c r="Z71" s="117">
        <v>1909</v>
      </c>
      <c r="AC71" s="186">
        <v>-235</v>
      </c>
      <c r="AF71" s="117">
        <v>1674</v>
      </c>
    </row>
    <row r="72" spans="1:32" hidden="1">
      <c r="B72" s="143" t="s">
        <v>277</v>
      </c>
      <c r="E72" s="25">
        <v>209</v>
      </c>
      <c r="F72" s="25"/>
      <c r="G72" s="25"/>
      <c r="H72" s="25">
        <v>4</v>
      </c>
      <c r="J72" s="25"/>
      <c r="K72" s="25">
        <v>-12</v>
      </c>
      <c r="L72" s="25"/>
      <c r="M72" s="25"/>
      <c r="N72" s="25">
        <v>-13</v>
      </c>
      <c r="P72" s="25"/>
      <c r="Q72" s="25">
        <v>0</v>
      </c>
      <c r="R72" s="25"/>
      <c r="S72" s="25"/>
      <c r="T72" s="25">
        <v>-87</v>
      </c>
      <c r="U72" s="25"/>
      <c r="V72" s="25"/>
      <c r="W72" s="25">
        <v>101</v>
      </c>
      <c r="Z72" s="117">
        <v>81</v>
      </c>
      <c r="AC72" s="186">
        <v>20</v>
      </c>
      <c r="AF72" s="117">
        <v>101</v>
      </c>
    </row>
    <row r="73" spans="1:32" hidden="1">
      <c r="C73" s="117" t="s">
        <v>279</v>
      </c>
      <c r="E73" s="40">
        <v>2523</v>
      </c>
      <c r="H73" s="40">
        <v>84</v>
      </c>
      <c r="K73" s="40">
        <v>-86</v>
      </c>
      <c r="N73" s="40">
        <v>-15</v>
      </c>
      <c r="Q73" s="40">
        <v>0</v>
      </c>
      <c r="T73" s="40">
        <v>-104</v>
      </c>
      <c r="W73" s="40">
        <v>2402</v>
      </c>
      <c r="Z73" s="189">
        <v>2617</v>
      </c>
      <c r="AC73" s="40">
        <v>-215</v>
      </c>
      <c r="AF73" s="189">
        <v>2402</v>
      </c>
    </row>
    <row r="74" spans="1:32" hidden="1">
      <c r="E74" s="25"/>
      <c r="W74" s="25"/>
    </row>
    <row r="75" spans="1:32" ht="12.6" hidden="1" thickBot="1">
      <c r="A75" s="185" t="s">
        <v>280</v>
      </c>
      <c r="D75" s="117" t="s">
        <v>108</v>
      </c>
      <c r="E75" s="46">
        <v>3871</v>
      </c>
      <c r="G75" s="117" t="s">
        <v>108</v>
      </c>
      <c r="H75" s="46">
        <v>928</v>
      </c>
      <c r="J75" s="117" t="s">
        <v>108</v>
      </c>
      <c r="K75" s="46">
        <v>-964</v>
      </c>
      <c r="M75" s="117" t="s">
        <v>108</v>
      </c>
      <c r="N75" s="46">
        <v>-15</v>
      </c>
      <c r="P75" s="117" t="s">
        <v>108</v>
      </c>
      <c r="Q75" s="46">
        <v>0</v>
      </c>
      <c r="S75" s="117" t="s">
        <v>108</v>
      </c>
      <c r="T75" s="46">
        <v>-104</v>
      </c>
      <c r="V75" s="117" t="s">
        <v>108</v>
      </c>
      <c r="W75" s="46">
        <v>3716</v>
      </c>
      <c r="Y75" s="117" t="s">
        <v>108</v>
      </c>
      <c r="Z75" s="136">
        <v>3931</v>
      </c>
      <c r="AB75" s="117" t="s">
        <v>108</v>
      </c>
      <c r="AC75" s="46">
        <v>-215</v>
      </c>
      <c r="AE75" s="117" t="s">
        <v>108</v>
      </c>
      <c r="AF75" s="136">
        <v>3716</v>
      </c>
    </row>
    <row r="76" spans="1:32" ht="12" hidden="1" thickTop="1"/>
    <row r="77" spans="1:32" hidden="1"/>
    <row r="78" spans="1:32" ht="12" hidden="1">
      <c r="D78" s="983" t="s">
        <v>249</v>
      </c>
      <c r="E78" s="983"/>
      <c r="F78" s="983"/>
      <c r="G78" s="983"/>
      <c r="H78" s="983"/>
      <c r="I78" s="983"/>
      <c r="J78" s="983"/>
      <c r="K78" s="983"/>
      <c r="L78" s="983"/>
      <c r="M78" s="983"/>
      <c r="N78" s="983"/>
      <c r="O78" s="983"/>
      <c r="P78" s="983"/>
      <c r="Q78" s="983"/>
      <c r="R78" s="983"/>
      <c r="S78" s="983"/>
      <c r="T78" s="983"/>
      <c r="U78" s="983"/>
      <c r="V78" s="983"/>
      <c r="W78" s="983"/>
      <c r="X78" s="188"/>
      <c r="Y78" s="188"/>
      <c r="Z78" s="188"/>
      <c r="AA78" s="188"/>
      <c r="AB78" s="188"/>
      <c r="AC78" s="922" t="s">
        <v>288</v>
      </c>
      <c r="AD78" s="922"/>
      <c r="AE78" s="922"/>
      <c r="AF78" s="922"/>
    </row>
    <row r="79" spans="1:32" ht="12" hidden="1">
      <c r="D79" s="982" t="s">
        <v>38</v>
      </c>
      <c r="E79" s="982"/>
      <c r="F79" s="982"/>
      <c r="G79" s="982"/>
      <c r="H79" s="982"/>
      <c r="I79" s="982"/>
      <c r="J79" s="982"/>
      <c r="K79" s="982"/>
      <c r="L79" s="982"/>
      <c r="M79" s="982"/>
      <c r="N79" s="982"/>
      <c r="O79" s="982"/>
      <c r="P79" s="982"/>
      <c r="Q79" s="982"/>
      <c r="R79" s="982"/>
      <c r="S79" s="982"/>
      <c r="T79" s="982"/>
      <c r="U79" s="982"/>
      <c r="V79" s="982"/>
      <c r="W79" s="982"/>
      <c r="X79" s="188"/>
      <c r="Y79" s="188"/>
      <c r="Z79" s="982" t="s">
        <v>6</v>
      </c>
      <c r="AA79" s="982"/>
      <c r="AB79" s="982"/>
      <c r="AC79" s="982"/>
      <c r="AD79" s="982"/>
      <c r="AE79" s="982"/>
      <c r="AF79" s="982"/>
    </row>
    <row r="80" spans="1:32" ht="12" hidden="1">
      <c r="D80" s="181"/>
      <c r="E80" s="181"/>
      <c r="F80" s="181"/>
      <c r="G80" s="181"/>
      <c r="H80" s="181"/>
      <c r="I80" s="181"/>
      <c r="J80" s="181"/>
      <c r="K80" s="181"/>
      <c r="L80" s="181"/>
      <c r="M80" s="181"/>
      <c r="N80" s="181"/>
      <c r="O80" s="181"/>
      <c r="P80" s="181"/>
      <c r="Q80" s="181"/>
      <c r="R80" s="181"/>
      <c r="S80" s="181"/>
      <c r="T80" s="181"/>
      <c r="U80" s="181"/>
      <c r="V80" s="181"/>
      <c r="W80" s="181"/>
      <c r="X80" s="188"/>
      <c r="Y80" s="188"/>
      <c r="Z80" s="181"/>
      <c r="AA80" s="181"/>
      <c r="AB80" s="181"/>
      <c r="AC80" s="181"/>
      <c r="AD80" s="181"/>
      <c r="AE80" s="181"/>
      <c r="AF80" s="181"/>
    </row>
    <row r="81" spans="1:32" ht="12" hidden="1">
      <c r="D81" s="181"/>
      <c r="E81" s="181"/>
      <c r="F81" s="181"/>
      <c r="G81" s="181"/>
      <c r="H81" s="181"/>
      <c r="I81" s="181"/>
      <c r="J81" s="181"/>
      <c r="K81" s="181"/>
      <c r="L81" s="181"/>
      <c r="M81" s="181"/>
      <c r="N81" s="130"/>
      <c r="O81" s="181"/>
      <c r="P81" s="181"/>
      <c r="Q81" s="181"/>
      <c r="R81" s="181"/>
      <c r="S81" s="181"/>
      <c r="T81" s="122"/>
      <c r="U81" s="181"/>
      <c r="V81" s="181"/>
      <c r="W81" s="181"/>
      <c r="X81" s="181"/>
      <c r="Y81" s="181"/>
      <c r="Z81" s="181"/>
      <c r="AA81" s="181"/>
      <c r="AB81" s="181"/>
      <c r="AC81" s="181"/>
      <c r="AD81" s="181"/>
      <c r="AE81" s="181"/>
      <c r="AF81" s="181"/>
    </row>
    <row r="82" spans="1:32" ht="13.2" hidden="1">
      <c r="I82" s="897"/>
      <c r="K82" s="897"/>
      <c r="L82" s="897"/>
      <c r="M82" s="922"/>
      <c r="N82" s="130"/>
      <c r="Q82" s="130"/>
      <c r="S82" s="922"/>
      <c r="T82" s="130"/>
    </row>
    <row r="83" spans="1:32" ht="13.2" hidden="1">
      <c r="D83" s="897"/>
      <c r="E83" s="897"/>
      <c r="F83" s="897"/>
      <c r="H83" s="130"/>
      <c r="I83" s="897"/>
      <c r="K83" s="897"/>
      <c r="L83" s="897"/>
      <c r="M83" s="922"/>
      <c r="N83" s="130"/>
      <c r="P83" s="897"/>
      <c r="Q83" s="130" t="s">
        <v>253</v>
      </c>
      <c r="R83" s="897"/>
      <c r="S83" s="897"/>
      <c r="T83" s="130"/>
      <c r="U83" s="897"/>
      <c r="V83" s="897"/>
      <c r="W83" s="130"/>
      <c r="X83" s="897"/>
      <c r="Y83" s="897"/>
      <c r="Z83" s="130" t="s">
        <v>289</v>
      </c>
      <c r="AC83" s="130"/>
      <c r="AF83" s="130" t="s">
        <v>290</v>
      </c>
    </row>
    <row r="84" spans="1:32" hidden="1">
      <c r="E84" s="121"/>
      <c r="H84" s="130"/>
      <c r="N84" s="130" t="s">
        <v>250</v>
      </c>
      <c r="Q84" s="130" t="s">
        <v>254</v>
      </c>
      <c r="T84" s="130" t="s">
        <v>255</v>
      </c>
      <c r="W84" s="130"/>
      <c r="Z84" s="130" t="s">
        <v>292</v>
      </c>
      <c r="AC84" s="130" t="s">
        <v>293</v>
      </c>
      <c r="AF84" s="130" t="s">
        <v>292</v>
      </c>
    </row>
    <row r="85" spans="1:32" s="130" customFormat="1" hidden="1">
      <c r="E85" s="130" t="s">
        <v>256</v>
      </c>
      <c r="H85" s="130" t="s">
        <v>257</v>
      </c>
      <c r="K85" s="130" t="s">
        <v>250</v>
      </c>
      <c r="N85" s="130" t="s">
        <v>251</v>
      </c>
      <c r="Q85" s="130" t="s">
        <v>259</v>
      </c>
      <c r="T85" s="130" t="s">
        <v>260</v>
      </c>
      <c r="W85" s="130" t="s">
        <v>261</v>
      </c>
      <c r="Z85" s="130" t="s">
        <v>294</v>
      </c>
      <c r="AC85" s="130" t="s">
        <v>294</v>
      </c>
      <c r="AF85" s="130" t="s">
        <v>294</v>
      </c>
    </row>
    <row r="86" spans="1:32" s="130" customFormat="1" hidden="1">
      <c r="E86" s="130" t="s">
        <v>262</v>
      </c>
      <c r="H86" s="130" t="s">
        <v>263</v>
      </c>
      <c r="K86" s="122" t="s">
        <v>264</v>
      </c>
      <c r="N86" s="122" t="s">
        <v>252</v>
      </c>
      <c r="Q86" s="130" t="s">
        <v>295</v>
      </c>
      <c r="T86" s="130" t="s">
        <v>266</v>
      </c>
      <c r="W86" s="130" t="s">
        <v>262</v>
      </c>
      <c r="Z86" s="130" t="s">
        <v>266</v>
      </c>
      <c r="AC86" s="130" t="s">
        <v>266</v>
      </c>
      <c r="AF86" s="130" t="s">
        <v>266</v>
      </c>
    </row>
    <row r="87" spans="1:32" s="130" customFormat="1" ht="13.2" hidden="1">
      <c r="E87" s="183" t="s">
        <v>287</v>
      </c>
      <c r="H87" s="921" t="s">
        <v>268</v>
      </c>
      <c r="K87" s="184" t="s">
        <v>269</v>
      </c>
      <c r="N87" s="184" t="s">
        <v>281</v>
      </c>
      <c r="Q87" s="184" t="s">
        <v>271</v>
      </c>
      <c r="T87" s="921" t="s">
        <v>272</v>
      </c>
      <c r="W87" s="183" t="s">
        <v>399</v>
      </c>
      <c r="Z87" s="921" t="s">
        <v>272</v>
      </c>
      <c r="AC87" s="183" t="s">
        <v>272</v>
      </c>
      <c r="AD87" s="190"/>
      <c r="AF87" s="921" t="s">
        <v>272</v>
      </c>
    </row>
    <row r="88" spans="1:32" hidden="1"/>
    <row r="89" spans="1:32" ht="12" hidden="1">
      <c r="A89" s="185" t="s">
        <v>801</v>
      </c>
      <c r="D89" s="117" t="s">
        <v>108</v>
      </c>
      <c r="E89" s="25">
        <v>1321</v>
      </c>
      <c r="F89" s="25"/>
      <c r="G89" s="25" t="s">
        <v>108</v>
      </c>
      <c r="H89" s="25">
        <v>839</v>
      </c>
      <c r="J89" s="25" t="s">
        <v>108</v>
      </c>
      <c r="K89" s="25">
        <v>-864</v>
      </c>
      <c r="L89" s="25"/>
      <c r="M89" s="117" t="s">
        <v>108</v>
      </c>
      <c r="N89" s="25">
        <v>0</v>
      </c>
      <c r="P89" s="25" t="s">
        <v>108</v>
      </c>
      <c r="Q89" s="25">
        <v>0</v>
      </c>
      <c r="R89" s="25"/>
      <c r="S89" s="25" t="s">
        <v>108</v>
      </c>
      <c r="T89" s="25">
        <v>0</v>
      </c>
      <c r="U89" s="25"/>
      <c r="V89" s="25" t="s">
        <v>108</v>
      </c>
      <c r="W89" s="25">
        <v>1296</v>
      </c>
      <c r="Y89" s="25" t="s">
        <v>108</v>
      </c>
      <c r="Z89" s="117">
        <v>1296</v>
      </c>
      <c r="AA89" s="25"/>
      <c r="AB89" s="25" t="s">
        <v>108</v>
      </c>
      <c r="AC89" s="25">
        <v>0</v>
      </c>
      <c r="AE89" s="117" t="s">
        <v>108</v>
      </c>
      <c r="AF89" s="117">
        <v>1296</v>
      </c>
    </row>
    <row r="90" spans="1:32" hidden="1">
      <c r="E90" s="25"/>
      <c r="F90" s="25"/>
      <c r="G90" s="25"/>
      <c r="H90" s="25"/>
      <c r="J90" s="25"/>
      <c r="K90" s="25"/>
      <c r="L90" s="25"/>
      <c r="M90" s="25"/>
      <c r="N90" s="25"/>
      <c r="P90" s="25"/>
      <c r="Q90" s="25"/>
      <c r="R90" s="25"/>
      <c r="S90" s="25"/>
      <c r="T90" s="25"/>
      <c r="U90" s="25"/>
      <c r="V90" s="25"/>
      <c r="W90" s="25"/>
      <c r="Y90" s="25"/>
      <c r="Z90" s="25"/>
      <c r="AA90" s="25"/>
      <c r="AB90" s="25"/>
      <c r="AC90" s="25"/>
    </row>
    <row r="91" spans="1:32" ht="12" hidden="1">
      <c r="A91" s="185" t="s">
        <v>273</v>
      </c>
      <c r="E91" s="25"/>
      <c r="F91" s="25"/>
      <c r="G91" s="25"/>
      <c r="H91" s="25"/>
      <c r="J91" s="25"/>
      <c r="K91" s="25"/>
      <c r="L91" s="25"/>
      <c r="M91" s="25"/>
      <c r="N91" s="25"/>
      <c r="P91" s="25"/>
      <c r="Q91" s="25"/>
      <c r="R91" s="25"/>
      <c r="S91" s="25"/>
      <c r="T91" s="25"/>
      <c r="U91" s="25"/>
      <c r="V91" s="25"/>
      <c r="W91" s="25"/>
      <c r="Y91" s="25"/>
      <c r="Z91" s="25"/>
      <c r="AA91" s="25"/>
      <c r="AB91" s="25"/>
      <c r="AC91" s="25"/>
    </row>
    <row r="92" spans="1:32" hidden="1">
      <c r="B92" s="143" t="s">
        <v>274</v>
      </c>
    </row>
    <row r="93" spans="1:32" hidden="1">
      <c r="B93" s="143"/>
      <c r="C93" s="117" t="s">
        <v>275</v>
      </c>
      <c r="E93" s="25">
        <v>573</v>
      </c>
      <c r="F93" s="25"/>
      <c r="G93" s="25"/>
      <c r="H93" s="25">
        <v>30</v>
      </c>
      <c r="J93" s="25"/>
      <c r="K93" s="25">
        <v>-23</v>
      </c>
      <c r="L93" s="25"/>
      <c r="M93" s="25"/>
      <c r="N93" s="25">
        <v>0</v>
      </c>
      <c r="P93" s="25"/>
      <c r="Q93" s="25">
        <v>0</v>
      </c>
      <c r="R93" s="25"/>
      <c r="S93" s="25"/>
      <c r="T93" s="25">
        <v>0</v>
      </c>
      <c r="U93" s="25"/>
      <c r="V93" s="25"/>
      <c r="W93" s="25">
        <v>580</v>
      </c>
      <c r="Y93" s="25"/>
      <c r="Z93" s="117">
        <v>580</v>
      </c>
      <c r="AA93" s="25"/>
      <c r="AB93" s="25"/>
      <c r="AC93" s="25">
        <v>0</v>
      </c>
      <c r="AF93" s="117">
        <v>580</v>
      </c>
    </row>
    <row r="94" spans="1:32" hidden="1">
      <c r="B94" s="98" t="s">
        <v>282</v>
      </c>
      <c r="E94" s="25">
        <v>1917</v>
      </c>
      <c r="F94" s="25"/>
      <c r="G94" s="25"/>
      <c r="H94" s="25">
        <v>44</v>
      </c>
      <c r="J94" s="25"/>
      <c r="K94" s="25">
        <v>-48</v>
      </c>
      <c r="L94" s="25"/>
      <c r="M94" s="25"/>
      <c r="N94" s="25">
        <v>-9</v>
      </c>
      <c r="P94" s="25"/>
      <c r="Q94" s="25">
        <v>-12</v>
      </c>
      <c r="R94" s="25"/>
      <c r="S94" s="25"/>
      <c r="T94" s="25">
        <v>-3</v>
      </c>
      <c r="U94" s="25"/>
      <c r="V94" s="25"/>
      <c r="W94" s="25">
        <v>1889</v>
      </c>
      <c r="Y94" s="25"/>
      <c r="Z94" s="117">
        <v>1933</v>
      </c>
      <c r="AA94" s="25"/>
      <c r="AB94" s="25"/>
      <c r="AC94" s="25">
        <v>-44</v>
      </c>
      <c r="AF94" s="117">
        <v>1889</v>
      </c>
    </row>
    <row r="95" spans="1:32" hidden="1">
      <c r="B95" s="98" t="s">
        <v>283</v>
      </c>
      <c r="E95" s="25">
        <v>369</v>
      </c>
      <c r="F95" s="25"/>
      <c r="G95" s="25"/>
      <c r="H95" s="25">
        <v>6</v>
      </c>
      <c r="J95" s="25"/>
      <c r="K95" s="25">
        <v>-12</v>
      </c>
      <c r="L95" s="25"/>
      <c r="M95" s="25"/>
      <c r="N95" s="25">
        <v>-21</v>
      </c>
      <c r="P95" s="25"/>
      <c r="Q95" s="25">
        <v>5</v>
      </c>
      <c r="R95" s="25"/>
      <c r="S95" s="25"/>
      <c r="T95" s="25">
        <v>1</v>
      </c>
      <c r="U95" s="25"/>
      <c r="V95" s="25"/>
      <c r="W95" s="25">
        <v>348</v>
      </c>
      <c r="Y95" s="25"/>
      <c r="Z95" s="117">
        <v>243</v>
      </c>
      <c r="AA95" s="25"/>
      <c r="AB95" s="25"/>
      <c r="AC95" s="25">
        <v>105</v>
      </c>
      <c r="AF95" s="117">
        <v>348</v>
      </c>
    </row>
    <row r="96" spans="1:32" hidden="1">
      <c r="C96" s="117" t="s">
        <v>279</v>
      </c>
      <c r="E96" s="40">
        <v>2859</v>
      </c>
      <c r="H96" s="40">
        <v>80</v>
      </c>
      <c r="K96" s="40">
        <v>-83</v>
      </c>
      <c r="N96" s="40">
        <v>-30</v>
      </c>
      <c r="Q96" s="40">
        <v>-7</v>
      </c>
      <c r="T96" s="40">
        <v>-2</v>
      </c>
      <c r="W96" s="40">
        <v>2817</v>
      </c>
      <c r="Z96" s="189">
        <v>2756</v>
      </c>
      <c r="AC96" s="40">
        <v>61</v>
      </c>
      <c r="AD96" s="121"/>
      <c r="AF96" s="189">
        <v>2817</v>
      </c>
    </row>
    <row r="97" spans="1:32" hidden="1">
      <c r="E97" s="25"/>
      <c r="W97" s="25"/>
      <c r="AC97" s="25"/>
    </row>
    <row r="98" spans="1:32" ht="12.6" hidden="1" thickBot="1">
      <c r="A98" s="185" t="s">
        <v>280</v>
      </c>
      <c r="D98" s="117" t="s">
        <v>108</v>
      </c>
      <c r="E98" s="46">
        <v>4180</v>
      </c>
      <c r="G98" s="117" t="s">
        <v>108</v>
      </c>
      <c r="H98" s="46">
        <v>919</v>
      </c>
      <c r="J98" s="117" t="s">
        <v>108</v>
      </c>
      <c r="K98" s="46">
        <v>-947</v>
      </c>
      <c r="M98" s="117" t="s">
        <v>108</v>
      </c>
      <c r="N98" s="46">
        <v>-30</v>
      </c>
      <c r="P98" s="117" t="s">
        <v>108</v>
      </c>
      <c r="Q98" s="46">
        <v>-7</v>
      </c>
      <c r="S98" s="117" t="s">
        <v>108</v>
      </c>
      <c r="T98" s="46">
        <v>-2</v>
      </c>
      <c r="V98" s="117" t="s">
        <v>108</v>
      </c>
      <c r="W98" s="46">
        <v>4113</v>
      </c>
      <c r="Y98" s="117" t="s">
        <v>108</v>
      </c>
      <c r="Z98" s="136">
        <v>4052</v>
      </c>
      <c r="AB98" s="117" t="s">
        <v>108</v>
      </c>
      <c r="AC98" s="46">
        <v>61</v>
      </c>
      <c r="AD98" s="121"/>
      <c r="AE98" s="117" t="s">
        <v>108</v>
      </c>
      <c r="AF98" s="136">
        <v>4113</v>
      </c>
    </row>
    <row r="99" spans="1:32" ht="12.6" hidden="1" thickTop="1">
      <c r="A99" s="185"/>
      <c r="E99" s="27"/>
      <c r="N99" s="121"/>
      <c r="Q99" s="121"/>
      <c r="T99" s="121"/>
      <c r="W99" s="27"/>
      <c r="Z99" s="121"/>
      <c r="AC99" s="27"/>
      <c r="AD99" s="121"/>
      <c r="AF99" s="121"/>
    </row>
    <row r="100" spans="1:32" ht="15" customHeight="1">
      <c r="A100" s="187" t="s">
        <v>770</v>
      </c>
      <c r="B100" s="150" t="s">
        <v>284</v>
      </c>
      <c r="C100" s="150"/>
    </row>
    <row r="101" spans="1:32" ht="15" customHeight="1">
      <c r="A101" s="187" t="s">
        <v>772</v>
      </c>
      <c r="B101" s="150" t="s">
        <v>285</v>
      </c>
      <c r="C101" s="150"/>
    </row>
  </sheetData>
  <mergeCells count="17">
    <mergeCell ref="A1:AF1"/>
    <mergeCell ref="A2:AF2"/>
    <mergeCell ref="A3:AF3"/>
    <mergeCell ref="Z5:AF5"/>
    <mergeCell ref="Z29:AF29"/>
    <mergeCell ref="D28:W28"/>
    <mergeCell ref="D5:W5"/>
    <mergeCell ref="D6:W6"/>
    <mergeCell ref="Z6:AF6"/>
    <mergeCell ref="D29:W29"/>
    <mergeCell ref="D79:W79"/>
    <mergeCell ref="Z79:AF79"/>
    <mergeCell ref="D55:W55"/>
    <mergeCell ref="Z55:AF55"/>
    <mergeCell ref="D56:W56"/>
    <mergeCell ref="Z56:AF56"/>
    <mergeCell ref="D78:W78"/>
  </mergeCells>
  <phoneticPr fontId="24" type="noConversion"/>
  <printOptions horizontalCentered="1"/>
  <pageMargins left="0.25" right="0.25" top="0.5" bottom="0.5" header="0.3" footer="0.3"/>
  <pageSetup scale="60" orientation="landscape" r:id="rId1"/>
  <headerFooter alignWithMargins="0">
    <oddFooter>&amp;R&amp;A</oddFooter>
  </headerFooter>
  <ignoredErrors>
    <ignoredError sqref="A100:A101" numberStoredAsText="1"/>
  </ignoredErrors>
</worksheet>
</file>

<file path=xl/worksheets/sheet13.xml><?xml version="1.0" encoding="utf-8"?>
<worksheet xmlns="http://schemas.openxmlformats.org/spreadsheetml/2006/main" xmlns:r="http://schemas.openxmlformats.org/officeDocument/2006/relationships">
  <sheetPr enableFormatConditionsCalculation="0">
    <pageSetUpPr fitToPage="1"/>
  </sheetPr>
  <dimension ref="A1:AH74"/>
  <sheetViews>
    <sheetView zoomScale="75" zoomScaleNormal="75" workbookViewId="0">
      <selection sqref="A1:Z1"/>
    </sheetView>
  </sheetViews>
  <sheetFormatPr defaultColWidth="8.44140625" defaultRowHeight="13.2"/>
  <cols>
    <col min="1" max="1" width="2.44140625" style="2" customWidth="1"/>
    <col min="2" max="2" width="52.6640625" style="35" customWidth="1"/>
    <col min="3" max="3" width="2.44140625" style="2" customWidth="1"/>
    <col min="4" max="4" width="9.109375" style="2" customWidth="1"/>
    <col min="5" max="6" width="2.44140625" style="2" customWidth="1"/>
    <col min="7" max="7" width="9.109375" style="2" customWidth="1"/>
    <col min="8" max="9" width="2.44140625" style="2" customWidth="1"/>
    <col min="10" max="10" width="9.109375" style="2" customWidth="1"/>
    <col min="11" max="12" width="2.44140625" style="2" customWidth="1"/>
    <col min="13" max="13" width="9.109375" style="2" customWidth="1"/>
    <col min="14" max="15" width="2.44140625" style="2" customWidth="1"/>
    <col min="16" max="16" width="9.109375" style="2" customWidth="1"/>
    <col min="17" max="17" width="2.44140625" style="2" customWidth="1"/>
    <col min="18" max="18" width="2.44140625" style="65" customWidth="1"/>
    <col min="19" max="19" width="9.109375" style="191" customWidth="1"/>
    <col min="20" max="21" width="2.44140625" style="191" customWidth="1"/>
    <col min="22" max="22" width="2.44140625" style="2" customWidth="1"/>
    <col min="23" max="23" width="9.109375" style="2" customWidth="1"/>
    <col min="24" max="25" width="2.44140625" style="2" customWidth="1"/>
    <col min="26" max="26" width="9.109375" style="2" customWidth="1"/>
    <col min="27" max="27" width="8.44140625" style="2" customWidth="1"/>
    <col min="28" max="16384" width="8.44140625" style="2"/>
  </cols>
  <sheetData>
    <row r="1" spans="1:26" s="192" customFormat="1">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972"/>
    </row>
    <row r="2" spans="1:26" s="192" customFormat="1">
      <c r="A2" s="972" t="s">
        <v>299</v>
      </c>
      <c r="B2" s="972"/>
      <c r="C2" s="972"/>
      <c r="D2" s="972"/>
      <c r="E2" s="972"/>
      <c r="F2" s="972"/>
      <c r="G2" s="972"/>
      <c r="H2" s="972"/>
      <c r="I2" s="972"/>
      <c r="J2" s="972"/>
      <c r="K2" s="972"/>
      <c r="L2" s="972"/>
      <c r="M2" s="972"/>
      <c r="N2" s="972"/>
      <c r="O2" s="972"/>
      <c r="P2" s="972"/>
      <c r="Q2" s="972"/>
      <c r="R2" s="972"/>
      <c r="S2" s="972"/>
      <c r="T2" s="972"/>
      <c r="U2" s="972"/>
      <c r="V2" s="972"/>
      <c r="W2" s="972"/>
      <c r="X2" s="972"/>
      <c r="Y2" s="972"/>
      <c r="Z2" s="972"/>
    </row>
    <row r="3" spans="1:26" ht="10.199999999999999">
      <c r="A3" s="974" t="s">
        <v>300</v>
      </c>
      <c r="B3" s="974"/>
      <c r="C3" s="974"/>
      <c r="D3" s="974"/>
      <c r="E3" s="974"/>
      <c r="F3" s="974"/>
      <c r="G3" s="974"/>
      <c r="H3" s="974"/>
      <c r="I3" s="974"/>
      <c r="J3" s="974"/>
      <c r="K3" s="974"/>
      <c r="L3" s="974"/>
      <c r="M3" s="974"/>
      <c r="N3" s="974"/>
      <c r="O3" s="974"/>
      <c r="P3" s="974"/>
      <c r="Q3" s="974"/>
      <c r="R3" s="974"/>
      <c r="S3" s="974"/>
      <c r="T3" s="974"/>
      <c r="U3" s="974"/>
      <c r="V3" s="974"/>
      <c r="W3" s="974"/>
      <c r="X3" s="974"/>
      <c r="Y3" s="974"/>
      <c r="Z3" s="974"/>
    </row>
    <row r="4" spans="1:26" s="5" customFormat="1">
      <c r="A4" s="192"/>
      <c r="B4" s="553"/>
      <c r="C4" s="192"/>
      <c r="D4" s="192"/>
      <c r="E4" s="192"/>
      <c r="I4" s="192"/>
      <c r="J4" s="192"/>
      <c r="K4" s="192"/>
      <c r="L4" s="192"/>
      <c r="M4" s="192"/>
      <c r="N4" s="192"/>
      <c r="O4" s="192"/>
      <c r="P4" s="192"/>
      <c r="Q4" s="192"/>
      <c r="R4" s="192"/>
      <c r="S4" s="192"/>
      <c r="T4" s="192"/>
      <c r="U4" s="192"/>
    </row>
    <row r="5" spans="1:26" s="5" customFormat="1">
      <c r="A5" s="192"/>
      <c r="B5" s="553"/>
      <c r="C5" s="975" t="s">
        <v>99</v>
      </c>
      <c r="D5" s="975"/>
      <c r="E5" s="975"/>
      <c r="F5" s="975"/>
      <c r="G5" s="975"/>
      <c r="H5" s="975"/>
      <c r="I5" s="975"/>
      <c r="J5" s="975"/>
      <c r="K5" s="975"/>
      <c r="L5" s="975"/>
      <c r="M5" s="975"/>
      <c r="N5" s="975"/>
      <c r="O5" s="975"/>
      <c r="P5" s="975"/>
      <c r="Q5" s="975"/>
      <c r="R5" s="975"/>
      <c r="S5" s="975"/>
      <c r="T5" s="900"/>
      <c r="U5" s="192"/>
      <c r="W5" s="975" t="s">
        <v>100</v>
      </c>
      <c r="X5" s="975"/>
      <c r="Y5" s="975"/>
      <c r="Z5" s="975"/>
    </row>
    <row r="6" spans="1:26" s="5" customFormat="1" ht="13.8" thickBot="1">
      <c r="A6" s="192"/>
      <c r="B6" s="553"/>
      <c r="C6" s="192"/>
      <c r="D6" s="192"/>
      <c r="E6" s="192"/>
      <c r="F6" s="11"/>
      <c r="H6" s="11"/>
      <c r="I6" s="795"/>
      <c r="J6" s="795"/>
      <c r="K6" s="795"/>
      <c r="L6" s="192"/>
      <c r="M6" s="192"/>
      <c r="N6" s="192"/>
      <c r="O6" s="192"/>
      <c r="P6" s="192"/>
      <c r="Q6" s="192"/>
      <c r="R6" s="679"/>
      <c r="S6" s="6"/>
      <c r="T6" s="192"/>
      <c r="U6" s="192"/>
    </row>
    <row r="7" spans="1:26" s="5" customFormat="1">
      <c r="A7" s="192"/>
      <c r="B7" s="553"/>
      <c r="C7" s="901"/>
      <c r="D7" s="8" t="s">
        <v>104</v>
      </c>
      <c r="E7" s="9"/>
      <c r="F7" s="6"/>
      <c r="G7" s="6" t="s">
        <v>105</v>
      </c>
      <c r="H7" s="11"/>
      <c r="I7" s="6"/>
      <c r="J7" s="6" t="s">
        <v>102</v>
      </c>
      <c r="K7" s="11"/>
      <c r="L7" s="11"/>
      <c r="M7" s="6" t="s">
        <v>103</v>
      </c>
      <c r="N7" s="6"/>
      <c r="O7" s="901"/>
      <c r="P7" s="8" t="s">
        <v>104</v>
      </c>
      <c r="Q7" s="9"/>
      <c r="R7" s="6"/>
      <c r="S7" s="6" t="s">
        <v>105</v>
      </c>
      <c r="T7" s="11"/>
      <c r="U7" s="553"/>
      <c r="V7" s="11"/>
      <c r="W7" s="6" t="s">
        <v>104</v>
      </c>
      <c r="X7" s="6"/>
      <c r="Y7" s="11"/>
      <c r="Z7" s="6" t="s">
        <v>104</v>
      </c>
    </row>
    <row r="8" spans="1:26" s="5" customFormat="1">
      <c r="A8" s="192"/>
      <c r="B8" s="553"/>
      <c r="C8" s="36"/>
      <c r="D8" s="13">
        <v>2012</v>
      </c>
      <c r="E8" s="14"/>
      <c r="F8" s="797"/>
      <c r="G8" s="13">
        <v>2012</v>
      </c>
      <c r="H8" s="11"/>
      <c r="I8" s="797"/>
      <c r="J8" s="13">
        <v>2011</v>
      </c>
      <c r="K8" s="11"/>
      <c r="L8" s="11"/>
      <c r="M8" s="13">
        <v>2011</v>
      </c>
      <c r="N8" s="6"/>
      <c r="O8" s="36"/>
      <c r="P8" s="13">
        <v>2011</v>
      </c>
      <c r="Q8" s="14"/>
      <c r="R8" s="797"/>
      <c r="S8" s="13">
        <v>2011</v>
      </c>
      <c r="T8" s="11"/>
      <c r="U8" s="553"/>
      <c r="V8" s="11"/>
      <c r="W8" s="13">
        <v>2012</v>
      </c>
      <c r="X8" s="6"/>
      <c r="Y8" s="11"/>
      <c r="Z8" s="13">
        <v>2011</v>
      </c>
    </row>
    <row r="9" spans="1:26" s="5" customFormat="1">
      <c r="A9" s="192"/>
      <c r="B9" s="553"/>
      <c r="C9" s="36"/>
      <c r="D9" s="6"/>
      <c r="E9" s="14"/>
      <c r="F9" s="797"/>
      <c r="G9" s="6"/>
      <c r="H9" s="11"/>
      <c r="I9" s="797"/>
      <c r="J9" s="6"/>
      <c r="K9" s="11"/>
      <c r="L9" s="11"/>
      <c r="M9" s="6"/>
      <c r="N9" s="6"/>
      <c r="O9" s="36"/>
      <c r="P9" s="6"/>
      <c r="Q9" s="14"/>
      <c r="R9" s="797"/>
      <c r="S9" s="6"/>
      <c r="T9" s="11"/>
      <c r="U9" s="6"/>
      <c r="V9" s="11"/>
      <c r="W9" s="6"/>
      <c r="X9" s="6"/>
      <c r="Y9" s="11"/>
      <c r="Z9" s="6"/>
    </row>
    <row r="10" spans="1:26" s="5" customFormat="1">
      <c r="A10" s="98" t="s">
        <v>301</v>
      </c>
      <c r="B10" s="15"/>
      <c r="C10" s="22" t="s">
        <v>108</v>
      </c>
      <c r="D10" s="176">
        <v>6864</v>
      </c>
      <c r="E10" s="37"/>
      <c r="F10" s="23" t="s">
        <v>108</v>
      </c>
      <c r="G10" s="176">
        <v>6463</v>
      </c>
      <c r="H10" s="11"/>
      <c r="I10" s="23" t="s">
        <v>108</v>
      </c>
      <c r="J10" s="176">
        <v>6426</v>
      </c>
      <c r="K10" s="11"/>
      <c r="L10" s="23" t="s">
        <v>108</v>
      </c>
      <c r="M10" s="176">
        <v>6728</v>
      </c>
      <c r="N10" s="11"/>
      <c r="O10" s="22" t="s">
        <v>108</v>
      </c>
      <c r="P10" s="176">
        <v>6611</v>
      </c>
      <c r="Q10" s="37"/>
      <c r="R10" s="23" t="s">
        <v>108</v>
      </c>
      <c r="S10" s="176">
        <v>6215</v>
      </c>
      <c r="T10" s="11"/>
      <c r="U10" s="11"/>
      <c r="V10" s="23" t="s">
        <v>108</v>
      </c>
      <c r="W10" s="176">
        <v>13327</v>
      </c>
      <c r="X10" s="176"/>
      <c r="Y10" s="23" t="s">
        <v>108</v>
      </c>
      <c r="Z10" s="176">
        <v>12826</v>
      </c>
    </row>
    <row r="11" spans="1:26" s="5" customFormat="1" ht="11.4">
      <c r="A11" s="98" t="s">
        <v>982</v>
      </c>
      <c r="B11" s="15"/>
      <c r="C11" s="22"/>
      <c r="D11" s="176">
        <v>-198</v>
      </c>
      <c r="E11" s="37"/>
      <c r="F11" s="23"/>
      <c r="G11" s="176">
        <v>167</v>
      </c>
      <c r="H11" s="11"/>
      <c r="I11" s="23"/>
      <c r="J11" s="176">
        <v>174</v>
      </c>
      <c r="K11" s="11"/>
      <c r="L11" s="23"/>
      <c r="M11" s="176">
        <v>-276</v>
      </c>
      <c r="N11" s="11"/>
      <c r="O11" s="22"/>
      <c r="P11" s="176">
        <v>-165</v>
      </c>
      <c r="Q11" s="37"/>
      <c r="R11" s="23"/>
      <c r="S11" s="176">
        <v>234</v>
      </c>
      <c r="T11" s="11"/>
      <c r="U11" s="11"/>
      <c r="V11" s="23"/>
      <c r="W11" s="176">
        <v>-31</v>
      </c>
      <c r="X11" s="176"/>
      <c r="Y11" s="23"/>
      <c r="Z11" s="176">
        <v>69</v>
      </c>
    </row>
    <row r="12" spans="1:26" s="5" customFormat="1">
      <c r="A12" s="98" t="s">
        <v>836</v>
      </c>
      <c r="B12" s="15"/>
      <c r="C12" s="595"/>
      <c r="D12" s="113">
        <v>0</v>
      </c>
      <c r="E12" s="37"/>
      <c r="F12" s="176"/>
      <c r="G12" s="113">
        <v>0</v>
      </c>
      <c r="H12" s="11"/>
      <c r="I12" s="176"/>
      <c r="J12" s="113">
        <v>5</v>
      </c>
      <c r="K12" s="11"/>
      <c r="L12" s="213"/>
      <c r="M12" s="113">
        <v>-20</v>
      </c>
      <c r="N12" s="11"/>
      <c r="O12" s="595"/>
      <c r="P12" s="113">
        <v>11</v>
      </c>
      <c r="Q12" s="37"/>
      <c r="R12" s="176"/>
      <c r="S12" s="113">
        <v>-1</v>
      </c>
      <c r="T12" s="11"/>
      <c r="U12" s="11"/>
      <c r="V12" s="213"/>
      <c r="W12" s="113">
        <v>0</v>
      </c>
      <c r="X12" s="176"/>
      <c r="Y12" s="213"/>
      <c r="Z12" s="113">
        <v>10</v>
      </c>
    </row>
    <row r="13" spans="1:26" s="5" customFormat="1" ht="11.4">
      <c r="A13" s="98"/>
      <c r="B13" s="15"/>
      <c r="C13" s="595"/>
      <c r="D13" s="176"/>
      <c r="E13" s="37"/>
      <c r="F13" s="176"/>
      <c r="G13" s="176"/>
      <c r="H13" s="11"/>
      <c r="I13" s="176"/>
      <c r="J13" s="176"/>
      <c r="K13" s="11"/>
      <c r="L13" s="213"/>
      <c r="M13" s="176"/>
      <c r="N13" s="11"/>
      <c r="O13" s="595"/>
      <c r="P13" s="176"/>
      <c r="Q13" s="37"/>
      <c r="R13" s="176"/>
      <c r="S13" s="176"/>
      <c r="T13" s="11"/>
      <c r="U13" s="11"/>
      <c r="V13" s="213"/>
      <c r="W13" s="176"/>
      <c r="X13" s="176"/>
      <c r="Y13" s="213"/>
      <c r="Z13" s="176"/>
    </row>
    <row r="14" spans="1:26" s="5" customFormat="1" ht="11.4">
      <c r="A14" s="98" t="s">
        <v>302</v>
      </c>
      <c r="B14" s="15"/>
      <c r="C14" s="595"/>
      <c r="D14" s="176">
        <v>6666</v>
      </c>
      <c r="E14" s="37"/>
      <c r="F14" s="176"/>
      <c r="G14" s="176">
        <v>6630</v>
      </c>
      <c r="H14" s="11"/>
      <c r="I14" s="176"/>
      <c r="J14" s="176">
        <v>6605</v>
      </c>
      <c r="K14" s="11"/>
      <c r="L14" s="213"/>
      <c r="M14" s="176">
        <v>6432</v>
      </c>
      <c r="N14" s="11"/>
      <c r="O14" s="595"/>
      <c r="P14" s="176">
        <v>6457</v>
      </c>
      <c r="Q14" s="37"/>
      <c r="R14" s="176"/>
      <c r="S14" s="176">
        <v>6448</v>
      </c>
      <c r="T14" s="11"/>
      <c r="U14" s="11"/>
      <c r="V14" s="213"/>
      <c r="W14" s="176">
        <v>13296</v>
      </c>
      <c r="X14" s="111"/>
      <c r="Y14" s="213"/>
      <c r="Z14" s="111">
        <v>12905</v>
      </c>
    </row>
    <row r="15" spans="1:26" s="5" customFormat="1">
      <c r="A15" s="98" t="s">
        <v>303</v>
      </c>
      <c r="B15" s="15"/>
      <c r="C15" s="595"/>
      <c r="D15" s="176">
        <v>-4810</v>
      </c>
      <c r="E15" s="37"/>
      <c r="F15" s="176"/>
      <c r="G15" s="176">
        <v>-4339</v>
      </c>
      <c r="H15" s="11"/>
      <c r="I15" s="176"/>
      <c r="J15" s="176">
        <v>-4198</v>
      </c>
      <c r="K15" s="11"/>
      <c r="L15" s="213"/>
      <c r="M15" s="176">
        <v>-5132</v>
      </c>
      <c r="N15" s="11"/>
      <c r="O15" s="595"/>
      <c r="P15" s="176">
        <v>-6355</v>
      </c>
      <c r="Q15" s="37"/>
      <c r="R15" s="176"/>
      <c r="S15" s="176">
        <v>-4476</v>
      </c>
      <c r="T15" s="11"/>
      <c r="U15" s="11"/>
      <c r="V15" s="213"/>
      <c r="W15" s="176">
        <v>-9149</v>
      </c>
      <c r="X15" s="111"/>
      <c r="Y15" s="213"/>
      <c r="Z15" s="111">
        <v>-10831</v>
      </c>
    </row>
    <row r="16" spans="1:26" s="5" customFormat="1" ht="11.4">
      <c r="A16" s="5" t="s">
        <v>304</v>
      </c>
      <c r="B16" s="11"/>
      <c r="C16" s="36"/>
      <c r="D16" s="176">
        <v>-865</v>
      </c>
      <c r="E16" s="37"/>
      <c r="F16" s="11"/>
      <c r="G16" s="176">
        <v>-878</v>
      </c>
      <c r="H16" s="11"/>
      <c r="I16" s="11"/>
      <c r="J16" s="176">
        <v>-880</v>
      </c>
      <c r="K16" s="11"/>
      <c r="L16" s="11"/>
      <c r="M16" s="176">
        <v>-866</v>
      </c>
      <c r="N16" s="11"/>
      <c r="O16" s="36"/>
      <c r="P16" s="176">
        <v>-867</v>
      </c>
      <c r="Q16" s="37"/>
      <c r="R16" s="11"/>
      <c r="S16" s="176">
        <v>-864</v>
      </c>
      <c r="T16" s="11"/>
      <c r="U16" s="11"/>
      <c r="V16" s="11"/>
      <c r="W16" s="176">
        <v>-1743</v>
      </c>
      <c r="X16" s="111"/>
      <c r="Y16" s="11"/>
      <c r="Z16" s="111">
        <v>-1731</v>
      </c>
    </row>
    <row r="17" spans="1:26" s="5" customFormat="1">
      <c r="A17" s="98" t="s">
        <v>305</v>
      </c>
      <c r="B17" s="15"/>
      <c r="C17" s="595"/>
      <c r="D17" s="176">
        <v>-847</v>
      </c>
      <c r="E17" s="37"/>
      <c r="F17" s="176"/>
      <c r="G17" s="176">
        <v>-884</v>
      </c>
      <c r="H17" s="11"/>
      <c r="I17" s="176"/>
      <c r="J17" s="176">
        <v>-913</v>
      </c>
      <c r="K17" s="11"/>
      <c r="L17" s="213"/>
      <c r="M17" s="176">
        <v>-735</v>
      </c>
      <c r="N17" s="11"/>
      <c r="O17" s="595"/>
      <c r="P17" s="176">
        <v>-726</v>
      </c>
      <c r="Q17" s="37"/>
      <c r="R17" s="176"/>
      <c r="S17" s="176">
        <v>-769</v>
      </c>
      <c r="T17" s="11"/>
      <c r="U17" s="11"/>
      <c r="V17" s="213"/>
      <c r="W17" s="176">
        <v>-1731</v>
      </c>
      <c r="X17" s="176"/>
      <c r="Y17" s="213"/>
      <c r="Z17" s="176">
        <v>-1495</v>
      </c>
    </row>
    <row r="18" spans="1:26" s="5" customFormat="1">
      <c r="A18" s="98" t="s">
        <v>306</v>
      </c>
      <c r="B18" s="15"/>
      <c r="C18" s="595"/>
      <c r="D18" s="113">
        <v>-10</v>
      </c>
      <c r="E18" s="37"/>
      <c r="F18" s="176"/>
      <c r="G18" s="113">
        <v>-6</v>
      </c>
      <c r="H18" s="11"/>
      <c r="I18" s="176"/>
      <c r="J18" s="113">
        <v>-13</v>
      </c>
      <c r="K18" s="11"/>
      <c r="L18" s="213"/>
      <c r="M18" s="113">
        <v>-8</v>
      </c>
      <c r="N18" s="11"/>
      <c r="O18" s="595"/>
      <c r="P18" s="113">
        <v>-11</v>
      </c>
      <c r="Q18" s="37"/>
      <c r="R18" s="176"/>
      <c r="S18" s="113">
        <v>-11</v>
      </c>
      <c r="T18" s="11"/>
      <c r="U18" s="11"/>
      <c r="V18" s="213"/>
      <c r="W18" s="113">
        <v>-16</v>
      </c>
      <c r="X18" s="176"/>
      <c r="Y18" s="213"/>
      <c r="Z18" s="113">
        <v>-22</v>
      </c>
    </row>
    <row r="19" spans="1:26" s="5" customFormat="1" ht="11.4">
      <c r="A19" s="98" t="s">
        <v>95</v>
      </c>
      <c r="B19" s="15"/>
      <c r="C19" s="595"/>
      <c r="D19" s="113">
        <v>134</v>
      </c>
      <c r="E19" s="37"/>
      <c r="F19" s="176"/>
      <c r="G19" s="113">
        <v>523</v>
      </c>
      <c r="H19" s="11"/>
      <c r="I19" s="176"/>
      <c r="J19" s="113">
        <v>601</v>
      </c>
      <c r="K19" s="11"/>
      <c r="L19" s="213"/>
      <c r="M19" s="113">
        <v>-309</v>
      </c>
      <c r="N19" s="11"/>
      <c r="O19" s="595"/>
      <c r="P19" s="113">
        <v>-1502</v>
      </c>
      <c r="Q19" s="37"/>
      <c r="R19" s="176"/>
      <c r="S19" s="113">
        <v>328</v>
      </c>
      <c r="T19" s="11"/>
      <c r="U19" s="11"/>
      <c r="V19" s="213"/>
      <c r="W19" s="113">
        <v>657</v>
      </c>
      <c r="X19" s="176"/>
      <c r="Y19" s="213"/>
      <c r="Z19" s="113">
        <v>-1174</v>
      </c>
    </row>
    <row r="20" spans="1:26" s="5" customFormat="1" ht="11.4">
      <c r="A20" s="98"/>
      <c r="B20" s="15"/>
      <c r="C20" s="595"/>
      <c r="D20" s="176"/>
      <c r="E20" s="37"/>
      <c r="F20" s="176"/>
      <c r="G20" s="176"/>
      <c r="H20" s="11"/>
      <c r="I20" s="176"/>
      <c r="J20" s="176"/>
      <c r="K20" s="11"/>
      <c r="L20" s="213"/>
      <c r="M20" s="176"/>
      <c r="N20" s="11"/>
      <c r="O20" s="595"/>
      <c r="P20" s="176"/>
      <c r="Q20" s="37"/>
      <c r="R20" s="176"/>
      <c r="S20" s="176"/>
      <c r="T20" s="11"/>
      <c r="U20" s="11"/>
      <c r="V20" s="213"/>
      <c r="W20" s="176"/>
      <c r="X20" s="111"/>
      <c r="Y20" s="213"/>
      <c r="Z20" s="111"/>
    </row>
    <row r="21" spans="1:26" s="5" customFormat="1" ht="11.4">
      <c r="A21" s="98" t="s">
        <v>307</v>
      </c>
      <c r="B21" s="15"/>
      <c r="C21" s="595"/>
      <c r="D21" s="176">
        <v>352</v>
      </c>
      <c r="E21" s="37"/>
      <c r="F21" s="176"/>
      <c r="G21" s="176">
        <v>313</v>
      </c>
      <c r="H21" s="11"/>
      <c r="I21" s="176"/>
      <c r="J21" s="176">
        <v>309</v>
      </c>
      <c r="K21" s="11"/>
      <c r="L21" s="213"/>
      <c r="M21" s="176">
        <v>298</v>
      </c>
      <c r="N21" s="11"/>
      <c r="O21" s="595"/>
      <c r="P21" s="176">
        <v>310</v>
      </c>
      <c r="Q21" s="37"/>
      <c r="R21" s="176"/>
      <c r="S21" s="176">
        <v>284</v>
      </c>
      <c r="T21" s="11"/>
      <c r="U21" s="11"/>
      <c r="V21" s="213"/>
      <c r="W21" s="176">
        <v>665</v>
      </c>
      <c r="X21" s="176"/>
      <c r="Y21" s="213"/>
      <c r="Z21" s="176">
        <v>594</v>
      </c>
    </row>
    <row r="22" spans="1:26" s="5" customFormat="1" ht="11.4">
      <c r="A22" s="98" t="s">
        <v>308</v>
      </c>
      <c r="B22" s="15"/>
      <c r="C22" s="595"/>
      <c r="D22" s="176"/>
      <c r="E22" s="37"/>
      <c r="F22" s="176"/>
      <c r="G22" s="176"/>
      <c r="H22" s="11"/>
      <c r="I22" s="176"/>
      <c r="J22" s="176"/>
      <c r="K22" s="11"/>
      <c r="L22" s="213"/>
      <c r="M22" s="176"/>
      <c r="N22" s="11"/>
      <c r="O22" s="595"/>
      <c r="P22" s="176"/>
      <c r="Q22" s="37"/>
      <c r="R22" s="176"/>
      <c r="S22" s="176"/>
      <c r="T22" s="11"/>
      <c r="U22" s="11"/>
      <c r="V22" s="213"/>
      <c r="W22" s="176"/>
      <c r="X22" s="176"/>
      <c r="Y22" s="213"/>
      <c r="Z22" s="176"/>
    </row>
    <row r="23" spans="1:26" s="5" customFormat="1" ht="11.4">
      <c r="A23" s="98" t="s">
        <v>309</v>
      </c>
      <c r="B23" s="15"/>
      <c r="C23" s="595"/>
      <c r="D23" s="176">
        <v>-2</v>
      </c>
      <c r="E23" s="37"/>
      <c r="F23" s="176"/>
      <c r="G23" s="176">
        <v>-1</v>
      </c>
      <c r="H23" s="11"/>
      <c r="I23" s="176"/>
      <c r="J23" s="176">
        <v>-3</v>
      </c>
      <c r="K23" s="11"/>
      <c r="L23" s="213"/>
      <c r="M23" s="176">
        <v>-5</v>
      </c>
      <c r="N23" s="11"/>
      <c r="O23" s="595"/>
      <c r="P23" s="176">
        <v>-3</v>
      </c>
      <c r="Q23" s="37"/>
      <c r="R23" s="176"/>
      <c r="S23" s="176">
        <v>-4</v>
      </c>
      <c r="T23" s="11"/>
      <c r="U23" s="11"/>
      <c r="V23" s="213"/>
      <c r="W23" s="176">
        <v>-3</v>
      </c>
      <c r="X23" s="176"/>
      <c r="Y23" s="213"/>
      <c r="Z23" s="176">
        <v>-7</v>
      </c>
    </row>
    <row r="24" spans="1:26" s="5" customFormat="1" ht="11.4">
      <c r="A24" s="98" t="s">
        <v>789</v>
      </c>
      <c r="B24" s="23"/>
      <c r="C24" s="595"/>
      <c r="D24" s="176"/>
      <c r="E24" s="37"/>
      <c r="F24" s="176"/>
      <c r="G24" s="176"/>
      <c r="H24" s="11"/>
      <c r="I24" s="176"/>
      <c r="J24" s="176"/>
      <c r="K24" s="11"/>
      <c r="L24" s="213"/>
      <c r="M24" s="176"/>
      <c r="N24" s="11"/>
      <c r="O24" s="595"/>
      <c r="P24" s="176"/>
      <c r="Q24" s="37"/>
      <c r="R24" s="176"/>
      <c r="S24" s="176"/>
      <c r="T24" s="11"/>
      <c r="U24" s="11"/>
      <c r="V24" s="213"/>
      <c r="W24" s="176"/>
      <c r="X24" s="176"/>
      <c r="Y24" s="213"/>
      <c r="Z24" s="176"/>
    </row>
    <row r="25" spans="1:26" s="5" customFormat="1" ht="11.4">
      <c r="A25" s="787" t="s">
        <v>8</v>
      </c>
      <c r="B25" s="348"/>
      <c r="C25" s="595"/>
      <c r="D25" s="176">
        <v>26</v>
      </c>
      <c r="E25" s="37"/>
      <c r="F25" s="176"/>
      <c r="G25" s="176">
        <v>47</v>
      </c>
      <c r="H25" s="11"/>
      <c r="I25" s="176"/>
      <c r="J25" s="176">
        <v>49</v>
      </c>
      <c r="K25" s="11"/>
      <c r="L25" s="213"/>
      <c r="M25" s="176">
        <v>0</v>
      </c>
      <c r="N25" s="11"/>
      <c r="O25" s="595"/>
      <c r="P25" s="176">
        <v>0</v>
      </c>
      <c r="Q25" s="37"/>
      <c r="R25" s="176"/>
      <c r="S25" s="176">
        <v>0</v>
      </c>
      <c r="T25" s="11"/>
      <c r="U25" s="11"/>
      <c r="V25" s="213"/>
      <c r="W25" s="176">
        <v>73</v>
      </c>
      <c r="X25" s="176"/>
      <c r="Y25" s="213"/>
      <c r="Z25" s="176">
        <v>0</v>
      </c>
    </row>
    <row r="26" spans="1:26" s="5" customFormat="1" ht="11.4">
      <c r="A26" s="98" t="s">
        <v>310</v>
      </c>
      <c r="B26" s="15"/>
      <c r="C26" s="595"/>
      <c r="D26" s="39">
        <v>-153</v>
      </c>
      <c r="E26" s="37"/>
      <c r="F26" s="23"/>
      <c r="G26" s="113">
        <v>-281</v>
      </c>
      <c r="H26" s="11"/>
      <c r="I26" s="23"/>
      <c r="J26" s="113">
        <v>-302</v>
      </c>
      <c r="K26" s="11"/>
      <c r="L26" s="213"/>
      <c r="M26" s="113">
        <v>38</v>
      </c>
      <c r="N26" s="11"/>
      <c r="O26" s="595"/>
      <c r="P26" s="39">
        <v>463</v>
      </c>
      <c r="Q26" s="37"/>
      <c r="R26" s="23"/>
      <c r="S26" s="113">
        <v>-181</v>
      </c>
      <c r="T26" s="11"/>
      <c r="U26" s="11"/>
      <c r="V26" s="213"/>
      <c r="W26" s="113">
        <v>-434</v>
      </c>
      <c r="X26" s="23"/>
      <c r="Y26" s="213"/>
      <c r="Z26" s="39">
        <v>282</v>
      </c>
    </row>
    <row r="27" spans="1:26" s="5" customFormat="1" ht="11.4">
      <c r="A27" s="98"/>
      <c r="B27" s="15"/>
      <c r="C27" s="595"/>
      <c r="D27" s="176"/>
      <c r="E27" s="37"/>
      <c r="F27" s="176"/>
      <c r="G27" s="176"/>
      <c r="H27" s="11"/>
      <c r="I27" s="176"/>
      <c r="J27" s="176"/>
      <c r="K27" s="11"/>
      <c r="L27" s="213"/>
      <c r="M27" s="176"/>
      <c r="N27" s="11"/>
      <c r="O27" s="595"/>
      <c r="P27" s="176"/>
      <c r="Q27" s="37"/>
      <c r="R27" s="176"/>
      <c r="S27" s="176"/>
      <c r="T27" s="11"/>
      <c r="U27" s="11"/>
      <c r="V27" s="213"/>
      <c r="W27" s="176"/>
      <c r="X27" s="176"/>
      <c r="Y27" s="213"/>
      <c r="Z27" s="176"/>
    </row>
    <row r="28" spans="1:26" s="5" customFormat="1" ht="11.4">
      <c r="A28" s="98" t="s">
        <v>795</v>
      </c>
      <c r="B28" s="15"/>
      <c r="C28" s="595"/>
      <c r="D28" s="176">
        <v>357</v>
      </c>
      <c r="E28" s="37"/>
      <c r="F28" s="176"/>
      <c r="G28" s="176">
        <v>601</v>
      </c>
      <c r="H28" s="11"/>
      <c r="I28" s="176"/>
      <c r="J28" s="176">
        <v>654</v>
      </c>
      <c r="K28" s="11"/>
      <c r="L28" s="213"/>
      <c r="M28" s="176">
        <v>22</v>
      </c>
      <c r="N28" s="11"/>
      <c r="O28" s="595"/>
      <c r="P28" s="176">
        <v>-732</v>
      </c>
      <c r="Q28" s="37"/>
      <c r="R28" s="176"/>
      <c r="S28" s="176">
        <v>427</v>
      </c>
      <c r="T28" s="11"/>
      <c r="U28" s="11"/>
      <c r="V28" s="213"/>
      <c r="W28" s="176">
        <v>958</v>
      </c>
      <c r="X28" s="111"/>
      <c r="Y28" s="213"/>
      <c r="Z28" s="176">
        <v>-305</v>
      </c>
    </row>
    <row r="29" spans="1:26" s="5" customFormat="1" ht="11.4">
      <c r="A29" s="98"/>
      <c r="B29" s="15"/>
      <c r="C29" s="595"/>
      <c r="D29" s="176"/>
      <c r="E29" s="37"/>
      <c r="F29" s="176"/>
      <c r="G29" s="176"/>
      <c r="H29" s="11"/>
      <c r="I29" s="176"/>
      <c r="J29" s="176"/>
      <c r="K29" s="11"/>
      <c r="L29" s="213"/>
      <c r="M29" s="176"/>
      <c r="N29" s="11"/>
      <c r="O29" s="595"/>
      <c r="P29" s="176"/>
      <c r="Q29" s="37"/>
      <c r="R29" s="176"/>
      <c r="S29" s="176"/>
      <c r="T29" s="11"/>
      <c r="U29" s="11"/>
      <c r="V29" s="213"/>
      <c r="W29" s="176"/>
      <c r="X29" s="111"/>
      <c r="Y29" s="213"/>
      <c r="Z29" s="111"/>
    </row>
    <row r="30" spans="1:26" s="5" customFormat="1" ht="11.4">
      <c r="A30" s="195" t="s">
        <v>297</v>
      </c>
      <c r="B30" s="15"/>
      <c r="C30" s="595"/>
      <c r="D30" s="176">
        <v>12</v>
      </c>
      <c r="E30" s="37"/>
      <c r="F30" s="176"/>
      <c r="G30" s="176">
        <v>124</v>
      </c>
      <c r="H30" s="11"/>
      <c r="I30" s="176"/>
      <c r="J30" s="176">
        <v>7</v>
      </c>
      <c r="K30" s="11"/>
      <c r="L30" s="213"/>
      <c r="M30" s="176">
        <v>15</v>
      </c>
      <c r="N30" s="11"/>
      <c r="O30" s="595"/>
      <c r="P30" s="176">
        <v>-6</v>
      </c>
      <c r="Q30" s="37"/>
      <c r="R30" s="176"/>
      <c r="S30" s="176">
        <v>38</v>
      </c>
      <c r="T30" s="11"/>
      <c r="U30" s="11"/>
      <c r="V30" s="213"/>
      <c r="W30" s="176">
        <v>136</v>
      </c>
      <c r="X30" s="176"/>
      <c r="Y30" s="213"/>
      <c r="Z30" s="176">
        <v>32</v>
      </c>
    </row>
    <row r="31" spans="1:26" s="5" customFormat="1" ht="11.4">
      <c r="A31" s="98" t="s">
        <v>311</v>
      </c>
      <c r="B31" s="15"/>
      <c r="C31" s="595"/>
      <c r="D31" s="176"/>
      <c r="E31" s="37"/>
      <c r="F31" s="176"/>
      <c r="G31" s="176"/>
      <c r="H31" s="11"/>
      <c r="I31" s="176"/>
      <c r="J31" s="176"/>
      <c r="K31" s="11"/>
      <c r="L31" s="213"/>
      <c r="M31" s="176"/>
      <c r="N31" s="11"/>
      <c r="O31" s="595"/>
      <c r="P31" s="176"/>
      <c r="Q31" s="37"/>
      <c r="R31" s="176"/>
      <c r="S31" s="176"/>
      <c r="T31" s="11"/>
      <c r="U31" s="11"/>
      <c r="V31" s="213"/>
      <c r="W31" s="176"/>
      <c r="X31" s="176"/>
      <c r="Y31" s="213"/>
      <c r="Z31" s="176"/>
    </row>
    <row r="32" spans="1:26" s="5" customFormat="1" ht="11.4">
      <c r="A32" s="98" t="s">
        <v>312</v>
      </c>
      <c r="B32" s="15"/>
      <c r="C32" s="595"/>
      <c r="D32" s="176">
        <v>1</v>
      </c>
      <c r="E32" s="37"/>
      <c r="F32" s="176"/>
      <c r="G32" s="176">
        <v>1</v>
      </c>
      <c r="H32" s="11"/>
      <c r="I32" s="176"/>
      <c r="J32" s="176">
        <v>2</v>
      </c>
      <c r="K32" s="11"/>
      <c r="L32" s="213"/>
      <c r="M32" s="176">
        <v>4</v>
      </c>
      <c r="N32" s="11"/>
      <c r="O32" s="595"/>
      <c r="P32" s="176">
        <v>1</v>
      </c>
      <c r="Q32" s="37"/>
      <c r="R32" s="176"/>
      <c r="S32" s="176">
        <v>3</v>
      </c>
      <c r="T32" s="11"/>
      <c r="U32" s="11"/>
      <c r="V32" s="213"/>
      <c r="W32" s="176">
        <v>2</v>
      </c>
      <c r="X32" s="176"/>
      <c r="Y32" s="213"/>
      <c r="Z32" s="176">
        <v>4</v>
      </c>
    </row>
    <row r="33" spans="1:26" s="5" customFormat="1" ht="11.4">
      <c r="A33" s="98" t="s">
        <v>789</v>
      </c>
      <c r="B33" s="23"/>
      <c r="C33" s="595"/>
      <c r="D33" s="176"/>
      <c r="E33" s="37"/>
      <c r="F33" s="176"/>
      <c r="G33" s="176"/>
      <c r="H33" s="11"/>
      <c r="I33" s="176"/>
      <c r="J33" s="176"/>
      <c r="K33" s="11"/>
      <c r="L33" s="213"/>
      <c r="M33" s="176"/>
      <c r="N33" s="11"/>
      <c r="O33" s="595"/>
      <c r="P33" s="176"/>
      <c r="Q33" s="37"/>
      <c r="R33" s="176"/>
      <c r="S33" s="176"/>
      <c r="T33" s="11"/>
      <c r="U33" s="11"/>
      <c r="V33" s="213"/>
      <c r="W33" s="176"/>
      <c r="X33" s="176"/>
      <c r="Y33" s="213"/>
      <c r="Z33" s="176"/>
    </row>
    <row r="34" spans="1:26" s="5" customFormat="1" ht="11.4">
      <c r="A34" s="787" t="s">
        <v>9</v>
      </c>
      <c r="B34" s="348"/>
      <c r="C34" s="595"/>
      <c r="D34" s="113">
        <v>-16</v>
      </c>
      <c r="E34" s="37"/>
      <c r="F34" s="176"/>
      <c r="G34" s="176">
        <v>-31</v>
      </c>
      <c r="H34" s="11"/>
      <c r="I34" s="176"/>
      <c r="J34" s="176">
        <v>-32</v>
      </c>
      <c r="K34" s="11"/>
      <c r="L34" s="213"/>
      <c r="M34" s="176">
        <v>0</v>
      </c>
      <c r="N34" s="11"/>
      <c r="O34" s="595"/>
      <c r="P34" s="113">
        <v>0</v>
      </c>
      <c r="Q34" s="37"/>
      <c r="R34" s="176"/>
      <c r="S34" s="176">
        <v>0</v>
      </c>
      <c r="T34" s="11"/>
      <c r="U34" s="11"/>
      <c r="V34" s="213"/>
      <c r="W34" s="176">
        <v>-47</v>
      </c>
      <c r="X34" s="176"/>
      <c r="Y34" s="213"/>
      <c r="Z34" s="176">
        <v>0</v>
      </c>
    </row>
    <row r="35" spans="1:26" s="5" customFormat="1" ht="12" thickBot="1">
      <c r="A35" s="98" t="s">
        <v>791</v>
      </c>
      <c r="B35" s="15"/>
      <c r="C35" s="22" t="s">
        <v>108</v>
      </c>
      <c r="D35" s="217">
        <v>354</v>
      </c>
      <c r="E35" s="37"/>
      <c r="F35" s="23" t="s">
        <v>108</v>
      </c>
      <c r="G35" s="196">
        <v>695</v>
      </c>
      <c r="H35" s="11"/>
      <c r="I35" s="23" t="s">
        <v>108</v>
      </c>
      <c r="J35" s="196">
        <v>631</v>
      </c>
      <c r="K35" s="11"/>
      <c r="L35" s="23" t="s">
        <v>108</v>
      </c>
      <c r="M35" s="196">
        <v>41</v>
      </c>
      <c r="N35" s="11"/>
      <c r="O35" s="22" t="s">
        <v>108</v>
      </c>
      <c r="P35" s="217">
        <v>-737</v>
      </c>
      <c r="Q35" s="37"/>
      <c r="R35" s="23" t="s">
        <v>108</v>
      </c>
      <c r="S35" s="196">
        <v>468</v>
      </c>
      <c r="T35" s="11"/>
      <c r="U35" s="11"/>
      <c r="V35" s="23" t="s">
        <v>108</v>
      </c>
      <c r="W35" s="196">
        <v>1049</v>
      </c>
      <c r="X35" s="176"/>
      <c r="Y35" s="23" t="s">
        <v>108</v>
      </c>
      <c r="Z35" s="196">
        <v>-269</v>
      </c>
    </row>
    <row r="36" spans="1:26" s="5" customFormat="1" ht="12" thickTop="1">
      <c r="B36" s="11"/>
      <c r="C36" s="36"/>
      <c r="D36" s="11"/>
      <c r="E36" s="37"/>
      <c r="F36" s="11"/>
      <c r="G36" s="11"/>
      <c r="H36" s="11"/>
      <c r="I36" s="11"/>
      <c r="J36" s="11"/>
      <c r="K36" s="11"/>
      <c r="L36" s="11"/>
      <c r="M36" s="11"/>
      <c r="N36" s="11"/>
      <c r="O36" s="36"/>
      <c r="P36" s="11"/>
      <c r="Q36" s="37"/>
      <c r="R36" s="11"/>
      <c r="S36" s="11"/>
      <c r="T36" s="11"/>
      <c r="U36" s="11"/>
      <c r="V36" s="11"/>
      <c r="W36" s="11"/>
      <c r="Y36" s="11"/>
    </row>
    <row r="37" spans="1:26" s="5" customFormat="1" ht="12" thickBot="1">
      <c r="A37" s="5" t="s">
        <v>313</v>
      </c>
      <c r="B37" s="11"/>
      <c r="C37" s="22" t="s">
        <v>108</v>
      </c>
      <c r="D37" s="114">
        <v>819</v>
      </c>
      <c r="E37" s="37"/>
      <c r="F37" s="23" t="s">
        <v>108</v>
      </c>
      <c r="G37" s="114">
        <v>259</v>
      </c>
      <c r="H37" s="11"/>
      <c r="I37" s="23" t="s">
        <v>108</v>
      </c>
      <c r="J37" s="114">
        <v>66</v>
      </c>
      <c r="K37" s="11"/>
      <c r="L37" s="23" t="s">
        <v>108</v>
      </c>
      <c r="M37" s="114">
        <v>1077</v>
      </c>
      <c r="N37" s="11"/>
      <c r="O37" s="22" t="s">
        <v>108</v>
      </c>
      <c r="P37" s="114">
        <v>2339</v>
      </c>
      <c r="Q37" s="37"/>
      <c r="R37" s="23" t="s">
        <v>108</v>
      </c>
      <c r="S37" s="114">
        <v>333</v>
      </c>
      <c r="T37" s="11"/>
      <c r="U37" s="11"/>
      <c r="V37" s="23" t="s">
        <v>108</v>
      </c>
      <c r="W37" s="114">
        <v>1078</v>
      </c>
      <c r="X37" s="176"/>
      <c r="Y37" s="23" t="s">
        <v>108</v>
      </c>
      <c r="Z37" s="114">
        <v>2672</v>
      </c>
    </row>
    <row r="38" spans="1:26" s="5" customFormat="1" ht="12" thickTop="1">
      <c r="B38" s="11"/>
      <c r="C38" s="36"/>
      <c r="D38" s="11"/>
      <c r="E38" s="37"/>
      <c r="F38" s="11"/>
      <c r="G38" s="11"/>
      <c r="H38" s="11"/>
      <c r="I38" s="11"/>
      <c r="J38" s="11"/>
      <c r="K38" s="11"/>
      <c r="L38" s="11"/>
      <c r="M38" s="11"/>
      <c r="N38" s="11"/>
      <c r="O38" s="36"/>
      <c r="P38" s="11"/>
      <c r="Q38" s="37"/>
      <c r="R38" s="11"/>
      <c r="S38" s="11"/>
      <c r="T38" s="11"/>
      <c r="U38" s="11"/>
      <c r="V38" s="11"/>
      <c r="Y38" s="11"/>
    </row>
    <row r="39" spans="1:26" s="5" customFormat="1" ht="11.4">
      <c r="A39" s="5" t="s">
        <v>729</v>
      </c>
      <c r="B39" s="11"/>
      <c r="C39" s="36"/>
      <c r="D39" s="218"/>
      <c r="E39" s="37"/>
      <c r="F39" s="218"/>
      <c r="G39" s="218"/>
      <c r="H39" s="11"/>
      <c r="I39" s="218"/>
      <c r="J39" s="218"/>
      <c r="K39" s="11"/>
      <c r="L39" s="11"/>
      <c r="M39" s="218"/>
      <c r="N39" s="11"/>
      <c r="O39" s="36"/>
      <c r="P39" s="218"/>
      <c r="Q39" s="37"/>
      <c r="R39" s="218"/>
      <c r="S39" s="218"/>
      <c r="T39" s="11"/>
      <c r="U39" s="11"/>
      <c r="V39" s="11"/>
      <c r="W39" s="219"/>
      <c r="X39" s="219"/>
      <c r="Y39" s="11"/>
      <c r="Z39" s="219"/>
    </row>
    <row r="40" spans="1:26" s="5" customFormat="1" ht="11.4">
      <c r="A40" s="67" t="s">
        <v>314</v>
      </c>
      <c r="B40" s="66"/>
      <c r="C40" s="36"/>
      <c r="D40" s="222">
        <v>72.157215721572157</v>
      </c>
      <c r="E40" s="37"/>
      <c r="F40" s="222"/>
      <c r="G40" s="222">
        <v>65.400000000000006</v>
      </c>
      <c r="H40" s="35"/>
      <c r="I40" s="222"/>
      <c r="J40" s="222">
        <v>63.5</v>
      </c>
      <c r="K40" s="35"/>
      <c r="L40" s="11"/>
      <c r="M40" s="222">
        <v>79.8</v>
      </c>
      <c r="N40" s="11"/>
      <c r="O40" s="36"/>
      <c r="P40" s="222">
        <v>98.420319033606944</v>
      </c>
      <c r="Q40" s="37"/>
      <c r="R40" s="222"/>
      <c r="S40" s="222">
        <v>69.400000000000006</v>
      </c>
      <c r="T40" s="35"/>
      <c r="U40" s="11"/>
      <c r="V40" s="11"/>
      <c r="W40" s="223">
        <v>68.810168471720829</v>
      </c>
      <c r="X40" s="223"/>
      <c r="Y40" s="11"/>
      <c r="Z40" s="223">
        <v>83.928709802402167</v>
      </c>
    </row>
    <row r="41" spans="1:26" s="5" customFormat="1" ht="11.4">
      <c r="A41" s="98" t="s">
        <v>41</v>
      </c>
      <c r="B41" s="66"/>
      <c r="C41" s="36"/>
      <c r="D41" s="224">
        <v>25.83258325832583</v>
      </c>
      <c r="E41" s="37"/>
      <c r="F41" s="222"/>
      <c r="G41" s="224">
        <v>26.666666666666668</v>
      </c>
      <c r="H41" s="35"/>
      <c r="I41" s="222"/>
      <c r="J41" s="224">
        <v>27.442922028766088</v>
      </c>
      <c r="K41" s="35"/>
      <c r="L41" s="11"/>
      <c r="M41" s="224">
        <v>25</v>
      </c>
      <c r="N41" s="11"/>
      <c r="O41" s="36"/>
      <c r="P41" s="224">
        <v>24.941257549945796</v>
      </c>
      <c r="Q41" s="37"/>
      <c r="R41" s="222"/>
      <c r="S41" s="224">
        <v>25.5</v>
      </c>
      <c r="T41" s="35"/>
      <c r="U41" s="11"/>
      <c r="V41" s="11"/>
      <c r="W41" s="224">
        <v>26.348495788206979</v>
      </c>
      <c r="X41" s="222"/>
      <c r="Y41" s="11"/>
      <c r="Z41" s="224">
        <v>25.176288260364199</v>
      </c>
    </row>
    <row r="42" spans="1:26" s="5" customFormat="1" ht="12" thickBot="1">
      <c r="A42" s="67" t="s">
        <v>315</v>
      </c>
      <c r="B42" s="66"/>
      <c r="C42" s="36"/>
      <c r="D42" s="225">
        <v>98</v>
      </c>
      <c r="E42" s="37"/>
      <c r="F42" s="222"/>
      <c r="G42" s="225">
        <v>92.1</v>
      </c>
      <c r="H42" s="11"/>
      <c r="I42" s="222"/>
      <c r="J42" s="225">
        <v>90.9</v>
      </c>
      <c r="K42" s="11"/>
      <c r="L42" s="11"/>
      <c r="M42" s="225">
        <v>104.83519900497514</v>
      </c>
      <c r="N42" s="11"/>
      <c r="O42" s="36"/>
      <c r="P42" s="225">
        <v>123.3</v>
      </c>
      <c r="Q42" s="37"/>
      <c r="R42" s="222"/>
      <c r="S42" s="225">
        <v>94.9</v>
      </c>
      <c r="T42" s="11"/>
      <c r="U42" s="11"/>
      <c r="V42" s="11"/>
      <c r="W42" s="225">
        <v>95.058664259927795</v>
      </c>
      <c r="X42" s="222"/>
      <c r="Y42" s="11"/>
      <c r="Z42" s="225">
        <v>109.10499806276637</v>
      </c>
    </row>
    <row r="43" spans="1:26" s="5" customFormat="1" ht="12" thickTop="1">
      <c r="A43" s="67"/>
      <c r="B43" s="66"/>
      <c r="C43" s="36"/>
      <c r="D43" s="222"/>
      <c r="E43" s="37"/>
      <c r="F43" s="222"/>
      <c r="G43" s="222"/>
      <c r="H43" s="11"/>
      <c r="I43" s="222"/>
      <c r="J43" s="222"/>
      <c r="K43" s="11"/>
      <c r="L43" s="11"/>
      <c r="M43" s="222"/>
      <c r="N43" s="11"/>
      <c r="O43" s="36"/>
      <c r="P43" s="222"/>
      <c r="Q43" s="37"/>
      <c r="R43" s="222"/>
      <c r="S43" s="222"/>
      <c r="T43" s="11"/>
      <c r="U43" s="11"/>
      <c r="V43" s="11"/>
      <c r="W43" s="222"/>
      <c r="X43" s="222"/>
      <c r="Y43" s="11"/>
      <c r="Z43" s="222"/>
    </row>
    <row r="44" spans="1:26" s="5" customFormat="1" ht="11.4">
      <c r="A44" s="67" t="s">
        <v>316</v>
      </c>
      <c r="B44" s="66"/>
      <c r="C44" s="36"/>
      <c r="D44" s="222">
        <v>85.713771377137718</v>
      </c>
      <c r="E44" s="37"/>
      <c r="F44" s="222"/>
      <c r="G44" s="222">
        <v>88.199999999999989</v>
      </c>
      <c r="H44" s="11"/>
      <c r="I44" s="222"/>
      <c r="J44" s="222">
        <v>89.900757002271007</v>
      </c>
      <c r="K44" s="11"/>
      <c r="L44" s="11"/>
      <c r="M44" s="222">
        <v>88.135199004975135</v>
      </c>
      <c r="N44" s="11"/>
      <c r="O44" s="36"/>
      <c r="P44" s="222">
        <v>87.075747251045385</v>
      </c>
      <c r="Q44" s="37"/>
      <c r="R44" s="222"/>
      <c r="S44" s="222">
        <v>89.7</v>
      </c>
      <c r="T44" s="11"/>
      <c r="U44" s="11"/>
      <c r="V44" s="11"/>
      <c r="W44" s="222">
        <v>86.950962695547531</v>
      </c>
      <c r="X44" s="222"/>
      <c r="Y44" s="11"/>
      <c r="Z44" s="222">
        <v>88.399845021309574</v>
      </c>
    </row>
    <row r="45" spans="1:26" s="5" customFormat="1" ht="11.4">
      <c r="A45" s="67" t="s">
        <v>730</v>
      </c>
      <c r="B45" s="66"/>
      <c r="C45" s="36"/>
      <c r="D45" s="222">
        <v>12.286228622862286</v>
      </c>
      <c r="E45" s="37"/>
      <c r="F45" s="218"/>
      <c r="G45" s="222">
        <v>3.9</v>
      </c>
      <c r="H45" s="11"/>
      <c r="I45" s="218"/>
      <c r="J45" s="222">
        <v>0.99924299772899317</v>
      </c>
      <c r="K45" s="11"/>
      <c r="L45" s="11"/>
      <c r="M45" s="222">
        <v>16.7</v>
      </c>
      <c r="N45" s="11"/>
      <c r="O45" s="36"/>
      <c r="P45" s="222">
        <v>36.224252748954619</v>
      </c>
      <c r="Q45" s="37"/>
      <c r="R45" s="218"/>
      <c r="S45" s="222">
        <v>5.2</v>
      </c>
      <c r="T45" s="11"/>
      <c r="U45" s="11"/>
      <c r="V45" s="11"/>
      <c r="W45" s="222">
        <v>8.1077015643802657</v>
      </c>
      <c r="X45" s="222"/>
      <c r="Y45" s="11"/>
      <c r="Z45" s="222">
        <v>20.7051530414568</v>
      </c>
    </row>
    <row r="46" spans="1:26" s="5" customFormat="1" ht="12" thickBot="1">
      <c r="A46" s="67" t="s">
        <v>315</v>
      </c>
      <c r="B46" s="11"/>
      <c r="C46" s="36"/>
      <c r="D46" s="226">
        <v>98</v>
      </c>
      <c r="E46" s="37"/>
      <c r="F46" s="11"/>
      <c r="G46" s="226">
        <v>92.1</v>
      </c>
      <c r="H46" s="11"/>
      <c r="I46" s="11"/>
      <c r="J46" s="226">
        <v>90.9</v>
      </c>
      <c r="K46" s="11"/>
      <c r="L46" s="11"/>
      <c r="M46" s="226">
        <v>104.83519900497514</v>
      </c>
      <c r="N46" s="11"/>
      <c r="O46" s="36"/>
      <c r="P46" s="226">
        <v>123.30000000000001</v>
      </c>
      <c r="Q46" s="37"/>
      <c r="R46" s="11"/>
      <c r="S46" s="226">
        <v>94.9</v>
      </c>
      <c r="T46" s="11"/>
      <c r="U46" s="11"/>
      <c r="W46" s="226">
        <v>95.058664259927795</v>
      </c>
      <c r="Z46" s="226">
        <v>109.10499806276637</v>
      </c>
    </row>
    <row r="47" spans="1:26" s="5" customFormat="1" ht="12" thickTop="1">
      <c r="A47" s="67"/>
      <c r="B47" s="11"/>
      <c r="C47" s="36"/>
      <c r="D47" s="227"/>
      <c r="E47" s="37"/>
      <c r="F47" s="11"/>
      <c r="G47" s="227"/>
      <c r="H47" s="11"/>
      <c r="I47" s="11"/>
      <c r="J47" s="227"/>
      <c r="K47" s="11"/>
      <c r="L47" s="11"/>
      <c r="M47" s="227"/>
      <c r="N47" s="11"/>
      <c r="O47" s="36"/>
      <c r="P47" s="227"/>
      <c r="Q47" s="37"/>
      <c r="R47" s="11"/>
      <c r="S47" s="227"/>
      <c r="T47" s="11"/>
      <c r="U47" s="11"/>
      <c r="W47" s="227"/>
      <c r="Z47" s="227"/>
    </row>
    <row r="48" spans="1:26" s="5" customFormat="1" ht="11.4">
      <c r="A48" s="246" t="s">
        <v>975</v>
      </c>
      <c r="B48" s="235"/>
      <c r="C48" s="230"/>
      <c r="D48" s="213"/>
      <c r="E48" s="37"/>
      <c r="F48" s="66"/>
      <c r="G48" s="213"/>
      <c r="H48" s="11"/>
      <c r="I48" s="66"/>
      <c r="J48" s="213"/>
      <c r="K48" s="11"/>
      <c r="L48" s="66"/>
      <c r="M48" s="213"/>
      <c r="N48" s="11"/>
      <c r="O48" s="230"/>
      <c r="P48" s="213"/>
      <c r="Q48" s="37"/>
      <c r="R48" s="66"/>
      <c r="S48" s="213"/>
      <c r="T48" s="11"/>
      <c r="U48" s="11"/>
      <c r="V48" s="66"/>
      <c r="W48" s="213"/>
      <c r="X48" s="231"/>
      <c r="Y48" s="66"/>
    </row>
    <row r="49" spans="1:26" s="5" customFormat="1" ht="11.4">
      <c r="A49" s="246"/>
      <c r="B49" s="235" t="s">
        <v>979</v>
      </c>
      <c r="C49" s="230"/>
      <c r="D49" s="213"/>
      <c r="E49" s="37"/>
      <c r="F49" s="66"/>
      <c r="G49" s="213"/>
      <c r="H49" s="11"/>
      <c r="I49" s="66"/>
      <c r="J49" s="213"/>
      <c r="K49" s="11"/>
      <c r="L49" s="66"/>
      <c r="M49" s="213"/>
      <c r="N49" s="11"/>
      <c r="O49" s="230"/>
      <c r="P49" s="213"/>
      <c r="Q49" s="37"/>
      <c r="R49" s="66"/>
      <c r="S49" s="213"/>
      <c r="T49" s="11"/>
      <c r="U49" s="11"/>
      <c r="V49" s="66"/>
      <c r="W49" s="213"/>
      <c r="X49" s="231"/>
      <c r="Y49" s="66"/>
      <c r="Z49" s="213"/>
    </row>
    <row r="50" spans="1:26" s="5" customFormat="1" ht="11.4">
      <c r="A50" s="246"/>
      <c r="B50" s="235" t="s">
        <v>683</v>
      </c>
      <c r="C50" s="230"/>
      <c r="D50" s="213">
        <v>86.323732373237334</v>
      </c>
      <c r="E50" s="37"/>
      <c r="F50" s="66"/>
      <c r="G50" s="213">
        <v>88.113273001508276</v>
      </c>
      <c r="H50" s="11"/>
      <c r="I50" s="66"/>
      <c r="J50" s="213">
        <v>90.658894776684335</v>
      </c>
      <c r="K50" s="11"/>
      <c r="L50" s="66"/>
      <c r="M50" s="213">
        <v>89.2</v>
      </c>
      <c r="N50" s="11"/>
      <c r="O50" s="230"/>
      <c r="P50" s="213">
        <v>87.475747251045391</v>
      </c>
      <c r="Q50" s="37"/>
      <c r="R50" s="66"/>
      <c r="S50" s="213">
        <v>89.9</v>
      </c>
      <c r="T50" s="11"/>
      <c r="U50" s="11"/>
      <c r="V50" s="66"/>
      <c r="W50" s="213">
        <v>87.150962695547534</v>
      </c>
      <c r="X50" s="231"/>
      <c r="Y50" s="66"/>
      <c r="Z50" s="213">
        <v>88.699845021309571</v>
      </c>
    </row>
    <row r="51" spans="1:26" s="5" customFormat="1" ht="11.4">
      <c r="A51" s="67" t="s">
        <v>326</v>
      </c>
      <c r="B51" s="66"/>
      <c r="C51" s="36"/>
      <c r="D51" s="222">
        <v>12.286228622862286</v>
      </c>
      <c r="E51" s="37"/>
      <c r="F51" s="218"/>
      <c r="G51" s="222">
        <v>3.9064856711915534</v>
      </c>
      <c r="H51" s="11"/>
      <c r="I51" s="218"/>
      <c r="J51" s="222">
        <v>0.99924299772899317</v>
      </c>
      <c r="K51" s="11"/>
      <c r="L51" s="11"/>
      <c r="M51" s="222">
        <v>16.7</v>
      </c>
      <c r="N51" s="11"/>
      <c r="O51" s="36"/>
      <c r="P51" s="222">
        <v>36.224252748954619</v>
      </c>
      <c r="Q51" s="37"/>
      <c r="R51" s="218"/>
      <c r="S51" s="222">
        <v>5.2</v>
      </c>
      <c r="T51" s="11"/>
      <c r="U51" s="11"/>
      <c r="V51" s="11"/>
      <c r="W51" s="222">
        <v>8.1077015643802657</v>
      </c>
      <c r="X51" s="222"/>
      <c r="Y51" s="11"/>
      <c r="Z51" s="222">
        <v>20.7051530414568</v>
      </c>
    </row>
    <row r="52" spans="1:26" s="5" customFormat="1" ht="11.4">
      <c r="A52" s="67" t="s">
        <v>317</v>
      </c>
      <c r="B52" s="66"/>
      <c r="C52" s="36"/>
      <c r="D52" s="222"/>
      <c r="E52" s="37"/>
      <c r="F52" s="222"/>
      <c r="G52" s="222"/>
      <c r="H52" s="11"/>
      <c r="I52" s="222"/>
      <c r="J52" s="222"/>
      <c r="K52" s="11"/>
      <c r="L52" s="11"/>
      <c r="M52" s="222"/>
      <c r="N52" s="11"/>
      <c r="O52" s="36"/>
      <c r="P52" s="222"/>
      <c r="Q52" s="37"/>
      <c r="R52" s="222"/>
      <c r="S52" s="222"/>
      <c r="T52" s="11"/>
      <c r="U52" s="11"/>
      <c r="V52" s="11"/>
      <c r="W52" s="222"/>
      <c r="X52" s="222"/>
      <c r="Y52" s="11"/>
      <c r="Z52" s="222"/>
    </row>
    <row r="53" spans="1:26" s="5" customFormat="1" ht="11.4">
      <c r="A53" s="67"/>
      <c r="B53" s="66" t="s">
        <v>731</v>
      </c>
      <c r="C53" s="36"/>
      <c r="D53" s="213">
        <v>-2.4</v>
      </c>
      <c r="E53" s="37"/>
      <c r="F53" s="222"/>
      <c r="G53" s="213">
        <v>-3.1221719457013575</v>
      </c>
      <c r="H53" s="11"/>
      <c r="I53" s="222"/>
      <c r="J53" s="213">
        <v>-2</v>
      </c>
      <c r="K53" s="11"/>
      <c r="L53" s="11"/>
      <c r="M53" s="213">
        <v>-1.8</v>
      </c>
      <c r="N53" s="11"/>
      <c r="O53" s="36"/>
      <c r="P53" s="213">
        <v>-0.7</v>
      </c>
      <c r="Q53" s="37"/>
      <c r="R53" s="222"/>
      <c r="S53" s="213">
        <v>-0.7</v>
      </c>
      <c r="T53" s="11"/>
      <c r="U53" s="11"/>
      <c r="V53" s="11"/>
      <c r="W53" s="213">
        <v>-2.7</v>
      </c>
      <c r="X53" s="222"/>
      <c r="Y53" s="11"/>
      <c r="Z53" s="222">
        <v>-0.7</v>
      </c>
    </row>
    <row r="54" spans="1:26" s="5" customFormat="1" ht="11.4">
      <c r="A54" s="246" t="s">
        <v>318</v>
      </c>
      <c r="B54" s="235"/>
      <c r="C54" s="230"/>
      <c r="D54" s="66"/>
      <c r="E54" s="37"/>
      <c r="F54" s="66"/>
      <c r="G54" s="66"/>
      <c r="H54" s="11"/>
      <c r="I54" s="66"/>
      <c r="J54" s="66"/>
      <c r="K54" s="11"/>
      <c r="L54" s="66"/>
      <c r="M54" s="66"/>
      <c r="N54" s="11"/>
      <c r="O54" s="230"/>
      <c r="P54" s="66"/>
      <c r="Q54" s="37"/>
      <c r="R54" s="66"/>
      <c r="S54" s="66"/>
      <c r="T54" s="11"/>
      <c r="U54" s="11"/>
      <c r="V54" s="66"/>
      <c r="W54" s="66"/>
      <c r="X54" s="67"/>
      <c r="Y54" s="66"/>
      <c r="Z54" s="67"/>
    </row>
    <row r="55" spans="1:26" s="5" customFormat="1" ht="11.4">
      <c r="A55" s="246" t="s">
        <v>319</v>
      </c>
      <c r="B55" s="235" t="s">
        <v>320</v>
      </c>
      <c r="C55" s="230"/>
      <c r="D55" s="213">
        <v>1.4</v>
      </c>
      <c r="E55" s="37"/>
      <c r="F55" s="66"/>
      <c r="G55" s="213">
        <v>2.5</v>
      </c>
      <c r="H55" s="11"/>
      <c r="I55" s="66"/>
      <c r="J55" s="213">
        <v>0.5</v>
      </c>
      <c r="K55" s="11"/>
      <c r="L55" s="66"/>
      <c r="M55" s="213">
        <v>0.7</v>
      </c>
      <c r="N55" s="11"/>
      <c r="O55" s="230"/>
      <c r="P55" s="213">
        <v>0.3</v>
      </c>
      <c r="Q55" s="37"/>
      <c r="R55" s="66"/>
      <c r="S55" s="213">
        <v>0.5</v>
      </c>
      <c r="T55" s="11"/>
      <c r="U55" s="11"/>
      <c r="V55" s="66"/>
      <c r="W55" s="213">
        <v>1.9</v>
      </c>
      <c r="X55" s="231"/>
      <c r="Y55" s="66"/>
      <c r="Z55" s="231">
        <v>0.4</v>
      </c>
    </row>
    <row r="56" spans="1:26" s="5" customFormat="1" ht="11.4">
      <c r="A56" s="246" t="s">
        <v>684</v>
      </c>
      <c r="B56" s="235"/>
      <c r="C56" s="230"/>
      <c r="D56" s="213"/>
      <c r="E56" s="37"/>
      <c r="F56" s="66"/>
      <c r="G56" s="213"/>
      <c r="H56" s="11"/>
      <c r="I56" s="66"/>
      <c r="J56" s="213"/>
      <c r="K56" s="11"/>
      <c r="L56" s="66"/>
      <c r="M56" s="213"/>
      <c r="N56" s="11"/>
      <c r="O56" s="230"/>
      <c r="P56" s="213"/>
      <c r="Q56" s="37"/>
      <c r="R56" s="66"/>
      <c r="S56" s="213"/>
      <c r="T56" s="11"/>
      <c r="U56" s="11"/>
      <c r="V56" s="66"/>
      <c r="W56" s="213"/>
      <c r="X56" s="231"/>
      <c r="Y56" s="66"/>
      <c r="Z56" s="231"/>
    </row>
    <row r="57" spans="1:26" s="5" customFormat="1" ht="11.4">
      <c r="A57" s="246"/>
      <c r="B57" s="235" t="s">
        <v>732</v>
      </c>
      <c r="C57" s="230"/>
      <c r="D57" s="213">
        <v>0.39003900390039004</v>
      </c>
      <c r="E57" s="37"/>
      <c r="F57" s="66"/>
      <c r="G57" s="213">
        <v>0.70889894419306188</v>
      </c>
      <c r="H57" s="11"/>
      <c r="I57" s="66"/>
      <c r="J57" s="213">
        <v>0.7418622255866768</v>
      </c>
      <c r="K57" s="11"/>
      <c r="L57" s="66"/>
      <c r="M57" s="213">
        <v>0</v>
      </c>
      <c r="N57" s="11"/>
      <c r="O57" s="230"/>
      <c r="P57" s="213">
        <v>0</v>
      </c>
      <c r="Q57" s="37"/>
      <c r="R57" s="66"/>
      <c r="S57" s="213">
        <v>0</v>
      </c>
      <c r="T57" s="11"/>
      <c r="U57" s="11"/>
      <c r="V57" s="66"/>
      <c r="W57" s="213">
        <v>0.6</v>
      </c>
      <c r="X57" s="231"/>
      <c r="Y57" s="66"/>
      <c r="Z57" s="213">
        <v>0</v>
      </c>
    </row>
    <row r="58" spans="1:26" s="5" customFormat="1" ht="12" thickBot="1">
      <c r="A58" s="67" t="s">
        <v>315</v>
      </c>
      <c r="B58" s="11"/>
      <c r="C58" s="36"/>
      <c r="D58" s="232">
        <v>98</v>
      </c>
      <c r="E58" s="37"/>
      <c r="F58" s="11"/>
      <c r="G58" s="232">
        <v>92.1</v>
      </c>
      <c r="H58" s="11"/>
      <c r="I58" s="11"/>
      <c r="J58" s="232">
        <v>90.9</v>
      </c>
      <c r="K58" s="11"/>
      <c r="L58" s="11"/>
      <c r="M58" s="232">
        <v>104.80000000000001</v>
      </c>
      <c r="N58" s="11"/>
      <c r="O58" s="36"/>
      <c r="P58" s="232">
        <v>123.30000000000001</v>
      </c>
      <c r="Q58" s="37"/>
      <c r="R58" s="11"/>
      <c r="S58" s="232">
        <v>94.9</v>
      </c>
      <c r="T58" s="11"/>
      <c r="U58" s="11"/>
      <c r="W58" s="232">
        <v>95.058664259927795</v>
      </c>
      <c r="Z58" s="232">
        <v>109.10499806276637</v>
      </c>
    </row>
    <row r="59" spans="1:26" s="5" customFormat="1" ht="12" thickTop="1">
      <c r="B59" s="11"/>
      <c r="C59" s="36"/>
      <c r="D59" s="11"/>
      <c r="E59" s="37"/>
      <c r="F59" s="11"/>
      <c r="G59" s="11"/>
      <c r="H59" s="11"/>
      <c r="I59" s="11"/>
      <c r="J59" s="11"/>
      <c r="K59" s="11"/>
      <c r="L59" s="11"/>
      <c r="M59" s="11"/>
      <c r="N59" s="11"/>
      <c r="O59" s="36"/>
      <c r="P59" s="11"/>
      <c r="Q59" s="37"/>
      <c r="R59" s="11"/>
      <c r="S59" s="11"/>
      <c r="T59" s="11"/>
      <c r="U59" s="11"/>
    </row>
    <row r="60" spans="1:26" s="5" customFormat="1" ht="11.4">
      <c r="A60" s="246" t="s">
        <v>321</v>
      </c>
      <c r="B60" s="235"/>
      <c r="C60" s="230"/>
      <c r="D60" s="66"/>
      <c r="E60" s="37"/>
      <c r="F60" s="66"/>
      <c r="G60" s="66"/>
      <c r="H60" s="11"/>
      <c r="I60" s="66"/>
      <c r="J60" s="66"/>
      <c r="K60" s="11"/>
      <c r="L60" s="66"/>
      <c r="M60" s="66"/>
      <c r="N60" s="11"/>
      <c r="O60" s="230"/>
      <c r="P60" s="66"/>
      <c r="Q60" s="37"/>
      <c r="R60" s="66"/>
      <c r="S60" s="66"/>
      <c r="T60" s="11"/>
      <c r="U60" s="11"/>
      <c r="V60" s="66"/>
      <c r="W60" s="67"/>
      <c r="X60" s="67"/>
      <c r="Y60" s="66"/>
      <c r="Z60" s="67"/>
    </row>
    <row r="61" spans="1:26" s="5" customFormat="1" ht="12" thickBot="1">
      <c r="A61" s="246" t="s">
        <v>733</v>
      </c>
      <c r="B61" s="235"/>
      <c r="C61" s="230"/>
      <c r="D61" s="234">
        <v>0.2</v>
      </c>
      <c r="E61" s="37"/>
      <c r="F61" s="66"/>
      <c r="G61" s="234">
        <v>0.1</v>
      </c>
      <c r="H61" s="11"/>
      <c r="I61" s="66"/>
      <c r="J61" s="234">
        <v>0.2</v>
      </c>
      <c r="K61" s="11"/>
      <c r="L61" s="66"/>
      <c r="M61" s="234">
        <v>0.1</v>
      </c>
      <c r="N61" s="11"/>
      <c r="O61" s="230"/>
      <c r="P61" s="234">
        <v>0.2</v>
      </c>
      <c r="Q61" s="37"/>
      <c r="R61" s="66"/>
      <c r="S61" s="234">
        <v>0.2</v>
      </c>
      <c r="T61" s="11"/>
      <c r="U61" s="11"/>
      <c r="V61" s="66"/>
      <c r="W61" s="234">
        <v>0.1</v>
      </c>
      <c r="X61" s="231"/>
      <c r="Y61" s="66"/>
      <c r="Z61" s="234">
        <v>0.2</v>
      </c>
    </row>
    <row r="62" spans="1:26" s="5" customFormat="1" ht="12" thickTop="1">
      <c r="A62" s="246"/>
      <c r="B62" s="235"/>
      <c r="C62" s="230"/>
      <c r="D62" s="213"/>
      <c r="E62" s="37"/>
      <c r="F62" s="66"/>
      <c r="G62" s="213"/>
      <c r="H62" s="11"/>
      <c r="I62" s="66"/>
      <c r="J62" s="213"/>
      <c r="K62" s="11"/>
      <c r="L62" s="66"/>
      <c r="M62" s="213"/>
      <c r="N62" s="11"/>
      <c r="O62" s="230"/>
      <c r="P62" s="213"/>
      <c r="Q62" s="37"/>
      <c r="R62" s="66"/>
      <c r="S62" s="213"/>
      <c r="T62" s="11"/>
      <c r="U62" s="11"/>
      <c r="V62" s="66"/>
      <c r="W62" s="213"/>
      <c r="X62" s="213"/>
      <c r="Y62" s="66"/>
      <c r="Z62" s="213"/>
    </row>
    <row r="63" spans="1:26" s="5" customFormat="1" ht="11.4">
      <c r="A63" s="246" t="s">
        <v>322</v>
      </c>
      <c r="B63" s="235"/>
      <c r="C63" s="230"/>
      <c r="D63" s="66"/>
      <c r="E63" s="37"/>
      <c r="F63" s="66"/>
      <c r="G63" s="66"/>
      <c r="H63" s="11"/>
      <c r="I63" s="66"/>
      <c r="J63" s="66"/>
      <c r="K63" s="11"/>
      <c r="L63" s="66"/>
      <c r="M63" s="66"/>
      <c r="N63" s="11"/>
      <c r="O63" s="230"/>
      <c r="P63" s="66"/>
      <c r="Q63" s="37"/>
      <c r="R63" s="66"/>
      <c r="S63" s="66"/>
      <c r="T63" s="11"/>
      <c r="U63" s="11"/>
      <c r="V63" s="66"/>
      <c r="W63" s="67"/>
      <c r="X63" s="67"/>
      <c r="Y63" s="66"/>
      <c r="Z63" s="67"/>
    </row>
    <row r="64" spans="1:26" s="5" customFormat="1" ht="12" thickBot="1">
      <c r="A64" s="246" t="s">
        <v>323</v>
      </c>
      <c r="B64" s="235"/>
      <c r="C64" s="230"/>
      <c r="D64" s="234">
        <v>0.1</v>
      </c>
      <c r="E64" s="37"/>
      <c r="F64" s="66"/>
      <c r="G64" s="234">
        <v>0</v>
      </c>
      <c r="H64" s="11"/>
      <c r="I64" s="66"/>
      <c r="J64" s="234">
        <v>0</v>
      </c>
      <c r="K64" s="11"/>
      <c r="L64" s="66"/>
      <c r="M64" s="234">
        <v>0.2</v>
      </c>
      <c r="N64" s="11"/>
      <c r="O64" s="230"/>
      <c r="P64" s="234">
        <v>0.1</v>
      </c>
      <c r="Q64" s="37"/>
      <c r="R64" s="66"/>
      <c r="S64" s="234">
        <v>0.1</v>
      </c>
      <c r="T64" s="11"/>
      <c r="U64" s="11"/>
      <c r="V64" s="66"/>
      <c r="W64" s="234">
        <v>0.1</v>
      </c>
      <c r="X64" s="213"/>
      <c r="Y64" s="66"/>
      <c r="Z64" s="234">
        <v>0.1</v>
      </c>
    </row>
    <row r="65" spans="1:34" s="5" customFormat="1" ht="12.6" thickTop="1" thickBot="1">
      <c r="A65" s="67"/>
      <c r="B65" s="66"/>
      <c r="C65" s="799"/>
      <c r="D65" s="796"/>
      <c r="E65" s="238"/>
      <c r="F65" s="66"/>
      <c r="G65" s="66"/>
      <c r="H65" s="11"/>
      <c r="I65" s="66"/>
      <c r="J65" s="66"/>
      <c r="K65" s="11"/>
      <c r="L65" s="11"/>
      <c r="M65" s="11"/>
      <c r="N65" s="11"/>
      <c r="O65" s="799"/>
      <c r="P65" s="796"/>
      <c r="Q65" s="238"/>
      <c r="R65" s="66"/>
      <c r="S65" s="66"/>
      <c r="T65" s="11"/>
      <c r="U65" s="11"/>
      <c r="V65" s="11"/>
      <c r="Y65" s="11"/>
    </row>
    <row r="66" spans="1:34">
      <c r="A66" s="65"/>
      <c r="B66" s="355"/>
      <c r="C66" s="11"/>
      <c r="D66" s="11"/>
      <c r="E66" s="11"/>
      <c r="F66" s="65"/>
      <c r="G66" s="65"/>
      <c r="H66" s="65"/>
      <c r="I66" s="65"/>
      <c r="J66" s="65"/>
      <c r="K66" s="65"/>
      <c r="L66" s="65"/>
      <c r="M66" s="65"/>
      <c r="N66" s="65"/>
      <c r="O66" s="65"/>
      <c r="P66" s="65"/>
      <c r="Q66" s="65"/>
      <c r="R66" s="355"/>
      <c r="S66" s="679"/>
      <c r="T66" s="679"/>
      <c r="U66" s="679"/>
      <c r="V66" s="65"/>
      <c r="W66" s="65"/>
      <c r="X66" s="65"/>
      <c r="Y66" s="65"/>
      <c r="Z66" s="65"/>
      <c r="AA66" s="5"/>
    </row>
    <row r="67" spans="1:34" ht="14.4">
      <c r="B67" s="902"/>
      <c r="C67" s="902"/>
      <c r="D67" s="902"/>
      <c r="E67" s="902"/>
      <c r="F67" s="902"/>
      <c r="G67" s="902"/>
      <c r="H67" s="902"/>
      <c r="I67" s="902"/>
      <c r="J67" s="902"/>
      <c r="K67" s="902"/>
      <c r="L67" s="902"/>
      <c r="M67" s="902"/>
      <c r="N67" s="902"/>
      <c r="O67" s="902"/>
      <c r="P67" s="902"/>
      <c r="Q67" s="902"/>
      <c r="R67" s="902"/>
      <c r="S67" s="902"/>
      <c r="T67" s="902"/>
      <c r="U67" s="902"/>
      <c r="V67" s="902"/>
      <c r="W67" s="902"/>
      <c r="X67" s="902"/>
      <c r="Y67" s="902"/>
      <c r="Z67" s="902"/>
      <c r="AA67" s="902"/>
      <c r="AB67" s="902"/>
      <c r="AC67" s="902"/>
      <c r="AD67" s="902"/>
      <c r="AE67" s="902"/>
      <c r="AF67" s="902"/>
      <c r="AG67" s="902"/>
      <c r="AH67" s="902"/>
    </row>
    <row r="68" spans="1:34">
      <c r="C68" s="35"/>
      <c r="D68" s="35"/>
      <c r="E68" s="35"/>
      <c r="R68" s="355"/>
      <c r="S68" s="679"/>
      <c r="T68" s="679"/>
      <c r="U68" s="679"/>
    </row>
    <row r="69" spans="1:34">
      <c r="C69" s="65"/>
      <c r="D69" s="65"/>
      <c r="E69" s="65"/>
      <c r="R69" s="355"/>
      <c r="S69" s="679"/>
      <c r="T69" s="679"/>
      <c r="U69" s="679"/>
    </row>
    <row r="70" spans="1:34">
      <c r="R70" s="355"/>
      <c r="S70" s="679"/>
      <c r="T70" s="679"/>
      <c r="U70" s="679"/>
    </row>
    <row r="71" spans="1:34">
      <c r="R71" s="355"/>
      <c r="S71" s="679"/>
      <c r="T71" s="679"/>
      <c r="U71" s="679"/>
    </row>
    <row r="72" spans="1:34">
      <c r="R72" s="355"/>
      <c r="S72" s="679"/>
      <c r="T72" s="679"/>
      <c r="U72" s="679"/>
    </row>
    <row r="73" spans="1:34">
      <c r="R73" s="355"/>
      <c r="S73" s="679"/>
      <c r="T73" s="679"/>
      <c r="U73" s="679"/>
    </row>
    <row r="74" spans="1:34">
      <c r="R74" s="355"/>
      <c r="S74" s="679"/>
      <c r="T74" s="679"/>
      <c r="U74" s="679"/>
    </row>
  </sheetData>
  <mergeCells count="5">
    <mergeCell ref="A1:Z1"/>
    <mergeCell ref="A2:Z2"/>
    <mergeCell ref="A3:Z3"/>
    <mergeCell ref="C5:S5"/>
    <mergeCell ref="W5:Z5"/>
  </mergeCells>
  <phoneticPr fontId="24" type="noConversion"/>
  <printOptions horizontalCentered="1"/>
  <pageMargins left="0.25" right="0.25" top="0.5" bottom="0.25" header="0.3" footer="0.25"/>
  <pageSetup scale="71" orientation="landscape" r:id="rId1"/>
  <headerFooter alignWithMargins="0">
    <oddFooter>&amp;R&amp;A</oddFooter>
  </headerFooter>
</worksheet>
</file>

<file path=xl/worksheets/sheet14.xml><?xml version="1.0" encoding="utf-8"?>
<worksheet xmlns="http://schemas.openxmlformats.org/spreadsheetml/2006/main" xmlns:r="http://schemas.openxmlformats.org/officeDocument/2006/relationships">
  <sheetPr enableFormatConditionsCalculation="0">
    <pageSetUpPr fitToPage="1"/>
  </sheetPr>
  <dimension ref="A1:AA89"/>
  <sheetViews>
    <sheetView zoomScale="75" zoomScaleNormal="75" workbookViewId="0">
      <selection sqref="A1:Y1"/>
    </sheetView>
  </sheetViews>
  <sheetFormatPr defaultColWidth="9.109375" defaultRowHeight="12" customHeight="1"/>
  <cols>
    <col min="1" max="1" width="3" style="247" customWidth="1"/>
    <col min="2" max="2" width="39.6640625" style="247" customWidth="1"/>
    <col min="3" max="3" width="2.44140625" style="5" customWidth="1"/>
    <col min="4" max="4" width="8.44140625" style="5" customWidth="1"/>
    <col min="5" max="6" width="2.44140625" style="5" customWidth="1"/>
    <col min="7" max="7" width="8.44140625" style="5" customWidth="1"/>
    <col min="8" max="8" width="2.5546875" style="247" customWidth="1"/>
    <col min="9" max="9" width="2.44140625" style="247" customWidth="1"/>
    <col min="10" max="10" width="8.44140625" style="247" customWidth="1"/>
    <col min="11" max="11" width="2.33203125" style="5" customWidth="1"/>
    <col min="12" max="12" width="2.44140625" style="247" customWidth="1"/>
    <col min="13" max="13" width="8.44140625" style="247" customWidth="1"/>
    <col min="14" max="15" width="2.44140625" style="5" customWidth="1"/>
    <col min="16" max="16" width="8.44140625" style="5" customWidth="1"/>
    <col min="17" max="17" width="2.44140625" style="5" customWidth="1"/>
    <col min="18" max="18" width="2.44140625" style="247" customWidth="1"/>
    <col min="19" max="19" width="8.44140625" style="247" customWidth="1"/>
    <col min="20" max="21" width="2.44140625" style="5" customWidth="1"/>
    <col min="22" max="22" width="8.44140625" style="5" customWidth="1"/>
    <col min="23" max="24" width="2.44140625" style="5" customWidth="1"/>
    <col min="25" max="26" width="8.44140625" style="5" customWidth="1"/>
    <col min="27" max="16384" width="9.109375" style="5"/>
  </cols>
  <sheetData>
    <row r="1" spans="1:25" ht="12" customHeight="1">
      <c r="A1" s="985" t="s">
        <v>96</v>
      </c>
      <c r="B1" s="985"/>
      <c r="C1" s="985"/>
      <c r="D1" s="985"/>
      <c r="E1" s="985"/>
      <c r="F1" s="985"/>
      <c r="G1" s="985"/>
      <c r="H1" s="985"/>
      <c r="I1" s="985"/>
      <c r="J1" s="985"/>
      <c r="K1" s="985"/>
      <c r="L1" s="985"/>
      <c r="M1" s="985"/>
      <c r="N1" s="985"/>
      <c r="O1" s="985"/>
      <c r="P1" s="985"/>
      <c r="Q1" s="985"/>
      <c r="R1" s="985"/>
      <c r="S1" s="985"/>
      <c r="T1" s="985"/>
      <c r="U1" s="985"/>
      <c r="V1" s="985"/>
      <c r="W1" s="985"/>
      <c r="X1" s="985"/>
      <c r="Y1" s="985"/>
    </row>
    <row r="2" spans="1:25" ht="12" customHeight="1">
      <c r="A2" s="985" t="s">
        <v>327</v>
      </c>
      <c r="B2" s="985"/>
      <c r="C2" s="985"/>
      <c r="D2" s="985"/>
      <c r="E2" s="985"/>
      <c r="F2" s="985"/>
      <c r="G2" s="985"/>
      <c r="H2" s="985"/>
      <c r="I2" s="985"/>
      <c r="J2" s="985"/>
      <c r="K2" s="985"/>
      <c r="L2" s="985"/>
      <c r="M2" s="985"/>
      <c r="N2" s="985"/>
      <c r="O2" s="985"/>
      <c r="P2" s="985"/>
      <c r="Q2" s="985"/>
      <c r="R2" s="985"/>
      <c r="S2" s="985"/>
      <c r="T2" s="985"/>
      <c r="U2" s="985"/>
      <c r="V2" s="985"/>
      <c r="W2" s="985"/>
      <c r="X2" s="985"/>
      <c r="Y2" s="985"/>
    </row>
    <row r="3" spans="1:25" ht="12" customHeight="1">
      <c r="A3" s="986" t="s">
        <v>800</v>
      </c>
      <c r="B3" s="986"/>
      <c r="C3" s="986"/>
      <c r="D3" s="986"/>
      <c r="E3" s="986"/>
      <c r="F3" s="986"/>
      <c r="G3" s="986"/>
      <c r="H3" s="986"/>
      <c r="I3" s="986"/>
      <c r="J3" s="986"/>
      <c r="K3" s="986"/>
      <c r="L3" s="986"/>
      <c r="M3" s="986"/>
      <c r="N3" s="986"/>
      <c r="O3" s="986"/>
      <c r="P3" s="986"/>
      <c r="Q3" s="986"/>
      <c r="R3" s="986"/>
      <c r="S3" s="986"/>
      <c r="T3" s="986"/>
      <c r="U3" s="986"/>
      <c r="V3" s="986"/>
      <c r="W3" s="986"/>
      <c r="X3" s="986"/>
      <c r="Y3" s="986"/>
    </row>
    <row r="5" spans="1:25" ht="12" customHeight="1">
      <c r="C5" s="975" t="s">
        <v>99</v>
      </c>
      <c r="D5" s="975"/>
      <c r="E5" s="975"/>
      <c r="F5" s="975"/>
      <c r="G5" s="975"/>
      <c r="H5" s="975"/>
      <c r="I5" s="975"/>
      <c r="J5" s="975"/>
      <c r="K5" s="975"/>
      <c r="L5" s="975"/>
      <c r="M5" s="975"/>
      <c r="N5" s="975"/>
      <c r="O5" s="975"/>
      <c r="P5" s="975"/>
      <c r="Q5" s="975"/>
      <c r="R5" s="975"/>
      <c r="S5" s="975"/>
      <c r="V5" s="975" t="s">
        <v>100</v>
      </c>
      <c r="W5" s="975"/>
      <c r="X5" s="975"/>
      <c r="Y5" s="975"/>
    </row>
    <row r="6" spans="1:25" ht="12" customHeight="1" thickBot="1">
      <c r="B6" s="251"/>
      <c r="F6" s="11"/>
      <c r="I6" s="801"/>
      <c r="J6" s="802"/>
      <c r="K6" s="803"/>
      <c r="L6" s="801"/>
      <c r="M6" s="248"/>
      <c r="S6" s="248"/>
    </row>
    <row r="7" spans="1:25" ht="12" customHeight="1">
      <c r="A7" s="249"/>
      <c r="B7" s="269"/>
      <c r="C7" s="250"/>
      <c r="D7" s="8" t="s">
        <v>104</v>
      </c>
      <c r="E7" s="209"/>
      <c r="F7" s="251"/>
      <c r="G7" s="6" t="s">
        <v>105</v>
      </c>
      <c r="H7" s="11"/>
      <c r="I7" s="251"/>
      <c r="J7" s="6" t="s">
        <v>102</v>
      </c>
      <c r="K7" s="11"/>
      <c r="L7" s="251"/>
      <c r="M7" s="6" t="s">
        <v>103</v>
      </c>
      <c r="N7" s="11"/>
      <c r="O7" s="250"/>
      <c r="P7" s="8" t="s">
        <v>104</v>
      </c>
      <c r="Q7" s="209"/>
      <c r="R7" s="251"/>
      <c r="S7" s="6" t="s">
        <v>105</v>
      </c>
      <c r="T7" s="11"/>
      <c r="U7" s="251"/>
      <c r="V7" s="6" t="s">
        <v>104</v>
      </c>
      <c r="W7" s="6"/>
      <c r="X7" s="251"/>
      <c r="Y7" s="6" t="s">
        <v>104</v>
      </c>
    </row>
    <row r="8" spans="1:25" ht="12" customHeight="1">
      <c r="B8" s="251"/>
      <c r="C8" s="252"/>
      <c r="D8" s="13">
        <v>2012</v>
      </c>
      <c r="E8" s="37"/>
      <c r="F8" s="251"/>
      <c r="G8" s="13">
        <v>2012</v>
      </c>
      <c r="H8" s="11"/>
      <c r="I8" s="251"/>
      <c r="J8" s="13">
        <v>2011</v>
      </c>
      <c r="K8" s="11"/>
      <c r="L8" s="251"/>
      <c r="M8" s="13">
        <v>2011</v>
      </c>
      <c r="N8" s="11"/>
      <c r="O8" s="252"/>
      <c r="P8" s="13">
        <v>2011</v>
      </c>
      <c r="Q8" s="37"/>
      <c r="R8" s="251"/>
      <c r="S8" s="13">
        <v>2011</v>
      </c>
      <c r="T8" s="11"/>
      <c r="U8" s="251"/>
      <c r="V8" s="13">
        <v>2012</v>
      </c>
      <c r="W8" s="247"/>
      <c r="X8" s="251"/>
      <c r="Y8" s="13">
        <v>2011</v>
      </c>
    </row>
    <row r="9" spans="1:25" ht="12" customHeight="1">
      <c r="B9" s="251"/>
      <c r="C9" s="252"/>
      <c r="D9" s="6"/>
      <c r="E9" s="37"/>
      <c r="F9" s="251"/>
      <c r="G9" s="6"/>
      <c r="H9" s="11"/>
      <c r="I9" s="251"/>
      <c r="J9" s="6"/>
      <c r="K9" s="11"/>
      <c r="L9" s="251"/>
      <c r="M9" s="6"/>
      <c r="N9" s="11"/>
      <c r="O9" s="252"/>
      <c r="P9" s="6"/>
      <c r="Q9" s="37"/>
      <c r="R9" s="251"/>
      <c r="S9" s="6"/>
      <c r="T9" s="11"/>
      <c r="U9" s="251"/>
      <c r="V9" s="6"/>
      <c r="W9" s="6"/>
      <c r="X9" s="251"/>
      <c r="Y9" s="6"/>
    </row>
    <row r="10" spans="1:25" ht="12" customHeight="1">
      <c r="A10" s="253" t="s">
        <v>328</v>
      </c>
      <c r="B10" s="804"/>
      <c r="C10" s="252"/>
      <c r="D10" s="251"/>
      <c r="E10" s="37"/>
      <c r="F10" s="251"/>
      <c r="G10" s="251"/>
      <c r="H10" s="11"/>
      <c r="I10" s="251"/>
      <c r="J10" s="251"/>
      <c r="K10" s="11"/>
      <c r="L10" s="251"/>
      <c r="M10" s="251"/>
      <c r="N10" s="11"/>
      <c r="O10" s="252"/>
      <c r="P10" s="251"/>
      <c r="Q10" s="37"/>
      <c r="R10" s="251"/>
      <c r="S10" s="251"/>
      <c r="T10" s="11"/>
      <c r="U10" s="251"/>
      <c r="V10" s="247"/>
      <c r="W10" s="247"/>
      <c r="X10" s="251"/>
      <c r="Y10" s="247"/>
    </row>
    <row r="11" spans="1:25" ht="12" customHeight="1">
      <c r="A11" s="246" t="s">
        <v>329</v>
      </c>
      <c r="B11" s="235"/>
      <c r="C11" s="254" t="s">
        <v>108</v>
      </c>
      <c r="D11" s="176">
        <v>138</v>
      </c>
      <c r="E11" s="37"/>
      <c r="F11" s="255" t="s">
        <v>108</v>
      </c>
      <c r="G11" s="176">
        <v>526</v>
      </c>
      <c r="H11" s="11"/>
      <c r="I11" s="255" t="s">
        <v>108</v>
      </c>
      <c r="J11" s="176">
        <v>604</v>
      </c>
      <c r="K11" s="11"/>
      <c r="L11" s="255" t="s">
        <v>108</v>
      </c>
      <c r="M11" s="176">
        <v>-297</v>
      </c>
      <c r="N11" s="11"/>
      <c r="O11" s="254" t="s">
        <v>108</v>
      </c>
      <c r="P11" s="176">
        <v>-1498</v>
      </c>
      <c r="Q11" s="37"/>
      <c r="R11" s="255" t="s">
        <v>108</v>
      </c>
      <c r="S11" s="176">
        <v>334</v>
      </c>
      <c r="T11" s="11"/>
      <c r="U11" s="255" t="s">
        <v>108</v>
      </c>
      <c r="V11" s="111">
        <v>664</v>
      </c>
      <c r="W11" s="111"/>
      <c r="X11" s="255" t="s">
        <v>108</v>
      </c>
      <c r="Y11" s="111">
        <v>-1164</v>
      </c>
    </row>
    <row r="12" spans="1:25" ht="12" customHeight="1">
      <c r="A12" s="246" t="s">
        <v>330</v>
      </c>
      <c r="B12" s="235"/>
      <c r="C12" s="252"/>
      <c r="D12" s="113">
        <v>-4</v>
      </c>
      <c r="E12" s="37"/>
      <c r="F12" s="251"/>
      <c r="G12" s="176">
        <v>-3</v>
      </c>
      <c r="H12" s="11"/>
      <c r="I12" s="251"/>
      <c r="J12" s="176">
        <v>-3</v>
      </c>
      <c r="K12" s="11"/>
      <c r="L12" s="251"/>
      <c r="M12" s="176">
        <v>-12</v>
      </c>
      <c r="N12" s="11"/>
      <c r="O12" s="252"/>
      <c r="P12" s="113">
        <v>-4</v>
      </c>
      <c r="Q12" s="37"/>
      <c r="R12" s="251"/>
      <c r="S12" s="176">
        <v>-6</v>
      </c>
      <c r="T12" s="11"/>
      <c r="U12" s="251"/>
      <c r="V12" s="113">
        <v>-7</v>
      </c>
      <c r="W12" s="176"/>
      <c r="X12" s="251"/>
      <c r="Y12" s="113">
        <v>-10</v>
      </c>
    </row>
    <row r="13" spans="1:25" ht="12" customHeight="1" thickBot="1">
      <c r="A13" s="246" t="s">
        <v>331</v>
      </c>
      <c r="B13" s="235"/>
      <c r="C13" s="254" t="s">
        <v>108</v>
      </c>
      <c r="D13" s="217">
        <v>134</v>
      </c>
      <c r="E13" s="37"/>
      <c r="F13" s="255" t="s">
        <v>108</v>
      </c>
      <c r="G13" s="196">
        <v>523</v>
      </c>
      <c r="H13" s="11"/>
      <c r="I13" s="255" t="s">
        <v>108</v>
      </c>
      <c r="J13" s="196">
        <v>601</v>
      </c>
      <c r="K13" s="11"/>
      <c r="L13" s="255" t="s">
        <v>108</v>
      </c>
      <c r="M13" s="196">
        <v>-309</v>
      </c>
      <c r="N13" s="11"/>
      <c r="O13" s="254" t="s">
        <v>108</v>
      </c>
      <c r="P13" s="217">
        <v>-1502</v>
      </c>
      <c r="Q13" s="37"/>
      <c r="R13" s="255" t="s">
        <v>108</v>
      </c>
      <c r="S13" s="196">
        <v>328</v>
      </c>
      <c r="T13" s="11"/>
      <c r="U13" s="255" t="s">
        <v>108</v>
      </c>
      <c r="V13" s="217">
        <v>657</v>
      </c>
      <c r="W13" s="176"/>
      <c r="X13" s="255" t="s">
        <v>108</v>
      </c>
      <c r="Y13" s="217">
        <v>-1174</v>
      </c>
    </row>
    <row r="14" spans="1:25" ht="12" customHeight="1" thickTop="1">
      <c r="B14" s="251"/>
      <c r="C14" s="252"/>
      <c r="D14" s="218"/>
      <c r="E14" s="37"/>
      <c r="F14" s="251"/>
      <c r="G14" s="218"/>
      <c r="H14" s="11"/>
      <c r="I14" s="251"/>
      <c r="J14" s="218"/>
      <c r="K14" s="11"/>
      <c r="L14" s="251"/>
      <c r="M14" s="218"/>
      <c r="N14" s="11"/>
      <c r="O14" s="252"/>
      <c r="P14" s="218"/>
      <c r="Q14" s="37"/>
      <c r="R14" s="251"/>
      <c r="S14" s="218"/>
      <c r="T14" s="11"/>
      <c r="U14" s="251"/>
      <c r="V14" s="219"/>
      <c r="W14" s="219"/>
      <c r="X14" s="251"/>
      <c r="Y14" s="219"/>
    </row>
    <row r="15" spans="1:25" ht="12" customHeight="1">
      <c r="A15" s="253" t="s">
        <v>332</v>
      </c>
      <c r="B15" s="804"/>
      <c r="C15" s="252"/>
      <c r="D15" s="218"/>
      <c r="E15" s="37"/>
      <c r="F15" s="251"/>
      <c r="G15" s="218"/>
      <c r="H15" s="11"/>
      <c r="I15" s="251"/>
      <c r="J15" s="218"/>
      <c r="K15" s="11"/>
      <c r="L15" s="251"/>
      <c r="M15" s="218"/>
      <c r="N15" s="11"/>
      <c r="O15" s="252"/>
      <c r="P15" s="218"/>
      <c r="Q15" s="37"/>
      <c r="R15" s="251"/>
      <c r="S15" s="218"/>
      <c r="T15" s="11"/>
      <c r="U15" s="251"/>
      <c r="V15" s="219"/>
      <c r="W15" s="219"/>
      <c r="X15" s="251"/>
      <c r="Y15" s="219"/>
    </row>
    <row r="16" spans="1:25" ht="12" customHeight="1" thickBot="1">
      <c r="A16" s="246" t="s">
        <v>333</v>
      </c>
      <c r="B16" s="235"/>
      <c r="C16" s="254" t="s">
        <v>108</v>
      </c>
      <c r="D16" s="217">
        <v>6864</v>
      </c>
      <c r="E16" s="37"/>
      <c r="F16" s="255" t="s">
        <v>108</v>
      </c>
      <c r="G16" s="114">
        <v>6462</v>
      </c>
      <c r="H16" s="11"/>
      <c r="I16" s="255" t="s">
        <v>108</v>
      </c>
      <c r="J16" s="114">
        <v>6426</v>
      </c>
      <c r="K16" s="11"/>
      <c r="L16" s="255" t="s">
        <v>108</v>
      </c>
      <c r="M16" s="114">
        <v>6728</v>
      </c>
      <c r="N16" s="11"/>
      <c r="O16" s="254" t="s">
        <v>108</v>
      </c>
      <c r="P16" s="217">
        <v>6611</v>
      </c>
      <c r="Q16" s="37"/>
      <c r="R16" s="255" t="s">
        <v>108</v>
      </c>
      <c r="S16" s="114">
        <v>6216</v>
      </c>
      <c r="T16" s="11"/>
      <c r="U16" s="255" t="s">
        <v>108</v>
      </c>
      <c r="V16" s="217">
        <v>13326</v>
      </c>
      <c r="W16" s="176"/>
      <c r="X16" s="255" t="s">
        <v>108</v>
      </c>
      <c r="Y16" s="217">
        <v>12827</v>
      </c>
    </row>
    <row r="17" spans="1:27" ht="12" customHeight="1" thickTop="1">
      <c r="A17" s="246"/>
      <c r="B17" s="235"/>
      <c r="C17" s="254"/>
      <c r="D17" s="176"/>
      <c r="E17" s="37"/>
      <c r="F17" s="255"/>
      <c r="G17" s="176"/>
      <c r="H17" s="11"/>
      <c r="I17" s="255"/>
      <c r="J17" s="176"/>
      <c r="K17" s="11"/>
      <c r="L17" s="255"/>
      <c r="M17" s="176"/>
      <c r="N17" s="11"/>
      <c r="O17" s="254"/>
      <c r="P17" s="176"/>
      <c r="Q17" s="37"/>
      <c r="R17" s="255"/>
      <c r="S17" s="176"/>
      <c r="T17" s="11"/>
      <c r="U17" s="255"/>
      <c r="V17" s="176"/>
      <c r="W17" s="176"/>
      <c r="X17" s="255"/>
      <c r="Y17" s="176"/>
    </row>
    <row r="18" spans="1:27" ht="12" customHeight="1">
      <c r="A18" s="246" t="s">
        <v>334</v>
      </c>
      <c r="B18" s="235"/>
      <c r="C18" s="254" t="s">
        <v>108</v>
      </c>
      <c r="D18" s="176">
        <v>6666</v>
      </c>
      <c r="E18" s="37"/>
      <c r="F18" s="255" t="s">
        <v>108</v>
      </c>
      <c r="G18" s="176">
        <v>6630</v>
      </c>
      <c r="H18" s="11"/>
      <c r="I18" s="255" t="s">
        <v>108</v>
      </c>
      <c r="J18" s="176">
        <v>6604</v>
      </c>
      <c r="K18" s="11"/>
      <c r="L18" s="255" t="s">
        <v>108</v>
      </c>
      <c r="M18" s="176">
        <v>6432</v>
      </c>
      <c r="N18" s="11"/>
      <c r="O18" s="254" t="s">
        <v>108</v>
      </c>
      <c r="P18" s="176">
        <v>6457</v>
      </c>
      <c r="Q18" s="37"/>
      <c r="R18" s="255" t="s">
        <v>108</v>
      </c>
      <c r="S18" s="176">
        <v>6449</v>
      </c>
      <c r="T18" s="11"/>
      <c r="U18" s="255" t="s">
        <v>108</v>
      </c>
      <c r="V18" s="111">
        <v>13296</v>
      </c>
      <c r="W18" s="111"/>
      <c r="X18" s="255" t="s">
        <v>108</v>
      </c>
      <c r="Y18" s="111">
        <v>12906</v>
      </c>
    </row>
    <row r="19" spans="1:27" ht="12" customHeight="1">
      <c r="A19" s="246" t="s">
        <v>335</v>
      </c>
      <c r="B19" s="235"/>
      <c r="C19" s="252"/>
      <c r="D19" s="176">
        <v>-4808</v>
      </c>
      <c r="E19" s="37"/>
      <c r="F19" s="251"/>
      <c r="G19" s="176">
        <v>-4336</v>
      </c>
      <c r="H19" s="11"/>
      <c r="I19" s="251"/>
      <c r="J19" s="176">
        <v>-4195</v>
      </c>
      <c r="K19" s="11"/>
      <c r="L19" s="251"/>
      <c r="M19" s="176">
        <v>-5121</v>
      </c>
      <c r="N19" s="11"/>
      <c r="O19" s="252"/>
      <c r="P19" s="176">
        <v>-6352</v>
      </c>
      <c r="Q19" s="37"/>
      <c r="R19" s="251"/>
      <c r="S19" s="176">
        <v>-4472</v>
      </c>
      <c r="T19" s="11"/>
      <c r="U19" s="251"/>
      <c r="V19" s="111">
        <v>-9144</v>
      </c>
      <c r="W19" s="111"/>
      <c r="X19" s="251"/>
      <c r="Y19" s="111">
        <v>-10824</v>
      </c>
    </row>
    <row r="20" spans="1:27" s="11" customFormat="1" ht="12" customHeight="1">
      <c r="A20" s="235" t="s">
        <v>336</v>
      </c>
      <c r="B20" s="235"/>
      <c r="C20" s="252"/>
      <c r="E20" s="37"/>
      <c r="F20" s="251"/>
      <c r="G20" s="176"/>
      <c r="I20" s="251"/>
      <c r="J20" s="176"/>
      <c r="L20" s="251"/>
      <c r="O20" s="252"/>
      <c r="Q20" s="37"/>
      <c r="R20" s="251"/>
      <c r="S20" s="176"/>
      <c r="U20" s="251"/>
      <c r="X20" s="251"/>
      <c r="AA20" s="5"/>
    </row>
    <row r="21" spans="1:27" s="11" customFormat="1" ht="12" customHeight="1">
      <c r="A21" s="11" t="s">
        <v>337</v>
      </c>
      <c r="C21" s="36"/>
      <c r="D21" s="176">
        <v>-865</v>
      </c>
      <c r="E21" s="37"/>
      <c r="G21" s="176">
        <v>-878</v>
      </c>
      <c r="J21" s="176">
        <v>-880</v>
      </c>
      <c r="M21" s="176">
        <v>-866</v>
      </c>
      <c r="O21" s="36"/>
      <c r="P21" s="176">
        <v>-867</v>
      </c>
      <c r="Q21" s="37"/>
      <c r="S21" s="176">
        <v>-864</v>
      </c>
      <c r="V21" s="176">
        <v>-1743</v>
      </c>
      <c r="W21" s="176"/>
      <c r="Y21" s="176">
        <v>-1731</v>
      </c>
      <c r="AA21" s="5"/>
    </row>
    <row r="22" spans="1:27" s="11" customFormat="1" ht="12" customHeight="1">
      <c r="A22" s="235" t="s">
        <v>338</v>
      </c>
      <c r="B22" s="235"/>
      <c r="C22" s="252"/>
      <c r="D22" s="176">
        <v>-845</v>
      </c>
      <c r="E22" s="37"/>
      <c r="F22" s="251"/>
      <c r="G22" s="176">
        <v>-884</v>
      </c>
      <c r="I22" s="251"/>
      <c r="J22" s="176">
        <v>-912</v>
      </c>
      <c r="L22" s="251"/>
      <c r="M22" s="176">
        <v>-734</v>
      </c>
      <c r="O22" s="252"/>
      <c r="P22" s="176">
        <v>-725</v>
      </c>
      <c r="Q22" s="37"/>
      <c r="R22" s="251"/>
      <c r="S22" s="176">
        <v>-768</v>
      </c>
      <c r="U22" s="251"/>
      <c r="V22" s="176">
        <v>-1729</v>
      </c>
      <c r="W22" s="176"/>
      <c r="X22" s="251"/>
      <c r="Y22" s="176">
        <v>-1493</v>
      </c>
      <c r="AA22" s="5"/>
    </row>
    <row r="23" spans="1:27" ht="12" customHeight="1">
      <c r="A23" s="246" t="s">
        <v>339</v>
      </c>
      <c r="B23" s="235"/>
      <c r="C23" s="252"/>
      <c r="D23" s="113">
        <v>-10</v>
      </c>
      <c r="E23" s="37"/>
      <c r="F23" s="251"/>
      <c r="G23" s="113">
        <v>-6</v>
      </c>
      <c r="H23" s="11"/>
      <c r="I23" s="251"/>
      <c r="J23" s="113">
        <v>-13</v>
      </c>
      <c r="K23" s="11"/>
      <c r="L23" s="251"/>
      <c r="M23" s="176">
        <v>-8</v>
      </c>
      <c r="N23" s="11"/>
      <c r="O23" s="252"/>
      <c r="P23" s="113">
        <v>-11</v>
      </c>
      <c r="Q23" s="37"/>
      <c r="R23" s="251"/>
      <c r="S23" s="113">
        <v>-11</v>
      </c>
      <c r="T23" s="11"/>
      <c r="U23" s="251"/>
      <c r="V23" s="113">
        <v>-16</v>
      </c>
      <c r="W23" s="176"/>
      <c r="X23" s="251"/>
      <c r="Y23" s="113">
        <v>-22</v>
      </c>
    </row>
    <row r="24" spans="1:27" ht="12" customHeight="1" thickBot="1">
      <c r="A24" s="246" t="s">
        <v>340</v>
      </c>
      <c r="B24" s="235"/>
      <c r="C24" s="254" t="s">
        <v>108</v>
      </c>
      <c r="D24" s="217">
        <v>138</v>
      </c>
      <c r="E24" s="37"/>
      <c r="F24" s="255" t="s">
        <v>108</v>
      </c>
      <c r="G24" s="196">
        <v>526</v>
      </c>
      <c r="H24" s="11"/>
      <c r="I24" s="255" t="s">
        <v>108</v>
      </c>
      <c r="J24" s="196">
        <v>604</v>
      </c>
      <c r="K24" s="11"/>
      <c r="L24" s="255" t="s">
        <v>108</v>
      </c>
      <c r="M24" s="196">
        <v>-297</v>
      </c>
      <c r="N24" s="11"/>
      <c r="O24" s="254" t="s">
        <v>108</v>
      </c>
      <c r="P24" s="217">
        <v>-1498</v>
      </c>
      <c r="Q24" s="37"/>
      <c r="R24" s="255" t="s">
        <v>108</v>
      </c>
      <c r="S24" s="196">
        <v>334</v>
      </c>
      <c r="T24" s="11"/>
      <c r="U24" s="255" t="s">
        <v>108</v>
      </c>
      <c r="V24" s="217">
        <v>664</v>
      </c>
      <c r="W24" s="176"/>
      <c r="X24" s="255" t="s">
        <v>108</v>
      </c>
      <c r="Y24" s="217">
        <v>-1164</v>
      </c>
    </row>
    <row r="25" spans="1:27" ht="12" customHeight="1" thickTop="1">
      <c r="A25" s="246" t="s">
        <v>298</v>
      </c>
      <c r="B25" s="235"/>
      <c r="C25" s="254"/>
      <c r="D25" s="176"/>
      <c r="E25" s="37"/>
      <c r="F25" s="255"/>
      <c r="G25" s="176"/>
      <c r="H25" s="11"/>
      <c r="I25" s="255"/>
      <c r="J25" s="176"/>
      <c r="K25" s="11"/>
      <c r="L25" s="255"/>
      <c r="M25" s="176"/>
      <c r="N25" s="11"/>
      <c r="O25" s="254"/>
      <c r="P25" s="176"/>
      <c r="Q25" s="37"/>
      <c r="R25" s="255"/>
      <c r="S25" s="176"/>
      <c r="T25" s="11"/>
      <c r="U25" s="255"/>
      <c r="V25" s="176"/>
      <c r="W25" s="176"/>
      <c r="X25" s="255"/>
      <c r="Y25" s="176"/>
    </row>
    <row r="26" spans="1:27" ht="12" customHeight="1" thickBot="1">
      <c r="A26" s="247" t="s">
        <v>341</v>
      </c>
      <c r="B26" s="251"/>
      <c r="C26" s="254" t="s">
        <v>108</v>
      </c>
      <c r="D26" s="114">
        <v>819</v>
      </c>
      <c r="E26" s="37"/>
      <c r="F26" s="255" t="s">
        <v>108</v>
      </c>
      <c r="G26" s="114">
        <v>259</v>
      </c>
      <c r="H26" s="11"/>
      <c r="I26" s="255" t="s">
        <v>108</v>
      </c>
      <c r="J26" s="114">
        <v>66</v>
      </c>
      <c r="K26" s="11"/>
      <c r="L26" s="255" t="s">
        <v>108</v>
      </c>
      <c r="M26" s="114">
        <v>1077</v>
      </c>
      <c r="N26" s="11"/>
      <c r="O26" s="254" t="s">
        <v>108</v>
      </c>
      <c r="P26" s="114">
        <v>2339</v>
      </c>
      <c r="Q26" s="37"/>
      <c r="R26" s="255" t="s">
        <v>108</v>
      </c>
      <c r="S26" s="114">
        <v>333</v>
      </c>
      <c r="T26" s="11"/>
      <c r="U26" s="255" t="s">
        <v>108</v>
      </c>
      <c r="V26" s="114">
        <v>1078</v>
      </c>
      <c r="W26" s="176"/>
      <c r="X26" s="255" t="s">
        <v>108</v>
      </c>
      <c r="Y26" s="114">
        <v>2672</v>
      </c>
    </row>
    <row r="27" spans="1:27" ht="12" customHeight="1" thickTop="1">
      <c r="B27" s="251"/>
      <c r="C27" s="252"/>
      <c r="D27" s="218"/>
      <c r="E27" s="37"/>
      <c r="F27" s="251"/>
      <c r="G27" s="218"/>
      <c r="H27" s="11"/>
      <c r="I27" s="251"/>
      <c r="J27" s="218"/>
      <c r="K27" s="11"/>
      <c r="L27" s="251"/>
      <c r="M27" s="218"/>
      <c r="N27" s="11"/>
      <c r="O27" s="252"/>
      <c r="P27" s="218"/>
      <c r="Q27" s="37"/>
      <c r="R27" s="251"/>
      <c r="S27" s="218"/>
      <c r="T27" s="11"/>
      <c r="U27" s="251"/>
      <c r="V27" s="219"/>
      <c r="W27" s="219"/>
      <c r="X27" s="251"/>
      <c r="Y27" s="219"/>
    </row>
    <row r="28" spans="1:27" ht="12" customHeight="1">
      <c r="A28" s="246" t="s">
        <v>342</v>
      </c>
      <c r="B28" s="235"/>
      <c r="C28" s="252"/>
      <c r="D28" s="218"/>
      <c r="E28" s="37"/>
      <c r="F28" s="251"/>
      <c r="G28" s="218"/>
      <c r="H28" s="11"/>
      <c r="I28" s="251"/>
      <c r="J28" s="218"/>
      <c r="K28" s="11"/>
      <c r="L28" s="251"/>
      <c r="M28" s="218"/>
      <c r="N28" s="11"/>
      <c r="O28" s="252"/>
      <c r="P28" s="218"/>
      <c r="Q28" s="37"/>
      <c r="R28" s="251"/>
      <c r="S28" s="218"/>
      <c r="T28" s="11"/>
      <c r="U28" s="251"/>
      <c r="V28" s="219"/>
      <c r="W28" s="219"/>
      <c r="X28" s="251"/>
      <c r="Y28" s="219"/>
    </row>
    <row r="29" spans="1:27" ht="12" customHeight="1">
      <c r="A29" s="246" t="s">
        <v>343</v>
      </c>
      <c r="B29" s="235"/>
      <c r="C29" s="252"/>
      <c r="D29" s="257">
        <v>72.12721272127213</v>
      </c>
      <c r="E29" s="37"/>
      <c r="F29" s="251"/>
      <c r="G29" s="257">
        <v>65.399698340874806</v>
      </c>
      <c r="H29" s="11"/>
      <c r="I29" s="251"/>
      <c r="J29" s="257">
        <v>63.522107813446397</v>
      </c>
      <c r="K29" s="11"/>
      <c r="L29" s="251"/>
      <c r="M29" s="257">
        <v>79.617537313432834</v>
      </c>
      <c r="N29" s="11"/>
      <c r="O29" s="252"/>
      <c r="P29" s="257">
        <v>98.373857828713028</v>
      </c>
      <c r="Q29" s="37"/>
      <c r="R29" s="251"/>
      <c r="S29" s="257">
        <v>69.344084354163442</v>
      </c>
      <c r="T29" s="11"/>
      <c r="U29" s="251"/>
      <c r="V29" s="257">
        <v>68.772563176895304</v>
      </c>
      <c r="W29" s="258"/>
      <c r="X29" s="251"/>
      <c r="Y29" s="258">
        <v>83.867968386796846</v>
      </c>
    </row>
    <row r="30" spans="1:27" ht="12" customHeight="1">
      <c r="A30" s="246" t="s">
        <v>344</v>
      </c>
      <c r="B30" s="235"/>
      <c r="C30" s="805"/>
      <c r="D30" s="261">
        <v>25.802580258025802</v>
      </c>
      <c r="E30" s="259"/>
      <c r="F30" s="251"/>
      <c r="G30" s="261">
        <v>26.666666666666668</v>
      </c>
      <c r="H30" s="260"/>
      <c r="I30" s="251"/>
      <c r="J30" s="261">
        <v>27.431920048455485</v>
      </c>
      <c r="K30" s="260"/>
      <c r="L30" s="258"/>
      <c r="M30" s="261">
        <v>25</v>
      </c>
      <c r="N30" s="260"/>
      <c r="O30" s="805"/>
      <c r="P30" s="261">
        <v>24.825770481647822</v>
      </c>
      <c r="Q30" s="259"/>
      <c r="R30" s="251"/>
      <c r="S30" s="261">
        <v>25.476818111335092</v>
      </c>
      <c r="T30" s="260"/>
      <c r="U30" s="258"/>
      <c r="V30" s="261">
        <v>26.233453670276774</v>
      </c>
      <c r="W30" s="258"/>
      <c r="X30" s="258"/>
      <c r="Y30" s="258">
        <v>25.058840849217415</v>
      </c>
    </row>
    <row r="31" spans="1:27" ht="12" customHeight="1" thickBot="1">
      <c r="A31" s="246" t="s">
        <v>345</v>
      </c>
      <c r="B31" s="235"/>
      <c r="C31" s="252"/>
      <c r="D31" s="262">
        <v>97.929792979297929</v>
      </c>
      <c r="E31" s="37"/>
      <c r="F31" s="251"/>
      <c r="G31" s="262">
        <v>92.066365007541478</v>
      </c>
      <c r="H31" s="11"/>
      <c r="I31" s="251"/>
      <c r="J31" s="262">
        <v>90.854027861901869</v>
      </c>
      <c r="K31" s="11"/>
      <c r="L31" s="251"/>
      <c r="M31" s="262">
        <v>104.61753731343283</v>
      </c>
      <c r="N31" s="11"/>
      <c r="O31" s="252"/>
      <c r="P31" s="262">
        <v>123.19962831036084</v>
      </c>
      <c r="Q31" s="37"/>
      <c r="R31" s="251"/>
      <c r="S31" s="262">
        <v>94.82090246549852</v>
      </c>
      <c r="T31" s="11"/>
      <c r="U31" s="251"/>
      <c r="V31" s="262">
        <v>95.006016847172077</v>
      </c>
      <c r="W31" s="258"/>
      <c r="X31" s="251"/>
      <c r="Y31" s="263">
        <v>109.02680923601426</v>
      </c>
    </row>
    <row r="32" spans="1:27" ht="12" customHeight="1" thickTop="1">
      <c r="A32" s="246"/>
      <c r="B32" s="235"/>
      <c r="C32" s="252"/>
      <c r="D32" s="258"/>
      <c r="E32" s="37"/>
      <c r="F32" s="251"/>
      <c r="G32" s="258"/>
      <c r="H32" s="11"/>
      <c r="I32" s="251"/>
      <c r="J32" s="258"/>
      <c r="K32" s="11"/>
      <c r="L32" s="251"/>
      <c r="M32" s="258"/>
      <c r="N32" s="11"/>
      <c r="O32" s="252"/>
      <c r="P32" s="258"/>
      <c r="Q32" s="37"/>
      <c r="R32" s="251"/>
      <c r="S32" s="258"/>
      <c r="T32" s="11"/>
      <c r="U32" s="251"/>
      <c r="V32" s="258"/>
      <c r="W32" s="258"/>
      <c r="X32" s="251"/>
      <c r="Y32" s="258"/>
    </row>
    <row r="33" spans="1:25" ht="12" customHeight="1">
      <c r="A33" s="5" t="s">
        <v>346</v>
      </c>
      <c r="B33" s="11"/>
      <c r="C33" s="264"/>
      <c r="D33" s="265"/>
      <c r="E33" s="37"/>
      <c r="F33" s="265"/>
      <c r="G33" s="265"/>
      <c r="H33" s="11"/>
      <c r="I33" s="265"/>
      <c r="J33" s="265"/>
      <c r="K33" s="11"/>
      <c r="L33" s="265"/>
      <c r="M33" s="265"/>
      <c r="N33" s="11"/>
      <c r="O33" s="264"/>
      <c r="P33" s="265"/>
      <c r="Q33" s="37"/>
      <c r="R33" s="265"/>
      <c r="S33" s="265"/>
      <c r="T33" s="11"/>
      <c r="U33" s="265"/>
      <c r="V33" s="266"/>
      <c r="W33" s="266"/>
      <c r="X33" s="265"/>
      <c r="Y33" s="266"/>
    </row>
    <row r="34" spans="1:25" ht="12" customHeight="1" thickBot="1">
      <c r="A34" s="5" t="s">
        <v>323</v>
      </c>
      <c r="B34" s="11"/>
      <c r="C34" s="267"/>
      <c r="D34" s="268">
        <v>12.286228622862286</v>
      </c>
      <c r="E34" s="37"/>
      <c r="F34" s="269"/>
      <c r="G34" s="268">
        <v>3.9064856711915534</v>
      </c>
      <c r="H34" s="11"/>
      <c r="I34" s="269"/>
      <c r="J34" s="268">
        <v>0.99939430648092065</v>
      </c>
      <c r="K34" s="11"/>
      <c r="L34" s="269"/>
      <c r="M34" s="268">
        <v>16.744402985074629</v>
      </c>
      <c r="N34" s="11"/>
      <c r="O34" s="267"/>
      <c r="P34" s="268">
        <v>36.224252748954619</v>
      </c>
      <c r="Q34" s="37"/>
      <c r="R34" s="269"/>
      <c r="S34" s="268">
        <v>5.1635912544580549</v>
      </c>
      <c r="T34" s="11"/>
      <c r="U34" s="269"/>
      <c r="V34" s="268">
        <v>8.1077015643802657</v>
      </c>
      <c r="W34" s="258"/>
      <c r="X34" s="269"/>
      <c r="Y34" s="268">
        <v>20.703548737021542</v>
      </c>
    </row>
    <row r="35" spans="1:25" ht="12" customHeight="1" thickTop="1">
      <c r="A35" s="5"/>
      <c r="B35" s="11"/>
      <c r="C35" s="267"/>
      <c r="D35" s="258"/>
      <c r="E35" s="37"/>
      <c r="F35" s="269"/>
      <c r="G35" s="258"/>
      <c r="H35" s="11"/>
      <c r="I35" s="269"/>
      <c r="J35" s="258"/>
      <c r="K35" s="11"/>
      <c r="L35" s="269"/>
      <c r="M35" s="258"/>
      <c r="N35" s="11"/>
      <c r="O35" s="267"/>
      <c r="P35" s="258"/>
      <c r="Q35" s="37"/>
      <c r="R35" s="269"/>
      <c r="S35" s="258"/>
      <c r="T35" s="11"/>
      <c r="U35" s="269"/>
      <c r="V35" s="258"/>
      <c r="W35" s="258"/>
      <c r="X35" s="269"/>
      <c r="Y35" s="258"/>
    </row>
    <row r="36" spans="1:25" ht="12" customHeight="1">
      <c r="A36" s="5" t="s">
        <v>347</v>
      </c>
      <c r="B36" s="11"/>
      <c r="C36" s="267"/>
      <c r="D36" s="258"/>
      <c r="E36" s="37"/>
      <c r="F36" s="269"/>
      <c r="G36" s="258"/>
      <c r="H36" s="11"/>
      <c r="I36" s="269"/>
      <c r="J36" s="258"/>
      <c r="K36" s="11"/>
      <c r="L36" s="269"/>
      <c r="M36" s="258"/>
      <c r="N36" s="11"/>
      <c r="O36" s="267"/>
      <c r="P36" s="258"/>
      <c r="Q36" s="37"/>
      <c r="R36" s="269"/>
      <c r="S36" s="258"/>
      <c r="T36" s="11"/>
      <c r="U36" s="269"/>
      <c r="V36" s="258"/>
      <c r="W36" s="258"/>
      <c r="X36" s="269"/>
      <c r="Y36" s="258"/>
    </row>
    <row r="37" spans="1:25" ht="12" customHeight="1" thickBot="1">
      <c r="A37" s="5" t="s">
        <v>348</v>
      </c>
      <c r="B37" s="11"/>
      <c r="C37" s="267"/>
      <c r="D37" s="270">
        <v>0.15001500150015001</v>
      </c>
      <c r="E37" s="37"/>
      <c r="F37" s="269"/>
      <c r="G37" s="270">
        <v>0.1</v>
      </c>
      <c r="H37" s="11"/>
      <c r="I37" s="269"/>
      <c r="J37" s="270">
        <v>0.19685039370078738</v>
      </c>
      <c r="K37" s="11"/>
      <c r="L37" s="269"/>
      <c r="M37" s="270">
        <v>0.12437810945273632</v>
      </c>
      <c r="N37" s="11"/>
      <c r="O37" s="267"/>
      <c r="P37" s="270">
        <v>0.17035775127768313</v>
      </c>
      <c r="Q37" s="37"/>
      <c r="R37" s="269"/>
      <c r="S37" s="270">
        <v>0.2</v>
      </c>
      <c r="T37" s="11"/>
      <c r="U37" s="269"/>
      <c r="V37" s="268">
        <v>0.12033694344163659</v>
      </c>
      <c r="W37" s="258"/>
      <c r="X37" s="269"/>
      <c r="Y37" s="268">
        <v>0.17046335037966837</v>
      </c>
    </row>
    <row r="38" spans="1:25" ht="12" customHeight="1" thickTop="1">
      <c r="A38" s="5"/>
      <c r="B38" s="11"/>
      <c r="C38" s="267"/>
      <c r="D38" s="258"/>
      <c r="E38" s="37"/>
      <c r="F38" s="269"/>
      <c r="G38" s="273"/>
      <c r="H38" s="11"/>
      <c r="I38" s="269"/>
      <c r="J38" s="273"/>
      <c r="K38" s="11"/>
      <c r="L38" s="269"/>
      <c r="M38" s="272"/>
      <c r="N38" s="11"/>
      <c r="O38" s="267"/>
      <c r="P38" s="258"/>
      <c r="Q38" s="37"/>
      <c r="R38" s="269"/>
      <c r="S38" s="273"/>
      <c r="T38" s="11"/>
      <c r="U38" s="269"/>
      <c r="V38" s="258"/>
      <c r="W38" s="258"/>
      <c r="X38" s="269"/>
      <c r="Y38" s="258"/>
    </row>
    <row r="39" spans="1:25" ht="12" customHeight="1">
      <c r="A39" s="246" t="s">
        <v>951</v>
      </c>
      <c r="B39" s="235"/>
      <c r="C39" s="267"/>
      <c r="D39" s="258"/>
      <c r="E39" s="37"/>
      <c r="F39" s="269"/>
      <c r="G39" s="273"/>
      <c r="H39" s="11"/>
      <c r="I39" s="269"/>
      <c r="J39" s="273"/>
      <c r="K39" s="11"/>
      <c r="L39" s="269"/>
      <c r="M39" s="272"/>
      <c r="N39" s="11"/>
      <c r="O39" s="267"/>
      <c r="P39" s="258"/>
      <c r="Q39" s="37"/>
      <c r="R39" s="269"/>
      <c r="S39" s="273"/>
      <c r="T39" s="11"/>
      <c r="U39" s="269"/>
      <c r="V39" s="258"/>
      <c r="W39" s="258"/>
      <c r="X39" s="269"/>
      <c r="Y39" s="258"/>
    </row>
    <row r="40" spans="1:25" ht="12" customHeight="1">
      <c r="A40" s="235" t="s">
        <v>952</v>
      </c>
      <c r="B40" s="235"/>
      <c r="C40" s="267"/>
      <c r="D40" s="258"/>
      <c r="E40" s="37"/>
      <c r="F40" s="269"/>
      <c r="G40" s="273"/>
      <c r="H40" s="11"/>
      <c r="I40" s="269"/>
      <c r="J40" s="273"/>
      <c r="K40" s="11"/>
      <c r="L40" s="269"/>
      <c r="M40" s="272"/>
      <c r="N40" s="11"/>
      <c r="O40" s="267"/>
      <c r="P40" s="258"/>
      <c r="Q40" s="37"/>
      <c r="R40" s="269"/>
      <c r="S40" s="273"/>
      <c r="T40" s="11"/>
      <c r="U40" s="269"/>
      <c r="V40" s="258"/>
      <c r="W40" s="258"/>
      <c r="X40" s="269"/>
      <c r="Y40" s="258"/>
    </row>
    <row r="41" spans="1:25" ht="12" customHeight="1" thickBot="1">
      <c r="A41" s="235" t="s">
        <v>323</v>
      </c>
      <c r="B41" s="235"/>
      <c r="C41" s="267"/>
      <c r="D41" s="268">
        <v>0.4</v>
      </c>
      <c r="E41" s="37"/>
      <c r="F41" s="269"/>
      <c r="G41" s="270">
        <v>0.7</v>
      </c>
      <c r="H41" s="11"/>
      <c r="I41" s="269"/>
      <c r="J41" s="270">
        <v>0.7</v>
      </c>
      <c r="K41" s="11"/>
      <c r="L41" s="269"/>
      <c r="M41" s="271">
        <v>0</v>
      </c>
      <c r="N41" s="11"/>
      <c r="O41" s="267"/>
      <c r="P41" s="271">
        <v>0</v>
      </c>
      <c r="Q41" s="37"/>
      <c r="R41" s="269"/>
      <c r="S41" s="270">
        <v>0</v>
      </c>
      <c r="T41" s="11"/>
      <c r="U41" s="269"/>
      <c r="V41" s="268">
        <v>0.6</v>
      </c>
      <c r="W41" s="258"/>
      <c r="X41" s="269"/>
      <c r="Y41" s="271">
        <v>0</v>
      </c>
    </row>
    <row r="42" spans="1:25" ht="12" customHeight="1" thickTop="1">
      <c r="A42" s="246"/>
      <c r="B42" s="235"/>
      <c r="C42" s="252"/>
      <c r="D42" s="218"/>
      <c r="E42" s="37"/>
      <c r="F42" s="251"/>
      <c r="G42" s="218"/>
      <c r="H42" s="11"/>
      <c r="I42" s="251"/>
      <c r="J42" s="218"/>
      <c r="K42" s="11"/>
      <c r="L42" s="251"/>
      <c r="M42" s="218"/>
      <c r="N42" s="11"/>
      <c r="O42" s="252"/>
      <c r="P42" s="218"/>
      <c r="Q42" s="37"/>
      <c r="R42" s="251"/>
      <c r="S42" s="218"/>
      <c r="T42" s="11"/>
      <c r="U42" s="251"/>
      <c r="V42" s="219"/>
      <c r="W42" s="219"/>
      <c r="X42" s="251"/>
      <c r="Y42" s="219"/>
    </row>
    <row r="43" spans="1:25" ht="12" customHeight="1">
      <c r="A43" s="253" t="s">
        <v>349</v>
      </c>
      <c r="B43" s="804"/>
      <c r="C43" s="252"/>
      <c r="D43" s="218"/>
      <c r="E43" s="37"/>
      <c r="F43" s="251"/>
      <c r="G43" s="218"/>
      <c r="H43" s="11"/>
      <c r="I43" s="251"/>
      <c r="J43" s="218"/>
      <c r="K43" s="11"/>
      <c r="L43" s="251"/>
      <c r="M43" s="218"/>
      <c r="N43" s="11"/>
      <c r="O43" s="252"/>
      <c r="P43" s="218"/>
      <c r="Q43" s="37"/>
      <c r="R43" s="251"/>
      <c r="S43" s="218"/>
      <c r="T43" s="11"/>
      <c r="U43" s="251"/>
      <c r="V43" s="219"/>
      <c r="W43" s="219"/>
      <c r="X43" s="251"/>
      <c r="Y43" s="219"/>
    </row>
    <row r="44" spans="1:25" ht="12" customHeight="1">
      <c r="A44" s="253" t="s">
        <v>350</v>
      </c>
      <c r="B44" s="804"/>
      <c r="C44" s="252"/>
      <c r="D44" s="218"/>
      <c r="E44" s="37"/>
      <c r="F44" s="251"/>
      <c r="G44" s="218"/>
      <c r="H44" s="11"/>
      <c r="I44" s="251"/>
      <c r="J44" s="218"/>
      <c r="K44" s="11"/>
      <c r="L44" s="251"/>
      <c r="M44" s="218"/>
      <c r="N44" s="11"/>
      <c r="O44" s="252"/>
      <c r="P44" s="218"/>
      <c r="Q44" s="37"/>
      <c r="R44" s="251"/>
      <c r="S44" s="218"/>
      <c r="T44" s="11"/>
      <c r="U44" s="251"/>
      <c r="V44" s="219"/>
      <c r="W44" s="219"/>
      <c r="X44" s="251"/>
      <c r="Y44" s="219"/>
    </row>
    <row r="45" spans="1:25" ht="12" customHeight="1" thickBot="1">
      <c r="A45" s="246" t="s">
        <v>333</v>
      </c>
      <c r="B45" s="235"/>
      <c r="C45" s="254" t="s">
        <v>108</v>
      </c>
      <c r="D45" s="271">
        <v>0</v>
      </c>
      <c r="E45" s="37"/>
      <c r="F45" s="255" t="s">
        <v>108</v>
      </c>
      <c r="G45" s="114">
        <v>1</v>
      </c>
      <c r="H45" s="11"/>
      <c r="I45" s="255" t="s">
        <v>108</v>
      </c>
      <c r="J45" s="114">
        <v>0</v>
      </c>
      <c r="K45" s="11"/>
      <c r="L45" s="255" t="s">
        <v>108</v>
      </c>
      <c r="M45" s="271">
        <v>0</v>
      </c>
      <c r="N45" s="11"/>
      <c r="O45" s="254" t="s">
        <v>108</v>
      </c>
      <c r="P45" s="271">
        <v>0</v>
      </c>
      <c r="Q45" s="37"/>
      <c r="R45" s="255" t="s">
        <v>108</v>
      </c>
      <c r="S45" s="114">
        <v>-1</v>
      </c>
      <c r="T45" s="11"/>
      <c r="U45" s="255" t="s">
        <v>108</v>
      </c>
      <c r="V45" s="271">
        <v>1</v>
      </c>
      <c r="W45" s="273"/>
      <c r="X45" s="255" t="s">
        <v>108</v>
      </c>
      <c r="Y45" s="271">
        <v>-1</v>
      </c>
    </row>
    <row r="46" spans="1:25" ht="12" customHeight="1" thickTop="1">
      <c r="A46" s="246"/>
      <c r="B46" s="235"/>
      <c r="C46" s="254"/>
      <c r="D46" s="176"/>
      <c r="E46" s="37"/>
      <c r="F46" s="255"/>
      <c r="G46" s="176"/>
      <c r="H46" s="11"/>
      <c r="I46" s="255"/>
      <c r="J46" s="176"/>
      <c r="K46" s="11"/>
      <c r="L46" s="255"/>
      <c r="M46" s="176"/>
      <c r="N46" s="11"/>
      <c r="O46" s="254"/>
      <c r="P46" s="176"/>
      <c r="Q46" s="37"/>
      <c r="R46" s="255"/>
      <c r="S46" s="176"/>
      <c r="T46" s="11"/>
      <c r="U46" s="255"/>
      <c r="V46" s="176"/>
      <c r="W46" s="176"/>
      <c r="X46" s="255"/>
      <c r="Y46" s="176"/>
    </row>
    <row r="47" spans="1:25" ht="12" customHeight="1">
      <c r="A47" s="246" t="s">
        <v>334</v>
      </c>
      <c r="B47" s="235"/>
      <c r="C47" s="254" t="s">
        <v>108</v>
      </c>
      <c r="D47" s="176">
        <v>0</v>
      </c>
      <c r="E47" s="37"/>
      <c r="F47" s="255" t="s">
        <v>108</v>
      </c>
      <c r="G47" s="176">
        <v>0</v>
      </c>
      <c r="H47" s="11"/>
      <c r="I47" s="255" t="s">
        <v>108</v>
      </c>
      <c r="J47" s="176">
        <v>1</v>
      </c>
      <c r="K47" s="11"/>
      <c r="L47" s="255" t="s">
        <v>108</v>
      </c>
      <c r="M47" s="176">
        <v>0</v>
      </c>
      <c r="N47" s="11"/>
      <c r="O47" s="254" t="s">
        <v>108</v>
      </c>
      <c r="P47" s="176">
        <v>0</v>
      </c>
      <c r="Q47" s="37"/>
      <c r="R47" s="255" t="s">
        <v>108</v>
      </c>
      <c r="S47" s="176">
        <v>-1</v>
      </c>
      <c r="T47" s="11"/>
      <c r="U47" s="255" t="s">
        <v>108</v>
      </c>
      <c r="V47" s="111">
        <v>0</v>
      </c>
      <c r="W47" s="111"/>
      <c r="X47" s="255" t="s">
        <v>108</v>
      </c>
      <c r="Y47" s="111">
        <v>-1</v>
      </c>
    </row>
    <row r="48" spans="1:25" ht="12" customHeight="1">
      <c r="A48" s="246" t="s">
        <v>335</v>
      </c>
      <c r="B48" s="235"/>
      <c r="C48" s="252"/>
      <c r="D48" s="176">
        <v>-2</v>
      </c>
      <c r="E48" s="37"/>
      <c r="F48" s="251"/>
      <c r="G48" s="176">
        <v>-3</v>
      </c>
      <c r="H48" s="11"/>
      <c r="I48" s="251"/>
      <c r="J48" s="176">
        <v>-3</v>
      </c>
      <c r="K48" s="11"/>
      <c r="L48" s="251"/>
      <c r="M48" s="176">
        <v>-11</v>
      </c>
      <c r="N48" s="11"/>
      <c r="O48" s="252"/>
      <c r="P48" s="176">
        <v>-3</v>
      </c>
      <c r="Q48" s="37"/>
      <c r="R48" s="251"/>
      <c r="S48" s="176">
        <v>-4</v>
      </c>
      <c r="T48" s="11"/>
      <c r="U48" s="251"/>
      <c r="V48" s="111">
        <v>-5</v>
      </c>
      <c r="W48" s="111"/>
      <c r="X48" s="251"/>
      <c r="Y48" s="111">
        <v>-7</v>
      </c>
    </row>
    <row r="49" spans="1:25" ht="12" customHeight="1">
      <c r="A49" s="246" t="s">
        <v>351</v>
      </c>
      <c r="B49" s="235"/>
      <c r="C49" s="252"/>
      <c r="D49" s="113">
        <v>-2</v>
      </c>
      <c r="E49" s="37"/>
      <c r="F49" s="251"/>
      <c r="G49" s="113">
        <v>0</v>
      </c>
      <c r="H49" s="11"/>
      <c r="I49" s="251"/>
      <c r="J49" s="113">
        <v>-1</v>
      </c>
      <c r="K49" s="11"/>
      <c r="L49" s="251"/>
      <c r="M49" s="113">
        <v>-1</v>
      </c>
      <c r="N49" s="11"/>
      <c r="O49" s="252"/>
      <c r="P49" s="113">
        <v>-1</v>
      </c>
      <c r="Q49" s="37"/>
      <c r="R49" s="251"/>
      <c r="S49" s="113">
        <v>-1</v>
      </c>
      <c r="T49" s="11"/>
      <c r="U49" s="251"/>
      <c r="V49" s="113">
        <v>-2</v>
      </c>
      <c r="W49" s="176"/>
      <c r="X49" s="251"/>
      <c r="Y49" s="113">
        <v>-2</v>
      </c>
    </row>
    <row r="50" spans="1:25" ht="12" customHeight="1" thickBot="1">
      <c r="A50" s="246" t="s">
        <v>352</v>
      </c>
      <c r="B50" s="235"/>
      <c r="C50" s="254" t="s">
        <v>108</v>
      </c>
      <c r="D50" s="217">
        <v>-4</v>
      </c>
      <c r="E50" s="37"/>
      <c r="F50" s="255" t="s">
        <v>108</v>
      </c>
      <c r="G50" s="114">
        <v>-3</v>
      </c>
      <c r="H50" s="11"/>
      <c r="I50" s="255" t="s">
        <v>108</v>
      </c>
      <c r="J50" s="114">
        <v>-3</v>
      </c>
      <c r="K50" s="11"/>
      <c r="L50" s="255" t="s">
        <v>108</v>
      </c>
      <c r="M50" s="114">
        <v>-12</v>
      </c>
      <c r="N50" s="11"/>
      <c r="O50" s="254" t="s">
        <v>108</v>
      </c>
      <c r="P50" s="217">
        <v>-4</v>
      </c>
      <c r="Q50" s="37"/>
      <c r="R50" s="255" t="s">
        <v>108</v>
      </c>
      <c r="S50" s="114">
        <v>-6</v>
      </c>
      <c r="T50" s="11"/>
      <c r="U50" s="255" t="s">
        <v>108</v>
      </c>
      <c r="V50" s="217">
        <v>-7</v>
      </c>
      <c r="W50" s="176"/>
      <c r="X50" s="255" t="s">
        <v>108</v>
      </c>
      <c r="Y50" s="217">
        <v>-10</v>
      </c>
    </row>
    <row r="51" spans="1:25" ht="12" customHeight="1" thickTop="1">
      <c r="A51" s="246"/>
      <c r="B51" s="235"/>
      <c r="C51" s="36"/>
      <c r="D51" s="11"/>
      <c r="E51" s="37"/>
      <c r="F51" s="251"/>
      <c r="G51" s="274"/>
      <c r="H51" s="11"/>
      <c r="I51" s="251"/>
      <c r="J51" s="274"/>
      <c r="K51" s="11"/>
      <c r="L51" s="11"/>
      <c r="M51" s="11"/>
      <c r="N51" s="11"/>
      <c r="O51" s="36"/>
      <c r="P51" s="11"/>
      <c r="Q51" s="37"/>
      <c r="R51" s="251"/>
      <c r="S51" s="274"/>
      <c r="T51" s="11"/>
      <c r="U51" s="11"/>
      <c r="X51" s="11"/>
    </row>
    <row r="52" spans="1:25" ht="12" customHeight="1">
      <c r="A52" s="246" t="s">
        <v>322</v>
      </c>
      <c r="B52" s="235"/>
      <c r="C52" s="230"/>
      <c r="D52" s="66"/>
      <c r="E52" s="37"/>
      <c r="F52" s="66"/>
      <c r="G52" s="66"/>
      <c r="H52" s="66"/>
      <c r="I52" s="66"/>
      <c r="J52" s="66"/>
      <c r="K52" s="66"/>
      <c r="L52" s="66"/>
      <c r="M52" s="66"/>
      <c r="N52" s="11"/>
      <c r="O52" s="230"/>
      <c r="P52" s="66"/>
      <c r="Q52" s="37"/>
      <c r="R52" s="66"/>
      <c r="S52" s="66"/>
      <c r="T52" s="11"/>
      <c r="U52" s="66"/>
      <c r="V52" s="67"/>
      <c r="W52" s="67"/>
      <c r="X52" s="66"/>
      <c r="Y52" s="67"/>
    </row>
    <row r="53" spans="1:25" ht="12" customHeight="1" thickBot="1">
      <c r="A53" s="246" t="s">
        <v>353</v>
      </c>
      <c r="B53" s="235"/>
      <c r="C53" s="230"/>
      <c r="D53" s="234">
        <v>0.1</v>
      </c>
      <c r="E53" s="37"/>
      <c r="F53" s="66"/>
      <c r="G53" s="234">
        <v>0</v>
      </c>
      <c r="H53" s="213"/>
      <c r="I53" s="66"/>
      <c r="J53" s="234">
        <v>0</v>
      </c>
      <c r="K53" s="213"/>
      <c r="L53" s="66"/>
      <c r="M53" s="234">
        <v>0.2</v>
      </c>
      <c r="N53" s="11"/>
      <c r="O53" s="230"/>
      <c r="P53" s="234">
        <v>0.1</v>
      </c>
      <c r="Q53" s="37"/>
      <c r="R53" s="66"/>
      <c r="S53" s="234">
        <v>0.1</v>
      </c>
      <c r="T53" s="11"/>
      <c r="U53" s="66"/>
      <c r="V53" s="234">
        <v>0.1</v>
      </c>
      <c r="W53" s="213"/>
      <c r="X53" s="66"/>
      <c r="Y53" s="234">
        <v>9.9999999999994316E-2</v>
      </c>
    </row>
    <row r="54" spans="1:25" ht="12" customHeight="1" thickTop="1" thickBot="1">
      <c r="B54" s="251"/>
      <c r="C54" s="799"/>
      <c r="D54" s="796"/>
      <c r="E54" s="238"/>
      <c r="F54" s="251"/>
      <c r="G54" s="218"/>
      <c r="H54" s="11"/>
      <c r="I54" s="251"/>
      <c r="J54" s="218"/>
      <c r="K54" s="11"/>
      <c r="L54" s="11"/>
      <c r="M54" s="11"/>
      <c r="N54" s="11"/>
      <c r="O54" s="799"/>
      <c r="P54" s="796"/>
      <c r="Q54" s="238"/>
      <c r="R54" s="251"/>
      <c r="S54" s="218"/>
      <c r="T54" s="11"/>
      <c r="U54" s="11"/>
      <c r="X54" s="11"/>
    </row>
    <row r="55" spans="1:25" ht="12" customHeight="1">
      <c r="C55" s="11"/>
      <c r="D55" s="11"/>
      <c r="E55" s="11"/>
      <c r="F55" s="11"/>
      <c r="G55" s="11"/>
      <c r="I55" s="251"/>
      <c r="J55" s="218"/>
      <c r="K55" s="11"/>
      <c r="L55" s="251"/>
      <c r="M55" s="218"/>
      <c r="N55" s="11"/>
      <c r="O55" s="11"/>
      <c r="P55" s="11"/>
      <c r="Q55" s="11"/>
      <c r="R55" s="251"/>
      <c r="S55" s="218"/>
      <c r="T55" s="11"/>
      <c r="U55" s="11"/>
      <c r="X55" s="11"/>
    </row>
    <row r="56" spans="1:25" ht="12" customHeight="1">
      <c r="I56" s="251"/>
      <c r="J56" s="251"/>
      <c r="K56" s="11"/>
      <c r="L56" s="251"/>
      <c r="M56" s="251"/>
      <c r="N56" s="11"/>
      <c r="R56" s="251"/>
      <c r="S56" s="251"/>
      <c r="T56" s="11"/>
    </row>
    <row r="57" spans="1:25" ht="12" customHeight="1">
      <c r="C57" s="247"/>
      <c r="D57" s="247"/>
      <c r="E57" s="247"/>
      <c r="I57" s="251"/>
      <c r="J57" s="251"/>
      <c r="K57" s="11"/>
      <c r="L57" s="251"/>
      <c r="M57" s="251"/>
      <c r="N57" s="11"/>
      <c r="R57" s="251"/>
      <c r="S57" s="251"/>
      <c r="T57" s="11"/>
    </row>
    <row r="58" spans="1:25" ht="12" customHeight="1">
      <c r="I58" s="251"/>
      <c r="J58" s="251"/>
      <c r="K58" s="11"/>
      <c r="L58" s="251"/>
      <c r="M58" s="251"/>
      <c r="N58" s="11"/>
      <c r="R58" s="251"/>
      <c r="S58" s="251"/>
      <c r="T58" s="11"/>
    </row>
    <row r="59" spans="1:25" ht="12" customHeight="1">
      <c r="I59" s="251"/>
      <c r="J59" s="251"/>
      <c r="K59" s="11"/>
      <c r="L59" s="251"/>
      <c r="M59" s="251"/>
      <c r="N59" s="11"/>
      <c r="R59" s="251"/>
      <c r="S59" s="251"/>
      <c r="T59" s="11"/>
    </row>
    <row r="60" spans="1:25" ht="12" customHeight="1">
      <c r="I60" s="251"/>
      <c r="J60" s="251"/>
      <c r="K60" s="11"/>
      <c r="L60" s="251"/>
      <c r="M60" s="251"/>
      <c r="N60" s="11"/>
      <c r="R60" s="251"/>
      <c r="S60" s="251"/>
      <c r="T60" s="11"/>
    </row>
    <row r="61" spans="1:25" ht="12" customHeight="1">
      <c r="I61" s="251"/>
      <c r="J61" s="251"/>
      <c r="K61" s="11"/>
      <c r="L61" s="251"/>
      <c r="M61" s="251"/>
      <c r="N61" s="11"/>
      <c r="R61" s="251"/>
      <c r="S61" s="251"/>
      <c r="T61" s="11"/>
    </row>
    <row r="62" spans="1:25" ht="12" customHeight="1">
      <c r="I62" s="251"/>
      <c r="J62" s="251"/>
      <c r="K62" s="11"/>
      <c r="L62" s="251"/>
      <c r="M62" s="251"/>
      <c r="N62" s="11"/>
      <c r="R62" s="251"/>
      <c r="S62" s="251"/>
      <c r="T62" s="11"/>
    </row>
    <row r="63" spans="1:25" ht="12" customHeight="1">
      <c r="I63" s="251"/>
      <c r="J63" s="251"/>
      <c r="K63" s="11"/>
      <c r="L63" s="251"/>
      <c r="M63" s="251"/>
      <c r="N63" s="11"/>
      <c r="R63" s="251"/>
      <c r="S63" s="251"/>
      <c r="T63" s="11"/>
    </row>
    <row r="64" spans="1:25" ht="12" customHeight="1">
      <c r="I64" s="251"/>
      <c r="J64" s="251"/>
      <c r="K64" s="11"/>
      <c r="L64" s="251"/>
      <c r="M64" s="251"/>
      <c r="N64" s="11"/>
      <c r="R64" s="251"/>
      <c r="S64" s="251"/>
      <c r="T64" s="11"/>
    </row>
    <row r="65" spans="9:20" ht="12" customHeight="1">
      <c r="I65" s="251"/>
      <c r="J65" s="251"/>
      <c r="K65" s="11"/>
      <c r="L65" s="251"/>
      <c r="M65" s="251"/>
      <c r="N65" s="11"/>
      <c r="R65" s="251"/>
      <c r="S65" s="251"/>
      <c r="T65" s="11"/>
    </row>
    <row r="66" spans="9:20" ht="12" customHeight="1">
      <c r="I66" s="251"/>
      <c r="J66" s="251"/>
      <c r="K66" s="11"/>
      <c r="L66" s="251"/>
      <c r="M66" s="251"/>
      <c r="N66" s="11"/>
      <c r="R66" s="251"/>
      <c r="S66" s="251"/>
      <c r="T66" s="11"/>
    </row>
    <row r="67" spans="9:20" ht="12" customHeight="1">
      <c r="I67" s="251"/>
      <c r="J67" s="251"/>
      <c r="K67" s="11"/>
      <c r="L67" s="251"/>
      <c r="M67" s="251"/>
      <c r="N67" s="11"/>
      <c r="R67" s="251"/>
      <c r="S67" s="251"/>
      <c r="T67" s="11"/>
    </row>
    <row r="68" spans="9:20" ht="12" customHeight="1">
      <c r="I68" s="251"/>
      <c r="J68" s="251"/>
      <c r="K68" s="11"/>
      <c r="L68" s="251"/>
      <c r="M68" s="251"/>
      <c r="N68" s="11"/>
      <c r="R68" s="251"/>
      <c r="S68" s="251"/>
      <c r="T68" s="11"/>
    </row>
    <row r="69" spans="9:20" ht="12" customHeight="1">
      <c r="I69" s="251"/>
      <c r="J69" s="251"/>
      <c r="K69" s="11"/>
      <c r="L69" s="251"/>
      <c r="M69" s="251"/>
      <c r="N69" s="11"/>
      <c r="R69" s="251"/>
      <c r="S69" s="251"/>
      <c r="T69" s="11"/>
    </row>
    <row r="70" spans="9:20" ht="12" customHeight="1">
      <c r="I70" s="251"/>
      <c r="J70" s="251"/>
      <c r="K70" s="11"/>
      <c r="L70" s="251"/>
      <c r="M70" s="251"/>
      <c r="N70" s="11"/>
      <c r="R70" s="251"/>
      <c r="S70" s="251"/>
      <c r="T70" s="11"/>
    </row>
    <row r="71" spans="9:20" ht="12" customHeight="1">
      <c r="I71" s="251"/>
      <c r="J71" s="251"/>
      <c r="K71" s="11"/>
      <c r="L71" s="251"/>
      <c r="M71" s="251"/>
      <c r="N71" s="11"/>
      <c r="R71" s="251"/>
      <c r="S71" s="251"/>
      <c r="T71" s="11"/>
    </row>
    <row r="72" spans="9:20" ht="12" customHeight="1">
      <c r="I72" s="251"/>
      <c r="J72" s="251"/>
      <c r="K72" s="11"/>
      <c r="L72" s="251"/>
      <c r="M72" s="251"/>
      <c r="N72" s="11"/>
      <c r="R72" s="251"/>
      <c r="S72" s="251"/>
      <c r="T72" s="11"/>
    </row>
    <row r="73" spans="9:20" ht="12" customHeight="1">
      <c r="I73" s="251"/>
      <c r="J73" s="251"/>
      <c r="K73" s="11"/>
      <c r="L73" s="251"/>
      <c r="M73" s="251"/>
      <c r="N73" s="11"/>
      <c r="R73" s="251"/>
      <c r="S73" s="251"/>
      <c r="T73" s="11"/>
    </row>
    <row r="74" spans="9:20" ht="12" customHeight="1">
      <c r="I74" s="251"/>
      <c r="J74" s="251"/>
      <c r="K74" s="11"/>
      <c r="L74" s="251"/>
      <c r="M74" s="251"/>
      <c r="N74" s="11"/>
      <c r="R74" s="251"/>
      <c r="S74" s="251"/>
      <c r="T74" s="11"/>
    </row>
    <row r="75" spans="9:20" ht="12" customHeight="1">
      <c r="I75" s="251"/>
      <c r="J75" s="251"/>
      <c r="K75" s="11"/>
      <c r="L75" s="251"/>
      <c r="M75" s="251"/>
      <c r="N75" s="11"/>
      <c r="R75" s="251"/>
      <c r="S75" s="251"/>
      <c r="T75" s="11"/>
    </row>
    <row r="76" spans="9:20" ht="12" customHeight="1">
      <c r="I76" s="251"/>
      <c r="J76" s="251"/>
      <c r="K76" s="11"/>
      <c r="L76" s="251"/>
      <c r="M76" s="251"/>
      <c r="N76" s="11"/>
      <c r="R76" s="251"/>
      <c r="S76" s="251"/>
      <c r="T76" s="11"/>
    </row>
    <row r="77" spans="9:20" ht="12" customHeight="1">
      <c r="I77" s="251"/>
      <c r="J77" s="251"/>
      <c r="K77" s="11"/>
      <c r="L77" s="251"/>
      <c r="M77" s="251"/>
      <c r="N77" s="11"/>
      <c r="R77" s="251"/>
      <c r="S77" s="251"/>
      <c r="T77" s="11"/>
    </row>
    <row r="78" spans="9:20" ht="12" customHeight="1">
      <c r="I78" s="251"/>
      <c r="J78" s="251"/>
      <c r="K78" s="11"/>
      <c r="L78" s="251"/>
      <c r="M78" s="251"/>
      <c r="N78" s="11"/>
      <c r="R78" s="251"/>
      <c r="S78" s="251"/>
      <c r="T78" s="11"/>
    </row>
    <row r="79" spans="9:20" ht="12" customHeight="1">
      <c r="I79" s="251"/>
      <c r="J79" s="251"/>
      <c r="K79" s="11"/>
      <c r="L79" s="251"/>
      <c r="M79" s="251"/>
      <c r="N79" s="11"/>
      <c r="R79" s="251"/>
      <c r="S79" s="251"/>
      <c r="T79" s="11"/>
    </row>
    <row r="80" spans="9:20" ht="12" customHeight="1">
      <c r="I80" s="251"/>
      <c r="J80" s="251"/>
      <c r="K80" s="11"/>
      <c r="L80" s="251"/>
      <c r="M80" s="251"/>
      <c r="N80" s="11"/>
      <c r="R80" s="251"/>
      <c r="S80" s="251"/>
      <c r="T80" s="11"/>
    </row>
    <row r="81" spans="9:20" ht="12" customHeight="1">
      <c r="I81" s="251"/>
      <c r="J81" s="251"/>
      <c r="K81" s="11"/>
      <c r="L81" s="251"/>
      <c r="M81" s="251"/>
      <c r="N81" s="11"/>
      <c r="R81" s="251"/>
      <c r="S81" s="251"/>
      <c r="T81" s="11"/>
    </row>
    <row r="82" spans="9:20" ht="12" customHeight="1">
      <c r="I82" s="251"/>
      <c r="J82" s="251"/>
      <c r="K82" s="11"/>
      <c r="L82" s="251"/>
      <c r="M82" s="251"/>
      <c r="N82" s="11"/>
      <c r="R82" s="251"/>
      <c r="S82" s="251"/>
      <c r="T82" s="11"/>
    </row>
    <row r="83" spans="9:20" ht="12" customHeight="1">
      <c r="I83" s="251"/>
      <c r="J83" s="251"/>
      <c r="K83" s="11"/>
      <c r="L83" s="251"/>
      <c r="M83" s="251"/>
      <c r="N83" s="11"/>
      <c r="R83" s="251"/>
      <c r="S83" s="251"/>
      <c r="T83" s="11"/>
    </row>
    <row r="84" spans="9:20" ht="12" customHeight="1">
      <c r="I84" s="251"/>
      <c r="J84" s="251"/>
      <c r="K84" s="11"/>
      <c r="L84" s="251"/>
      <c r="M84" s="251"/>
      <c r="N84" s="11"/>
      <c r="R84" s="251"/>
      <c r="S84" s="251"/>
      <c r="T84" s="11"/>
    </row>
    <row r="85" spans="9:20" ht="12" customHeight="1">
      <c r="I85" s="251"/>
      <c r="J85" s="251"/>
      <c r="K85" s="11"/>
      <c r="L85" s="251"/>
      <c r="M85" s="251"/>
      <c r="N85" s="11"/>
      <c r="R85" s="251"/>
      <c r="S85" s="251"/>
      <c r="T85" s="11"/>
    </row>
    <row r="86" spans="9:20" ht="12" customHeight="1">
      <c r="I86" s="251"/>
      <c r="J86" s="251"/>
      <c r="K86" s="11"/>
      <c r="L86" s="251"/>
      <c r="M86" s="251"/>
      <c r="N86" s="11"/>
      <c r="R86" s="251"/>
      <c r="S86" s="251"/>
      <c r="T86" s="11"/>
    </row>
    <row r="87" spans="9:20" ht="12" customHeight="1">
      <c r="I87" s="251"/>
      <c r="J87" s="251"/>
      <c r="K87" s="11"/>
      <c r="L87" s="251"/>
      <c r="M87" s="251"/>
      <c r="N87" s="11"/>
      <c r="R87" s="251"/>
      <c r="S87" s="251"/>
      <c r="T87" s="11"/>
    </row>
    <row r="88" spans="9:20" ht="12" customHeight="1">
      <c r="I88" s="251"/>
      <c r="J88" s="251"/>
      <c r="K88" s="11"/>
      <c r="L88" s="251"/>
      <c r="M88" s="251"/>
      <c r="N88" s="11"/>
      <c r="R88" s="251"/>
      <c r="S88" s="251"/>
      <c r="T88" s="11"/>
    </row>
    <row r="89" spans="9:20" ht="12" customHeight="1">
      <c r="I89" s="251"/>
      <c r="J89" s="251"/>
      <c r="K89" s="11"/>
      <c r="L89" s="251"/>
      <c r="M89" s="251"/>
      <c r="N89" s="11"/>
      <c r="R89" s="251"/>
      <c r="S89" s="251"/>
      <c r="T89" s="11"/>
    </row>
  </sheetData>
  <mergeCells count="5">
    <mergeCell ref="A1:Y1"/>
    <mergeCell ref="A2:Y2"/>
    <mergeCell ref="A3:Y3"/>
    <mergeCell ref="C5:S5"/>
    <mergeCell ref="V5:Y5"/>
  </mergeCells>
  <phoneticPr fontId="24" type="noConversion"/>
  <printOptions horizontalCentered="1"/>
  <pageMargins left="0.25" right="0.25" top="0.5" bottom="0.5" header="0.3" footer="0.3"/>
  <pageSetup scale="83" orientation="landscape" r:id="rId1"/>
  <headerFooter alignWithMargins="0">
    <oddFooter>&amp;R&amp;A</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Z440"/>
  <sheetViews>
    <sheetView zoomScale="75" zoomScaleNormal="75" workbookViewId="0">
      <selection sqref="A1:Z1"/>
    </sheetView>
  </sheetViews>
  <sheetFormatPr defaultColWidth="11.44140625" defaultRowHeight="13.2"/>
  <cols>
    <col min="1" max="1" width="3.5546875" style="279" customWidth="1"/>
    <col min="2" max="2" width="33.109375" style="279" customWidth="1"/>
    <col min="3" max="3" width="2.44140625" style="284" customWidth="1"/>
    <col min="4" max="4" width="8.44140625" style="284" customWidth="1"/>
    <col min="5" max="6" width="2.44140625" style="284" customWidth="1"/>
    <col min="7" max="7" width="8.44140625" style="284" customWidth="1"/>
    <col min="8" max="9" width="2.44140625" style="279" customWidth="1"/>
    <col min="10" max="10" width="8.5546875" style="279" customWidth="1"/>
    <col min="11" max="12" width="2.44140625" style="279" customWidth="1"/>
    <col min="13" max="13" width="8.44140625" style="284" customWidth="1"/>
    <col min="14" max="14" width="2.44140625" style="279" customWidth="1"/>
    <col min="15" max="15" width="2.44140625" style="284" customWidth="1"/>
    <col min="16" max="16" width="8.44140625" style="284" customWidth="1"/>
    <col min="17" max="18" width="2.44140625" style="279" customWidth="1"/>
    <col min="19" max="19" width="8.44140625" style="279" customWidth="1"/>
    <col min="20" max="20" width="2.44140625" style="279" hidden="1" customWidth="1"/>
    <col min="21" max="22" width="2.44140625" style="279" customWidth="1"/>
    <col min="23" max="23" width="8.44140625" style="279" customWidth="1"/>
    <col min="24" max="25" width="2.44140625" style="279" customWidth="1"/>
    <col min="26" max="27" width="8.44140625" style="279" customWidth="1"/>
    <col min="28" max="16384" width="11.44140625" style="279"/>
  </cols>
  <sheetData>
    <row r="1" spans="1:26">
      <c r="A1" s="988" t="s">
        <v>96</v>
      </c>
      <c r="B1" s="988"/>
      <c r="C1" s="988"/>
      <c r="D1" s="988"/>
      <c r="E1" s="988"/>
      <c r="F1" s="988"/>
      <c r="G1" s="988"/>
      <c r="H1" s="988"/>
      <c r="I1" s="988"/>
      <c r="J1" s="988"/>
      <c r="K1" s="988"/>
      <c r="L1" s="988"/>
      <c r="M1" s="988"/>
      <c r="N1" s="988"/>
      <c r="O1" s="988"/>
      <c r="P1" s="988"/>
      <c r="Q1" s="988"/>
      <c r="R1" s="988"/>
      <c r="S1" s="988"/>
      <c r="T1" s="988"/>
      <c r="U1" s="988"/>
      <c r="V1" s="988"/>
      <c r="W1" s="988"/>
      <c r="X1" s="988"/>
      <c r="Y1" s="988"/>
      <c r="Z1" s="988"/>
    </row>
    <row r="2" spans="1:26">
      <c r="A2" s="988" t="s">
        <v>360</v>
      </c>
      <c r="B2" s="988"/>
      <c r="C2" s="988"/>
      <c r="D2" s="988"/>
      <c r="E2" s="988"/>
      <c r="F2" s="988"/>
      <c r="G2" s="988"/>
      <c r="H2" s="988"/>
      <c r="I2" s="988"/>
      <c r="J2" s="988"/>
      <c r="K2" s="988"/>
      <c r="L2" s="988"/>
      <c r="M2" s="988"/>
      <c r="N2" s="988"/>
      <c r="O2" s="988"/>
      <c r="P2" s="988"/>
      <c r="Q2" s="988"/>
      <c r="R2" s="988"/>
      <c r="S2" s="988"/>
      <c r="T2" s="988"/>
      <c r="U2" s="988"/>
      <c r="V2" s="988"/>
      <c r="W2" s="988"/>
      <c r="X2" s="988"/>
      <c r="Y2" s="988"/>
      <c r="Z2" s="988"/>
    </row>
    <row r="3" spans="1:26">
      <c r="A3" s="989" t="s">
        <v>800</v>
      </c>
      <c r="B3" s="989"/>
      <c r="C3" s="989"/>
      <c r="D3" s="989"/>
      <c r="E3" s="989"/>
      <c r="F3" s="989"/>
      <c r="G3" s="989"/>
      <c r="H3" s="989"/>
      <c r="I3" s="989"/>
      <c r="J3" s="989"/>
      <c r="K3" s="989"/>
      <c r="L3" s="989"/>
      <c r="M3" s="989"/>
      <c r="N3" s="989"/>
      <c r="O3" s="989"/>
      <c r="P3" s="989"/>
      <c r="Q3" s="989"/>
      <c r="R3" s="989"/>
      <c r="S3" s="989"/>
      <c r="T3" s="989"/>
      <c r="U3" s="989"/>
      <c r="V3" s="989"/>
      <c r="W3" s="989"/>
      <c r="X3" s="989"/>
      <c r="Y3" s="989"/>
      <c r="Z3" s="989"/>
    </row>
    <row r="4" spans="1:26" ht="13.8">
      <c r="B4" s="280"/>
      <c r="C4" s="282"/>
      <c r="D4" s="282"/>
      <c r="E4" s="281"/>
      <c r="F4" s="282"/>
      <c r="G4" s="282"/>
      <c r="H4" s="280"/>
      <c r="I4" s="280"/>
      <c r="J4" s="280"/>
      <c r="K4" s="283"/>
      <c r="L4" s="280"/>
      <c r="M4" s="281"/>
      <c r="N4" s="283"/>
      <c r="O4" s="282"/>
      <c r="P4" s="282"/>
      <c r="Q4" s="280"/>
      <c r="R4" s="280"/>
      <c r="S4" s="280"/>
      <c r="T4" s="283"/>
      <c r="U4" s="283"/>
    </row>
    <row r="5" spans="1:26">
      <c r="A5" s="285"/>
      <c r="B5" s="286"/>
      <c r="C5" s="990" t="s">
        <v>99</v>
      </c>
      <c r="D5" s="990"/>
      <c r="E5" s="990"/>
      <c r="F5" s="990"/>
      <c r="G5" s="990"/>
      <c r="H5" s="990"/>
      <c r="I5" s="990"/>
      <c r="J5" s="990"/>
      <c r="K5" s="990"/>
      <c r="L5" s="990"/>
      <c r="M5" s="990"/>
      <c r="N5" s="990"/>
      <c r="O5" s="990"/>
      <c r="P5" s="990"/>
      <c r="Q5" s="990"/>
      <c r="R5" s="990"/>
      <c r="S5" s="990"/>
      <c r="T5" s="823"/>
      <c r="U5" s="283"/>
      <c r="V5" s="285"/>
      <c r="W5" s="991" t="s">
        <v>100</v>
      </c>
      <c r="X5" s="991"/>
      <c r="Y5" s="991"/>
      <c r="Z5" s="991"/>
    </row>
    <row r="6" spans="1:26" ht="13.8" thickBot="1">
      <c r="A6" s="285"/>
      <c r="B6" s="286"/>
      <c r="C6" s="288"/>
      <c r="D6" s="288"/>
      <c r="E6" s="287"/>
      <c r="F6" s="288"/>
      <c r="G6" s="288"/>
      <c r="H6" s="286"/>
      <c r="I6" s="809"/>
      <c r="J6" s="809"/>
      <c r="K6" s="810"/>
      <c r="L6" s="286"/>
      <c r="M6" s="287"/>
      <c r="N6" s="289"/>
      <c r="O6" s="288"/>
      <c r="P6" s="288"/>
      <c r="Q6" s="286"/>
      <c r="R6" s="286"/>
      <c r="S6" s="286"/>
      <c r="T6" s="283"/>
      <c r="U6" s="283"/>
      <c r="V6" s="285"/>
      <c r="W6" s="285"/>
      <c r="X6" s="285"/>
      <c r="Y6" s="285"/>
      <c r="Z6" s="285"/>
    </row>
    <row r="7" spans="1:26">
      <c r="A7" s="285"/>
      <c r="B7" s="294"/>
      <c r="C7" s="291"/>
      <c r="D7" s="8" t="s">
        <v>104</v>
      </c>
      <c r="E7" s="822"/>
      <c r="F7" s="293"/>
      <c r="G7" s="6" t="s">
        <v>105</v>
      </c>
      <c r="H7" s="417"/>
      <c r="I7" s="293"/>
      <c r="J7" s="6" t="s">
        <v>102</v>
      </c>
      <c r="K7" s="417"/>
      <c r="L7" s="293"/>
      <c r="M7" s="6" t="s">
        <v>103</v>
      </c>
      <c r="N7" s="283"/>
      <c r="O7" s="291"/>
      <c r="P7" s="8" t="s">
        <v>104</v>
      </c>
      <c r="Q7" s="822"/>
      <c r="R7" s="293"/>
      <c r="S7" s="6" t="s">
        <v>105</v>
      </c>
      <c r="T7" s="417"/>
      <c r="U7" s="283"/>
      <c r="V7" s="294"/>
      <c r="W7" s="6" t="s">
        <v>104</v>
      </c>
      <c r="X7" s="285"/>
      <c r="Y7" s="294"/>
      <c r="Z7" s="6" t="s">
        <v>104</v>
      </c>
    </row>
    <row r="8" spans="1:26">
      <c r="A8" s="285"/>
      <c r="B8" s="294"/>
      <c r="C8" s="295"/>
      <c r="D8" s="13">
        <v>2012</v>
      </c>
      <c r="E8" s="811"/>
      <c r="F8" s="293"/>
      <c r="G8" s="13">
        <v>2012</v>
      </c>
      <c r="H8" s="417"/>
      <c r="I8" s="293"/>
      <c r="J8" s="13">
        <v>2011</v>
      </c>
      <c r="K8" s="417"/>
      <c r="L8" s="293"/>
      <c r="M8" s="13">
        <v>2011</v>
      </c>
      <c r="N8" s="294"/>
      <c r="O8" s="295"/>
      <c r="P8" s="13">
        <v>2011</v>
      </c>
      <c r="Q8" s="811"/>
      <c r="R8" s="293"/>
      <c r="S8" s="13">
        <v>2011</v>
      </c>
      <c r="T8" s="417"/>
      <c r="U8" s="294"/>
      <c r="V8" s="294"/>
      <c r="W8" s="13">
        <v>2012</v>
      </c>
      <c r="X8" s="290"/>
      <c r="Y8" s="294"/>
      <c r="Z8" s="13">
        <v>2011</v>
      </c>
    </row>
    <row r="9" spans="1:26">
      <c r="A9" s="290"/>
      <c r="B9" s="301"/>
      <c r="C9" s="297"/>
      <c r="D9" s="298"/>
      <c r="E9" s="812"/>
      <c r="F9" s="300"/>
      <c r="G9" s="298"/>
      <c r="H9" s="300"/>
      <c r="I9" s="300"/>
      <c r="J9" s="298"/>
      <c r="K9" s="300"/>
      <c r="L9" s="300"/>
      <c r="M9" s="298"/>
      <c r="N9" s="301"/>
      <c r="O9" s="297"/>
      <c r="P9" s="298"/>
      <c r="Q9" s="812"/>
      <c r="R9" s="300"/>
      <c r="S9" s="298"/>
      <c r="T9" s="300"/>
      <c r="U9" s="301"/>
      <c r="V9" s="300"/>
      <c r="W9" s="298"/>
      <c r="X9" s="290"/>
      <c r="Y9" s="300"/>
      <c r="Z9" s="298"/>
    </row>
    <row r="10" spans="1:26" ht="13.8">
      <c r="A10" s="303" t="s">
        <v>1105</v>
      </c>
      <c r="B10" s="305"/>
      <c r="C10" s="297"/>
      <c r="D10" s="300"/>
      <c r="E10" s="813"/>
      <c r="F10" s="300"/>
      <c r="G10" s="300"/>
      <c r="H10" s="300"/>
      <c r="I10" s="300"/>
      <c r="J10" s="300"/>
      <c r="K10" s="300"/>
      <c r="L10" s="300"/>
      <c r="M10" s="300"/>
      <c r="N10" s="305"/>
      <c r="O10" s="297"/>
      <c r="P10" s="300"/>
      <c r="Q10" s="813"/>
      <c r="R10" s="300"/>
      <c r="S10" s="300"/>
      <c r="T10" s="300"/>
      <c r="U10" s="305"/>
      <c r="V10" s="300"/>
      <c r="W10" s="290"/>
      <c r="X10" s="290"/>
      <c r="Y10" s="300"/>
      <c r="Z10" s="290"/>
    </row>
    <row r="11" spans="1:26">
      <c r="A11" s="304"/>
      <c r="B11" s="306" t="s">
        <v>362</v>
      </c>
      <c r="C11" s="307" t="s">
        <v>108</v>
      </c>
      <c r="D11" s="308">
        <v>3903</v>
      </c>
      <c r="E11" s="427"/>
      <c r="F11" s="309" t="s">
        <v>108</v>
      </c>
      <c r="G11" s="308">
        <v>3937</v>
      </c>
      <c r="H11" s="300"/>
      <c r="I11" s="309" t="s">
        <v>108</v>
      </c>
      <c r="J11" s="308">
        <v>3812</v>
      </c>
      <c r="K11" s="300"/>
      <c r="L11" s="309" t="s">
        <v>108</v>
      </c>
      <c r="M11" s="308">
        <v>3996</v>
      </c>
      <c r="N11" s="306"/>
      <c r="O11" s="307" t="s">
        <v>108</v>
      </c>
      <c r="P11" s="308">
        <v>3911</v>
      </c>
      <c r="Q11" s="427"/>
      <c r="R11" s="309" t="s">
        <v>108</v>
      </c>
      <c r="S11" s="308">
        <v>3984</v>
      </c>
      <c r="T11" s="300"/>
      <c r="U11" s="306"/>
      <c r="V11" s="309" t="s">
        <v>108</v>
      </c>
      <c r="W11" s="310">
        <v>7840</v>
      </c>
      <c r="X11" s="290"/>
      <c r="Y11" s="309" t="s">
        <v>108</v>
      </c>
      <c r="Z11" s="310">
        <v>7895</v>
      </c>
    </row>
    <row r="12" spans="1:26">
      <c r="A12" s="304"/>
      <c r="B12" s="306" t="s">
        <v>363</v>
      </c>
      <c r="C12" s="307"/>
      <c r="D12" s="312">
        <v>174</v>
      </c>
      <c r="E12" s="427"/>
      <c r="F12" s="309"/>
      <c r="G12" s="312">
        <v>189</v>
      </c>
      <c r="H12" s="300"/>
      <c r="I12" s="309"/>
      <c r="J12" s="312">
        <v>174</v>
      </c>
      <c r="K12" s="300"/>
      <c r="L12" s="309"/>
      <c r="M12" s="312">
        <v>194</v>
      </c>
      <c r="N12" s="306"/>
      <c r="O12" s="307"/>
      <c r="P12" s="312">
        <v>197</v>
      </c>
      <c r="Q12" s="427"/>
      <c r="R12" s="309"/>
      <c r="S12" s="312">
        <v>210</v>
      </c>
      <c r="T12" s="300"/>
      <c r="U12" s="306"/>
      <c r="V12" s="309"/>
      <c r="W12" s="312">
        <v>363</v>
      </c>
      <c r="X12" s="300"/>
      <c r="Y12" s="309"/>
      <c r="Z12" s="312">
        <v>407</v>
      </c>
    </row>
    <row r="13" spans="1:26">
      <c r="A13" s="304"/>
      <c r="B13" s="306" t="s">
        <v>364</v>
      </c>
      <c r="C13" s="307"/>
      <c r="D13" s="308">
        <v>4077</v>
      </c>
      <c r="E13" s="427"/>
      <c r="F13" s="309"/>
      <c r="G13" s="308">
        <v>4126</v>
      </c>
      <c r="H13" s="300"/>
      <c r="I13" s="309"/>
      <c r="J13" s="308">
        <v>3986</v>
      </c>
      <c r="K13" s="300"/>
      <c r="L13" s="309"/>
      <c r="M13" s="308">
        <v>4190</v>
      </c>
      <c r="N13" s="306"/>
      <c r="O13" s="307"/>
      <c r="P13" s="308">
        <v>4108</v>
      </c>
      <c r="Q13" s="427"/>
      <c r="R13" s="309"/>
      <c r="S13" s="308">
        <v>4194</v>
      </c>
      <c r="T13" s="300"/>
      <c r="U13" s="306"/>
      <c r="V13" s="309"/>
      <c r="W13" s="308">
        <v>8203</v>
      </c>
      <c r="X13" s="300"/>
      <c r="Y13" s="309"/>
      <c r="Z13" s="308">
        <v>8302</v>
      </c>
    </row>
    <row r="14" spans="1:26">
      <c r="A14" s="304"/>
      <c r="B14" s="306"/>
      <c r="C14" s="307"/>
      <c r="D14" s="308"/>
      <c r="E14" s="427"/>
      <c r="F14" s="309"/>
      <c r="G14" s="308"/>
      <c r="H14" s="300"/>
      <c r="I14" s="309"/>
      <c r="J14" s="308"/>
      <c r="K14" s="300"/>
      <c r="L14" s="309"/>
      <c r="M14" s="308"/>
      <c r="N14" s="306"/>
      <c r="O14" s="307"/>
      <c r="P14" s="308"/>
      <c r="Q14" s="427"/>
      <c r="R14" s="309"/>
      <c r="S14" s="308"/>
      <c r="T14" s="300"/>
      <c r="U14" s="306"/>
      <c r="V14" s="309"/>
      <c r="W14" s="308"/>
      <c r="X14" s="300"/>
      <c r="Y14" s="309"/>
      <c r="Z14" s="308"/>
    </row>
    <row r="15" spans="1:26">
      <c r="A15" s="304"/>
      <c r="B15" s="314" t="s">
        <v>365</v>
      </c>
      <c r="C15" s="307"/>
      <c r="D15" s="308">
        <v>21</v>
      </c>
      <c r="E15" s="814"/>
      <c r="F15" s="309"/>
      <c r="G15" s="308">
        <v>20</v>
      </c>
      <c r="H15" s="300"/>
      <c r="I15" s="309"/>
      <c r="J15" s="308">
        <v>17</v>
      </c>
      <c r="K15" s="300"/>
      <c r="L15" s="309"/>
      <c r="M15" s="308">
        <v>17</v>
      </c>
      <c r="N15" s="314"/>
      <c r="O15" s="307"/>
      <c r="P15" s="308">
        <v>21</v>
      </c>
      <c r="Q15" s="814"/>
      <c r="R15" s="309"/>
      <c r="S15" s="308">
        <v>19</v>
      </c>
      <c r="T15" s="300"/>
      <c r="U15" s="314"/>
      <c r="V15" s="309"/>
      <c r="W15" s="308">
        <v>41</v>
      </c>
      <c r="X15" s="300"/>
      <c r="Y15" s="309"/>
      <c r="Z15" s="308">
        <v>40</v>
      </c>
    </row>
    <row r="16" spans="1:26">
      <c r="A16" s="304"/>
      <c r="B16" s="314" t="s">
        <v>366</v>
      </c>
      <c r="C16" s="307"/>
      <c r="D16" s="308">
        <v>120</v>
      </c>
      <c r="E16" s="814"/>
      <c r="F16" s="309"/>
      <c r="G16" s="308">
        <v>112</v>
      </c>
      <c r="H16" s="300"/>
      <c r="I16" s="309"/>
      <c r="J16" s="308">
        <v>111</v>
      </c>
      <c r="K16" s="300"/>
      <c r="L16" s="309"/>
      <c r="M16" s="308">
        <v>116</v>
      </c>
      <c r="N16" s="314"/>
      <c r="O16" s="307"/>
      <c r="P16" s="308">
        <v>125</v>
      </c>
      <c r="Q16" s="814"/>
      <c r="R16" s="309"/>
      <c r="S16" s="308">
        <v>120</v>
      </c>
      <c r="T16" s="300"/>
      <c r="U16" s="314"/>
      <c r="V16" s="309"/>
      <c r="W16" s="310">
        <v>232</v>
      </c>
      <c r="X16" s="290"/>
      <c r="Y16" s="309"/>
      <c r="Z16" s="310">
        <v>245</v>
      </c>
    </row>
    <row r="17" spans="1:26">
      <c r="A17" s="304"/>
      <c r="B17" s="314" t="s">
        <v>367</v>
      </c>
      <c r="C17" s="307"/>
      <c r="D17" s="308">
        <v>1639</v>
      </c>
      <c r="E17" s="814"/>
      <c r="F17" s="309"/>
      <c r="G17" s="308">
        <v>1258</v>
      </c>
      <c r="H17" s="300"/>
      <c r="I17" s="309"/>
      <c r="J17" s="308">
        <v>1428</v>
      </c>
      <c r="K17" s="300"/>
      <c r="L17" s="309"/>
      <c r="M17" s="308">
        <v>1634</v>
      </c>
      <c r="N17" s="314"/>
      <c r="O17" s="307"/>
      <c r="P17" s="308">
        <v>1606</v>
      </c>
      <c r="Q17" s="814"/>
      <c r="R17" s="309"/>
      <c r="S17" s="308">
        <v>1225</v>
      </c>
      <c r="T17" s="300"/>
      <c r="U17" s="314"/>
      <c r="V17" s="309"/>
      <c r="W17" s="310">
        <v>2897</v>
      </c>
      <c r="X17" s="290"/>
      <c r="Y17" s="309"/>
      <c r="Z17" s="310">
        <v>2831</v>
      </c>
    </row>
    <row r="18" spans="1:26">
      <c r="A18" s="304"/>
      <c r="B18" s="314" t="s">
        <v>368</v>
      </c>
      <c r="C18" s="307"/>
      <c r="D18" s="312">
        <v>494</v>
      </c>
      <c r="E18" s="814"/>
      <c r="F18" s="309"/>
      <c r="G18" s="312">
        <v>435</v>
      </c>
      <c r="H18" s="300"/>
      <c r="I18" s="309"/>
      <c r="J18" s="312">
        <v>446</v>
      </c>
      <c r="K18" s="300"/>
      <c r="L18" s="309"/>
      <c r="M18" s="312">
        <v>489</v>
      </c>
      <c r="N18" s="314"/>
      <c r="O18" s="307"/>
      <c r="P18" s="312">
        <v>478</v>
      </c>
      <c r="Q18" s="814"/>
      <c r="R18" s="309"/>
      <c r="S18" s="312">
        <v>413</v>
      </c>
      <c r="T18" s="300"/>
      <c r="U18" s="314"/>
      <c r="V18" s="309"/>
      <c r="W18" s="312">
        <v>929</v>
      </c>
      <c r="X18" s="290"/>
      <c r="Y18" s="309"/>
      <c r="Z18" s="312">
        <v>891</v>
      </c>
    </row>
    <row r="19" spans="1:26">
      <c r="A19" s="304"/>
      <c r="B19" s="80"/>
      <c r="C19" s="307"/>
      <c r="D19" s="308">
        <v>6351</v>
      </c>
      <c r="E19" s="815"/>
      <c r="F19" s="309"/>
      <c r="G19" s="308">
        <v>5951</v>
      </c>
      <c r="H19" s="807"/>
      <c r="I19" s="309"/>
      <c r="J19" s="308">
        <v>5988</v>
      </c>
      <c r="K19" s="807"/>
      <c r="L19" s="309"/>
      <c r="M19" s="308">
        <v>6446</v>
      </c>
      <c r="N19" s="80"/>
      <c r="O19" s="307"/>
      <c r="P19" s="308">
        <v>6338</v>
      </c>
      <c r="Q19" s="815"/>
      <c r="R19" s="309"/>
      <c r="S19" s="308">
        <v>5971</v>
      </c>
      <c r="T19" s="807"/>
      <c r="U19" s="80"/>
      <c r="V19" s="309"/>
      <c r="W19" s="308">
        <v>12302</v>
      </c>
      <c r="X19" s="290"/>
      <c r="Y19" s="309"/>
      <c r="Z19" s="308">
        <v>12309</v>
      </c>
    </row>
    <row r="20" spans="1:26">
      <c r="A20" s="304"/>
      <c r="B20" s="80"/>
      <c r="C20" s="307"/>
      <c r="D20" s="308"/>
      <c r="E20" s="815"/>
      <c r="F20" s="309"/>
      <c r="G20" s="308"/>
      <c r="H20" s="807"/>
      <c r="I20" s="309"/>
      <c r="J20" s="308"/>
      <c r="K20" s="807"/>
      <c r="L20" s="309"/>
      <c r="M20" s="308"/>
      <c r="N20" s="80"/>
      <c r="O20" s="307"/>
      <c r="P20" s="308"/>
      <c r="Q20" s="815"/>
      <c r="R20" s="309"/>
      <c r="S20" s="308"/>
      <c r="T20" s="807"/>
      <c r="U20" s="80"/>
      <c r="V20" s="309"/>
      <c r="W20" s="308"/>
      <c r="X20" s="290"/>
      <c r="Y20" s="309"/>
      <c r="Z20" s="308"/>
    </row>
    <row r="21" spans="1:26">
      <c r="A21" s="315" t="s">
        <v>369</v>
      </c>
      <c r="B21" s="316"/>
      <c r="C21" s="307"/>
      <c r="D21" s="308"/>
      <c r="E21" s="816"/>
      <c r="F21" s="309"/>
      <c r="G21" s="308"/>
      <c r="H21" s="300"/>
      <c r="I21" s="309"/>
      <c r="J21" s="308"/>
      <c r="K21" s="300"/>
      <c r="L21" s="309"/>
      <c r="M21" s="308"/>
      <c r="N21" s="316"/>
      <c r="O21" s="307"/>
      <c r="P21" s="308"/>
      <c r="Q21" s="816"/>
      <c r="R21" s="309"/>
      <c r="S21" s="308"/>
      <c r="T21" s="300"/>
      <c r="U21" s="316"/>
      <c r="V21" s="309"/>
      <c r="W21" s="310"/>
      <c r="X21" s="290"/>
      <c r="Y21" s="309"/>
      <c r="Z21" s="310"/>
    </row>
    <row r="22" spans="1:26">
      <c r="A22" s="304"/>
      <c r="B22" s="306" t="s">
        <v>370</v>
      </c>
      <c r="C22" s="307"/>
      <c r="D22" s="308">
        <v>160</v>
      </c>
      <c r="E22" s="814"/>
      <c r="F22" s="309"/>
      <c r="G22" s="308">
        <v>142</v>
      </c>
      <c r="H22" s="300"/>
      <c r="I22" s="309"/>
      <c r="J22" s="308">
        <v>147</v>
      </c>
      <c r="K22" s="300"/>
      <c r="L22" s="309"/>
      <c r="M22" s="308">
        <v>159</v>
      </c>
      <c r="N22" s="314"/>
      <c r="O22" s="307"/>
      <c r="P22" s="308">
        <v>154</v>
      </c>
      <c r="Q22" s="814"/>
      <c r="R22" s="309"/>
      <c r="S22" s="308">
        <v>144</v>
      </c>
      <c r="T22" s="300"/>
      <c r="U22" s="314"/>
      <c r="V22" s="309"/>
      <c r="W22" s="310">
        <v>302</v>
      </c>
      <c r="X22" s="290"/>
      <c r="Y22" s="309"/>
      <c r="Z22" s="310">
        <v>298</v>
      </c>
    </row>
    <row r="23" spans="1:26">
      <c r="A23" s="304"/>
      <c r="B23" s="314" t="s">
        <v>371</v>
      </c>
      <c r="C23" s="307"/>
      <c r="D23" s="312">
        <v>0</v>
      </c>
      <c r="E23" s="814"/>
      <c r="F23" s="309"/>
      <c r="G23" s="312">
        <v>0</v>
      </c>
      <c r="H23" s="300"/>
      <c r="I23" s="309"/>
      <c r="J23" s="312">
        <v>0</v>
      </c>
      <c r="K23" s="300"/>
      <c r="L23" s="309"/>
      <c r="M23" s="312">
        <v>0</v>
      </c>
      <c r="N23" s="314"/>
      <c r="O23" s="307"/>
      <c r="P23" s="312">
        <v>0</v>
      </c>
      <c r="Q23" s="814"/>
      <c r="R23" s="309"/>
      <c r="S23" s="312">
        <v>1</v>
      </c>
      <c r="T23" s="300"/>
      <c r="U23" s="314"/>
      <c r="V23" s="309"/>
      <c r="W23" s="312">
        <v>0</v>
      </c>
      <c r="X23" s="300"/>
      <c r="Y23" s="309"/>
      <c r="Z23" s="312">
        <v>1</v>
      </c>
    </row>
    <row r="24" spans="1:26">
      <c r="A24" s="304"/>
      <c r="B24" s="306" t="s">
        <v>364</v>
      </c>
      <c r="C24" s="307"/>
      <c r="D24" s="308">
        <v>160</v>
      </c>
      <c r="E24" s="814"/>
      <c r="F24" s="309"/>
      <c r="G24" s="308">
        <v>142</v>
      </c>
      <c r="H24" s="300"/>
      <c r="I24" s="309"/>
      <c r="J24" s="308">
        <v>147</v>
      </c>
      <c r="K24" s="300"/>
      <c r="L24" s="309"/>
      <c r="M24" s="308">
        <v>159</v>
      </c>
      <c r="N24" s="314"/>
      <c r="O24" s="307"/>
      <c r="P24" s="308">
        <v>154</v>
      </c>
      <c r="Q24" s="814"/>
      <c r="R24" s="309"/>
      <c r="S24" s="308">
        <v>145</v>
      </c>
      <c r="T24" s="300"/>
      <c r="U24" s="314"/>
      <c r="V24" s="309"/>
      <c r="W24" s="308">
        <v>302</v>
      </c>
      <c r="X24" s="300"/>
      <c r="Y24" s="309"/>
      <c r="Z24" s="308">
        <v>299</v>
      </c>
    </row>
    <row r="25" spans="1:26">
      <c r="A25" s="304"/>
      <c r="B25" s="314"/>
      <c r="C25" s="307"/>
      <c r="D25" s="308"/>
      <c r="E25" s="814"/>
      <c r="F25" s="309"/>
      <c r="G25" s="308"/>
      <c r="H25" s="300"/>
      <c r="I25" s="309"/>
      <c r="J25" s="308"/>
      <c r="K25" s="300"/>
      <c r="L25" s="309"/>
      <c r="M25" s="308"/>
      <c r="N25" s="314"/>
      <c r="O25" s="307"/>
      <c r="P25" s="308"/>
      <c r="Q25" s="814"/>
      <c r="R25" s="309"/>
      <c r="S25" s="308"/>
      <c r="T25" s="300"/>
      <c r="U25" s="314"/>
      <c r="V25" s="309"/>
      <c r="W25" s="308"/>
      <c r="X25" s="300"/>
      <c r="Y25" s="309"/>
      <c r="Z25" s="308"/>
    </row>
    <row r="26" spans="1:26">
      <c r="A26" s="304"/>
      <c r="B26" s="314" t="s">
        <v>365</v>
      </c>
      <c r="C26" s="307"/>
      <c r="D26" s="308">
        <v>3</v>
      </c>
      <c r="E26" s="814"/>
      <c r="F26" s="309"/>
      <c r="G26" s="308">
        <v>2</v>
      </c>
      <c r="H26" s="807"/>
      <c r="I26" s="309"/>
      <c r="J26" s="308">
        <v>1</v>
      </c>
      <c r="K26" s="807"/>
      <c r="L26" s="309"/>
      <c r="M26" s="308">
        <v>2</v>
      </c>
      <c r="N26" s="314"/>
      <c r="O26" s="307"/>
      <c r="P26" s="308">
        <v>3</v>
      </c>
      <c r="Q26" s="814"/>
      <c r="R26" s="309"/>
      <c r="S26" s="308">
        <v>3</v>
      </c>
      <c r="T26" s="807"/>
      <c r="U26" s="314"/>
      <c r="V26" s="309"/>
      <c r="W26" s="310">
        <v>5</v>
      </c>
      <c r="X26" s="290"/>
      <c r="Y26" s="309"/>
      <c r="Z26" s="310">
        <v>6</v>
      </c>
    </row>
    <row r="27" spans="1:26">
      <c r="A27" s="304"/>
      <c r="B27" s="314" t="s">
        <v>367</v>
      </c>
      <c r="C27" s="297"/>
      <c r="D27" s="308">
        <v>104</v>
      </c>
      <c r="E27" s="814"/>
      <c r="F27" s="300"/>
      <c r="G27" s="308">
        <v>85</v>
      </c>
      <c r="H27" s="300"/>
      <c r="I27" s="300"/>
      <c r="J27" s="308">
        <v>89</v>
      </c>
      <c r="K27" s="300"/>
      <c r="L27" s="300"/>
      <c r="M27" s="308">
        <v>100</v>
      </c>
      <c r="N27" s="314"/>
      <c r="O27" s="297"/>
      <c r="P27" s="308">
        <v>94</v>
      </c>
      <c r="Q27" s="814"/>
      <c r="R27" s="300"/>
      <c r="S27" s="308">
        <v>79</v>
      </c>
      <c r="T27" s="300"/>
      <c r="U27" s="314"/>
      <c r="V27" s="300"/>
      <c r="W27" s="310">
        <v>189</v>
      </c>
      <c r="X27" s="290"/>
      <c r="Y27" s="300"/>
      <c r="Z27" s="310">
        <v>173</v>
      </c>
    </row>
    <row r="28" spans="1:26">
      <c r="A28" s="304"/>
      <c r="B28" s="314" t="s">
        <v>368</v>
      </c>
      <c r="C28" s="297"/>
      <c r="D28" s="312">
        <v>22</v>
      </c>
      <c r="E28" s="814"/>
      <c r="F28" s="300"/>
      <c r="G28" s="312">
        <v>20</v>
      </c>
      <c r="H28" s="300"/>
      <c r="I28" s="300"/>
      <c r="J28" s="312">
        <v>20</v>
      </c>
      <c r="K28" s="300"/>
      <c r="L28" s="300"/>
      <c r="M28" s="312">
        <v>21</v>
      </c>
      <c r="N28" s="314"/>
      <c r="O28" s="297"/>
      <c r="P28" s="312">
        <v>22</v>
      </c>
      <c r="Q28" s="814"/>
      <c r="R28" s="300"/>
      <c r="S28" s="312">
        <v>18</v>
      </c>
      <c r="T28" s="300"/>
      <c r="U28" s="314"/>
      <c r="V28" s="300"/>
      <c r="W28" s="312">
        <v>42</v>
      </c>
      <c r="X28" s="290"/>
      <c r="Y28" s="300"/>
      <c r="Z28" s="312">
        <v>40</v>
      </c>
    </row>
    <row r="29" spans="1:26">
      <c r="A29" s="304"/>
      <c r="B29" s="80"/>
      <c r="C29" s="297"/>
      <c r="D29" s="308">
        <v>289</v>
      </c>
      <c r="E29" s="815"/>
      <c r="F29" s="300"/>
      <c r="G29" s="308">
        <v>249</v>
      </c>
      <c r="H29" s="300"/>
      <c r="I29" s="300"/>
      <c r="J29" s="308">
        <v>257</v>
      </c>
      <c r="K29" s="300"/>
      <c r="L29" s="300"/>
      <c r="M29" s="308">
        <v>282</v>
      </c>
      <c r="N29" s="80"/>
      <c r="O29" s="297"/>
      <c r="P29" s="308">
        <v>273</v>
      </c>
      <c r="Q29" s="815"/>
      <c r="R29" s="300"/>
      <c r="S29" s="308">
        <v>245</v>
      </c>
      <c r="T29" s="300"/>
      <c r="U29" s="80"/>
      <c r="V29" s="300"/>
      <c r="W29" s="308">
        <v>538</v>
      </c>
      <c r="X29" s="290"/>
      <c r="Y29" s="300"/>
      <c r="Z29" s="308">
        <v>518</v>
      </c>
    </row>
    <row r="30" spans="1:26">
      <c r="A30" s="304"/>
      <c r="B30" s="80"/>
      <c r="C30" s="297"/>
      <c r="D30" s="308"/>
      <c r="E30" s="815"/>
      <c r="F30" s="300"/>
      <c r="G30" s="308"/>
      <c r="H30" s="300"/>
      <c r="I30" s="300"/>
      <c r="J30" s="308"/>
      <c r="K30" s="300"/>
      <c r="L30" s="300"/>
      <c r="M30" s="308"/>
      <c r="N30" s="80"/>
      <c r="O30" s="297"/>
      <c r="P30" s="308"/>
      <c r="Q30" s="815"/>
      <c r="R30" s="300"/>
      <c r="S30" s="308"/>
      <c r="T30" s="300"/>
      <c r="U30" s="80"/>
      <c r="V30" s="300"/>
      <c r="W30" s="308"/>
      <c r="X30" s="300"/>
      <c r="Y30" s="300"/>
      <c r="Z30" s="308"/>
    </row>
    <row r="31" spans="1:26">
      <c r="A31" s="315" t="s">
        <v>11</v>
      </c>
      <c r="B31" s="80"/>
      <c r="C31" s="297"/>
      <c r="D31" s="308"/>
      <c r="E31" s="815"/>
      <c r="F31" s="300"/>
      <c r="G31" s="308"/>
      <c r="H31" s="300"/>
      <c r="I31" s="300"/>
      <c r="J31" s="308"/>
      <c r="K31" s="300"/>
      <c r="L31" s="300"/>
      <c r="M31" s="308"/>
      <c r="N31" s="80"/>
      <c r="O31" s="297"/>
      <c r="P31" s="308"/>
      <c r="Q31" s="815"/>
      <c r="R31" s="300"/>
      <c r="S31" s="308"/>
      <c r="T31" s="300"/>
      <c r="U31" s="80"/>
      <c r="V31" s="300"/>
      <c r="W31" s="308"/>
      <c r="X31" s="290"/>
      <c r="Y31" s="300"/>
      <c r="Z31" s="308"/>
    </row>
    <row r="32" spans="1:26">
      <c r="A32" s="315"/>
      <c r="B32" s="306" t="s">
        <v>370</v>
      </c>
      <c r="C32" s="297"/>
      <c r="D32" s="312">
        <v>224</v>
      </c>
      <c r="E32" s="815"/>
      <c r="F32" s="300"/>
      <c r="G32" s="312">
        <v>262</v>
      </c>
      <c r="H32" s="300"/>
      <c r="I32" s="300"/>
      <c r="J32" s="312">
        <v>181</v>
      </c>
      <c r="K32" s="300"/>
      <c r="L32" s="300"/>
      <c r="M32" s="312">
        <v>0</v>
      </c>
      <c r="N32" s="80"/>
      <c r="O32" s="297"/>
      <c r="P32" s="312">
        <v>0</v>
      </c>
      <c r="Q32" s="815"/>
      <c r="R32" s="300"/>
      <c r="S32" s="312">
        <v>0</v>
      </c>
      <c r="T32" s="300"/>
      <c r="U32" s="80"/>
      <c r="V32" s="300"/>
      <c r="W32" s="312">
        <v>486</v>
      </c>
      <c r="X32" s="290"/>
      <c r="Y32" s="300"/>
      <c r="Z32" s="312">
        <v>0</v>
      </c>
    </row>
    <row r="33" spans="1:26">
      <c r="A33" s="304"/>
      <c r="B33" s="317"/>
      <c r="C33" s="318"/>
      <c r="D33" s="298"/>
      <c r="E33" s="817"/>
      <c r="F33" s="319"/>
      <c r="G33" s="298"/>
      <c r="H33" s="300"/>
      <c r="I33" s="319"/>
      <c r="J33" s="298"/>
      <c r="K33" s="300"/>
      <c r="L33" s="319"/>
      <c r="M33" s="298"/>
      <c r="N33" s="317"/>
      <c r="O33" s="318"/>
      <c r="P33" s="298"/>
      <c r="Q33" s="817"/>
      <c r="R33" s="319"/>
      <c r="S33" s="298"/>
      <c r="T33" s="300"/>
      <c r="U33" s="317"/>
      <c r="V33" s="319"/>
      <c r="W33" s="298"/>
      <c r="X33" s="290"/>
      <c r="Y33" s="319"/>
      <c r="Z33" s="298"/>
    </row>
    <row r="34" spans="1:26">
      <c r="A34" s="320" t="s">
        <v>354</v>
      </c>
      <c r="B34" s="316"/>
      <c r="C34" s="297"/>
      <c r="D34" s="308">
        <v>6864</v>
      </c>
      <c r="E34" s="816"/>
      <c r="F34" s="300"/>
      <c r="G34" s="308">
        <v>6462</v>
      </c>
      <c r="H34" s="300"/>
      <c r="I34" s="300"/>
      <c r="J34" s="308">
        <v>6426</v>
      </c>
      <c r="K34" s="300"/>
      <c r="L34" s="300"/>
      <c r="M34" s="308">
        <v>6728</v>
      </c>
      <c r="N34" s="316"/>
      <c r="O34" s="297"/>
      <c r="P34" s="308">
        <v>6611</v>
      </c>
      <c r="Q34" s="816"/>
      <c r="R34" s="300"/>
      <c r="S34" s="308">
        <v>6216</v>
      </c>
      <c r="T34" s="300"/>
      <c r="U34" s="316"/>
      <c r="V34" s="300"/>
      <c r="W34" s="310">
        <v>13326</v>
      </c>
      <c r="X34" s="290"/>
      <c r="Y34" s="300"/>
      <c r="Z34" s="310">
        <v>12827</v>
      </c>
    </row>
    <row r="35" spans="1:26">
      <c r="A35" s="304"/>
      <c r="B35" s="305"/>
      <c r="C35" s="321"/>
      <c r="D35" s="322"/>
      <c r="E35" s="813"/>
      <c r="F35" s="298"/>
      <c r="G35" s="322"/>
      <c r="H35" s="300"/>
      <c r="I35" s="298"/>
      <c r="J35" s="322"/>
      <c r="K35" s="300"/>
      <c r="L35" s="298"/>
      <c r="M35" s="322"/>
      <c r="N35" s="305"/>
      <c r="O35" s="321"/>
      <c r="P35" s="322"/>
      <c r="Q35" s="813"/>
      <c r="R35" s="298"/>
      <c r="S35" s="322"/>
      <c r="T35" s="300"/>
      <c r="U35" s="305"/>
      <c r="V35" s="298"/>
      <c r="W35" s="322"/>
      <c r="X35" s="290"/>
      <c r="Y35" s="298"/>
      <c r="Z35" s="322"/>
    </row>
    <row r="36" spans="1:26">
      <c r="A36" s="323" t="s">
        <v>349</v>
      </c>
      <c r="B36" s="305"/>
      <c r="C36" s="324"/>
      <c r="D36" s="312">
        <v>0</v>
      </c>
      <c r="E36" s="813"/>
      <c r="F36" s="325"/>
      <c r="G36" s="312">
        <v>1</v>
      </c>
      <c r="H36" s="300"/>
      <c r="I36" s="325"/>
      <c r="J36" s="312">
        <v>0</v>
      </c>
      <c r="K36" s="300"/>
      <c r="L36" s="325"/>
      <c r="M36" s="312">
        <v>0</v>
      </c>
      <c r="N36" s="305"/>
      <c r="O36" s="324"/>
      <c r="P36" s="312">
        <v>0</v>
      </c>
      <c r="Q36" s="813"/>
      <c r="R36" s="325"/>
      <c r="S36" s="312">
        <v>-1</v>
      </c>
      <c r="T36" s="300"/>
      <c r="U36" s="305"/>
      <c r="V36" s="325"/>
      <c r="W36" s="312">
        <v>1</v>
      </c>
      <c r="X36" s="290"/>
      <c r="Y36" s="325"/>
      <c r="Z36" s="312">
        <v>-1</v>
      </c>
    </row>
    <row r="37" spans="1:26">
      <c r="A37" s="323"/>
      <c r="B37" s="305"/>
      <c r="C37" s="297"/>
      <c r="D37" s="326"/>
      <c r="E37" s="813"/>
      <c r="F37" s="300"/>
      <c r="G37" s="326"/>
      <c r="H37" s="300"/>
      <c r="I37" s="300"/>
      <c r="J37" s="326"/>
      <c r="K37" s="300"/>
      <c r="L37" s="300"/>
      <c r="M37" s="326"/>
      <c r="N37" s="305"/>
      <c r="O37" s="297"/>
      <c r="P37" s="326"/>
      <c r="Q37" s="813"/>
      <c r="R37" s="300"/>
      <c r="S37" s="326"/>
      <c r="T37" s="300"/>
      <c r="U37" s="305"/>
      <c r="V37" s="300"/>
      <c r="W37" s="326"/>
      <c r="X37" s="290"/>
      <c r="Y37" s="300"/>
      <c r="Z37" s="326"/>
    </row>
    <row r="38" spans="1:26" ht="13.8" thickBot="1">
      <c r="A38" s="323" t="s">
        <v>801</v>
      </c>
      <c r="B38" s="305"/>
      <c r="C38" s="307" t="s">
        <v>108</v>
      </c>
      <c r="D38" s="327">
        <v>6864</v>
      </c>
      <c r="E38" s="813"/>
      <c r="F38" s="309" t="s">
        <v>108</v>
      </c>
      <c r="G38" s="327">
        <v>6463</v>
      </c>
      <c r="H38" s="300"/>
      <c r="I38" s="309" t="s">
        <v>108</v>
      </c>
      <c r="J38" s="327">
        <v>6426</v>
      </c>
      <c r="K38" s="300"/>
      <c r="L38" s="309" t="s">
        <v>108</v>
      </c>
      <c r="M38" s="327">
        <v>6728</v>
      </c>
      <c r="N38" s="305"/>
      <c r="O38" s="307" t="s">
        <v>108</v>
      </c>
      <c r="P38" s="327">
        <v>6611</v>
      </c>
      <c r="Q38" s="813"/>
      <c r="R38" s="309" t="s">
        <v>108</v>
      </c>
      <c r="S38" s="327">
        <v>6215</v>
      </c>
      <c r="T38" s="300"/>
      <c r="U38" s="305"/>
      <c r="V38" s="309" t="s">
        <v>108</v>
      </c>
      <c r="W38" s="327">
        <v>13327</v>
      </c>
      <c r="X38" s="290"/>
      <c r="Y38" s="309" t="s">
        <v>108</v>
      </c>
      <c r="Z38" s="327">
        <v>12826</v>
      </c>
    </row>
    <row r="39" spans="1:26" ht="13.8" thickTop="1">
      <c r="A39" s="290"/>
      <c r="B39" s="328"/>
      <c r="C39" s="297"/>
      <c r="D39" s="300"/>
      <c r="E39" s="818"/>
      <c r="F39" s="309"/>
      <c r="G39" s="308"/>
      <c r="H39" s="300"/>
      <c r="I39" s="309"/>
      <c r="J39" s="308"/>
      <c r="K39" s="300"/>
      <c r="L39" s="300"/>
      <c r="M39" s="300"/>
      <c r="N39" s="328"/>
      <c r="O39" s="297"/>
      <c r="P39" s="300"/>
      <c r="Q39" s="818"/>
      <c r="R39" s="309"/>
      <c r="S39" s="308"/>
      <c r="T39" s="300"/>
      <c r="U39" s="328"/>
      <c r="V39" s="300"/>
      <c r="W39" s="290"/>
      <c r="X39" s="290"/>
      <c r="Y39" s="300"/>
      <c r="Z39" s="290"/>
    </row>
    <row r="40" spans="1:26">
      <c r="A40" s="284"/>
      <c r="B40" s="331"/>
      <c r="C40" s="808"/>
      <c r="D40" s="313"/>
      <c r="E40" s="819"/>
      <c r="F40" s="442"/>
      <c r="G40" s="329"/>
      <c r="H40" s="313"/>
      <c r="I40" s="442"/>
      <c r="J40" s="329"/>
      <c r="K40" s="313"/>
      <c r="L40" s="313"/>
      <c r="M40" s="313"/>
      <c r="N40" s="331"/>
      <c r="O40" s="808"/>
      <c r="P40" s="313"/>
      <c r="Q40" s="819"/>
      <c r="R40" s="442"/>
      <c r="S40" s="329"/>
      <c r="T40" s="313"/>
      <c r="U40" s="331"/>
      <c r="V40" s="313"/>
      <c r="W40" s="284"/>
      <c r="X40" s="284"/>
      <c r="Y40" s="313"/>
      <c r="Z40" s="284"/>
    </row>
    <row r="41" spans="1:26">
      <c r="A41" s="284"/>
      <c r="B41" s="332"/>
      <c r="C41" s="808"/>
      <c r="D41" s="313"/>
      <c r="E41" s="820"/>
      <c r="F41" s="442"/>
      <c r="G41" s="329"/>
      <c r="H41" s="313"/>
      <c r="I41" s="442"/>
      <c r="J41" s="329"/>
      <c r="K41" s="313"/>
      <c r="L41" s="313"/>
      <c r="M41" s="313"/>
      <c r="N41" s="332"/>
      <c r="O41" s="808"/>
      <c r="P41" s="313"/>
      <c r="Q41" s="820"/>
      <c r="R41" s="442"/>
      <c r="S41" s="329"/>
      <c r="T41" s="313"/>
      <c r="U41" s="332"/>
      <c r="V41" s="313"/>
      <c r="W41" s="284"/>
      <c r="X41" s="284"/>
      <c r="Y41" s="313"/>
      <c r="Z41" s="284"/>
    </row>
    <row r="42" spans="1:26">
      <c r="A42" s="320" t="s">
        <v>354</v>
      </c>
      <c r="B42" s="331"/>
      <c r="C42" s="808"/>
      <c r="D42" s="313"/>
      <c r="E42" s="819"/>
      <c r="F42" s="442"/>
      <c r="G42" s="329"/>
      <c r="H42" s="313"/>
      <c r="I42" s="442"/>
      <c r="J42" s="329"/>
      <c r="K42" s="313"/>
      <c r="L42" s="313"/>
      <c r="M42" s="313"/>
      <c r="N42" s="331"/>
      <c r="O42" s="808"/>
      <c r="P42" s="313"/>
      <c r="Q42" s="819"/>
      <c r="R42" s="442"/>
      <c r="S42" s="329"/>
      <c r="T42" s="313"/>
      <c r="U42" s="331"/>
      <c r="V42" s="313"/>
      <c r="W42" s="284"/>
      <c r="X42" s="284"/>
      <c r="Y42" s="313"/>
      <c r="Z42" s="284"/>
    </row>
    <row r="43" spans="1:26">
      <c r="A43" s="284"/>
      <c r="B43" s="314" t="s">
        <v>372</v>
      </c>
      <c r="C43" s="307" t="s">
        <v>108</v>
      </c>
      <c r="D43" s="333">
        <v>4287</v>
      </c>
      <c r="E43" s="814"/>
      <c r="F43" s="309" t="s">
        <v>108</v>
      </c>
      <c r="G43" s="308">
        <v>4341</v>
      </c>
      <c r="H43" s="313"/>
      <c r="I43" s="309" t="s">
        <v>108</v>
      </c>
      <c r="J43" s="308">
        <v>4140</v>
      </c>
      <c r="K43" s="313"/>
      <c r="L43" s="309" t="s">
        <v>108</v>
      </c>
      <c r="M43" s="333">
        <v>4155</v>
      </c>
      <c r="N43" s="314"/>
      <c r="O43" s="307" t="s">
        <v>108</v>
      </c>
      <c r="P43" s="333">
        <v>4065</v>
      </c>
      <c r="Q43" s="814"/>
      <c r="R43" s="309" t="s">
        <v>108</v>
      </c>
      <c r="S43" s="308">
        <v>4128</v>
      </c>
      <c r="T43" s="313"/>
      <c r="U43" s="314"/>
      <c r="V43" s="309" t="s">
        <v>108</v>
      </c>
      <c r="W43" s="334">
        <v>8628</v>
      </c>
      <c r="X43" s="284"/>
      <c r="Y43" s="309" t="s">
        <v>108</v>
      </c>
      <c r="Z43" s="334">
        <v>8193</v>
      </c>
    </row>
    <row r="44" spans="1:26">
      <c r="A44" s="284"/>
      <c r="B44" s="314" t="s">
        <v>371</v>
      </c>
      <c r="C44" s="297"/>
      <c r="D44" s="335">
        <v>174</v>
      </c>
      <c r="E44" s="814"/>
      <c r="F44" s="300"/>
      <c r="G44" s="312">
        <v>189</v>
      </c>
      <c r="H44" s="313"/>
      <c r="I44" s="300"/>
      <c r="J44" s="312">
        <v>174</v>
      </c>
      <c r="K44" s="313"/>
      <c r="L44" s="300"/>
      <c r="M44" s="335">
        <v>194</v>
      </c>
      <c r="N44" s="314"/>
      <c r="O44" s="297"/>
      <c r="P44" s="335">
        <v>197</v>
      </c>
      <c r="Q44" s="814"/>
      <c r="R44" s="300"/>
      <c r="S44" s="312">
        <v>211</v>
      </c>
      <c r="T44" s="313"/>
      <c r="U44" s="314"/>
      <c r="V44" s="336"/>
      <c r="W44" s="335">
        <v>363</v>
      </c>
      <c r="X44" s="313"/>
      <c r="Y44" s="336"/>
      <c r="Z44" s="335">
        <v>408</v>
      </c>
    </row>
    <row r="45" spans="1:26">
      <c r="A45" s="284"/>
      <c r="B45" s="306" t="s">
        <v>364</v>
      </c>
      <c r="C45" s="297"/>
      <c r="D45" s="333">
        <v>4461</v>
      </c>
      <c r="E45" s="814"/>
      <c r="F45" s="300"/>
      <c r="G45" s="333">
        <v>4530</v>
      </c>
      <c r="H45" s="313"/>
      <c r="I45" s="300"/>
      <c r="J45" s="333">
        <v>4314</v>
      </c>
      <c r="K45" s="313"/>
      <c r="L45" s="300"/>
      <c r="M45" s="333">
        <v>4349</v>
      </c>
      <c r="N45" s="314"/>
      <c r="O45" s="297"/>
      <c r="P45" s="333">
        <v>4262</v>
      </c>
      <c r="Q45" s="814"/>
      <c r="R45" s="300"/>
      <c r="S45" s="333">
        <v>4339</v>
      </c>
      <c r="T45" s="313"/>
      <c r="U45" s="314"/>
      <c r="V45" s="336"/>
      <c r="W45" s="333">
        <v>8991</v>
      </c>
      <c r="X45" s="313"/>
      <c r="Y45" s="336"/>
      <c r="Z45" s="333">
        <v>8601</v>
      </c>
    </row>
    <row r="46" spans="1:26">
      <c r="A46" s="284"/>
      <c r="B46" s="314"/>
      <c r="C46" s="297"/>
      <c r="D46" s="333"/>
      <c r="E46" s="814"/>
      <c r="F46" s="300"/>
      <c r="G46" s="308"/>
      <c r="H46" s="313"/>
      <c r="I46" s="300"/>
      <c r="J46" s="308"/>
      <c r="K46" s="313"/>
      <c r="L46" s="300"/>
      <c r="M46" s="333"/>
      <c r="N46" s="314"/>
      <c r="O46" s="297"/>
      <c r="P46" s="333"/>
      <c r="Q46" s="814"/>
      <c r="R46" s="300"/>
      <c r="S46" s="308"/>
      <c r="T46" s="313"/>
      <c r="U46" s="314"/>
      <c r="V46" s="336"/>
      <c r="W46" s="333"/>
      <c r="X46" s="313"/>
      <c r="Y46" s="336"/>
      <c r="Z46" s="333"/>
    </row>
    <row r="47" spans="1:26">
      <c r="A47" s="284"/>
      <c r="B47" s="314" t="s">
        <v>365</v>
      </c>
      <c r="C47" s="297"/>
      <c r="D47" s="333">
        <v>24</v>
      </c>
      <c r="E47" s="814"/>
      <c r="F47" s="300"/>
      <c r="G47" s="308">
        <v>22</v>
      </c>
      <c r="H47" s="313"/>
      <c r="I47" s="300"/>
      <c r="J47" s="308">
        <v>18</v>
      </c>
      <c r="K47" s="313"/>
      <c r="L47" s="300"/>
      <c r="M47" s="333">
        <v>19</v>
      </c>
      <c r="N47" s="314"/>
      <c r="O47" s="297"/>
      <c r="P47" s="333">
        <v>24</v>
      </c>
      <c r="Q47" s="814"/>
      <c r="R47" s="300"/>
      <c r="S47" s="308">
        <v>22</v>
      </c>
      <c r="T47" s="313"/>
      <c r="U47" s="314"/>
      <c r="V47" s="336"/>
      <c r="W47" s="334">
        <v>46</v>
      </c>
      <c r="X47" s="284"/>
      <c r="Y47" s="336"/>
      <c r="Z47" s="334">
        <v>46</v>
      </c>
    </row>
    <row r="48" spans="1:26">
      <c r="A48" s="284"/>
      <c r="B48" s="314" t="s">
        <v>366</v>
      </c>
      <c r="C48" s="297"/>
      <c r="D48" s="333">
        <v>120</v>
      </c>
      <c r="E48" s="814"/>
      <c r="F48" s="300"/>
      <c r="G48" s="308">
        <v>112</v>
      </c>
      <c r="H48" s="313"/>
      <c r="I48" s="300"/>
      <c r="J48" s="308">
        <v>111</v>
      </c>
      <c r="K48" s="313"/>
      <c r="L48" s="300"/>
      <c r="M48" s="333">
        <v>116</v>
      </c>
      <c r="N48" s="314"/>
      <c r="O48" s="297"/>
      <c r="P48" s="333">
        <v>125</v>
      </c>
      <c r="Q48" s="814"/>
      <c r="R48" s="300"/>
      <c r="S48" s="308">
        <v>120</v>
      </c>
      <c r="T48" s="313"/>
      <c r="U48" s="314"/>
      <c r="V48" s="336"/>
      <c r="W48" s="334">
        <v>232</v>
      </c>
      <c r="X48" s="284"/>
      <c r="Y48" s="336"/>
      <c r="Z48" s="334">
        <v>245</v>
      </c>
    </row>
    <row r="49" spans="1:26">
      <c r="A49" s="284"/>
      <c r="B49" s="314" t="s">
        <v>367</v>
      </c>
      <c r="C49" s="297"/>
      <c r="D49" s="333">
        <v>1743</v>
      </c>
      <c r="E49" s="814"/>
      <c r="F49" s="300"/>
      <c r="G49" s="308">
        <v>1343</v>
      </c>
      <c r="H49" s="313"/>
      <c r="I49" s="300"/>
      <c r="J49" s="308">
        <v>1517</v>
      </c>
      <c r="K49" s="313"/>
      <c r="L49" s="300"/>
      <c r="M49" s="333">
        <v>1734</v>
      </c>
      <c r="N49" s="314"/>
      <c r="O49" s="297"/>
      <c r="P49" s="333">
        <v>1700</v>
      </c>
      <c r="Q49" s="814"/>
      <c r="R49" s="300"/>
      <c r="S49" s="308">
        <v>1304</v>
      </c>
      <c r="T49" s="313"/>
      <c r="U49" s="314"/>
      <c r="V49" s="336"/>
      <c r="W49" s="334">
        <v>3086</v>
      </c>
      <c r="X49" s="284"/>
      <c r="Y49" s="336"/>
      <c r="Z49" s="334">
        <v>3004</v>
      </c>
    </row>
    <row r="50" spans="1:26">
      <c r="A50" s="284"/>
      <c r="B50" s="314" t="s">
        <v>368</v>
      </c>
      <c r="C50" s="297"/>
      <c r="D50" s="335">
        <v>516</v>
      </c>
      <c r="E50" s="814"/>
      <c r="F50" s="300"/>
      <c r="G50" s="312">
        <v>455</v>
      </c>
      <c r="H50" s="313"/>
      <c r="I50" s="300"/>
      <c r="J50" s="312">
        <v>466</v>
      </c>
      <c r="K50" s="313"/>
      <c r="L50" s="300"/>
      <c r="M50" s="335">
        <v>510</v>
      </c>
      <c r="N50" s="314"/>
      <c r="O50" s="297"/>
      <c r="P50" s="335">
        <v>500</v>
      </c>
      <c r="Q50" s="814"/>
      <c r="R50" s="300"/>
      <c r="S50" s="312">
        <v>431</v>
      </c>
      <c r="T50" s="313"/>
      <c r="U50" s="314"/>
      <c r="V50" s="336"/>
      <c r="W50" s="335">
        <v>971</v>
      </c>
      <c r="X50" s="284"/>
      <c r="Y50" s="336"/>
      <c r="Z50" s="335">
        <v>931</v>
      </c>
    </row>
    <row r="51" spans="1:26">
      <c r="A51" s="284"/>
      <c r="B51" s="314"/>
      <c r="C51" s="297"/>
      <c r="D51" s="333"/>
      <c r="E51" s="814"/>
      <c r="F51" s="300"/>
      <c r="G51" s="333"/>
      <c r="H51" s="313"/>
      <c r="I51" s="300"/>
      <c r="J51" s="333"/>
      <c r="K51" s="313"/>
      <c r="L51" s="300"/>
      <c r="M51" s="333"/>
      <c r="N51" s="314"/>
      <c r="O51" s="297"/>
      <c r="P51" s="333"/>
      <c r="Q51" s="814"/>
      <c r="R51" s="300"/>
      <c r="S51" s="333"/>
      <c r="T51" s="313"/>
      <c r="U51" s="314"/>
      <c r="V51" s="336"/>
      <c r="W51" s="333"/>
      <c r="X51" s="284"/>
      <c r="Y51" s="336"/>
      <c r="Z51" s="333"/>
    </row>
    <row r="52" spans="1:26" ht="13.8" thickBot="1">
      <c r="A52" s="284"/>
      <c r="B52" s="313"/>
      <c r="C52" s="307" t="s">
        <v>108</v>
      </c>
      <c r="D52" s="337">
        <v>6864</v>
      </c>
      <c r="E52" s="330"/>
      <c r="F52" s="309" t="s">
        <v>108</v>
      </c>
      <c r="G52" s="337">
        <v>6462</v>
      </c>
      <c r="H52" s="313"/>
      <c r="I52" s="309" t="s">
        <v>108</v>
      </c>
      <c r="J52" s="337">
        <v>6426</v>
      </c>
      <c r="K52" s="313"/>
      <c r="L52" s="309" t="s">
        <v>108</v>
      </c>
      <c r="M52" s="337">
        <v>6728</v>
      </c>
      <c r="N52" s="313"/>
      <c r="O52" s="307" t="s">
        <v>108</v>
      </c>
      <c r="P52" s="337">
        <v>6611</v>
      </c>
      <c r="Q52" s="330"/>
      <c r="R52" s="309" t="s">
        <v>108</v>
      </c>
      <c r="S52" s="337">
        <v>6216</v>
      </c>
      <c r="T52" s="313"/>
      <c r="U52" s="313"/>
      <c r="V52" s="309" t="s">
        <v>108</v>
      </c>
      <c r="W52" s="337">
        <v>13326</v>
      </c>
      <c r="X52" s="284"/>
      <c r="Y52" s="309" t="s">
        <v>108</v>
      </c>
      <c r="Z52" s="337">
        <v>12827</v>
      </c>
    </row>
    <row r="53" spans="1:26" ht="14.4" thickTop="1" thickBot="1">
      <c r="B53" s="340"/>
      <c r="C53" s="338"/>
      <c r="D53" s="339"/>
      <c r="E53" s="821"/>
      <c r="F53" s="313"/>
      <c r="G53" s="313"/>
      <c r="H53" s="313"/>
      <c r="I53" s="313"/>
      <c r="J53" s="313"/>
      <c r="K53" s="313"/>
      <c r="L53" s="313"/>
      <c r="M53" s="313"/>
      <c r="N53" s="340"/>
      <c r="O53" s="338"/>
      <c r="P53" s="339"/>
      <c r="Q53" s="821"/>
      <c r="R53" s="313"/>
      <c r="S53" s="313"/>
      <c r="T53" s="313"/>
      <c r="U53" s="340"/>
      <c r="V53" s="340"/>
      <c r="W53" s="284"/>
      <c r="Y53" s="340"/>
    </row>
    <row r="54" spans="1:26">
      <c r="B54" s="340"/>
      <c r="C54" s="313"/>
      <c r="D54" s="313"/>
      <c r="F54" s="313"/>
      <c r="G54" s="313"/>
      <c r="H54" s="340"/>
      <c r="I54" s="313"/>
      <c r="J54" s="313"/>
      <c r="K54" s="313"/>
      <c r="L54" s="313"/>
      <c r="M54" s="313"/>
      <c r="N54" s="313"/>
      <c r="O54" s="313"/>
      <c r="P54" s="313"/>
      <c r="R54" s="313"/>
      <c r="S54" s="313"/>
      <c r="T54" s="313"/>
      <c r="U54" s="313"/>
      <c r="V54" s="340"/>
      <c r="Y54" s="340"/>
    </row>
    <row r="55" spans="1:26" ht="80.25" customHeight="1">
      <c r="A55" s="889" t="s">
        <v>770</v>
      </c>
      <c r="B55" s="987" t="s">
        <v>142</v>
      </c>
      <c r="C55" s="987"/>
      <c r="D55" s="987"/>
      <c r="E55" s="987"/>
      <c r="F55" s="987"/>
      <c r="G55" s="987"/>
      <c r="H55" s="987"/>
      <c r="I55" s="987"/>
      <c r="J55" s="987"/>
      <c r="K55" s="987"/>
      <c r="L55" s="987"/>
      <c r="M55" s="987"/>
      <c r="N55" s="987"/>
      <c r="O55" s="987"/>
      <c r="P55" s="987"/>
      <c r="Q55" s="987"/>
      <c r="R55" s="987"/>
      <c r="S55" s="987"/>
      <c r="T55" s="987"/>
      <c r="U55" s="987"/>
      <c r="V55" s="987"/>
      <c r="W55" s="987"/>
      <c r="X55" s="987"/>
      <c r="Y55" s="987"/>
      <c r="Z55" s="987"/>
    </row>
    <row r="56" spans="1:26">
      <c r="B56" s="200"/>
      <c r="E56" s="192"/>
      <c r="H56" s="200"/>
      <c r="I56" s="340"/>
      <c r="J56" s="340"/>
      <c r="K56" s="340"/>
      <c r="L56" s="340"/>
      <c r="M56" s="313"/>
      <c r="N56" s="340"/>
      <c r="Q56" s="200"/>
      <c r="R56" s="340"/>
      <c r="S56" s="340"/>
      <c r="T56" s="340"/>
      <c r="U56" s="340"/>
    </row>
    <row r="57" spans="1:26">
      <c r="B57" s="200"/>
      <c r="E57" s="192"/>
      <c r="H57" s="200"/>
      <c r="I57" s="340"/>
      <c r="J57" s="340"/>
      <c r="K57" s="340"/>
      <c r="L57" s="340"/>
      <c r="M57" s="313"/>
      <c r="N57" s="340"/>
      <c r="Q57" s="200"/>
      <c r="R57" s="340"/>
      <c r="S57" s="340"/>
      <c r="T57" s="340"/>
      <c r="U57" s="340"/>
    </row>
    <row r="58" spans="1:26">
      <c r="I58" s="340"/>
      <c r="J58" s="340"/>
      <c r="K58" s="340"/>
      <c r="L58" s="340"/>
      <c r="M58" s="313"/>
      <c r="N58" s="340"/>
      <c r="R58" s="340"/>
      <c r="S58" s="340"/>
      <c r="T58" s="340"/>
      <c r="U58" s="340"/>
    </row>
    <row r="59" spans="1:26">
      <c r="I59" s="340"/>
      <c r="J59" s="340"/>
      <c r="K59" s="340"/>
      <c r="L59" s="340"/>
      <c r="M59" s="313"/>
      <c r="N59" s="340"/>
      <c r="R59" s="340"/>
      <c r="S59" s="340"/>
      <c r="T59" s="340"/>
      <c r="U59" s="340"/>
    </row>
    <row r="60" spans="1:26">
      <c r="I60" s="340"/>
      <c r="J60" s="340"/>
      <c r="K60" s="340"/>
      <c r="L60" s="340"/>
      <c r="M60" s="313"/>
      <c r="N60" s="340"/>
      <c r="R60" s="340"/>
      <c r="S60" s="340"/>
      <c r="T60" s="340"/>
      <c r="U60" s="340"/>
    </row>
    <row r="61" spans="1:26">
      <c r="I61" s="340"/>
      <c r="J61" s="340"/>
      <c r="K61" s="340"/>
      <c r="L61" s="340"/>
      <c r="M61" s="313"/>
      <c r="N61" s="340"/>
      <c r="R61" s="340"/>
      <c r="S61" s="340"/>
      <c r="T61" s="340"/>
      <c r="U61" s="340"/>
    </row>
    <row r="62" spans="1:26">
      <c r="I62" s="340"/>
      <c r="J62" s="340"/>
      <c r="K62" s="340"/>
      <c r="L62" s="340"/>
      <c r="M62" s="313"/>
      <c r="N62" s="340"/>
      <c r="R62" s="340"/>
      <c r="S62" s="340"/>
      <c r="T62" s="340"/>
      <c r="U62" s="340"/>
    </row>
    <row r="63" spans="1:26">
      <c r="I63" s="340"/>
      <c r="J63" s="340"/>
      <c r="K63" s="340"/>
      <c r="L63" s="340"/>
      <c r="M63" s="313"/>
      <c r="N63" s="340"/>
      <c r="R63" s="340"/>
      <c r="S63" s="340"/>
      <c r="T63" s="340"/>
      <c r="U63" s="340"/>
    </row>
    <row r="64" spans="1:26">
      <c r="I64" s="340"/>
      <c r="J64" s="340"/>
      <c r="K64" s="340"/>
      <c r="L64" s="340"/>
      <c r="M64" s="313"/>
      <c r="N64" s="340"/>
      <c r="R64" s="340"/>
      <c r="S64" s="340"/>
      <c r="T64" s="340"/>
      <c r="U64" s="340"/>
    </row>
    <row r="65" spans="9:21">
      <c r="I65" s="340"/>
      <c r="J65" s="340"/>
      <c r="K65" s="340"/>
      <c r="L65" s="340"/>
      <c r="M65" s="313"/>
      <c r="N65" s="340"/>
      <c r="R65" s="340"/>
      <c r="S65" s="340"/>
      <c r="T65" s="340"/>
      <c r="U65" s="340"/>
    </row>
    <row r="66" spans="9:21">
      <c r="I66" s="340"/>
      <c r="J66" s="340"/>
      <c r="K66" s="340"/>
      <c r="L66" s="340"/>
      <c r="M66" s="313"/>
      <c r="N66" s="340"/>
      <c r="R66" s="340"/>
      <c r="S66" s="340"/>
      <c r="T66" s="340"/>
      <c r="U66" s="340"/>
    </row>
    <row r="67" spans="9:21">
      <c r="I67" s="340"/>
      <c r="J67" s="340"/>
      <c r="K67" s="340"/>
      <c r="L67" s="340"/>
      <c r="M67" s="313"/>
      <c r="N67" s="340"/>
      <c r="R67" s="340"/>
      <c r="S67" s="340"/>
      <c r="T67" s="340"/>
      <c r="U67" s="340"/>
    </row>
    <row r="68" spans="9:21">
      <c r="I68" s="340"/>
      <c r="J68" s="340"/>
      <c r="K68" s="340"/>
      <c r="L68" s="340"/>
      <c r="M68" s="313"/>
      <c r="N68" s="340"/>
      <c r="R68" s="340"/>
      <c r="S68" s="340"/>
      <c r="T68" s="340"/>
      <c r="U68" s="340"/>
    </row>
    <row r="69" spans="9:21">
      <c r="I69" s="340"/>
      <c r="J69" s="340"/>
      <c r="K69" s="340"/>
      <c r="L69" s="340"/>
      <c r="M69" s="313"/>
      <c r="N69" s="340"/>
      <c r="R69" s="340"/>
      <c r="S69" s="340"/>
      <c r="T69" s="340"/>
      <c r="U69" s="340"/>
    </row>
    <row r="70" spans="9:21">
      <c r="I70" s="340"/>
      <c r="J70" s="340"/>
      <c r="K70" s="340"/>
      <c r="L70" s="340"/>
      <c r="M70" s="313"/>
      <c r="N70" s="340"/>
      <c r="R70" s="340"/>
      <c r="S70" s="340"/>
      <c r="T70" s="340"/>
      <c r="U70" s="340"/>
    </row>
    <row r="71" spans="9:21">
      <c r="I71" s="340"/>
      <c r="J71" s="340"/>
      <c r="K71" s="340"/>
      <c r="L71" s="340"/>
      <c r="M71" s="313"/>
      <c r="N71" s="340"/>
      <c r="R71" s="340"/>
      <c r="S71" s="340"/>
      <c r="T71" s="340"/>
      <c r="U71" s="340"/>
    </row>
    <row r="72" spans="9:21">
      <c r="I72" s="340"/>
      <c r="J72" s="340"/>
      <c r="K72" s="340"/>
      <c r="L72" s="340"/>
      <c r="M72" s="313"/>
      <c r="N72" s="340"/>
      <c r="R72" s="340"/>
      <c r="S72" s="340"/>
      <c r="T72" s="340"/>
      <c r="U72" s="340"/>
    </row>
    <row r="73" spans="9:21">
      <c r="I73" s="340"/>
      <c r="J73" s="340"/>
      <c r="K73" s="340"/>
      <c r="L73" s="340"/>
      <c r="M73" s="313"/>
      <c r="N73" s="340"/>
      <c r="R73" s="340"/>
      <c r="S73" s="340"/>
      <c r="T73" s="340"/>
      <c r="U73" s="340"/>
    </row>
    <row r="74" spans="9:21">
      <c r="I74" s="340"/>
      <c r="J74" s="340"/>
      <c r="K74" s="340"/>
      <c r="L74" s="340"/>
      <c r="M74" s="313"/>
      <c r="N74" s="340"/>
      <c r="R74" s="340"/>
      <c r="S74" s="340"/>
      <c r="T74" s="340"/>
      <c r="U74" s="340"/>
    </row>
    <row r="75" spans="9:21">
      <c r="I75" s="340"/>
      <c r="J75" s="340"/>
      <c r="K75" s="340"/>
      <c r="L75" s="340"/>
      <c r="M75" s="313"/>
      <c r="N75" s="340"/>
      <c r="R75" s="340"/>
      <c r="S75" s="340"/>
      <c r="T75" s="340"/>
      <c r="U75" s="340"/>
    </row>
    <row r="76" spans="9:21">
      <c r="I76" s="340"/>
      <c r="J76" s="340"/>
      <c r="K76" s="340"/>
      <c r="L76" s="340"/>
      <c r="M76" s="313"/>
      <c r="N76" s="340"/>
      <c r="R76" s="340"/>
      <c r="S76" s="340"/>
      <c r="T76" s="340"/>
      <c r="U76" s="340"/>
    </row>
    <row r="77" spans="9:21">
      <c r="I77" s="340"/>
      <c r="J77" s="340"/>
      <c r="K77" s="340"/>
      <c r="L77" s="340"/>
      <c r="M77" s="313"/>
      <c r="N77" s="340"/>
      <c r="R77" s="340"/>
      <c r="S77" s="340"/>
      <c r="T77" s="340"/>
      <c r="U77" s="340"/>
    </row>
    <row r="78" spans="9:21">
      <c r="I78" s="340"/>
      <c r="J78" s="340"/>
      <c r="K78" s="340"/>
      <c r="L78" s="340"/>
      <c r="M78" s="313"/>
      <c r="N78" s="340"/>
      <c r="R78" s="340"/>
      <c r="S78" s="340"/>
      <c r="T78" s="340"/>
      <c r="U78" s="340"/>
    </row>
    <row r="79" spans="9:21">
      <c r="I79" s="340"/>
      <c r="J79" s="340"/>
      <c r="K79" s="340"/>
      <c r="L79" s="340"/>
      <c r="M79" s="313"/>
      <c r="N79" s="340"/>
      <c r="R79" s="340"/>
      <c r="S79" s="340"/>
      <c r="T79" s="340"/>
      <c r="U79" s="340"/>
    </row>
    <row r="80" spans="9:21">
      <c r="I80" s="340"/>
      <c r="J80" s="340"/>
      <c r="L80" s="340"/>
      <c r="M80" s="313"/>
      <c r="R80" s="340"/>
      <c r="S80" s="340"/>
    </row>
    <row r="81" spans="9:19">
      <c r="I81" s="340"/>
      <c r="J81" s="340"/>
      <c r="L81" s="340"/>
      <c r="M81" s="313"/>
      <c r="R81" s="340"/>
      <c r="S81" s="340"/>
    </row>
    <row r="82" spans="9:19">
      <c r="I82" s="340"/>
      <c r="J82" s="340"/>
      <c r="L82" s="340"/>
      <c r="M82" s="313"/>
      <c r="R82" s="340"/>
      <c r="S82" s="340"/>
    </row>
    <row r="83" spans="9:19">
      <c r="I83" s="340"/>
      <c r="J83" s="340"/>
      <c r="L83" s="340"/>
      <c r="M83" s="313"/>
      <c r="R83" s="340"/>
      <c r="S83" s="340"/>
    </row>
    <row r="84" spans="9:19">
      <c r="I84" s="340"/>
      <c r="J84" s="340"/>
      <c r="L84" s="340"/>
      <c r="M84" s="313"/>
      <c r="R84" s="340"/>
      <c r="S84" s="340"/>
    </row>
    <row r="85" spans="9:19">
      <c r="I85" s="340"/>
      <c r="J85" s="340"/>
      <c r="L85" s="340"/>
      <c r="M85" s="313"/>
      <c r="R85" s="340"/>
      <c r="S85" s="340"/>
    </row>
    <row r="86" spans="9:19">
      <c r="I86" s="340"/>
      <c r="J86" s="340"/>
      <c r="L86" s="340"/>
      <c r="M86" s="313"/>
      <c r="R86" s="340"/>
      <c r="S86" s="340"/>
    </row>
    <row r="87" spans="9:19">
      <c r="I87" s="340"/>
      <c r="J87" s="340"/>
      <c r="L87" s="340"/>
      <c r="M87" s="313"/>
      <c r="R87" s="340"/>
      <c r="S87" s="340"/>
    </row>
    <row r="88" spans="9:19">
      <c r="I88" s="340"/>
      <c r="J88" s="340"/>
      <c r="L88" s="340"/>
      <c r="M88" s="313"/>
      <c r="R88" s="340"/>
      <c r="S88" s="340"/>
    </row>
    <row r="89" spans="9:19">
      <c r="I89" s="340"/>
      <c r="J89" s="340"/>
      <c r="L89" s="340"/>
      <c r="M89" s="313"/>
      <c r="R89" s="340"/>
      <c r="S89" s="340"/>
    </row>
    <row r="90" spans="9:19">
      <c r="I90" s="340"/>
      <c r="J90" s="340"/>
      <c r="L90" s="340"/>
      <c r="M90" s="313"/>
      <c r="R90" s="340"/>
      <c r="S90" s="340"/>
    </row>
    <row r="91" spans="9:19">
      <c r="I91" s="340"/>
      <c r="J91" s="340"/>
      <c r="L91" s="340"/>
      <c r="M91" s="313"/>
      <c r="R91" s="340"/>
      <c r="S91" s="340"/>
    </row>
    <row r="92" spans="9:19">
      <c r="I92" s="340"/>
      <c r="J92" s="340"/>
      <c r="L92" s="340"/>
      <c r="M92" s="313"/>
      <c r="R92" s="340"/>
      <c r="S92" s="340"/>
    </row>
    <row r="93" spans="9:19">
      <c r="I93" s="340"/>
      <c r="J93" s="340"/>
      <c r="L93" s="340"/>
      <c r="M93" s="313"/>
      <c r="R93" s="340"/>
      <c r="S93" s="340"/>
    </row>
    <row r="94" spans="9:19">
      <c r="I94" s="340"/>
      <c r="J94" s="340"/>
      <c r="L94" s="340"/>
      <c r="M94" s="313"/>
      <c r="R94" s="340"/>
      <c r="S94" s="340"/>
    </row>
    <row r="95" spans="9:19">
      <c r="I95" s="340"/>
      <c r="J95" s="340"/>
      <c r="L95" s="340"/>
      <c r="M95" s="313"/>
      <c r="R95" s="340"/>
      <c r="S95" s="340"/>
    </row>
    <row r="96" spans="9:19">
      <c r="I96" s="340"/>
      <c r="J96" s="340"/>
      <c r="L96" s="340"/>
      <c r="M96" s="313"/>
      <c r="R96" s="340"/>
      <c r="S96" s="340"/>
    </row>
    <row r="97" spans="9:19">
      <c r="I97" s="340"/>
      <c r="J97" s="340"/>
      <c r="L97" s="340"/>
      <c r="M97" s="313"/>
      <c r="R97" s="340"/>
      <c r="S97" s="340"/>
    </row>
    <row r="98" spans="9:19">
      <c r="I98" s="340"/>
      <c r="J98" s="340"/>
      <c r="L98" s="340"/>
      <c r="M98" s="313"/>
      <c r="R98" s="340"/>
      <c r="S98" s="340"/>
    </row>
    <row r="99" spans="9:19">
      <c r="I99" s="340"/>
      <c r="J99" s="340"/>
      <c r="L99" s="340"/>
      <c r="M99" s="313"/>
      <c r="R99" s="340"/>
      <c r="S99" s="340"/>
    </row>
    <row r="100" spans="9:19">
      <c r="I100" s="340"/>
      <c r="J100" s="340"/>
      <c r="L100" s="340"/>
      <c r="M100" s="313"/>
      <c r="R100" s="340"/>
      <c r="S100" s="340"/>
    </row>
    <row r="101" spans="9:19">
      <c r="I101" s="340"/>
      <c r="J101" s="340"/>
      <c r="L101" s="340"/>
      <c r="M101" s="313"/>
      <c r="R101" s="340"/>
      <c r="S101" s="340"/>
    </row>
    <row r="102" spans="9:19">
      <c r="I102" s="340"/>
      <c r="J102" s="340"/>
      <c r="L102" s="340"/>
      <c r="M102" s="313"/>
      <c r="R102" s="340"/>
      <c r="S102" s="340"/>
    </row>
    <row r="103" spans="9:19">
      <c r="I103" s="340"/>
      <c r="J103" s="340"/>
      <c r="L103" s="340"/>
      <c r="M103" s="313"/>
      <c r="R103" s="340"/>
      <c r="S103" s="340"/>
    </row>
    <row r="104" spans="9:19">
      <c r="I104" s="340"/>
      <c r="J104" s="340"/>
      <c r="L104" s="340"/>
      <c r="M104" s="313"/>
      <c r="R104" s="340"/>
      <c r="S104" s="340"/>
    </row>
    <row r="105" spans="9:19">
      <c r="I105" s="340"/>
      <c r="J105" s="340"/>
      <c r="L105" s="340"/>
      <c r="M105" s="313"/>
      <c r="R105" s="340"/>
      <c r="S105" s="340"/>
    </row>
    <row r="106" spans="9:19">
      <c r="I106" s="340"/>
      <c r="J106" s="340"/>
      <c r="L106" s="340"/>
      <c r="M106" s="313"/>
      <c r="R106" s="340"/>
      <c r="S106" s="340"/>
    </row>
    <row r="107" spans="9:19">
      <c r="I107" s="340"/>
      <c r="J107" s="340"/>
      <c r="L107" s="340"/>
      <c r="M107" s="313"/>
      <c r="R107" s="340"/>
      <c r="S107" s="340"/>
    </row>
    <row r="108" spans="9:19">
      <c r="I108" s="340"/>
      <c r="J108" s="340"/>
      <c r="L108" s="340"/>
      <c r="M108" s="313"/>
      <c r="R108" s="340"/>
      <c r="S108" s="340"/>
    </row>
    <row r="109" spans="9:19">
      <c r="I109" s="340"/>
      <c r="J109" s="340"/>
      <c r="L109" s="340"/>
      <c r="M109" s="313"/>
      <c r="R109" s="340"/>
      <c r="S109" s="340"/>
    </row>
    <row r="110" spans="9:19">
      <c r="I110" s="340"/>
      <c r="J110" s="340"/>
      <c r="L110" s="340"/>
      <c r="M110" s="313"/>
      <c r="R110" s="340"/>
      <c r="S110" s="340"/>
    </row>
    <row r="111" spans="9:19">
      <c r="I111" s="340"/>
      <c r="J111" s="340"/>
      <c r="L111" s="340"/>
      <c r="M111" s="313"/>
      <c r="R111" s="340"/>
      <c r="S111" s="340"/>
    </row>
    <row r="112" spans="9:19">
      <c r="I112" s="340"/>
      <c r="J112" s="340"/>
      <c r="L112" s="340"/>
      <c r="M112" s="313"/>
      <c r="R112" s="340"/>
      <c r="S112" s="340"/>
    </row>
    <row r="113" spans="9:19">
      <c r="I113" s="340"/>
      <c r="J113" s="340"/>
      <c r="L113" s="340"/>
      <c r="M113" s="313"/>
      <c r="R113" s="340"/>
      <c r="S113" s="340"/>
    </row>
    <row r="114" spans="9:19">
      <c r="I114" s="340"/>
      <c r="J114" s="340"/>
      <c r="L114" s="340"/>
      <c r="M114" s="313"/>
      <c r="R114" s="340"/>
      <c r="S114" s="340"/>
    </row>
    <row r="115" spans="9:19">
      <c r="I115" s="340"/>
      <c r="J115" s="340"/>
      <c r="L115" s="340"/>
      <c r="M115" s="313"/>
      <c r="R115" s="340"/>
      <c r="S115" s="340"/>
    </row>
    <row r="116" spans="9:19">
      <c r="I116" s="340"/>
      <c r="J116" s="340"/>
      <c r="L116" s="340"/>
      <c r="M116" s="313"/>
      <c r="R116" s="340"/>
      <c r="S116" s="340"/>
    </row>
    <row r="117" spans="9:19">
      <c r="I117" s="340"/>
      <c r="J117" s="340"/>
      <c r="L117" s="340"/>
      <c r="M117" s="313"/>
      <c r="R117" s="340"/>
      <c r="S117" s="340"/>
    </row>
    <row r="118" spans="9:19">
      <c r="I118" s="340"/>
      <c r="J118" s="340"/>
      <c r="L118" s="340"/>
      <c r="M118" s="313"/>
      <c r="R118" s="340"/>
      <c r="S118" s="340"/>
    </row>
    <row r="119" spans="9:19">
      <c r="I119" s="340"/>
      <c r="J119" s="340"/>
      <c r="L119" s="340"/>
      <c r="M119" s="313"/>
      <c r="R119" s="340"/>
      <c r="S119" s="340"/>
    </row>
    <row r="120" spans="9:19">
      <c r="I120" s="340"/>
      <c r="J120" s="340"/>
      <c r="L120" s="340"/>
      <c r="M120" s="313"/>
      <c r="R120" s="340"/>
      <c r="S120" s="340"/>
    </row>
    <row r="121" spans="9:19">
      <c r="I121" s="340"/>
      <c r="J121" s="340"/>
      <c r="L121" s="340"/>
      <c r="M121" s="313"/>
      <c r="R121" s="340"/>
      <c r="S121" s="340"/>
    </row>
    <row r="122" spans="9:19">
      <c r="I122" s="340"/>
      <c r="J122" s="340"/>
      <c r="L122" s="340"/>
      <c r="M122" s="313"/>
      <c r="R122" s="340"/>
      <c r="S122" s="340"/>
    </row>
    <row r="123" spans="9:19">
      <c r="I123" s="340"/>
      <c r="J123" s="340"/>
      <c r="L123" s="340"/>
      <c r="M123" s="313"/>
      <c r="R123" s="340"/>
      <c r="S123" s="340"/>
    </row>
    <row r="124" spans="9:19">
      <c r="I124" s="340"/>
      <c r="J124" s="340"/>
      <c r="L124" s="340"/>
      <c r="M124" s="313"/>
      <c r="R124" s="340"/>
      <c r="S124" s="340"/>
    </row>
    <row r="125" spans="9:19">
      <c r="I125" s="340"/>
      <c r="J125" s="340"/>
      <c r="L125" s="340"/>
      <c r="M125" s="313"/>
      <c r="R125" s="340"/>
      <c r="S125" s="340"/>
    </row>
    <row r="126" spans="9:19">
      <c r="I126" s="340"/>
      <c r="J126" s="340"/>
      <c r="L126" s="340"/>
      <c r="M126" s="313"/>
      <c r="R126" s="340"/>
      <c r="S126" s="340"/>
    </row>
    <row r="127" spans="9:19">
      <c r="I127" s="340"/>
      <c r="J127" s="340"/>
      <c r="L127" s="340"/>
      <c r="M127" s="313"/>
      <c r="R127" s="340"/>
      <c r="S127" s="340"/>
    </row>
    <row r="128" spans="9:19">
      <c r="I128" s="340"/>
      <c r="J128" s="340"/>
      <c r="L128" s="340"/>
      <c r="M128" s="313"/>
      <c r="R128" s="340"/>
      <c r="S128" s="340"/>
    </row>
    <row r="129" spans="9:19">
      <c r="I129" s="340"/>
      <c r="J129" s="340"/>
      <c r="L129" s="340"/>
      <c r="M129" s="313"/>
      <c r="R129" s="340"/>
      <c r="S129" s="340"/>
    </row>
    <row r="130" spans="9:19">
      <c r="I130" s="340"/>
      <c r="J130" s="340"/>
      <c r="L130" s="340"/>
      <c r="M130" s="313"/>
      <c r="R130" s="340"/>
      <c r="S130" s="340"/>
    </row>
    <row r="131" spans="9:19">
      <c r="I131" s="340"/>
      <c r="J131" s="340"/>
      <c r="L131" s="340"/>
      <c r="M131" s="313"/>
      <c r="R131" s="340"/>
      <c r="S131" s="340"/>
    </row>
    <row r="132" spans="9:19">
      <c r="I132" s="340"/>
      <c r="J132" s="340"/>
      <c r="L132" s="340"/>
      <c r="M132" s="313"/>
      <c r="R132" s="340"/>
      <c r="S132" s="340"/>
    </row>
    <row r="133" spans="9:19">
      <c r="I133" s="340"/>
      <c r="J133" s="340"/>
      <c r="L133" s="340"/>
      <c r="M133" s="313"/>
      <c r="R133" s="340"/>
      <c r="S133" s="340"/>
    </row>
    <row r="134" spans="9:19">
      <c r="I134" s="340"/>
      <c r="J134" s="340"/>
      <c r="L134" s="340"/>
      <c r="M134" s="313"/>
      <c r="R134" s="340"/>
      <c r="S134" s="340"/>
    </row>
    <row r="135" spans="9:19">
      <c r="I135" s="340"/>
      <c r="J135" s="340"/>
      <c r="L135" s="340"/>
      <c r="M135" s="313"/>
      <c r="R135" s="340"/>
      <c r="S135" s="340"/>
    </row>
    <row r="136" spans="9:19">
      <c r="I136" s="340"/>
      <c r="J136" s="340"/>
      <c r="L136" s="340"/>
      <c r="M136" s="313"/>
      <c r="R136" s="340"/>
      <c r="S136" s="340"/>
    </row>
    <row r="137" spans="9:19">
      <c r="I137" s="340"/>
      <c r="J137" s="340"/>
      <c r="L137" s="340"/>
      <c r="M137" s="313"/>
      <c r="R137" s="340"/>
      <c r="S137" s="340"/>
    </row>
    <row r="138" spans="9:19">
      <c r="I138" s="340"/>
      <c r="J138" s="340"/>
      <c r="L138" s="340"/>
      <c r="M138" s="313"/>
      <c r="R138" s="340"/>
      <c r="S138" s="340"/>
    </row>
    <row r="139" spans="9:19">
      <c r="I139" s="340"/>
      <c r="J139" s="340"/>
      <c r="L139" s="340"/>
      <c r="M139" s="313"/>
      <c r="R139" s="340"/>
      <c r="S139" s="340"/>
    </row>
    <row r="140" spans="9:19">
      <c r="I140" s="340"/>
      <c r="J140" s="340"/>
      <c r="L140" s="340"/>
      <c r="M140" s="313"/>
      <c r="R140" s="340"/>
      <c r="S140" s="340"/>
    </row>
    <row r="141" spans="9:19">
      <c r="I141" s="340"/>
      <c r="J141" s="340"/>
      <c r="L141" s="340"/>
      <c r="M141" s="313"/>
      <c r="R141" s="340"/>
      <c r="S141" s="340"/>
    </row>
    <row r="142" spans="9:19">
      <c r="I142" s="340"/>
      <c r="J142" s="340"/>
      <c r="L142" s="340"/>
      <c r="M142" s="313"/>
      <c r="R142" s="340"/>
      <c r="S142" s="340"/>
    </row>
    <row r="143" spans="9:19">
      <c r="I143" s="340"/>
      <c r="J143" s="340"/>
      <c r="L143" s="340"/>
      <c r="M143" s="313"/>
      <c r="R143" s="340"/>
      <c r="S143" s="340"/>
    </row>
    <row r="144" spans="9:19">
      <c r="I144" s="340"/>
      <c r="J144" s="340"/>
      <c r="L144" s="340"/>
      <c r="M144" s="313"/>
      <c r="R144" s="340"/>
      <c r="S144" s="340"/>
    </row>
    <row r="145" spans="9:19">
      <c r="I145" s="340"/>
      <c r="J145" s="340"/>
      <c r="L145" s="340"/>
      <c r="M145" s="313"/>
      <c r="R145" s="340"/>
      <c r="S145" s="340"/>
    </row>
    <row r="146" spans="9:19">
      <c r="I146" s="340"/>
      <c r="J146" s="340"/>
      <c r="L146" s="340"/>
      <c r="M146" s="313"/>
      <c r="R146" s="340"/>
      <c r="S146" s="340"/>
    </row>
    <row r="147" spans="9:19">
      <c r="I147" s="340"/>
      <c r="J147" s="340"/>
      <c r="L147" s="340"/>
      <c r="M147" s="313"/>
      <c r="R147" s="340"/>
      <c r="S147" s="340"/>
    </row>
    <row r="148" spans="9:19">
      <c r="I148" s="340"/>
      <c r="J148" s="340"/>
      <c r="L148" s="340"/>
      <c r="M148" s="313"/>
      <c r="R148" s="340"/>
      <c r="S148" s="340"/>
    </row>
    <row r="149" spans="9:19">
      <c r="I149" s="340"/>
      <c r="J149" s="340"/>
      <c r="L149" s="340"/>
      <c r="M149" s="313"/>
      <c r="R149" s="340"/>
      <c r="S149" s="340"/>
    </row>
    <row r="150" spans="9:19">
      <c r="I150" s="340"/>
      <c r="J150" s="340"/>
      <c r="L150" s="340"/>
      <c r="M150" s="313"/>
      <c r="R150" s="340"/>
      <c r="S150" s="340"/>
    </row>
    <row r="151" spans="9:19">
      <c r="I151" s="340"/>
      <c r="J151" s="340"/>
      <c r="L151" s="340"/>
      <c r="M151" s="313"/>
      <c r="R151" s="340"/>
      <c r="S151" s="340"/>
    </row>
    <row r="152" spans="9:19">
      <c r="I152" s="340"/>
      <c r="J152" s="340"/>
      <c r="L152" s="340"/>
      <c r="M152" s="313"/>
      <c r="R152" s="340"/>
      <c r="S152" s="340"/>
    </row>
    <row r="153" spans="9:19">
      <c r="I153" s="340"/>
      <c r="J153" s="340"/>
      <c r="L153" s="340"/>
      <c r="M153" s="313"/>
      <c r="R153" s="340"/>
      <c r="S153" s="340"/>
    </row>
    <row r="154" spans="9:19">
      <c r="I154" s="340"/>
      <c r="J154" s="340"/>
      <c r="L154" s="340"/>
      <c r="M154" s="313"/>
      <c r="R154" s="340"/>
      <c r="S154" s="340"/>
    </row>
    <row r="155" spans="9:19">
      <c r="I155" s="340"/>
      <c r="J155" s="340"/>
      <c r="L155" s="340"/>
      <c r="M155" s="313"/>
      <c r="R155" s="340"/>
      <c r="S155" s="340"/>
    </row>
    <row r="156" spans="9:19">
      <c r="I156" s="340"/>
      <c r="J156" s="340"/>
      <c r="L156" s="340"/>
      <c r="M156" s="313"/>
      <c r="R156" s="340"/>
      <c r="S156" s="340"/>
    </row>
    <row r="157" spans="9:19">
      <c r="I157" s="340"/>
      <c r="J157" s="340"/>
      <c r="L157" s="340"/>
      <c r="M157" s="313"/>
      <c r="R157" s="340"/>
      <c r="S157" s="340"/>
    </row>
    <row r="158" spans="9:19">
      <c r="I158" s="340"/>
      <c r="J158" s="340"/>
      <c r="L158" s="340"/>
      <c r="M158" s="313"/>
      <c r="R158" s="340"/>
      <c r="S158" s="340"/>
    </row>
    <row r="159" spans="9:19">
      <c r="I159" s="340"/>
      <c r="J159" s="340"/>
      <c r="L159" s="340"/>
      <c r="M159" s="313"/>
      <c r="R159" s="340"/>
      <c r="S159" s="340"/>
    </row>
    <row r="160" spans="9:19">
      <c r="I160" s="340"/>
      <c r="J160" s="340"/>
      <c r="L160" s="340"/>
      <c r="M160" s="313"/>
      <c r="R160" s="340"/>
      <c r="S160" s="340"/>
    </row>
    <row r="161" spans="9:19">
      <c r="I161" s="340"/>
      <c r="J161" s="340"/>
      <c r="L161" s="340"/>
      <c r="M161" s="313"/>
      <c r="R161" s="340"/>
      <c r="S161" s="340"/>
    </row>
    <row r="162" spans="9:19">
      <c r="I162" s="340"/>
      <c r="J162" s="340"/>
      <c r="L162" s="340"/>
      <c r="M162" s="313"/>
      <c r="R162" s="340"/>
      <c r="S162" s="340"/>
    </row>
    <row r="163" spans="9:19">
      <c r="I163" s="340"/>
      <c r="J163" s="340"/>
      <c r="L163" s="340"/>
      <c r="M163" s="313"/>
      <c r="R163" s="340"/>
      <c r="S163" s="340"/>
    </row>
    <row r="164" spans="9:19">
      <c r="I164" s="340"/>
      <c r="J164" s="340"/>
      <c r="L164" s="340"/>
      <c r="M164" s="313"/>
      <c r="R164" s="340"/>
      <c r="S164" s="340"/>
    </row>
    <row r="165" spans="9:19">
      <c r="I165" s="340"/>
      <c r="J165" s="340"/>
      <c r="L165" s="340"/>
      <c r="M165" s="313"/>
      <c r="R165" s="340"/>
      <c r="S165" s="340"/>
    </row>
    <row r="166" spans="9:19">
      <c r="I166" s="340"/>
      <c r="J166" s="340"/>
      <c r="L166" s="340"/>
      <c r="M166" s="313"/>
      <c r="R166" s="340"/>
      <c r="S166" s="340"/>
    </row>
    <row r="167" spans="9:19">
      <c r="I167" s="340"/>
      <c r="J167" s="340"/>
      <c r="L167" s="340"/>
      <c r="M167" s="313"/>
      <c r="R167" s="340"/>
      <c r="S167" s="340"/>
    </row>
    <row r="168" spans="9:19">
      <c r="I168" s="340"/>
      <c r="J168" s="340"/>
      <c r="L168" s="340"/>
      <c r="M168" s="313"/>
      <c r="R168" s="340"/>
      <c r="S168" s="340"/>
    </row>
    <row r="169" spans="9:19">
      <c r="I169" s="340"/>
      <c r="J169" s="340"/>
      <c r="L169" s="340"/>
      <c r="M169" s="313"/>
      <c r="R169" s="340"/>
      <c r="S169" s="340"/>
    </row>
    <row r="170" spans="9:19">
      <c r="I170" s="340"/>
      <c r="J170" s="340"/>
      <c r="L170" s="340"/>
      <c r="M170" s="313"/>
      <c r="R170" s="340"/>
      <c r="S170" s="340"/>
    </row>
    <row r="171" spans="9:19">
      <c r="I171" s="340"/>
      <c r="J171" s="340"/>
      <c r="L171" s="340"/>
      <c r="M171" s="313"/>
      <c r="R171" s="340"/>
      <c r="S171" s="340"/>
    </row>
    <row r="172" spans="9:19">
      <c r="I172" s="340"/>
      <c r="J172" s="340"/>
      <c r="L172" s="340"/>
      <c r="M172" s="313"/>
      <c r="R172" s="340"/>
      <c r="S172" s="340"/>
    </row>
    <row r="173" spans="9:19">
      <c r="I173" s="340"/>
      <c r="J173" s="340"/>
      <c r="L173" s="340"/>
      <c r="M173" s="313"/>
      <c r="R173" s="340"/>
      <c r="S173" s="340"/>
    </row>
    <row r="174" spans="9:19">
      <c r="I174" s="340"/>
      <c r="J174" s="340"/>
      <c r="L174" s="340"/>
      <c r="M174" s="313"/>
      <c r="R174" s="340"/>
      <c r="S174" s="340"/>
    </row>
    <row r="175" spans="9:19">
      <c r="I175" s="340"/>
      <c r="J175" s="340"/>
      <c r="L175" s="340"/>
      <c r="M175" s="313"/>
      <c r="R175" s="340"/>
      <c r="S175" s="340"/>
    </row>
    <row r="176" spans="9:19">
      <c r="I176" s="340"/>
      <c r="J176" s="340"/>
      <c r="L176" s="340"/>
      <c r="M176" s="313"/>
      <c r="R176" s="340"/>
      <c r="S176" s="340"/>
    </row>
    <row r="177" spans="9:19">
      <c r="I177" s="340"/>
      <c r="J177" s="340"/>
      <c r="L177" s="340"/>
      <c r="M177" s="313"/>
      <c r="R177" s="340"/>
      <c r="S177" s="340"/>
    </row>
    <row r="178" spans="9:19">
      <c r="I178" s="340"/>
      <c r="J178" s="340"/>
      <c r="L178" s="340"/>
      <c r="M178" s="313"/>
      <c r="R178" s="340"/>
      <c r="S178" s="340"/>
    </row>
    <row r="179" spans="9:19">
      <c r="I179" s="340"/>
      <c r="J179" s="340"/>
      <c r="L179" s="340"/>
      <c r="M179" s="313"/>
      <c r="R179" s="340"/>
      <c r="S179" s="340"/>
    </row>
    <row r="180" spans="9:19">
      <c r="I180" s="340"/>
      <c r="J180" s="340"/>
      <c r="L180" s="340"/>
      <c r="M180" s="313"/>
      <c r="R180" s="340"/>
      <c r="S180" s="340"/>
    </row>
    <row r="181" spans="9:19">
      <c r="I181" s="340"/>
      <c r="J181" s="340"/>
      <c r="L181" s="340"/>
      <c r="M181" s="313"/>
      <c r="R181" s="340"/>
      <c r="S181" s="340"/>
    </row>
    <row r="182" spans="9:19">
      <c r="I182" s="340"/>
      <c r="J182" s="340"/>
      <c r="L182" s="340"/>
      <c r="M182" s="313"/>
      <c r="R182" s="340"/>
      <c r="S182" s="340"/>
    </row>
    <row r="183" spans="9:19">
      <c r="I183" s="340"/>
      <c r="J183" s="340"/>
      <c r="L183" s="340"/>
      <c r="M183" s="313"/>
      <c r="R183" s="340"/>
      <c r="S183" s="340"/>
    </row>
    <row r="184" spans="9:19">
      <c r="I184" s="340"/>
      <c r="J184" s="340"/>
      <c r="L184" s="340"/>
      <c r="M184" s="313"/>
      <c r="R184" s="340"/>
      <c r="S184" s="340"/>
    </row>
    <row r="185" spans="9:19">
      <c r="I185" s="340"/>
      <c r="J185" s="340"/>
      <c r="L185" s="340"/>
      <c r="M185" s="313"/>
      <c r="R185" s="340"/>
      <c r="S185" s="340"/>
    </row>
    <row r="186" spans="9:19">
      <c r="I186" s="340"/>
      <c r="J186" s="340"/>
      <c r="L186" s="340"/>
      <c r="M186" s="313"/>
      <c r="R186" s="340"/>
      <c r="S186" s="340"/>
    </row>
    <row r="187" spans="9:19">
      <c r="I187" s="340"/>
      <c r="J187" s="340"/>
      <c r="L187" s="340"/>
      <c r="M187" s="313"/>
      <c r="R187" s="340"/>
      <c r="S187" s="340"/>
    </row>
    <row r="188" spans="9:19">
      <c r="I188" s="340"/>
      <c r="J188" s="340"/>
      <c r="L188" s="340"/>
      <c r="M188" s="313"/>
      <c r="R188" s="340"/>
      <c r="S188" s="340"/>
    </row>
    <row r="189" spans="9:19">
      <c r="I189" s="340"/>
      <c r="J189" s="340"/>
      <c r="L189" s="340"/>
      <c r="M189" s="313"/>
      <c r="R189" s="340"/>
      <c r="S189" s="340"/>
    </row>
    <row r="190" spans="9:19">
      <c r="I190" s="340"/>
      <c r="J190" s="340"/>
      <c r="L190" s="340"/>
      <c r="M190" s="313"/>
      <c r="R190" s="340"/>
      <c r="S190" s="340"/>
    </row>
    <row r="191" spans="9:19">
      <c r="I191" s="340"/>
      <c r="J191" s="340"/>
      <c r="L191" s="340"/>
      <c r="M191" s="313"/>
      <c r="R191" s="340"/>
      <c r="S191" s="340"/>
    </row>
    <row r="192" spans="9:19">
      <c r="I192" s="340"/>
      <c r="J192" s="340"/>
      <c r="L192" s="340"/>
      <c r="M192" s="313"/>
      <c r="R192" s="340"/>
      <c r="S192" s="340"/>
    </row>
    <row r="193" spans="9:19">
      <c r="I193" s="340"/>
      <c r="J193" s="340"/>
      <c r="L193" s="340"/>
      <c r="M193" s="313"/>
      <c r="R193" s="340"/>
      <c r="S193" s="340"/>
    </row>
    <row r="194" spans="9:19">
      <c r="I194" s="340"/>
      <c r="J194" s="340"/>
      <c r="L194" s="340"/>
      <c r="M194" s="313"/>
      <c r="R194" s="340"/>
      <c r="S194" s="340"/>
    </row>
    <row r="195" spans="9:19">
      <c r="I195" s="340"/>
      <c r="J195" s="340"/>
      <c r="L195" s="340"/>
      <c r="M195" s="313"/>
      <c r="R195" s="340"/>
      <c r="S195" s="340"/>
    </row>
    <row r="196" spans="9:19">
      <c r="I196" s="340"/>
      <c r="J196" s="340"/>
      <c r="L196" s="340"/>
      <c r="M196" s="313"/>
      <c r="R196" s="340"/>
      <c r="S196" s="340"/>
    </row>
    <row r="197" spans="9:19">
      <c r="I197" s="340"/>
      <c r="J197" s="340"/>
      <c r="L197" s="340"/>
      <c r="M197" s="313"/>
      <c r="R197" s="340"/>
      <c r="S197" s="340"/>
    </row>
    <row r="198" spans="9:19">
      <c r="I198" s="340"/>
      <c r="J198" s="340"/>
      <c r="L198" s="340"/>
      <c r="M198" s="313"/>
      <c r="R198" s="340"/>
      <c r="S198" s="340"/>
    </row>
    <row r="199" spans="9:19">
      <c r="I199" s="340"/>
      <c r="J199" s="340"/>
      <c r="L199" s="340"/>
      <c r="M199" s="313"/>
      <c r="R199" s="340"/>
      <c r="S199" s="340"/>
    </row>
    <row r="200" spans="9:19">
      <c r="I200" s="340"/>
      <c r="J200" s="340"/>
      <c r="L200" s="340"/>
      <c r="M200" s="313"/>
      <c r="R200" s="340"/>
      <c r="S200" s="340"/>
    </row>
    <row r="201" spans="9:19">
      <c r="I201" s="340"/>
      <c r="J201" s="340"/>
      <c r="L201" s="340"/>
      <c r="M201" s="313"/>
      <c r="R201" s="340"/>
      <c r="S201" s="340"/>
    </row>
    <row r="202" spans="9:19">
      <c r="I202" s="340"/>
      <c r="J202" s="340"/>
      <c r="L202" s="340"/>
      <c r="M202" s="313"/>
      <c r="R202" s="340"/>
      <c r="S202" s="340"/>
    </row>
    <row r="203" spans="9:19">
      <c r="I203" s="340"/>
      <c r="J203" s="340"/>
      <c r="L203" s="340"/>
      <c r="M203" s="313"/>
      <c r="R203" s="340"/>
      <c r="S203" s="340"/>
    </row>
    <row r="204" spans="9:19">
      <c r="I204" s="340"/>
      <c r="J204" s="340"/>
      <c r="L204" s="340"/>
      <c r="M204" s="313"/>
      <c r="R204" s="340"/>
      <c r="S204" s="340"/>
    </row>
    <row r="205" spans="9:19">
      <c r="I205" s="340"/>
      <c r="J205" s="340"/>
      <c r="L205" s="340"/>
      <c r="M205" s="313"/>
      <c r="R205" s="340"/>
      <c r="S205" s="340"/>
    </row>
    <row r="206" spans="9:19">
      <c r="I206" s="340"/>
      <c r="J206" s="340"/>
      <c r="L206" s="340"/>
      <c r="M206" s="313"/>
      <c r="R206" s="340"/>
      <c r="S206" s="340"/>
    </row>
    <row r="207" spans="9:19">
      <c r="I207" s="340"/>
      <c r="J207" s="340"/>
      <c r="L207" s="340"/>
      <c r="M207" s="313"/>
      <c r="R207" s="340"/>
      <c r="S207" s="340"/>
    </row>
    <row r="208" spans="9:19">
      <c r="I208" s="340"/>
      <c r="J208" s="340"/>
      <c r="L208" s="340"/>
      <c r="M208" s="313"/>
      <c r="R208" s="340"/>
      <c r="S208" s="340"/>
    </row>
    <row r="209" spans="9:19">
      <c r="I209" s="340"/>
      <c r="J209" s="340"/>
      <c r="L209" s="340"/>
      <c r="M209" s="313"/>
      <c r="R209" s="340"/>
      <c r="S209" s="340"/>
    </row>
    <row r="210" spans="9:19">
      <c r="I210" s="340"/>
      <c r="J210" s="340"/>
      <c r="L210" s="340"/>
      <c r="M210" s="313"/>
      <c r="R210" s="340"/>
      <c r="S210" s="340"/>
    </row>
    <row r="211" spans="9:19">
      <c r="I211" s="340"/>
      <c r="J211" s="340"/>
      <c r="L211" s="340"/>
      <c r="M211" s="313"/>
      <c r="R211" s="340"/>
      <c r="S211" s="340"/>
    </row>
    <row r="212" spans="9:19">
      <c r="I212" s="340"/>
      <c r="J212" s="340"/>
      <c r="L212" s="340"/>
      <c r="M212" s="313"/>
      <c r="R212" s="340"/>
      <c r="S212" s="340"/>
    </row>
    <row r="213" spans="9:19">
      <c r="I213" s="340"/>
      <c r="J213" s="340"/>
      <c r="L213" s="340"/>
      <c r="M213" s="313"/>
      <c r="R213" s="340"/>
      <c r="S213" s="340"/>
    </row>
    <row r="214" spans="9:19">
      <c r="I214" s="340"/>
      <c r="J214" s="340"/>
      <c r="L214" s="340"/>
      <c r="M214" s="313"/>
      <c r="R214" s="340"/>
      <c r="S214" s="340"/>
    </row>
    <row r="215" spans="9:19">
      <c r="I215" s="340"/>
      <c r="J215" s="340"/>
      <c r="L215" s="340"/>
      <c r="M215" s="313"/>
      <c r="R215" s="340"/>
      <c r="S215" s="340"/>
    </row>
    <row r="216" spans="9:19">
      <c r="I216" s="340"/>
      <c r="J216" s="340"/>
      <c r="L216" s="340"/>
      <c r="M216" s="313"/>
      <c r="R216" s="340"/>
      <c r="S216" s="340"/>
    </row>
    <row r="217" spans="9:19">
      <c r="I217" s="340"/>
      <c r="J217" s="340"/>
      <c r="L217" s="340"/>
      <c r="M217" s="313"/>
      <c r="R217" s="340"/>
      <c r="S217" s="340"/>
    </row>
    <row r="218" spans="9:19">
      <c r="I218" s="340"/>
      <c r="J218" s="340"/>
      <c r="L218" s="340"/>
      <c r="M218" s="313"/>
      <c r="R218" s="340"/>
      <c r="S218" s="340"/>
    </row>
    <row r="219" spans="9:19">
      <c r="I219" s="340"/>
      <c r="J219" s="340"/>
      <c r="L219" s="340"/>
      <c r="M219" s="313"/>
      <c r="R219" s="340"/>
      <c r="S219" s="340"/>
    </row>
    <row r="220" spans="9:19">
      <c r="I220" s="340"/>
      <c r="J220" s="340"/>
      <c r="L220" s="340"/>
      <c r="M220" s="313"/>
      <c r="R220" s="340"/>
      <c r="S220" s="340"/>
    </row>
    <row r="221" spans="9:19">
      <c r="I221" s="340"/>
      <c r="J221" s="340"/>
      <c r="L221" s="340"/>
      <c r="M221" s="313"/>
      <c r="R221" s="340"/>
      <c r="S221" s="340"/>
    </row>
    <row r="222" spans="9:19">
      <c r="I222" s="340"/>
      <c r="J222" s="340"/>
      <c r="L222" s="340"/>
      <c r="M222" s="313"/>
      <c r="R222" s="340"/>
      <c r="S222" s="340"/>
    </row>
    <row r="223" spans="9:19">
      <c r="I223" s="340"/>
      <c r="J223" s="340"/>
      <c r="L223" s="340"/>
      <c r="M223" s="313"/>
      <c r="R223" s="340"/>
      <c r="S223" s="340"/>
    </row>
    <row r="224" spans="9:19">
      <c r="I224" s="340"/>
      <c r="J224" s="340"/>
      <c r="L224" s="340"/>
      <c r="M224" s="313"/>
      <c r="R224" s="340"/>
      <c r="S224" s="340"/>
    </row>
    <row r="225" spans="9:19">
      <c r="I225" s="340"/>
      <c r="J225" s="340"/>
      <c r="L225" s="340"/>
      <c r="M225" s="313"/>
      <c r="R225" s="340"/>
      <c r="S225" s="340"/>
    </row>
    <row r="226" spans="9:19">
      <c r="I226" s="340"/>
      <c r="J226" s="340"/>
      <c r="L226" s="340"/>
      <c r="M226" s="313"/>
      <c r="R226" s="340"/>
      <c r="S226" s="340"/>
    </row>
    <row r="227" spans="9:19">
      <c r="I227" s="340"/>
      <c r="J227" s="340"/>
      <c r="L227" s="340"/>
      <c r="M227" s="313"/>
      <c r="R227" s="340"/>
      <c r="S227" s="340"/>
    </row>
    <row r="228" spans="9:19">
      <c r="I228" s="340"/>
      <c r="J228" s="340"/>
      <c r="L228" s="340"/>
      <c r="M228" s="313"/>
      <c r="R228" s="340"/>
      <c r="S228" s="340"/>
    </row>
    <row r="229" spans="9:19">
      <c r="I229" s="340"/>
      <c r="J229" s="340"/>
      <c r="L229" s="340"/>
      <c r="M229" s="313"/>
      <c r="R229" s="340"/>
      <c r="S229" s="340"/>
    </row>
    <row r="230" spans="9:19">
      <c r="I230" s="340"/>
      <c r="J230" s="340"/>
      <c r="L230" s="340"/>
      <c r="M230" s="313"/>
      <c r="R230" s="340"/>
      <c r="S230" s="340"/>
    </row>
    <row r="231" spans="9:19">
      <c r="I231" s="340"/>
      <c r="J231" s="340"/>
      <c r="L231" s="340"/>
      <c r="M231" s="313"/>
      <c r="R231" s="340"/>
      <c r="S231" s="340"/>
    </row>
    <row r="232" spans="9:19">
      <c r="I232" s="340"/>
      <c r="J232" s="340"/>
      <c r="L232" s="340"/>
      <c r="M232" s="313"/>
      <c r="R232" s="340"/>
      <c r="S232" s="340"/>
    </row>
    <row r="233" spans="9:19">
      <c r="I233" s="340"/>
      <c r="J233" s="340"/>
      <c r="L233" s="340"/>
      <c r="M233" s="313"/>
      <c r="R233" s="340"/>
      <c r="S233" s="340"/>
    </row>
    <row r="234" spans="9:19">
      <c r="I234" s="340"/>
      <c r="J234" s="340"/>
      <c r="L234" s="340"/>
      <c r="M234" s="313"/>
      <c r="R234" s="340"/>
      <c r="S234" s="340"/>
    </row>
    <row r="235" spans="9:19">
      <c r="I235" s="340"/>
      <c r="J235" s="340"/>
      <c r="L235" s="340"/>
      <c r="M235" s="313"/>
      <c r="R235" s="340"/>
      <c r="S235" s="340"/>
    </row>
    <row r="236" spans="9:19">
      <c r="I236" s="340"/>
      <c r="J236" s="340"/>
      <c r="L236" s="340"/>
      <c r="M236" s="313"/>
      <c r="R236" s="340"/>
      <c r="S236" s="340"/>
    </row>
    <row r="237" spans="9:19">
      <c r="I237" s="340"/>
      <c r="J237" s="340"/>
      <c r="L237" s="340"/>
      <c r="M237" s="313"/>
      <c r="R237" s="340"/>
      <c r="S237" s="340"/>
    </row>
    <row r="238" spans="9:19">
      <c r="I238" s="340"/>
      <c r="J238" s="340"/>
      <c r="L238" s="340"/>
      <c r="M238" s="313"/>
      <c r="R238" s="340"/>
      <c r="S238" s="340"/>
    </row>
    <row r="239" spans="9:19">
      <c r="I239" s="340"/>
      <c r="J239" s="340"/>
      <c r="L239" s="340"/>
      <c r="M239" s="313"/>
      <c r="R239" s="340"/>
      <c r="S239" s="340"/>
    </row>
    <row r="240" spans="9:19">
      <c r="I240" s="340"/>
      <c r="J240" s="340"/>
      <c r="L240" s="340"/>
      <c r="M240" s="313"/>
      <c r="R240" s="340"/>
      <c r="S240" s="340"/>
    </row>
    <row r="241" spans="9:19">
      <c r="I241" s="340"/>
      <c r="J241" s="340"/>
      <c r="L241" s="340"/>
      <c r="M241" s="313"/>
      <c r="R241" s="340"/>
      <c r="S241" s="340"/>
    </row>
    <row r="242" spans="9:19">
      <c r="I242" s="340"/>
      <c r="J242" s="340"/>
      <c r="L242" s="340"/>
      <c r="M242" s="313"/>
      <c r="R242" s="340"/>
      <c r="S242" s="340"/>
    </row>
    <row r="243" spans="9:19">
      <c r="I243" s="340"/>
      <c r="J243" s="340"/>
      <c r="L243" s="340"/>
      <c r="M243" s="313"/>
      <c r="R243" s="340"/>
      <c r="S243" s="340"/>
    </row>
    <row r="244" spans="9:19">
      <c r="I244" s="340"/>
      <c r="J244" s="340"/>
      <c r="L244" s="340"/>
      <c r="M244" s="313"/>
      <c r="R244" s="340"/>
      <c r="S244" s="340"/>
    </row>
    <row r="245" spans="9:19">
      <c r="I245" s="340"/>
      <c r="J245" s="340"/>
      <c r="L245" s="340"/>
      <c r="M245" s="313"/>
      <c r="R245" s="340"/>
      <c r="S245" s="340"/>
    </row>
    <row r="246" spans="9:19">
      <c r="I246" s="340"/>
      <c r="J246" s="340"/>
      <c r="L246" s="340"/>
      <c r="M246" s="313"/>
      <c r="R246" s="340"/>
      <c r="S246" s="340"/>
    </row>
    <row r="247" spans="9:19">
      <c r="I247" s="340"/>
      <c r="J247" s="340"/>
      <c r="L247" s="340"/>
      <c r="M247" s="313"/>
      <c r="R247" s="340"/>
      <c r="S247" s="340"/>
    </row>
    <row r="248" spans="9:19">
      <c r="I248" s="340"/>
      <c r="J248" s="340"/>
      <c r="L248" s="340"/>
      <c r="M248" s="313"/>
      <c r="R248" s="340"/>
      <c r="S248" s="340"/>
    </row>
    <row r="249" spans="9:19">
      <c r="I249" s="340"/>
      <c r="J249" s="340"/>
      <c r="L249" s="340"/>
      <c r="M249" s="313"/>
      <c r="R249" s="340"/>
      <c r="S249" s="340"/>
    </row>
    <row r="250" spans="9:19">
      <c r="I250" s="340"/>
      <c r="J250" s="340"/>
      <c r="L250" s="340"/>
      <c r="M250" s="313"/>
      <c r="R250" s="340"/>
      <c r="S250" s="340"/>
    </row>
    <row r="251" spans="9:19">
      <c r="I251" s="340"/>
      <c r="J251" s="340"/>
      <c r="L251" s="340"/>
      <c r="M251" s="313"/>
      <c r="R251" s="340"/>
      <c r="S251" s="340"/>
    </row>
    <row r="252" spans="9:19">
      <c r="I252" s="340"/>
      <c r="J252" s="340"/>
      <c r="L252" s="340"/>
      <c r="M252" s="313"/>
      <c r="R252" s="340"/>
      <c r="S252" s="340"/>
    </row>
    <row r="253" spans="9:19">
      <c r="I253" s="340"/>
      <c r="J253" s="340"/>
      <c r="L253" s="340"/>
      <c r="M253" s="313"/>
      <c r="R253" s="340"/>
      <c r="S253" s="340"/>
    </row>
    <row r="254" spans="9:19">
      <c r="I254" s="340"/>
      <c r="J254" s="340"/>
      <c r="L254" s="340"/>
      <c r="M254" s="313"/>
      <c r="R254" s="340"/>
      <c r="S254" s="340"/>
    </row>
    <row r="255" spans="9:19">
      <c r="I255" s="340"/>
      <c r="J255" s="340"/>
      <c r="L255" s="340"/>
      <c r="M255" s="313"/>
      <c r="R255" s="340"/>
      <c r="S255" s="340"/>
    </row>
    <row r="256" spans="9:19">
      <c r="I256" s="340"/>
      <c r="J256" s="340"/>
      <c r="L256" s="340"/>
      <c r="M256" s="313"/>
      <c r="R256" s="340"/>
      <c r="S256" s="340"/>
    </row>
    <row r="257" spans="9:19">
      <c r="I257" s="340"/>
      <c r="J257" s="340"/>
      <c r="L257" s="340"/>
      <c r="M257" s="313"/>
      <c r="R257" s="340"/>
      <c r="S257" s="340"/>
    </row>
    <row r="258" spans="9:19">
      <c r="I258" s="340"/>
      <c r="J258" s="340"/>
      <c r="L258" s="340"/>
      <c r="M258" s="313"/>
      <c r="R258" s="340"/>
      <c r="S258" s="340"/>
    </row>
    <row r="259" spans="9:19">
      <c r="I259" s="340"/>
      <c r="J259" s="340"/>
      <c r="L259" s="340"/>
      <c r="M259" s="313"/>
      <c r="R259" s="340"/>
      <c r="S259" s="340"/>
    </row>
    <row r="260" spans="9:19">
      <c r="I260" s="340"/>
      <c r="J260" s="340"/>
      <c r="L260" s="340"/>
      <c r="M260" s="313"/>
      <c r="R260" s="340"/>
      <c r="S260" s="340"/>
    </row>
    <row r="261" spans="9:19">
      <c r="I261" s="340"/>
      <c r="J261" s="340"/>
      <c r="L261" s="340"/>
      <c r="M261" s="313"/>
      <c r="R261" s="340"/>
      <c r="S261" s="340"/>
    </row>
    <row r="262" spans="9:19">
      <c r="I262" s="340"/>
      <c r="J262" s="340"/>
      <c r="L262" s="340"/>
      <c r="M262" s="313"/>
      <c r="R262" s="340"/>
      <c r="S262" s="340"/>
    </row>
    <row r="263" spans="9:19">
      <c r="I263" s="340"/>
      <c r="J263" s="340"/>
      <c r="L263" s="340"/>
      <c r="M263" s="313"/>
      <c r="R263" s="340"/>
      <c r="S263" s="340"/>
    </row>
    <row r="264" spans="9:19">
      <c r="I264" s="340"/>
      <c r="J264" s="340"/>
      <c r="L264" s="340"/>
      <c r="M264" s="313"/>
      <c r="R264" s="340"/>
      <c r="S264" s="340"/>
    </row>
    <row r="265" spans="9:19">
      <c r="I265" s="340"/>
      <c r="J265" s="340"/>
      <c r="L265" s="340"/>
      <c r="M265" s="313"/>
      <c r="R265" s="340"/>
      <c r="S265" s="340"/>
    </row>
    <row r="266" spans="9:19">
      <c r="I266" s="340"/>
      <c r="J266" s="340"/>
      <c r="L266" s="340"/>
      <c r="M266" s="313"/>
      <c r="R266" s="340"/>
      <c r="S266" s="340"/>
    </row>
    <row r="267" spans="9:19">
      <c r="I267" s="340"/>
      <c r="J267" s="340"/>
      <c r="L267" s="340"/>
      <c r="M267" s="313"/>
      <c r="R267" s="340"/>
      <c r="S267" s="340"/>
    </row>
    <row r="268" spans="9:19">
      <c r="I268" s="340"/>
      <c r="J268" s="340"/>
      <c r="L268" s="340"/>
      <c r="M268" s="313"/>
      <c r="R268" s="340"/>
      <c r="S268" s="340"/>
    </row>
    <row r="269" spans="9:19">
      <c r="I269" s="340"/>
      <c r="J269" s="340"/>
      <c r="L269" s="340"/>
      <c r="M269" s="313"/>
      <c r="R269" s="340"/>
      <c r="S269" s="340"/>
    </row>
    <row r="270" spans="9:19">
      <c r="I270" s="340"/>
      <c r="J270" s="340"/>
      <c r="L270" s="340"/>
      <c r="M270" s="313"/>
      <c r="R270" s="340"/>
      <c r="S270" s="340"/>
    </row>
    <row r="271" spans="9:19">
      <c r="I271" s="340"/>
      <c r="J271" s="340"/>
      <c r="L271" s="340"/>
      <c r="M271" s="313"/>
      <c r="R271" s="340"/>
      <c r="S271" s="340"/>
    </row>
    <row r="272" spans="9:19">
      <c r="I272" s="340"/>
      <c r="J272" s="340"/>
      <c r="L272" s="340"/>
      <c r="M272" s="313"/>
      <c r="R272" s="340"/>
      <c r="S272" s="340"/>
    </row>
    <row r="273" spans="9:19">
      <c r="I273" s="340"/>
      <c r="J273" s="340"/>
      <c r="L273" s="340"/>
      <c r="M273" s="313"/>
      <c r="R273" s="340"/>
      <c r="S273" s="340"/>
    </row>
    <row r="274" spans="9:19">
      <c r="I274" s="340"/>
      <c r="J274" s="340"/>
      <c r="L274" s="340"/>
      <c r="M274" s="313"/>
      <c r="R274" s="340"/>
      <c r="S274" s="340"/>
    </row>
    <row r="275" spans="9:19">
      <c r="I275" s="340"/>
      <c r="J275" s="340"/>
      <c r="L275" s="340"/>
      <c r="M275" s="313"/>
      <c r="R275" s="340"/>
      <c r="S275" s="340"/>
    </row>
    <row r="276" spans="9:19">
      <c r="I276" s="340"/>
      <c r="J276" s="340"/>
      <c r="L276" s="340"/>
      <c r="M276" s="313"/>
      <c r="R276" s="340"/>
      <c r="S276" s="340"/>
    </row>
    <row r="277" spans="9:19">
      <c r="I277" s="340"/>
      <c r="J277" s="340"/>
      <c r="L277" s="340"/>
      <c r="M277" s="313"/>
      <c r="R277" s="340"/>
      <c r="S277" s="340"/>
    </row>
    <row r="278" spans="9:19">
      <c r="I278" s="340"/>
      <c r="J278" s="340"/>
      <c r="L278" s="340"/>
      <c r="M278" s="313"/>
      <c r="R278" s="340"/>
      <c r="S278" s="340"/>
    </row>
    <row r="279" spans="9:19">
      <c r="I279" s="340"/>
      <c r="J279" s="340"/>
      <c r="L279" s="340"/>
      <c r="M279" s="313"/>
      <c r="R279" s="340"/>
      <c r="S279" s="340"/>
    </row>
    <row r="280" spans="9:19">
      <c r="I280" s="340"/>
      <c r="J280" s="340"/>
      <c r="L280" s="340"/>
      <c r="M280" s="313"/>
      <c r="R280" s="340"/>
      <c r="S280" s="340"/>
    </row>
    <row r="281" spans="9:19">
      <c r="I281" s="340"/>
      <c r="J281" s="340"/>
      <c r="L281" s="340"/>
      <c r="M281" s="313"/>
      <c r="R281" s="340"/>
      <c r="S281" s="340"/>
    </row>
    <row r="282" spans="9:19">
      <c r="I282" s="340"/>
      <c r="J282" s="340"/>
      <c r="L282" s="340"/>
      <c r="M282" s="313"/>
      <c r="R282" s="340"/>
      <c r="S282" s="340"/>
    </row>
    <row r="283" spans="9:19">
      <c r="I283" s="340"/>
      <c r="J283" s="340"/>
      <c r="L283" s="340"/>
      <c r="M283" s="313"/>
      <c r="R283" s="340"/>
      <c r="S283" s="340"/>
    </row>
    <row r="284" spans="9:19">
      <c r="I284" s="340"/>
      <c r="J284" s="340"/>
      <c r="L284" s="340"/>
      <c r="M284" s="313"/>
      <c r="R284" s="340"/>
      <c r="S284" s="340"/>
    </row>
    <row r="285" spans="9:19">
      <c r="I285" s="340"/>
      <c r="J285" s="340"/>
      <c r="L285" s="340"/>
      <c r="M285" s="313"/>
      <c r="R285" s="340"/>
      <c r="S285" s="340"/>
    </row>
    <row r="286" spans="9:19">
      <c r="I286" s="340"/>
      <c r="J286" s="340"/>
      <c r="L286" s="340"/>
      <c r="M286" s="313"/>
      <c r="R286" s="340"/>
      <c r="S286" s="340"/>
    </row>
    <row r="287" spans="9:19">
      <c r="I287" s="340"/>
      <c r="J287" s="340"/>
      <c r="L287" s="340"/>
      <c r="M287" s="313"/>
      <c r="R287" s="340"/>
      <c r="S287" s="340"/>
    </row>
    <row r="288" spans="9:19">
      <c r="I288" s="340"/>
      <c r="J288" s="340"/>
      <c r="L288" s="340"/>
      <c r="M288" s="313"/>
      <c r="R288" s="340"/>
      <c r="S288" s="340"/>
    </row>
    <row r="289" spans="9:19">
      <c r="I289" s="340"/>
      <c r="J289" s="340"/>
      <c r="L289" s="340"/>
      <c r="M289" s="313"/>
      <c r="R289" s="340"/>
      <c r="S289" s="340"/>
    </row>
    <row r="290" spans="9:19">
      <c r="I290" s="340"/>
      <c r="J290" s="340"/>
      <c r="L290" s="340"/>
      <c r="M290" s="313"/>
      <c r="R290" s="340"/>
      <c r="S290" s="340"/>
    </row>
    <row r="291" spans="9:19">
      <c r="I291" s="340"/>
      <c r="J291" s="340"/>
      <c r="L291" s="340"/>
      <c r="M291" s="313"/>
      <c r="R291" s="340"/>
      <c r="S291" s="340"/>
    </row>
    <row r="292" spans="9:19">
      <c r="I292" s="340"/>
      <c r="J292" s="340"/>
      <c r="L292" s="340"/>
      <c r="M292" s="313"/>
      <c r="R292" s="340"/>
      <c r="S292" s="340"/>
    </row>
    <row r="293" spans="9:19">
      <c r="I293" s="340"/>
      <c r="J293" s="340"/>
      <c r="L293" s="340"/>
      <c r="M293" s="313"/>
      <c r="R293" s="340"/>
      <c r="S293" s="340"/>
    </row>
    <row r="294" spans="9:19">
      <c r="I294" s="340"/>
      <c r="J294" s="340"/>
      <c r="L294" s="340"/>
      <c r="M294" s="313"/>
      <c r="R294" s="340"/>
      <c r="S294" s="340"/>
    </row>
    <row r="295" spans="9:19">
      <c r="I295" s="340"/>
      <c r="J295" s="340"/>
      <c r="L295" s="340"/>
      <c r="M295" s="313"/>
      <c r="R295" s="340"/>
      <c r="S295" s="340"/>
    </row>
    <row r="296" spans="9:19">
      <c r="I296" s="340"/>
      <c r="J296" s="340"/>
      <c r="L296" s="340"/>
      <c r="M296" s="313"/>
      <c r="R296" s="340"/>
      <c r="S296" s="340"/>
    </row>
    <row r="297" spans="9:19">
      <c r="I297" s="340"/>
      <c r="J297" s="340"/>
      <c r="L297" s="340"/>
      <c r="M297" s="313"/>
      <c r="R297" s="340"/>
      <c r="S297" s="340"/>
    </row>
    <row r="298" spans="9:19">
      <c r="I298" s="340"/>
      <c r="J298" s="340"/>
      <c r="L298" s="340"/>
      <c r="M298" s="313"/>
      <c r="R298" s="340"/>
      <c r="S298" s="340"/>
    </row>
    <row r="299" spans="9:19">
      <c r="I299" s="340"/>
      <c r="J299" s="340"/>
      <c r="L299" s="340"/>
      <c r="M299" s="313"/>
      <c r="R299" s="340"/>
      <c r="S299" s="340"/>
    </row>
    <row r="300" spans="9:19">
      <c r="I300" s="340"/>
      <c r="J300" s="340"/>
      <c r="L300" s="340"/>
      <c r="M300" s="313"/>
      <c r="R300" s="340"/>
      <c r="S300" s="340"/>
    </row>
    <row r="301" spans="9:19">
      <c r="I301" s="340"/>
      <c r="J301" s="340"/>
      <c r="L301" s="340"/>
      <c r="M301" s="313"/>
      <c r="R301" s="340"/>
      <c r="S301" s="340"/>
    </row>
    <row r="302" spans="9:19">
      <c r="I302" s="340"/>
      <c r="J302" s="340"/>
      <c r="L302" s="340"/>
      <c r="M302" s="313"/>
      <c r="R302" s="340"/>
      <c r="S302" s="340"/>
    </row>
    <row r="303" spans="9:19">
      <c r="I303" s="340"/>
      <c r="J303" s="340"/>
      <c r="L303" s="340"/>
      <c r="M303" s="313"/>
      <c r="R303" s="340"/>
      <c r="S303" s="340"/>
    </row>
    <row r="304" spans="9:19">
      <c r="I304" s="340"/>
      <c r="J304" s="340"/>
      <c r="L304" s="340"/>
      <c r="M304" s="313"/>
      <c r="R304" s="340"/>
      <c r="S304" s="340"/>
    </row>
    <row r="305" spans="9:19">
      <c r="I305" s="340"/>
      <c r="J305" s="340"/>
      <c r="L305" s="340"/>
      <c r="M305" s="313"/>
      <c r="R305" s="340"/>
      <c r="S305" s="340"/>
    </row>
    <row r="306" spans="9:19">
      <c r="I306" s="340"/>
      <c r="J306" s="340"/>
      <c r="L306" s="340"/>
      <c r="M306" s="313"/>
      <c r="R306" s="340"/>
      <c r="S306" s="340"/>
    </row>
    <row r="307" spans="9:19">
      <c r="I307" s="340"/>
      <c r="J307" s="340"/>
      <c r="L307" s="340"/>
      <c r="M307" s="313"/>
      <c r="R307" s="340"/>
      <c r="S307" s="340"/>
    </row>
    <row r="308" spans="9:19">
      <c r="I308" s="340"/>
      <c r="J308" s="340"/>
      <c r="L308" s="340"/>
      <c r="M308" s="313"/>
      <c r="R308" s="340"/>
      <c r="S308" s="340"/>
    </row>
    <row r="309" spans="9:19">
      <c r="I309" s="340"/>
      <c r="J309" s="340"/>
      <c r="L309" s="340"/>
      <c r="M309" s="313"/>
      <c r="R309" s="340"/>
      <c r="S309" s="340"/>
    </row>
    <row r="310" spans="9:19">
      <c r="I310" s="340"/>
      <c r="J310" s="340"/>
      <c r="L310" s="340"/>
      <c r="M310" s="313"/>
      <c r="R310" s="340"/>
      <c r="S310" s="340"/>
    </row>
    <row r="311" spans="9:19">
      <c r="I311" s="340"/>
      <c r="J311" s="340"/>
      <c r="L311" s="340"/>
      <c r="M311" s="313"/>
      <c r="R311" s="340"/>
      <c r="S311" s="340"/>
    </row>
    <row r="312" spans="9:19">
      <c r="I312" s="340"/>
      <c r="J312" s="340"/>
      <c r="L312" s="340"/>
      <c r="M312" s="313"/>
      <c r="R312" s="340"/>
      <c r="S312" s="340"/>
    </row>
    <row r="313" spans="9:19">
      <c r="I313" s="340"/>
      <c r="J313" s="340"/>
      <c r="L313" s="340"/>
      <c r="M313" s="313"/>
      <c r="R313" s="340"/>
      <c r="S313" s="340"/>
    </row>
    <row r="314" spans="9:19">
      <c r="I314" s="340"/>
      <c r="J314" s="340"/>
      <c r="L314" s="340"/>
      <c r="M314" s="313"/>
      <c r="R314" s="340"/>
      <c r="S314" s="340"/>
    </row>
    <row r="315" spans="9:19">
      <c r="I315" s="340"/>
      <c r="J315" s="340"/>
      <c r="L315" s="340"/>
      <c r="M315" s="313"/>
      <c r="R315" s="340"/>
      <c r="S315" s="340"/>
    </row>
    <row r="316" spans="9:19">
      <c r="I316" s="340"/>
      <c r="J316" s="340"/>
      <c r="L316" s="340"/>
      <c r="M316" s="313"/>
      <c r="R316" s="340"/>
      <c r="S316" s="340"/>
    </row>
    <row r="317" spans="9:19">
      <c r="I317" s="340"/>
      <c r="J317" s="340"/>
      <c r="L317" s="340"/>
      <c r="M317" s="313"/>
      <c r="R317" s="340"/>
      <c r="S317" s="340"/>
    </row>
    <row r="318" spans="9:19">
      <c r="I318" s="340"/>
      <c r="J318" s="340"/>
      <c r="L318" s="340"/>
      <c r="M318" s="313"/>
      <c r="R318" s="340"/>
      <c r="S318" s="340"/>
    </row>
    <row r="319" spans="9:19">
      <c r="I319" s="340"/>
      <c r="J319" s="340"/>
      <c r="L319" s="340"/>
      <c r="M319" s="313"/>
      <c r="R319" s="340"/>
      <c r="S319" s="340"/>
    </row>
    <row r="320" spans="9:19">
      <c r="I320" s="340"/>
      <c r="J320" s="340"/>
      <c r="L320" s="340"/>
      <c r="M320" s="313"/>
      <c r="R320" s="340"/>
      <c r="S320" s="340"/>
    </row>
    <row r="321" spans="9:19">
      <c r="I321" s="340"/>
      <c r="J321" s="340"/>
      <c r="L321" s="340"/>
      <c r="M321" s="313"/>
      <c r="R321" s="340"/>
      <c r="S321" s="340"/>
    </row>
    <row r="322" spans="9:19">
      <c r="I322" s="340"/>
      <c r="J322" s="340"/>
      <c r="L322" s="340"/>
      <c r="M322" s="313"/>
      <c r="R322" s="340"/>
      <c r="S322" s="340"/>
    </row>
    <row r="323" spans="9:19">
      <c r="I323" s="340"/>
      <c r="J323" s="340"/>
      <c r="L323" s="340"/>
      <c r="M323" s="313"/>
      <c r="R323" s="340"/>
      <c r="S323" s="340"/>
    </row>
    <row r="324" spans="9:19">
      <c r="I324" s="340"/>
      <c r="J324" s="340"/>
      <c r="L324" s="340"/>
      <c r="M324" s="313"/>
      <c r="R324" s="340"/>
      <c r="S324" s="340"/>
    </row>
    <row r="325" spans="9:19">
      <c r="I325" s="340"/>
      <c r="J325" s="340"/>
      <c r="L325" s="340"/>
      <c r="M325" s="313"/>
      <c r="R325" s="340"/>
      <c r="S325" s="340"/>
    </row>
    <row r="326" spans="9:19">
      <c r="I326" s="340"/>
      <c r="J326" s="340"/>
      <c r="L326" s="340"/>
      <c r="M326" s="313"/>
      <c r="R326" s="340"/>
      <c r="S326" s="340"/>
    </row>
    <row r="327" spans="9:19">
      <c r="I327" s="340"/>
      <c r="J327" s="340"/>
      <c r="L327" s="340"/>
      <c r="M327" s="313"/>
      <c r="R327" s="340"/>
      <c r="S327" s="340"/>
    </row>
    <row r="328" spans="9:19">
      <c r="I328" s="340"/>
      <c r="J328" s="340"/>
      <c r="L328" s="340"/>
      <c r="M328" s="313"/>
      <c r="R328" s="340"/>
      <c r="S328" s="340"/>
    </row>
    <row r="329" spans="9:19">
      <c r="I329" s="340"/>
      <c r="J329" s="340"/>
      <c r="L329" s="340"/>
      <c r="M329" s="313"/>
      <c r="R329" s="340"/>
      <c r="S329" s="340"/>
    </row>
    <row r="330" spans="9:19">
      <c r="I330" s="340"/>
      <c r="J330" s="340"/>
      <c r="L330" s="340"/>
      <c r="M330" s="313"/>
      <c r="R330" s="340"/>
      <c r="S330" s="340"/>
    </row>
    <row r="331" spans="9:19">
      <c r="I331" s="340"/>
      <c r="J331" s="340"/>
      <c r="L331" s="340"/>
      <c r="M331" s="313"/>
      <c r="R331" s="340"/>
      <c r="S331" s="340"/>
    </row>
    <row r="332" spans="9:19">
      <c r="I332" s="340"/>
      <c r="J332" s="340"/>
      <c r="L332" s="340"/>
      <c r="M332" s="313"/>
      <c r="R332" s="340"/>
      <c r="S332" s="340"/>
    </row>
    <row r="333" spans="9:19">
      <c r="I333" s="340"/>
      <c r="J333" s="340"/>
      <c r="L333" s="340"/>
      <c r="M333" s="313"/>
      <c r="R333" s="340"/>
      <c r="S333" s="340"/>
    </row>
    <row r="334" spans="9:19">
      <c r="I334" s="340"/>
      <c r="J334" s="340"/>
      <c r="L334" s="340"/>
      <c r="M334" s="313"/>
      <c r="R334" s="340"/>
      <c r="S334" s="340"/>
    </row>
    <row r="335" spans="9:19">
      <c r="I335" s="340"/>
      <c r="J335" s="340"/>
      <c r="L335" s="340"/>
      <c r="M335" s="313"/>
      <c r="R335" s="340"/>
      <c r="S335" s="340"/>
    </row>
    <row r="336" spans="9:19">
      <c r="I336" s="340"/>
      <c r="J336" s="340"/>
      <c r="L336" s="340"/>
      <c r="M336" s="313"/>
      <c r="R336" s="340"/>
      <c r="S336" s="340"/>
    </row>
    <row r="337" spans="9:19">
      <c r="I337" s="340"/>
      <c r="J337" s="340"/>
      <c r="L337" s="340"/>
      <c r="M337" s="313"/>
      <c r="R337" s="340"/>
      <c r="S337" s="340"/>
    </row>
    <row r="338" spans="9:19">
      <c r="I338" s="340"/>
      <c r="J338" s="340"/>
      <c r="L338" s="340"/>
      <c r="M338" s="313"/>
      <c r="R338" s="340"/>
      <c r="S338" s="340"/>
    </row>
    <row r="339" spans="9:19">
      <c r="I339" s="340"/>
      <c r="J339" s="340"/>
      <c r="L339" s="340"/>
      <c r="M339" s="313"/>
      <c r="R339" s="340"/>
      <c r="S339" s="340"/>
    </row>
    <row r="340" spans="9:19">
      <c r="I340" s="340"/>
      <c r="J340" s="340"/>
      <c r="L340" s="340"/>
      <c r="M340" s="313"/>
      <c r="R340" s="340"/>
      <c r="S340" s="340"/>
    </row>
    <row r="341" spans="9:19">
      <c r="I341" s="340"/>
      <c r="J341" s="340"/>
      <c r="L341" s="340"/>
      <c r="M341" s="313"/>
      <c r="R341" s="340"/>
      <c r="S341" s="340"/>
    </row>
    <row r="342" spans="9:19">
      <c r="I342" s="340"/>
      <c r="J342" s="340"/>
      <c r="L342" s="340"/>
      <c r="M342" s="313"/>
      <c r="R342" s="340"/>
      <c r="S342" s="340"/>
    </row>
    <row r="343" spans="9:19">
      <c r="I343" s="340"/>
      <c r="J343" s="340"/>
      <c r="L343" s="340"/>
      <c r="M343" s="313"/>
      <c r="R343" s="340"/>
      <c r="S343" s="340"/>
    </row>
    <row r="344" spans="9:19">
      <c r="I344" s="340"/>
      <c r="J344" s="340"/>
      <c r="L344" s="340"/>
      <c r="M344" s="313"/>
      <c r="R344" s="340"/>
      <c r="S344" s="340"/>
    </row>
    <row r="345" spans="9:19">
      <c r="I345" s="340"/>
      <c r="J345" s="340"/>
      <c r="L345" s="340"/>
      <c r="M345" s="313"/>
      <c r="R345" s="340"/>
      <c r="S345" s="340"/>
    </row>
    <row r="346" spans="9:19">
      <c r="I346" s="340"/>
      <c r="J346" s="340"/>
      <c r="L346" s="340"/>
      <c r="M346" s="313"/>
      <c r="R346" s="340"/>
      <c r="S346" s="340"/>
    </row>
    <row r="347" spans="9:19">
      <c r="I347" s="340"/>
      <c r="J347" s="340"/>
      <c r="L347" s="340"/>
      <c r="M347" s="313"/>
      <c r="R347" s="340"/>
      <c r="S347" s="340"/>
    </row>
    <row r="348" spans="9:19">
      <c r="I348" s="340"/>
      <c r="J348" s="340"/>
      <c r="L348" s="340"/>
      <c r="M348" s="313"/>
      <c r="R348" s="340"/>
      <c r="S348" s="340"/>
    </row>
    <row r="349" spans="9:19">
      <c r="I349" s="340"/>
      <c r="J349" s="340"/>
      <c r="L349" s="340"/>
      <c r="M349" s="313"/>
      <c r="R349" s="340"/>
      <c r="S349" s="340"/>
    </row>
    <row r="350" spans="9:19">
      <c r="I350" s="340"/>
      <c r="J350" s="340"/>
      <c r="L350" s="340"/>
      <c r="M350" s="313"/>
      <c r="R350" s="340"/>
      <c r="S350" s="340"/>
    </row>
    <row r="351" spans="9:19">
      <c r="I351" s="340"/>
      <c r="J351" s="340"/>
      <c r="L351" s="340"/>
      <c r="M351" s="313"/>
      <c r="R351" s="340"/>
      <c r="S351" s="340"/>
    </row>
    <row r="352" spans="9:19">
      <c r="I352" s="340"/>
      <c r="J352" s="340"/>
      <c r="L352" s="340"/>
      <c r="M352" s="313"/>
      <c r="R352" s="340"/>
      <c r="S352" s="340"/>
    </row>
    <row r="353" spans="9:19">
      <c r="I353" s="340"/>
      <c r="J353" s="340"/>
      <c r="L353" s="340"/>
      <c r="M353" s="313"/>
      <c r="R353" s="340"/>
      <c r="S353" s="340"/>
    </row>
    <row r="354" spans="9:19">
      <c r="I354" s="340"/>
      <c r="J354" s="340"/>
      <c r="L354" s="340"/>
      <c r="M354" s="313"/>
      <c r="R354" s="340"/>
      <c r="S354" s="340"/>
    </row>
    <row r="355" spans="9:19">
      <c r="I355" s="340"/>
      <c r="J355" s="340"/>
      <c r="L355" s="340"/>
      <c r="M355" s="313"/>
      <c r="R355" s="340"/>
      <c r="S355" s="340"/>
    </row>
    <row r="356" spans="9:19">
      <c r="I356" s="340"/>
      <c r="J356" s="340"/>
      <c r="L356" s="340"/>
      <c r="M356" s="313"/>
      <c r="R356" s="340"/>
      <c r="S356" s="340"/>
    </row>
    <row r="357" spans="9:19">
      <c r="I357" s="340"/>
      <c r="J357" s="340"/>
      <c r="L357" s="340"/>
      <c r="M357" s="313"/>
      <c r="R357" s="340"/>
      <c r="S357" s="340"/>
    </row>
    <row r="358" spans="9:19">
      <c r="I358" s="340"/>
      <c r="J358" s="340"/>
      <c r="L358" s="340"/>
      <c r="M358" s="313"/>
      <c r="R358" s="340"/>
      <c r="S358" s="340"/>
    </row>
    <row r="359" spans="9:19">
      <c r="I359" s="340"/>
      <c r="J359" s="340"/>
      <c r="L359" s="340"/>
      <c r="M359" s="313"/>
      <c r="R359" s="340"/>
      <c r="S359" s="340"/>
    </row>
    <row r="360" spans="9:19">
      <c r="I360" s="340"/>
      <c r="J360" s="340"/>
      <c r="L360" s="340"/>
      <c r="M360" s="313"/>
      <c r="R360" s="340"/>
      <c r="S360" s="340"/>
    </row>
    <row r="361" spans="9:19">
      <c r="I361" s="340"/>
      <c r="J361" s="340"/>
      <c r="L361" s="340"/>
      <c r="M361" s="313"/>
      <c r="R361" s="340"/>
      <c r="S361" s="340"/>
    </row>
    <row r="362" spans="9:19">
      <c r="I362" s="340"/>
      <c r="J362" s="340"/>
      <c r="L362" s="340"/>
      <c r="M362" s="313"/>
      <c r="R362" s="340"/>
      <c r="S362" s="340"/>
    </row>
    <row r="363" spans="9:19">
      <c r="I363" s="340"/>
      <c r="J363" s="340"/>
      <c r="L363" s="340"/>
      <c r="M363" s="313"/>
      <c r="R363" s="340"/>
      <c r="S363" s="340"/>
    </row>
    <row r="364" spans="9:19">
      <c r="I364" s="340"/>
      <c r="J364" s="340"/>
      <c r="L364" s="340"/>
      <c r="M364" s="313"/>
      <c r="R364" s="340"/>
      <c r="S364" s="340"/>
    </row>
    <row r="365" spans="9:19">
      <c r="I365" s="340"/>
      <c r="J365" s="340"/>
      <c r="L365" s="340"/>
      <c r="M365" s="313"/>
      <c r="R365" s="340"/>
      <c r="S365" s="340"/>
    </row>
    <row r="366" spans="9:19">
      <c r="I366" s="340"/>
      <c r="J366" s="340"/>
      <c r="L366" s="340"/>
      <c r="M366" s="313"/>
      <c r="R366" s="340"/>
      <c r="S366" s="340"/>
    </row>
    <row r="367" spans="9:19">
      <c r="I367" s="340"/>
      <c r="J367" s="340"/>
      <c r="L367" s="340"/>
      <c r="M367" s="313"/>
      <c r="R367" s="340"/>
      <c r="S367" s="340"/>
    </row>
    <row r="368" spans="9:19">
      <c r="I368" s="340"/>
      <c r="J368" s="340"/>
      <c r="L368" s="340"/>
      <c r="M368" s="313"/>
      <c r="R368" s="340"/>
      <c r="S368" s="340"/>
    </row>
    <row r="369" spans="9:19">
      <c r="I369" s="340"/>
      <c r="J369" s="340"/>
      <c r="L369" s="340"/>
      <c r="M369" s="313"/>
      <c r="R369" s="340"/>
      <c r="S369" s="340"/>
    </row>
    <row r="370" spans="9:19">
      <c r="I370" s="340"/>
      <c r="J370" s="340"/>
      <c r="L370" s="340"/>
      <c r="M370" s="313"/>
      <c r="R370" s="340"/>
      <c r="S370" s="340"/>
    </row>
    <row r="371" spans="9:19">
      <c r="I371" s="340"/>
      <c r="J371" s="340"/>
      <c r="L371" s="340"/>
      <c r="M371" s="313"/>
      <c r="R371" s="340"/>
      <c r="S371" s="340"/>
    </row>
    <row r="372" spans="9:19">
      <c r="I372" s="340"/>
      <c r="J372" s="340"/>
      <c r="L372" s="340"/>
      <c r="M372" s="313"/>
      <c r="R372" s="340"/>
      <c r="S372" s="340"/>
    </row>
    <row r="373" spans="9:19">
      <c r="I373" s="340"/>
      <c r="J373" s="340"/>
      <c r="L373" s="340"/>
      <c r="M373" s="313"/>
      <c r="R373" s="340"/>
      <c r="S373" s="340"/>
    </row>
    <row r="374" spans="9:19">
      <c r="I374" s="340"/>
      <c r="J374" s="340"/>
      <c r="L374" s="340"/>
      <c r="M374" s="313"/>
      <c r="R374" s="340"/>
      <c r="S374" s="340"/>
    </row>
    <row r="375" spans="9:19">
      <c r="I375" s="340"/>
      <c r="J375" s="340"/>
      <c r="L375" s="340"/>
      <c r="M375" s="313"/>
      <c r="R375" s="340"/>
      <c r="S375" s="340"/>
    </row>
    <row r="376" spans="9:19">
      <c r="I376" s="340"/>
      <c r="J376" s="340"/>
      <c r="L376" s="340"/>
      <c r="M376" s="313"/>
      <c r="R376" s="340"/>
      <c r="S376" s="340"/>
    </row>
    <row r="377" spans="9:19">
      <c r="I377" s="340"/>
      <c r="J377" s="340"/>
      <c r="L377" s="340"/>
      <c r="M377" s="313"/>
      <c r="R377" s="340"/>
      <c r="S377" s="340"/>
    </row>
    <row r="378" spans="9:19">
      <c r="I378" s="340"/>
      <c r="J378" s="340"/>
      <c r="L378" s="340"/>
      <c r="M378" s="313"/>
      <c r="R378" s="340"/>
      <c r="S378" s="340"/>
    </row>
    <row r="379" spans="9:19">
      <c r="I379" s="340"/>
      <c r="J379" s="340"/>
      <c r="L379" s="340"/>
      <c r="M379" s="313"/>
      <c r="R379" s="340"/>
      <c r="S379" s="340"/>
    </row>
    <row r="380" spans="9:19">
      <c r="I380" s="340"/>
      <c r="J380" s="340"/>
      <c r="L380" s="340"/>
      <c r="M380" s="313"/>
      <c r="R380" s="340"/>
      <c r="S380" s="340"/>
    </row>
    <row r="381" spans="9:19">
      <c r="I381" s="340"/>
      <c r="J381" s="340"/>
      <c r="L381" s="340"/>
      <c r="M381" s="313"/>
      <c r="R381" s="340"/>
      <c r="S381" s="340"/>
    </row>
    <row r="382" spans="9:19">
      <c r="I382" s="340"/>
      <c r="J382" s="340"/>
      <c r="L382" s="340"/>
      <c r="M382" s="313"/>
      <c r="R382" s="340"/>
      <c r="S382" s="340"/>
    </row>
    <row r="383" spans="9:19">
      <c r="I383" s="340"/>
      <c r="J383" s="340"/>
      <c r="L383" s="340"/>
      <c r="M383" s="313"/>
      <c r="R383" s="340"/>
      <c r="S383" s="340"/>
    </row>
    <row r="384" spans="9:19">
      <c r="I384" s="340"/>
      <c r="J384" s="340"/>
      <c r="L384" s="340"/>
      <c r="M384" s="313"/>
      <c r="R384" s="340"/>
      <c r="S384" s="340"/>
    </row>
    <row r="385" spans="9:19">
      <c r="I385" s="340"/>
      <c r="J385" s="340"/>
      <c r="L385" s="340"/>
      <c r="M385" s="313"/>
      <c r="R385" s="340"/>
      <c r="S385" s="340"/>
    </row>
    <row r="386" spans="9:19">
      <c r="I386" s="340"/>
      <c r="J386" s="340"/>
      <c r="L386" s="340"/>
      <c r="M386" s="313"/>
      <c r="R386" s="340"/>
      <c r="S386" s="340"/>
    </row>
    <row r="387" spans="9:19">
      <c r="I387" s="340"/>
      <c r="J387" s="340"/>
      <c r="L387" s="340"/>
      <c r="M387" s="313"/>
      <c r="R387" s="340"/>
      <c r="S387" s="340"/>
    </row>
    <row r="388" spans="9:19">
      <c r="I388" s="340"/>
      <c r="J388" s="340"/>
      <c r="L388" s="340"/>
      <c r="M388" s="313"/>
      <c r="R388" s="340"/>
      <c r="S388" s="340"/>
    </row>
    <row r="389" spans="9:19">
      <c r="I389" s="340"/>
      <c r="J389" s="340"/>
      <c r="L389" s="340"/>
      <c r="M389" s="313"/>
      <c r="R389" s="340"/>
      <c r="S389" s="340"/>
    </row>
    <row r="390" spans="9:19">
      <c r="I390" s="340"/>
      <c r="J390" s="340"/>
      <c r="L390" s="340"/>
      <c r="M390" s="313"/>
      <c r="R390" s="340"/>
      <c r="S390" s="340"/>
    </row>
    <row r="391" spans="9:19">
      <c r="I391" s="340"/>
      <c r="J391" s="340"/>
      <c r="L391" s="340"/>
      <c r="M391" s="313"/>
      <c r="R391" s="340"/>
      <c r="S391" s="340"/>
    </row>
    <row r="392" spans="9:19">
      <c r="I392" s="340"/>
      <c r="J392" s="340"/>
      <c r="L392" s="340"/>
      <c r="M392" s="313"/>
      <c r="R392" s="340"/>
      <c r="S392" s="340"/>
    </row>
    <row r="393" spans="9:19">
      <c r="I393" s="340"/>
      <c r="J393" s="340"/>
      <c r="L393" s="340"/>
      <c r="M393" s="313"/>
      <c r="R393" s="340"/>
      <c r="S393" s="340"/>
    </row>
    <row r="394" spans="9:19">
      <c r="I394" s="340"/>
      <c r="J394" s="340"/>
      <c r="L394" s="340"/>
      <c r="M394" s="313"/>
      <c r="R394" s="340"/>
      <c r="S394" s="340"/>
    </row>
    <row r="395" spans="9:19">
      <c r="I395" s="340"/>
      <c r="J395" s="340"/>
      <c r="L395" s="340"/>
      <c r="M395" s="313"/>
      <c r="R395" s="340"/>
      <c r="S395" s="340"/>
    </row>
    <row r="396" spans="9:19">
      <c r="I396" s="340"/>
      <c r="J396" s="340"/>
      <c r="L396" s="340"/>
      <c r="M396" s="313"/>
      <c r="R396" s="340"/>
      <c r="S396" s="340"/>
    </row>
    <row r="397" spans="9:19">
      <c r="I397" s="340"/>
      <c r="J397" s="340"/>
      <c r="L397" s="340"/>
      <c r="M397" s="313"/>
      <c r="R397" s="340"/>
      <c r="S397" s="340"/>
    </row>
    <row r="398" spans="9:19">
      <c r="I398" s="340"/>
      <c r="J398" s="340"/>
      <c r="L398" s="340"/>
      <c r="M398" s="313"/>
      <c r="R398" s="340"/>
      <c r="S398" s="340"/>
    </row>
    <row r="399" spans="9:19">
      <c r="I399" s="340"/>
      <c r="J399" s="340"/>
      <c r="L399" s="340"/>
      <c r="M399" s="313"/>
      <c r="R399" s="340"/>
      <c r="S399" s="340"/>
    </row>
    <row r="400" spans="9:19">
      <c r="I400" s="340"/>
      <c r="J400" s="340"/>
      <c r="L400" s="340"/>
      <c r="M400" s="313"/>
      <c r="R400" s="340"/>
      <c r="S400" s="340"/>
    </row>
    <row r="401" spans="9:19">
      <c r="I401" s="340"/>
      <c r="J401" s="340"/>
      <c r="L401" s="340"/>
      <c r="M401" s="313"/>
      <c r="R401" s="340"/>
      <c r="S401" s="340"/>
    </row>
    <row r="402" spans="9:19">
      <c r="I402" s="340"/>
      <c r="J402" s="340"/>
      <c r="L402" s="340"/>
      <c r="M402" s="313"/>
      <c r="R402" s="340"/>
      <c r="S402" s="340"/>
    </row>
    <row r="403" spans="9:19">
      <c r="I403" s="340"/>
      <c r="J403" s="340"/>
      <c r="L403" s="340"/>
      <c r="M403" s="313"/>
      <c r="R403" s="340"/>
      <c r="S403" s="340"/>
    </row>
    <row r="404" spans="9:19">
      <c r="I404" s="340"/>
      <c r="J404" s="340"/>
      <c r="L404" s="340"/>
      <c r="M404" s="313"/>
      <c r="R404" s="340"/>
      <c r="S404" s="340"/>
    </row>
    <row r="405" spans="9:19">
      <c r="I405" s="340"/>
      <c r="J405" s="340"/>
      <c r="L405" s="340"/>
      <c r="M405" s="313"/>
      <c r="R405" s="340"/>
      <c r="S405" s="340"/>
    </row>
    <row r="406" spans="9:19">
      <c r="I406" s="340"/>
      <c r="J406" s="340"/>
      <c r="L406" s="340"/>
      <c r="M406" s="313"/>
      <c r="R406" s="340"/>
      <c r="S406" s="340"/>
    </row>
    <row r="407" spans="9:19">
      <c r="I407" s="340"/>
      <c r="J407" s="340"/>
      <c r="L407" s="340"/>
      <c r="M407" s="313"/>
      <c r="R407" s="340"/>
      <c r="S407" s="340"/>
    </row>
    <row r="408" spans="9:19">
      <c r="I408" s="340"/>
      <c r="J408" s="340"/>
      <c r="L408" s="340"/>
      <c r="M408" s="313"/>
      <c r="R408" s="340"/>
      <c r="S408" s="340"/>
    </row>
    <row r="409" spans="9:19">
      <c r="I409" s="340"/>
      <c r="J409" s="340"/>
      <c r="L409" s="340"/>
      <c r="M409" s="313"/>
      <c r="R409" s="340"/>
      <c r="S409" s="340"/>
    </row>
    <row r="410" spans="9:19">
      <c r="I410" s="340"/>
      <c r="J410" s="340"/>
      <c r="L410" s="340"/>
      <c r="M410" s="313"/>
      <c r="R410" s="340"/>
      <c r="S410" s="340"/>
    </row>
    <row r="411" spans="9:19">
      <c r="I411" s="340"/>
      <c r="J411" s="340"/>
      <c r="L411" s="340"/>
      <c r="M411" s="313"/>
      <c r="R411" s="340"/>
      <c r="S411" s="340"/>
    </row>
    <row r="412" spans="9:19">
      <c r="I412" s="340"/>
      <c r="J412" s="340"/>
      <c r="L412" s="340"/>
      <c r="M412" s="313"/>
      <c r="R412" s="340"/>
      <c r="S412" s="340"/>
    </row>
    <row r="413" spans="9:19">
      <c r="I413" s="340"/>
      <c r="J413" s="340"/>
      <c r="L413" s="340"/>
      <c r="M413" s="313"/>
      <c r="R413" s="340"/>
      <c r="S413" s="340"/>
    </row>
    <row r="414" spans="9:19">
      <c r="I414" s="340"/>
      <c r="J414" s="340"/>
      <c r="L414" s="340"/>
      <c r="M414" s="313"/>
      <c r="R414" s="340"/>
      <c r="S414" s="340"/>
    </row>
    <row r="415" spans="9:19">
      <c r="I415" s="340"/>
      <c r="J415" s="340"/>
      <c r="L415" s="340"/>
      <c r="M415" s="313"/>
      <c r="R415" s="340"/>
      <c r="S415" s="340"/>
    </row>
    <row r="416" spans="9:19">
      <c r="I416" s="340"/>
      <c r="J416" s="340"/>
      <c r="L416" s="340"/>
      <c r="M416" s="313"/>
      <c r="R416" s="340"/>
      <c r="S416" s="340"/>
    </row>
    <row r="417" spans="9:19">
      <c r="I417" s="340"/>
      <c r="J417" s="340"/>
      <c r="L417" s="340"/>
      <c r="M417" s="313"/>
      <c r="R417" s="340"/>
      <c r="S417" s="340"/>
    </row>
    <row r="418" spans="9:19">
      <c r="I418" s="340"/>
      <c r="J418" s="340"/>
      <c r="L418" s="340"/>
      <c r="M418" s="313"/>
      <c r="R418" s="340"/>
      <c r="S418" s="340"/>
    </row>
    <row r="419" spans="9:19">
      <c r="I419" s="340"/>
      <c r="J419" s="340"/>
      <c r="L419" s="340"/>
      <c r="M419" s="313"/>
      <c r="R419" s="340"/>
      <c r="S419" s="340"/>
    </row>
    <row r="420" spans="9:19">
      <c r="I420" s="340"/>
      <c r="J420" s="340"/>
      <c r="L420" s="340"/>
      <c r="M420" s="313"/>
      <c r="R420" s="340"/>
      <c r="S420" s="340"/>
    </row>
    <row r="421" spans="9:19">
      <c r="I421" s="340"/>
      <c r="J421" s="340"/>
      <c r="L421" s="340"/>
      <c r="M421" s="313"/>
      <c r="R421" s="340"/>
      <c r="S421" s="340"/>
    </row>
    <row r="422" spans="9:19">
      <c r="I422" s="340"/>
      <c r="J422" s="340"/>
      <c r="L422" s="340"/>
      <c r="M422" s="313"/>
      <c r="R422" s="340"/>
      <c r="S422" s="340"/>
    </row>
    <row r="423" spans="9:19">
      <c r="I423" s="340"/>
      <c r="J423" s="340"/>
      <c r="L423" s="340"/>
      <c r="M423" s="313"/>
      <c r="R423" s="340"/>
      <c r="S423" s="340"/>
    </row>
    <row r="424" spans="9:19">
      <c r="I424" s="340"/>
      <c r="J424" s="340"/>
      <c r="L424" s="340"/>
      <c r="M424" s="313"/>
      <c r="R424" s="340"/>
      <c r="S424" s="340"/>
    </row>
    <row r="425" spans="9:19">
      <c r="I425" s="340"/>
      <c r="J425" s="340"/>
      <c r="L425" s="340"/>
      <c r="M425" s="313"/>
      <c r="R425" s="340"/>
      <c r="S425" s="340"/>
    </row>
    <row r="426" spans="9:19">
      <c r="I426" s="340"/>
      <c r="J426" s="340"/>
      <c r="L426" s="340"/>
      <c r="M426" s="313"/>
      <c r="R426" s="340"/>
      <c r="S426" s="340"/>
    </row>
    <row r="427" spans="9:19">
      <c r="I427" s="340"/>
      <c r="J427" s="340"/>
      <c r="L427" s="340"/>
      <c r="M427" s="313"/>
      <c r="R427" s="340"/>
      <c r="S427" s="340"/>
    </row>
    <row r="428" spans="9:19">
      <c r="I428" s="340"/>
      <c r="J428" s="340"/>
      <c r="L428" s="340"/>
      <c r="M428" s="313"/>
      <c r="R428" s="340"/>
      <c r="S428" s="340"/>
    </row>
    <row r="429" spans="9:19">
      <c r="I429" s="340"/>
      <c r="J429" s="340"/>
      <c r="L429" s="340"/>
      <c r="M429" s="313"/>
      <c r="R429" s="340"/>
      <c r="S429" s="340"/>
    </row>
    <row r="430" spans="9:19">
      <c r="I430" s="340"/>
      <c r="J430" s="340"/>
      <c r="L430" s="340"/>
      <c r="M430" s="313"/>
      <c r="R430" s="340"/>
      <c r="S430" s="340"/>
    </row>
    <row r="431" spans="9:19">
      <c r="I431" s="340"/>
      <c r="J431" s="340"/>
      <c r="L431" s="340"/>
      <c r="M431" s="313"/>
      <c r="R431" s="340"/>
      <c r="S431" s="340"/>
    </row>
    <row r="432" spans="9:19">
      <c r="I432" s="340"/>
      <c r="J432" s="340"/>
      <c r="L432" s="340"/>
      <c r="M432" s="313"/>
      <c r="R432" s="340"/>
      <c r="S432" s="340"/>
    </row>
    <row r="433" spans="9:19">
      <c r="I433" s="340"/>
      <c r="J433" s="340"/>
      <c r="L433" s="340"/>
      <c r="M433" s="313"/>
      <c r="R433" s="340"/>
      <c r="S433" s="340"/>
    </row>
    <row r="434" spans="9:19">
      <c r="I434" s="340"/>
      <c r="J434" s="340"/>
      <c r="L434" s="340"/>
      <c r="M434" s="313"/>
      <c r="R434" s="340"/>
      <c r="S434" s="340"/>
    </row>
    <row r="435" spans="9:19">
      <c r="I435" s="340"/>
      <c r="J435" s="340"/>
      <c r="L435" s="340"/>
      <c r="M435" s="313"/>
      <c r="R435" s="340"/>
      <c r="S435" s="340"/>
    </row>
    <row r="436" spans="9:19">
      <c r="I436" s="340"/>
      <c r="J436" s="340"/>
      <c r="L436" s="340"/>
      <c r="M436" s="313"/>
      <c r="R436" s="340"/>
      <c r="S436" s="340"/>
    </row>
    <row r="437" spans="9:19">
      <c r="I437" s="340"/>
      <c r="J437" s="340"/>
      <c r="L437" s="340"/>
      <c r="M437" s="313"/>
      <c r="R437" s="340"/>
      <c r="S437" s="340"/>
    </row>
    <row r="438" spans="9:19">
      <c r="I438" s="340"/>
      <c r="J438" s="340"/>
      <c r="L438" s="340"/>
      <c r="M438" s="313"/>
      <c r="R438" s="340"/>
      <c r="S438" s="340"/>
    </row>
    <row r="439" spans="9:19">
      <c r="I439" s="340"/>
      <c r="J439" s="340"/>
      <c r="L439" s="340"/>
      <c r="M439" s="313"/>
      <c r="R439" s="340"/>
      <c r="S439" s="340"/>
    </row>
    <row r="440" spans="9:19">
      <c r="I440" s="340"/>
      <c r="J440" s="340"/>
      <c r="L440" s="340"/>
      <c r="M440" s="313"/>
      <c r="R440" s="340"/>
      <c r="S440" s="340"/>
    </row>
  </sheetData>
  <mergeCells count="6">
    <mergeCell ref="B55:Z55"/>
    <mergeCell ref="A1:Z1"/>
    <mergeCell ref="A2:Z2"/>
    <mergeCell ref="A3:Z3"/>
    <mergeCell ref="C5:S5"/>
    <mergeCell ref="W5:Z5"/>
  </mergeCells>
  <phoneticPr fontId="24" type="noConversion"/>
  <printOptions horizontalCentered="1"/>
  <pageMargins left="0.25" right="0.25" top="0.5" bottom="0.5" header="0.3" footer="0.3"/>
  <pageSetup scale="67" orientation="landscape" r:id="rId1"/>
  <headerFooter alignWithMargins="0">
    <oddFooter>&amp;R&amp;A</oddFooter>
  </headerFooter>
  <ignoredErrors>
    <ignoredError sqref="A55" numberStoredAsText="1"/>
  </ignoredErrors>
</worksheet>
</file>

<file path=xl/worksheets/sheet16.xml><?xml version="1.0" encoding="utf-8"?>
<worksheet xmlns="http://schemas.openxmlformats.org/spreadsheetml/2006/main" xmlns:r="http://schemas.openxmlformats.org/officeDocument/2006/relationships">
  <sheetPr>
    <pageSetUpPr fitToPage="1"/>
  </sheetPr>
  <dimension ref="A1:BC490"/>
  <sheetViews>
    <sheetView topLeftCell="B1" zoomScale="75" zoomScaleNormal="75" workbookViewId="0">
      <selection activeCell="AL19" sqref="AL19"/>
    </sheetView>
  </sheetViews>
  <sheetFormatPr defaultColWidth="9.109375" defaultRowHeight="10.199999999999999"/>
  <cols>
    <col min="1" max="1" width="3.33203125" style="2" customWidth="1"/>
    <col min="2" max="2" width="25.109375" style="2" customWidth="1"/>
    <col min="3" max="3" width="2.44140625" style="2" customWidth="1"/>
    <col min="4" max="4" width="8.44140625" style="2" customWidth="1"/>
    <col min="5" max="5" width="2.44140625" style="2" customWidth="1"/>
    <col min="6" max="6" width="8.44140625" style="2" customWidth="1"/>
    <col min="7" max="8" width="2.44140625" style="2" customWidth="1"/>
    <col min="9" max="9" width="8.44140625" style="2" customWidth="1"/>
    <col min="10" max="10" width="2.44140625" style="2" customWidth="1"/>
    <col min="11" max="11" width="8.44140625" style="2" customWidth="1"/>
    <col min="12" max="13" width="2.44140625" style="2" customWidth="1"/>
    <col min="14" max="14" width="8.44140625" style="2" customWidth="1"/>
    <col min="15" max="15" width="2.44140625" style="2" customWidth="1"/>
    <col min="16" max="16" width="8.44140625" style="2" customWidth="1"/>
    <col min="17" max="18" width="2.44140625" style="2" customWidth="1"/>
    <col min="19" max="19" width="8.44140625" style="2" customWidth="1"/>
    <col min="20" max="20" width="2.44140625" style="2" customWidth="1"/>
    <col min="21" max="21" width="8.44140625" style="2" customWidth="1"/>
    <col min="22" max="23" width="2.44140625" style="2" customWidth="1"/>
    <col min="24" max="24" width="9" style="2" customWidth="1"/>
    <col min="25" max="25" width="2.44140625" style="2" customWidth="1"/>
    <col min="26" max="26" width="8.44140625" style="2" customWidth="1"/>
    <col min="27" max="28" width="2.44140625" style="2" customWidth="1"/>
    <col min="29" max="29" width="8.44140625" style="2" customWidth="1"/>
    <col min="30" max="30" width="2.44140625" style="2" customWidth="1"/>
    <col min="31" max="31" width="8.44140625" style="2" customWidth="1"/>
    <col min="32" max="33" width="2.44140625" style="2" customWidth="1"/>
    <col min="34" max="34" width="8.44140625" style="2" customWidth="1"/>
    <col min="35" max="35" width="2.44140625" style="2" customWidth="1"/>
    <col min="36" max="36" width="8.44140625" style="2" customWidth="1"/>
    <col min="37" max="37" width="2.44140625" style="2" customWidth="1"/>
    <col min="38" max="38" width="8.44140625" style="2" customWidth="1"/>
    <col min="39" max="39" width="2.44140625" style="2" customWidth="1"/>
    <col min="40" max="40" width="8.44140625" style="2" customWidth="1"/>
    <col min="41" max="41" width="2.44140625" style="2" customWidth="1"/>
    <col min="42" max="42" width="16.6640625" style="2" customWidth="1"/>
    <col min="43" max="16384" width="9.109375" style="2"/>
  </cols>
  <sheetData>
    <row r="1" spans="1:55" ht="13.2">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972"/>
      <c r="AA1" s="972"/>
      <c r="AB1" s="972"/>
      <c r="AC1" s="972"/>
      <c r="AD1" s="972"/>
      <c r="AE1" s="972"/>
      <c r="AF1" s="972"/>
      <c r="AG1" s="972"/>
      <c r="AH1" s="972"/>
      <c r="AI1" s="972"/>
      <c r="AJ1" s="972"/>
      <c r="AK1" s="972"/>
      <c r="AL1" s="972"/>
      <c r="AM1" s="972"/>
      <c r="AN1" s="972"/>
      <c r="AO1" s="972"/>
      <c r="AP1" s="972"/>
    </row>
    <row r="2" spans="1:55" ht="13.2">
      <c r="A2" s="996" t="s">
        <v>373</v>
      </c>
      <c r="B2" s="996"/>
      <c r="C2" s="996"/>
      <c r="D2" s="996"/>
      <c r="E2" s="996"/>
      <c r="F2" s="996"/>
      <c r="G2" s="996"/>
      <c r="H2" s="996"/>
      <c r="I2" s="996"/>
      <c r="J2" s="996"/>
      <c r="K2" s="996"/>
      <c r="L2" s="996"/>
      <c r="M2" s="996"/>
      <c r="N2" s="996"/>
      <c r="O2" s="996"/>
      <c r="P2" s="996"/>
      <c r="Q2" s="996"/>
      <c r="R2" s="996"/>
      <c r="S2" s="996"/>
      <c r="T2" s="996"/>
      <c r="U2" s="996"/>
      <c r="V2" s="996"/>
      <c r="W2" s="996"/>
      <c r="X2" s="996"/>
      <c r="Y2" s="996"/>
      <c r="Z2" s="996"/>
      <c r="AA2" s="996"/>
      <c r="AB2" s="996"/>
      <c r="AC2" s="996"/>
      <c r="AD2" s="996"/>
      <c r="AE2" s="996"/>
      <c r="AF2" s="996"/>
      <c r="AG2" s="996"/>
      <c r="AH2" s="996"/>
      <c r="AI2" s="996"/>
      <c r="AJ2" s="996"/>
      <c r="AK2" s="996"/>
      <c r="AL2" s="996"/>
      <c r="AM2" s="996"/>
      <c r="AN2" s="996"/>
      <c r="AO2" s="996"/>
      <c r="AP2" s="996"/>
    </row>
    <row r="3" spans="1:55">
      <c r="A3" s="997" t="s">
        <v>800</v>
      </c>
      <c r="B3" s="997"/>
      <c r="C3" s="997"/>
      <c r="D3" s="997"/>
      <c r="E3" s="997"/>
      <c r="F3" s="997"/>
      <c r="G3" s="997"/>
      <c r="H3" s="997"/>
      <c r="I3" s="997"/>
      <c r="J3" s="997"/>
      <c r="K3" s="997"/>
      <c r="L3" s="997"/>
      <c r="M3" s="997"/>
      <c r="N3" s="997"/>
      <c r="O3" s="997"/>
      <c r="P3" s="997"/>
      <c r="Q3" s="997"/>
      <c r="R3" s="997"/>
      <c r="S3" s="997"/>
      <c r="T3" s="997"/>
      <c r="U3" s="997"/>
      <c r="V3" s="997"/>
      <c r="W3" s="997"/>
      <c r="X3" s="997"/>
      <c r="Y3" s="997"/>
      <c r="Z3" s="997"/>
      <c r="AA3" s="997"/>
      <c r="AB3" s="997"/>
      <c r="AC3" s="997"/>
      <c r="AD3" s="997"/>
      <c r="AE3" s="997"/>
      <c r="AF3" s="997"/>
      <c r="AG3" s="997"/>
      <c r="AH3" s="997"/>
      <c r="AI3" s="997"/>
      <c r="AJ3" s="997"/>
      <c r="AK3" s="997"/>
      <c r="AL3" s="997"/>
      <c r="AM3" s="997"/>
      <c r="AN3" s="997"/>
      <c r="AO3" s="997"/>
      <c r="AP3" s="997"/>
    </row>
    <row r="4" spans="1:55">
      <c r="A4" s="785"/>
      <c r="B4" s="785"/>
      <c r="C4" s="785"/>
      <c r="D4" s="785"/>
      <c r="E4" s="785"/>
      <c r="F4" s="785"/>
      <c r="G4" s="785"/>
      <c r="H4" s="785"/>
      <c r="I4" s="785"/>
      <c r="J4" s="785"/>
      <c r="K4" s="785"/>
      <c r="L4" s="785"/>
      <c r="M4" s="785"/>
      <c r="N4" s="785"/>
      <c r="O4" s="785"/>
      <c r="P4" s="785"/>
      <c r="Q4" s="785"/>
      <c r="R4" s="785"/>
      <c r="S4" s="785"/>
      <c r="T4" s="785"/>
      <c r="U4" s="785"/>
      <c r="V4" s="785"/>
      <c r="W4" s="785"/>
      <c r="X4" s="785"/>
      <c r="Y4" s="785"/>
      <c r="Z4" s="785"/>
      <c r="AA4" s="785"/>
      <c r="AB4" s="785"/>
      <c r="AC4" s="785"/>
      <c r="AD4" s="785"/>
      <c r="AE4" s="785"/>
      <c r="AF4" s="785"/>
      <c r="AG4" s="785"/>
      <c r="AH4" s="785"/>
      <c r="AI4" s="785"/>
      <c r="AJ4" s="785"/>
      <c r="AK4" s="785"/>
      <c r="AL4" s="785"/>
      <c r="AM4" s="785"/>
      <c r="AN4" s="785"/>
      <c r="AO4" s="785"/>
      <c r="AP4" s="785"/>
    </row>
    <row r="5" spans="1:55" s="65" customFormat="1" ht="12">
      <c r="A5" s="315"/>
      <c r="B5" s="353"/>
      <c r="C5" s="256"/>
      <c r="D5" s="34"/>
      <c r="E5" s="256"/>
      <c r="F5" s="34"/>
      <c r="G5" s="34"/>
      <c r="H5" s="256"/>
      <c r="I5" s="34"/>
      <c r="J5" s="256"/>
      <c r="K5" s="34"/>
      <c r="L5" s="34"/>
      <c r="M5" s="256"/>
      <c r="N5" s="34"/>
      <c r="O5" s="256"/>
      <c r="P5" s="34"/>
      <c r="Q5" s="34"/>
      <c r="R5" s="256"/>
      <c r="S5" s="34"/>
      <c r="T5" s="256"/>
      <c r="U5" s="34"/>
      <c r="V5" s="66"/>
      <c r="W5" s="255"/>
      <c r="X5" s="272"/>
      <c r="Y5" s="231"/>
      <c r="Z5" s="272"/>
      <c r="AA5" s="66"/>
      <c r="AB5" s="66"/>
      <c r="AC5" s="272"/>
      <c r="AD5" s="231"/>
      <c r="AE5" s="272"/>
      <c r="AH5" s="354"/>
      <c r="AI5" s="66"/>
      <c r="AJ5" s="354"/>
      <c r="AL5" s="354"/>
      <c r="AM5" s="66"/>
      <c r="AN5" s="354"/>
      <c r="AP5" s="354"/>
      <c r="AQ5" s="2"/>
      <c r="AR5" s="2"/>
      <c r="AS5" s="2"/>
      <c r="AT5" s="2"/>
      <c r="AU5" s="2"/>
      <c r="AV5" s="2"/>
      <c r="AW5" s="2"/>
      <c r="AX5" s="2"/>
      <c r="AY5" s="2"/>
      <c r="AZ5" s="2"/>
      <c r="BA5" s="2"/>
      <c r="BB5" s="2"/>
      <c r="BC5" s="2"/>
    </row>
    <row r="6" spans="1:55" s="65" customFormat="1" ht="11.4">
      <c r="B6" s="355"/>
      <c r="C6" s="355"/>
      <c r="D6" s="975" t="s">
        <v>390</v>
      </c>
      <c r="E6" s="975"/>
      <c r="F6" s="975"/>
      <c r="G6" s="975"/>
      <c r="H6" s="975"/>
      <c r="I6" s="975"/>
      <c r="J6" s="975"/>
      <c r="K6" s="975"/>
      <c r="L6" s="975"/>
      <c r="M6" s="975"/>
      <c r="N6" s="975"/>
      <c r="O6" s="975"/>
      <c r="P6" s="975"/>
      <c r="Q6" s="975"/>
      <c r="R6" s="975"/>
      <c r="S6" s="975"/>
      <c r="T6" s="975"/>
      <c r="U6" s="975"/>
      <c r="V6" s="975"/>
      <c r="W6" s="975"/>
      <c r="X6" s="975"/>
      <c r="Y6" s="975"/>
      <c r="Z6" s="975"/>
      <c r="AA6" s="975"/>
      <c r="AB6" s="975"/>
      <c r="AC6" s="975"/>
      <c r="AD6" s="975"/>
      <c r="AE6" s="975"/>
      <c r="AF6" s="975"/>
      <c r="AG6" s="975"/>
      <c r="AH6" s="975"/>
      <c r="AI6" s="975"/>
      <c r="AJ6" s="975"/>
      <c r="AK6" s="975"/>
      <c r="AL6" s="975"/>
      <c r="AM6" s="975"/>
      <c r="AN6" s="975"/>
      <c r="AO6" s="975"/>
      <c r="AP6" s="975"/>
      <c r="AQ6" s="2"/>
      <c r="AR6" s="2"/>
      <c r="AS6" s="2"/>
      <c r="AT6" s="2"/>
      <c r="AU6" s="2"/>
      <c r="AV6" s="2"/>
      <c r="AW6" s="2"/>
      <c r="AX6" s="2"/>
      <c r="AY6" s="2"/>
      <c r="AZ6" s="2"/>
      <c r="BA6" s="2"/>
      <c r="BB6" s="2"/>
      <c r="BC6" s="2"/>
    </row>
    <row r="7" spans="1:55" s="65" customFormat="1" ht="11.4">
      <c r="B7" s="355"/>
      <c r="C7" s="355"/>
      <c r="D7" s="6"/>
      <c r="E7" s="6"/>
      <c r="F7" s="6"/>
      <c r="G7" s="6"/>
      <c r="H7" s="6"/>
      <c r="I7" s="6"/>
      <c r="J7" s="6"/>
      <c r="K7" s="6"/>
      <c r="L7" s="6"/>
      <c r="M7" s="6"/>
      <c r="N7" s="6"/>
      <c r="O7" s="6"/>
      <c r="P7" s="6"/>
      <c r="Q7" s="6"/>
      <c r="R7" s="6"/>
      <c r="S7" s="6"/>
      <c r="T7" s="6"/>
      <c r="U7" s="6"/>
      <c r="V7" s="6"/>
      <c r="W7" s="6"/>
      <c r="X7" s="6"/>
      <c r="Y7" s="6"/>
      <c r="Z7" s="6"/>
      <c r="AA7" s="6"/>
      <c r="AB7" s="6"/>
      <c r="AC7" s="6"/>
      <c r="AD7" s="6"/>
      <c r="AE7" s="6"/>
      <c r="AQ7" s="2"/>
      <c r="AR7" s="2"/>
      <c r="AS7" s="2"/>
      <c r="AT7" s="2"/>
      <c r="AU7" s="2"/>
      <c r="AV7" s="2"/>
      <c r="AW7" s="2"/>
      <c r="AX7" s="2"/>
      <c r="AY7" s="2"/>
      <c r="AZ7" s="2"/>
      <c r="BA7" s="2"/>
      <c r="BB7" s="2"/>
      <c r="BC7" s="2"/>
    </row>
    <row r="8" spans="1:55" s="65" customFormat="1" ht="11.4">
      <c r="B8" s="355"/>
      <c r="C8" s="355"/>
      <c r="D8" s="76">
        <v>2012</v>
      </c>
      <c r="E8" s="6"/>
      <c r="F8" s="76">
        <v>2011</v>
      </c>
      <c r="G8" s="6"/>
      <c r="H8" s="6"/>
      <c r="I8" s="76">
        <v>2012</v>
      </c>
      <c r="J8" s="6"/>
      <c r="K8" s="76">
        <v>2011</v>
      </c>
      <c r="L8" s="6"/>
      <c r="M8" s="6"/>
      <c r="N8" s="76">
        <v>2012</v>
      </c>
      <c r="O8" s="6"/>
      <c r="P8" s="76">
        <v>2011</v>
      </c>
      <c r="Q8" s="74"/>
      <c r="R8" s="74"/>
      <c r="S8" s="76">
        <v>2012</v>
      </c>
      <c r="T8" s="6"/>
      <c r="U8" s="76">
        <v>2011</v>
      </c>
      <c r="V8" s="6"/>
      <c r="W8" s="6"/>
      <c r="X8" s="76">
        <v>2012</v>
      </c>
      <c r="Y8" s="6"/>
      <c r="Z8" s="76">
        <v>2011</v>
      </c>
      <c r="AA8" s="6"/>
      <c r="AB8" s="6"/>
      <c r="AC8" s="76">
        <v>2012</v>
      </c>
      <c r="AD8" s="6"/>
      <c r="AE8" s="76">
        <v>2011</v>
      </c>
      <c r="AH8" s="76">
        <v>2012</v>
      </c>
      <c r="AI8" s="6"/>
      <c r="AJ8" s="76">
        <v>2011</v>
      </c>
      <c r="AL8" s="76">
        <v>2012</v>
      </c>
      <c r="AM8" s="6"/>
      <c r="AN8" s="76">
        <v>2011</v>
      </c>
      <c r="AP8" s="76">
        <v>2012</v>
      </c>
      <c r="AQ8" s="2"/>
      <c r="AR8" s="2"/>
      <c r="AS8" s="2"/>
      <c r="AT8" s="2"/>
      <c r="AU8" s="2"/>
      <c r="AV8" s="2"/>
      <c r="AW8" s="2"/>
      <c r="AX8" s="2"/>
      <c r="AY8" s="2"/>
      <c r="AZ8" s="2"/>
      <c r="BA8" s="2"/>
      <c r="BB8" s="2"/>
      <c r="BC8" s="2"/>
    </row>
    <row r="9" spans="1:55" s="65" customFormat="1" ht="11.4">
      <c r="B9" s="355"/>
      <c r="C9" s="355"/>
      <c r="D9" s="74"/>
      <c r="E9" s="6"/>
      <c r="F9" s="74"/>
      <c r="G9" s="6"/>
      <c r="H9" s="6"/>
      <c r="I9" s="74"/>
      <c r="J9" s="6"/>
      <c r="K9" s="74"/>
      <c r="L9" s="6"/>
      <c r="M9" s="6"/>
      <c r="N9" s="74"/>
      <c r="O9" s="6"/>
      <c r="P9" s="74"/>
      <c r="Q9" s="74"/>
      <c r="R9" s="74"/>
      <c r="S9" s="74"/>
      <c r="T9" s="6"/>
      <c r="U9" s="74"/>
      <c r="V9" s="6"/>
      <c r="W9" s="6"/>
      <c r="X9" s="74"/>
      <c r="Y9" s="6"/>
      <c r="Z9" s="74"/>
      <c r="AA9" s="6"/>
      <c r="AB9" s="6"/>
      <c r="AC9" s="74"/>
      <c r="AD9" s="6"/>
      <c r="AE9" s="74"/>
      <c r="AH9" s="74"/>
      <c r="AI9" s="6"/>
      <c r="AJ9" s="74"/>
      <c r="AL9" s="74"/>
      <c r="AM9" s="6"/>
      <c r="AN9" s="74"/>
      <c r="AP9" s="74"/>
      <c r="AQ9" s="2"/>
      <c r="AR9" s="2"/>
      <c r="AS9" s="2"/>
      <c r="AT9" s="2"/>
      <c r="AU9" s="2"/>
      <c r="AV9" s="2"/>
      <c r="AW9" s="2"/>
      <c r="AX9" s="2"/>
      <c r="AY9" s="2"/>
      <c r="AZ9" s="2"/>
      <c r="BA9" s="2"/>
      <c r="BB9" s="2"/>
      <c r="BC9" s="2"/>
    </row>
    <row r="10" spans="1:55" s="65" customFormat="1" ht="11.4">
      <c r="B10" s="355"/>
      <c r="C10" s="355"/>
      <c r="D10" s="74"/>
      <c r="E10" s="6"/>
      <c r="F10" s="74"/>
      <c r="G10" s="6"/>
      <c r="H10" s="6"/>
      <c r="I10" s="74"/>
      <c r="J10" s="6"/>
      <c r="K10" s="74"/>
      <c r="L10" s="6"/>
      <c r="M10" s="6"/>
      <c r="N10" s="74"/>
      <c r="O10" s="6"/>
      <c r="P10" s="74"/>
      <c r="Q10" s="74"/>
      <c r="R10" s="74"/>
      <c r="S10" s="74"/>
      <c r="T10" s="6"/>
      <c r="U10" s="74"/>
      <c r="V10" s="6"/>
      <c r="W10" s="6"/>
      <c r="X10" s="74"/>
      <c r="Y10" s="6"/>
      <c r="Z10" s="74"/>
      <c r="AA10" s="6"/>
      <c r="AB10" s="6"/>
      <c r="AC10" s="74"/>
      <c r="AD10" s="6"/>
      <c r="AE10" s="74"/>
      <c r="AH10" s="74"/>
      <c r="AI10" s="6"/>
      <c r="AJ10" s="74"/>
      <c r="AL10" s="74"/>
      <c r="AM10" s="6"/>
      <c r="AN10" s="74"/>
      <c r="AP10" s="10" t="s">
        <v>948</v>
      </c>
      <c r="AQ10" s="2"/>
      <c r="AR10" s="2"/>
      <c r="AS10" s="2"/>
      <c r="AT10" s="2"/>
      <c r="AU10" s="2"/>
      <c r="AV10" s="2"/>
      <c r="AW10" s="2"/>
      <c r="AX10" s="2"/>
      <c r="AY10" s="2"/>
      <c r="AZ10" s="2"/>
      <c r="BA10" s="2"/>
      <c r="BB10" s="2"/>
      <c r="BC10" s="2"/>
    </row>
    <row r="11" spans="1:55" s="65" customFormat="1" ht="11.4">
      <c r="B11" s="355"/>
      <c r="C11" s="355"/>
      <c r="D11" s="74"/>
      <c r="E11" s="6"/>
      <c r="F11" s="74"/>
      <c r="G11" s="6"/>
      <c r="H11" s="6"/>
      <c r="I11" s="74"/>
      <c r="J11" s="6"/>
      <c r="K11" s="74"/>
      <c r="L11" s="6"/>
      <c r="M11" s="6"/>
      <c r="N11" s="74"/>
      <c r="O11" s="6"/>
      <c r="P11" s="74"/>
      <c r="Q11" s="74"/>
      <c r="R11" s="74"/>
      <c r="S11" s="74"/>
      <c r="T11" s="6"/>
      <c r="U11" s="74"/>
      <c r="V11" s="6"/>
      <c r="W11" s="6"/>
      <c r="X11" s="74"/>
      <c r="Y11" s="6"/>
      <c r="Z11" s="74"/>
      <c r="AA11" s="6"/>
      <c r="AB11" s="6"/>
      <c r="AC11" s="74"/>
      <c r="AD11" s="6"/>
      <c r="AE11" s="74"/>
      <c r="AH11" s="74"/>
      <c r="AI11" s="6"/>
      <c r="AJ11" s="74"/>
      <c r="AL11" s="74"/>
      <c r="AM11" s="6"/>
      <c r="AN11" s="74"/>
      <c r="AP11" s="10" t="s">
        <v>949</v>
      </c>
      <c r="AQ11" s="2"/>
      <c r="AR11" s="2"/>
      <c r="AS11" s="2"/>
      <c r="AT11" s="2"/>
      <c r="AU11" s="2"/>
      <c r="AV11" s="2"/>
      <c r="AW11" s="2"/>
      <c r="AX11" s="2"/>
      <c r="AY11" s="2"/>
      <c r="AZ11" s="2"/>
      <c r="BA11" s="2"/>
      <c r="BB11" s="2"/>
      <c r="BC11" s="2"/>
    </row>
    <row r="12" spans="1:55" s="65" customFormat="1" ht="11.4">
      <c r="B12" s="355"/>
      <c r="C12" s="355"/>
      <c r="D12" s="74"/>
      <c r="E12" s="6"/>
      <c r="F12" s="74"/>
      <c r="G12" s="6"/>
      <c r="H12" s="6"/>
      <c r="I12" s="74"/>
      <c r="J12" s="6"/>
      <c r="K12" s="74"/>
      <c r="L12" s="6"/>
      <c r="M12" s="6"/>
      <c r="N12" s="74"/>
      <c r="O12" s="6"/>
      <c r="P12" s="74"/>
      <c r="Q12" s="74"/>
      <c r="R12" s="74"/>
      <c r="S12" s="74"/>
      <c r="T12" s="6"/>
      <c r="U12" s="74"/>
      <c r="V12" s="6"/>
      <c r="W12" s="6"/>
      <c r="X12" s="74"/>
      <c r="Y12" s="6"/>
      <c r="Z12" s="74"/>
      <c r="AA12" s="6"/>
      <c r="AB12" s="6"/>
      <c r="AC12" s="74"/>
      <c r="AD12" s="6"/>
      <c r="AE12" s="74"/>
      <c r="AH12" s="74"/>
      <c r="AI12" s="6"/>
      <c r="AJ12" s="74"/>
      <c r="AL12" s="74"/>
      <c r="AM12" s="6"/>
      <c r="AN12" s="74"/>
      <c r="AP12" s="10" t="s">
        <v>950</v>
      </c>
      <c r="AQ12" s="2"/>
      <c r="AR12" s="2"/>
      <c r="AS12" s="2"/>
      <c r="AT12" s="2"/>
      <c r="AU12" s="2"/>
      <c r="AV12" s="2"/>
      <c r="AW12" s="2"/>
      <c r="AX12" s="2"/>
      <c r="AY12" s="2"/>
      <c r="AZ12" s="2"/>
      <c r="BA12" s="2"/>
      <c r="BB12" s="2"/>
      <c r="BC12" s="2"/>
    </row>
    <row r="13" spans="1:55" s="65" customFormat="1" ht="11.4">
      <c r="B13" s="355"/>
      <c r="C13" s="355"/>
      <c r="D13" s="341"/>
      <c r="E13" s="6"/>
      <c r="F13" s="342"/>
      <c r="G13" s="6"/>
      <c r="H13" s="6"/>
      <c r="I13" s="341"/>
      <c r="J13" s="6"/>
      <c r="K13" s="342"/>
      <c r="L13" s="6"/>
      <c r="M13" s="6"/>
      <c r="N13" s="341"/>
      <c r="O13" s="6"/>
      <c r="P13" s="342"/>
      <c r="Q13" s="342"/>
      <c r="R13" s="342"/>
      <c r="S13" s="342"/>
      <c r="T13" s="342"/>
      <c r="U13" s="342"/>
      <c r="V13" s="6"/>
      <c r="W13" s="6"/>
      <c r="X13" s="341"/>
      <c r="Y13" s="6"/>
      <c r="Z13" s="342"/>
      <c r="AA13" s="6"/>
      <c r="AB13" s="6"/>
      <c r="AC13" s="341"/>
      <c r="AD13" s="6"/>
      <c r="AE13" s="342"/>
      <c r="AP13" s="10" t="s">
        <v>374</v>
      </c>
      <c r="AQ13" s="2"/>
      <c r="AR13" s="2"/>
      <c r="AS13" s="2"/>
      <c r="AT13" s="2"/>
      <c r="AU13" s="2"/>
      <c r="AV13" s="2"/>
      <c r="AW13" s="2"/>
      <c r="AX13" s="2"/>
      <c r="AY13" s="2"/>
      <c r="AZ13" s="2"/>
      <c r="BA13" s="2"/>
      <c r="BB13" s="2"/>
      <c r="BC13" s="2"/>
    </row>
    <row r="14" spans="1:55" s="65" customFormat="1" ht="12.75" customHeight="1">
      <c r="B14" s="66"/>
      <c r="C14" s="66"/>
      <c r="D14" s="343"/>
      <c r="E14" s="244"/>
      <c r="F14" s="244"/>
      <c r="G14" s="244"/>
      <c r="H14" s="355"/>
      <c r="I14" s="355"/>
      <c r="J14" s="355"/>
      <c r="K14" s="355"/>
      <c r="L14" s="355"/>
      <c r="M14" s="355"/>
      <c r="N14" s="355"/>
      <c r="O14" s="355"/>
      <c r="P14" s="355"/>
      <c r="Q14" s="355"/>
      <c r="R14" s="355"/>
      <c r="S14" s="355"/>
      <c r="T14" s="355"/>
      <c r="U14" s="355"/>
      <c r="V14" s="355"/>
      <c r="W14" s="355"/>
      <c r="X14" s="343"/>
      <c r="Y14" s="244"/>
      <c r="Z14" s="244"/>
      <c r="AA14" s="355"/>
      <c r="AB14" s="355"/>
      <c r="AC14" s="992" t="s">
        <v>255</v>
      </c>
      <c r="AD14" s="992"/>
      <c r="AE14" s="992"/>
      <c r="AH14" s="992" t="s">
        <v>687</v>
      </c>
      <c r="AI14" s="992"/>
      <c r="AJ14" s="992"/>
      <c r="AP14" s="10" t="s">
        <v>375</v>
      </c>
      <c r="AQ14" s="2"/>
      <c r="AR14" s="2"/>
      <c r="AS14" s="2"/>
      <c r="AT14" s="2"/>
      <c r="AU14" s="2"/>
      <c r="AV14" s="2"/>
      <c r="AW14" s="2"/>
      <c r="AX14" s="2"/>
      <c r="AY14" s="2"/>
      <c r="AZ14" s="2"/>
      <c r="BA14" s="2"/>
      <c r="BB14" s="2"/>
      <c r="BC14" s="2"/>
    </row>
    <row r="15" spans="1:55" s="65" customFormat="1" ht="12.75" customHeight="1">
      <c r="B15" s="66"/>
      <c r="C15" s="66"/>
      <c r="D15" s="6"/>
      <c r="E15" s="244"/>
      <c r="F15" s="244"/>
      <c r="G15" s="244"/>
      <c r="H15" s="355"/>
      <c r="I15" s="783"/>
      <c r="J15" s="783"/>
      <c r="K15" s="783"/>
      <c r="L15" s="783"/>
      <c r="M15" s="783"/>
      <c r="N15" s="993" t="s">
        <v>376</v>
      </c>
      <c r="O15" s="993"/>
      <c r="P15" s="993"/>
      <c r="Q15" s="783"/>
      <c r="R15" s="783"/>
      <c r="S15" s="993"/>
      <c r="T15" s="993"/>
      <c r="U15" s="993"/>
      <c r="V15" s="355"/>
      <c r="W15" s="355"/>
      <c r="X15" s="6"/>
      <c r="Y15" s="244"/>
      <c r="Z15" s="244"/>
      <c r="AA15" s="355"/>
      <c r="AB15" s="355"/>
      <c r="AC15" s="994" t="s">
        <v>377</v>
      </c>
      <c r="AD15" s="994"/>
      <c r="AE15" s="994"/>
      <c r="AH15" s="992" t="s">
        <v>378</v>
      </c>
      <c r="AI15" s="992"/>
      <c r="AJ15" s="992"/>
      <c r="AP15" s="10" t="s">
        <v>980</v>
      </c>
      <c r="AQ15" s="2"/>
      <c r="AR15" s="2"/>
      <c r="AS15" s="2"/>
      <c r="AT15" s="2"/>
      <c r="AU15" s="2"/>
      <c r="AV15" s="2"/>
      <c r="AW15" s="2"/>
      <c r="AX15" s="2"/>
      <c r="AY15" s="2"/>
      <c r="AZ15" s="2"/>
      <c r="BA15" s="2"/>
      <c r="BB15" s="2"/>
      <c r="BC15" s="2"/>
    </row>
    <row r="16" spans="1:55" s="65" customFormat="1" ht="13.5" customHeight="1">
      <c r="B16" s="66"/>
      <c r="C16" s="66"/>
      <c r="D16" s="975" t="s">
        <v>302</v>
      </c>
      <c r="E16" s="975"/>
      <c r="F16" s="975"/>
      <c r="G16" s="6"/>
      <c r="H16" s="341"/>
      <c r="I16" s="975" t="s">
        <v>379</v>
      </c>
      <c r="J16" s="975"/>
      <c r="K16" s="975"/>
      <c r="L16" s="6"/>
      <c r="M16" s="6"/>
      <c r="N16" s="975" t="s">
        <v>380</v>
      </c>
      <c r="O16" s="975"/>
      <c r="P16" s="975"/>
      <c r="Q16" s="6"/>
      <c r="R16" s="6"/>
      <c r="S16" s="975" t="s">
        <v>381</v>
      </c>
      <c r="T16" s="975"/>
      <c r="U16" s="975"/>
      <c r="V16" s="66"/>
      <c r="W16" s="341"/>
      <c r="X16" s="975" t="s">
        <v>382</v>
      </c>
      <c r="Y16" s="975"/>
      <c r="Z16" s="975"/>
      <c r="AA16" s="66"/>
      <c r="AB16" s="66"/>
      <c r="AC16" s="975" t="s">
        <v>359</v>
      </c>
      <c r="AD16" s="975"/>
      <c r="AE16" s="975"/>
      <c r="AH16" s="975" t="s">
        <v>359</v>
      </c>
      <c r="AI16" s="975"/>
      <c r="AJ16" s="975"/>
      <c r="AL16" s="975" t="s">
        <v>356</v>
      </c>
      <c r="AM16" s="975"/>
      <c r="AN16" s="975"/>
      <c r="AP16" s="13" t="s">
        <v>383</v>
      </c>
      <c r="AQ16" s="2"/>
      <c r="AR16" s="2"/>
      <c r="AS16" s="2"/>
      <c r="AT16" s="2"/>
      <c r="AU16" s="2"/>
      <c r="AV16" s="2"/>
      <c r="AW16" s="2"/>
      <c r="AX16" s="2"/>
      <c r="AY16" s="2"/>
      <c r="AZ16" s="2"/>
      <c r="BA16" s="2"/>
      <c r="BB16" s="2"/>
      <c r="BC16" s="2"/>
    </row>
    <row r="17" spans="1:55" s="65" customFormat="1" ht="11.4">
      <c r="B17" s="66"/>
      <c r="C17" s="66"/>
      <c r="D17" s="6"/>
      <c r="E17" s="6"/>
      <c r="F17" s="6"/>
      <c r="G17" s="6"/>
      <c r="H17" s="341"/>
      <c r="I17" s="6"/>
      <c r="J17" s="6"/>
      <c r="K17" s="6"/>
      <c r="L17" s="6"/>
      <c r="M17" s="6"/>
      <c r="N17" s="6"/>
      <c r="O17" s="6"/>
      <c r="P17" s="6"/>
      <c r="Q17" s="6"/>
      <c r="R17" s="6"/>
      <c r="S17" s="6"/>
      <c r="T17" s="6"/>
      <c r="U17" s="6"/>
      <c r="V17" s="66"/>
      <c r="W17" s="341"/>
      <c r="X17" s="6"/>
      <c r="Y17" s="6"/>
      <c r="Z17" s="6"/>
      <c r="AA17" s="66"/>
      <c r="AB17" s="66"/>
      <c r="AH17" s="66"/>
      <c r="AI17" s="66"/>
      <c r="AJ17" s="66"/>
      <c r="AL17" s="66"/>
      <c r="AM17" s="66"/>
      <c r="AN17" s="66"/>
      <c r="AP17" s="66"/>
      <c r="AQ17" s="2"/>
      <c r="AR17" s="2"/>
      <c r="AS17" s="2"/>
      <c r="AT17" s="2"/>
      <c r="AU17" s="2"/>
      <c r="AV17" s="2"/>
      <c r="AW17" s="2"/>
      <c r="AX17" s="2"/>
      <c r="AY17" s="2"/>
      <c r="AZ17" s="2"/>
      <c r="BA17" s="2"/>
      <c r="BB17" s="2"/>
      <c r="BC17" s="2"/>
    </row>
    <row r="18" spans="1:55" s="65" customFormat="1" ht="12">
      <c r="A18" s="315" t="s">
        <v>361</v>
      </c>
      <c r="B18" s="349"/>
      <c r="C18" s="345"/>
      <c r="D18" s="66"/>
      <c r="E18" s="66"/>
      <c r="F18" s="66"/>
      <c r="G18" s="66"/>
      <c r="H18" s="345"/>
      <c r="I18" s="66"/>
      <c r="J18" s="66"/>
      <c r="K18" s="66"/>
      <c r="L18" s="66"/>
      <c r="M18" s="345"/>
      <c r="N18" s="66"/>
      <c r="O18" s="66"/>
      <c r="P18" s="66"/>
      <c r="Q18" s="66"/>
      <c r="R18" s="345"/>
      <c r="S18" s="66"/>
      <c r="T18" s="66"/>
      <c r="U18" s="66"/>
      <c r="V18" s="66"/>
      <c r="W18" s="345"/>
      <c r="X18" s="66"/>
      <c r="Y18" s="66"/>
      <c r="Z18" s="66"/>
      <c r="AA18" s="66"/>
      <c r="AB18" s="66"/>
      <c r="AC18" s="66"/>
      <c r="AD18" s="66"/>
      <c r="AE18" s="66"/>
      <c r="AH18" s="66"/>
      <c r="AI18" s="66"/>
      <c r="AJ18" s="66"/>
      <c r="AL18" s="66"/>
      <c r="AM18" s="66"/>
      <c r="AN18" s="66"/>
      <c r="AP18" s="66"/>
      <c r="AQ18" s="2"/>
      <c r="AR18" s="2"/>
      <c r="AS18" s="2"/>
      <c r="AT18" s="2"/>
      <c r="AU18" s="2"/>
      <c r="AV18" s="2"/>
      <c r="AW18" s="2"/>
      <c r="AX18" s="2"/>
      <c r="AY18" s="2"/>
      <c r="AZ18" s="2"/>
      <c r="BA18" s="2"/>
      <c r="BB18" s="2"/>
      <c r="BC18" s="2"/>
    </row>
    <row r="19" spans="1:55" s="65" customFormat="1" ht="11.4">
      <c r="A19" s="350"/>
      <c r="B19" s="306" t="s">
        <v>384</v>
      </c>
      <c r="C19" s="256" t="s">
        <v>108</v>
      </c>
      <c r="D19" s="176">
        <v>3909</v>
      </c>
      <c r="E19" s="256" t="s">
        <v>108</v>
      </c>
      <c r="F19" s="176">
        <v>3938</v>
      </c>
      <c r="G19" s="176"/>
      <c r="H19" s="256" t="s">
        <v>108</v>
      </c>
      <c r="I19" s="176">
        <v>2734</v>
      </c>
      <c r="J19" s="256" t="s">
        <v>108</v>
      </c>
      <c r="K19" s="176">
        <v>2882</v>
      </c>
      <c r="L19" s="176"/>
      <c r="M19" s="256" t="s">
        <v>108</v>
      </c>
      <c r="N19" s="176">
        <v>153</v>
      </c>
      <c r="O19" s="256" t="s">
        <v>108</v>
      </c>
      <c r="P19" s="176">
        <v>264</v>
      </c>
      <c r="Q19" s="176"/>
      <c r="R19" s="256" t="s">
        <v>108</v>
      </c>
      <c r="S19" s="176">
        <v>1000</v>
      </c>
      <c r="T19" s="256" t="s">
        <v>108</v>
      </c>
      <c r="U19" s="176">
        <v>989</v>
      </c>
      <c r="V19" s="255"/>
      <c r="W19" s="256"/>
      <c r="X19" s="356">
        <v>69.941161422358661</v>
      </c>
      <c r="Y19" s="357"/>
      <c r="Z19" s="356">
        <v>73.184357541899431</v>
      </c>
      <c r="AA19" s="358"/>
      <c r="AB19" s="358"/>
      <c r="AC19" s="356">
        <v>3.9140445126630854</v>
      </c>
      <c r="AD19" s="356"/>
      <c r="AE19" s="356">
        <v>6.7039106145251397</v>
      </c>
      <c r="AF19" s="359"/>
      <c r="AG19" s="359"/>
      <c r="AH19" s="347">
        <v>-2.0209772320286516</v>
      </c>
      <c r="AI19" s="358"/>
      <c r="AJ19" s="347">
        <v>-2.2092432706957843</v>
      </c>
      <c r="AK19" s="359"/>
      <c r="AL19" s="358">
        <v>25.581990278843691</v>
      </c>
      <c r="AM19" s="358"/>
      <c r="AN19" s="358">
        <v>25.1</v>
      </c>
      <c r="AO19" s="359"/>
      <c r="AP19" s="213">
        <v>0</v>
      </c>
      <c r="AQ19" s="2"/>
      <c r="AR19" s="2"/>
      <c r="AS19" s="2"/>
      <c r="AT19" s="2"/>
      <c r="AU19" s="2"/>
      <c r="AV19" s="2"/>
      <c r="AW19" s="2"/>
      <c r="AX19" s="2"/>
      <c r="AY19" s="2"/>
      <c r="AZ19" s="2"/>
      <c r="BA19" s="2"/>
      <c r="BB19" s="2"/>
      <c r="BC19" s="2"/>
    </row>
    <row r="20" spans="1:55" s="65" customFormat="1" ht="11.4">
      <c r="A20" s="350"/>
      <c r="B20" s="306" t="s">
        <v>385</v>
      </c>
      <c r="C20" s="80"/>
      <c r="D20" s="113">
        <v>184</v>
      </c>
      <c r="E20" s="11"/>
      <c r="F20" s="113">
        <v>205</v>
      </c>
      <c r="G20" s="176"/>
      <c r="H20" s="11"/>
      <c r="I20" s="113">
        <v>112</v>
      </c>
      <c r="J20" s="11"/>
      <c r="K20" s="113">
        <v>142</v>
      </c>
      <c r="L20" s="176"/>
      <c r="M20" s="80"/>
      <c r="N20" s="113">
        <v>3</v>
      </c>
      <c r="O20" s="11"/>
      <c r="P20" s="113">
        <v>8</v>
      </c>
      <c r="Q20" s="176"/>
      <c r="R20" s="80"/>
      <c r="S20" s="113">
        <v>42</v>
      </c>
      <c r="T20" s="11"/>
      <c r="U20" s="113">
        <v>47</v>
      </c>
      <c r="V20" s="66"/>
      <c r="W20" s="80"/>
      <c r="X20" s="356">
        <v>60.869565217391312</v>
      </c>
      <c r="Y20" s="358"/>
      <c r="Z20" s="356">
        <v>69.268292682926827</v>
      </c>
      <c r="AA20" s="358"/>
      <c r="AB20" s="358"/>
      <c r="AC20" s="356">
        <v>1.6304347826086956</v>
      </c>
      <c r="AD20" s="358"/>
      <c r="AE20" s="356">
        <v>3.9024390243902438</v>
      </c>
      <c r="AF20" s="359"/>
      <c r="AG20" s="359"/>
      <c r="AH20" s="347">
        <v>-1.6304347826086956</v>
      </c>
      <c r="AI20" s="358"/>
      <c r="AJ20" s="347">
        <v>-0.97560975609756095</v>
      </c>
      <c r="AK20" s="359"/>
      <c r="AL20" s="358">
        <v>22.826086956521738</v>
      </c>
      <c r="AM20" s="358"/>
      <c r="AN20" s="358">
        <v>22.9</v>
      </c>
      <c r="AO20" s="359"/>
      <c r="AP20" s="213">
        <v>0</v>
      </c>
      <c r="AQ20" s="2"/>
      <c r="AR20" s="2"/>
      <c r="AS20" s="2"/>
      <c r="AT20" s="2"/>
      <c r="AU20" s="2"/>
      <c r="AV20" s="2"/>
      <c r="AW20" s="2"/>
      <c r="AX20" s="2"/>
      <c r="AY20" s="2"/>
      <c r="AZ20" s="2"/>
      <c r="BA20" s="2"/>
      <c r="BB20" s="2"/>
      <c r="BC20" s="2"/>
    </row>
    <row r="21" spans="1:55" s="65" customFormat="1" ht="11.4">
      <c r="A21" s="350"/>
      <c r="B21" s="306" t="s">
        <v>386</v>
      </c>
      <c r="C21" s="80"/>
      <c r="D21" s="176">
        <v>4093</v>
      </c>
      <c r="E21" s="11"/>
      <c r="F21" s="176">
        <v>4143</v>
      </c>
      <c r="G21" s="176"/>
      <c r="H21" s="11"/>
      <c r="I21" s="176">
        <v>2846</v>
      </c>
      <c r="J21" s="11"/>
      <c r="K21" s="176">
        <v>3024</v>
      </c>
      <c r="L21" s="176"/>
      <c r="M21" s="80"/>
      <c r="N21" s="176">
        <v>156</v>
      </c>
      <c r="O21" s="11"/>
      <c r="P21" s="176">
        <v>272</v>
      </c>
      <c r="Q21" s="176"/>
      <c r="R21" s="80"/>
      <c r="S21" s="176">
        <v>1042</v>
      </c>
      <c r="T21" s="11"/>
      <c r="U21" s="176">
        <v>1036</v>
      </c>
      <c r="V21" s="66"/>
      <c r="W21" s="80"/>
      <c r="X21" s="358">
        <v>69.533349621304666</v>
      </c>
      <c r="Y21" s="360"/>
      <c r="Z21" s="272">
        <v>72.99058653149892</v>
      </c>
      <c r="AA21" s="66"/>
      <c r="AB21" s="66"/>
      <c r="AC21" s="272">
        <v>3.8113852919618862</v>
      </c>
      <c r="AD21" s="360"/>
      <c r="AE21" s="356">
        <v>6.5652908520395847</v>
      </c>
      <c r="AH21" s="347">
        <v>-2.0034204739799657</v>
      </c>
      <c r="AI21" s="358"/>
      <c r="AJ21" s="347">
        <v>-2.1482017861453055</v>
      </c>
      <c r="AL21" s="358">
        <v>25.458099193745419</v>
      </c>
      <c r="AM21" s="66"/>
      <c r="AN21" s="358">
        <v>25</v>
      </c>
      <c r="AP21" s="213">
        <v>0</v>
      </c>
      <c r="AQ21" s="2"/>
      <c r="AR21" s="2"/>
      <c r="AS21" s="2"/>
      <c r="AT21" s="2"/>
      <c r="AU21" s="2"/>
      <c r="AV21" s="2"/>
      <c r="AW21" s="2"/>
      <c r="AX21" s="2"/>
      <c r="AY21" s="2"/>
      <c r="AZ21" s="2"/>
      <c r="BA21" s="2"/>
      <c r="BB21" s="2"/>
      <c r="BC21" s="2"/>
    </row>
    <row r="22" spans="1:55" s="65" customFormat="1" ht="13.2">
      <c r="A22" s="350"/>
      <c r="B22" s="306"/>
      <c r="C22" s="80"/>
      <c r="D22" s="176"/>
      <c r="E22" s="11"/>
      <c r="F22" s="176"/>
      <c r="G22" s="176"/>
      <c r="H22" s="11"/>
      <c r="I22" s="176"/>
      <c r="J22" s="11"/>
      <c r="K22" s="176"/>
      <c r="L22" s="176"/>
      <c r="M22" s="80"/>
      <c r="N22" s="176"/>
      <c r="O22" s="11"/>
      <c r="P22" s="176"/>
      <c r="Q22" s="176"/>
      <c r="R22" s="80"/>
      <c r="S22" s="176"/>
      <c r="T22" s="11"/>
      <c r="U22" s="176"/>
      <c r="V22" s="66"/>
      <c r="W22" s="80"/>
      <c r="X22" s="272"/>
      <c r="Y22" s="360"/>
      <c r="Z22" s="272"/>
      <c r="AA22" s="66"/>
      <c r="AB22" s="66"/>
      <c r="AC22" s="272"/>
      <c r="AD22" s="360"/>
      <c r="AE22" s="272"/>
      <c r="AH22" s="358"/>
      <c r="AI22" s="358"/>
      <c r="AJ22" s="361"/>
      <c r="AL22" s="354"/>
      <c r="AM22" s="66"/>
      <c r="AN22" s="354"/>
      <c r="AP22" s="354"/>
      <c r="AQ22" s="2"/>
      <c r="AR22" s="2"/>
      <c r="AS22" s="2"/>
      <c r="AT22" s="2"/>
      <c r="AU22" s="2"/>
      <c r="AV22" s="2"/>
      <c r="AW22" s="2"/>
      <c r="AX22" s="2"/>
      <c r="AY22" s="2"/>
      <c r="AZ22" s="2"/>
      <c r="BA22" s="2"/>
      <c r="BB22" s="2"/>
      <c r="BC22" s="2"/>
    </row>
    <row r="23" spans="1:55" s="65" customFormat="1" ht="11.4">
      <c r="A23" s="350"/>
      <c r="B23" s="306" t="s">
        <v>367</v>
      </c>
      <c r="C23" s="80"/>
      <c r="D23" s="176">
        <v>1487</v>
      </c>
      <c r="E23" s="11"/>
      <c r="F23" s="176">
        <v>1457</v>
      </c>
      <c r="G23" s="176"/>
      <c r="H23" s="11"/>
      <c r="I23" s="176">
        <v>1218</v>
      </c>
      <c r="J23" s="11"/>
      <c r="K23" s="176">
        <v>2493</v>
      </c>
      <c r="L23" s="176"/>
      <c r="M23" s="80"/>
      <c r="N23" s="176">
        <v>597</v>
      </c>
      <c r="O23" s="11"/>
      <c r="P23" s="176">
        <v>1795</v>
      </c>
      <c r="Q23" s="176"/>
      <c r="R23" s="80"/>
      <c r="S23" s="176">
        <v>342</v>
      </c>
      <c r="T23" s="11"/>
      <c r="U23" s="176">
        <v>324</v>
      </c>
      <c r="V23" s="66"/>
      <c r="W23" s="80"/>
      <c r="X23" s="356">
        <v>81.909885675857424</v>
      </c>
      <c r="Y23" s="358"/>
      <c r="Z23" s="356">
        <v>171.11501029512695</v>
      </c>
      <c r="AA23" s="358"/>
      <c r="AB23" s="358"/>
      <c r="AC23" s="356">
        <v>40.247948890383327</v>
      </c>
      <c r="AD23" s="358"/>
      <c r="AE23" s="356">
        <v>123.19835277968427</v>
      </c>
      <c r="AF23" s="359"/>
      <c r="AG23" s="359"/>
      <c r="AH23" s="347">
        <v>-3.496973772696705</v>
      </c>
      <c r="AI23" s="358"/>
      <c r="AJ23" s="347">
        <v>0.27453671928620454</v>
      </c>
      <c r="AK23" s="359"/>
      <c r="AL23" s="358">
        <v>22.999327505043713</v>
      </c>
      <c r="AM23" s="358"/>
      <c r="AN23" s="358">
        <v>22.2</v>
      </c>
      <c r="AO23" s="359"/>
      <c r="AP23" s="213">
        <v>0</v>
      </c>
      <c r="AQ23" s="2"/>
      <c r="AR23" s="2"/>
      <c r="AS23" s="2"/>
      <c r="AT23" s="2"/>
      <c r="AU23" s="2"/>
      <c r="AV23" s="2"/>
      <c r="AW23" s="2"/>
      <c r="AX23" s="2"/>
      <c r="AY23" s="2"/>
      <c r="AZ23" s="2"/>
      <c r="BA23" s="2"/>
      <c r="BB23" s="2"/>
      <c r="BC23" s="2"/>
    </row>
    <row r="24" spans="1:55" s="65" customFormat="1" ht="13.2">
      <c r="A24" s="350"/>
      <c r="B24" s="306" t="s">
        <v>387</v>
      </c>
      <c r="C24" s="80"/>
      <c r="D24" s="113">
        <v>583</v>
      </c>
      <c r="E24" s="11"/>
      <c r="F24" s="113">
        <v>587</v>
      </c>
      <c r="G24" s="176"/>
      <c r="H24" s="11"/>
      <c r="I24" s="113">
        <v>369</v>
      </c>
      <c r="J24" s="11"/>
      <c r="K24" s="113">
        <v>590</v>
      </c>
      <c r="L24" s="176"/>
      <c r="M24" s="80"/>
      <c r="N24" s="113">
        <v>42</v>
      </c>
      <c r="O24" s="11"/>
      <c r="P24" s="113">
        <v>207</v>
      </c>
      <c r="Q24" s="176"/>
      <c r="R24" s="80"/>
      <c r="S24" s="113">
        <v>164</v>
      </c>
      <c r="T24" s="11"/>
      <c r="U24" s="113">
        <v>164</v>
      </c>
      <c r="V24" s="66"/>
      <c r="W24" s="80"/>
      <c r="X24" s="356">
        <v>63.293310463121784</v>
      </c>
      <c r="Y24" s="358"/>
      <c r="Z24" s="356">
        <v>100.51107325383303</v>
      </c>
      <c r="AA24" s="358"/>
      <c r="AB24" s="358"/>
      <c r="AC24" s="356">
        <v>7.2041166380789026</v>
      </c>
      <c r="AD24" s="358"/>
      <c r="AE24" s="356">
        <v>35.264054514480407</v>
      </c>
      <c r="AF24" s="359"/>
      <c r="AG24" s="359"/>
      <c r="AH24" s="347">
        <v>-2.9159519725557463</v>
      </c>
      <c r="AI24" s="358"/>
      <c r="AJ24" s="347">
        <v>6.1328790459965932</v>
      </c>
      <c r="AK24" s="359"/>
      <c r="AL24" s="358">
        <v>28.130360205831906</v>
      </c>
      <c r="AM24" s="358"/>
      <c r="AN24" s="358">
        <v>27.9</v>
      </c>
      <c r="AO24" s="359"/>
      <c r="AP24" s="213">
        <v>1.2</v>
      </c>
      <c r="AQ24" s="2"/>
      <c r="AR24" s="2"/>
      <c r="AS24" s="2"/>
      <c r="AT24" s="2"/>
      <c r="AU24" s="2"/>
      <c r="AV24" s="2"/>
      <c r="AW24" s="2"/>
      <c r="AX24" s="2"/>
      <c r="AY24" s="2"/>
      <c r="AZ24" s="2"/>
      <c r="BA24" s="2"/>
      <c r="BB24" s="2"/>
      <c r="BC24" s="2"/>
    </row>
    <row r="25" spans="1:55" s="65" customFormat="1" ht="11.4">
      <c r="A25" s="350"/>
      <c r="B25" s="306"/>
      <c r="C25" s="80"/>
      <c r="D25" s="176"/>
      <c r="E25" s="11"/>
      <c r="F25" s="176"/>
      <c r="G25" s="176"/>
      <c r="H25" s="11"/>
      <c r="I25" s="176"/>
      <c r="J25" s="11"/>
      <c r="K25" s="176"/>
      <c r="L25" s="176"/>
      <c r="M25" s="80"/>
      <c r="N25" s="176"/>
      <c r="O25" s="11"/>
      <c r="P25" s="176"/>
      <c r="Q25" s="176"/>
      <c r="R25" s="80"/>
      <c r="S25" s="176"/>
      <c r="T25" s="11"/>
      <c r="U25" s="176"/>
      <c r="V25" s="66"/>
      <c r="W25" s="80"/>
      <c r="X25" s="356"/>
      <c r="Y25" s="358"/>
      <c r="Z25" s="356"/>
      <c r="AA25" s="358"/>
      <c r="AB25" s="358"/>
      <c r="AC25" s="356" t="s">
        <v>298</v>
      </c>
      <c r="AD25" s="358"/>
      <c r="AE25" s="356"/>
      <c r="AF25" s="359"/>
      <c r="AG25" s="359"/>
      <c r="AH25" s="358"/>
      <c r="AI25" s="358"/>
      <c r="AJ25" s="358"/>
      <c r="AK25" s="359"/>
      <c r="AL25" s="358"/>
      <c r="AM25" s="358"/>
      <c r="AN25" s="358"/>
      <c r="AO25" s="359"/>
      <c r="AP25" s="358"/>
      <c r="AQ25" s="2"/>
      <c r="AR25" s="2"/>
      <c r="AS25" s="2"/>
      <c r="AT25" s="2"/>
      <c r="AU25" s="2"/>
      <c r="AV25" s="2"/>
      <c r="AW25" s="2"/>
      <c r="AX25" s="2"/>
      <c r="AY25" s="2"/>
      <c r="AZ25" s="2"/>
      <c r="BA25" s="2"/>
      <c r="BB25" s="2"/>
      <c r="BC25" s="2"/>
    </row>
    <row r="26" spans="1:55" s="65" customFormat="1" ht="13.2">
      <c r="A26" s="350"/>
      <c r="B26" s="306" t="s">
        <v>388</v>
      </c>
      <c r="C26" s="80"/>
      <c r="D26" s="176">
        <v>6163</v>
      </c>
      <c r="E26" s="11"/>
      <c r="F26" s="176">
        <v>6187</v>
      </c>
      <c r="G26" s="176"/>
      <c r="H26" s="11"/>
      <c r="I26" s="176">
        <v>4433</v>
      </c>
      <c r="J26" s="11"/>
      <c r="K26" s="176">
        <v>6107</v>
      </c>
      <c r="L26" s="176"/>
      <c r="M26" s="80"/>
      <c r="N26" s="176">
        <v>795</v>
      </c>
      <c r="O26" s="11"/>
      <c r="P26" s="176">
        <v>2274</v>
      </c>
      <c r="Q26" s="176"/>
      <c r="R26" s="80"/>
      <c r="S26" s="176">
        <v>1548</v>
      </c>
      <c r="T26" s="11"/>
      <c r="U26" s="176">
        <v>1524</v>
      </c>
      <c r="V26" s="66"/>
      <c r="W26" s="80"/>
      <c r="X26" s="356">
        <v>71.929255232841143</v>
      </c>
      <c r="Y26" s="358"/>
      <c r="Z26" s="356">
        <v>98.706966219492486</v>
      </c>
      <c r="AA26" s="358"/>
      <c r="AB26" s="358"/>
      <c r="AC26" s="356">
        <v>12.899561901671264</v>
      </c>
      <c r="AD26" s="358"/>
      <c r="AE26" s="356">
        <v>36.754485210926134</v>
      </c>
      <c r="AF26" s="359"/>
      <c r="AG26" s="359"/>
      <c r="AH26" s="347">
        <v>-2.4501054681161771</v>
      </c>
      <c r="AI26" s="358"/>
      <c r="AJ26" s="347">
        <v>-0.79198319056085342</v>
      </c>
      <c r="AK26" s="359"/>
      <c r="AL26" s="358">
        <v>25.117637514197632</v>
      </c>
      <c r="AM26" s="358"/>
      <c r="AN26" s="358">
        <v>24.6</v>
      </c>
      <c r="AO26" s="359"/>
      <c r="AP26" s="213">
        <v>0.1</v>
      </c>
      <c r="AQ26" s="2"/>
      <c r="AR26" s="2"/>
      <c r="AS26" s="2"/>
      <c r="AT26" s="2"/>
      <c r="AU26" s="2"/>
      <c r="AV26" s="2"/>
      <c r="AW26" s="2"/>
      <c r="AX26" s="2"/>
      <c r="AY26" s="2"/>
      <c r="AZ26" s="2"/>
      <c r="BA26" s="2"/>
      <c r="BB26" s="2"/>
      <c r="BC26" s="2"/>
    </row>
    <row r="27" spans="1:55" s="65" customFormat="1" ht="11.4">
      <c r="A27" s="350"/>
      <c r="B27" s="306"/>
      <c r="C27" s="80"/>
      <c r="D27" s="176"/>
      <c r="E27" s="11"/>
      <c r="F27" s="176"/>
      <c r="G27" s="176"/>
      <c r="H27" s="11"/>
      <c r="I27" s="176"/>
      <c r="J27" s="11"/>
      <c r="K27" s="176"/>
      <c r="L27" s="176"/>
      <c r="M27" s="80"/>
      <c r="N27" s="176"/>
      <c r="O27" s="11"/>
      <c r="P27" s="176"/>
      <c r="Q27" s="176"/>
      <c r="R27" s="80"/>
      <c r="S27" s="176"/>
      <c r="T27" s="11"/>
      <c r="U27" s="176"/>
      <c r="V27" s="66"/>
      <c r="W27" s="80"/>
      <c r="X27" s="356"/>
      <c r="Y27" s="358"/>
      <c r="Z27" s="356"/>
      <c r="AA27" s="358"/>
      <c r="AB27" s="358"/>
      <c r="AC27" s="356"/>
      <c r="AD27" s="358"/>
      <c r="AE27" s="356"/>
      <c r="AF27" s="359"/>
      <c r="AG27" s="359"/>
      <c r="AH27" s="358"/>
      <c r="AI27" s="358"/>
      <c r="AJ27" s="358"/>
      <c r="AK27" s="359"/>
      <c r="AL27" s="358"/>
      <c r="AM27" s="358"/>
      <c r="AN27" s="358"/>
      <c r="AO27" s="359"/>
      <c r="AP27" s="358"/>
      <c r="AQ27" s="2"/>
      <c r="AR27" s="2"/>
      <c r="AS27" s="2"/>
      <c r="AT27" s="2"/>
      <c r="AU27" s="2"/>
      <c r="AV27" s="2"/>
      <c r="AW27" s="2"/>
      <c r="AX27" s="2"/>
      <c r="AY27" s="2"/>
      <c r="AZ27" s="2"/>
      <c r="BA27" s="2"/>
      <c r="BB27" s="2"/>
      <c r="BC27" s="2"/>
    </row>
    <row r="28" spans="1:55" s="65" customFormat="1" ht="12">
      <c r="A28" s="315" t="s">
        <v>369</v>
      </c>
      <c r="B28" s="353"/>
      <c r="C28" s="80"/>
      <c r="D28" s="176"/>
      <c r="E28" s="11"/>
      <c r="F28" s="176"/>
      <c r="G28" s="176"/>
      <c r="H28" s="11"/>
      <c r="I28" s="176"/>
      <c r="J28" s="11"/>
      <c r="K28" s="176"/>
      <c r="L28" s="176"/>
      <c r="M28" s="80"/>
      <c r="N28" s="176"/>
      <c r="O28" s="11"/>
      <c r="P28" s="176"/>
      <c r="Q28" s="176"/>
      <c r="R28" s="80"/>
      <c r="S28" s="176"/>
      <c r="T28" s="11"/>
      <c r="U28" s="176"/>
      <c r="V28" s="66"/>
      <c r="W28" s="80"/>
      <c r="X28" s="356"/>
      <c r="Y28" s="358"/>
      <c r="Z28" s="356"/>
      <c r="AA28" s="358"/>
      <c r="AB28" s="358"/>
      <c r="AC28" s="356"/>
      <c r="AD28" s="358"/>
      <c r="AE28" s="356"/>
      <c r="AF28" s="359"/>
      <c r="AG28" s="359"/>
      <c r="AH28" s="358"/>
      <c r="AI28" s="358"/>
      <c r="AJ28" s="358"/>
      <c r="AK28" s="359"/>
      <c r="AL28" s="358"/>
      <c r="AM28" s="358"/>
      <c r="AN28" s="358"/>
      <c r="AO28" s="359"/>
      <c r="AP28" s="358"/>
      <c r="AQ28" s="2"/>
      <c r="AR28" s="2"/>
      <c r="AS28" s="2"/>
      <c r="AT28" s="2"/>
      <c r="AU28" s="2"/>
      <c r="AV28" s="2"/>
      <c r="AW28" s="2"/>
      <c r="AX28" s="2"/>
      <c r="AY28" s="2"/>
      <c r="AZ28" s="2"/>
      <c r="BA28" s="2"/>
      <c r="BB28" s="2"/>
      <c r="BC28" s="2"/>
    </row>
    <row r="29" spans="1:55" s="65" customFormat="1" ht="11.4">
      <c r="A29" s="350"/>
      <c r="B29" s="306" t="s">
        <v>384</v>
      </c>
      <c r="C29" s="80"/>
      <c r="D29" s="176">
        <v>153</v>
      </c>
      <c r="E29" s="11"/>
      <c r="F29" s="176">
        <v>155</v>
      </c>
      <c r="G29" s="176"/>
      <c r="H29" s="11"/>
      <c r="I29" s="176">
        <v>125</v>
      </c>
      <c r="J29" s="11"/>
      <c r="K29" s="176">
        <v>122</v>
      </c>
      <c r="L29" s="176"/>
      <c r="M29" s="80"/>
      <c r="N29" s="176">
        <v>4</v>
      </c>
      <c r="O29" s="11"/>
      <c r="P29" s="176">
        <v>5</v>
      </c>
      <c r="Q29" s="176"/>
      <c r="R29" s="80"/>
      <c r="S29" s="176">
        <v>42</v>
      </c>
      <c r="T29" s="11"/>
      <c r="U29" s="176">
        <v>44</v>
      </c>
      <c r="V29" s="66"/>
      <c r="W29" s="80"/>
      <c r="X29" s="356">
        <v>81.699346405228752</v>
      </c>
      <c r="Y29" s="358"/>
      <c r="Z29" s="356">
        <v>78.709677419354847</v>
      </c>
      <c r="AA29" s="358"/>
      <c r="AB29" s="358"/>
      <c r="AC29" s="356">
        <v>2.6143790849673203</v>
      </c>
      <c r="AD29" s="358"/>
      <c r="AE29" s="356">
        <v>3.225806451612903</v>
      </c>
      <c r="AF29" s="359"/>
      <c r="AG29" s="359"/>
      <c r="AH29" s="176">
        <v>0</v>
      </c>
      <c r="AI29" s="358"/>
      <c r="AJ29" s="176">
        <v>0</v>
      </c>
      <c r="AK29" s="359"/>
      <c r="AL29" s="358">
        <v>27.450980392156865</v>
      </c>
      <c r="AM29" s="358"/>
      <c r="AN29" s="358">
        <v>28.4</v>
      </c>
      <c r="AO29" s="359"/>
      <c r="AP29" s="213">
        <v>0</v>
      </c>
      <c r="AQ29" s="2"/>
      <c r="AR29" s="2"/>
      <c r="AS29" s="2"/>
      <c r="AT29" s="2"/>
      <c r="AU29" s="2"/>
      <c r="AV29" s="2"/>
      <c r="AW29" s="2"/>
      <c r="AX29" s="2"/>
      <c r="AY29" s="2"/>
      <c r="AZ29" s="2"/>
      <c r="BA29" s="2"/>
      <c r="BB29" s="2"/>
      <c r="BC29" s="2"/>
    </row>
    <row r="30" spans="1:55" s="65" customFormat="1" ht="11.4">
      <c r="A30" s="350"/>
      <c r="B30" s="306" t="s">
        <v>371</v>
      </c>
      <c r="C30" s="34"/>
      <c r="D30" s="113">
        <v>0</v>
      </c>
      <c r="E30" s="176"/>
      <c r="F30" s="113">
        <v>1</v>
      </c>
      <c r="G30" s="176"/>
      <c r="H30" s="176"/>
      <c r="I30" s="113">
        <v>0</v>
      </c>
      <c r="J30" s="176"/>
      <c r="K30" s="113">
        <v>1</v>
      </c>
      <c r="L30" s="176"/>
      <c r="M30" s="23"/>
      <c r="N30" s="113">
        <v>0</v>
      </c>
      <c r="O30" s="176"/>
      <c r="P30" s="113">
        <v>0</v>
      </c>
      <c r="Q30" s="176"/>
      <c r="R30" s="23"/>
      <c r="S30" s="113">
        <v>0</v>
      </c>
      <c r="T30" s="176"/>
      <c r="U30" s="113">
        <v>0</v>
      </c>
      <c r="V30" s="66"/>
      <c r="W30" s="34"/>
      <c r="X30" s="176">
        <v>0</v>
      </c>
      <c r="Y30" s="356"/>
      <c r="Z30" s="356">
        <v>100</v>
      </c>
      <c r="AA30" s="358"/>
      <c r="AB30" s="358"/>
      <c r="AC30" s="176">
        <v>0</v>
      </c>
      <c r="AD30" s="356"/>
      <c r="AE30" s="176">
        <v>0</v>
      </c>
      <c r="AF30" s="359"/>
      <c r="AG30" s="359"/>
      <c r="AH30" s="176">
        <v>0</v>
      </c>
      <c r="AI30" s="358"/>
      <c r="AJ30" s="347">
        <v>-100</v>
      </c>
      <c r="AK30" s="359"/>
      <c r="AL30" s="176">
        <v>0</v>
      </c>
      <c r="AM30" s="358"/>
      <c r="AN30" s="176">
        <v>0</v>
      </c>
      <c r="AO30" s="359"/>
      <c r="AP30" s="213">
        <v>0</v>
      </c>
      <c r="AQ30" s="2"/>
      <c r="AR30" s="2"/>
      <c r="AS30" s="2"/>
      <c r="AT30" s="2"/>
      <c r="AU30" s="2"/>
      <c r="AV30" s="2"/>
      <c r="AW30" s="2"/>
      <c r="AX30" s="2"/>
      <c r="AY30" s="2"/>
      <c r="AZ30" s="2"/>
      <c r="BA30" s="2"/>
      <c r="BB30" s="2"/>
      <c r="BC30" s="2"/>
    </row>
    <row r="31" spans="1:55" s="65" customFormat="1" ht="11.4">
      <c r="A31" s="350"/>
      <c r="B31" s="306" t="s">
        <v>386</v>
      </c>
      <c r="C31" s="80"/>
      <c r="D31" s="176">
        <v>153</v>
      </c>
      <c r="E31" s="11"/>
      <c r="F31" s="176">
        <v>156</v>
      </c>
      <c r="G31" s="176"/>
      <c r="H31" s="11"/>
      <c r="I31" s="176">
        <v>125</v>
      </c>
      <c r="J31" s="11"/>
      <c r="K31" s="176">
        <v>123</v>
      </c>
      <c r="L31" s="176"/>
      <c r="M31" s="80"/>
      <c r="N31" s="176">
        <v>4</v>
      </c>
      <c r="O31" s="11"/>
      <c r="P31" s="176">
        <v>5</v>
      </c>
      <c r="Q31" s="176"/>
      <c r="R31" s="80"/>
      <c r="S31" s="176">
        <v>42</v>
      </c>
      <c r="T31" s="11"/>
      <c r="U31" s="176">
        <v>44</v>
      </c>
      <c r="V31" s="66"/>
      <c r="W31" s="80"/>
      <c r="X31" s="356">
        <v>81.699346405228752</v>
      </c>
      <c r="Y31" s="360"/>
      <c r="Z31" s="272">
        <v>78.946153846153834</v>
      </c>
      <c r="AA31" s="66"/>
      <c r="AB31" s="66"/>
      <c r="AC31" s="356">
        <v>2.6143790849673203</v>
      </c>
      <c r="AD31" s="360"/>
      <c r="AE31" s="356">
        <v>3.2051282051282048</v>
      </c>
      <c r="AH31" s="347">
        <v>-0.65359477124183007</v>
      </c>
      <c r="AI31" s="358"/>
      <c r="AJ31" s="347">
        <v>-0.64102564102564097</v>
      </c>
      <c r="AL31" s="356">
        <v>27.450980392156865</v>
      </c>
      <c r="AM31" s="66"/>
      <c r="AN31" s="358">
        <v>28.2</v>
      </c>
      <c r="AP31" s="213">
        <v>0</v>
      </c>
      <c r="AQ31" s="2"/>
      <c r="AR31" s="2"/>
      <c r="AS31" s="2"/>
      <c r="AT31" s="2"/>
      <c r="AU31" s="2"/>
      <c r="AV31" s="2"/>
      <c r="AW31" s="2"/>
      <c r="AX31" s="2"/>
      <c r="AY31" s="2"/>
      <c r="AZ31" s="2"/>
      <c r="BA31" s="2"/>
      <c r="BB31" s="2"/>
      <c r="BC31" s="2"/>
    </row>
    <row r="32" spans="1:55" s="65" customFormat="1" ht="13.2">
      <c r="A32" s="350"/>
      <c r="B32" s="306"/>
      <c r="C32" s="80"/>
      <c r="D32" s="176"/>
      <c r="E32" s="11"/>
      <c r="F32" s="176"/>
      <c r="G32" s="176"/>
      <c r="H32" s="11"/>
      <c r="I32" s="176"/>
      <c r="J32" s="11"/>
      <c r="K32" s="176"/>
      <c r="L32" s="176"/>
      <c r="M32" s="80"/>
      <c r="N32" s="176"/>
      <c r="O32" s="11"/>
      <c r="P32" s="176"/>
      <c r="Q32" s="176"/>
      <c r="R32" s="80"/>
      <c r="S32" s="176"/>
      <c r="T32" s="11"/>
      <c r="U32" s="176"/>
      <c r="V32" s="66"/>
      <c r="W32" s="80"/>
      <c r="X32" s="272"/>
      <c r="Y32" s="360"/>
      <c r="Z32" s="272"/>
      <c r="AA32" s="66"/>
      <c r="AB32" s="66"/>
      <c r="AC32" s="272"/>
      <c r="AD32" s="360"/>
      <c r="AE32" s="272"/>
      <c r="AH32" s="358"/>
      <c r="AI32" s="358"/>
      <c r="AJ32" s="361"/>
      <c r="AL32" s="354"/>
      <c r="AM32" s="66"/>
      <c r="AN32" s="354"/>
      <c r="AP32" s="354"/>
      <c r="AQ32" s="2"/>
      <c r="AR32" s="2"/>
      <c r="AS32" s="2"/>
      <c r="AT32" s="2"/>
      <c r="AU32" s="2"/>
      <c r="AV32" s="2"/>
      <c r="AW32" s="2"/>
      <c r="AX32" s="2"/>
      <c r="AY32" s="2"/>
      <c r="AZ32" s="2"/>
      <c r="BA32" s="2"/>
      <c r="BB32" s="2"/>
      <c r="BC32" s="2"/>
    </row>
    <row r="33" spans="1:55" s="65" customFormat="1" ht="11.4">
      <c r="A33" s="350"/>
      <c r="B33" s="306" t="s">
        <v>367</v>
      </c>
      <c r="C33" s="66"/>
      <c r="D33" s="176">
        <v>93</v>
      </c>
      <c r="E33" s="11"/>
      <c r="F33" s="176">
        <v>91</v>
      </c>
      <c r="G33" s="176"/>
      <c r="H33" s="11"/>
      <c r="I33" s="176">
        <v>62</v>
      </c>
      <c r="J33" s="11"/>
      <c r="K33" s="176">
        <v>98</v>
      </c>
      <c r="L33" s="176"/>
      <c r="M33" s="11"/>
      <c r="N33" s="176">
        <v>14</v>
      </c>
      <c r="O33" s="11"/>
      <c r="P33" s="176">
        <v>56</v>
      </c>
      <c r="Q33" s="176"/>
      <c r="R33" s="11"/>
      <c r="S33" s="176">
        <v>28</v>
      </c>
      <c r="T33" s="11"/>
      <c r="U33" s="176">
        <v>28</v>
      </c>
      <c r="V33" s="66"/>
      <c r="W33" s="66"/>
      <c r="X33" s="356">
        <v>66.666666666666657</v>
      </c>
      <c r="Y33" s="358"/>
      <c r="Z33" s="356">
        <v>107.69230769230769</v>
      </c>
      <c r="AA33" s="358"/>
      <c r="AB33" s="358"/>
      <c r="AC33" s="356">
        <v>15.053763440860216</v>
      </c>
      <c r="AD33" s="358"/>
      <c r="AE33" s="356">
        <v>61.53846153846154</v>
      </c>
      <c r="AF33" s="359"/>
      <c r="AG33" s="359"/>
      <c r="AH33" s="347">
        <v>-4.3010752688172049</v>
      </c>
      <c r="AI33" s="358"/>
      <c r="AJ33" s="347">
        <v>-1.098901098901099</v>
      </c>
      <c r="AK33" s="359"/>
      <c r="AL33" s="358">
        <v>30.107526881720432</v>
      </c>
      <c r="AM33" s="358"/>
      <c r="AN33" s="358">
        <v>30.8</v>
      </c>
      <c r="AO33" s="359"/>
      <c r="AP33" s="213">
        <v>0</v>
      </c>
      <c r="AQ33" s="2"/>
      <c r="AR33" s="2"/>
      <c r="AS33" s="2"/>
      <c r="AT33" s="2"/>
      <c r="AU33" s="2"/>
      <c r="AV33" s="2"/>
      <c r="AW33" s="2"/>
      <c r="AX33" s="2"/>
      <c r="AY33" s="2"/>
      <c r="AZ33" s="2"/>
      <c r="BA33" s="2"/>
      <c r="BB33" s="2"/>
      <c r="BC33" s="2"/>
    </row>
    <row r="34" spans="1:55" s="65" customFormat="1" ht="13.2">
      <c r="A34" s="350"/>
      <c r="B34" s="306" t="s">
        <v>387</v>
      </c>
      <c r="C34" s="66"/>
      <c r="D34" s="113">
        <v>23</v>
      </c>
      <c r="E34" s="11"/>
      <c r="F34" s="113">
        <v>23</v>
      </c>
      <c r="G34" s="176"/>
      <c r="H34" s="11"/>
      <c r="I34" s="113">
        <v>10</v>
      </c>
      <c r="J34" s="11"/>
      <c r="K34" s="113">
        <v>24</v>
      </c>
      <c r="L34" s="176"/>
      <c r="M34" s="80"/>
      <c r="N34" s="113">
        <v>0</v>
      </c>
      <c r="O34" s="11"/>
      <c r="P34" s="113">
        <v>4</v>
      </c>
      <c r="Q34" s="176"/>
      <c r="R34" s="80"/>
      <c r="S34" s="113">
        <v>7</v>
      </c>
      <c r="T34" s="11"/>
      <c r="U34" s="113">
        <v>7</v>
      </c>
      <c r="V34" s="66"/>
      <c r="W34" s="66"/>
      <c r="X34" s="356">
        <v>43.478260869565219</v>
      </c>
      <c r="Y34" s="358"/>
      <c r="Z34" s="356">
        <v>104.34782608695652</v>
      </c>
      <c r="AA34" s="358"/>
      <c r="AB34" s="358"/>
      <c r="AC34" s="176">
        <v>0</v>
      </c>
      <c r="AD34" s="358"/>
      <c r="AE34" s="356">
        <v>17.391304347826086</v>
      </c>
      <c r="AF34" s="359"/>
      <c r="AG34" s="359"/>
      <c r="AH34" s="347">
        <v>-21.739130434782609</v>
      </c>
      <c r="AI34" s="358"/>
      <c r="AJ34" s="176">
        <v>0</v>
      </c>
      <c r="AK34" s="359"/>
      <c r="AL34" s="358">
        <v>30.434782608695656</v>
      </c>
      <c r="AM34" s="358"/>
      <c r="AN34" s="358">
        <v>30.5</v>
      </c>
      <c r="AO34" s="359"/>
      <c r="AP34" s="213">
        <v>0</v>
      </c>
      <c r="AQ34" s="2"/>
      <c r="AR34" s="2"/>
      <c r="AS34" s="2"/>
      <c r="AT34" s="2"/>
      <c r="AU34" s="2"/>
      <c r="AV34" s="2"/>
      <c r="AW34" s="2"/>
      <c r="AX34" s="2"/>
      <c r="AY34" s="2"/>
      <c r="AZ34" s="2"/>
      <c r="BA34" s="2"/>
      <c r="BB34" s="2"/>
      <c r="BC34" s="2"/>
    </row>
    <row r="35" spans="1:55" s="65" customFormat="1" ht="11.4">
      <c r="A35" s="350"/>
      <c r="B35" s="306"/>
      <c r="C35" s="66"/>
      <c r="D35" s="176"/>
      <c r="E35" s="11"/>
      <c r="F35" s="176"/>
      <c r="G35" s="176"/>
      <c r="H35" s="11"/>
      <c r="I35" s="176"/>
      <c r="J35" s="11"/>
      <c r="K35" s="176"/>
      <c r="L35" s="176"/>
      <c r="M35" s="80"/>
      <c r="N35" s="176"/>
      <c r="O35" s="11"/>
      <c r="P35" s="176"/>
      <c r="Q35" s="176"/>
      <c r="R35" s="80"/>
      <c r="S35" s="176"/>
      <c r="T35" s="11"/>
      <c r="U35" s="176"/>
      <c r="V35" s="66"/>
      <c r="W35" s="66"/>
      <c r="X35" s="356"/>
      <c r="Y35" s="358"/>
      <c r="Z35" s="356"/>
      <c r="AA35" s="358"/>
      <c r="AB35" s="358"/>
      <c r="AC35" s="356"/>
      <c r="AD35" s="358"/>
      <c r="AE35" s="356"/>
      <c r="AF35" s="359"/>
      <c r="AG35" s="359"/>
      <c r="AH35" s="358"/>
      <c r="AI35" s="358"/>
      <c r="AJ35" s="358"/>
      <c r="AK35" s="359"/>
      <c r="AL35" s="358"/>
      <c r="AM35" s="358"/>
      <c r="AN35" s="358"/>
      <c r="AO35" s="359"/>
      <c r="AP35" s="358"/>
      <c r="AQ35" s="2"/>
      <c r="AR35" s="2"/>
      <c r="AS35" s="2"/>
      <c r="AT35" s="2"/>
      <c r="AU35" s="2"/>
      <c r="AV35" s="2"/>
      <c r="AW35" s="2"/>
      <c r="AX35" s="2"/>
      <c r="AY35" s="2"/>
      <c r="AZ35" s="2"/>
      <c r="BA35" s="2"/>
      <c r="BB35" s="2"/>
      <c r="BC35" s="2"/>
    </row>
    <row r="36" spans="1:55" s="65" customFormat="1" ht="11.4">
      <c r="A36" s="350"/>
      <c r="B36" s="306" t="s">
        <v>389</v>
      </c>
      <c r="C36" s="66"/>
      <c r="D36" s="176">
        <v>269</v>
      </c>
      <c r="E36" s="11"/>
      <c r="F36" s="176">
        <v>270</v>
      </c>
      <c r="G36" s="176"/>
      <c r="H36" s="11"/>
      <c r="I36" s="176">
        <v>197</v>
      </c>
      <c r="J36" s="11"/>
      <c r="K36" s="176">
        <v>245</v>
      </c>
      <c r="L36" s="176"/>
      <c r="M36" s="80"/>
      <c r="N36" s="176">
        <v>18</v>
      </c>
      <c r="O36" s="11"/>
      <c r="P36" s="176">
        <v>65</v>
      </c>
      <c r="Q36" s="176"/>
      <c r="R36" s="80"/>
      <c r="S36" s="176">
        <v>77</v>
      </c>
      <c r="T36" s="11"/>
      <c r="U36" s="176">
        <v>79</v>
      </c>
      <c r="V36" s="66"/>
      <c r="W36" s="66"/>
      <c r="X36" s="356">
        <v>73.334200743494421</v>
      </c>
      <c r="Y36" s="358"/>
      <c r="Z36" s="356">
        <v>90.740740740740748</v>
      </c>
      <c r="AA36" s="358"/>
      <c r="AB36" s="358"/>
      <c r="AC36" s="356">
        <v>6.6914498141263934</v>
      </c>
      <c r="AD36" s="358"/>
      <c r="AE36" s="356">
        <v>24.074074074074073</v>
      </c>
      <c r="AF36" s="359"/>
      <c r="AG36" s="359"/>
      <c r="AH36" s="347">
        <v>-3.7174721189591078</v>
      </c>
      <c r="AI36" s="358"/>
      <c r="AJ36" s="347">
        <v>-0.74074074074074081</v>
      </c>
      <c r="AK36" s="359"/>
      <c r="AL36" s="358">
        <v>28.624535315985128</v>
      </c>
      <c r="AM36" s="358"/>
      <c r="AN36" s="358">
        <v>29.3</v>
      </c>
      <c r="AO36" s="359"/>
      <c r="AP36" s="213">
        <v>0</v>
      </c>
      <c r="AQ36" s="2"/>
      <c r="AR36" s="2"/>
      <c r="AS36" s="2"/>
      <c r="AT36" s="2"/>
      <c r="AU36" s="2"/>
      <c r="AV36" s="2"/>
      <c r="AW36" s="2"/>
      <c r="AX36" s="2"/>
      <c r="AY36" s="2"/>
      <c r="AZ36" s="2"/>
      <c r="BA36" s="2"/>
      <c r="BB36" s="2"/>
      <c r="BC36" s="2"/>
    </row>
    <row r="37" spans="1:55" s="65" customFormat="1" ht="12">
      <c r="A37" s="350"/>
      <c r="B37" s="315"/>
      <c r="C37" s="345"/>
      <c r="D37" s="176"/>
      <c r="E37" s="11"/>
      <c r="F37" s="176"/>
      <c r="G37" s="176"/>
      <c r="H37" s="11"/>
      <c r="I37" s="176"/>
      <c r="J37" s="11"/>
      <c r="K37" s="176"/>
      <c r="L37" s="176"/>
      <c r="M37" s="80"/>
      <c r="N37" s="176"/>
      <c r="O37" s="11"/>
      <c r="P37" s="176"/>
      <c r="Q37" s="176"/>
      <c r="R37" s="80"/>
      <c r="S37" s="176"/>
      <c r="T37" s="11"/>
      <c r="U37" s="176"/>
      <c r="V37" s="66"/>
      <c r="W37" s="345"/>
      <c r="X37" s="356"/>
      <c r="Y37" s="358"/>
      <c r="Z37" s="356"/>
      <c r="AA37" s="358"/>
      <c r="AB37" s="358"/>
      <c r="AC37" s="356"/>
      <c r="AD37" s="358"/>
      <c r="AE37" s="356"/>
      <c r="AF37" s="359"/>
      <c r="AG37" s="359"/>
      <c r="AH37" s="358"/>
      <c r="AI37" s="358"/>
      <c r="AJ37" s="358"/>
      <c r="AK37" s="359"/>
      <c r="AL37" s="358"/>
      <c r="AM37" s="358"/>
      <c r="AN37" s="358"/>
      <c r="AO37" s="359"/>
      <c r="AP37" s="358"/>
      <c r="AQ37" s="2"/>
      <c r="AR37" s="2"/>
      <c r="AS37" s="2"/>
      <c r="AT37" s="2"/>
      <c r="AU37" s="2"/>
      <c r="AV37" s="2"/>
      <c r="AW37" s="2"/>
      <c r="AX37" s="2"/>
      <c r="AY37" s="2"/>
      <c r="AZ37" s="2"/>
      <c r="BA37" s="2"/>
      <c r="BB37" s="2"/>
      <c r="BC37" s="2"/>
    </row>
    <row r="38" spans="1:55" ht="12">
      <c r="A38" s="315" t="s">
        <v>736</v>
      </c>
      <c r="B38" s="306"/>
      <c r="C38" s="11"/>
      <c r="D38" s="176"/>
      <c r="E38" s="11"/>
      <c r="F38" s="176"/>
      <c r="G38" s="176"/>
      <c r="H38" s="11"/>
      <c r="I38" s="176"/>
      <c r="J38" s="11"/>
      <c r="K38" s="176"/>
      <c r="L38" s="176"/>
      <c r="M38" s="80"/>
      <c r="N38" s="176"/>
      <c r="O38" s="11"/>
      <c r="P38" s="176"/>
      <c r="Q38" s="176"/>
      <c r="R38" s="80"/>
      <c r="S38" s="176"/>
      <c r="T38" s="11"/>
      <c r="U38" s="176"/>
      <c r="V38" s="11"/>
      <c r="W38" s="11"/>
      <c r="X38" s="213"/>
      <c r="Y38" s="89"/>
      <c r="Z38" s="213"/>
      <c r="AA38" s="11"/>
      <c r="AB38" s="11"/>
      <c r="AC38" s="213"/>
      <c r="AD38" s="89"/>
      <c r="AE38" s="213"/>
      <c r="AH38" s="347"/>
      <c r="AI38" s="347"/>
      <c r="AJ38" s="347"/>
      <c r="AL38" s="213"/>
      <c r="AM38" s="11"/>
      <c r="AN38" s="213"/>
      <c r="AP38" s="213"/>
    </row>
    <row r="39" spans="1:55" ht="12">
      <c r="A39" s="315"/>
      <c r="B39" s="306" t="s">
        <v>384</v>
      </c>
      <c r="C39" s="11"/>
      <c r="D39" s="113">
        <v>234</v>
      </c>
      <c r="E39" s="11"/>
      <c r="F39" s="113">
        <v>0</v>
      </c>
      <c r="G39" s="176"/>
      <c r="H39" s="11"/>
      <c r="I39" s="113">
        <v>178</v>
      </c>
      <c r="J39" s="11"/>
      <c r="K39" s="113">
        <v>0</v>
      </c>
      <c r="L39" s="176"/>
      <c r="M39" s="80"/>
      <c r="N39" s="113">
        <v>6</v>
      </c>
      <c r="O39" s="11"/>
      <c r="P39" s="113">
        <v>0</v>
      </c>
      <c r="Q39" s="176"/>
      <c r="R39" s="80"/>
      <c r="S39" s="113">
        <v>95</v>
      </c>
      <c r="T39" s="11"/>
      <c r="U39" s="113">
        <v>0</v>
      </c>
      <c r="V39" s="11"/>
      <c r="W39" s="11"/>
      <c r="X39" s="356">
        <v>76.068376068376068</v>
      </c>
      <c r="Y39" s="358"/>
      <c r="Z39" s="176">
        <v>0</v>
      </c>
      <c r="AA39" s="11"/>
      <c r="AB39" s="11"/>
      <c r="AC39" s="356">
        <v>2.5641025641025639</v>
      </c>
      <c r="AD39" s="358"/>
      <c r="AE39" s="176">
        <v>0</v>
      </c>
      <c r="AH39" s="176">
        <v>0</v>
      </c>
      <c r="AI39" s="358"/>
      <c r="AJ39" s="176">
        <v>0</v>
      </c>
      <c r="AL39" s="358">
        <v>40.598290598290596</v>
      </c>
      <c r="AM39" s="358"/>
      <c r="AN39" s="176">
        <v>0</v>
      </c>
      <c r="AP39" s="213">
        <v>8.1</v>
      </c>
    </row>
    <row r="40" spans="1:55" s="65" customFormat="1" ht="12">
      <c r="A40" s="350"/>
      <c r="B40" s="306"/>
      <c r="C40" s="66"/>
      <c r="D40" s="176"/>
      <c r="E40" s="11"/>
      <c r="F40" s="176"/>
      <c r="G40" s="176"/>
      <c r="H40" s="11"/>
      <c r="I40" s="176"/>
      <c r="J40" s="11"/>
      <c r="K40" s="176"/>
      <c r="L40" s="176"/>
      <c r="M40" s="345"/>
      <c r="N40" s="176"/>
      <c r="O40" s="11"/>
      <c r="P40" s="176"/>
      <c r="Q40" s="176"/>
      <c r="R40" s="345"/>
      <c r="S40" s="176"/>
      <c r="T40" s="11"/>
      <c r="U40" s="176"/>
      <c r="V40" s="66"/>
      <c r="W40" s="66"/>
      <c r="X40" s="272"/>
      <c r="Y40" s="272"/>
      <c r="Z40" s="272"/>
      <c r="AA40" s="272"/>
      <c r="AB40" s="272"/>
      <c r="AC40" s="272"/>
      <c r="AD40" s="272"/>
      <c r="AE40" s="272"/>
      <c r="AF40" s="272"/>
      <c r="AG40" s="272"/>
      <c r="AH40" s="358"/>
      <c r="AI40" s="358"/>
      <c r="AJ40" s="358"/>
      <c r="AK40" s="272"/>
      <c r="AL40" s="272"/>
      <c r="AM40" s="272"/>
      <c r="AN40" s="272"/>
      <c r="AO40" s="272"/>
      <c r="AP40" s="272"/>
      <c r="AQ40" s="2"/>
      <c r="AR40" s="2"/>
      <c r="AS40" s="2"/>
      <c r="AT40" s="2"/>
      <c r="AU40" s="2"/>
      <c r="AV40" s="2"/>
      <c r="AW40" s="2"/>
      <c r="AX40" s="2"/>
      <c r="AY40" s="2"/>
      <c r="AZ40" s="2"/>
      <c r="BA40" s="2"/>
      <c r="BB40" s="2"/>
      <c r="BC40" s="2"/>
    </row>
    <row r="41" spans="1:55" s="65" customFormat="1" ht="12.6" thickBot="1">
      <c r="A41" s="315" t="s">
        <v>696</v>
      </c>
      <c r="B41" s="353"/>
      <c r="C41" s="256" t="s">
        <v>108</v>
      </c>
      <c r="D41" s="114">
        <v>6666</v>
      </c>
      <c r="E41" s="256" t="s">
        <v>108</v>
      </c>
      <c r="F41" s="45">
        <v>6457</v>
      </c>
      <c r="G41" s="23"/>
      <c r="H41" s="256" t="s">
        <v>108</v>
      </c>
      <c r="I41" s="114">
        <v>4808</v>
      </c>
      <c r="J41" s="256" t="s">
        <v>108</v>
      </c>
      <c r="K41" s="45">
        <v>6352</v>
      </c>
      <c r="L41" s="23"/>
      <c r="M41" s="256" t="s">
        <v>108</v>
      </c>
      <c r="N41" s="114">
        <v>819</v>
      </c>
      <c r="O41" s="256" t="s">
        <v>108</v>
      </c>
      <c r="P41" s="45">
        <v>2339</v>
      </c>
      <c r="Q41" s="23"/>
      <c r="R41" s="256" t="s">
        <v>108</v>
      </c>
      <c r="S41" s="114">
        <v>1720</v>
      </c>
      <c r="T41" s="256" t="s">
        <v>108</v>
      </c>
      <c r="U41" s="45">
        <v>1603</v>
      </c>
      <c r="V41" s="66"/>
      <c r="W41" s="255"/>
      <c r="X41" s="356">
        <v>72.12721272127213</v>
      </c>
      <c r="Y41" s="362"/>
      <c r="Z41" s="356">
        <v>98.373857828713028</v>
      </c>
      <c r="AA41" s="358"/>
      <c r="AB41" s="358"/>
      <c r="AC41" s="356">
        <v>12.286228622862286</v>
      </c>
      <c r="AD41" s="362"/>
      <c r="AE41" s="356">
        <v>36.224252748954619</v>
      </c>
      <c r="AF41" s="359"/>
      <c r="AG41" s="359"/>
      <c r="AH41" s="347">
        <v>-2.4152415241524152</v>
      </c>
      <c r="AI41" s="358"/>
      <c r="AJ41" s="347">
        <v>-0.78984048319653088</v>
      </c>
      <c r="AK41" s="359"/>
      <c r="AL41" s="358">
        <v>25.802580258025802</v>
      </c>
      <c r="AM41" s="358"/>
      <c r="AN41" s="358">
        <v>24.8</v>
      </c>
      <c r="AO41" s="359"/>
      <c r="AP41" s="213">
        <v>0.4</v>
      </c>
      <c r="AQ41" s="2"/>
      <c r="AR41" s="2"/>
      <c r="AS41" s="2"/>
      <c r="AT41" s="2"/>
      <c r="AU41" s="2"/>
      <c r="AV41" s="2"/>
      <c r="AW41" s="2"/>
      <c r="AX41" s="2"/>
      <c r="AY41" s="2"/>
      <c r="AZ41" s="2"/>
      <c r="BA41" s="2"/>
      <c r="BB41" s="2"/>
      <c r="BC41" s="2"/>
    </row>
    <row r="42" spans="1:55" s="65" customFormat="1" ht="10.8" thickTop="1">
      <c r="A42" s="785"/>
      <c r="B42" s="785"/>
      <c r="C42" s="785"/>
      <c r="D42" s="785"/>
      <c r="E42" s="785"/>
      <c r="F42" s="785"/>
      <c r="G42" s="785"/>
      <c r="H42" s="785"/>
      <c r="I42" s="785"/>
      <c r="J42" s="785"/>
      <c r="K42" s="785"/>
      <c r="L42" s="785"/>
      <c r="M42" s="785"/>
      <c r="N42" s="785"/>
      <c r="O42" s="785"/>
      <c r="P42" s="785"/>
      <c r="Q42" s="785"/>
      <c r="R42" s="785"/>
      <c r="S42" s="785"/>
      <c r="T42" s="785"/>
      <c r="U42" s="785"/>
      <c r="V42" s="785"/>
      <c r="W42" s="785"/>
      <c r="X42" s="785"/>
      <c r="Y42" s="785"/>
      <c r="Z42" s="785"/>
      <c r="AA42" s="785"/>
      <c r="AB42" s="785"/>
      <c r="AC42" s="785"/>
      <c r="AD42" s="785"/>
      <c r="AE42" s="785"/>
      <c r="AF42" s="785"/>
      <c r="AG42" s="785"/>
      <c r="AH42" s="785"/>
      <c r="AI42" s="785"/>
      <c r="AJ42" s="785"/>
      <c r="AK42" s="785"/>
      <c r="AL42" s="785"/>
      <c r="AM42" s="785"/>
      <c r="AN42" s="785"/>
      <c r="AO42" s="785"/>
      <c r="AP42" s="785"/>
      <c r="AQ42" s="2"/>
      <c r="AR42" s="2"/>
      <c r="AS42" s="2"/>
      <c r="AT42" s="2"/>
      <c r="AU42" s="2"/>
      <c r="AV42" s="2"/>
      <c r="AW42" s="2"/>
      <c r="AX42" s="2"/>
      <c r="AY42" s="2"/>
      <c r="AZ42" s="2"/>
      <c r="BA42" s="2"/>
      <c r="BB42" s="2"/>
      <c r="BC42" s="2"/>
    </row>
    <row r="43" spans="1:55" s="65" customFormat="1">
      <c r="A43" s="785"/>
      <c r="B43" s="785"/>
      <c r="C43" s="785"/>
      <c r="D43" s="785"/>
      <c r="E43" s="785"/>
      <c r="F43" s="785"/>
      <c r="G43" s="785"/>
      <c r="H43" s="785"/>
      <c r="I43" s="785"/>
      <c r="J43" s="785"/>
      <c r="K43" s="785"/>
      <c r="L43" s="785"/>
      <c r="M43" s="785"/>
      <c r="N43" s="785"/>
      <c r="O43" s="785"/>
      <c r="P43" s="785"/>
      <c r="Q43" s="785"/>
      <c r="R43" s="785"/>
      <c r="S43" s="785"/>
      <c r="T43" s="785"/>
      <c r="U43" s="785"/>
      <c r="V43" s="785"/>
      <c r="W43" s="785"/>
      <c r="X43" s="785"/>
      <c r="Y43" s="785"/>
      <c r="Z43" s="785"/>
      <c r="AA43" s="785"/>
      <c r="AB43" s="785"/>
      <c r="AC43" s="785"/>
      <c r="AD43" s="785"/>
      <c r="AE43" s="785"/>
      <c r="AF43" s="785"/>
      <c r="AG43" s="785"/>
      <c r="AH43" s="785"/>
      <c r="AI43" s="785"/>
      <c r="AJ43" s="785"/>
      <c r="AK43" s="785"/>
      <c r="AL43" s="785"/>
      <c r="AM43" s="785"/>
      <c r="AN43" s="785"/>
      <c r="AO43" s="785"/>
      <c r="AP43" s="785"/>
      <c r="AQ43" s="2"/>
      <c r="AR43" s="2"/>
      <c r="AS43" s="2"/>
      <c r="AT43" s="2"/>
      <c r="AU43" s="2"/>
      <c r="AV43" s="2"/>
      <c r="AW43" s="2"/>
      <c r="AX43" s="2"/>
      <c r="AY43" s="2"/>
      <c r="AZ43" s="2"/>
      <c r="BA43" s="2"/>
      <c r="BB43" s="2"/>
      <c r="BC43" s="2"/>
    </row>
    <row r="44" spans="1:55" s="65" customFormat="1">
      <c r="A44" s="785"/>
      <c r="B44" s="785"/>
      <c r="C44" s="785"/>
      <c r="D44" s="785"/>
      <c r="E44" s="785"/>
      <c r="F44" s="785"/>
      <c r="G44" s="785"/>
      <c r="H44" s="785"/>
      <c r="I44" s="785"/>
      <c r="J44" s="785"/>
      <c r="K44" s="785"/>
      <c r="L44" s="785"/>
      <c r="M44" s="785"/>
      <c r="N44" s="785"/>
      <c r="O44" s="785"/>
      <c r="P44" s="785"/>
      <c r="Q44" s="785"/>
      <c r="R44" s="785"/>
      <c r="S44" s="785"/>
      <c r="T44" s="785"/>
      <c r="U44" s="785"/>
      <c r="V44" s="785"/>
      <c r="W44" s="785"/>
      <c r="X44" s="785"/>
      <c r="Y44" s="785"/>
      <c r="Z44" s="785"/>
      <c r="AA44" s="785"/>
      <c r="AB44" s="785"/>
      <c r="AC44" s="785"/>
      <c r="AD44" s="785"/>
      <c r="AE44" s="785"/>
      <c r="AF44" s="785"/>
      <c r="AG44" s="785"/>
      <c r="AH44" s="785"/>
      <c r="AI44" s="785"/>
      <c r="AJ44" s="785"/>
      <c r="AK44" s="785"/>
      <c r="AL44" s="785"/>
      <c r="AM44" s="785"/>
      <c r="AN44" s="785"/>
      <c r="AO44" s="785"/>
      <c r="AP44" s="785"/>
      <c r="AQ44" s="2"/>
      <c r="AR44" s="2"/>
      <c r="AS44" s="2"/>
      <c r="AT44" s="2"/>
      <c r="AU44" s="2"/>
      <c r="AV44" s="2"/>
      <c r="AW44" s="2"/>
      <c r="AX44" s="2"/>
      <c r="AY44" s="2"/>
      <c r="AZ44" s="2"/>
      <c r="BA44" s="2"/>
      <c r="BB44" s="2"/>
      <c r="BC44" s="2"/>
    </row>
    <row r="45" spans="1:55" s="65" customFormat="1" ht="11.4">
      <c r="B45" s="355"/>
      <c r="C45" s="355"/>
      <c r="D45" s="975" t="s">
        <v>392</v>
      </c>
      <c r="E45" s="975"/>
      <c r="F45" s="975"/>
      <c r="G45" s="975"/>
      <c r="H45" s="975"/>
      <c r="I45" s="975"/>
      <c r="J45" s="975"/>
      <c r="K45" s="975"/>
      <c r="L45" s="975"/>
      <c r="M45" s="975"/>
      <c r="N45" s="975"/>
      <c r="O45" s="975"/>
      <c r="P45" s="975"/>
      <c r="Q45" s="975"/>
      <c r="R45" s="975"/>
      <c r="S45" s="975"/>
      <c r="T45" s="975"/>
      <c r="U45" s="975"/>
      <c r="V45" s="975"/>
      <c r="W45" s="975"/>
      <c r="X45" s="975"/>
      <c r="Y45" s="975"/>
      <c r="Z45" s="975"/>
      <c r="AA45" s="975"/>
      <c r="AB45" s="975"/>
      <c r="AC45" s="975"/>
      <c r="AD45" s="975"/>
      <c r="AE45" s="975"/>
      <c r="AF45" s="975"/>
      <c r="AG45" s="975"/>
      <c r="AH45" s="975"/>
      <c r="AI45" s="975"/>
      <c r="AJ45" s="975"/>
      <c r="AK45" s="975"/>
      <c r="AL45" s="975"/>
      <c r="AM45" s="975"/>
      <c r="AN45" s="975"/>
      <c r="AO45" s="975"/>
      <c r="AP45" s="975"/>
      <c r="AQ45" s="2"/>
      <c r="AR45" s="2"/>
      <c r="AS45" s="2"/>
      <c r="AT45" s="2"/>
      <c r="AU45" s="2"/>
      <c r="AV45" s="2"/>
      <c r="AW45" s="2"/>
      <c r="AX45" s="2"/>
      <c r="AY45" s="2"/>
      <c r="AZ45" s="2"/>
      <c r="BA45" s="2"/>
      <c r="BB45" s="2"/>
      <c r="BC45" s="2"/>
    </row>
    <row r="46" spans="1:55" s="65" customFormat="1" ht="11.4">
      <c r="B46" s="355"/>
      <c r="C46" s="355"/>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Q46" s="2"/>
      <c r="AR46" s="2"/>
      <c r="AS46" s="2"/>
      <c r="AT46" s="2"/>
      <c r="AU46" s="2"/>
      <c r="AV46" s="2"/>
      <c r="AW46" s="2"/>
      <c r="AX46" s="2"/>
      <c r="AY46" s="2"/>
      <c r="AZ46" s="2"/>
      <c r="BA46" s="2"/>
      <c r="BB46" s="2"/>
      <c r="BC46" s="2"/>
    </row>
    <row r="47" spans="1:55" s="65" customFormat="1" ht="11.4">
      <c r="B47" s="355"/>
      <c r="C47" s="355"/>
      <c r="D47" s="76">
        <v>2012</v>
      </c>
      <c r="E47" s="6"/>
      <c r="F47" s="76">
        <v>2011</v>
      </c>
      <c r="G47" s="6"/>
      <c r="H47" s="6"/>
      <c r="I47" s="76">
        <v>2012</v>
      </c>
      <c r="J47" s="6"/>
      <c r="K47" s="76">
        <v>2011</v>
      </c>
      <c r="L47" s="6"/>
      <c r="M47" s="6"/>
      <c r="N47" s="76">
        <v>2012</v>
      </c>
      <c r="O47" s="6"/>
      <c r="P47" s="76">
        <v>2011</v>
      </c>
      <c r="Q47" s="74"/>
      <c r="R47" s="74"/>
      <c r="S47" s="76">
        <v>2012</v>
      </c>
      <c r="T47" s="6"/>
      <c r="U47" s="76">
        <v>2011</v>
      </c>
      <c r="V47" s="6"/>
      <c r="W47" s="6"/>
      <c r="X47" s="76">
        <v>2012</v>
      </c>
      <c r="Y47" s="6"/>
      <c r="Z47" s="76">
        <v>2011</v>
      </c>
      <c r="AA47" s="6"/>
      <c r="AB47" s="6"/>
      <c r="AC47" s="76">
        <v>2012</v>
      </c>
      <c r="AD47" s="6"/>
      <c r="AE47" s="76">
        <v>2011</v>
      </c>
      <c r="AH47" s="76">
        <v>2012</v>
      </c>
      <c r="AI47" s="6"/>
      <c r="AJ47" s="76">
        <v>2011</v>
      </c>
      <c r="AL47" s="76">
        <v>2012</v>
      </c>
      <c r="AM47" s="6"/>
      <c r="AN47" s="76">
        <v>2011</v>
      </c>
      <c r="AP47" s="76">
        <v>2012</v>
      </c>
      <c r="AQ47" s="2"/>
      <c r="AR47" s="2"/>
      <c r="AS47" s="2"/>
      <c r="AT47" s="2"/>
      <c r="AU47" s="2"/>
      <c r="AV47" s="2"/>
      <c r="AW47" s="2"/>
      <c r="AX47" s="2"/>
      <c r="AY47" s="2"/>
      <c r="AZ47" s="2"/>
      <c r="BA47" s="2"/>
      <c r="BB47" s="2"/>
      <c r="BC47" s="2"/>
    </row>
    <row r="48" spans="1:55" s="65" customFormat="1" ht="11.4">
      <c r="B48" s="355"/>
      <c r="C48" s="355"/>
      <c r="D48" s="74"/>
      <c r="E48" s="6"/>
      <c r="F48" s="74"/>
      <c r="G48" s="6"/>
      <c r="H48" s="6"/>
      <c r="I48" s="74"/>
      <c r="J48" s="6"/>
      <c r="K48" s="74"/>
      <c r="L48" s="6"/>
      <c r="M48" s="6"/>
      <c r="N48" s="74"/>
      <c r="O48" s="6"/>
      <c r="P48" s="74"/>
      <c r="Q48" s="74"/>
      <c r="R48" s="74"/>
      <c r="S48" s="74"/>
      <c r="T48" s="6"/>
      <c r="U48" s="74"/>
      <c r="V48" s="6"/>
      <c r="W48" s="6"/>
      <c r="X48" s="74"/>
      <c r="Y48" s="6"/>
      <c r="Z48" s="74"/>
      <c r="AA48" s="6"/>
      <c r="AB48" s="6"/>
      <c r="AC48" s="74"/>
      <c r="AD48" s="6"/>
      <c r="AE48" s="74"/>
      <c r="AH48" s="74"/>
      <c r="AI48" s="6"/>
      <c r="AJ48" s="74"/>
      <c r="AL48" s="74"/>
      <c r="AM48" s="6"/>
      <c r="AN48" s="74"/>
      <c r="AP48" s="74"/>
      <c r="AQ48" s="2"/>
      <c r="AR48" s="2"/>
      <c r="AS48" s="2"/>
      <c r="AT48" s="2"/>
      <c r="AU48" s="2"/>
      <c r="AV48" s="2"/>
      <c r="AW48" s="2"/>
      <c r="AX48" s="2"/>
      <c r="AY48" s="2"/>
      <c r="AZ48" s="2"/>
      <c r="BA48" s="2"/>
      <c r="BB48" s="2"/>
      <c r="BC48" s="2"/>
    </row>
    <row r="49" spans="1:55" s="65" customFormat="1" ht="11.4">
      <c r="B49" s="355"/>
      <c r="C49" s="355"/>
      <c r="D49" s="74"/>
      <c r="E49" s="6"/>
      <c r="F49" s="74"/>
      <c r="G49" s="6"/>
      <c r="H49" s="6"/>
      <c r="I49" s="74"/>
      <c r="J49" s="6"/>
      <c r="K49" s="74"/>
      <c r="L49" s="6"/>
      <c r="M49" s="6"/>
      <c r="N49" s="74"/>
      <c r="O49" s="6"/>
      <c r="P49" s="74"/>
      <c r="Q49" s="74"/>
      <c r="R49" s="74"/>
      <c r="S49" s="74"/>
      <c r="T49" s="6"/>
      <c r="U49" s="74"/>
      <c r="V49" s="6"/>
      <c r="W49" s="6"/>
      <c r="X49" s="74"/>
      <c r="Y49" s="6"/>
      <c r="Z49" s="74"/>
      <c r="AA49" s="6"/>
      <c r="AB49" s="6"/>
      <c r="AC49" s="74"/>
      <c r="AD49" s="6"/>
      <c r="AE49" s="74"/>
      <c r="AH49" s="74"/>
      <c r="AI49" s="6"/>
      <c r="AJ49" s="74"/>
      <c r="AL49" s="74"/>
      <c r="AM49" s="6"/>
      <c r="AN49" s="74"/>
      <c r="AP49" s="10" t="s">
        <v>948</v>
      </c>
      <c r="AQ49" s="2"/>
      <c r="AR49" s="2"/>
      <c r="AS49" s="2"/>
      <c r="AT49" s="2"/>
      <c r="AU49" s="2"/>
      <c r="AV49" s="2"/>
      <c r="AW49" s="2"/>
      <c r="AX49" s="2"/>
      <c r="AY49" s="2"/>
      <c r="AZ49" s="2"/>
      <c r="BA49" s="2"/>
      <c r="BB49" s="2"/>
      <c r="BC49" s="2"/>
    </row>
    <row r="50" spans="1:55" s="65" customFormat="1" ht="11.4">
      <c r="B50" s="355"/>
      <c r="C50" s="355"/>
      <c r="D50" s="74"/>
      <c r="E50" s="6"/>
      <c r="F50" s="74"/>
      <c r="G50" s="6"/>
      <c r="H50" s="6"/>
      <c r="I50" s="74"/>
      <c r="J50" s="6"/>
      <c r="K50" s="74"/>
      <c r="L50" s="6"/>
      <c r="M50" s="6"/>
      <c r="N50" s="74"/>
      <c r="O50" s="6"/>
      <c r="P50" s="74"/>
      <c r="Q50" s="74"/>
      <c r="R50" s="74"/>
      <c r="S50" s="74"/>
      <c r="T50" s="6"/>
      <c r="U50" s="74"/>
      <c r="V50" s="6"/>
      <c r="W50" s="6"/>
      <c r="X50" s="74"/>
      <c r="Y50" s="6"/>
      <c r="Z50" s="74"/>
      <c r="AA50" s="6"/>
      <c r="AB50" s="6"/>
      <c r="AC50" s="74"/>
      <c r="AD50" s="6"/>
      <c r="AE50" s="74"/>
      <c r="AH50" s="74"/>
      <c r="AI50" s="6"/>
      <c r="AJ50" s="74"/>
      <c r="AL50" s="74"/>
      <c r="AM50" s="6"/>
      <c r="AN50" s="74"/>
      <c r="AP50" s="10" t="s">
        <v>949</v>
      </c>
      <c r="AQ50" s="2"/>
      <c r="AR50" s="2"/>
      <c r="AS50" s="2"/>
      <c r="AT50" s="2"/>
      <c r="AU50" s="2"/>
      <c r="AV50" s="2"/>
      <c r="AW50" s="2"/>
      <c r="AX50" s="2"/>
      <c r="AY50" s="2"/>
      <c r="AZ50" s="2"/>
      <c r="BA50" s="2"/>
      <c r="BB50" s="2"/>
      <c r="BC50" s="2"/>
    </row>
    <row r="51" spans="1:55" s="65" customFormat="1" ht="11.4">
      <c r="B51" s="355"/>
      <c r="C51" s="355"/>
      <c r="D51" s="74"/>
      <c r="E51" s="6"/>
      <c r="F51" s="74"/>
      <c r="G51" s="6"/>
      <c r="H51" s="6"/>
      <c r="I51" s="74"/>
      <c r="J51" s="6"/>
      <c r="K51" s="74"/>
      <c r="L51" s="6"/>
      <c r="M51" s="6"/>
      <c r="N51" s="74"/>
      <c r="O51" s="6"/>
      <c r="P51" s="74"/>
      <c r="Q51" s="74"/>
      <c r="R51" s="74"/>
      <c r="S51" s="74"/>
      <c r="T51" s="6"/>
      <c r="U51" s="74"/>
      <c r="V51" s="6"/>
      <c r="W51" s="6"/>
      <c r="X51" s="74"/>
      <c r="Y51" s="6"/>
      <c r="Z51" s="74"/>
      <c r="AA51" s="6"/>
      <c r="AB51" s="6"/>
      <c r="AC51" s="74"/>
      <c r="AD51" s="6"/>
      <c r="AE51" s="74"/>
      <c r="AH51" s="74"/>
      <c r="AI51" s="6"/>
      <c r="AJ51" s="74"/>
      <c r="AL51" s="74"/>
      <c r="AM51" s="6"/>
      <c r="AN51" s="74"/>
      <c r="AP51" s="10" t="s">
        <v>950</v>
      </c>
      <c r="AQ51" s="2"/>
      <c r="AR51" s="2"/>
      <c r="AS51" s="2"/>
      <c r="AT51" s="2"/>
      <c r="AU51" s="2"/>
      <c r="AV51" s="2"/>
      <c r="AW51" s="2"/>
      <c r="AX51" s="2"/>
      <c r="AY51" s="2"/>
      <c r="AZ51" s="2"/>
      <c r="BA51" s="2"/>
      <c r="BB51" s="2"/>
      <c r="BC51" s="2"/>
    </row>
    <row r="52" spans="1:55" s="65" customFormat="1" ht="11.4">
      <c r="B52" s="355"/>
      <c r="C52" s="355"/>
      <c r="D52" s="341"/>
      <c r="E52" s="6"/>
      <c r="F52" s="342"/>
      <c r="G52" s="6"/>
      <c r="H52" s="6"/>
      <c r="I52" s="341"/>
      <c r="J52" s="6"/>
      <c r="K52" s="342"/>
      <c r="L52" s="6"/>
      <c r="M52" s="6"/>
      <c r="N52" s="341"/>
      <c r="O52" s="6"/>
      <c r="P52" s="342"/>
      <c r="Q52" s="342"/>
      <c r="R52" s="342"/>
      <c r="S52" s="342"/>
      <c r="T52" s="342"/>
      <c r="U52" s="342"/>
      <c r="V52" s="6"/>
      <c r="W52" s="6"/>
      <c r="X52" s="341"/>
      <c r="Y52" s="6"/>
      <c r="Z52" s="342"/>
      <c r="AA52" s="6"/>
      <c r="AB52" s="6"/>
      <c r="AC52" s="341"/>
      <c r="AD52" s="6"/>
      <c r="AE52" s="342"/>
      <c r="AP52" s="10" t="s">
        <v>374</v>
      </c>
      <c r="AQ52" s="2"/>
      <c r="AR52" s="2"/>
      <c r="AS52" s="2"/>
      <c r="AT52" s="2"/>
      <c r="AU52" s="2"/>
      <c r="AV52" s="2"/>
      <c r="AW52" s="2"/>
      <c r="AX52" s="2"/>
      <c r="AY52" s="2"/>
      <c r="AZ52" s="2"/>
      <c r="BA52" s="2"/>
      <c r="BB52" s="2"/>
      <c r="BC52" s="2"/>
    </row>
    <row r="53" spans="1:55" s="65" customFormat="1" ht="12.75" customHeight="1">
      <c r="B53" s="66"/>
      <c r="C53" s="66"/>
      <c r="D53" s="343"/>
      <c r="E53" s="244"/>
      <c r="F53" s="244"/>
      <c r="G53" s="244"/>
      <c r="H53" s="355"/>
      <c r="I53" s="355"/>
      <c r="J53" s="355"/>
      <c r="K53" s="355"/>
      <c r="L53" s="355"/>
      <c r="M53" s="355"/>
      <c r="N53" s="355"/>
      <c r="O53" s="355"/>
      <c r="P53" s="355"/>
      <c r="Q53" s="355"/>
      <c r="R53" s="355"/>
      <c r="S53" s="355"/>
      <c r="T53" s="355"/>
      <c r="U53" s="355"/>
      <c r="V53" s="355"/>
      <c r="W53" s="355"/>
      <c r="X53" s="343"/>
      <c r="Y53" s="244"/>
      <c r="Z53" s="244"/>
      <c r="AA53" s="355"/>
      <c r="AB53" s="355"/>
      <c r="AC53" s="992" t="s">
        <v>255</v>
      </c>
      <c r="AD53" s="992"/>
      <c r="AE53" s="992"/>
      <c r="AH53" s="992" t="s">
        <v>687</v>
      </c>
      <c r="AI53" s="992"/>
      <c r="AJ53" s="992"/>
      <c r="AP53" s="10" t="s">
        <v>375</v>
      </c>
      <c r="AQ53" s="2"/>
      <c r="AR53" s="2"/>
      <c r="AS53" s="2"/>
      <c r="AT53" s="2"/>
      <c r="AU53" s="2"/>
      <c r="AV53" s="2"/>
      <c r="AW53" s="2"/>
      <c r="AX53" s="2"/>
      <c r="AY53" s="2"/>
      <c r="AZ53" s="2"/>
      <c r="BA53" s="2"/>
      <c r="BB53" s="2"/>
      <c r="BC53" s="2"/>
    </row>
    <row r="54" spans="1:55" s="65" customFormat="1" ht="12.75" customHeight="1">
      <c r="B54" s="66"/>
      <c r="C54" s="66"/>
      <c r="D54" s="6"/>
      <c r="E54" s="244"/>
      <c r="F54" s="244"/>
      <c r="G54" s="244"/>
      <c r="H54" s="355"/>
      <c r="I54" s="783"/>
      <c r="J54" s="783"/>
      <c r="K54" s="783"/>
      <c r="L54" s="783"/>
      <c r="M54" s="783"/>
      <c r="N54" s="993" t="s">
        <v>376</v>
      </c>
      <c r="O54" s="993"/>
      <c r="P54" s="993"/>
      <c r="Q54" s="783"/>
      <c r="R54" s="783"/>
      <c r="S54" s="993"/>
      <c r="T54" s="993"/>
      <c r="U54" s="993"/>
      <c r="V54" s="355"/>
      <c r="W54" s="355"/>
      <c r="X54" s="6"/>
      <c r="Y54" s="244"/>
      <c r="Z54" s="244"/>
      <c r="AA54" s="355"/>
      <c r="AB54" s="355"/>
      <c r="AC54" s="994" t="s">
        <v>377</v>
      </c>
      <c r="AD54" s="994"/>
      <c r="AE54" s="994"/>
      <c r="AH54" s="992" t="s">
        <v>378</v>
      </c>
      <c r="AI54" s="992"/>
      <c r="AJ54" s="992"/>
      <c r="AP54" s="10" t="s">
        <v>980</v>
      </c>
      <c r="AQ54" s="2"/>
      <c r="AR54" s="2"/>
      <c r="AS54" s="2"/>
      <c r="AT54" s="2"/>
      <c r="AU54" s="2"/>
      <c r="AV54" s="2"/>
      <c r="AW54" s="2"/>
      <c r="AX54" s="2"/>
      <c r="AY54" s="2"/>
      <c r="AZ54" s="2"/>
      <c r="BA54" s="2"/>
      <c r="BB54" s="2"/>
      <c r="BC54" s="2"/>
    </row>
    <row r="55" spans="1:55" s="65" customFormat="1" ht="13.5" customHeight="1">
      <c r="B55" s="66"/>
      <c r="C55" s="66"/>
      <c r="D55" s="975" t="s">
        <v>302</v>
      </c>
      <c r="E55" s="975"/>
      <c r="F55" s="975"/>
      <c r="G55" s="6"/>
      <c r="H55" s="341"/>
      <c r="I55" s="975" t="s">
        <v>379</v>
      </c>
      <c r="J55" s="975"/>
      <c r="K55" s="975"/>
      <c r="L55" s="6"/>
      <c r="M55" s="6"/>
      <c r="N55" s="975" t="s">
        <v>380</v>
      </c>
      <c r="O55" s="975"/>
      <c r="P55" s="975"/>
      <c r="Q55" s="6"/>
      <c r="R55" s="6"/>
      <c r="S55" s="975" t="s">
        <v>381</v>
      </c>
      <c r="T55" s="975"/>
      <c r="U55" s="975"/>
      <c r="V55" s="66"/>
      <c r="W55" s="341"/>
      <c r="X55" s="975" t="s">
        <v>382</v>
      </c>
      <c r="Y55" s="975"/>
      <c r="Z55" s="975"/>
      <c r="AA55" s="66"/>
      <c r="AB55" s="66"/>
      <c r="AC55" s="975" t="s">
        <v>359</v>
      </c>
      <c r="AD55" s="975"/>
      <c r="AE55" s="975"/>
      <c r="AH55" s="975" t="s">
        <v>359</v>
      </c>
      <c r="AI55" s="975"/>
      <c r="AJ55" s="975"/>
      <c r="AL55" s="975" t="s">
        <v>356</v>
      </c>
      <c r="AM55" s="975"/>
      <c r="AN55" s="975"/>
      <c r="AP55" s="13" t="s">
        <v>383</v>
      </c>
      <c r="AQ55" s="2"/>
      <c r="AR55" s="2"/>
      <c r="AS55" s="2"/>
      <c r="AT55" s="2"/>
      <c r="AU55" s="2"/>
      <c r="AV55" s="2"/>
      <c r="AW55" s="2"/>
      <c r="AX55" s="2"/>
      <c r="AY55" s="2"/>
      <c r="AZ55" s="2"/>
      <c r="BA55" s="2"/>
      <c r="BB55" s="2"/>
      <c r="BC55" s="2"/>
    </row>
    <row r="56" spans="1:55" s="65" customFormat="1" ht="11.4">
      <c r="B56" s="66"/>
      <c r="C56" s="66"/>
      <c r="D56" s="6"/>
      <c r="E56" s="6"/>
      <c r="F56" s="6"/>
      <c r="G56" s="6"/>
      <c r="H56" s="341"/>
      <c r="I56" s="6"/>
      <c r="J56" s="6"/>
      <c r="K56" s="6"/>
      <c r="L56" s="6"/>
      <c r="M56" s="6"/>
      <c r="N56" s="6"/>
      <c r="O56" s="6"/>
      <c r="P56" s="6"/>
      <c r="Q56" s="6"/>
      <c r="R56" s="6"/>
      <c r="S56" s="6"/>
      <c r="T56" s="6"/>
      <c r="U56" s="6"/>
      <c r="V56" s="66"/>
      <c r="W56" s="341"/>
      <c r="X56" s="6"/>
      <c r="Y56" s="6"/>
      <c r="Z56" s="6"/>
      <c r="AA56" s="66"/>
      <c r="AB56" s="66"/>
      <c r="AH56" s="66"/>
      <c r="AI56" s="66"/>
      <c r="AJ56" s="66"/>
      <c r="AL56" s="66"/>
      <c r="AM56" s="66"/>
      <c r="AN56" s="66"/>
      <c r="AP56" s="66"/>
      <c r="AQ56" s="2"/>
      <c r="AR56" s="2"/>
      <c r="AS56" s="2"/>
      <c r="AT56" s="2"/>
      <c r="AU56" s="2"/>
      <c r="AV56" s="2"/>
      <c r="AW56" s="2"/>
      <c r="AX56" s="2"/>
      <c r="AY56" s="2"/>
      <c r="AZ56" s="2"/>
      <c r="BA56" s="2"/>
      <c r="BB56" s="2"/>
      <c r="BC56" s="2"/>
    </row>
    <row r="57" spans="1:55" s="65" customFormat="1" ht="12">
      <c r="A57" s="315" t="s">
        <v>361</v>
      </c>
      <c r="B57" s="349"/>
      <c r="C57" s="345"/>
      <c r="D57" s="66"/>
      <c r="E57" s="66"/>
      <c r="F57" s="66"/>
      <c r="G57" s="66"/>
      <c r="H57" s="345"/>
      <c r="I57" s="66"/>
      <c r="J57" s="66"/>
      <c r="K57" s="66"/>
      <c r="L57" s="66"/>
      <c r="M57" s="345"/>
      <c r="N57" s="66"/>
      <c r="O57" s="66"/>
      <c r="P57" s="66"/>
      <c r="Q57" s="66"/>
      <c r="R57" s="345"/>
      <c r="S57" s="66"/>
      <c r="T57" s="66"/>
      <c r="U57" s="66"/>
      <c r="V57" s="66"/>
      <c r="W57" s="345"/>
      <c r="X57" s="66"/>
      <c r="Y57" s="66"/>
      <c r="Z57" s="66"/>
      <c r="AA57" s="66"/>
      <c r="AB57" s="66"/>
      <c r="AC57" s="66"/>
      <c r="AD57" s="66"/>
      <c r="AE57" s="66"/>
      <c r="AH57" s="66"/>
      <c r="AI57" s="66"/>
      <c r="AJ57" s="66"/>
      <c r="AL57" s="66"/>
      <c r="AM57" s="66"/>
      <c r="AN57" s="66"/>
      <c r="AP57" s="66"/>
      <c r="AQ57" s="2"/>
      <c r="AR57" s="2"/>
      <c r="AS57" s="2"/>
      <c r="AT57" s="2"/>
      <c r="AU57" s="2"/>
      <c r="AV57" s="2"/>
      <c r="AW57" s="2"/>
      <c r="AX57" s="2"/>
      <c r="AY57" s="2"/>
      <c r="AZ57" s="2"/>
      <c r="BA57" s="2"/>
      <c r="BB57" s="2"/>
      <c r="BC57" s="2"/>
    </row>
    <row r="58" spans="1:55" s="65" customFormat="1" ht="11.4">
      <c r="A58" s="350"/>
      <c r="B58" s="306" t="s">
        <v>384</v>
      </c>
      <c r="C58" s="256" t="s">
        <v>108</v>
      </c>
      <c r="D58" s="176">
        <v>7806</v>
      </c>
      <c r="E58" s="256" t="s">
        <v>108</v>
      </c>
      <c r="F58" s="176">
        <v>7866</v>
      </c>
      <c r="G58" s="176"/>
      <c r="H58" s="256" t="s">
        <v>108</v>
      </c>
      <c r="I58" s="176">
        <v>5447</v>
      </c>
      <c r="J58" s="256" t="s">
        <v>108</v>
      </c>
      <c r="K58" s="176">
        <v>5642</v>
      </c>
      <c r="L58" s="176"/>
      <c r="M58" s="256" t="s">
        <v>108</v>
      </c>
      <c r="N58" s="176">
        <v>201</v>
      </c>
      <c r="O58" s="256" t="s">
        <v>108</v>
      </c>
      <c r="P58" s="176">
        <v>282</v>
      </c>
      <c r="Q58" s="176"/>
      <c r="R58" s="256" t="s">
        <v>108</v>
      </c>
      <c r="S58" s="176">
        <v>1998</v>
      </c>
      <c r="T58" s="256" t="s">
        <v>108</v>
      </c>
      <c r="U58" s="273">
        <v>1962</v>
      </c>
      <c r="V58" s="255"/>
      <c r="W58" s="256"/>
      <c r="X58" s="356">
        <v>69.779656674353063</v>
      </c>
      <c r="Y58" s="357"/>
      <c r="Z58" s="356">
        <v>71.726417493007872</v>
      </c>
      <c r="AA58" s="358"/>
      <c r="AB58" s="358"/>
      <c r="AC58" s="356">
        <v>2.5749423520368948</v>
      </c>
      <c r="AD58" s="356"/>
      <c r="AE58" s="356">
        <v>3.5850495804729219</v>
      </c>
      <c r="AF58" s="359"/>
      <c r="AG58" s="359"/>
      <c r="AH58" s="347">
        <v>-1.6397642838841917</v>
      </c>
      <c r="AI58" s="358"/>
      <c r="AJ58" s="347">
        <v>-1.3221459445715738</v>
      </c>
      <c r="AK58" s="359"/>
      <c r="AL58" s="358">
        <v>25.595695618754803</v>
      </c>
      <c r="AM58" s="358"/>
      <c r="AN58" s="358">
        <v>25</v>
      </c>
      <c r="AO58" s="359"/>
      <c r="AP58" s="213">
        <v>0</v>
      </c>
      <c r="AQ58" s="2"/>
      <c r="AR58" s="2"/>
      <c r="AS58" s="2"/>
      <c r="AT58" s="2"/>
      <c r="AU58" s="2"/>
      <c r="AV58" s="2"/>
      <c r="AW58" s="2"/>
      <c r="AX58" s="2"/>
      <c r="AY58" s="2"/>
      <c r="AZ58" s="2"/>
      <c r="BA58" s="2"/>
      <c r="BB58" s="2"/>
      <c r="BC58" s="2"/>
    </row>
    <row r="59" spans="1:55" s="65" customFormat="1" ht="11.4">
      <c r="A59" s="350"/>
      <c r="B59" s="306" t="s">
        <v>385</v>
      </c>
      <c r="C59" s="80"/>
      <c r="D59" s="113">
        <v>367</v>
      </c>
      <c r="E59" s="11"/>
      <c r="F59" s="113">
        <v>415</v>
      </c>
      <c r="G59" s="176"/>
      <c r="H59" s="11"/>
      <c r="I59" s="113">
        <v>235</v>
      </c>
      <c r="J59" s="11"/>
      <c r="K59" s="113">
        <v>278</v>
      </c>
      <c r="L59" s="176"/>
      <c r="M59" s="80"/>
      <c r="N59" s="113">
        <v>3</v>
      </c>
      <c r="O59" s="11"/>
      <c r="P59" s="113">
        <v>8</v>
      </c>
      <c r="Q59" s="176"/>
      <c r="R59" s="80"/>
      <c r="S59" s="113">
        <v>86</v>
      </c>
      <c r="T59" s="11"/>
      <c r="U59" s="825">
        <v>95</v>
      </c>
      <c r="V59" s="66"/>
      <c r="W59" s="80"/>
      <c r="X59" s="356">
        <v>64.032697547683924</v>
      </c>
      <c r="Y59" s="358"/>
      <c r="Z59" s="356">
        <v>66.987951807228924</v>
      </c>
      <c r="AA59" s="358"/>
      <c r="AB59" s="358"/>
      <c r="AC59" s="356">
        <v>0.81743869209809261</v>
      </c>
      <c r="AD59" s="358"/>
      <c r="AE59" s="356">
        <v>1.9277108433734942</v>
      </c>
      <c r="AF59" s="359"/>
      <c r="AG59" s="359"/>
      <c r="AH59" s="347">
        <v>-0.81743869209809261</v>
      </c>
      <c r="AI59" s="358"/>
      <c r="AJ59" s="347">
        <v>-2.1686746987951806</v>
      </c>
      <c r="AK59" s="359"/>
      <c r="AL59" s="358">
        <v>23.533242506811991</v>
      </c>
      <c r="AM59" s="358"/>
      <c r="AN59" s="358">
        <v>22.9</v>
      </c>
      <c r="AO59" s="359"/>
      <c r="AP59" s="213">
        <v>0</v>
      </c>
      <c r="AQ59" s="2"/>
      <c r="AR59" s="2"/>
      <c r="AS59" s="2"/>
      <c r="AT59" s="2"/>
      <c r="AU59" s="2"/>
      <c r="AV59" s="2"/>
      <c r="AW59" s="2"/>
      <c r="AX59" s="2"/>
      <c r="AY59" s="2"/>
      <c r="AZ59" s="2"/>
      <c r="BA59" s="2"/>
      <c r="BB59" s="2"/>
      <c r="BC59" s="2"/>
    </row>
    <row r="60" spans="1:55" s="65" customFormat="1" ht="11.4">
      <c r="A60" s="350"/>
      <c r="B60" s="306" t="s">
        <v>386</v>
      </c>
      <c r="C60" s="34"/>
      <c r="D60" s="176">
        <v>8173</v>
      </c>
      <c r="E60" s="11"/>
      <c r="F60" s="176">
        <v>8281</v>
      </c>
      <c r="G60" s="176"/>
      <c r="H60" s="11"/>
      <c r="I60" s="176">
        <v>5682</v>
      </c>
      <c r="J60" s="11"/>
      <c r="K60" s="176">
        <v>5920</v>
      </c>
      <c r="L60" s="176"/>
      <c r="M60" s="80"/>
      <c r="N60" s="176">
        <v>204</v>
      </c>
      <c r="O60" s="11"/>
      <c r="P60" s="176">
        <v>290</v>
      </c>
      <c r="Q60" s="176"/>
      <c r="R60" s="80"/>
      <c r="S60" s="176">
        <v>2084</v>
      </c>
      <c r="T60" s="11"/>
      <c r="U60" s="273">
        <v>2057</v>
      </c>
      <c r="V60" s="66"/>
      <c r="W60" s="34"/>
      <c r="X60" s="272">
        <v>69.521595497369375</v>
      </c>
      <c r="Y60" s="272"/>
      <c r="Z60" s="272">
        <v>71.488950609829729</v>
      </c>
      <c r="AA60" s="66"/>
      <c r="AB60" s="66"/>
      <c r="AC60" s="272">
        <v>2.4960234919858069</v>
      </c>
      <c r="AD60" s="272"/>
      <c r="AE60" s="272">
        <v>3.5019925129815244</v>
      </c>
      <c r="AH60" s="347">
        <v>-1.60283861495167</v>
      </c>
      <c r="AI60" s="358"/>
      <c r="AJ60" s="347">
        <v>-1.3645694964376283</v>
      </c>
      <c r="AL60" s="358">
        <v>25.498592927933437</v>
      </c>
      <c r="AM60" s="66"/>
      <c r="AN60" s="358">
        <v>24.8</v>
      </c>
      <c r="AP60" s="213">
        <v>0</v>
      </c>
      <c r="AQ60" s="2"/>
      <c r="AR60" s="2"/>
      <c r="AS60" s="2"/>
      <c r="AT60" s="2"/>
      <c r="AU60" s="2"/>
      <c r="AV60" s="2"/>
      <c r="AW60" s="2"/>
      <c r="AX60" s="2"/>
      <c r="AY60" s="2"/>
      <c r="AZ60" s="2"/>
      <c r="BA60" s="2"/>
      <c r="BB60" s="2"/>
      <c r="BC60" s="2"/>
    </row>
    <row r="61" spans="1:55" s="65" customFormat="1" ht="13.2">
      <c r="A61" s="350"/>
      <c r="B61" s="306"/>
      <c r="C61" s="34"/>
      <c r="D61" s="176"/>
      <c r="E61" s="11"/>
      <c r="F61" s="176"/>
      <c r="G61" s="176"/>
      <c r="H61" s="11"/>
      <c r="I61" s="176"/>
      <c r="J61" s="11"/>
      <c r="K61" s="176"/>
      <c r="L61" s="176"/>
      <c r="M61" s="80"/>
      <c r="N61" s="176"/>
      <c r="O61" s="11"/>
      <c r="P61" s="176"/>
      <c r="Q61" s="176"/>
      <c r="R61" s="80"/>
      <c r="S61" s="176"/>
      <c r="T61" s="11"/>
      <c r="U61" s="273"/>
      <c r="V61" s="66"/>
      <c r="W61" s="34"/>
      <c r="X61" s="272"/>
      <c r="Y61" s="272"/>
      <c r="Z61" s="272"/>
      <c r="AA61" s="66"/>
      <c r="AB61" s="66"/>
      <c r="AC61" s="272"/>
      <c r="AD61" s="272"/>
      <c r="AE61" s="272"/>
      <c r="AH61" s="358"/>
      <c r="AI61" s="358"/>
      <c r="AJ61" s="361"/>
      <c r="AL61" s="358"/>
      <c r="AM61" s="66"/>
      <c r="AN61" s="358"/>
      <c r="AP61" s="358"/>
      <c r="AQ61" s="2"/>
      <c r="AR61" s="2"/>
      <c r="AS61" s="2"/>
      <c r="AT61" s="2"/>
      <c r="AU61" s="2"/>
      <c r="AV61" s="2"/>
      <c r="AW61" s="2"/>
      <c r="AX61" s="2"/>
      <c r="AY61" s="2"/>
      <c r="AZ61" s="2"/>
      <c r="BA61" s="2"/>
      <c r="BB61" s="2"/>
      <c r="BC61" s="2"/>
    </row>
    <row r="62" spans="1:55" s="65" customFormat="1" ht="11.4">
      <c r="A62" s="350"/>
      <c r="B62" s="306" t="s">
        <v>367</v>
      </c>
      <c r="C62" s="80"/>
      <c r="D62" s="176">
        <v>2967</v>
      </c>
      <c r="E62" s="11"/>
      <c r="F62" s="176">
        <v>2905</v>
      </c>
      <c r="G62" s="176"/>
      <c r="H62" s="11"/>
      <c r="I62" s="176">
        <v>2054</v>
      </c>
      <c r="J62" s="11"/>
      <c r="K62" s="176">
        <v>3476</v>
      </c>
      <c r="L62" s="176"/>
      <c r="M62" s="80"/>
      <c r="N62" s="176">
        <v>783</v>
      </c>
      <c r="O62" s="11"/>
      <c r="P62" s="176">
        <v>2052</v>
      </c>
      <c r="Q62" s="176"/>
      <c r="R62" s="80"/>
      <c r="S62" s="176">
        <v>693</v>
      </c>
      <c r="T62" s="11"/>
      <c r="U62" s="273">
        <v>664</v>
      </c>
      <c r="V62" s="66"/>
      <c r="W62" s="80"/>
      <c r="X62" s="356">
        <v>69.228176609369726</v>
      </c>
      <c r="Y62" s="358"/>
      <c r="Z62" s="356">
        <v>119.65576592082616</v>
      </c>
      <c r="AA62" s="358"/>
      <c r="AB62" s="358"/>
      <c r="AC62" s="356">
        <v>26.390293225480281</v>
      </c>
      <c r="AD62" s="358"/>
      <c r="AE62" s="356">
        <v>70.636833046471608</v>
      </c>
      <c r="AF62" s="359"/>
      <c r="AG62" s="359"/>
      <c r="AH62" s="347">
        <v>-5.6959892146949782</v>
      </c>
      <c r="AI62" s="358"/>
      <c r="AJ62" s="347">
        <v>-1.2048192771084338</v>
      </c>
      <c r="AK62" s="359"/>
      <c r="AL62" s="358">
        <v>23.356926188068755</v>
      </c>
      <c r="AM62" s="358"/>
      <c r="AN62" s="358">
        <v>22.799999999999997</v>
      </c>
      <c r="AO62" s="359"/>
      <c r="AP62" s="213">
        <v>0</v>
      </c>
      <c r="AQ62" s="2"/>
      <c r="AR62" s="2"/>
      <c r="AS62" s="2"/>
      <c r="AT62" s="2"/>
      <c r="AU62" s="2"/>
      <c r="AV62" s="2"/>
      <c r="AW62" s="2"/>
      <c r="AX62" s="2"/>
      <c r="AY62" s="2"/>
      <c r="AZ62" s="2"/>
      <c r="BA62" s="2"/>
      <c r="BB62" s="2"/>
      <c r="BC62" s="2"/>
    </row>
    <row r="63" spans="1:55" s="65" customFormat="1" ht="13.2">
      <c r="A63" s="350"/>
      <c r="B63" s="306" t="s">
        <v>387</v>
      </c>
      <c r="C63" s="80"/>
      <c r="D63" s="113">
        <v>1166</v>
      </c>
      <c r="E63" s="11"/>
      <c r="F63" s="113">
        <v>1175</v>
      </c>
      <c r="G63" s="176"/>
      <c r="H63" s="11"/>
      <c r="I63" s="113">
        <v>683</v>
      </c>
      <c r="J63" s="11"/>
      <c r="K63" s="113">
        <v>986</v>
      </c>
      <c r="L63" s="176"/>
      <c r="M63" s="80"/>
      <c r="N63" s="113">
        <v>59</v>
      </c>
      <c r="O63" s="11"/>
      <c r="P63" s="113">
        <v>248</v>
      </c>
      <c r="Q63" s="176"/>
      <c r="R63" s="80"/>
      <c r="S63" s="113">
        <v>342</v>
      </c>
      <c r="T63" s="11"/>
      <c r="U63" s="825">
        <v>367</v>
      </c>
      <c r="V63" s="66"/>
      <c r="W63" s="80"/>
      <c r="X63" s="356">
        <v>58.576329331046317</v>
      </c>
      <c r="Y63" s="358"/>
      <c r="Z63" s="356">
        <v>83.914893617021278</v>
      </c>
      <c r="AA63" s="358"/>
      <c r="AB63" s="358"/>
      <c r="AC63" s="356">
        <v>5.0600343053173242</v>
      </c>
      <c r="AD63" s="358"/>
      <c r="AE63" s="356">
        <v>21.106382978723403</v>
      </c>
      <c r="AF63" s="359"/>
      <c r="AG63" s="359"/>
      <c r="AH63" s="347">
        <v>-4.8027444253859342</v>
      </c>
      <c r="AI63" s="358"/>
      <c r="AJ63" s="347">
        <v>4.3404255319148941</v>
      </c>
      <c r="AK63" s="359"/>
      <c r="AL63" s="358">
        <v>29.331046312178387</v>
      </c>
      <c r="AM63" s="358"/>
      <c r="AN63" s="358">
        <v>31.2</v>
      </c>
      <c r="AO63" s="359"/>
      <c r="AP63" s="213">
        <v>1.2</v>
      </c>
      <c r="AQ63" s="2"/>
      <c r="AR63" s="2"/>
      <c r="AS63" s="2"/>
      <c r="AT63" s="2"/>
      <c r="AU63" s="2"/>
      <c r="AV63" s="2"/>
      <c r="AW63" s="2"/>
      <c r="AX63" s="2"/>
      <c r="AY63" s="2"/>
      <c r="AZ63" s="2"/>
      <c r="BA63" s="2"/>
      <c r="BB63" s="2"/>
      <c r="BC63" s="2"/>
    </row>
    <row r="64" spans="1:55" s="65" customFormat="1" ht="11.4">
      <c r="A64" s="350"/>
      <c r="B64" s="306"/>
      <c r="C64" s="80"/>
      <c r="D64" s="176"/>
      <c r="E64" s="11"/>
      <c r="F64" s="176"/>
      <c r="G64" s="176"/>
      <c r="H64" s="11"/>
      <c r="I64" s="176"/>
      <c r="J64" s="11"/>
      <c r="K64" s="176"/>
      <c r="L64" s="176"/>
      <c r="M64" s="80"/>
      <c r="N64" s="176"/>
      <c r="O64" s="11"/>
      <c r="P64" s="176"/>
      <c r="Q64" s="176"/>
      <c r="R64" s="80"/>
      <c r="S64" s="176"/>
      <c r="T64" s="11"/>
      <c r="U64" s="273"/>
      <c r="V64" s="66"/>
      <c r="W64" s="80"/>
      <c r="X64" s="356"/>
      <c r="Y64" s="358"/>
      <c r="Z64" s="356"/>
      <c r="AA64" s="358"/>
      <c r="AB64" s="358"/>
      <c r="AC64" s="356"/>
      <c r="AD64" s="358"/>
      <c r="AE64" s="356"/>
      <c r="AF64" s="359"/>
      <c r="AG64" s="359"/>
      <c r="AH64" s="358"/>
      <c r="AI64" s="358"/>
      <c r="AJ64" s="358"/>
      <c r="AK64" s="359"/>
      <c r="AL64" s="358"/>
      <c r="AM64" s="358"/>
      <c r="AN64" s="358"/>
      <c r="AO64" s="359"/>
      <c r="AP64" s="358"/>
      <c r="AQ64" s="2"/>
      <c r="AR64" s="2"/>
      <c r="AS64" s="2"/>
      <c r="AT64" s="2"/>
      <c r="AU64" s="2"/>
      <c r="AV64" s="2"/>
      <c r="AW64" s="2"/>
      <c r="AX64" s="2"/>
      <c r="AY64" s="2"/>
      <c r="AZ64" s="2"/>
      <c r="BA64" s="2"/>
      <c r="BB64" s="2"/>
      <c r="BC64" s="2"/>
    </row>
    <row r="65" spans="1:55" s="65" customFormat="1" ht="13.2">
      <c r="A65" s="350"/>
      <c r="B65" s="306" t="s">
        <v>388</v>
      </c>
      <c r="C65" s="80"/>
      <c r="D65" s="176">
        <v>12306</v>
      </c>
      <c r="E65" s="11"/>
      <c r="F65" s="176">
        <v>12361</v>
      </c>
      <c r="G65" s="176"/>
      <c r="H65" s="11"/>
      <c r="I65" s="176">
        <v>8419</v>
      </c>
      <c r="J65" s="11"/>
      <c r="K65" s="176">
        <v>10382</v>
      </c>
      <c r="L65" s="176"/>
      <c r="M65" s="80"/>
      <c r="N65" s="176">
        <v>1046</v>
      </c>
      <c r="O65" s="11"/>
      <c r="P65" s="176">
        <v>2590</v>
      </c>
      <c r="Q65" s="176"/>
      <c r="R65" s="80"/>
      <c r="S65" s="176">
        <v>3119</v>
      </c>
      <c r="T65" s="11"/>
      <c r="U65" s="273">
        <v>3088</v>
      </c>
      <c r="V65" s="66"/>
      <c r="W65" s="80"/>
      <c r="X65" s="356">
        <v>68.413781895010558</v>
      </c>
      <c r="Y65" s="358"/>
      <c r="Z65" s="356">
        <v>83.989968449154588</v>
      </c>
      <c r="AA65" s="358"/>
      <c r="AB65" s="358"/>
      <c r="AC65" s="356">
        <v>8.4999187388265884</v>
      </c>
      <c r="AD65" s="358"/>
      <c r="AE65" s="356">
        <v>20.952997330313082</v>
      </c>
      <c r="AF65" s="359"/>
      <c r="AG65" s="359"/>
      <c r="AH65" s="347">
        <v>-2.8928977734438486</v>
      </c>
      <c r="AI65" s="358"/>
      <c r="AJ65" s="347">
        <v>-0.78472615484184127</v>
      </c>
      <c r="AK65" s="359"/>
      <c r="AL65" s="358">
        <v>25.445359986998213</v>
      </c>
      <c r="AM65" s="358"/>
      <c r="AN65" s="358">
        <v>25</v>
      </c>
      <c r="AO65" s="359"/>
      <c r="AP65" s="213">
        <v>0.1</v>
      </c>
      <c r="AQ65" s="2"/>
      <c r="AR65" s="2"/>
      <c r="AS65" s="2"/>
      <c r="AT65" s="2"/>
      <c r="AU65" s="2"/>
      <c r="AV65" s="2"/>
      <c r="AW65" s="2"/>
      <c r="AX65" s="2"/>
      <c r="AY65" s="2"/>
      <c r="AZ65" s="2"/>
      <c r="BA65" s="2"/>
      <c r="BB65" s="2"/>
      <c r="BC65" s="2"/>
    </row>
    <row r="66" spans="1:55" s="65" customFormat="1" ht="11.4">
      <c r="A66" s="350"/>
      <c r="B66" s="306"/>
      <c r="C66" s="80"/>
      <c r="D66" s="176"/>
      <c r="E66" s="11"/>
      <c r="F66" s="176"/>
      <c r="G66" s="176"/>
      <c r="H66" s="11"/>
      <c r="I66" s="176"/>
      <c r="J66" s="11"/>
      <c r="K66" s="176"/>
      <c r="L66" s="176"/>
      <c r="M66" s="80"/>
      <c r="N66" s="176"/>
      <c r="O66" s="11"/>
      <c r="P66" s="176"/>
      <c r="Q66" s="176"/>
      <c r="R66" s="80"/>
      <c r="S66" s="176"/>
      <c r="T66" s="11"/>
      <c r="U66" s="273"/>
      <c r="V66" s="66"/>
      <c r="W66" s="80"/>
      <c r="X66" s="356"/>
      <c r="Y66" s="358"/>
      <c r="Z66" s="356"/>
      <c r="AA66" s="358"/>
      <c r="AB66" s="358"/>
      <c r="AC66" s="356"/>
      <c r="AD66" s="358"/>
      <c r="AE66" s="356"/>
      <c r="AF66" s="359"/>
      <c r="AG66" s="359"/>
      <c r="AH66" s="358"/>
      <c r="AI66" s="358"/>
      <c r="AJ66" s="358"/>
      <c r="AK66" s="359"/>
      <c r="AL66" s="358"/>
      <c r="AM66" s="358"/>
      <c r="AN66" s="358"/>
      <c r="AO66" s="359"/>
      <c r="AP66" s="358"/>
      <c r="AQ66" s="2"/>
      <c r="AR66" s="2"/>
      <c r="AS66" s="2"/>
      <c r="AT66" s="2"/>
      <c r="AU66" s="2"/>
      <c r="AV66" s="2"/>
      <c r="AW66" s="2"/>
      <c r="AX66" s="2"/>
      <c r="AY66" s="2"/>
      <c r="AZ66" s="2"/>
      <c r="BA66" s="2"/>
      <c r="BB66" s="2"/>
      <c r="BC66" s="2"/>
    </row>
    <row r="67" spans="1:55" s="65" customFormat="1" ht="12">
      <c r="A67" s="315" t="s">
        <v>369</v>
      </c>
      <c r="B67" s="353"/>
      <c r="C67" s="80"/>
      <c r="D67" s="176"/>
      <c r="E67" s="11"/>
      <c r="F67" s="176"/>
      <c r="G67" s="176"/>
      <c r="H67" s="11"/>
      <c r="I67" s="176"/>
      <c r="J67" s="11"/>
      <c r="K67" s="176"/>
      <c r="L67" s="176"/>
      <c r="M67" s="80"/>
      <c r="N67" s="176"/>
      <c r="O67" s="11"/>
      <c r="P67" s="176"/>
      <c r="Q67" s="176"/>
      <c r="R67" s="80"/>
      <c r="S67" s="176"/>
      <c r="T67" s="11"/>
      <c r="U67" s="273"/>
      <c r="V67" s="66"/>
      <c r="W67" s="80"/>
      <c r="X67" s="356"/>
      <c r="Y67" s="358"/>
      <c r="Z67" s="356"/>
      <c r="AA67" s="358"/>
      <c r="AB67" s="358"/>
      <c r="AC67" s="356"/>
      <c r="AD67" s="358"/>
      <c r="AE67" s="356"/>
      <c r="AF67" s="359"/>
      <c r="AG67" s="359"/>
      <c r="AH67" s="358"/>
      <c r="AI67" s="358"/>
      <c r="AJ67" s="358"/>
      <c r="AK67" s="359"/>
      <c r="AL67" s="358"/>
      <c r="AM67" s="358"/>
      <c r="AN67" s="358"/>
      <c r="AO67" s="359"/>
      <c r="AP67" s="358"/>
      <c r="AQ67" s="2"/>
      <c r="AR67" s="2"/>
      <c r="AS67" s="2"/>
      <c r="AT67" s="2"/>
      <c r="AU67" s="2"/>
      <c r="AV67" s="2"/>
      <c r="AW67" s="2"/>
      <c r="AX67" s="2"/>
      <c r="AY67" s="2"/>
      <c r="AZ67" s="2"/>
      <c r="BA67" s="2"/>
      <c r="BB67" s="2"/>
      <c r="BC67" s="2"/>
    </row>
    <row r="68" spans="1:55" s="65" customFormat="1" ht="11.4">
      <c r="A68" s="350"/>
      <c r="B68" s="306" t="s">
        <v>384</v>
      </c>
      <c r="C68" s="80"/>
      <c r="D68" s="176">
        <v>304</v>
      </c>
      <c r="E68" s="11"/>
      <c r="F68" s="176">
        <v>315</v>
      </c>
      <c r="G68" s="176"/>
      <c r="H68" s="11"/>
      <c r="I68" s="176">
        <v>243</v>
      </c>
      <c r="J68" s="11"/>
      <c r="K68" s="176">
        <v>243</v>
      </c>
      <c r="L68" s="176"/>
      <c r="M68" s="80"/>
      <c r="N68" s="176">
        <v>5</v>
      </c>
      <c r="O68" s="11"/>
      <c r="P68" s="176">
        <v>5</v>
      </c>
      <c r="Q68" s="176"/>
      <c r="R68" s="80"/>
      <c r="S68" s="176">
        <v>85</v>
      </c>
      <c r="T68" s="11"/>
      <c r="U68" s="273">
        <v>89</v>
      </c>
      <c r="V68" s="66"/>
      <c r="W68" s="80"/>
      <c r="X68" s="356">
        <v>79.93421052631578</v>
      </c>
      <c r="Y68" s="358"/>
      <c r="Z68" s="356">
        <v>77.142857142857153</v>
      </c>
      <c r="AA68" s="358"/>
      <c r="AB68" s="358"/>
      <c r="AC68" s="356">
        <v>1.6447368421052631</v>
      </c>
      <c r="AD68" s="358"/>
      <c r="AE68" s="356">
        <v>1.5873015873015872</v>
      </c>
      <c r="AF68" s="359"/>
      <c r="AG68" s="359"/>
      <c r="AH68" s="347">
        <v>0.3289473684210526</v>
      </c>
      <c r="AI68" s="358"/>
      <c r="AJ68" s="347">
        <v>1.5873015873015872</v>
      </c>
      <c r="AK68" s="359"/>
      <c r="AL68" s="358">
        <v>27.960526315789476</v>
      </c>
      <c r="AM68" s="358"/>
      <c r="AN68" s="358">
        <v>28.3</v>
      </c>
      <c r="AO68" s="359"/>
      <c r="AP68" s="213">
        <v>0</v>
      </c>
      <c r="AQ68" s="2"/>
      <c r="AR68" s="2"/>
      <c r="AS68" s="2"/>
      <c r="AT68" s="2"/>
      <c r="AU68" s="2"/>
      <c r="AV68" s="2"/>
      <c r="AW68" s="2"/>
      <c r="AX68" s="2"/>
      <c r="AY68" s="2"/>
      <c r="AZ68" s="2"/>
      <c r="BA68" s="2"/>
      <c r="BB68" s="2"/>
      <c r="BC68" s="2"/>
    </row>
    <row r="69" spans="1:55" s="65" customFormat="1" ht="11.4">
      <c r="A69" s="350"/>
      <c r="B69" s="306" t="s">
        <v>371</v>
      </c>
      <c r="C69" s="34"/>
      <c r="D69" s="113">
        <v>0</v>
      </c>
      <c r="E69" s="176"/>
      <c r="F69" s="113">
        <v>2</v>
      </c>
      <c r="G69" s="176"/>
      <c r="H69" s="176"/>
      <c r="I69" s="113">
        <v>0</v>
      </c>
      <c r="J69" s="176"/>
      <c r="K69" s="113">
        <v>2</v>
      </c>
      <c r="L69" s="176"/>
      <c r="M69" s="23"/>
      <c r="N69" s="113">
        <v>0</v>
      </c>
      <c r="O69" s="176"/>
      <c r="P69" s="113">
        <v>0</v>
      </c>
      <c r="Q69" s="176"/>
      <c r="R69" s="23"/>
      <c r="S69" s="113">
        <v>0</v>
      </c>
      <c r="T69" s="176"/>
      <c r="U69" s="825">
        <v>1</v>
      </c>
      <c r="V69" s="66"/>
      <c r="W69" s="34"/>
      <c r="X69" s="176">
        <v>0</v>
      </c>
      <c r="Y69" s="356"/>
      <c r="Z69" s="356">
        <v>100</v>
      </c>
      <c r="AA69" s="358"/>
      <c r="AB69" s="358"/>
      <c r="AC69" s="176">
        <v>0</v>
      </c>
      <c r="AD69" s="356"/>
      <c r="AE69" s="176">
        <v>0</v>
      </c>
      <c r="AF69" s="359"/>
      <c r="AG69" s="359"/>
      <c r="AH69" s="176">
        <v>0</v>
      </c>
      <c r="AI69" s="358"/>
      <c r="AJ69" s="347">
        <v>-50</v>
      </c>
      <c r="AK69" s="359"/>
      <c r="AL69" s="358">
        <v>0</v>
      </c>
      <c r="AM69" s="358"/>
      <c r="AN69" s="358">
        <v>50</v>
      </c>
      <c r="AO69" s="359"/>
      <c r="AP69" s="213">
        <v>0</v>
      </c>
      <c r="AQ69" s="2"/>
      <c r="AR69" s="2"/>
      <c r="AS69" s="2"/>
      <c r="AT69" s="2"/>
      <c r="AU69" s="2"/>
      <c r="AV69" s="2"/>
      <c r="AW69" s="2"/>
      <c r="AX69" s="2"/>
      <c r="AY69" s="2"/>
      <c r="AZ69" s="2"/>
      <c r="BA69" s="2"/>
      <c r="BB69" s="2"/>
      <c r="BC69" s="2"/>
    </row>
    <row r="70" spans="1:55" s="65" customFormat="1" ht="11.4">
      <c r="A70" s="350"/>
      <c r="B70" s="306" t="s">
        <v>386</v>
      </c>
      <c r="C70" s="34"/>
      <c r="D70" s="176">
        <v>304</v>
      </c>
      <c r="E70" s="11"/>
      <c r="F70" s="176">
        <v>317</v>
      </c>
      <c r="G70" s="176"/>
      <c r="H70" s="11"/>
      <c r="I70" s="176">
        <v>243</v>
      </c>
      <c r="J70" s="11"/>
      <c r="K70" s="176">
        <v>245</v>
      </c>
      <c r="L70" s="176"/>
      <c r="M70" s="80"/>
      <c r="N70" s="176">
        <v>5</v>
      </c>
      <c r="O70" s="11"/>
      <c r="P70" s="176">
        <v>5</v>
      </c>
      <c r="Q70" s="176"/>
      <c r="R70" s="80"/>
      <c r="S70" s="176">
        <v>85</v>
      </c>
      <c r="T70" s="11"/>
      <c r="U70" s="273">
        <v>90</v>
      </c>
      <c r="V70" s="66"/>
      <c r="W70" s="34"/>
      <c r="X70" s="272">
        <v>79.93421052631578</v>
      </c>
      <c r="Y70" s="272"/>
      <c r="Z70" s="272">
        <v>77.287066246056781</v>
      </c>
      <c r="AA70" s="66"/>
      <c r="AB70" s="66"/>
      <c r="AC70" s="272">
        <v>1.6447368421052631</v>
      </c>
      <c r="AD70" s="272"/>
      <c r="AE70" s="272">
        <v>1.5772870662460567</v>
      </c>
      <c r="AH70" s="176">
        <v>0</v>
      </c>
      <c r="AI70" s="358"/>
      <c r="AJ70" s="347">
        <v>1.2618296529968454</v>
      </c>
      <c r="AL70" s="358">
        <v>27.960526315789476</v>
      </c>
      <c r="AM70" s="66"/>
      <c r="AN70" s="358">
        <v>28.4</v>
      </c>
      <c r="AP70" s="213">
        <v>0</v>
      </c>
      <c r="AQ70" s="2"/>
      <c r="AR70" s="2"/>
      <c r="AS70" s="2"/>
      <c r="AT70" s="2"/>
      <c r="AU70" s="2"/>
      <c r="AV70" s="2"/>
      <c r="AW70" s="2"/>
      <c r="AX70" s="2"/>
      <c r="AY70" s="2"/>
      <c r="AZ70" s="2"/>
      <c r="BA70" s="2"/>
      <c r="BB70" s="2"/>
      <c r="BC70" s="2"/>
    </row>
    <row r="71" spans="1:55" s="65" customFormat="1" ht="13.2">
      <c r="A71" s="350"/>
      <c r="B71" s="306"/>
      <c r="C71" s="34"/>
      <c r="D71" s="176"/>
      <c r="E71" s="11"/>
      <c r="F71" s="176"/>
      <c r="G71" s="176"/>
      <c r="H71" s="11"/>
      <c r="I71" s="176"/>
      <c r="J71" s="11"/>
      <c r="K71" s="176"/>
      <c r="L71" s="176"/>
      <c r="M71" s="80"/>
      <c r="N71" s="176"/>
      <c r="O71" s="11"/>
      <c r="P71" s="176"/>
      <c r="Q71" s="176"/>
      <c r="R71" s="80"/>
      <c r="S71" s="176"/>
      <c r="T71" s="11"/>
      <c r="U71" s="273"/>
      <c r="V71" s="66"/>
      <c r="W71" s="34"/>
      <c r="X71" s="272"/>
      <c r="Y71" s="272"/>
      <c r="Z71" s="272"/>
      <c r="AA71" s="66"/>
      <c r="AB71" s="66"/>
      <c r="AC71" s="272"/>
      <c r="AD71" s="272"/>
      <c r="AE71" s="272"/>
      <c r="AH71" s="358"/>
      <c r="AI71" s="358"/>
      <c r="AJ71" s="361"/>
      <c r="AL71" s="358"/>
      <c r="AM71" s="66"/>
      <c r="AN71" s="358"/>
      <c r="AP71" s="358"/>
      <c r="AQ71" s="2"/>
      <c r="AR71" s="2"/>
      <c r="AS71" s="2"/>
      <c r="AT71" s="2"/>
      <c r="AU71" s="2"/>
      <c r="AV71" s="2"/>
      <c r="AW71" s="2"/>
      <c r="AX71" s="2"/>
      <c r="AY71" s="2"/>
      <c r="AZ71" s="2"/>
      <c r="BA71" s="2"/>
      <c r="BB71" s="2"/>
      <c r="BC71" s="2"/>
    </row>
    <row r="72" spans="1:55" s="65" customFormat="1" ht="11.4">
      <c r="A72" s="350"/>
      <c r="B72" s="306" t="s">
        <v>367</v>
      </c>
      <c r="C72" s="66"/>
      <c r="D72" s="176">
        <v>185</v>
      </c>
      <c r="E72" s="11"/>
      <c r="F72" s="176">
        <v>182</v>
      </c>
      <c r="G72" s="176"/>
      <c r="H72" s="11"/>
      <c r="I72" s="176">
        <v>113</v>
      </c>
      <c r="J72" s="11"/>
      <c r="K72" s="176">
        <v>158</v>
      </c>
      <c r="L72" s="176"/>
      <c r="M72" s="11"/>
      <c r="N72" s="176">
        <v>20</v>
      </c>
      <c r="O72" s="11"/>
      <c r="P72" s="176">
        <v>71</v>
      </c>
      <c r="Q72" s="176"/>
      <c r="R72" s="11"/>
      <c r="S72" s="176">
        <v>56</v>
      </c>
      <c r="T72" s="11"/>
      <c r="U72" s="273">
        <v>56</v>
      </c>
      <c r="V72" s="66"/>
      <c r="W72" s="66"/>
      <c r="X72" s="356">
        <v>61.081081081081081</v>
      </c>
      <c r="Y72" s="358"/>
      <c r="Z72" s="356">
        <v>86.813186813186817</v>
      </c>
      <c r="AA72" s="358"/>
      <c r="AB72" s="358"/>
      <c r="AC72" s="356">
        <v>10.810810810810811</v>
      </c>
      <c r="AD72" s="358"/>
      <c r="AE72" s="356">
        <v>39.010989010989015</v>
      </c>
      <c r="AF72" s="359"/>
      <c r="AG72" s="359"/>
      <c r="AH72" s="347">
        <v>-3.2432432432432434</v>
      </c>
      <c r="AI72" s="358"/>
      <c r="AJ72" s="176">
        <v>0</v>
      </c>
      <c r="AK72" s="359"/>
      <c r="AL72" s="358">
        <v>30.270270270270274</v>
      </c>
      <c r="AM72" s="358"/>
      <c r="AN72" s="358">
        <v>30.8</v>
      </c>
      <c r="AO72" s="359"/>
      <c r="AP72" s="213">
        <v>0</v>
      </c>
      <c r="AQ72" s="2"/>
      <c r="AR72" s="2"/>
      <c r="AS72" s="2"/>
      <c r="AT72" s="2"/>
      <c r="AU72" s="2"/>
      <c r="AV72" s="2"/>
      <c r="AW72" s="2"/>
      <c r="AX72" s="2"/>
      <c r="AY72" s="2"/>
      <c r="AZ72" s="2"/>
      <c r="BA72" s="2"/>
      <c r="BB72" s="2"/>
      <c r="BC72" s="2"/>
    </row>
    <row r="73" spans="1:55" s="65" customFormat="1" ht="13.2">
      <c r="A73" s="350"/>
      <c r="B73" s="306" t="s">
        <v>387</v>
      </c>
      <c r="C73" s="66"/>
      <c r="D73" s="113">
        <v>46</v>
      </c>
      <c r="E73" s="11"/>
      <c r="F73" s="113">
        <v>46</v>
      </c>
      <c r="G73" s="176"/>
      <c r="H73" s="11"/>
      <c r="I73" s="113">
        <v>30</v>
      </c>
      <c r="J73" s="11"/>
      <c r="K73" s="113">
        <v>39</v>
      </c>
      <c r="L73" s="176"/>
      <c r="M73" s="80"/>
      <c r="N73" s="113">
        <v>0</v>
      </c>
      <c r="O73" s="11"/>
      <c r="P73" s="113">
        <v>6</v>
      </c>
      <c r="Q73" s="176"/>
      <c r="R73" s="80"/>
      <c r="S73" s="113">
        <v>12</v>
      </c>
      <c r="T73" s="11"/>
      <c r="U73" s="825">
        <v>12</v>
      </c>
      <c r="V73" s="66"/>
      <c r="W73" s="66"/>
      <c r="X73" s="356">
        <v>65.217391304347828</v>
      </c>
      <c r="Y73" s="358"/>
      <c r="Z73" s="356">
        <v>84.782608695652172</v>
      </c>
      <c r="AA73" s="358"/>
      <c r="AB73" s="358"/>
      <c r="AC73" s="176">
        <v>0</v>
      </c>
      <c r="AD73" s="358"/>
      <c r="AE73" s="356">
        <v>13.043478260869565</v>
      </c>
      <c r="AF73" s="359"/>
      <c r="AG73" s="359"/>
      <c r="AH73" s="347">
        <v>-13.043478260869565</v>
      </c>
      <c r="AI73" s="358"/>
      <c r="AJ73" s="347">
        <v>-4.3478260869565215</v>
      </c>
      <c r="AK73" s="359"/>
      <c r="AL73" s="358">
        <v>26.086956521739129</v>
      </c>
      <c r="AM73" s="358"/>
      <c r="AN73" s="358">
        <v>26.1</v>
      </c>
      <c r="AO73" s="359"/>
      <c r="AP73" s="213">
        <v>0</v>
      </c>
      <c r="AQ73" s="2"/>
      <c r="AR73" s="2"/>
      <c r="AS73" s="2"/>
      <c r="AT73" s="2"/>
      <c r="AU73" s="2"/>
      <c r="AV73" s="2"/>
      <c r="AW73" s="2"/>
      <c r="AX73" s="2"/>
      <c r="AY73" s="2"/>
      <c r="AZ73" s="2"/>
      <c r="BA73" s="2"/>
      <c r="BB73" s="2"/>
      <c r="BC73" s="2"/>
    </row>
    <row r="74" spans="1:55" s="65" customFormat="1" ht="11.4">
      <c r="A74" s="350"/>
      <c r="B74" s="306"/>
      <c r="C74" s="66"/>
      <c r="D74" s="176"/>
      <c r="E74" s="11"/>
      <c r="F74" s="176"/>
      <c r="G74" s="176"/>
      <c r="H74" s="11"/>
      <c r="I74" s="176"/>
      <c r="J74" s="11"/>
      <c r="K74" s="176"/>
      <c r="L74" s="176"/>
      <c r="M74" s="80"/>
      <c r="N74" s="176"/>
      <c r="O74" s="11"/>
      <c r="P74" s="176"/>
      <c r="Q74" s="176"/>
      <c r="R74" s="80"/>
      <c r="S74" s="176"/>
      <c r="T74" s="11"/>
      <c r="U74" s="273"/>
      <c r="V74" s="66"/>
      <c r="W74" s="66"/>
      <c r="X74" s="356"/>
      <c r="Y74" s="358"/>
      <c r="Z74" s="356"/>
      <c r="AA74" s="358"/>
      <c r="AB74" s="358"/>
      <c r="AC74" s="356"/>
      <c r="AD74" s="358"/>
      <c r="AE74" s="356"/>
      <c r="AF74" s="359"/>
      <c r="AG74" s="359"/>
      <c r="AH74" s="358"/>
      <c r="AI74" s="358"/>
      <c r="AJ74" s="358"/>
      <c r="AK74" s="359"/>
      <c r="AL74" s="358"/>
      <c r="AM74" s="358"/>
      <c r="AN74" s="358"/>
      <c r="AO74" s="359"/>
      <c r="AP74" s="358"/>
      <c r="AQ74" s="2"/>
      <c r="AR74" s="2"/>
      <c r="AS74" s="2"/>
      <c r="AT74" s="2"/>
      <c r="AU74" s="2"/>
      <c r="AV74" s="2"/>
      <c r="AW74" s="2"/>
      <c r="AX74" s="2"/>
      <c r="AY74" s="2"/>
      <c r="AZ74" s="2"/>
      <c r="BA74" s="2"/>
      <c r="BB74" s="2"/>
      <c r="BC74" s="2"/>
    </row>
    <row r="75" spans="1:55" s="65" customFormat="1" ht="11.4">
      <c r="A75" s="350"/>
      <c r="B75" s="306" t="s">
        <v>389</v>
      </c>
      <c r="C75" s="66"/>
      <c r="D75" s="176">
        <v>535</v>
      </c>
      <c r="E75" s="11"/>
      <c r="F75" s="176">
        <v>545</v>
      </c>
      <c r="G75" s="176"/>
      <c r="H75" s="11"/>
      <c r="I75" s="176">
        <v>386</v>
      </c>
      <c r="J75" s="11"/>
      <c r="K75" s="176">
        <v>442</v>
      </c>
      <c r="L75" s="176"/>
      <c r="M75" s="80"/>
      <c r="N75" s="176">
        <v>25</v>
      </c>
      <c r="O75" s="11"/>
      <c r="P75" s="176">
        <v>82</v>
      </c>
      <c r="Q75" s="176"/>
      <c r="R75" s="80"/>
      <c r="S75" s="176">
        <v>153</v>
      </c>
      <c r="T75" s="11"/>
      <c r="U75" s="273">
        <v>158</v>
      </c>
      <c r="V75" s="66"/>
      <c r="W75" s="66"/>
      <c r="X75" s="356">
        <v>72.149532710280369</v>
      </c>
      <c r="Y75" s="358"/>
      <c r="Z75" s="356">
        <v>81.10091743119267</v>
      </c>
      <c r="AA75" s="358"/>
      <c r="AB75" s="358"/>
      <c r="AC75" s="356">
        <v>4.6728971962616823</v>
      </c>
      <c r="AD75" s="358"/>
      <c r="AE75" s="356">
        <v>15.045871559633028</v>
      </c>
      <c r="AF75" s="359"/>
      <c r="AG75" s="359"/>
      <c r="AH75" s="347">
        <v>-2.2429906542056073</v>
      </c>
      <c r="AI75" s="358"/>
      <c r="AJ75" s="347">
        <v>0.3669724770642202</v>
      </c>
      <c r="AK75" s="359"/>
      <c r="AL75" s="358">
        <v>28.598130841121495</v>
      </c>
      <c r="AM75" s="358"/>
      <c r="AN75" s="358">
        <v>29</v>
      </c>
      <c r="AO75" s="359"/>
      <c r="AP75" s="213">
        <v>0</v>
      </c>
      <c r="AQ75" s="2"/>
      <c r="AR75" s="2"/>
      <c r="AS75" s="2"/>
      <c r="AT75" s="2"/>
      <c r="AU75" s="2"/>
      <c r="AV75" s="2"/>
      <c r="AW75" s="2"/>
      <c r="AX75" s="2"/>
      <c r="AY75" s="2"/>
      <c r="AZ75" s="2"/>
      <c r="BA75" s="2"/>
      <c r="BB75" s="2"/>
      <c r="BC75" s="2"/>
    </row>
    <row r="76" spans="1:55" s="65" customFormat="1" ht="12">
      <c r="A76" s="350"/>
      <c r="B76" s="315"/>
      <c r="C76" s="345"/>
      <c r="D76" s="176"/>
      <c r="E76" s="11"/>
      <c r="F76" s="176"/>
      <c r="G76" s="176"/>
      <c r="H76" s="11"/>
      <c r="I76" s="176"/>
      <c r="J76" s="11"/>
      <c r="K76" s="176"/>
      <c r="L76" s="176"/>
      <c r="M76" s="80"/>
      <c r="N76" s="176"/>
      <c r="O76" s="11"/>
      <c r="P76" s="176"/>
      <c r="Q76" s="176"/>
      <c r="R76" s="80"/>
      <c r="S76" s="176"/>
      <c r="T76" s="11"/>
      <c r="U76" s="273"/>
      <c r="V76" s="66"/>
      <c r="W76" s="345"/>
      <c r="X76" s="356"/>
      <c r="Y76" s="358"/>
      <c r="Z76" s="356"/>
      <c r="AA76" s="358"/>
      <c r="AB76" s="358"/>
      <c r="AC76" s="356"/>
      <c r="AD76" s="358"/>
      <c r="AE76" s="356"/>
      <c r="AF76" s="359"/>
      <c r="AG76" s="359"/>
      <c r="AH76" s="358"/>
      <c r="AI76" s="358"/>
      <c r="AJ76" s="358"/>
      <c r="AK76" s="359"/>
      <c r="AL76" s="358"/>
      <c r="AM76" s="358"/>
      <c r="AN76" s="358"/>
      <c r="AO76" s="359"/>
      <c r="AP76" s="358"/>
      <c r="AQ76" s="2"/>
      <c r="AR76" s="2"/>
      <c r="AS76" s="2"/>
      <c r="AT76" s="2"/>
      <c r="AU76" s="2"/>
      <c r="AV76" s="2"/>
      <c r="AW76" s="2"/>
      <c r="AX76" s="2"/>
      <c r="AY76" s="2"/>
      <c r="AZ76" s="2"/>
      <c r="BA76" s="2"/>
      <c r="BB76" s="2"/>
      <c r="BC76" s="2"/>
    </row>
    <row r="77" spans="1:55" ht="12">
      <c r="A77" s="315" t="s">
        <v>736</v>
      </c>
      <c r="B77" s="306"/>
      <c r="C77" s="11"/>
      <c r="D77" s="176"/>
      <c r="E77" s="11"/>
      <c r="F77" s="176"/>
      <c r="G77" s="176"/>
      <c r="H77" s="11"/>
      <c r="I77" s="176"/>
      <c r="J77" s="11"/>
      <c r="K77" s="176"/>
      <c r="L77" s="176"/>
      <c r="M77" s="80"/>
      <c r="N77" s="176"/>
      <c r="O77" s="11"/>
      <c r="P77" s="176"/>
      <c r="Q77" s="176"/>
      <c r="R77" s="80"/>
      <c r="S77" s="176"/>
      <c r="T77" s="11"/>
      <c r="U77" s="176"/>
      <c r="V77" s="11"/>
      <c r="W77" s="11"/>
      <c r="X77" s="213"/>
      <c r="Y77" s="89"/>
      <c r="Z77" s="213"/>
      <c r="AA77" s="11"/>
      <c r="AB77" s="11"/>
      <c r="AC77" s="213"/>
      <c r="AD77" s="89"/>
      <c r="AE77" s="213"/>
      <c r="AH77" s="347"/>
      <c r="AI77" s="347"/>
      <c r="AJ77" s="347"/>
      <c r="AL77" s="213"/>
      <c r="AM77" s="11"/>
      <c r="AN77" s="358"/>
      <c r="AP77" s="213"/>
    </row>
    <row r="78" spans="1:55" ht="12">
      <c r="A78" s="315"/>
      <c r="B78" s="306" t="s">
        <v>384</v>
      </c>
      <c r="C78" s="11"/>
      <c r="D78" s="113">
        <v>455</v>
      </c>
      <c r="E78" s="11"/>
      <c r="F78" s="113">
        <v>0</v>
      </c>
      <c r="G78" s="176"/>
      <c r="H78" s="11"/>
      <c r="I78" s="113">
        <v>339</v>
      </c>
      <c r="J78" s="11"/>
      <c r="K78" s="113">
        <v>0</v>
      </c>
      <c r="L78" s="176"/>
      <c r="M78" s="80"/>
      <c r="N78" s="113">
        <v>7</v>
      </c>
      <c r="O78" s="11"/>
      <c r="P78" s="113">
        <v>0</v>
      </c>
      <c r="Q78" s="176"/>
      <c r="R78" s="80"/>
      <c r="S78" s="113">
        <v>216</v>
      </c>
      <c r="T78" s="11"/>
      <c r="U78" s="113">
        <v>0</v>
      </c>
      <c r="V78" s="11"/>
      <c r="W78" s="11"/>
      <c r="X78" s="356">
        <v>74.505494505494511</v>
      </c>
      <c r="Y78" s="358"/>
      <c r="Z78" s="176">
        <v>0</v>
      </c>
      <c r="AA78" s="11"/>
      <c r="AB78" s="11"/>
      <c r="AC78" s="356">
        <v>1.5384615384615385</v>
      </c>
      <c r="AD78" s="358"/>
      <c r="AE78" s="176">
        <v>0</v>
      </c>
      <c r="AH78" s="347">
        <v>0</v>
      </c>
      <c r="AI78" s="358"/>
      <c r="AJ78" s="176">
        <v>0</v>
      </c>
      <c r="AL78" s="358">
        <v>47.472527472527467</v>
      </c>
      <c r="AM78" s="358"/>
      <c r="AN78" s="176">
        <v>0</v>
      </c>
      <c r="AP78" s="213">
        <v>13</v>
      </c>
    </row>
    <row r="79" spans="1:55" s="65" customFormat="1" ht="12">
      <c r="A79" s="350"/>
      <c r="B79" s="306"/>
      <c r="C79" s="66"/>
      <c r="D79" s="176"/>
      <c r="E79" s="11"/>
      <c r="F79" s="176"/>
      <c r="G79" s="176"/>
      <c r="H79" s="11"/>
      <c r="I79" s="176"/>
      <c r="J79" s="11"/>
      <c r="K79" s="176"/>
      <c r="L79" s="176"/>
      <c r="M79" s="345"/>
      <c r="N79" s="176"/>
      <c r="O79" s="11"/>
      <c r="P79" s="176"/>
      <c r="Q79" s="176"/>
      <c r="R79" s="345"/>
      <c r="S79" s="176"/>
      <c r="T79" s="11"/>
      <c r="U79" s="176"/>
      <c r="V79" s="66"/>
      <c r="W79" s="66"/>
      <c r="X79" s="272"/>
      <c r="Y79" s="272"/>
      <c r="Z79" s="272"/>
      <c r="AA79" s="272"/>
      <c r="AB79" s="272"/>
      <c r="AC79" s="272"/>
      <c r="AD79" s="272"/>
      <c r="AE79" s="272"/>
      <c r="AF79" s="272"/>
      <c r="AG79" s="272"/>
      <c r="AH79" s="358"/>
      <c r="AI79" s="358"/>
      <c r="AJ79" s="358"/>
      <c r="AK79" s="272"/>
      <c r="AL79" s="272"/>
      <c r="AM79" s="272"/>
      <c r="AN79" s="358"/>
      <c r="AO79" s="272"/>
      <c r="AP79" s="272"/>
      <c r="AQ79" s="2"/>
      <c r="AR79" s="2"/>
      <c r="AS79" s="2"/>
      <c r="AT79" s="2"/>
      <c r="AU79" s="2"/>
      <c r="AV79" s="2"/>
      <c r="AW79" s="2"/>
      <c r="AX79" s="2"/>
      <c r="AY79" s="2"/>
      <c r="AZ79" s="2"/>
      <c r="BA79" s="2"/>
      <c r="BB79" s="2"/>
      <c r="BC79" s="2"/>
    </row>
    <row r="80" spans="1:55" s="65" customFormat="1" ht="12.6" thickBot="1">
      <c r="A80" s="315" t="s">
        <v>696</v>
      </c>
      <c r="B80" s="353"/>
      <c r="C80" s="256" t="s">
        <v>108</v>
      </c>
      <c r="D80" s="114">
        <v>13296</v>
      </c>
      <c r="E80" s="256" t="s">
        <v>108</v>
      </c>
      <c r="F80" s="114">
        <v>12906</v>
      </c>
      <c r="G80" s="23"/>
      <c r="H80" s="256" t="s">
        <v>108</v>
      </c>
      <c r="I80" s="114">
        <v>9144</v>
      </c>
      <c r="J80" s="256" t="s">
        <v>108</v>
      </c>
      <c r="K80" s="114">
        <v>10824</v>
      </c>
      <c r="L80" s="23"/>
      <c r="M80" s="256" t="s">
        <v>108</v>
      </c>
      <c r="N80" s="114">
        <v>1078</v>
      </c>
      <c r="O80" s="256" t="s">
        <v>108</v>
      </c>
      <c r="P80" s="114">
        <v>2672</v>
      </c>
      <c r="Q80" s="23"/>
      <c r="R80" s="256" t="s">
        <v>108</v>
      </c>
      <c r="S80" s="114">
        <v>3488</v>
      </c>
      <c r="T80" s="256" t="s">
        <v>108</v>
      </c>
      <c r="U80" s="904">
        <v>3246</v>
      </c>
      <c r="V80" s="66"/>
      <c r="W80" s="255"/>
      <c r="X80" s="356">
        <v>68.772563176895304</v>
      </c>
      <c r="Y80" s="363"/>
      <c r="Z80" s="356">
        <v>83.867968386796846</v>
      </c>
      <c r="AA80" s="358"/>
      <c r="AB80" s="358"/>
      <c r="AC80" s="356">
        <v>8.1077015643802657</v>
      </c>
      <c r="AD80" s="362"/>
      <c r="AE80" s="356">
        <v>20.703548737021542</v>
      </c>
      <c r="AF80" s="359"/>
      <c r="AG80" s="359"/>
      <c r="AH80" s="347">
        <v>-2.7677496991576414</v>
      </c>
      <c r="AI80" s="358"/>
      <c r="AJ80" s="347">
        <v>-0.73609174027584068</v>
      </c>
      <c r="AK80" s="359"/>
      <c r="AL80" s="356">
        <v>26.233453670276774</v>
      </c>
      <c r="AM80" s="358"/>
      <c r="AN80" s="358">
        <v>25.099999999999998</v>
      </c>
      <c r="AO80" s="359"/>
      <c r="AP80" s="213">
        <v>0.6</v>
      </c>
      <c r="AQ80" s="2"/>
      <c r="AR80" s="2"/>
      <c r="AS80" s="2"/>
      <c r="AT80" s="2"/>
      <c r="AU80" s="2"/>
      <c r="AV80" s="2"/>
      <c r="AW80" s="2"/>
      <c r="AX80" s="2"/>
      <c r="AY80" s="2"/>
      <c r="AZ80" s="2"/>
      <c r="BA80" s="2"/>
      <c r="BB80" s="2"/>
      <c r="BC80" s="2"/>
    </row>
    <row r="81" spans="1:55" s="65" customFormat="1" ht="10.8" thickTop="1">
      <c r="A81" s="785"/>
      <c r="B81" s="785"/>
      <c r="C81" s="785"/>
      <c r="D81" s="785"/>
      <c r="E81" s="785"/>
      <c r="F81" s="785"/>
      <c r="G81" s="785"/>
      <c r="H81" s="785"/>
      <c r="I81" s="785"/>
      <c r="J81" s="785"/>
      <c r="K81" s="785"/>
      <c r="L81" s="785"/>
      <c r="M81" s="785"/>
      <c r="N81" s="785"/>
      <c r="O81" s="785"/>
      <c r="P81" s="785"/>
      <c r="Q81" s="785"/>
      <c r="R81" s="785"/>
      <c r="S81" s="785"/>
      <c r="T81" s="785"/>
      <c r="U81" s="785"/>
      <c r="V81" s="785"/>
      <c r="W81" s="785"/>
      <c r="X81" s="785"/>
      <c r="Y81" s="785"/>
      <c r="Z81" s="785"/>
      <c r="AA81" s="785"/>
      <c r="AB81" s="785"/>
      <c r="AC81" s="785"/>
      <c r="AD81" s="785"/>
      <c r="AE81" s="785"/>
      <c r="AF81" s="785"/>
      <c r="AG81" s="785"/>
      <c r="AH81" s="785"/>
      <c r="AI81" s="785"/>
      <c r="AJ81" s="785"/>
      <c r="AK81" s="785"/>
      <c r="AL81" s="785"/>
      <c r="AM81" s="785"/>
      <c r="AN81" s="785"/>
      <c r="AO81" s="785"/>
      <c r="AP81" s="785"/>
      <c r="AQ81" s="2"/>
      <c r="AR81" s="2"/>
      <c r="AS81" s="2"/>
      <c r="AT81" s="2"/>
      <c r="AU81" s="2"/>
      <c r="AV81" s="2"/>
      <c r="AW81" s="2"/>
      <c r="AX81" s="2"/>
      <c r="AY81" s="2"/>
      <c r="AZ81" s="2"/>
      <c r="BA81" s="2"/>
      <c r="BB81" s="2"/>
      <c r="BC81" s="2"/>
    </row>
    <row r="82" spans="1:55" s="65" customFormat="1">
      <c r="A82" s="785"/>
      <c r="B82" s="785"/>
      <c r="C82" s="785"/>
      <c r="D82" s="785"/>
      <c r="E82" s="785"/>
      <c r="F82" s="785"/>
      <c r="G82" s="785"/>
      <c r="H82" s="785"/>
      <c r="I82" s="785"/>
      <c r="J82" s="785"/>
      <c r="K82" s="785"/>
      <c r="L82" s="785"/>
      <c r="M82" s="785"/>
      <c r="N82" s="785"/>
      <c r="O82" s="785"/>
      <c r="P82" s="785"/>
      <c r="Q82" s="785"/>
      <c r="R82" s="785"/>
      <c r="S82" s="785"/>
      <c r="T82" s="785"/>
      <c r="U82" s="785"/>
      <c r="V82" s="785"/>
      <c r="W82" s="785"/>
      <c r="X82" s="785"/>
      <c r="Y82" s="785"/>
      <c r="Z82" s="785"/>
      <c r="AA82" s="785"/>
      <c r="AB82" s="785"/>
      <c r="AC82" s="785"/>
      <c r="AD82" s="785"/>
      <c r="AE82" s="785"/>
      <c r="AF82" s="785"/>
      <c r="AG82" s="785"/>
      <c r="AH82" s="785"/>
      <c r="AI82" s="785"/>
      <c r="AJ82" s="785"/>
      <c r="AK82" s="785"/>
      <c r="AL82" s="785"/>
      <c r="AM82" s="785"/>
      <c r="AN82" s="785"/>
      <c r="AO82" s="785"/>
      <c r="AP82" s="785"/>
      <c r="AQ82" s="2"/>
      <c r="AR82" s="2"/>
      <c r="AS82" s="2"/>
      <c r="AT82" s="2"/>
      <c r="AU82" s="2"/>
      <c r="AV82" s="2"/>
      <c r="AW82" s="2"/>
      <c r="AX82" s="2"/>
      <c r="AY82" s="2"/>
      <c r="AZ82" s="2"/>
      <c r="BA82" s="2"/>
      <c r="BB82" s="2"/>
      <c r="BC82" s="2"/>
    </row>
    <row r="83" spans="1:55" ht="13.2">
      <c r="A83" s="786" t="s">
        <v>770</v>
      </c>
      <c r="B83" s="995" t="s">
        <v>393</v>
      </c>
      <c r="C83" s="995"/>
      <c r="D83" s="995"/>
      <c r="E83" s="995"/>
      <c r="F83" s="995"/>
      <c r="G83" s="995"/>
      <c r="H83" s="995"/>
      <c r="I83" s="995"/>
      <c r="J83" s="995"/>
      <c r="K83" s="995"/>
      <c r="L83" s="995"/>
      <c r="M83" s="995"/>
      <c r="N83" s="995"/>
      <c r="O83" s="995"/>
      <c r="P83" s="995"/>
      <c r="Q83" s="995"/>
      <c r="R83" s="995"/>
      <c r="S83" s="995"/>
      <c r="T83" s="995"/>
      <c r="U83" s="995"/>
      <c r="V83" s="995"/>
      <c r="W83" s="995"/>
      <c r="X83" s="995"/>
      <c r="Y83" s="995"/>
      <c r="Z83" s="995"/>
      <c r="AA83" s="995"/>
      <c r="AB83" s="995"/>
      <c r="AC83" s="995"/>
      <c r="AD83" s="995"/>
      <c r="AE83" s="995"/>
      <c r="AF83" s="995"/>
      <c r="AG83" s="995"/>
      <c r="AH83" s="995"/>
      <c r="AI83" s="995"/>
      <c r="AJ83" s="995"/>
      <c r="AK83" s="995"/>
      <c r="AL83" s="995"/>
      <c r="AM83" s="995"/>
      <c r="AN83" s="995"/>
      <c r="AO83" s="995"/>
      <c r="AP83" s="995"/>
      <c r="AQ83" s="351"/>
      <c r="AR83" s="352"/>
    </row>
    <row r="84" spans="1:55" ht="14.25" customHeight="1">
      <c r="A84" s="786" t="s">
        <v>772</v>
      </c>
      <c r="B84" s="995" t="s">
        <v>394</v>
      </c>
      <c r="C84" s="995"/>
      <c r="D84" s="995"/>
      <c r="E84" s="995"/>
      <c r="F84" s="995"/>
      <c r="G84" s="995"/>
      <c r="H84" s="995"/>
      <c r="I84" s="995"/>
      <c r="J84" s="995"/>
      <c r="K84" s="995"/>
      <c r="L84" s="995"/>
      <c r="M84" s="995"/>
      <c r="N84" s="995"/>
      <c r="O84" s="995"/>
      <c r="P84" s="995"/>
      <c r="Q84" s="995"/>
      <c r="R84" s="995"/>
      <c r="S84" s="995"/>
      <c r="T84" s="995"/>
      <c r="U84" s="995"/>
      <c r="V84" s="995"/>
      <c r="W84" s="995"/>
      <c r="X84" s="995"/>
      <c r="Y84" s="995"/>
      <c r="Z84" s="995"/>
      <c r="AA84" s="995"/>
      <c r="AB84" s="995"/>
      <c r="AC84" s="995"/>
      <c r="AD84" s="995"/>
      <c r="AE84" s="995"/>
      <c r="AF84" s="995"/>
      <c r="AG84" s="995"/>
      <c r="AH84" s="995"/>
      <c r="AI84" s="995"/>
      <c r="AJ84" s="995"/>
      <c r="AK84" s="995"/>
      <c r="AL84" s="995"/>
      <c r="AM84" s="995"/>
      <c r="AN84" s="995"/>
      <c r="AO84" s="995"/>
      <c r="AP84" s="995"/>
      <c r="AQ84" s="351"/>
      <c r="AR84" s="352"/>
    </row>
    <row r="85" spans="1:55">
      <c r="B85" s="35"/>
      <c r="C85" s="35"/>
      <c r="D85" s="35"/>
      <c r="E85" s="35"/>
      <c r="F85" s="35"/>
      <c r="G85" s="35"/>
      <c r="H85" s="35"/>
      <c r="I85" s="35"/>
      <c r="J85" s="35"/>
      <c r="K85" s="35"/>
      <c r="L85" s="35"/>
      <c r="M85" s="35"/>
      <c r="N85" s="35"/>
      <c r="O85" s="35"/>
      <c r="P85" s="35"/>
      <c r="Q85" s="35"/>
      <c r="R85" s="35"/>
      <c r="S85" s="35"/>
      <c r="T85" s="35"/>
      <c r="U85" s="35"/>
      <c r="V85" s="35"/>
      <c r="W85" s="35"/>
      <c r="X85" s="365"/>
      <c r="Y85" s="35"/>
      <c r="Z85" s="35"/>
      <c r="AA85" s="35"/>
      <c r="AB85" s="35"/>
      <c r="AC85" s="35"/>
      <c r="AD85" s="35"/>
      <c r="AE85" s="35"/>
      <c r="AL85" s="366"/>
      <c r="AP85" s="366"/>
    </row>
    <row r="86" spans="1:55">
      <c r="B86" s="35"/>
      <c r="C86" s="35"/>
      <c r="D86" s="35"/>
      <c r="E86" s="35"/>
      <c r="F86" s="35"/>
      <c r="G86" s="35"/>
      <c r="H86" s="35"/>
      <c r="I86" s="35"/>
      <c r="J86" s="35"/>
      <c r="K86" s="35"/>
      <c r="L86" s="35"/>
      <c r="M86" s="35"/>
      <c r="N86" s="35"/>
      <c r="O86" s="35"/>
      <c r="P86" s="35"/>
      <c r="Q86" s="35"/>
      <c r="R86" s="35"/>
      <c r="S86" s="35"/>
      <c r="T86" s="35"/>
      <c r="U86" s="35"/>
      <c r="V86" s="35"/>
      <c r="W86" s="35"/>
      <c r="X86" s="365"/>
      <c r="Y86" s="35"/>
      <c r="Z86" s="35"/>
      <c r="AA86" s="35"/>
      <c r="AB86" s="35"/>
      <c r="AC86" s="35"/>
      <c r="AD86" s="35"/>
      <c r="AE86" s="35"/>
      <c r="AL86" s="366"/>
      <c r="AP86" s="366"/>
    </row>
    <row r="87" spans="1:55">
      <c r="B87" s="35"/>
      <c r="C87" s="35"/>
      <c r="D87" s="35"/>
      <c r="E87" s="35"/>
      <c r="F87" s="35"/>
      <c r="G87" s="35"/>
      <c r="H87" s="35"/>
      <c r="I87" s="35"/>
      <c r="J87" s="35"/>
      <c r="K87" s="35"/>
      <c r="L87" s="35"/>
      <c r="M87" s="35"/>
      <c r="N87" s="35"/>
      <c r="O87" s="35"/>
      <c r="P87" s="35"/>
      <c r="Q87" s="35"/>
      <c r="R87" s="35"/>
      <c r="S87" s="35"/>
      <c r="T87" s="35"/>
      <c r="U87" s="35"/>
      <c r="V87" s="35"/>
      <c r="W87" s="35"/>
      <c r="X87" s="365"/>
      <c r="Y87" s="35"/>
      <c r="Z87" s="35"/>
      <c r="AA87" s="35"/>
      <c r="AB87" s="35"/>
      <c r="AC87" s="35"/>
      <c r="AD87" s="35"/>
      <c r="AE87" s="35"/>
      <c r="AL87" s="366"/>
      <c r="AP87" s="366"/>
    </row>
    <row r="88" spans="1:55">
      <c r="B88" s="35"/>
      <c r="C88" s="35"/>
      <c r="D88" s="35"/>
      <c r="E88" s="35"/>
      <c r="F88" s="35"/>
      <c r="G88" s="35"/>
      <c r="H88" s="35"/>
      <c r="I88" s="35"/>
      <c r="J88" s="35"/>
      <c r="K88" s="35"/>
      <c r="L88" s="35"/>
      <c r="M88" s="35"/>
      <c r="N88" s="35"/>
      <c r="O88" s="35"/>
      <c r="P88" s="35"/>
      <c r="Q88" s="35"/>
      <c r="R88" s="35"/>
      <c r="S88" s="35"/>
      <c r="T88" s="35"/>
      <c r="U88" s="35"/>
      <c r="V88" s="35"/>
      <c r="W88" s="35"/>
      <c r="X88" s="365"/>
      <c r="Y88" s="35"/>
      <c r="Z88" s="35"/>
      <c r="AA88" s="35"/>
      <c r="AB88" s="35"/>
      <c r="AC88" s="35"/>
      <c r="AD88" s="35"/>
      <c r="AE88" s="35"/>
      <c r="AL88" s="366"/>
      <c r="AP88" s="366"/>
    </row>
    <row r="89" spans="1:55">
      <c r="B89" s="35"/>
      <c r="C89" s="35"/>
      <c r="D89" s="35"/>
      <c r="E89" s="35"/>
      <c r="F89" s="35"/>
      <c r="G89" s="35"/>
      <c r="H89" s="35"/>
      <c r="I89" s="35"/>
      <c r="J89" s="35"/>
      <c r="K89" s="35"/>
      <c r="L89" s="35"/>
      <c r="M89" s="35"/>
      <c r="N89" s="35"/>
      <c r="O89" s="35"/>
      <c r="P89" s="35"/>
      <c r="Q89" s="35"/>
      <c r="R89" s="35"/>
      <c r="S89" s="35"/>
      <c r="T89" s="35"/>
      <c r="U89" s="35"/>
      <c r="V89" s="35"/>
      <c r="W89" s="35"/>
      <c r="X89" s="365"/>
      <c r="Y89" s="35"/>
      <c r="Z89" s="35"/>
      <c r="AA89" s="35"/>
      <c r="AB89" s="35"/>
      <c r="AC89" s="35"/>
      <c r="AD89" s="35"/>
      <c r="AE89" s="35"/>
      <c r="AL89" s="366"/>
      <c r="AP89" s="366"/>
    </row>
    <row r="90" spans="1:55">
      <c r="B90" s="35"/>
      <c r="C90" s="35"/>
      <c r="D90" s="35"/>
      <c r="E90" s="35"/>
      <c r="F90" s="35"/>
      <c r="G90" s="35"/>
      <c r="H90" s="35"/>
      <c r="I90" s="35"/>
      <c r="J90" s="35"/>
      <c r="K90" s="35"/>
      <c r="L90" s="35"/>
      <c r="M90" s="35"/>
      <c r="N90" s="35"/>
      <c r="O90" s="35"/>
      <c r="P90" s="35"/>
      <c r="Q90" s="35"/>
      <c r="R90" s="35"/>
      <c r="S90" s="35"/>
      <c r="T90" s="35"/>
      <c r="U90" s="35"/>
      <c r="V90" s="35"/>
      <c r="W90" s="35"/>
      <c r="X90" s="365"/>
      <c r="Y90" s="35"/>
      <c r="Z90" s="35"/>
      <c r="AA90" s="35"/>
      <c r="AB90" s="35"/>
      <c r="AC90" s="35"/>
      <c r="AD90" s="35"/>
      <c r="AE90" s="35"/>
      <c r="AL90" s="366"/>
      <c r="AP90" s="366"/>
    </row>
    <row r="91" spans="1:55">
      <c r="B91" s="35"/>
      <c r="C91" s="35"/>
      <c r="D91" s="35"/>
      <c r="E91" s="35"/>
      <c r="F91" s="35"/>
      <c r="G91" s="35"/>
      <c r="H91" s="35"/>
      <c r="I91" s="35"/>
      <c r="J91" s="35"/>
      <c r="K91" s="35"/>
      <c r="L91" s="35"/>
      <c r="M91" s="35"/>
      <c r="N91" s="35"/>
      <c r="O91" s="35"/>
      <c r="P91" s="35"/>
      <c r="Q91" s="35"/>
      <c r="R91" s="35"/>
      <c r="S91" s="35"/>
      <c r="T91" s="35"/>
      <c r="U91" s="35"/>
      <c r="V91" s="35"/>
      <c r="W91" s="35"/>
      <c r="X91" s="365"/>
      <c r="Y91" s="35"/>
      <c r="Z91" s="35"/>
      <c r="AA91" s="35"/>
      <c r="AB91" s="35"/>
      <c r="AC91" s="35"/>
      <c r="AD91" s="35"/>
      <c r="AE91" s="35"/>
      <c r="AL91" s="366"/>
      <c r="AP91" s="366"/>
    </row>
    <row r="92" spans="1:55">
      <c r="B92" s="35"/>
      <c r="C92" s="35"/>
      <c r="D92" s="35"/>
      <c r="E92" s="35"/>
      <c r="F92" s="35"/>
      <c r="G92" s="35"/>
      <c r="H92" s="35"/>
      <c r="I92" s="35"/>
      <c r="J92" s="35"/>
      <c r="K92" s="35"/>
      <c r="L92" s="35"/>
      <c r="M92" s="35"/>
      <c r="N92" s="35"/>
      <c r="O92" s="35"/>
      <c r="P92" s="35"/>
      <c r="Q92" s="35"/>
      <c r="R92" s="35"/>
      <c r="S92" s="35"/>
      <c r="T92" s="35"/>
      <c r="U92" s="35"/>
      <c r="V92" s="35"/>
      <c r="W92" s="35"/>
      <c r="X92" s="365"/>
      <c r="Y92" s="35"/>
      <c r="Z92" s="35"/>
      <c r="AA92" s="35"/>
      <c r="AB92" s="35"/>
      <c r="AC92" s="35"/>
      <c r="AD92" s="35"/>
      <c r="AE92" s="35"/>
      <c r="AL92" s="366"/>
      <c r="AP92" s="366"/>
    </row>
    <row r="93" spans="1:55">
      <c r="B93" s="35"/>
      <c r="C93" s="35"/>
      <c r="D93" s="35"/>
      <c r="E93" s="35"/>
      <c r="F93" s="35"/>
      <c r="G93" s="35"/>
      <c r="H93" s="35"/>
      <c r="I93" s="35"/>
      <c r="J93" s="35"/>
      <c r="K93" s="35"/>
      <c r="L93" s="35"/>
      <c r="M93" s="35"/>
      <c r="N93" s="35"/>
      <c r="O93" s="35"/>
      <c r="P93" s="35"/>
      <c r="Q93" s="35"/>
      <c r="R93" s="35"/>
      <c r="S93" s="35"/>
      <c r="T93" s="35"/>
      <c r="U93" s="35"/>
      <c r="V93" s="35"/>
      <c r="W93" s="35"/>
      <c r="X93" s="365"/>
      <c r="Y93" s="35"/>
      <c r="Z93" s="35"/>
      <c r="AA93" s="35"/>
      <c r="AB93" s="35"/>
      <c r="AC93" s="35"/>
      <c r="AD93" s="35"/>
      <c r="AE93" s="35"/>
      <c r="AL93" s="366"/>
      <c r="AP93" s="366"/>
    </row>
    <row r="94" spans="1:55">
      <c r="B94" s="35"/>
      <c r="C94" s="35"/>
      <c r="D94" s="35"/>
      <c r="E94" s="35"/>
      <c r="F94" s="35"/>
      <c r="G94" s="35"/>
      <c r="H94" s="35"/>
      <c r="I94" s="35"/>
      <c r="J94" s="35"/>
      <c r="K94" s="35"/>
      <c r="L94" s="35"/>
      <c r="M94" s="35"/>
      <c r="N94" s="35"/>
      <c r="O94" s="35"/>
      <c r="P94" s="35"/>
      <c r="Q94" s="35"/>
      <c r="R94" s="35"/>
      <c r="S94" s="35"/>
      <c r="T94" s="35"/>
      <c r="U94" s="35"/>
      <c r="V94" s="35"/>
      <c r="W94" s="35"/>
      <c r="X94" s="365"/>
      <c r="Y94" s="35"/>
      <c r="Z94" s="35"/>
      <c r="AA94" s="35"/>
      <c r="AB94" s="35"/>
      <c r="AC94" s="35"/>
      <c r="AD94" s="35"/>
      <c r="AE94" s="35"/>
      <c r="AL94" s="366"/>
      <c r="AP94" s="366"/>
    </row>
    <row r="95" spans="1:55">
      <c r="B95" s="35"/>
      <c r="C95" s="35"/>
      <c r="D95" s="35"/>
      <c r="E95" s="35"/>
      <c r="F95" s="35"/>
      <c r="G95" s="35"/>
      <c r="H95" s="35"/>
      <c r="I95" s="35"/>
      <c r="J95" s="35"/>
      <c r="K95" s="35"/>
      <c r="L95" s="35"/>
      <c r="M95" s="35"/>
      <c r="N95" s="35"/>
      <c r="O95" s="35"/>
      <c r="P95" s="35"/>
      <c r="Q95" s="35"/>
      <c r="R95" s="35"/>
      <c r="S95" s="35"/>
      <c r="T95" s="35"/>
      <c r="U95" s="35"/>
      <c r="V95" s="35"/>
      <c r="W95" s="35"/>
      <c r="X95" s="365"/>
      <c r="Y95" s="35"/>
      <c r="Z95" s="35"/>
      <c r="AA95" s="35"/>
      <c r="AB95" s="35"/>
      <c r="AC95" s="35"/>
      <c r="AD95" s="35"/>
      <c r="AE95" s="35"/>
      <c r="AL95" s="366"/>
      <c r="AP95" s="366"/>
    </row>
    <row r="96" spans="1:55">
      <c r="B96" s="35"/>
      <c r="C96" s="35"/>
      <c r="D96" s="35"/>
      <c r="E96" s="35"/>
      <c r="F96" s="35"/>
      <c r="G96" s="35"/>
      <c r="H96" s="35"/>
      <c r="I96" s="35"/>
      <c r="J96" s="35"/>
      <c r="K96" s="35"/>
      <c r="L96" s="35"/>
      <c r="M96" s="35"/>
      <c r="N96" s="35"/>
      <c r="O96" s="35"/>
      <c r="P96" s="35"/>
      <c r="Q96" s="35"/>
      <c r="R96" s="35"/>
      <c r="S96" s="35"/>
      <c r="T96" s="35"/>
      <c r="U96" s="35"/>
      <c r="V96" s="35"/>
      <c r="W96" s="35"/>
      <c r="X96" s="365"/>
      <c r="Y96" s="35"/>
      <c r="Z96" s="35"/>
      <c r="AA96" s="35"/>
      <c r="AB96" s="35"/>
      <c r="AC96" s="35"/>
      <c r="AD96" s="35"/>
      <c r="AE96" s="35"/>
      <c r="AL96" s="366"/>
      <c r="AP96" s="366"/>
    </row>
    <row r="97" spans="2:42">
      <c r="B97" s="35"/>
      <c r="C97" s="35"/>
      <c r="D97" s="35"/>
      <c r="E97" s="35"/>
      <c r="F97" s="35"/>
      <c r="G97" s="35"/>
      <c r="H97" s="35"/>
      <c r="I97" s="35"/>
      <c r="J97" s="35"/>
      <c r="K97" s="35"/>
      <c r="L97" s="35"/>
      <c r="M97" s="35"/>
      <c r="N97" s="35"/>
      <c r="O97" s="35"/>
      <c r="P97" s="35"/>
      <c r="Q97" s="35"/>
      <c r="R97" s="35"/>
      <c r="S97" s="35"/>
      <c r="T97" s="35"/>
      <c r="U97" s="35"/>
      <c r="V97" s="35"/>
      <c r="W97" s="35"/>
      <c r="X97" s="365"/>
      <c r="Y97" s="35"/>
      <c r="Z97" s="35"/>
      <c r="AA97" s="35"/>
      <c r="AB97" s="35"/>
      <c r="AC97" s="35"/>
      <c r="AD97" s="35"/>
      <c r="AE97" s="35"/>
      <c r="AL97" s="366"/>
      <c r="AP97" s="366"/>
    </row>
    <row r="98" spans="2:42">
      <c r="B98" s="35"/>
      <c r="C98" s="35"/>
      <c r="D98" s="35"/>
      <c r="E98" s="35"/>
      <c r="F98" s="35"/>
      <c r="G98" s="35"/>
      <c r="H98" s="35"/>
      <c r="I98" s="35"/>
      <c r="J98" s="35"/>
      <c r="K98" s="35"/>
      <c r="L98" s="35"/>
      <c r="M98" s="35"/>
      <c r="N98" s="35"/>
      <c r="O98" s="35"/>
      <c r="P98" s="35"/>
      <c r="Q98" s="35"/>
      <c r="R98" s="35"/>
      <c r="S98" s="35"/>
      <c r="T98" s="35"/>
      <c r="U98" s="35"/>
      <c r="V98" s="35"/>
      <c r="W98" s="35"/>
      <c r="X98" s="365"/>
      <c r="Y98" s="35"/>
      <c r="Z98" s="35"/>
      <c r="AA98" s="35"/>
      <c r="AB98" s="35"/>
      <c r="AC98" s="35"/>
      <c r="AD98" s="35"/>
      <c r="AE98" s="35"/>
      <c r="AL98" s="366"/>
      <c r="AP98" s="366"/>
    </row>
    <row r="99" spans="2:42">
      <c r="B99" s="35"/>
      <c r="C99" s="35"/>
      <c r="D99" s="35"/>
      <c r="E99" s="35"/>
      <c r="F99" s="35"/>
      <c r="G99" s="35"/>
      <c r="H99" s="35"/>
      <c r="I99" s="35"/>
      <c r="J99" s="35"/>
      <c r="K99" s="35"/>
      <c r="L99" s="35"/>
      <c r="M99" s="35"/>
      <c r="N99" s="35"/>
      <c r="O99" s="35"/>
      <c r="P99" s="35"/>
      <c r="Q99" s="35"/>
      <c r="R99" s="35"/>
      <c r="S99" s="35"/>
      <c r="T99" s="35"/>
      <c r="U99" s="35"/>
      <c r="V99" s="35"/>
      <c r="W99" s="35"/>
      <c r="X99" s="365"/>
      <c r="Y99" s="35"/>
      <c r="Z99" s="35"/>
      <c r="AA99" s="35"/>
      <c r="AB99" s="35"/>
      <c r="AC99" s="35"/>
      <c r="AD99" s="35"/>
      <c r="AE99" s="35"/>
      <c r="AL99" s="366"/>
      <c r="AP99" s="366"/>
    </row>
    <row r="100" spans="2:42">
      <c r="B100" s="35"/>
      <c r="C100" s="35"/>
      <c r="D100" s="35"/>
      <c r="E100" s="35"/>
      <c r="F100" s="35"/>
      <c r="G100" s="35"/>
      <c r="H100" s="35"/>
      <c r="I100" s="35"/>
      <c r="J100" s="35"/>
      <c r="K100" s="35"/>
      <c r="L100" s="35"/>
      <c r="M100" s="35"/>
      <c r="N100" s="35"/>
      <c r="O100" s="35"/>
      <c r="P100" s="35"/>
      <c r="Q100" s="35"/>
      <c r="R100" s="35"/>
      <c r="S100" s="35"/>
      <c r="T100" s="35"/>
      <c r="U100" s="35"/>
      <c r="V100" s="35"/>
      <c r="W100" s="35"/>
      <c r="X100" s="365"/>
      <c r="Y100" s="35"/>
      <c r="Z100" s="35"/>
      <c r="AA100" s="35"/>
      <c r="AB100" s="35"/>
      <c r="AC100" s="35"/>
      <c r="AD100" s="35"/>
      <c r="AE100" s="35"/>
      <c r="AL100" s="366"/>
      <c r="AP100" s="366"/>
    </row>
    <row r="101" spans="2:42">
      <c r="B101" s="35"/>
      <c r="C101" s="35"/>
      <c r="D101" s="35"/>
      <c r="E101" s="35"/>
      <c r="F101" s="35"/>
      <c r="G101" s="35"/>
      <c r="H101" s="35"/>
      <c r="I101" s="35"/>
      <c r="J101" s="35"/>
      <c r="K101" s="35"/>
      <c r="L101" s="35"/>
      <c r="M101" s="35"/>
      <c r="N101" s="35"/>
      <c r="O101" s="35"/>
      <c r="P101" s="35"/>
      <c r="Q101" s="35"/>
      <c r="R101" s="35"/>
      <c r="S101" s="35"/>
      <c r="T101" s="35"/>
      <c r="U101" s="35"/>
      <c r="V101" s="35"/>
      <c r="W101" s="35"/>
      <c r="X101" s="365"/>
      <c r="Y101" s="35"/>
      <c r="Z101" s="35"/>
      <c r="AA101" s="35"/>
      <c r="AB101" s="35"/>
      <c r="AC101" s="35"/>
      <c r="AD101" s="35"/>
      <c r="AE101" s="35"/>
      <c r="AL101" s="366"/>
      <c r="AP101" s="366"/>
    </row>
    <row r="102" spans="2:42">
      <c r="B102" s="35"/>
      <c r="C102" s="35"/>
      <c r="D102" s="35"/>
      <c r="E102" s="35"/>
      <c r="F102" s="35"/>
      <c r="G102" s="35"/>
      <c r="H102" s="35"/>
      <c r="I102" s="35"/>
      <c r="J102" s="35"/>
      <c r="K102" s="35"/>
      <c r="L102" s="35"/>
      <c r="M102" s="35"/>
      <c r="N102" s="35"/>
      <c r="O102" s="35"/>
      <c r="P102" s="35"/>
      <c r="Q102" s="35"/>
      <c r="R102" s="35"/>
      <c r="S102" s="35"/>
      <c r="T102" s="35"/>
      <c r="U102" s="35"/>
      <c r="V102" s="35"/>
      <c r="W102" s="35"/>
      <c r="X102" s="365"/>
      <c r="Y102" s="35"/>
      <c r="Z102" s="35"/>
      <c r="AA102" s="35"/>
      <c r="AB102" s="35"/>
      <c r="AC102" s="35"/>
      <c r="AD102" s="35"/>
      <c r="AE102" s="35"/>
      <c r="AL102" s="366"/>
      <c r="AP102" s="366"/>
    </row>
    <row r="103" spans="2:42">
      <c r="B103" s="35"/>
      <c r="C103" s="35"/>
      <c r="D103" s="35"/>
      <c r="E103" s="35"/>
      <c r="F103" s="35"/>
      <c r="G103" s="35"/>
      <c r="H103" s="35"/>
      <c r="I103" s="35"/>
      <c r="J103" s="35"/>
      <c r="K103" s="35"/>
      <c r="L103" s="35"/>
      <c r="M103" s="35"/>
      <c r="N103" s="35"/>
      <c r="O103" s="35"/>
      <c r="P103" s="35"/>
      <c r="Q103" s="35"/>
      <c r="R103" s="35"/>
      <c r="S103" s="35"/>
      <c r="T103" s="35"/>
      <c r="U103" s="35"/>
      <c r="V103" s="35"/>
      <c r="W103" s="35"/>
      <c r="X103" s="365"/>
      <c r="Y103" s="35"/>
      <c r="Z103" s="35"/>
      <c r="AA103" s="35"/>
      <c r="AB103" s="35"/>
      <c r="AC103" s="35"/>
      <c r="AD103" s="35"/>
      <c r="AE103" s="35"/>
      <c r="AL103" s="366"/>
      <c r="AP103" s="366"/>
    </row>
    <row r="104" spans="2:42">
      <c r="B104" s="35"/>
      <c r="C104" s="35"/>
      <c r="D104" s="35"/>
      <c r="E104" s="35"/>
      <c r="F104" s="35"/>
      <c r="G104" s="35"/>
      <c r="H104" s="35"/>
      <c r="I104" s="35"/>
      <c r="J104" s="35"/>
      <c r="K104" s="35"/>
      <c r="L104" s="35"/>
      <c r="M104" s="35"/>
      <c r="N104" s="35"/>
      <c r="O104" s="35"/>
      <c r="P104" s="35"/>
      <c r="Q104" s="35"/>
      <c r="R104" s="35"/>
      <c r="S104" s="35"/>
      <c r="T104" s="35"/>
      <c r="U104" s="35"/>
      <c r="V104" s="35"/>
      <c r="W104" s="35"/>
      <c r="X104" s="365"/>
      <c r="Y104" s="35"/>
      <c r="Z104" s="35"/>
      <c r="AA104" s="35"/>
      <c r="AB104" s="35"/>
      <c r="AC104" s="35"/>
      <c r="AD104" s="35"/>
      <c r="AE104" s="35"/>
      <c r="AL104" s="366"/>
      <c r="AP104" s="366"/>
    </row>
    <row r="105" spans="2:42">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L105" s="366"/>
      <c r="AP105" s="366"/>
    </row>
    <row r="106" spans="2:42">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L106" s="366"/>
      <c r="AP106" s="366"/>
    </row>
    <row r="107" spans="2:42">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L107" s="366"/>
      <c r="AP107" s="366"/>
    </row>
    <row r="108" spans="2:42">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2:42">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2:42">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2:42">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2:42">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2:31">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2:31">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2:31">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2:31">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2:31">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2:31">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2:31">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2:31">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2:31">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2:31">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2:31">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2:31">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2:31">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2:31">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2:31">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2:31">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2:31">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2:31">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2:31">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2:31">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2:31">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2:31">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2:31">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2:31">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2:31">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2:31">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2:31">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2:31">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2:31">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2:31">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2:31">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2:31">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2:31">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2:31">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2:31">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2:31">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2:31">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2:31">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2:31">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2:31">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2:31">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2:31">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2:31">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2:31">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2:31">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2:31">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2:31">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2:31">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2:31">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2:31">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2:31">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2:31">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2:31">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2:31">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2:31">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2:31">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2:31">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2:31">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2:31">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2:31">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2:31">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2:31">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2:31">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2:31">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2:31">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2:31">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2:31">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2:31">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2:31">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2:31">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2:31">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2:31">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2:31">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2:31">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2:31">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2:31">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2:31">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2:31">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2:31">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2:31">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2:31">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2:31">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2:31">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2:31">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2:31">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2:31">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2:31">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2:31">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2:31">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2:31">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2:31">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2:31">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2:31">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2:31">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2:31">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2:31">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2:31">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2:31">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2:31">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2:31">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2:31">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2:31">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2:31">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2:31">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2:31">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2:31">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2:31">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2:31">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2:31">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2:31">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2:31">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2:31">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2:31">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2:31">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2:31">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2:31">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2:31">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2:31">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2:31">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2:31">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2:31">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2:31">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2:31">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2:31">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2:31">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2:31">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2:31">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2:31">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2:31">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2:31">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2:31">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2:31">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2:31">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2:31">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2:31">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2:31">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2:31">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2:31">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2:31">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2:31">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2:31">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2:31">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2:31">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2:31">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2:31">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2:31">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2:31">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2:31">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2:31">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2:31">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2:31">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2:31">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2:31">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2:31">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2:31">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2:31">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2:31">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2:31">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2:31">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2:31">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2:31">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2:31">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2:31">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2:31">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2:31">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2:31">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2:31">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2:31">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2:31">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2:31">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2:31">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2:31">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2:31">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2:31">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2:31">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2:31">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2:31">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2:31">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2:31">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2:31">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2:31">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2:31">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2:31">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2:31">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2:31">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2:31">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2:31">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2:31">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2:31">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2:31">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2:31">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2:31">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2:31">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2:31">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2:31">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2:31">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2:31">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2:31">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2:31">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2:31">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2:31">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2:31">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2:31">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2:31">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2:31">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2:31">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2:31">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2:31">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2:31">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2:31">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2:31">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2:31">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2:31">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2:31">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2:31">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2:31">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2:31">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2:31">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2:31">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2:31">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2:31">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2:31">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2:31">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2:31">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2:31">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2:31">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2:31">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2:31">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2:31">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2:31">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2:31">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2:31">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2:31">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2:31">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2:31">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2:31">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2:31">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2:31">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2:31">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2:31">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2:31">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2:31">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2:31">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2:31">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2:31">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2:31">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2:31">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2:31">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2:31">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2:31">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2:31">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2:31">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2:31">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2:31">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2:31">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2:31">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2:31">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2:31">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2:31">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2:31">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2:31">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2:31">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2:31">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2:31">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2:31">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2:31">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2:31">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2:31">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2:31">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2:31">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2:31">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2:31">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2:31">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2:31">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2:31">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2:31">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2:31">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2:31">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2:31">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2:31">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2:31">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2:31">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2:31">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2:31">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2:31">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2:31">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2:31">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2:31">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2:31">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2:31">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2:31">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2:31">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2:31">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2:31">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2:31">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2:31">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2:31">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2:31">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2:31">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2:31">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2:31">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2:31">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2:31">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2:31">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2:31">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2:31">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2:31">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2:31">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2:31">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2:31">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2:31">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2:31">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2:31">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2:31">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2:31">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2:31">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2:31">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2:31">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2:31">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2:31">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2:31">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2:31">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2:31">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2:31">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2:31">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2:31">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2:31">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2:31">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2:31">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2:31">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2:31">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2:31">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2:31">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2:31">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2:31">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2:31">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2:31">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2:31">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2:31">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2:31">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2:31">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2:31">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2:31">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2:31">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2:31">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2:31">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2:31">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2:31">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2:31">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2:31">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2:31">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2:31">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2:31">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2:31">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2:31">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2:31">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2:31">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2:31">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2:31">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2:31">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2:31">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2:31">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2:31">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2:31">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2:31">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2:31">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2:31">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2:31">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2:31">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2:31">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2:31">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2:31">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2:31">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2:31">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2:31">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2:31">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2:31">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2:31">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sheetData>
  <mergeCells count="35">
    <mergeCell ref="N15:P15"/>
    <mergeCell ref="S15:U15"/>
    <mergeCell ref="AC15:AE15"/>
    <mergeCell ref="AH15:AJ15"/>
    <mergeCell ref="A1:AP1"/>
    <mergeCell ref="AC14:AE14"/>
    <mergeCell ref="D6:AP6"/>
    <mergeCell ref="AH14:AJ14"/>
    <mergeCell ref="A2:AP2"/>
    <mergeCell ref="A3:AP3"/>
    <mergeCell ref="AH16:AJ16"/>
    <mergeCell ref="AL16:AN16"/>
    <mergeCell ref="AC16:AE16"/>
    <mergeCell ref="D16:F16"/>
    <mergeCell ref="I16:K16"/>
    <mergeCell ref="N16:P16"/>
    <mergeCell ref="S16:U16"/>
    <mergeCell ref="X16:Z16"/>
    <mergeCell ref="B84:AP84"/>
    <mergeCell ref="B83:AP83"/>
    <mergeCell ref="AH55:AJ55"/>
    <mergeCell ref="AL55:AN55"/>
    <mergeCell ref="X55:Z55"/>
    <mergeCell ref="D55:F55"/>
    <mergeCell ref="I55:K55"/>
    <mergeCell ref="AC55:AE55"/>
    <mergeCell ref="N55:P55"/>
    <mergeCell ref="S55:U55"/>
    <mergeCell ref="D45:AP45"/>
    <mergeCell ref="AH54:AJ54"/>
    <mergeCell ref="AH53:AJ53"/>
    <mergeCell ref="AC53:AE53"/>
    <mergeCell ref="N54:P54"/>
    <mergeCell ref="S54:U54"/>
    <mergeCell ref="AC54:AE54"/>
  </mergeCells>
  <phoneticPr fontId="24" type="noConversion"/>
  <printOptions horizontalCentered="1"/>
  <pageMargins left="0.25" right="0.25" top="0.5" bottom="0.15" header="0.3" footer="0.15"/>
  <pageSetup scale="56" orientation="landscape" r:id="rId1"/>
  <headerFooter alignWithMargins="0">
    <oddFooter>&amp;R&amp;A</oddFooter>
  </headerFooter>
  <ignoredErrors>
    <ignoredError sqref="A83:A84" numberStoredAsText="1"/>
  </ignoredErrors>
</worksheet>
</file>

<file path=xl/worksheets/sheet17.xml><?xml version="1.0" encoding="utf-8"?>
<worksheet xmlns="http://schemas.openxmlformats.org/spreadsheetml/2006/main" xmlns:r="http://schemas.openxmlformats.org/officeDocument/2006/relationships">
  <dimension ref="A1:BB523"/>
  <sheetViews>
    <sheetView zoomScale="75" zoomScaleNormal="75" zoomScaleSheetLayoutView="75" workbookViewId="0">
      <selection sqref="A1:AR1"/>
    </sheetView>
  </sheetViews>
  <sheetFormatPr defaultColWidth="9.109375" defaultRowHeight="10.199999999999999"/>
  <cols>
    <col min="1" max="1" width="3.33203125" style="2" customWidth="1"/>
    <col min="2" max="2" width="24.33203125" style="2" customWidth="1"/>
    <col min="3" max="3" width="2.44140625" style="2" customWidth="1"/>
    <col min="4" max="4" width="8.44140625" style="2" customWidth="1"/>
    <col min="5" max="5" width="2.44140625" style="2" customWidth="1"/>
    <col min="6" max="6" width="8.44140625" style="2" customWidth="1"/>
    <col min="7" max="7" width="2.44140625" style="2" customWidth="1"/>
    <col min="8" max="8" width="8.44140625" style="2" customWidth="1"/>
    <col min="9" max="9" width="2.44140625" style="2" customWidth="1"/>
    <col min="10" max="10" width="8.44140625" style="2" customWidth="1"/>
    <col min="11" max="11" width="2.44140625" style="2" customWidth="1"/>
    <col min="12" max="12" width="8.44140625" style="2" customWidth="1"/>
    <col min="13" max="14" width="2.44140625" style="2" customWidth="1"/>
    <col min="15" max="15" width="8.44140625" style="2" customWidth="1"/>
    <col min="16" max="16" width="2.44140625" style="2" customWidth="1"/>
    <col min="17" max="17" width="8.44140625" style="2" customWidth="1"/>
    <col min="18" max="18" width="2.44140625" style="2" customWidth="1"/>
    <col min="19" max="19" width="8.33203125" style="2" customWidth="1"/>
    <col min="20" max="20" width="2.44140625" style="2" customWidth="1"/>
    <col min="21" max="21" width="8.44140625" style="2" customWidth="1"/>
    <col min="22" max="22" width="2.44140625" style="2" customWidth="1"/>
    <col min="23" max="23" width="8.44140625" style="2" customWidth="1"/>
    <col min="24" max="25" width="2.44140625" style="2" customWidth="1"/>
    <col min="26" max="26" width="8.44140625" style="2" customWidth="1"/>
    <col min="27" max="27" width="2.44140625" style="2" customWidth="1"/>
    <col min="28" max="28" width="8.44140625" style="2" customWidth="1"/>
    <col min="29" max="29" width="2.44140625" style="2" customWidth="1"/>
    <col min="30" max="30" width="8.33203125" style="2" customWidth="1"/>
    <col min="31" max="31" width="2.44140625" style="2" customWidth="1"/>
    <col min="32" max="32" width="8.44140625" style="2" customWidth="1"/>
    <col min="33" max="33" width="2.44140625" style="2" customWidth="1"/>
    <col min="34" max="34" width="8.44140625" style="2" customWidth="1"/>
    <col min="35" max="37" width="2.44140625" style="2" customWidth="1"/>
    <col min="38" max="38" width="8.44140625" style="2" customWidth="1"/>
    <col min="39" max="39" width="2.44140625" style="2" customWidth="1"/>
    <col min="40" max="40" width="8.44140625" style="2" customWidth="1"/>
    <col min="41" max="41" width="2.44140625" style="2" customWidth="1"/>
    <col min="42" max="42" width="8.44140625" style="2" customWidth="1"/>
    <col min="43" max="43" width="2.44140625" style="2" customWidth="1"/>
    <col min="44" max="44" width="8.44140625" style="2" customWidth="1"/>
    <col min="45" max="16384" width="9.109375" style="2"/>
  </cols>
  <sheetData>
    <row r="1" spans="1:44" ht="13.2">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c r="Z1" s="972"/>
      <c r="AA1" s="972"/>
      <c r="AB1" s="972"/>
      <c r="AC1" s="972"/>
      <c r="AD1" s="972"/>
      <c r="AE1" s="972"/>
      <c r="AF1" s="972"/>
      <c r="AG1" s="972"/>
      <c r="AH1" s="972"/>
      <c r="AI1" s="972"/>
      <c r="AJ1" s="972"/>
      <c r="AK1" s="972"/>
      <c r="AL1" s="972"/>
      <c r="AM1" s="972"/>
      <c r="AN1" s="972"/>
      <c r="AO1" s="972"/>
      <c r="AP1" s="972"/>
      <c r="AQ1" s="972"/>
      <c r="AR1" s="972"/>
    </row>
    <row r="2" spans="1:44" ht="13.2">
      <c r="A2" s="996" t="s">
        <v>395</v>
      </c>
      <c r="B2" s="996"/>
      <c r="C2" s="996"/>
      <c r="D2" s="996"/>
      <c r="E2" s="996"/>
      <c r="F2" s="996"/>
      <c r="G2" s="996"/>
      <c r="H2" s="996"/>
      <c r="I2" s="996"/>
      <c r="J2" s="996"/>
      <c r="K2" s="996"/>
      <c r="L2" s="996"/>
      <c r="M2" s="996"/>
      <c r="N2" s="996"/>
      <c r="O2" s="996"/>
      <c r="P2" s="996"/>
      <c r="Q2" s="996"/>
      <c r="R2" s="996"/>
      <c r="S2" s="996"/>
      <c r="T2" s="996"/>
      <c r="U2" s="996"/>
      <c r="V2" s="996"/>
      <c r="W2" s="996"/>
      <c r="X2" s="996"/>
      <c r="Y2" s="996"/>
      <c r="Z2" s="996"/>
      <c r="AA2" s="996"/>
      <c r="AB2" s="996"/>
      <c r="AC2" s="996"/>
      <c r="AD2" s="996"/>
      <c r="AE2" s="996"/>
      <c r="AF2" s="996"/>
      <c r="AG2" s="996"/>
      <c r="AH2" s="996"/>
      <c r="AI2" s="996"/>
      <c r="AJ2" s="996"/>
      <c r="AK2" s="996"/>
      <c r="AL2" s="996"/>
      <c r="AM2" s="996"/>
      <c r="AN2" s="996"/>
      <c r="AO2" s="996"/>
      <c r="AP2" s="996"/>
      <c r="AQ2" s="996"/>
      <c r="AR2" s="996"/>
    </row>
    <row r="3" spans="1:44" ht="13.2">
      <c r="A3" s="996" t="s">
        <v>800</v>
      </c>
      <c r="B3" s="996"/>
      <c r="C3" s="996"/>
      <c r="D3" s="996"/>
      <c r="E3" s="996"/>
      <c r="F3" s="996"/>
      <c r="G3" s="996"/>
      <c r="H3" s="996"/>
      <c r="I3" s="996"/>
      <c r="J3" s="996"/>
      <c r="K3" s="996"/>
      <c r="L3" s="996"/>
      <c r="M3" s="996"/>
      <c r="N3" s="996"/>
      <c r="O3" s="996"/>
      <c r="P3" s="996"/>
      <c r="Q3" s="996"/>
      <c r="R3" s="996"/>
      <c r="S3" s="996"/>
      <c r="T3" s="996"/>
      <c r="U3" s="996"/>
      <c r="V3" s="996"/>
      <c r="W3" s="996"/>
      <c r="X3" s="996"/>
      <c r="Y3" s="996"/>
      <c r="Z3" s="996"/>
      <c r="AA3" s="996"/>
      <c r="AB3" s="996"/>
      <c r="AC3" s="996"/>
      <c r="AD3" s="996"/>
      <c r="AE3" s="996"/>
      <c r="AF3" s="996"/>
      <c r="AG3" s="996"/>
      <c r="AH3" s="996"/>
      <c r="AI3" s="996"/>
      <c r="AJ3" s="996"/>
      <c r="AK3" s="996"/>
      <c r="AL3" s="996"/>
      <c r="AM3" s="996"/>
      <c r="AN3" s="996"/>
      <c r="AO3" s="996"/>
      <c r="AP3" s="996"/>
      <c r="AQ3" s="996"/>
      <c r="AR3" s="996"/>
    </row>
    <row r="4" spans="1:44" ht="13.2">
      <c r="A4" s="784"/>
      <c r="B4" s="784"/>
      <c r="C4" s="784"/>
      <c r="D4" s="784"/>
      <c r="E4" s="784"/>
      <c r="F4" s="784"/>
      <c r="G4" s="784"/>
      <c r="H4" s="784"/>
      <c r="I4" s="784"/>
      <c r="J4" s="784"/>
      <c r="K4" s="784"/>
      <c r="M4" s="784"/>
      <c r="N4" s="784"/>
      <c r="O4" s="784"/>
      <c r="P4" s="784"/>
      <c r="Q4" s="784"/>
      <c r="R4" s="784"/>
      <c r="S4" s="784"/>
      <c r="T4" s="784"/>
      <c r="U4" s="784"/>
      <c r="V4" s="784"/>
      <c r="X4" s="784"/>
      <c r="Y4" s="784"/>
      <c r="Z4" s="784"/>
      <c r="AA4" s="784"/>
      <c r="AB4" s="784"/>
      <c r="AC4" s="784"/>
      <c r="AD4" s="784"/>
      <c r="AE4" s="784"/>
      <c r="AF4" s="784"/>
      <c r="AG4" s="784"/>
      <c r="AI4" s="784"/>
      <c r="AJ4" s="784"/>
      <c r="AK4" s="784"/>
      <c r="AL4" s="784"/>
      <c r="AM4" s="784"/>
      <c r="AN4" s="784"/>
      <c r="AO4" s="784"/>
      <c r="AP4" s="784"/>
      <c r="AQ4" s="784"/>
      <c r="AR4" s="784"/>
    </row>
    <row r="5" spans="1:44" ht="11.4">
      <c r="A5" s="355"/>
      <c r="B5" s="66"/>
      <c r="C5" s="65"/>
      <c r="D5" s="994" t="s">
        <v>396</v>
      </c>
      <c r="E5" s="994"/>
      <c r="F5" s="994"/>
      <c r="G5" s="994"/>
      <c r="H5" s="994"/>
      <c r="I5" s="994"/>
      <c r="J5" s="994"/>
      <c r="K5" s="994"/>
      <c r="L5" s="994"/>
      <c r="M5" s="66"/>
      <c r="N5" s="65"/>
      <c r="O5" s="994" t="s">
        <v>396</v>
      </c>
      <c r="P5" s="994"/>
      <c r="Q5" s="994"/>
      <c r="R5" s="994"/>
      <c r="S5" s="994"/>
      <c r="T5" s="994"/>
      <c r="U5" s="994"/>
      <c r="V5" s="994"/>
      <c r="W5" s="994"/>
      <c r="X5" s="66"/>
      <c r="Y5" s="65"/>
      <c r="Z5" s="994" t="s">
        <v>396</v>
      </c>
      <c r="AA5" s="994"/>
      <c r="AB5" s="994"/>
      <c r="AC5" s="994"/>
      <c r="AD5" s="994"/>
      <c r="AE5" s="994"/>
      <c r="AF5" s="994"/>
      <c r="AG5" s="994"/>
      <c r="AH5" s="994"/>
      <c r="AI5" s="66"/>
      <c r="AJ5" s="66"/>
      <c r="AK5" s="65"/>
      <c r="AL5" s="994" t="s">
        <v>396</v>
      </c>
      <c r="AM5" s="994"/>
      <c r="AN5" s="994"/>
      <c r="AO5" s="994"/>
      <c r="AP5" s="994"/>
      <c r="AQ5" s="994"/>
      <c r="AR5" s="994"/>
    </row>
    <row r="6" spans="1:44" ht="11.4">
      <c r="A6" s="355"/>
      <c r="B6" s="34"/>
      <c r="C6" s="65"/>
      <c r="D6" s="1000" t="s">
        <v>1142</v>
      </c>
      <c r="E6" s="1000"/>
      <c r="F6" s="1000"/>
      <c r="G6" s="1000"/>
      <c r="H6" s="1000"/>
      <c r="I6" s="1000"/>
      <c r="J6" s="1000"/>
      <c r="K6" s="1000"/>
      <c r="L6" s="1000"/>
      <c r="M6" s="34"/>
      <c r="N6" s="65"/>
      <c r="O6" s="1000" t="s">
        <v>5</v>
      </c>
      <c r="P6" s="1000"/>
      <c r="Q6" s="1000"/>
      <c r="R6" s="1000"/>
      <c r="S6" s="1000"/>
      <c r="T6" s="1000"/>
      <c r="U6" s="1000"/>
      <c r="V6" s="1000"/>
      <c r="W6" s="1000"/>
      <c r="X6" s="34"/>
      <c r="Y6" s="65"/>
      <c r="Z6" s="1000" t="s">
        <v>397</v>
      </c>
      <c r="AA6" s="1000"/>
      <c r="AB6" s="1000"/>
      <c r="AC6" s="1000"/>
      <c r="AD6" s="1000"/>
      <c r="AE6" s="1000"/>
      <c r="AF6" s="1000"/>
      <c r="AG6" s="1000"/>
      <c r="AH6" s="1000"/>
      <c r="AI6" s="34"/>
      <c r="AJ6" s="34"/>
      <c r="AK6" s="65"/>
      <c r="AL6" s="1000" t="s">
        <v>398</v>
      </c>
      <c r="AM6" s="1000"/>
      <c r="AN6" s="1000"/>
      <c r="AO6" s="1000"/>
      <c r="AP6" s="1000"/>
      <c r="AQ6" s="1000"/>
      <c r="AR6" s="1000"/>
    </row>
    <row r="7" spans="1:44" ht="11.4">
      <c r="A7" s="355"/>
      <c r="B7" s="34"/>
      <c r="C7" s="65"/>
      <c r="D7" s="492"/>
      <c r="E7" s="492"/>
      <c r="F7" s="492"/>
      <c r="G7" s="492"/>
      <c r="H7" s="492"/>
      <c r="I7" s="492"/>
      <c r="J7" s="492"/>
      <c r="K7" s="492"/>
      <c r="L7" s="492"/>
      <c r="M7" s="34"/>
      <c r="N7" s="65"/>
      <c r="O7" s="492"/>
      <c r="P7" s="492"/>
      <c r="Q7" s="492"/>
      <c r="R7" s="492"/>
      <c r="S7" s="492"/>
      <c r="T7" s="492"/>
      <c r="U7" s="492"/>
      <c r="V7" s="34"/>
      <c r="W7" s="492"/>
      <c r="X7" s="34"/>
      <c r="Y7" s="65"/>
      <c r="Z7" s="492"/>
      <c r="AA7" s="492"/>
      <c r="AB7" s="492"/>
      <c r="AC7" s="492"/>
      <c r="AD7" s="492"/>
      <c r="AE7" s="492"/>
      <c r="AF7" s="492"/>
      <c r="AG7" s="34"/>
      <c r="AH7" s="492"/>
      <c r="AI7" s="34"/>
      <c r="AJ7" s="34"/>
      <c r="AK7" s="65"/>
      <c r="AL7" s="492"/>
      <c r="AM7" s="492"/>
      <c r="AN7" s="492"/>
      <c r="AO7" s="492"/>
      <c r="AP7" s="492"/>
      <c r="AQ7" s="492"/>
      <c r="AR7" s="492"/>
    </row>
    <row r="8" spans="1:44" ht="11.4">
      <c r="A8" s="355"/>
      <c r="B8" s="34"/>
      <c r="C8" s="65"/>
      <c r="D8" s="492"/>
      <c r="E8" s="492"/>
      <c r="F8" s="492"/>
      <c r="G8" s="492"/>
      <c r="H8" s="492"/>
      <c r="I8" s="492"/>
      <c r="J8" s="492"/>
      <c r="K8" s="34"/>
      <c r="L8" s="492" t="s">
        <v>255</v>
      </c>
      <c r="M8" s="34"/>
      <c r="N8" s="65"/>
      <c r="O8" s="492"/>
      <c r="P8" s="492"/>
      <c r="Q8" s="492"/>
      <c r="R8" s="492"/>
      <c r="S8" s="492"/>
      <c r="T8" s="492"/>
      <c r="U8" s="492"/>
      <c r="V8" s="34"/>
      <c r="W8" s="492" t="s">
        <v>255</v>
      </c>
      <c r="X8" s="34"/>
      <c r="Y8" s="65"/>
      <c r="Z8" s="492"/>
      <c r="AA8" s="492"/>
      <c r="AB8" s="492"/>
      <c r="AC8" s="492"/>
      <c r="AD8" s="492"/>
      <c r="AE8" s="492"/>
      <c r="AF8" s="492"/>
      <c r="AG8" s="34"/>
      <c r="AH8" s="492" t="s">
        <v>255</v>
      </c>
      <c r="AI8" s="34"/>
      <c r="AJ8" s="34"/>
      <c r="AK8" s="65"/>
      <c r="AL8" s="492"/>
      <c r="AM8" s="492"/>
      <c r="AN8" s="492"/>
      <c r="AO8" s="492"/>
      <c r="AP8" s="492"/>
      <c r="AQ8" s="492"/>
      <c r="AR8" s="492"/>
    </row>
    <row r="9" spans="1:44" ht="11.4">
      <c r="A9" s="355"/>
      <c r="B9" s="34"/>
      <c r="C9" s="65"/>
      <c r="D9" s="492"/>
      <c r="E9" s="492"/>
      <c r="F9" s="492"/>
      <c r="G9" s="492"/>
      <c r="H9" s="492"/>
      <c r="I9" s="492"/>
      <c r="J9" s="492"/>
      <c r="K9" s="34"/>
      <c r="L9" s="492" t="s">
        <v>957</v>
      </c>
      <c r="M9" s="34"/>
      <c r="N9" s="65"/>
      <c r="O9" s="492"/>
      <c r="P9" s="492"/>
      <c r="Q9" s="492"/>
      <c r="R9" s="492"/>
      <c r="S9" s="492"/>
      <c r="T9" s="492"/>
      <c r="U9" s="492"/>
      <c r="V9" s="34"/>
      <c r="W9" s="492" t="s">
        <v>957</v>
      </c>
      <c r="X9" s="34"/>
      <c r="Y9" s="65"/>
      <c r="Z9" s="492"/>
      <c r="AA9" s="492"/>
      <c r="AB9" s="492"/>
      <c r="AC9" s="492"/>
      <c r="AD9" s="492"/>
      <c r="AE9" s="492"/>
      <c r="AF9" s="492"/>
      <c r="AG9" s="34"/>
      <c r="AH9" s="492" t="s">
        <v>957</v>
      </c>
      <c r="AI9" s="34"/>
      <c r="AJ9" s="34"/>
      <c r="AK9" s="65"/>
      <c r="AL9" s="492"/>
      <c r="AM9" s="492"/>
      <c r="AN9" s="492"/>
      <c r="AO9" s="492"/>
      <c r="AP9" s="492"/>
      <c r="AQ9" s="492"/>
      <c r="AR9" s="492"/>
    </row>
    <row r="10" spans="1:44" ht="11.4">
      <c r="A10" s="35"/>
      <c r="B10" s="23"/>
      <c r="C10" s="374"/>
      <c r="D10" s="868"/>
      <c r="E10" s="868"/>
      <c r="F10" s="868"/>
      <c r="G10" s="868"/>
      <c r="H10" s="868"/>
      <c r="I10" s="868"/>
      <c r="J10" s="868"/>
      <c r="K10" s="23"/>
      <c r="L10" s="10" t="s">
        <v>954</v>
      </c>
      <c r="M10" s="23"/>
      <c r="N10" s="374"/>
      <c r="O10" s="868"/>
      <c r="P10" s="868"/>
      <c r="Q10" s="868"/>
      <c r="R10" s="868"/>
      <c r="S10" s="868"/>
      <c r="T10" s="868"/>
      <c r="U10" s="868"/>
      <c r="V10" s="23"/>
      <c r="W10" s="10" t="s">
        <v>954</v>
      </c>
      <c r="X10" s="23"/>
      <c r="Y10" s="374"/>
      <c r="Z10" s="868"/>
      <c r="AA10" s="868"/>
      <c r="AB10" s="868"/>
      <c r="AC10" s="868"/>
      <c r="AD10" s="868"/>
      <c r="AE10" s="868"/>
      <c r="AF10" s="868"/>
      <c r="AG10" s="23"/>
      <c r="AH10" s="10" t="s">
        <v>954</v>
      </c>
      <c r="AI10" s="23"/>
      <c r="AJ10" s="23"/>
      <c r="AK10" s="374"/>
      <c r="AL10" s="868"/>
      <c r="AM10" s="868"/>
      <c r="AN10" s="868"/>
      <c r="AO10" s="868"/>
      <c r="AP10" s="868"/>
      <c r="AQ10" s="868"/>
      <c r="AR10" s="868"/>
    </row>
    <row r="11" spans="1:44" ht="11.4">
      <c r="A11" s="35"/>
      <c r="B11" s="23"/>
      <c r="C11" s="374"/>
      <c r="D11" s="374"/>
      <c r="E11" s="374"/>
      <c r="F11" s="244"/>
      <c r="G11" s="35"/>
      <c r="H11" s="10" t="s">
        <v>400</v>
      </c>
      <c r="I11" s="10"/>
      <c r="J11" s="10"/>
      <c r="K11" s="10"/>
      <c r="L11" s="10" t="s">
        <v>956</v>
      </c>
      <c r="M11" s="23"/>
      <c r="N11" s="374"/>
      <c r="O11" s="374"/>
      <c r="P11" s="374"/>
      <c r="Q11" s="244"/>
      <c r="R11" s="35"/>
      <c r="S11" s="10" t="s">
        <v>400</v>
      </c>
      <c r="T11" s="10"/>
      <c r="U11" s="10"/>
      <c r="V11" s="23"/>
      <c r="W11" s="10" t="s">
        <v>956</v>
      </c>
      <c r="X11" s="23"/>
      <c r="Y11" s="374"/>
      <c r="Z11" s="374"/>
      <c r="AA11" s="374"/>
      <c r="AB11" s="244"/>
      <c r="AC11" s="35"/>
      <c r="AD11" s="10" t="s">
        <v>400</v>
      </c>
      <c r="AE11" s="10"/>
      <c r="AF11" s="10"/>
      <c r="AG11" s="23"/>
      <c r="AH11" s="10" t="s">
        <v>956</v>
      </c>
      <c r="AI11" s="23"/>
      <c r="AJ11" s="23"/>
      <c r="AK11" s="374"/>
      <c r="AL11" s="374"/>
      <c r="AM11" s="374"/>
      <c r="AN11" s="6"/>
      <c r="AO11" s="35"/>
      <c r="AP11" s="10" t="s">
        <v>400</v>
      </c>
      <c r="AQ11" s="10"/>
      <c r="AR11" s="10"/>
    </row>
    <row r="12" spans="1:44" ht="11.4">
      <c r="A12" s="35"/>
      <c r="B12" s="23"/>
      <c r="C12" s="374"/>
      <c r="D12" s="6"/>
      <c r="E12" s="6"/>
      <c r="F12" s="244"/>
      <c r="G12" s="35"/>
      <c r="H12" s="10" t="s">
        <v>401</v>
      </c>
      <c r="I12" s="10"/>
      <c r="J12" s="244"/>
      <c r="K12" s="10"/>
      <c r="L12" s="10" t="s">
        <v>953</v>
      </c>
      <c r="M12" s="23"/>
      <c r="N12" s="374"/>
      <c r="O12" s="6"/>
      <c r="P12" s="6"/>
      <c r="Q12" s="244"/>
      <c r="R12" s="35"/>
      <c r="S12" s="10" t="s">
        <v>401</v>
      </c>
      <c r="T12" s="10"/>
      <c r="U12" s="244"/>
      <c r="V12" s="23"/>
      <c r="W12" s="10" t="s">
        <v>953</v>
      </c>
      <c r="X12" s="23"/>
      <c r="Y12" s="374"/>
      <c r="Z12" s="6"/>
      <c r="AA12" s="6"/>
      <c r="AB12" s="244"/>
      <c r="AC12" s="35"/>
      <c r="AD12" s="10" t="s">
        <v>401</v>
      </c>
      <c r="AE12" s="10"/>
      <c r="AF12" s="244"/>
      <c r="AG12" s="23"/>
      <c r="AH12" s="10" t="s">
        <v>953</v>
      </c>
      <c r="AI12" s="23"/>
      <c r="AJ12" s="23"/>
      <c r="AK12" s="374"/>
      <c r="AL12" s="6"/>
      <c r="AM12" s="6"/>
      <c r="AN12" s="6"/>
      <c r="AO12" s="35"/>
      <c r="AP12" s="10" t="s">
        <v>401</v>
      </c>
      <c r="AQ12" s="10"/>
      <c r="AR12" s="6"/>
    </row>
    <row r="13" spans="1:44" ht="11.4">
      <c r="A13" s="35"/>
      <c r="B13" s="23"/>
      <c r="C13" s="374"/>
      <c r="D13" s="6" t="s">
        <v>402</v>
      </c>
      <c r="E13" s="6"/>
      <c r="F13" s="244" t="s">
        <v>403</v>
      </c>
      <c r="G13" s="35"/>
      <c r="H13" s="10" t="s">
        <v>404</v>
      </c>
      <c r="I13" s="10"/>
      <c r="J13" s="244" t="s">
        <v>405</v>
      </c>
      <c r="K13" s="10"/>
      <c r="L13" s="10" t="s">
        <v>981</v>
      </c>
      <c r="M13" s="23"/>
      <c r="N13" s="374"/>
      <c r="O13" s="6" t="s">
        <v>402</v>
      </c>
      <c r="P13" s="6"/>
      <c r="Q13" s="244" t="s">
        <v>403</v>
      </c>
      <c r="R13" s="35"/>
      <c r="S13" s="10" t="s">
        <v>404</v>
      </c>
      <c r="T13" s="10"/>
      <c r="U13" s="244" t="s">
        <v>405</v>
      </c>
      <c r="V13" s="23"/>
      <c r="W13" s="10" t="s">
        <v>981</v>
      </c>
      <c r="X13" s="23"/>
      <c r="Y13" s="374"/>
      <c r="Z13" s="6" t="s">
        <v>402</v>
      </c>
      <c r="AA13" s="6"/>
      <c r="AB13" s="244" t="s">
        <v>403</v>
      </c>
      <c r="AC13" s="35"/>
      <c r="AD13" s="10" t="s">
        <v>404</v>
      </c>
      <c r="AE13" s="10"/>
      <c r="AF13" s="244" t="s">
        <v>405</v>
      </c>
      <c r="AG13" s="23"/>
      <c r="AH13" s="10" t="s">
        <v>981</v>
      </c>
      <c r="AI13" s="23"/>
      <c r="AJ13" s="23"/>
      <c r="AK13" s="374"/>
      <c r="AL13" s="6" t="s">
        <v>402</v>
      </c>
      <c r="AM13" s="6"/>
      <c r="AN13" s="6" t="s">
        <v>403</v>
      </c>
      <c r="AO13" s="35"/>
      <c r="AP13" s="10" t="s">
        <v>404</v>
      </c>
      <c r="AQ13" s="10"/>
      <c r="AR13" s="6" t="s">
        <v>405</v>
      </c>
    </row>
    <row r="14" spans="1:44" ht="11.4">
      <c r="A14" s="35"/>
      <c r="B14" s="23"/>
      <c r="C14" s="374"/>
      <c r="D14" s="13" t="s">
        <v>406</v>
      </c>
      <c r="E14" s="6"/>
      <c r="F14" s="13" t="s">
        <v>407</v>
      </c>
      <c r="G14" s="11"/>
      <c r="H14" s="13" t="s">
        <v>407</v>
      </c>
      <c r="I14" s="6"/>
      <c r="J14" s="13" t="s">
        <v>407</v>
      </c>
      <c r="K14" s="6"/>
      <c r="L14" s="13" t="s">
        <v>383</v>
      </c>
      <c r="M14" s="23"/>
      <c r="N14" s="374"/>
      <c r="O14" s="13" t="s">
        <v>406</v>
      </c>
      <c r="P14" s="6"/>
      <c r="Q14" s="13" t="s">
        <v>407</v>
      </c>
      <c r="R14" s="11"/>
      <c r="S14" s="13" t="s">
        <v>407</v>
      </c>
      <c r="T14" s="6"/>
      <c r="U14" s="13" t="s">
        <v>407</v>
      </c>
      <c r="V14" s="23"/>
      <c r="W14" s="13" t="s">
        <v>383</v>
      </c>
      <c r="X14" s="23"/>
      <c r="Y14" s="374"/>
      <c r="Z14" s="13" t="s">
        <v>406</v>
      </c>
      <c r="AA14" s="6"/>
      <c r="AB14" s="13" t="s">
        <v>407</v>
      </c>
      <c r="AC14" s="11"/>
      <c r="AD14" s="13" t="s">
        <v>407</v>
      </c>
      <c r="AE14" s="6"/>
      <c r="AF14" s="13" t="s">
        <v>407</v>
      </c>
      <c r="AG14" s="23"/>
      <c r="AH14" s="13" t="s">
        <v>383</v>
      </c>
      <c r="AI14" s="23"/>
      <c r="AJ14" s="23"/>
      <c r="AK14" s="374"/>
      <c r="AL14" s="13" t="s">
        <v>406</v>
      </c>
      <c r="AM14" s="6"/>
      <c r="AN14" s="13" t="s">
        <v>407</v>
      </c>
      <c r="AO14" s="11"/>
      <c r="AP14" s="13" t="s">
        <v>407</v>
      </c>
      <c r="AQ14" s="6"/>
      <c r="AR14" s="13" t="s">
        <v>407</v>
      </c>
    </row>
    <row r="15" spans="1:44" ht="11.4">
      <c r="B15" s="35"/>
      <c r="C15" s="11"/>
      <c r="D15" s="11"/>
      <c r="E15" s="11"/>
      <c r="F15" s="11"/>
      <c r="G15" s="11"/>
      <c r="H15" s="11"/>
      <c r="I15" s="11"/>
      <c r="J15" s="11"/>
      <c r="K15" s="11"/>
      <c r="L15" s="11"/>
      <c r="M15" s="35"/>
      <c r="N15" s="11"/>
      <c r="O15" s="11"/>
      <c r="P15" s="11"/>
      <c r="Q15" s="11"/>
      <c r="R15" s="11"/>
      <c r="S15" s="11"/>
      <c r="T15" s="11"/>
      <c r="U15" s="11"/>
      <c r="V15" s="35"/>
      <c r="W15" s="11"/>
      <c r="X15" s="35"/>
      <c r="Y15" s="11"/>
      <c r="Z15" s="11"/>
      <c r="AA15" s="11"/>
      <c r="AB15" s="11"/>
      <c r="AC15" s="11"/>
      <c r="AD15" s="11"/>
      <c r="AE15" s="11"/>
      <c r="AF15" s="11"/>
      <c r="AG15" s="35"/>
      <c r="AH15" s="11"/>
      <c r="AI15" s="35"/>
      <c r="AJ15" s="35"/>
      <c r="AK15" s="11"/>
      <c r="AL15" s="11"/>
      <c r="AM15" s="11"/>
      <c r="AN15" s="11"/>
      <c r="AO15" s="11"/>
      <c r="AP15" s="11"/>
      <c r="AQ15" s="11"/>
      <c r="AR15" s="11"/>
    </row>
    <row r="16" spans="1:44" ht="12">
      <c r="A16" s="315" t="s">
        <v>361</v>
      </c>
      <c r="B16" s="344"/>
      <c r="C16" s="11"/>
      <c r="D16" s="11"/>
      <c r="E16" s="11"/>
      <c r="F16" s="11"/>
      <c r="G16" s="11"/>
      <c r="H16" s="11"/>
      <c r="I16" s="11"/>
      <c r="J16" s="11"/>
      <c r="K16" s="11"/>
      <c r="L16" s="11"/>
      <c r="M16" s="344"/>
      <c r="N16" s="11"/>
      <c r="O16" s="11"/>
      <c r="P16" s="11"/>
      <c r="Q16" s="11"/>
      <c r="R16" s="11"/>
      <c r="S16" s="11"/>
      <c r="T16" s="11"/>
      <c r="U16" s="11"/>
      <c r="V16" s="344"/>
      <c r="W16" s="11"/>
      <c r="X16" s="344"/>
      <c r="Y16" s="11"/>
      <c r="Z16" s="11"/>
      <c r="AA16" s="11"/>
      <c r="AB16" s="11"/>
      <c r="AC16" s="11"/>
      <c r="AD16" s="11"/>
      <c r="AE16" s="11"/>
      <c r="AF16" s="11"/>
      <c r="AG16" s="344"/>
      <c r="AH16" s="11"/>
      <c r="AI16" s="344"/>
      <c r="AJ16" s="344"/>
      <c r="AK16" s="11"/>
      <c r="AL16" s="11"/>
      <c r="AM16" s="11"/>
      <c r="AN16" s="11"/>
      <c r="AO16" s="11"/>
      <c r="AP16" s="11"/>
      <c r="AQ16" s="11"/>
      <c r="AR16" s="11"/>
    </row>
    <row r="17" spans="1:54" ht="11.4">
      <c r="A17" s="346"/>
      <c r="B17" s="306" t="s">
        <v>384</v>
      </c>
      <c r="C17" s="256" t="s">
        <v>108</v>
      </c>
      <c r="D17" s="176">
        <v>3909</v>
      </c>
      <c r="E17" s="176"/>
      <c r="F17" s="213">
        <v>69.941161422358661</v>
      </c>
      <c r="G17" s="11"/>
      <c r="H17" s="213">
        <v>3.9140445126630854</v>
      </c>
      <c r="I17" s="213"/>
      <c r="J17" s="213">
        <v>25.581990278843691</v>
      </c>
      <c r="K17" s="213"/>
      <c r="L17" s="213">
        <v>0</v>
      </c>
      <c r="M17" s="176"/>
      <c r="N17" s="256" t="s">
        <v>108</v>
      </c>
      <c r="O17" s="176">
        <v>3897</v>
      </c>
      <c r="P17" s="176"/>
      <c r="Q17" s="213">
        <v>69.617654606107266</v>
      </c>
      <c r="R17" s="11"/>
      <c r="S17" s="213">
        <v>1.2317167051578137</v>
      </c>
      <c r="T17" s="213"/>
      <c r="U17" s="213">
        <v>25.609443161406208</v>
      </c>
      <c r="W17" s="213">
        <v>0</v>
      </c>
      <c r="X17" s="176"/>
      <c r="Y17" s="256" t="s">
        <v>108</v>
      </c>
      <c r="Z17" s="176">
        <v>3897</v>
      </c>
      <c r="AA17" s="176"/>
      <c r="AB17" s="213">
        <v>69.617654606107266</v>
      </c>
      <c r="AC17" s="11"/>
      <c r="AD17" s="213">
        <v>0.2052861175263023</v>
      </c>
      <c r="AE17" s="213"/>
      <c r="AF17" s="213">
        <v>25.866050808314089</v>
      </c>
      <c r="AH17" s="213">
        <v>0</v>
      </c>
      <c r="AI17" s="176"/>
      <c r="AK17" s="256" t="s">
        <v>108</v>
      </c>
      <c r="AL17" s="176">
        <v>3916</v>
      </c>
      <c r="AM17" s="176"/>
      <c r="AN17" s="213">
        <v>69.3</v>
      </c>
      <c r="AO17" s="11"/>
      <c r="AP17" s="213">
        <v>2.9</v>
      </c>
      <c r="AQ17" s="213"/>
      <c r="AR17" s="213">
        <v>24.8</v>
      </c>
      <c r="AS17" s="63"/>
      <c r="AT17" s="63"/>
      <c r="AU17" s="63"/>
      <c r="AV17" s="63"/>
      <c r="AW17" s="63"/>
      <c r="AX17" s="63"/>
      <c r="AY17" s="63"/>
      <c r="AZ17" s="63"/>
      <c r="BA17" s="63"/>
      <c r="BB17" s="63"/>
    </row>
    <row r="18" spans="1:54" ht="11.4">
      <c r="A18" s="346"/>
      <c r="B18" s="306" t="s">
        <v>385</v>
      </c>
      <c r="C18" s="11"/>
      <c r="D18" s="113">
        <v>184</v>
      </c>
      <c r="E18" s="176"/>
      <c r="F18" s="213">
        <v>60.869565217391312</v>
      </c>
      <c r="G18" s="11"/>
      <c r="H18" s="213">
        <v>1.6304347826086956</v>
      </c>
      <c r="I18" s="213"/>
      <c r="J18" s="213">
        <v>22.826086956521738</v>
      </c>
      <c r="K18" s="213"/>
      <c r="L18" s="213">
        <v>0</v>
      </c>
      <c r="M18" s="11"/>
      <c r="N18" s="11"/>
      <c r="O18" s="113">
        <v>183</v>
      </c>
      <c r="P18" s="176"/>
      <c r="Q18" s="213">
        <v>67.213114754098356</v>
      </c>
      <c r="R18" s="11"/>
      <c r="S18" s="213">
        <v>0</v>
      </c>
      <c r="T18" s="213"/>
      <c r="U18" s="213">
        <v>24.143715846994535</v>
      </c>
      <c r="W18" s="213">
        <v>0</v>
      </c>
      <c r="X18" s="11"/>
      <c r="Y18" s="11"/>
      <c r="Z18" s="113">
        <v>186</v>
      </c>
      <c r="AA18" s="176"/>
      <c r="AB18" s="213">
        <v>59.13978494623656</v>
      </c>
      <c r="AC18" s="11"/>
      <c r="AD18" s="213">
        <v>0</v>
      </c>
      <c r="AE18" s="213"/>
      <c r="AF18" s="213">
        <v>26.444086021505377</v>
      </c>
      <c r="AH18" s="213">
        <v>0</v>
      </c>
      <c r="AI18" s="11"/>
      <c r="AK18" s="11"/>
      <c r="AL18" s="113">
        <v>196</v>
      </c>
      <c r="AM18" s="176"/>
      <c r="AN18" s="213">
        <v>57.1</v>
      </c>
      <c r="AO18" s="11"/>
      <c r="AP18" s="213">
        <v>0.5</v>
      </c>
      <c r="AQ18" s="213"/>
      <c r="AR18" s="213">
        <v>24.5</v>
      </c>
      <c r="AS18" s="63"/>
      <c r="AT18" s="63"/>
      <c r="AU18" s="63"/>
      <c r="AV18" s="63"/>
      <c r="AW18" s="63"/>
      <c r="AX18" s="63"/>
      <c r="AY18" s="63"/>
      <c r="AZ18" s="63"/>
      <c r="BA18" s="63"/>
      <c r="BB18" s="63"/>
    </row>
    <row r="19" spans="1:54" ht="11.4">
      <c r="A19" s="346"/>
      <c r="B19" s="306" t="s">
        <v>386</v>
      </c>
      <c r="C19" s="11"/>
      <c r="D19" s="176">
        <v>4093</v>
      </c>
      <c r="E19" s="176"/>
      <c r="F19" s="213">
        <v>69.533349621304666</v>
      </c>
      <c r="G19" s="11"/>
      <c r="H19" s="213">
        <v>3.8113852919618862</v>
      </c>
      <c r="I19" s="213"/>
      <c r="J19" s="213">
        <v>25.458099193745419</v>
      </c>
      <c r="K19" s="213"/>
      <c r="L19" s="213">
        <v>0</v>
      </c>
      <c r="M19" s="11"/>
      <c r="N19" s="11"/>
      <c r="O19" s="176">
        <v>4080</v>
      </c>
      <c r="P19" s="176"/>
      <c r="Q19" s="213">
        <v>69.509803921568619</v>
      </c>
      <c r="R19" s="11"/>
      <c r="S19" s="213">
        <v>1.1764705882352942</v>
      </c>
      <c r="T19" s="213"/>
      <c r="U19" s="213">
        <v>25.53921568627451</v>
      </c>
      <c r="W19" s="213">
        <v>0</v>
      </c>
      <c r="X19" s="11"/>
      <c r="Y19" s="11"/>
      <c r="Z19" s="176">
        <v>4083</v>
      </c>
      <c r="AA19" s="176"/>
      <c r="AB19" s="213">
        <v>69.140337986774441</v>
      </c>
      <c r="AC19" s="11"/>
      <c r="AD19" s="213">
        <v>0.19593436198873376</v>
      </c>
      <c r="AE19" s="213"/>
      <c r="AF19" s="213">
        <v>25.887827577761453</v>
      </c>
      <c r="AH19" s="213">
        <v>0</v>
      </c>
      <c r="AI19" s="11"/>
      <c r="AK19" s="11"/>
      <c r="AL19" s="176">
        <v>4112</v>
      </c>
      <c r="AM19" s="176"/>
      <c r="AN19" s="213">
        <v>68.7</v>
      </c>
      <c r="AO19" s="11"/>
      <c r="AP19" s="213">
        <v>2.7</v>
      </c>
      <c r="AQ19" s="213"/>
      <c r="AR19" s="213">
        <v>24.8</v>
      </c>
      <c r="AS19" s="63"/>
      <c r="AT19" s="63"/>
      <c r="AU19" s="63"/>
      <c r="AV19" s="63"/>
      <c r="AW19" s="63"/>
      <c r="AX19" s="63"/>
      <c r="AY19" s="63"/>
      <c r="AZ19" s="63"/>
      <c r="BA19" s="63"/>
      <c r="BB19" s="63"/>
    </row>
    <row r="20" spans="1:54" ht="11.4">
      <c r="A20" s="346"/>
      <c r="B20" s="306"/>
      <c r="C20" s="11"/>
      <c r="D20" s="176"/>
      <c r="E20" s="176"/>
      <c r="F20" s="213"/>
      <c r="G20" s="11"/>
      <c r="H20" s="213"/>
      <c r="I20" s="213"/>
      <c r="J20" s="213"/>
      <c r="K20" s="213"/>
      <c r="L20" s="213"/>
      <c r="M20" s="11"/>
      <c r="N20" s="11"/>
      <c r="O20" s="176"/>
      <c r="P20" s="176"/>
      <c r="Q20" s="213"/>
      <c r="R20" s="11"/>
      <c r="S20" s="213"/>
      <c r="T20" s="213"/>
      <c r="U20" s="213"/>
      <c r="W20" s="213"/>
      <c r="X20" s="11"/>
      <c r="Y20" s="11"/>
      <c r="Z20" s="176"/>
      <c r="AA20" s="176"/>
      <c r="AB20" s="213"/>
      <c r="AC20" s="11"/>
      <c r="AD20" s="213"/>
      <c r="AE20" s="213"/>
      <c r="AF20" s="213"/>
      <c r="AH20" s="213"/>
      <c r="AI20" s="11"/>
      <c r="AK20" s="11"/>
      <c r="AL20" s="176"/>
      <c r="AM20" s="176"/>
      <c r="AN20" s="213"/>
      <c r="AO20" s="11"/>
      <c r="AP20" s="213"/>
      <c r="AQ20" s="213"/>
      <c r="AR20" s="213"/>
      <c r="AS20" s="63"/>
      <c r="AT20" s="63"/>
      <c r="AU20" s="63"/>
      <c r="AV20" s="63"/>
      <c r="AW20" s="63"/>
      <c r="AX20" s="63"/>
      <c r="AY20" s="63"/>
      <c r="AZ20" s="63"/>
      <c r="BA20" s="63"/>
      <c r="BB20" s="63"/>
    </row>
    <row r="21" spans="1:54" ht="11.4">
      <c r="A21" s="346"/>
      <c r="B21" s="306" t="s">
        <v>367</v>
      </c>
      <c r="C21" s="11"/>
      <c r="D21" s="176">
        <v>1487</v>
      </c>
      <c r="E21" s="176"/>
      <c r="F21" s="213">
        <v>81.909885675857424</v>
      </c>
      <c r="G21" s="11"/>
      <c r="H21" s="213">
        <v>40.247948890383327</v>
      </c>
      <c r="I21" s="213"/>
      <c r="J21" s="213">
        <v>22.999327505043713</v>
      </c>
      <c r="K21" s="213"/>
      <c r="L21" s="213">
        <v>0</v>
      </c>
      <c r="M21" s="11"/>
      <c r="N21" s="11"/>
      <c r="O21" s="176">
        <v>1480</v>
      </c>
      <c r="P21" s="176"/>
      <c r="Q21" s="213">
        <v>56.486486486486484</v>
      </c>
      <c r="R21" s="11"/>
      <c r="S21" s="213">
        <v>12.567567567567567</v>
      </c>
      <c r="T21" s="213"/>
      <c r="U21" s="213">
        <v>23.716216216216214</v>
      </c>
      <c r="W21" s="213">
        <v>0</v>
      </c>
      <c r="X21" s="11"/>
      <c r="Y21" s="11"/>
      <c r="Z21" s="176">
        <v>1468</v>
      </c>
      <c r="AA21" s="176"/>
      <c r="AB21" s="213">
        <v>44.754768392370572</v>
      </c>
      <c r="AC21" s="11"/>
      <c r="AD21" s="213">
        <v>3.4741144414168939</v>
      </c>
      <c r="AE21" s="213"/>
      <c r="AF21" s="213">
        <v>25.2</v>
      </c>
      <c r="AH21" s="213">
        <v>0</v>
      </c>
      <c r="AI21" s="11"/>
      <c r="AK21" s="11"/>
      <c r="AL21" s="176">
        <v>1462</v>
      </c>
      <c r="AM21" s="176"/>
      <c r="AN21" s="213">
        <v>108.6</v>
      </c>
      <c r="AO21" s="11"/>
      <c r="AP21" s="213">
        <v>55.8</v>
      </c>
      <c r="AQ21" s="213"/>
      <c r="AR21" s="213">
        <v>23.3</v>
      </c>
      <c r="AS21" s="63"/>
      <c r="AT21" s="63"/>
      <c r="AU21" s="63"/>
      <c r="AV21" s="63"/>
      <c r="AW21" s="63"/>
      <c r="AX21" s="63"/>
      <c r="AY21" s="63"/>
      <c r="AZ21" s="63"/>
      <c r="BA21" s="63"/>
      <c r="BB21" s="63"/>
    </row>
    <row r="22" spans="1:54" ht="13.2">
      <c r="A22" s="346"/>
      <c r="B22" s="306" t="s">
        <v>387</v>
      </c>
      <c r="C22" s="11"/>
      <c r="D22" s="113">
        <v>583</v>
      </c>
      <c r="E22" s="176"/>
      <c r="F22" s="213">
        <v>63.293310463121784</v>
      </c>
      <c r="G22" s="11"/>
      <c r="H22" s="213">
        <v>7.2041166380789026</v>
      </c>
      <c r="I22" s="213"/>
      <c r="J22" s="213">
        <v>28.130360205831906</v>
      </c>
      <c r="K22" s="213"/>
      <c r="L22" s="213">
        <v>1.2</v>
      </c>
      <c r="M22" s="11"/>
      <c r="N22" s="11"/>
      <c r="O22" s="113">
        <v>583</v>
      </c>
      <c r="P22" s="176"/>
      <c r="Q22" s="213">
        <v>53.859348198970835</v>
      </c>
      <c r="R22" s="11"/>
      <c r="S22" s="213">
        <v>2.9159519725557463</v>
      </c>
      <c r="T22" s="213"/>
      <c r="U22" s="213">
        <v>30.531732418524872</v>
      </c>
      <c r="W22" s="213">
        <v>1.2006861063464835</v>
      </c>
      <c r="X22" s="11"/>
      <c r="Y22" s="11"/>
      <c r="Z22" s="113">
        <v>587</v>
      </c>
      <c r="AA22" s="176"/>
      <c r="AB22" s="213">
        <v>59.795570698466783</v>
      </c>
      <c r="AC22" s="11"/>
      <c r="AD22" s="213">
        <v>-0.85178875638841567</v>
      </c>
      <c r="AE22" s="213"/>
      <c r="AF22" s="213">
        <v>36.1</v>
      </c>
      <c r="AH22" s="213">
        <v>1.2</v>
      </c>
      <c r="AI22" s="11"/>
      <c r="AK22" s="11"/>
      <c r="AL22" s="113">
        <v>590</v>
      </c>
      <c r="AM22" s="176"/>
      <c r="AN22" s="213">
        <v>76.3</v>
      </c>
      <c r="AO22" s="11"/>
      <c r="AP22" s="213">
        <v>13.1</v>
      </c>
      <c r="AQ22" s="213"/>
      <c r="AR22" s="213">
        <v>28.3</v>
      </c>
      <c r="AS22" s="63"/>
      <c r="AT22" s="63"/>
      <c r="AU22" s="63"/>
      <c r="AV22" s="63"/>
      <c r="AW22" s="63"/>
      <c r="AX22" s="63"/>
      <c r="AY22" s="63"/>
      <c r="AZ22" s="63"/>
      <c r="BA22" s="63"/>
      <c r="BB22" s="63"/>
    </row>
    <row r="23" spans="1:54" ht="11.4">
      <c r="A23" s="346"/>
      <c r="B23" s="306"/>
      <c r="C23" s="11"/>
      <c r="D23" s="176"/>
      <c r="E23" s="176"/>
      <c r="F23" s="213"/>
      <c r="G23" s="11"/>
      <c r="H23" s="213"/>
      <c r="I23" s="213"/>
      <c r="J23" s="213"/>
      <c r="K23" s="213"/>
      <c r="L23" s="213"/>
      <c r="M23" s="11"/>
      <c r="N23" s="11"/>
      <c r="O23" s="176"/>
      <c r="P23" s="176"/>
      <c r="Q23" s="213"/>
      <c r="R23" s="11"/>
      <c r="S23" s="213"/>
      <c r="T23" s="213"/>
      <c r="U23" s="213"/>
      <c r="W23" s="213"/>
      <c r="X23" s="11"/>
      <c r="Y23" s="11"/>
      <c r="Z23" s="176"/>
      <c r="AA23" s="176"/>
      <c r="AB23" s="213"/>
      <c r="AC23" s="11"/>
      <c r="AD23" s="213"/>
      <c r="AE23" s="213"/>
      <c r="AF23" s="213"/>
      <c r="AH23" s="213"/>
      <c r="AI23" s="11"/>
      <c r="AK23" s="11"/>
      <c r="AL23" s="176"/>
      <c r="AM23" s="176"/>
      <c r="AN23" s="213"/>
      <c r="AO23" s="11"/>
      <c r="AP23" s="213"/>
      <c r="AQ23" s="213"/>
      <c r="AR23" s="213"/>
      <c r="AS23" s="63"/>
      <c r="AT23" s="63"/>
      <c r="AU23" s="63"/>
      <c r="AV23" s="63"/>
      <c r="AW23" s="63"/>
      <c r="AX23" s="63"/>
      <c r="AY23" s="63"/>
      <c r="AZ23" s="63"/>
      <c r="BA23" s="63"/>
      <c r="BB23" s="63"/>
    </row>
    <row r="24" spans="1:54" ht="11.4">
      <c r="A24" s="346"/>
      <c r="B24" s="306" t="s">
        <v>391</v>
      </c>
      <c r="C24" s="11"/>
      <c r="D24" s="176">
        <v>6163</v>
      </c>
      <c r="E24" s="176"/>
      <c r="F24" s="213">
        <v>71.929255232841143</v>
      </c>
      <c r="G24" s="11"/>
      <c r="H24" s="213">
        <v>12.899561901671264</v>
      </c>
      <c r="I24" s="213"/>
      <c r="J24" s="213">
        <v>25.117637514197632</v>
      </c>
      <c r="K24" s="213"/>
      <c r="L24" s="213">
        <v>0.1</v>
      </c>
      <c r="M24" s="11"/>
      <c r="N24" s="11"/>
      <c r="O24" s="176">
        <v>6143</v>
      </c>
      <c r="P24" s="176"/>
      <c r="Q24" s="213">
        <v>64.886863096207065</v>
      </c>
      <c r="R24" s="11"/>
      <c r="S24" s="213">
        <v>4.0859514895002436</v>
      </c>
      <c r="T24" s="213"/>
      <c r="U24" s="213">
        <v>25.573823864561291</v>
      </c>
      <c r="W24" s="213">
        <v>0.11395083835259645</v>
      </c>
      <c r="X24" s="11"/>
      <c r="Y24" s="11"/>
      <c r="Z24" s="176">
        <v>6138</v>
      </c>
      <c r="AA24" s="176"/>
      <c r="AB24" s="213">
        <v>62.41446725317693</v>
      </c>
      <c r="AC24" s="11"/>
      <c r="AD24" s="213">
        <v>0.87976539589442826</v>
      </c>
      <c r="AE24" s="213"/>
      <c r="AF24" s="213">
        <v>26.737341153470187</v>
      </c>
      <c r="AH24" s="213">
        <v>0.1</v>
      </c>
      <c r="AI24" s="11"/>
      <c r="AK24" s="11"/>
      <c r="AL24" s="176">
        <v>6164</v>
      </c>
      <c r="AM24" s="176"/>
      <c r="AN24" s="213">
        <v>78.900000000000006</v>
      </c>
      <c r="AO24" s="11"/>
      <c r="AP24" s="213">
        <v>16.3</v>
      </c>
      <c r="AQ24" s="213"/>
      <c r="AR24" s="213">
        <v>24.8</v>
      </c>
      <c r="AS24" s="63"/>
      <c r="AT24" s="63"/>
      <c r="AU24" s="63"/>
      <c r="AV24" s="63"/>
      <c r="AW24" s="63"/>
      <c r="AX24" s="63"/>
      <c r="AY24" s="63"/>
      <c r="AZ24" s="63"/>
      <c r="BA24" s="63"/>
      <c r="BB24" s="63"/>
    </row>
    <row r="25" spans="1:54" ht="11.4">
      <c r="A25" s="346"/>
      <c r="B25" s="306"/>
      <c r="C25" s="11"/>
      <c r="D25" s="176"/>
      <c r="E25" s="176"/>
      <c r="F25" s="213"/>
      <c r="G25" s="11"/>
      <c r="H25" s="213"/>
      <c r="I25" s="213"/>
      <c r="J25" s="213"/>
      <c r="K25" s="213"/>
      <c r="L25" s="213"/>
      <c r="M25" s="11"/>
      <c r="N25" s="11"/>
      <c r="O25" s="176"/>
      <c r="P25" s="176"/>
      <c r="Q25" s="213"/>
      <c r="R25" s="11"/>
      <c r="S25" s="213"/>
      <c r="T25" s="213"/>
      <c r="U25" s="213"/>
      <c r="W25" s="213"/>
      <c r="X25" s="11"/>
      <c r="Y25" s="11"/>
      <c r="Z25" s="176"/>
      <c r="AA25" s="176"/>
      <c r="AB25" s="213"/>
      <c r="AC25" s="11"/>
      <c r="AD25" s="213"/>
      <c r="AE25" s="213"/>
      <c r="AF25" s="213"/>
      <c r="AH25" s="213"/>
      <c r="AI25" s="11"/>
      <c r="AK25" s="11"/>
      <c r="AL25" s="176"/>
      <c r="AM25" s="176"/>
      <c r="AN25" s="213"/>
      <c r="AO25" s="11"/>
      <c r="AP25" s="213"/>
      <c r="AQ25" s="213"/>
      <c r="AR25" s="213"/>
      <c r="AS25" s="63"/>
      <c r="AT25" s="63"/>
      <c r="AU25" s="63"/>
      <c r="AV25" s="63"/>
      <c r="AW25" s="63"/>
      <c r="AX25" s="63"/>
      <c r="AY25" s="63"/>
      <c r="AZ25" s="63"/>
      <c r="BA25" s="63"/>
      <c r="BB25" s="63"/>
    </row>
    <row r="26" spans="1:54" ht="12">
      <c r="A26" s="315" t="s">
        <v>369</v>
      </c>
      <c r="B26" s="348"/>
      <c r="C26" s="11"/>
      <c r="D26" s="176"/>
      <c r="E26" s="176"/>
      <c r="F26" s="213"/>
      <c r="G26" s="11"/>
      <c r="H26" s="213"/>
      <c r="I26" s="213"/>
      <c r="J26" s="213"/>
      <c r="K26" s="213"/>
      <c r="L26" s="213"/>
      <c r="M26" s="11"/>
      <c r="N26" s="11"/>
      <c r="O26" s="176"/>
      <c r="P26" s="176"/>
      <c r="Q26" s="213"/>
      <c r="R26" s="11"/>
      <c r="S26" s="213"/>
      <c r="T26" s="213"/>
      <c r="U26" s="213"/>
      <c r="W26" s="213"/>
      <c r="X26" s="11"/>
      <c r="Y26" s="11"/>
      <c r="Z26" s="176"/>
      <c r="AA26" s="176"/>
      <c r="AB26" s="213"/>
      <c r="AC26" s="11"/>
      <c r="AD26" s="213"/>
      <c r="AE26" s="213"/>
      <c r="AF26" s="213"/>
      <c r="AH26" s="213"/>
      <c r="AI26" s="11"/>
      <c r="AK26" s="11"/>
      <c r="AL26" s="176"/>
      <c r="AM26" s="176"/>
      <c r="AN26" s="213"/>
      <c r="AO26" s="11"/>
      <c r="AP26" s="213"/>
      <c r="AQ26" s="213"/>
      <c r="AR26" s="213"/>
      <c r="AS26" s="63"/>
      <c r="AT26" s="63"/>
      <c r="AU26" s="63"/>
      <c r="AV26" s="63"/>
      <c r="AW26" s="63"/>
      <c r="AX26" s="63"/>
      <c r="AY26" s="63"/>
      <c r="AZ26" s="63"/>
      <c r="BA26" s="63"/>
      <c r="BB26" s="63"/>
    </row>
    <row r="27" spans="1:54" ht="11.4">
      <c r="A27" s="346"/>
      <c r="B27" s="306" t="s">
        <v>384</v>
      </c>
      <c r="C27" s="11"/>
      <c r="D27" s="176">
        <v>153</v>
      </c>
      <c r="F27" s="213">
        <v>81.699346405228752</v>
      </c>
      <c r="G27" s="11"/>
      <c r="H27" s="213">
        <v>2.6143790849673203</v>
      </c>
      <c r="I27" s="213"/>
      <c r="J27" s="213">
        <v>27.450980392156865</v>
      </c>
      <c r="K27" s="213"/>
      <c r="L27" s="213">
        <v>0</v>
      </c>
      <c r="M27" s="11"/>
      <c r="N27" s="11"/>
      <c r="O27" s="176">
        <v>151</v>
      </c>
      <c r="Q27" s="213">
        <v>78.145695364238406</v>
      </c>
      <c r="R27" s="35"/>
      <c r="S27" s="213">
        <v>0.66225165562913912</v>
      </c>
      <c r="T27" s="213"/>
      <c r="U27" s="213">
        <v>28.476821192052981</v>
      </c>
      <c r="W27" s="213">
        <v>0</v>
      </c>
      <c r="X27" s="11"/>
      <c r="Y27" s="11"/>
      <c r="Z27" s="176">
        <v>151</v>
      </c>
      <c r="AB27" s="213">
        <v>85.430463576158942</v>
      </c>
      <c r="AC27" s="35"/>
      <c r="AD27" s="213">
        <v>0.66225165562913912</v>
      </c>
      <c r="AE27" s="213"/>
      <c r="AF27" s="213">
        <v>29.23907284768212</v>
      </c>
      <c r="AH27" s="213">
        <v>0</v>
      </c>
      <c r="AI27" s="11"/>
      <c r="AK27" s="11"/>
      <c r="AL27" s="176">
        <v>154</v>
      </c>
      <c r="AN27" s="213">
        <v>87.6</v>
      </c>
      <c r="AO27" s="35"/>
      <c r="AP27" s="231">
        <v>3.2</v>
      </c>
      <c r="AQ27" s="213"/>
      <c r="AR27" s="213">
        <v>28.6</v>
      </c>
      <c r="AS27" s="63"/>
      <c r="AT27" s="63"/>
      <c r="AU27" s="63"/>
      <c r="AV27" s="63"/>
      <c r="AW27" s="63"/>
      <c r="AX27" s="63"/>
      <c r="AY27" s="63"/>
      <c r="AZ27" s="63"/>
      <c r="BA27" s="63"/>
      <c r="BB27" s="63"/>
    </row>
    <row r="28" spans="1:54" ht="11.4">
      <c r="A28" s="346"/>
      <c r="B28" s="306" t="s">
        <v>385</v>
      </c>
      <c r="C28" s="176"/>
      <c r="D28" s="113">
        <v>0</v>
      </c>
      <c r="E28" s="176"/>
      <c r="F28" s="213">
        <v>0</v>
      </c>
      <c r="G28" s="11"/>
      <c r="H28" s="213">
        <v>0</v>
      </c>
      <c r="I28" s="213"/>
      <c r="J28" s="213">
        <v>0</v>
      </c>
      <c r="K28" s="213"/>
      <c r="L28" s="213">
        <v>0</v>
      </c>
      <c r="M28" s="11"/>
      <c r="N28" s="176"/>
      <c r="O28" s="113">
        <v>0</v>
      </c>
      <c r="P28" s="176"/>
      <c r="Q28" s="213">
        <v>0</v>
      </c>
      <c r="R28" s="35"/>
      <c r="S28" s="213">
        <v>0</v>
      </c>
      <c r="T28" s="213"/>
      <c r="U28" s="213">
        <v>0</v>
      </c>
      <c r="W28" s="213">
        <v>0</v>
      </c>
      <c r="X28" s="11"/>
      <c r="Y28" s="176"/>
      <c r="Z28" s="113">
        <v>0</v>
      </c>
      <c r="AA28" s="176"/>
      <c r="AB28" s="213">
        <v>0</v>
      </c>
      <c r="AC28" s="35"/>
      <c r="AD28" s="213">
        <v>0</v>
      </c>
      <c r="AE28" s="213"/>
      <c r="AF28" s="213">
        <v>0</v>
      </c>
      <c r="AH28" s="213">
        <v>0</v>
      </c>
      <c r="AI28" s="11"/>
      <c r="AK28" s="176"/>
      <c r="AL28" s="113">
        <v>0</v>
      </c>
      <c r="AM28" s="176"/>
      <c r="AN28" s="213">
        <v>0</v>
      </c>
      <c r="AO28" s="35"/>
      <c r="AP28" s="231">
        <v>0</v>
      </c>
      <c r="AQ28" s="213"/>
      <c r="AR28" s="213">
        <v>0</v>
      </c>
      <c r="AS28" s="63"/>
      <c r="AT28" s="63"/>
      <c r="AU28" s="63"/>
      <c r="AV28" s="63"/>
      <c r="AW28" s="63"/>
      <c r="AX28" s="63"/>
      <c r="AY28" s="63"/>
      <c r="AZ28" s="63"/>
      <c r="BA28" s="63"/>
      <c r="BB28" s="63"/>
    </row>
    <row r="29" spans="1:54" ht="11.4">
      <c r="A29" s="346"/>
      <c r="B29" s="306" t="s">
        <v>386</v>
      </c>
      <c r="C29" s="176"/>
      <c r="D29" s="176">
        <v>153</v>
      </c>
      <c r="E29" s="176"/>
      <c r="F29" s="213">
        <v>81.699346405228752</v>
      </c>
      <c r="G29" s="11"/>
      <c r="H29" s="213">
        <v>2.6143790849673203</v>
      </c>
      <c r="I29" s="213"/>
      <c r="J29" s="213">
        <v>27.450980392156865</v>
      </c>
      <c r="K29" s="213"/>
      <c r="L29" s="213">
        <v>0</v>
      </c>
      <c r="M29" s="11"/>
      <c r="N29" s="176"/>
      <c r="O29" s="176">
        <v>151</v>
      </c>
      <c r="P29" s="176"/>
      <c r="Q29" s="213">
        <v>78.145695364238406</v>
      </c>
      <c r="R29" s="35"/>
      <c r="S29" s="213">
        <v>0.66225165562913912</v>
      </c>
      <c r="T29" s="213"/>
      <c r="U29" s="213">
        <v>28.476821192052981</v>
      </c>
      <c r="W29" s="213">
        <v>0</v>
      </c>
      <c r="X29" s="11"/>
      <c r="Y29" s="176"/>
      <c r="Z29" s="176">
        <v>151</v>
      </c>
      <c r="AA29" s="176"/>
      <c r="AB29" s="213">
        <v>85.430463576158942</v>
      </c>
      <c r="AC29" s="35"/>
      <c r="AD29" s="213">
        <v>0.66225165562913912</v>
      </c>
      <c r="AE29" s="213"/>
      <c r="AF29" s="213">
        <v>29.23907284768212</v>
      </c>
      <c r="AH29" s="213">
        <v>0</v>
      </c>
      <c r="AI29" s="11"/>
      <c r="AK29" s="176"/>
      <c r="AL29" s="176">
        <v>154</v>
      </c>
      <c r="AM29" s="176"/>
      <c r="AN29" s="213">
        <v>88.3</v>
      </c>
      <c r="AO29" s="35"/>
      <c r="AP29" s="231">
        <v>3.2</v>
      </c>
      <c r="AQ29" s="213"/>
      <c r="AR29" s="213">
        <v>29.2</v>
      </c>
      <c r="AS29" s="63"/>
      <c r="AT29" s="63"/>
      <c r="AU29" s="63"/>
      <c r="AV29" s="63"/>
      <c r="AW29" s="63"/>
      <c r="AX29" s="63"/>
      <c r="AY29" s="63"/>
      <c r="AZ29" s="63"/>
      <c r="BA29" s="63"/>
      <c r="BB29" s="63"/>
    </row>
    <row r="30" spans="1:54" ht="11.4">
      <c r="A30" s="346"/>
      <c r="B30" s="306"/>
      <c r="C30" s="176"/>
      <c r="D30" s="176"/>
      <c r="E30" s="176"/>
      <c r="F30" s="213"/>
      <c r="G30" s="11"/>
      <c r="H30" s="213"/>
      <c r="I30" s="213"/>
      <c r="J30" s="213"/>
      <c r="K30" s="213"/>
      <c r="L30" s="213"/>
      <c r="M30" s="11"/>
      <c r="N30" s="176"/>
      <c r="O30" s="176"/>
      <c r="P30" s="176"/>
      <c r="Q30" s="213"/>
      <c r="R30" s="35"/>
      <c r="S30" s="213"/>
      <c r="T30" s="213"/>
      <c r="U30" s="213"/>
      <c r="W30" s="213"/>
      <c r="X30" s="11"/>
      <c r="Y30" s="176"/>
      <c r="Z30" s="176"/>
      <c r="AA30" s="176"/>
      <c r="AB30" s="213"/>
      <c r="AC30" s="35"/>
      <c r="AD30" s="213"/>
      <c r="AE30" s="213"/>
      <c r="AF30" s="213"/>
      <c r="AH30" s="213"/>
      <c r="AI30" s="11"/>
      <c r="AK30" s="176"/>
      <c r="AL30" s="176"/>
      <c r="AM30" s="176"/>
      <c r="AN30" s="213"/>
      <c r="AO30" s="35"/>
      <c r="AP30" s="213"/>
      <c r="AQ30" s="213"/>
      <c r="AR30" s="213"/>
      <c r="AS30" s="63"/>
      <c r="AT30" s="63"/>
      <c r="AU30" s="63"/>
      <c r="AV30" s="63"/>
      <c r="AW30" s="63"/>
      <c r="AX30" s="63"/>
      <c r="AY30" s="63"/>
      <c r="AZ30" s="63"/>
      <c r="BA30" s="63"/>
      <c r="BB30" s="63"/>
    </row>
    <row r="31" spans="1:54" ht="11.4">
      <c r="A31" s="346"/>
      <c r="B31" s="306" t="s">
        <v>367</v>
      </c>
      <c r="C31" s="11"/>
      <c r="D31" s="176">
        <v>93</v>
      </c>
      <c r="E31" s="176"/>
      <c r="F31" s="213">
        <v>66.666666666666657</v>
      </c>
      <c r="G31" s="11"/>
      <c r="H31" s="213">
        <v>15.053763440860216</v>
      </c>
      <c r="I31" s="213"/>
      <c r="J31" s="213">
        <v>30.107526881720432</v>
      </c>
      <c r="K31" s="213"/>
      <c r="L31" s="213">
        <v>0</v>
      </c>
      <c r="M31" s="11"/>
      <c r="N31" s="11"/>
      <c r="O31" s="176">
        <v>92</v>
      </c>
      <c r="P31" s="176"/>
      <c r="Q31" s="213">
        <v>55.434782608695656</v>
      </c>
      <c r="R31" s="35"/>
      <c r="S31" s="213">
        <v>6.5217391304347823</v>
      </c>
      <c r="T31" s="213"/>
      <c r="U31" s="213">
        <v>30.534782608695657</v>
      </c>
      <c r="W31" s="213">
        <v>0</v>
      </c>
      <c r="X31" s="11"/>
      <c r="Y31" s="11"/>
      <c r="Z31" s="176">
        <v>92</v>
      </c>
      <c r="AA31" s="176"/>
      <c r="AB31" s="213">
        <v>60.869565217391312</v>
      </c>
      <c r="AC31" s="35"/>
      <c r="AD31" s="213">
        <v>10.869565217391305</v>
      </c>
      <c r="AE31" s="213"/>
      <c r="AF31" s="213">
        <v>31.521739130434785</v>
      </c>
      <c r="AH31" s="213">
        <v>0</v>
      </c>
      <c r="AI31" s="11"/>
      <c r="AK31" s="11"/>
      <c r="AL31" s="176">
        <v>91</v>
      </c>
      <c r="AM31" s="176"/>
      <c r="AN31" s="213">
        <v>119.8</v>
      </c>
      <c r="AO31" s="35"/>
      <c r="AP31" s="213">
        <v>70.3</v>
      </c>
      <c r="AQ31" s="213"/>
      <c r="AR31" s="213">
        <v>30.7</v>
      </c>
      <c r="AS31" s="63"/>
      <c r="AT31" s="63"/>
      <c r="AU31" s="63"/>
      <c r="AV31" s="63"/>
      <c r="AW31" s="63"/>
      <c r="AX31" s="63"/>
      <c r="AY31" s="63"/>
      <c r="AZ31" s="63"/>
      <c r="BA31" s="63"/>
      <c r="BB31" s="63"/>
    </row>
    <row r="32" spans="1:54" ht="13.2">
      <c r="A32" s="346"/>
      <c r="B32" s="306" t="s">
        <v>387</v>
      </c>
      <c r="C32" s="11"/>
      <c r="D32" s="113">
        <v>23</v>
      </c>
      <c r="E32" s="176"/>
      <c r="F32" s="213">
        <v>43.478260869565219</v>
      </c>
      <c r="G32" s="11"/>
      <c r="H32" s="213">
        <v>0</v>
      </c>
      <c r="I32" s="213"/>
      <c r="J32" s="213">
        <v>30.434782608695656</v>
      </c>
      <c r="K32" s="213"/>
      <c r="L32" s="213">
        <v>0</v>
      </c>
      <c r="M32" s="11"/>
      <c r="N32" s="11"/>
      <c r="O32" s="113">
        <v>23</v>
      </c>
      <c r="P32" s="176"/>
      <c r="Q32" s="213">
        <v>86.956521739130437</v>
      </c>
      <c r="R32" s="35"/>
      <c r="S32" s="213">
        <v>0</v>
      </c>
      <c r="T32" s="213"/>
      <c r="U32" s="213">
        <v>21.739130434782609</v>
      </c>
      <c r="W32" s="213">
        <v>0</v>
      </c>
      <c r="X32" s="11"/>
      <c r="Y32" s="11"/>
      <c r="Z32" s="113">
        <v>22</v>
      </c>
      <c r="AA32" s="176"/>
      <c r="AB32" s="213">
        <v>100</v>
      </c>
      <c r="AC32" s="35"/>
      <c r="AD32" s="213">
        <v>4.5454545454545459</v>
      </c>
      <c r="AE32" s="213"/>
      <c r="AF32" s="213">
        <v>22.727272727272727</v>
      </c>
      <c r="AH32" s="213">
        <v>0</v>
      </c>
      <c r="AI32" s="11"/>
      <c r="AK32" s="11"/>
      <c r="AL32" s="113">
        <v>23</v>
      </c>
      <c r="AM32" s="176"/>
      <c r="AN32" s="213">
        <v>65.2</v>
      </c>
      <c r="AO32" s="35"/>
      <c r="AP32" s="213">
        <v>8.6999999999999993</v>
      </c>
      <c r="AQ32" s="213"/>
      <c r="AR32" s="213">
        <v>26.1</v>
      </c>
      <c r="AS32" s="63"/>
      <c r="AT32" s="63"/>
      <c r="AU32" s="63"/>
      <c r="AV32" s="63"/>
      <c r="AW32" s="63"/>
      <c r="AX32" s="63"/>
      <c r="AY32" s="63"/>
      <c r="AZ32" s="63"/>
      <c r="BA32" s="63"/>
      <c r="BB32" s="63"/>
    </row>
    <row r="33" spans="1:54" ht="11.4">
      <c r="A33" s="346"/>
      <c r="B33" s="306"/>
      <c r="C33" s="11"/>
      <c r="D33" s="176"/>
      <c r="E33" s="176"/>
      <c r="F33" s="213"/>
      <c r="G33" s="11"/>
      <c r="H33" s="213"/>
      <c r="I33" s="213"/>
      <c r="J33" s="213"/>
      <c r="K33" s="213"/>
      <c r="L33" s="213"/>
      <c r="M33" s="11"/>
      <c r="N33" s="11"/>
      <c r="O33" s="176"/>
      <c r="P33" s="176"/>
      <c r="Q33" s="213"/>
      <c r="R33" s="35"/>
      <c r="S33" s="213"/>
      <c r="T33" s="213"/>
      <c r="U33" s="213"/>
      <c r="W33" s="213"/>
      <c r="X33" s="11"/>
      <c r="Y33" s="11"/>
      <c r="Z33" s="176"/>
      <c r="AA33" s="176"/>
      <c r="AB33" s="213"/>
      <c r="AC33" s="35"/>
      <c r="AD33" s="213"/>
      <c r="AE33" s="213"/>
      <c r="AF33" s="213"/>
      <c r="AH33" s="213"/>
      <c r="AI33" s="11"/>
      <c r="AK33" s="11"/>
      <c r="AL33" s="176"/>
      <c r="AM33" s="176"/>
      <c r="AN33" s="213"/>
      <c r="AO33" s="35"/>
      <c r="AP33" s="213"/>
      <c r="AQ33" s="213"/>
      <c r="AR33" s="213"/>
      <c r="AS33" s="63"/>
      <c r="AT33" s="63"/>
      <c r="AU33" s="63"/>
      <c r="AV33" s="63"/>
      <c r="AW33" s="63"/>
      <c r="AX33" s="63"/>
      <c r="AY33" s="63"/>
      <c r="AZ33" s="63"/>
      <c r="BA33" s="63"/>
      <c r="BB33" s="63"/>
    </row>
    <row r="34" spans="1:54" ht="11.4">
      <c r="A34" s="346"/>
      <c r="B34" s="306" t="s">
        <v>389</v>
      </c>
      <c r="C34" s="11"/>
      <c r="D34" s="176">
        <v>269</v>
      </c>
      <c r="E34" s="176"/>
      <c r="F34" s="213">
        <v>73.334200743494421</v>
      </c>
      <c r="G34" s="11"/>
      <c r="H34" s="213">
        <v>6.6914498141263934</v>
      </c>
      <c r="I34" s="213"/>
      <c r="J34" s="213">
        <v>28.624535315985128</v>
      </c>
      <c r="K34" s="213"/>
      <c r="L34" s="213">
        <v>0</v>
      </c>
      <c r="M34" s="11"/>
      <c r="N34" s="11"/>
      <c r="O34" s="176">
        <v>266</v>
      </c>
      <c r="P34" s="176"/>
      <c r="Q34" s="213">
        <v>70.952631578947376</v>
      </c>
      <c r="R34" s="35"/>
      <c r="S34" s="213">
        <v>2.6315789473684208</v>
      </c>
      <c r="T34" s="213"/>
      <c r="U34" s="213">
        <v>28.571428571428569</v>
      </c>
      <c r="W34" s="213">
        <v>0</v>
      </c>
      <c r="X34" s="11"/>
      <c r="Y34" s="11"/>
      <c r="Z34" s="176">
        <v>265</v>
      </c>
      <c r="AA34" s="176"/>
      <c r="AB34" s="213">
        <v>78.113207547169822</v>
      </c>
      <c r="AC34" s="35"/>
      <c r="AD34" s="213">
        <v>4.5283018867924527</v>
      </c>
      <c r="AE34" s="213"/>
      <c r="AF34" s="213">
        <v>29.433962264150942</v>
      </c>
      <c r="AH34" s="213">
        <v>0</v>
      </c>
      <c r="AI34" s="11"/>
      <c r="AK34" s="11"/>
      <c r="AL34" s="176">
        <v>268</v>
      </c>
      <c r="AM34" s="176"/>
      <c r="AN34" s="213">
        <v>97</v>
      </c>
      <c r="AO34" s="35"/>
      <c r="AP34" s="213">
        <v>26.5</v>
      </c>
      <c r="AQ34" s="213"/>
      <c r="AR34" s="213">
        <v>29.5</v>
      </c>
      <c r="AS34" s="63"/>
      <c r="AT34" s="63"/>
      <c r="AU34" s="63"/>
      <c r="AV34" s="63"/>
      <c r="AW34" s="63"/>
      <c r="AX34" s="63"/>
      <c r="AY34" s="63"/>
      <c r="AZ34" s="63"/>
      <c r="BA34" s="63"/>
      <c r="BB34" s="63"/>
    </row>
    <row r="35" spans="1:54" ht="11.4">
      <c r="A35" s="346"/>
      <c r="B35" s="306"/>
      <c r="C35" s="11"/>
      <c r="D35" s="176"/>
      <c r="E35" s="176"/>
      <c r="F35" s="213"/>
      <c r="G35" s="11"/>
      <c r="H35" s="213"/>
      <c r="I35" s="213"/>
      <c r="J35" s="213"/>
      <c r="K35" s="213"/>
      <c r="L35" s="213"/>
      <c r="M35" s="11"/>
      <c r="N35" s="11"/>
      <c r="O35" s="176"/>
      <c r="P35" s="176"/>
      <c r="Q35" s="213"/>
      <c r="R35" s="35"/>
      <c r="S35" s="213"/>
      <c r="T35" s="213"/>
      <c r="U35" s="213"/>
      <c r="W35" s="213"/>
      <c r="X35" s="11"/>
      <c r="Y35" s="11"/>
      <c r="Z35" s="176"/>
      <c r="AA35" s="176"/>
      <c r="AB35" s="213"/>
      <c r="AC35" s="35"/>
      <c r="AD35" s="213"/>
      <c r="AE35" s="213"/>
      <c r="AF35" s="213"/>
      <c r="AH35" s="213"/>
      <c r="AI35" s="11"/>
      <c r="AK35" s="11"/>
      <c r="AL35" s="176"/>
      <c r="AM35" s="176"/>
      <c r="AN35" s="213"/>
      <c r="AO35" s="35"/>
      <c r="AP35" s="213"/>
      <c r="AQ35" s="213"/>
      <c r="AR35" s="213"/>
      <c r="AS35" s="63"/>
      <c r="AT35" s="63"/>
      <c r="AU35" s="63"/>
      <c r="AV35" s="63"/>
      <c r="AW35" s="63"/>
      <c r="AX35" s="63"/>
      <c r="AY35" s="63"/>
      <c r="AZ35" s="63"/>
      <c r="BA35" s="63"/>
      <c r="BB35" s="63"/>
    </row>
    <row r="36" spans="1:54" ht="12">
      <c r="A36" s="315" t="s">
        <v>428</v>
      </c>
      <c r="B36" s="306"/>
      <c r="C36" s="11"/>
      <c r="D36" s="176"/>
      <c r="E36" s="176"/>
      <c r="F36" s="213"/>
      <c r="G36" s="11"/>
      <c r="H36" s="213"/>
      <c r="I36" s="213"/>
      <c r="J36" s="213"/>
      <c r="K36" s="213"/>
      <c r="L36" s="213"/>
      <c r="M36" s="11"/>
      <c r="N36" s="11"/>
      <c r="O36" s="176"/>
      <c r="P36" s="176"/>
      <c r="Q36" s="213"/>
      <c r="R36" s="35"/>
      <c r="S36" s="213"/>
      <c r="T36" s="213"/>
      <c r="U36" s="213"/>
      <c r="W36" s="213"/>
      <c r="X36" s="11"/>
      <c r="Y36" s="11"/>
      <c r="Z36" s="176"/>
      <c r="AA36" s="176"/>
      <c r="AB36" s="213"/>
      <c r="AC36" s="35"/>
      <c r="AD36" s="213"/>
      <c r="AE36" s="213"/>
      <c r="AF36" s="213"/>
      <c r="AH36" s="213"/>
      <c r="AI36" s="11"/>
      <c r="AK36" s="11"/>
      <c r="AL36" s="176"/>
      <c r="AM36" s="176"/>
      <c r="AN36" s="213"/>
      <c r="AO36" s="35"/>
      <c r="AP36" s="213"/>
      <c r="AQ36" s="213"/>
      <c r="AR36" s="213"/>
      <c r="AS36" s="63"/>
      <c r="AT36" s="63"/>
      <c r="AU36" s="63"/>
      <c r="AV36" s="63"/>
      <c r="AW36" s="63"/>
      <c r="AX36" s="63"/>
      <c r="AY36" s="63"/>
      <c r="AZ36" s="63"/>
      <c r="BA36" s="63"/>
      <c r="BB36" s="63"/>
    </row>
    <row r="37" spans="1:54" ht="12">
      <c r="A37" s="315"/>
      <c r="B37" s="306" t="s">
        <v>372</v>
      </c>
      <c r="C37" s="11"/>
      <c r="D37" s="113">
        <v>234</v>
      </c>
      <c r="E37" s="176"/>
      <c r="F37" s="213">
        <v>76.068376068376068</v>
      </c>
      <c r="G37" s="11"/>
      <c r="H37" s="213">
        <v>2.5641025641025639</v>
      </c>
      <c r="I37" s="213"/>
      <c r="J37" s="213">
        <v>40.598290598290596</v>
      </c>
      <c r="K37" s="213"/>
      <c r="L37" s="213">
        <v>8.1</v>
      </c>
      <c r="M37" s="11"/>
      <c r="N37" s="11"/>
      <c r="O37" s="113">
        <v>221</v>
      </c>
      <c r="P37" s="176"/>
      <c r="Q37" s="213">
        <v>72.750678733031677</v>
      </c>
      <c r="R37" s="35"/>
      <c r="S37" s="213">
        <v>0.35248868778280551</v>
      </c>
      <c r="T37" s="213"/>
      <c r="U37" s="213">
        <v>54.751131221719461</v>
      </c>
      <c r="W37" s="213">
        <v>18.099547511312217</v>
      </c>
      <c r="X37" s="11"/>
      <c r="Y37" s="11"/>
      <c r="Z37" s="113">
        <v>201</v>
      </c>
      <c r="AA37" s="176"/>
      <c r="AB37" s="213">
        <v>78.109452736318403</v>
      </c>
      <c r="AC37" s="35"/>
      <c r="AD37" s="213">
        <v>0</v>
      </c>
      <c r="AE37" s="213"/>
      <c r="AF37" s="213">
        <v>43.8</v>
      </c>
      <c r="AH37" s="213">
        <v>20.9</v>
      </c>
      <c r="AI37" s="11"/>
      <c r="AK37" s="11"/>
      <c r="AL37" s="113">
        <v>0</v>
      </c>
      <c r="AM37" s="176"/>
      <c r="AN37" s="213">
        <v>0</v>
      </c>
      <c r="AO37" s="35"/>
      <c r="AP37" s="213">
        <v>0</v>
      </c>
      <c r="AQ37" s="213"/>
      <c r="AR37" s="213">
        <v>0</v>
      </c>
      <c r="AS37" s="63"/>
      <c r="AT37" s="63"/>
      <c r="AU37" s="63"/>
      <c r="AV37" s="63"/>
      <c r="AW37" s="63"/>
      <c r="AX37" s="63"/>
      <c r="AY37" s="63"/>
      <c r="AZ37" s="63"/>
      <c r="BA37" s="63"/>
      <c r="BB37" s="63"/>
    </row>
    <row r="38" spans="1:54" ht="12">
      <c r="A38" s="315"/>
      <c r="B38" s="306"/>
      <c r="C38" s="11"/>
      <c r="D38" s="176"/>
      <c r="E38" s="176"/>
      <c r="F38" s="213"/>
      <c r="G38" s="11"/>
      <c r="H38" s="213"/>
      <c r="I38" s="213"/>
      <c r="J38" s="213"/>
      <c r="K38" s="213"/>
      <c r="L38" s="213"/>
      <c r="M38" s="11"/>
      <c r="N38" s="11"/>
      <c r="O38" s="176"/>
      <c r="P38" s="176"/>
      <c r="Q38" s="213"/>
      <c r="R38" s="35"/>
      <c r="S38" s="213"/>
      <c r="T38" s="213"/>
      <c r="U38" s="213"/>
      <c r="W38" s="213"/>
      <c r="X38" s="11"/>
      <c r="Y38" s="11"/>
      <c r="Z38" s="176"/>
      <c r="AA38" s="176"/>
      <c r="AB38" s="213"/>
      <c r="AC38" s="35"/>
      <c r="AD38" s="213"/>
      <c r="AE38" s="213"/>
      <c r="AF38" s="213"/>
      <c r="AH38" s="213"/>
      <c r="AI38" s="11"/>
      <c r="AK38" s="11"/>
      <c r="AL38" s="176"/>
      <c r="AM38" s="176"/>
      <c r="AN38" s="213"/>
      <c r="AO38" s="35"/>
      <c r="AP38" s="213"/>
      <c r="AQ38" s="213"/>
      <c r="AR38" s="213"/>
      <c r="AS38" s="63"/>
      <c r="AT38" s="63"/>
      <c r="AU38" s="63"/>
      <c r="AV38" s="63"/>
      <c r="AW38" s="63"/>
      <c r="AX38" s="63"/>
      <c r="AY38" s="63"/>
      <c r="AZ38" s="63"/>
      <c r="BA38" s="63"/>
      <c r="BB38" s="63"/>
    </row>
    <row r="39" spans="1:54" ht="12.6" thickBot="1">
      <c r="A39" s="315" t="s">
        <v>696</v>
      </c>
      <c r="B39" s="348"/>
      <c r="C39" s="256" t="s">
        <v>108</v>
      </c>
      <c r="D39" s="114">
        <v>6666</v>
      </c>
      <c r="E39" s="176"/>
      <c r="F39" s="213">
        <v>72.12721272127213</v>
      </c>
      <c r="G39" s="11"/>
      <c r="H39" s="213">
        <v>12.286228622862286</v>
      </c>
      <c r="I39" s="213"/>
      <c r="J39" s="213">
        <v>25.802580258025802</v>
      </c>
      <c r="K39" s="213"/>
      <c r="L39" s="213">
        <v>0.4</v>
      </c>
      <c r="M39" s="11"/>
      <c r="N39" s="256" t="s">
        <v>108</v>
      </c>
      <c r="O39" s="114">
        <v>6630</v>
      </c>
      <c r="P39" s="176"/>
      <c r="Q39" s="213">
        <v>65.399698340874806</v>
      </c>
      <c r="R39" s="35"/>
      <c r="S39" s="213">
        <v>3.9064856711915534</v>
      </c>
      <c r="T39" s="213"/>
      <c r="U39" s="213">
        <v>26.666666666666668</v>
      </c>
      <c r="W39" s="213">
        <v>0.70889894419306188</v>
      </c>
      <c r="X39" s="11"/>
      <c r="Y39" s="256" t="s">
        <v>108</v>
      </c>
      <c r="Z39" s="114">
        <v>6604</v>
      </c>
      <c r="AA39" s="176"/>
      <c r="AB39" s="213">
        <v>63.522107813446397</v>
      </c>
      <c r="AC39" s="35"/>
      <c r="AD39" s="213">
        <v>0.99939430648092065</v>
      </c>
      <c r="AE39" s="213"/>
      <c r="AF39" s="213">
        <v>27.4</v>
      </c>
      <c r="AH39" s="213">
        <v>0.7</v>
      </c>
      <c r="AI39" s="11"/>
      <c r="AK39" s="256" t="s">
        <v>108</v>
      </c>
      <c r="AL39" s="114">
        <v>6432</v>
      </c>
      <c r="AM39" s="176"/>
      <c r="AN39" s="213">
        <v>79.599999999999994</v>
      </c>
      <c r="AO39" s="35"/>
      <c r="AP39" s="213">
        <v>16.7</v>
      </c>
      <c r="AQ39" s="213"/>
      <c r="AR39" s="213">
        <v>25</v>
      </c>
      <c r="AS39" s="63"/>
      <c r="AT39" s="63"/>
      <c r="AU39" s="63"/>
      <c r="AV39" s="63"/>
      <c r="AW39" s="63"/>
      <c r="AX39" s="63"/>
      <c r="AY39" s="63"/>
      <c r="AZ39" s="63"/>
      <c r="BA39" s="63"/>
      <c r="BB39" s="63"/>
    </row>
    <row r="40" spans="1:54" ht="12" thickTop="1">
      <c r="A40" s="346"/>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c r="AA40" s="348"/>
      <c r="AB40" s="348"/>
      <c r="AC40" s="348"/>
      <c r="AD40" s="348"/>
      <c r="AE40" s="348"/>
      <c r="AF40" s="348"/>
      <c r="AG40" s="348"/>
      <c r="AH40" s="348"/>
      <c r="AI40" s="348"/>
      <c r="AJ40" s="348"/>
      <c r="AK40" s="348"/>
    </row>
    <row r="41" spans="1:54" ht="11.4">
      <c r="A41" s="346"/>
      <c r="B41" s="348"/>
      <c r="C41" s="348"/>
      <c r="D41" s="348"/>
      <c r="E41" s="348"/>
      <c r="F41" s="348"/>
      <c r="G41" s="348"/>
      <c r="H41" s="348"/>
      <c r="I41" s="348"/>
      <c r="J41" s="348"/>
      <c r="K41" s="348"/>
      <c r="L41" s="348"/>
      <c r="M41" s="348"/>
      <c r="N41" s="348"/>
      <c r="O41" s="348"/>
      <c r="P41" s="348"/>
      <c r="Q41" s="348"/>
      <c r="R41" s="348"/>
      <c r="S41" s="348"/>
      <c r="T41" s="348"/>
      <c r="U41" s="348"/>
      <c r="V41" s="348"/>
      <c r="W41" s="348"/>
      <c r="X41" s="348"/>
      <c r="Y41" s="348"/>
      <c r="Z41" s="348"/>
      <c r="AA41" s="348"/>
      <c r="AB41" s="348"/>
      <c r="AC41" s="348"/>
      <c r="AD41" s="348"/>
      <c r="AE41" s="348"/>
      <c r="AF41" s="348"/>
      <c r="AG41" s="348"/>
      <c r="AH41" s="348"/>
      <c r="AI41" s="348"/>
      <c r="AJ41" s="348"/>
      <c r="AK41" s="348"/>
      <c r="AL41" s="348"/>
      <c r="AM41" s="348"/>
      <c r="AN41" s="348"/>
      <c r="AO41" s="348"/>
      <c r="AP41" s="348"/>
      <c r="AQ41" s="348"/>
      <c r="AR41" s="348"/>
    </row>
    <row r="42" spans="1:54" s="65" customFormat="1" ht="11.4">
      <c r="A42" s="903"/>
      <c r="B42" s="353"/>
      <c r="D42" s="994" t="s">
        <v>396</v>
      </c>
      <c r="E42" s="994"/>
      <c r="F42" s="994"/>
      <c r="G42" s="994"/>
      <c r="H42" s="994"/>
      <c r="I42" s="994"/>
      <c r="J42" s="994"/>
      <c r="K42" s="348"/>
      <c r="L42" s="348"/>
      <c r="M42" s="353"/>
      <c r="O42" s="994" t="s">
        <v>396</v>
      </c>
      <c r="P42" s="994"/>
      <c r="Q42" s="994"/>
      <c r="R42" s="994"/>
      <c r="S42" s="994"/>
      <c r="T42" s="994"/>
      <c r="U42" s="994"/>
      <c r="V42" s="353"/>
      <c r="W42" s="348"/>
      <c r="X42" s="353"/>
      <c r="Z42" s="994" t="s">
        <v>396</v>
      </c>
      <c r="AA42" s="994"/>
      <c r="AB42" s="994"/>
      <c r="AC42" s="994"/>
      <c r="AD42" s="994"/>
      <c r="AE42" s="994"/>
      <c r="AF42" s="994"/>
      <c r="AG42" s="353"/>
      <c r="AH42" s="348"/>
      <c r="AI42" s="353"/>
      <c r="AJ42" s="353"/>
      <c r="AL42" s="994" t="s">
        <v>396</v>
      </c>
      <c r="AM42" s="994"/>
      <c r="AN42" s="994"/>
      <c r="AO42" s="994"/>
      <c r="AP42" s="994"/>
      <c r="AQ42" s="994"/>
      <c r="AR42" s="994"/>
    </row>
    <row r="43" spans="1:54" s="65" customFormat="1" ht="11.4">
      <c r="A43" s="903"/>
      <c r="B43" s="353"/>
      <c r="D43" s="1000" t="s">
        <v>267</v>
      </c>
      <c r="E43" s="1000"/>
      <c r="F43" s="1000"/>
      <c r="G43" s="1000"/>
      <c r="H43" s="1000"/>
      <c r="I43" s="1000"/>
      <c r="J43" s="1000"/>
      <c r="K43" s="348"/>
      <c r="L43" s="348"/>
      <c r="M43" s="353"/>
      <c r="O43" s="1000" t="s">
        <v>399</v>
      </c>
      <c r="P43" s="1000"/>
      <c r="Q43" s="1000"/>
      <c r="R43" s="1000"/>
      <c r="S43" s="1000"/>
      <c r="T43" s="1000"/>
      <c r="U43" s="1000"/>
      <c r="V43" s="353"/>
      <c r="W43" s="348"/>
      <c r="X43" s="353"/>
      <c r="Z43" s="1000" t="s">
        <v>408</v>
      </c>
      <c r="AA43" s="1000"/>
      <c r="AB43" s="1000"/>
      <c r="AC43" s="1000"/>
      <c r="AD43" s="1000"/>
      <c r="AE43" s="1000"/>
      <c r="AF43" s="1000"/>
      <c r="AG43" s="353"/>
      <c r="AH43" s="348"/>
      <c r="AI43" s="353"/>
      <c r="AJ43" s="353"/>
      <c r="AL43" s="1000" t="s">
        <v>409</v>
      </c>
      <c r="AM43" s="1000"/>
      <c r="AN43" s="1000"/>
      <c r="AO43" s="1000"/>
      <c r="AP43" s="1000"/>
      <c r="AQ43" s="1000"/>
      <c r="AR43" s="1000"/>
    </row>
    <row r="44" spans="1:54" s="65" customFormat="1" ht="11.4">
      <c r="A44" s="903"/>
      <c r="B44" s="353"/>
      <c r="D44" s="492"/>
      <c r="E44" s="492"/>
      <c r="F44" s="492"/>
      <c r="G44" s="492"/>
      <c r="H44" s="492"/>
      <c r="I44" s="492"/>
      <c r="J44" s="492"/>
      <c r="K44" s="348"/>
      <c r="L44" s="348"/>
      <c r="M44" s="353"/>
      <c r="O44" s="492"/>
      <c r="P44" s="492"/>
      <c r="Q44" s="492"/>
      <c r="R44" s="492"/>
      <c r="S44" s="492"/>
      <c r="T44" s="492"/>
      <c r="U44" s="492"/>
      <c r="V44" s="353"/>
      <c r="W44" s="348"/>
      <c r="X44" s="353"/>
      <c r="Z44" s="492"/>
      <c r="AA44" s="492"/>
      <c r="AB44" s="492"/>
      <c r="AC44" s="492"/>
      <c r="AD44" s="492"/>
      <c r="AE44" s="492"/>
      <c r="AF44" s="492"/>
      <c r="AG44" s="353"/>
      <c r="AH44" s="348"/>
      <c r="AI44" s="353"/>
      <c r="AJ44" s="353"/>
      <c r="AL44" s="492"/>
      <c r="AM44" s="492"/>
      <c r="AN44" s="492"/>
      <c r="AO44" s="492"/>
      <c r="AP44" s="492"/>
      <c r="AQ44" s="492"/>
      <c r="AR44" s="492"/>
    </row>
    <row r="45" spans="1:54" ht="11.4">
      <c r="A45" s="383"/>
      <c r="B45" s="348"/>
      <c r="C45" s="374"/>
      <c r="D45" s="374"/>
      <c r="E45" s="374"/>
      <c r="F45" s="6"/>
      <c r="G45" s="35"/>
      <c r="H45" s="10" t="s">
        <v>400</v>
      </c>
      <c r="I45" s="10"/>
      <c r="J45" s="10"/>
      <c r="K45" s="10"/>
      <c r="L45" s="10"/>
      <c r="M45" s="348"/>
      <c r="N45" s="374"/>
      <c r="O45" s="374"/>
      <c r="P45" s="374"/>
      <c r="Q45" s="6"/>
      <c r="R45" s="35"/>
      <c r="S45" s="10" t="s">
        <v>400</v>
      </c>
      <c r="T45" s="10"/>
      <c r="U45" s="10"/>
      <c r="V45" s="348"/>
      <c r="W45" s="10"/>
      <c r="X45" s="348"/>
      <c r="Z45" s="374"/>
      <c r="AA45" s="374"/>
      <c r="AB45" s="244"/>
      <c r="AC45" s="35"/>
      <c r="AD45" s="10" t="s">
        <v>400</v>
      </c>
      <c r="AE45" s="10"/>
      <c r="AF45" s="10"/>
      <c r="AG45" s="348"/>
      <c r="AH45" s="10"/>
      <c r="AI45" s="348"/>
      <c r="AJ45" s="348"/>
      <c r="AK45" s="374"/>
      <c r="AL45" s="374"/>
      <c r="AM45" s="374"/>
      <c r="AN45" s="244"/>
      <c r="AO45" s="35"/>
      <c r="AP45" s="10" t="s">
        <v>400</v>
      </c>
      <c r="AQ45" s="10"/>
      <c r="AR45" s="10"/>
    </row>
    <row r="46" spans="1:54" ht="11.4">
      <c r="A46" s="383"/>
      <c r="B46" s="348"/>
      <c r="C46" s="374"/>
      <c r="D46" s="6"/>
      <c r="E46" s="6"/>
      <c r="F46" s="6"/>
      <c r="G46" s="35"/>
      <c r="H46" s="10" t="s">
        <v>401</v>
      </c>
      <c r="I46" s="10"/>
      <c r="J46" s="6"/>
      <c r="K46" s="10"/>
      <c r="L46" s="6"/>
      <c r="O46" s="6"/>
      <c r="P46" s="6"/>
      <c r="Q46" s="6"/>
      <c r="R46" s="35"/>
      <c r="S46" s="10" t="s">
        <v>401</v>
      </c>
      <c r="T46" s="10"/>
      <c r="U46" s="6"/>
      <c r="V46" s="348"/>
      <c r="W46" s="6"/>
      <c r="Y46" s="374"/>
      <c r="Z46" s="6"/>
      <c r="AA46" s="6"/>
      <c r="AB46" s="244"/>
      <c r="AC46" s="35"/>
      <c r="AD46" s="10" t="s">
        <v>401</v>
      </c>
      <c r="AE46" s="10"/>
      <c r="AF46" s="244"/>
      <c r="AG46" s="348"/>
      <c r="AH46" s="6"/>
      <c r="AJ46" s="348"/>
      <c r="AL46" s="6"/>
      <c r="AM46" s="6"/>
      <c r="AN46" s="244"/>
      <c r="AO46" s="35"/>
      <c r="AP46" s="10" t="s">
        <v>401</v>
      </c>
      <c r="AQ46" s="10"/>
      <c r="AR46" s="244"/>
    </row>
    <row r="47" spans="1:54" ht="11.4">
      <c r="A47" s="383"/>
      <c r="B47" s="348"/>
      <c r="C47" s="374"/>
      <c r="D47" s="6" t="s">
        <v>402</v>
      </c>
      <c r="E47" s="6"/>
      <c r="F47" s="6" t="s">
        <v>403</v>
      </c>
      <c r="G47" s="35"/>
      <c r="H47" s="10" t="s">
        <v>404</v>
      </c>
      <c r="I47" s="10"/>
      <c r="J47" s="6" t="s">
        <v>405</v>
      </c>
      <c r="K47" s="10"/>
      <c r="L47" s="10"/>
      <c r="O47" s="6" t="s">
        <v>402</v>
      </c>
      <c r="P47" s="6"/>
      <c r="Q47" s="6" t="s">
        <v>403</v>
      </c>
      <c r="R47" s="35"/>
      <c r="S47" s="10" t="s">
        <v>404</v>
      </c>
      <c r="T47" s="10"/>
      <c r="U47" s="6" t="s">
        <v>405</v>
      </c>
      <c r="V47" s="348"/>
      <c r="W47" s="10"/>
      <c r="Y47" s="374"/>
      <c r="Z47" s="6" t="s">
        <v>402</v>
      </c>
      <c r="AA47" s="6"/>
      <c r="AB47" s="244" t="s">
        <v>403</v>
      </c>
      <c r="AC47" s="35"/>
      <c r="AD47" s="10" t="s">
        <v>404</v>
      </c>
      <c r="AE47" s="10"/>
      <c r="AF47" s="244" t="s">
        <v>405</v>
      </c>
      <c r="AG47" s="348"/>
      <c r="AH47" s="10"/>
      <c r="AJ47" s="348"/>
      <c r="AK47" s="374"/>
      <c r="AL47" s="6" t="s">
        <v>402</v>
      </c>
      <c r="AM47" s="6"/>
      <c r="AN47" s="244" t="s">
        <v>403</v>
      </c>
      <c r="AO47" s="35"/>
      <c r="AP47" s="10" t="s">
        <v>404</v>
      </c>
      <c r="AQ47" s="10"/>
      <c r="AR47" s="244" t="s">
        <v>405</v>
      </c>
    </row>
    <row r="48" spans="1:54" ht="11.4">
      <c r="A48" s="383"/>
      <c r="B48" s="348"/>
      <c r="C48" s="374"/>
      <c r="D48" s="13" t="s">
        <v>406</v>
      </c>
      <c r="E48" s="6"/>
      <c r="F48" s="13" t="s">
        <v>407</v>
      </c>
      <c r="G48" s="11"/>
      <c r="H48" s="13" t="s">
        <v>407</v>
      </c>
      <c r="I48" s="6"/>
      <c r="J48" s="13" t="s">
        <v>407</v>
      </c>
      <c r="K48" s="6"/>
      <c r="L48" s="10"/>
      <c r="O48" s="13" t="s">
        <v>406</v>
      </c>
      <c r="P48" s="6"/>
      <c r="Q48" s="13" t="s">
        <v>407</v>
      </c>
      <c r="R48" s="11"/>
      <c r="S48" s="13" t="s">
        <v>407</v>
      </c>
      <c r="T48" s="6"/>
      <c r="U48" s="13" t="s">
        <v>407</v>
      </c>
      <c r="V48" s="348"/>
      <c r="W48" s="10"/>
      <c r="Y48" s="374"/>
      <c r="Z48" s="13" t="s">
        <v>406</v>
      </c>
      <c r="AA48" s="6"/>
      <c r="AB48" s="13" t="s">
        <v>407</v>
      </c>
      <c r="AC48" s="11"/>
      <c r="AD48" s="13" t="s">
        <v>407</v>
      </c>
      <c r="AE48" s="6"/>
      <c r="AF48" s="13" t="s">
        <v>407</v>
      </c>
      <c r="AG48" s="348"/>
      <c r="AH48" s="10"/>
      <c r="AJ48" s="348"/>
      <c r="AK48" s="374"/>
      <c r="AL48" s="13" t="s">
        <v>406</v>
      </c>
      <c r="AM48" s="6"/>
      <c r="AN48" s="13" t="s">
        <v>407</v>
      </c>
      <c r="AO48" s="11"/>
      <c r="AP48" s="13" t="s">
        <v>407</v>
      </c>
      <c r="AQ48" s="6"/>
      <c r="AR48" s="13" t="s">
        <v>407</v>
      </c>
    </row>
    <row r="49" spans="1:44" ht="11.4">
      <c r="A49" s="383"/>
      <c r="B49" s="348"/>
      <c r="C49" s="11"/>
      <c r="D49" s="11"/>
      <c r="E49" s="11"/>
      <c r="F49" s="11"/>
      <c r="G49" s="11"/>
      <c r="H49" s="11"/>
      <c r="I49" s="11"/>
      <c r="J49" s="11"/>
      <c r="K49" s="11"/>
      <c r="L49" s="10"/>
      <c r="O49" s="11"/>
      <c r="P49" s="11"/>
      <c r="Q49" s="11"/>
      <c r="R49" s="11"/>
      <c r="S49" s="11"/>
      <c r="T49" s="11"/>
      <c r="U49" s="11"/>
      <c r="V49" s="348"/>
      <c r="W49" s="10"/>
      <c r="Y49" s="11"/>
      <c r="AG49" s="348"/>
      <c r="AH49" s="10"/>
      <c r="AJ49" s="348"/>
      <c r="AK49" s="11"/>
    </row>
    <row r="50" spans="1:44" ht="12">
      <c r="A50" s="315" t="s">
        <v>361</v>
      </c>
      <c r="B50" s="344"/>
      <c r="C50" s="11"/>
      <c r="D50" s="11"/>
      <c r="E50" s="11"/>
      <c r="F50" s="11"/>
      <c r="G50" s="11"/>
      <c r="H50" s="11"/>
      <c r="I50" s="11"/>
      <c r="J50" s="11"/>
      <c r="K50" s="11"/>
      <c r="L50" s="10"/>
      <c r="O50" s="11"/>
      <c r="P50" s="11"/>
      <c r="Q50" s="11"/>
      <c r="R50" s="11"/>
      <c r="S50" s="11"/>
      <c r="T50" s="11"/>
      <c r="U50" s="11"/>
      <c r="V50" s="344"/>
      <c r="W50" s="10"/>
      <c r="Y50" s="11"/>
      <c r="AG50" s="344"/>
      <c r="AH50" s="10"/>
      <c r="AJ50" s="344"/>
      <c r="AK50" s="11"/>
    </row>
    <row r="51" spans="1:44" ht="11.4">
      <c r="A51" s="346"/>
      <c r="B51" s="306" t="s">
        <v>384</v>
      </c>
      <c r="C51" s="256" t="s">
        <v>108</v>
      </c>
      <c r="D51" s="176">
        <v>3938</v>
      </c>
      <c r="E51" s="176"/>
      <c r="F51" s="213">
        <v>73.184357541899431</v>
      </c>
      <c r="G51" s="11"/>
      <c r="H51" s="213">
        <v>6.7039106145251397</v>
      </c>
      <c r="I51" s="213"/>
      <c r="J51" s="213">
        <v>25.1</v>
      </c>
      <c r="K51" s="213"/>
      <c r="L51" s="213"/>
      <c r="N51" s="256" t="s">
        <v>108</v>
      </c>
      <c r="O51" s="176">
        <v>3928</v>
      </c>
      <c r="P51" s="176"/>
      <c r="Q51" s="213">
        <v>70.3</v>
      </c>
      <c r="R51" s="11"/>
      <c r="S51" s="213">
        <v>0.5</v>
      </c>
      <c r="T51" s="213"/>
      <c r="U51" s="213">
        <v>24.7</v>
      </c>
      <c r="V51" s="306"/>
      <c r="W51" s="213"/>
      <c r="Y51" s="256" t="s">
        <v>108</v>
      </c>
      <c r="Z51" s="176">
        <v>3941</v>
      </c>
      <c r="AA51" s="176"/>
      <c r="AB51" s="213">
        <v>74.599999999999994</v>
      </c>
      <c r="AC51" s="11"/>
      <c r="AD51" s="213">
        <v>0.8</v>
      </c>
      <c r="AE51" s="213"/>
      <c r="AF51" s="213">
        <v>25.1</v>
      </c>
      <c r="AG51" s="306"/>
      <c r="AH51" s="213"/>
      <c r="AJ51" s="306"/>
      <c r="AK51" s="256" t="s">
        <v>108</v>
      </c>
      <c r="AL51" s="176">
        <v>3961</v>
      </c>
      <c r="AM51" s="176"/>
      <c r="AN51" s="213">
        <v>68.7</v>
      </c>
      <c r="AO51" s="11"/>
      <c r="AP51" s="213">
        <v>0.4</v>
      </c>
      <c r="AQ51" s="213"/>
      <c r="AR51" s="213">
        <v>24.6</v>
      </c>
    </row>
    <row r="52" spans="1:44" ht="11.4">
      <c r="A52" s="346"/>
      <c r="B52" s="306" t="s">
        <v>385</v>
      </c>
      <c r="C52" s="11"/>
      <c r="D52" s="113">
        <v>205</v>
      </c>
      <c r="E52" s="176"/>
      <c r="F52" s="213">
        <v>69.268292682926827</v>
      </c>
      <c r="G52" s="11"/>
      <c r="H52" s="213">
        <v>3.9024390243902438</v>
      </c>
      <c r="I52" s="213"/>
      <c r="J52" s="213">
        <v>22.9</v>
      </c>
      <c r="K52" s="213"/>
      <c r="L52" s="213"/>
      <c r="N52" s="11"/>
      <c r="O52" s="113">
        <v>210</v>
      </c>
      <c r="P52" s="176"/>
      <c r="Q52" s="213">
        <v>64.8</v>
      </c>
      <c r="R52" s="11"/>
      <c r="S52" s="213">
        <v>0</v>
      </c>
      <c r="T52" s="213"/>
      <c r="U52" s="213">
        <v>22.8</v>
      </c>
      <c r="V52" s="306"/>
      <c r="W52" s="213"/>
      <c r="Y52" s="11"/>
      <c r="Z52" s="113">
        <v>216</v>
      </c>
      <c r="AA52" s="176"/>
      <c r="AB52" s="213">
        <v>69.400000000000006</v>
      </c>
      <c r="AC52" s="11"/>
      <c r="AD52" s="231">
        <v>0.5</v>
      </c>
      <c r="AE52" s="213"/>
      <c r="AF52" s="213">
        <v>17.600000000000001</v>
      </c>
      <c r="AG52" s="306"/>
      <c r="AH52" s="213"/>
      <c r="AJ52" s="306"/>
      <c r="AK52" s="11"/>
      <c r="AL52" s="113">
        <v>222</v>
      </c>
      <c r="AM52" s="176"/>
      <c r="AN52" s="213">
        <v>61.7</v>
      </c>
      <c r="AO52" s="11"/>
      <c r="AP52" s="213">
        <v>0</v>
      </c>
      <c r="AQ52" s="213"/>
      <c r="AR52" s="213">
        <v>27.5</v>
      </c>
    </row>
    <row r="53" spans="1:44" ht="11.4">
      <c r="A53" s="346"/>
      <c r="B53" s="306" t="s">
        <v>386</v>
      </c>
      <c r="C53" s="11"/>
      <c r="D53" s="176">
        <v>4143</v>
      </c>
      <c r="E53" s="176"/>
      <c r="F53" s="213">
        <v>72.99058653149892</v>
      </c>
      <c r="G53" s="11"/>
      <c r="H53" s="213">
        <v>6.5652908520395847</v>
      </c>
      <c r="I53" s="213"/>
      <c r="J53" s="213">
        <v>25</v>
      </c>
      <c r="K53" s="213"/>
      <c r="L53" s="213"/>
      <c r="N53" s="11"/>
      <c r="O53" s="176">
        <v>4138</v>
      </c>
      <c r="P53" s="176"/>
      <c r="Q53" s="213">
        <v>70</v>
      </c>
      <c r="R53" s="11"/>
      <c r="S53" s="213">
        <v>0.4</v>
      </c>
      <c r="T53" s="213"/>
      <c r="U53" s="213">
        <v>24.7</v>
      </c>
      <c r="V53" s="306"/>
      <c r="W53" s="213"/>
      <c r="Y53" s="11"/>
      <c r="Z53" s="176">
        <v>4157</v>
      </c>
      <c r="AA53" s="176"/>
      <c r="AB53" s="213">
        <v>74.400000000000006</v>
      </c>
      <c r="AC53" s="11"/>
      <c r="AD53" s="213">
        <v>0.8</v>
      </c>
      <c r="AE53" s="213"/>
      <c r="AF53" s="213">
        <v>24.7</v>
      </c>
      <c r="AG53" s="306"/>
      <c r="AH53" s="213"/>
      <c r="AJ53" s="306"/>
      <c r="AK53" s="11"/>
      <c r="AL53" s="176">
        <v>4183</v>
      </c>
      <c r="AM53" s="176"/>
      <c r="AN53" s="213">
        <v>68.400000000000006</v>
      </c>
      <c r="AO53" s="11"/>
      <c r="AP53" s="213">
        <v>0.4</v>
      </c>
      <c r="AQ53" s="213"/>
      <c r="AR53" s="213">
        <v>24.6</v>
      </c>
    </row>
    <row r="54" spans="1:44" ht="11.4">
      <c r="A54" s="346"/>
      <c r="B54" s="306"/>
      <c r="C54" s="11"/>
      <c r="D54" s="176"/>
      <c r="E54" s="176"/>
      <c r="F54" s="213"/>
      <c r="G54" s="11"/>
      <c r="H54" s="213"/>
      <c r="I54" s="213"/>
      <c r="J54" s="213"/>
      <c r="K54" s="213"/>
      <c r="L54" s="213"/>
      <c r="N54" s="11"/>
      <c r="O54" s="176"/>
      <c r="P54" s="176"/>
      <c r="Q54" s="213"/>
      <c r="R54" s="11"/>
      <c r="S54" s="213"/>
      <c r="T54" s="213"/>
      <c r="U54" s="213"/>
      <c r="V54" s="306"/>
      <c r="W54" s="213"/>
      <c r="Y54" s="11"/>
      <c r="Z54" s="176"/>
      <c r="AA54" s="176"/>
      <c r="AB54" s="213"/>
      <c r="AC54" s="11"/>
      <c r="AD54" s="213"/>
      <c r="AE54" s="213"/>
      <c r="AF54" s="213"/>
      <c r="AG54" s="306"/>
      <c r="AH54" s="213"/>
      <c r="AJ54" s="306"/>
      <c r="AK54" s="11"/>
      <c r="AL54" s="176"/>
      <c r="AM54" s="176"/>
      <c r="AN54" s="213"/>
      <c r="AO54" s="11"/>
      <c r="AP54" s="213"/>
      <c r="AQ54" s="213"/>
      <c r="AR54" s="213"/>
    </row>
    <row r="55" spans="1:44" ht="11.4">
      <c r="A55" s="346"/>
      <c r="B55" s="306" t="s">
        <v>367</v>
      </c>
      <c r="C55" s="11"/>
      <c r="D55" s="176">
        <v>1457</v>
      </c>
      <c r="E55" s="176"/>
      <c r="F55" s="213">
        <v>171.10501029512696</v>
      </c>
      <c r="G55" s="11"/>
      <c r="H55" s="213">
        <v>123.19835277968427</v>
      </c>
      <c r="I55" s="213"/>
      <c r="J55" s="213">
        <v>22.2</v>
      </c>
      <c r="K55" s="213"/>
      <c r="L55" s="213"/>
      <c r="N55" s="11"/>
      <c r="O55" s="176">
        <v>1448</v>
      </c>
      <c r="P55" s="176"/>
      <c r="Q55" s="213">
        <v>67.900000000000006</v>
      </c>
      <c r="R55" s="11"/>
      <c r="S55" s="213">
        <v>17.7</v>
      </c>
      <c r="T55" s="213"/>
      <c r="U55" s="213">
        <v>23.5</v>
      </c>
      <c r="V55" s="306"/>
      <c r="W55" s="213"/>
      <c r="Y55" s="11"/>
      <c r="Z55" s="176">
        <v>1431</v>
      </c>
      <c r="AA55" s="176"/>
      <c r="AB55" s="213">
        <v>77.8</v>
      </c>
      <c r="AC55" s="11"/>
      <c r="AD55" s="213">
        <v>30.3</v>
      </c>
      <c r="AE55" s="213"/>
      <c r="AF55" s="213">
        <v>24.2</v>
      </c>
      <c r="AG55" s="306"/>
      <c r="AH55" s="213"/>
      <c r="AJ55" s="306"/>
      <c r="AK55" s="11"/>
      <c r="AL55" s="176">
        <v>1430</v>
      </c>
      <c r="AM55" s="176"/>
      <c r="AN55" s="213">
        <v>80.5</v>
      </c>
      <c r="AO55" s="11"/>
      <c r="AP55" s="213">
        <v>23.1</v>
      </c>
      <c r="AQ55" s="213"/>
      <c r="AR55" s="213">
        <v>24.3</v>
      </c>
    </row>
    <row r="56" spans="1:44" ht="13.2">
      <c r="A56" s="346"/>
      <c r="B56" s="306" t="s">
        <v>387</v>
      </c>
      <c r="C56" s="11"/>
      <c r="D56" s="113">
        <v>587</v>
      </c>
      <c r="E56" s="176"/>
      <c r="F56" s="213">
        <v>100.51107325383303</v>
      </c>
      <c r="G56" s="11"/>
      <c r="H56" s="213">
        <v>35.264054514480407</v>
      </c>
      <c r="I56" s="213"/>
      <c r="J56" s="213">
        <v>27.9</v>
      </c>
      <c r="K56" s="213"/>
      <c r="L56" s="213"/>
      <c r="N56" s="11"/>
      <c r="O56" s="113">
        <v>588</v>
      </c>
      <c r="P56" s="176"/>
      <c r="Q56" s="213">
        <v>67.3</v>
      </c>
      <c r="R56" s="11"/>
      <c r="S56" s="213">
        <v>7</v>
      </c>
      <c r="T56" s="213"/>
      <c r="U56" s="213">
        <v>34.6</v>
      </c>
      <c r="V56" s="306"/>
      <c r="W56" s="213"/>
      <c r="Y56" s="11"/>
      <c r="Z56" s="113">
        <v>573</v>
      </c>
      <c r="AA56" s="176"/>
      <c r="AB56" s="213">
        <v>75.2</v>
      </c>
      <c r="AC56" s="11"/>
      <c r="AD56" s="213">
        <v>9.1</v>
      </c>
      <c r="AE56" s="213"/>
      <c r="AF56" s="213">
        <v>33.9</v>
      </c>
      <c r="AG56" s="306"/>
      <c r="AH56" s="213"/>
      <c r="AJ56" s="306"/>
      <c r="AK56" s="11"/>
      <c r="AL56" s="113">
        <v>591</v>
      </c>
      <c r="AM56" s="176"/>
      <c r="AN56" s="213">
        <v>61.4</v>
      </c>
      <c r="AO56" s="11"/>
      <c r="AP56" s="213">
        <v>4.4000000000000004</v>
      </c>
      <c r="AQ56" s="213"/>
      <c r="AR56" s="213">
        <v>27.3</v>
      </c>
    </row>
    <row r="57" spans="1:44" ht="11.4">
      <c r="A57" s="346"/>
      <c r="B57" s="306"/>
      <c r="C57" s="11"/>
      <c r="D57" s="176"/>
      <c r="E57" s="176"/>
      <c r="F57" s="213"/>
      <c r="G57" s="11"/>
      <c r="H57" s="213"/>
      <c r="I57" s="213"/>
      <c r="J57" s="213"/>
      <c r="K57" s="213"/>
      <c r="L57" s="213"/>
      <c r="N57" s="11"/>
      <c r="O57" s="176"/>
      <c r="P57" s="176"/>
      <c r="Q57" s="213"/>
      <c r="R57" s="11"/>
      <c r="S57" s="213"/>
      <c r="T57" s="213"/>
      <c r="U57" s="213"/>
      <c r="V57" s="306"/>
      <c r="W57" s="213"/>
      <c r="Y57" s="11"/>
      <c r="Z57" s="176"/>
      <c r="AA57" s="176"/>
      <c r="AB57" s="213"/>
      <c r="AC57" s="11"/>
      <c r="AD57" s="213"/>
      <c r="AE57" s="213"/>
      <c r="AF57" s="213"/>
      <c r="AG57" s="306"/>
      <c r="AH57" s="213"/>
      <c r="AJ57" s="306"/>
      <c r="AK57" s="11"/>
      <c r="AL57" s="176"/>
      <c r="AM57" s="176"/>
      <c r="AN57" s="213"/>
      <c r="AO57" s="11"/>
      <c r="AP57" s="213"/>
      <c r="AQ57" s="213"/>
      <c r="AR57" s="213"/>
    </row>
    <row r="58" spans="1:44" ht="11.4">
      <c r="A58" s="346"/>
      <c r="B58" s="306" t="s">
        <v>410</v>
      </c>
      <c r="C58" s="11"/>
      <c r="D58" s="176">
        <v>6187</v>
      </c>
      <c r="E58" s="176"/>
      <c r="F58" s="213">
        <v>98.706966219492486</v>
      </c>
      <c r="G58" s="11"/>
      <c r="H58" s="213">
        <v>36.754485210926134</v>
      </c>
      <c r="I58" s="213"/>
      <c r="J58" s="213">
        <v>24.632293518668174</v>
      </c>
      <c r="K58" s="213"/>
      <c r="L58" s="213"/>
      <c r="N58" s="11"/>
      <c r="O58" s="176">
        <v>6174</v>
      </c>
      <c r="P58" s="176"/>
      <c r="Q58" s="213">
        <v>69.2</v>
      </c>
      <c r="R58" s="11"/>
      <c r="S58" s="213">
        <v>5.0999999999999996</v>
      </c>
      <c r="T58" s="213"/>
      <c r="U58" s="213">
        <v>25.4</v>
      </c>
      <c r="V58" s="306"/>
      <c r="W58" s="213"/>
      <c r="Y58" s="11"/>
      <c r="Z58" s="176">
        <v>6161</v>
      </c>
      <c r="AA58" s="176"/>
      <c r="AB58" s="213">
        <v>75.2</v>
      </c>
      <c r="AC58" s="11"/>
      <c r="AD58" s="213">
        <v>8.4</v>
      </c>
      <c r="AE58" s="213"/>
      <c r="AF58" s="213">
        <v>25.5</v>
      </c>
      <c r="AG58" s="306"/>
      <c r="AH58" s="213"/>
      <c r="AJ58" s="306"/>
      <c r="AK58" s="11"/>
      <c r="AL58" s="176">
        <v>6204</v>
      </c>
      <c r="AM58" s="176"/>
      <c r="AN58" s="213">
        <v>70.5</v>
      </c>
      <c r="AO58" s="11"/>
      <c r="AP58" s="213">
        <v>6</v>
      </c>
      <c r="AQ58" s="213"/>
      <c r="AR58" s="213">
        <v>24.8</v>
      </c>
    </row>
    <row r="59" spans="1:44" ht="11.4">
      <c r="A59" s="346"/>
      <c r="B59" s="306"/>
      <c r="C59" s="11"/>
      <c r="D59" s="176"/>
      <c r="E59" s="176"/>
      <c r="F59" s="213"/>
      <c r="G59" s="11"/>
      <c r="H59" s="213"/>
      <c r="I59" s="213"/>
      <c r="J59" s="213"/>
      <c r="K59" s="213"/>
      <c r="L59" s="213"/>
      <c r="N59" s="11"/>
      <c r="O59" s="176"/>
      <c r="P59" s="176"/>
      <c r="Q59" s="213"/>
      <c r="R59" s="11"/>
      <c r="S59" s="213"/>
      <c r="T59" s="213"/>
      <c r="U59" s="213"/>
      <c r="V59" s="306"/>
      <c r="W59" s="213"/>
      <c r="Y59" s="11"/>
      <c r="Z59" s="176"/>
      <c r="AA59" s="176"/>
      <c r="AB59" s="213"/>
      <c r="AC59" s="11"/>
      <c r="AD59" s="213"/>
      <c r="AE59" s="213"/>
      <c r="AF59" s="213"/>
      <c r="AG59" s="306"/>
      <c r="AH59" s="213"/>
      <c r="AJ59" s="306"/>
      <c r="AK59" s="11"/>
      <c r="AL59" s="176"/>
      <c r="AM59" s="176"/>
      <c r="AN59" s="213"/>
      <c r="AO59" s="11"/>
      <c r="AP59" s="213"/>
      <c r="AQ59" s="213"/>
      <c r="AR59" s="213"/>
    </row>
    <row r="60" spans="1:44" ht="12">
      <c r="A60" s="315" t="s">
        <v>369</v>
      </c>
      <c r="B60" s="348"/>
      <c r="C60" s="11"/>
      <c r="D60" s="176"/>
      <c r="E60" s="176"/>
      <c r="F60" s="213"/>
      <c r="G60" s="11"/>
      <c r="H60" s="213"/>
      <c r="I60" s="213"/>
      <c r="J60" s="213"/>
      <c r="K60" s="213"/>
      <c r="L60" s="213"/>
      <c r="N60" s="11"/>
      <c r="O60" s="176"/>
      <c r="P60" s="176"/>
      <c r="Q60" s="213"/>
      <c r="R60" s="11"/>
      <c r="S60" s="213"/>
      <c r="T60" s="213"/>
      <c r="U60" s="213"/>
      <c r="V60" s="348"/>
      <c r="W60" s="213"/>
      <c r="Y60" s="11"/>
      <c r="Z60" s="176"/>
      <c r="AA60" s="176"/>
      <c r="AB60" s="213"/>
      <c r="AC60" s="11"/>
      <c r="AD60" s="213"/>
      <c r="AE60" s="213"/>
      <c r="AF60" s="213"/>
      <c r="AG60" s="348"/>
      <c r="AH60" s="213"/>
      <c r="AJ60" s="348"/>
      <c r="AK60" s="11"/>
      <c r="AL60" s="176"/>
      <c r="AM60" s="176"/>
      <c r="AN60" s="213"/>
      <c r="AO60" s="11"/>
      <c r="AP60" s="213"/>
      <c r="AQ60" s="213"/>
      <c r="AR60" s="213"/>
    </row>
    <row r="61" spans="1:44" ht="11.4">
      <c r="A61" s="346"/>
      <c r="B61" s="306" t="s">
        <v>384</v>
      </c>
      <c r="C61" s="11"/>
      <c r="D61" s="176">
        <v>155</v>
      </c>
      <c r="F61" s="213">
        <v>78.709677419354847</v>
      </c>
      <c r="G61" s="35"/>
      <c r="H61" s="231">
        <v>3.225806451612903</v>
      </c>
      <c r="I61" s="213"/>
      <c r="J61" s="213">
        <v>28.387096774193548</v>
      </c>
      <c r="K61" s="213"/>
      <c r="L61" s="213"/>
      <c r="N61" s="11"/>
      <c r="O61" s="176">
        <v>160</v>
      </c>
      <c r="Q61" s="213">
        <v>75.7</v>
      </c>
      <c r="R61" s="35"/>
      <c r="S61" s="231">
        <v>0</v>
      </c>
      <c r="T61" s="213"/>
      <c r="U61" s="213">
        <v>28.1</v>
      </c>
      <c r="V61" s="306"/>
      <c r="W61" s="213"/>
      <c r="Y61" s="11"/>
      <c r="Z61" s="176">
        <v>164</v>
      </c>
      <c r="AB61" s="213">
        <v>76.2</v>
      </c>
      <c r="AC61" s="35"/>
      <c r="AD61" s="213">
        <v>1.2</v>
      </c>
      <c r="AE61" s="213"/>
      <c r="AF61" s="213">
        <v>28.1</v>
      </c>
      <c r="AG61" s="306"/>
      <c r="AH61" s="213"/>
      <c r="AJ61" s="306"/>
      <c r="AK61" s="11"/>
      <c r="AL61" s="176">
        <v>173</v>
      </c>
      <c r="AN61" s="213">
        <v>75.7</v>
      </c>
      <c r="AO61" s="35"/>
      <c r="AP61" s="213">
        <v>0.6</v>
      </c>
      <c r="AQ61" s="213"/>
      <c r="AR61" s="213">
        <v>30.7</v>
      </c>
    </row>
    <row r="62" spans="1:44" ht="11.4">
      <c r="A62" s="346"/>
      <c r="B62" s="306" t="s">
        <v>371</v>
      </c>
      <c r="C62" s="176"/>
      <c r="D62" s="113">
        <v>1</v>
      </c>
      <c r="E62" s="176"/>
      <c r="F62" s="213">
        <v>100</v>
      </c>
      <c r="G62" s="35"/>
      <c r="H62" s="231">
        <v>0</v>
      </c>
      <c r="I62" s="213"/>
      <c r="J62" s="213">
        <v>0</v>
      </c>
      <c r="K62" s="213"/>
      <c r="L62" s="213"/>
      <c r="N62" s="176"/>
      <c r="O62" s="113">
        <v>1</v>
      </c>
      <c r="P62" s="176"/>
      <c r="Q62" s="213">
        <v>100</v>
      </c>
      <c r="R62" s="35"/>
      <c r="S62" s="231">
        <v>0</v>
      </c>
      <c r="T62" s="213"/>
      <c r="U62" s="213">
        <v>100</v>
      </c>
      <c r="V62" s="306"/>
      <c r="W62" s="213"/>
      <c r="Y62" s="176"/>
      <c r="Z62" s="113">
        <v>1</v>
      </c>
      <c r="AA62" s="176"/>
      <c r="AB62" s="213">
        <v>100</v>
      </c>
      <c r="AC62" s="35"/>
      <c r="AD62" s="231" t="s">
        <v>411</v>
      </c>
      <c r="AE62" s="213"/>
      <c r="AF62" s="213">
        <v>100</v>
      </c>
      <c r="AG62" s="306"/>
      <c r="AH62" s="213"/>
      <c r="AJ62" s="306"/>
      <c r="AK62" s="176"/>
      <c r="AL62" s="113">
        <v>2</v>
      </c>
      <c r="AM62" s="176"/>
      <c r="AN62" s="213">
        <v>100</v>
      </c>
      <c r="AO62" s="35"/>
      <c r="AP62" s="213">
        <v>0</v>
      </c>
      <c r="AQ62" s="213"/>
      <c r="AR62" s="213">
        <v>50</v>
      </c>
    </row>
    <row r="63" spans="1:44" ht="11.4">
      <c r="A63" s="346"/>
      <c r="B63" s="306" t="s">
        <v>386</v>
      </c>
      <c r="C63" s="176"/>
      <c r="D63" s="176">
        <v>156</v>
      </c>
      <c r="E63" s="176"/>
      <c r="F63" s="213">
        <v>78.946153846153834</v>
      </c>
      <c r="G63" s="35"/>
      <c r="H63" s="231">
        <v>3.2051282051282048</v>
      </c>
      <c r="I63" s="213"/>
      <c r="J63" s="213">
        <v>28.205128205128204</v>
      </c>
      <c r="K63" s="213"/>
      <c r="L63" s="213"/>
      <c r="N63" s="176"/>
      <c r="O63" s="176">
        <v>161</v>
      </c>
      <c r="P63" s="176"/>
      <c r="Q63" s="213">
        <v>75.8</v>
      </c>
      <c r="R63" s="35"/>
      <c r="S63" s="231">
        <v>0</v>
      </c>
      <c r="T63" s="213"/>
      <c r="U63" s="213">
        <v>28.5</v>
      </c>
      <c r="V63" s="306"/>
      <c r="W63" s="213"/>
      <c r="Y63" s="176"/>
      <c r="Z63" s="176">
        <v>165</v>
      </c>
      <c r="AA63" s="176"/>
      <c r="AB63" s="213">
        <v>76.3</v>
      </c>
      <c r="AC63" s="35"/>
      <c r="AD63" s="213">
        <v>1.2</v>
      </c>
      <c r="AE63" s="213"/>
      <c r="AF63" s="213">
        <v>28.5</v>
      </c>
      <c r="AG63" s="306"/>
      <c r="AH63" s="213"/>
      <c r="AJ63" s="306"/>
      <c r="AK63" s="176"/>
      <c r="AL63" s="176">
        <v>175</v>
      </c>
      <c r="AM63" s="176"/>
      <c r="AN63" s="213">
        <v>76</v>
      </c>
      <c r="AO63" s="35"/>
      <c r="AP63" s="213">
        <v>0.6</v>
      </c>
      <c r="AQ63" s="213"/>
      <c r="AR63" s="213">
        <v>30.9</v>
      </c>
    </row>
    <row r="64" spans="1:44" ht="11.4">
      <c r="A64" s="346"/>
      <c r="B64" s="306"/>
      <c r="C64" s="176"/>
      <c r="D64" s="176"/>
      <c r="E64" s="176"/>
      <c r="F64" s="213"/>
      <c r="G64" s="35"/>
      <c r="H64" s="213"/>
      <c r="I64" s="213"/>
      <c r="J64" s="213"/>
      <c r="K64" s="213"/>
      <c r="L64" s="213"/>
      <c r="N64" s="176"/>
      <c r="O64" s="176"/>
      <c r="P64" s="176"/>
      <c r="Q64" s="213"/>
      <c r="R64" s="35"/>
      <c r="S64" s="213"/>
      <c r="T64" s="213"/>
      <c r="U64" s="213"/>
      <c r="V64" s="306"/>
      <c r="W64" s="213"/>
      <c r="Y64" s="176"/>
      <c r="Z64" s="176"/>
      <c r="AA64" s="176"/>
      <c r="AB64" s="213"/>
      <c r="AC64" s="35"/>
      <c r="AD64" s="213"/>
      <c r="AE64" s="213"/>
      <c r="AF64" s="213"/>
      <c r="AG64" s="306"/>
      <c r="AH64" s="213"/>
      <c r="AJ64" s="306"/>
      <c r="AK64" s="176"/>
      <c r="AL64" s="176"/>
      <c r="AM64" s="176"/>
      <c r="AN64" s="213"/>
      <c r="AO64" s="35"/>
      <c r="AP64" s="213"/>
      <c r="AQ64" s="213"/>
      <c r="AR64" s="213"/>
    </row>
    <row r="65" spans="1:44" ht="11.4">
      <c r="A65" s="346"/>
      <c r="B65" s="306" t="s">
        <v>367</v>
      </c>
      <c r="C65" s="11"/>
      <c r="D65" s="176">
        <v>91</v>
      </c>
      <c r="E65" s="176"/>
      <c r="F65" s="213">
        <v>107.69230769230769</v>
      </c>
      <c r="G65" s="35"/>
      <c r="H65" s="213">
        <v>61.53846153846154</v>
      </c>
      <c r="I65" s="213"/>
      <c r="J65" s="213">
        <v>30.8</v>
      </c>
      <c r="K65" s="213"/>
      <c r="L65" s="213"/>
      <c r="N65" s="11"/>
      <c r="O65" s="176">
        <v>91</v>
      </c>
      <c r="P65" s="176"/>
      <c r="Q65" s="213">
        <v>65.900000000000006</v>
      </c>
      <c r="R65" s="35"/>
      <c r="S65" s="213">
        <v>16.5</v>
      </c>
      <c r="T65" s="213"/>
      <c r="U65" s="213">
        <v>30.8</v>
      </c>
      <c r="V65" s="306"/>
      <c r="W65" s="213"/>
      <c r="Y65" s="11"/>
      <c r="Z65" s="176">
        <v>93</v>
      </c>
      <c r="AA65" s="176"/>
      <c r="AB65" s="213">
        <v>64.5</v>
      </c>
      <c r="AC65" s="35"/>
      <c r="AD65" s="213">
        <v>16.100000000000001</v>
      </c>
      <c r="AE65" s="213"/>
      <c r="AF65" s="213">
        <v>30.1</v>
      </c>
      <c r="AG65" s="306"/>
      <c r="AH65" s="213"/>
      <c r="AJ65" s="306"/>
      <c r="AK65" s="11"/>
      <c r="AL65" s="176">
        <v>96</v>
      </c>
      <c r="AM65" s="176"/>
      <c r="AN65" s="213">
        <v>63.5</v>
      </c>
      <c r="AO65" s="35"/>
      <c r="AP65" s="213">
        <v>13.5</v>
      </c>
      <c r="AQ65" s="213"/>
      <c r="AR65" s="213">
        <v>32.299999999999997</v>
      </c>
    </row>
    <row r="66" spans="1:44" ht="13.2">
      <c r="A66" s="346"/>
      <c r="B66" s="306" t="s">
        <v>387</v>
      </c>
      <c r="C66" s="11"/>
      <c r="D66" s="113">
        <v>23</v>
      </c>
      <c r="E66" s="176"/>
      <c r="F66" s="213">
        <v>104.34782608695652</v>
      </c>
      <c r="G66" s="35"/>
      <c r="H66" s="213">
        <v>17.391304347826086</v>
      </c>
      <c r="I66" s="213"/>
      <c r="J66" s="213">
        <v>30.5</v>
      </c>
      <c r="K66" s="213"/>
      <c r="L66" s="213"/>
      <c r="N66" s="11"/>
      <c r="O66" s="113">
        <v>23</v>
      </c>
      <c r="P66" s="176"/>
      <c r="Q66" s="213">
        <v>65.2</v>
      </c>
      <c r="R66" s="35"/>
      <c r="S66" s="213">
        <v>8.6999999999999993</v>
      </c>
      <c r="T66" s="213"/>
      <c r="U66" s="213">
        <v>21.8</v>
      </c>
      <c r="V66" s="306"/>
      <c r="W66" s="213"/>
      <c r="Y66" s="11"/>
      <c r="Z66" s="113">
        <v>22</v>
      </c>
      <c r="AA66" s="176"/>
      <c r="AB66" s="213">
        <v>77.3</v>
      </c>
      <c r="AC66" s="35"/>
      <c r="AD66" s="231">
        <v>4.5</v>
      </c>
      <c r="AE66" s="213"/>
      <c r="AF66" s="213">
        <v>22.7</v>
      </c>
      <c r="AG66" s="306"/>
      <c r="AH66" s="213"/>
      <c r="AJ66" s="306"/>
      <c r="AK66" s="11"/>
      <c r="AL66" s="113">
        <v>23</v>
      </c>
      <c r="AM66" s="176"/>
      <c r="AN66" s="213">
        <v>60.9</v>
      </c>
      <c r="AO66" s="35"/>
      <c r="AP66" s="213">
        <v>0</v>
      </c>
      <c r="AQ66" s="213"/>
      <c r="AR66" s="213">
        <v>26.1</v>
      </c>
    </row>
    <row r="67" spans="1:44" ht="11.4">
      <c r="A67" s="346"/>
      <c r="B67" s="306"/>
      <c r="C67" s="11"/>
      <c r="D67" s="176"/>
      <c r="E67" s="176"/>
      <c r="F67" s="213"/>
      <c r="G67" s="35"/>
      <c r="H67" s="213"/>
      <c r="I67" s="213"/>
      <c r="J67" s="213"/>
      <c r="K67" s="213"/>
      <c r="L67" s="213"/>
      <c r="N67" s="11"/>
      <c r="O67" s="176"/>
      <c r="P67" s="176"/>
      <c r="Q67" s="213"/>
      <c r="R67" s="35"/>
      <c r="S67" s="213"/>
      <c r="T67" s="213"/>
      <c r="U67" s="213"/>
      <c r="V67" s="306"/>
      <c r="W67" s="213"/>
      <c r="Y67" s="11"/>
      <c r="Z67" s="176"/>
      <c r="AA67" s="176"/>
      <c r="AB67" s="213"/>
      <c r="AC67" s="35"/>
      <c r="AD67" s="213"/>
      <c r="AE67" s="213"/>
      <c r="AF67" s="213"/>
      <c r="AG67" s="306"/>
      <c r="AH67" s="213"/>
      <c r="AJ67" s="306"/>
      <c r="AK67" s="11"/>
      <c r="AL67" s="176"/>
      <c r="AM67" s="176"/>
      <c r="AN67" s="213"/>
      <c r="AO67" s="35"/>
      <c r="AP67" s="213"/>
      <c r="AQ67" s="213"/>
      <c r="AR67" s="213"/>
    </row>
    <row r="68" spans="1:44" ht="11.4">
      <c r="A68" s="346"/>
      <c r="B68" s="306" t="s">
        <v>389</v>
      </c>
      <c r="C68" s="11"/>
      <c r="D68" s="176">
        <v>270</v>
      </c>
      <c r="E68" s="176"/>
      <c r="F68" s="213">
        <v>90.740740740740748</v>
      </c>
      <c r="G68" s="35"/>
      <c r="H68" s="213">
        <v>24.074074074074073</v>
      </c>
      <c r="I68" s="213"/>
      <c r="J68" s="213">
        <v>29.3</v>
      </c>
      <c r="K68" s="213"/>
      <c r="L68" s="213"/>
      <c r="N68" s="11"/>
      <c r="O68" s="176">
        <v>275</v>
      </c>
      <c r="P68" s="176"/>
      <c r="Q68" s="213">
        <v>71.7</v>
      </c>
      <c r="R68" s="35"/>
      <c r="S68" s="213">
        <v>6.2</v>
      </c>
      <c r="T68" s="213"/>
      <c r="U68" s="213">
        <v>28.7</v>
      </c>
      <c r="V68" s="306"/>
      <c r="W68" s="213"/>
      <c r="Y68" s="11"/>
      <c r="Z68" s="176">
        <v>280</v>
      </c>
      <c r="AA68" s="176"/>
      <c r="AB68" s="213">
        <v>72.5</v>
      </c>
      <c r="AC68" s="35"/>
      <c r="AD68" s="213">
        <v>6.4</v>
      </c>
      <c r="AE68" s="213"/>
      <c r="AF68" s="213">
        <v>28.6</v>
      </c>
      <c r="AG68" s="306"/>
      <c r="AH68" s="213"/>
      <c r="AJ68" s="306"/>
      <c r="AK68" s="11"/>
      <c r="AL68" s="176">
        <v>294</v>
      </c>
      <c r="AM68" s="176"/>
      <c r="AN68" s="213">
        <v>70.7</v>
      </c>
      <c r="AO68" s="35"/>
      <c r="AP68" s="213">
        <v>4.8</v>
      </c>
      <c r="AQ68" s="213"/>
      <c r="AR68" s="213">
        <v>31</v>
      </c>
    </row>
    <row r="69" spans="1:44" ht="12">
      <c r="A69" s="346"/>
      <c r="B69" s="315"/>
      <c r="C69" s="255"/>
      <c r="D69" s="176"/>
      <c r="E69" s="176"/>
      <c r="F69" s="213"/>
      <c r="G69" s="35"/>
      <c r="H69" s="213"/>
      <c r="I69" s="213"/>
      <c r="J69" s="213"/>
      <c r="K69" s="213"/>
      <c r="L69" s="213"/>
      <c r="N69" s="255"/>
      <c r="O69" s="176"/>
      <c r="P69" s="176"/>
      <c r="Q69" s="213"/>
      <c r="R69" s="35"/>
      <c r="S69" s="213"/>
      <c r="T69" s="213"/>
      <c r="U69" s="213"/>
      <c r="V69" s="315"/>
      <c r="W69" s="213"/>
      <c r="Y69" s="255"/>
      <c r="Z69" s="176"/>
      <c r="AA69" s="176"/>
      <c r="AB69" s="213"/>
      <c r="AC69" s="35"/>
      <c r="AD69" s="213"/>
      <c r="AE69" s="213"/>
      <c r="AF69" s="213"/>
      <c r="AG69" s="315"/>
      <c r="AH69" s="213"/>
      <c r="AJ69" s="315"/>
      <c r="AK69" s="255"/>
      <c r="AL69" s="176"/>
      <c r="AM69" s="176"/>
      <c r="AN69" s="213"/>
      <c r="AO69" s="35"/>
      <c r="AP69" s="213"/>
      <c r="AQ69" s="213"/>
      <c r="AR69" s="213"/>
    </row>
    <row r="70" spans="1:44" ht="12">
      <c r="A70" s="315" t="s">
        <v>428</v>
      </c>
      <c r="B70" s="306"/>
      <c r="C70" s="11"/>
      <c r="D70" s="176"/>
      <c r="E70" s="176"/>
      <c r="F70" s="213"/>
      <c r="G70" s="35"/>
      <c r="H70" s="213"/>
      <c r="I70" s="213"/>
      <c r="J70" s="213"/>
      <c r="K70" s="213"/>
      <c r="L70" s="213"/>
      <c r="N70" s="11"/>
      <c r="O70" s="176"/>
      <c r="P70" s="176"/>
      <c r="Q70" s="213"/>
      <c r="R70" s="35"/>
      <c r="S70" s="213"/>
      <c r="T70" s="213"/>
      <c r="U70" s="213"/>
      <c r="W70" s="213"/>
      <c r="Y70" s="11"/>
      <c r="Z70" s="176"/>
      <c r="AA70" s="176"/>
      <c r="AB70" s="213"/>
      <c r="AC70" s="11"/>
      <c r="AD70" s="213"/>
      <c r="AE70" s="213"/>
      <c r="AF70" s="213"/>
      <c r="AH70" s="213"/>
      <c r="AK70" s="11"/>
      <c r="AL70" s="176"/>
      <c r="AM70" s="176"/>
      <c r="AN70" s="213"/>
      <c r="AO70" s="35"/>
      <c r="AP70" s="213"/>
      <c r="AQ70" s="213"/>
      <c r="AR70" s="213"/>
    </row>
    <row r="71" spans="1:44" ht="12">
      <c r="A71" s="315"/>
      <c r="B71" s="306" t="s">
        <v>384</v>
      </c>
      <c r="C71" s="11"/>
      <c r="D71" s="113">
        <v>0</v>
      </c>
      <c r="E71" s="176"/>
      <c r="F71" s="213">
        <v>0</v>
      </c>
      <c r="G71" s="35"/>
      <c r="H71" s="213">
        <v>0</v>
      </c>
      <c r="I71" s="213"/>
      <c r="J71" s="213">
        <v>0</v>
      </c>
      <c r="K71" s="213"/>
      <c r="L71" s="213"/>
      <c r="N71" s="11"/>
      <c r="O71" s="113">
        <v>0</v>
      </c>
      <c r="P71" s="176"/>
      <c r="Q71" s="213">
        <v>0</v>
      </c>
      <c r="R71" s="35"/>
      <c r="S71" s="213">
        <v>0</v>
      </c>
      <c r="T71" s="213"/>
      <c r="U71" s="213">
        <v>0</v>
      </c>
      <c r="W71" s="213"/>
      <c r="Y71" s="11"/>
      <c r="Z71" s="113">
        <v>0</v>
      </c>
      <c r="AA71" s="176"/>
      <c r="AB71" s="213">
        <v>0</v>
      </c>
      <c r="AC71" s="11"/>
      <c r="AD71" s="213">
        <v>0</v>
      </c>
      <c r="AE71" s="213"/>
      <c r="AF71" s="213">
        <v>0</v>
      </c>
      <c r="AH71" s="213"/>
      <c r="AK71" s="11"/>
      <c r="AL71" s="113">
        <v>0</v>
      </c>
      <c r="AM71" s="176"/>
      <c r="AN71" s="213">
        <v>0</v>
      </c>
      <c r="AO71" s="35"/>
      <c r="AP71" s="213">
        <v>0</v>
      </c>
      <c r="AQ71" s="213"/>
      <c r="AR71" s="213">
        <v>0</v>
      </c>
    </row>
    <row r="72" spans="1:44" ht="12">
      <c r="A72" s="315"/>
      <c r="B72" s="306"/>
      <c r="C72" s="11"/>
      <c r="D72" s="176"/>
      <c r="E72" s="176"/>
      <c r="F72" s="213"/>
      <c r="G72" s="35"/>
      <c r="H72" s="213"/>
      <c r="I72" s="213"/>
      <c r="J72" s="213"/>
      <c r="K72" s="213"/>
      <c r="L72" s="213"/>
      <c r="N72" s="11"/>
      <c r="O72" s="176"/>
      <c r="P72" s="176"/>
      <c r="Q72" s="213"/>
      <c r="R72" s="35"/>
      <c r="S72" s="213"/>
      <c r="T72" s="213"/>
      <c r="U72" s="213"/>
      <c r="W72" s="213"/>
      <c r="Y72" s="11"/>
      <c r="Z72" s="176"/>
      <c r="AA72" s="176"/>
      <c r="AB72" s="213"/>
      <c r="AC72" s="11"/>
      <c r="AD72" s="213"/>
      <c r="AE72" s="213"/>
      <c r="AF72" s="213"/>
      <c r="AH72" s="213"/>
      <c r="AK72" s="11"/>
      <c r="AL72" s="176"/>
      <c r="AM72" s="176"/>
      <c r="AN72" s="213"/>
      <c r="AO72" s="35"/>
      <c r="AP72" s="213"/>
      <c r="AQ72" s="213"/>
      <c r="AR72" s="213"/>
    </row>
    <row r="73" spans="1:44" ht="12.6" thickBot="1">
      <c r="A73" s="315" t="s">
        <v>354</v>
      </c>
      <c r="B73" s="348"/>
      <c r="C73" s="256" t="s">
        <v>108</v>
      </c>
      <c r="D73" s="114">
        <v>6457</v>
      </c>
      <c r="E73" s="176"/>
      <c r="F73" s="213">
        <v>98.373857828713028</v>
      </c>
      <c r="G73" s="35"/>
      <c r="H73" s="213">
        <v>36.224252748954619</v>
      </c>
      <c r="I73" s="213"/>
      <c r="J73" s="213">
        <v>24.825770481647822</v>
      </c>
      <c r="K73" s="213"/>
      <c r="L73" s="213"/>
      <c r="N73" s="256" t="s">
        <v>108</v>
      </c>
      <c r="O73" s="114">
        <v>6449</v>
      </c>
      <c r="P73" s="176"/>
      <c r="Q73" s="213">
        <v>69.3</v>
      </c>
      <c r="R73" s="35"/>
      <c r="S73" s="213">
        <v>5.2</v>
      </c>
      <c r="T73" s="213"/>
      <c r="U73" s="213">
        <v>25.5</v>
      </c>
      <c r="V73" s="348"/>
      <c r="W73" s="213"/>
      <c r="Y73" s="256" t="s">
        <v>108</v>
      </c>
      <c r="Z73" s="114">
        <v>6441</v>
      </c>
      <c r="AA73" s="176"/>
      <c r="AB73" s="213">
        <v>75.099999999999994</v>
      </c>
      <c r="AC73" s="35"/>
      <c r="AD73" s="213">
        <v>8.3000000000000007</v>
      </c>
      <c r="AE73" s="213"/>
      <c r="AF73" s="213">
        <v>25.6</v>
      </c>
      <c r="AG73" s="348"/>
      <c r="AH73" s="213"/>
      <c r="AJ73" s="348"/>
      <c r="AK73" s="256" t="s">
        <v>108</v>
      </c>
      <c r="AL73" s="114">
        <v>6498</v>
      </c>
      <c r="AM73" s="176"/>
      <c r="AN73" s="213">
        <v>70.5</v>
      </c>
      <c r="AO73" s="35"/>
      <c r="AP73" s="213">
        <v>5.9</v>
      </c>
      <c r="AQ73" s="213"/>
      <c r="AR73" s="213">
        <v>25.1</v>
      </c>
    </row>
    <row r="74" spans="1:44" ht="12" thickTop="1">
      <c r="A74" s="346"/>
      <c r="B74" s="383"/>
      <c r="C74" s="383"/>
      <c r="D74" s="348"/>
      <c r="E74" s="348"/>
      <c r="F74" s="348"/>
      <c r="G74" s="348"/>
      <c r="H74" s="348"/>
      <c r="I74" s="348"/>
      <c r="J74" s="348"/>
      <c r="K74" s="348"/>
      <c r="L74" s="348"/>
      <c r="M74" s="383"/>
      <c r="N74" s="383"/>
      <c r="O74" s="383"/>
      <c r="P74" s="383"/>
      <c r="Q74" s="383"/>
      <c r="R74" s="383"/>
      <c r="S74" s="383"/>
      <c r="T74" s="383"/>
      <c r="U74" s="383"/>
      <c r="V74" s="383"/>
      <c r="W74" s="348"/>
      <c r="X74" s="383"/>
      <c r="Y74" s="383"/>
      <c r="Z74" s="383"/>
      <c r="AA74" s="383"/>
      <c r="AB74" s="383"/>
      <c r="AC74" s="383"/>
      <c r="AD74" s="383"/>
      <c r="AE74" s="383"/>
      <c r="AF74" s="383"/>
      <c r="AG74" s="383"/>
      <c r="AH74" s="348"/>
      <c r="AI74" s="383"/>
      <c r="AJ74" s="383"/>
      <c r="AL74" s="383"/>
      <c r="AM74" s="383"/>
      <c r="AN74" s="383"/>
      <c r="AO74" s="383"/>
      <c r="AP74" s="383"/>
      <c r="AQ74" s="383"/>
      <c r="AR74" s="383"/>
    </row>
    <row r="75" spans="1:44">
      <c r="B75" s="35"/>
      <c r="C75" s="35"/>
      <c r="D75" s="35"/>
      <c r="E75" s="35"/>
      <c r="F75" s="35"/>
      <c r="G75" s="35"/>
      <c r="H75" s="35"/>
      <c r="I75" s="35"/>
      <c r="J75" s="35"/>
      <c r="K75" s="35"/>
      <c r="L75" s="35"/>
      <c r="M75" s="35"/>
      <c r="N75" s="35"/>
      <c r="O75" s="35"/>
      <c r="P75" s="35"/>
      <c r="Q75" s="35"/>
      <c r="R75" s="35"/>
      <c r="S75" s="35"/>
      <c r="T75" s="35"/>
      <c r="U75" s="35"/>
      <c r="V75" s="35"/>
      <c r="W75" s="35"/>
      <c r="X75" s="35"/>
      <c r="Y75" s="35"/>
      <c r="AG75" s="35"/>
      <c r="AH75" s="35"/>
      <c r="AI75" s="35"/>
      <c r="AJ75" s="35"/>
      <c r="AL75" s="35"/>
      <c r="AM75" s="35"/>
      <c r="AN75" s="35"/>
      <c r="AO75" s="35"/>
      <c r="AP75" s="35"/>
      <c r="AQ75" s="35"/>
      <c r="AR75" s="35"/>
    </row>
    <row r="76" spans="1:44" ht="15" customHeight="1">
      <c r="A76" s="364" t="s">
        <v>770</v>
      </c>
      <c r="B76" s="998" t="s">
        <v>393</v>
      </c>
      <c r="C76" s="998"/>
      <c r="D76" s="998"/>
      <c r="E76" s="998"/>
      <c r="F76" s="998"/>
      <c r="G76" s="998"/>
      <c r="H76" s="998"/>
      <c r="I76" s="998"/>
      <c r="J76" s="998"/>
      <c r="K76" s="998"/>
      <c r="L76" s="998"/>
      <c r="M76" s="998"/>
      <c r="N76" s="998"/>
      <c r="O76" s="998"/>
      <c r="P76" s="998"/>
      <c r="Q76" s="998"/>
      <c r="R76" s="998"/>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row>
    <row r="77" spans="1:44" ht="13.5" customHeight="1">
      <c r="A77" s="60"/>
      <c r="B77" s="999"/>
      <c r="C77" s="999"/>
      <c r="D77" s="999"/>
      <c r="E77" s="999"/>
      <c r="F77" s="999"/>
      <c r="G77" s="999"/>
      <c r="H77" s="999"/>
      <c r="I77" s="999"/>
      <c r="J77" s="999"/>
      <c r="K77" s="999"/>
      <c r="L77" s="999"/>
      <c r="M77" s="999"/>
      <c r="N77" s="999"/>
      <c r="O77" s="999"/>
      <c r="P77" s="999"/>
      <c r="Q77" s="999"/>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row>
    <row r="78" spans="1:44" ht="13.2">
      <c r="A78" s="60"/>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row>
    <row r="79" spans="1:44">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row>
    <row r="80" spans="1:44">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row>
    <row r="81" spans="2:44">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row>
    <row r="82" spans="2:44">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row>
    <row r="83" spans="2:44">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row>
    <row r="84" spans="2:44">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row>
    <row r="85" spans="2:44">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row>
    <row r="86" spans="2:44">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row>
    <row r="87" spans="2:44">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row>
    <row r="88" spans="2:44">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row>
    <row r="89" spans="2:44">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row>
    <row r="90" spans="2:44">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row>
    <row r="91" spans="2:44">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row>
    <row r="92" spans="2:44">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row>
    <row r="93" spans="2:44">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row>
    <row r="94" spans="2:44">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row>
    <row r="95" spans="2:44">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row>
    <row r="96" spans="2:44">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row>
    <row r="97" spans="2:44">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row>
    <row r="98" spans="2:44">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row>
    <row r="99" spans="2:44">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row>
    <row r="100" spans="2:44">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row>
    <row r="101" spans="2:44">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row>
    <row r="102" spans="2:44">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row>
    <row r="103" spans="2:44">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row>
    <row r="104" spans="2:44">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row>
    <row r="105" spans="2:44">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row>
    <row r="106" spans="2:44">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row>
    <row r="107" spans="2:44">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row>
    <row r="108" spans="2:44">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row>
    <row r="109" spans="2:44">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row>
    <row r="110" spans="2:44">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row>
    <row r="111" spans="2:44">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row>
    <row r="112" spans="2:44">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row>
    <row r="113" spans="2:44">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row>
    <row r="114" spans="2:44">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row>
    <row r="115" spans="2:44">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row>
    <row r="116" spans="2:44">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row>
    <row r="117" spans="2:44">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row>
    <row r="118" spans="2:44">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row>
    <row r="119" spans="2:44">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row>
    <row r="120" spans="2:44">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row>
    <row r="121" spans="2:44">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row>
    <row r="122" spans="2:44">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row>
    <row r="123" spans="2:44">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row>
    <row r="124" spans="2:44">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row>
    <row r="125" spans="2:44">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row>
    <row r="126" spans="2:44">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row>
    <row r="127" spans="2:44">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row>
    <row r="128" spans="2:44">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row>
    <row r="129" spans="2:44">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row>
    <row r="130" spans="2:44">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row>
    <row r="131" spans="2:44">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row>
    <row r="132" spans="2:44">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row>
    <row r="133" spans="2:44">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row>
    <row r="134" spans="2:44">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row>
    <row r="135" spans="2:44">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row>
    <row r="136" spans="2:44">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row>
    <row r="137" spans="2:44">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row>
    <row r="138" spans="2:44">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row>
    <row r="139" spans="2:44">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row>
    <row r="140" spans="2:44">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row>
    <row r="141" spans="2:44">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row>
    <row r="142" spans="2:44">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row>
    <row r="143" spans="2:44">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row>
    <row r="144" spans="2:44">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row>
    <row r="145" spans="2:44">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row>
    <row r="146" spans="2:44">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row>
    <row r="147" spans="2:44">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row>
    <row r="148" spans="2:44">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row>
    <row r="149" spans="2:44">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row>
    <row r="150" spans="2:44">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row>
    <row r="151" spans="2:44">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row>
    <row r="152" spans="2:44">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row>
    <row r="153" spans="2:44">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row>
    <row r="154" spans="2:44">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row>
    <row r="155" spans="2:44">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row>
    <row r="156" spans="2:44">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row>
    <row r="157" spans="2:44">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row>
    <row r="158" spans="2:44">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row>
    <row r="159" spans="2:44">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row>
    <row r="160" spans="2:44">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row>
    <row r="161" spans="2:44">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row>
    <row r="162" spans="2:44">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row>
    <row r="163" spans="2:44">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row>
    <row r="164" spans="2:44">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row>
    <row r="165" spans="2:44">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row>
    <row r="166" spans="2:44">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row>
    <row r="167" spans="2:44">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row>
    <row r="168" spans="2:44">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row>
    <row r="169" spans="2:44">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row>
    <row r="170" spans="2:44">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row>
    <row r="171" spans="2:44">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row>
    <row r="172" spans="2:44">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row>
    <row r="173" spans="2:44">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row>
    <row r="174" spans="2:44">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row>
    <row r="175" spans="2:44">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row>
    <row r="176" spans="2:44">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row>
    <row r="177" spans="2:44">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row>
    <row r="178" spans="2:44">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row>
    <row r="179" spans="2:44">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row>
    <row r="180" spans="2:44">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row>
    <row r="181" spans="2:44">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row>
    <row r="182" spans="2:44">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row>
    <row r="183" spans="2:44">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row>
    <row r="184" spans="2:44">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row>
    <row r="185" spans="2:44">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row>
    <row r="186" spans="2:44">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row>
    <row r="187" spans="2:44">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row>
    <row r="188" spans="2:44">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row>
    <row r="189" spans="2:44">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row>
    <row r="190" spans="2:44">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row>
    <row r="191" spans="2:44">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row>
    <row r="192" spans="2:44">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row>
    <row r="193" spans="2:44">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row>
    <row r="194" spans="2:44">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row>
    <row r="195" spans="2:44">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row>
    <row r="196" spans="2:44">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row>
    <row r="197" spans="2:44">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row>
    <row r="198" spans="2:44">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row>
    <row r="199" spans="2:44">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row>
    <row r="200" spans="2:44">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row>
    <row r="201" spans="2:44">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row>
    <row r="202" spans="2:44">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row>
    <row r="203" spans="2:44">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row>
    <row r="204" spans="2:44">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row>
    <row r="205" spans="2:44">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row>
    <row r="206" spans="2:44">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row>
    <row r="207" spans="2:44">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row>
    <row r="208" spans="2:44">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row>
    <row r="209" spans="2:44">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row>
    <row r="210" spans="2:44">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row>
    <row r="211" spans="2:44">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row>
    <row r="212" spans="2:44">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row>
    <row r="213" spans="2:44">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row>
    <row r="214" spans="2:44">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row>
    <row r="215" spans="2:44">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row>
    <row r="216" spans="2:44">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row>
    <row r="217" spans="2:44">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row>
    <row r="218" spans="2:44">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row>
    <row r="219" spans="2:44">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row>
    <row r="220" spans="2:44">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row>
    <row r="221" spans="2:44">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row>
    <row r="222" spans="2:44">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row>
    <row r="223" spans="2:44">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row>
    <row r="224" spans="2:44">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row>
    <row r="225" spans="2:44">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row>
    <row r="226" spans="2:44">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row>
    <row r="227" spans="2:44">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row>
    <row r="228" spans="2:44">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row>
    <row r="229" spans="2:44">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row>
    <row r="230" spans="2:44">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row>
    <row r="231" spans="2:44">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row>
    <row r="232" spans="2:44">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row>
    <row r="233" spans="2:44">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row>
    <row r="234" spans="2:44">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row>
    <row r="235" spans="2:44">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row>
    <row r="236" spans="2:44">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row>
    <row r="237" spans="2:44">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row>
    <row r="238" spans="2:44">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row>
    <row r="239" spans="2:44">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row>
    <row r="240" spans="2:44">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row>
    <row r="241" spans="2:44">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row>
    <row r="242" spans="2:44">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row>
    <row r="243" spans="2:44">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row>
    <row r="244" spans="2:44">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row>
    <row r="245" spans="2:44">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row>
    <row r="246" spans="2:44">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row>
    <row r="247" spans="2:44">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row>
    <row r="248" spans="2:44">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row>
    <row r="249" spans="2:44">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row>
    <row r="250" spans="2:44">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row>
    <row r="251" spans="2:44">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row>
    <row r="252" spans="2:44">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row>
    <row r="253" spans="2:44">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row>
    <row r="254" spans="2:44">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row>
    <row r="255" spans="2:44">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row>
    <row r="256" spans="2:44">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row>
    <row r="257" spans="2:44">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row>
    <row r="258" spans="2:44">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row>
    <row r="259" spans="2:44">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row>
    <row r="260" spans="2:44">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row>
    <row r="261" spans="2:44">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row>
    <row r="262" spans="2:44">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row>
    <row r="263" spans="2:44">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row>
    <row r="264" spans="2:44">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row>
    <row r="265" spans="2:44">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row>
    <row r="266" spans="2:44">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row>
    <row r="267" spans="2:44">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row>
    <row r="268" spans="2:44">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row>
    <row r="269" spans="2:44">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row>
    <row r="270" spans="2:44">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row>
    <row r="271" spans="2:44">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row>
    <row r="272" spans="2:44">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row>
    <row r="273" spans="2:44">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row>
    <row r="274" spans="2:44">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row>
    <row r="275" spans="2:44">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row>
    <row r="276" spans="2:44">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row>
    <row r="277" spans="2:44">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row>
    <row r="278" spans="2:44">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row>
    <row r="279" spans="2:44">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row>
    <row r="280" spans="2:44">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row>
    <row r="281" spans="2:44">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row>
    <row r="282" spans="2:44">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row>
    <row r="283" spans="2:44">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row>
    <row r="284" spans="2:44">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row>
    <row r="285" spans="2:44">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row>
    <row r="286" spans="2:44">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row>
    <row r="287" spans="2:44">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row>
    <row r="288" spans="2:44">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row>
    <row r="289" spans="2:44">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row>
    <row r="290" spans="2:44">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row>
    <row r="291" spans="2:44">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row>
    <row r="292" spans="2:44">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row>
    <row r="293" spans="2:44">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row>
    <row r="294" spans="2:44">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row>
    <row r="295" spans="2:44">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row>
    <row r="296" spans="2:44">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row>
    <row r="297" spans="2:44">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row>
    <row r="298" spans="2:44">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row>
    <row r="299" spans="2:44">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row>
    <row r="300" spans="2:44">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row>
    <row r="301" spans="2:44">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row>
    <row r="302" spans="2:44">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row>
    <row r="303" spans="2:44">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row>
    <row r="304" spans="2:44">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row>
    <row r="305" spans="2:44">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row>
    <row r="306" spans="2:44">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row>
    <row r="307" spans="2:44">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row>
    <row r="308" spans="2:44">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row>
    <row r="309" spans="2:44">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row>
    <row r="310" spans="2:44">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row>
    <row r="311" spans="2:44">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row>
    <row r="312" spans="2:44">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row>
    <row r="313" spans="2:44">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row>
    <row r="314" spans="2:44">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row>
    <row r="315" spans="2:44">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row>
    <row r="316" spans="2:44">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row>
    <row r="317" spans="2:44">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row>
    <row r="318" spans="2:44">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row>
    <row r="319" spans="2:44">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row>
    <row r="320" spans="2:44">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row>
    <row r="321" spans="2:44">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row>
    <row r="322" spans="2:44">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row>
    <row r="323" spans="2:44">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row>
    <row r="324" spans="2:44">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row>
    <row r="325" spans="2:44">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row>
    <row r="326" spans="2:44">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row>
    <row r="327" spans="2:44">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row>
    <row r="328" spans="2:44">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row>
    <row r="329" spans="2:44">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row>
    <row r="330" spans="2:44">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row>
    <row r="331" spans="2:44">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row>
    <row r="332" spans="2:44">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row>
    <row r="333" spans="2:44">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row>
    <row r="334" spans="2:44">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row>
    <row r="335" spans="2:44">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row>
    <row r="336" spans="2:44">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row>
    <row r="337" spans="2:44">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row>
    <row r="338" spans="2:44">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row>
    <row r="339" spans="2:44">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row>
    <row r="340" spans="2:44">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row>
    <row r="341" spans="2:44">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row>
    <row r="342" spans="2:44">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row>
    <row r="343" spans="2:44">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row>
    <row r="344" spans="2:44">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row>
    <row r="345" spans="2:44">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row>
    <row r="346" spans="2:44">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row>
    <row r="347" spans="2:44">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row>
    <row r="348" spans="2:44">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row>
    <row r="349" spans="2:44">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row>
    <row r="350" spans="2:44">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row>
    <row r="351" spans="2:44">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row>
    <row r="352" spans="2:44">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row>
    <row r="353" spans="2:44">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row>
    <row r="354" spans="2:44">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row>
    <row r="355" spans="2:44">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row>
    <row r="356" spans="2:44">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row>
    <row r="357" spans="2:44">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row>
    <row r="358" spans="2:44">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row>
    <row r="359" spans="2:44">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row>
    <row r="360" spans="2:44">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row>
    <row r="361" spans="2:44">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row>
    <row r="362" spans="2:44">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row>
    <row r="363" spans="2:44">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row>
    <row r="364" spans="2:44">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row>
    <row r="365" spans="2:44">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row>
    <row r="366" spans="2:44">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row>
    <row r="367" spans="2:44">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row>
    <row r="368" spans="2:44">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row>
    <row r="369" spans="2:44">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row>
    <row r="370" spans="2:44">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row>
    <row r="371" spans="2:44">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row>
    <row r="372" spans="2:44">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row>
    <row r="373" spans="2:44">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row>
    <row r="374" spans="2:44">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row>
    <row r="375" spans="2:44">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row>
    <row r="376" spans="2:44">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row>
    <row r="377" spans="2:44">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row>
    <row r="378" spans="2:44">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row>
    <row r="379" spans="2:44">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row>
    <row r="380" spans="2:44">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row>
    <row r="381" spans="2:44">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row>
    <row r="382" spans="2:44">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row>
    <row r="383" spans="2:44">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row>
    <row r="384" spans="2:44">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row>
    <row r="385" spans="2:44">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row>
    <row r="386" spans="2:44">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row>
    <row r="387" spans="2:44">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row>
    <row r="388" spans="2:44">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row>
    <row r="389" spans="2:44">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row>
    <row r="390" spans="2:44">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row>
    <row r="391" spans="2:44">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row>
    <row r="392" spans="2:44">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row>
    <row r="393" spans="2:44">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row>
    <row r="394" spans="2:44">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row>
    <row r="395" spans="2:44">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row>
    <row r="396" spans="2:44">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row>
    <row r="397" spans="2:44">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row>
    <row r="398" spans="2:44">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row>
    <row r="399" spans="2:44">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row>
    <row r="400" spans="2:44">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row>
    <row r="401" spans="2:44">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row>
    <row r="402" spans="2:44">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row>
    <row r="403" spans="2:44">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row>
    <row r="404" spans="2:44">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row>
    <row r="405" spans="2:44">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row>
    <row r="406" spans="2:44">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row>
    <row r="407" spans="2:44">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row>
    <row r="408" spans="2:44">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row>
    <row r="409" spans="2:44">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row>
    <row r="410" spans="2:44">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row>
    <row r="411" spans="2:44">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row>
    <row r="412" spans="2:44">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row>
    <row r="413" spans="2:44">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row>
    <row r="414" spans="2:44">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row>
    <row r="415" spans="2:44">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row>
    <row r="416" spans="2:44">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row>
    <row r="417" spans="2:44">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row>
    <row r="418" spans="2:44">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row>
    <row r="419" spans="2:44">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row>
    <row r="420" spans="2:44">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row>
    <row r="421" spans="2:44">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row>
    <row r="422" spans="2:44">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row>
    <row r="423" spans="2:44">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row>
    <row r="424" spans="2:44">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row>
    <row r="425" spans="2:44">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row>
    <row r="426" spans="2:44">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row>
    <row r="427" spans="2:44">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row>
    <row r="428" spans="2:44">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row>
    <row r="429" spans="2:44">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row>
    <row r="430" spans="2:44">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row>
    <row r="431" spans="2:44">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row>
    <row r="432" spans="2:44">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row>
    <row r="433" spans="2:44">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row>
    <row r="434" spans="2:44">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row>
    <row r="435" spans="2:44">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row>
    <row r="436" spans="2:44">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row>
    <row r="437" spans="2:44">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row>
    <row r="438" spans="2:44">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row>
    <row r="439" spans="2:44">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row>
    <row r="440" spans="2:44">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row>
    <row r="441" spans="2:44">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row>
    <row r="442" spans="2:44">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row>
    <row r="443" spans="2:44">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row>
    <row r="444" spans="2:44">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row>
    <row r="445" spans="2:44">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row>
    <row r="446" spans="2:44">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row>
    <row r="447" spans="2:44">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row>
    <row r="448" spans="2:44">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row>
    <row r="449" spans="2:44">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row>
    <row r="450" spans="2:44">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row>
    <row r="451" spans="2:44">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row>
    <row r="452" spans="2:44">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row>
    <row r="453" spans="2:44">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row>
    <row r="454" spans="2:44">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row>
    <row r="455" spans="2:44">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row>
    <row r="456" spans="2:44">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row>
    <row r="457" spans="2:44">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row>
    <row r="458" spans="2:44">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row>
    <row r="459" spans="2:44">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row>
    <row r="460" spans="2:44">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row>
    <row r="461" spans="2:44">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row>
    <row r="462" spans="2:44">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row>
    <row r="463" spans="2:44">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row>
    <row r="464" spans="2:44">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row>
    <row r="465" spans="2:44">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row>
    <row r="466" spans="2:44">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row>
    <row r="467" spans="2:44">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row>
    <row r="468" spans="2:44">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row>
    <row r="469" spans="2:44">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row>
    <row r="470" spans="2:44">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row>
    <row r="471" spans="2:44">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row>
    <row r="472" spans="2:44">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row>
    <row r="473" spans="2:44">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row>
    <row r="474" spans="2:44">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row>
    <row r="475" spans="2:44">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row>
    <row r="476" spans="2:44">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row>
    <row r="477" spans="2:44">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row>
    <row r="478" spans="2:44">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row>
    <row r="479" spans="2:44">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row>
    <row r="480" spans="2:44">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row>
    <row r="481" spans="2:44">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row>
    <row r="482" spans="2:44">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row>
    <row r="483" spans="2:44">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row>
    <row r="484" spans="2:44">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row>
    <row r="485" spans="2:44">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row>
    <row r="486" spans="2:44">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row>
    <row r="487" spans="2:44">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row>
    <row r="488" spans="2:44">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row>
    <row r="489" spans="2:44">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row>
    <row r="490" spans="2:44">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row>
    <row r="491" spans="2:44">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row>
    <row r="492" spans="2:44">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row>
    <row r="493" spans="2:44">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row>
    <row r="494" spans="2:44">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row>
    <row r="495" spans="2:44">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row>
    <row r="496" spans="2:44">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row>
    <row r="497" spans="2:44">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row>
    <row r="498" spans="2:44">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row>
    <row r="499" spans="2:44">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row>
    <row r="500" spans="2:44">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row>
    <row r="501" spans="2:44">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row>
    <row r="502" spans="2:44">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row>
    <row r="503" spans="2:44">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row>
    <row r="504" spans="2:44">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row>
    <row r="505" spans="2:44">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row>
    <row r="506" spans="2:44">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row>
    <row r="507" spans="2:44">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row>
    <row r="508" spans="2:44">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row>
    <row r="509" spans="2:44">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row>
    <row r="510" spans="2:44">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row>
    <row r="511" spans="2:44">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row>
    <row r="512" spans="2:44">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row>
    <row r="513" spans="2:44">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row>
    <row r="514" spans="2:44">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row>
    <row r="515" spans="2:44">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row>
    <row r="516" spans="2:44">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row>
    <row r="517" spans="2:44">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row>
    <row r="518" spans="2:44">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row>
    <row r="519" spans="2:44">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row>
    <row r="520" spans="2:44">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row>
    <row r="521" spans="2:44">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row>
    <row r="522" spans="2:44">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row>
    <row r="523" spans="2:44">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row>
  </sheetData>
  <mergeCells count="21">
    <mergeCell ref="A1:AR1"/>
    <mergeCell ref="A2:AR2"/>
    <mergeCell ref="A3:AR3"/>
    <mergeCell ref="D5:L5"/>
    <mergeCell ref="AL5:AR5"/>
    <mergeCell ref="O5:W5"/>
    <mergeCell ref="Z5:AH5"/>
    <mergeCell ref="D6:L6"/>
    <mergeCell ref="AL6:AR6"/>
    <mergeCell ref="D42:J42"/>
    <mergeCell ref="O42:U42"/>
    <mergeCell ref="Z42:AF42"/>
    <mergeCell ref="AL42:AR42"/>
    <mergeCell ref="O6:W6"/>
    <mergeCell ref="Z6:AH6"/>
    <mergeCell ref="B76:AR76"/>
    <mergeCell ref="B77:AR77"/>
    <mergeCell ref="D43:J43"/>
    <mergeCell ref="O43:U43"/>
    <mergeCell ref="Z43:AF43"/>
    <mergeCell ref="AL43:AR43"/>
  </mergeCells>
  <phoneticPr fontId="24" type="noConversion"/>
  <printOptions horizontalCentered="1"/>
  <pageMargins left="0.25" right="0.25" top="0.5" bottom="0.25" header="0.3" footer="0.25"/>
  <pageSetup scale="55" orientation="landscape" r:id="rId1"/>
  <headerFooter alignWithMargins="0">
    <oddFooter>&amp;R&amp;A</oddFooter>
  </headerFooter>
  <ignoredErrors>
    <ignoredError sqref="A76" numberStoredAsText="1"/>
  </ignoredErrors>
</worksheet>
</file>

<file path=xl/worksheets/sheet18.xml><?xml version="1.0" encoding="utf-8"?>
<worksheet xmlns="http://schemas.openxmlformats.org/spreadsheetml/2006/main" xmlns:r="http://schemas.openxmlformats.org/officeDocument/2006/relationships">
  <sheetPr enableFormatConditionsCalculation="0">
    <pageSetUpPr fitToPage="1"/>
  </sheetPr>
  <dimension ref="A1:AK61"/>
  <sheetViews>
    <sheetView zoomScale="75" zoomScaleNormal="75" workbookViewId="0">
      <selection sqref="A1:W1"/>
    </sheetView>
  </sheetViews>
  <sheetFormatPr defaultColWidth="9.109375" defaultRowHeight="13.2"/>
  <cols>
    <col min="1" max="1" width="2.88671875" style="385" customWidth="1"/>
    <col min="2" max="2" width="17.88671875" style="385" customWidth="1"/>
    <col min="3" max="3" width="2.33203125" style="385" customWidth="1"/>
    <col min="4" max="4" width="10.6640625" style="385" customWidth="1"/>
    <col min="5" max="5" width="3.5546875" style="385" customWidth="1"/>
    <col min="6" max="6" width="15.5546875" style="385" customWidth="1"/>
    <col min="7" max="7" width="2.44140625" style="385" customWidth="1"/>
    <col min="8" max="8" width="13" style="385" customWidth="1"/>
    <col min="9" max="10" width="2.44140625" style="385" customWidth="1"/>
    <col min="11" max="11" width="10.5546875" style="385" customWidth="1"/>
    <col min="12" max="12" width="3.44140625" style="385" customWidth="1"/>
    <col min="13" max="13" width="15.5546875" style="385" customWidth="1"/>
    <col min="14" max="14" width="2.44140625" style="385" customWidth="1"/>
    <col min="15" max="15" width="13.109375" style="385" customWidth="1"/>
    <col min="16" max="16" width="2.44140625" style="386" customWidth="1"/>
    <col min="17" max="17" width="2.44140625" style="385" customWidth="1"/>
    <col min="18" max="18" width="10.88671875" style="385" customWidth="1"/>
    <col min="19" max="19" width="3.44140625" style="385" customWidth="1"/>
    <col min="20" max="20" width="15.5546875" style="385" customWidth="1"/>
    <col min="21" max="21" width="2.44140625" style="385" customWidth="1"/>
    <col min="22" max="22" width="13.5546875" style="385" customWidth="1"/>
    <col min="23" max="23" width="2.44140625" style="385" customWidth="1"/>
    <col min="24" max="16384" width="9.109375" style="385"/>
  </cols>
  <sheetData>
    <row r="1" spans="1:23" s="384" customFormat="1">
      <c r="A1" s="1006" t="s">
        <v>96</v>
      </c>
      <c r="B1" s="1006"/>
      <c r="C1" s="1006"/>
      <c r="D1" s="1006"/>
      <c r="E1" s="1006"/>
      <c r="F1" s="1006"/>
      <c r="G1" s="1006"/>
      <c r="H1" s="1006"/>
      <c r="I1" s="1006"/>
      <c r="J1" s="1006"/>
      <c r="K1" s="1006"/>
      <c r="L1" s="1006"/>
      <c r="M1" s="1006"/>
      <c r="N1" s="1006"/>
      <c r="O1" s="1006"/>
      <c r="P1" s="1006"/>
      <c r="Q1" s="1006"/>
      <c r="R1" s="1006"/>
      <c r="S1" s="1006"/>
      <c r="T1" s="1006"/>
      <c r="U1" s="1006"/>
      <c r="V1" s="1006"/>
      <c r="W1" s="1006"/>
    </row>
    <row r="2" spans="1:23" s="384" customFormat="1">
      <c r="A2" s="1007" t="s">
        <v>412</v>
      </c>
      <c r="B2" s="1007"/>
      <c r="C2" s="1007"/>
      <c r="D2" s="1007"/>
      <c r="E2" s="1007"/>
      <c r="F2" s="1007"/>
      <c r="G2" s="1007"/>
      <c r="H2" s="1007"/>
      <c r="I2" s="1007"/>
      <c r="J2" s="1007"/>
      <c r="K2" s="1007"/>
      <c r="L2" s="1007"/>
      <c r="M2" s="1007"/>
      <c r="N2" s="1007"/>
      <c r="O2" s="1007"/>
      <c r="P2" s="1007"/>
      <c r="Q2" s="1007"/>
      <c r="R2" s="1007"/>
      <c r="S2" s="1007"/>
      <c r="T2" s="1007"/>
      <c r="U2" s="1007"/>
      <c r="V2" s="1007"/>
      <c r="W2" s="1007"/>
    </row>
    <row r="3" spans="1:23" s="384" customFormat="1">
      <c r="A3" s="1007" t="s">
        <v>54</v>
      </c>
      <c r="B3" s="1007"/>
      <c r="C3" s="1007"/>
      <c r="D3" s="1007"/>
      <c r="E3" s="1007"/>
      <c r="F3" s="1007"/>
      <c r="G3" s="1007"/>
      <c r="H3" s="1007"/>
      <c r="I3" s="1007"/>
      <c r="J3" s="1007"/>
      <c r="K3" s="1007"/>
      <c r="L3" s="1007"/>
      <c r="M3" s="1007"/>
      <c r="N3" s="1007"/>
      <c r="O3" s="1007"/>
      <c r="P3" s="1007"/>
      <c r="Q3" s="1007"/>
      <c r="R3" s="1007"/>
      <c r="S3" s="1007"/>
      <c r="T3" s="1007"/>
      <c r="U3" s="1007"/>
      <c r="V3" s="1007"/>
      <c r="W3" s="1007"/>
    </row>
    <row r="4" spans="1:23" ht="13.8">
      <c r="A4" s="1008"/>
      <c r="B4" s="1008"/>
    </row>
    <row r="5" spans="1:23">
      <c r="A5" s="387"/>
      <c r="B5" s="387"/>
      <c r="C5" s="388"/>
      <c r="D5" s="1005" t="s">
        <v>99</v>
      </c>
      <c r="E5" s="1005"/>
      <c r="F5" s="1005"/>
      <c r="G5" s="1005"/>
      <c r="H5" s="1005"/>
      <c r="I5" s="755"/>
      <c r="J5" s="388"/>
      <c r="K5" s="1005" t="s">
        <v>99</v>
      </c>
      <c r="L5" s="1005"/>
      <c r="M5" s="1005"/>
      <c r="N5" s="1005"/>
      <c r="O5" s="1005"/>
      <c r="P5" s="755"/>
      <c r="Q5" s="388"/>
      <c r="R5" s="1005" t="s">
        <v>99</v>
      </c>
      <c r="S5" s="1005"/>
      <c r="T5" s="1005"/>
      <c r="U5" s="1005"/>
      <c r="V5" s="1005"/>
      <c r="W5" s="389"/>
    </row>
    <row r="6" spans="1:23" ht="13.8">
      <c r="A6" s="387"/>
      <c r="B6" s="387"/>
      <c r="C6" s="388"/>
      <c r="D6" s="1003" t="s">
        <v>1143</v>
      </c>
      <c r="E6" s="1003"/>
      <c r="F6" s="1003"/>
      <c r="G6" s="1003"/>
      <c r="H6" s="1003"/>
      <c r="I6" s="390"/>
      <c r="J6" s="388"/>
      <c r="K6" s="1003" t="s">
        <v>5</v>
      </c>
      <c r="L6" s="1003"/>
      <c r="M6" s="1003"/>
      <c r="N6" s="1003"/>
      <c r="O6" s="1003"/>
      <c r="P6" s="390"/>
      <c r="Q6" s="388"/>
      <c r="R6" s="1003" t="s">
        <v>397</v>
      </c>
      <c r="S6" s="1003"/>
      <c r="T6" s="1003"/>
      <c r="U6" s="1003"/>
      <c r="V6" s="1003"/>
      <c r="W6" s="391"/>
    </row>
    <row r="7" spans="1:23">
      <c r="A7" s="387"/>
      <c r="B7" s="387"/>
      <c r="C7" s="388"/>
      <c r="D7" s="392"/>
      <c r="E7" s="391"/>
      <c r="F7" s="391"/>
      <c r="G7" s="391"/>
      <c r="H7" s="391"/>
      <c r="I7" s="391"/>
      <c r="J7" s="388"/>
      <c r="K7" s="392"/>
      <c r="L7" s="391"/>
      <c r="M7" s="391"/>
      <c r="N7" s="391"/>
      <c r="O7" s="391"/>
      <c r="P7" s="391"/>
      <c r="Q7" s="388"/>
      <c r="R7" s="392"/>
      <c r="S7" s="391"/>
      <c r="T7" s="391"/>
      <c r="U7" s="391"/>
      <c r="V7" s="391"/>
      <c r="W7" s="391"/>
    </row>
    <row r="8" spans="1:23">
      <c r="A8" s="388"/>
      <c r="B8" s="388"/>
      <c r="C8" s="388"/>
      <c r="D8" s="391" t="s">
        <v>414</v>
      </c>
      <c r="E8" s="393"/>
      <c r="F8" s="389"/>
      <c r="G8" s="391"/>
      <c r="H8" s="394" t="s">
        <v>415</v>
      </c>
      <c r="I8" s="394"/>
      <c r="J8" s="388"/>
      <c r="K8" s="391" t="s">
        <v>414</v>
      </c>
      <c r="L8" s="393"/>
      <c r="M8" s="389"/>
      <c r="N8" s="391"/>
      <c r="O8" s="394" t="s">
        <v>415</v>
      </c>
      <c r="P8" s="394"/>
      <c r="Q8" s="388"/>
      <c r="R8" s="391" t="s">
        <v>414</v>
      </c>
      <c r="S8" s="393"/>
      <c r="T8" s="389"/>
      <c r="U8" s="391"/>
      <c r="V8" s="394" t="s">
        <v>415</v>
      </c>
      <c r="W8" s="394"/>
    </row>
    <row r="9" spans="1:23" ht="13.8">
      <c r="A9" s="388"/>
      <c r="B9" s="388"/>
      <c r="C9" s="388"/>
      <c r="D9" s="395" t="s">
        <v>416</v>
      </c>
      <c r="E9" s="393"/>
      <c r="F9" s="395" t="s">
        <v>417</v>
      </c>
      <c r="G9" s="391"/>
      <c r="H9" s="395" t="s">
        <v>418</v>
      </c>
      <c r="I9" s="391"/>
      <c r="J9" s="388"/>
      <c r="K9" s="395" t="s">
        <v>416</v>
      </c>
      <c r="L9" s="393"/>
      <c r="M9" s="395" t="s">
        <v>417</v>
      </c>
      <c r="N9" s="391"/>
      <c r="O9" s="395" t="s">
        <v>418</v>
      </c>
      <c r="P9" s="391"/>
      <c r="Q9" s="388"/>
      <c r="R9" s="395" t="s">
        <v>416</v>
      </c>
      <c r="S9" s="393"/>
      <c r="T9" s="395" t="s">
        <v>417</v>
      </c>
      <c r="U9" s="391"/>
      <c r="V9" s="395" t="s">
        <v>418</v>
      </c>
      <c r="W9" s="391"/>
    </row>
    <row r="10" spans="1:23">
      <c r="A10" s="396" t="s">
        <v>361</v>
      </c>
      <c r="B10" s="388"/>
      <c r="C10" s="393"/>
      <c r="D10" s="393"/>
      <c r="E10" s="393"/>
      <c r="F10" s="393"/>
      <c r="G10" s="397"/>
      <c r="H10" s="397"/>
      <c r="I10" s="397"/>
      <c r="J10" s="393"/>
      <c r="K10" s="393"/>
      <c r="L10" s="393"/>
      <c r="M10" s="393"/>
      <c r="N10" s="397"/>
      <c r="O10" s="397"/>
      <c r="P10" s="397"/>
      <c r="Q10" s="393"/>
      <c r="R10" s="393"/>
      <c r="S10" s="393"/>
      <c r="T10" s="393"/>
      <c r="U10" s="397"/>
      <c r="V10" s="397"/>
      <c r="W10" s="397"/>
    </row>
    <row r="11" spans="1:23" ht="13.8">
      <c r="A11" s="388"/>
      <c r="B11" s="388" t="s">
        <v>419</v>
      </c>
      <c r="C11" s="393"/>
      <c r="D11" s="398">
        <v>19</v>
      </c>
      <c r="E11" s="399"/>
      <c r="F11" s="401">
        <v>1.5</v>
      </c>
      <c r="G11" s="400"/>
      <c r="H11" s="401">
        <v>4.4000000000000004</v>
      </c>
      <c r="I11" s="388"/>
      <c r="J11" s="388"/>
      <c r="K11" s="398">
        <v>10</v>
      </c>
      <c r="L11" s="399"/>
      <c r="M11" s="401">
        <v>0.5</v>
      </c>
      <c r="N11" s="400"/>
      <c r="O11" s="401">
        <v>5.4</v>
      </c>
      <c r="P11" s="402"/>
      <c r="Q11" s="393"/>
      <c r="R11" s="398">
        <v>12</v>
      </c>
      <c r="S11" s="399" t="s">
        <v>420</v>
      </c>
      <c r="T11" s="400">
        <v>0.7</v>
      </c>
      <c r="U11" s="400"/>
      <c r="V11" s="400">
        <v>3.9</v>
      </c>
      <c r="W11" s="402"/>
    </row>
    <row r="12" spans="1:23" ht="13.8">
      <c r="A12" s="388"/>
      <c r="B12" s="388" t="s">
        <v>424</v>
      </c>
      <c r="C12" s="393"/>
      <c r="D12" s="398">
        <v>1</v>
      </c>
      <c r="E12" s="399"/>
      <c r="F12" s="401">
        <v>0.3</v>
      </c>
      <c r="G12" s="400"/>
      <c r="H12" s="401">
        <v>7.5</v>
      </c>
      <c r="I12" s="388"/>
      <c r="J12" s="388"/>
      <c r="K12" s="398">
        <v>4</v>
      </c>
      <c r="L12" s="399"/>
      <c r="M12" s="401">
        <v>0.2</v>
      </c>
      <c r="N12" s="400"/>
      <c r="O12" s="401">
        <v>1.4</v>
      </c>
      <c r="P12" s="402"/>
      <c r="Q12" s="393"/>
      <c r="R12" s="398">
        <v>5</v>
      </c>
      <c r="S12" s="399" t="s">
        <v>426</v>
      </c>
      <c r="T12" s="400">
        <v>1.1000000000000001</v>
      </c>
      <c r="U12" s="400"/>
      <c r="V12" s="400">
        <v>6.5</v>
      </c>
      <c r="W12" s="402"/>
    </row>
    <row r="13" spans="1:23" ht="13.8">
      <c r="A13" s="388"/>
      <c r="B13" s="393" t="s">
        <v>364</v>
      </c>
      <c r="C13" s="393"/>
      <c r="D13" s="398">
        <v>19</v>
      </c>
      <c r="E13" s="399"/>
      <c r="F13" s="401">
        <v>1.4</v>
      </c>
      <c r="G13" s="400"/>
      <c r="H13" s="401">
        <v>4.4000000000000004</v>
      </c>
      <c r="I13" s="388"/>
      <c r="J13" s="388"/>
      <c r="K13" s="398">
        <v>13</v>
      </c>
      <c r="L13" s="399"/>
      <c r="M13" s="401">
        <v>0.5</v>
      </c>
      <c r="N13" s="400"/>
      <c r="O13" s="401">
        <v>5.0999999999999996</v>
      </c>
      <c r="P13" s="402"/>
      <c r="Q13" s="393"/>
      <c r="R13" s="398">
        <v>16</v>
      </c>
      <c r="S13" s="399" t="s">
        <v>426</v>
      </c>
      <c r="T13" s="400">
        <v>0.8</v>
      </c>
      <c r="U13" s="400"/>
      <c r="V13" s="400">
        <v>4</v>
      </c>
      <c r="W13" s="402"/>
    </row>
    <row r="14" spans="1:23" ht="13.8">
      <c r="A14" s="388"/>
      <c r="B14" s="393" t="s">
        <v>425</v>
      </c>
      <c r="C14" s="393"/>
      <c r="D14" s="398">
        <v>7</v>
      </c>
      <c r="E14" s="393"/>
      <c r="F14" s="401">
        <v>1.2</v>
      </c>
      <c r="G14" s="400"/>
      <c r="H14" s="401">
        <v>10.199999999999999</v>
      </c>
      <c r="I14" s="388"/>
      <c r="J14" s="388"/>
      <c r="K14" s="398">
        <v>13</v>
      </c>
      <c r="L14" s="393"/>
      <c r="M14" s="401">
        <v>2</v>
      </c>
      <c r="N14" s="400"/>
      <c r="O14" s="401">
        <v>7.9</v>
      </c>
      <c r="P14" s="402"/>
      <c r="Q14" s="393"/>
      <c r="R14" s="398">
        <v>17</v>
      </c>
      <c r="S14" s="393"/>
      <c r="T14" s="400">
        <v>2.9</v>
      </c>
      <c r="U14" s="400"/>
      <c r="V14" s="400">
        <v>7.8</v>
      </c>
      <c r="W14" s="402"/>
    </row>
    <row r="15" spans="1:23">
      <c r="A15" s="388"/>
      <c r="B15" s="393"/>
      <c r="C15" s="393"/>
      <c r="D15" s="393"/>
      <c r="E15" s="393"/>
      <c r="F15" s="393"/>
      <c r="G15" s="400"/>
      <c r="H15" s="393"/>
      <c r="I15" s="388"/>
      <c r="J15" s="388"/>
      <c r="K15" s="393"/>
      <c r="L15" s="393"/>
      <c r="M15" s="400"/>
      <c r="N15" s="400"/>
      <c r="O15" s="400"/>
      <c r="P15" s="403"/>
      <c r="Q15" s="393"/>
      <c r="R15" s="393"/>
      <c r="S15" s="393"/>
      <c r="T15" s="400"/>
      <c r="U15" s="400"/>
      <c r="V15" s="400"/>
      <c r="W15" s="403"/>
    </row>
    <row r="16" spans="1:23">
      <c r="A16" s="396" t="s">
        <v>369</v>
      </c>
      <c r="B16" s="393"/>
      <c r="C16" s="393"/>
      <c r="D16" s="393"/>
      <c r="E16" s="393"/>
      <c r="F16" s="393"/>
      <c r="G16" s="400"/>
      <c r="H16" s="393"/>
      <c r="I16" s="388"/>
      <c r="J16" s="388"/>
      <c r="K16" s="393"/>
      <c r="L16" s="393"/>
      <c r="M16" s="400"/>
      <c r="N16" s="400"/>
      <c r="O16" s="400"/>
      <c r="P16" s="403"/>
      <c r="Q16" s="393"/>
      <c r="R16" s="393"/>
      <c r="S16" s="393"/>
      <c r="T16" s="400"/>
      <c r="U16" s="400"/>
      <c r="V16" s="400"/>
      <c r="W16" s="403"/>
    </row>
    <row r="17" spans="1:23">
      <c r="A17" s="388"/>
      <c r="B17" s="393" t="s">
        <v>372</v>
      </c>
      <c r="C17" s="393"/>
      <c r="D17" s="398">
        <v>14</v>
      </c>
      <c r="E17" s="393"/>
      <c r="F17" s="401">
        <v>1.6</v>
      </c>
      <c r="G17" s="400"/>
      <c r="H17" s="401">
        <v>4.2</v>
      </c>
      <c r="I17" s="388"/>
      <c r="J17" s="388"/>
      <c r="K17" s="398">
        <v>2</v>
      </c>
      <c r="L17" s="393"/>
      <c r="M17" s="401">
        <v>0.1</v>
      </c>
      <c r="N17" s="400"/>
      <c r="O17" s="401">
        <v>3.2</v>
      </c>
      <c r="P17" s="402"/>
      <c r="Q17" s="393"/>
      <c r="R17" s="398">
        <v>7</v>
      </c>
      <c r="S17" s="393"/>
      <c r="T17" s="400">
        <v>1.8</v>
      </c>
      <c r="U17" s="400"/>
      <c r="V17" s="400">
        <v>6.5</v>
      </c>
      <c r="W17" s="402"/>
    </row>
    <row r="18" spans="1:23">
      <c r="A18" s="388"/>
      <c r="B18" s="393" t="s">
        <v>371</v>
      </c>
      <c r="C18" s="393"/>
      <c r="D18" s="398">
        <v>0</v>
      </c>
      <c r="E18" s="393"/>
      <c r="F18" s="401">
        <v>0</v>
      </c>
      <c r="G18" s="400"/>
      <c r="H18" s="401">
        <v>0</v>
      </c>
      <c r="I18" s="388"/>
      <c r="J18" s="388"/>
      <c r="K18" s="398">
        <v>0</v>
      </c>
      <c r="L18" s="393"/>
      <c r="M18" s="401">
        <v>0</v>
      </c>
      <c r="N18" s="400"/>
      <c r="O18" s="401">
        <v>0</v>
      </c>
      <c r="P18" s="402"/>
      <c r="Q18" s="393"/>
      <c r="R18" s="398">
        <v>0</v>
      </c>
      <c r="S18" s="393"/>
      <c r="T18" s="398">
        <v>0</v>
      </c>
      <c r="U18" s="400"/>
      <c r="V18" s="398">
        <v>0</v>
      </c>
      <c r="W18" s="402"/>
    </row>
    <row r="19" spans="1:23">
      <c r="A19" s="388"/>
      <c r="B19" s="393" t="s">
        <v>364</v>
      </c>
      <c r="C19" s="393"/>
      <c r="D19" s="398">
        <v>14</v>
      </c>
      <c r="E19" s="393"/>
      <c r="F19" s="401">
        <v>1.6</v>
      </c>
      <c r="G19" s="400"/>
      <c r="H19" s="401">
        <v>4.2</v>
      </c>
      <c r="I19" s="388"/>
      <c r="J19" s="388"/>
      <c r="K19" s="398">
        <v>2</v>
      </c>
      <c r="L19" s="393"/>
      <c r="M19" s="401">
        <v>0.1</v>
      </c>
      <c r="N19" s="400"/>
      <c r="O19" s="401">
        <v>3.2</v>
      </c>
      <c r="P19" s="402"/>
      <c r="Q19" s="393"/>
      <c r="R19" s="398">
        <v>7</v>
      </c>
      <c r="S19" s="393"/>
      <c r="T19" s="400">
        <v>1.8</v>
      </c>
      <c r="U19" s="400"/>
      <c r="V19" s="400">
        <v>6.5</v>
      </c>
      <c r="W19" s="402"/>
    </row>
    <row r="20" spans="1:23" ht="13.8">
      <c r="A20" s="388"/>
      <c r="B20" s="393" t="s">
        <v>427</v>
      </c>
      <c r="C20" s="393"/>
      <c r="D20" s="398">
        <v>14</v>
      </c>
      <c r="E20" s="393"/>
      <c r="F20" s="401">
        <v>1.8</v>
      </c>
      <c r="G20" s="400"/>
      <c r="H20" s="401">
        <v>5.4</v>
      </c>
      <c r="I20" s="388"/>
      <c r="J20" s="388"/>
      <c r="K20" s="398">
        <v>5</v>
      </c>
      <c r="L20" s="393"/>
      <c r="M20" s="401">
        <v>0.9</v>
      </c>
      <c r="N20" s="400"/>
      <c r="O20" s="401">
        <v>5.3</v>
      </c>
      <c r="P20" s="402"/>
      <c r="Q20" s="393"/>
      <c r="R20" s="398">
        <v>8</v>
      </c>
      <c r="S20" s="393"/>
      <c r="T20" s="400">
        <v>0.8</v>
      </c>
      <c r="U20" s="400"/>
      <c r="V20" s="400">
        <v>4.5999999999999996</v>
      </c>
      <c r="W20" s="402"/>
    </row>
    <row r="21" spans="1:23">
      <c r="A21" s="388"/>
      <c r="B21" s="393"/>
      <c r="C21" s="393"/>
      <c r="D21" s="398"/>
      <c r="E21" s="393"/>
      <c r="F21" s="398"/>
      <c r="G21" s="400"/>
      <c r="H21" s="398"/>
      <c r="I21" s="388"/>
      <c r="J21" s="388"/>
      <c r="K21" s="398"/>
      <c r="L21" s="393"/>
      <c r="M21" s="400"/>
      <c r="N21" s="400"/>
      <c r="O21" s="400"/>
      <c r="P21" s="402"/>
      <c r="Q21" s="393"/>
      <c r="R21" s="398"/>
      <c r="S21" s="393"/>
      <c r="T21" s="400"/>
      <c r="U21" s="400"/>
      <c r="V21" s="400"/>
      <c r="W21" s="402"/>
    </row>
    <row r="22" spans="1:23">
      <c r="A22" s="396" t="s">
        <v>428</v>
      </c>
      <c r="B22" s="393"/>
      <c r="C22" s="393"/>
      <c r="D22" s="398"/>
      <c r="E22" s="393"/>
      <c r="F22" s="398"/>
      <c r="G22" s="142"/>
      <c r="H22" s="398"/>
      <c r="I22" s="402"/>
      <c r="J22" s="393"/>
      <c r="K22" s="398"/>
      <c r="L22" s="393"/>
      <c r="M22" s="400"/>
      <c r="N22" s="142"/>
      <c r="O22" s="400"/>
      <c r="P22" s="402"/>
      <c r="Q22" s="393"/>
      <c r="R22" s="398"/>
      <c r="S22" s="393"/>
      <c r="T22" s="400"/>
      <c r="U22" s="142"/>
      <c r="V22" s="400"/>
      <c r="W22" s="402"/>
    </row>
    <row r="23" spans="1:23" ht="13.8">
      <c r="A23" s="393"/>
      <c r="B23" s="393" t="s">
        <v>384</v>
      </c>
      <c r="C23" s="393"/>
      <c r="D23" s="398">
        <v>23</v>
      </c>
      <c r="E23" s="399"/>
      <c r="F23" s="401">
        <v>-0.1</v>
      </c>
      <c r="G23" s="142"/>
      <c r="H23" s="401">
        <v>-0.1</v>
      </c>
      <c r="I23" s="402"/>
      <c r="J23" s="393"/>
      <c r="K23" s="890">
        <v>6</v>
      </c>
      <c r="L23" s="399"/>
      <c r="M23" s="757">
        <v>1.3</v>
      </c>
      <c r="N23" s="142"/>
      <c r="O23" s="757">
        <v>8.6</v>
      </c>
      <c r="P23" s="402"/>
      <c r="Q23" s="393"/>
      <c r="R23" s="757" t="s">
        <v>429</v>
      </c>
      <c r="S23" s="399"/>
      <c r="T23" s="757" t="s">
        <v>429</v>
      </c>
      <c r="U23" s="142"/>
      <c r="V23" s="757" t="s">
        <v>429</v>
      </c>
      <c r="W23" s="402"/>
    </row>
    <row r="24" spans="1:23">
      <c r="A24" s="388"/>
      <c r="B24" s="393"/>
      <c r="C24" s="393"/>
      <c r="D24" s="398"/>
      <c r="E24" s="393"/>
      <c r="F24" s="402"/>
      <c r="G24" s="403"/>
      <c r="H24" s="402"/>
      <c r="I24" s="402"/>
      <c r="J24" s="393"/>
      <c r="K24" s="398"/>
      <c r="L24" s="393"/>
      <c r="M24" s="402"/>
      <c r="N24" s="403"/>
      <c r="O24" s="402"/>
      <c r="P24" s="402"/>
      <c r="Q24" s="393"/>
      <c r="R24" s="398"/>
      <c r="S24" s="393"/>
      <c r="T24" s="402"/>
      <c r="U24" s="403"/>
      <c r="V24" s="402"/>
      <c r="W24" s="402"/>
    </row>
    <row r="25" spans="1:23">
      <c r="A25" s="387"/>
      <c r="B25" s="404"/>
      <c r="C25" s="393"/>
      <c r="D25" s="1005" t="s">
        <v>99</v>
      </c>
      <c r="E25" s="1005"/>
      <c r="F25" s="1005"/>
      <c r="G25" s="1005"/>
      <c r="H25" s="1005"/>
      <c r="I25" s="389"/>
      <c r="J25" s="393"/>
      <c r="K25" s="1005" t="s">
        <v>99</v>
      </c>
      <c r="L25" s="1005"/>
      <c r="M25" s="1005"/>
      <c r="N25" s="1005"/>
      <c r="O25" s="1005"/>
      <c r="P25" s="389"/>
      <c r="Q25" s="393"/>
      <c r="R25" s="1005" t="s">
        <v>99</v>
      </c>
      <c r="S25" s="1005"/>
      <c r="T25" s="1005"/>
      <c r="U25" s="1005"/>
      <c r="V25" s="1005"/>
    </row>
    <row r="26" spans="1:23">
      <c r="A26" s="387"/>
      <c r="B26" s="404"/>
      <c r="C26" s="393"/>
      <c r="D26" s="1003" t="s">
        <v>398</v>
      </c>
      <c r="E26" s="1003"/>
      <c r="F26" s="1003"/>
      <c r="G26" s="1003"/>
      <c r="H26" s="1003"/>
      <c r="I26" s="392"/>
      <c r="J26" s="393"/>
      <c r="K26" s="1003" t="s">
        <v>413</v>
      </c>
      <c r="L26" s="1003"/>
      <c r="M26" s="1003"/>
      <c r="N26" s="1003"/>
      <c r="O26" s="1003"/>
      <c r="P26" s="392"/>
      <c r="Q26" s="393"/>
      <c r="R26" s="1003" t="s">
        <v>399</v>
      </c>
      <c r="S26" s="1003"/>
      <c r="T26" s="1003"/>
      <c r="U26" s="1003"/>
      <c r="V26" s="1003"/>
    </row>
    <row r="27" spans="1:23">
      <c r="A27" s="387"/>
      <c r="B27" s="404"/>
      <c r="C27" s="393"/>
      <c r="D27" s="392"/>
      <c r="E27" s="391"/>
      <c r="F27" s="391"/>
      <c r="G27" s="391"/>
      <c r="H27" s="391"/>
      <c r="I27" s="391"/>
      <c r="J27" s="393"/>
      <c r="K27" s="392"/>
      <c r="L27" s="391"/>
      <c r="M27" s="391"/>
      <c r="N27" s="391"/>
      <c r="O27" s="391"/>
      <c r="P27" s="391"/>
      <c r="Q27" s="393"/>
      <c r="R27" s="392"/>
      <c r="S27" s="391"/>
      <c r="T27" s="391"/>
      <c r="U27" s="391"/>
      <c r="V27" s="391"/>
    </row>
    <row r="28" spans="1:23">
      <c r="A28" s="388"/>
      <c r="B28" s="393"/>
      <c r="C28" s="393"/>
      <c r="D28" s="391" t="s">
        <v>414</v>
      </c>
      <c r="E28" s="393"/>
      <c r="F28" s="389"/>
      <c r="G28" s="391"/>
      <c r="H28" s="394" t="s">
        <v>415</v>
      </c>
      <c r="I28" s="394"/>
      <c r="J28" s="393"/>
      <c r="K28" s="391" t="s">
        <v>414</v>
      </c>
      <c r="L28" s="393"/>
      <c r="M28" s="389"/>
      <c r="N28" s="391"/>
      <c r="O28" s="394" t="s">
        <v>415</v>
      </c>
      <c r="P28" s="394"/>
      <c r="Q28" s="393"/>
      <c r="R28" s="391" t="s">
        <v>414</v>
      </c>
      <c r="S28" s="393"/>
      <c r="T28" s="389"/>
      <c r="U28" s="391"/>
      <c r="V28" s="394" t="s">
        <v>415</v>
      </c>
    </row>
    <row r="29" spans="1:23" ht="13.8">
      <c r="A29" s="388"/>
      <c r="B29" s="393"/>
      <c r="C29" s="393"/>
      <c r="D29" s="395" t="s">
        <v>416</v>
      </c>
      <c r="E29" s="393"/>
      <c r="F29" s="395" t="s">
        <v>417</v>
      </c>
      <c r="G29" s="391"/>
      <c r="H29" s="395" t="s">
        <v>418</v>
      </c>
      <c r="I29" s="391"/>
      <c r="J29" s="393"/>
      <c r="K29" s="395" t="s">
        <v>416</v>
      </c>
      <c r="L29" s="393"/>
      <c r="M29" s="395" t="s">
        <v>417</v>
      </c>
      <c r="N29" s="391"/>
      <c r="O29" s="395" t="s">
        <v>418</v>
      </c>
      <c r="P29" s="391"/>
      <c r="Q29" s="393"/>
      <c r="R29" s="395" t="s">
        <v>416</v>
      </c>
      <c r="S29" s="393"/>
      <c r="T29" s="395" t="s">
        <v>417</v>
      </c>
      <c r="U29" s="391"/>
      <c r="V29" s="395" t="s">
        <v>418</v>
      </c>
    </row>
    <row r="30" spans="1:23">
      <c r="A30" s="396" t="s">
        <v>361</v>
      </c>
      <c r="B30" s="393"/>
      <c r="C30" s="393"/>
      <c r="D30" s="393"/>
      <c r="E30" s="393"/>
      <c r="F30" s="393"/>
      <c r="G30" s="397"/>
      <c r="H30" s="397"/>
      <c r="I30" s="397"/>
      <c r="J30" s="393"/>
      <c r="K30" s="393"/>
      <c r="L30" s="393"/>
      <c r="M30" s="393"/>
      <c r="N30" s="397"/>
      <c r="O30" s="397"/>
      <c r="P30" s="397"/>
      <c r="Q30" s="393"/>
      <c r="R30" s="393"/>
      <c r="S30" s="393"/>
      <c r="T30" s="393"/>
      <c r="U30" s="397"/>
      <c r="V30" s="397"/>
    </row>
    <row r="31" spans="1:23" ht="13.8">
      <c r="A31" s="388"/>
      <c r="B31" s="393" t="s">
        <v>419</v>
      </c>
      <c r="C31" s="393"/>
      <c r="D31" s="398">
        <v>10</v>
      </c>
      <c r="E31" s="399" t="s">
        <v>421</v>
      </c>
      <c r="F31" s="401">
        <v>0.9</v>
      </c>
      <c r="G31" s="393"/>
      <c r="H31" s="401">
        <v>7.3</v>
      </c>
      <c r="I31" s="388"/>
      <c r="J31" s="388"/>
      <c r="K31" s="398">
        <v>18</v>
      </c>
      <c r="L31" s="399" t="s">
        <v>422</v>
      </c>
      <c r="M31" s="401">
        <v>1.94</v>
      </c>
      <c r="N31" s="402"/>
      <c r="O31" s="401">
        <v>5.34</v>
      </c>
      <c r="P31" s="402"/>
      <c r="Q31" s="393"/>
      <c r="R31" s="398">
        <v>13</v>
      </c>
      <c r="S31" s="399" t="s">
        <v>423</v>
      </c>
      <c r="T31" s="401">
        <v>1.1000000000000001</v>
      </c>
      <c r="U31" s="402"/>
      <c r="V31" s="401">
        <v>4.0999999999999996</v>
      </c>
    </row>
    <row r="32" spans="1:23" ht="13.8">
      <c r="A32" s="388"/>
      <c r="B32" s="393" t="s">
        <v>424</v>
      </c>
      <c r="C32" s="393"/>
      <c r="D32" s="398">
        <v>3</v>
      </c>
      <c r="E32" s="393"/>
      <c r="F32" s="401">
        <v>0.9</v>
      </c>
      <c r="G32" s="393"/>
      <c r="H32" s="401">
        <v>11.5</v>
      </c>
      <c r="I32" s="388"/>
      <c r="J32" s="388"/>
      <c r="K32" s="398">
        <v>3</v>
      </c>
      <c r="L32" s="398"/>
      <c r="M32" s="401">
        <v>0.4</v>
      </c>
      <c r="N32" s="401"/>
      <c r="O32" s="401">
        <v>6.05</v>
      </c>
      <c r="P32" s="402"/>
      <c r="Q32" s="393"/>
      <c r="R32" s="398">
        <v>3</v>
      </c>
      <c r="S32" s="398"/>
      <c r="T32" s="401">
        <v>3.6</v>
      </c>
      <c r="U32" s="401"/>
      <c r="V32" s="401">
        <v>18.399999999999999</v>
      </c>
    </row>
    <row r="33" spans="1:37" ht="15" customHeight="1">
      <c r="A33" s="388"/>
      <c r="B33" s="393" t="s">
        <v>364</v>
      </c>
      <c r="C33" s="393"/>
      <c r="D33" s="398">
        <v>13</v>
      </c>
      <c r="E33" s="393"/>
      <c r="F33" s="401">
        <v>0.9</v>
      </c>
      <c r="G33" s="393"/>
      <c r="H33" s="401">
        <v>7.4</v>
      </c>
      <c r="I33" s="388"/>
      <c r="J33" s="388"/>
      <c r="K33" s="398">
        <v>18</v>
      </c>
      <c r="L33" s="399"/>
      <c r="M33" s="401">
        <v>1.86</v>
      </c>
      <c r="N33" s="401"/>
      <c r="O33" s="401">
        <v>5.34</v>
      </c>
      <c r="P33" s="402"/>
      <c r="Q33" s="393"/>
      <c r="R33" s="398">
        <v>15</v>
      </c>
      <c r="S33" s="399"/>
      <c r="T33" s="401">
        <v>1.3</v>
      </c>
      <c r="U33" s="401"/>
      <c r="V33" s="401">
        <v>4.7</v>
      </c>
    </row>
    <row r="34" spans="1:37" ht="15" customHeight="1">
      <c r="A34" s="388"/>
      <c r="B34" s="393" t="s">
        <v>431</v>
      </c>
      <c r="C34" s="393"/>
      <c r="D34" s="398">
        <v>15</v>
      </c>
      <c r="E34" s="393"/>
      <c r="F34" s="401">
        <v>2.2999999999999998</v>
      </c>
      <c r="G34" s="393"/>
      <c r="H34" s="401">
        <v>13.9</v>
      </c>
      <c r="I34" s="388"/>
      <c r="J34" s="388"/>
      <c r="K34" s="398">
        <v>18</v>
      </c>
      <c r="L34" s="399"/>
      <c r="M34" s="401">
        <v>1.53</v>
      </c>
      <c r="N34" s="401"/>
      <c r="O34" s="401">
        <v>6.04</v>
      </c>
      <c r="P34" s="402"/>
      <c r="Q34" s="393"/>
      <c r="R34" s="398">
        <v>12</v>
      </c>
      <c r="S34" s="399" t="s">
        <v>426</v>
      </c>
      <c r="T34" s="401">
        <v>1.8</v>
      </c>
      <c r="U34" s="401"/>
      <c r="V34" s="401">
        <v>9.9</v>
      </c>
    </row>
    <row r="35" spans="1:37" ht="15" customHeight="1">
      <c r="A35" s="388"/>
      <c r="B35" s="393"/>
      <c r="C35" s="393"/>
      <c r="D35" s="393"/>
      <c r="E35" s="393"/>
      <c r="F35" s="398"/>
      <c r="G35" s="393"/>
      <c r="H35" s="398"/>
      <c r="I35" s="388"/>
      <c r="J35" s="388"/>
      <c r="K35" s="398"/>
      <c r="L35" s="398"/>
      <c r="M35" s="398"/>
      <c r="N35" s="402"/>
      <c r="O35" s="398"/>
      <c r="P35" s="403"/>
      <c r="Q35" s="393"/>
      <c r="R35" s="398"/>
      <c r="S35" s="398"/>
      <c r="T35" s="398"/>
      <c r="U35" s="402"/>
      <c r="V35" s="398"/>
    </row>
    <row r="36" spans="1:37" ht="15" customHeight="1">
      <c r="A36" s="396" t="s">
        <v>369</v>
      </c>
      <c r="B36" s="393"/>
      <c r="C36" s="393"/>
      <c r="D36" s="393"/>
      <c r="E36" s="393"/>
      <c r="F36" s="393"/>
      <c r="G36" s="393"/>
      <c r="H36" s="393"/>
      <c r="I36" s="388"/>
      <c r="J36" s="388"/>
      <c r="K36" s="398"/>
      <c r="L36" s="398"/>
      <c r="M36" s="398"/>
      <c r="N36" s="402"/>
      <c r="O36" s="398"/>
      <c r="P36" s="403"/>
      <c r="Q36" s="393"/>
      <c r="R36" s="398"/>
      <c r="S36" s="398"/>
      <c r="T36" s="398"/>
      <c r="U36" s="402"/>
      <c r="V36" s="398"/>
    </row>
    <row r="37" spans="1:37" ht="15" customHeight="1">
      <c r="A37" s="388"/>
      <c r="B37" s="393" t="s">
        <v>372</v>
      </c>
      <c r="C37" s="393"/>
      <c r="D37" s="398">
        <v>8</v>
      </c>
      <c r="E37" s="393"/>
      <c r="F37" s="401">
        <v>0.7</v>
      </c>
      <c r="G37" s="393"/>
      <c r="H37" s="401">
        <v>3.9</v>
      </c>
      <c r="I37" s="388"/>
      <c r="J37" s="388"/>
      <c r="K37" s="398">
        <v>3</v>
      </c>
      <c r="L37" s="398"/>
      <c r="M37" s="401">
        <v>0.3</v>
      </c>
      <c r="N37" s="402"/>
      <c r="O37" s="401">
        <v>3.98</v>
      </c>
      <c r="P37" s="402"/>
      <c r="Q37" s="393"/>
      <c r="R37" s="398">
        <v>3</v>
      </c>
      <c r="S37" s="398"/>
      <c r="T37" s="401">
        <v>0.6</v>
      </c>
      <c r="U37" s="402"/>
      <c r="V37" s="401">
        <v>5</v>
      </c>
    </row>
    <row r="38" spans="1:37" ht="15" customHeight="1">
      <c r="A38" s="388"/>
      <c r="B38" s="393" t="s">
        <v>371</v>
      </c>
      <c r="C38" s="393"/>
      <c r="D38" s="398">
        <v>0</v>
      </c>
      <c r="E38" s="393"/>
      <c r="F38" s="401">
        <v>0</v>
      </c>
      <c r="G38" s="393"/>
      <c r="H38" s="401">
        <v>0</v>
      </c>
      <c r="I38" s="388"/>
      <c r="J38" s="388"/>
      <c r="K38" s="398">
        <v>0</v>
      </c>
      <c r="L38" s="398"/>
      <c r="M38" s="401">
        <v>0</v>
      </c>
      <c r="N38" s="402"/>
      <c r="O38" s="398">
        <v>0</v>
      </c>
      <c r="P38" s="402"/>
      <c r="Q38" s="393"/>
      <c r="R38" s="398">
        <v>0</v>
      </c>
      <c r="S38" s="398"/>
      <c r="T38" s="401">
        <v>0</v>
      </c>
      <c r="U38" s="402"/>
      <c r="V38" s="398">
        <v>0</v>
      </c>
    </row>
    <row r="39" spans="1:37" ht="15" customHeight="1">
      <c r="A39" s="388"/>
      <c r="B39" s="393" t="s">
        <v>364</v>
      </c>
      <c r="C39" s="393"/>
      <c r="D39" s="398">
        <v>8</v>
      </c>
      <c r="E39" s="393"/>
      <c r="F39" s="401">
        <v>0.7</v>
      </c>
      <c r="G39" s="393"/>
      <c r="H39" s="401">
        <v>3.9</v>
      </c>
      <c r="I39" s="388"/>
      <c r="J39" s="388"/>
      <c r="K39" s="398">
        <v>3</v>
      </c>
      <c r="L39" s="766"/>
      <c r="M39" s="401">
        <v>0.34</v>
      </c>
      <c r="N39" s="402"/>
      <c r="O39" s="401">
        <v>3.98</v>
      </c>
      <c r="P39" s="402"/>
      <c r="Q39" s="393"/>
      <c r="R39" s="398">
        <v>3</v>
      </c>
      <c r="S39" s="398"/>
      <c r="T39" s="401">
        <v>0.6</v>
      </c>
      <c r="U39" s="402"/>
      <c r="V39" s="401">
        <v>5</v>
      </c>
    </row>
    <row r="40" spans="1:37" ht="15" customHeight="1">
      <c r="A40" s="388"/>
      <c r="B40" s="393" t="s">
        <v>427</v>
      </c>
      <c r="C40" s="393"/>
      <c r="D40" s="398">
        <v>7</v>
      </c>
      <c r="E40" s="393"/>
      <c r="F40" s="401">
        <v>0.7</v>
      </c>
      <c r="G40" s="393"/>
      <c r="H40" s="401">
        <v>3</v>
      </c>
      <c r="I40" s="388"/>
      <c r="J40" s="388"/>
      <c r="K40" s="398">
        <v>11</v>
      </c>
      <c r="L40" s="767" t="s">
        <v>426</v>
      </c>
      <c r="M40" s="401">
        <v>0.34</v>
      </c>
      <c r="N40" s="402"/>
      <c r="O40" s="401">
        <v>2.57</v>
      </c>
      <c r="P40" s="402"/>
      <c r="Q40" s="393"/>
      <c r="R40" s="398">
        <v>5</v>
      </c>
      <c r="S40" s="399"/>
      <c r="T40" s="401">
        <v>1.2</v>
      </c>
      <c r="U40" s="402"/>
      <c r="V40" s="401">
        <v>4.9000000000000004</v>
      </c>
    </row>
    <row r="41" spans="1:37" ht="15" customHeight="1">
      <c r="A41" s="388"/>
      <c r="B41" s="393"/>
      <c r="C41" s="393"/>
      <c r="D41" s="398"/>
      <c r="E41" s="767"/>
      <c r="F41" s="401"/>
      <c r="G41" s="402"/>
      <c r="H41" s="401"/>
      <c r="I41" s="402"/>
      <c r="J41" s="393"/>
      <c r="K41" s="398"/>
      <c r="L41" s="399"/>
      <c r="M41" s="401"/>
      <c r="N41" s="402"/>
      <c r="O41" s="401"/>
      <c r="P41" s="402"/>
      <c r="Q41" s="393"/>
      <c r="R41" s="398"/>
      <c r="S41" s="393"/>
      <c r="T41" s="402"/>
      <c r="U41" s="403"/>
      <c r="V41" s="402"/>
    </row>
    <row r="42" spans="1:37" ht="15" customHeight="1">
      <c r="A42" s="396" t="s">
        <v>428</v>
      </c>
      <c r="B42" s="393"/>
      <c r="C42" s="393"/>
      <c r="D42" s="398"/>
      <c r="E42" s="393"/>
      <c r="F42" s="402"/>
      <c r="G42" s="403"/>
      <c r="H42" s="402"/>
      <c r="I42" s="402"/>
      <c r="J42" s="393"/>
      <c r="K42" s="398"/>
      <c r="L42" s="393"/>
      <c r="M42" s="402"/>
      <c r="N42" s="403"/>
      <c r="O42" s="402"/>
      <c r="P42" s="402"/>
      <c r="Q42" s="393"/>
      <c r="R42" s="405"/>
      <c r="S42" s="397"/>
      <c r="T42" s="403"/>
      <c r="U42" s="403"/>
      <c r="V42" s="403"/>
    </row>
    <row r="43" spans="1:37" ht="15" customHeight="1">
      <c r="A43" s="393"/>
      <c r="B43" s="393" t="s">
        <v>384</v>
      </c>
      <c r="C43" s="393"/>
      <c r="D43" s="398">
        <v>0</v>
      </c>
      <c r="E43" s="393"/>
      <c r="F43" s="398">
        <v>0</v>
      </c>
      <c r="G43" s="403"/>
      <c r="H43" s="398">
        <v>0</v>
      </c>
      <c r="I43" s="402"/>
      <c r="J43" s="393"/>
      <c r="K43" s="398">
        <v>0</v>
      </c>
      <c r="L43" s="393"/>
      <c r="M43" s="398">
        <v>0</v>
      </c>
      <c r="N43" s="403"/>
      <c r="O43" s="398">
        <v>0</v>
      </c>
      <c r="P43" s="402"/>
      <c r="Q43" s="393"/>
      <c r="R43" s="398">
        <v>0</v>
      </c>
      <c r="S43" s="397"/>
      <c r="T43" s="398">
        <v>0</v>
      </c>
      <c r="U43" s="403"/>
      <c r="V43" s="398">
        <v>0</v>
      </c>
    </row>
    <row r="44" spans="1:37" ht="15" customHeight="1">
      <c r="A44" s="388"/>
      <c r="B44" s="393"/>
      <c r="C44" s="393"/>
      <c r="D44" s="398"/>
      <c r="E44" s="393"/>
      <c r="F44" s="402"/>
      <c r="G44" s="403"/>
      <c r="H44" s="402"/>
      <c r="I44" s="402"/>
      <c r="J44" s="393"/>
      <c r="K44" s="398"/>
      <c r="L44" s="393"/>
      <c r="M44" s="402"/>
      <c r="N44" s="403"/>
      <c r="O44" s="402"/>
      <c r="P44" s="402"/>
      <c r="Q44" s="393"/>
    </row>
    <row r="45" spans="1:37" ht="15" customHeight="1">
      <c r="B45" s="386"/>
      <c r="C45" s="386"/>
      <c r="D45" s="386"/>
      <c r="E45" s="386"/>
      <c r="F45" s="386"/>
      <c r="G45" s="386"/>
      <c r="H45" s="386"/>
      <c r="I45" s="386"/>
      <c r="K45" s="406"/>
      <c r="L45" s="386"/>
      <c r="M45" s="407"/>
      <c r="N45" s="408"/>
      <c r="O45" s="408"/>
      <c r="P45" s="408"/>
      <c r="Q45" s="386"/>
    </row>
    <row r="46" spans="1:37" ht="37.5" customHeight="1">
      <c r="A46" s="241" t="s">
        <v>770</v>
      </c>
      <c r="B46" s="1001" t="s">
        <v>727</v>
      </c>
      <c r="C46" s="1001"/>
      <c r="D46" s="1001"/>
      <c r="E46" s="1001"/>
      <c r="F46" s="1001"/>
      <c r="G46" s="1001"/>
      <c r="H46" s="1001"/>
      <c r="I46" s="1001"/>
      <c r="J46" s="1001"/>
      <c r="K46" s="1001"/>
      <c r="L46" s="1001"/>
      <c r="M46" s="1001"/>
      <c r="N46" s="1001"/>
      <c r="O46" s="1001"/>
      <c r="P46" s="1001"/>
      <c r="Q46" s="1001"/>
      <c r="R46" s="1001"/>
      <c r="S46" s="1001"/>
      <c r="T46" s="1001"/>
      <c r="U46" s="1001"/>
      <c r="V46" s="1001"/>
      <c r="W46" s="1001"/>
      <c r="X46" s="768"/>
      <c r="Y46" s="768"/>
      <c r="Z46" s="768"/>
      <c r="AA46" s="768"/>
      <c r="AB46" s="768"/>
      <c r="AC46" s="768"/>
      <c r="AD46" s="768"/>
    </row>
    <row r="47" spans="1:37" ht="23.25" customHeight="1">
      <c r="A47" s="241" t="s">
        <v>772</v>
      </c>
      <c r="B47" s="1004" t="s">
        <v>442</v>
      </c>
      <c r="C47" s="1004"/>
      <c r="D47" s="1004"/>
      <c r="E47" s="1004"/>
      <c r="F47" s="1004"/>
      <c r="G47" s="1004"/>
      <c r="H47" s="1004"/>
      <c r="I47" s="1004"/>
      <c r="J47" s="1004"/>
      <c r="K47" s="1004"/>
      <c r="L47" s="1004"/>
      <c r="M47" s="1004"/>
      <c r="N47" s="1004"/>
      <c r="O47" s="1004"/>
      <c r="P47" s="1004"/>
      <c r="Q47" s="1004"/>
      <c r="R47" s="1004"/>
      <c r="S47" s="1004"/>
      <c r="T47" s="1004"/>
      <c r="U47" s="1004"/>
      <c r="V47" s="1004"/>
      <c r="W47" s="1004"/>
      <c r="X47" s="769"/>
      <c r="Y47" s="769"/>
      <c r="Z47" s="769"/>
      <c r="AA47" s="769"/>
      <c r="AB47" s="769"/>
      <c r="AC47" s="769"/>
      <c r="AD47" s="769"/>
      <c r="AE47" s="409"/>
      <c r="AF47" s="409"/>
      <c r="AG47" s="409"/>
      <c r="AH47" s="409"/>
      <c r="AI47" s="409"/>
      <c r="AJ47" s="409"/>
      <c r="AK47" s="409"/>
    </row>
    <row r="48" spans="1:37" ht="24" customHeight="1">
      <c r="A48" s="241" t="s">
        <v>798</v>
      </c>
      <c r="B48" s="1004" t="s">
        <v>443</v>
      </c>
      <c r="C48" s="1004"/>
      <c r="D48" s="1004"/>
      <c r="E48" s="1004"/>
      <c r="F48" s="1004"/>
      <c r="G48" s="1004"/>
      <c r="H48" s="1004"/>
      <c r="I48" s="1004"/>
      <c r="J48" s="1004"/>
      <c r="K48" s="1004"/>
      <c r="L48" s="1004"/>
      <c r="M48" s="1004"/>
      <c r="N48" s="1004"/>
      <c r="O48" s="1004"/>
      <c r="P48" s="1004"/>
      <c r="Q48" s="1004"/>
      <c r="R48" s="1004"/>
      <c r="S48" s="1004"/>
      <c r="T48" s="1004"/>
      <c r="U48" s="1004"/>
      <c r="V48" s="1004"/>
      <c r="W48" s="1004"/>
      <c r="X48" s="769"/>
      <c r="Y48" s="769"/>
      <c r="Z48" s="769"/>
      <c r="AA48" s="769"/>
      <c r="AB48" s="769"/>
      <c r="AC48" s="769"/>
      <c r="AD48" s="769"/>
      <c r="AE48" s="409"/>
      <c r="AF48" s="409"/>
      <c r="AG48" s="409"/>
      <c r="AH48" s="409"/>
      <c r="AI48" s="409"/>
      <c r="AJ48" s="409"/>
      <c r="AK48" s="409"/>
    </row>
    <row r="49" spans="1:30">
      <c r="A49" s="241" t="s">
        <v>432</v>
      </c>
      <c r="B49" s="1001" t="s">
        <v>433</v>
      </c>
      <c r="C49" s="1001"/>
      <c r="D49" s="1001"/>
      <c r="E49" s="1001"/>
      <c r="F49" s="1001"/>
      <c r="G49" s="1001"/>
      <c r="H49" s="1001"/>
      <c r="I49" s="1001"/>
      <c r="J49" s="1001"/>
      <c r="K49" s="1001"/>
      <c r="L49" s="1001"/>
      <c r="M49" s="1001"/>
      <c r="N49" s="1001"/>
      <c r="O49" s="1001"/>
      <c r="P49" s="1001"/>
      <c r="Q49" s="1001"/>
      <c r="R49" s="1001"/>
      <c r="S49" s="1001"/>
      <c r="T49" s="1001"/>
      <c r="U49" s="1001"/>
      <c r="V49" s="1001"/>
      <c r="W49" s="1001"/>
      <c r="X49" s="768"/>
      <c r="Y49" s="768"/>
      <c r="Z49" s="768"/>
      <c r="AA49" s="768"/>
      <c r="AB49" s="768"/>
      <c r="AC49" s="768"/>
      <c r="AD49" s="768"/>
    </row>
    <row r="50" spans="1:30">
      <c r="A50" s="241" t="s">
        <v>434</v>
      </c>
      <c r="B50" s="1001" t="s">
        <v>435</v>
      </c>
      <c r="C50" s="1001"/>
      <c r="D50" s="1001"/>
      <c r="E50" s="1001"/>
      <c r="F50" s="1001"/>
      <c r="G50" s="1001"/>
      <c r="H50" s="1001"/>
      <c r="I50" s="1001"/>
      <c r="J50" s="1001"/>
      <c r="K50" s="1001"/>
      <c r="L50" s="1001"/>
      <c r="M50" s="1001"/>
      <c r="N50" s="1001"/>
      <c r="O50" s="1001"/>
      <c r="P50" s="1001"/>
      <c r="Q50" s="1001"/>
      <c r="R50" s="1001"/>
      <c r="S50" s="1001"/>
      <c r="T50" s="1001"/>
      <c r="U50" s="1001"/>
      <c r="V50" s="1001"/>
      <c r="W50" s="1001"/>
      <c r="X50" s="768"/>
      <c r="Y50" s="768"/>
      <c r="Z50" s="768"/>
      <c r="AA50" s="768"/>
      <c r="AB50" s="768"/>
      <c r="AC50" s="768"/>
      <c r="AD50" s="768"/>
    </row>
    <row r="51" spans="1:30">
      <c r="A51" s="241" t="s">
        <v>426</v>
      </c>
      <c r="B51" s="410" t="s">
        <v>436</v>
      </c>
      <c r="C51" s="410"/>
      <c r="D51" s="410"/>
      <c r="E51" s="410"/>
      <c r="F51" s="410"/>
      <c r="G51" s="410"/>
      <c r="H51" s="410"/>
      <c r="I51" s="410"/>
      <c r="J51" s="410"/>
      <c r="K51" s="410"/>
      <c r="L51" s="410"/>
      <c r="M51" s="410"/>
      <c r="N51" s="410"/>
      <c r="O51" s="410"/>
      <c r="P51" s="411"/>
      <c r="Q51" s="410"/>
      <c r="R51" s="410"/>
      <c r="S51" s="410"/>
      <c r="T51" s="410"/>
      <c r="U51" s="410"/>
      <c r="V51" s="410"/>
      <c r="W51" s="410"/>
      <c r="X51" s="768"/>
      <c r="Y51" s="768"/>
      <c r="Z51" s="768"/>
      <c r="AA51" s="768"/>
      <c r="AB51" s="768"/>
      <c r="AC51" s="768"/>
      <c r="AD51" s="768"/>
    </row>
    <row r="52" spans="1:30">
      <c r="A52" s="241" t="s">
        <v>430</v>
      </c>
      <c r="B52" s="410" t="s">
        <v>437</v>
      </c>
      <c r="C52" s="410"/>
      <c r="D52" s="410"/>
      <c r="E52" s="410"/>
      <c r="F52" s="410"/>
      <c r="G52" s="410"/>
      <c r="H52" s="410"/>
      <c r="I52" s="410"/>
      <c r="J52" s="410"/>
      <c r="K52" s="410"/>
      <c r="L52" s="410"/>
      <c r="M52" s="410"/>
      <c r="N52" s="410"/>
      <c r="O52" s="410"/>
      <c r="P52" s="411"/>
      <c r="Q52" s="410"/>
      <c r="R52" s="410"/>
      <c r="S52" s="410"/>
      <c r="T52" s="410"/>
      <c r="U52" s="410"/>
      <c r="V52" s="410"/>
      <c r="W52" s="410"/>
      <c r="X52" s="768"/>
      <c r="Y52" s="768"/>
      <c r="Z52" s="768"/>
      <c r="AA52" s="768"/>
      <c r="AB52" s="768"/>
      <c r="AC52" s="768"/>
      <c r="AD52" s="768"/>
    </row>
    <row r="53" spans="1:30">
      <c r="A53" s="241" t="s">
        <v>438</v>
      </c>
      <c r="B53" s="411" t="s">
        <v>439</v>
      </c>
      <c r="C53" s="410"/>
      <c r="D53" s="410"/>
      <c r="E53" s="410"/>
      <c r="F53" s="410"/>
      <c r="G53" s="410"/>
      <c r="H53" s="410"/>
      <c r="I53" s="410"/>
      <c r="J53" s="410"/>
      <c r="K53" s="410"/>
      <c r="L53" s="410"/>
      <c r="M53" s="410"/>
      <c r="N53" s="410"/>
      <c r="O53" s="410"/>
      <c r="P53" s="411"/>
      <c r="Q53" s="410"/>
      <c r="R53" s="410"/>
      <c r="S53" s="410"/>
      <c r="T53" s="410"/>
      <c r="U53" s="410"/>
      <c r="V53" s="410"/>
      <c r="W53" s="410"/>
      <c r="X53" s="768"/>
      <c r="Y53" s="768"/>
      <c r="Z53" s="768"/>
      <c r="AA53" s="768"/>
      <c r="AB53" s="768"/>
      <c r="AC53" s="768"/>
      <c r="AD53" s="768"/>
    </row>
    <row r="54" spans="1:30">
      <c r="A54" s="241" t="s">
        <v>422</v>
      </c>
      <c r="B54" s="411" t="s">
        <v>440</v>
      </c>
      <c r="C54" s="410"/>
      <c r="D54" s="410"/>
      <c r="E54" s="410"/>
      <c r="F54" s="410"/>
      <c r="G54" s="410"/>
      <c r="H54" s="410"/>
      <c r="I54" s="410"/>
      <c r="J54" s="410"/>
      <c r="K54" s="410"/>
      <c r="L54" s="410"/>
      <c r="M54" s="410"/>
      <c r="N54" s="410"/>
      <c r="O54" s="410"/>
      <c r="P54" s="411"/>
      <c r="Q54" s="410"/>
      <c r="R54" s="410"/>
      <c r="S54" s="410"/>
      <c r="T54" s="410"/>
      <c r="U54" s="410"/>
      <c r="V54" s="410"/>
      <c r="W54" s="410"/>
      <c r="X54" s="768"/>
      <c r="Y54" s="768"/>
      <c r="Z54" s="768"/>
      <c r="AA54" s="768"/>
      <c r="AB54" s="768"/>
      <c r="AC54" s="768"/>
      <c r="AD54" s="768"/>
    </row>
    <row r="55" spans="1:30">
      <c r="A55" s="241" t="s">
        <v>421</v>
      </c>
      <c r="B55" s="411" t="s">
        <v>441</v>
      </c>
      <c r="C55" s="410"/>
      <c r="D55" s="410"/>
      <c r="E55" s="410"/>
      <c r="F55" s="410"/>
      <c r="G55" s="410"/>
      <c r="H55" s="410"/>
      <c r="I55" s="410"/>
      <c r="J55" s="410"/>
      <c r="K55" s="410"/>
      <c r="L55" s="410"/>
      <c r="M55" s="410"/>
      <c r="N55" s="410"/>
      <c r="O55" s="410"/>
      <c r="P55" s="411"/>
      <c r="Q55" s="410"/>
      <c r="R55" s="410"/>
      <c r="S55" s="410"/>
      <c r="T55" s="410"/>
      <c r="U55" s="410"/>
      <c r="V55" s="410"/>
      <c r="W55" s="410"/>
      <c r="X55" s="768"/>
      <c r="Y55" s="768"/>
      <c r="Z55" s="768"/>
      <c r="AA55" s="768"/>
      <c r="AB55" s="768"/>
      <c r="AC55" s="768"/>
      <c r="AD55" s="768"/>
    </row>
    <row r="56" spans="1:30">
      <c r="A56" s="241" t="s">
        <v>420</v>
      </c>
      <c r="B56" s="411" t="s">
        <v>998</v>
      </c>
      <c r="C56" s="410"/>
      <c r="D56" s="410"/>
      <c r="E56" s="410"/>
      <c r="F56" s="410"/>
      <c r="G56" s="410"/>
      <c r="H56" s="410"/>
      <c r="I56" s="410"/>
      <c r="J56" s="410"/>
      <c r="K56" s="410"/>
      <c r="L56" s="410"/>
      <c r="M56" s="410"/>
      <c r="N56" s="410"/>
      <c r="O56" s="410"/>
      <c r="P56" s="411"/>
      <c r="Q56" s="410"/>
      <c r="R56" s="410"/>
      <c r="S56" s="410"/>
      <c r="T56" s="410"/>
      <c r="U56" s="410"/>
      <c r="V56" s="410"/>
      <c r="W56" s="410"/>
      <c r="X56" s="768"/>
      <c r="Y56" s="768"/>
      <c r="Z56" s="768"/>
      <c r="AA56" s="768"/>
      <c r="AB56" s="768"/>
      <c r="AC56" s="768"/>
      <c r="AD56" s="768"/>
    </row>
    <row r="57" spans="1:30">
      <c r="A57" s="869" t="s">
        <v>429</v>
      </c>
      <c r="B57" s="1002" t="s">
        <v>42</v>
      </c>
      <c r="C57" s="1002"/>
      <c r="D57" s="1002"/>
      <c r="E57" s="1002"/>
      <c r="F57" s="1002"/>
      <c r="G57" s="1002"/>
      <c r="H57" s="1002"/>
      <c r="I57" s="1002"/>
      <c r="J57" s="1002"/>
      <c r="K57" s="1002"/>
      <c r="L57" s="1002"/>
      <c r="M57" s="1002"/>
      <c r="N57" s="1002"/>
      <c r="O57" s="1002"/>
      <c r="P57" s="1002"/>
      <c r="Q57" s="1002"/>
      <c r="R57" s="1002"/>
      <c r="S57" s="1002"/>
      <c r="T57" s="1002"/>
      <c r="U57" s="1002"/>
      <c r="V57" s="1002"/>
      <c r="W57" s="1002"/>
      <c r="X57" s="1002"/>
      <c r="Y57" s="1002"/>
      <c r="Z57" s="1002"/>
      <c r="AA57" s="1002"/>
      <c r="AB57" s="1002"/>
      <c r="AC57" s="1002"/>
      <c r="AD57" s="1002"/>
    </row>
    <row r="58" spans="1:30">
      <c r="A58" s="412"/>
      <c r="B58" s="412"/>
      <c r="C58" s="412"/>
      <c r="D58" s="412"/>
      <c r="E58" s="412"/>
      <c r="F58" s="412"/>
      <c r="G58" s="412"/>
      <c r="H58" s="412"/>
      <c r="I58" s="412"/>
      <c r="J58" s="412"/>
      <c r="K58" s="412"/>
      <c r="L58" s="412"/>
      <c r="M58" s="412"/>
      <c r="N58" s="412"/>
      <c r="O58" s="412"/>
      <c r="P58" s="413"/>
      <c r="Q58" s="412"/>
      <c r="R58" s="412"/>
      <c r="S58" s="412"/>
      <c r="T58" s="412"/>
      <c r="U58" s="412"/>
      <c r="V58" s="412"/>
      <c r="W58" s="412"/>
    </row>
    <row r="59" spans="1:30">
      <c r="A59" s="412"/>
      <c r="B59" s="412"/>
      <c r="C59" s="412"/>
      <c r="D59" s="412"/>
      <c r="E59" s="412"/>
      <c r="F59" s="412"/>
      <c r="G59" s="412"/>
      <c r="H59" s="412"/>
      <c r="I59" s="412"/>
      <c r="J59" s="412"/>
      <c r="K59" s="412"/>
      <c r="L59" s="412"/>
      <c r="M59" s="412"/>
      <c r="N59" s="412"/>
      <c r="O59" s="412"/>
      <c r="P59" s="413"/>
      <c r="Q59" s="412"/>
      <c r="R59" s="412"/>
      <c r="S59" s="412"/>
      <c r="T59" s="412"/>
      <c r="U59" s="412"/>
      <c r="V59" s="412"/>
      <c r="W59" s="412"/>
    </row>
    <row r="60" spans="1:30">
      <c r="A60" s="412"/>
      <c r="B60" s="412"/>
      <c r="C60" s="412"/>
      <c r="D60" s="412"/>
      <c r="E60" s="412"/>
      <c r="F60" s="412"/>
      <c r="G60" s="412"/>
      <c r="H60" s="412"/>
      <c r="I60" s="412"/>
      <c r="J60" s="412"/>
      <c r="K60" s="412"/>
      <c r="L60" s="412"/>
      <c r="M60" s="412"/>
      <c r="N60" s="412"/>
      <c r="O60" s="412"/>
      <c r="P60" s="413"/>
      <c r="Q60" s="412"/>
      <c r="R60" s="412"/>
      <c r="S60" s="412"/>
      <c r="T60" s="412"/>
      <c r="U60" s="412"/>
      <c r="V60" s="412"/>
      <c r="W60" s="412"/>
    </row>
    <row r="61" spans="1:30">
      <c r="A61" s="412"/>
      <c r="B61" s="412"/>
      <c r="C61" s="412"/>
      <c r="D61" s="412"/>
      <c r="E61" s="412"/>
      <c r="F61" s="412"/>
      <c r="G61" s="412"/>
      <c r="H61" s="412"/>
      <c r="I61" s="412"/>
      <c r="J61" s="412"/>
      <c r="K61" s="412"/>
      <c r="L61" s="412"/>
      <c r="M61" s="412"/>
      <c r="N61" s="412"/>
      <c r="O61" s="412"/>
      <c r="P61" s="413"/>
      <c r="Q61" s="412"/>
      <c r="R61" s="412"/>
      <c r="S61" s="412"/>
      <c r="T61" s="412"/>
      <c r="U61" s="412"/>
      <c r="V61" s="412"/>
      <c r="W61" s="412"/>
    </row>
  </sheetData>
  <mergeCells count="22">
    <mergeCell ref="D5:H5"/>
    <mergeCell ref="K5:O5"/>
    <mergeCell ref="R5:V5"/>
    <mergeCell ref="A1:W1"/>
    <mergeCell ref="A2:W2"/>
    <mergeCell ref="A3:W3"/>
    <mergeCell ref="A4:B4"/>
    <mergeCell ref="D6:H6"/>
    <mergeCell ref="K6:O6"/>
    <mergeCell ref="R6:V6"/>
    <mergeCell ref="D25:H25"/>
    <mergeCell ref="K25:O25"/>
    <mergeCell ref="R25:V25"/>
    <mergeCell ref="B49:W49"/>
    <mergeCell ref="B50:W50"/>
    <mergeCell ref="B57:AD57"/>
    <mergeCell ref="D26:H26"/>
    <mergeCell ref="K26:O26"/>
    <mergeCell ref="B46:W46"/>
    <mergeCell ref="B47:W47"/>
    <mergeCell ref="R26:V26"/>
    <mergeCell ref="B48:W48"/>
  </mergeCells>
  <phoneticPr fontId="24" type="noConversion"/>
  <printOptions horizontalCentered="1"/>
  <pageMargins left="0.25" right="0.25" top="0.5" bottom="0.25" header="0.3" footer="0.5"/>
  <pageSetup scale="67" orientation="landscape" r:id="rId1"/>
  <headerFooter alignWithMargins="0">
    <oddFooter>&amp;R&amp;A</oddFooter>
  </headerFooter>
  <ignoredErrors>
    <ignoredError sqref="S11:S13 A46:A56 L40 L31 E31 S34" numberStoredAsText="1"/>
  </ignoredErrors>
</worksheet>
</file>

<file path=xl/worksheets/sheet19.xml><?xml version="1.0" encoding="utf-8"?>
<worksheet xmlns="http://schemas.openxmlformats.org/spreadsheetml/2006/main" xmlns:r="http://schemas.openxmlformats.org/officeDocument/2006/relationships">
  <dimension ref="A1:AE452"/>
  <sheetViews>
    <sheetView zoomScale="75" zoomScaleNormal="75" workbookViewId="0"/>
  </sheetViews>
  <sheetFormatPr defaultColWidth="9.109375" defaultRowHeight="10.199999999999999"/>
  <cols>
    <col min="1" max="1" width="2.6640625" style="202" customWidth="1"/>
    <col min="2" max="2" width="43" style="202" customWidth="1"/>
    <col min="3" max="3" width="2.44140625" style="202" customWidth="1"/>
    <col min="4" max="4" width="8.44140625" style="202" customWidth="1"/>
    <col min="5" max="6" width="2.44140625" style="202" customWidth="1"/>
    <col min="7" max="7" width="8.44140625" style="202" customWidth="1"/>
    <col min="8" max="9" width="2.44140625" style="202" customWidth="1"/>
    <col min="10" max="10" width="8.44140625" style="202" customWidth="1"/>
    <col min="11" max="12" width="2.44140625" style="202" customWidth="1"/>
    <col min="13" max="13" width="8.44140625" style="202" customWidth="1"/>
    <col min="14" max="15" width="2.44140625" style="202" customWidth="1"/>
    <col min="16" max="16" width="8.44140625" style="202" customWidth="1"/>
    <col min="17" max="18" width="2.44140625" style="202" customWidth="1"/>
    <col min="19" max="19" width="8.44140625" style="202" customWidth="1"/>
    <col min="20" max="21" width="2.44140625" style="202" customWidth="1"/>
    <col min="22" max="22" width="8.44140625" style="202" customWidth="1"/>
    <col min="23" max="24" width="2.44140625" style="202" customWidth="1"/>
    <col min="25" max="25" width="8.44140625" style="202" customWidth="1"/>
    <col min="26" max="26" width="2.44140625" style="202" customWidth="1"/>
    <col min="27" max="27" width="8.44140625" style="202" customWidth="1"/>
    <col min="28" max="28" width="2.44140625" style="202" customWidth="1"/>
    <col min="29" max="29" width="8.44140625" style="202" customWidth="1"/>
    <col min="30" max="30" width="2.44140625" style="202" customWidth="1"/>
    <col min="31" max="31" width="8.44140625" style="202" customWidth="1"/>
    <col min="32" max="39" width="8" style="202" customWidth="1"/>
    <col min="40" max="16384" width="9.109375" style="202"/>
  </cols>
  <sheetData>
    <row r="1" spans="1:31" ht="13.2">
      <c r="B1" s="1009" t="s">
        <v>96</v>
      </c>
      <c r="C1" s="1009"/>
      <c r="D1" s="1009"/>
      <c r="E1" s="1009"/>
      <c r="F1" s="1009"/>
      <c r="G1" s="1009"/>
      <c r="H1" s="1009"/>
      <c r="I1" s="1009"/>
      <c r="J1" s="1009"/>
      <c r="K1" s="1009"/>
      <c r="L1" s="1009"/>
      <c r="M1" s="1009"/>
      <c r="N1" s="1009"/>
      <c r="O1" s="1009"/>
      <c r="P1" s="1009"/>
      <c r="Q1" s="1009"/>
      <c r="R1" s="1009"/>
      <c r="S1" s="1009"/>
      <c r="T1" s="1009"/>
      <c r="U1" s="1009"/>
      <c r="V1" s="1009"/>
      <c r="W1" s="1009"/>
      <c r="X1" s="1009"/>
      <c r="Y1" s="1009"/>
      <c r="Z1" s="1009"/>
      <c r="AA1" s="536"/>
      <c r="AB1" s="536"/>
      <c r="AC1" s="536"/>
      <c r="AD1" s="536"/>
      <c r="AE1" s="536"/>
    </row>
    <row r="2" spans="1:31" ht="13.2">
      <c r="B2" s="1010" t="s">
        <v>35</v>
      </c>
      <c r="C2" s="1010"/>
      <c r="D2" s="1010"/>
      <c r="E2" s="1010"/>
      <c r="F2" s="1010"/>
      <c r="G2" s="1010"/>
      <c r="H2" s="1010"/>
      <c r="I2" s="1010"/>
      <c r="J2" s="1010"/>
      <c r="K2" s="1010"/>
      <c r="L2" s="1010"/>
      <c r="M2" s="1010"/>
      <c r="N2" s="1010"/>
      <c r="O2" s="1010"/>
      <c r="P2" s="1010"/>
      <c r="Q2" s="1010"/>
      <c r="R2" s="1010"/>
      <c r="S2" s="1010"/>
      <c r="T2" s="1010"/>
      <c r="U2" s="1010"/>
      <c r="V2" s="1010"/>
      <c r="W2" s="1010"/>
      <c r="X2" s="1010"/>
      <c r="Y2" s="1010"/>
      <c r="Z2" s="1010"/>
      <c r="AA2" s="927"/>
      <c r="AB2" s="927"/>
      <c r="AC2" s="927"/>
      <c r="AD2" s="927"/>
      <c r="AE2" s="927"/>
    </row>
    <row r="3" spans="1:31" ht="13.2">
      <c r="B3" s="1010" t="s">
        <v>800</v>
      </c>
      <c r="C3" s="1010"/>
      <c r="D3" s="1010"/>
      <c r="E3" s="1010"/>
      <c r="F3" s="1010"/>
      <c r="G3" s="1010"/>
      <c r="H3" s="1010"/>
      <c r="I3" s="1010"/>
      <c r="J3" s="1010"/>
      <c r="K3" s="1010"/>
      <c r="L3" s="1010"/>
      <c r="M3" s="1010"/>
      <c r="N3" s="1010"/>
      <c r="O3" s="1010"/>
      <c r="P3" s="1010"/>
      <c r="Q3" s="1010"/>
      <c r="R3" s="1010"/>
      <c r="S3" s="1010"/>
      <c r="T3" s="1010"/>
      <c r="U3" s="1010"/>
      <c r="V3" s="1010"/>
      <c r="W3" s="1010"/>
      <c r="X3" s="1010"/>
      <c r="Y3" s="1010"/>
      <c r="Z3" s="1010"/>
      <c r="AA3" s="927"/>
      <c r="AB3" s="927"/>
      <c r="AC3" s="927"/>
      <c r="AD3" s="927"/>
      <c r="AE3" s="927"/>
    </row>
    <row r="4" spans="1:31" ht="13.2">
      <c r="B4" s="367"/>
      <c r="C4" s="367"/>
      <c r="D4" s="367"/>
      <c r="E4" s="367"/>
      <c r="F4" s="367"/>
      <c r="G4" s="367"/>
      <c r="H4" s="367"/>
      <c r="I4" s="367"/>
      <c r="J4" s="367"/>
      <c r="K4" s="367"/>
      <c r="L4" s="367"/>
      <c r="M4" s="367"/>
      <c r="N4" s="367"/>
      <c r="O4" s="367"/>
      <c r="P4" s="367"/>
      <c r="Q4" s="367"/>
      <c r="R4" s="367"/>
      <c r="T4" s="367"/>
      <c r="U4" s="367"/>
      <c r="V4" s="367"/>
      <c r="W4" s="367"/>
      <c r="X4" s="367"/>
      <c r="Y4" s="367"/>
      <c r="Z4" s="367"/>
      <c r="AA4" s="367"/>
      <c r="AB4" s="367"/>
      <c r="AC4" s="367"/>
      <c r="AD4" s="367"/>
    </row>
    <row r="5" spans="1:31" ht="11.4">
      <c r="B5" s="221"/>
      <c r="G5" s="221"/>
      <c r="H5" s="221"/>
      <c r="T5" s="239"/>
      <c r="U5" s="239"/>
      <c r="V5" s="239"/>
      <c r="W5" s="221"/>
      <c r="X5" s="221"/>
    </row>
    <row r="6" spans="1:31" ht="11.4">
      <c r="B6" s="368"/>
      <c r="G6" s="369"/>
      <c r="H6" s="369"/>
      <c r="T6" s="239"/>
      <c r="U6" s="239"/>
      <c r="V6" s="239"/>
      <c r="W6" s="369"/>
      <c r="X6" s="369"/>
    </row>
    <row r="7" spans="1:31" ht="15" customHeight="1">
      <c r="B7" s="368"/>
      <c r="C7" s="975" t="s">
        <v>99</v>
      </c>
      <c r="D7" s="975"/>
      <c r="E7" s="975"/>
      <c r="F7" s="975"/>
      <c r="G7" s="975"/>
      <c r="H7" s="975"/>
      <c r="I7" s="975"/>
      <c r="J7" s="975"/>
      <c r="K7" s="975"/>
      <c r="L7" s="975"/>
      <c r="M7" s="975"/>
      <c r="N7" s="975"/>
      <c r="O7" s="975"/>
      <c r="P7" s="975"/>
      <c r="Q7" s="975"/>
      <c r="R7" s="975"/>
      <c r="S7" s="975"/>
      <c r="T7" s="240"/>
      <c r="U7" s="239"/>
      <c r="V7" s="975" t="s">
        <v>100</v>
      </c>
      <c r="W7" s="975"/>
      <c r="X7" s="975"/>
      <c r="Y7" s="975"/>
    </row>
    <row r="8" spans="1:31" ht="12" thickBot="1">
      <c r="B8" s="368"/>
      <c r="C8" s="6"/>
      <c r="D8" s="6"/>
      <c r="E8" s="6"/>
      <c r="F8" s="6"/>
      <c r="G8" s="6"/>
      <c r="H8" s="6"/>
      <c r="I8" s="6"/>
      <c r="J8" s="6"/>
      <c r="K8" s="6"/>
      <c r="L8" s="6"/>
      <c r="M8" s="6"/>
      <c r="N8" s="6"/>
      <c r="O8" s="6"/>
      <c r="P8" s="6"/>
      <c r="Q8" s="6"/>
      <c r="R8" s="6"/>
      <c r="S8" s="6"/>
      <c r="T8" s="239"/>
      <c r="U8" s="239"/>
      <c r="V8" s="239"/>
      <c r="X8" s="6"/>
      <c r="Y8" s="6"/>
      <c r="Z8" s="6"/>
      <c r="AA8" s="6"/>
      <c r="AB8" s="6"/>
      <c r="AC8" s="6"/>
      <c r="AD8" s="6"/>
      <c r="AE8" s="6"/>
    </row>
    <row r="9" spans="1:31" ht="11.4">
      <c r="B9" s="368"/>
      <c r="C9" s="7"/>
      <c r="D9" s="850" t="s">
        <v>21</v>
      </c>
      <c r="E9" s="854"/>
      <c r="F9" s="6"/>
      <c r="G9" s="6" t="s">
        <v>20</v>
      </c>
      <c r="H9" s="6"/>
      <c r="I9" s="6"/>
      <c r="J9" s="6" t="s">
        <v>19</v>
      </c>
      <c r="K9" s="6"/>
      <c r="L9" s="6"/>
      <c r="M9" s="6" t="s">
        <v>22</v>
      </c>
      <c r="N9" s="6"/>
      <c r="O9" s="7"/>
      <c r="P9" s="850" t="s">
        <v>21</v>
      </c>
      <c r="Q9" s="854"/>
      <c r="R9" s="6"/>
      <c r="S9" s="6" t="s">
        <v>20</v>
      </c>
      <c r="T9" s="6"/>
      <c r="U9" s="240"/>
      <c r="V9" s="105" t="s">
        <v>21</v>
      </c>
      <c r="W9" s="925"/>
      <c r="X9" s="74"/>
      <c r="Y9" s="926" t="s">
        <v>21</v>
      </c>
      <c r="Z9" s="6"/>
      <c r="AA9" s="66"/>
      <c r="AB9" s="5"/>
      <c r="AC9" s="6"/>
      <c r="AD9" s="66"/>
      <c r="AE9" s="5"/>
    </row>
    <row r="10" spans="1:31" ht="11.4">
      <c r="B10" s="368"/>
      <c r="C10" s="851"/>
      <c r="D10" s="13">
        <v>2012</v>
      </c>
      <c r="E10" s="14"/>
      <c r="G10" s="193">
        <v>2012</v>
      </c>
      <c r="J10" s="193">
        <v>2011</v>
      </c>
      <c r="M10" s="193">
        <v>2011</v>
      </c>
      <c r="O10" s="851"/>
      <c r="P10" s="13">
        <v>2011</v>
      </c>
      <c r="Q10" s="14"/>
      <c r="S10" s="193">
        <v>2011</v>
      </c>
      <c r="U10" s="240"/>
      <c r="V10" s="193">
        <v>2012</v>
      </c>
      <c r="W10" s="925"/>
      <c r="X10" s="74"/>
      <c r="Y10" s="193">
        <v>2011</v>
      </c>
      <c r="AB10" s="5"/>
      <c r="AD10" s="6"/>
    </row>
    <row r="11" spans="1:31" ht="11.4">
      <c r="B11" s="368"/>
      <c r="C11" s="851"/>
      <c r="D11" s="6"/>
      <c r="E11" s="14"/>
      <c r="G11" s="6"/>
      <c r="J11" s="6"/>
      <c r="M11" s="6"/>
      <c r="O11" s="851"/>
      <c r="P11" s="6"/>
      <c r="Q11" s="14"/>
      <c r="S11" s="6"/>
      <c r="U11" s="240"/>
      <c r="V11" s="239"/>
      <c r="X11" s="6"/>
      <c r="AB11" s="5"/>
      <c r="AD11" s="6"/>
    </row>
    <row r="12" spans="1:31" ht="13.8">
      <c r="A12" s="847" t="s">
        <v>1106</v>
      </c>
      <c r="B12" s="847"/>
      <c r="C12" s="851"/>
      <c r="D12" s="373"/>
      <c r="E12" s="855"/>
      <c r="O12" s="851"/>
      <c r="P12" s="373"/>
      <c r="Q12" s="855"/>
      <c r="U12" s="372"/>
      <c r="V12" s="372"/>
      <c r="X12" s="373"/>
    </row>
    <row r="13" spans="1:31" ht="11.4">
      <c r="A13" s="848" t="s">
        <v>12</v>
      </c>
      <c r="B13" s="848"/>
      <c r="C13" s="860"/>
      <c r="D13" s="877">
        <v>71.599999999999994</v>
      </c>
      <c r="E13" s="857"/>
      <c r="F13" s="858"/>
      <c r="G13" s="859">
        <v>78.400000000000006</v>
      </c>
      <c r="H13" s="858"/>
      <c r="I13" s="858"/>
      <c r="J13" s="859">
        <v>75.3</v>
      </c>
      <c r="K13" s="858"/>
      <c r="L13" s="858"/>
      <c r="M13" s="859">
        <v>73.900000000000006</v>
      </c>
      <c r="N13" s="858"/>
      <c r="O13" s="860"/>
      <c r="P13" s="877">
        <v>67.900000000000006</v>
      </c>
      <c r="Q13" s="857"/>
      <c r="R13" s="858"/>
      <c r="S13" s="859">
        <v>75.099999999999994</v>
      </c>
      <c r="T13" s="858"/>
      <c r="U13" s="861"/>
      <c r="V13" s="859">
        <v>75</v>
      </c>
      <c r="X13" s="861"/>
      <c r="Y13" s="859">
        <v>71.5</v>
      </c>
      <c r="Z13" s="858"/>
      <c r="AB13" s="858"/>
      <c r="AD13" s="858"/>
    </row>
    <row r="14" spans="1:31" ht="11.4">
      <c r="A14" s="848" t="s">
        <v>13</v>
      </c>
      <c r="B14" s="848"/>
      <c r="C14" s="860"/>
      <c r="D14" s="878">
        <v>66.599999999999994</v>
      </c>
      <c r="E14" s="862"/>
      <c r="F14" s="858"/>
      <c r="G14" s="863">
        <v>71.3</v>
      </c>
      <c r="H14" s="858"/>
      <c r="I14" s="858"/>
      <c r="J14" s="863">
        <v>68.599999999999994</v>
      </c>
      <c r="K14" s="858"/>
      <c r="L14" s="858"/>
      <c r="M14" s="863">
        <v>70.400000000000006</v>
      </c>
      <c r="N14" s="858"/>
      <c r="O14" s="860"/>
      <c r="P14" s="878">
        <v>73.599999999999994</v>
      </c>
      <c r="Q14" s="862"/>
      <c r="R14" s="858"/>
      <c r="S14" s="863">
        <v>77.3</v>
      </c>
      <c r="T14" s="858"/>
      <c r="U14" s="861"/>
      <c r="V14" s="859">
        <v>69</v>
      </c>
      <c r="X14" s="864"/>
      <c r="Y14" s="859">
        <v>75.5</v>
      </c>
      <c r="Z14" s="858"/>
      <c r="AB14" s="858"/>
      <c r="AD14" s="858"/>
    </row>
    <row r="15" spans="1:31" ht="11.4">
      <c r="A15" s="848" t="s">
        <v>14</v>
      </c>
      <c r="B15" s="848"/>
      <c r="C15" s="860"/>
      <c r="D15" s="878">
        <v>67.7</v>
      </c>
      <c r="E15" s="862"/>
      <c r="F15" s="858"/>
      <c r="G15" s="863">
        <v>65.2</v>
      </c>
      <c r="H15" s="858"/>
      <c r="I15" s="858"/>
      <c r="J15" s="863">
        <v>78.400000000000006</v>
      </c>
      <c r="K15" s="858"/>
      <c r="L15" s="858"/>
      <c r="M15" s="863">
        <v>83.9</v>
      </c>
      <c r="N15" s="858"/>
      <c r="O15" s="860"/>
      <c r="P15" s="878">
        <v>68.2</v>
      </c>
      <c r="Q15" s="862"/>
      <c r="R15" s="858"/>
      <c r="S15" s="863">
        <v>80.099999999999994</v>
      </c>
      <c r="T15" s="858"/>
      <c r="U15" s="861"/>
      <c r="V15" s="859">
        <v>66.400000000000006</v>
      </c>
      <c r="X15" s="864"/>
      <c r="Y15" s="859">
        <v>74.2</v>
      </c>
      <c r="Z15" s="858"/>
      <c r="AB15" s="858"/>
      <c r="AD15" s="858"/>
    </row>
    <row r="16" spans="1:31" ht="11.4">
      <c r="A16" s="848" t="s">
        <v>15</v>
      </c>
      <c r="B16" s="848"/>
      <c r="C16" s="860"/>
      <c r="D16" s="878">
        <v>70.3</v>
      </c>
      <c r="E16" s="857"/>
      <c r="F16" s="858"/>
      <c r="G16" s="863">
        <v>72.7</v>
      </c>
      <c r="H16" s="858"/>
      <c r="I16" s="858"/>
      <c r="J16" s="863">
        <v>70.400000000000006</v>
      </c>
      <c r="K16" s="858"/>
      <c r="L16" s="858"/>
      <c r="M16" s="863">
        <v>70</v>
      </c>
      <c r="N16" s="858"/>
      <c r="O16" s="860"/>
      <c r="P16" s="878">
        <v>74.900000000000006</v>
      </c>
      <c r="Q16" s="857"/>
      <c r="R16" s="858"/>
      <c r="S16" s="863">
        <v>71.3</v>
      </c>
      <c r="T16" s="858"/>
      <c r="U16" s="861"/>
      <c r="V16" s="859">
        <v>71.5</v>
      </c>
      <c r="X16" s="861"/>
      <c r="Y16" s="859">
        <v>73.099999999999994</v>
      </c>
      <c r="Z16" s="858"/>
      <c r="AB16" s="858"/>
      <c r="AD16" s="858"/>
    </row>
    <row r="17" spans="1:31" ht="11.4">
      <c r="A17" s="848" t="s">
        <v>16</v>
      </c>
      <c r="B17" s="848"/>
      <c r="C17" s="860"/>
      <c r="D17" s="878">
        <v>81.5</v>
      </c>
      <c r="E17" s="865"/>
      <c r="F17" s="858"/>
      <c r="G17" s="863">
        <v>74.5</v>
      </c>
      <c r="H17" s="858"/>
      <c r="I17" s="858"/>
      <c r="J17" s="863">
        <v>61.9</v>
      </c>
      <c r="K17" s="858"/>
      <c r="L17" s="858"/>
      <c r="M17" s="863">
        <v>64.8</v>
      </c>
      <c r="N17" s="858"/>
      <c r="O17" s="860"/>
      <c r="P17" s="878">
        <v>75</v>
      </c>
      <c r="Q17" s="865"/>
      <c r="R17" s="858"/>
      <c r="S17" s="863">
        <v>60.7</v>
      </c>
      <c r="T17" s="858"/>
      <c r="U17" s="718"/>
      <c r="V17" s="859">
        <v>78</v>
      </c>
      <c r="X17" s="718"/>
      <c r="Y17" s="859">
        <v>67.900000000000006</v>
      </c>
      <c r="Z17" s="858"/>
      <c r="AB17" s="858"/>
      <c r="AD17" s="858"/>
    </row>
    <row r="18" spans="1:31" ht="11.4">
      <c r="A18" s="848"/>
      <c r="B18" s="848"/>
      <c r="C18" s="860"/>
      <c r="D18" s="879"/>
      <c r="E18" s="866"/>
      <c r="F18" s="858"/>
      <c r="G18" s="858"/>
      <c r="H18" s="858"/>
      <c r="I18" s="858"/>
      <c r="J18" s="858"/>
      <c r="K18" s="858"/>
      <c r="L18" s="858"/>
      <c r="M18" s="858"/>
      <c r="N18" s="858"/>
      <c r="O18" s="860"/>
      <c r="P18" s="879"/>
      <c r="Q18" s="866"/>
      <c r="R18" s="858"/>
      <c r="S18" s="858"/>
      <c r="T18" s="858"/>
      <c r="U18" s="718"/>
      <c r="V18" s="859"/>
      <c r="X18" s="858"/>
      <c r="Y18" s="859"/>
      <c r="Z18" s="858"/>
      <c r="AB18" s="858"/>
      <c r="AD18" s="858"/>
    </row>
    <row r="19" spans="1:31" ht="11.4">
      <c r="A19" s="848" t="s">
        <v>17</v>
      </c>
      <c r="B19" s="848"/>
      <c r="C19" s="860"/>
      <c r="D19" s="878">
        <v>68.7</v>
      </c>
      <c r="E19" s="866"/>
      <c r="F19" s="867"/>
      <c r="G19" s="863">
        <v>67.599999999999994</v>
      </c>
      <c r="H19" s="867"/>
      <c r="I19" s="867"/>
      <c r="J19" s="863">
        <v>68.3</v>
      </c>
      <c r="K19" s="867"/>
      <c r="L19" s="867"/>
      <c r="M19" s="863">
        <v>66</v>
      </c>
      <c r="N19" s="867"/>
      <c r="O19" s="860"/>
      <c r="P19" s="878">
        <v>74.7</v>
      </c>
      <c r="Q19" s="866"/>
      <c r="R19" s="867"/>
      <c r="S19" s="863">
        <v>67.599999999999994</v>
      </c>
      <c r="T19" s="867"/>
      <c r="U19" s="718"/>
      <c r="V19" s="859">
        <v>68.099999999999994</v>
      </c>
      <c r="X19" s="867"/>
      <c r="Y19" s="877">
        <v>71.099999999999994</v>
      </c>
      <c r="Z19" s="867"/>
      <c r="AB19" s="858"/>
      <c r="AD19" s="858"/>
    </row>
    <row r="20" spans="1:31" ht="11.4">
      <c r="A20" s="848"/>
      <c r="B20" s="848"/>
      <c r="C20" s="860"/>
      <c r="D20" s="878"/>
      <c r="E20" s="866"/>
      <c r="F20" s="858"/>
      <c r="G20" s="863"/>
      <c r="H20" s="858"/>
      <c r="I20" s="858"/>
      <c r="J20" s="863"/>
      <c r="K20" s="858"/>
      <c r="L20" s="858"/>
      <c r="M20" s="863"/>
      <c r="N20" s="858"/>
      <c r="O20" s="860"/>
      <c r="P20" s="878"/>
      <c r="Q20" s="866"/>
      <c r="R20" s="858"/>
      <c r="S20" s="863"/>
      <c r="T20" s="858"/>
      <c r="U20" s="867"/>
      <c r="V20" s="859"/>
      <c r="X20" s="867"/>
      <c r="Y20" s="859"/>
      <c r="Z20" s="858"/>
      <c r="AB20" s="858"/>
      <c r="AD20" s="858"/>
    </row>
    <row r="21" spans="1:31" ht="11.4">
      <c r="A21" s="849" t="s">
        <v>18</v>
      </c>
      <c r="B21" s="849"/>
      <c r="C21" s="860"/>
      <c r="D21" s="878">
        <v>69.900000000000006</v>
      </c>
      <c r="E21" s="866"/>
      <c r="F21" s="858"/>
      <c r="G21" s="863">
        <v>69.599999999999994</v>
      </c>
      <c r="H21" s="858"/>
      <c r="I21" s="858"/>
      <c r="J21" s="863">
        <v>69.599999999999994</v>
      </c>
      <c r="K21" s="858"/>
      <c r="L21" s="858"/>
      <c r="M21" s="863">
        <v>69.3</v>
      </c>
      <c r="N21" s="858"/>
      <c r="O21" s="860"/>
      <c r="P21" s="878">
        <v>73.2</v>
      </c>
      <c r="Q21" s="866"/>
      <c r="R21" s="858"/>
      <c r="S21" s="863">
        <v>70.3</v>
      </c>
      <c r="T21" s="858"/>
      <c r="U21" s="867"/>
      <c r="V21" s="859">
        <v>69.8</v>
      </c>
      <c r="X21" s="867"/>
      <c r="Y21" s="859">
        <v>71.7</v>
      </c>
      <c r="Z21" s="858"/>
      <c r="AB21" s="858"/>
      <c r="AD21" s="858"/>
    </row>
    <row r="22" spans="1:31" ht="12" thickBot="1">
      <c r="B22" s="845"/>
      <c r="C22" s="852"/>
      <c r="D22" s="856"/>
      <c r="E22" s="853"/>
      <c r="O22" s="852"/>
      <c r="P22" s="856"/>
      <c r="Q22" s="853"/>
      <c r="U22" s="242"/>
      <c r="V22" s="242"/>
      <c r="W22" s="846"/>
      <c r="X22" s="242"/>
    </row>
    <row r="23" spans="1:31" ht="11.4">
      <c r="B23" s="845"/>
      <c r="C23" s="242"/>
      <c r="D23" s="846"/>
      <c r="E23" s="242"/>
      <c r="O23" s="242"/>
      <c r="P23" s="846"/>
      <c r="Q23" s="242"/>
      <c r="U23" s="242"/>
      <c r="V23" s="242"/>
      <c r="W23" s="846"/>
      <c r="X23" s="242"/>
    </row>
    <row r="24" spans="1:31">
      <c r="B24" s="242"/>
      <c r="C24" s="242"/>
      <c r="E24" s="242"/>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row>
    <row r="25" spans="1:31" ht="11.4">
      <c r="A25" s="525" t="s">
        <v>770</v>
      </c>
      <c r="B25" s="845" t="s">
        <v>1107</v>
      </c>
      <c r="C25" s="242"/>
      <c r="D25" s="242"/>
      <c r="E25" s="242"/>
      <c r="F25" s="242"/>
      <c r="G25" s="242"/>
      <c r="H25" s="242"/>
      <c r="I25" s="242"/>
      <c r="J25" s="242"/>
      <c r="K25" s="242"/>
      <c r="L25" s="242"/>
      <c r="M25" s="242"/>
      <c r="N25" s="242"/>
      <c r="O25" s="242"/>
      <c r="P25" s="242"/>
      <c r="Q25" s="242"/>
      <c r="R25" s="242"/>
      <c r="S25" s="242"/>
      <c r="T25" s="242"/>
      <c r="U25" s="242"/>
      <c r="V25" s="242"/>
      <c r="W25" s="242"/>
      <c r="X25" s="242"/>
      <c r="Y25" s="242"/>
      <c r="Z25" s="242"/>
      <c r="AA25" s="242"/>
      <c r="AB25" s="242"/>
      <c r="AC25" s="242"/>
      <c r="AD25" s="242"/>
      <c r="AE25" s="242"/>
    </row>
    <row r="26" spans="1:31">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row>
    <row r="27" spans="1:31">
      <c r="B27" s="242"/>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c r="AA27" s="242"/>
      <c r="AB27" s="242"/>
      <c r="AC27" s="242"/>
      <c r="AD27" s="242"/>
      <c r="AE27" s="242"/>
    </row>
    <row r="28" spans="1:31">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c r="AA28" s="242"/>
      <c r="AB28" s="242"/>
      <c r="AC28" s="242"/>
      <c r="AD28" s="242"/>
      <c r="AE28" s="242"/>
    </row>
    <row r="29" spans="1:31">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c r="AA29" s="242"/>
      <c r="AB29" s="242"/>
      <c r="AC29" s="242"/>
      <c r="AD29" s="242"/>
      <c r="AE29" s="242"/>
    </row>
    <row r="30" spans="1:31">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row>
    <row r="31" spans="1:31">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row>
    <row r="32" spans="1:31">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c r="AA32" s="242"/>
      <c r="AB32" s="242"/>
      <c r="AC32" s="242"/>
      <c r="AD32" s="242"/>
      <c r="AE32" s="242"/>
    </row>
    <row r="33" spans="2:31">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row>
    <row r="34" spans="2:31">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c r="AA34" s="242"/>
      <c r="AB34" s="242"/>
      <c r="AC34" s="242"/>
      <c r="AD34" s="242"/>
      <c r="AE34" s="242"/>
    </row>
    <row r="35" spans="2:31">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c r="AA35" s="242"/>
      <c r="AB35" s="242"/>
      <c r="AC35" s="242"/>
      <c r="AD35" s="242"/>
      <c r="AE35" s="242"/>
    </row>
    <row r="36" spans="2:31">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c r="AA36" s="242"/>
      <c r="AB36" s="242"/>
      <c r="AC36" s="242"/>
      <c r="AD36" s="242"/>
      <c r="AE36" s="242"/>
    </row>
    <row r="37" spans="2:31">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c r="AA37" s="242"/>
      <c r="AB37" s="242"/>
      <c r="AC37" s="242"/>
      <c r="AD37" s="242"/>
      <c r="AE37" s="242"/>
    </row>
    <row r="38" spans="2:31">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c r="AA38" s="242"/>
      <c r="AB38" s="242"/>
      <c r="AC38" s="242"/>
      <c r="AD38" s="242"/>
      <c r="AE38" s="242"/>
    </row>
    <row r="39" spans="2:31">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c r="AA39" s="242"/>
      <c r="AB39" s="242"/>
      <c r="AC39" s="242"/>
      <c r="AD39" s="242"/>
      <c r="AE39" s="242"/>
    </row>
    <row r="40" spans="2:31">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c r="AA40" s="242"/>
      <c r="AB40" s="242"/>
      <c r="AC40" s="242"/>
      <c r="AD40" s="242"/>
      <c r="AE40" s="242"/>
    </row>
    <row r="41" spans="2:31">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c r="AA41" s="242"/>
      <c r="AB41" s="242"/>
      <c r="AC41" s="242"/>
      <c r="AD41" s="242"/>
      <c r="AE41" s="242"/>
    </row>
    <row r="42" spans="2:31">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c r="AA42" s="242"/>
      <c r="AB42" s="242"/>
      <c r="AC42" s="242"/>
      <c r="AD42" s="242"/>
      <c r="AE42" s="242"/>
    </row>
    <row r="43" spans="2:31">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c r="AA43" s="242"/>
      <c r="AB43" s="242"/>
      <c r="AC43" s="242"/>
      <c r="AD43" s="242"/>
      <c r="AE43" s="242"/>
    </row>
    <row r="44" spans="2:31">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c r="AC44" s="242"/>
      <c r="AD44" s="242"/>
      <c r="AE44" s="242"/>
    </row>
    <row r="45" spans="2:31">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c r="AA45" s="242"/>
      <c r="AB45" s="242"/>
      <c r="AC45" s="242"/>
      <c r="AD45" s="242"/>
      <c r="AE45" s="242"/>
    </row>
    <row r="46" spans="2:31">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c r="AA46" s="242"/>
      <c r="AB46" s="242"/>
      <c r="AC46" s="242"/>
      <c r="AD46" s="242"/>
      <c r="AE46" s="242"/>
    </row>
    <row r="47" spans="2:31">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c r="AA47" s="242"/>
      <c r="AB47" s="242"/>
      <c r="AC47" s="242"/>
      <c r="AD47" s="242"/>
      <c r="AE47" s="242"/>
    </row>
    <row r="48" spans="2:31">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row>
    <row r="49" spans="2:31">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c r="AA49" s="242"/>
      <c r="AB49" s="242"/>
      <c r="AC49" s="242"/>
      <c r="AD49" s="242"/>
      <c r="AE49" s="242"/>
    </row>
    <row r="50" spans="2:31">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c r="AA50" s="242"/>
      <c r="AB50" s="242"/>
      <c r="AC50" s="242"/>
      <c r="AD50" s="242"/>
      <c r="AE50" s="242"/>
    </row>
    <row r="51" spans="2:31">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c r="AA51" s="242"/>
      <c r="AB51" s="242"/>
      <c r="AC51" s="242"/>
      <c r="AD51" s="242"/>
      <c r="AE51" s="242"/>
    </row>
    <row r="52" spans="2:31">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c r="AA52" s="242"/>
      <c r="AB52" s="242"/>
      <c r="AC52" s="242"/>
      <c r="AD52" s="242"/>
      <c r="AE52" s="242"/>
    </row>
    <row r="53" spans="2:31">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c r="AA53" s="242"/>
      <c r="AB53" s="242"/>
      <c r="AC53" s="242"/>
      <c r="AD53" s="242"/>
      <c r="AE53" s="242"/>
    </row>
    <row r="54" spans="2:31">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c r="AA54" s="242"/>
      <c r="AB54" s="242"/>
      <c r="AC54" s="242"/>
      <c r="AD54" s="242"/>
      <c r="AE54" s="242"/>
    </row>
    <row r="55" spans="2:31">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c r="AD55" s="242"/>
      <c r="AE55" s="242"/>
    </row>
    <row r="56" spans="2:31">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c r="AA56" s="242"/>
      <c r="AB56" s="242"/>
      <c r="AC56" s="242"/>
      <c r="AD56" s="242"/>
      <c r="AE56" s="242"/>
    </row>
    <row r="57" spans="2:31">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c r="AA57" s="242"/>
      <c r="AB57" s="242"/>
      <c r="AC57" s="242"/>
      <c r="AD57" s="242"/>
      <c r="AE57" s="242"/>
    </row>
    <row r="58" spans="2:31">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c r="AA58" s="242"/>
      <c r="AB58" s="242"/>
      <c r="AC58" s="242"/>
      <c r="AD58" s="242"/>
      <c r="AE58" s="242"/>
    </row>
    <row r="59" spans="2:31">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c r="AA59" s="242"/>
      <c r="AB59" s="242"/>
      <c r="AC59" s="242"/>
      <c r="AD59" s="242"/>
      <c r="AE59" s="242"/>
    </row>
    <row r="60" spans="2:31">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c r="AA60" s="242"/>
      <c r="AB60" s="242"/>
      <c r="AC60" s="242"/>
      <c r="AD60" s="242"/>
      <c r="AE60" s="242"/>
    </row>
    <row r="61" spans="2:31">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c r="AA61" s="242"/>
      <c r="AB61" s="242"/>
      <c r="AC61" s="242"/>
      <c r="AD61" s="242"/>
      <c r="AE61" s="242"/>
    </row>
    <row r="62" spans="2:31">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c r="AA62" s="242"/>
      <c r="AB62" s="242"/>
      <c r="AC62" s="242"/>
      <c r="AD62" s="242"/>
      <c r="AE62" s="242"/>
    </row>
    <row r="63" spans="2:31">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c r="AA63" s="242"/>
      <c r="AB63" s="242"/>
      <c r="AC63" s="242"/>
      <c r="AD63" s="242"/>
      <c r="AE63" s="242"/>
    </row>
    <row r="64" spans="2:31">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c r="AA64" s="242"/>
      <c r="AB64" s="242"/>
      <c r="AC64" s="242"/>
      <c r="AD64" s="242"/>
      <c r="AE64" s="242"/>
    </row>
    <row r="65" spans="2:31">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c r="AA65" s="242"/>
      <c r="AB65" s="242"/>
      <c r="AC65" s="242"/>
      <c r="AD65" s="242"/>
      <c r="AE65" s="242"/>
    </row>
    <row r="66" spans="2:31">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c r="AA66" s="242"/>
      <c r="AB66" s="242"/>
      <c r="AC66" s="242"/>
      <c r="AD66" s="242"/>
      <c r="AE66" s="242"/>
    </row>
    <row r="67" spans="2:31">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c r="AA67" s="242"/>
      <c r="AB67" s="242"/>
      <c r="AC67" s="242"/>
      <c r="AD67" s="242"/>
      <c r="AE67" s="242"/>
    </row>
    <row r="68" spans="2:31">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c r="AA68" s="242"/>
      <c r="AB68" s="242"/>
      <c r="AC68" s="242"/>
      <c r="AD68" s="242"/>
      <c r="AE68" s="242"/>
    </row>
    <row r="69" spans="2:31">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c r="AA69" s="242"/>
      <c r="AB69" s="242"/>
      <c r="AC69" s="242"/>
      <c r="AD69" s="242"/>
      <c r="AE69" s="242"/>
    </row>
    <row r="70" spans="2:31">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c r="AA70" s="242"/>
      <c r="AB70" s="242"/>
      <c r="AC70" s="242"/>
      <c r="AD70" s="242"/>
      <c r="AE70" s="242"/>
    </row>
    <row r="71" spans="2:31">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c r="AA71" s="242"/>
      <c r="AB71" s="242"/>
      <c r="AC71" s="242"/>
      <c r="AD71" s="242"/>
      <c r="AE71" s="242"/>
    </row>
    <row r="72" spans="2:31">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c r="AA72" s="242"/>
      <c r="AB72" s="242"/>
      <c r="AC72" s="242"/>
      <c r="AD72" s="242"/>
      <c r="AE72" s="242"/>
    </row>
    <row r="73" spans="2:31">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c r="AA73" s="242"/>
      <c r="AB73" s="242"/>
      <c r="AC73" s="242"/>
      <c r="AD73" s="242"/>
      <c r="AE73" s="242"/>
    </row>
    <row r="74" spans="2:31">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c r="AA74" s="242"/>
      <c r="AB74" s="242"/>
      <c r="AC74" s="242"/>
      <c r="AD74" s="242"/>
      <c r="AE74" s="242"/>
    </row>
    <row r="75" spans="2:31">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c r="AA75" s="242"/>
      <c r="AB75" s="242"/>
      <c r="AC75" s="242"/>
      <c r="AD75" s="242"/>
      <c r="AE75" s="242"/>
    </row>
    <row r="76" spans="2:31">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c r="AA76" s="242"/>
      <c r="AB76" s="242"/>
      <c r="AC76" s="242"/>
      <c r="AD76" s="242"/>
      <c r="AE76" s="242"/>
    </row>
    <row r="77" spans="2:31">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c r="AA77" s="242"/>
      <c r="AB77" s="242"/>
      <c r="AC77" s="242"/>
      <c r="AD77" s="242"/>
      <c r="AE77" s="242"/>
    </row>
    <row r="78" spans="2:31">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c r="AA78" s="242"/>
      <c r="AB78" s="242"/>
      <c r="AC78" s="242"/>
      <c r="AD78" s="242"/>
      <c r="AE78" s="242"/>
    </row>
    <row r="79" spans="2:31">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c r="AA79" s="242"/>
      <c r="AB79" s="242"/>
      <c r="AC79" s="242"/>
      <c r="AD79" s="242"/>
      <c r="AE79" s="242"/>
    </row>
    <row r="80" spans="2:31">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c r="AA80" s="242"/>
      <c r="AB80" s="242"/>
      <c r="AC80" s="242"/>
      <c r="AD80" s="242"/>
      <c r="AE80" s="242"/>
    </row>
    <row r="81" spans="2:31">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c r="AA81" s="242"/>
      <c r="AB81" s="242"/>
      <c r="AC81" s="242"/>
      <c r="AD81" s="242"/>
      <c r="AE81" s="242"/>
    </row>
    <row r="82" spans="2:31">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c r="AA82" s="242"/>
      <c r="AB82" s="242"/>
      <c r="AC82" s="242"/>
      <c r="AD82" s="242"/>
      <c r="AE82" s="242"/>
    </row>
    <row r="83" spans="2:31">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c r="AA83" s="242"/>
      <c r="AB83" s="242"/>
      <c r="AC83" s="242"/>
      <c r="AD83" s="242"/>
      <c r="AE83" s="242"/>
    </row>
    <row r="84" spans="2:31">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c r="AA84" s="242"/>
      <c r="AB84" s="242"/>
      <c r="AC84" s="242"/>
      <c r="AD84" s="242"/>
      <c r="AE84" s="242"/>
    </row>
    <row r="85" spans="2:31">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row>
    <row r="86" spans="2:31">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c r="AA86" s="242"/>
      <c r="AB86" s="242"/>
      <c r="AC86" s="242"/>
      <c r="AD86" s="242"/>
      <c r="AE86" s="242"/>
    </row>
    <row r="87" spans="2:31">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row>
    <row r="88" spans="2:31">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row>
    <row r="89" spans="2:31">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row>
    <row r="90" spans="2:31">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c r="AA90" s="242"/>
      <c r="AB90" s="242"/>
      <c r="AC90" s="242"/>
      <c r="AD90" s="242"/>
      <c r="AE90" s="242"/>
    </row>
    <row r="91" spans="2:31">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row>
    <row r="92" spans="2:31">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row>
    <row r="93" spans="2:31">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row>
    <row r="94" spans="2:31">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c r="AA94" s="242"/>
      <c r="AB94" s="242"/>
      <c r="AC94" s="242"/>
      <c r="AD94" s="242"/>
      <c r="AE94" s="242"/>
    </row>
    <row r="95" spans="2:31">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row>
    <row r="96" spans="2:31">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row>
    <row r="97" spans="2:31">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row>
    <row r="98" spans="2:31">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c r="AA98" s="242"/>
      <c r="AB98" s="242"/>
      <c r="AC98" s="242"/>
      <c r="AD98" s="242"/>
      <c r="AE98" s="242"/>
    </row>
    <row r="99" spans="2:31">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c r="AA99" s="242"/>
      <c r="AB99" s="242"/>
      <c r="AC99" s="242"/>
      <c r="AD99" s="242"/>
      <c r="AE99" s="242"/>
    </row>
    <row r="100" spans="2:31">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c r="AA100" s="242"/>
      <c r="AB100" s="242"/>
      <c r="AC100" s="242"/>
      <c r="AD100" s="242"/>
      <c r="AE100" s="242"/>
    </row>
    <row r="101" spans="2:31">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row>
    <row r="102" spans="2:31">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c r="AA102" s="242"/>
      <c r="AB102" s="242"/>
      <c r="AC102" s="242"/>
      <c r="AD102" s="242"/>
      <c r="AE102" s="242"/>
    </row>
    <row r="103" spans="2:31">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c r="AA103" s="242"/>
      <c r="AB103" s="242"/>
      <c r="AC103" s="242"/>
      <c r="AD103" s="242"/>
      <c r="AE103" s="242"/>
    </row>
    <row r="104" spans="2:31">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row>
    <row r="105" spans="2:31">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c r="AA105" s="242"/>
      <c r="AB105" s="242"/>
      <c r="AC105" s="242"/>
      <c r="AD105" s="242"/>
      <c r="AE105" s="242"/>
    </row>
    <row r="106" spans="2:31">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c r="AA106" s="242"/>
      <c r="AB106" s="242"/>
      <c r="AC106" s="242"/>
      <c r="AD106" s="242"/>
      <c r="AE106" s="242"/>
    </row>
    <row r="107" spans="2:31">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c r="AA107" s="242"/>
      <c r="AB107" s="242"/>
      <c r="AC107" s="242"/>
      <c r="AD107" s="242"/>
      <c r="AE107" s="242"/>
    </row>
    <row r="108" spans="2:31">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c r="AA108" s="242"/>
      <c r="AB108" s="242"/>
      <c r="AC108" s="242"/>
      <c r="AD108" s="242"/>
      <c r="AE108" s="242"/>
    </row>
    <row r="109" spans="2:31">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c r="AA109" s="242"/>
      <c r="AB109" s="242"/>
      <c r="AC109" s="242"/>
      <c r="AD109" s="242"/>
      <c r="AE109" s="242"/>
    </row>
    <row r="110" spans="2:31">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c r="AA110" s="242"/>
      <c r="AB110" s="242"/>
      <c r="AC110" s="242"/>
      <c r="AD110" s="242"/>
      <c r="AE110" s="242"/>
    </row>
    <row r="111" spans="2:31">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c r="AA111" s="242"/>
      <c r="AB111" s="242"/>
      <c r="AC111" s="242"/>
      <c r="AD111" s="242"/>
      <c r="AE111" s="242"/>
    </row>
    <row r="112" spans="2:31">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c r="AA112" s="242"/>
      <c r="AB112" s="242"/>
      <c r="AC112" s="242"/>
      <c r="AD112" s="242"/>
      <c r="AE112" s="242"/>
    </row>
    <row r="113" spans="2:31">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c r="AA113" s="242"/>
      <c r="AB113" s="242"/>
      <c r="AC113" s="242"/>
      <c r="AD113" s="242"/>
      <c r="AE113" s="242"/>
    </row>
    <row r="114" spans="2:31">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c r="AA114" s="242"/>
      <c r="AB114" s="242"/>
      <c r="AC114" s="242"/>
      <c r="AD114" s="242"/>
      <c r="AE114" s="242"/>
    </row>
    <row r="115" spans="2:31">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c r="AA115" s="242"/>
      <c r="AB115" s="242"/>
      <c r="AC115" s="242"/>
      <c r="AD115" s="242"/>
      <c r="AE115" s="242"/>
    </row>
    <row r="116" spans="2:31">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c r="AA116" s="242"/>
      <c r="AB116" s="242"/>
      <c r="AC116" s="242"/>
      <c r="AD116" s="242"/>
      <c r="AE116" s="242"/>
    </row>
    <row r="117" spans="2:31">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c r="AA117" s="242"/>
      <c r="AB117" s="242"/>
      <c r="AC117" s="242"/>
      <c r="AD117" s="242"/>
      <c r="AE117" s="242"/>
    </row>
    <row r="118" spans="2:31">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c r="AA118" s="242"/>
      <c r="AB118" s="242"/>
      <c r="AC118" s="242"/>
      <c r="AD118" s="242"/>
      <c r="AE118" s="242"/>
    </row>
    <row r="119" spans="2:31">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c r="AA119" s="242"/>
      <c r="AB119" s="242"/>
      <c r="AC119" s="242"/>
      <c r="AD119" s="242"/>
      <c r="AE119" s="242"/>
    </row>
    <row r="120" spans="2:31">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c r="AA120" s="242"/>
      <c r="AB120" s="242"/>
      <c r="AC120" s="242"/>
      <c r="AD120" s="242"/>
      <c r="AE120" s="242"/>
    </row>
    <row r="121" spans="2:31">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row>
    <row r="122" spans="2:31">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row>
    <row r="123" spans="2:31">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c r="AA123" s="242"/>
      <c r="AB123" s="242"/>
      <c r="AC123" s="242"/>
      <c r="AD123" s="242"/>
      <c r="AE123" s="242"/>
    </row>
    <row r="124" spans="2:31">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c r="AA124" s="242"/>
      <c r="AB124" s="242"/>
      <c r="AC124" s="242"/>
      <c r="AD124" s="242"/>
      <c r="AE124" s="242"/>
    </row>
    <row r="125" spans="2:31">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row>
    <row r="126" spans="2:31">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c r="AA126" s="242"/>
      <c r="AB126" s="242"/>
      <c r="AC126" s="242"/>
      <c r="AD126" s="242"/>
      <c r="AE126" s="242"/>
    </row>
    <row r="127" spans="2:31">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c r="AA127" s="242"/>
      <c r="AB127" s="242"/>
      <c r="AC127" s="242"/>
      <c r="AD127" s="242"/>
      <c r="AE127" s="242"/>
    </row>
    <row r="128" spans="2:31">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row>
    <row r="129" spans="2:31">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c r="AA129" s="242"/>
      <c r="AB129" s="242"/>
      <c r="AC129" s="242"/>
      <c r="AD129" s="242"/>
      <c r="AE129" s="242"/>
    </row>
    <row r="130" spans="2:31">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c r="AA130" s="242"/>
      <c r="AB130" s="242"/>
      <c r="AC130" s="242"/>
      <c r="AD130" s="242"/>
      <c r="AE130" s="242"/>
    </row>
    <row r="131" spans="2:31">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c r="AA131" s="242"/>
      <c r="AB131" s="242"/>
      <c r="AC131" s="242"/>
      <c r="AD131" s="242"/>
      <c r="AE131" s="242"/>
    </row>
    <row r="132" spans="2:31">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c r="AA132" s="242"/>
      <c r="AB132" s="242"/>
      <c r="AC132" s="242"/>
      <c r="AD132" s="242"/>
      <c r="AE132" s="242"/>
    </row>
    <row r="133" spans="2:31">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c r="AA133" s="242"/>
      <c r="AB133" s="242"/>
      <c r="AC133" s="242"/>
      <c r="AD133" s="242"/>
      <c r="AE133" s="242"/>
    </row>
    <row r="134" spans="2:31">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c r="AA134" s="242"/>
      <c r="AB134" s="242"/>
      <c r="AC134" s="242"/>
      <c r="AD134" s="242"/>
      <c r="AE134" s="242"/>
    </row>
    <row r="135" spans="2:31">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c r="AA135" s="242"/>
      <c r="AB135" s="242"/>
      <c r="AC135" s="242"/>
      <c r="AD135" s="242"/>
      <c r="AE135" s="242"/>
    </row>
    <row r="136" spans="2:31">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c r="AA136" s="242"/>
      <c r="AB136" s="242"/>
      <c r="AC136" s="242"/>
      <c r="AD136" s="242"/>
      <c r="AE136" s="242"/>
    </row>
    <row r="137" spans="2:31">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c r="AA137" s="242"/>
      <c r="AB137" s="242"/>
      <c r="AC137" s="242"/>
      <c r="AD137" s="242"/>
      <c r="AE137" s="242"/>
    </row>
    <row r="138" spans="2:31">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c r="AA138" s="242"/>
      <c r="AB138" s="242"/>
      <c r="AC138" s="242"/>
      <c r="AD138" s="242"/>
      <c r="AE138" s="242"/>
    </row>
    <row r="139" spans="2:31">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c r="AA139" s="242"/>
      <c r="AB139" s="242"/>
      <c r="AC139" s="242"/>
      <c r="AD139" s="242"/>
      <c r="AE139" s="242"/>
    </row>
    <row r="140" spans="2:31">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c r="AA140" s="242"/>
      <c r="AB140" s="242"/>
      <c r="AC140" s="242"/>
      <c r="AD140" s="242"/>
      <c r="AE140" s="242"/>
    </row>
    <row r="141" spans="2:31">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c r="AA141" s="242"/>
      <c r="AB141" s="242"/>
      <c r="AC141" s="242"/>
      <c r="AD141" s="242"/>
      <c r="AE141" s="242"/>
    </row>
    <row r="142" spans="2:31">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c r="AA142" s="242"/>
      <c r="AB142" s="242"/>
      <c r="AC142" s="242"/>
      <c r="AD142" s="242"/>
      <c r="AE142" s="242"/>
    </row>
    <row r="143" spans="2:31">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c r="AA143" s="242"/>
      <c r="AB143" s="242"/>
      <c r="AC143" s="242"/>
      <c r="AD143" s="242"/>
      <c r="AE143" s="242"/>
    </row>
    <row r="144" spans="2:31">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c r="AA144" s="242"/>
      <c r="AB144" s="242"/>
      <c r="AC144" s="242"/>
      <c r="AD144" s="242"/>
      <c r="AE144" s="242"/>
    </row>
    <row r="145" spans="2:31">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c r="AA145" s="242"/>
      <c r="AB145" s="242"/>
      <c r="AC145" s="242"/>
      <c r="AD145" s="242"/>
      <c r="AE145" s="242"/>
    </row>
    <row r="146" spans="2:31">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c r="AA146" s="242"/>
      <c r="AB146" s="242"/>
      <c r="AC146" s="242"/>
      <c r="AD146" s="242"/>
      <c r="AE146" s="242"/>
    </row>
    <row r="147" spans="2:31">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c r="AA147" s="242"/>
      <c r="AB147" s="242"/>
      <c r="AC147" s="242"/>
      <c r="AD147" s="242"/>
      <c r="AE147" s="242"/>
    </row>
    <row r="148" spans="2:31">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c r="AA148" s="242"/>
      <c r="AB148" s="242"/>
      <c r="AC148" s="242"/>
      <c r="AD148" s="242"/>
      <c r="AE148" s="242"/>
    </row>
    <row r="149" spans="2:31">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c r="AA149" s="242"/>
      <c r="AB149" s="242"/>
      <c r="AC149" s="242"/>
      <c r="AD149" s="242"/>
      <c r="AE149" s="242"/>
    </row>
    <row r="150" spans="2:31">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c r="AA150" s="242"/>
      <c r="AB150" s="242"/>
      <c r="AC150" s="242"/>
      <c r="AD150" s="242"/>
      <c r="AE150" s="242"/>
    </row>
    <row r="151" spans="2:31">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c r="AA151" s="242"/>
      <c r="AB151" s="242"/>
      <c r="AC151" s="242"/>
      <c r="AD151" s="242"/>
      <c r="AE151" s="242"/>
    </row>
    <row r="152" spans="2:31">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c r="AA152" s="242"/>
      <c r="AB152" s="242"/>
      <c r="AC152" s="242"/>
      <c r="AD152" s="242"/>
      <c r="AE152" s="242"/>
    </row>
    <row r="153" spans="2:31">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c r="AA153" s="242"/>
      <c r="AB153" s="242"/>
      <c r="AC153" s="242"/>
      <c r="AD153" s="242"/>
      <c r="AE153" s="242"/>
    </row>
    <row r="154" spans="2:31">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c r="AA154" s="242"/>
      <c r="AB154" s="242"/>
      <c r="AC154" s="242"/>
      <c r="AD154" s="242"/>
      <c r="AE154" s="242"/>
    </row>
    <row r="155" spans="2:31">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c r="AA155" s="242"/>
      <c r="AB155" s="242"/>
      <c r="AC155" s="242"/>
      <c r="AD155" s="242"/>
      <c r="AE155" s="242"/>
    </row>
    <row r="156" spans="2:31">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c r="AA156" s="242"/>
      <c r="AB156" s="242"/>
      <c r="AC156" s="242"/>
      <c r="AD156" s="242"/>
      <c r="AE156" s="242"/>
    </row>
    <row r="157" spans="2:31">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c r="AA157" s="242"/>
      <c r="AB157" s="242"/>
      <c r="AC157" s="242"/>
      <c r="AD157" s="242"/>
      <c r="AE157" s="242"/>
    </row>
    <row r="158" spans="2:31">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c r="AA158" s="242"/>
      <c r="AB158" s="242"/>
      <c r="AC158" s="242"/>
      <c r="AD158" s="242"/>
      <c r="AE158" s="242"/>
    </row>
    <row r="159" spans="2:31">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c r="AA159" s="242"/>
      <c r="AB159" s="242"/>
      <c r="AC159" s="242"/>
      <c r="AD159" s="242"/>
      <c r="AE159" s="242"/>
    </row>
    <row r="160" spans="2:31">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c r="AA160" s="242"/>
      <c r="AB160" s="242"/>
      <c r="AC160" s="242"/>
      <c r="AD160" s="242"/>
      <c r="AE160" s="242"/>
    </row>
    <row r="161" spans="2:31">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c r="AA161" s="242"/>
      <c r="AB161" s="242"/>
      <c r="AC161" s="242"/>
      <c r="AD161" s="242"/>
      <c r="AE161" s="242"/>
    </row>
    <row r="162" spans="2:31">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c r="AA162" s="242"/>
      <c r="AB162" s="242"/>
      <c r="AC162" s="242"/>
      <c r="AD162" s="242"/>
      <c r="AE162" s="242"/>
    </row>
    <row r="163" spans="2:31">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c r="AA163" s="242"/>
      <c r="AB163" s="242"/>
      <c r="AC163" s="242"/>
      <c r="AD163" s="242"/>
      <c r="AE163" s="242"/>
    </row>
    <row r="164" spans="2:31">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c r="AA164" s="242"/>
      <c r="AB164" s="242"/>
      <c r="AC164" s="242"/>
      <c r="AD164" s="242"/>
      <c r="AE164" s="242"/>
    </row>
    <row r="165" spans="2:31">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c r="AA165" s="242"/>
      <c r="AB165" s="242"/>
      <c r="AC165" s="242"/>
      <c r="AD165" s="242"/>
      <c r="AE165" s="242"/>
    </row>
    <row r="166" spans="2:31">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c r="AA166" s="242"/>
      <c r="AB166" s="242"/>
      <c r="AC166" s="242"/>
      <c r="AD166" s="242"/>
      <c r="AE166" s="242"/>
    </row>
    <row r="167" spans="2:31">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c r="AA167" s="242"/>
      <c r="AB167" s="242"/>
      <c r="AC167" s="242"/>
      <c r="AD167" s="242"/>
      <c r="AE167" s="242"/>
    </row>
    <row r="168" spans="2:31">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c r="AA168" s="242"/>
      <c r="AB168" s="242"/>
      <c r="AC168" s="242"/>
      <c r="AD168" s="242"/>
      <c r="AE168" s="242"/>
    </row>
    <row r="169" spans="2:31">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c r="AD169" s="242"/>
      <c r="AE169" s="242"/>
    </row>
    <row r="170" spans="2:31">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c r="AA170" s="242"/>
      <c r="AB170" s="242"/>
      <c r="AC170" s="242"/>
      <c r="AD170" s="242"/>
      <c r="AE170" s="242"/>
    </row>
    <row r="171" spans="2:31">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c r="AA171" s="242"/>
      <c r="AB171" s="242"/>
      <c r="AC171" s="242"/>
      <c r="AD171" s="242"/>
      <c r="AE171" s="242"/>
    </row>
    <row r="172" spans="2:31">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c r="AA172" s="242"/>
      <c r="AB172" s="242"/>
      <c r="AC172" s="242"/>
      <c r="AD172" s="242"/>
      <c r="AE172" s="242"/>
    </row>
    <row r="173" spans="2:31">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c r="AA173" s="242"/>
      <c r="AB173" s="242"/>
      <c r="AC173" s="242"/>
      <c r="AD173" s="242"/>
      <c r="AE173" s="242"/>
    </row>
    <row r="174" spans="2:31">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c r="AA174" s="242"/>
      <c r="AB174" s="242"/>
      <c r="AC174" s="242"/>
      <c r="AD174" s="242"/>
      <c r="AE174" s="242"/>
    </row>
    <row r="175" spans="2:31">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c r="AA175" s="242"/>
      <c r="AB175" s="242"/>
      <c r="AC175" s="242"/>
      <c r="AD175" s="242"/>
      <c r="AE175" s="242"/>
    </row>
    <row r="176" spans="2:31">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c r="AA176" s="242"/>
      <c r="AB176" s="242"/>
      <c r="AC176" s="242"/>
      <c r="AD176" s="242"/>
      <c r="AE176" s="242"/>
    </row>
    <row r="177" spans="2:31">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c r="AA177" s="242"/>
      <c r="AB177" s="242"/>
      <c r="AC177" s="242"/>
      <c r="AD177" s="242"/>
      <c r="AE177" s="242"/>
    </row>
    <row r="178" spans="2:31">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c r="AA178" s="242"/>
      <c r="AB178" s="242"/>
      <c r="AC178" s="242"/>
      <c r="AD178" s="242"/>
      <c r="AE178" s="242"/>
    </row>
    <row r="179" spans="2:31">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c r="AA179" s="242"/>
      <c r="AB179" s="242"/>
      <c r="AC179" s="242"/>
      <c r="AD179" s="242"/>
      <c r="AE179" s="242"/>
    </row>
    <row r="180" spans="2:31">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c r="AA180" s="242"/>
      <c r="AB180" s="242"/>
      <c r="AC180" s="242"/>
      <c r="AD180" s="242"/>
      <c r="AE180" s="242"/>
    </row>
    <row r="181" spans="2:31">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c r="AA181" s="242"/>
      <c r="AB181" s="242"/>
      <c r="AC181" s="242"/>
      <c r="AD181" s="242"/>
      <c r="AE181" s="242"/>
    </row>
    <row r="182" spans="2:31">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c r="AA182" s="242"/>
      <c r="AB182" s="242"/>
      <c r="AC182" s="242"/>
      <c r="AD182" s="242"/>
      <c r="AE182" s="242"/>
    </row>
    <row r="183" spans="2:31">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c r="AA183" s="242"/>
      <c r="AB183" s="242"/>
      <c r="AC183" s="242"/>
      <c r="AD183" s="242"/>
      <c r="AE183" s="242"/>
    </row>
    <row r="184" spans="2:31">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c r="AA184" s="242"/>
      <c r="AB184" s="242"/>
      <c r="AC184" s="242"/>
      <c r="AD184" s="242"/>
      <c r="AE184" s="242"/>
    </row>
    <row r="185" spans="2:31">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c r="AA185" s="242"/>
      <c r="AB185" s="242"/>
      <c r="AC185" s="242"/>
      <c r="AD185" s="242"/>
      <c r="AE185" s="242"/>
    </row>
    <row r="186" spans="2:31">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c r="AA186" s="242"/>
      <c r="AB186" s="242"/>
      <c r="AC186" s="242"/>
      <c r="AD186" s="242"/>
      <c r="AE186" s="242"/>
    </row>
    <row r="187" spans="2:31">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c r="AA187" s="242"/>
      <c r="AB187" s="242"/>
      <c r="AC187" s="242"/>
      <c r="AD187" s="242"/>
      <c r="AE187" s="242"/>
    </row>
    <row r="188" spans="2:31">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c r="AA188" s="242"/>
      <c r="AB188" s="242"/>
      <c r="AC188" s="242"/>
      <c r="AD188" s="242"/>
      <c r="AE188" s="242"/>
    </row>
    <row r="189" spans="2:31">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c r="AA189" s="242"/>
      <c r="AB189" s="242"/>
      <c r="AC189" s="242"/>
      <c r="AD189" s="242"/>
      <c r="AE189" s="242"/>
    </row>
    <row r="190" spans="2:31">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c r="AA190" s="242"/>
      <c r="AB190" s="242"/>
      <c r="AC190" s="242"/>
      <c r="AD190" s="242"/>
      <c r="AE190" s="242"/>
    </row>
    <row r="191" spans="2:31">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c r="AA191" s="242"/>
      <c r="AB191" s="242"/>
      <c r="AC191" s="242"/>
      <c r="AD191" s="242"/>
      <c r="AE191" s="242"/>
    </row>
    <row r="192" spans="2:31">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c r="AA192" s="242"/>
      <c r="AB192" s="242"/>
      <c r="AC192" s="242"/>
      <c r="AD192" s="242"/>
      <c r="AE192" s="242"/>
    </row>
    <row r="193" spans="2:31">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c r="AA193" s="242"/>
      <c r="AB193" s="242"/>
      <c r="AC193" s="242"/>
      <c r="AD193" s="242"/>
      <c r="AE193" s="242"/>
    </row>
    <row r="194" spans="2:31">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c r="AA194" s="242"/>
      <c r="AB194" s="242"/>
      <c r="AC194" s="242"/>
      <c r="AD194" s="242"/>
      <c r="AE194" s="242"/>
    </row>
    <row r="195" spans="2:31">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c r="AA195" s="242"/>
      <c r="AB195" s="242"/>
      <c r="AC195" s="242"/>
      <c r="AD195" s="242"/>
      <c r="AE195" s="242"/>
    </row>
    <row r="196" spans="2:31">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c r="AA196" s="242"/>
      <c r="AB196" s="242"/>
      <c r="AC196" s="242"/>
      <c r="AD196" s="242"/>
      <c r="AE196" s="242"/>
    </row>
    <row r="197" spans="2:31">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c r="AA197" s="242"/>
      <c r="AB197" s="242"/>
      <c r="AC197" s="242"/>
      <c r="AD197" s="242"/>
      <c r="AE197" s="242"/>
    </row>
    <row r="198" spans="2:31">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c r="AA198" s="242"/>
      <c r="AB198" s="242"/>
      <c r="AC198" s="242"/>
      <c r="AD198" s="242"/>
      <c r="AE198" s="242"/>
    </row>
    <row r="199" spans="2:31">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c r="AA199" s="242"/>
      <c r="AB199" s="242"/>
      <c r="AC199" s="242"/>
      <c r="AD199" s="242"/>
      <c r="AE199" s="242"/>
    </row>
    <row r="200" spans="2:31">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c r="AA200" s="242"/>
      <c r="AB200" s="242"/>
      <c r="AC200" s="242"/>
      <c r="AD200" s="242"/>
      <c r="AE200" s="242"/>
    </row>
    <row r="201" spans="2:31">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c r="AA201" s="242"/>
      <c r="AB201" s="242"/>
      <c r="AC201" s="242"/>
      <c r="AD201" s="242"/>
      <c r="AE201" s="242"/>
    </row>
    <row r="202" spans="2:31">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c r="AA202" s="242"/>
      <c r="AB202" s="242"/>
      <c r="AC202" s="242"/>
      <c r="AD202" s="242"/>
      <c r="AE202" s="242"/>
    </row>
    <row r="203" spans="2:31">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c r="AA203" s="242"/>
      <c r="AB203" s="242"/>
      <c r="AC203" s="242"/>
      <c r="AD203" s="242"/>
      <c r="AE203" s="242"/>
    </row>
    <row r="204" spans="2:31">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c r="AA204" s="242"/>
      <c r="AB204" s="242"/>
      <c r="AC204" s="242"/>
      <c r="AD204" s="242"/>
      <c r="AE204" s="242"/>
    </row>
    <row r="205" spans="2:31">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c r="AA205" s="242"/>
      <c r="AB205" s="242"/>
      <c r="AC205" s="242"/>
      <c r="AD205" s="242"/>
      <c r="AE205" s="242"/>
    </row>
    <row r="206" spans="2:31">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c r="AA206" s="242"/>
      <c r="AB206" s="242"/>
      <c r="AC206" s="242"/>
      <c r="AD206" s="242"/>
      <c r="AE206" s="242"/>
    </row>
    <row r="207" spans="2:31">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c r="AA207" s="242"/>
      <c r="AB207" s="242"/>
      <c r="AC207" s="242"/>
      <c r="AD207" s="242"/>
      <c r="AE207" s="242"/>
    </row>
    <row r="208" spans="2:31">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c r="AA208" s="242"/>
      <c r="AB208" s="242"/>
      <c r="AC208" s="242"/>
      <c r="AD208" s="242"/>
      <c r="AE208" s="242"/>
    </row>
    <row r="209" spans="2:31">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c r="AA209" s="242"/>
      <c r="AB209" s="242"/>
      <c r="AC209" s="242"/>
      <c r="AD209" s="242"/>
      <c r="AE209" s="242"/>
    </row>
    <row r="210" spans="2:31">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c r="AA210" s="242"/>
      <c r="AB210" s="242"/>
      <c r="AC210" s="242"/>
      <c r="AD210" s="242"/>
      <c r="AE210" s="242"/>
    </row>
    <row r="211" spans="2:31">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c r="AA211" s="242"/>
      <c r="AB211" s="242"/>
      <c r="AC211" s="242"/>
      <c r="AD211" s="242"/>
      <c r="AE211" s="242"/>
    </row>
    <row r="212" spans="2:31">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c r="AA212" s="242"/>
      <c r="AB212" s="242"/>
      <c r="AC212" s="242"/>
      <c r="AD212" s="242"/>
      <c r="AE212" s="242"/>
    </row>
    <row r="213" spans="2:31">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c r="AA213" s="242"/>
      <c r="AB213" s="242"/>
      <c r="AC213" s="242"/>
      <c r="AD213" s="242"/>
      <c r="AE213" s="242"/>
    </row>
    <row r="214" spans="2:31">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c r="AA214" s="242"/>
      <c r="AB214" s="242"/>
      <c r="AC214" s="242"/>
      <c r="AD214" s="242"/>
      <c r="AE214" s="242"/>
    </row>
    <row r="215" spans="2:31">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c r="AA215" s="242"/>
      <c r="AB215" s="242"/>
      <c r="AC215" s="242"/>
      <c r="AD215" s="242"/>
      <c r="AE215" s="242"/>
    </row>
    <row r="216" spans="2:31">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c r="AA216" s="242"/>
      <c r="AB216" s="242"/>
      <c r="AC216" s="242"/>
      <c r="AD216" s="242"/>
      <c r="AE216" s="242"/>
    </row>
    <row r="217" spans="2:31">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c r="AA217" s="242"/>
      <c r="AB217" s="242"/>
      <c r="AC217" s="242"/>
      <c r="AD217" s="242"/>
      <c r="AE217" s="242"/>
    </row>
    <row r="218" spans="2:31">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c r="AC218" s="242"/>
      <c r="AD218" s="242"/>
      <c r="AE218" s="242"/>
    </row>
    <row r="219" spans="2:31">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c r="AA219" s="242"/>
      <c r="AB219" s="242"/>
      <c r="AC219" s="242"/>
      <c r="AD219" s="242"/>
      <c r="AE219" s="242"/>
    </row>
    <row r="220" spans="2:31">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c r="AC220" s="242"/>
      <c r="AD220" s="242"/>
      <c r="AE220" s="242"/>
    </row>
    <row r="221" spans="2:31">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c r="AA221" s="242"/>
      <c r="AB221" s="242"/>
      <c r="AC221" s="242"/>
      <c r="AD221" s="242"/>
      <c r="AE221" s="242"/>
    </row>
    <row r="222" spans="2:31">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c r="AA222" s="242"/>
      <c r="AB222" s="242"/>
      <c r="AC222" s="242"/>
      <c r="AD222" s="242"/>
      <c r="AE222" s="242"/>
    </row>
    <row r="223" spans="2:31">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c r="AA223" s="242"/>
      <c r="AB223" s="242"/>
      <c r="AC223" s="242"/>
      <c r="AD223" s="242"/>
      <c r="AE223" s="242"/>
    </row>
    <row r="224" spans="2:31">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c r="AA224" s="242"/>
      <c r="AB224" s="242"/>
      <c r="AC224" s="242"/>
      <c r="AD224" s="242"/>
      <c r="AE224" s="242"/>
    </row>
    <row r="225" spans="2:31">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c r="AA225" s="242"/>
      <c r="AB225" s="242"/>
      <c r="AC225" s="242"/>
      <c r="AD225" s="242"/>
      <c r="AE225" s="242"/>
    </row>
    <row r="226" spans="2:31">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c r="AA226" s="242"/>
      <c r="AB226" s="242"/>
      <c r="AC226" s="242"/>
      <c r="AD226" s="242"/>
      <c r="AE226" s="242"/>
    </row>
    <row r="227" spans="2:31">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c r="AA227" s="242"/>
      <c r="AB227" s="242"/>
      <c r="AC227" s="242"/>
      <c r="AD227" s="242"/>
      <c r="AE227" s="242"/>
    </row>
    <row r="228" spans="2:31">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c r="AC228" s="242"/>
      <c r="AD228" s="242"/>
      <c r="AE228" s="242"/>
    </row>
    <row r="229" spans="2:31">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c r="AA229" s="242"/>
      <c r="AB229" s="242"/>
      <c r="AC229" s="242"/>
      <c r="AD229" s="242"/>
      <c r="AE229" s="242"/>
    </row>
    <row r="230" spans="2:31">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c r="AA230" s="242"/>
      <c r="AB230" s="242"/>
      <c r="AC230" s="242"/>
      <c r="AD230" s="242"/>
      <c r="AE230" s="242"/>
    </row>
    <row r="231" spans="2:31">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c r="AA231" s="242"/>
      <c r="AB231" s="242"/>
      <c r="AC231" s="242"/>
      <c r="AD231" s="242"/>
      <c r="AE231" s="242"/>
    </row>
    <row r="232" spans="2:31">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c r="AA232" s="242"/>
      <c r="AB232" s="242"/>
      <c r="AC232" s="242"/>
      <c r="AD232" s="242"/>
      <c r="AE232" s="242"/>
    </row>
    <row r="233" spans="2:31">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c r="AA233" s="242"/>
      <c r="AB233" s="242"/>
      <c r="AC233" s="242"/>
      <c r="AD233" s="242"/>
      <c r="AE233" s="242"/>
    </row>
    <row r="234" spans="2:31">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c r="AA234" s="242"/>
      <c r="AB234" s="242"/>
      <c r="AC234" s="242"/>
      <c r="AD234" s="242"/>
      <c r="AE234" s="242"/>
    </row>
    <row r="235" spans="2:31">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c r="AA235" s="242"/>
      <c r="AB235" s="242"/>
      <c r="AC235" s="242"/>
      <c r="AD235" s="242"/>
      <c r="AE235" s="242"/>
    </row>
    <row r="236" spans="2:31">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c r="AA236" s="242"/>
      <c r="AB236" s="242"/>
      <c r="AC236" s="242"/>
      <c r="AD236" s="242"/>
      <c r="AE236" s="242"/>
    </row>
    <row r="237" spans="2:31">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c r="AA237" s="242"/>
      <c r="AB237" s="242"/>
      <c r="AC237" s="242"/>
      <c r="AD237" s="242"/>
      <c r="AE237" s="242"/>
    </row>
    <row r="238" spans="2:31">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c r="AA238" s="242"/>
      <c r="AB238" s="242"/>
      <c r="AC238" s="242"/>
      <c r="AD238" s="242"/>
      <c r="AE238" s="242"/>
    </row>
    <row r="239" spans="2:31">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c r="AA239" s="242"/>
      <c r="AB239" s="242"/>
      <c r="AC239" s="242"/>
      <c r="AD239" s="242"/>
      <c r="AE239" s="242"/>
    </row>
    <row r="240" spans="2:31">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c r="AA240" s="242"/>
      <c r="AB240" s="242"/>
      <c r="AC240" s="242"/>
      <c r="AD240" s="242"/>
      <c r="AE240" s="242"/>
    </row>
    <row r="241" spans="2:31">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c r="AA241" s="242"/>
      <c r="AB241" s="242"/>
      <c r="AC241" s="242"/>
      <c r="AD241" s="242"/>
      <c r="AE241" s="242"/>
    </row>
    <row r="242" spans="2:31">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c r="AA242" s="242"/>
      <c r="AB242" s="242"/>
      <c r="AC242" s="242"/>
      <c r="AD242" s="242"/>
      <c r="AE242" s="242"/>
    </row>
    <row r="243" spans="2:31">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c r="AA243" s="242"/>
      <c r="AB243" s="242"/>
      <c r="AC243" s="242"/>
      <c r="AD243" s="242"/>
      <c r="AE243" s="242"/>
    </row>
    <row r="244" spans="2:31">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c r="AA244" s="242"/>
      <c r="AB244" s="242"/>
      <c r="AC244" s="242"/>
      <c r="AD244" s="242"/>
      <c r="AE244" s="242"/>
    </row>
    <row r="245" spans="2:31">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c r="AA245" s="242"/>
      <c r="AB245" s="242"/>
      <c r="AC245" s="242"/>
      <c r="AD245" s="242"/>
      <c r="AE245" s="242"/>
    </row>
    <row r="246" spans="2:31">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c r="AA246" s="242"/>
      <c r="AB246" s="242"/>
      <c r="AC246" s="242"/>
      <c r="AD246" s="242"/>
      <c r="AE246" s="242"/>
    </row>
    <row r="247" spans="2:31">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c r="AA247" s="242"/>
      <c r="AB247" s="242"/>
      <c r="AC247" s="242"/>
      <c r="AD247" s="242"/>
      <c r="AE247" s="242"/>
    </row>
    <row r="248" spans="2:31">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c r="AA248" s="242"/>
      <c r="AB248" s="242"/>
      <c r="AC248" s="242"/>
      <c r="AD248" s="242"/>
      <c r="AE248" s="242"/>
    </row>
    <row r="249" spans="2:31">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c r="AA249" s="242"/>
      <c r="AB249" s="242"/>
      <c r="AC249" s="242"/>
      <c r="AD249" s="242"/>
      <c r="AE249" s="242"/>
    </row>
    <row r="250" spans="2:31">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c r="AA250" s="242"/>
      <c r="AB250" s="242"/>
      <c r="AC250" s="242"/>
      <c r="AD250" s="242"/>
      <c r="AE250" s="242"/>
    </row>
    <row r="251" spans="2:31">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c r="AA251" s="242"/>
      <c r="AB251" s="242"/>
      <c r="AC251" s="242"/>
      <c r="AD251" s="242"/>
      <c r="AE251" s="242"/>
    </row>
    <row r="252" spans="2:31">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c r="AA252" s="242"/>
      <c r="AB252" s="242"/>
      <c r="AC252" s="242"/>
      <c r="AD252" s="242"/>
      <c r="AE252" s="242"/>
    </row>
    <row r="253" spans="2:31">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c r="AA253" s="242"/>
      <c r="AB253" s="242"/>
      <c r="AC253" s="242"/>
      <c r="AD253" s="242"/>
      <c r="AE253" s="242"/>
    </row>
    <row r="254" spans="2:31">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c r="AA254" s="242"/>
      <c r="AB254" s="242"/>
      <c r="AC254" s="242"/>
      <c r="AD254" s="242"/>
      <c r="AE254" s="242"/>
    </row>
    <row r="255" spans="2:31">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c r="AA255" s="242"/>
      <c r="AB255" s="242"/>
      <c r="AC255" s="242"/>
      <c r="AD255" s="242"/>
      <c r="AE255" s="242"/>
    </row>
    <row r="256" spans="2:31">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c r="AA256" s="242"/>
      <c r="AB256" s="242"/>
      <c r="AC256" s="242"/>
      <c r="AD256" s="242"/>
      <c r="AE256" s="242"/>
    </row>
    <row r="257" spans="2:31">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c r="AA257" s="242"/>
      <c r="AB257" s="242"/>
      <c r="AC257" s="242"/>
      <c r="AD257" s="242"/>
      <c r="AE257" s="242"/>
    </row>
    <row r="258" spans="2:31">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c r="AA258" s="242"/>
      <c r="AB258" s="242"/>
      <c r="AC258" s="242"/>
      <c r="AD258" s="242"/>
      <c r="AE258" s="242"/>
    </row>
    <row r="259" spans="2:31">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c r="AA259" s="242"/>
      <c r="AB259" s="242"/>
      <c r="AC259" s="242"/>
      <c r="AD259" s="242"/>
      <c r="AE259" s="242"/>
    </row>
    <row r="260" spans="2:31">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c r="AA260" s="242"/>
      <c r="AB260" s="242"/>
      <c r="AC260" s="242"/>
      <c r="AD260" s="242"/>
      <c r="AE260" s="242"/>
    </row>
    <row r="261" spans="2:31">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c r="AA261" s="242"/>
      <c r="AB261" s="242"/>
      <c r="AC261" s="242"/>
      <c r="AD261" s="242"/>
      <c r="AE261" s="242"/>
    </row>
    <row r="262" spans="2:31">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c r="AA262" s="242"/>
      <c r="AB262" s="242"/>
      <c r="AC262" s="242"/>
      <c r="AD262" s="242"/>
      <c r="AE262" s="242"/>
    </row>
    <row r="263" spans="2:31">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c r="AA263" s="242"/>
      <c r="AB263" s="242"/>
      <c r="AC263" s="242"/>
      <c r="AD263" s="242"/>
      <c r="AE263" s="242"/>
    </row>
    <row r="264" spans="2:31">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c r="AA264" s="242"/>
      <c r="AB264" s="242"/>
      <c r="AC264" s="242"/>
      <c r="AD264" s="242"/>
      <c r="AE264" s="242"/>
    </row>
    <row r="265" spans="2:31">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c r="AA265" s="242"/>
      <c r="AB265" s="242"/>
      <c r="AC265" s="242"/>
      <c r="AD265" s="242"/>
      <c r="AE265" s="242"/>
    </row>
    <row r="266" spans="2:31">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c r="AA266" s="242"/>
      <c r="AB266" s="242"/>
      <c r="AC266" s="242"/>
      <c r="AD266" s="242"/>
      <c r="AE266" s="242"/>
    </row>
    <row r="267" spans="2:31">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c r="AA267" s="242"/>
      <c r="AB267" s="242"/>
      <c r="AC267" s="242"/>
      <c r="AD267" s="242"/>
      <c r="AE267" s="242"/>
    </row>
    <row r="268" spans="2:31">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c r="AA268" s="242"/>
      <c r="AB268" s="242"/>
      <c r="AC268" s="242"/>
      <c r="AD268" s="242"/>
      <c r="AE268" s="242"/>
    </row>
    <row r="269" spans="2:31">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c r="AA269" s="242"/>
      <c r="AB269" s="242"/>
      <c r="AC269" s="242"/>
      <c r="AD269" s="242"/>
      <c r="AE269" s="242"/>
    </row>
    <row r="270" spans="2:31">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c r="AA270" s="242"/>
      <c r="AB270" s="242"/>
      <c r="AC270" s="242"/>
      <c r="AD270" s="242"/>
      <c r="AE270" s="242"/>
    </row>
    <row r="271" spans="2:31">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c r="AA271" s="242"/>
      <c r="AB271" s="242"/>
      <c r="AC271" s="242"/>
      <c r="AD271" s="242"/>
      <c r="AE271" s="242"/>
    </row>
    <row r="272" spans="2:31">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c r="AA272" s="242"/>
      <c r="AB272" s="242"/>
      <c r="AC272" s="242"/>
      <c r="AD272" s="242"/>
      <c r="AE272" s="242"/>
    </row>
    <row r="273" spans="2:31">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c r="AA273" s="242"/>
      <c r="AB273" s="242"/>
      <c r="AC273" s="242"/>
      <c r="AD273" s="242"/>
      <c r="AE273" s="242"/>
    </row>
    <row r="274" spans="2:31">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c r="AA274" s="242"/>
      <c r="AB274" s="242"/>
      <c r="AC274" s="242"/>
      <c r="AD274" s="242"/>
      <c r="AE274" s="242"/>
    </row>
    <row r="275" spans="2:31">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c r="AA275" s="242"/>
      <c r="AB275" s="242"/>
      <c r="AC275" s="242"/>
      <c r="AD275" s="242"/>
      <c r="AE275" s="242"/>
    </row>
    <row r="276" spans="2:31">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c r="AA276" s="242"/>
      <c r="AB276" s="242"/>
      <c r="AC276" s="242"/>
      <c r="AD276" s="242"/>
      <c r="AE276" s="242"/>
    </row>
    <row r="277" spans="2:31">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c r="AA277" s="242"/>
      <c r="AB277" s="242"/>
      <c r="AC277" s="242"/>
      <c r="AD277" s="242"/>
      <c r="AE277" s="242"/>
    </row>
    <row r="278" spans="2:31">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c r="AA278" s="242"/>
      <c r="AB278" s="242"/>
      <c r="AC278" s="242"/>
      <c r="AD278" s="242"/>
      <c r="AE278" s="242"/>
    </row>
    <row r="279" spans="2:31">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c r="AA279" s="242"/>
      <c r="AB279" s="242"/>
      <c r="AC279" s="242"/>
      <c r="AD279" s="242"/>
      <c r="AE279" s="242"/>
    </row>
    <row r="280" spans="2:31">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c r="AA280" s="242"/>
      <c r="AB280" s="242"/>
      <c r="AC280" s="242"/>
      <c r="AD280" s="242"/>
      <c r="AE280" s="242"/>
    </row>
    <row r="281" spans="2:31">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c r="AA281" s="242"/>
      <c r="AB281" s="242"/>
      <c r="AC281" s="242"/>
      <c r="AD281" s="242"/>
      <c r="AE281" s="242"/>
    </row>
    <row r="282" spans="2:31">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c r="AC282" s="242"/>
      <c r="AD282" s="242"/>
      <c r="AE282" s="242"/>
    </row>
    <row r="283" spans="2:31">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c r="AA283" s="242"/>
      <c r="AB283" s="242"/>
      <c r="AC283" s="242"/>
      <c r="AD283" s="242"/>
      <c r="AE283" s="242"/>
    </row>
    <row r="284" spans="2:31">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c r="AA284" s="242"/>
      <c r="AB284" s="242"/>
      <c r="AC284" s="242"/>
      <c r="AD284" s="242"/>
      <c r="AE284" s="242"/>
    </row>
    <row r="285" spans="2:31">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c r="AA285" s="242"/>
      <c r="AB285" s="242"/>
      <c r="AC285" s="242"/>
      <c r="AD285" s="242"/>
      <c r="AE285" s="242"/>
    </row>
    <row r="286" spans="2:31">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c r="AA286" s="242"/>
      <c r="AB286" s="242"/>
      <c r="AC286" s="242"/>
      <c r="AD286" s="242"/>
      <c r="AE286" s="242"/>
    </row>
    <row r="287" spans="2:31">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c r="AA287" s="242"/>
      <c r="AB287" s="242"/>
      <c r="AC287" s="242"/>
      <c r="AD287" s="242"/>
      <c r="AE287" s="242"/>
    </row>
    <row r="288" spans="2:31">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c r="AA288" s="242"/>
      <c r="AB288" s="242"/>
      <c r="AC288" s="242"/>
      <c r="AD288" s="242"/>
      <c r="AE288" s="242"/>
    </row>
    <row r="289" spans="2:31">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c r="AA289" s="242"/>
      <c r="AB289" s="242"/>
      <c r="AC289" s="242"/>
      <c r="AD289" s="242"/>
      <c r="AE289" s="242"/>
    </row>
    <row r="290" spans="2:31">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c r="AA290" s="242"/>
      <c r="AB290" s="242"/>
      <c r="AC290" s="242"/>
      <c r="AD290" s="242"/>
      <c r="AE290" s="242"/>
    </row>
    <row r="291" spans="2:31">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c r="AA291" s="242"/>
      <c r="AB291" s="242"/>
      <c r="AC291" s="242"/>
      <c r="AD291" s="242"/>
      <c r="AE291" s="242"/>
    </row>
    <row r="292" spans="2:31">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c r="AA292" s="242"/>
      <c r="AB292" s="242"/>
      <c r="AC292" s="242"/>
      <c r="AD292" s="242"/>
      <c r="AE292" s="242"/>
    </row>
    <row r="293" spans="2:31">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c r="AA293" s="242"/>
      <c r="AB293" s="242"/>
      <c r="AC293" s="242"/>
      <c r="AD293" s="242"/>
      <c r="AE293" s="242"/>
    </row>
    <row r="294" spans="2:31">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c r="AA294" s="242"/>
      <c r="AB294" s="242"/>
      <c r="AC294" s="242"/>
      <c r="AD294" s="242"/>
      <c r="AE294" s="242"/>
    </row>
    <row r="295" spans="2:31">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c r="AA295" s="242"/>
      <c r="AB295" s="242"/>
      <c r="AC295" s="242"/>
      <c r="AD295" s="242"/>
      <c r="AE295" s="242"/>
    </row>
    <row r="296" spans="2:31">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c r="AA296" s="242"/>
      <c r="AB296" s="242"/>
      <c r="AC296" s="242"/>
      <c r="AD296" s="242"/>
      <c r="AE296" s="242"/>
    </row>
    <row r="297" spans="2:31">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c r="AA297" s="242"/>
      <c r="AB297" s="242"/>
      <c r="AC297" s="242"/>
      <c r="AD297" s="242"/>
      <c r="AE297" s="242"/>
    </row>
    <row r="298" spans="2:31">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c r="AA298" s="242"/>
      <c r="AB298" s="242"/>
      <c r="AC298" s="242"/>
      <c r="AD298" s="242"/>
      <c r="AE298" s="242"/>
    </row>
    <row r="299" spans="2:31">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c r="AA299" s="242"/>
      <c r="AB299" s="242"/>
      <c r="AC299" s="242"/>
      <c r="AD299" s="242"/>
      <c r="AE299" s="242"/>
    </row>
    <row r="300" spans="2:31">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c r="AA300" s="242"/>
      <c r="AB300" s="242"/>
      <c r="AC300" s="242"/>
      <c r="AD300" s="242"/>
      <c r="AE300" s="242"/>
    </row>
    <row r="301" spans="2:31">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c r="AA301" s="242"/>
      <c r="AB301" s="242"/>
      <c r="AC301" s="242"/>
      <c r="AD301" s="242"/>
      <c r="AE301" s="242"/>
    </row>
    <row r="302" spans="2:31">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c r="AA302" s="242"/>
      <c r="AB302" s="242"/>
      <c r="AC302" s="242"/>
      <c r="AD302" s="242"/>
      <c r="AE302" s="242"/>
    </row>
    <row r="303" spans="2:31">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c r="AA303" s="242"/>
      <c r="AB303" s="242"/>
      <c r="AC303" s="242"/>
      <c r="AD303" s="242"/>
      <c r="AE303" s="242"/>
    </row>
    <row r="304" spans="2:31">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c r="AA304" s="242"/>
      <c r="AB304" s="242"/>
      <c r="AC304" s="242"/>
      <c r="AD304" s="242"/>
      <c r="AE304" s="242"/>
    </row>
    <row r="305" spans="2:31">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c r="AA305" s="242"/>
      <c r="AB305" s="242"/>
      <c r="AC305" s="242"/>
      <c r="AD305" s="242"/>
      <c r="AE305" s="242"/>
    </row>
    <row r="306" spans="2:31">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c r="AA306" s="242"/>
      <c r="AB306" s="242"/>
      <c r="AC306" s="242"/>
      <c r="AD306" s="242"/>
      <c r="AE306" s="242"/>
    </row>
    <row r="307" spans="2:31">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c r="AA307" s="242"/>
      <c r="AB307" s="242"/>
      <c r="AC307" s="242"/>
      <c r="AD307" s="242"/>
      <c r="AE307" s="242"/>
    </row>
    <row r="308" spans="2:31">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c r="AA308" s="242"/>
      <c r="AB308" s="242"/>
      <c r="AC308" s="242"/>
      <c r="AD308" s="242"/>
      <c r="AE308" s="242"/>
    </row>
    <row r="309" spans="2:31">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c r="AA309" s="242"/>
      <c r="AB309" s="242"/>
      <c r="AC309" s="242"/>
      <c r="AD309" s="242"/>
      <c r="AE309" s="242"/>
    </row>
    <row r="310" spans="2:31">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c r="AA310" s="242"/>
      <c r="AB310" s="242"/>
      <c r="AC310" s="242"/>
      <c r="AD310" s="242"/>
      <c r="AE310" s="242"/>
    </row>
    <row r="311" spans="2:31">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c r="AA311" s="242"/>
      <c r="AB311" s="242"/>
      <c r="AC311" s="242"/>
      <c r="AD311" s="242"/>
      <c r="AE311" s="242"/>
    </row>
    <row r="312" spans="2:31">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c r="AA312" s="242"/>
      <c r="AB312" s="242"/>
      <c r="AC312" s="242"/>
      <c r="AD312" s="242"/>
      <c r="AE312" s="242"/>
    </row>
    <row r="313" spans="2:31">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c r="AA313" s="242"/>
      <c r="AB313" s="242"/>
      <c r="AC313" s="242"/>
      <c r="AD313" s="242"/>
      <c r="AE313" s="242"/>
    </row>
    <row r="314" spans="2:31">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c r="AA314" s="242"/>
      <c r="AB314" s="242"/>
      <c r="AC314" s="242"/>
      <c r="AD314" s="242"/>
      <c r="AE314" s="242"/>
    </row>
    <row r="315" spans="2:31">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c r="AA315" s="242"/>
      <c r="AB315" s="242"/>
      <c r="AC315" s="242"/>
      <c r="AD315" s="242"/>
      <c r="AE315" s="242"/>
    </row>
    <row r="316" spans="2:31">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c r="AA316" s="242"/>
      <c r="AB316" s="242"/>
      <c r="AC316" s="242"/>
      <c r="AD316" s="242"/>
      <c r="AE316" s="242"/>
    </row>
    <row r="317" spans="2:31">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c r="AA317" s="242"/>
      <c r="AB317" s="242"/>
      <c r="AC317" s="242"/>
      <c r="AD317" s="242"/>
      <c r="AE317" s="242"/>
    </row>
    <row r="318" spans="2:31">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c r="AA318" s="242"/>
      <c r="AB318" s="242"/>
      <c r="AC318" s="242"/>
      <c r="AD318" s="242"/>
      <c r="AE318" s="242"/>
    </row>
    <row r="319" spans="2:31">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c r="AA319" s="242"/>
      <c r="AB319" s="242"/>
      <c r="AC319" s="242"/>
      <c r="AD319" s="242"/>
      <c r="AE319" s="242"/>
    </row>
    <row r="320" spans="2:31">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c r="AA320" s="242"/>
      <c r="AB320" s="242"/>
      <c r="AC320" s="242"/>
      <c r="AD320" s="242"/>
      <c r="AE320" s="242"/>
    </row>
    <row r="321" spans="2:31">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c r="AA321" s="242"/>
      <c r="AB321" s="242"/>
      <c r="AC321" s="242"/>
      <c r="AD321" s="242"/>
      <c r="AE321" s="242"/>
    </row>
    <row r="322" spans="2:31">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c r="AA322" s="242"/>
      <c r="AB322" s="242"/>
      <c r="AC322" s="242"/>
      <c r="AD322" s="242"/>
      <c r="AE322" s="242"/>
    </row>
    <row r="323" spans="2:31">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c r="AA323" s="242"/>
      <c r="AB323" s="242"/>
      <c r="AC323" s="242"/>
      <c r="AD323" s="242"/>
      <c r="AE323" s="242"/>
    </row>
    <row r="324" spans="2:31">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c r="AA324" s="242"/>
      <c r="AB324" s="242"/>
      <c r="AC324" s="242"/>
      <c r="AD324" s="242"/>
      <c r="AE324" s="242"/>
    </row>
    <row r="325" spans="2:31">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c r="AA325" s="242"/>
      <c r="AB325" s="242"/>
      <c r="AC325" s="242"/>
      <c r="AD325" s="242"/>
      <c r="AE325" s="242"/>
    </row>
    <row r="326" spans="2:31">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c r="AA326" s="242"/>
      <c r="AB326" s="242"/>
      <c r="AC326" s="242"/>
      <c r="AD326" s="242"/>
      <c r="AE326" s="242"/>
    </row>
    <row r="327" spans="2:31">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c r="AA327" s="242"/>
      <c r="AB327" s="242"/>
      <c r="AC327" s="242"/>
      <c r="AD327" s="242"/>
      <c r="AE327" s="242"/>
    </row>
    <row r="328" spans="2:31">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c r="AA328" s="242"/>
      <c r="AB328" s="242"/>
      <c r="AC328" s="242"/>
      <c r="AD328" s="242"/>
      <c r="AE328" s="242"/>
    </row>
    <row r="329" spans="2:31">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c r="AA329" s="242"/>
      <c r="AB329" s="242"/>
      <c r="AC329" s="242"/>
      <c r="AD329" s="242"/>
      <c r="AE329" s="242"/>
    </row>
    <row r="330" spans="2:31">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c r="AA330" s="242"/>
      <c r="AB330" s="242"/>
      <c r="AC330" s="242"/>
      <c r="AD330" s="242"/>
      <c r="AE330" s="242"/>
    </row>
    <row r="331" spans="2:31">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c r="AA331" s="242"/>
      <c r="AB331" s="242"/>
      <c r="AC331" s="242"/>
      <c r="AD331" s="242"/>
      <c r="AE331" s="242"/>
    </row>
    <row r="332" spans="2:31">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c r="AA332" s="242"/>
      <c r="AB332" s="242"/>
      <c r="AC332" s="242"/>
      <c r="AD332" s="242"/>
      <c r="AE332" s="242"/>
    </row>
    <row r="333" spans="2:31">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c r="AA333" s="242"/>
      <c r="AB333" s="242"/>
      <c r="AC333" s="242"/>
      <c r="AD333" s="242"/>
      <c r="AE333" s="242"/>
    </row>
    <row r="334" spans="2:31">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c r="AA334" s="242"/>
      <c r="AB334" s="242"/>
      <c r="AC334" s="242"/>
      <c r="AD334" s="242"/>
      <c r="AE334" s="242"/>
    </row>
    <row r="335" spans="2:31">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c r="AA335" s="242"/>
      <c r="AB335" s="242"/>
      <c r="AC335" s="242"/>
      <c r="AD335" s="242"/>
      <c r="AE335" s="242"/>
    </row>
    <row r="336" spans="2:31">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c r="AA336" s="242"/>
      <c r="AB336" s="242"/>
      <c r="AC336" s="242"/>
      <c r="AD336" s="242"/>
      <c r="AE336" s="242"/>
    </row>
    <row r="337" spans="2:31">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c r="AA337" s="242"/>
      <c r="AB337" s="242"/>
      <c r="AC337" s="242"/>
      <c r="AD337" s="242"/>
      <c r="AE337" s="242"/>
    </row>
    <row r="338" spans="2:31">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c r="AA338" s="242"/>
      <c r="AB338" s="242"/>
      <c r="AC338" s="242"/>
      <c r="AD338" s="242"/>
      <c r="AE338" s="242"/>
    </row>
    <row r="339" spans="2:31">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c r="AA339" s="242"/>
      <c r="AB339" s="242"/>
      <c r="AC339" s="242"/>
      <c r="AD339" s="242"/>
      <c r="AE339" s="242"/>
    </row>
    <row r="340" spans="2:31">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c r="AA340" s="242"/>
      <c r="AB340" s="242"/>
      <c r="AC340" s="242"/>
      <c r="AD340" s="242"/>
      <c r="AE340" s="242"/>
    </row>
    <row r="341" spans="2:31">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c r="AA341" s="242"/>
      <c r="AB341" s="242"/>
      <c r="AC341" s="242"/>
      <c r="AD341" s="242"/>
      <c r="AE341" s="242"/>
    </row>
    <row r="342" spans="2:31">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c r="AA342" s="242"/>
      <c r="AB342" s="242"/>
      <c r="AC342" s="242"/>
      <c r="AD342" s="242"/>
      <c r="AE342" s="242"/>
    </row>
    <row r="343" spans="2:31">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c r="AA343" s="242"/>
      <c r="AB343" s="242"/>
      <c r="AC343" s="242"/>
      <c r="AD343" s="242"/>
      <c r="AE343" s="242"/>
    </row>
    <row r="344" spans="2:31">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c r="AA344" s="242"/>
      <c r="AB344" s="242"/>
      <c r="AC344" s="242"/>
      <c r="AD344" s="242"/>
      <c r="AE344" s="242"/>
    </row>
    <row r="345" spans="2:31">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c r="AA345" s="242"/>
      <c r="AB345" s="242"/>
      <c r="AC345" s="242"/>
      <c r="AD345" s="242"/>
      <c r="AE345" s="242"/>
    </row>
    <row r="346" spans="2:31">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c r="AA346" s="242"/>
      <c r="AB346" s="242"/>
      <c r="AC346" s="242"/>
      <c r="AD346" s="242"/>
      <c r="AE346" s="242"/>
    </row>
    <row r="347" spans="2:31">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c r="AA347" s="242"/>
      <c r="AB347" s="242"/>
      <c r="AC347" s="242"/>
      <c r="AD347" s="242"/>
      <c r="AE347" s="242"/>
    </row>
    <row r="348" spans="2:31">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c r="AA348" s="242"/>
      <c r="AB348" s="242"/>
      <c r="AC348" s="242"/>
      <c r="AD348" s="242"/>
      <c r="AE348" s="242"/>
    </row>
    <row r="349" spans="2:31">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c r="AA349" s="242"/>
      <c r="AB349" s="242"/>
      <c r="AC349" s="242"/>
      <c r="AD349" s="242"/>
      <c r="AE349" s="242"/>
    </row>
    <row r="350" spans="2:31">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c r="AA350" s="242"/>
      <c r="AB350" s="242"/>
      <c r="AC350" s="242"/>
      <c r="AD350" s="242"/>
      <c r="AE350" s="242"/>
    </row>
    <row r="351" spans="2:31">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c r="AA351" s="242"/>
      <c r="AB351" s="242"/>
      <c r="AC351" s="242"/>
      <c r="AD351" s="242"/>
      <c r="AE351" s="242"/>
    </row>
    <row r="352" spans="2:31">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c r="AA352" s="242"/>
      <c r="AB352" s="242"/>
      <c r="AC352" s="242"/>
      <c r="AD352" s="242"/>
      <c r="AE352" s="242"/>
    </row>
    <row r="353" spans="2:31">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c r="AA353" s="242"/>
      <c r="AB353" s="242"/>
      <c r="AC353" s="242"/>
      <c r="AD353" s="242"/>
      <c r="AE353" s="242"/>
    </row>
    <row r="354" spans="2:31">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c r="AA354" s="242"/>
      <c r="AB354" s="242"/>
      <c r="AC354" s="242"/>
      <c r="AD354" s="242"/>
      <c r="AE354" s="242"/>
    </row>
    <row r="355" spans="2:31">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c r="AA355" s="242"/>
      <c r="AB355" s="242"/>
      <c r="AC355" s="242"/>
      <c r="AD355" s="242"/>
      <c r="AE355" s="242"/>
    </row>
    <row r="356" spans="2:31">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c r="AA356" s="242"/>
      <c r="AB356" s="242"/>
      <c r="AC356" s="242"/>
      <c r="AD356" s="242"/>
      <c r="AE356" s="242"/>
    </row>
    <row r="357" spans="2:31">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c r="AA357" s="242"/>
      <c r="AB357" s="242"/>
      <c r="AC357" s="242"/>
      <c r="AD357" s="242"/>
      <c r="AE357" s="242"/>
    </row>
    <row r="358" spans="2:31">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c r="AA358" s="242"/>
      <c r="AB358" s="242"/>
      <c r="AC358" s="242"/>
      <c r="AD358" s="242"/>
      <c r="AE358" s="242"/>
    </row>
    <row r="359" spans="2:31">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c r="AA359" s="242"/>
      <c r="AB359" s="242"/>
      <c r="AC359" s="242"/>
      <c r="AD359" s="242"/>
      <c r="AE359" s="242"/>
    </row>
    <row r="360" spans="2:31">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c r="AA360" s="242"/>
      <c r="AB360" s="242"/>
      <c r="AC360" s="242"/>
      <c r="AD360" s="242"/>
      <c r="AE360" s="242"/>
    </row>
    <row r="361" spans="2:31">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c r="AA361" s="242"/>
      <c r="AB361" s="242"/>
      <c r="AC361" s="242"/>
      <c r="AD361" s="242"/>
      <c r="AE361" s="242"/>
    </row>
    <row r="362" spans="2:31">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c r="AA362" s="242"/>
      <c r="AB362" s="242"/>
      <c r="AC362" s="242"/>
      <c r="AD362" s="242"/>
      <c r="AE362" s="242"/>
    </row>
    <row r="363" spans="2:31">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c r="AA363" s="242"/>
      <c r="AB363" s="242"/>
      <c r="AC363" s="242"/>
      <c r="AD363" s="242"/>
      <c r="AE363" s="242"/>
    </row>
    <row r="364" spans="2:31">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c r="AA364" s="242"/>
      <c r="AB364" s="242"/>
      <c r="AC364" s="242"/>
      <c r="AD364" s="242"/>
      <c r="AE364" s="242"/>
    </row>
    <row r="365" spans="2:31">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c r="AA365" s="242"/>
      <c r="AB365" s="242"/>
      <c r="AC365" s="242"/>
      <c r="AD365" s="242"/>
      <c r="AE365" s="242"/>
    </row>
    <row r="366" spans="2:31">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c r="AA366" s="242"/>
      <c r="AB366" s="242"/>
      <c r="AC366" s="242"/>
      <c r="AD366" s="242"/>
      <c r="AE366" s="242"/>
    </row>
    <row r="367" spans="2:31">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c r="AA367" s="242"/>
      <c r="AB367" s="242"/>
      <c r="AC367" s="242"/>
      <c r="AD367" s="242"/>
      <c r="AE367" s="242"/>
    </row>
    <row r="368" spans="2:31">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c r="AA368" s="242"/>
      <c r="AB368" s="242"/>
      <c r="AC368" s="242"/>
      <c r="AD368" s="242"/>
      <c r="AE368" s="242"/>
    </row>
    <row r="369" spans="2:31">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c r="AA369" s="242"/>
      <c r="AB369" s="242"/>
      <c r="AC369" s="242"/>
      <c r="AD369" s="242"/>
      <c r="AE369" s="242"/>
    </row>
    <row r="370" spans="2:31">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c r="AA370" s="242"/>
      <c r="AB370" s="242"/>
      <c r="AC370" s="242"/>
      <c r="AD370" s="242"/>
      <c r="AE370" s="242"/>
    </row>
    <row r="371" spans="2:31">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c r="AA371" s="242"/>
      <c r="AB371" s="242"/>
      <c r="AC371" s="242"/>
      <c r="AD371" s="242"/>
      <c r="AE371" s="242"/>
    </row>
    <row r="372" spans="2:31">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c r="AA372" s="242"/>
      <c r="AB372" s="242"/>
      <c r="AC372" s="242"/>
      <c r="AD372" s="242"/>
      <c r="AE372" s="242"/>
    </row>
    <row r="373" spans="2:31">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c r="AA373" s="242"/>
      <c r="AB373" s="242"/>
      <c r="AC373" s="242"/>
      <c r="AD373" s="242"/>
      <c r="AE373" s="242"/>
    </row>
    <row r="374" spans="2:31">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c r="AA374" s="242"/>
      <c r="AB374" s="242"/>
      <c r="AC374" s="242"/>
      <c r="AD374" s="242"/>
      <c r="AE374" s="242"/>
    </row>
    <row r="375" spans="2:31">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c r="AA375" s="242"/>
      <c r="AB375" s="242"/>
      <c r="AC375" s="242"/>
      <c r="AD375" s="242"/>
      <c r="AE375" s="242"/>
    </row>
    <row r="376" spans="2:31">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c r="AA376" s="242"/>
      <c r="AB376" s="242"/>
      <c r="AC376" s="242"/>
      <c r="AD376" s="242"/>
      <c r="AE376" s="242"/>
    </row>
    <row r="377" spans="2:31">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c r="AA377" s="242"/>
      <c r="AB377" s="242"/>
      <c r="AC377" s="242"/>
      <c r="AD377" s="242"/>
      <c r="AE377" s="242"/>
    </row>
    <row r="378" spans="2:31">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c r="AA378" s="242"/>
      <c r="AB378" s="242"/>
      <c r="AC378" s="242"/>
      <c r="AD378" s="242"/>
      <c r="AE378" s="242"/>
    </row>
    <row r="379" spans="2:31">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c r="AA379" s="242"/>
      <c r="AB379" s="242"/>
      <c r="AC379" s="242"/>
      <c r="AD379" s="242"/>
      <c r="AE379" s="242"/>
    </row>
    <row r="380" spans="2:31">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c r="AA380" s="242"/>
      <c r="AB380" s="242"/>
      <c r="AC380" s="242"/>
      <c r="AD380" s="242"/>
      <c r="AE380" s="242"/>
    </row>
    <row r="381" spans="2:31">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c r="AA381" s="242"/>
      <c r="AB381" s="242"/>
      <c r="AC381" s="242"/>
      <c r="AD381" s="242"/>
      <c r="AE381" s="242"/>
    </row>
    <row r="382" spans="2:31">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c r="AA382" s="242"/>
      <c r="AB382" s="242"/>
      <c r="AC382" s="242"/>
      <c r="AD382" s="242"/>
      <c r="AE382" s="242"/>
    </row>
    <row r="383" spans="2:31">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c r="AA383" s="242"/>
      <c r="AB383" s="242"/>
      <c r="AC383" s="242"/>
      <c r="AD383" s="242"/>
      <c r="AE383" s="242"/>
    </row>
    <row r="384" spans="2:31">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c r="AA384" s="242"/>
      <c r="AB384" s="242"/>
      <c r="AC384" s="242"/>
      <c r="AD384" s="242"/>
      <c r="AE384" s="242"/>
    </row>
    <row r="385" spans="2:31">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c r="AA385" s="242"/>
      <c r="AB385" s="242"/>
      <c r="AC385" s="242"/>
      <c r="AD385" s="242"/>
      <c r="AE385" s="242"/>
    </row>
    <row r="386" spans="2:31">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c r="AA386" s="242"/>
      <c r="AB386" s="242"/>
      <c r="AC386" s="242"/>
      <c r="AD386" s="242"/>
      <c r="AE386" s="242"/>
    </row>
    <row r="387" spans="2:31">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c r="AA387" s="242"/>
      <c r="AB387" s="242"/>
      <c r="AC387" s="242"/>
      <c r="AD387" s="242"/>
      <c r="AE387" s="242"/>
    </row>
    <row r="388" spans="2:31">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c r="AA388" s="242"/>
      <c r="AB388" s="242"/>
      <c r="AC388" s="242"/>
      <c r="AD388" s="242"/>
      <c r="AE388" s="242"/>
    </row>
    <row r="389" spans="2:31">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c r="AA389" s="242"/>
      <c r="AB389" s="242"/>
      <c r="AC389" s="242"/>
      <c r="AD389" s="242"/>
      <c r="AE389" s="242"/>
    </row>
    <row r="390" spans="2:31">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c r="AA390" s="242"/>
      <c r="AB390" s="242"/>
      <c r="AC390" s="242"/>
      <c r="AD390" s="242"/>
      <c r="AE390" s="242"/>
    </row>
    <row r="391" spans="2:31">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c r="AA391" s="242"/>
      <c r="AB391" s="242"/>
      <c r="AC391" s="242"/>
      <c r="AD391" s="242"/>
      <c r="AE391" s="242"/>
    </row>
    <row r="392" spans="2:31">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c r="AA392" s="242"/>
      <c r="AB392" s="242"/>
      <c r="AC392" s="242"/>
      <c r="AD392" s="242"/>
      <c r="AE392" s="242"/>
    </row>
    <row r="393" spans="2:31">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c r="AA393" s="242"/>
      <c r="AB393" s="242"/>
      <c r="AC393" s="242"/>
      <c r="AD393" s="242"/>
      <c r="AE393" s="242"/>
    </row>
    <row r="394" spans="2:31">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c r="AA394" s="242"/>
      <c r="AB394" s="242"/>
      <c r="AC394" s="242"/>
      <c r="AD394" s="242"/>
      <c r="AE394" s="242"/>
    </row>
    <row r="395" spans="2:31">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c r="AA395" s="242"/>
      <c r="AB395" s="242"/>
      <c r="AC395" s="242"/>
      <c r="AD395" s="242"/>
      <c r="AE395" s="242"/>
    </row>
    <row r="396" spans="2:31">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c r="AA396" s="242"/>
      <c r="AB396" s="242"/>
      <c r="AC396" s="242"/>
      <c r="AD396" s="242"/>
      <c r="AE396" s="242"/>
    </row>
    <row r="397" spans="2:31">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c r="AA397" s="242"/>
      <c r="AB397" s="242"/>
      <c r="AC397" s="242"/>
      <c r="AD397" s="242"/>
      <c r="AE397" s="242"/>
    </row>
    <row r="398" spans="2:31">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c r="AA398" s="242"/>
      <c r="AB398" s="242"/>
      <c r="AC398" s="242"/>
      <c r="AD398" s="242"/>
      <c r="AE398" s="242"/>
    </row>
    <row r="399" spans="2:31">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c r="AA399" s="242"/>
      <c r="AB399" s="242"/>
      <c r="AC399" s="242"/>
      <c r="AD399" s="242"/>
      <c r="AE399" s="242"/>
    </row>
    <row r="400" spans="2:31">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c r="AA400" s="242"/>
      <c r="AB400" s="242"/>
      <c r="AC400" s="242"/>
      <c r="AD400" s="242"/>
      <c r="AE400" s="242"/>
    </row>
    <row r="401" spans="2:31">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c r="AA401" s="242"/>
      <c r="AB401" s="242"/>
      <c r="AC401" s="242"/>
      <c r="AD401" s="242"/>
      <c r="AE401" s="242"/>
    </row>
    <row r="402" spans="2:31">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c r="AA402" s="242"/>
      <c r="AB402" s="242"/>
      <c r="AC402" s="242"/>
      <c r="AD402" s="242"/>
      <c r="AE402" s="242"/>
    </row>
    <row r="403" spans="2:31">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c r="AA403" s="242"/>
      <c r="AB403" s="242"/>
      <c r="AC403" s="242"/>
      <c r="AD403" s="242"/>
      <c r="AE403" s="242"/>
    </row>
    <row r="404" spans="2:31">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c r="AA404" s="242"/>
      <c r="AB404" s="242"/>
      <c r="AC404" s="242"/>
      <c r="AD404" s="242"/>
      <c r="AE404" s="242"/>
    </row>
    <row r="405" spans="2:31">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c r="AA405" s="242"/>
      <c r="AB405" s="242"/>
      <c r="AC405" s="242"/>
      <c r="AD405" s="242"/>
      <c r="AE405" s="242"/>
    </row>
    <row r="406" spans="2:31">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c r="AA406" s="242"/>
      <c r="AB406" s="242"/>
      <c r="AC406" s="242"/>
      <c r="AD406" s="242"/>
      <c r="AE406" s="242"/>
    </row>
    <row r="407" spans="2:31">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c r="AA407" s="242"/>
      <c r="AB407" s="242"/>
      <c r="AC407" s="242"/>
      <c r="AD407" s="242"/>
      <c r="AE407" s="242"/>
    </row>
    <row r="408" spans="2:31">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c r="AA408" s="242"/>
      <c r="AB408" s="242"/>
      <c r="AC408" s="242"/>
      <c r="AD408" s="242"/>
      <c r="AE408" s="242"/>
    </row>
    <row r="409" spans="2:31">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c r="AA409" s="242"/>
      <c r="AB409" s="242"/>
      <c r="AC409" s="242"/>
      <c r="AD409" s="242"/>
      <c r="AE409" s="242"/>
    </row>
    <row r="410" spans="2:31">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c r="AA410" s="242"/>
      <c r="AB410" s="242"/>
      <c r="AC410" s="242"/>
      <c r="AD410" s="242"/>
      <c r="AE410" s="242"/>
    </row>
    <row r="411" spans="2:31">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c r="AA411" s="242"/>
      <c r="AB411" s="242"/>
      <c r="AC411" s="242"/>
      <c r="AD411" s="242"/>
      <c r="AE411" s="242"/>
    </row>
    <row r="412" spans="2:31">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c r="AA412" s="242"/>
      <c r="AB412" s="242"/>
      <c r="AC412" s="242"/>
      <c r="AD412" s="242"/>
      <c r="AE412" s="242"/>
    </row>
    <row r="413" spans="2:31">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c r="AA413" s="242"/>
      <c r="AB413" s="242"/>
      <c r="AC413" s="242"/>
      <c r="AD413" s="242"/>
      <c r="AE413" s="242"/>
    </row>
    <row r="414" spans="2:31">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c r="AA414" s="242"/>
      <c r="AB414" s="242"/>
      <c r="AC414" s="242"/>
      <c r="AD414" s="242"/>
      <c r="AE414" s="242"/>
    </row>
    <row r="415" spans="2:31">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c r="AA415" s="242"/>
      <c r="AB415" s="242"/>
      <c r="AC415" s="242"/>
      <c r="AD415" s="242"/>
      <c r="AE415" s="242"/>
    </row>
    <row r="416" spans="2:31">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c r="AA416" s="242"/>
      <c r="AB416" s="242"/>
      <c r="AC416" s="242"/>
      <c r="AD416" s="242"/>
      <c r="AE416" s="242"/>
    </row>
    <row r="417" spans="2:31">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c r="AA417" s="242"/>
      <c r="AB417" s="242"/>
      <c r="AC417" s="242"/>
      <c r="AD417" s="242"/>
      <c r="AE417" s="242"/>
    </row>
    <row r="418" spans="2:31">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c r="AA418" s="242"/>
      <c r="AB418" s="242"/>
      <c r="AC418" s="242"/>
      <c r="AD418" s="242"/>
      <c r="AE418" s="242"/>
    </row>
    <row r="419" spans="2:31">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c r="AA419" s="242"/>
      <c r="AB419" s="242"/>
      <c r="AC419" s="242"/>
      <c r="AD419" s="242"/>
      <c r="AE419" s="242"/>
    </row>
    <row r="420" spans="2:31">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c r="AA420" s="242"/>
      <c r="AB420" s="242"/>
      <c r="AC420" s="242"/>
      <c r="AD420" s="242"/>
      <c r="AE420" s="242"/>
    </row>
    <row r="421" spans="2:31">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c r="AA421" s="242"/>
      <c r="AB421" s="242"/>
      <c r="AC421" s="242"/>
      <c r="AD421" s="242"/>
      <c r="AE421" s="242"/>
    </row>
    <row r="422" spans="2:31">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c r="AA422" s="242"/>
      <c r="AB422" s="242"/>
      <c r="AC422" s="242"/>
      <c r="AD422" s="242"/>
      <c r="AE422" s="242"/>
    </row>
    <row r="423" spans="2:31">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c r="AA423" s="242"/>
      <c r="AB423" s="242"/>
      <c r="AC423" s="242"/>
      <c r="AD423" s="242"/>
      <c r="AE423" s="242"/>
    </row>
    <row r="424" spans="2:31">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c r="AA424" s="242"/>
      <c r="AB424" s="242"/>
      <c r="AC424" s="242"/>
      <c r="AD424" s="242"/>
      <c r="AE424" s="242"/>
    </row>
    <row r="425" spans="2:31">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c r="AA425" s="242"/>
      <c r="AB425" s="242"/>
      <c r="AC425" s="242"/>
      <c r="AD425" s="242"/>
      <c r="AE425" s="242"/>
    </row>
    <row r="426" spans="2:31">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c r="AA426" s="242"/>
      <c r="AB426" s="242"/>
      <c r="AC426" s="242"/>
      <c r="AD426" s="242"/>
      <c r="AE426" s="242"/>
    </row>
    <row r="427" spans="2:31">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c r="AA427" s="242"/>
      <c r="AB427" s="242"/>
      <c r="AC427" s="242"/>
      <c r="AD427" s="242"/>
      <c r="AE427" s="242"/>
    </row>
    <row r="428" spans="2:31">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c r="AA428" s="242"/>
      <c r="AB428" s="242"/>
      <c r="AC428" s="242"/>
      <c r="AD428" s="242"/>
      <c r="AE428" s="242"/>
    </row>
    <row r="429" spans="2:31">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c r="AA429" s="242"/>
      <c r="AB429" s="242"/>
      <c r="AC429" s="242"/>
      <c r="AD429" s="242"/>
      <c r="AE429" s="242"/>
    </row>
    <row r="430" spans="2:31">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c r="AA430" s="242"/>
      <c r="AB430" s="242"/>
      <c r="AC430" s="242"/>
      <c r="AD430" s="242"/>
      <c r="AE430" s="242"/>
    </row>
    <row r="431" spans="2:31">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c r="AA431" s="242"/>
      <c r="AB431" s="242"/>
      <c r="AC431" s="242"/>
      <c r="AD431" s="242"/>
      <c r="AE431" s="242"/>
    </row>
    <row r="432" spans="2:31">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c r="AA432" s="242"/>
      <c r="AB432" s="242"/>
      <c r="AC432" s="242"/>
      <c r="AD432" s="242"/>
      <c r="AE432" s="242"/>
    </row>
    <row r="433" spans="2:31">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c r="AA433" s="242"/>
      <c r="AB433" s="242"/>
      <c r="AC433" s="242"/>
      <c r="AD433" s="242"/>
      <c r="AE433" s="242"/>
    </row>
    <row r="434" spans="2:31">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c r="AA434" s="242"/>
      <c r="AB434" s="242"/>
      <c r="AC434" s="242"/>
      <c r="AD434" s="242"/>
      <c r="AE434" s="242"/>
    </row>
    <row r="435" spans="2:31">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c r="AA435" s="242"/>
      <c r="AB435" s="242"/>
      <c r="AC435" s="242"/>
      <c r="AD435" s="242"/>
      <c r="AE435" s="242"/>
    </row>
    <row r="436" spans="2:31">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c r="AA436" s="242"/>
      <c r="AB436" s="242"/>
      <c r="AC436" s="242"/>
      <c r="AD436" s="242"/>
      <c r="AE436" s="242"/>
    </row>
    <row r="437" spans="2:31">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c r="AA437" s="242"/>
      <c r="AB437" s="242"/>
      <c r="AC437" s="242"/>
      <c r="AD437" s="242"/>
      <c r="AE437" s="242"/>
    </row>
    <row r="438" spans="2:31">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c r="AA438" s="242"/>
      <c r="AB438" s="242"/>
      <c r="AC438" s="242"/>
      <c r="AD438" s="242"/>
      <c r="AE438" s="242"/>
    </row>
    <row r="439" spans="2:31">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c r="AA439" s="242"/>
      <c r="AB439" s="242"/>
      <c r="AC439" s="242"/>
      <c r="AD439" s="242"/>
      <c r="AE439" s="242"/>
    </row>
    <row r="440" spans="2:31">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c r="AA440" s="242"/>
      <c r="AB440" s="242"/>
      <c r="AC440" s="242"/>
      <c r="AD440" s="242"/>
      <c r="AE440" s="242"/>
    </row>
    <row r="441" spans="2:31">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c r="AA441" s="242"/>
      <c r="AB441" s="242"/>
      <c r="AC441" s="242"/>
      <c r="AD441" s="242"/>
      <c r="AE441" s="242"/>
    </row>
    <row r="442" spans="2:31">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c r="AA442" s="242"/>
      <c r="AB442" s="242"/>
      <c r="AC442" s="242"/>
      <c r="AD442" s="242"/>
      <c r="AE442" s="242"/>
    </row>
    <row r="443" spans="2:31">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c r="AA443" s="242"/>
      <c r="AB443" s="242"/>
      <c r="AC443" s="242"/>
      <c r="AD443" s="242"/>
      <c r="AE443" s="242"/>
    </row>
    <row r="444" spans="2:31">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c r="AA444" s="242"/>
      <c r="AB444" s="242"/>
      <c r="AC444" s="242"/>
      <c r="AD444" s="242"/>
      <c r="AE444" s="242"/>
    </row>
    <row r="445" spans="2:31">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c r="AA445" s="242"/>
      <c r="AB445" s="242"/>
      <c r="AC445" s="242"/>
      <c r="AD445" s="242"/>
      <c r="AE445" s="242"/>
    </row>
    <row r="446" spans="2:31">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c r="AA446" s="242"/>
      <c r="AB446" s="242"/>
      <c r="AC446" s="242"/>
      <c r="AD446" s="242"/>
      <c r="AE446" s="242"/>
    </row>
    <row r="447" spans="2:31">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c r="AA447" s="242"/>
      <c r="AB447" s="242"/>
      <c r="AC447" s="242"/>
      <c r="AD447" s="242"/>
      <c r="AE447" s="242"/>
    </row>
    <row r="448" spans="2:31">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c r="AA448" s="242"/>
      <c r="AB448" s="242"/>
      <c r="AC448" s="242"/>
      <c r="AD448" s="242"/>
      <c r="AE448" s="242"/>
    </row>
    <row r="449" spans="2:31">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c r="AA449" s="242"/>
      <c r="AB449" s="242"/>
      <c r="AC449" s="242"/>
      <c r="AD449" s="242"/>
      <c r="AE449" s="242"/>
    </row>
    <row r="450" spans="2:31">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c r="AA450" s="242"/>
      <c r="AB450" s="242"/>
      <c r="AC450" s="242"/>
      <c r="AD450" s="242"/>
      <c r="AE450" s="242"/>
    </row>
    <row r="451" spans="2:31">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c r="AA451" s="242"/>
      <c r="AB451" s="242"/>
      <c r="AC451" s="242"/>
      <c r="AD451" s="242"/>
      <c r="AE451" s="242"/>
    </row>
    <row r="452" spans="2:31">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c r="AA452" s="242"/>
      <c r="AB452" s="242"/>
      <c r="AC452" s="242"/>
      <c r="AD452" s="242"/>
      <c r="AE452" s="242"/>
    </row>
  </sheetData>
  <mergeCells count="5">
    <mergeCell ref="C7:S7"/>
    <mergeCell ref="V7:Y7"/>
    <mergeCell ref="B1:Z1"/>
    <mergeCell ref="B2:Z2"/>
    <mergeCell ref="B3:Z3"/>
  </mergeCells>
  <phoneticPr fontId="24" type="noConversion"/>
  <printOptions horizontalCentered="1"/>
  <pageMargins left="0.25" right="0.25" top="0.5" bottom="0.25" header="0.3" footer="0.5"/>
  <pageSetup scale="81" orientation="landscape" r:id="rId1"/>
  <headerFooter alignWithMargins="0">
    <oddFooter>&amp;R&amp;A</oddFooter>
  </headerFooter>
  <ignoredErrors>
    <ignoredError sqref="A25" numberStoredAsText="1"/>
  </ignoredErrors>
</worksheet>
</file>

<file path=xl/worksheets/sheet20.xml><?xml version="1.0" encoding="utf-8"?>
<worksheet xmlns="http://schemas.openxmlformats.org/spreadsheetml/2006/main" xmlns:r="http://schemas.openxmlformats.org/officeDocument/2006/relationships">
  <sheetPr>
    <pageSetUpPr fitToPage="1"/>
  </sheetPr>
  <dimension ref="A1:AC91"/>
  <sheetViews>
    <sheetView zoomScale="75" zoomScaleNormal="75" workbookViewId="0">
      <selection sqref="A1:Z1"/>
    </sheetView>
  </sheetViews>
  <sheetFormatPr defaultColWidth="9.109375" defaultRowHeight="13.2"/>
  <cols>
    <col min="1" max="2" width="2.44140625" style="284" customWidth="1"/>
    <col min="3" max="3" width="52" style="284" customWidth="1"/>
    <col min="4" max="4" width="2.44140625" style="443" customWidth="1"/>
    <col min="5" max="5" width="8.88671875" style="284" customWidth="1"/>
    <col min="6" max="6" width="2.44140625" style="284" customWidth="1"/>
    <col min="7" max="7" width="2.44140625" style="443" customWidth="1"/>
    <col min="8" max="8" width="8.88671875" style="284" customWidth="1"/>
    <col min="9" max="9" width="2.44140625" style="284" customWidth="1"/>
    <col min="10" max="10" width="2.44140625" style="443" customWidth="1"/>
    <col min="11" max="11" width="8.88671875" style="284" customWidth="1"/>
    <col min="12" max="12" width="2.44140625" style="284" customWidth="1"/>
    <col min="13" max="13" width="2.44140625" style="443" customWidth="1"/>
    <col min="14" max="14" width="8.88671875" style="284" customWidth="1"/>
    <col min="15" max="15" width="2.44140625" style="284" customWidth="1"/>
    <col min="16" max="16" width="2.44140625" style="443" customWidth="1"/>
    <col min="17" max="17" width="8.88671875" style="284" customWidth="1"/>
    <col min="18" max="18" width="2.44140625" style="284" customWidth="1"/>
    <col min="19" max="19" width="2.44140625" style="443" customWidth="1"/>
    <col min="20" max="20" width="8.88671875" style="284" customWidth="1"/>
    <col min="21" max="22" width="2.44140625" style="284" customWidth="1"/>
    <col min="23" max="23" width="8.44140625" style="284" customWidth="1"/>
    <col min="24" max="25" width="2.44140625" style="284" customWidth="1"/>
    <col min="26" max="26" width="8.44140625" style="284" customWidth="1"/>
    <col min="27" max="16384" width="9.109375" style="284"/>
  </cols>
  <sheetData>
    <row r="1" spans="1:26">
      <c r="A1" s="1011" t="s">
        <v>96</v>
      </c>
      <c r="B1" s="1011"/>
      <c r="C1" s="1011"/>
      <c r="D1" s="1011"/>
      <c r="E1" s="1011"/>
      <c r="F1" s="1011"/>
      <c r="G1" s="1011"/>
      <c r="H1" s="1011"/>
      <c r="I1" s="1011"/>
      <c r="J1" s="1011"/>
      <c r="K1" s="1011"/>
      <c r="L1" s="1011"/>
      <c r="M1" s="1011"/>
      <c r="N1" s="1011"/>
      <c r="O1" s="1011"/>
      <c r="P1" s="1011"/>
      <c r="Q1" s="1011"/>
      <c r="R1" s="1011"/>
      <c r="S1" s="1011"/>
      <c r="T1" s="1011"/>
      <c r="U1" s="1011"/>
      <c r="V1" s="1011"/>
      <c r="W1" s="1011"/>
      <c r="X1" s="1011"/>
      <c r="Y1" s="1011"/>
      <c r="Z1" s="1011"/>
    </row>
    <row r="2" spans="1:26">
      <c r="A2" s="1011" t="s">
        <v>999</v>
      </c>
      <c r="B2" s="1011"/>
      <c r="C2" s="1011"/>
      <c r="D2" s="1011"/>
      <c r="E2" s="1011"/>
      <c r="F2" s="1011"/>
      <c r="G2" s="1011"/>
      <c r="H2" s="1011"/>
      <c r="I2" s="1011"/>
      <c r="J2" s="1011"/>
      <c r="K2" s="1011"/>
      <c r="L2" s="1011"/>
      <c r="M2" s="1011"/>
      <c r="N2" s="1011"/>
      <c r="O2" s="1011"/>
      <c r="P2" s="1011"/>
      <c r="Q2" s="1011"/>
      <c r="R2" s="1011"/>
      <c r="S2" s="1011"/>
      <c r="T2" s="1011"/>
      <c r="U2" s="1011"/>
      <c r="V2" s="1011"/>
      <c r="W2" s="1011"/>
      <c r="X2" s="1011"/>
      <c r="Y2" s="1011"/>
      <c r="Z2" s="1011"/>
    </row>
    <row r="3" spans="1:26">
      <c r="A3" s="1012"/>
      <c r="B3" s="1012"/>
      <c r="C3" s="1012"/>
      <c r="D3" s="1012"/>
      <c r="E3" s="1012"/>
      <c r="F3" s="1012"/>
      <c r="G3" s="1012"/>
      <c r="H3" s="1012"/>
      <c r="I3" s="1012"/>
      <c r="J3" s="1012"/>
      <c r="K3" s="1012"/>
      <c r="L3" s="1012"/>
      <c r="M3" s="1012"/>
      <c r="N3" s="1012"/>
      <c r="O3" s="1012"/>
      <c r="P3" s="1012"/>
      <c r="Q3" s="1012"/>
      <c r="R3" s="1012"/>
      <c r="S3" s="1012"/>
      <c r="T3" s="1012"/>
      <c r="U3" s="1012"/>
      <c r="V3" s="1012"/>
      <c r="W3" s="1012"/>
      <c r="X3" s="1012"/>
      <c r="Y3" s="1012"/>
      <c r="Z3" s="1012"/>
    </row>
    <row r="4" spans="1:26">
      <c r="A4" s="290"/>
      <c r="B4" s="290"/>
      <c r="C4" s="287"/>
      <c r="D4" s="975" t="s">
        <v>99</v>
      </c>
      <c r="E4" s="975"/>
      <c r="F4" s="975"/>
      <c r="G4" s="975"/>
      <c r="H4" s="975"/>
      <c r="I4" s="975"/>
      <c r="J4" s="975"/>
      <c r="K4" s="975"/>
      <c r="L4" s="975"/>
      <c r="M4" s="975"/>
      <c r="N4" s="975"/>
      <c r="O4" s="975"/>
      <c r="P4" s="975"/>
      <c r="Q4" s="975"/>
      <c r="R4" s="975"/>
      <c r="S4" s="975"/>
      <c r="T4" s="975"/>
      <c r="U4" s="66"/>
      <c r="V4" s="298"/>
      <c r="W4" s="1013" t="s">
        <v>100</v>
      </c>
      <c r="X4" s="1013"/>
      <c r="Y4" s="1013"/>
      <c r="Z4" s="1013"/>
    </row>
    <row r="5" spans="1:26" ht="13.8" thickBot="1">
      <c r="A5" s="290"/>
      <c r="C5" s="287"/>
      <c r="D5" s="414"/>
      <c r="E5" s="287"/>
      <c r="F5" s="287"/>
      <c r="G5" s="311"/>
      <c r="H5" s="288"/>
      <c r="I5" s="288"/>
      <c r="J5" s="827"/>
      <c r="K5" s="806"/>
      <c r="L5" s="806"/>
      <c r="M5" s="414"/>
      <c r="N5" s="287"/>
      <c r="O5" s="287"/>
      <c r="P5" s="414"/>
      <c r="Q5" s="287"/>
      <c r="R5" s="287"/>
      <c r="S5" s="414"/>
      <c r="T5" s="287"/>
      <c r="U5" s="287"/>
    </row>
    <row r="6" spans="1:26">
      <c r="A6" s="290"/>
      <c r="B6" s="290"/>
      <c r="C6" s="293"/>
      <c r="D6" s="415"/>
      <c r="E6" s="8" t="s">
        <v>104</v>
      </c>
      <c r="F6" s="292"/>
      <c r="G6" s="416"/>
      <c r="H6" s="6" t="s">
        <v>105</v>
      </c>
      <c r="I6" s="417"/>
      <c r="J6" s="416"/>
      <c r="K6" s="6" t="s">
        <v>102</v>
      </c>
      <c r="L6" s="417"/>
      <c r="M6" s="416"/>
      <c r="N6" s="6" t="s">
        <v>103</v>
      </c>
      <c r="O6" s="417"/>
      <c r="P6" s="415"/>
      <c r="Q6" s="8" t="s">
        <v>104</v>
      </c>
      <c r="R6" s="292"/>
      <c r="S6" s="416"/>
      <c r="T6" s="6" t="s">
        <v>105</v>
      </c>
      <c r="U6" s="417"/>
      <c r="V6" s="313"/>
      <c r="W6" s="6" t="s">
        <v>104</v>
      </c>
      <c r="X6" s="313"/>
      <c r="Z6" s="6" t="s">
        <v>104</v>
      </c>
    </row>
    <row r="7" spans="1:26">
      <c r="A7" s="290" t="s">
        <v>800</v>
      </c>
      <c r="B7" s="290"/>
      <c r="C7" s="293"/>
      <c r="D7" s="418"/>
      <c r="E7" s="13">
        <v>2012</v>
      </c>
      <c r="F7" s="296"/>
      <c r="G7" s="416"/>
      <c r="H7" s="13">
        <v>2012</v>
      </c>
      <c r="I7" s="293"/>
      <c r="J7" s="416"/>
      <c r="K7" s="13">
        <v>2011</v>
      </c>
      <c r="L7" s="293"/>
      <c r="M7" s="416"/>
      <c r="N7" s="13">
        <v>2011</v>
      </c>
      <c r="O7" s="417"/>
      <c r="P7" s="418"/>
      <c r="Q7" s="13">
        <v>2011</v>
      </c>
      <c r="R7" s="296"/>
      <c r="S7" s="416"/>
      <c r="T7" s="13">
        <v>2011</v>
      </c>
      <c r="U7" s="417"/>
      <c r="V7" s="313"/>
      <c r="W7" s="13">
        <v>2012</v>
      </c>
      <c r="X7" s="313"/>
      <c r="Z7" s="13">
        <v>2011</v>
      </c>
    </row>
    <row r="8" spans="1:26">
      <c r="A8" s="419" t="s">
        <v>384</v>
      </c>
      <c r="B8" s="419"/>
      <c r="C8" s="459"/>
      <c r="D8" s="307"/>
      <c r="E8" s="298"/>
      <c r="F8" s="299"/>
      <c r="G8" s="309"/>
      <c r="H8" s="298"/>
      <c r="I8" s="459"/>
      <c r="J8" s="309"/>
      <c r="K8" s="298"/>
      <c r="L8" s="459"/>
      <c r="M8" s="309"/>
      <c r="N8" s="298"/>
      <c r="O8" s="300"/>
      <c r="P8" s="307"/>
      <c r="Q8" s="298"/>
      <c r="R8" s="299"/>
      <c r="S8" s="309"/>
      <c r="T8" s="298"/>
      <c r="U8" s="300"/>
      <c r="V8" s="313"/>
      <c r="W8" s="298"/>
      <c r="X8" s="313"/>
      <c r="Z8" s="302"/>
    </row>
    <row r="9" spans="1:26" s="290" customFormat="1" ht="11.4">
      <c r="A9" s="420"/>
      <c r="B9" s="420" t="s">
        <v>1000</v>
      </c>
      <c r="C9" s="428"/>
      <c r="D9" s="307"/>
      <c r="E9" s="300"/>
      <c r="F9" s="299"/>
      <c r="G9" s="309"/>
      <c r="H9" s="300"/>
      <c r="I9" s="428"/>
      <c r="J9" s="309"/>
      <c r="K9" s="300"/>
      <c r="L9" s="428"/>
      <c r="M9" s="309"/>
      <c r="N9" s="300"/>
      <c r="O9" s="300"/>
      <c r="P9" s="307"/>
      <c r="Q9" s="300"/>
      <c r="R9" s="299"/>
      <c r="S9" s="309"/>
      <c r="T9" s="300"/>
      <c r="U9" s="300"/>
      <c r="V9" s="300"/>
      <c r="W9" s="300"/>
      <c r="X9" s="300"/>
      <c r="Z9" s="300"/>
    </row>
    <row r="10" spans="1:26" s="290" customFormat="1" ht="11.4">
      <c r="A10" s="421"/>
      <c r="B10" s="421"/>
      <c r="C10" s="420" t="s">
        <v>361</v>
      </c>
      <c r="D10" s="307" t="s">
        <v>108</v>
      </c>
      <c r="E10" s="422">
        <v>3903</v>
      </c>
      <c r="F10" s="429"/>
      <c r="G10" s="309" t="s">
        <v>108</v>
      </c>
      <c r="H10" s="422">
        <v>3937</v>
      </c>
      <c r="I10" s="420"/>
      <c r="J10" s="309" t="s">
        <v>108</v>
      </c>
      <c r="K10" s="422">
        <v>3812</v>
      </c>
      <c r="L10" s="420"/>
      <c r="M10" s="309" t="s">
        <v>108</v>
      </c>
      <c r="N10" s="422">
        <v>3996</v>
      </c>
      <c r="O10" s="422"/>
      <c r="P10" s="307" t="s">
        <v>108</v>
      </c>
      <c r="Q10" s="422">
        <v>3911</v>
      </c>
      <c r="R10" s="429"/>
      <c r="S10" s="309" t="s">
        <v>108</v>
      </c>
      <c r="T10" s="422">
        <v>3984</v>
      </c>
      <c r="U10" s="424"/>
      <c r="V10" s="309" t="s">
        <v>108</v>
      </c>
      <c r="W10" s="422">
        <v>7840</v>
      </c>
      <c r="X10" s="300"/>
      <c r="Y10" s="309" t="s">
        <v>108</v>
      </c>
      <c r="Z10" s="422">
        <v>7895</v>
      </c>
    </row>
    <row r="11" spans="1:26" s="290" customFormat="1" ht="11.4">
      <c r="A11" s="421"/>
      <c r="B11" s="421"/>
      <c r="C11" s="420" t="s">
        <v>369</v>
      </c>
      <c r="D11" s="307"/>
      <c r="E11" s="422">
        <v>160</v>
      </c>
      <c r="F11" s="429"/>
      <c r="G11" s="309"/>
      <c r="H11" s="422">
        <v>142</v>
      </c>
      <c r="I11" s="420"/>
      <c r="J11" s="309"/>
      <c r="K11" s="422">
        <v>147</v>
      </c>
      <c r="L11" s="420"/>
      <c r="M11" s="309"/>
      <c r="N11" s="422">
        <v>159</v>
      </c>
      <c r="O11" s="424"/>
      <c r="P11" s="307"/>
      <c r="Q11" s="422">
        <v>154</v>
      </c>
      <c r="R11" s="429"/>
      <c r="S11" s="309"/>
      <c r="T11" s="422">
        <v>144</v>
      </c>
      <c r="U11" s="424"/>
      <c r="V11" s="300"/>
      <c r="W11" s="422">
        <v>302</v>
      </c>
      <c r="X11" s="300"/>
      <c r="Z11" s="422">
        <v>298</v>
      </c>
    </row>
    <row r="12" spans="1:26" s="290" customFormat="1" ht="11.4">
      <c r="A12" s="421"/>
      <c r="B12" s="421"/>
      <c r="C12" s="420" t="s">
        <v>428</v>
      </c>
      <c r="D12" s="307"/>
      <c r="E12" s="425">
        <v>224</v>
      </c>
      <c r="F12" s="429"/>
      <c r="G12" s="309"/>
      <c r="H12" s="425">
        <v>262</v>
      </c>
      <c r="I12" s="420"/>
      <c r="J12" s="309"/>
      <c r="K12" s="425">
        <v>181</v>
      </c>
      <c r="L12" s="420"/>
      <c r="M12" s="309"/>
      <c r="N12" s="425">
        <v>0</v>
      </c>
      <c r="O12" s="424"/>
      <c r="P12" s="307"/>
      <c r="Q12" s="425">
        <v>0</v>
      </c>
      <c r="R12" s="429"/>
      <c r="S12" s="309"/>
      <c r="T12" s="425">
        <v>0</v>
      </c>
      <c r="U12" s="424"/>
      <c r="V12" s="300"/>
      <c r="W12" s="425">
        <v>486</v>
      </c>
      <c r="X12" s="300"/>
      <c r="Z12" s="425">
        <v>0</v>
      </c>
    </row>
    <row r="13" spans="1:26" s="290" customFormat="1" ht="11.4">
      <c r="A13" s="421"/>
      <c r="B13" s="421"/>
      <c r="C13" s="420"/>
      <c r="D13" s="307"/>
      <c r="E13" s="422">
        <v>4287</v>
      </c>
      <c r="F13" s="429"/>
      <c r="G13" s="309"/>
      <c r="H13" s="422">
        <v>4341</v>
      </c>
      <c r="I13" s="420"/>
      <c r="J13" s="309"/>
      <c r="K13" s="422">
        <v>4140</v>
      </c>
      <c r="L13" s="420"/>
      <c r="M13" s="309"/>
      <c r="N13" s="422">
        <v>4155</v>
      </c>
      <c r="O13" s="424"/>
      <c r="P13" s="307"/>
      <c r="Q13" s="422">
        <v>4065</v>
      </c>
      <c r="R13" s="429"/>
      <c r="S13" s="309"/>
      <c r="T13" s="422">
        <v>4128</v>
      </c>
      <c r="U13" s="424"/>
      <c r="V13" s="300"/>
      <c r="W13" s="422">
        <v>8628</v>
      </c>
      <c r="X13" s="300"/>
      <c r="Z13" s="422">
        <v>8193</v>
      </c>
    </row>
    <row r="14" spans="1:26" s="290" customFormat="1" ht="11.4">
      <c r="A14" s="420"/>
      <c r="B14" s="420" t="s">
        <v>1001</v>
      </c>
      <c r="C14" s="420"/>
      <c r="D14" s="307"/>
      <c r="E14" s="308"/>
      <c r="F14" s="429"/>
      <c r="G14" s="309"/>
      <c r="H14" s="308"/>
      <c r="I14" s="420"/>
      <c r="J14" s="309"/>
      <c r="K14" s="308"/>
      <c r="L14" s="420"/>
      <c r="M14" s="309"/>
      <c r="N14" s="308"/>
      <c r="O14" s="424"/>
      <c r="P14" s="307"/>
      <c r="Q14" s="308"/>
      <c r="R14" s="429"/>
      <c r="S14" s="309"/>
      <c r="T14" s="308"/>
      <c r="U14" s="424"/>
      <c r="V14" s="300"/>
      <c r="W14" s="308"/>
      <c r="X14" s="300"/>
      <c r="Z14" s="308"/>
    </row>
    <row r="15" spans="1:26" s="290" customFormat="1" ht="11.4">
      <c r="A15" s="420"/>
      <c r="B15" s="420"/>
      <c r="C15" s="420" t="s">
        <v>361</v>
      </c>
      <c r="D15" s="307" t="s">
        <v>108</v>
      </c>
      <c r="E15" s="422">
        <v>3909</v>
      </c>
      <c r="F15" s="429"/>
      <c r="G15" s="309" t="s">
        <v>108</v>
      </c>
      <c r="H15" s="422">
        <v>3897</v>
      </c>
      <c r="I15" s="420"/>
      <c r="J15" s="309" t="s">
        <v>108</v>
      </c>
      <c r="K15" s="422">
        <v>3897</v>
      </c>
      <c r="L15" s="420"/>
      <c r="M15" s="309" t="s">
        <v>108</v>
      </c>
      <c r="N15" s="422">
        <v>3916</v>
      </c>
      <c r="O15" s="424"/>
      <c r="P15" s="307" t="s">
        <v>108</v>
      </c>
      <c r="Q15" s="422">
        <v>3938</v>
      </c>
      <c r="R15" s="429"/>
      <c r="S15" s="309" t="s">
        <v>108</v>
      </c>
      <c r="T15" s="422">
        <v>3928</v>
      </c>
      <c r="U15" s="424"/>
      <c r="V15" s="309" t="s">
        <v>108</v>
      </c>
      <c r="W15" s="422">
        <v>7806</v>
      </c>
      <c r="X15" s="300"/>
      <c r="Y15" s="309" t="s">
        <v>108</v>
      </c>
      <c r="Z15" s="308">
        <v>7866</v>
      </c>
    </row>
    <row r="16" spans="1:26" s="290" customFormat="1" ht="11.4">
      <c r="A16" s="421"/>
      <c r="B16" s="421"/>
      <c r="C16" s="420" t="s">
        <v>369</v>
      </c>
      <c r="D16" s="307"/>
      <c r="E16" s="422">
        <v>153</v>
      </c>
      <c r="F16" s="429"/>
      <c r="G16" s="309"/>
      <c r="H16" s="422">
        <v>151</v>
      </c>
      <c r="I16" s="420"/>
      <c r="J16" s="309"/>
      <c r="K16" s="422">
        <v>151</v>
      </c>
      <c r="L16" s="420"/>
      <c r="M16" s="309"/>
      <c r="N16" s="422">
        <v>154</v>
      </c>
      <c r="O16" s="424"/>
      <c r="P16" s="307"/>
      <c r="Q16" s="422">
        <v>155</v>
      </c>
      <c r="R16" s="429"/>
      <c r="S16" s="309"/>
      <c r="T16" s="422">
        <v>160</v>
      </c>
      <c r="U16" s="424"/>
      <c r="V16" s="300"/>
      <c r="W16" s="422">
        <v>304</v>
      </c>
      <c r="X16" s="300"/>
      <c r="Z16" s="422">
        <v>315</v>
      </c>
    </row>
    <row r="17" spans="1:26" s="290" customFormat="1" ht="11.4">
      <c r="A17" s="421"/>
      <c r="B17" s="421"/>
      <c r="C17" s="420" t="s">
        <v>428</v>
      </c>
      <c r="D17" s="307"/>
      <c r="E17" s="425">
        <v>234</v>
      </c>
      <c r="F17" s="429"/>
      <c r="G17" s="309"/>
      <c r="H17" s="425">
        <v>221</v>
      </c>
      <c r="I17" s="420"/>
      <c r="J17" s="309"/>
      <c r="K17" s="425">
        <v>201</v>
      </c>
      <c r="L17" s="420"/>
      <c r="M17" s="309"/>
      <c r="N17" s="425">
        <v>0</v>
      </c>
      <c r="O17" s="424"/>
      <c r="P17" s="307"/>
      <c r="Q17" s="425">
        <v>0</v>
      </c>
      <c r="R17" s="429"/>
      <c r="S17" s="309"/>
      <c r="T17" s="425">
        <v>0</v>
      </c>
      <c r="U17" s="424"/>
      <c r="V17" s="300"/>
      <c r="W17" s="425">
        <v>455</v>
      </c>
      <c r="X17" s="300"/>
      <c r="Z17" s="425">
        <v>0</v>
      </c>
    </row>
    <row r="18" spans="1:26" s="290" customFormat="1" ht="11.4">
      <c r="A18" s="420"/>
      <c r="B18" s="420"/>
      <c r="C18" s="420"/>
      <c r="D18" s="307"/>
      <c r="E18" s="422">
        <v>4296</v>
      </c>
      <c r="F18" s="429"/>
      <c r="G18" s="309"/>
      <c r="H18" s="422">
        <v>4269</v>
      </c>
      <c r="I18" s="420"/>
      <c r="J18" s="309"/>
      <c r="K18" s="422">
        <v>4249</v>
      </c>
      <c r="L18" s="420"/>
      <c r="M18" s="309"/>
      <c r="N18" s="422">
        <v>4070</v>
      </c>
      <c r="O18" s="424"/>
      <c r="P18" s="307"/>
      <c r="Q18" s="422">
        <v>4093</v>
      </c>
      <c r="R18" s="429"/>
      <c r="S18" s="309"/>
      <c r="T18" s="422">
        <v>4088</v>
      </c>
      <c r="U18" s="424"/>
      <c r="V18" s="300"/>
      <c r="W18" s="422">
        <v>8565</v>
      </c>
      <c r="X18" s="300"/>
      <c r="Z18" s="308">
        <v>8181</v>
      </c>
    </row>
    <row r="19" spans="1:26" s="290" customFormat="1" ht="11.4">
      <c r="A19" s="420"/>
      <c r="B19" s="420" t="s">
        <v>379</v>
      </c>
      <c r="C19" s="420"/>
      <c r="D19" s="307"/>
      <c r="E19" s="422"/>
      <c r="F19" s="429"/>
      <c r="G19" s="309"/>
      <c r="H19" s="422"/>
      <c r="I19" s="420"/>
      <c r="J19" s="309"/>
      <c r="K19" s="422"/>
      <c r="L19" s="420"/>
      <c r="M19" s="309"/>
      <c r="N19" s="422"/>
      <c r="O19" s="424"/>
      <c r="P19" s="307"/>
      <c r="Q19" s="422"/>
      <c r="R19" s="429"/>
      <c r="S19" s="309"/>
      <c r="T19" s="422"/>
      <c r="U19" s="424"/>
      <c r="V19" s="300"/>
      <c r="W19" s="422"/>
      <c r="X19" s="300"/>
      <c r="Z19" s="422"/>
    </row>
    <row r="20" spans="1:26" s="290" customFormat="1" ht="11.4">
      <c r="A20" s="420"/>
      <c r="B20" s="420"/>
      <c r="C20" s="420" t="s">
        <v>361</v>
      </c>
      <c r="D20" s="307" t="s">
        <v>108</v>
      </c>
      <c r="E20" s="422">
        <v>2734</v>
      </c>
      <c r="F20" s="429"/>
      <c r="G20" s="309" t="s">
        <v>108</v>
      </c>
      <c r="H20" s="422">
        <v>2713</v>
      </c>
      <c r="I20" s="420"/>
      <c r="J20" s="309" t="s">
        <v>108</v>
      </c>
      <c r="K20" s="422">
        <v>2713</v>
      </c>
      <c r="L20" s="420"/>
      <c r="M20" s="309" t="s">
        <v>108</v>
      </c>
      <c r="N20" s="422">
        <v>2712</v>
      </c>
      <c r="O20" s="424"/>
      <c r="P20" s="307" t="s">
        <v>108</v>
      </c>
      <c r="Q20" s="422">
        <v>2882</v>
      </c>
      <c r="R20" s="429"/>
      <c r="S20" s="309" t="s">
        <v>108</v>
      </c>
      <c r="T20" s="422">
        <v>2760</v>
      </c>
      <c r="U20" s="424"/>
      <c r="V20" s="309" t="s">
        <v>108</v>
      </c>
      <c r="W20" s="422">
        <v>5447</v>
      </c>
      <c r="X20" s="300"/>
      <c r="Y20" s="309" t="s">
        <v>108</v>
      </c>
      <c r="Z20" s="308">
        <v>5642</v>
      </c>
    </row>
    <row r="21" spans="1:26" s="290" customFormat="1" ht="11.4">
      <c r="A21" s="421"/>
      <c r="B21" s="421"/>
      <c r="C21" s="420" t="s">
        <v>369</v>
      </c>
      <c r="D21" s="307"/>
      <c r="E21" s="422">
        <v>125</v>
      </c>
      <c r="F21" s="429"/>
      <c r="G21" s="309"/>
      <c r="H21" s="422">
        <v>118</v>
      </c>
      <c r="I21" s="420"/>
      <c r="J21" s="309"/>
      <c r="K21" s="422">
        <v>129</v>
      </c>
      <c r="L21" s="420"/>
      <c r="M21" s="309"/>
      <c r="N21" s="422">
        <v>135</v>
      </c>
      <c r="O21" s="424"/>
      <c r="P21" s="307"/>
      <c r="Q21" s="422">
        <v>122</v>
      </c>
      <c r="R21" s="429"/>
      <c r="S21" s="309"/>
      <c r="T21" s="422">
        <v>121</v>
      </c>
      <c r="U21" s="424"/>
      <c r="V21" s="300"/>
      <c r="W21" s="422">
        <v>243</v>
      </c>
      <c r="X21" s="300"/>
      <c r="Z21" s="422">
        <v>243</v>
      </c>
    </row>
    <row r="22" spans="1:26" s="290" customFormat="1" ht="11.4">
      <c r="A22" s="421"/>
      <c r="B22" s="421"/>
      <c r="C22" s="420" t="s">
        <v>428</v>
      </c>
      <c r="D22" s="307"/>
      <c r="E22" s="425">
        <v>178</v>
      </c>
      <c r="F22" s="429"/>
      <c r="G22" s="309"/>
      <c r="H22" s="425">
        <v>161</v>
      </c>
      <c r="I22" s="420"/>
      <c r="J22" s="309"/>
      <c r="K22" s="425">
        <v>157</v>
      </c>
      <c r="L22" s="420"/>
      <c r="M22" s="309"/>
      <c r="N22" s="425">
        <v>0</v>
      </c>
      <c r="O22" s="424"/>
      <c r="P22" s="307"/>
      <c r="Q22" s="425">
        <v>0</v>
      </c>
      <c r="R22" s="429"/>
      <c r="S22" s="309"/>
      <c r="T22" s="425">
        <v>0</v>
      </c>
      <c r="U22" s="424"/>
      <c r="V22" s="300"/>
      <c r="W22" s="425">
        <v>339</v>
      </c>
      <c r="X22" s="300"/>
      <c r="Z22" s="425">
        <v>0</v>
      </c>
    </row>
    <row r="23" spans="1:26" s="290" customFormat="1" ht="11.4">
      <c r="A23" s="421"/>
      <c r="B23" s="421"/>
      <c r="C23" s="420"/>
      <c r="D23" s="307"/>
      <c r="E23" s="422">
        <v>3037</v>
      </c>
      <c r="F23" s="429"/>
      <c r="G23" s="309"/>
      <c r="H23" s="422">
        <v>2992</v>
      </c>
      <c r="I23" s="420"/>
      <c r="J23" s="309"/>
      <c r="K23" s="422">
        <v>2999</v>
      </c>
      <c r="L23" s="420"/>
      <c r="M23" s="309"/>
      <c r="N23" s="422">
        <v>2847</v>
      </c>
      <c r="O23" s="424"/>
      <c r="P23" s="307"/>
      <c r="Q23" s="422">
        <v>3004</v>
      </c>
      <c r="R23" s="429"/>
      <c r="S23" s="309"/>
      <c r="T23" s="422">
        <v>2881</v>
      </c>
      <c r="U23" s="424"/>
      <c r="V23" s="300"/>
      <c r="W23" s="422">
        <v>6029</v>
      </c>
      <c r="X23" s="300"/>
      <c r="Z23" s="308">
        <v>5885</v>
      </c>
    </row>
    <row r="24" spans="1:26" s="290" customFormat="1" ht="11.4">
      <c r="A24" s="421"/>
      <c r="B24" s="420" t="s">
        <v>381</v>
      </c>
      <c r="C24" s="420"/>
      <c r="D24" s="307"/>
      <c r="E24" s="308"/>
      <c r="F24" s="429"/>
      <c r="G24" s="309"/>
      <c r="H24" s="308"/>
      <c r="I24" s="420"/>
      <c r="J24" s="309"/>
      <c r="K24" s="308"/>
      <c r="L24" s="420"/>
      <c r="M24" s="309"/>
      <c r="N24" s="308"/>
      <c r="O24" s="424"/>
      <c r="P24" s="307"/>
      <c r="Q24" s="308"/>
      <c r="R24" s="429"/>
      <c r="S24" s="309"/>
      <c r="T24" s="308"/>
      <c r="U24" s="424"/>
      <c r="V24" s="300"/>
      <c r="W24" s="308"/>
      <c r="X24" s="300"/>
      <c r="Z24" s="308"/>
    </row>
    <row r="25" spans="1:26" s="290" customFormat="1" ht="11.4">
      <c r="A25" s="421"/>
      <c r="B25" s="420"/>
      <c r="C25" s="420" t="s">
        <v>361</v>
      </c>
      <c r="D25" s="307" t="s">
        <v>108</v>
      </c>
      <c r="E25" s="422">
        <v>1000</v>
      </c>
      <c r="F25" s="429"/>
      <c r="G25" s="309" t="s">
        <v>108</v>
      </c>
      <c r="H25" s="422">
        <v>998</v>
      </c>
      <c r="I25" s="420"/>
      <c r="J25" s="309" t="s">
        <v>108</v>
      </c>
      <c r="K25" s="422">
        <v>1008</v>
      </c>
      <c r="L25" s="420"/>
      <c r="M25" s="309" t="s">
        <v>108</v>
      </c>
      <c r="N25" s="422">
        <v>973</v>
      </c>
      <c r="O25" s="424"/>
      <c r="P25" s="307" t="s">
        <v>108</v>
      </c>
      <c r="Q25" s="422">
        <v>989</v>
      </c>
      <c r="R25" s="429"/>
      <c r="S25" s="309" t="s">
        <v>108</v>
      </c>
      <c r="T25" s="422">
        <v>973</v>
      </c>
      <c r="U25" s="424"/>
      <c r="V25" s="309" t="s">
        <v>108</v>
      </c>
      <c r="W25" s="422">
        <v>1998</v>
      </c>
      <c r="X25" s="300"/>
      <c r="Y25" s="309" t="s">
        <v>108</v>
      </c>
      <c r="Z25" s="308">
        <v>1962</v>
      </c>
    </row>
    <row r="26" spans="1:26" s="290" customFormat="1" ht="11.4">
      <c r="A26" s="421"/>
      <c r="B26" s="421"/>
      <c r="C26" s="420" t="s">
        <v>369</v>
      </c>
      <c r="D26" s="307"/>
      <c r="E26" s="422">
        <v>42</v>
      </c>
      <c r="F26" s="429"/>
      <c r="G26" s="309"/>
      <c r="H26" s="422">
        <v>43</v>
      </c>
      <c r="I26" s="420"/>
      <c r="J26" s="309"/>
      <c r="K26" s="422">
        <v>44</v>
      </c>
      <c r="L26" s="420"/>
      <c r="M26" s="309"/>
      <c r="N26" s="422">
        <v>44</v>
      </c>
      <c r="O26" s="424"/>
      <c r="P26" s="307"/>
      <c r="Q26" s="422">
        <v>44</v>
      </c>
      <c r="R26" s="429"/>
      <c r="S26" s="309"/>
      <c r="T26" s="422">
        <v>45</v>
      </c>
      <c r="U26" s="424"/>
      <c r="V26" s="300"/>
      <c r="W26" s="422">
        <v>85</v>
      </c>
      <c r="X26" s="300"/>
      <c r="Y26" s="300"/>
      <c r="Z26" s="422">
        <v>89</v>
      </c>
    </row>
    <row r="27" spans="1:26" s="290" customFormat="1" ht="11.4">
      <c r="A27" s="421"/>
      <c r="B27" s="421"/>
      <c r="C27" s="420" t="s">
        <v>428</v>
      </c>
      <c r="D27" s="307"/>
      <c r="E27" s="425">
        <v>95</v>
      </c>
      <c r="F27" s="429"/>
      <c r="G27" s="309"/>
      <c r="H27" s="425">
        <v>121</v>
      </c>
      <c r="I27" s="420"/>
      <c r="J27" s="309"/>
      <c r="K27" s="425">
        <v>88</v>
      </c>
      <c r="L27" s="420"/>
      <c r="M27" s="309"/>
      <c r="N27" s="425">
        <v>0</v>
      </c>
      <c r="O27" s="424"/>
      <c r="P27" s="307"/>
      <c r="Q27" s="425">
        <v>0</v>
      </c>
      <c r="R27" s="429"/>
      <c r="S27" s="309"/>
      <c r="T27" s="425">
        <v>0</v>
      </c>
      <c r="U27" s="424"/>
      <c r="V27" s="300"/>
      <c r="W27" s="425">
        <v>216</v>
      </c>
      <c r="X27" s="300"/>
      <c r="Z27" s="425">
        <v>0</v>
      </c>
    </row>
    <row r="28" spans="1:26" s="290" customFormat="1" ht="11.4">
      <c r="A28" s="421"/>
      <c r="B28" s="421"/>
      <c r="C28" s="420"/>
      <c r="D28" s="307"/>
      <c r="E28" s="422">
        <v>1137</v>
      </c>
      <c r="F28" s="429"/>
      <c r="G28" s="309"/>
      <c r="H28" s="422">
        <v>1162</v>
      </c>
      <c r="I28" s="420"/>
      <c r="J28" s="309"/>
      <c r="K28" s="422">
        <v>1140</v>
      </c>
      <c r="L28" s="420"/>
      <c r="M28" s="309"/>
      <c r="N28" s="422">
        <v>1017</v>
      </c>
      <c r="O28" s="424"/>
      <c r="P28" s="307"/>
      <c r="Q28" s="422">
        <v>1033</v>
      </c>
      <c r="R28" s="429"/>
      <c r="S28" s="309"/>
      <c r="T28" s="422">
        <v>1018</v>
      </c>
      <c r="U28" s="424"/>
      <c r="V28" s="300"/>
      <c r="W28" s="422">
        <v>2299</v>
      </c>
      <c r="X28" s="300"/>
      <c r="Z28" s="422">
        <v>2051</v>
      </c>
    </row>
    <row r="29" spans="1:26" s="290" customFormat="1" ht="11.4">
      <c r="A29" s="421" t="s">
        <v>298</v>
      </c>
      <c r="B29" s="421" t="s">
        <v>1002</v>
      </c>
      <c r="C29" s="420"/>
      <c r="D29" s="307"/>
      <c r="E29" s="308"/>
      <c r="F29" s="461"/>
      <c r="G29" s="309"/>
      <c r="H29" s="308"/>
      <c r="I29" s="420"/>
      <c r="J29" s="309"/>
      <c r="K29" s="308"/>
      <c r="L29" s="420"/>
      <c r="M29" s="309"/>
      <c r="N29" s="308"/>
      <c r="O29" s="308"/>
      <c r="P29" s="307"/>
      <c r="Q29" s="308"/>
      <c r="R29" s="461"/>
      <c r="S29" s="309"/>
      <c r="T29" s="308"/>
      <c r="U29" s="308"/>
      <c r="V29" s="309"/>
      <c r="W29" s="308"/>
      <c r="X29" s="300"/>
      <c r="Y29" s="309"/>
      <c r="Z29" s="308"/>
    </row>
    <row r="30" spans="1:26" s="290" customFormat="1" ht="11.4">
      <c r="A30" s="421"/>
      <c r="B30" s="421"/>
      <c r="C30" s="420" t="s">
        <v>361</v>
      </c>
      <c r="D30" s="307" t="s">
        <v>108</v>
      </c>
      <c r="E30" s="422">
        <v>175</v>
      </c>
      <c r="F30" s="462"/>
      <c r="G30" s="309" t="s">
        <v>108</v>
      </c>
      <c r="H30" s="422">
        <v>186</v>
      </c>
      <c r="I30" s="420"/>
      <c r="J30" s="309" t="s">
        <v>108</v>
      </c>
      <c r="K30" s="422">
        <v>176</v>
      </c>
      <c r="L30" s="420"/>
      <c r="M30" s="309" t="s">
        <v>108</v>
      </c>
      <c r="N30" s="422">
        <v>231</v>
      </c>
      <c r="O30" s="422"/>
      <c r="P30" s="307" t="s">
        <v>108</v>
      </c>
      <c r="Q30" s="422">
        <v>67</v>
      </c>
      <c r="R30" s="462"/>
      <c r="S30" s="309" t="s">
        <v>108</v>
      </c>
      <c r="T30" s="422">
        <v>195</v>
      </c>
      <c r="U30" s="422"/>
      <c r="V30" s="309" t="s">
        <v>108</v>
      </c>
      <c r="W30" s="422">
        <v>361</v>
      </c>
      <c r="X30" s="300"/>
      <c r="Y30" s="309" t="s">
        <v>108</v>
      </c>
      <c r="Z30" s="422">
        <v>262</v>
      </c>
    </row>
    <row r="31" spans="1:26" s="290" customFormat="1" ht="11.4">
      <c r="A31" s="421"/>
      <c r="B31" s="421"/>
      <c r="C31" s="420" t="s">
        <v>369</v>
      </c>
      <c r="D31" s="307"/>
      <c r="E31" s="422">
        <v>-14</v>
      </c>
      <c r="F31" s="429"/>
      <c r="G31" s="309"/>
      <c r="H31" s="422">
        <v>-10</v>
      </c>
      <c r="I31" s="420"/>
      <c r="J31" s="309"/>
      <c r="K31" s="422">
        <v>-22</v>
      </c>
      <c r="L31" s="420"/>
      <c r="M31" s="309"/>
      <c r="N31" s="422">
        <v>-25</v>
      </c>
      <c r="O31" s="424"/>
      <c r="P31" s="307"/>
      <c r="Q31" s="422">
        <v>-11</v>
      </c>
      <c r="R31" s="429"/>
      <c r="S31" s="309"/>
      <c r="T31" s="422">
        <v>-6</v>
      </c>
      <c r="U31" s="424"/>
      <c r="V31" s="300"/>
      <c r="W31" s="422">
        <v>-24</v>
      </c>
      <c r="X31" s="300"/>
      <c r="Y31" s="300"/>
      <c r="Z31" s="422">
        <v>-17</v>
      </c>
    </row>
    <row r="32" spans="1:26" s="290" customFormat="1" ht="11.4">
      <c r="A32" s="421"/>
      <c r="B32" s="421"/>
      <c r="C32" s="420" t="s">
        <v>428</v>
      </c>
      <c r="D32" s="307"/>
      <c r="E32" s="425">
        <v>-39</v>
      </c>
      <c r="F32" s="429"/>
      <c r="G32" s="309"/>
      <c r="H32" s="425">
        <v>-61</v>
      </c>
      <c r="I32" s="420"/>
      <c r="J32" s="309"/>
      <c r="K32" s="425">
        <v>-44</v>
      </c>
      <c r="L32" s="420"/>
      <c r="M32" s="309"/>
      <c r="N32" s="425">
        <v>0</v>
      </c>
      <c r="O32" s="424"/>
      <c r="P32" s="307"/>
      <c r="Q32" s="425">
        <v>0</v>
      </c>
      <c r="R32" s="429"/>
      <c r="S32" s="309"/>
      <c r="T32" s="425">
        <v>0</v>
      </c>
      <c r="U32" s="424"/>
      <c r="V32" s="300"/>
      <c r="W32" s="425">
        <v>-100</v>
      </c>
      <c r="X32" s="300"/>
      <c r="Z32" s="425">
        <v>0</v>
      </c>
    </row>
    <row r="33" spans="1:26" s="290" customFormat="1" ht="11.4">
      <c r="A33" s="421"/>
      <c r="B33" s="421"/>
      <c r="C33" s="420"/>
      <c r="D33" s="307"/>
      <c r="E33" s="422">
        <v>122</v>
      </c>
      <c r="F33" s="461"/>
      <c r="G33" s="309"/>
      <c r="H33" s="422">
        <v>115</v>
      </c>
      <c r="I33" s="420"/>
      <c r="J33" s="309"/>
      <c r="K33" s="422">
        <v>110</v>
      </c>
      <c r="L33" s="420"/>
      <c r="M33" s="309"/>
      <c r="N33" s="422">
        <v>206</v>
      </c>
      <c r="O33" s="308"/>
      <c r="P33" s="307"/>
      <c r="Q33" s="422">
        <v>56</v>
      </c>
      <c r="R33" s="461"/>
      <c r="S33" s="309"/>
      <c r="T33" s="422">
        <v>189</v>
      </c>
      <c r="U33" s="308"/>
      <c r="V33" s="309"/>
      <c r="W33" s="422">
        <v>237</v>
      </c>
      <c r="X33" s="300"/>
      <c r="Y33" s="309"/>
      <c r="Z33" s="422">
        <v>245</v>
      </c>
    </row>
    <row r="34" spans="1:26" s="290" customFormat="1" ht="11.4">
      <c r="A34" s="420"/>
      <c r="B34" s="420" t="s">
        <v>355</v>
      </c>
      <c r="C34" s="420"/>
      <c r="D34" s="307"/>
      <c r="E34" s="422"/>
      <c r="F34" s="429"/>
      <c r="G34" s="309"/>
      <c r="H34" s="422"/>
      <c r="I34" s="420"/>
      <c r="J34" s="309"/>
      <c r="K34" s="422"/>
      <c r="L34" s="420"/>
      <c r="M34" s="309"/>
      <c r="N34" s="422"/>
      <c r="O34" s="424"/>
      <c r="P34" s="307"/>
      <c r="Q34" s="422"/>
      <c r="R34" s="429"/>
      <c r="S34" s="309"/>
      <c r="T34" s="422"/>
      <c r="U34" s="424"/>
      <c r="V34" s="300"/>
      <c r="W34" s="422"/>
      <c r="X34" s="300"/>
      <c r="Z34" s="422"/>
    </row>
    <row r="35" spans="1:26" s="290" customFormat="1" ht="11.4">
      <c r="A35" s="420"/>
      <c r="B35" s="420"/>
      <c r="C35" s="420" t="s">
        <v>361</v>
      </c>
      <c r="D35" s="307"/>
      <c r="E35" s="426">
        <v>69.941161422358661</v>
      </c>
      <c r="F35" s="429"/>
      <c r="G35" s="309"/>
      <c r="H35" s="426">
        <v>69.617654606107266</v>
      </c>
      <c r="I35" s="420"/>
      <c r="J35" s="309"/>
      <c r="K35" s="426">
        <v>69.617654606107266</v>
      </c>
      <c r="L35" s="420"/>
      <c r="M35" s="309"/>
      <c r="N35" s="426">
        <v>69.254341164453521</v>
      </c>
      <c r="O35" s="424"/>
      <c r="P35" s="307"/>
      <c r="Q35" s="426">
        <v>73.184357541899431</v>
      </c>
      <c r="R35" s="429"/>
      <c r="S35" s="309"/>
      <c r="T35" s="426">
        <v>70.264765784114061</v>
      </c>
      <c r="U35" s="424"/>
      <c r="V35" s="300"/>
      <c r="W35" s="426">
        <v>69.779656674353063</v>
      </c>
      <c r="X35" s="300"/>
      <c r="Z35" s="426">
        <v>71.726417493007872</v>
      </c>
    </row>
    <row r="36" spans="1:26" s="290" customFormat="1" ht="11.4">
      <c r="A36" s="420"/>
      <c r="B36" s="420"/>
      <c r="C36" s="420" t="s">
        <v>369</v>
      </c>
      <c r="D36" s="307"/>
      <c r="E36" s="426">
        <v>81.699346405228752</v>
      </c>
      <c r="F36" s="429"/>
      <c r="G36" s="309"/>
      <c r="H36" s="426">
        <v>78.145695364238406</v>
      </c>
      <c r="I36" s="420"/>
      <c r="J36" s="309"/>
      <c r="K36" s="426">
        <v>85.430463576158942</v>
      </c>
      <c r="L36" s="420"/>
      <c r="M36" s="309"/>
      <c r="N36" s="426">
        <v>87.562337662337669</v>
      </c>
      <c r="O36" s="424"/>
      <c r="P36" s="307"/>
      <c r="Q36" s="426">
        <v>78.709677419354847</v>
      </c>
      <c r="R36" s="429"/>
      <c r="S36" s="309"/>
      <c r="T36" s="426">
        <v>75.724999999999994</v>
      </c>
      <c r="U36" s="424"/>
      <c r="V36" s="300"/>
      <c r="W36" s="426">
        <v>79.93421052631578</v>
      </c>
      <c r="X36" s="300"/>
      <c r="Z36" s="426">
        <v>77.142857142857153</v>
      </c>
    </row>
    <row r="37" spans="1:26" s="290" customFormat="1" ht="11.4">
      <c r="A37" s="420"/>
      <c r="B37" s="420"/>
      <c r="C37" s="420" t="s">
        <v>428</v>
      </c>
      <c r="D37" s="307"/>
      <c r="E37" s="426">
        <v>76.068376068376068</v>
      </c>
      <c r="F37" s="429"/>
      <c r="G37" s="309"/>
      <c r="H37" s="426">
        <v>72.750678733031677</v>
      </c>
      <c r="I37" s="420"/>
      <c r="J37" s="309"/>
      <c r="K37" s="426">
        <v>78.109452736318403</v>
      </c>
      <c r="L37" s="420"/>
      <c r="M37" s="309"/>
      <c r="N37" s="426">
        <v>0</v>
      </c>
      <c r="O37" s="424"/>
      <c r="P37" s="307"/>
      <c r="Q37" s="426">
        <v>0</v>
      </c>
      <c r="R37" s="429"/>
      <c r="S37" s="309"/>
      <c r="T37" s="426">
        <v>0</v>
      </c>
      <c r="U37" s="424"/>
      <c r="V37" s="300"/>
      <c r="W37" s="426">
        <v>74.505494505494511</v>
      </c>
      <c r="X37" s="300"/>
      <c r="Z37" s="426">
        <v>0</v>
      </c>
    </row>
    <row r="38" spans="1:26" s="290" customFormat="1" ht="11.4">
      <c r="A38" s="420"/>
      <c r="B38" s="420"/>
      <c r="C38" s="420" t="s">
        <v>1003</v>
      </c>
      <c r="D38" s="307"/>
      <c r="E38" s="426">
        <v>70.693668528864066</v>
      </c>
      <c r="F38" s="429"/>
      <c r="G38" s="309"/>
      <c r="H38" s="426">
        <v>70.086671351604593</v>
      </c>
      <c r="I38" s="420"/>
      <c r="J38" s="309"/>
      <c r="K38" s="426">
        <v>70.581313250176521</v>
      </c>
      <c r="L38" s="420"/>
      <c r="M38" s="309"/>
      <c r="N38" s="426">
        <v>69.95085995085995</v>
      </c>
      <c r="O38" s="424"/>
      <c r="P38" s="307"/>
      <c r="Q38" s="426">
        <v>73.393598827266061</v>
      </c>
      <c r="R38" s="429"/>
      <c r="S38" s="309"/>
      <c r="T38" s="426">
        <v>70.474559686888455</v>
      </c>
      <c r="U38" s="424"/>
      <c r="V38" s="300"/>
      <c r="W38" s="426">
        <v>70.39112667834209</v>
      </c>
      <c r="X38" s="300"/>
      <c r="Z38" s="426">
        <v>71.934971274905266</v>
      </c>
    </row>
    <row r="39" spans="1:26" s="290" customFormat="1" ht="11.4">
      <c r="A39" s="420"/>
      <c r="B39" s="420" t="s">
        <v>356</v>
      </c>
      <c r="C39" s="420"/>
      <c r="D39" s="307"/>
      <c r="E39" s="422"/>
      <c r="F39" s="429"/>
      <c r="G39" s="309"/>
      <c r="H39" s="422"/>
      <c r="I39" s="420"/>
      <c r="J39" s="309"/>
      <c r="K39" s="422"/>
      <c r="L39" s="420"/>
      <c r="M39" s="309"/>
      <c r="N39" s="422"/>
      <c r="O39" s="424"/>
      <c r="P39" s="307"/>
      <c r="Q39" s="422"/>
      <c r="R39" s="429"/>
      <c r="S39" s="309"/>
      <c r="T39" s="422"/>
      <c r="U39" s="424"/>
      <c r="V39" s="300"/>
      <c r="W39" s="422"/>
      <c r="X39" s="300"/>
      <c r="Z39" s="422"/>
    </row>
    <row r="40" spans="1:26" s="290" customFormat="1" ht="11.4">
      <c r="A40" s="420"/>
      <c r="B40" s="420"/>
      <c r="C40" s="420" t="s">
        <v>361</v>
      </c>
      <c r="D40" s="307"/>
      <c r="E40" s="426">
        <v>25.581990278843691</v>
      </c>
      <c r="F40" s="429"/>
      <c r="G40" s="309"/>
      <c r="H40" s="426">
        <v>25.609443161406208</v>
      </c>
      <c r="I40" s="420"/>
      <c r="J40" s="309"/>
      <c r="K40" s="426">
        <v>25.866050808314089</v>
      </c>
      <c r="L40" s="420"/>
      <c r="M40" s="309"/>
      <c r="N40" s="426">
        <v>24.846782431052095</v>
      </c>
      <c r="O40" s="424"/>
      <c r="P40" s="307"/>
      <c r="Q40" s="426">
        <v>25.114271203656678</v>
      </c>
      <c r="R40" s="429"/>
      <c r="S40" s="309"/>
      <c r="T40" s="426">
        <v>24.670875763747453</v>
      </c>
      <c r="U40" s="424"/>
      <c r="V40" s="300"/>
      <c r="W40" s="426">
        <v>25.595695618754803</v>
      </c>
      <c r="X40" s="300"/>
      <c r="Z40" s="426">
        <v>25.042791762013731</v>
      </c>
    </row>
    <row r="41" spans="1:26" s="290" customFormat="1" ht="11.4">
      <c r="A41" s="420"/>
      <c r="B41" s="420"/>
      <c r="C41" s="420" t="s">
        <v>369</v>
      </c>
      <c r="D41" s="307"/>
      <c r="E41" s="426">
        <v>27.450980392156865</v>
      </c>
      <c r="F41" s="429"/>
      <c r="G41" s="309"/>
      <c r="H41" s="426">
        <v>28.476821192052981</v>
      </c>
      <c r="I41" s="420"/>
      <c r="J41" s="309"/>
      <c r="K41" s="426">
        <v>29.23907284768212</v>
      </c>
      <c r="L41" s="420"/>
      <c r="M41" s="309"/>
      <c r="N41" s="426">
        <v>28.571428571428569</v>
      </c>
      <c r="O41" s="424"/>
      <c r="P41" s="307"/>
      <c r="Q41" s="426">
        <v>28.387096774193548</v>
      </c>
      <c r="R41" s="429"/>
      <c r="S41" s="309"/>
      <c r="T41" s="426">
        <v>28.125</v>
      </c>
      <c r="U41" s="424"/>
      <c r="V41" s="300"/>
      <c r="W41" s="426">
        <v>27.960526315789476</v>
      </c>
      <c r="X41" s="300"/>
      <c r="Z41" s="426">
        <v>28.253968253968253</v>
      </c>
    </row>
    <row r="42" spans="1:26" s="290" customFormat="1" ht="11.4">
      <c r="A42" s="420"/>
      <c r="B42" s="420"/>
      <c r="C42" s="420" t="s">
        <v>428</v>
      </c>
      <c r="D42" s="307"/>
      <c r="E42" s="426">
        <v>40.598290598290596</v>
      </c>
      <c r="F42" s="429"/>
      <c r="G42" s="309"/>
      <c r="H42" s="426">
        <v>54.751131221719461</v>
      </c>
      <c r="I42" s="420"/>
      <c r="J42" s="309"/>
      <c r="K42" s="426">
        <v>43.781094527363187</v>
      </c>
      <c r="L42" s="420"/>
      <c r="M42" s="309"/>
      <c r="N42" s="426">
        <v>0</v>
      </c>
      <c r="O42" s="424"/>
      <c r="P42" s="307"/>
      <c r="Q42" s="426">
        <v>0</v>
      </c>
      <c r="R42" s="429"/>
      <c r="S42" s="309"/>
      <c r="T42" s="426">
        <v>0</v>
      </c>
      <c r="U42" s="424"/>
      <c r="V42" s="300"/>
      <c r="W42" s="426">
        <v>47.472527472527467</v>
      </c>
      <c r="X42" s="300"/>
      <c r="Z42" s="426">
        <v>0</v>
      </c>
    </row>
    <row r="43" spans="1:26" s="290" customFormat="1" ht="11.4">
      <c r="A43" s="420"/>
      <c r="B43" s="420"/>
      <c r="C43" s="420" t="s">
        <v>1003</v>
      </c>
      <c r="D43" s="307"/>
      <c r="E43" s="426">
        <v>26.466480446927378</v>
      </c>
      <c r="F43" s="429"/>
      <c r="G43" s="309"/>
      <c r="H43" s="426">
        <v>27.219489341766224</v>
      </c>
      <c r="I43" s="420"/>
      <c r="J43" s="309"/>
      <c r="K43" s="426">
        <v>26.82984231583902</v>
      </c>
      <c r="L43" s="420"/>
      <c r="M43" s="309"/>
      <c r="N43" s="426">
        <v>24.887714987714986</v>
      </c>
      <c r="O43" s="424"/>
      <c r="P43" s="307"/>
      <c r="Q43" s="426">
        <v>25.238211580747617</v>
      </c>
      <c r="R43" s="429"/>
      <c r="S43" s="309"/>
      <c r="T43" s="426">
        <v>24.902152641878669</v>
      </c>
      <c r="U43" s="424"/>
      <c r="V43" s="300"/>
      <c r="W43" s="426">
        <v>26.841798015178046</v>
      </c>
      <c r="X43" s="300"/>
      <c r="Z43" s="426">
        <v>25.070284806258403</v>
      </c>
    </row>
    <row r="44" spans="1:26" s="290" customFormat="1" ht="11.4">
      <c r="A44" s="420"/>
      <c r="B44" s="420" t="s">
        <v>357</v>
      </c>
      <c r="C44" s="306"/>
      <c r="D44" s="307"/>
      <c r="E44" s="308"/>
      <c r="F44" s="429"/>
      <c r="G44" s="309"/>
      <c r="H44" s="308"/>
      <c r="I44" s="306"/>
      <c r="J44" s="309"/>
      <c r="K44" s="308"/>
      <c r="L44" s="306"/>
      <c r="M44" s="309"/>
      <c r="N44" s="308"/>
      <c r="O44" s="424"/>
      <c r="P44" s="307"/>
      <c r="Q44" s="308"/>
      <c r="R44" s="429"/>
      <c r="S44" s="309"/>
      <c r="T44" s="308"/>
      <c r="U44" s="424"/>
      <c r="V44" s="300"/>
      <c r="W44" s="308"/>
      <c r="X44" s="300"/>
      <c r="Z44" s="308"/>
    </row>
    <row r="45" spans="1:26" s="290" customFormat="1" ht="11.4">
      <c r="A45" s="420"/>
      <c r="B45" s="420"/>
      <c r="C45" s="420" t="s">
        <v>361</v>
      </c>
      <c r="D45" s="307"/>
      <c r="E45" s="426">
        <v>95.523151701202352</v>
      </c>
      <c r="F45" s="429"/>
      <c r="G45" s="309"/>
      <c r="H45" s="426">
        <v>95.22709776751347</v>
      </c>
      <c r="I45" s="420"/>
      <c r="J45" s="309"/>
      <c r="K45" s="426">
        <v>95.483705414421351</v>
      </c>
      <c r="L45" s="420"/>
      <c r="M45" s="309"/>
      <c r="N45" s="426">
        <v>94.101123595505626</v>
      </c>
      <c r="O45" s="424"/>
      <c r="P45" s="307"/>
      <c r="Q45" s="426">
        <v>98.298628745556115</v>
      </c>
      <c r="R45" s="429"/>
      <c r="S45" s="309"/>
      <c r="T45" s="426">
        <v>95.035641547861502</v>
      </c>
      <c r="U45" s="424"/>
      <c r="V45" s="300"/>
      <c r="W45" s="426">
        <v>95.375352293107866</v>
      </c>
      <c r="X45" s="300"/>
      <c r="Z45" s="426">
        <v>96.669209255021613</v>
      </c>
    </row>
    <row r="46" spans="1:26" s="290" customFormat="1" ht="11.4">
      <c r="A46" s="420"/>
      <c r="B46" s="420"/>
      <c r="C46" s="420" t="s">
        <v>369</v>
      </c>
      <c r="D46" s="307"/>
      <c r="E46" s="426">
        <v>109.15032679738562</v>
      </c>
      <c r="F46" s="429"/>
      <c r="G46" s="309"/>
      <c r="H46" s="426">
        <v>106.62251655629137</v>
      </c>
      <c r="I46" s="420"/>
      <c r="J46" s="309"/>
      <c r="K46" s="426">
        <v>114.56953642384107</v>
      </c>
      <c r="L46" s="420"/>
      <c r="M46" s="309"/>
      <c r="N46" s="426">
        <v>116.23376623376625</v>
      </c>
      <c r="O46" s="424"/>
      <c r="P46" s="307"/>
      <c r="Q46" s="426">
        <v>107.0967741935484</v>
      </c>
      <c r="R46" s="429"/>
      <c r="S46" s="309"/>
      <c r="T46" s="426">
        <v>103.75000000000001</v>
      </c>
      <c r="U46" s="424"/>
      <c r="V46" s="300"/>
      <c r="W46" s="426">
        <v>107.89473684210526</v>
      </c>
      <c r="X46" s="300"/>
      <c r="Z46" s="426">
        <v>105.39682539682541</v>
      </c>
    </row>
    <row r="47" spans="1:26" s="290" customFormat="1" ht="11.4">
      <c r="A47" s="420"/>
      <c r="B47" s="420"/>
      <c r="C47" s="420" t="s">
        <v>428</v>
      </c>
      <c r="D47" s="307"/>
      <c r="E47" s="426">
        <v>116.66666666666667</v>
      </c>
      <c r="F47" s="429"/>
      <c r="G47" s="309"/>
      <c r="H47" s="426">
        <v>127.60180995475112</v>
      </c>
      <c r="I47" s="420"/>
      <c r="J47" s="309"/>
      <c r="K47" s="426">
        <v>121.89054726368158</v>
      </c>
      <c r="L47" s="420"/>
      <c r="M47" s="309"/>
      <c r="N47" s="426">
        <v>0</v>
      </c>
      <c r="O47" s="424"/>
      <c r="P47" s="307"/>
      <c r="Q47" s="426">
        <v>0</v>
      </c>
      <c r="R47" s="429"/>
      <c r="S47" s="309"/>
      <c r="T47" s="426">
        <v>0</v>
      </c>
      <c r="U47" s="424"/>
      <c r="V47" s="300"/>
      <c r="W47" s="426">
        <v>121.97802197802199</v>
      </c>
      <c r="X47" s="300"/>
      <c r="Z47" s="426">
        <v>0</v>
      </c>
    </row>
    <row r="48" spans="1:26" s="290" customFormat="1" ht="11.4">
      <c r="A48" s="421"/>
      <c r="B48" s="421"/>
      <c r="C48" s="420" t="s">
        <v>1003</v>
      </c>
      <c r="D48" s="307"/>
      <c r="E48" s="426">
        <v>97.160148975791444</v>
      </c>
      <c r="F48" s="429"/>
      <c r="G48" s="309"/>
      <c r="H48" s="426">
        <v>97.306160693370813</v>
      </c>
      <c r="I48" s="420"/>
      <c r="J48" s="309"/>
      <c r="K48" s="426">
        <v>97.411155566015523</v>
      </c>
      <c r="L48" s="420"/>
      <c r="M48" s="309"/>
      <c r="N48" s="426">
        <v>94.938574938574931</v>
      </c>
      <c r="O48" s="424"/>
      <c r="P48" s="307"/>
      <c r="Q48" s="426">
        <v>98.631810408013692</v>
      </c>
      <c r="R48" s="429"/>
      <c r="S48" s="309"/>
      <c r="T48" s="426">
        <v>95.376712328767127</v>
      </c>
      <c r="U48" s="424"/>
      <c r="V48" s="300"/>
      <c r="W48" s="426">
        <v>97.232924693520147</v>
      </c>
      <c r="X48" s="300"/>
      <c r="Z48" s="426">
        <v>97.005256081163665</v>
      </c>
    </row>
    <row r="49" spans="1:29" s="290" customFormat="1" ht="11.4">
      <c r="A49" s="420"/>
      <c r="B49" s="420" t="s">
        <v>1004</v>
      </c>
      <c r="C49" s="428"/>
      <c r="D49" s="307"/>
      <c r="E49" s="308"/>
      <c r="F49" s="429"/>
      <c r="G49" s="309"/>
      <c r="H49" s="308"/>
      <c r="I49" s="428"/>
      <c r="J49" s="309"/>
      <c r="K49" s="308"/>
      <c r="L49" s="428"/>
      <c r="M49" s="309"/>
      <c r="N49" s="308"/>
      <c r="O49" s="424"/>
      <c r="P49" s="307"/>
      <c r="Q49" s="308"/>
      <c r="R49" s="429"/>
      <c r="S49" s="309"/>
      <c r="T49" s="308"/>
      <c r="U49" s="424"/>
      <c r="V49" s="300"/>
      <c r="W49" s="308"/>
      <c r="X49" s="300"/>
      <c r="Z49" s="308"/>
    </row>
    <row r="50" spans="1:29" s="290" customFormat="1" ht="11.4">
      <c r="A50" s="420"/>
      <c r="B50" s="420"/>
      <c r="C50" s="420" t="s">
        <v>361</v>
      </c>
      <c r="D50" s="307"/>
      <c r="E50" s="880">
        <v>3.9</v>
      </c>
      <c r="F50" s="429"/>
      <c r="G50" s="309"/>
      <c r="H50" s="426">
        <v>1.2317167051578137</v>
      </c>
      <c r="I50" s="420"/>
      <c r="J50" s="309"/>
      <c r="K50" s="426">
        <v>0.2052861175263023</v>
      </c>
      <c r="L50" s="420"/>
      <c r="M50" s="309"/>
      <c r="N50" s="426">
        <v>2.8600612870275794</v>
      </c>
      <c r="O50" s="424"/>
      <c r="P50" s="307"/>
      <c r="Q50" s="880">
        <v>6.7039106145251397</v>
      </c>
      <c r="R50" s="429"/>
      <c r="S50" s="309"/>
      <c r="T50" s="426">
        <v>0.45824847250509165</v>
      </c>
      <c r="U50" s="424"/>
      <c r="V50" s="300"/>
      <c r="W50" s="426">
        <v>2.6</v>
      </c>
      <c r="X50" s="300"/>
      <c r="Z50" s="426">
        <v>3.5850495804729219</v>
      </c>
    </row>
    <row r="51" spans="1:29" s="290" customFormat="1" ht="11.4">
      <c r="A51" s="420"/>
      <c r="B51" s="420"/>
      <c r="C51" s="420" t="s">
        <v>369</v>
      </c>
      <c r="D51" s="307"/>
      <c r="E51" s="880">
        <v>2.6</v>
      </c>
      <c r="F51" s="429"/>
      <c r="G51" s="309"/>
      <c r="H51" s="426">
        <v>0.66225165562913912</v>
      </c>
      <c r="I51" s="420"/>
      <c r="J51" s="309"/>
      <c r="K51" s="426">
        <v>0.66225165562913912</v>
      </c>
      <c r="L51" s="420"/>
      <c r="M51" s="309"/>
      <c r="N51" s="426">
        <v>3.2467532467532463</v>
      </c>
      <c r="O51" s="424"/>
      <c r="P51" s="307"/>
      <c r="Q51" s="880">
        <v>3.225806451612903</v>
      </c>
      <c r="R51" s="429"/>
      <c r="S51" s="309"/>
      <c r="T51" s="426">
        <v>0</v>
      </c>
      <c r="U51" s="424"/>
      <c r="V51" s="300"/>
      <c r="W51" s="426">
        <v>1.6</v>
      </c>
      <c r="X51" s="300"/>
      <c r="Z51" s="426">
        <v>1.5873015873015872</v>
      </c>
    </row>
    <row r="52" spans="1:29" s="290" customFormat="1" ht="11.4">
      <c r="A52" s="420"/>
      <c r="B52" s="420"/>
      <c r="C52" s="420" t="s">
        <v>428</v>
      </c>
      <c r="D52" s="307"/>
      <c r="E52" s="880">
        <v>2.6</v>
      </c>
      <c r="F52" s="429"/>
      <c r="G52" s="309"/>
      <c r="H52" s="426">
        <v>0.35248868778280551</v>
      </c>
      <c r="I52" s="420"/>
      <c r="J52" s="309"/>
      <c r="K52" s="426">
        <v>0</v>
      </c>
      <c r="L52" s="420"/>
      <c r="M52" s="309"/>
      <c r="N52" s="426">
        <v>0</v>
      </c>
      <c r="O52" s="424"/>
      <c r="P52" s="307"/>
      <c r="Q52" s="880">
        <v>0</v>
      </c>
      <c r="R52" s="429"/>
      <c r="S52" s="309"/>
      <c r="T52" s="426">
        <v>0</v>
      </c>
      <c r="U52" s="424"/>
      <c r="V52" s="300"/>
      <c r="W52" s="426">
        <v>1.5</v>
      </c>
      <c r="X52" s="300"/>
      <c r="Z52" s="426">
        <v>0</v>
      </c>
    </row>
    <row r="53" spans="1:29" s="290" customFormat="1" ht="11.4">
      <c r="A53" s="420"/>
      <c r="B53" s="420" t="s">
        <v>691</v>
      </c>
      <c r="C53" s="420"/>
      <c r="D53" s="307"/>
      <c r="E53" s="309"/>
      <c r="F53" s="429"/>
      <c r="G53" s="309"/>
      <c r="H53" s="426"/>
      <c r="I53" s="424"/>
      <c r="J53" s="309"/>
      <c r="K53" s="426"/>
      <c r="L53" s="424"/>
      <c r="M53" s="309"/>
      <c r="N53" s="426"/>
      <c r="O53" s="424"/>
      <c r="P53" s="307"/>
      <c r="Q53" s="309"/>
      <c r="R53" s="429"/>
      <c r="S53" s="309"/>
      <c r="T53" s="426"/>
      <c r="U53" s="424"/>
      <c r="V53" s="426"/>
      <c r="W53" s="309"/>
      <c r="X53" s="426"/>
      <c r="Z53" s="300"/>
      <c r="AA53" s="426"/>
    </row>
    <row r="54" spans="1:29" s="290" customFormat="1" ht="11.4">
      <c r="A54" s="420"/>
      <c r="B54" s="420"/>
      <c r="C54" s="420" t="s">
        <v>361</v>
      </c>
      <c r="D54" s="307"/>
      <c r="E54" s="880">
        <v>-2</v>
      </c>
      <c r="F54" s="429"/>
      <c r="G54" s="309"/>
      <c r="H54" s="426">
        <v>-1.1573774698486015</v>
      </c>
      <c r="I54" s="424"/>
      <c r="J54" s="309"/>
      <c r="K54" s="426">
        <v>-3.2</v>
      </c>
      <c r="L54" s="424"/>
      <c r="M54" s="309"/>
      <c r="N54" s="426">
        <v>-3.3</v>
      </c>
      <c r="O54" s="424"/>
      <c r="P54" s="307"/>
      <c r="Q54" s="880">
        <v>-2.2000000000000002</v>
      </c>
      <c r="R54" s="429"/>
      <c r="S54" s="309"/>
      <c r="T54" s="426">
        <v>-0.4</v>
      </c>
      <c r="U54" s="424"/>
      <c r="V54" s="426"/>
      <c r="W54" s="426">
        <v>-1.6</v>
      </c>
      <c r="X54" s="426"/>
      <c r="Z54" s="426">
        <v>-1.3</v>
      </c>
      <c r="AA54" s="426"/>
    </row>
    <row r="55" spans="1:29" s="290" customFormat="1" ht="12" customHeight="1">
      <c r="A55" s="420"/>
      <c r="B55" s="420"/>
      <c r="C55" s="420" t="s">
        <v>369</v>
      </c>
      <c r="D55" s="307"/>
      <c r="E55" s="880">
        <v>0</v>
      </c>
      <c r="F55" s="429"/>
      <c r="G55" s="309"/>
      <c r="H55" s="426">
        <v>0.66225165562913912</v>
      </c>
      <c r="I55" s="424"/>
      <c r="J55" s="309"/>
      <c r="K55" s="426">
        <v>0</v>
      </c>
      <c r="L55" s="424"/>
      <c r="M55" s="309"/>
      <c r="N55" s="426">
        <v>6.5</v>
      </c>
      <c r="O55" s="424"/>
      <c r="P55" s="307"/>
      <c r="Q55" s="880">
        <v>0</v>
      </c>
      <c r="R55" s="429"/>
      <c r="S55" s="309"/>
      <c r="T55" s="426">
        <v>3.1</v>
      </c>
      <c r="U55" s="424"/>
      <c r="V55" s="426"/>
      <c r="W55" s="426">
        <v>0.3</v>
      </c>
      <c r="X55" s="426"/>
      <c r="Z55" s="426">
        <v>1.6</v>
      </c>
      <c r="AA55" s="426"/>
    </row>
    <row r="56" spans="1:29" s="290" customFormat="1" ht="11.4">
      <c r="A56" s="420"/>
      <c r="B56" s="420"/>
      <c r="C56" s="420" t="s">
        <v>428</v>
      </c>
      <c r="D56" s="307"/>
      <c r="E56" s="880">
        <v>0</v>
      </c>
      <c r="F56" s="429"/>
      <c r="G56" s="309"/>
      <c r="H56" s="426">
        <v>0</v>
      </c>
      <c r="I56" s="424"/>
      <c r="J56" s="309"/>
      <c r="K56" s="426">
        <v>0</v>
      </c>
      <c r="L56" s="424"/>
      <c r="M56" s="309"/>
      <c r="N56" s="426">
        <v>0</v>
      </c>
      <c r="O56" s="424"/>
      <c r="P56" s="307"/>
      <c r="Q56" s="880">
        <v>0</v>
      </c>
      <c r="R56" s="429"/>
      <c r="S56" s="309"/>
      <c r="T56" s="426">
        <v>0</v>
      </c>
      <c r="U56" s="424"/>
      <c r="V56" s="426"/>
      <c r="W56" s="426">
        <v>0</v>
      </c>
      <c r="X56" s="426"/>
      <c r="Z56" s="426">
        <v>0</v>
      </c>
      <c r="AA56" s="426"/>
    </row>
    <row r="57" spans="1:29" s="290" customFormat="1" ht="11.4">
      <c r="A57" s="420"/>
      <c r="B57" s="420" t="s">
        <v>955</v>
      </c>
      <c r="C57" s="420"/>
      <c r="D57" s="307"/>
      <c r="E57" s="309"/>
      <c r="F57" s="429"/>
      <c r="G57" s="309"/>
      <c r="H57" s="426"/>
      <c r="I57" s="424"/>
      <c r="J57" s="309"/>
      <c r="K57" s="426"/>
      <c r="L57" s="424"/>
      <c r="M57" s="309"/>
      <c r="N57" s="426"/>
      <c r="O57" s="424"/>
      <c r="P57" s="307"/>
      <c r="Q57" s="309"/>
      <c r="R57" s="429"/>
      <c r="S57" s="309"/>
      <c r="T57" s="426"/>
      <c r="U57" s="424"/>
      <c r="V57" s="426"/>
      <c r="W57" s="309"/>
      <c r="X57" s="426"/>
      <c r="Z57" s="300"/>
      <c r="AA57" s="426"/>
    </row>
    <row r="58" spans="1:29" s="290" customFormat="1" ht="11.4">
      <c r="A58" s="420"/>
      <c r="B58" s="420"/>
      <c r="C58" s="420" t="s">
        <v>10</v>
      </c>
      <c r="D58" s="307"/>
      <c r="E58" s="309"/>
      <c r="F58" s="429"/>
      <c r="G58" s="309"/>
      <c r="H58" s="426"/>
      <c r="I58" s="424"/>
      <c r="J58" s="309"/>
      <c r="K58" s="426"/>
      <c r="L58" s="424"/>
      <c r="M58" s="309"/>
      <c r="N58" s="426"/>
      <c r="O58" s="424"/>
      <c r="P58" s="307"/>
      <c r="Q58" s="309"/>
      <c r="R58" s="429"/>
      <c r="S58" s="309"/>
      <c r="T58" s="426"/>
      <c r="U58" s="424"/>
      <c r="V58" s="426"/>
      <c r="W58" s="309"/>
      <c r="X58" s="426"/>
      <c r="Z58" s="300"/>
      <c r="AA58" s="426"/>
    </row>
    <row r="59" spans="1:29" s="290" customFormat="1" ht="11.4">
      <c r="A59" s="420"/>
      <c r="B59" s="246"/>
      <c r="C59" s="420" t="s">
        <v>428</v>
      </c>
      <c r="D59" s="307"/>
      <c r="E59" s="880">
        <v>8.1</v>
      </c>
      <c r="F59" s="429"/>
      <c r="G59" s="309"/>
      <c r="H59" s="426">
        <v>18.099547511312217</v>
      </c>
      <c r="I59" s="424"/>
      <c r="J59" s="309"/>
      <c r="K59" s="426">
        <v>20.9</v>
      </c>
      <c r="L59" s="424"/>
      <c r="M59" s="309"/>
      <c r="N59" s="426">
        <v>0</v>
      </c>
      <c r="O59" s="424"/>
      <c r="P59" s="307"/>
      <c r="Q59" s="880">
        <v>0</v>
      </c>
      <c r="R59" s="429"/>
      <c r="S59" s="309"/>
      <c r="T59" s="426">
        <v>0</v>
      </c>
      <c r="U59" s="424"/>
      <c r="V59" s="426"/>
      <c r="W59" s="426">
        <v>13</v>
      </c>
      <c r="X59" s="426"/>
      <c r="Z59" s="426">
        <v>0</v>
      </c>
      <c r="AA59" s="426"/>
    </row>
    <row r="60" spans="1:29" s="290" customFormat="1" ht="11.4">
      <c r="A60" s="420"/>
      <c r="B60" s="420" t="s">
        <v>1005</v>
      </c>
      <c r="C60" s="300"/>
      <c r="D60" s="307"/>
      <c r="E60" s="426"/>
      <c r="F60" s="429"/>
      <c r="G60" s="309"/>
      <c r="H60" s="426"/>
      <c r="I60" s="420"/>
      <c r="J60" s="309"/>
      <c r="K60" s="426"/>
      <c r="L60" s="420"/>
      <c r="M60" s="309"/>
      <c r="N60" s="426"/>
      <c r="O60" s="424"/>
      <c r="P60" s="307"/>
      <c r="Q60" s="426"/>
      <c r="R60" s="429"/>
      <c r="S60" s="309"/>
      <c r="T60" s="426"/>
      <c r="U60" s="424"/>
      <c r="V60" s="300"/>
      <c r="W60" s="426"/>
      <c r="X60" s="300"/>
      <c r="Z60" s="426"/>
    </row>
    <row r="61" spans="1:29" s="290" customFormat="1" ht="11.4">
      <c r="A61" s="420"/>
      <c r="B61" s="235" t="s">
        <v>690</v>
      </c>
      <c r="C61" s="300"/>
      <c r="D61" s="307"/>
      <c r="E61" s="426">
        <v>93.423151701202343</v>
      </c>
      <c r="F61" s="429"/>
      <c r="G61" s="309"/>
      <c r="H61" s="426">
        <v>94.927097767513473</v>
      </c>
      <c r="I61" s="420"/>
      <c r="J61" s="309"/>
      <c r="K61" s="426">
        <v>98.383705414421357</v>
      </c>
      <c r="L61" s="420"/>
      <c r="M61" s="309"/>
      <c r="N61" s="426">
        <v>94.401123595505624</v>
      </c>
      <c r="O61" s="424"/>
      <c r="P61" s="307"/>
      <c r="Q61" s="426">
        <v>93.698628745556121</v>
      </c>
      <c r="R61" s="429"/>
      <c r="S61" s="309"/>
      <c r="T61" s="426">
        <v>94.835641547861513</v>
      </c>
      <c r="U61" s="424"/>
      <c r="V61" s="300"/>
      <c r="W61" s="426">
        <v>94.175352293107863</v>
      </c>
      <c r="X61" s="300"/>
      <c r="Z61" s="426">
        <v>94.169209255021613</v>
      </c>
    </row>
    <row r="62" spans="1:29" s="290" customFormat="1" ht="11.4">
      <c r="A62" s="420"/>
      <c r="C62" s="66" t="s">
        <v>688</v>
      </c>
      <c r="D62" s="297"/>
      <c r="E62" s="426">
        <v>3.9</v>
      </c>
      <c r="F62" s="299"/>
      <c r="G62" s="309"/>
      <c r="H62" s="426">
        <v>1.2</v>
      </c>
      <c r="I62" s="420"/>
      <c r="J62" s="309"/>
      <c r="K62" s="426">
        <v>0.2</v>
      </c>
      <c r="L62" s="420"/>
      <c r="M62" s="309"/>
      <c r="N62" s="426">
        <v>2.9</v>
      </c>
      <c r="P62" s="297"/>
      <c r="Q62" s="426">
        <v>6.7</v>
      </c>
      <c r="R62" s="299"/>
      <c r="S62" s="309"/>
      <c r="T62" s="426">
        <v>0.5</v>
      </c>
      <c r="U62" s="300"/>
      <c r="W62" s="426">
        <v>2.6</v>
      </c>
      <c r="Z62" s="426">
        <v>3.6</v>
      </c>
    </row>
    <row r="63" spans="1:29" s="290" customFormat="1" ht="11.4">
      <c r="A63" s="420"/>
      <c r="C63" s="66" t="s">
        <v>689</v>
      </c>
      <c r="D63" s="307"/>
      <c r="E63" s="426">
        <v>-2</v>
      </c>
      <c r="F63" s="429"/>
      <c r="G63" s="309"/>
      <c r="H63" s="426">
        <v>-1.2</v>
      </c>
      <c r="I63" s="420"/>
      <c r="J63" s="309"/>
      <c r="K63" s="426">
        <v>-3.2</v>
      </c>
      <c r="L63" s="420"/>
      <c r="M63" s="309"/>
      <c r="N63" s="426">
        <v>-3.3</v>
      </c>
      <c r="O63" s="424"/>
      <c r="P63" s="307"/>
      <c r="Q63" s="426">
        <v>-2.2000000000000002</v>
      </c>
      <c r="R63" s="429"/>
      <c r="S63" s="309"/>
      <c r="T63" s="426">
        <v>-0.4</v>
      </c>
      <c r="U63" s="424"/>
      <c r="V63" s="300"/>
      <c r="W63" s="426">
        <v>-1.6</v>
      </c>
      <c r="X63" s="300"/>
      <c r="Z63" s="426">
        <v>-1.3</v>
      </c>
      <c r="AB63" s="220"/>
      <c r="AC63" s="221"/>
    </row>
    <row r="64" spans="1:29" s="290" customFormat="1" ht="11.4">
      <c r="A64" s="420"/>
      <c r="C64" s="235" t="s">
        <v>1006</v>
      </c>
      <c r="D64" s="307"/>
      <c r="E64" s="426"/>
      <c r="F64" s="429"/>
      <c r="G64" s="309"/>
      <c r="H64" s="426"/>
      <c r="I64" s="420"/>
      <c r="J64" s="309"/>
      <c r="K64" s="426"/>
      <c r="L64" s="420"/>
      <c r="M64" s="309"/>
      <c r="O64" s="424"/>
      <c r="P64" s="307"/>
      <c r="Q64" s="426"/>
      <c r="R64" s="429"/>
      <c r="S64" s="309"/>
      <c r="T64" s="426"/>
      <c r="U64" s="424"/>
      <c r="V64" s="300"/>
      <c r="W64" s="426"/>
      <c r="X64" s="300"/>
      <c r="Z64" s="426"/>
      <c r="AB64" s="220"/>
      <c r="AC64" s="221"/>
    </row>
    <row r="65" spans="1:29" s="290" customFormat="1" ht="11.4">
      <c r="A65" s="420"/>
      <c r="B65" s="420"/>
      <c r="C65" s="235" t="s">
        <v>1007</v>
      </c>
      <c r="D65" s="307"/>
      <c r="E65" s="430">
        <v>0.2</v>
      </c>
      <c r="F65" s="429"/>
      <c r="G65" s="309"/>
      <c r="H65" s="430">
        <v>0.3</v>
      </c>
      <c r="I65" s="420"/>
      <c r="J65" s="309"/>
      <c r="K65" s="430">
        <v>0.1</v>
      </c>
      <c r="L65" s="420"/>
      <c r="M65" s="309"/>
      <c r="N65" s="430">
        <v>0.1</v>
      </c>
      <c r="O65" s="424"/>
      <c r="P65" s="307"/>
      <c r="Q65" s="430">
        <v>0.1</v>
      </c>
      <c r="R65" s="429"/>
      <c r="S65" s="309"/>
      <c r="T65" s="430">
        <v>0.1</v>
      </c>
      <c r="U65" s="424"/>
      <c r="V65" s="300"/>
      <c r="W65" s="430">
        <v>0.2</v>
      </c>
      <c r="X65" s="300"/>
      <c r="Z65" s="430">
        <v>0.2</v>
      </c>
      <c r="AB65" s="228"/>
      <c r="AC65" s="229"/>
    </row>
    <row r="66" spans="1:29" s="290" customFormat="1" ht="12" thickBot="1">
      <c r="A66" s="420"/>
      <c r="B66" s="67" t="s">
        <v>1008</v>
      </c>
      <c r="C66" s="300"/>
      <c r="D66" s="307"/>
      <c r="E66" s="431">
        <v>95.523151701202352</v>
      </c>
      <c r="F66" s="429"/>
      <c r="G66" s="309"/>
      <c r="H66" s="431">
        <v>95.22709776751347</v>
      </c>
      <c r="I66" s="420"/>
      <c r="J66" s="309"/>
      <c r="K66" s="431">
        <v>95.483705414421351</v>
      </c>
      <c r="L66" s="420"/>
      <c r="M66" s="309"/>
      <c r="N66" s="431">
        <v>94.101123595505626</v>
      </c>
      <c r="O66" s="424"/>
      <c r="P66" s="307"/>
      <c r="Q66" s="431">
        <v>98.298628745556115</v>
      </c>
      <c r="R66" s="429"/>
      <c r="S66" s="309"/>
      <c r="T66" s="431">
        <v>95.035641547861502</v>
      </c>
      <c r="U66" s="424"/>
      <c r="V66" s="300"/>
      <c r="W66" s="431">
        <v>95.375352293107866</v>
      </c>
      <c r="X66" s="300"/>
      <c r="Z66" s="431">
        <v>96.669209255021613</v>
      </c>
      <c r="AB66" s="228"/>
      <c r="AC66" s="229"/>
    </row>
    <row r="67" spans="1:29" s="290" customFormat="1" ht="12.6" thickTop="1" thickBot="1">
      <c r="A67" s="420"/>
      <c r="B67" s="420"/>
      <c r="C67" s="66"/>
      <c r="D67" s="432"/>
      <c r="E67" s="433"/>
      <c r="F67" s="456"/>
      <c r="G67" s="309"/>
      <c r="H67" s="426"/>
      <c r="I67" s="420"/>
      <c r="J67" s="309"/>
      <c r="K67" s="426"/>
      <c r="L67" s="420"/>
      <c r="M67" s="309"/>
      <c r="N67" s="426"/>
      <c r="O67" s="424"/>
      <c r="P67" s="432"/>
      <c r="Q67" s="433"/>
      <c r="R67" s="456"/>
      <c r="S67" s="309"/>
      <c r="T67" s="426"/>
      <c r="U67" s="424"/>
      <c r="V67" s="300"/>
      <c r="W67" s="426"/>
      <c r="X67" s="300"/>
      <c r="Z67" s="426"/>
      <c r="AB67" s="220"/>
      <c r="AC67" s="204"/>
    </row>
    <row r="68" spans="1:29" s="290" customFormat="1" ht="12">
      <c r="A68" s="419"/>
      <c r="B68" s="420"/>
      <c r="C68" s="434"/>
      <c r="D68" s="437"/>
      <c r="E68" s="436"/>
      <c r="F68" s="436"/>
      <c r="G68" s="438"/>
      <c r="H68" s="439"/>
      <c r="I68" s="439"/>
      <c r="J68" s="435"/>
      <c r="K68" s="436"/>
      <c r="L68" s="436"/>
      <c r="M68" s="437"/>
      <c r="N68" s="436"/>
      <c r="O68" s="434"/>
      <c r="P68" s="437"/>
      <c r="Q68" s="436"/>
      <c r="R68" s="434"/>
      <c r="S68" s="435"/>
      <c r="T68" s="436"/>
      <c r="U68" s="436"/>
      <c r="V68" s="300"/>
      <c r="W68" s="300"/>
      <c r="X68" s="300"/>
      <c r="Y68" s="300"/>
      <c r="Z68" s="300"/>
    </row>
    <row r="69" spans="1:29">
      <c r="J69" s="442"/>
      <c r="K69" s="313"/>
      <c r="L69" s="313"/>
      <c r="M69" s="442"/>
      <c r="N69" s="313"/>
      <c r="O69" s="313"/>
      <c r="S69" s="442"/>
      <c r="T69" s="313"/>
      <c r="U69" s="313"/>
    </row>
    <row r="70" spans="1:29">
      <c r="J70" s="442"/>
      <c r="K70" s="313"/>
      <c r="L70" s="313"/>
      <c r="M70" s="442"/>
      <c r="N70" s="313"/>
      <c r="O70" s="313"/>
      <c r="S70" s="442"/>
      <c r="T70" s="313"/>
      <c r="U70" s="313"/>
    </row>
    <row r="71" spans="1:29">
      <c r="J71" s="442"/>
      <c r="K71" s="313"/>
      <c r="L71" s="313"/>
      <c r="M71" s="442"/>
      <c r="N71" s="313"/>
      <c r="O71" s="313"/>
      <c r="S71" s="442"/>
      <c r="T71" s="313"/>
      <c r="U71" s="313"/>
    </row>
    <row r="72" spans="1:29">
      <c r="J72" s="442"/>
      <c r="K72" s="313"/>
      <c r="L72" s="313"/>
      <c r="M72" s="442"/>
      <c r="N72" s="313"/>
      <c r="O72" s="313"/>
      <c r="S72" s="442"/>
      <c r="T72" s="313"/>
      <c r="U72" s="313"/>
    </row>
    <row r="73" spans="1:29">
      <c r="J73" s="442"/>
      <c r="K73" s="313"/>
      <c r="L73" s="313"/>
      <c r="M73" s="442"/>
      <c r="N73" s="313"/>
      <c r="O73" s="313"/>
      <c r="S73" s="442"/>
      <c r="T73" s="313"/>
      <c r="U73" s="313"/>
    </row>
    <row r="74" spans="1:29">
      <c r="J74" s="442"/>
      <c r="K74" s="313"/>
      <c r="L74" s="313"/>
      <c r="M74" s="442"/>
      <c r="N74" s="313"/>
      <c r="O74" s="313"/>
      <c r="S74" s="442"/>
      <c r="T74" s="313"/>
      <c r="U74" s="313"/>
    </row>
    <row r="75" spans="1:29">
      <c r="J75" s="442"/>
      <c r="K75" s="313"/>
      <c r="L75" s="313"/>
      <c r="M75" s="442"/>
      <c r="N75" s="313"/>
      <c r="O75" s="313"/>
      <c r="S75" s="442"/>
      <c r="T75" s="313"/>
      <c r="U75" s="313"/>
    </row>
    <row r="76" spans="1:29">
      <c r="J76" s="442"/>
      <c r="K76" s="313"/>
      <c r="L76" s="313"/>
      <c r="M76" s="442"/>
      <c r="N76" s="313"/>
      <c r="O76" s="313"/>
      <c r="S76" s="442"/>
      <c r="T76" s="313"/>
      <c r="U76" s="313"/>
    </row>
    <row r="77" spans="1:29">
      <c r="J77" s="442"/>
      <c r="K77" s="313"/>
      <c r="L77" s="313"/>
      <c r="M77" s="442"/>
      <c r="N77" s="313"/>
      <c r="O77" s="313"/>
      <c r="S77" s="442"/>
      <c r="T77" s="313"/>
      <c r="U77" s="313"/>
    </row>
    <row r="78" spans="1:29">
      <c r="J78" s="442"/>
      <c r="K78" s="313"/>
      <c r="L78" s="313"/>
      <c r="M78" s="442"/>
      <c r="N78" s="313"/>
      <c r="O78" s="313"/>
      <c r="S78" s="442"/>
      <c r="T78" s="313"/>
      <c r="U78" s="313"/>
    </row>
    <row r="79" spans="1:29">
      <c r="J79" s="442"/>
      <c r="K79" s="313"/>
      <c r="L79" s="313"/>
      <c r="M79" s="442"/>
      <c r="N79" s="313"/>
      <c r="O79" s="313"/>
      <c r="S79" s="442"/>
      <c r="T79" s="313"/>
      <c r="U79" s="313"/>
    </row>
    <row r="80" spans="1:29">
      <c r="J80" s="442"/>
      <c r="K80" s="313"/>
      <c r="L80" s="313"/>
      <c r="M80" s="442"/>
      <c r="N80" s="313"/>
      <c r="O80" s="313"/>
      <c r="S80" s="442"/>
      <c r="T80" s="313"/>
      <c r="U80" s="313"/>
    </row>
    <row r="81" spans="10:21">
      <c r="J81" s="442"/>
      <c r="K81" s="313"/>
      <c r="L81" s="313"/>
      <c r="M81" s="442"/>
      <c r="N81" s="313"/>
      <c r="O81" s="313"/>
      <c r="S81" s="442"/>
      <c r="T81" s="313"/>
      <c r="U81" s="313"/>
    </row>
    <row r="82" spans="10:21">
      <c r="J82" s="442"/>
      <c r="K82" s="313"/>
      <c r="L82" s="313"/>
      <c r="M82" s="442"/>
      <c r="N82" s="313"/>
      <c r="O82" s="313"/>
      <c r="S82" s="442"/>
      <c r="T82" s="313"/>
      <c r="U82" s="313"/>
    </row>
    <row r="83" spans="10:21">
      <c r="J83" s="442"/>
      <c r="K83" s="313"/>
      <c r="L83" s="313"/>
      <c r="M83" s="442"/>
      <c r="N83" s="313"/>
      <c r="O83" s="313"/>
      <c r="S83" s="442"/>
      <c r="T83" s="313"/>
      <c r="U83" s="313"/>
    </row>
    <row r="84" spans="10:21">
      <c r="J84" s="442"/>
      <c r="K84" s="313"/>
      <c r="L84" s="313"/>
      <c r="M84" s="442"/>
      <c r="N84" s="313"/>
      <c r="O84" s="313"/>
      <c r="S84" s="442"/>
      <c r="T84" s="313"/>
      <c r="U84" s="313"/>
    </row>
    <row r="85" spans="10:21">
      <c r="J85" s="442"/>
      <c r="K85" s="313"/>
      <c r="L85" s="313"/>
      <c r="M85" s="442"/>
      <c r="N85" s="313"/>
      <c r="O85" s="313"/>
      <c r="S85" s="442"/>
      <c r="T85" s="313"/>
      <c r="U85" s="313"/>
    </row>
    <row r="86" spans="10:21">
      <c r="J86" s="442"/>
      <c r="K86" s="313"/>
      <c r="L86" s="313"/>
      <c r="M86" s="442"/>
      <c r="N86" s="313"/>
      <c r="O86" s="313"/>
      <c r="S86" s="442"/>
      <c r="T86" s="313"/>
      <c r="U86" s="313"/>
    </row>
    <row r="87" spans="10:21">
      <c r="J87" s="442"/>
      <c r="K87" s="313"/>
      <c r="L87" s="313"/>
      <c r="M87" s="442"/>
      <c r="N87" s="313"/>
      <c r="O87" s="313"/>
      <c r="S87" s="442"/>
      <c r="T87" s="313"/>
      <c r="U87" s="313"/>
    </row>
    <row r="88" spans="10:21">
      <c r="J88" s="442"/>
      <c r="K88" s="313"/>
      <c r="L88" s="313"/>
      <c r="M88" s="442"/>
      <c r="N88" s="313"/>
      <c r="O88" s="313"/>
      <c r="S88" s="442"/>
      <c r="T88" s="313"/>
      <c r="U88" s="313"/>
    </row>
    <row r="89" spans="10:21">
      <c r="J89" s="442"/>
      <c r="K89" s="313"/>
      <c r="L89" s="313"/>
      <c r="M89" s="442"/>
      <c r="N89" s="313"/>
      <c r="O89" s="313"/>
      <c r="S89" s="442"/>
      <c r="T89" s="313"/>
      <c r="U89" s="313"/>
    </row>
    <row r="90" spans="10:21">
      <c r="J90" s="442"/>
      <c r="K90" s="313"/>
      <c r="L90" s="313"/>
      <c r="M90" s="442"/>
      <c r="N90" s="313"/>
      <c r="O90" s="313"/>
      <c r="S90" s="442"/>
      <c r="T90" s="313"/>
      <c r="U90" s="313"/>
    </row>
    <row r="91" spans="10:21">
      <c r="J91" s="442"/>
      <c r="K91" s="313"/>
      <c r="L91" s="313"/>
      <c r="M91" s="442"/>
      <c r="N91" s="313"/>
      <c r="O91" s="313"/>
      <c r="S91" s="442"/>
      <c r="T91" s="313"/>
      <c r="U91" s="313"/>
    </row>
  </sheetData>
  <mergeCells count="5">
    <mergeCell ref="A1:Z1"/>
    <mergeCell ref="A2:Z2"/>
    <mergeCell ref="A3:Z3"/>
    <mergeCell ref="D4:T4"/>
    <mergeCell ref="W4:Z4"/>
  </mergeCells>
  <phoneticPr fontId="24" type="noConversion"/>
  <printOptions horizontalCentered="1"/>
  <pageMargins left="0.25" right="0.25" top="0.5" bottom="0.25" header="0.3" footer="0.3"/>
  <pageSetup scale="71" orientation="landscape" r:id="rId1"/>
  <headerFooter alignWithMargins="0">
    <oddFooter>&amp;R&amp;A</oddFooter>
  </headerFooter>
</worksheet>
</file>

<file path=xl/worksheets/sheet21.xml><?xml version="1.0" encoding="utf-8"?>
<worksheet xmlns="http://schemas.openxmlformats.org/spreadsheetml/2006/main" xmlns:r="http://schemas.openxmlformats.org/officeDocument/2006/relationships">
  <dimension ref="A1:AA82"/>
  <sheetViews>
    <sheetView zoomScale="75" zoomScaleNormal="75" workbookViewId="0">
      <selection sqref="A1:Z1"/>
    </sheetView>
  </sheetViews>
  <sheetFormatPr defaultColWidth="11.44140625" defaultRowHeight="13.2"/>
  <cols>
    <col min="1" max="2" width="2.44140625" style="284" customWidth="1"/>
    <col min="3" max="3" width="45.88671875" style="284" customWidth="1"/>
    <col min="4" max="4" width="2.44140625" style="443" customWidth="1"/>
    <col min="5" max="5" width="8.33203125" style="284" customWidth="1"/>
    <col min="6" max="6" width="2.44140625" style="284" customWidth="1"/>
    <col min="7" max="7" width="2.44140625" style="443" customWidth="1"/>
    <col min="8" max="8" width="8.33203125" style="284" customWidth="1"/>
    <col min="9" max="9" width="2.44140625" style="284" customWidth="1"/>
    <col min="10" max="10" width="2.44140625" style="443" customWidth="1"/>
    <col min="11" max="11" width="8.33203125" style="284" customWidth="1"/>
    <col min="12" max="12" width="2.44140625" style="284" customWidth="1"/>
    <col min="13" max="13" width="2.44140625" style="443" customWidth="1"/>
    <col min="14" max="14" width="8.33203125" style="284" customWidth="1"/>
    <col min="15" max="15" width="2.44140625" style="284" customWidth="1"/>
    <col min="16" max="16" width="2.44140625" style="443" customWidth="1"/>
    <col min="17" max="17" width="8.33203125" style="284" customWidth="1"/>
    <col min="18" max="18" width="2.44140625" style="284" customWidth="1"/>
    <col min="19" max="19" width="2.44140625" style="443" customWidth="1"/>
    <col min="20" max="20" width="8.33203125" style="284" customWidth="1"/>
    <col min="21" max="22" width="2.44140625" style="313" customWidth="1"/>
    <col min="23" max="23" width="8.44140625" style="284" customWidth="1"/>
    <col min="24" max="24" width="2.44140625" style="284" customWidth="1"/>
    <col min="25" max="25" width="2.44140625" style="313" customWidth="1"/>
    <col min="26" max="26" width="8.44140625" style="284" customWidth="1"/>
    <col min="27" max="16384" width="11.44140625" style="284"/>
  </cols>
  <sheetData>
    <row r="1" spans="1:27">
      <c r="A1" s="1011" t="s">
        <v>96</v>
      </c>
      <c r="B1" s="1011"/>
      <c r="C1" s="1011"/>
      <c r="D1" s="1011"/>
      <c r="E1" s="1011"/>
      <c r="F1" s="1011"/>
      <c r="G1" s="1011"/>
      <c r="H1" s="1011"/>
      <c r="I1" s="1011"/>
      <c r="J1" s="1011"/>
      <c r="K1" s="1011"/>
      <c r="L1" s="1011"/>
      <c r="M1" s="1011"/>
      <c r="N1" s="1011"/>
      <c r="O1" s="1011"/>
      <c r="P1" s="1011"/>
      <c r="Q1" s="1011"/>
      <c r="R1" s="1011"/>
      <c r="S1" s="1011"/>
      <c r="T1" s="1011"/>
      <c r="U1" s="1011"/>
      <c r="V1" s="1011"/>
      <c r="W1" s="1011"/>
      <c r="X1" s="1011"/>
      <c r="Y1" s="1011"/>
      <c r="Z1" s="1011"/>
      <c r="AA1" s="284" t="s">
        <v>298</v>
      </c>
    </row>
    <row r="2" spans="1:27">
      <c r="A2" s="1011" t="s">
        <v>1009</v>
      </c>
      <c r="B2" s="1011"/>
      <c r="C2" s="1011"/>
      <c r="D2" s="1011"/>
      <c r="E2" s="1011"/>
      <c r="F2" s="1011"/>
      <c r="G2" s="1011"/>
      <c r="H2" s="1011"/>
      <c r="I2" s="1011"/>
      <c r="J2" s="1011"/>
      <c r="K2" s="1011"/>
      <c r="L2" s="1011"/>
      <c r="M2" s="1011"/>
      <c r="N2" s="1011"/>
      <c r="O2" s="1011"/>
      <c r="P2" s="1011"/>
      <c r="Q2" s="1011"/>
      <c r="R2" s="1011"/>
      <c r="S2" s="1011"/>
      <c r="T2" s="1011"/>
      <c r="U2" s="1011"/>
      <c r="V2" s="1011"/>
      <c r="W2" s="1011"/>
      <c r="X2" s="1011"/>
      <c r="Y2" s="1011"/>
      <c r="Z2" s="1011"/>
    </row>
    <row r="3" spans="1:27">
      <c r="A3" s="1012"/>
      <c r="B3" s="1012"/>
      <c r="C3" s="1012"/>
      <c r="D3" s="1012"/>
      <c r="E3" s="1012"/>
      <c r="F3" s="1012"/>
      <c r="G3" s="1012"/>
      <c r="H3" s="1012"/>
      <c r="I3" s="1012"/>
      <c r="J3" s="1012"/>
      <c r="K3" s="1012"/>
      <c r="L3" s="1012"/>
      <c r="M3" s="1012"/>
      <c r="N3" s="1012"/>
      <c r="O3" s="1012"/>
      <c r="P3" s="1012"/>
      <c r="Q3" s="1012"/>
      <c r="R3" s="1012"/>
      <c r="S3" s="1012"/>
      <c r="T3" s="1012"/>
      <c r="U3" s="1012"/>
      <c r="V3" s="1012"/>
      <c r="W3" s="1012"/>
      <c r="X3" s="1012"/>
      <c r="Y3" s="1012"/>
      <c r="Z3" s="1012"/>
    </row>
    <row r="4" spans="1:27">
      <c r="A4" s="290"/>
      <c r="B4" s="290"/>
      <c r="C4" s="287"/>
      <c r="D4" s="975" t="s">
        <v>99</v>
      </c>
      <c r="E4" s="975"/>
      <c r="F4" s="975"/>
      <c r="G4" s="975"/>
      <c r="H4" s="975"/>
      <c r="I4" s="975"/>
      <c r="J4" s="975"/>
      <c r="K4" s="975"/>
      <c r="L4" s="975"/>
      <c r="M4" s="975"/>
      <c r="N4" s="975"/>
      <c r="O4" s="975"/>
      <c r="P4" s="975"/>
      <c r="Q4" s="975"/>
      <c r="R4" s="975"/>
      <c r="S4" s="975"/>
      <c r="T4" s="975"/>
      <c r="U4" s="6"/>
      <c r="W4" s="1013" t="s">
        <v>100</v>
      </c>
      <c r="X4" s="1013"/>
      <c r="Y4" s="1013"/>
      <c r="Z4" s="1013"/>
    </row>
    <row r="5" spans="1:27" ht="13.8" thickBot="1">
      <c r="A5" s="290"/>
      <c r="B5" s="290"/>
      <c r="C5" s="287"/>
      <c r="D5" s="414"/>
      <c r="E5" s="287"/>
      <c r="F5" s="287"/>
      <c r="G5" s="414"/>
      <c r="H5" s="287"/>
      <c r="I5" s="287"/>
      <c r="J5" s="827"/>
      <c r="K5" s="806"/>
      <c r="L5" s="806"/>
      <c r="M5" s="414"/>
      <c r="N5" s="287"/>
      <c r="O5" s="287"/>
      <c r="P5" s="414"/>
      <c r="Q5" s="287"/>
      <c r="R5" s="287"/>
      <c r="S5" s="414"/>
      <c r="T5" s="287"/>
      <c r="U5" s="417"/>
      <c r="W5" s="300"/>
      <c r="X5" s="290"/>
      <c r="Z5" s="300"/>
    </row>
    <row r="6" spans="1:27">
      <c r="A6" s="290"/>
      <c r="B6" s="290"/>
      <c r="C6" s="293"/>
      <c r="D6" s="415"/>
      <c r="E6" s="8" t="s">
        <v>104</v>
      </c>
      <c r="F6" s="292"/>
      <c r="G6" s="416"/>
      <c r="H6" s="6" t="s">
        <v>105</v>
      </c>
      <c r="I6" s="417"/>
      <c r="J6" s="416"/>
      <c r="K6" s="6" t="s">
        <v>102</v>
      </c>
      <c r="L6" s="417"/>
      <c r="M6" s="416"/>
      <c r="N6" s="6" t="s">
        <v>103</v>
      </c>
      <c r="O6" s="417"/>
      <c r="P6" s="415"/>
      <c r="Q6" s="8" t="s">
        <v>104</v>
      </c>
      <c r="R6" s="292"/>
      <c r="S6" s="416"/>
      <c r="T6" s="6" t="s">
        <v>105</v>
      </c>
      <c r="U6" s="6"/>
      <c r="W6" s="6" t="s">
        <v>104</v>
      </c>
      <c r="X6" s="290"/>
      <c r="Z6" s="6" t="s">
        <v>104</v>
      </c>
    </row>
    <row r="7" spans="1:27">
      <c r="A7" s="290" t="s">
        <v>800</v>
      </c>
      <c r="B7" s="290"/>
      <c r="C7" s="293"/>
      <c r="D7" s="418"/>
      <c r="E7" s="13">
        <v>2012</v>
      </c>
      <c r="F7" s="296"/>
      <c r="G7" s="416"/>
      <c r="H7" s="13">
        <v>2012</v>
      </c>
      <c r="I7" s="417"/>
      <c r="J7" s="416"/>
      <c r="K7" s="13">
        <v>2011</v>
      </c>
      <c r="L7" s="417"/>
      <c r="M7" s="416"/>
      <c r="N7" s="13">
        <v>2011</v>
      </c>
      <c r="O7" s="417"/>
      <c r="P7" s="418"/>
      <c r="Q7" s="13">
        <v>2011</v>
      </c>
      <c r="R7" s="296"/>
      <c r="S7" s="416"/>
      <c r="T7" s="13">
        <v>2011</v>
      </c>
      <c r="U7" s="6"/>
      <c r="W7" s="13">
        <v>2012</v>
      </c>
      <c r="X7" s="290"/>
      <c r="Z7" s="13">
        <v>2011</v>
      </c>
    </row>
    <row r="8" spans="1:27" s="290" customFormat="1" ht="12">
      <c r="A8" s="419" t="s">
        <v>385</v>
      </c>
      <c r="B8" s="419"/>
      <c r="C8" s="459"/>
      <c r="D8" s="307"/>
      <c r="E8" s="298"/>
      <c r="F8" s="299"/>
      <c r="G8" s="309"/>
      <c r="H8" s="298"/>
      <c r="I8" s="300"/>
      <c r="J8" s="309"/>
      <c r="K8" s="298"/>
      <c r="L8" s="300"/>
      <c r="M8" s="309"/>
      <c r="N8" s="298"/>
      <c r="O8" s="300"/>
      <c r="P8" s="307"/>
      <c r="Q8" s="298"/>
      <c r="R8" s="299"/>
      <c r="S8" s="309"/>
      <c r="T8" s="298"/>
      <c r="U8" s="300"/>
      <c r="V8" s="300"/>
      <c r="W8" s="298"/>
      <c r="Y8" s="300"/>
      <c r="Z8" s="298"/>
    </row>
    <row r="9" spans="1:27" s="290" customFormat="1" ht="11.4">
      <c r="A9" s="420"/>
      <c r="B9" s="420" t="s">
        <v>1000</v>
      </c>
      <c r="C9" s="428"/>
      <c r="D9" s="307"/>
      <c r="E9" s="300"/>
      <c r="F9" s="299"/>
      <c r="G9" s="309"/>
      <c r="H9" s="300"/>
      <c r="I9" s="300"/>
      <c r="J9" s="309"/>
      <c r="K9" s="300"/>
      <c r="L9" s="300"/>
      <c r="M9" s="309"/>
      <c r="N9" s="300"/>
      <c r="O9" s="300"/>
      <c r="P9" s="307"/>
      <c r="Q9" s="300"/>
      <c r="R9" s="299"/>
      <c r="S9" s="309"/>
      <c r="T9" s="300"/>
      <c r="U9" s="300"/>
      <c r="V9" s="300"/>
      <c r="Y9" s="300"/>
    </row>
    <row r="10" spans="1:27" s="290" customFormat="1" ht="11.4">
      <c r="A10" s="421"/>
      <c r="B10" s="421"/>
      <c r="C10" s="420" t="s">
        <v>361</v>
      </c>
      <c r="D10" s="307" t="s">
        <v>108</v>
      </c>
      <c r="E10" s="422">
        <v>174</v>
      </c>
      <c r="F10" s="429"/>
      <c r="G10" s="309" t="s">
        <v>108</v>
      </c>
      <c r="H10" s="422">
        <v>189</v>
      </c>
      <c r="I10" s="424"/>
      <c r="J10" s="309" t="s">
        <v>108</v>
      </c>
      <c r="K10" s="422">
        <v>174</v>
      </c>
      <c r="L10" s="424"/>
      <c r="M10" s="309" t="s">
        <v>108</v>
      </c>
      <c r="N10" s="422">
        <v>194</v>
      </c>
      <c r="O10" s="424"/>
      <c r="P10" s="307" t="s">
        <v>108</v>
      </c>
      <c r="Q10" s="422">
        <v>197</v>
      </c>
      <c r="R10" s="429"/>
      <c r="S10" s="309" t="s">
        <v>108</v>
      </c>
      <c r="T10" s="422">
        <v>210</v>
      </c>
      <c r="U10" s="422"/>
      <c r="V10" s="300" t="s">
        <v>108</v>
      </c>
      <c r="W10" s="422">
        <v>363</v>
      </c>
      <c r="Y10" s="300" t="s">
        <v>108</v>
      </c>
      <c r="Z10" s="422">
        <v>407</v>
      </c>
    </row>
    <row r="11" spans="1:27" s="290" customFormat="1" ht="11.4">
      <c r="A11" s="421"/>
      <c r="B11" s="421"/>
      <c r="C11" s="420" t="s">
        <v>369</v>
      </c>
      <c r="D11" s="307"/>
      <c r="E11" s="425">
        <v>0</v>
      </c>
      <c r="F11" s="429"/>
      <c r="G11" s="309"/>
      <c r="H11" s="425">
        <v>0</v>
      </c>
      <c r="I11" s="424"/>
      <c r="J11" s="309"/>
      <c r="K11" s="425">
        <v>0</v>
      </c>
      <c r="L11" s="424"/>
      <c r="M11" s="309"/>
      <c r="N11" s="425">
        <v>0</v>
      </c>
      <c r="O11" s="424"/>
      <c r="P11" s="307"/>
      <c r="Q11" s="425">
        <v>0</v>
      </c>
      <c r="R11" s="429"/>
      <c r="S11" s="309"/>
      <c r="T11" s="425">
        <v>1</v>
      </c>
      <c r="U11" s="422"/>
      <c r="V11" s="300"/>
      <c r="W11" s="425">
        <v>0</v>
      </c>
      <c r="Y11" s="300"/>
      <c r="Z11" s="425">
        <v>1</v>
      </c>
    </row>
    <row r="12" spans="1:27" s="290" customFormat="1" ht="11.4">
      <c r="A12" s="421"/>
      <c r="B12" s="421"/>
      <c r="C12" s="420"/>
      <c r="D12" s="307"/>
      <c r="E12" s="422">
        <v>174</v>
      </c>
      <c r="F12" s="429"/>
      <c r="G12" s="309"/>
      <c r="H12" s="422">
        <v>189</v>
      </c>
      <c r="I12" s="424"/>
      <c r="J12" s="309"/>
      <c r="K12" s="422">
        <v>174</v>
      </c>
      <c r="L12" s="424"/>
      <c r="M12" s="309"/>
      <c r="N12" s="422">
        <v>194</v>
      </c>
      <c r="O12" s="424"/>
      <c r="P12" s="307"/>
      <c r="Q12" s="422">
        <v>197</v>
      </c>
      <c r="R12" s="429"/>
      <c r="S12" s="309"/>
      <c r="T12" s="422">
        <v>211</v>
      </c>
      <c r="U12" s="422"/>
      <c r="V12" s="300"/>
      <c r="W12" s="422">
        <v>363</v>
      </c>
      <c r="Y12" s="300"/>
      <c r="Z12" s="422">
        <v>408</v>
      </c>
    </row>
    <row r="13" spans="1:27" s="290" customFormat="1" ht="11.4">
      <c r="A13" s="420"/>
      <c r="B13" s="420" t="s">
        <v>1001</v>
      </c>
      <c r="C13" s="420"/>
      <c r="D13" s="307"/>
      <c r="E13" s="308"/>
      <c r="F13" s="429"/>
      <c r="G13" s="309"/>
      <c r="H13" s="308"/>
      <c r="I13" s="424"/>
      <c r="J13" s="309"/>
      <c r="K13" s="308"/>
      <c r="L13" s="424"/>
      <c r="M13" s="309"/>
      <c r="N13" s="308"/>
      <c r="O13" s="424"/>
      <c r="P13" s="307"/>
      <c r="Q13" s="308"/>
      <c r="R13" s="429"/>
      <c r="S13" s="309"/>
      <c r="T13" s="308"/>
      <c r="U13" s="308"/>
      <c r="V13" s="300"/>
      <c r="W13" s="308"/>
      <c r="Y13" s="300"/>
      <c r="Z13" s="308"/>
    </row>
    <row r="14" spans="1:27" s="290" customFormat="1" ht="11.4">
      <c r="A14" s="420"/>
      <c r="B14" s="420"/>
      <c r="C14" s="420" t="s">
        <v>361</v>
      </c>
      <c r="D14" s="307" t="s">
        <v>108</v>
      </c>
      <c r="E14" s="308">
        <v>184</v>
      </c>
      <c r="F14" s="429"/>
      <c r="G14" s="309" t="s">
        <v>108</v>
      </c>
      <c r="H14" s="422">
        <v>183</v>
      </c>
      <c r="I14" s="424"/>
      <c r="J14" s="309" t="s">
        <v>108</v>
      </c>
      <c r="K14" s="422">
        <v>186</v>
      </c>
      <c r="L14" s="424"/>
      <c r="M14" s="309" t="s">
        <v>108</v>
      </c>
      <c r="N14" s="422">
        <v>196</v>
      </c>
      <c r="O14" s="424"/>
      <c r="P14" s="307" t="s">
        <v>108</v>
      </c>
      <c r="Q14" s="308">
        <v>205</v>
      </c>
      <c r="R14" s="429"/>
      <c r="S14" s="309" t="s">
        <v>108</v>
      </c>
      <c r="T14" s="422">
        <v>210</v>
      </c>
      <c r="U14" s="422"/>
      <c r="V14" s="300" t="s">
        <v>108</v>
      </c>
      <c r="W14" s="308">
        <v>367</v>
      </c>
      <c r="Y14" s="300" t="s">
        <v>108</v>
      </c>
      <c r="Z14" s="422">
        <v>415</v>
      </c>
    </row>
    <row r="15" spans="1:27" s="290" customFormat="1" ht="11.4">
      <c r="A15" s="420"/>
      <c r="B15" s="420"/>
      <c r="C15" s="420" t="s">
        <v>369</v>
      </c>
      <c r="D15" s="307"/>
      <c r="E15" s="312">
        <v>0</v>
      </c>
      <c r="F15" s="429"/>
      <c r="G15" s="309"/>
      <c r="H15" s="425">
        <v>0</v>
      </c>
      <c r="I15" s="424"/>
      <c r="J15" s="309"/>
      <c r="K15" s="425">
        <v>0</v>
      </c>
      <c r="L15" s="424"/>
      <c r="M15" s="309"/>
      <c r="N15" s="425">
        <v>0</v>
      </c>
      <c r="O15" s="424"/>
      <c r="P15" s="307"/>
      <c r="Q15" s="312">
        <v>1</v>
      </c>
      <c r="R15" s="429"/>
      <c r="S15" s="309"/>
      <c r="T15" s="425">
        <v>1</v>
      </c>
      <c r="U15" s="422"/>
      <c r="V15" s="300"/>
      <c r="W15" s="312">
        <v>0</v>
      </c>
      <c r="Y15" s="300"/>
      <c r="Z15" s="425">
        <v>2</v>
      </c>
    </row>
    <row r="16" spans="1:27" s="290" customFormat="1" ht="11.4">
      <c r="A16" s="420"/>
      <c r="B16" s="420"/>
      <c r="C16" s="420"/>
      <c r="D16" s="307"/>
      <c r="E16" s="308">
        <v>184</v>
      </c>
      <c r="F16" s="429"/>
      <c r="G16" s="309"/>
      <c r="H16" s="422">
        <v>183</v>
      </c>
      <c r="I16" s="424"/>
      <c r="J16" s="309"/>
      <c r="K16" s="422">
        <v>186</v>
      </c>
      <c r="L16" s="424"/>
      <c r="M16" s="309"/>
      <c r="N16" s="422">
        <v>196</v>
      </c>
      <c r="O16" s="424"/>
      <c r="P16" s="307"/>
      <c r="Q16" s="308">
        <v>206</v>
      </c>
      <c r="R16" s="429"/>
      <c r="S16" s="309"/>
      <c r="T16" s="422">
        <v>211</v>
      </c>
      <c r="U16" s="422"/>
      <c r="V16" s="300"/>
      <c r="W16" s="308">
        <v>367</v>
      </c>
      <c r="Y16" s="300"/>
      <c r="Z16" s="422">
        <v>417</v>
      </c>
    </row>
    <row r="17" spans="1:26" s="290" customFormat="1" ht="11.4">
      <c r="A17" s="420"/>
      <c r="B17" s="420" t="s">
        <v>379</v>
      </c>
      <c r="C17" s="420"/>
      <c r="D17" s="307"/>
      <c r="E17" s="422"/>
      <c r="F17" s="429"/>
      <c r="G17" s="309"/>
      <c r="H17" s="422"/>
      <c r="I17" s="424"/>
      <c r="J17" s="309"/>
      <c r="K17" s="422"/>
      <c r="L17" s="424"/>
      <c r="M17" s="309"/>
      <c r="N17" s="422"/>
      <c r="O17" s="424"/>
      <c r="P17" s="307"/>
      <c r="Q17" s="422"/>
      <c r="R17" s="429"/>
      <c r="S17" s="309"/>
      <c r="T17" s="422"/>
      <c r="U17" s="422"/>
      <c r="V17" s="300"/>
      <c r="W17" s="422"/>
      <c r="Y17" s="300"/>
      <c r="Z17" s="422"/>
    </row>
    <row r="18" spans="1:26" s="290" customFormat="1" ht="11.4">
      <c r="A18" s="420"/>
      <c r="B18" s="420"/>
      <c r="C18" s="420" t="s">
        <v>361</v>
      </c>
      <c r="D18" s="307" t="s">
        <v>108</v>
      </c>
      <c r="E18" s="308">
        <v>112</v>
      </c>
      <c r="F18" s="429"/>
      <c r="G18" s="309" t="s">
        <v>108</v>
      </c>
      <c r="H18" s="422">
        <v>123</v>
      </c>
      <c r="I18" s="424"/>
      <c r="J18" s="309" t="s">
        <v>108</v>
      </c>
      <c r="K18" s="422">
        <v>110</v>
      </c>
      <c r="L18" s="424"/>
      <c r="M18" s="309" t="s">
        <v>108</v>
      </c>
      <c r="N18" s="422">
        <v>112</v>
      </c>
      <c r="O18" s="424"/>
      <c r="P18" s="307" t="s">
        <v>108</v>
      </c>
      <c r="Q18" s="308">
        <v>142</v>
      </c>
      <c r="R18" s="429"/>
      <c r="S18" s="309" t="s">
        <v>108</v>
      </c>
      <c r="T18" s="422">
        <v>136</v>
      </c>
      <c r="U18" s="422"/>
      <c r="V18" s="300" t="s">
        <v>108</v>
      </c>
      <c r="W18" s="308">
        <v>235</v>
      </c>
      <c r="Y18" s="300" t="s">
        <v>108</v>
      </c>
      <c r="Z18" s="422">
        <v>278</v>
      </c>
    </row>
    <row r="19" spans="1:26" s="290" customFormat="1" ht="11.4">
      <c r="A19" s="420"/>
      <c r="B19" s="420"/>
      <c r="C19" s="420" t="s">
        <v>369</v>
      </c>
      <c r="D19" s="307"/>
      <c r="E19" s="312">
        <v>0</v>
      </c>
      <c r="F19" s="429"/>
      <c r="G19" s="309"/>
      <c r="H19" s="425">
        <v>0</v>
      </c>
      <c r="I19" s="424"/>
      <c r="J19" s="309"/>
      <c r="K19" s="425">
        <v>0</v>
      </c>
      <c r="L19" s="424"/>
      <c r="M19" s="309"/>
      <c r="N19" s="425">
        <v>1</v>
      </c>
      <c r="O19" s="424"/>
      <c r="P19" s="307"/>
      <c r="Q19" s="312">
        <v>1</v>
      </c>
      <c r="R19" s="429"/>
      <c r="S19" s="309"/>
      <c r="T19" s="425">
        <v>1</v>
      </c>
      <c r="U19" s="422"/>
      <c r="V19" s="300"/>
      <c r="W19" s="312">
        <v>0</v>
      </c>
      <c r="Y19" s="300"/>
      <c r="Z19" s="425">
        <v>2</v>
      </c>
    </row>
    <row r="20" spans="1:26" s="290" customFormat="1" ht="11.4">
      <c r="A20" s="421"/>
      <c r="B20" s="421"/>
      <c r="C20" s="420"/>
      <c r="D20" s="307"/>
      <c r="E20" s="308">
        <v>112</v>
      </c>
      <c r="F20" s="429"/>
      <c r="G20" s="309"/>
      <c r="H20" s="422">
        <v>123</v>
      </c>
      <c r="I20" s="424"/>
      <c r="J20" s="309"/>
      <c r="K20" s="422">
        <v>110</v>
      </c>
      <c r="L20" s="424"/>
      <c r="M20" s="309"/>
      <c r="N20" s="422">
        <v>113</v>
      </c>
      <c r="O20" s="424"/>
      <c r="P20" s="307"/>
      <c r="Q20" s="308">
        <v>143</v>
      </c>
      <c r="R20" s="429"/>
      <c r="S20" s="309"/>
      <c r="T20" s="422">
        <v>137</v>
      </c>
      <c r="U20" s="422"/>
      <c r="V20" s="300"/>
      <c r="W20" s="308">
        <v>235</v>
      </c>
      <c r="Y20" s="300"/>
      <c r="Z20" s="422">
        <v>280</v>
      </c>
    </row>
    <row r="21" spans="1:26" s="290" customFormat="1" ht="11.4">
      <c r="A21" s="421"/>
      <c r="B21" s="420" t="s">
        <v>381</v>
      </c>
      <c r="C21" s="420"/>
      <c r="D21" s="307"/>
      <c r="E21" s="308"/>
      <c r="F21" s="429"/>
      <c r="G21" s="309"/>
      <c r="H21" s="308"/>
      <c r="I21" s="424"/>
      <c r="J21" s="309"/>
      <c r="K21" s="308"/>
      <c r="L21" s="424"/>
      <c r="M21" s="309"/>
      <c r="N21" s="308"/>
      <c r="O21" s="424"/>
      <c r="P21" s="307"/>
      <c r="Q21" s="308"/>
      <c r="R21" s="429"/>
      <c r="S21" s="309"/>
      <c r="T21" s="308"/>
      <c r="U21" s="308"/>
      <c r="V21" s="300"/>
      <c r="W21" s="308"/>
      <c r="Y21" s="300"/>
      <c r="Z21" s="308"/>
    </row>
    <row r="22" spans="1:26" s="290" customFormat="1" ht="11.4">
      <c r="A22" s="421"/>
      <c r="B22" s="420"/>
      <c r="C22" s="420" t="s">
        <v>361</v>
      </c>
      <c r="D22" s="307" t="s">
        <v>108</v>
      </c>
      <c r="E22" s="308">
        <v>42</v>
      </c>
      <c r="F22" s="429"/>
      <c r="G22" s="309" t="s">
        <v>108</v>
      </c>
      <c r="H22" s="422">
        <v>44</v>
      </c>
      <c r="I22" s="424"/>
      <c r="J22" s="309" t="s">
        <v>108</v>
      </c>
      <c r="K22" s="422">
        <v>49</v>
      </c>
      <c r="L22" s="424"/>
      <c r="M22" s="309" t="s">
        <v>108</v>
      </c>
      <c r="N22" s="422">
        <v>48</v>
      </c>
      <c r="O22" s="424"/>
      <c r="P22" s="307" t="s">
        <v>108</v>
      </c>
      <c r="Q22" s="308">
        <v>47</v>
      </c>
      <c r="R22" s="429"/>
      <c r="S22" s="309" t="s">
        <v>108</v>
      </c>
      <c r="T22" s="422">
        <v>48</v>
      </c>
      <c r="U22" s="422"/>
      <c r="V22" s="300" t="s">
        <v>108</v>
      </c>
      <c r="W22" s="308">
        <v>86</v>
      </c>
      <c r="Y22" s="300" t="s">
        <v>108</v>
      </c>
      <c r="Z22" s="422">
        <v>95</v>
      </c>
    </row>
    <row r="23" spans="1:26" s="290" customFormat="1" ht="11.4">
      <c r="A23" s="421"/>
      <c r="B23" s="420"/>
      <c r="C23" s="420" t="s">
        <v>369</v>
      </c>
      <c r="D23" s="307"/>
      <c r="E23" s="312">
        <v>0</v>
      </c>
      <c r="F23" s="429"/>
      <c r="G23" s="309"/>
      <c r="H23" s="425">
        <v>0</v>
      </c>
      <c r="I23" s="424"/>
      <c r="J23" s="309"/>
      <c r="K23" s="425">
        <v>0</v>
      </c>
      <c r="L23" s="424"/>
      <c r="M23" s="309"/>
      <c r="N23" s="425">
        <v>1</v>
      </c>
      <c r="O23" s="424"/>
      <c r="P23" s="307"/>
      <c r="Q23" s="312">
        <v>0</v>
      </c>
      <c r="R23" s="429"/>
      <c r="S23" s="309"/>
      <c r="T23" s="425">
        <v>1</v>
      </c>
      <c r="U23" s="422"/>
      <c r="V23" s="300"/>
      <c r="W23" s="312">
        <v>0</v>
      </c>
      <c r="Y23" s="300"/>
      <c r="Z23" s="425">
        <v>1</v>
      </c>
    </row>
    <row r="24" spans="1:26" s="290" customFormat="1" ht="11.4">
      <c r="A24" s="421"/>
      <c r="B24" s="421"/>
      <c r="C24" s="420"/>
      <c r="D24" s="307"/>
      <c r="E24" s="308">
        <v>42</v>
      </c>
      <c r="F24" s="429"/>
      <c r="G24" s="309"/>
      <c r="H24" s="422">
        <v>44</v>
      </c>
      <c r="I24" s="424"/>
      <c r="J24" s="309"/>
      <c r="K24" s="422">
        <v>49</v>
      </c>
      <c r="L24" s="424"/>
      <c r="M24" s="309"/>
      <c r="N24" s="422">
        <v>49</v>
      </c>
      <c r="O24" s="424"/>
      <c r="P24" s="307"/>
      <c r="Q24" s="308">
        <v>47</v>
      </c>
      <c r="R24" s="429"/>
      <c r="S24" s="309"/>
      <c r="T24" s="422">
        <v>49</v>
      </c>
      <c r="U24" s="422"/>
      <c r="V24" s="300"/>
      <c r="W24" s="308">
        <v>86</v>
      </c>
      <c r="Y24" s="300"/>
      <c r="Z24" s="308">
        <v>96</v>
      </c>
    </row>
    <row r="25" spans="1:26" s="290" customFormat="1" ht="11.4">
      <c r="A25" s="421" t="s">
        <v>298</v>
      </c>
      <c r="B25" s="421" t="s">
        <v>1002</v>
      </c>
      <c r="C25" s="420"/>
      <c r="D25" s="307"/>
      <c r="E25" s="308"/>
      <c r="F25" s="461"/>
      <c r="G25" s="309"/>
      <c r="H25" s="308"/>
      <c r="I25" s="420"/>
      <c r="J25" s="309"/>
      <c r="K25" s="308"/>
      <c r="L25" s="420"/>
      <c r="M25" s="309"/>
      <c r="N25" s="308"/>
      <c r="O25" s="308"/>
      <c r="P25" s="307"/>
      <c r="Q25" s="308"/>
      <c r="R25" s="461"/>
      <c r="S25" s="309"/>
      <c r="T25" s="308"/>
      <c r="U25" s="424"/>
      <c r="V25" s="309"/>
      <c r="W25" s="308"/>
      <c r="Y25" s="309"/>
      <c r="Z25" s="308"/>
    </row>
    <row r="26" spans="1:26" s="290" customFormat="1" ht="11.4">
      <c r="A26" s="421"/>
      <c r="B26" s="421"/>
      <c r="C26" s="420" t="s">
        <v>361</v>
      </c>
      <c r="D26" s="307" t="s">
        <v>108</v>
      </c>
      <c r="E26" s="422">
        <v>30</v>
      </c>
      <c r="F26" s="429"/>
      <c r="G26" s="309" t="s">
        <v>108</v>
      </c>
      <c r="H26" s="422">
        <v>16</v>
      </c>
      <c r="I26" s="424"/>
      <c r="J26" s="309" t="s">
        <v>108</v>
      </c>
      <c r="K26" s="422">
        <v>27</v>
      </c>
      <c r="L26" s="424"/>
      <c r="M26" s="309" t="s">
        <v>108</v>
      </c>
      <c r="N26" s="422">
        <v>36</v>
      </c>
      <c r="O26" s="424"/>
      <c r="P26" s="307" t="s">
        <v>108</v>
      </c>
      <c r="Q26" s="422">
        <v>16</v>
      </c>
      <c r="R26" s="429"/>
      <c r="S26" s="309" t="s">
        <v>108</v>
      </c>
      <c r="T26" s="422">
        <v>26</v>
      </c>
      <c r="U26" s="422"/>
      <c r="V26" s="300" t="s">
        <v>108</v>
      </c>
      <c r="W26" s="422">
        <v>46</v>
      </c>
      <c r="Y26" s="300" t="s">
        <v>108</v>
      </c>
      <c r="Z26" s="422">
        <v>42</v>
      </c>
    </row>
    <row r="27" spans="1:26" s="290" customFormat="1" ht="11.4">
      <c r="A27" s="421"/>
      <c r="B27" s="421"/>
      <c r="C27" s="420" t="s">
        <v>369</v>
      </c>
      <c r="D27" s="307"/>
      <c r="E27" s="425">
        <v>0</v>
      </c>
      <c r="F27" s="429"/>
      <c r="G27" s="309"/>
      <c r="H27" s="425">
        <v>0</v>
      </c>
      <c r="I27" s="424"/>
      <c r="J27" s="309"/>
      <c r="K27" s="425">
        <v>0</v>
      </c>
      <c r="L27" s="424"/>
      <c r="M27" s="309"/>
      <c r="N27" s="425">
        <v>-2</v>
      </c>
      <c r="O27" s="424"/>
      <c r="P27" s="307"/>
      <c r="Q27" s="425">
        <v>0</v>
      </c>
      <c r="R27" s="429"/>
      <c r="S27" s="309"/>
      <c r="T27" s="425">
        <v>-1</v>
      </c>
      <c r="U27" s="422"/>
      <c r="V27" s="300"/>
      <c r="W27" s="425">
        <v>0</v>
      </c>
      <c r="Y27" s="300"/>
      <c r="Z27" s="425">
        <v>-1</v>
      </c>
    </row>
    <row r="28" spans="1:26" s="290" customFormat="1" ht="11.4">
      <c r="A28" s="421"/>
      <c r="B28" s="421"/>
      <c r="C28" s="420"/>
      <c r="D28" s="307"/>
      <c r="E28" s="308">
        <v>30</v>
      </c>
      <c r="F28" s="429"/>
      <c r="G28" s="309"/>
      <c r="H28" s="422">
        <v>16</v>
      </c>
      <c r="I28" s="424"/>
      <c r="J28" s="309"/>
      <c r="K28" s="422">
        <v>27</v>
      </c>
      <c r="L28" s="424"/>
      <c r="M28" s="309"/>
      <c r="N28" s="422">
        <v>34</v>
      </c>
      <c r="O28" s="424"/>
      <c r="P28" s="307"/>
      <c r="Q28" s="308">
        <v>16</v>
      </c>
      <c r="R28" s="429"/>
      <c r="S28" s="309"/>
      <c r="T28" s="422">
        <v>25</v>
      </c>
      <c r="U28" s="422"/>
      <c r="V28" s="300"/>
      <c r="W28" s="308">
        <v>46</v>
      </c>
      <c r="Y28" s="300"/>
      <c r="Z28" s="308">
        <v>41</v>
      </c>
    </row>
    <row r="29" spans="1:26" s="290" customFormat="1" ht="11.4">
      <c r="A29" s="420"/>
      <c r="B29" s="420" t="s">
        <v>355</v>
      </c>
      <c r="C29" s="420"/>
      <c r="D29" s="307"/>
      <c r="E29" s="422"/>
      <c r="F29" s="429"/>
      <c r="G29" s="309"/>
      <c r="H29" s="422"/>
      <c r="I29" s="424"/>
      <c r="J29" s="309"/>
      <c r="K29" s="422"/>
      <c r="L29" s="424"/>
      <c r="M29" s="309"/>
      <c r="N29" s="422"/>
      <c r="O29" s="424"/>
      <c r="P29" s="307"/>
      <c r="Q29" s="422"/>
      <c r="R29" s="429"/>
      <c r="S29" s="309"/>
      <c r="T29" s="422"/>
      <c r="U29" s="422"/>
      <c r="V29" s="300"/>
      <c r="W29" s="422"/>
      <c r="Y29" s="300"/>
      <c r="Z29" s="422"/>
    </row>
    <row r="30" spans="1:26" s="290" customFormat="1" ht="11.4">
      <c r="A30" s="420"/>
      <c r="B30" s="420"/>
      <c r="C30" s="420" t="s">
        <v>361</v>
      </c>
      <c r="D30" s="307"/>
      <c r="E30" s="426">
        <v>60.869565217391312</v>
      </c>
      <c r="F30" s="429"/>
      <c r="G30" s="309"/>
      <c r="H30" s="426">
        <v>67.213114754098356</v>
      </c>
      <c r="I30" s="424"/>
      <c r="J30" s="309"/>
      <c r="K30" s="426">
        <v>59.13978494623656</v>
      </c>
      <c r="L30" s="424"/>
      <c r="M30" s="309"/>
      <c r="N30" s="426">
        <v>57.142857142857139</v>
      </c>
      <c r="O30" s="424"/>
      <c r="P30" s="307"/>
      <c r="Q30" s="426">
        <v>69.268292682926827</v>
      </c>
      <c r="R30" s="429"/>
      <c r="S30" s="309"/>
      <c r="T30" s="426">
        <v>64.761904761904759</v>
      </c>
      <c r="U30" s="426"/>
      <c r="V30" s="300"/>
      <c r="W30" s="426">
        <v>64.032697547683924</v>
      </c>
      <c r="Y30" s="300"/>
      <c r="Z30" s="426">
        <v>66.987951807228924</v>
      </c>
    </row>
    <row r="31" spans="1:26" s="290" customFormat="1" ht="11.4">
      <c r="A31" s="420"/>
      <c r="B31" s="420"/>
      <c r="C31" s="420" t="s">
        <v>369</v>
      </c>
      <c r="D31" s="307"/>
      <c r="E31" s="426">
        <v>0</v>
      </c>
      <c r="F31" s="429"/>
      <c r="G31" s="309"/>
      <c r="H31" s="426">
        <v>0</v>
      </c>
      <c r="I31" s="424"/>
      <c r="J31" s="309"/>
      <c r="K31" s="426">
        <v>0</v>
      </c>
      <c r="L31" s="424"/>
      <c r="M31" s="309"/>
      <c r="N31" s="426">
        <v>0</v>
      </c>
      <c r="O31" s="424"/>
      <c r="P31" s="307"/>
      <c r="Q31" s="426">
        <v>100</v>
      </c>
      <c r="R31" s="429"/>
      <c r="S31" s="309"/>
      <c r="T31" s="426">
        <v>100</v>
      </c>
      <c r="U31" s="426"/>
      <c r="V31" s="300"/>
      <c r="W31" s="426">
        <v>0</v>
      </c>
      <c r="Y31" s="300"/>
      <c r="Z31" s="426">
        <v>100</v>
      </c>
    </row>
    <row r="32" spans="1:26" s="290" customFormat="1" ht="11.4">
      <c r="A32" s="420"/>
      <c r="B32" s="420"/>
      <c r="C32" s="420" t="s">
        <v>1003</v>
      </c>
      <c r="D32" s="307"/>
      <c r="E32" s="426">
        <v>60.869565217391312</v>
      </c>
      <c r="F32" s="429"/>
      <c r="G32" s="309"/>
      <c r="H32" s="426">
        <v>67.213114754098356</v>
      </c>
      <c r="I32" s="424"/>
      <c r="J32" s="309"/>
      <c r="K32" s="426">
        <v>59.13978494623656</v>
      </c>
      <c r="L32" s="424"/>
      <c r="M32" s="309"/>
      <c r="N32" s="426">
        <v>57.653061224489797</v>
      </c>
      <c r="O32" s="424"/>
      <c r="P32" s="307"/>
      <c r="Q32" s="426">
        <v>69.417475728155338</v>
      </c>
      <c r="R32" s="429"/>
      <c r="S32" s="309"/>
      <c r="T32" s="426">
        <v>64.928909952606645</v>
      </c>
      <c r="U32" s="426"/>
      <c r="V32" s="300"/>
      <c r="W32" s="426">
        <v>64.032697547683924</v>
      </c>
      <c r="Y32" s="300"/>
      <c r="Z32" s="426">
        <v>67.146282973621112</v>
      </c>
    </row>
    <row r="33" spans="1:26" s="290" customFormat="1" ht="11.4">
      <c r="A33" s="420"/>
      <c r="B33" s="420" t="s">
        <v>356</v>
      </c>
      <c r="C33" s="420"/>
      <c r="D33" s="307"/>
      <c r="E33" s="308"/>
      <c r="F33" s="429"/>
      <c r="G33" s="309"/>
      <c r="H33" s="426"/>
      <c r="I33" s="424"/>
      <c r="J33" s="309"/>
      <c r="K33" s="426"/>
      <c r="L33" s="424"/>
      <c r="M33" s="309"/>
      <c r="N33" s="308"/>
      <c r="O33" s="424"/>
      <c r="P33" s="307"/>
      <c r="Q33" s="308"/>
      <c r="R33" s="429"/>
      <c r="S33" s="309"/>
      <c r="T33" s="426"/>
      <c r="U33" s="422"/>
      <c r="V33" s="300"/>
      <c r="W33" s="308"/>
      <c r="Y33" s="300"/>
      <c r="Z33" s="308"/>
    </row>
    <row r="34" spans="1:26" s="290" customFormat="1" ht="11.4">
      <c r="A34" s="420"/>
      <c r="B34" s="420"/>
      <c r="C34" s="420" t="s">
        <v>361</v>
      </c>
      <c r="D34" s="444"/>
      <c r="E34" s="426">
        <v>22.826086956521738</v>
      </c>
      <c r="F34" s="429"/>
      <c r="G34" s="438"/>
      <c r="H34" s="426">
        <v>24.143715846994535</v>
      </c>
      <c r="I34" s="424"/>
      <c r="J34" s="438"/>
      <c r="K34" s="426">
        <v>26.444086021505377</v>
      </c>
      <c r="L34" s="424"/>
      <c r="M34" s="438"/>
      <c r="N34" s="426">
        <v>24.489795918367346</v>
      </c>
      <c r="O34" s="424"/>
      <c r="P34" s="444"/>
      <c r="Q34" s="426">
        <v>22.926829268292686</v>
      </c>
      <c r="R34" s="429"/>
      <c r="S34" s="438"/>
      <c r="T34" s="426">
        <v>22.757142857142856</v>
      </c>
      <c r="U34" s="426"/>
      <c r="V34" s="300"/>
      <c r="W34" s="426">
        <v>23.533242506811991</v>
      </c>
      <c r="Y34" s="300"/>
      <c r="Z34" s="426">
        <v>22.891566265060241</v>
      </c>
    </row>
    <row r="35" spans="1:26" s="290" customFormat="1" ht="11.4">
      <c r="A35" s="420"/>
      <c r="B35" s="420"/>
      <c r="C35" s="420" t="s">
        <v>369</v>
      </c>
      <c r="D35" s="444"/>
      <c r="E35" s="426">
        <v>0</v>
      </c>
      <c r="F35" s="429"/>
      <c r="G35" s="438"/>
      <c r="H35" s="426">
        <v>0</v>
      </c>
      <c r="I35" s="424"/>
      <c r="J35" s="438"/>
      <c r="K35" s="426">
        <v>0</v>
      </c>
      <c r="L35" s="424"/>
      <c r="M35" s="438"/>
      <c r="N35" s="426">
        <v>0</v>
      </c>
      <c r="O35" s="424"/>
      <c r="P35" s="444"/>
      <c r="Q35" s="426">
        <v>0</v>
      </c>
      <c r="R35" s="429"/>
      <c r="S35" s="438"/>
      <c r="T35" s="426">
        <v>100</v>
      </c>
      <c r="U35" s="426"/>
      <c r="V35" s="300"/>
      <c r="W35" s="426">
        <v>0</v>
      </c>
      <c r="Y35" s="300"/>
      <c r="Z35" s="426">
        <v>50</v>
      </c>
    </row>
    <row r="36" spans="1:26" s="290" customFormat="1" ht="11.4">
      <c r="A36" s="420"/>
      <c r="B36" s="420"/>
      <c r="C36" s="420" t="s">
        <v>1003</v>
      </c>
      <c r="D36" s="444"/>
      <c r="E36" s="426">
        <v>22.826086956521738</v>
      </c>
      <c r="F36" s="429"/>
      <c r="G36" s="438"/>
      <c r="H36" s="426">
        <v>24.143715846994535</v>
      </c>
      <c r="I36" s="424"/>
      <c r="J36" s="438"/>
      <c r="K36" s="426">
        <v>26.444086021505377</v>
      </c>
      <c r="L36" s="424"/>
      <c r="M36" s="438"/>
      <c r="N36" s="426">
        <v>25</v>
      </c>
      <c r="O36" s="424"/>
      <c r="P36" s="444"/>
      <c r="Q36" s="426">
        <v>22.815533980582526</v>
      </c>
      <c r="R36" s="429"/>
      <c r="S36" s="438"/>
      <c r="T36" s="426">
        <v>23.32274881516588</v>
      </c>
      <c r="U36" s="426"/>
      <c r="V36" s="300"/>
      <c r="W36" s="426">
        <v>23.533242506811991</v>
      </c>
      <c r="Y36" s="300"/>
      <c r="Z36" s="426">
        <v>23.121582733812954</v>
      </c>
    </row>
    <row r="37" spans="1:26" s="290" customFormat="1" ht="11.4">
      <c r="A37" s="420"/>
      <c r="B37" s="420" t="s">
        <v>357</v>
      </c>
      <c r="C37" s="306"/>
      <c r="D37" s="307"/>
      <c r="E37" s="308"/>
      <c r="F37" s="429"/>
      <c r="G37" s="309"/>
      <c r="H37" s="308"/>
      <c r="I37" s="424"/>
      <c r="J37" s="309"/>
      <c r="K37" s="308"/>
      <c r="L37" s="424"/>
      <c r="M37" s="309"/>
      <c r="N37" s="308"/>
      <c r="O37" s="424"/>
      <c r="P37" s="307"/>
      <c r="Q37" s="308"/>
      <c r="R37" s="429"/>
      <c r="S37" s="309"/>
      <c r="T37" s="308"/>
      <c r="U37" s="308"/>
      <c r="V37" s="300"/>
      <c r="W37" s="308"/>
      <c r="Y37" s="300"/>
      <c r="Z37" s="308"/>
    </row>
    <row r="38" spans="1:26" s="290" customFormat="1" ht="11.4">
      <c r="A38" s="420"/>
      <c r="B38" s="420"/>
      <c r="C38" s="420" t="s">
        <v>361</v>
      </c>
      <c r="D38" s="307"/>
      <c r="E38" s="426">
        <v>83.695652173913047</v>
      </c>
      <c r="F38" s="429"/>
      <c r="G38" s="309"/>
      <c r="H38" s="426">
        <v>91.256830601092901</v>
      </c>
      <c r="I38" s="424"/>
      <c r="J38" s="309"/>
      <c r="K38" s="426">
        <v>85.483870967741936</v>
      </c>
      <c r="L38" s="424"/>
      <c r="M38" s="309"/>
      <c r="N38" s="426">
        <v>81.632653061224488</v>
      </c>
      <c r="O38" s="424"/>
      <c r="P38" s="307"/>
      <c r="Q38" s="426">
        <v>92.195121951219519</v>
      </c>
      <c r="R38" s="429"/>
      <c r="S38" s="309"/>
      <c r="T38" s="426">
        <v>87.61904761904762</v>
      </c>
      <c r="U38" s="426"/>
      <c r="V38" s="300"/>
      <c r="W38" s="426">
        <v>87.465940054495917</v>
      </c>
      <c r="Y38" s="300"/>
      <c r="Z38" s="426">
        <v>89.879518072289159</v>
      </c>
    </row>
    <row r="39" spans="1:26" s="290" customFormat="1" ht="11.4">
      <c r="A39" s="420"/>
      <c r="B39" s="420"/>
      <c r="C39" s="420" t="s">
        <v>369</v>
      </c>
      <c r="D39" s="307"/>
      <c r="E39" s="426">
        <v>0</v>
      </c>
      <c r="F39" s="429"/>
      <c r="G39" s="309"/>
      <c r="H39" s="426">
        <v>0</v>
      </c>
      <c r="I39" s="424"/>
      <c r="J39" s="309"/>
      <c r="K39" s="426">
        <v>0</v>
      </c>
      <c r="L39" s="424"/>
      <c r="M39" s="309"/>
      <c r="N39" s="426">
        <v>0</v>
      </c>
      <c r="O39" s="424"/>
      <c r="P39" s="307"/>
      <c r="Q39" s="426">
        <v>100</v>
      </c>
      <c r="R39" s="429"/>
      <c r="S39" s="309"/>
      <c r="T39" s="426">
        <v>200</v>
      </c>
      <c r="U39" s="426"/>
      <c r="V39" s="300"/>
      <c r="W39" s="426">
        <v>0</v>
      </c>
      <c r="Y39" s="300"/>
      <c r="Z39" s="426">
        <v>150</v>
      </c>
    </row>
    <row r="40" spans="1:26" s="290" customFormat="1" ht="11.4">
      <c r="A40" s="421"/>
      <c r="B40" s="421"/>
      <c r="C40" s="420" t="s">
        <v>1003</v>
      </c>
      <c r="D40" s="307"/>
      <c r="E40" s="426">
        <v>83.695652173913047</v>
      </c>
      <c r="F40" s="429"/>
      <c r="G40" s="309"/>
      <c r="H40" s="426">
        <v>91.256830601092901</v>
      </c>
      <c r="I40" s="424"/>
      <c r="J40" s="309"/>
      <c r="K40" s="426">
        <v>85.483870967741936</v>
      </c>
      <c r="L40" s="424"/>
      <c r="M40" s="309"/>
      <c r="N40" s="426">
        <v>82.653061224489804</v>
      </c>
      <c r="O40" s="424"/>
      <c r="P40" s="307"/>
      <c r="Q40" s="426">
        <v>92.233009708737868</v>
      </c>
      <c r="R40" s="429"/>
      <c r="S40" s="309"/>
      <c r="T40" s="426">
        <v>88.151658767772517</v>
      </c>
      <c r="U40" s="426"/>
      <c r="V40" s="300"/>
      <c r="W40" s="426">
        <v>87.465940054495917</v>
      </c>
      <c r="Y40" s="300"/>
      <c r="Z40" s="426">
        <v>90.167865707434046</v>
      </c>
    </row>
    <row r="41" spans="1:26" s="290" customFormat="1" ht="11.4">
      <c r="A41" s="420"/>
      <c r="B41" s="420" t="s">
        <v>1004</v>
      </c>
      <c r="C41" s="428"/>
      <c r="D41" s="307"/>
      <c r="E41" s="308"/>
      <c r="F41" s="429"/>
      <c r="G41" s="309"/>
      <c r="H41" s="308"/>
      <c r="I41" s="424"/>
      <c r="J41" s="309"/>
      <c r="K41" s="308"/>
      <c r="L41" s="424"/>
      <c r="M41" s="309"/>
      <c r="N41" s="308"/>
      <c r="O41" s="424"/>
      <c r="P41" s="307"/>
      <c r="Q41" s="308"/>
      <c r="R41" s="429"/>
      <c r="S41" s="309"/>
      <c r="T41" s="308"/>
      <c r="U41" s="308"/>
      <c r="V41" s="300"/>
      <c r="W41" s="308"/>
      <c r="Y41" s="300"/>
      <c r="Z41" s="308"/>
    </row>
    <row r="42" spans="1:26" s="290" customFormat="1" ht="11.4">
      <c r="A42" s="420"/>
      <c r="B42" s="420"/>
      <c r="C42" s="420" t="s">
        <v>361</v>
      </c>
      <c r="D42" s="307"/>
      <c r="E42" s="426">
        <v>1.6</v>
      </c>
      <c r="F42" s="429"/>
      <c r="G42" s="309"/>
      <c r="H42" s="426">
        <v>0</v>
      </c>
      <c r="I42" s="424"/>
      <c r="J42" s="309"/>
      <c r="K42" s="426">
        <v>0</v>
      </c>
      <c r="L42" s="424"/>
      <c r="M42" s="309"/>
      <c r="N42" s="426">
        <v>0.51020408163265307</v>
      </c>
      <c r="O42" s="424"/>
      <c r="P42" s="307"/>
      <c r="Q42" s="426">
        <v>3.9024390243902438</v>
      </c>
      <c r="R42" s="429"/>
      <c r="S42" s="309"/>
      <c r="T42" s="426">
        <v>0</v>
      </c>
      <c r="U42" s="426"/>
      <c r="V42" s="300"/>
      <c r="W42" s="426">
        <v>0.8</v>
      </c>
      <c r="Y42" s="300"/>
      <c r="Z42" s="426">
        <v>1.9</v>
      </c>
    </row>
    <row r="43" spans="1:26" s="290" customFormat="1" ht="11.4">
      <c r="A43" s="420"/>
      <c r="B43" s="420"/>
      <c r="C43" s="420" t="s">
        <v>369</v>
      </c>
      <c r="D43" s="307"/>
      <c r="E43" s="426">
        <v>0</v>
      </c>
      <c r="F43" s="429"/>
      <c r="G43" s="309"/>
      <c r="H43" s="426">
        <v>0</v>
      </c>
      <c r="I43" s="424"/>
      <c r="J43" s="309"/>
      <c r="K43" s="426">
        <v>0</v>
      </c>
      <c r="L43" s="424"/>
      <c r="M43" s="309"/>
      <c r="N43" s="426">
        <v>0</v>
      </c>
      <c r="O43" s="424"/>
      <c r="P43" s="307"/>
      <c r="Q43" s="426">
        <v>0</v>
      </c>
      <c r="R43" s="429"/>
      <c r="S43" s="309"/>
      <c r="T43" s="426">
        <v>0</v>
      </c>
      <c r="U43" s="426"/>
      <c r="V43" s="300"/>
      <c r="W43" s="426">
        <v>0</v>
      </c>
      <c r="Y43" s="300"/>
      <c r="Z43" s="426">
        <v>0</v>
      </c>
    </row>
    <row r="44" spans="1:26" s="290" customFormat="1" ht="11.4">
      <c r="A44" s="420"/>
      <c r="B44" s="420" t="s">
        <v>691</v>
      </c>
      <c r="C44" s="420"/>
      <c r="D44" s="307"/>
      <c r="E44" s="426"/>
      <c r="F44" s="429"/>
      <c r="G44" s="309"/>
      <c r="H44" s="426"/>
      <c r="I44" s="424"/>
      <c r="J44" s="309"/>
      <c r="K44" s="426"/>
      <c r="L44" s="424"/>
      <c r="M44" s="309"/>
      <c r="N44" s="426"/>
      <c r="O44" s="424"/>
      <c r="P44" s="307"/>
      <c r="Q44" s="426"/>
      <c r="R44" s="429"/>
      <c r="S44" s="309"/>
      <c r="T44" s="426"/>
      <c r="U44" s="426"/>
      <c r="V44" s="300"/>
      <c r="W44" s="426"/>
      <c r="Y44" s="300"/>
      <c r="Z44" s="426"/>
    </row>
    <row r="45" spans="1:26" s="290" customFormat="1" ht="11.4">
      <c r="A45" s="420"/>
      <c r="B45" s="420"/>
      <c r="C45" s="420" t="s">
        <v>361</v>
      </c>
      <c r="D45" s="307"/>
      <c r="E45" s="426">
        <v>-1.6</v>
      </c>
      <c r="F45" s="429"/>
      <c r="G45" s="309"/>
      <c r="H45" s="426">
        <v>0</v>
      </c>
      <c r="I45" s="424"/>
      <c r="J45" s="309"/>
      <c r="K45" s="426">
        <v>-7</v>
      </c>
      <c r="L45" s="424"/>
      <c r="M45" s="309"/>
      <c r="N45" s="426">
        <v>-8.6999999999999993</v>
      </c>
      <c r="O45" s="424"/>
      <c r="P45" s="307"/>
      <c r="Q45" s="426">
        <v>-1</v>
      </c>
      <c r="R45" s="429"/>
      <c r="S45" s="309"/>
      <c r="T45" s="426">
        <v>-3.3</v>
      </c>
      <c r="U45" s="426"/>
      <c r="V45" s="300"/>
      <c r="W45" s="426">
        <v>-0.8</v>
      </c>
      <c r="Y45" s="300"/>
      <c r="Z45" s="426">
        <v>-2.2000000000000002</v>
      </c>
    </row>
    <row r="46" spans="1:26" s="290" customFormat="1" ht="11.4">
      <c r="A46" s="420"/>
      <c r="B46" s="420"/>
      <c r="C46" s="420" t="s">
        <v>369</v>
      </c>
      <c r="D46" s="307"/>
      <c r="E46" s="426">
        <v>0</v>
      </c>
      <c r="F46" s="429"/>
      <c r="G46" s="309"/>
      <c r="H46" s="426">
        <v>0</v>
      </c>
      <c r="I46" s="424"/>
      <c r="J46" s="309"/>
      <c r="K46" s="426">
        <v>0</v>
      </c>
      <c r="L46" s="424"/>
      <c r="M46" s="309"/>
      <c r="N46" s="426">
        <v>0</v>
      </c>
      <c r="O46" s="424"/>
      <c r="P46" s="307"/>
      <c r="Q46" s="426">
        <v>-100</v>
      </c>
      <c r="R46" s="429"/>
      <c r="S46" s="309"/>
      <c r="T46" s="426">
        <v>0</v>
      </c>
      <c r="U46" s="426"/>
      <c r="V46" s="300"/>
      <c r="W46" s="426">
        <v>0</v>
      </c>
      <c r="Y46" s="300"/>
      <c r="Z46" s="426">
        <v>-50</v>
      </c>
    </row>
    <row r="47" spans="1:26" ht="13.8" thickBot="1">
      <c r="A47" s="420"/>
      <c r="B47" s="420"/>
      <c r="C47" s="448"/>
      <c r="D47" s="832"/>
      <c r="E47" s="833"/>
      <c r="F47" s="834"/>
      <c r="G47" s="447"/>
      <c r="H47" s="448"/>
      <c r="I47" s="448"/>
      <c r="J47" s="447"/>
      <c r="K47" s="448"/>
      <c r="L47" s="448"/>
      <c r="M47" s="447"/>
      <c r="N47" s="448"/>
      <c r="O47" s="448"/>
      <c r="P47" s="832"/>
      <c r="Q47" s="833"/>
      <c r="R47" s="834"/>
      <c r="S47" s="447"/>
      <c r="T47" s="448"/>
      <c r="U47" s="449"/>
      <c r="V47" s="449"/>
      <c r="W47" s="313"/>
      <c r="Y47" s="449"/>
      <c r="Z47" s="313"/>
    </row>
    <row r="48" spans="1:26">
      <c r="D48" s="284"/>
      <c r="G48" s="435"/>
      <c r="H48" s="436"/>
      <c r="I48" s="436"/>
      <c r="J48" s="435"/>
      <c r="K48" s="436"/>
      <c r="L48" s="436"/>
      <c r="M48" s="435"/>
      <c r="N48" s="436"/>
      <c r="O48" s="436"/>
      <c r="P48" s="435"/>
      <c r="Q48" s="436"/>
      <c r="R48" s="436"/>
      <c r="S48" s="435"/>
      <c r="T48" s="436"/>
      <c r="U48" s="449"/>
      <c r="V48" s="284"/>
      <c r="Y48" s="284"/>
    </row>
    <row r="49" spans="1:26">
      <c r="A49" s="440"/>
      <c r="B49" s="441"/>
      <c r="C49" s="450"/>
      <c r="D49" s="435"/>
      <c r="E49" s="436"/>
      <c r="F49" s="436"/>
      <c r="G49" s="451"/>
      <c r="H49" s="452"/>
      <c r="I49" s="452"/>
      <c r="J49" s="451"/>
      <c r="K49" s="452"/>
      <c r="L49" s="452"/>
      <c r="M49" s="451"/>
      <c r="N49" s="452"/>
      <c r="O49" s="452"/>
      <c r="P49" s="451"/>
      <c r="Q49" s="452"/>
      <c r="R49" s="452"/>
      <c r="S49" s="451"/>
      <c r="T49" s="452"/>
      <c r="U49" s="452"/>
      <c r="V49" s="452"/>
      <c r="W49" s="452"/>
      <c r="X49" s="452"/>
      <c r="Y49" s="452"/>
      <c r="Z49" s="452"/>
    </row>
    <row r="50" spans="1:26">
      <c r="A50" s="453"/>
      <c r="B50" s="453"/>
      <c r="C50" s="453"/>
      <c r="G50" s="442"/>
      <c r="H50" s="313"/>
      <c r="I50" s="313"/>
      <c r="J50" s="442"/>
      <c r="K50" s="313"/>
      <c r="L50" s="313"/>
      <c r="M50" s="442"/>
      <c r="N50" s="313"/>
      <c r="O50" s="313"/>
      <c r="S50" s="442"/>
      <c r="T50" s="313"/>
    </row>
    <row r="51" spans="1:26">
      <c r="A51" s="453"/>
      <c r="B51" s="453"/>
      <c r="C51" s="453"/>
      <c r="G51" s="442"/>
      <c r="H51" s="313"/>
      <c r="I51" s="313"/>
      <c r="J51" s="442"/>
      <c r="K51" s="313"/>
      <c r="L51" s="313"/>
      <c r="M51" s="442"/>
      <c r="N51" s="313"/>
      <c r="O51" s="313"/>
      <c r="S51" s="442"/>
      <c r="T51" s="313"/>
    </row>
    <row r="52" spans="1:26">
      <c r="A52" s="453"/>
      <c r="B52" s="453"/>
      <c r="C52" s="453"/>
      <c r="G52" s="442"/>
      <c r="H52" s="313"/>
      <c r="I52" s="313"/>
      <c r="J52" s="442"/>
      <c r="K52" s="313"/>
      <c r="L52" s="313"/>
      <c r="M52" s="442"/>
      <c r="N52" s="313"/>
      <c r="O52" s="313"/>
      <c r="S52" s="442"/>
      <c r="T52" s="313"/>
    </row>
    <row r="53" spans="1:26">
      <c r="A53" s="453"/>
      <c r="B53" s="453"/>
      <c r="C53" s="453"/>
      <c r="G53" s="442"/>
      <c r="H53" s="313"/>
      <c r="I53" s="313"/>
      <c r="J53" s="442"/>
      <c r="K53" s="313"/>
      <c r="L53" s="313"/>
      <c r="M53" s="442"/>
      <c r="N53" s="313"/>
      <c r="O53" s="313"/>
      <c r="S53" s="442"/>
      <c r="T53" s="313"/>
    </row>
    <row r="54" spans="1:26">
      <c r="G54" s="442"/>
      <c r="H54" s="313"/>
      <c r="I54" s="313"/>
      <c r="J54" s="442"/>
      <c r="K54" s="313"/>
      <c r="L54" s="313"/>
      <c r="M54" s="442"/>
      <c r="N54" s="313"/>
      <c r="O54" s="313"/>
      <c r="S54" s="442"/>
      <c r="T54" s="313"/>
    </row>
    <row r="55" spans="1:26">
      <c r="G55" s="442"/>
      <c r="H55" s="313"/>
      <c r="I55" s="313"/>
      <c r="J55" s="442"/>
      <c r="K55" s="313"/>
      <c r="L55" s="313"/>
      <c r="M55" s="442"/>
      <c r="N55" s="313"/>
      <c r="O55" s="313"/>
      <c r="S55" s="442"/>
      <c r="T55" s="313"/>
    </row>
    <row r="56" spans="1:26">
      <c r="G56" s="442"/>
      <c r="H56" s="313"/>
      <c r="I56" s="313"/>
      <c r="J56" s="442"/>
      <c r="K56" s="313"/>
      <c r="L56" s="313"/>
      <c r="M56" s="442"/>
      <c r="N56" s="313"/>
      <c r="O56" s="313"/>
      <c r="S56" s="442"/>
      <c r="T56" s="313"/>
    </row>
    <row r="57" spans="1:26">
      <c r="G57" s="442"/>
      <c r="H57" s="313"/>
      <c r="I57" s="313"/>
      <c r="J57" s="442"/>
      <c r="K57" s="313"/>
      <c r="L57" s="313"/>
      <c r="M57" s="442"/>
      <c r="N57" s="313"/>
      <c r="O57" s="313"/>
      <c r="S57" s="442"/>
      <c r="T57" s="313"/>
    </row>
    <row r="58" spans="1:26">
      <c r="G58" s="442"/>
      <c r="H58" s="313"/>
      <c r="I58" s="313"/>
      <c r="J58" s="442"/>
      <c r="K58" s="313"/>
      <c r="L58" s="313"/>
      <c r="M58" s="442"/>
      <c r="N58" s="313"/>
      <c r="O58" s="313"/>
      <c r="S58" s="442"/>
      <c r="T58" s="313"/>
    </row>
    <row r="59" spans="1:26">
      <c r="G59" s="442"/>
      <c r="H59" s="313"/>
      <c r="I59" s="313"/>
      <c r="J59" s="442"/>
      <c r="K59" s="313"/>
      <c r="L59" s="313"/>
      <c r="M59" s="442"/>
      <c r="N59" s="313"/>
      <c r="O59" s="313"/>
      <c r="S59" s="442"/>
      <c r="T59" s="313"/>
    </row>
    <row r="60" spans="1:26">
      <c r="G60" s="442"/>
      <c r="H60" s="313"/>
      <c r="I60" s="313"/>
      <c r="J60" s="442"/>
      <c r="K60" s="313"/>
      <c r="L60" s="313"/>
      <c r="M60" s="442"/>
      <c r="N60" s="313"/>
      <c r="O60" s="313"/>
      <c r="S60" s="442"/>
      <c r="T60" s="313"/>
    </row>
    <row r="61" spans="1:26">
      <c r="G61" s="442"/>
      <c r="H61" s="313"/>
      <c r="I61" s="313"/>
      <c r="J61" s="442"/>
      <c r="K61" s="313"/>
      <c r="L61" s="313"/>
      <c r="M61" s="442"/>
      <c r="N61" s="313"/>
      <c r="O61" s="313"/>
      <c r="S61" s="442"/>
      <c r="T61" s="313"/>
    </row>
    <row r="62" spans="1:26">
      <c r="G62" s="442"/>
      <c r="H62" s="313"/>
      <c r="I62" s="313"/>
      <c r="J62" s="442"/>
      <c r="K62" s="313"/>
      <c r="L62" s="313"/>
      <c r="M62" s="442"/>
      <c r="N62" s="313"/>
      <c r="O62" s="313"/>
      <c r="S62" s="442"/>
      <c r="T62" s="313"/>
    </row>
    <row r="63" spans="1:26">
      <c r="G63" s="442"/>
      <c r="H63" s="313"/>
      <c r="I63" s="313"/>
      <c r="J63" s="442"/>
      <c r="K63" s="313"/>
      <c r="L63" s="313"/>
      <c r="M63" s="442"/>
      <c r="N63" s="313"/>
      <c r="O63" s="313"/>
      <c r="S63" s="442"/>
      <c r="T63" s="313"/>
    </row>
    <row r="64" spans="1:26">
      <c r="G64" s="442"/>
      <c r="H64" s="313"/>
      <c r="I64" s="313"/>
      <c r="J64" s="442"/>
      <c r="K64" s="313"/>
      <c r="L64" s="313"/>
      <c r="M64" s="442"/>
      <c r="N64" s="313"/>
      <c r="O64" s="313"/>
      <c r="S64" s="442"/>
      <c r="T64" s="313"/>
    </row>
    <row r="65" spans="7:20">
      <c r="G65" s="442"/>
      <c r="H65" s="313"/>
      <c r="I65" s="313"/>
      <c r="J65" s="442"/>
      <c r="K65" s="313"/>
      <c r="L65" s="313"/>
      <c r="M65" s="442"/>
      <c r="N65" s="313"/>
      <c r="O65" s="313"/>
      <c r="S65" s="442"/>
      <c r="T65" s="313"/>
    </row>
    <row r="66" spans="7:20">
      <c r="G66" s="442"/>
      <c r="H66" s="313"/>
      <c r="I66" s="313"/>
      <c r="J66" s="442"/>
      <c r="K66" s="313"/>
      <c r="L66" s="313"/>
      <c r="M66" s="442"/>
      <c r="N66" s="313"/>
      <c r="O66" s="313"/>
      <c r="S66" s="442"/>
      <c r="T66" s="313"/>
    </row>
    <row r="67" spans="7:20">
      <c r="G67" s="442"/>
      <c r="H67" s="313"/>
      <c r="I67" s="313"/>
      <c r="J67" s="442"/>
      <c r="K67" s="313"/>
      <c r="L67" s="313"/>
      <c r="M67" s="442"/>
      <c r="N67" s="313"/>
      <c r="O67" s="313"/>
      <c r="S67" s="442"/>
      <c r="T67" s="313"/>
    </row>
    <row r="68" spans="7:20">
      <c r="G68" s="442"/>
      <c r="H68" s="313"/>
      <c r="I68" s="313"/>
      <c r="J68" s="442"/>
      <c r="K68" s="313"/>
      <c r="L68" s="313"/>
      <c r="M68" s="442"/>
      <c r="N68" s="313"/>
      <c r="O68" s="313"/>
      <c r="S68" s="442"/>
      <c r="T68" s="313"/>
    </row>
    <row r="69" spans="7:20">
      <c r="G69" s="442"/>
      <c r="H69" s="313"/>
      <c r="I69" s="313"/>
      <c r="J69" s="442"/>
      <c r="K69" s="313"/>
      <c r="L69" s="313"/>
      <c r="M69" s="442"/>
      <c r="N69" s="313"/>
      <c r="O69" s="313"/>
      <c r="S69" s="442"/>
      <c r="T69" s="313"/>
    </row>
    <row r="70" spans="7:20">
      <c r="G70" s="442"/>
      <c r="H70" s="313"/>
      <c r="I70" s="313"/>
      <c r="J70" s="442"/>
      <c r="K70" s="313"/>
      <c r="L70" s="313"/>
      <c r="M70" s="442"/>
      <c r="N70" s="313"/>
      <c r="O70" s="313"/>
      <c r="S70" s="442"/>
      <c r="T70" s="313"/>
    </row>
    <row r="71" spans="7:20">
      <c r="G71" s="442"/>
      <c r="H71" s="313"/>
      <c r="I71" s="313"/>
      <c r="J71" s="442"/>
      <c r="K71" s="313"/>
      <c r="L71" s="313"/>
      <c r="M71" s="442"/>
      <c r="N71" s="313"/>
      <c r="O71" s="313"/>
      <c r="S71" s="442"/>
      <c r="T71" s="313"/>
    </row>
    <row r="72" spans="7:20">
      <c r="G72" s="442"/>
      <c r="H72" s="313"/>
      <c r="I72" s="313"/>
      <c r="J72" s="442"/>
      <c r="K72" s="313"/>
      <c r="L72" s="313"/>
      <c r="M72" s="442"/>
      <c r="N72" s="313"/>
      <c r="O72" s="313"/>
      <c r="S72" s="442"/>
      <c r="T72" s="313"/>
    </row>
    <row r="73" spans="7:20">
      <c r="G73" s="442"/>
      <c r="H73" s="313"/>
      <c r="I73" s="313"/>
      <c r="J73" s="442"/>
      <c r="K73" s="313"/>
      <c r="L73" s="313"/>
      <c r="M73" s="442"/>
      <c r="N73" s="313"/>
      <c r="O73" s="313"/>
      <c r="S73" s="442"/>
      <c r="T73" s="313"/>
    </row>
    <row r="74" spans="7:20">
      <c r="G74" s="442"/>
      <c r="H74" s="313"/>
      <c r="I74" s="313"/>
      <c r="J74" s="442"/>
      <c r="K74" s="313"/>
      <c r="L74" s="313"/>
      <c r="M74" s="442"/>
      <c r="N74" s="313"/>
      <c r="O74" s="313"/>
      <c r="S74" s="442"/>
      <c r="T74" s="313"/>
    </row>
    <row r="75" spans="7:20">
      <c r="G75" s="442"/>
      <c r="H75" s="313"/>
      <c r="I75" s="313"/>
      <c r="J75" s="442"/>
      <c r="K75" s="313"/>
      <c r="L75" s="313"/>
      <c r="M75" s="442"/>
      <c r="N75" s="313"/>
      <c r="O75" s="313"/>
      <c r="S75" s="442"/>
      <c r="T75" s="313"/>
    </row>
    <row r="76" spans="7:20">
      <c r="G76" s="442"/>
      <c r="H76" s="313"/>
      <c r="I76" s="313"/>
      <c r="J76" s="442"/>
      <c r="K76" s="313"/>
      <c r="L76" s="313"/>
      <c r="M76" s="442"/>
      <c r="N76" s="313"/>
      <c r="O76" s="313"/>
      <c r="S76" s="442"/>
      <c r="T76" s="313"/>
    </row>
    <row r="77" spans="7:20">
      <c r="G77" s="442"/>
      <c r="H77" s="313"/>
      <c r="I77" s="313"/>
      <c r="J77" s="442"/>
      <c r="K77" s="313"/>
      <c r="L77" s="313"/>
      <c r="M77" s="442"/>
      <c r="N77" s="313"/>
      <c r="O77" s="313"/>
      <c r="S77" s="442"/>
      <c r="T77" s="313"/>
    </row>
    <row r="78" spans="7:20">
      <c r="G78" s="442"/>
      <c r="H78" s="313"/>
      <c r="I78" s="313"/>
      <c r="J78" s="442"/>
      <c r="K78" s="313"/>
      <c r="L78" s="313"/>
      <c r="M78" s="442"/>
      <c r="N78" s="313"/>
      <c r="O78" s="313"/>
      <c r="S78" s="442"/>
      <c r="T78" s="313"/>
    </row>
    <row r="79" spans="7:20">
      <c r="G79" s="442"/>
      <c r="H79" s="313"/>
      <c r="I79" s="313"/>
      <c r="J79" s="442"/>
      <c r="K79" s="313"/>
      <c r="L79" s="313"/>
      <c r="M79" s="442"/>
      <c r="N79" s="313"/>
      <c r="O79" s="313"/>
      <c r="S79" s="442"/>
      <c r="T79" s="313"/>
    </row>
    <row r="80" spans="7:20">
      <c r="G80" s="442"/>
      <c r="H80" s="313"/>
      <c r="I80" s="313"/>
      <c r="J80" s="442"/>
      <c r="K80" s="313"/>
      <c r="L80" s="313"/>
      <c r="M80" s="442"/>
      <c r="N80" s="313"/>
      <c r="O80" s="313"/>
      <c r="S80" s="442"/>
      <c r="T80" s="313"/>
    </row>
    <row r="81" spans="7:20">
      <c r="G81" s="442"/>
      <c r="H81" s="313"/>
      <c r="I81" s="313"/>
      <c r="J81" s="442"/>
      <c r="K81" s="313"/>
      <c r="L81" s="313"/>
      <c r="M81" s="442"/>
      <c r="N81" s="313"/>
      <c r="O81" s="313"/>
      <c r="S81" s="442"/>
      <c r="T81" s="313"/>
    </row>
    <row r="82" spans="7:20">
      <c r="G82" s="442"/>
      <c r="H82" s="313"/>
      <c r="I82" s="313"/>
      <c r="J82" s="442"/>
      <c r="K82" s="313"/>
      <c r="L82" s="313"/>
      <c r="M82" s="442"/>
      <c r="N82" s="313"/>
      <c r="O82" s="313"/>
      <c r="S82" s="442"/>
      <c r="T82" s="313"/>
    </row>
  </sheetData>
  <mergeCells count="5">
    <mergeCell ref="A1:Z1"/>
    <mergeCell ref="A2:Z2"/>
    <mergeCell ref="A3:Z3"/>
    <mergeCell ref="D4:T4"/>
    <mergeCell ref="W4:Z4"/>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22.xml><?xml version="1.0" encoding="utf-8"?>
<worksheet xmlns="http://schemas.openxmlformats.org/spreadsheetml/2006/main" xmlns:r="http://schemas.openxmlformats.org/officeDocument/2006/relationships">
  <sheetPr>
    <pageSetUpPr fitToPage="1"/>
  </sheetPr>
  <dimension ref="A1:AB97"/>
  <sheetViews>
    <sheetView zoomScale="75" zoomScaleNormal="75" workbookViewId="0">
      <selection sqref="A1:Z1"/>
    </sheetView>
  </sheetViews>
  <sheetFormatPr defaultColWidth="11.44140625" defaultRowHeight="13.2"/>
  <cols>
    <col min="1" max="2" width="2.44140625" style="284" customWidth="1"/>
    <col min="3" max="3" width="49.109375" style="284" customWidth="1"/>
    <col min="4" max="4" width="2.44140625" style="443" customWidth="1"/>
    <col min="5" max="5" width="8.33203125" style="284" customWidth="1"/>
    <col min="6" max="6" width="2.44140625" style="284" customWidth="1"/>
    <col min="7" max="7" width="2.44140625" style="443" customWidth="1"/>
    <col min="8" max="8" width="8.44140625" style="284" customWidth="1"/>
    <col min="9" max="9" width="2.44140625" style="284" customWidth="1"/>
    <col min="10" max="10" width="2.44140625" style="443" customWidth="1"/>
    <col min="11" max="11" width="8.33203125" style="284" customWidth="1"/>
    <col min="12" max="12" width="2.44140625" style="284" customWidth="1"/>
    <col min="13" max="13" width="2.44140625" style="443" customWidth="1"/>
    <col min="14" max="14" width="8.33203125" style="284" customWidth="1"/>
    <col min="15" max="15" width="2.44140625" style="284" customWidth="1"/>
    <col min="16" max="16" width="2.44140625" style="443" customWidth="1"/>
    <col min="17" max="17" width="8.33203125" style="284" customWidth="1"/>
    <col min="18" max="18" width="2.44140625" style="284" customWidth="1"/>
    <col min="19" max="19" width="2.44140625" style="443" customWidth="1"/>
    <col min="20" max="20" width="8.33203125" style="284" customWidth="1"/>
    <col min="21" max="22" width="2.44140625" style="313" customWidth="1"/>
    <col min="23" max="23" width="8.44140625" style="284" customWidth="1"/>
    <col min="24" max="24" width="2.44140625" style="284" customWidth="1"/>
    <col min="25" max="25" width="2.44140625" style="313" customWidth="1"/>
    <col min="26" max="26" width="8.44140625" style="284" customWidth="1"/>
    <col min="27" max="16384" width="11.44140625" style="284"/>
  </cols>
  <sheetData>
    <row r="1" spans="1:26">
      <c r="A1" s="1011" t="s">
        <v>96</v>
      </c>
      <c r="B1" s="1011"/>
      <c r="C1" s="1011"/>
      <c r="D1" s="1011"/>
      <c r="E1" s="1011"/>
      <c r="F1" s="1011"/>
      <c r="G1" s="1011"/>
      <c r="H1" s="1011"/>
      <c r="I1" s="1011"/>
      <c r="J1" s="1011"/>
      <c r="K1" s="1011"/>
      <c r="L1" s="1011"/>
      <c r="M1" s="1011"/>
      <c r="N1" s="1011"/>
      <c r="O1" s="1011"/>
      <c r="P1" s="1011"/>
      <c r="Q1" s="1011"/>
      <c r="R1" s="1011"/>
      <c r="S1" s="1011"/>
      <c r="T1" s="1011"/>
      <c r="U1" s="1011"/>
      <c r="V1" s="1011"/>
      <c r="W1" s="1011"/>
      <c r="X1" s="1011"/>
      <c r="Y1" s="1011"/>
      <c r="Z1" s="1011"/>
    </row>
    <row r="2" spans="1:26">
      <c r="A2" s="1011" t="s">
        <v>1010</v>
      </c>
      <c r="B2" s="1011"/>
      <c r="C2" s="1011"/>
      <c r="D2" s="1011"/>
      <c r="E2" s="1011"/>
      <c r="F2" s="1011"/>
      <c r="G2" s="1011"/>
      <c r="H2" s="1011"/>
      <c r="I2" s="1011"/>
      <c r="J2" s="1011"/>
      <c r="K2" s="1011"/>
      <c r="L2" s="1011"/>
      <c r="M2" s="1011"/>
      <c r="N2" s="1011"/>
      <c r="O2" s="1011"/>
      <c r="P2" s="1011"/>
      <c r="Q2" s="1011"/>
      <c r="R2" s="1011"/>
      <c r="S2" s="1011"/>
      <c r="T2" s="1011"/>
      <c r="U2" s="1011"/>
      <c r="V2" s="1011"/>
      <c r="W2" s="1011"/>
      <c r="X2" s="1011"/>
      <c r="Y2" s="1011"/>
      <c r="Z2" s="1011"/>
    </row>
    <row r="3" spans="1:26">
      <c r="A3" s="1012"/>
      <c r="B3" s="1012"/>
      <c r="C3" s="1012"/>
      <c r="D3" s="1012"/>
      <c r="E3" s="1012"/>
      <c r="F3" s="1012"/>
      <c r="G3" s="1012"/>
      <c r="H3" s="1012"/>
      <c r="I3" s="1012"/>
      <c r="J3" s="1012"/>
      <c r="K3" s="1012"/>
      <c r="L3" s="1012"/>
      <c r="M3" s="1012"/>
      <c r="N3" s="1012"/>
      <c r="O3" s="1012"/>
      <c r="P3" s="1012"/>
      <c r="Q3" s="1012"/>
      <c r="R3" s="1012"/>
      <c r="S3" s="1012"/>
      <c r="T3" s="1012"/>
      <c r="U3" s="1012"/>
      <c r="V3" s="1012"/>
      <c r="W3" s="1012"/>
      <c r="X3" s="1012"/>
      <c r="Y3" s="1012"/>
      <c r="Z3" s="1012"/>
    </row>
    <row r="4" spans="1:26">
      <c r="A4" s="290"/>
      <c r="B4" s="290"/>
      <c r="C4" s="287"/>
      <c r="D4" s="975" t="s">
        <v>99</v>
      </c>
      <c r="E4" s="975"/>
      <c r="F4" s="975"/>
      <c r="G4" s="975"/>
      <c r="H4" s="975"/>
      <c r="I4" s="975"/>
      <c r="J4" s="975"/>
      <c r="K4" s="975"/>
      <c r="L4" s="975"/>
      <c r="M4" s="975"/>
      <c r="N4" s="975"/>
      <c r="O4" s="975"/>
      <c r="P4" s="975"/>
      <c r="Q4" s="975"/>
      <c r="R4" s="975"/>
      <c r="S4" s="975"/>
      <c r="T4" s="975"/>
      <c r="U4" s="6"/>
      <c r="W4" s="1013" t="s">
        <v>100</v>
      </c>
      <c r="X4" s="1013"/>
      <c r="Y4" s="1013"/>
      <c r="Z4" s="1013"/>
    </row>
    <row r="5" spans="1:26" ht="13.8" thickBot="1">
      <c r="A5" s="290"/>
      <c r="B5" s="290"/>
      <c r="C5" s="293"/>
      <c r="D5" s="414"/>
      <c r="E5" s="287"/>
      <c r="F5" s="287"/>
      <c r="G5" s="311"/>
      <c r="H5" s="288"/>
      <c r="I5" s="288"/>
      <c r="J5" s="827"/>
      <c r="K5" s="806"/>
      <c r="L5" s="806"/>
      <c r="M5" s="414"/>
      <c r="N5" s="287"/>
      <c r="O5" s="287"/>
      <c r="P5" s="414"/>
      <c r="Q5" s="287"/>
      <c r="R5" s="287"/>
      <c r="S5" s="414"/>
      <c r="T5" s="287"/>
      <c r="U5" s="417"/>
      <c r="W5" s="300"/>
      <c r="X5" s="290"/>
      <c r="Z5" s="300"/>
    </row>
    <row r="6" spans="1:26">
      <c r="A6" s="290"/>
      <c r="B6" s="290"/>
      <c r="C6" s="293"/>
      <c r="D6" s="415"/>
      <c r="E6" s="8" t="s">
        <v>104</v>
      </c>
      <c r="F6" s="292"/>
      <c r="G6" s="416"/>
      <c r="H6" s="6" t="s">
        <v>105</v>
      </c>
      <c r="I6" s="417"/>
      <c r="J6" s="416"/>
      <c r="K6" s="6" t="s">
        <v>102</v>
      </c>
      <c r="L6" s="417"/>
      <c r="M6" s="416"/>
      <c r="N6" s="6" t="s">
        <v>103</v>
      </c>
      <c r="O6" s="417"/>
      <c r="P6" s="415"/>
      <c r="Q6" s="8" t="s">
        <v>104</v>
      </c>
      <c r="R6" s="292"/>
      <c r="S6" s="416"/>
      <c r="T6" s="6" t="s">
        <v>105</v>
      </c>
      <c r="U6" s="6"/>
      <c r="W6" s="6" t="s">
        <v>104</v>
      </c>
      <c r="X6" s="290"/>
      <c r="Z6" s="6" t="s">
        <v>104</v>
      </c>
    </row>
    <row r="7" spans="1:26">
      <c r="A7" s="290" t="s">
        <v>800</v>
      </c>
      <c r="B7" s="290"/>
      <c r="C7" s="293"/>
      <c r="D7" s="418"/>
      <c r="E7" s="13">
        <v>2012</v>
      </c>
      <c r="F7" s="296"/>
      <c r="G7" s="416"/>
      <c r="H7" s="13">
        <v>2012</v>
      </c>
      <c r="I7" s="417"/>
      <c r="J7" s="416"/>
      <c r="K7" s="13">
        <v>2011</v>
      </c>
      <c r="L7" s="417"/>
      <c r="M7" s="416"/>
      <c r="N7" s="13">
        <v>2011</v>
      </c>
      <c r="O7" s="417"/>
      <c r="P7" s="418"/>
      <c r="Q7" s="13">
        <v>2011</v>
      </c>
      <c r="R7" s="296"/>
      <c r="S7" s="416"/>
      <c r="T7" s="13">
        <v>2011</v>
      </c>
      <c r="U7" s="6"/>
      <c r="W7" s="13">
        <v>2012</v>
      </c>
      <c r="X7" s="290"/>
      <c r="Z7" s="13">
        <v>2011</v>
      </c>
    </row>
    <row r="8" spans="1:26" s="290" customFormat="1" ht="12">
      <c r="A8" s="419" t="s">
        <v>52</v>
      </c>
      <c r="B8" s="419"/>
      <c r="C8" s="459"/>
      <c r="D8" s="307"/>
      <c r="E8" s="298"/>
      <c r="F8" s="299"/>
      <c r="G8" s="309"/>
      <c r="H8" s="298"/>
      <c r="I8" s="300"/>
      <c r="J8" s="309"/>
      <c r="K8" s="298"/>
      <c r="L8" s="300"/>
      <c r="M8" s="309"/>
      <c r="N8" s="298"/>
      <c r="O8" s="300"/>
      <c r="P8" s="307"/>
      <c r="Q8" s="298"/>
      <c r="R8" s="299"/>
      <c r="S8" s="309"/>
      <c r="T8" s="298"/>
      <c r="U8" s="300"/>
      <c r="V8" s="300"/>
      <c r="W8" s="298"/>
      <c r="Y8" s="300"/>
      <c r="Z8" s="298"/>
    </row>
    <row r="9" spans="1:26" s="290" customFormat="1" ht="11.4">
      <c r="A9" s="420"/>
      <c r="B9" s="420" t="s">
        <v>1000</v>
      </c>
      <c r="C9" s="428"/>
      <c r="D9" s="307"/>
      <c r="E9" s="300"/>
      <c r="F9" s="299"/>
      <c r="G9" s="309"/>
      <c r="H9" s="300"/>
      <c r="I9" s="300"/>
      <c r="J9" s="309"/>
      <c r="K9" s="300"/>
      <c r="L9" s="300"/>
      <c r="M9" s="309"/>
      <c r="N9" s="300"/>
      <c r="O9" s="300"/>
      <c r="P9" s="307"/>
      <c r="Q9" s="300"/>
      <c r="R9" s="299"/>
      <c r="S9" s="309"/>
      <c r="T9" s="300"/>
      <c r="U9" s="300"/>
      <c r="V9" s="300"/>
      <c r="Y9" s="300"/>
      <c r="Z9" s="300"/>
    </row>
    <row r="10" spans="1:26" s="290" customFormat="1" ht="11.4">
      <c r="A10" s="421"/>
      <c r="B10" s="421"/>
      <c r="C10" s="420" t="s">
        <v>361</v>
      </c>
      <c r="D10" s="307" t="s">
        <v>108</v>
      </c>
      <c r="E10" s="422">
        <v>4077</v>
      </c>
      <c r="F10" s="429"/>
      <c r="G10" s="309" t="s">
        <v>108</v>
      </c>
      <c r="H10" s="422">
        <v>4126</v>
      </c>
      <c r="I10" s="424"/>
      <c r="J10" s="309" t="s">
        <v>108</v>
      </c>
      <c r="K10" s="422">
        <v>3986</v>
      </c>
      <c r="L10" s="424"/>
      <c r="M10" s="309" t="s">
        <v>108</v>
      </c>
      <c r="N10" s="422">
        <v>4190</v>
      </c>
      <c r="O10" s="424"/>
      <c r="P10" s="307" t="s">
        <v>108</v>
      </c>
      <c r="Q10" s="422">
        <v>4108</v>
      </c>
      <c r="R10" s="429"/>
      <c r="S10" s="309" t="s">
        <v>108</v>
      </c>
      <c r="T10" s="422">
        <v>4194</v>
      </c>
      <c r="U10" s="422"/>
      <c r="V10" s="300" t="s">
        <v>108</v>
      </c>
      <c r="W10" s="422">
        <v>8203</v>
      </c>
      <c r="Y10" s="300" t="s">
        <v>108</v>
      </c>
      <c r="Z10" s="422">
        <v>8302</v>
      </c>
    </row>
    <row r="11" spans="1:26" s="290" customFormat="1" ht="11.4">
      <c r="A11" s="421"/>
      <c r="B11" s="421"/>
      <c r="C11" s="420" t="s">
        <v>369</v>
      </c>
      <c r="D11" s="307"/>
      <c r="E11" s="422">
        <v>160</v>
      </c>
      <c r="F11" s="429"/>
      <c r="G11" s="309"/>
      <c r="H11" s="422">
        <v>142</v>
      </c>
      <c r="I11" s="424"/>
      <c r="J11" s="309"/>
      <c r="K11" s="422">
        <v>147</v>
      </c>
      <c r="L11" s="424"/>
      <c r="M11" s="309"/>
      <c r="N11" s="422">
        <v>159</v>
      </c>
      <c r="O11" s="424"/>
      <c r="P11" s="307"/>
      <c r="Q11" s="422">
        <v>154</v>
      </c>
      <c r="R11" s="429"/>
      <c r="S11" s="309"/>
      <c r="T11" s="422">
        <v>145</v>
      </c>
      <c r="U11" s="422"/>
      <c r="V11" s="300"/>
      <c r="W11" s="422">
        <v>302</v>
      </c>
      <c r="X11" s="300"/>
      <c r="Y11" s="300"/>
      <c r="Z11" s="422">
        <v>299</v>
      </c>
    </row>
    <row r="12" spans="1:26" s="290" customFormat="1" ht="11.4">
      <c r="A12" s="421"/>
      <c r="B12" s="421"/>
      <c r="C12" s="420" t="s">
        <v>428</v>
      </c>
      <c r="D12" s="307"/>
      <c r="E12" s="425">
        <v>224</v>
      </c>
      <c r="F12" s="429"/>
      <c r="G12" s="309"/>
      <c r="H12" s="425">
        <v>262</v>
      </c>
      <c r="I12" s="424"/>
      <c r="J12" s="309"/>
      <c r="K12" s="425">
        <v>181</v>
      </c>
      <c r="L12" s="424"/>
      <c r="M12" s="309"/>
      <c r="N12" s="425">
        <v>0</v>
      </c>
      <c r="O12" s="424"/>
      <c r="P12" s="307"/>
      <c r="Q12" s="425">
        <v>0</v>
      </c>
      <c r="R12" s="429"/>
      <c r="S12" s="309"/>
      <c r="T12" s="425">
        <v>0</v>
      </c>
      <c r="U12" s="422"/>
      <c r="V12" s="300"/>
      <c r="W12" s="425">
        <v>486</v>
      </c>
      <c r="X12" s="424"/>
      <c r="Y12" s="422"/>
      <c r="Z12" s="425">
        <v>0</v>
      </c>
    </row>
    <row r="13" spans="1:26" s="290" customFormat="1" ht="11.4">
      <c r="A13" s="421"/>
      <c r="B13" s="421"/>
      <c r="C13" s="420"/>
      <c r="D13" s="307"/>
      <c r="E13" s="422">
        <v>4461</v>
      </c>
      <c r="F13" s="429"/>
      <c r="G13" s="309"/>
      <c r="H13" s="422">
        <v>4530</v>
      </c>
      <c r="I13" s="424"/>
      <c r="J13" s="309"/>
      <c r="K13" s="422">
        <v>4314</v>
      </c>
      <c r="L13" s="424"/>
      <c r="M13" s="309"/>
      <c r="N13" s="422">
        <v>4349</v>
      </c>
      <c r="O13" s="424"/>
      <c r="P13" s="307"/>
      <c r="Q13" s="422">
        <v>4262</v>
      </c>
      <c r="R13" s="429"/>
      <c r="S13" s="309"/>
      <c r="T13" s="422">
        <v>4339</v>
      </c>
      <c r="U13" s="422"/>
      <c r="V13" s="300"/>
      <c r="W13" s="422">
        <v>8991</v>
      </c>
      <c r="Y13" s="300"/>
      <c r="Z13" s="422">
        <v>8601</v>
      </c>
    </row>
    <row r="14" spans="1:26" s="290" customFormat="1" ht="11.4">
      <c r="A14" s="420"/>
      <c r="B14" s="420" t="s">
        <v>1001</v>
      </c>
      <c r="C14" s="420"/>
      <c r="D14" s="307"/>
      <c r="E14" s="308"/>
      <c r="F14" s="429"/>
      <c r="G14" s="309"/>
      <c r="H14" s="308"/>
      <c r="I14" s="424"/>
      <c r="J14" s="309"/>
      <c r="K14" s="308"/>
      <c r="L14" s="424"/>
      <c r="M14" s="309"/>
      <c r="N14" s="308"/>
      <c r="O14" s="424"/>
      <c r="P14" s="307"/>
      <c r="Q14" s="308"/>
      <c r="R14" s="429"/>
      <c r="S14" s="309"/>
      <c r="T14" s="308"/>
      <c r="U14" s="308"/>
      <c r="V14" s="300"/>
      <c r="W14" s="308"/>
      <c r="Y14" s="300"/>
      <c r="Z14" s="308"/>
    </row>
    <row r="15" spans="1:26" s="290" customFormat="1" ht="11.4">
      <c r="A15" s="420"/>
      <c r="B15" s="420"/>
      <c r="C15" s="420" t="s">
        <v>361</v>
      </c>
      <c r="D15" s="307" t="s">
        <v>108</v>
      </c>
      <c r="E15" s="308">
        <v>4093</v>
      </c>
      <c r="F15" s="462"/>
      <c r="G15" s="309" t="s">
        <v>108</v>
      </c>
      <c r="H15" s="422">
        <v>4080</v>
      </c>
      <c r="I15" s="424"/>
      <c r="J15" s="309" t="s">
        <v>108</v>
      </c>
      <c r="K15" s="422">
        <v>4083</v>
      </c>
      <c r="L15" s="424"/>
      <c r="M15" s="309" t="s">
        <v>108</v>
      </c>
      <c r="N15" s="422">
        <v>4112</v>
      </c>
      <c r="O15" s="424"/>
      <c r="P15" s="307" t="s">
        <v>108</v>
      </c>
      <c r="Q15" s="308">
        <v>4143</v>
      </c>
      <c r="R15" s="462"/>
      <c r="S15" s="309" t="s">
        <v>108</v>
      </c>
      <c r="T15" s="422">
        <v>4138</v>
      </c>
      <c r="U15" s="308"/>
      <c r="V15" s="300" t="s">
        <v>108</v>
      </c>
      <c r="W15" s="308">
        <v>8173</v>
      </c>
      <c r="Y15" s="300" t="s">
        <v>108</v>
      </c>
      <c r="Z15" s="308">
        <v>8281</v>
      </c>
    </row>
    <row r="16" spans="1:26" s="290" customFormat="1" ht="11.4">
      <c r="A16" s="421"/>
      <c r="B16" s="421"/>
      <c r="C16" s="420" t="s">
        <v>369</v>
      </c>
      <c r="D16" s="307"/>
      <c r="E16" s="308">
        <v>153</v>
      </c>
      <c r="F16" s="429"/>
      <c r="G16" s="309"/>
      <c r="H16" s="422">
        <v>151</v>
      </c>
      <c r="I16" s="424"/>
      <c r="J16" s="309"/>
      <c r="K16" s="422">
        <v>151</v>
      </c>
      <c r="L16" s="424"/>
      <c r="M16" s="309"/>
      <c r="N16" s="422">
        <v>154</v>
      </c>
      <c r="O16" s="424"/>
      <c r="P16" s="307"/>
      <c r="Q16" s="422">
        <v>156</v>
      </c>
      <c r="R16" s="429"/>
      <c r="S16" s="309"/>
      <c r="T16" s="422">
        <v>161</v>
      </c>
      <c r="U16" s="422"/>
      <c r="V16" s="300"/>
      <c r="W16" s="422">
        <v>304</v>
      </c>
      <c r="Y16" s="300"/>
      <c r="Z16" s="422">
        <v>317</v>
      </c>
    </row>
    <row r="17" spans="1:26" s="290" customFormat="1" ht="11.4">
      <c r="A17" s="421"/>
      <c r="B17" s="421"/>
      <c r="C17" s="420" t="s">
        <v>428</v>
      </c>
      <c r="D17" s="307"/>
      <c r="E17" s="312">
        <v>234</v>
      </c>
      <c r="F17" s="429"/>
      <c r="G17" s="309"/>
      <c r="H17" s="425">
        <v>221</v>
      </c>
      <c r="I17" s="424"/>
      <c r="J17" s="309"/>
      <c r="K17" s="425">
        <v>201</v>
      </c>
      <c r="L17" s="424"/>
      <c r="M17" s="309"/>
      <c r="N17" s="425">
        <v>0</v>
      </c>
      <c r="O17" s="424"/>
      <c r="P17" s="307"/>
      <c r="Q17" s="425">
        <v>0</v>
      </c>
      <c r="R17" s="429"/>
      <c r="S17" s="309"/>
      <c r="T17" s="425">
        <v>0</v>
      </c>
      <c r="U17" s="422"/>
      <c r="V17" s="300"/>
      <c r="W17" s="425">
        <v>455</v>
      </c>
      <c r="Y17" s="300"/>
      <c r="Z17" s="425">
        <v>0</v>
      </c>
    </row>
    <row r="18" spans="1:26" s="290" customFormat="1" ht="11.4">
      <c r="A18" s="420"/>
      <c r="B18" s="420"/>
      <c r="C18" s="420"/>
      <c r="D18" s="307"/>
      <c r="E18" s="308">
        <v>4480</v>
      </c>
      <c r="F18" s="429"/>
      <c r="G18" s="309"/>
      <c r="H18" s="422">
        <v>4452</v>
      </c>
      <c r="I18" s="424"/>
      <c r="J18" s="309"/>
      <c r="K18" s="422">
        <v>4435</v>
      </c>
      <c r="L18" s="424"/>
      <c r="M18" s="309"/>
      <c r="N18" s="422">
        <v>4266</v>
      </c>
      <c r="O18" s="424"/>
      <c r="P18" s="307"/>
      <c r="Q18" s="422">
        <v>4299</v>
      </c>
      <c r="R18" s="429"/>
      <c r="S18" s="309"/>
      <c r="T18" s="422">
        <v>4299</v>
      </c>
      <c r="U18" s="308"/>
      <c r="V18" s="300"/>
      <c r="W18" s="422">
        <v>8932</v>
      </c>
      <c r="Y18" s="300"/>
      <c r="Z18" s="422">
        <v>8598</v>
      </c>
    </row>
    <row r="19" spans="1:26" s="290" customFormat="1" ht="11.4">
      <c r="A19" s="420"/>
      <c r="B19" s="420" t="s">
        <v>379</v>
      </c>
      <c r="C19" s="420"/>
      <c r="D19" s="307"/>
      <c r="E19" s="422"/>
      <c r="F19" s="429"/>
      <c r="G19" s="309"/>
      <c r="H19" s="422"/>
      <c r="I19" s="424"/>
      <c r="J19" s="309"/>
      <c r="K19" s="422"/>
      <c r="L19" s="424"/>
      <c r="M19" s="309"/>
      <c r="N19" s="422"/>
      <c r="O19" s="424"/>
      <c r="P19" s="307"/>
      <c r="Q19" s="422"/>
      <c r="R19" s="429"/>
      <c r="S19" s="309"/>
      <c r="T19" s="422"/>
      <c r="U19" s="422"/>
      <c r="V19" s="300"/>
      <c 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
      </c>
      <c r="L20" s="424"/>
      <c r="M20" s="309" t="s">
        <v>108</v>
      </c>
      <c r="N20" s="422">
        <v>2824</v>
      </c>
      <c r="O20" s="424"/>
      <c r="P20" s="307" t="s">
        <v>108</v>
      </c>
      <c r="Q20" s="308">
        <v>3024</v>
      </c>
      <c r="R20" s="429"/>
      <c r="S20" s="309" t="s">
        <v>108</v>
      </c>
      <c r="T20" s="422">
        <v>2896</v>
      </c>
      <c r="U20" s="308"/>
      <c r="V20" s="300" t="s">
        <v>108</v>
      </c>
      <c r="W20" s="308">
        <v>5682</v>
      </c>
      <c r="Y20" s="300" t="s">
        <v>108</v>
      </c>
      <c r="Z20" s="308">
        <v>5920</v>
      </c>
    </row>
    <row r="21" spans="1:26" s="290" customFormat="1" ht="11.4">
      <c r="A21" s="421"/>
      <c r="B21" s="421"/>
      <c r="C21" s="420" t="s">
        <v>369</v>
      </c>
      <c r="D21" s="307"/>
      <c r="E21" s="308">
        <v>125</v>
      </c>
      <c r="F21" s="429"/>
      <c r="G21" s="309"/>
      <c r="H21" s="422">
        <v>118</v>
      </c>
      <c r="I21" s="424"/>
      <c r="J21" s="309"/>
      <c r="K21" s="422">
        <v>129</v>
      </c>
      <c r="L21" s="424"/>
      <c r="M21" s="309"/>
      <c r="N21" s="422">
        <v>136</v>
      </c>
      <c r="O21" s="424"/>
      <c r="P21" s="307"/>
      <c r="Q21" s="422">
        <v>123</v>
      </c>
      <c r="R21" s="429"/>
      <c r="S21" s="309"/>
      <c r="T21" s="422">
        <v>122</v>
      </c>
      <c r="U21" s="422"/>
      <c r="V21" s="300"/>
      <c r="W21" s="422">
        <v>243</v>
      </c>
      <c r="Y21" s="300"/>
      <c r="Z21" s="422">
        <v>245</v>
      </c>
    </row>
    <row r="22" spans="1:26" s="290" customFormat="1" ht="11.4">
      <c r="A22" s="421"/>
      <c r="B22" s="421"/>
      <c r="C22" s="420" t="s">
        <v>428</v>
      </c>
      <c r="D22" s="307"/>
      <c r="E22" s="312">
        <v>178</v>
      </c>
      <c r="F22" s="429"/>
      <c r="G22" s="309"/>
      <c r="H22" s="425">
        <v>161</v>
      </c>
      <c r="I22" s="424"/>
      <c r="J22" s="309"/>
      <c r="K22" s="425">
        <v>157</v>
      </c>
      <c r="L22" s="424"/>
      <c r="M22" s="309"/>
      <c r="N22" s="425">
        <v>0</v>
      </c>
      <c r="O22" s="424"/>
      <c r="P22" s="307"/>
      <c r="Q22" s="425">
        <v>0</v>
      </c>
      <c r="R22" s="429"/>
      <c r="S22" s="309"/>
      <c r="T22" s="425">
        <v>0</v>
      </c>
      <c r="U22" s="422"/>
      <c r="V22" s="300"/>
      <c r="W22" s="425">
        <v>339</v>
      </c>
      <c r="Y22" s="300"/>
      <c r="Z22" s="425">
        <v>0</v>
      </c>
    </row>
    <row r="23" spans="1:26" s="290" customFormat="1" ht="11.4">
      <c r="A23" s="421"/>
      <c r="B23" s="421"/>
      <c r="C23" s="420"/>
      <c r="D23" s="307"/>
      <c r="E23" s="308">
        <v>3149</v>
      </c>
      <c r="F23" s="429"/>
      <c r="G23" s="309"/>
      <c r="H23" s="422">
        <v>3115</v>
      </c>
      <c r="I23" s="424"/>
      <c r="J23" s="309"/>
      <c r="K23" s="422">
        <v>3109</v>
      </c>
      <c r="L23" s="424"/>
      <c r="M23" s="309"/>
      <c r="N23" s="422">
        <v>2960</v>
      </c>
      <c r="O23" s="424"/>
      <c r="P23" s="307"/>
      <c r="Q23" s="308">
        <v>3147</v>
      </c>
      <c r="R23" s="429"/>
      <c r="S23" s="309"/>
      <c r="T23" s="422">
        <v>3018</v>
      </c>
      <c r="U23" s="308"/>
      <c r="V23" s="300"/>
      <c r="W23" s="308">
        <v>6264</v>
      </c>
      <c r="Y23" s="300"/>
      <c r="Z23" s="308">
        <v>6165</v>
      </c>
    </row>
    <row r="24" spans="1:26" s="290" customFormat="1" ht="11.4">
      <c r="A24" s="421"/>
      <c r="B24" s="420" t="s">
        <v>381</v>
      </c>
      <c r="C24" s="420"/>
      <c r="D24" s="307"/>
      <c r="E24" s="308"/>
      <c r="F24" s="429"/>
      <c r="G24" s="309"/>
      <c r="H24" s="308"/>
      <c r="I24" s="424"/>
      <c r="J24" s="309"/>
      <c r="K24" s="308"/>
      <c r="L24" s="424"/>
      <c r="M24" s="309"/>
      <c r="N24" s="308"/>
      <c r="O24" s="424"/>
      <c r="P24" s="307"/>
      <c r="Q24" s="308"/>
      <c r="R24" s="429"/>
      <c r="S24" s="309"/>
      <c r="T24" s="308"/>
      <c r="U24" s="308"/>
      <c r="V24" s="300"/>
      <c r="W24" s="308"/>
      <c r="Y24" s="300"/>
      <c r="Z24" s="308"/>
    </row>
    <row r="25" spans="1:26" s="290" customFormat="1" ht="11.4">
      <c r="A25" s="421"/>
      <c r="B25" s="420"/>
      <c r="C25" s="420" t="s">
        <v>361</v>
      </c>
      <c r="D25" s="307" t="s">
        <v>108</v>
      </c>
      <c r="E25" s="308">
        <v>1042</v>
      </c>
      <c r="F25" s="429"/>
      <c r="G25" s="309" t="s">
        <v>108</v>
      </c>
      <c r="H25" s="422">
        <v>1042</v>
      </c>
      <c r="I25" s="424"/>
      <c r="J25" s="309" t="s">
        <v>108</v>
      </c>
      <c r="K25" s="422">
        <v>1057</v>
      </c>
      <c r="L25" s="424"/>
      <c r="M25" s="309" t="s">
        <v>108</v>
      </c>
      <c r="N25" s="422">
        <v>1021</v>
      </c>
      <c r="O25" s="424"/>
      <c r="P25" s="307" t="s">
        <v>108</v>
      </c>
      <c r="Q25" s="308">
        <v>1036</v>
      </c>
      <c r="R25" s="429"/>
      <c r="S25" s="309" t="s">
        <v>108</v>
      </c>
      <c r="T25" s="422">
        <v>1021</v>
      </c>
      <c r="U25" s="308"/>
      <c r="V25" s="300" t="s">
        <v>108</v>
      </c>
      <c r="W25" s="308">
        <v>2084</v>
      </c>
      <c r="Y25" s="300" t="s">
        <v>108</v>
      </c>
      <c r="Z25" s="308">
        <v>2057</v>
      </c>
    </row>
    <row r="26" spans="1:26" s="290" customFormat="1" ht="11.4">
      <c r="A26" s="421"/>
      <c r="B26" s="421"/>
      <c r="C26" s="420" t="s">
        <v>369</v>
      </c>
      <c r="D26" s="307"/>
      <c r="E26" s="308">
        <v>42</v>
      </c>
      <c r="F26" s="429"/>
      <c r="G26" s="309"/>
      <c r="H26" s="422">
        <v>43</v>
      </c>
      <c r="I26" s="424"/>
      <c r="J26" s="309"/>
      <c r="K26" s="422">
        <v>44</v>
      </c>
      <c r="L26" s="424"/>
      <c r="M26" s="309"/>
      <c r="N26" s="422">
        <v>45</v>
      </c>
      <c r="O26" s="424"/>
      <c r="P26" s="307"/>
      <c r="Q26" s="422">
        <v>44</v>
      </c>
      <c r="R26" s="429"/>
      <c r="S26" s="309"/>
      <c r="T26" s="422">
        <v>46</v>
      </c>
      <c r="U26" s="422"/>
      <c r="V26" s="300"/>
      <c r="W26" s="422">
        <v>85</v>
      </c>
      <c r="Y26" s="300"/>
      <c r="Z26" s="422">
        <v>90</v>
      </c>
    </row>
    <row r="27" spans="1:26" s="290" customFormat="1" ht="11.4">
      <c r="A27" s="421"/>
      <c r="B27" s="421"/>
      <c r="C27" s="420" t="s">
        <v>428</v>
      </c>
      <c r="D27" s="307"/>
      <c r="E27" s="312">
        <v>95</v>
      </c>
      <c r="F27" s="429"/>
      <c r="G27" s="309"/>
      <c r="H27" s="425">
        <v>121</v>
      </c>
      <c r="I27" s="424"/>
      <c r="J27" s="309"/>
      <c r="K27" s="425">
        <v>88</v>
      </c>
      <c r="L27" s="424"/>
      <c r="M27" s="309"/>
      <c r="N27" s="425">
        <v>0</v>
      </c>
      <c r="O27" s="424"/>
      <c r="P27" s="307"/>
      <c r="Q27" s="425">
        <v>0</v>
      </c>
      <c r="R27" s="429"/>
      <c r="S27" s="309"/>
      <c r="T27" s="425">
        <v>0</v>
      </c>
      <c r="U27" s="422"/>
      <c r="V27" s="300"/>
      <c r="W27" s="425">
        <v>216</v>
      </c>
      <c r="Y27" s="300"/>
      <c r="Z27" s="425">
        <v>0</v>
      </c>
    </row>
    <row r="28" spans="1:26" s="290" customFormat="1" ht="11.4">
      <c r="A28" s="421"/>
      <c r="B28" s="421"/>
      <c r="C28" s="420"/>
      <c r="D28" s="307"/>
      <c r="E28" s="308">
        <v>1179</v>
      </c>
      <c r="F28" s="429"/>
      <c r="G28" s="309"/>
      <c r="H28" s="422">
        <v>1206</v>
      </c>
      <c r="I28" s="424"/>
      <c r="J28" s="309"/>
      <c r="K28" s="422">
        <v>1189</v>
      </c>
      <c r="L28" s="424"/>
      <c r="M28" s="309"/>
      <c r="N28" s="422">
        <v>1066</v>
      </c>
      <c r="O28" s="424"/>
      <c r="P28" s="307"/>
      <c r="Q28" s="422">
        <v>1080</v>
      </c>
      <c r="R28" s="429"/>
      <c r="S28" s="309"/>
      <c r="T28" s="422">
        <v>1067</v>
      </c>
      <c r="U28" s="308"/>
      <c r="V28" s="300"/>
      <c r="W28" s="422">
        <v>2385</v>
      </c>
      <c r="Y28" s="300"/>
      <c r="Z28" s="422">
        <v>2147</v>
      </c>
    </row>
    <row r="29" spans="1:26" s="290" customFormat="1" ht="11.4">
      <c r="A29" s="421" t="s">
        <v>298</v>
      </c>
      <c r="B29" s="421" t="s">
        <v>1002</v>
      </c>
      <c r="C29" s="420"/>
      <c r="D29" s="307"/>
      <c r="E29" s="308"/>
      <c r="F29" s="461"/>
      <c r="G29" s="309"/>
      <c r="H29" s="308"/>
      <c r="I29" s="420"/>
      <c r="J29" s="309"/>
      <c r="K29" s="308"/>
      <c r="L29" s="420"/>
      <c r="M29" s="309"/>
      <c r="N29" s="308"/>
      <c r="O29" s="308"/>
      <c r="P29" s="307"/>
      <c r="Q29" s="308"/>
      <c r="R29" s="461"/>
      <c r="S29" s="309"/>
      <c r="T29" s="308"/>
      <c r="U29" s="424"/>
      <c r="V29" s="309"/>
      <c r="W29" s="308"/>
      <c r="Y29" s="309"/>
      <c r="Z29" s="308"/>
    </row>
    <row r="30" spans="1:26" s="290" customFormat="1" ht="11.4">
      <c r="A30" s="421"/>
      <c r="B30" s="421"/>
      <c r="C30" s="420" t="s">
        <v>361</v>
      </c>
      <c r="D30" s="307" t="s">
        <v>108</v>
      </c>
      <c r="E30" s="308">
        <v>205</v>
      </c>
      <c r="F30" s="462"/>
      <c r="G30" s="309" t="s">
        <v>108</v>
      </c>
      <c r="H30" s="422">
        <v>202</v>
      </c>
      <c r="I30" s="420"/>
      <c r="J30" s="309" t="s">
        <v>108</v>
      </c>
      <c r="K30" s="422">
        <v>203</v>
      </c>
      <c r="L30" s="420"/>
      <c r="M30" s="309" t="s">
        <v>108</v>
      </c>
      <c r="N30" s="422">
        <v>267</v>
      </c>
      <c r="O30" s="422"/>
      <c r="P30" s="307" t="s">
        <v>108</v>
      </c>
      <c r="Q30" s="422">
        <v>83</v>
      </c>
      <c r="R30" s="462"/>
      <c r="S30" s="309" t="s">
        <v>108</v>
      </c>
      <c r="T30" s="422">
        <v>221</v>
      </c>
      <c r="U30" s="424"/>
      <c r="V30" s="300" t="s">
        <v>108</v>
      </c>
      <c r="W30" s="422">
        <v>407</v>
      </c>
      <c r="Y30" s="300" t="s">
        <v>108</v>
      </c>
      <c r="Z30" s="422">
        <v>304</v>
      </c>
    </row>
    <row r="31" spans="1:26" s="290" customFormat="1" ht="11.4">
      <c r="A31" s="421"/>
      <c r="B31" s="421"/>
      <c r="C31" s="420" t="s">
        <v>369</v>
      </c>
      <c r="D31" s="307"/>
      <c r="E31" s="308">
        <v>-14</v>
      </c>
      <c r="F31" s="429"/>
      <c r="G31" s="309"/>
      <c r="H31" s="422">
        <v>-10</v>
      </c>
      <c r="I31" s="424"/>
      <c r="J31" s="309"/>
      <c r="K31" s="422">
        <v>-22</v>
      </c>
      <c r="L31" s="424"/>
      <c r="M31" s="309"/>
      <c r="N31" s="422">
        <v>-27</v>
      </c>
      <c r="O31" s="424"/>
      <c r="P31" s="307"/>
      <c r="Q31" s="422">
        <v>-11</v>
      </c>
      <c r="R31" s="429"/>
      <c r="S31" s="309"/>
      <c r="T31" s="422">
        <v>-7</v>
      </c>
      <c r="U31" s="422"/>
      <c r="V31" s="300"/>
      <c r="W31" s="422">
        <v>-24</v>
      </c>
      <c r="Y31" s="300"/>
      <c r="Z31" s="422">
        <v>-18</v>
      </c>
    </row>
    <row r="32" spans="1:26" s="290" customFormat="1" ht="11.4">
      <c r="A32" s="421"/>
      <c r="B32" s="421"/>
      <c r="C32" s="420" t="s">
        <v>428</v>
      </c>
      <c r="D32" s="307"/>
      <c r="E32" s="312">
        <v>-39</v>
      </c>
      <c r="F32" s="429"/>
      <c r="G32" s="309"/>
      <c r="H32" s="425">
        <v>-61</v>
      </c>
      <c r="I32" s="424"/>
      <c r="J32" s="309"/>
      <c r="K32" s="425">
        <v>-44</v>
      </c>
      <c r="L32" s="424"/>
      <c r="M32" s="309"/>
      <c r="N32" s="425">
        <v>0</v>
      </c>
      <c r="O32" s="424"/>
      <c r="P32" s="307"/>
      <c r="Q32" s="425">
        <v>0</v>
      </c>
      <c r="R32" s="429"/>
      <c r="S32" s="309"/>
      <c r="T32" s="425">
        <v>0</v>
      </c>
      <c r="U32" s="422"/>
      <c r="V32" s="300"/>
      <c r="W32" s="425">
        <v>-100</v>
      </c>
      <c r="Y32" s="300"/>
      <c r="Z32" s="425">
        <v>0</v>
      </c>
    </row>
    <row r="33" spans="1:27" s="290" customFormat="1" ht="11.4">
      <c r="A33" s="421"/>
      <c r="B33" s="421"/>
      <c r="C33" s="420"/>
      <c r="D33" s="307"/>
      <c r="E33" s="308">
        <v>152</v>
      </c>
      <c r="F33" s="461"/>
      <c r="G33" s="309"/>
      <c r="H33" s="422">
        <v>131</v>
      </c>
      <c r="I33" s="420"/>
      <c r="J33" s="309"/>
      <c r="K33" s="422">
        <v>137</v>
      </c>
      <c r="L33" s="420"/>
      <c r="M33" s="309"/>
      <c r="N33" s="422">
        <v>240</v>
      </c>
      <c r="O33" s="308"/>
      <c r="P33" s="307"/>
      <c r="Q33" s="422">
        <v>72</v>
      </c>
      <c r="R33" s="461"/>
      <c r="S33" s="309"/>
      <c r="T33" s="422">
        <v>214</v>
      </c>
      <c r="U33" s="424"/>
      <c r="V33" s="309"/>
      <c r="W33" s="422">
        <v>283</v>
      </c>
      <c r="Y33" s="309"/>
      <c r="Z33" s="422">
        <v>286</v>
      </c>
    </row>
    <row r="34" spans="1:27" s="290" customFormat="1" ht="11.4">
      <c r="A34" s="420"/>
      <c r="B34" s="420" t="s">
        <v>355</v>
      </c>
      <c r="C34" s="420"/>
      <c r="D34" s="307"/>
      <c r="E34" s="422"/>
      <c r="F34" s="429"/>
      <c r="G34" s="309"/>
      <c r="H34" s="422"/>
      <c r="I34" s="424"/>
      <c r="J34" s="309"/>
      <c r="K34" s="422"/>
      <c r="L34" s="424"/>
      <c r="M34" s="309"/>
      <c r="N34" s="422"/>
      <c r="O34" s="424"/>
      <c r="P34" s="307"/>
      <c r="Q34" s="422"/>
      <c r="R34" s="429"/>
      <c r="S34" s="309"/>
      <c r="T34" s="422"/>
      <c r="U34" s="422"/>
      <c r="V34" s="300"/>
      <c r="W34" s="422"/>
      <c r="Y34" s="300"/>
      <c r="Z34" s="422"/>
    </row>
    <row r="35" spans="1:27" s="290" customFormat="1" ht="11.4">
      <c r="A35" s="420"/>
      <c r="B35" s="420"/>
      <c r="C35" s="420" t="s">
        <v>361</v>
      </c>
      <c r="D35" s="307"/>
      <c r="E35" s="426">
        <v>69.533349621304666</v>
      </c>
      <c r="F35" s="429"/>
      <c r="G35" s="309"/>
      <c r="H35" s="426">
        <v>69.509803921568619</v>
      </c>
      <c r="I35" s="424"/>
      <c r="J35" s="309"/>
      <c r="K35" s="426">
        <v>69.140337986774441</v>
      </c>
      <c r="L35" s="424"/>
      <c r="M35" s="309"/>
      <c r="N35" s="426">
        <v>68.677042801556425</v>
      </c>
      <c r="O35" s="424"/>
      <c r="P35" s="307"/>
      <c r="Q35" s="426">
        <v>72.99058653149892</v>
      </c>
      <c r="R35" s="429"/>
      <c r="S35" s="309"/>
      <c r="T35" s="426">
        <v>69.985500241662635</v>
      </c>
      <c r="U35" s="426"/>
      <c r="V35" s="300"/>
      <c r="W35" s="426">
        <v>69.521595497369375</v>
      </c>
      <c r="Y35" s="300"/>
      <c r="Z35" s="426">
        <v>71.488950609829729</v>
      </c>
    </row>
    <row r="36" spans="1:27" s="290" customFormat="1" ht="11.4">
      <c r="A36" s="420"/>
      <c r="B36" s="420"/>
      <c r="C36" s="420" t="s">
        <v>369</v>
      </c>
      <c r="D36" s="307"/>
      <c r="E36" s="426">
        <v>81.699346405228752</v>
      </c>
      <c r="F36" s="429"/>
      <c r="G36" s="309"/>
      <c r="H36" s="426">
        <v>78.145695364238406</v>
      </c>
      <c r="I36" s="424"/>
      <c r="J36" s="309"/>
      <c r="K36" s="426">
        <v>85.430463576158942</v>
      </c>
      <c r="L36" s="424"/>
      <c r="M36" s="309"/>
      <c r="N36" s="426">
        <v>88.311688311688314</v>
      </c>
      <c r="O36" s="424"/>
      <c r="P36" s="307"/>
      <c r="Q36" s="426">
        <v>78.946153846153834</v>
      </c>
      <c r="R36" s="429"/>
      <c r="S36" s="309"/>
      <c r="T36" s="426">
        <v>75.776397515527947</v>
      </c>
      <c r="U36" s="426"/>
      <c r="V36" s="300"/>
      <c r="W36" s="426">
        <v>79.93421052631578</v>
      </c>
      <c r="Y36" s="300"/>
      <c r="Z36" s="426">
        <v>77.287066246056781</v>
      </c>
    </row>
    <row r="37" spans="1:27" s="290" customFormat="1" ht="11.4">
      <c r="A37" s="420"/>
      <c r="B37" s="420"/>
      <c r="C37" s="420" t="s">
        <v>428</v>
      </c>
      <c r="D37" s="307"/>
      <c r="E37" s="426">
        <v>76.068376068376068</v>
      </c>
      <c r="F37" s="429"/>
      <c r="G37" s="309"/>
      <c r="H37" s="426">
        <v>72.750678733031677</v>
      </c>
      <c r="I37" s="424"/>
      <c r="J37" s="309"/>
      <c r="K37" s="426">
        <v>78.109452736318403</v>
      </c>
      <c r="L37" s="424"/>
      <c r="M37" s="309"/>
      <c r="N37" s="426">
        <v>0</v>
      </c>
      <c r="O37" s="424"/>
      <c r="P37" s="307"/>
      <c r="Q37" s="426">
        <v>0</v>
      </c>
      <c r="R37" s="429"/>
      <c r="S37" s="309"/>
      <c r="T37" s="426">
        <v>0</v>
      </c>
      <c r="U37" s="426"/>
      <c r="V37" s="300"/>
      <c r="W37" s="426">
        <v>74.505494505494511</v>
      </c>
      <c r="Y37" s="300"/>
      <c r="Z37" s="426">
        <v>0</v>
      </c>
    </row>
    <row r="38" spans="1:27" s="290" customFormat="1" ht="11.4">
      <c r="A38" s="420"/>
      <c r="B38" s="420"/>
      <c r="C38" s="420" t="s">
        <v>1003</v>
      </c>
      <c r="D38" s="307"/>
      <c r="E38" s="426">
        <v>70.290178571428569</v>
      </c>
      <c r="F38" s="429"/>
      <c r="G38" s="309"/>
      <c r="H38" s="426">
        <v>69.968553459119505</v>
      </c>
      <c r="I38" s="424"/>
      <c r="J38" s="309"/>
      <c r="K38" s="426">
        <v>70.101465614430666</v>
      </c>
      <c r="L38" s="424"/>
      <c r="M38" s="309"/>
      <c r="N38" s="426">
        <v>69.385841537740262</v>
      </c>
      <c r="O38" s="424"/>
      <c r="P38" s="307"/>
      <c r="Q38" s="426">
        <v>73.203070481507325</v>
      </c>
      <c r="R38" s="429"/>
      <c r="S38" s="309"/>
      <c r="T38" s="426">
        <v>70.202372644801116</v>
      </c>
      <c r="U38" s="426"/>
      <c r="V38" s="300"/>
      <c r="W38" s="426">
        <v>70.129870129870127</v>
      </c>
      <c r="Y38" s="300"/>
      <c r="Z38" s="426">
        <v>71.702721563154228</v>
      </c>
      <c r="AA38" s="454"/>
    </row>
    <row r="39" spans="1:27" s="290" customFormat="1" ht="11.4">
      <c r="A39" s="420"/>
      <c r="B39" s="420" t="s">
        <v>356</v>
      </c>
      <c r="C39" s="420"/>
      <c r="D39" s="307"/>
      <c r="E39" s="308"/>
      <c r="F39" s="429"/>
      <c r="G39" s="309"/>
      <c r="H39" s="426"/>
      <c r="I39" s="424"/>
      <c r="J39" s="309"/>
      <c r="K39" s="426"/>
      <c r="L39" s="424"/>
      <c r="M39" s="309"/>
      <c r="N39" s="308"/>
      <c r="O39" s="424"/>
      <c r="P39" s="307"/>
      <c r="Q39" s="308"/>
      <c r="R39" s="429"/>
      <c r="S39" s="309"/>
      <c r="T39" s="426"/>
      <c r="U39" s="422"/>
      <c r="V39" s="300"/>
      <c r="W39" s="308"/>
      <c r="Y39" s="300"/>
      <c r="Z39" s="308"/>
    </row>
    <row r="40" spans="1:27" s="290" customFormat="1" ht="11.4">
      <c r="A40" s="420"/>
      <c r="B40" s="420"/>
      <c r="C40" s="420" t="s">
        <v>361</v>
      </c>
      <c r="D40" s="444"/>
      <c r="E40" s="426">
        <v>25.458099193745419</v>
      </c>
      <c r="F40" s="429"/>
      <c r="G40" s="438"/>
      <c r="H40" s="426">
        <v>25.53921568627451</v>
      </c>
      <c r="I40" s="424"/>
      <c r="J40" s="438"/>
      <c r="K40" s="426">
        <v>25.887827577761453</v>
      </c>
      <c r="L40" s="424"/>
      <c r="M40" s="438"/>
      <c r="N40" s="426">
        <v>24.829766536964982</v>
      </c>
      <c r="O40" s="424"/>
      <c r="P40" s="444"/>
      <c r="Q40" s="426">
        <v>25.006034274680182</v>
      </c>
      <c r="R40" s="429"/>
      <c r="S40" s="438"/>
      <c r="T40" s="426">
        <v>24.673755437409376</v>
      </c>
      <c r="U40" s="426"/>
      <c r="V40" s="300"/>
      <c r="W40" s="426">
        <v>25.498592927933437</v>
      </c>
      <c r="Y40" s="300"/>
      <c r="Z40" s="426">
        <v>24.839995169665499</v>
      </c>
    </row>
    <row r="41" spans="1:27" s="290" customFormat="1" ht="11.4">
      <c r="A41" s="420"/>
      <c r="B41" s="420"/>
      <c r="C41" s="420" t="s">
        <v>369</v>
      </c>
      <c r="D41" s="444"/>
      <c r="E41" s="426">
        <v>27.450980392156865</v>
      </c>
      <c r="F41" s="429"/>
      <c r="G41" s="438"/>
      <c r="H41" s="426">
        <v>28.476821192052981</v>
      </c>
      <c r="I41" s="424"/>
      <c r="J41" s="438"/>
      <c r="K41" s="426">
        <v>29.23907284768212</v>
      </c>
      <c r="L41" s="424"/>
      <c r="M41" s="438"/>
      <c r="N41" s="426">
        <v>29.220779220779221</v>
      </c>
      <c r="O41" s="424"/>
      <c r="P41" s="444"/>
      <c r="Q41" s="426">
        <v>28.205128205128204</v>
      </c>
      <c r="R41" s="429"/>
      <c r="S41" s="438"/>
      <c r="T41" s="426">
        <v>28.471428571428568</v>
      </c>
      <c r="U41" s="426"/>
      <c r="V41" s="300"/>
      <c r="W41" s="426">
        <v>27.960526315789476</v>
      </c>
      <c r="Y41" s="300"/>
      <c r="Z41" s="426">
        <v>28.391167192429023</v>
      </c>
    </row>
    <row r="42" spans="1:27" s="290" customFormat="1" ht="11.4">
      <c r="A42" s="420"/>
      <c r="B42" s="420"/>
      <c r="C42" s="420" t="s">
        <v>428</v>
      </c>
      <c r="D42" s="444"/>
      <c r="E42" s="426">
        <v>40.598290598290596</v>
      </c>
      <c r="F42" s="429"/>
      <c r="G42" s="438"/>
      <c r="H42" s="426">
        <v>54.751131221719461</v>
      </c>
      <c r="I42" s="424"/>
      <c r="J42" s="438"/>
      <c r="K42" s="426">
        <v>43.781094527363187</v>
      </c>
      <c r="L42" s="424"/>
      <c r="M42" s="438"/>
      <c r="N42" s="426">
        <v>0</v>
      </c>
      <c r="O42" s="424"/>
      <c r="P42" s="444"/>
      <c r="Q42" s="426">
        <v>0</v>
      </c>
      <c r="R42" s="429"/>
      <c r="S42" s="438"/>
      <c r="T42" s="426">
        <v>0</v>
      </c>
      <c r="U42" s="426"/>
      <c r="V42" s="300"/>
      <c r="W42" s="426">
        <v>47.472527472527467</v>
      </c>
      <c r="Y42" s="300"/>
      <c r="Z42" s="426">
        <v>0</v>
      </c>
    </row>
    <row r="43" spans="1:27" s="290" customFormat="1" ht="11.4">
      <c r="A43" s="420"/>
      <c r="B43" s="420"/>
      <c r="C43" s="420" t="s">
        <v>1003</v>
      </c>
      <c r="D43" s="444"/>
      <c r="E43" s="426">
        <v>26.316964285714285</v>
      </c>
      <c r="F43" s="429"/>
      <c r="G43" s="438"/>
      <c r="H43" s="426">
        <v>27.088948787061994</v>
      </c>
      <c r="I43" s="424"/>
      <c r="J43" s="438"/>
      <c r="K43" s="426">
        <v>26.809470124013529</v>
      </c>
      <c r="L43" s="424"/>
      <c r="M43" s="438"/>
      <c r="N43" s="426">
        <v>24.988279418659165</v>
      </c>
      <c r="O43" s="424"/>
      <c r="P43" s="444"/>
      <c r="Q43" s="426">
        <v>25.122121423586879</v>
      </c>
      <c r="R43" s="429"/>
      <c r="S43" s="438"/>
      <c r="T43" s="426">
        <v>24.819725517562226</v>
      </c>
      <c r="U43" s="426"/>
      <c r="V43" s="300"/>
      <c r="W43" s="426">
        <v>26.701746529332738</v>
      </c>
      <c r="Y43" s="300"/>
      <c r="Z43" s="426">
        <v>24.970923470574551</v>
      </c>
      <c r="AA43" s="455"/>
    </row>
    <row r="44" spans="1:27" s="290" customFormat="1" ht="11.4">
      <c r="A44" s="420"/>
      <c r="B44" s="420" t="s">
        <v>357</v>
      </c>
      <c r="C44" s="306"/>
      <c r="D44" s="307"/>
      <c r="E44" s="308"/>
      <c r="F44" s="429"/>
      <c r="G44" s="309"/>
      <c r="H44" s="308"/>
      <c r="I44" s="424"/>
      <c r="J44" s="309"/>
      <c r="K44" s="308"/>
      <c r="L44" s="424"/>
      <c r="M44" s="309"/>
      <c r="N44" s="308"/>
      <c r="O44" s="424"/>
      <c r="P44" s="307"/>
      <c r="Q44" s="308"/>
      <c r="R44" s="429"/>
      <c r="S44" s="309"/>
      <c r="T44" s="308"/>
      <c r="U44" s="308"/>
      <c r="V44" s="300"/>
      <c r="W44" s="308"/>
      <c r="Y44" s="300"/>
      <c r="Z44" s="308"/>
    </row>
    <row r="45" spans="1:27" s="290" customFormat="1" ht="11.4">
      <c r="A45" s="420"/>
      <c r="B45" s="420"/>
      <c r="C45" s="420" t="s">
        <v>361</v>
      </c>
      <c r="D45" s="307"/>
      <c r="E45" s="426">
        <v>94.991448815050077</v>
      </c>
      <c r="F45" s="429"/>
      <c r="G45" s="309"/>
      <c r="H45" s="426">
        <v>95.049019607843135</v>
      </c>
      <c r="I45" s="424"/>
      <c r="J45" s="309"/>
      <c r="K45" s="426">
        <v>95.028165564535882</v>
      </c>
      <c r="L45" s="424"/>
      <c r="M45" s="309"/>
      <c r="N45" s="426">
        <v>93.506809338521407</v>
      </c>
      <c r="O45" s="424"/>
      <c r="P45" s="307"/>
      <c r="Q45" s="426">
        <v>97.996620806179095</v>
      </c>
      <c r="R45" s="429"/>
      <c r="S45" s="309"/>
      <c r="T45" s="426">
        <v>94.659255679072018</v>
      </c>
      <c r="U45" s="426"/>
      <c r="V45" s="300"/>
      <c r="W45" s="426">
        <v>95.020188425302834</v>
      </c>
      <c r="Y45" s="300"/>
      <c r="Z45" s="426">
        <v>96.328945779495228</v>
      </c>
    </row>
    <row r="46" spans="1:27" s="290" customFormat="1" ht="11.4">
      <c r="A46" s="420"/>
      <c r="B46" s="420"/>
      <c r="C46" s="420" t="s">
        <v>369</v>
      </c>
      <c r="D46" s="307"/>
      <c r="E46" s="426">
        <v>109.15032679738562</v>
      </c>
      <c r="F46" s="429"/>
      <c r="G46" s="309"/>
      <c r="H46" s="426">
        <v>106.62251655629137</v>
      </c>
      <c r="I46" s="424"/>
      <c r="J46" s="309"/>
      <c r="K46" s="426">
        <v>114.56953642384107</v>
      </c>
      <c r="L46" s="424"/>
      <c r="M46" s="309"/>
      <c r="N46" s="426">
        <v>117.53246753246754</v>
      </c>
      <c r="O46" s="424"/>
      <c r="P46" s="307"/>
      <c r="Q46" s="426">
        <v>107.05128205128204</v>
      </c>
      <c r="R46" s="429"/>
      <c r="S46" s="309"/>
      <c r="T46" s="426">
        <v>104.34782608695652</v>
      </c>
      <c r="U46" s="426"/>
      <c r="V46" s="300"/>
      <c r="W46" s="426">
        <v>107.89473684210526</v>
      </c>
      <c r="Y46" s="300"/>
      <c r="Z46" s="426">
        <v>105.67823343848582</v>
      </c>
    </row>
    <row r="47" spans="1:27" s="290" customFormat="1" ht="11.4">
      <c r="A47" s="420"/>
      <c r="B47" s="420"/>
      <c r="C47" s="420" t="s">
        <v>428</v>
      </c>
      <c r="D47" s="307"/>
      <c r="E47" s="426">
        <v>116.66666666666667</v>
      </c>
      <c r="F47" s="429"/>
      <c r="G47" s="309"/>
      <c r="H47" s="426">
        <v>127.60180995475112</v>
      </c>
      <c r="I47" s="424"/>
      <c r="J47" s="309"/>
      <c r="K47" s="426">
        <v>121.89054726368158</v>
      </c>
      <c r="L47" s="424"/>
      <c r="M47" s="309"/>
      <c r="N47" s="426">
        <v>0</v>
      </c>
      <c r="O47" s="424"/>
      <c r="P47" s="307"/>
      <c r="Q47" s="426">
        <v>0</v>
      </c>
      <c r="R47" s="429"/>
      <c r="S47" s="309"/>
      <c r="T47" s="426">
        <v>0</v>
      </c>
      <c r="U47" s="426"/>
      <c r="V47" s="300"/>
      <c r="W47" s="426">
        <v>121.97802197802199</v>
      </c>
      <c r="Y47" s="300"/>
      <c r="Z47" s="426">
        <v>0</v>
      </c>
    </row>
    <row r="48" spans="1:27" s="290" customFormat="1" ht="11.4">
      <c r="A48" s="421"/>
      <c r="B48" s="421"/>
      <c r="C48" s="420" t="s">
        <v>1003</v>
      </c>
      <c r="D48" s="307"/>
      <c r="E48" s="426">
        <v>96.607142857142861</v>
      </c>
      <c r="F48" s="429"/>
      <c r="G48" s="309"/>
      <c r="H48" s="426">
        <v>97.0575022461815</v>
      </c>
      <c r="I48" s="424"/>
      <c r="J48" s="309"/>
      <c r="K48" s="426">
        <v>96.910935738444195</v>
      </c>
      <c r="L48" s="424"/>
      <c r="M48" s="309"/>
      <c r="N48" s="426">
        <v>94.374120956399437</v>
      </c>
      <c r="O48" s="424"/>
      <c r="P48" s="307"/>
      <c r="Q48" s="426">
        <v>98.325191905094215</v>
      </c>
      <c r="R48" s="429"/>
      <c r="S48" s="309"/>
      <c r="T48" s="426">
        <v>95.022098162363349</v>
      </c>
      <c r="U48" s="426"/>
      <c r="V48" s="300"/>
      <c r="W48" s="426">
        <v>96.831616659202865</v>
      </c>
      <c r="Y48" s="300"/>
      <c r="Z48" s="426">
        <v>96.673645033728775</v>
      </c>
    </row>
    <row r="49" spans="1:28" s="290" customFormat="1" ht="11.4">
      <c r="A49" s="420"/>
      <c r="B49" s="420" t="s">
        <v>1004</v>
      </c>
      <c r="C49" s="428"/>
      <c r="D49" s="307"/>
      <c r="E49" s="308"/>
      <c r="F49" s="429"/>
      <c r="G49" s="309"/>
      <c r="H49" s="308"/>
      <c r="I49" s="424"/>
      <c r="J49" s="309"/>
      <c r="K49" s="308"/>
      <c r="L49" s="424"/>
      <c r="M49" s="309"/>
      <c r="N49" s="308"/>
      <c r="O49" s="424"/>
      <c r="P49" s="307"/>
      <c r="Q49" s="308"/>
      <c r="R49" s="429"/>
      <c r="S49" s="309"/>
      <c r="T49" s="308"/>
      <c r="U49" s="308"/>
      <c r="V49" s="300"/>
      <c r="W49" s="308"/>
      <c r="Y49" s="300"/>
      <c r="Z49" s="308"/>
    </row>
    <row r="50" spans="1:28" s="290" customFormat="1" ht="11.4">
      <c r="A50" s="420"/>
      <c r="B50" s="420"/>
      <c r="C50" s="420" t="s">
        <v>361</v>
      </c>
      <c r="D50" s="307"/>
      <c r="E50" s="426">
        <v>3.8</v>
      </c>
      <c r="F50" s="429"/>
      <c r="G50" s="309"/>
      <c r="H50" s="426">
        <v>1.1764705882352942</v>
      </c>
      <c r="I50" s="424"/>
      <c r="J50" s="309"/>
      <c r="K50" s="426">
        <v>0.19593436198873376</v>
      </c>
      <c r="L50" s="424"/>
      <c r="M50" s="309"/>
      <c r="N50" s="426">
        <v>2.7480544747081712</v>
      </c>
      <c r="O50" s="424"/>
      <c r="P50" s="307"/>
      <c r="Q50" s="426">
        <v>6.5652908520395847</v>
      </c>
      <c r="R50" s="429"/>
      <c r="S50" s="309"/>
      <c r="T50" s="426">
        <v>0.4</v>
      </c>
      <c r="U50" s="426"/>
      <c r="V50" s="300"/>
      <c r="W50" s="426">
        <v>2.5</v>
      </c>
      <c r="Y50" s="300"/>
      <c r="Z50" s="426">
        <v>3.5019925129815244</v>
      </c>
    </row>
    <row r="51" spans="1:28" s="290" customFormat="1" ht="11.4">
      <c r="A51" s="420"/>
      <c r="B51" s="420"/>
      <c r="C51" s="420" t="s">
        <v>369</v>
      </c>
      <c r="D51" s="307"/>
      <c r="E51" s="880">
        <v>2.6</v>
      </c>
      <c r="F51" s="429"/>
      <c r="G51" s="309"/>
      <c r="H51" s="426">
        <v>0.66225165562913912</v>
      </c>
      <c r="I51" s="424"/>
      <c r="J51" s="309"/>
      <c r="K51" s="426">
        <v>0.66225165562913912</v>
      </c>
      <c r="L51" s="424"/>
      <c r="M51" s="309"/>
      <c r="N51" s="426">
        <v>3.2467532467532463</v>
      </c>
      <c r="O51" s="424"/>
      <c r="P51" s="307"/>
      <c r="Q51" s="880">
        <v>3.2051282051282048</v>
      </c>
      <c r="R51" s="429"/>
      <c r="S51" s="309"/>
      <c r="T51" s="426">
        <v>0</v>
      </c>
      <c r="U51" s="426"/>
      <c r="V51" s="300"/>
      <c r="W51" s="426">
        <v>1.6</v>
      </c>
      <c r="Y51" s="300"/>
      <c r="Z51" s="426">
        <v>1.5772870662460567</v>
      </c>
    </row>
    <row r="52" spans="1:28" s="290" customFormat="1" ht="11.4">
      <c r="A52" s="420"/>
      <c r="B52" s="420"/>
      <c r="C52" s="420" t="s">
        <v>428</v>
      </c>
      <c r="D52" s="307"/>
      <c r="E52" s="880">
        <v>2.6</v>
      </c>
      <c r="F52" s="429"/>
      <c r="G52" s="309"/>
      <c r="H52" s="426">
        <v>0.35248868778280551</v>
      </c>
      <c r="I52" s="424"/>
      <c r="J52" s="309"/>
      <c r="K52" s="426">
        <v>0</v>
      </c>
      <c r="L52" s="424"/>
      <c r="M52" s="309"/>
      <c r="N52" s="426">
        <v>0</v>
      </c>
      <c r="O52" s="424"/>
      <c r="P52" s="307"/>
      <c r="Q52" s="880">
        <v>0</v>
      </c>
      <c r="R52" s="429"/>
      <c r="S52" s="309"/>
      <c r="T52" s="426">
        <v>0</v>
      </c>
      <c r="U52" s="426"/>
      <c r="V52" s="300"/>
      <c r="W52" s="426">
        <v>1.5</v>
      </c>
      <c r="Y52" s="300"/>
      <c r="Z52" s="426">
        <v>0</v>
      </c>
    </row>
    <row r="53" spans="1:28" s="290" customFormat="1" ht="11.4">
      <c r="A53" s="420"/>
      <c r="B53" s="420" t="s">
        <v>691</v>
      </c>
      <c r="C53" s="420"/>
      <c r="D53" s="307"/>
      <c r="E53" s="426"/>
      <c r="F53" s="429"/>
      <c r="G53" s="309"/>
      <c r="H53" s="426"/>
      <c r="I53" s="424"/>
      <c r="J53" s="309"/>
      <c r="K53" s="426"/>
      <c r="L53" s="424"/>
      <c r="M53" s="309"/>
      <c r="N53" s="426"/>
      <c r="O53" s="424"/>
      <c r="P53" s="307"/>
      <c r="Q53" s="426"/>
      <c r="R53" s="429"/>
      <c r="S53" s="309"/>
      <c r="T53" s="426"/>
      <c r="U53" s="426"/>
      <c r="V53" s="300"/>
      <c r="W53" s="426"/>
      <c r="Y53" s="300"/>
      <c r="Z53" s="426"/>
    </row>
    <row r="54" spans="1:28" s="290" customFormat="1" ht="11.4">
      <c r="A54" s="420"/>
      <c r="B54" s="420"/>
      <c r="C54" s="420" t="s">
        <v>361</v>
      </c>
      <c r="D54" s="307"/>
      <c r="E54" s="426">
        <v>-2</v>
      </c>
      <c r="F54" s="429"/>
      <c r="G54" s="309"/>
      <c r="H54" s="426">
        <v>-1.2009803921568629</v>
      </c>
      <c r="I54" s="424"/>
      <c r="J54" s="309"/>
      <c r="K54" s="426">
        <v>-3.3</v>
      </c>
      <c r="L54" s="424"/>
      <c r="M54" s="309"/>
      <c r="N54" s="426">
        <v>-3.5505836575875485</v>
      </c>
      <c r="O54" s="424"/>
      <c r="P54" s="307"/>
      <c r="Q54" s="426">
        <v>-2.1</v>
      </c>
      <c r="R54" s="429"/>
      <c r="S54" s="309"/>
      <c r="T54" s="426">
        <v>-0.6</v>
      </c>
      <c r="U54" s="426"/>
      <c r="V54" s="300"/>
      <c r="W54" s="426">
        <v>-1.6</v>
      </c>
      <c r="Y54" s="300"/>
      <c r="Z54" s="426">
        <v>-1.3645694964376283</v>
      </c>
    </row>
    <row r="55" spans="1:28" s="290" customFormat="1" ht="12" customHeight="1">
      <c r="A55" s="420"/>
      <c r="B55" s="420"/>
      <c r="C55" s="420" t="s">
        <v>369</v>
      </c>
      <c r="D55" s="307"/>
      <c r="E55" s="880">
        <v>-0.7</v>
      </c>
      <c r="F55" s="429"/>
      <c r="G55" s="309"/>
      <c r="H55" s="426">
        <v>0.66225165562913912</v>
      </c>
      <c r="I55" s="424"/>
      <c r="J55" s="309"/>
      <c r="K55" s="426">
        <v>0</v>
      </c>
      <c r="L55" s="424"/>
      <c r="M55" s="309"/>
      <c r="N55" s="426">
        <v>6.4935064935064926</v>
      </c>
      <c r="O55" s="424"/>
      <c r="P55" s="307"/>
      <c r="Q55" s="880">
        <v>-0.6</v>
      </c>
      <c r="R55" s="429"/>
      <c r="S55" s="309"/>
      <c r="T55" s="426">
        <v>3.1</v>
      </c>
      <c r="U55" s="426"/>
      <c r="V55" s="300"/>
      <c r="W55" s="426">
        <v>0</v>
      </c>
      <c r="Y55" s="300"/>
      <c r="Z55" s="426">
        <v>1.2618296529968454</v>
      </c>
    </row>
    <row r="56" spans="1:28" s="290" customFormat="1" ht="11.4">
      <c r="A56" s="420"/>
      <c r="B56" s="420"/>
      <c r="C56" s="420" t="s">
        <v>428</v>
      </c>
      <c r="D56" s="307"/>
      <c r="E56" s="880">
        <v>0</v>
      </c>
      <c r="F56" s="429"/>
      <c r="G56" s="309"/>
      <c r="H56" s="426">
        <v>0</v>
      </c>
      <c r="I56" s="424"/>
      <c r="J56" s="309"/>
      <c r="K56" s="426">
        <v>0</v>
      </c>
      <c r="L56" s="424"/>
      <c r="M56" s="309"/>
      <c r="N56" s="426">
        <v>0</v>
      </c>
      <c r="O56" s="424"/>
      <c r="P56" s="307"/>
      <c r="Q56" s="880">
        <v>0</v>
      </c>
      <c r="R56" s="429"/>
      <c r="S56" s="309"/>
      <c r="T56" s="426">
        <v>0</v>
      </c>
      <c r="U56" s="426"/>
      <c r="V56" s="300"/>
      <c r="W56" s="426">
        <v>0</v>
      </c>
      <c r="Y56" s="300"/>
      <c r="Z56" s="426">
        <v>0</v>
      </c>
    </row>
    <row r="57" spans="1:28" s="290" customFormat="1" ht="11.4">
      <c r="A57" s="420"/>
      <c r="B57" s="420" t="s">
        <v>955</v>
      </c>
      <c r="C57" s="420"/>
      <c r="D57" s="307"/>
      <c r="E57" s="426"/>
      <c r="F57" s="429"/>
      <c r="G57" s="309"/>
      <c r="H57" s="426"/>
      <c r="I57" s="424"/>
      <c r="J57" s="309"/>
      <c r="K57" s="426"/>
      <c r="L57" s="424"/>
      <c r="M57" s="309"/>
      <c r="N57" s="426"/>
      <c r="O57" s="424"/>
      <c r="P57" s="307"/>
      <c r="Q57" s="426"/>
      <c r="R57" s="429"/>
      <c r="S57" s="309"/>
      <c r="T57" s="426"/>
      <c r="U57" s="426"/>
      <c r="V57" s="300"/>
      <c r="W57" s="426"/>
      <c r="Y57" s="300"/>
      <c r="Z57" s="426"/>
    </row>
    <row r="58" spans="1:28" s="290" customFormat="1" ht="11.4">
      <c r="A58" s="420"/>
      <c r="B58" s="420" t="s">
        <v>974</v>
      </c>
      <c r="C58" s="420" t="s">
        <v>10</v>
      </c>
      <c r="D58" s="307"/>
      <c r="E58" s="426"/>
      <c r="F58" s="429"/>
      <c r="G58" s="309"/>
      <c r="H58" s="426"/>
      <c r="I58" s="424"/>
      <c r="J58" s="309"/>
      <c r="K58" s="426"/>
      <c r="L58" s="424"/>
      <c r="M58" s="309"/>
      <c r="N58" s="426"/>
      <c r="O58" s="424"/>
      <c r="P58" s="307"/>
      <c r="Q58" s="426"/>
      <c r="R58" s="429"/>
      <c r="S58" s="309"/>
      <c r="T58" s="426"/>
      <c r="U58" s="426"/>
      <c r="V58" s="300"/>
      <c r="W58" s="426"/>
      <c r="Y58" s="300"/>
      <c r="Z58" s="426"/>
    </row>
    <row r="59" spans="1:28" s="290" customFormat="1" ht="11.4">
      <c r="A59" s="420"/>
      <c r="B59" s="246"/>
      <c r="C59" s="420" t="s">
        <v>428</v>
      </c>
      <c r="D59" s="307"/>
      <c r="E59" s="880">
        <v>8.1</v>
      </c>
      <c r="F59" s="429"/>
      <c r="G59" s="309"/>
      <c r="H59" s="426">
        <v>18.099547511312217</v>
      </c>
      <c r="I59" s="424"/>
      <c r="J59" s="309"/>
      <c r="K59" s="426">
        <v>20.9</v>
      </c>
      <c r="L59" s="424"/>
      <c r="M59" s="309"/>
      <c r="N59" s="426">
        <v>0</v>
      </c>
      <c r="O59" s="424"/>
      <c r="P59" s="307"/>
      <c r="Q59" s="880">
        <v>0</v>
      </c>
      <c r="R59" s="429"/>
      <c r="S59" s="309"/>
      <c r="T59" s="426">
        <v>0</v>
      </c>
      <c r="U59" s="426"/>
      <c r="V59" s="300"/>
      <c r="W59" s="426">
        <v>13</v>
      </c>
      <c r="Y59" s="300"/>
      <c r="Z59" s="426">
        <v>0</v>
      </c>
    </row>
    <row r="60" spans="1:28" s="290" customFormat="1" ht="12" thickBot="1">
      <c r="A60" s="420"/>
      <c r="B60" s="420"/>
      <c r="C60" s="420"/>
      <c r="D60" s="432"/>
      <c r="E60" s="433"/>
      <c r="F60" s="456"/>
      <c r="G60" s="309"/>
      <c r="H60" s="426"/>
      <c r="I60" s="424"/>
      <c r="J60" s="309"/>
      <c r="K60" s="426"/>
      <c r="L60" s="424"/>
      <c r="M60" s="309"/>
      <c r="N60" s="426"/>
      <c r="O60" s="424"/>
      <c r="P60" s="432"/>
      <c r="Q60" s="433"/>
      <c r="R60" s="456"/>
      <c r="S60" s="309"/>
      <c r="T60" s="426"/>
      <c r="U60" s="426"/>
      <c r="V60" s="300"/>
      <c r="W60" s="426"/>
      <c r="Y60" s="300"/>
      <c r="Z60" s="426"/>
    </row>
    <row r="61" spans="1:28">
      <c r="A61" s="420"/>
      <c r="B61" s="420"/>
      <c r="C61" s="446"/>
      <c r="F61" s="439"/>
      <c r="G61" s="447"/>
      <c r="H61" s="448"/>
      <c r="I61" s="448"/>
      <c r="J61" s="447"/>
      <c r="K61" s="448"/>
      <c r="L61" s="448"/>
      <c r="M61" s="447"/>
      <c r="N61" s="448"/>
      <c r="O61" s="448"/>
      <c r="P61" s="447"/>
      <c r="Q61" s="448"/>
      <c r="R61" s="446"/>
      <c r="S61" s="447"/>
      <c r="T61" s="448"/>
      <c r="U61" s="449"/>
      <c r="V61" s="449"/>
      <c r="W61" s="313"/>
      <c r="Y61" s="449"/>
      <c r="Z61" s="313"/>
      <c r="AB61" s="290"/>
    </row>
    <row r="62" spans="1:28" s="290" customFormat="1" ht="13.5" customHeight="1">
      <c r="A62" s="440"/>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spans="1:28">
      <c r="A63" s="453"/>
      <c r="B63" s="453"/>
      <c r="C63" s="453"/>
      <c r="D63" s="457"/>
      <c r="E63" s="458"/>
      <c r="F63" s="458"/>
      <c r="J63" s="442"/>
      <c r="K63" s="313"/>
      <c r="L63" s="313"/>
      <c r="M63" s="442"/>
      <c r="N63" s="313"/>
      <c r="O63" s="313"/>
      <c r="S63" s="442"/>
      <c r="T63" s="313"/>
    </row>
    <row r="64" spans="1:28">
      <c r="A64" s="453"/>
      <c r="B64" s="453"/>
      <c r="C64" s="453"/>
      <c r="D64" s="457"/>
      <c r="E64" s="458"/>
      <c r="F64" s="458"/>
      <c r="J64" s="442"/>
      <c r="K64" s="313"/>
      <c r="L64" s="313"/>
      <c r="M64" s="442"/>
      <c r="N64" s="313"/>
      <c r="O64" s="313"/>
      <c r="S64" s="442"/>
      <c r="T64" s="313"/>
    </row>
    <row r="65" spans="1:20">
      <c r="A65" s="453"/>
      <c r="B65" s="453"/>
      <c r="C65" s="453"/>
      <c r="J65" s="442"/>
      <c r="K65" s="313"/>
      <c r="L65" s="313"/>
      <c r="M65" s="442"/>
      <c r="N65" s="313"/>
      <c r="O65" s="313"/>
      <c r="S65" s="442"/>
      <c r="T65" s="313"/>
    </row>
    <row r="66" spans="1:20">
      <c r="J66" s="442"/>
      <c r="K66" s="313"/>
      <c r="L66" s="313"/>
      <c r="M66" s="442"/>
      <c r="N66" s="313"/>
      <c r="O66" s="313"/>
      <c r="S66" s="442"/>
      <c r="T66" s="313"/>
    </row>
    <row r="67" spans="1:20">
      <c r="J67" s="442"/>
      <c r="K67" s="313"/>
      <c r="L67" s="313"/>
      <c r="M67" s="442"/>
      <c r="N67" s="313"/>
      <c r="O67" s="313"/>
      <c r="S67" s="442"/>
      <c r="T67" s="313"/>
    </row>
    <row r="68" spans="1:20">
      <c r="J68" s="442"/>
      <c r="K68" s="313"/>
      <c r="L68" s="313"/>
      <c r="M68" s="442"/>
      <c r="N68" s="313"/>
      <c r="O68" s="313"/>
      <c r="S68" s="442"/>
      <c r="T68" s="313"/>
    </row>
    <row r="69" spans="1:20">
      <c r="J69" s="442"/>
      <c r="K69" s="313"/>
      <c r="L69" s="313"/>
      <c r="M69" s="442"/>
      <c r="N69" s="313"/>
      <c r="O69" s="313"/>
      <c r="S69" s="442"/>
      <c r="T69" s="313"/>
    </row>
    <row r="70" spans="1:20">
      <c r="J70" s="442"/>
      <c r="K70" s="313"/>
      <c r="L70" s="313"/>
      <c r="M70" s="442"/>
      <c r="N70" s="313"/>
      <c r="O70" s="313"/>
      <c r="S70" s="442"/>
      <c r="T70" s="313"/>
    </row>
    <row r="71" spans="1:20">
      <c r="J71" s="442"/>
      <c r="K71" s="313"/>
      <c r="L71" s="313"/>
      <c r="M71" s="442"/>
      <c r="N71" s="313"/>
      <c r="O71" s="313"/>
      <c r="S71" s="442"/>
      <c r="T71" s="313"/>
    </row>
    <row r="72" spans="1:20">
      <c r="J72" s="442"/>
      <c r="K72" s="313"/>
      <c r="L72" s="313"/>
      <c r="M72" s="442"/>
      <c r="N72" s="313"/>
      <c r="O72" s="313"/>
      <c r="S72" s="442"/>
      <c r="T72" s="313"/>
    </row>
    <row r="73" spans="1:20">
      <c r="J73" s="442"/>
      <c r="K73" s="313"/>
      <c r="L73" s="313"/>
      <c r="M73" s="442"/>
      <c r="N73" s="313"/>
      <c r="O73" s="313"/>
      <c r="S73" s="442"/>
      <c r="T73" s="313"/>
    </row>
    <row r="74" spans="1:20">
      <c r="J74" s="442"/>
      <c r="K74" s="313"/>
      <c r="L74" s="313"/>
      <c r="M74" s="442"/>
      <c r="N74" s="313"/>
      <c r="O74" s="313"/>
      <c r="S74" s="442"/>
      <c r="T74" s="313"/>
    </row>
    <row r="75" spans="1:20">
      <c r="J75" s="442"/>
      <c r="K75" s="313"/>
      <c r="L75" s="313"/>
      <c r="M75" s="442"/>
      <c r="N75" s="313"/>
      <c r="O75" s="313"/>
      <c r="S75" s="442"/>
      <c r="T75" s="313"/>
    </row>
    <row r="76" spans="1:20">
      <c r="J76" s="442"/>
      <c r="K76" s="313"/>
      <c r="L76" s="313"/>
      <c r="M76" s="442"/>
      <c r="N76" s="313"/>
      <c r="O76" s="313"/>
      <c r="S76" s="442"/>
      <c r="T76" s="313"/>
    </row>
    <row r="77" spans="1:20">
      <c r="J77" s="442"/>
      <c r="K77" s="313"/>
      <c r="L77" s="313"/>
      <c r="M77" s="442"/>
      <c r="N77" s="313"/>
      <c r="O77" s="313"/>
      <c r="S77" s="442"/>
      <c r="T77" s="313"/>
    </row>
    <row r="78" spans="1:20">
      <c r="J78" s="442"/>
      <c r="K78" s="313"/>
      <c r="L78" s="313"/>
      <c r="M78" s="442"/>
      <c r="N78" s="313"/>
      <c r="O78" s="313"/>
      <c r="S78" s="442"/>
      <c r="T78" s="313"/>
    </row>
    <row r="79" spans="1:20">
      <c r="J79" s="442"/>
      <c r="K79" s="313"/>
      <c r="L79" s="313"/>
      <c r="M79" s="442"/>
      <c r="N79" s="313"/>
      <c r="O79" s="313"/>
      <c r="S79" s="442"/>
      <c r="T79" s="313"/>
    </row>
    <row r="80" spans="1:20">
      <c r="J80" s="442"/>
      <c r="K80" s="313"/>
      <c r="L80" s="313"/>
      <c r="M80" s="442"/>
      <c r="N80" s="313"/>
      <c r="O80" s="313"/>
      <c r="S80" s="442"/>
      <c r="T80" s="313"/>
    </row>
    <row r="81" spans="10:20">
      <c r="J81" s="442"/>
      <c r="K81" s="313"/>
      <c r="L81" s="313"/>
      <c r="M81" s="442"/>
      <c r="N81" s="313"/>
      <c r="O81" s="313"/>
      <c r="S81" s="442"/>
      <c r="T81" s="313"/>
    </row>
    <row r="82" spans="10:20">
      <c r="J82" s="442"/>
      <c r="K82" s="313"/>
      <c r="L82" s="313"/>
      <c r="M82" s="442"/>
      <c r="N82" s="313"/>
      <c r="O82" s="313"/>
      <c r="S82" s="442"/>
      <c r="T82" s="313"/>
    </row>
    <row r="83" spans="10:20">
      <c r="J83" s="442"/>
      <c r="K83" s="313"/>
      <c r="L83" s="313"/>
      <c r="M83" s="442"/>
      <c r="N83" s="313"/>
      <c r="O83" s="313"/>
      <c r="S83" s="442"/>
      <c r="T83" s="313"/>
    </row>
    <row r="84" spans="10:20">
      <c r="J84" s="442"/>
      <c r="K84" s="313"/>
      <c r="L84" s="313"/>
      <c r="M84" s="442"/>
      <c r="N84" s="313"/>
      <c r="O84" s="313"/>
      <c r="S84" s="442"/>
      <c r="T84" s="313"/>
    </row>
    <row r="85" spans="10:20">
      <c r="J85" s="442"/>
      <c r="K85" s="313"/>
      <c r="L85" s="313"/>
      <c r="M85" s="442"/>
      <c r="N85" s="313"/>
      <c r="O85" s="313"/>
      <c r="S85" s="442"/>
      <c r="T85" s="313"/>
    </row>
    <row r="86" spans="10:20">
      <c r="J86" s="442"/>
      <c r="K86" s="313"/>
      <c r="L86" s="313"/>
      <c r="M86" s="442"/>
      <c r="N86" s="313"/>
      <c r="O86" s="313"/>
      <c r="S86" s="442"/>
      <c r="T86" s="313"/>
    </row>
    <row r="87" spans="10:20">
      <c r="J87" s="442"/>
      <c r="K87" s="313"/>
      <c r="L87" s="313"/>
      <c r="M87" s="442"/>
      <c r="N87" s="313"/>
      <c r="O87" s="313"/>
      <c r="S87" s="442"/>
      <c r="T87" s="313"/>
    </row>
    <row r="88" spans="10:20">
      <c r="J88" s="442"/>
      <c r="K88" s="313"/>
      <c r="L88" s="313"/>
      <c r="M88" s="442"/>
      <c r="N88" s="313"/>
      <c r="O88" s="313"/>
      <c r="S88" s="442"/>
      <c r="T88" s="313"/>
    </row>
    <row r="89" spans="10:20">
      <c r="J89" s="442"/>
      <c r="K89" s="313"/>
      <c r="L89" s="313"/>
      <c r="M89" s="442"/>
      <c r="N89" s="313"/>
      <c r="O89" s="313"/>
      <c r="S89" s="442"/>
      <c r="T89" s="313"/>
    </row>
    <row r="90" spans="10:20">
      <c r="J90" s="442"/>
      <c r="K90" s="313"/>
      <c r="L90" s="313"/>
      <c r="M90" s="442"/>
      <c r="N90" s="313"/>
      <c r="O90" s="313"/>
      <c r="S90" s="442"/>
      <c r="T90" s="313"/>
    </row>
    <row r="91" spans="10:20">
      <c r="J91" s="442"/>
      <c r="K91" s="313"/>
      <c r="L91" s="313"/>
      <c r="M91" s="442"/>
      <c r="N91" s="313"/>
      <c r="O91" s="313"/>
      <c r="S91" s="442"/>
      <c r="T91" s="313"/>
    </row>
    <row r="92" spans="10:20">
      <c r="J92" s="442"/>
      <c r="K92" s="313"/>
      <c r="L92" s="313"/>
      <c r="M92" s="442"/>
      <c r="N92" s="313"/>
      <c r="O92" s="313"/>
      <c r="S92" s="442"/>
      <c r="T92" s="313"/>
    </row>
    <row r="93" spans="10:20">
      <c r="J93" s="442"/>
      <c r="K93" s="313"/>
      <c r="L93" s="313"/>
      <c r="M93" s="442"/>
      <c r="N93" s="313"/>
      <c r="O93" s="313"/>
      <c r="S93" s="442"/>
      <c r="T93" s="313"/>
    </row>
    <row r="94" spans="10:20">
      <c r="J94" s="442"/>
      <c r="K94" s="313"/>
      <c r="L94" s="313"/>
      <c r="M94" s="442"/>
      <c r="N94" s="313"/>
      <c r="O94" s="313"/>
      <c r="S94" s="442"/>
      <c r="T94" s="313"/>
    </row>
    <row r="95" spans="10:20">
      <c r="J95" s="442"/>
      <c r="K95" s="313"/>
      <c r="L95" s="313"/>
      <c r="M95" s="442"/>
      <c r="N95" s="313"/>
      <c r="O95" s="313"/>
      <c r="S95" s="442"/>
      <c r="T95" s="313"/>
    </row>
    <row r="96" spans="10:20">
      <c r="J96" s="442"/>
      <c r="K96" s="313"/>
      <c r="L96" s="313"/>
      <c r="M96" s="442"/>
      <c r="N96" s="313"/>
      <c r="O96" s="313"/>
      <c r="S96" s="442"/>
      <c r="T96" s="313"/>
    </row>
    <row r="97" spans="10:20">
      <c r="J97" s="442"/>
      <c r="K97" s="313"/>
      <c r="L97" s="313"/>
      <c r="M97" s="442"/>
      <c r="N97" s="313"/>
      <c r="O97" s="313"/>
      <c r="S97" s="442"/>
      <c r="T97" s="313"/>
    </row>
  </sheetData>
  <mergeCells count="5">
    <mergeCell ref="A1:Z1"/>
    <mergeCell ref="A2:Z2"/>
    <mergeCell ref="A3:Z3"/>
    <mergeCell ref="D4:T4"/>
    <mergeCell ref="W4:Z4"/>
  </mergeCells>
  <phoneticPr fontId="24" type="noConversion"/>
  <printOptions horizontalCentered="1"/>
  <pageMargins left="0.25" right="0.25" top="0.5" bottom="0.5" header="0.3" footer="0.3"/>
  <pageSetup scale="77" orientation="landscape" r:id="rId1"/>
  <headerFooter alignWithMargins="0">
    <oddFooter>&amp;R&amp;A</oddFooter>
  </headerFooter>
</worksheet>
</file>

<file path=xl/worksheets/sheet23.xml><?xml version="1.0" encoding="utf-8"?>
<worksheet xmlns="http://schemas.openxmlformats.org/spreadsheetml/2006/main" xmlns:r="http://schemas.openxmlformats.org/officeDocument/2006/relationships">
  <dimension ref="A1:AD80"/>
  <sheetViews>
    <sheetView zoomScale="75" zoomScaleNormal="75" workbookViewId="0">
      <selection sqref="A1:Z1"/>
    </sheetView>
  </sheetViews>
  <sheetFormatPr defaultColWidth="11.44140625" defaultRowHeight="13.2"/>
  <cols>
    <col min="1" max="2" width="2.44140625" style="284" customWidth="1"/>
    <col min="3" max="3" width="55.44140625" style="313" customWidth="1"/>
    <col min="4" max="4" width="2.44140625" style="284" customWidth="1"/>
    <col min="5" max="5" width="8.44140625" style="284" customWidth="1"/>
    <col min="6" max="7" width="2.44140625" style="284" customWidth="1"/>
    <col min="8" max="8" width="8.33203125" style="284" customWidth="1"/>
    <col min="9" max="10" width="2.44140625" style="284" customWidth="1"/>
    <col min="11" max="11" width="8.44140625" style="284" customWidth="1"/>
    <col min="12" max="13" width="2.44140625" style="284" customWidth="1"/>
    <col min="14" max="14" width="8.44140625" style="284" customWidth="1"/>
    <col min="15" max="16" width="2.44140625" style="284" customWidth="1"/>
    <col min="17" max="17" width="8.44140625" style="284" customWidth="1"/>
    <col min="18" max="19" width="2.44140625" style="284" customWidth="1"/>
    <col min="20" max="20" width="8.33203125" style="284" customWidth="1"/>
    <col min="21" max="21" width="2.44140625" style="284" customWidth="1"/>
    <col min="22" max="22" width="2.44140625" style="313" customWidth="1"/>
    <col min="23" max="23" width="8.44140625" style="284" customWidth="1"/>
    <col min="24" max="24" width="2.44140625" style="284" customWidth="1"/>
    <col min="25" max="25" width="2.44140625" style="313" customWidth="1"/>
    <col min="26" max="26" width="8.44140625" style="284" customWidth="1"/>
    <col min="27" max="16384" width="11.44140625" style="284"/>
  </cols>
  <sheetData>
    <row r="1" spans="1:26">
      <c r="A1" s="1011" t="s">
        <v>96</v>
      </c>
      <c r="B1" s="1011"/>
      <c r="C1" s="1011"/>
      <c r="D1" s="1011"/>
      <c r="E1" s="1011"/>
      <c r="F1" s="1011"/>
      <c r="G1" s="1011"/>
      <c r="H1" s="1011"/>
      <c r="I1" s="1011"/>
      <c r="J1" s="1011"/>
      <c r="K1" s="1011"/>
      <c r="L1" s="1011"/>
      <c r="M1" s="1011"/>
      <c r="N1" s="1011"/>
      <c r="O1" s="1011"/>
      <c r="P1" s="1011"/>
      <c r="Q1" s="1011"/>
      <c r="R1" s="1011"/>
      <c r="S1" s="1011"/>
      <c r="T1" s="1011"/>
      <c r="U1" s="1011"/>
      <c r="V1" s="1011"/>
      <c r="W1" s="1011"/>
      <c r="X1" s="1011"/>
      <c r="Y1" s="1011"/>
      <c r="Z1" s="1011"/>
    </row>
    <row r="2" spans="1:26">
      <c r="A2" s="1011" t="s">
        <v>1011</v>
      </c>
      <c r="B2" s="1011"/>
      <c r="C2" s="1011"/>
      <c r="D2" s="1011"/>
      <c r="E2" s="1011"/>
      <c r="F2" s="1011"/>
      <c r="G2" s="1011"/>
      <c r="H2" s="1011"/>
      <c r="I2" s="1011"/>
      <c r="J2" s="1011"/>
      <c r="K2" s="1011"/>
      <c r="L2" s="1011"/>
      <c r="M2" s="1011"/>
      <c r="N2" s="1011"/>
      <c r="O2" s="1011"/>
      <c r="P2" s="1011"/>
      <c r="Q2" s="1011"/>
      <c r="R2" s="1011"/>
      <c r="S2" s="1011"/>
      <c r="T2" s="1011"/>
      <c r="U2" s="1011"/>
      <c r="V2" s="1011"/>
      <c r="W2" s="1011"/>
      <c r="X2" s="1011"/>
      <c r="Y2" s="1011"/>
      <c r="Z2" s="1011"/>
    </row>
    <row r="3" spans="1:26">
      <c r="A3" s="1012"/>
      <c r="B3" s="1012"/>
      <c r="C3" s="1012"/>
      <c r="D3" s="1012"/>
      <c r="E3" s="1012"/>
      <c r="F3" s="1012"/>
      <c r="G3" s="1012"/>
      <c r="H3" s="1012"/>
      <c r="I3" s="1012"/>
      <c r="J3" s="1012"/>
      <c r="K3" s="1012"/>
      <c r="L3" s="1012"/>
      <c r="M3" s="1012"/>
      <c r="N3" s="1012"/>
      <c r="O3" s="1012"/>
      <c r="P3" s="1012"/>
      <c r="Q3" s="1012"/>
      <c r="R3" s="1012"/>
      <c r="S3" s="1012"/>
      <c r="T3" s="1012"/>
      <c r="U3" s="1012"/>
      <c r="V3" s="1012"/>
      <c r="W3" s="1012"/>
      <c r="X3" s="1012"/>
      <c r="Y3" s="1012"/>
      <c r="Z3" s="1012"/>
    </row>
    <row r="4" spans="1:26">
      <c r="A4" s="290"/>
      <c r="B4" s="1014"/>
      <c r="C4" s="1014"/>
      <c r="D4" s="975" t="s">
        <v>99</v>
      </c>
      <c r="E4" s="975"/>
      <c r="F4" s="975"/>
      <c r="G4" s="975"/>
      <c r="H4" s="975"/>
      <c r="I4" s="975"/>
      <c r="J4" s="975"/>
      <c r="K4" s="975"/>
      <c r="L4" s="975"/>
      <c r="M4" s="975"/>
      <c r="N4" s="975"/>
      <c r="O4" s="975"/>
      <c r="P4" s="975"/>
      <c r="Q4" s="975"/>
      <c r="R4" s="975"/>
      <c r="S4" s="975"/>
      <c r="T4" s="975"/>
      <c r="U4" s="288"/>
      <c r="W4" s="1013" t="s">
        <v>100</v>
      </c>
      <c r="X4" s="1013"/>
      <c r="Y4" s="1013"/>
      <c r="Z4" s="1013"/>
    </row>
    <row r="5" spans="1:26" ht="13.8" thickBot="1">
      <c r="A5" s="290"/>
      <c r="B5" s="290"/>
      <c r="C5" s="293"/>
      <c r="D5" s="287"/>
      <c r="E5" s="287"/>
      <c r="F5" s="287"/>
      <c r="G5" s="288"/>
      <c r="H5" s="288"/>
      <c r="I5" s="288"/>
      <c r="J5" s="806"/>
      <c r="K5" s="806"/>
      <c r="L5" s="806"/>
      <c r="M5" s="287"/>
      <c r="N5" s="287"/>
      <c r="O5" s="287"/>
      <c r="P5" s="287"/>
      <c r="Q5" s="287"/>
      <c r="R5" s="287"/>
      <c r="S5" s="288"/>
      <c r="T5" s="417"/>
      <c r="U5" s="288"/>
    </row>
    <row r="6" spans="1:26">
      <c r="A6" s="290"/>
      <c r="B6" s="290"/>
      <c r="C6" s="293"/>
      <c r="D6" s="291"/>
      <c r="E6" s="8" t="s">
        <v>104</v>
      </c>
      <c r="F6" s="292"/>
      <c r="G6" s="293"/>
      <c r="H6" s="6" t="s">
        <v>105</v>
      </c>
      <c r="I6" s="417"/>
      <c r="J6" s="293"/>
      <c r="K6" s="6" t="s">
        <v>102</v>
      </c>
      <c r="L6" s="417"/>
      <c r="M6" s="293"/>
      <c r="N6" s="6" t="s">
        <v>103</v>
      </c>
      <c r="O6" s="417"/>
      <c r="P6" s="291"/>
      <c r="Q6" s="8" t="s">
        <v>104</v>
      </c>
      <c r="R6" s="292"/>
      <c r="S6" s="293"/>
      <c r="T6" s="6" t="s">
        <v>105</v>
      </c>
      <c r="U6" s="417"/>
      <c r="W6" s="6" t="s">
        <v>104</v>
      </c>
      <c r="Z6" s="6" t="s">
        <v>104</v>
      </c>
    </row>
    <row r="7" spans="1:26">
      <c r="A7" s="290" t="s">
        <v>800</v>
      </c>
      <c r="B7" s="290"/>
      <c r="C7" s="293"/>
      <c r="D7" s="295"/>
      <c r="E7" s="13">
        <v>2012</v>
      </c>
      <c r="F7" s="296"/>
      <c r="G7" s="293"/>
      <c r="H7" s="13">
        <v>2012</v>
      </c>
      <c r="I7" s="417"/>
      <c r="J7" s="293"/>
      <c r="K7" s="13">
        <v>2011</v>
      </c>
      <c r="L7" s="417"/>
      <c r="M7" s="293"/>
      <c r="N7" s="13">
        <v>2011</v>
      </c>
      <c r="O7" s="417"/>
      <c r="P7" s="295"/>
      <c r="Q7" s="13">
        <v>2011</v>
      </c>
      <c r="R7" s="296"/>
      <c r="S7" s="293"/>
      <c r="T7" s="13">
        <v>2011</v>
      </c>
      <c r="U7" s="417"/>
      <c r="W7" s="13">
        <v>2012</v>
      </c>
      <c r="Z7" s="13">
        <v>2011</v>
      </c>
    </row>
    <row r="8" spans="1:26" s="290" customFormat="1" ht="12">
      <c r="A8" s="419" t="s">
        <v>367</v>
      </c>
      <c r="B8" s="419"/>
      <c r="C8" s="459"/>
      <c r="D8" s="297"/>
      <c r="E8" s="298"/>
      <c r="F8" s="299"/>
      <c r="G8" s="300"/>
      <c r="H8" s="298"/>
      <c r="I8" s="300"/>
      <c r="J8" s="300"/>
      <c r="K8" s="298"/>
      <c r="L8" s="300"/>
      <c r="M8" s="300"/>
      <c r="N8" s="298"/>
      <c r="O8" s="300"/>
      <c r="P8" s="297"/>
      <c r="Q8" s="298"/>
      <c r="R8" s="299"/>
      <c r="S8" s="300"/>
      <c r="T8" s="298"/>
      <c r="U8" s="300"/>
      <c r="V8" s="300"/>
      <c r="W8" s="298"/>
      <c r="Y8" s="300"/>
      <c r="Z8" s="298"/>
    </row>
    <row r="9" spans="1:26" s="290" customFormat="1" ht="11.4">
      <c r="A9" s="420"/>
      <c r="B9" s="420" t="s">
        <v>1000</v>
      </c>
      <c r="C9" s="428"/>
      <c r="D9" s="297"/>
      <c r="E9" s="460"/>
      <c r="F9" s="299"/>
      <c r="G9" s="300"/>
      <c r="H9" s="300"/>
      <c r="I9" s="300"/>
      <c r="J9" s="300"/>
      <c r="K9" s="300"/>
      <c r="L9" s="300"/>
      <c r="M9" s="300"/>
      <c r="N9" s="460"/>
      <c r="O9" s="300"/>
      <c r="P9" s="297"/>
      <c r="Q9" s="460"/>
      <c r="R9" s="299"/>
      <c r="S9" s="300"/>
      <c r="T9" s="300"/>
      <c r="U9" s="300"/>
      <c r="V9" s="300"/>
      <c r="W9" s="300"/>
      <c r="Y9" s="300"/>
      <c r="Z9" s="300"/>
    </row>
    <row r="10" spans="1:26" s="290" customFormat="1" ht="11.4">
      <c r="A10" s="421"/>
      <c r="B10" s="421"/>
      <c r="C10" s="420" t="s">
        <v>361</v>
      </c>
      <c r="D10" s="307" t="s">
        <v>108</v>
      </c>
      <c r="E10" s="422">
        <v>1639</v>
      </c>
      <c r="F10" s="429"/>
      <c r="G10" s="309" t="s">
        <v>108</v>
      </c>
      <c r="H10" s="422">
        <v>1258</v>
      </c>
      <c r="I10" s="424"/>
      <c r="J10" s="309" t="s">
        <v>108</v>
      </c>
      <c r="K10" s="422">
        <v>1428</v>
      </c>
      <c r="L10" s="424"/>
      <c r="M10" s="309" t="s">
        <v>108</v>
      </c>
      <c r="N10" s="422">
        <v>1634</v>
      </c>
      <c r="O10" s="424"/>
      <c r="P10" s="307" t="s">
        <v>108</v>
      </c>
      <c r="Q10" s="422">
        <v>1606</v>
      </c>
      <c r="R10" s="429"/>
      <c r="S10" s="309" t="s">
        <v>108</v>
      </c>
      <c r="T10" s="422">
        <v>1225</v>
      </c>
      <c r="U10" s="424"/>
      <c r="V10" s="300" t="s">
        <v>108</v>
      </c>
      <c r="W10" s="422">
        <v>2897</v>
      </c>
      <c r="Y10" s="300" t="s">
        <v>108</v>
      </c>
      <c r="Z10" s="422">
        <v>2831</v>
      </c>
    </row>
    <row r="11" spans="1:26" s="290" customFormat="1" ht="11.4">
      <c r="A11" s="421"/>
      <c r="B11" s="421"/>
      <c r="C11" s="420" t="s">
        <v>1012</v>
      </c>
      <c r="D11" s="307"/>
      <c r="E11" s="425">
        <v>104</v>
      </c>
      <c r="F11" s="429"/>
      <c r="G11" s="309"/>
      <c r="H11" s="425">
        <v>85</v>
      </c>
      <c r="I11" s="424"/>
      <c r="J11" s="309"/>
      <c r="K11" s="425">
        <v>89</v>
      </c>
      <c r="L11" s="424"/>
      <c r="M11" s="309"/>
      <c r="N11" s="425">
        <v>100</v>
      </c>
      <c r="O11" s="424"/>
      <c r="P11" s="307"/>
      <c r="Q11" s="425">
        <v>94</v>
      </c>
      <c r="R11" s="429"/>
      <c r="S11" s="309"/>
      <c r="T11" s="425">
        <v>79</v>
      </c>
      <c r="U11" s="424"/>
      <c r="V11" s="300"/>
      <c r="W11" s="425">
        <v>189</v>
      </c>
      <c r="Y11" s="300"/>
      <c r="Z11" s="425">
        <v>173</v>
      </c>
    </row>
    <row r="12" spans="1:26" s="290" customFormat="1" ht="11.4">
      <c r="A12" s="421"/>
      <c r="B12" s="421"/>
      <c r="C12" s="420"/>
      <c r="D12" s="307"/>
      <c r="E12" s="422">
        <v>1743</v>
      </c>
      <c r="F12" s="429"/>
      <c r="G12" s="309"/>
      <c r="H12" s="422">
        <v>1343</v>
      </c>
      <c r="I12" s="424"/>
      <c r="J12" s="309"/>
      <c r="K12" s="422">
        <v>1517</v>
      </c>
      <c r="L12" s="424"/>
      <c r="M12" s="309"/>
      <c r="N12" s="422">
        <v>1734</v>
      </c>
      <c r="O12" s="424"/>
      <c r="P12" s="307"/>
      <c r="Q12" s="422">
        <v>1700</v>
      </c>
      <c r="R12" s="429"/>
      <c r="S12" s="309"/>
      <c r="T12" s="422">
        <v>1304</v>
      </c>
      <c r="U12" s="424"/>
      <c r="V12" s="300"/>
      <c r="W12" s="422">
        <v>3086</v>
      </c>
      <c r="Y12" s="300"/>
      <c r="Z12" s="422">
        <v>3004</v>
      </c>
    </row>
    <row r="13" spans="1:26" s="290" customFormat="1" ht="11.4">
      <c r="A13" s="420"/>
      <c r="B13" s="420" t="s">
        <v>1001</v>
      </c>
      <c r="C13" s="420"/>
      <c r="D13" s="307"/>
      <c r="E13" s="308"/>
      <c r="F13" s="429"/>
      <c r="G13" s="309"/>
      <c r="H13" s="308"/>
      <c r="I13" s="424"/>
      <c r="J13" s="309"/>
      <c r="K13" s="308"/>
      <c r="L13" s="424"/>
      <c r="M13" s="309"/>
      <c r="N13" s="308"/>
      <c r="O13" s="424"/>
      <c r="P13" s="307"/>
      <c r="Q13" s="308"/>
      <c r="R13" s="429"/>
      <c r="S13" s="309"/>
      <c r="T13" s="308"/>
      <c r="U13" s="424"/>
      <c r="V13" s="300"/>
      <c r="W13" s="308"/>
      <c r="Y13" s="300"/>
      <c r="Z13" s="308"/>
    </row>
    <row r="14" spans="1:26" s="290" customFormat="1" ht="11.4">
      <c r="A14" s="420"/>
      <c r="B14" s="420"/>
      <c r="C14" s="420" t="s">
        <v>361</v>
      </c>
      <c r="D14" s="307" t="s">
        <v>108</v>
      </c>
      <c r="E14" s="308">
        <v>1487</v>
      </c>
      <c r="F14" s="429"/>
      <c r="G14" s="309" t="s">
        <v>108</v>
      </c>
      <c r="H14" s="422">
        <v>1480</v>
      </c>
      <c r="I14" s="424"/>
      <c r="J14" s="309" t="s">
        <v>108</v>
      </c>
      <c r="K14" s="422">
        <v>1468</v>
      </c>
      <c r="L14" s="424"/>
      <c r="M14" s="309" t="s">
        <v>108</v>
      </c>
      <c r="N14" s="422">
        <v>1462</v>
      </c>
      <c r="O14" s="424"/>
      <c r="P14" s="307" t="s">
        <v>108</v>
      </c>
      <c r="Q14" s="308">
        <v>1457</v>
      </c>
      <c r="R14" s="429"/>
      <c r="S14" s="309" t="s">
        <v>108</v>
      </c>
      <c r="T14" s="422">
        <v>1448</v>
      </c>
      <c r="U14" s="424"/>
      <c r="V14" s="300" t="s">
        <v>108</v>
      </c>
      <c r="W14" s="308">
        <v>2967</v>
      </c>
      <c r="Y14" s="300" t="s">
        <v>108</v>
      </c>
      <c r="Z14" s="308">
        <v>2905</v>
      </c>
    </row>
    <row r="15" spans="1:26" s="290" customFormat="1" ht="11.4">
      <c r="A15" s="420"/>
      <c r="B15" s="420"/>
      <c r="C15" s="420" t="s">
        <v>369</v>
      </c>
      <c r="D15" s="307"/>
      <c r="E15" s="312">
        <v>93</v>
      </c>
      <c r="F15" s="429"/>
      <c r="G15" s="309"/>
      <c r="H15" s="425">
        <v>92</v>
      </c>
      <c r="I15" s="424"/>
      <c r="J15" s="309"/>
      <c r="K15" s="425">
        <v>92</v>
      </c>
      <c r="L15" s="424"/>
      <c r="M15" s="309"/>
      <c r="N15" s="425">
        <v>91</v>
      </c>
      <c r="O15" s="424"/>
      <c r="P15" s="307"/>
      <c r="Q15" s="312">
        <v>91</v>
      </c>
      <c r="R15" s="429"/>
      <c r="S15" s="309"/>
      <c r="T15" s="425">
        <v>91</v>
      </c>
      <c r="U15" s="424"/>
      <c r="V15" s="300"/>
      <c r="W15" s="312">
        <v>185</v>
      </c>
      <c r="Y15" s="300"/>
      <c r="Z15" s="312">
        <v>182</v>
      </c>
    </row>
    <row r="16" spans="1:26" s="290" customFormat="1" ht="11.4">
      <c r="A16" s="420"/>
      <c r="B16" s="420"/>
      <c r="C16" s="420"/>
      <c r="D16" s="307"/>
      <c r="E16" s="308">
        <v>1580</v>
      </c>
      <c r="F16" s="429"/>
      <c r="G16" s="309"/>
      <c r="H16" s="422">
        <v>1572</v>
      </c>
      <c r="I16" s="424"/>
      <c r="J16" s="309"/>
      <c r="K16" s="422">
        <v>1560</v>
      </c>
      <c r="L16" s="424"/>
      <c r="M16" s="309"/>
      <c r="N16" s="422">
        <v>1553</v>
      </c>
      <c r="O16" s="424"/>
      <c r="P16" s="307"/>
      <c r="Q16" s="308">
        <v>1548</v>
      </c>
      <c r="R16" s="429"/>
      <c r="S16" s="309"/>
      <c r="T16" s="422">
        <v>1539</v>
      </c>
      <c r="U16" s="424"/>
      <c r="V16" s="300"/>
      <c r="W16" s="308">
        <v>3152</v>
      </c>
      <c r="Y16" s="300"/>
      <c r="Z16" s="308">
        <v>3087</v>
      </c>
    </row>
    <row r="17" spans="1:26" s="290" customFormat="1" ht="11.4">
      <c r="A17" s="420"/>
      <c r="B17" s="420" t="s">
        <v>379</v>
      </c>
      <c r="C17" s="420"/>
      <c r="D17" s="307"/>
      <c r="E17" s="422"/>
      <c r="F17" s="429"/>
      <c r="G17" s="309"/>
      <c r="H17" s="422"/>
      <c r="I17" s="424"/>
      <c r="J17" s="309"/>
      <c r="K17" s="422"/>
      <c r="L17" s="424"/>
      <c r="M17" s="309"/>
      <c r="N17" s="422"/>
      <c r="O17" s="424"/>
      <c r="P17" s="307"/>
      <c r="Q17" s="422"/>
      <c r="R17" s="429"/>
      <c r="S17" s="309"/>
      <c r="T17" s="422"/>
      <c r="U17" s="424"/>
      <c r="V17" s="300"/>
      <c r="W17" s="422"/>
      <c r="Y17" s="300"/>
      <c r="Z17" s="422"/>
    </row>
    <row r="18" spans="1:26" s="290" customFormat="1" ht="11.4">
      <c r="A18" s="420"/>
      <c r="B18" s="420"/>
      <c r="C18" s="420" t="s">
        <v>361</v>
      </c>
      <c r="D18" s="307" t="s">
        <v>108</v>
      </c>
      <c r="E18" s="308">
        <v>1218</v>
      </c>
      <c r="F18" s="429"/>
      <c r="G18" s="309" t="s">
        <v>108</v>
      </c>
      <c r="H18" s="422">
        <v>836</v>
      </c>
      <c r="I18" s="424"/>
      <c r="J18" s="309" t="s">
        <v>108</v>
      </c>
      <c r="K18" s="422">
        <v>657</v>
      </c>
      <c r="L18" s="424"/>
      <c r="M18" s="309" t="s">
        <v>108</v>
      </c>
      <c r="N18" s="422">
        <v>1587</v>
      </c>
      <c r="O18" s="424"/>
      <c r="P18" s="307" t="s">
        <v>108</v>
      </c>
      <c r="Q18" s="308">
        <v>2493</v>
      </c>
      <c r="R18" s="429"/>
      <c r="S18" s="309" t="s">
        <v>108</v>
      </c>
      <c r="T18" s="422">
        <v>983</v>
      </c>
      <c r="U18" s="424"/>
      <c r="V18" s="300" t="s">
        <v>108</v>
      </c>
      <c r="W18" s="308">
        <v>2054</v>
      </c>
      <c r="Y18" s="300" t="s">
        <v>108</v>
      </c>
      <c r="Z18" s="308">
        <v>3476</v>
      </c>
    </row>
    <row r="19" spans="1:26" s="290" customFormat="1" ht="11.4">
      <c r="A19" s="420"/>
      <c r="B19" s="420"/>
      <c r="C19" s="420" t="s">
        <v>369</v>
      </c>
      <c r="D19" s="307"/>
      <c r="E19" s="312">
        <v>62</v>
      </c>
      <c r="F19" s="429"/>
      <c r="G19" s="309"/>
      <c r="H19" s="425">
        <v>51</v>
      </c>
      <c r="I19" s="424"/>
      <c r="J19" s="309"/>
      <c r="K19" s="425">
        <v>56</v>
      </c>
      <c r="L19" s="424"/>
      <c r="M19" s="309"/>
      <c r="N19" s="425">
        <v>109</v>
      </c>
      <c r="O19" s="424"/>
      <c r="P19" s="307"/>
      <c r="Q19" s="312">
        <v>98</v>
      </c>
      <c r="R19" s="429"/>
      <c r="S19" s="309"/>
      <c r="T19" s="425">
        <v>60</v>
      </c>
      <c r="U19" s="424"/>
      <c r="V19" s="300"/>
      <c r="W19" s="312">
        <v>113</v>
      </c>
      <c r="Y19" s="300"/>
      <c r="Z19" s="312">
        <v>158</v>
      </c>
    </row>
    <row r="20" spans="1:26" s="290" customFormat="1" ht="11.4">
      <c r="A20" s="421"/>
      <c r="B20" s="421"/>
      <c r="C20" s="420"/>
      <c r="D20" s="307"/>
      <c r="E20" s="308">
        <v>1280</v>
      </c>
      <c r="F20" s="429"/>
      <c r="G20" s="309"/>
      <c r="H20" s="422">
        <v>887</v>
      </c>
      <c r="I20" s="424"/>
      <c r="J20" s="309"/>
      <c r="K20" s="422">
        <v>713</v>
      </c>
      <c r="L20" s="424"/>
      <c r="M20" s="309"/>
      <c r="N20" s="422">
        <v>1696</v>
      </c>
      <c r="O20" s="424"/>
      <c r="P20" s="307"/>
      <c r="Q20" s="308">
        <v>2591</v>
      </c>
      <c r="R20" s="429"/>
      <c r="S20" s="309"/>
      <c r="T20" s="422">
        <v>1043</v>
      </c>
      <c r="U20" s="424"/>
      <c r="V20" s="300"/>
      <c r="W20" s="308">
        <v>2167</v>
      </c>
      <c r="Y20" s="300"/>
      <c r="Z20" s="308">
        <v>3634</v>
      </c>
    </row>
    <row r="21" spans="1:26" s="290" customFormat="1" ht="11.4">
      <c r="A21" s="421"/>
      <c r="B21" s="420" t="s">
        <v>381</v>
      </c>
      <c r="C21" s="420"/>
      <c r="D21" s="307"/>
      <c r="E21" s="308"/>
      <c r="F21" s="429"/>
      <c r="G21" s="309"/>
      <c r="H21" s="308"/>
      <c r="I21" s="424"/>
      <c r="J21" s="309"/>
      <c r="K21" s="308"/>
      <c r="L21" s="424"/>
      <c r="M21" s="309"/>
      <c r="N21" s="308"/>
      <c r="O21" s="424"/>
      <c r="P21" s="307"/>
      <c r="Q21" s="308"/>
      <c r="R21" s="429"/>
      <c r="S21" s="309"/>
      <c r="T21" s="308"/>
      <c r="U21" s="424"/>
      <c r="V21" s="300"/>
      <c r="W21" s="308"/>
      <c r="Y21" s="300"/>
      <c r="Z21" s="308"/>
    </row>
    <row r="22" spans="1:26" s="290" customFormat="1" ht="11.4">
      <c r="A22" s="421"/>
      <c r="B22" s="420"/>
      <c r="C22" s="420" t="s">
        <v>361</v>
      </c>
      <c r="D22" s="307" t="s">
        <v>108</v>
      </c>
      <c r="E22" s="308">
        <v>342</v>
      </c>
      <c r="F22" s="429"/>
      <c r="G22" s="309" t="s">
        <v>108</v>
      </c>
      <c r="H22" s="422">
        <v>351</v>
      </c>
      <c r="I22" s="424"/>
      <c r="J22" s="309" t="s">
        <v>108</v>
      </c>
      <c r="K22" s="422">
        <v>370</v>
      </c>
      <c r="L22" s="424"/>
      <c r="M22" s="309" t="s">
        <v>108</v>
      </c>
      <c r="N22" s="422">
        <v>341</v>
      </c>
      <c r="O22" s="424"/>
      <c r="P22" s="307" t="s">
        <v>108</v>
      </c>
      <c r="Q22" s="308">
        <v>324</v>
      </c>
      <c r="R22" s="429"/>
      <c r="S22" s="309" t="s">
        <v>108</v>
      </c>
      <c r="T22" s="422">
        <v>340</v>
      </c>
      <c r="U22" s="424"/>
      <c r="V22" s="300" t="s">
        <v>108</v>
      </c>
      <c r="W22" s="308">
        <v>693</v>
      </c>
      <c r="Y22" s="300" t="s">
        <v>108</v>
      </c>
      <c r="Z22" s="308">
        <v>664</v>
      </c>
    </row>
    <row r="23" spans="1:26" s="290" customFormat="1" ht="11.4">
      <c r="A23" s="421"/>
      <c r="B23" s="420"/>
      <c r="C23" s="420" t="s">
        <v>369</v>
      </c>
      <c r="D23" s="307"/>
      <c r="E23" s="312">
        <v>28</v>
      </c>
      <c r="F23" s="429"/>
      <c r="G23" s="309"/>
      <c r="H23" s="425">
        <v>28</v>
      </c>
      <c r="I23" s="424"/>
      <c r="J23" s="309"/>
      <c r="K23" s="425">
        <v>29</v>
      </c>
      <c r="L23" s="424"/>
      <c r="M23" s="309"/>
      <c r="N23" s="425">
        <v>28</v>
      </c>
      <c r="O23" s="424"/>
      <c r="P23" s="307"/>
      <c r="Q23" s="312">
        <v>28</v>
      </c>
      <c r="R23" s="429"/>
      <c r="S23" s="309"/>
      <c r="T23" s="425">
        <v>28</v>
      </c>
      <c r="U23" s="424"/>
      <c r="V23" s="300"/>
      <c r="W23" s="312">
        <v>56</v>
      </c>
      <c r="Y23" s="300"/>
      <c r="Z23" s="312">
        <v>56</v>
      </c>
    </row>
    <row r="24" spans="1:26" s="290" customFormat="1" ht="11.4">
      <c r="A24" s="421"/>
      <c r="B24" s="420"/>
      <c r="C24" s="420"/>
      <c r="D24" s="307"/>
      <c r="E24" s="308">
        <v>370</v>
      </c>
      <c r="F24" s="429"/>
      <c r="G24" s="309"/>
      <c r="H24" s="422">
        <v>379</v>
      </c>
      <c r="I24" s="424"/>
      <c r="J24" s="309"/>
      <c r="K24" s="422">
        <v>399</v>
      </c>
      <c r="L24" s="424"/>
      <c r="M24" s="309"/>
      <c r="N24" s="422">
        <v>369</v>
      </c>
      <c r="O24" s="424"/>
      <c r="P24" s="307"/>
      <c r="Q24" s="308">
        <v>352</v>
      </c>
      <c r="R24" s="429"/>
      <c r="S24" s="309"/>
      <c r="T24" s="422">
        <v>368</v>
      </c>
      <c r="U24" s="424"/>
      <c r="V24" s="300"/>
      <c r="W24" s="308">
        <v>749</v>
      </c>
      <c r="Y24" s="300"/>
      <c r="Z24" s="308">
        <v>720</v>
      </c>
    </row>
    <row r="25" spans="1:26" s="290" customFormat="1" ht="11.4">
      <c r="A25" s="421"/>
      <c r="B25" s="421" t="s">
        <v>1002</v>
      </c>
      <c r="C25" s="420"/>
      <c r="D25" s="297"/>
      <c r="E25" s="308"/>
      <c r="F25" s="423"/>
      <c r="G25" s="300"/>
      <c r="H25" s="308"/>
      <c r="I25" s="308"/>
      <c r="J25" s="300"/>
      <c r="K25" s="308"/>
      <c r="L25" s="308"/>
      <c r="M25" s="300"/>
      <c r="N25" s="308"/>
      <c r="O25" s="420"/>
      <c r="P25" s="297"/>
      <c r="Q25" s="308"/>
      <c r="R25" s="423"/>
      <c r="S25" s="300"/>
      <c r="T25" s="308"/>
      <c r="U25" s="420"/>
      <c r="V25" s="309"/>
      <c r="W25" s="308"/>
      <c r="Y25" s="309"/>
      <c r="Z25" s="308"/>
    </row>
    <row r="26" spans="1:26" s="290" customFormat="1" ht="11.4">
      <c r="A26" s="421"/>
      <c r="B26" s="421"/>
      <c r="C26" s="420" t="s">
        <v>361</v>
      </c>
      <c r="D26" s="307" t="s">
        <v>108</v>
      </c>
      <c r="E26" s="422">
        <v>-73</v>
      </c>
      <c r="F26" s="423"/>
      <c r="G26" s="309" t="s">
        <v>108</v>
      </c>
      <c r="H26" s="422">
        <v>293</v>
      </c>
      <c r="I26" s="422"/>
      <c r="J26" s="309" t="s">
        <v>108</v>
      </c>
      <c r="K26" s="422">
        <v>441</v>
      </c>
      <c r="L26" s="422"/>
      <c r="M26" s="309" t="s">
        <v>108</v>
      </c>
      <c r="N26" s="422">
        <v>-466</v>
      </c>
      <c r="O26" s="420"/>
      <c r="P26" s="307" t="s">
        <v>108</v>
      </c>
      <c r="Q26" s="422">
        <v>-1360</v>
      </c>
      <c r="R26" s="423"/>
      <c r="S26" s="309" t="s">
        <v>108</v>
      </c>
      <c r="T26" s="422">
        <v>125</v>
      </c>
      <c r="U26" s="420"/>
      <c r="V26" s="300" t="s">
        <v>108</v>
      </c>
      <c r="W26" s="422">
        <v>220</v>
      </c>
      <c r="Y26" s="300" t="s">
        <v>108</v>
      </c>
      <c r="Z26" s="422">
        <v>-1235</v>
      </c>
    </row>
    <row r="27" spans="1:26" s="290" customFormat="1" ht="11.4">
      <c r="A27" s="421"/>
      <c r="B27" s="421"/>
      <c r="C27" s="420" t="s">
        <v>369</v>
      </c>
      <c r="D27" s="297"/>
      <c r="E27" s="425">
        <v>3</v>
      </c>
      <c r="F27" s="423"/>
      <c r="G27" s="300"/>
      <c r="H27" s="425">
        <v>13</v>
      </c>
      <c r="I27" s="422"/>
      <c r="J27" s="300"/>
      <c r="K27" s="425">
        <v>7</v>
      </c>
      <c r="L27" s="422"/>
      <c r="M27" s="300"/>
      <c r="N27" s="425">
        <v>-46</v>
      </c>
      <c r="O27" s="420"/>
      <c r="P27" s="297"/>
      <c r="Q27" s="425">
        <v>-35</v>
      </c>
      <c r="R27" s="423"/>
      <c r="S27" s="300"/>
      <c r="T27" s="425">
        <v>3</v>
      </c>
      <c r="U27" s="420"/>
      <c r="V27" s="309"/>
      <c r="W27" s="425">
        <v>16</v>
      </c>
      <c r="Y27" s="309"/>
      <c r="Z27" s="425">
        <v>-32</v>
      </c>
    </row>
    <row r="28" spans="1:26" s="290" customFormat="1" ht="11.4">
      <c r="A28" s="421"/>
      <c r="B28" s="421"/>
      <c r="C28" s="420"/>
      <c r="D28" s="297"/>
      <c r="E28" s="308">
        <v>-70</v>
      </c>
      <c r="F28" s="423"/>
      <c r="G28" s="300"/>
      <c r="H28" s="422">
        <v>306</v>
      </c>
      <c r="I28" s="308"/>
      <c r="J28" s="300"/>
      <c r="K28" s="422">
        <v>448</v>
      </c>
      <c r="L28" s="308"/>
      <c r="M28" s="300"/>
      <c r="N28" s="422">
        <v>-512</v>
      </c>
      <c r="O28" s="420"/>
      <c r="P28" s="297"/>
      <c r="Q28" s="308">
        <v>-1395</v>
      </c>
      <c r="R28" s="423"/>
      <c r="S28" s="300"/>
      <c r="T28" s="422">
        <v>128</v>
      </c>
      <c r="U28" s="420"/>
      <c r="V28" s="309"/>
      <c r="W28" s="308">
        <v>236</v>
      </c>
      <c r="Y28" s="309"/>
      <c r="Z28" s="308">
        <v>-1267</v>
      </c>
    </row>
    <row r="29" spans="1:26" s="290" customFormat="1" ht="11.4">
      <c r="A29" s="420"/>
      <c r="B29" s="420" t="s">
        <v>355</v>
      </c>
      <c r="C29" s="420"/>
      <c r="D29" s="307"/>
      <c r="E29" s="422"/>
      <c r="F29" s="429"/>
      <c r="G29" s="309"/>
      <c r="H29" s="463"/>
      <c r="I29" s="424"/>
      <c r="J29" s="309"/>
      <c r="K29" s="463"/>
      <c r="L29" s="424"/>
      <c r="M29" s="309"/>
      <c r="N29" s="445"/>
      <c r="O29" s="424"/>
      <c r="P29" s="307"/>
      <c r="Q29" s="422"/>
      <c r="R29" s="429"/>
      <c r="S29" s="309"/>
      <c r="T29" s="463"/>
      <c r="U29" s="424"/>
      <c r="V29" s="300"/>
      <c r="W29" s="422"/>
      <c r="Y29" s="300"/>
      <c r="Z29" s="422"/>
    </row>
    <row r="30" spans="1:26" s="290" customFormat="1" ht="11.4">
      <c r="A30" s="420"/>
      <c r="B30" s="420"/>
      <c r="C30" s="420" t="s">
        <v>361</v>
      </c>
      <c r="D30" s="307"/>
      <c r="E30" s="426">
        <v>81.909885675857424</v>
      </c>
      <c r="F30" s="429"/>
      <c r="G30" s="309"/>
      <c r="H30" s="426">
        <v>56.486486486486484</v>
      </c>
      <c r="I30" s="424"/>
      <c r="J30" s="309"/>
      <c r="K30" s="426">
        <v>44.754768392370572</v>
      </c>
      <c r="L30" s="424"/>
      <c r="M30" s="309"/>
      <c r="N30" s="426">
        <v>108.64993160054719</v>
      </c>
      <c r="O30" s="424"/>
      <c r="P30" s="307"/>
      <c r="Q30" s="426">
        <v>171.10501029512696</v>
      </c>
      <c r="R30" s="429"/>
      <c r="S30" s="309"/>
      <c r="T30" s="426">
        <v>67.886740331491708</v>
      </c>
      <c r="U30" s="424"/>
      <c r="V30" s="300"/>
      <c r="W30" s="426">
        <v>69.228176609369726</v>
      </c>
      <c r="Y30" s="300"/>
      <c r="Z30" s="426">
        <v>119.65576592082616</v>
      </c>
    </row>
    <row r="31" spans="1:26" s="290" customFormat="1" ht="11.4">
      <c r="A31" s="420"/>
      <c r="B31" s="420"/>
      <c r="C31" s="420" t="s">
        <v>369</v>
      </c>
      <c r="D31" s="307"/>
      <c r="E31" s="426">
        <v>66.666666666666657</v>
      </c>
      <c r="F31" s="429"/>
      <c r="G31" s="309"/>
      <c r="H31" s="426">
        <v>55.434782608695656</v>
      </c>
      <c r="I31" s="424"/>
      <c r="J31" s="309"/>
      <c r="K31" s="426">
        <v>60.869565217391312</v>
      </c>
      <c r="L31" s="424"/>
      <c r="M31" s="309"/>
      <c r="N31" s="426">
        <v>119.78021978021978</v>
      </c>
      <c r="O31" s="424"/>
      <c r="P31" s="307"/>
      <c r="Q31" s="426">
        <v>107.69230769230769</v>
      </c>
      <c r="R31" s="429"/>
      <c r="S31" s="309"/>
      <c r="T31" s="426">
        <v>65.934065934065927</v>
      </c>
      <c r="U31" s="424"/>
      <c r="V31" s="300"/>
      <c r="W31" s="426">
        <v>61.081081081081081</v>
      </c>
      <c r="Y31" s="300"/>
      <c r="Z31" s="426">
        <v>86.813186813186817</v>
      </c>
    </row>
    <row r="32" spans="1:26" s="290" customFormat="1" ht="11.4">
      <c r="A32" s="420"/>
      <c r="B32" s="420"/>
      <c r="C32" s="420" t="s">
        <v>1003</v>
      </c>
      <c r="D32" s="307"/>
      <c r="E32" s="426">
        <v>81.012658227848107</v>
      </c>
      <c r="F32" s="429"/>
      <c r="G32" s="309"/>
      <c r="H32" s="426">
        <v>56.424936386768444</v>
      </c>
      <c r="I32" s="424"/>
      <c r="J32" s="309"/>
      <c r="K32" s="426">
        <v>45.705128205128204</v>
      </c>
      <c r="L32" s="424"/>
      <c r="M32" s="309"/>
      <c r="N32" s="426">
        <v>109.20798454603992</v>
      </c>
      <c r="O32" s="424"/>
      <c r="P32" s="307"/>
      <c r="Q32" s="426">
        <v>167.37726098191214</v>
      </c>
      <c r="R32" s="429"/>
      <c r="S32" s="309"/>
      <c r="T32" s="426">
        <v>67.67128005198181</v>
      </c>
      <c r="U32" s="424"/>
      <c r="V32" s="300"/>
      <c r="W32" s="426">
        <v>68.650000000000006</v>
      </c>
      <c r="Y32" s="300"/>
      <c r="Z32" s="426">
        <v>117.7194687398769</v>
      </c>
    </row>
    <row r="33" spans="1:29" s="290" customFormat="1" ht="11.4">
      <c r="A33" s="420"/>
      <c r="B33" s="420" t="s">
        <v>356</v>
      </c>
      <c r="C33" s="420"/>
      <c r="D33" s="307"/>
      <c r="E33" s="308"/>
      <c r="F33" s="429"/>
      <c r="G33" s="309"/>
      <c r="H33" s="308"/>
      <c r="I33" s="424"/>
      <c r="J33" s="309"/>
      <c r="K33" s="308"/>
      <c r="L33" s="424"/>
      <c r="M33" s="309"/>
      <c r="N33" s="445"/>
      <c r="O33" s="424"/>
      <c r="P33" s="307"/>
      <c r="Q33" s="308"/>
      <c r="R33" s="429"/>
      <c r="S33" s="309"/>
      <c r="T33" s="308"/>
      <c r="U33" s="424"/>
      <c r="V33" s="300"/>
      <c r="W33" s="308"/>
      <c r="Y33" s="300"/>
      <c r="Z33" s="308"/>
    </row>
    <row r="34" spans="1:29" s="290" customFormat="1" ht="11.4">
      <c r="A34" s="420"/>
      <c r="B34" s="420"/>
      <c r="C34" s="420" t="s">
        <v>361</v>
      </c>
      <c r="D34" s="307"/>
      <c r="E34" s="426">
        <v>22.999327505043713</v>
      </c>
      <c r="F34" s="429"/>
      <c r="G34" s="309"/>
      <c r="H34" s="426">
        <v>23.716216216216214</v>
      </c>
      <c r="I34" s="424"/>
      <c r="J34" s="309"/>
      <c r="K34" s="426">
        <v>25.204359673024523</v>
      </c>
      <c r="L34" s="424"/>
      <c r="M34" s="309"/>
      <c r="N34" s="426">
        <v>23.324213406292749</v>
      </c>
      <c r="O34" s="424"/>
      <c r="P34" s="307"/>
      <c r="Q34" s="426">
        <v>22.237474262182566</v>
      </c>
      <c r="R34" s="429"/>
      <c r="S34" s="309"/>
      <c r="T34" s="426">
        <v>23.480662983425415</v>
      </c>
      <c r="U34" s="424"/>
      <c r="V34" s="300"/>
      <c r="W34" s="426">
        <v>23.356926188068755</v>
      </c>
      <c r="Y34" s="300"/>
      <c r="Z34" s="426">
        <v>22.757142857142856</v>
      </c>
    </row>
    <row r="35" spans="1:29" s="290" customFormat="1" ht="11.4">
      <c r="A35" s="420"/>
      <c r="B35" s="420"/>
      <c r="C35" s="420" t="s">
        <v>369</v>
      </c>
      <c r="D35" s="307"/>
      <c r="E35" s="426">
        <v>30.107526881720432</v>
      </c>
      <c r="F35" s="429"/>
      <c r="G35" s="309"/>
      <c r="H35" s="426">
        <v>30.534782608695657</v>
      </c>
      <c r="I35" s="424"/>
      <c r="J35" s="309"/>
      <c r="K35" s="426">
        <v>31.521739130434785</v>
      </c>
      <c r="L35" s="424"/>
      <c r="M35" s="309"/>
      <c r="N35" s="426">
        <v>30.669230769230769</v>
      </c>
      <c r="O35" s="424"/>
      <c r="P35" s="307"/>
      <c r="Q35" s="426">
        <v>30.76923076923077</v>
      </c>
      <c r="R35" s="429"/>
      <c r="S35" s="309"/>
      <c r="T35" s="426">
        <v>30.76923076923077</v>
      </c>
      <c r="U35" s="424"/>
      <c r="V35" s="300"/>
      <c r="W35" s="426">
        <v>30.270270270270274</v>
      </c>
      <c r="Y35" s="300"/>
      <c r="Z35" s="426">
        <v>30.76923076923077</v>
      </c>
    </row>
    <row r="36" spans="1:29" s="290" customFormat="1" ht="11.4">
      <c r="A36" s="420"/>
      <c r="B36" s="420"/>
      <c r="C36" s="420" t="s">
        <v>1003</v>
      </c>
      <c r="D36" s="307"/>
      <c r="E36" s="426">
        <v>23.417721518987342</v>
      </c>
      <c r="F36" s="429"/>
      <c r="G36" s="309"/>
      <c r="H36" s="426">
        <v>24.109414758269722</v>
      </c>
      <c r="I36" s="424"/>
      <c r="J36" s="309"/>
      <c r="K36" s="426">
        <v>25.576923076923073</v>
      </c>
      <c r="L36" s="424"/>
      <c r="M36" s="309"/>
      <c r="N36" s="426">
        <v>23.760463618802319</v>
      </c>
      <c r="O36" s="424"/>
      <c r="P36" s="307"/>
      <c r="Q36" s="426">
        <v>22.739018087855296</v>
      </c>
      <c r="R36" s="429"/>
      <c r="S36" s="309"/>
      <c r="T36" s="426">
        <v>24.011630929174789</v>
      </c>
      <c r="U36" s="424"/>
      <c r="V36" s="300"/>
      <c r="W36" s="426">
        <v>23.762690355329948</v>
      </c>
      <c r="Y36" s="300"/>
      <c r="Z36" s="426">
        <v>23.323615160349853</v>
      </c>
    </row>
    <row r="37" spans="1:29" s="290" customFormat="1" ht="11.4">
      <c r="A37" s="420"/>
      <c r="B37" s="420" t="s">
        <v>357</v>
      </c>
      <c r="C37" s="306"/>
      <c r="D37" s="307"/>
      <c r="E37" s="426"/>
      <c r="F37" s="429"/>
      <c r="G37" s="309"/>
      <c r="H37" s="426"/>
      <c r="I37" s="424"/>
      <c r="J37" s="309"/>
      <c r="K37" s="426"/>
      <c r="L37" s="424"/>
      <c r="M37" s="309"/>
      <c r="N37" s="445"/>
      <c r="O37" s="424"/>
      <c r="P37" s="307"/>
      <c r="Q37" s="426"/>
      <c r="R37" s="429"/>
      <c r="S37" s="309"/>
      <c r="T37" s="426"/>
      <c r="U37" s="424"/>
      <c r="V37" s="300"/>
      <c r="W37" s="426"/>
      <c r="Y37" s="300"/>
      <c r="Z37" s="426"/>
    </row>
    <row r="38" spans="1:29" s="290" customFormat="1" ht="11.4">
      <c r="A38" s="420"/>
      <c r="B38" s="420"/>
      <c r="C38" s="420" t="s">
        <v>361</v>
      </c>
      <c r="D38" s="307"/>
      <c r="E38" s="426">
        <v>104.90921318090113</v>
      </c>
      <c r="F38" s="429"/>
      <c r="G38" s="309"/>
      <c r="H38" s="426">
        <v>80.202702702702695</v>
      </c>
      <c r="I38" s="424"/>
      <c r="J38" s="309"/>
      <c r="K38" s="426">
        <v>69.959128065395092</v>
      </c>
      <c r="L38" s="424"/>
      <c r="M38" s="309"/>
      <c r="N38" s="426">
        <v>131.87414500683994</v>
      </c>
      <c r="O38" s="424"/>
      <c r="P38" s="307"/>
      <c r="Q38" s="426">
        <v>193.34248455730955</v>
      </c>
      <c r="R38" s="429"/>
      <c r="S38" s="309"/>
      <c r="T38" s="426">
        <v>91.367403314917127</v>
      </c>
      <c r="U38" s="424"/>
      <c r="V38" s="300"/>
      <c r="W38" s="426">
        <v>92.585102797438495</v>
      </c>
      <c r="Y38" s="300"/>
      <c r="Z38" s="426">
        <v>142.51290877796902</v>
      </c>
    </row>
    <row r="39" spans="1:29" s="290" customFormat="1" ht="11.4">
      <c r="A39" s="420"/>
      <c r="B39" s="420"/>
      <c r="C39" s="420" t="s">
        <v>369</v>
      </c>
      <c r="D39" s="307"/>
      <c r="E39" s="426">
        <v>96.774193548387103</v>
      </c>
      <c r="F39" s="429"/>
      <c r="G39" s="309"/>
      <c r="H39" s="426">
        <v>85.869565217391312</v>
      </c>
      <c r="I39" s="424"/>
      <c r="J39" s="309"/>
      <c r="K39" s="426">
        <v>92.391304347826093</v>
      </c>
      <c r="L39" s="424"/>
      <c r="M39" s="309"/>
      <c r="N39" s="426">
        <v>150.54945054945054</v>
      </c>
      <c r="O39" s="424"/>
      <c r="P39" s="307"/>
      <c r="Q39" s="426">
        <v>138.46153846153845</v>
      </c>
      <c r="R39" s="429"/>
      <c r="S39" s="309"/>
      <c r="T39" s="426">
        <v>96.703296703296701</v>
      </c>
      <c r="U39" s="424"/>
      <c r="V39" s="300"/>
      <c r="W39" s="426">
        <v>91.351351351351354</v>
      </c>
      <c r="Y39" s="300"/>
      <c r="Z39" s="426">
        <v>117.58241758241759</v>
      </c>
    </row>
    <row r="40" spans="1:29" s="290" customFormat="1" ht="11.4">
      <c r="A40" s="421"/>
      <c r="B40" s="421"/>
      <c r="C40" s="420" t="s">
        <v>1003</v>
      </c>
      <c r="D40" s="307"/>
      <c r="E40" s="426">
        <v>104.43037974683544</v>
      </c>
      <c r="F40" s="429"/>
      <c r="G40" s="309"/>
      <c r="H40" s="426">
        <v>80.534351145038158</v>
      </c>
      <c r="I40" s="424"/>
      <c r="J40" s="309"/>
      <c r="K40" s="426">
        <v>71.282051282051285</v>
      </c>
      <c r="L40" s="424"/>
      <c r="M40" s="309"/>
      <c r="N40" s="426">
        <v>132.96844816484224</v>
      </c>
      <c r="O40" s="424"/>
      <c r="P40" s="307"/>
      <c r="Q40" s="426">
        <v>190.11627906976744</v>
      </c>
      <c r="R40" s="429"/>
      <c r="S40" s="309"/>
      <c r="T40" s="426">
        <v>91.682910981156596</v>
      </c>
      <c r="U40" s="424"/>
      <c r="V40" s="300"/>
      <c r="W40" s="426">
        <v>92.512690355329951</v>
      </c>
      <c r="Y40" s="300"/>
      <c r="Z40" s="426">
        <v>141.04308390022675</v>
      </c>
    </row>
    <row r="41" spans="1:29" s="290" customFormat="1" ht="11.4">
      <c r="A41" s="420"/>
      <c r="B41" s="420" t="s">
        <v>1004</v>
      </c>
      <c r="C41" s="428"/>
      <c r="D41" s="307"/>
      <c r="E41" s="308"/>
      <c r="F41" s="429"/>
      <c r="G41" s="309"/>
      <c r="H41" s="308"/>
      <c r="I41" s="424"/>
      <c r="J41" s="309"/>
      <c r="K41" s="308"/>
      <c r="L41" s="424"/>
      <c r="M41" s="309"/>
      <c r="N41" s="445"/>
      <c r="O41" s="424"/>
      <c r="P41" s="307"/>
      <c r="Q41" s="308"/>
      <c r="R41" s="429"/>
      <c r="S41" s="309"/>
      <c r="T41" s="308"/>
      <c r="U41" s="424"/>
      <c r="V41" s="300"/>
      <c r="W41" s="308"/>
      <c r="Y41" s="300"/>
      <c r="Z41" s="308"/>
    </row>
    <row r="42" spans="1:29" s="290" customFormat="1" ht="11.4">
      <c r="A42" s="420"/>
      <c r="B42" s="420"/>
      <c r="C42" s="420" t="s">
        <v>361</v>
      </c>
      <c r="D42" s="307"/>
      <c r="E42" s="426">
        <v>40.200000000000003</v>
      </c>
      <c r="F42" s="429"/>
      <c r="G42" s="309"/>
      <c r="H42" s="426">
        <v>12.567567567567567</v>
      </c>
      <c r="I42" s="424"/>
      <c r="J42" s="309"/>
      <c r="K42" s="426">
        <v>3.4741144414168939</v>
      </c>
      <c r="L42" s="424"/>
      <c r="M42" s="309"/>
      <c r="N42" s="426">
        <v>55.813953488372093</v>
      </c>
      <c r="O42" s="424"/>
      <c r="P42" s="307"/>
      <c r="Q42" s="426">
        <v>123.19835277968427</v>
      </c>
      <c r="R42" s="429"/>
      <c r="S42" s="309"/>
      <c r="T42" s="426">
        <v>17.748618784530386</v>
      </c>
      <c r="U42" s="424"/>
      <c r="V42" s="300"/>
      <c r="W42" s="426">
        <v>26.4</v>
      </c>
      <c r="Y42" s="300"/>
      <c r="Z42" s="426">
        <v>70.636833046471608</v>
      </c>
    </row>
    <row r="43" spans="1:29" s="290" customFormat="1" ht="11.4">
      <c r="A43" s="420"/>
      <c r="B43" s="420"/>
      <c r="C43" s="420" t="s">
        <v>369</v>
      </c>
      <c r="D43" s="307"/>
      <c r="E43" s="426">
        <v>15.1</v>
      </c>
      <c r="F43" s="429"/>
      <c r="G43" s="309"/>
      <c r="H43" s="426">
        <v>6.5217391304347823</v>
      </c>
      <c r="I43" s="424"/>
      <c r="J43" s="309"/>
      <c r="K43" s="426">
        <v>10.869565217391305</v>
      </c>
      <c r="L43" s="424"/>
      <c r="M43" s="309"/>
      <c r="N43" s="426">
        <v>70.329670329670336</v>
      </c>
      <c r="O43" s="424"/>
      <c r="P43" s="307"/>
      <c r="Q43" s="426">
        <v>61.53846153846154</v>
      </c>
      <c r="R43" s="429"/>
      <c r="S43" s="309"/>
      <c r="T43" s="426">
        <v>16.483516483516482</v>
      </c>
      <c r="U43" s="424"/>
      <c r="V43" s="300"/>
      <c r="W43" s="426">
        <v>10.8</v>
      </c>
      <c r="Y43" s="300"/>
      <c r="Z43" s="426">
        <v>39.010989010989015</v>
      </c>
    </row>
    <row r="44" spans="1:29" s="290" customFormat="1" ht="11.4">
      <c r="A44" s="420"/>
      <c r="B44" s="420" t="s">
        <v>691</v>
      </c>
      <c r="C44" s="428"/>
      <c r="D44" s="307"/>
      <c r="E44" s="308"/>
      <c r="F44" s="429"/>
      <c r="G44" s="309"/>
      <c r="H44" s="308"/>
      <c r="I44" s="424"/>
      <c r="J44" s="309"/>
      <c r="K44" s="308"/>
      <c r="L44" s="424"/>
      <c r="M44" s="309"/>
      <c r="N44" s="308"/>
      <c r="O44" s="424"/>
      <c r="P44" s="307"/>
      <c r="Q44" s="308"/>
      <c r="R44" s="429"/>
      <c r="S44" s="309"/>
      <c r="T44" s="308"/>
      <c r="U44" s="424"/>
      <c r="V44" s="300"/>
      <c r="W44" s="308"/>
      <c r="Y44" s="300"/>
      <c r="Z44" s="308"/>
    </row>
    <row r="45" spans="1:29" s="290" customFormat="1" ht="11.4">
      <c r="A45" s="420"/>
      <c r="B45" s="420"/>
      <c r="C45" s="420" t="s">
        <v>361</v>
      </c>
      <c r="D45" s="307"/>
      <c r="E45" s="426">
        <v>-3.5</v>
      </c>
      <c r="F45" s="429"/>
      <c r="G45" s="309"/>
      <c r="H45" s="426">
        <v>-7.9054054054054053</v>
      </c>
      <c r="I45" s="424"/>
      <c r="J45" s="309"/>
      <c r="K45" s="426">
        <v>-2.4</v>
      </c>
      <c r="L45" s="424"/>
      <c r="M45" s="309"/>
      <c r="N45" s="426">
        <v>0</v>
      </c>
      <c r="O45" s="424"/>
      <c r="P45" s="307"/>
      <c r="Q45" s="426">
        <v>0.27453671928620454</v>
      </c>
      <c r="R45" s="429"/>
      <c r="S45" s="309"/>
      <c r="T45" s="426">
        <v>-2.7</v>
      </c>
      <c r="U45" s="424"/>
      <c r="V45" s="300"/>
      <c r="W45" s="426">
        <v>-5.7</v>
      </c>
      <c r="Y45" s="300"/>
      <c r="Z45" s="426">
        <v>-1.2048192771084338</v>
      </c>
    </row>
    <row r="46" spans="1:29" s="290" customFormat="1" ht="11.4">
      <c r="A46" s="420"/>
      <c r="B46" s="420"/>
      <c r="C46" s="420" t="s">
        <v>369</v>
      </c>
      <c r="D46" s="307"/>
      <c r="E46" s="426">
        <v>-4.3</v>
      </c>
      <c r="F46" s="429"/>
      <c r="G46" s="309"/>
      <c r="H46" s="426">
        <v>-2.1739130434782608</v>
      </c>
      <c r="I46" s="424"/>
      <c r="J46" s="309"/>
      <c r="K46" s="426">
        <v>5.4</v>
      </c>
      <c r="L46" s="424"/>
      <c r="M46" s="309"/>
      <c r="N46" s="426">
        <v>-4.395604395604396</v>
      </c>
      <c r="O46" s="424"/>
      <c r="P46" s="307"/>
      <c r="Q46" s="426">
        <v>-1.098901098901099</v>
      </c>
      <c r="R46" s="429"/>
      <c r="S46" s="309"/>
      <c r="T46" s="426">
        <v>1.1000000000000001</v>
      </c>
      <c r="U46" s="424"/>
      <c r="V46" s="300"/>
      <c r="W46" s="426">
        <v>-3.2</v>
      </c>
      <c r="Y46" s="300"/>
      <c r="Z46" s="426">
        <v>0</v>
      </c>
    </row>
    <row r="47" spans="1:29" s="290" customFormat="1" ht="11.4">
      <c r="A47" s="420"/>
      <c r="B47" s="420" t="s">
        <v>1005</v>
      </c>
      <c r="C47" s="235"/>
      <c r="D47" s="307"/>
      <c r="E47" s="426"/>
      <c r="F47" s="429"/>
      <c r="G47" s="309"/>
      <c r="H47" s="426"/>
      <c r="I47" s="420"/>
      <c r="J47" s="309"/>
      <c r="K47" s="426"/>
      <c r="L47" s="420"/>
      <c r="M47" s="309"/>
      <c r="N47" s="426"/>
      <c r="O47" s="424"/>
      <c r="P47" s="307"/>
      <c r="Q47" s="426"/>
      <c r="R47" s="429"/>
      <c r="S47" s="309"/>
      <c r="T47" s="426"/>
      <c r="U47" s="424"/>
      <c r="V47" s="300"/>
      <c r="W47" s="426"/>
      <c r="X47" s="300"/>
      <c r="Z47" s="426"/>
      <c r="AB47" s="246"/>
      <c r="AC47" s="235"/>
    </row>
    <row r="48" spans="1:29" s="290" customFormat="1" ht="11.4">
      <c r="A48" s="420"/>
      <c r="B48" s="235" t="s">
        <v>692</v>
      </c>
      <c r="C48" s="300"/>
      <c r="D48" s="307"/>
      <c r="E48" s="426">
        <v>64.609213180901136</v>
      </c>
      <c r="F48" s="429"/>
      <c r="G48" s="309"/>
      <c r="H48" s="426">
        <v>67.002702702702706</v>
      </c>
      <c r="I48" s="420"/>
      <c r="J48" s="309"/>
      <c r="K48" s="426">
        <v>66.959128065395092</v>
      </c>
      <c r="L48" s="420"/>
      <c r="M48" s="309"/>
      <c r="N48" s="426">
        <v>73.27414500683993</v>
      </c>
      <c r="O48" s="424"/>
      <c r="P48" s="307"/>
      <c r="Q48" s="426">
        <v>69.442484557309527</v>
      </c>
      <c r="R48" s="429"/>
      <c r="S48" s="309"/>
      <c r="T48" s="426">
        <v>73.967403314917121</v>
      </c>
      <c r="U48" s="424"/>
      <c r="V48" s="300"/>
      <c r="W48" s="426">
        <v>65.785102797438498</v>
      </c>
      <c r="X48" s="300"/>
      <c r="Z48" s="426">
        <v>71.712908777969005</v>
      </c>
      <c r="AB48" s="246"/>
      <c r="AC48" s="235"/>
    </row>
    <row r="49" spans="1:30" s="290" customFormat="1" ht="11.4">
      <c r="A49" s="420"/>
      <c r="C49" s="66" t="s">
        <v>688</v>
      </c>
      <c r="D49" s="297"/>
      <c r="E49" s="426">
        <v>40.200000000000003</v>
      </c>
      <c r="F49" s="299"/>
      <c r="G49" s="300"/>
      <c r="H49" s="300">
        <v>12.6</v>
      </c>
      <c r="I49" s="300"/>
      <c r="J49" s="300"/>
      <c r="K49" s="300">
        <v>3.5</v>
      </c>
      <c r="L49" s="300"/>
      <c r="N49" s="300">
        <v>55.8</v>
      </c>
      <c r="P49" s="297"/>
      <c r="Q49" s="300">
        <v>123.2</v>
      </c>
      <c r="R49" s="299"/>
      <c r="S49" s="300"/>
      <c r="T49" s="300">
        <v>17.7</v>
      </c>
      <c r="U49" s="300"/>
      <c r="W49" s="426">
        <v>26.4</v>
      </c>
      <c r="Z49" s="300">
        <v>70.599999999999994</v>
      </c>
      <c r="AB49" s="67"/>
      <c r="AC49" s="66"/>
    </row>
    <row r="50" spans="1:30" s="290" customFormat="1" ht="11.4">
      <c r="A50" s="420"/>
      <c r="C50" s="66" t="s">
        <v>689</v>
      </c>
      <c r="D50" s="307"/>
      <c r="E50" s="426">
        <v>-3.5</v>
      </c>
      <c r="F50" s="429"/>
      <c r="G50" s="309"/>
      <c r="H50" s="426">
        <v>-7.9</v>
      </c>
      <c r="I50" s="420"/>
      <c r="J50" s="309"/>
      <c r="K50" s="426">
        <v>-2.4</v>
      </c>
      <c r="L50" s="420"/>
      <c r="M50" s="309"/>
      <c r="N50" s="426">
        <v>0</v>
      </c>
      <c r="O50" s="424"/>
      <c r="P50" s="307"/>
      <c r="Q50" s="426">
        <v>0.3</v>
      </c>
      <c r="R50" s="429"/>
      <c r="S50" s="309"/>
      <c r="T50" s="426">
        <v>-2.7</v>
      </c>
      <c r="U50" s="424"/>
      <c r="V50" s="300"/>
      <c r="W50" s="426">
        <v>-5.7</v>
      </c>
      <c r="X50" s="300"/>
      <c r="Z50" s="426">
        <v>-1.2</v>
      </c>
      <c r="AB50" s="67"/>
      <c r="AC50" s="66"/>
    </row>
    <row r="51" spans="1:30" s="290" customFormat="1" ht="11.4">
      <c r="A51" s="420"/>
      <c r="C51" s="235" t="s">
        <v>1006</v>
      </c>
      <c r="D51" s="307"/>
      <c r="E51" s="300"/>
      <c r="F51" s="429"/>
      <c r="G51" s="309"/>
      <c r="H51" s="300"/>
      <c r="I51" s="420"/>
      <c r="J51" s="309"/>
      <c r="K51" s="300"/>
      <c r="L51" s="420"/>
      <c r="M51" s="309"/>
      <c r="O51" s="424"/>
      <c r="P51" s="307"/>
      <c r="Q51" s="300"/>
      <c r="R51" s="429"/>
      <c r="S51" s="309"/>
      <c r="T51" s="300"/>
      <c r="U51" s="424"/>
      <c r="V51" s="300"/>
      <c r="W51" s="300"/>
      <c r="X51" s="300"/>
      <c r="Z51" s="300"/>
      <c r="AB51" s="67"/>
      <c r="AC51" s="66"/>
    </row>
    <row r="52" spans="1:30" s="290" customFormat="1" ht="11.4">
      <c r="A52" s="420"/>
      <c r="B52" s="420"/>
      <c r="C52" s="235" t="s">
        <v>1007</v>
      </c>
      <c r="D52" s="307"/>
      <c r="E52" s="430">
        <v>3.6</v>
      </c>
      <c r="F52" s="429"/>
      <c r="G52" s="309"/>
      <c r="H52" s="430">
        <v>8.5</v>
      </c>
      <c r="I52" s="420"/>
      <c r="J52" s="309"/>
      <c r="K52" s="430">
        <v>1.9</v>
      </c>
      <c r="L52" s="420"/>
      <c r="M52" s="309"/>
      <c r="N52" s="430">
        <v>2.8</v>
      </c>
      <c r="O52" s="424"/>
      <c r="P52" s="307"/>
      <c r="Q52" s="430">
        <v>0.4</v>
      </c>
      <c r="R52" s="429"/>
      <c r="S52" s="309"/>
      <c r="T52" s="430">
        <v>2.4</v>
      </c>
      <c r="U52" s="424"/>
      <c r="V52" s="300"/>
      <c r="W52" s="430">
        <v>6.1</v>
      </c>
      <c r="X52" s="300"/>
      <c r="Z52" s="430">
        <v>1.4</v>
      </c>
      <c r="AB52" s="246"/>
      <c r="AC52" s="235"/>
    </row>
    <row r="53" spans="1:30" s="290" customFormat="1" ht="12" thickBot="1">
      <c r="A53" s="420"/>
      <c r="B53" s="67" t="s">
        <v>1008</v>
      </c>
      <c r="C53" s="300"/>
      <c r="D53" s="307"/>
      <c r="E53" s="431">
        <v>104.90921318090113</v>
      </c>
      <c r="F53" s="429"/>
      <c r="G53" s="309"/>
      <c r="H53" s="431">
        <v>80.202702702702695</v>
      </c>
      <c r="I53" s="420"/>
      <c r="J53" s="309"/>
      <c r="K53" s="431">
        <v>69.959128065395092</v>
      </c>
      <c r="L53" s="420"/>
      <c r="M53" s="309"/>
      <c r="N53" s="431">
        <v>131.87414500683994</v>
      </c>
      <c r="O53" s="424"/>
      <c r="P53" s="307"/>
      <c r="Q53" s="431">
        <v>193.34248455730955</v>
      </c>
      <c r="R53" s="429"/>
      <c r="S53" s="309"/>
      <c r="T53" s="431">
        <v>91.367403314917127</v>
      </c>
      <c r="U53" s="424"/>
      <c r="V53" s="300"/>
      <c r="W53" s="431">
        <v>92.585102797438495</v>
      </c>
      <c r="X53" s="300"/>
      <c r="Z53" s="431">
        <v>142.51290877796902</v>
      </c>
      <c r="AB53" s="246"/>
      <c r="AC53" s="235"/>
    </row>
    <row r="54" spans="1:30" s="290" customFormat="1" ht="12.6" thickTop="1" thickBot="1">
      <c r="A54" s="420"/>
      <c r="B54" s="420"/>
      <c r="C54" s="300"/>
      <c r="D54" s="432"/>
      <c r="E54" s="433"/>
      <c r="F54" s="456"/>
      <c r="G54" s="309"/>
      <c r="H54" s="426"/>
      <c r="I54" s="424"/>
      <c r="J54" s="309"/>
      <c r="K54" s="426"/>
      <c r="L54" s="424"/>
      <c r="M54" s="309"/>
      <c r="N54" s="426"/>
      <c r="O54" s="424"/>
      <c r="P54" s="432"/>
      <c r="Q54" s="433"/>
      <c r="R54" s="456"/>
      <c r="S54" s="309"/>
      <c r="T54" s="426"/>
      <c r="U54" s="424"/>
      <c r="V54" s="300"/>
      <c r="W54" s="426"/>
      <c r="Y54" s="300"/>
      <c r="Z54" s="426"/>
    </row>
    <row r="55" spans="1:30" s="290" customFormat="1" ht="11.4">
      <c r="A55" s="434"/>
      <c r="B55" s="434"/>
      <c r="C55" s="420"/>
      <c r="D55" s="420"/>
      <c r="E55" s="420"/>
      <c r="F55" s="420"/>
      <c r="G55" s="439"/>
      <c r="H55" s="300"/>
      <c r="I55" s="439"/>
      <c r="J55" s="420"/>
      <c r="K55" s="420"/>
      <c r="L55" s="420"/>
      <c r="M55" s="420"/>
      <c r="N55" s="420"/>
      <c r="O55" s="420"/>
      <c r="P55" s="420"/>
      <c r="Q55" s="420"/>
      <c r="R55" s="420"/>
      <c r="S55" s="439"/>
      <c r="T55" s="300"/>
      <c r="U55" s="439"/>
      <c r="V55" s="300"/>
      <c r="W55" s="300"/>
      <c r="Y55" s="300"/>
      <c r="Z55" s="300"/>
    </row>
    <row r="56" spans="1:30">
      <c r="S56" s="313"/>
      <c r="U56" s="313"/>
      <c r="AA56" s="290"/>
      <c r="AB56" s="290"/>
      <c r="AC56" s="290"/>
      <c r="AD56" s="290"/>
    </row>
    <row r="57" spans="1:30">
      <c r="S57" s="313"/>
      <c r="U57" s="313"/>
      <c r="AA57" s="290"/>
      <c r="AB57" s="290"/>
      <c r="AC57" s="290"/>
      <c r="AD57" s="290"/>
    </row>
    <row r="58" spans="1:30">
      <c r="S58" s="313"/>
      <c r="U58" s="313"/>
      <c r="AA58" s="290"/>
      <c r="AB58" s="290"/>
      <c r="AC58" s="290"/>
      <c r="AD58" s="290"/>
    </row>
    <row r="59" spans="1:30">
      <c r="S59" s="313"/>
      <c r="U59" s="313"/>
      <c r="AA59" s="290"/>
      <c r="AB59" s="290"/>
      <c r="AC59" s="290"/>
      <c r="AD59" s="290"/>
    </row>
    <row r="60" spans="1:30">
      <c r="S60" s="313"/>
      <c r="U60" s="313"/>
      <c r="AA60" s="290"/>
      <c r="AB60" s="290"/>
      <c r="AC60" s="290"/>
      <c r="AD60" s="290"/>
    </row>
    <row r="61" spans="1:30">
      <c r="S61" s="313"/>
      <c r="U61" s="313"/>
      <c r="AA61" s="290"/>
      <c r="AB61" s="290"/>
      <c r="AC61" s="290"/>
      <c r="AD61" s="290"/>
    </row>
    <row r="62" spans="1:30">
      <c r="S62" s="313"/>
      <c r="U62" s="313"/>
    </row>
    <row r="63" spans="1:30">
      <c r="S63" s="313"/>
      <c r="U63" s="313"/>
    </row>
    <row r="64" spans="1:30">
      <c r="S64" s="313"/>
      <c r="U64" s="313"/>
    </row>
    <row r="65" spans="19:21">
      <c r="S65" s="313"/>
      <c r="U65" s="313"/>
    </row>
    <row r="66" spans="19:21">
      <c r="S66" s="313"/>
      <c r="U66" s="313"/>
    </row>
    <row r="67" spans="19:21">
      <c r="S67" s="313"/>
      <c r="U67" s="313"/>
    </row>
    <row r="68" spans="19:21">
      <c r="S68" s="313"/>
      <c r="U68" s="313"/>
    </row>
    <row r="69" spans="19:21">
      <c r="S69" s="313"/>
      <c r="U69" s="313"/>
    </row>
    <row r="70" spans="19:21">
      <c r="S70" s="313"/>
      <c r="U70" s="313"/>
    </row>
    <row r="71" spans="19:21">
      <c r="S71" s="313"/>
      <c r="U71" s="313"/>
    </row>
    <row r="72" spans="19:21">
      <c r="S72" s="313"/>
      <c r="U72" s="313"/>
    </row>
    <row r="73" spans="19:21">
      <c r="S73" s="313"/>
      <c r="U73" s="313"/>
    </row>
    <row r="74" spans="19:21">
      <c r="S74" s="313"/>
      <c r="U74" s="313"/>
    </row>
    <row r="75" spans="19:21">
      <c r="S75" s="313"/>
      <c r="U75" s="313"/>
    </row>
    <row r="76" spans="19:21">
      <c r="S76" s="313"/>
      <c r="U76" s="313"/>
    </row>
    <row r="77" spans="19:21">
      <c r="S77" s="313"/>
      <c r="U77" s="313"/>
    </row>
    <row r="78" spans="19:21">
      <c r="S78" s="313"/>
      <c r="U78" s="313"/>
    </row>
    <row r="79" spans="19:21">
      <c r="S79" s="313"/>
      <c r="U79" s="313"/>
    </row>
    <row r="80" spans="19:21">
      <c r="S80" s="313"/>
      <c r="U80" s="313"/>
    </row>
  </sheetData>
  <mergeCells count="6">
    <mergeCell ref="A1:Z1"/>
    <mergeCell ref="A2:Z2"/>
    <mergeCell ref="A3:Z3"/>
    <mergeCell ref="B4:C4"/>
    <mergeCell ref="D4:T4"/>
    <mergeCell ref="W4:Z4"/>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24.xml><?xml version="1.0" encoding="utf-8"?>
<worksheet xmlns="http://schemas.openxmlformats.org/spreadsheetml/2006/main" xmlns:r="http://schemas.openxmlformats.org/officeDocument/2006/relationships">
  <dimension ref="A1:W40"/>
  <sheetViews>
    <sheetView zoomScale="75" zoomScaleNormal="75" workbookViewId="0">
      <selection sqref="A1:T1"/>
    </sheetView>
  </sheetViews>
  <sheetFormatPr defaultRowHeight="14.4"/>
  <cols>
    <col min="1" max="2" width="2.44140625" customWidth="1"/>
    <col min="3" max="3" width="34.6640625" customWidth="1"/>
    <col min="4" max="4" width="2.44140625" customWidth="1"/>
    <col min="5" max="5" width="9.44140625" customWidth="1"/>
    <col min="6" max="7" width="2.44140625" customWidth="1"/>
    <col min="8" max="8" width="9.44140625" customWidth="1"/>
    <col min="9" max="10" width="2.44140625" customWidth="1"/>
    <col min="11" max="11" width="9.44140625" customWidth="1"/>
    <col min="12" max="13" width="2.44140625" customWidth="1"/>
    <col min="14" max="14" width="9.44140625" customWidth="1"/>
    <col min="15" max="16" width="2.44140625" customWidth="1"/>
    <col min="17" max="17" width="9.44140625" customWidth="1"/>
    <col min="18" max="19" width="2.44140625" customWidth="1"/>
    <col min="20" max="20" width="9.44140625" customWidth="1"/>
    <col min="21" max="21" width="2.5546875" customWidth="1"/>
    <col min="22" max="22" width="9.5546875" customWidth="1"/>
    <col min="23" max="44" width="9.6640625" customWidth="1"/>
  </cols>
  <sheetData>
    <row r="1" spans="1:23" s="464" customFormat="1" ht="13.2">
      <c r="A1" s="1016" t="s">
        <v>96</v>
      </c>
      <c r="B1" s="1016"/>
      <c r="C1" s="1016"/>
      <c r="D1" s="1016"/>
      <c r="E1" s="1016"/>
      <c r="F1" s="1016"/>
      <c r="G1" s="1016"/>
      <c r="H1" s="1016"/>
      <c r="I1" s="1016"/>
      <c r="J1" s="1016"/>
      <c r="K1" s="1016"/>
      <c r="L1" s="1016"/>
      <c r="M1" s="1016"/>
      <c r="N1" s="1016"/>
      <c r="O1" s="1016"/>
      <c r="P1" s="1016"/>
      <c r="Q1" s="1016"/>
      <c r="R1" s="1016"/>
      <c r="S1" s="1016"/>
      <c r="T1" s="1016"/>
      <c r="W1" s="471"/>
    </row>
    <row r="2" spans="1:23" s="464" customFormat="1" ht="13.2">
      <c r="A2" s="1016" t="s">
        <v>90</v>
      </c>
      <c r="B2" s="1016"/>
      <c r="C2" s="1016"/>
      <c r="D2" s="1016"/>
      <c r="E2" s="1016"/>
      <c r="F2" s="1016"/>
      <c r="G2" s="1016"/>
      <c r="H2" s="1016"/>
      <c r="I2" s="1016"/>
      <c r="J2" s="1016"/>
      <c r="K2" s="1016"/>
      <c r="L2" s="1016"/>
      <c r="M2" s="1016"/>
      <c r="N2" s="1016"/>
      <c r="O2" s="1016"/>
      <c r="P2" s="1016"/>
      <c r="Q2" s="1016"/>
      <c r="R2" s="1016"/>
      <c r="S2" s="1016"/>
      <c r="T2" s="1016"/>
      <c r="W2" s="471"/>
    </row>
    <row r="3" spans="1:23" s="464" customFormat="1" ht="13.2">
      <c r="A3" s="1017"/>
      <c r="B3" s="1017"/>
      <c r="C3" s="1017"/>
      <c r="D3" s="1017"/>
      <c r="E3" s="1017"/>
      <c r="F3" s="1017"/>
      <c r="G3" s="1017"/>
      <c r="H3" s="1017"/>
      <c r="I3" s="1017"/>
      <c r="J3" s="1017"/>
      <c r="K3" s="1017"/>
      <c r="L3" s="1017"/>
      <c r="M3" s="1017"/>
      <c r="N3" s="1017"/>
      <c r="O3" s="1017"/>
      <c r="P3" s="1017"/>
      <c r="Q3" s="1017"/>
      <c r="R3" s="1017"/>
      <c r="S3" s="1017"/>
      <c r="T3" s="1017"/>
    </row>
    <row r="4" spans="1:23" s="464" customFormat="1" ht="13.2">
      <c r="A4" s="465"/>
      <c r="B4" s="465"/>
      <c r="C4" s="465"/>
      <c r="D4" s="1018" t="s">
        <v>99</v>
      </c>
      <c r="E4" s="1018"/>
      <c r="F4" s="1018"/>
      <c r="G4" s="1018"/>
      <c r="H4" s="1018"/>
      <c r="I4" s="1018"/>
      <c r="J4" s="1018"/>
      <c r="K4" s="1018"/>
      <c r="L4" s="1018"/>
      <c r="M4" s="1018"/>
      <c r="N4" s="1018"/>
      <c r="O4" s="1018"/>
      <c r="P4" s="1018"/>
      <c r="Q4" s="1018"/>
      <c r="R4" s="1018"/>
      <c r="S4" s="1018"/>
      <c r="T4" s="1018"/>
    </row>
    <row r="5" spans="1:23" s="464" customFormat="1" ht="13.8" thickBot="1">
      <c r="A5" s="465"/>
      <c r="B5" s="465"/>
      <c r="C5" s="465"/>
      <c r="D5" s="465"/>
      <c r="E5" s="465"/>
      <c r="F5" s="465"/>
      <c r="G5" s="465"/>
      <c r="H5" s="465"/>
      <c r="I5" s="465"/>
      <c r="J5" s="835"/>
      <c r="K5" s="835"/>
      <c r="L5" s="835"/>
      <c r="M5" s="465"/>
      <c r="N5" s="465"/>
      <c r="O5" s="465"/>
      <c r="P5" s="465"/>
      <c r="Q5" s="465"/>
      <c r="R5" s="465"/>
      <c r="S5" s="465"/>
      <c r="T5" s="465"/>
      <c r="U5" s="471"/>
      <c r="V5" s="471"/>
      <c r="W5" s="471"/>
    </row>
    <row r="6" spans="1:23" s="471" customFormat="1" ht="13.2">
      <c r="A6" s="466"/>
      <c r="B6" s="466"/>
      <c r="C6" s="466"/>
      <c r="D6" s="467"/>
      <c r="E6" s="468" t="s">
        <v>104</v>
      </c>
      <c r="F6" s="469"/>
      <c r="G6" s="466"/>
      <c r="H6" s="470" t="s">
        <v>105</v>
      </c>
      <c r="I6" s="470"/>
      <c r="J6" s="466"/>
      <c r="K6" s="470" t="s">
        <v>102</v>
      </c>
      <c r="L6" s="470"/>
      <c r="M6" s="466"/>
      <c r="N6" s="470" t="s">
        <v>103</v>
      </c>
      <c r="O6" s="470"/>
      <c r="P6" s="467"/>
      <c r="Q6" s="468" t="s">
        <v>104</v>
      </c>
      <c r="R6" s="469"/>
      <c r="S6" s="466"/>
      <c r="T6" s="470" t="s">
        <v>105</v>
      </c>
    </row>
    <row r="7" spans="1:23" s="471" customFormat="1" ht="13.2">
      <c r="A7" s="466"/>
      <c r="B7" s="466"/>
      <c r="C7" s="466"/>
      <c r="D7" s="472"/>
      <c r="E7" s="473">
        <v>2012</v>
      </c>
      <c r="F7" s="474"/>
      <c r="G7" s="466"/>
      <c r="H7" s="473">
        <v>2012</v>
      </c>
      <c r="I7" s="470"/>
      <c r="J7" s="466"/>
      <c r="K7" s="473">
        <v>2011</v>
      </c>
      <c r="L7" s="470"/>
      <c r="M7" s="466"/>
      <c r="N7" s="473">
        <v>2011</v>
      </c>
      <c r="O7" s="470"/>
      <c r="P7" s="472"/>
      <c r="Q7" s="473">
        <v>2011</v>
      </c>
      <c r="R7" s="474"/>
      <c r="S7" s="466"/>
      <c r="T7" s="473">
        <v>2011</v>
      </c>
    </row>
    <row r="8" spans="1:23" s="464" customFormat="1" ht="13.8">
      <c r="A8" s="475" t="s">
        <v>91</v>
      </c>
      <c r="B8" s="476"/>
      <c r="C8" s="836"/>
      <c r="D8" s="472"/>
      <c r="E8" s="470"/>
      <c r="F8" s="477"/>
      <c r="G8" s="466"/>
      <c r="H8" s="470"/>
      <c r="I8" s="466"/>
      <c r="J8" s="466"/>
      <c r="K8" s="470"/>
      <c r="L8" s="466"/>
      <c r="M8" s="466"/>
      <c r="N8" s="470"/>
      <c r="O8" s="466"/>
      <c r="P8" s="472"/>
      <c r="Q8" s="470"/>
      <c r="R8" s="477"/>
      <c r="S8" s="466"/>
      <c r="T8" s="470"/>
      <c r="U8" s="471"/>
      <c r="V8" s="471"/>
      <c r="W8" s="471"/>
    </row>
    <row r="9" spans="1:23" s="464" customFormat="1" ht="21" customHeight="1">
      <c r="A9" s="475"/>
      <c r="B9" s="476"/>
      <c r="C9" s="836" t="s">
        <v>361</v>
      </c>
      <c r="D9" s="472"/>
      <c r="E9" s="470"/>
      <c r="F9" s="477"/>
      <c r="G9" s="466"/>
      <c r="H9" s="470"/>
      <c r="I9" s="466"/>
      <c r="J9" s="466"/>
      <c r="K9" s="470"/>
      <c r="L9" s="466"/>
      <c r="M9" s="466"/>
      <c r="N9" s="470"/>
      <c r="O9" s="466"/>
      <c r="P9" s="472"/>
      <c r="Q9" s="470"/>
      <c r="R9" s="477"/>
      <c r="S9" s="466"/>
      <c r="T9" s="470"/>
      <c r="U9" s="471"/>
      <c r="V9" s="471"/>
      <c r="W9" s="471"/>
    </row>
    <row r="10" spans="1:23" s="464" customFormat="1" ht="13.2">
      <c r="A10" s="476"/>
      <c r="B10" s="476"/>
      <c r="C10" s="836" t="s">
        <v>1111</v>
      </c>
      <c r="D10" s="472"/>
      <c r="E10" s="308">
        <v>17046</v>
      </c>
      <c r="F10" s="478"/>
      <c r="G10" s="466"/>
      <c r="H10" s="308">
        <v>17080</v>
      </c>
      <c r="I10" s="479"/>
      <c r="J10" s="466"/>
      <c r="K10" s="308">
        <v>17213</v>
      </c>
      <c r="L10" s="479"/>
      <c r="M10" s="466"/>
      <c r="N10" s="308">
        <v>17286</v>
      </c>
      <c r="O10" s="479"/>
      <c r="P10" s="472"/>
      <c r="Q10" s="308">
        <v>17420</v>
      </c>
      <c r="R10" s="478"/>
      <c r="S10" s="466"/>
      <c r="T10" s="308">
        <v>17456</v>
      </c>
      <c r="U10" s="471"/>
      <c r="V10" s="471"/>
      <c r="W10" s="471"/>
    </row>
    <row r="11" spans="1:23" s="464" customFormat="1" ht="13.2">
      <c r="A11" s="476"/>
      <c r="B11" s="476"/>
      <c r="C11" s="836" t="s">
        <v>1112</v>
      </c>
      <c r="D11" s="472"/>
      <c r="E11" s="312">
        <v>551</v>
      </c>
      <c r="F11" s="478"/>
      <c r="G11" s="466"/>
      <c r="H11" s="312">
        <v>570</v>
      </c>
      <c r="I11" s="479"/>
      <c r="J11" s="466"/>
      <c r="K11" s="312">
        <v>571</v>
      </c>
      <c r="L11" s="479"/>
      <c r="M11" s="466"/>
      <c r="N11" s="312">
        <v>599</v>
      </c>
      <c r="O11" s="479"/>
      <c r="P11" s="472"/>
      <c r="Q11" s="312">
        <v>599</v>
      </c>
      <c r="R11" s="478"/>
      <c r="S11" s="466"/>
      <c r="T11" s="312">
        <v>627</v>
      </c>
      <c r="U11" s="471"/>
      <c r="V11" s="471"/>
      <c r="W11" s="471"/>
    </row>
    <row r="12" spans="1:23" s="464" customFormat="1" ht="13.2">
      <c r="A12" s="476"/>
      <c r="B12" s="476"/>
      <c r="C12" s="836" t="s">
        <v>1113</v>
      </c>
      <c r="D12" s="472"/>
      <c r="E12" s="308">
        <f>E10+E11</f>
        <v>17597</v>
      </c>
      <c r="F12" s="478"/>
      <c r="G12" s="466"/>
      <c r="H12" s="308">
        <f>H10+H11</f>
        <v>17650</v>
      </c>
      <c r="I12" s="479"/>
      <c r="J12" s="466"/>
      <c r="K12" s="308">
        <f>K10+K11</f>
        <v>17784</v>
      </c>
      <c r="L12" s="479"/>
      <c r="M12" s="466"/>
      <c r="N12" s="308">
        <f>N10+N11</f>
        <v>17885</v>
      </c>
      <c r="O12" s="479"/>
      <c r="P12" s="472"/>
      <c r="Q12" s="308">
        <f>Q10+Q11</f>
        <v>18019</v>
      </c>
      <c r="R12" s="478"/>
      <c r="S12" s="466"/>
      <c r="T12" s="308">
        <f>T10+T11</f>
        <v>18083</v>
      </c>
      <c r="U12" s="471"/>
      <c r="V12" s="471"/>
      <c r="W12" s="471"/>
    </row>
    <row r="13" spans="1:23" s="464" customFormat="1" ht="13.8">
      <c r="A13" s="476"/>
      <c r="B13" s="476"/>
      <c r="C13" s="836" t="s">
        <v>1114</v>
      </c>
      <c r="D13" s="472"/>
      <c r="E13" s="308">
        <v>6147</v>
      </c>
      <c r="F13" s="478"/>
      <c r="G13" s="466"/>
      <c r="H13" s="308">
        <v>6259</v>
      </c>
      <c r="I13" s="479"/>
      <c r="J13" s="466"/>
      <c r="K13" s="308">
        <v>6369</v>
      </c>
      <c r="L13" s="479"/>
      <c r="M13" s="466"/>
      <c r="N13" s="308">
        <v>6459</v>
      </c>
      <c r="O13" s="479"/>
      <c r="P13" s="472"/>
      <c r="Q13" s="308">
        <v>6555</v>
      </c>
      <c r="R13" s="478"/>
      <c r="S13" s="466"/>
      <c r="T13" s="308">
        <v>6631</v>
      </c>
      <c r="U13" s="471"/>
      <c r="V13" s="471"/>
      <c r="W13" s="471"/>
    </row>
    <row r="14" spans="1:23" s="464" customFormat="1" ht="13.8">
      <c r="A14" s="476"/>
      <c r="B14" s="476"/>
      <c r="C14" s="836" t="s">
        <v>1131</v>
      </c>
      <c r="D14" s="472"/>
      <c r="E14" s="308"/>
      <c r="F14" s="478"/>
      <c r="G14" s="466"/>
      <c r="H14" s="308"/>
      <c r="I14" s="479"/>
      <c r="J14" s="466"/>
      <c r="K14" s="308"/>
      <c r="L14" s="479"/>
      <c r="M14" s="466"/>
      <c r="N14" s="308"/>
      <c r="O14" s="479"/>
      <c r="P14" s="472"/>
      <c r="Q14" s="308"/>
      <c r="R14" s="478"/>
      <c r="S14" s="466"/>
      <c r="T14" s="308"/>
      <c r="U14" s="471"/>
      <c r="V14" s="471"/>
      <c r="W14" s="471"/>
    </row>
    <row r="15" spans="1:23" s="464" customFormat="1" ht="13.2">
      <c r="A15" s="476"/>
      <c r="B15" s="476"/>
      <c r="C15" s="836" t="s">
        <v>1115</v>
      </c>
      <c r="D15" s="472"/>
      <c r="E15" s="308">
        <v>1010</v>
      </c>
      <c r="F15" s="478"/>
      <c r="G15" s="466"/>
      <c r="H15" s="308">
        <v>976</v>
      </c>
      <c r="I15" s="479"/>
      <c r="J15" s="466"/>
      <c r="K15" s="308">
        <v>966</v>
      </c>
      <c r="L15" s="479"/>
      <c r="M15" s="466"/>
      <c r="N15" s="308">
        <v>972</v>
      </c>
      <c r="O15" s="479"/>
      <c r="P15" s="472"/>
      <c r="Q15" s="308">
        <v>957</v>
      </c>
      <c r="R15" s="478"/>
      <c r="S15" s="466"/>
      <c r="T15" s="308">
        <v>914</v>
      </c>
      <c r="U15" s="471"/>
      <c r="V15" s="471"/>
      <c r="W15" s="471"/>
    </row>
    <row r="16" spans="1:23" s="464" customFormat="1" ht="13.2">
      <c r="A16" s="476"/>
      <c r="B16" s="476"/>
      <c r="C16" s="836" t="s">
        <v>1116</v>
      </c>
      <c r="D16" s="472"/>
      <c r="E16" s="308">
        <v>3895</v>
      </c>
      <c r="F16" s="478"/>
      <c r="G16" s="466"/>
      <c r="H16" s="308">
        <v>3899</v>
      </c>
      <c r="I16" s="479"/>
      <c r="J16" s="466"/>
      <c r="K16" s="308">
        <v>3905</v>
      </c>
      <c r="L16" s="479"/>
      <c r="M16" s="466"/>
      <c r="N16" s="308">
        <v>3901</v>
      </c>
      <c r="O16" s="479"/>
      <c r="P16" s="472"/>
      <c r="Q16" s="308">
        <v>3877</v>
      </c>
      <c r="R16" s="478"/>
      <c r="S16" s="466"/>
      <c r="T16" s="308">
        <v>3849</v>
      </c>
      <c r="U16" s="471"/>
      <c r="V16" s="471"/>
      <c r="W16" s="471"/>
    </row>
    <row r="17" spans="1:23" s="464" customFormat="1" ht="13.2">
      <c r="A17" s="476"/>
      <c r="B17" s="476"/>
      <c r="C17" s="836" t="s">
        <v>1117</v>
      </c>
      <c r="D17" s="472"/>
      <c r="E17" s="308">
        <v>283</v>
      </c>
      <c r="F17" s="478"/>
      <c r="G17" s="466"/>
      <c r="H17" s="308">
        <v>281</v>
      </c>
      <c r="I17" s="479"/>
      <c r="J17" s="466"/>
      <c r="K17" s="308">
        <v>286</v>
      </c>
      <c r="L17" s="479"/>
      <c r="M17" s="466"/>
      <c r="N17" s="308">
        <v>292</v>
      </c>
      <c r="O17" s="479"/>
      <c r="P17" s="472"/>
      <c r="Q17" s="308">
        <v>299</v>
      </c>
      <c r="R17" s="478"/>
      <c r="S17" s="466"/>
      <c r="T17" s="308">
        <v>301</v>
      </c>
      <c r="U17" s="471"/>
      <c r="V17" s="471"/>
      <c r="W17" s="471"/>
    </row>
    <row r="18" spans="1:23" s="464" customFormat="1" ht="13.2">
      <c r="A18" s="476"/>
      <c r="B18" s="476"/>
      <c r="C18" s="836" t="s">
        <v>1118</v>
      </c>
      <c r="D18" s="472"/>
      <c r="E18" s="308">
        <v>1035</v>
      </c>
      <c r="F18" s="478"/>
      <c r="G18" s="466"/>
      <c r="H18" s="308">
        <v>1045</v>
      </c>
      <c r="I18" s="479"/>
      <c r="J18" s="466"/>
      <c r="K18" s="308">
        <v>1043</v>
      </c>
      <c r="L18" s="479"/>
      <c r="M18" s="466"/>
      <c r="N18" s="308">
        <v>1029</v>
      </c>
      <c r="O18" s="479"/>
      <c r="P18" s="472"/>
      <c r="Q18" s="308">
        <v>1045</v>
      </c>
      <c r="R18" s="478"/>
      <c r="S18" s="466"/>
      <c r="T18" s="308">
        <v>1039</v>
      </c>
      <c r="U18" s="471"/>
      <c r="V18" s="471"/>
      <c r="W18" s="471"/>
    </row>
    <row r="19" spans="1:23" s="464" customFormat="1" ht="13.2">
      <c r="A19" s="476"/>
      <c r="B19" s="476"/>
      <c r="C19" s="836" t="s">
        <v>1119</v>
      </c>
      <c r="D19" s="472"/>
      <c r="E19" s="308">
        <v>956</v>
      </c>
      <c r="F19" s="478"/>
      <c r="G19" s="466"/>
      <c r="H19" s="308">
        <v>938</v>
      </c>
      <c r="I19" s="479"/>
      <c r="J19" s="466"/>
      <c r="K19" s="308">
        <v>924</v>
      </c>
      <c r="L19" s="479"/>
      <c r="M19" s="466"/>
      <c r="N19" s="308">
        <v>911</v>
      </c>
      <c r="O19" s="479"/>
      <c r="P19" s="472"/>
      <c r="Q19" s="308">
        <v>899</v>
      </c>
      <c r="R19" s="478"/>
      <c r="S19" s="466"/>
      <c r="T19" s="308">
        <v>882</v>
      </c>
      <c r="U19" s="471"/>
      <c r="V19" s="471"/>
      <c r="W19" s="471"/>
    </row>
    <row r="20" spans="1:23" s="464" customFormat="1" ht="13.2">
      <c r="A20" s="476"/>
      <c r="B20" s="476"/>
      <c r="C20" s="465" t="s">
        <v>1120</v>
      </c>
      <c r="D20" s="837"/>
      <c r="E20" s="762">
        <v>29</v>
      </c>
      <c r="F20" s="838"/>
      <c r="G20" s="762"/>
      <c r="H20" s="762">
        <v>28</v>
      </c>
      <c r="I20" s="762"/>
      <c r="J20" s="762"/>
      <c r="K20" s="762">
        <v>28</v>
      </c>
      <c r="L20" s="762"/>
      <c r="M20" s="762"/>
      <c r="N20" s="762">
        <v>32</v>
      </c>
      <c r="O20" s="762"/>
      <c r="P20" s="837"/>
      <c r="Q20" s="762">
        <v>39</v>
      </c>
      <c r="R20" s="838"/>
      <c r="S20" s="762"/>
      <c r="T20" s="762">
        <v>42</v>
      </c>
      <c r="U20" s="471"/>
      <c r="V20" s="471"/>
      <c r="W20" s="471"/>
    </row>
    <row r="21" spans="1:23" s="464" customFormat="1" ht="13.5" customHeight="1">
      <c r="A21" s="476"/>
      <c r="B21" s="476"/>
      <c r="C21" s="836" t="s">
        <v>1121</v>
      </c>
      <c r="D21" s="472"/>
      <c r="E21" s="312">
        <v>10</v>
      </c>
      <c r="F21" s="478"/>
      <c r="G21" s="466"/>
      <c r="H21" s="312">
        <v>9</v>
      </c>
      <c r="I21" s="479"/>
      <c r="J21" s="466"/>
      <c r="K21" s="312">
        <v>0</v>
      </c>
      <c r="L21" s="479"/>
      <c r="M21" s="466"/>
      <c r="N21" s="312">
        <v>0</v>
      </c>
      <c r="O21" s="479"/>
      <c r="P21" s="472"/>
      <c r="Q21" s="312">
        <v>0</v>
      </c>
      <c r="R21" s="478"/>
      <c r="S21" s="466"/>
      <c r="T21" s="312">
        <v>0</v>
      </c>
      <c r="U21" s="471"/>
      <c r="V21" s="471"/>
      <c r="W21" s="471"/>
    </row>
    <row r="22" spans="1:23" s="464" customFormat="1" ht="16.5" customHeight="1">
      <c r="A22" s="476"/>
      <c r="B22" s="476"/>
      <c r="C22" s="836" t="s">
        <v>1122</v>
      </c>
      <c r="D22" s="472"/>
      <c r="E22" s="308">
        <f>SUM(E12:E21)</f>
        <v>30962</v>
      </c>
      <c r="F22" s="478"/>
      <c r="G22" s="466"/>
      <c r="H22" s="308">
        <f>SUM(H12:H21)</f>
        <v>31085</v>
      </c>
      <c r="I22" s="479"/>
      <c r="J22" s="466"/>
      <c r="K22" s="308">
        <f>SUM(K12:K21)</f>
        <v>31305</v>
      </c>
      <c r="L22" s="479"/>
      <c r="M22" s="466"/>
      <c r="N22" s="308">
        <f>SUM(N12:N21)</f>
        <v>31481</v>
      </c>
      <c r="O22" s="479"/>
      <c r="P22" s="472"/>
      <c r="Q22" s="308">
        <f>SUM(Q12:Q21)</f>
        <v>31690</v>
      </c>
      <c r="R22" s="478"/>
      <c r="S22" s="466"/>
      <c r="T22" s="308">
        <f>SUM(T12:T21)</f>
        <v>31741</v>
      </c>
      <c r="U22" s="471"/>
      <c r="V22" s="471"/>
      <c r="W22" s="471"/>
    </row>
    <row r="23" spans="1:23" s="464" customFormat="1" ht="17.25" customHeight="1">
      <c r="A23" s="476"/>
      <c r="B23" s="476"/>
      <c r="C23" s="836" t="s">
        <v>369</v>
      </c>
      <c r="D23" s="472"/>
      <c r="E23" s="308"/>
      <c r="F23" s="478"/>
      <c r="G23" s="466"/>
      <c r="H23" s="308"/>
      <c r="I23" s="479"/>
      <c r="J23" s="466"/>
      <c r="K23" s="308"/>
      <c r="L23" s="479"/>
      <c r="M23" s="466"/>
      <c r="N23" s="308"/>
      <c r="O23" s="479"/>
      <c r="P23" s="472"/>
      <c r="Q23" s="308"/>
      <c r="R23" s="478"/>
      <c r="S23" s="466"/>
      <c r="T23" s="308"/>
      <c r="U23" s="471"/>
      <c r="V23" s="471"/>
      <c r="W23" s="471"/>
    </row>
    <row r="24" spans="1:23" s="464" customFormat="1" ht="13.2">
      <c r="A24" s="476"/>
      <c r="B24" s="476"/>
      <c r="C24" s="836" t="s">
        <v>1123</v>
      </c>
      <c r="D24" s="472"/>
      <c r="E24" s="308">
        <v>687</v>
      </c>
      <c r="F24" s="478"/>
      <c r="G24" s="466"/>
      <c r="H24" s="308">
        <v>676</v>
      </c>
      <c r="I24" s="479"/>
      <c r="J24" s="466"/>
      <c r="K24" s="308">
        <v>673</v>
      </c>
      <c r="L24" s="479"/>
      <c r="M24" s="466"/>
      <c r="N24" s="308">
        <v>671</v>
      </c>
      <c r="O24" s="479"/>
      <c r="P24" s="472"/>
      <c r="Q24" s="308">
        <v>672</v>
      </c>
      <c r="R24" s="478"/>
      <c r="S24" s="466"/>
      <c r="T24" s="308">
        <v>676</v>
      </c>
      <c r="U24" s="471"/>
      <c r="V24" s="471"/>
      <c r="W24" s="471"/>
    </row>
    <row r="25" spans="1:23" s="464" customFormat="1" ht="13.2">
      <c r="A25" s="476"/>
      <c r="B25" s="476"/>
      <c r="C25" s="836" t="s">
        <v>1124</v>
      </c>
      <c r="D25" s="472"/>
      <c r="E25" s="308">
        <v>0</v>
      </c>
      <c r="F25" s="478"/>
      <c r="G25" s="466"/>
      <c r="H25" s="308">
        <v>0</v>
      </c>
      <c r="I25" s="479"/>
      <c r="J25" s="466"/>
      <c r="K25" s="308">
        <v>0</v>
      </c>
      <c r="L25" s="479"/>
      <c r="M25" s="466"/>
      <c r="N25" s="308">
        <v>1</v>
      </c>
      <c r="O25" s="479"/>
      <c r="P25" s="472"/>
      <c r="Q25" s="308">
        <v>3</v>
      </c>
      <c r="R25" s="478"/>
      <c r="S25" s="466"/>
      <c r="T25" s="308">
        <v>4</v>
      </c>
      <c r="U25" s="471"/>
      <c r="V25" s="471"/>
      <c r="W25" s="471"/>
    </row>
    <row r="26" spans="1:23" s="464" customFormat="1" ht="13.2">
      <c r="A26" s="476"/>
      <c r="B26" s="476"/>
      <c r="C26" s="836" t="s">
        <v>1125</v>
      </c>
      <c r="D26" s="472"/>
      <c r="E26" s="308">
        <v>314</v>
      </c>
      <c r="F26" s="478"/>
      <c r="G26" s="466"/>
      <c r="H26" s="308">
        <v>309</v>
      </c>
      <c r="I26" s="479"/>
      <c r="J26" s="466"/>
      <c r="K26" s="308">
        <v>306</v>
      </c>
      <c r="L26" s="479"/>
      <c r="M26" s="466"/>
      <c r="N26" s="308">
        <v>306</v>
      </c>
      <c r="O26" s="479"/>
      <c r="P26" s="472"/>
      <c r="Q26" s="308">
        <v>307</v>
      </c>
      <c r="R26" s="478"/>
      <c r="S26" s="466"/>
      <c r="T26" s="308">
        <v>310</v>
      </c>
      <c r="U26" s="471"/>
      <c r="V26" s="471"/>
      <c r="W26" s="471"/>
    </row>
    <row r="27" spans="1:23" s="464" customFormat="1" ht="13.2">
      <c r="A27" s="476"/>
      <c r="B27" s="476"/>
      <c r="C27" s="836" t="s">
        <v>1128</v>
      </c>
      <c r="D27" s="472"/>
      <c r="E27" s="308">
        <v>22</v>
      </c>
      <c r="F27" s="478"/>
      <c r="G27" s="466"/>
      <c r="H27" s="308">
        <v>21</v>
      </c>
      <c r="I27" s="479"/>
      <c r="J27" s="466"/>
      <c r="K27" s="308">
        <v>21</v>
      </c>
      <c r="L27" s="479"/>
      <c r="M27" s="466"/>
      <c r="N27" s="308">
        <v>21</v>
      </c>
      <c r="O27" s="479"/>
      <c r="P27" s="472"/>
      <c r="Q27" s="308">
        <v>21</v>
      </c>
      <c r="R27" s="478"/>
      <c r="S27" s="466"/>
      <c r="T27" s="308">
        <v>21</v>
      </c>
      <c r="U27" s="471"/>
      <c r="V27" s="471"/>
      <c r="W27" s="471"/>
    </row>
    <row r="28" spans="1:23" s="464" customFormat="1" ht="13.2">
      <c r="A28" s="476"/>
      <c r="B28" s="476"/>
      <c r="C28" s="836" t="s">
        <v>1129</v>
      </c>
      <c r="D28" s="472"/>
      <c r="E28" s="308">
        <v>112</v>
      </c>
      <c r="F28" s="478"/>
      <c r="G28" s="466"/>
      <c r="H28" s="308">
        <v>111</v>
      </c>
      <c r="I28" s="479"/>
      <c r="J28" s="466"/>
      <c r="K28" s="308">
        <v>111</v>
      </c>
      <c r="L28" s="479"/>
      <c r="M28" s="466"/>
      <c r="N28" s="308">
        <v>111</v>
      </c>
      <c r="O28" s="479"/>
      <c r="P28" s="472"/>
      <c r="Q28" s="308">
        <v>111</v>
      </c>
      <c r="R28" s="478"/>
      <c r="S28" s="466"/>
      <c r="T28" s="308">
        <v>112</v>
      </c>
      <c r="U28" s="471"/>
      <c r="V28" s="471"/>
      <c r="W28" s="471"/>
    </row>
    <row r="29" spans="1:23" s="464" customFormat="1" ht="13.2">
      <c r="A29" s="476"/>
      <c r="B29" s="476"/>
      <c r="C29" s="465" t="s">
        <v>1130</v>
      </c>
      <c r="D29" s="837"/>
      <c r="E29" s="894">
        <v>5</v>
      </c>
      <c r="F29" s="838"/>
      <c r="G29" s="895"/>
      <c r="H29" s="894">
        <v>5</v>
      </c>
      <c r="I29" s="895"/>
      <c r="J29" s="895"/>
      <c r="K29" s="894">
        <v>5</v>
      </c>
      <c r="L29" s="895"/>
      <c r="M29" s="895"/>
      <c r="N29" s="894">
        <v>6</v>
      </c>
      <c r="O29" s="895"/>
      <c r="P29" s="837"/>
      <c r="Q29" s="894">
        <v>7</v>
      </c>
      <c r="R29" s="838"/>
      <c r="S29" s="895"/>
      <c r="T29" s="894">
        <v>7</v>
      </c>
      <c r="U29" s="471"/>
      <c r="V29" s="471"/>
      <c r="W29" s="471"/>
    </row>
    <row r="30" spans="1:23" s="464" customFormat="1" ht="13.2">
      <c r="A30" s="476"/>
      <c r="B30" s="476"/>
      <c r="C30" s="836" t="s">
        <v>1126</v>
      </c>
      <c r="D30" s="472"/>
      <c r="E30" s="308">
        <f>SUM(E24:E29)</f>
        <v>1140</v>
      </c>
      <c r="F30" s="478"/>
      <c r="G30" s="466"/>
      <c r="H30" s="308">
        <f>SUM(H24:H29)</f>
        <v>1122</v>
      </c>
      <c r="I30" s="479"/>
      <c r="J30" s="466"/>
      <c r="K30" s="308">
        <f>SUM(K24:K29)</f>
        <v>1116</v>
      </c>
      <c r="L30" s="479"/>
      <c r="M30" s="466"/>
      <c r="N30" s="308">
        <f>SUM(N24:N29)</f>
        <v>1116</v>
      </c>
      <c r="O30" s="479"/>
      <c r="P30" s="472"/>
      <c r="Q30" s="308">
        <f>SUM(Q24:Q29)</f>
        <v>1121</v>
      </c>
      <c r="R30" s="478"/>
      <c r="S30" s="466"/>
      <c r="T30" s="308">
        <f>SUM(T24:T29)</f>
        <v>1130</v>
      </c>
      <c r="U30" s="471"/>
      <c r="V30" s="471"/>
      <c r="W30" s="471"/>
    </row>
    <row r="31" spans="1:23" s="464" customFormat="1" ht="6" customHeight="1">
      <c r="A31" s="476"/>
      <c r="B31" s="476"/>
      <c r="C31" s="836"/>
      <c r="D31" s="472"/>
      <c r="E31" s="308"/>
      <c r="F31" s="478"/>
      <c r="G31" s="466"/>
      <c r="H31" s="308"/>
      <c r="I31" s="479"/>
      <c r="J31" s="466"/>
      <c r="K31" s="308"/>
      <c r="L31" s="479"/>
      <c r="M31" s="466"/>
      <c r="N31" s="308"/>
      <c r="O31" s="479"/>
      <c r="P31" s="472"/>
      <c r="Q31" s="308"/>
      <c r="R31" s="478"/>
      <c r="S31" s="466"/>
      <c r="T31" s="308"/>
      <c r="U31" s="471"/>
      <c r="V31" s="471"/>
      <c r="W31" s="471"/>
    </row>
    <row r="32" spans="1:23" s="464" customFormat="1" ht="6" customHeight="1">
      <c r="A32" s="476"/>
      <c r="B32" s="476"/>
      <c r="C32" s="836"/>
      <c r="D32" s="472"/>
      <c r="E32" s="308"/>
      <c r="F32" s="478"/>
      <c r="G32" s="466"/>
      <c r="H32" s="308"/>
      <c r="I32" s="479"/>
      <c r="J32" s="466"/>
      <c r="K32" s="308"/>
      <c r="L32" s="479"/>
      <c r="M32" s="466"/>
      <c r="N32" s="308"/>
      <c r="O32" s="479"/>
      <c r="P32" s="472"/>
      <c r="Q32" s="308"/>
      <c r="R32" s="478"/>
      <c r="S32" s="466"/>
      <c r="T32" s="308"/>
      <c r="U32" s="471"/>
      <c r="V32" s="471"/>
      <c r="W32" s="471"/>
    </row>
    <row r="33" spans="1:23" s="464" customFormat="1" ht="13.2">
      <c r="A33" s="476"/>
      <c r="B33" s="476"/>
      <c r="C33" s="836" t="s">
        <v>1127</v>
      </c>
      <c r="D33" s="472"/>
      <c r="E33" s="312">
        <v>892</v>
      </c>
      <c r="F33" s="478"/>
      <c r="G33" s="466"/>
      <c r="H33" s="312">
        <v>849</v>
      </c>
      <c r="I33" s="479"/>
      <c r="J33" s="466"/>
      <c r="K33" s="312">
        <v>786</v>
      </c>
      <c r="L33" s="479"/>
      <c r="M33" s="466"/>
      <c r="N33" s="312">
        <v>0</v>
      </c>
      <c r="O33" s="479"/>
      <c r="P33" s="472"/>
      <c r="Q33" s="312">
        <v>0</v>
      </c>
      <c r="R33" s="478"/>
      <c r="S33" s="466"/>
      <c r="T33" s="312">
        <v>0</v>
      </c>
      <c r="U33" s="471"/>
      <c r="V33" s="471"/>
      <c r="W33" s="471"/>
    </row>
    <row r="34" spans="1:23" s="464" customFormat="1" ht="13.2">
      <c r="A34" s="476"/>
      <c r="B34" s="476"/>
      <c r="D34" s="882"/>
      <c r="E34" s="471"/>
      <c r="F34" s="883"/>
      <c r="P34" s="882"/>
      <c r="Q34" s="471"/>
      <c r="R34" s="883"/>
      <c r="U34" s="471"/>
      <c r="V34" s="471"/>
      <c r="W34" s="471"/>
    </row>
    <row r="35" spans="1:23" s="464" customFormat="1" ht="13.8" thickBot="1">
      <c r="A35" s="476"/>
      <c r="B35" s="476"/>
      <c r="C35" s="884" t="s">
        <v>92</v>
      </c>
      <c r="D35" s="472"/>
      <c r="E35" s="885">
        <f>E22+E30+E33</f>
        <v>32994</v>
      </c>
      <c r="F35" s="478"/>
      <c r="G35" s="466"/>
      <c r="H35" s="885">
        <f>H22+H30+H33</f>
        <v>33056</v>
      </c>
      <c r="I35" s="479"/>
      <c r="J35" s="466"/>
      <c r="K35" s="885">
        <f>K22+K30+K33</f>
        <v>33207</v>
      </c>
      <c r="L35" s="479"/>
      <c r="M35" s="466"/>
      <c r="N35" s="885">
        <f>N22+N30+N33</f>
        <v>32597</v>
      </c>
      <c r="O35" s="479"/>
      <c r="P35" s="472"/>
      <c r="Q35" s="885">
        <f>Q22+Q30+Q33</f>
        <v>32811</v>
      </c>
      <c r="R35" s="478"/>
      <c r="S35" s="466"/>
      <c r="T35" s="885">
        <f>T22+T30+T33</f>
        <v>32871</v>
      </c>
      <c r="U35" s="471"/>
      <c r="V35" s="471"/>
      <c r="W35" s="471"/>
    </row>
    <row r="36" spans="1:23" ht="15.6" thickTop="1" thickBot="1">
      <c r="D36" s="886"/>
      <c r="E36" s="887"/>
      <c r="F36" s="888"/>
      <c r="P36" s="886"/>
      <c r="Q36" s="887"/>
      <c r="R36" s="888"/>
    </row>
    <row r="38" spans="1:23" s="464" customFormat="1" ht="52.5" customHeight="1">
      <c r="A38" s="485" t="s">
        <v>770</v>
      </c>
      <c r="B38" s="1015" t="s">
        <v>1134</v>
      </c>
      <c r="C38" s="1015"/>
      <c r="D38" s="1015"/>
      <c r="E38" s="1015"/>
      <c r="F38" s="1015"/>
      <c r="G38" s="1015"/>
      <c r="H38" s="1015"/>
      <c r="I38" s="1015"/>
      <c r="J38" s="1015"/>
      <c r="K38" s="1015"/>
      <c r="L38" s="1015"/>
      <c r="M38" s="1015"/>
      <c r="N38" s="1015"/>
      <c r="O38" s="1015"/>
      <c r="P38" s="1015"/>
      <c r="Q38" s="1015"/>
      <c r="R38" s="1015"/>
      <c r="S38" s="1015"/>
      <c r="T38" s="1015"/>
    </row>
    <row r="39" spans="1:23" s="464" customFormat="1" ht="28.5" customHeight="1">
      <c r="A39" s="485" t="s">
        <v>772</v>
      </c>
      <c r="B39" s="999" t="s">
        <v>1100</v>
      </c>
      <c r="C39" s="999"/>
      <c r="D39" s="999"/>
      <c r="E39" s="999"/>
      <c r="F39" s="999"/>
      <c r="G39" s="999"/>
      <c r="H39" s="999"/>
      <c r="I39" s="999"/>
      <c r="J39" s="999"/>
      <c r="K39" s="999"/>
      <c r="L39" s="999"/>
      <c r="M39" s="999"/>
      <c r="N39" s="999"/>
      <c r="O39" s="999"/>
      <c r="P39" s="999"/>
      <c r="Q39" s="999"/>
      <c r="R39" s="999"/>
      <c r="S39" s="999"/>
      <c r="T39" s="999"/>
    </row>
    <row r="40" spans="1:23" s="464" customFormat="1" ht="42.75" customHeight="1">
      <c r="A40" s="485" t="s">
        <v>798</v>
      </c>
      <c r="B40" s="987" t="s">
        <v>1135</v>
      </c>
      <c r="C40" s="987"/>
      <c r="D40" s="987"/>
      <c r="E40" s="987"/>
      <c r="F40" s="987"/>
      <c r="G40" s="987"/>
      <c r="H40" s="987"/>
      <c r="I40" s="987"/>
      <c r="J40" s="987"/>
      <c r="K40" s="987"/>
      <c r="L40" s="987"/>
      <c r="M40" s="987"/>
      <c r="N40" s="987"/>
      <c r="O40" s="987"/>
      <c r="P40" s="987"/>
      <c r="Q40" s="987"/>
      <c r="R40" s="987"/>
      <c r="S40" s="987"/>
      <c r="T40" s="987"/>
    </row>
  </sheetData>
  <mergeCells count="7">
    <mergeCell ref="B38:T38"/>
    <mergeCell ref="B39:T39"/>
    <mergeCell ref="B40:T40"/>
    <mergeCell ref="A1:T1"/>
    <mergeCell ref="A2:T2"/>
    <mergeCell ref="A3:T3"/>
    <mergeCell ref="D4:T4"/>
  </mergeCells>
  <phoneticPr fontId="24" type="noConversion"/>
  <printOptions horizontalCentered="1"/>
  <pageMargins left="0.7" right="0.7" top="0.5" bottom="0.75" header="0.3" footer="0.3"/>
  <pageSetup scale="81" orientation="landscape" r:id="rId1"/>
  <headerFooter>
    <oddFooter>&amp;R&amp;A</oddFooter>
  </headerFooter>
  <ignoredErrors>
    <ignoredError sqref="A38:A40" numberStoredAsText="1"/>
  </ignoredErrors>
</worksheet>
</file>

<file path=xl/worksheets/sheet25.xml><?xml version="1.0" encoding="utf-8"?>
<worksheet xmlns="http://schemas.openxmlformats.org/spreadsheetml/2006/main" xmlns:r="http://schemas.openxmlformats.org/officeDocument/2006/relationships">
  <sheetPr>
    <pageSetUpPr fitToPage="1"/>
  </sheetPr>
  <dimension ref="A1:Z78"/>
  <sheetViews>
    <sheetView zoomScale="75" zoomScaleNormal="75" workbookViewId="0">
      <selection activeCell="AB16" sqref="AB16"/>
    </sheetView>
  </sheetViews>
  <sheetFormatPr defaultColWidth="9.109375" defaultRowHeight="13.2"/>
  <cols>
    <col min="1" max="2" width="2.44140625" style="464" customWidth="1"/>
    <col min="3" max="3" width="46.109375" style="464" customWidth="1"/>
    <col min="4" max="4" width="2.33203125" style="464" customWidth="1"/>
    <col min="5" max="5" width="9.109375" style="464"/>
    <col min="6" max="7" width="2.44140625" style="464" customWidth="1"/>
    <col min="8" max="8" width="9.109375" style="464"/>
    <col min="9" max="10" width="2.44140625" style="464" customWidth="1"/>
    <col min="11" max="11" width="9.109375" style="464"/>
    <col min="12" max="13" width="2.44140625" style="464" customWidth="1"/>
    <col min="14" max="14" width="9.109375" style="464"/>
    <col min="15" max="16" width="2.44140625" style="464" customWidth="1"/>
    <col min="17" max="17" width="9.109375" style="464"/>
    <col min="18" max="19" width="2.44140625" style="464" customWidth="1"/>
    <col min="20" max="20" width="9.109375" style="464"/>
    <col min="21" max="22" width="2.44140625" style="464" customWidth="1"/>
    <col min="23" max="23" width="9.109375" style="284"/>
    <col min="24" max="24" width="2.44140625" style="284" customWidth="1"/>
    <col min="25" max="25" width="9.109375" style="284"/>
    <col min="26" max="26" width="9.5546875" style="464" customWidth="1"/>
    <col min="27" max="47" width="9.6640625" style="464" customWidth="1"/>
    <col min="48" max="16384" width="9.109375" style="464"/>
  </cols>
  <sheetData>
    <row r="1" spans="1:26">
      <c r="A1" s="1016" t="s">
        <v>96</v>
      </c>
      <c r="B1" s="1016"/>
      <c r="C1" s="1016"/>
      <c r="D1" s="1016"/>
      <c r="E1" s="1016"/>
      <c r="F1" s="1016"/>
      <c r="G1" s="1016"/>
      <c r="H1" s="1016"/>
      <c r="I1" s="1016"/>
      <c r="J1" s="1016"/>
      <c r="K1" s="1016"/>
      <c r="L1" s="1016"/>
      <c r="M1" s="1016"/>
      <c r="N1" s="1016"/>
      <c r="O1" s="1016"/>
      <c r="P1" s="1016"/>
      <c r="Q1" s="1016"/>
      <c r="R1" s="1016"/>
      <c r="S1" s="1016"/>
      <c r="T1" s="1016"/>
      <c r="U1" s="1016"/>
      <c r="V1" s="1016"/>
      <c r="W1" s="1016"/>
      <c r="X1" s="1016"/>
      <c r="Y1" s="1016"/>
    </row>
    <row r="2" spans="1:26" ht="15.6">
      <c r="A2" s="1016" t="s">
        <v>1013</v>
      </c>
      <c r="B2" s="1016"/>
      <c r="C2" s="1016"/>
      <c r="D2" s="1016"/>
      <c r="E2" s="1016"/>
      <c r="F2" s="1016"/>
      <c r="G2" s="1016"/>
      <c r="H2" s="1016"/>
      <c r="I2" s="1016"/>
      <c r="J2" s="1016"/>
      <c r="K2" s="1016"/>
      <c r="L2" s="1016"/>
      <c r="M2" s="1016"/>
      <c r="N2" s="1016"/>
      <c r="O2" s="1016"/>
      <c r="P2" s="1016"/>
      <c r="Q2" s="1016"/>
      <c r="R2" s="1016"/>
      <c r="S2" s="1016"/>
      <c r="T2" s="1016"/>
      <c r="U2" s="1016"/>
      <c r="V2" s="1016"/>
      <c r="W2" s="1016"/>
      <c r="X2" s="1016"/>
      <c r="Y2" s="1016"/>
    </row>
    <row r="3" spans="1:26">
      <c r="A3" s="1017"/>
      <c r="B3" s="1017"/>
      <c r="C3" s="1017"/>
      <c r="D3" s="1017"/>
      <c r="E3" s="1017"/>
      <c r="F3" s="1017"/>
      <c r="G3" s="1017"/>
      <c r="H3" s="1017"/>
      <c r="I3" s="1017"/>
      <c r="J3" s="1017"/>
      <c r="K3" s="1017"/>
      <c r="L3" s="1017"/>
      <c r="M3" s="1017"/>
      <c r="N3" s="1017"/>
      <c r="O3" s="1017"/>
      <c r="P3" s="1017"/>
      <c r="Q3" s="1017"/>
      <c r="R3" s="1017"/>
      <c r="S3" s="1017"/>
      <c r="T3" s="1017"/>
      <c r="U3" s="826"/>
    </row>
    <row r="4" spans="1:26">
      <c r="A4" s="465"/>
      <c r="B4" s="465"/>
      <c r="C4" s="465"/>
      <c r="D4" s="1018" t="s">
        <v>99</v>
      </c>
      <c r="E4" s="1018"/>
      <c r="F4" s="1018"/>
      <c r="G4" s="1018"/>
      <c r="H4" s="1018"/>
      <c r="I4" s="1018"/>
      <c r="J4" s="1018"/>
      <c r="K4" s="1018"/>
      <c r="L4" s="1018"/>
      <c r="M4" s="1018"/>
      <c r="N4" s="1018"/>
      <c r="O4" s="1018"/>
      <c r="P4" s="1018"/>
      <c r="Q4" s="1018"/>
      <c r="R4" s="1018"/>
      <c r="S4" s="1018"/>
      <c r="T4" s="1018"/>
      <c r="U4" s="470"/>
      <c r="W4" s="1013" t="s">
        <v>100</v>
      </c>
      <c r="X4" s="1013"/>
      <c r="Y4" s="1013"/>
    </row>
    <row r="5" spans="1:26" ht="13.8" thickBot="1">
      <c r="A5" s="465"/>
      <c r="B5" s="465"/>
      <c r="C5" s="465"/>
      <c r="D5" s="465"/>
      <c r="E5" s="465"/>
      <c r="F5" s="465"/>
      <c r="G5" s="465"/>
      <c r="H5" s="465"/>
      <c r="I5" s="465"/>
      <c r="J5" s="835"/>
      <c r="K5" s="835"/>
      <c r="L5" s="835"/>
      <c r="M5" s="465"/>
      <c r="N5" s="465"/>
      <c r="O5" s="465"/>
      <c r="P5" s="465"/>
      <c r="Q5" s="465"/>
      <c r="R5" s="465"/>
      <c r="S5" s="465"/>
      <c r="T5" s="465"/>
      <c r="U5" s="465"/>
      <c r="V5" s="466"/>
      <c r="W5" s="313"/>
      <c r="X5" s="313"/>
      <c r="Y5" s="313"/>
      <c r="Z5" s="471"/>
    </row>
    <row r="6" spans="1:26" s="471" customFormat="1">
      <c r="A6" s="466"/>
      <c r="B6" s="466"/>
      <c r="C6" s="466"/>
      <c r="D6" s="467"/>
      <c r="E6" s="468" t="s">
        <v>104</v>
      </c>
      <c r="F6" s="469"/>
      <c r="G6" s="466"/>
      <c r="H6" s="470" t="s">
        <v>105</v>
      </c>
      <c r="I6" s="470"/>
      <c r="J6" s="466"/>
      <c r="K6" s="470" t="s">
        <v>102</v>
      </c>
      <c r="L6" s="470"/>
      <c r="M6" s="466"/>
      <c r="N6" s="470" t="s">
        <v>103</v>
      </c>
      <c r="O6" s="470"/>
      <c r="P6" s="467"/>
      <c r="Q6" s="468" t="s">
        <v>104</v>
      </c>
      <c r="R6" s="469"/>
      <c r="S6" s="466"/>
      <c r="T6" s="470" t="s">
        <v>105</v>
      </c>
      <c r="U6" s="470"/>
      <c r="V6" s="470"/>
      <c r="W6" s="470" t="s">
        <v>104</v>
      </c>
      <c r="X6" s="313"/>
      <c r="Y6" s="470" t="s">
        <v>104</v>
      </c>
    </row>
    <row r="7" spans="1:26" s="471" customFormat="1">
      <c r="A7" s="466"/>
      <c r="B7" s="466"/>
      <c r="C7" s="466"/>
      <c r="D7" s="472"/>
      <c r="E7" s="473">
        <v>2012</v>
      </c>
      <c r="F7" s="474"/>
      <c r="G7" s="466"/>
      <c r="H7" s="473">
        <v>2012</v>
      </c>
      <c r="I7" s="470"/>
      <c r="J7" s="466"/>
      <c r="K7" s="473">
        <v>2011</v>
      </c>
      <c r="L7" s="470"/>
      <c r="M7" s="466"/>
      <c r="N7" s="473">
        <v>2011</v>
      </c>
      <c r="O7" s="470"/>
      <c r="P7" s="472"/>
      <c r="Q7" s="473">
        <v>2011</v>
      </c>
      <c r="R7" s="474"/>
      <c r="S7" s="466"/>
      <c r="T7" s="473">
        <v>2011</v>
      </c>
      <c r="U7" s="470"/>
      <c r="V7" s="470"/>
      <c r="W7" s="473">
        <v>2012</v>
      </c>
      <c r="X7" s="313"/>
      <c r="Y7" s="13">
        <v>2011</v>
      </c>
    </row>
    <row r="8" spans="1:26" ht="9" customHeight="1">
      <c r="A8" s="476"/>
      <c r="B8" s="476"/>
      <c r="C8" s="836"/>
      <c r="D8" s="472"/>
      <c r="E8" s="479"/>
      <c r="F8" s="478"/>
      <c r="G8" s="466"/>
      <c r="H8" s="479"/>
      <c r="I8" s="479"/>
      <c r="J8" s="466"/>
      <c r="K8" s="479"/>
      <c r="L8" s="479"/>
      <c r="M8" s="466"/>
      <c r="N8" s="479"/>
      <c r="O8" s="479"/>
      <c r="P8" s="472"/>
      <c r="Q8" s="479"/>
      <c r="R8" s="478"/>
      <c r="S8" s="466"/>
      <c r="T8" s="479"/>
      <c r="U8" s="479"/>
      <c r="V8" s="479"/>
      <c r="W8" s="479"/>
      <c r="X8" s="300"/>
      <c r="Y8" s="479"/>
      <c r="Z8" s="471"/>
    </row>
    <row r="9" spans="1:26">
      <c r="A9" s="475" t="s">
        <v>39</v>
      </c>
      <c r="B9" s="476"/>
      <c r="C9" s="836"/>
      <c r="D9" s="472"/>
      <c r="E9" s="891">
        <v>656</v>
      </c>
      <c r="F9" s="478"/>
      <c r="G9" s="466"/>
      <c r="H9" s="479">
        <v>569</v>
      </c>
      <c r="I9" s="479"/>
      <c r="J9" s="466"/>
      <c r="K9" s="479">
        <v>390</v>
      </c>
      <c r="L9" s="479"/>
      <c r="M9" s="466"/>
      <c r="N9" s="762">
        <v>129</v>
      </c>
      <c r="O9" s="762"/>
      <c r="P9" s="472"/>
      <c r="Q9" s="891">
        <v>75</v>
      </c>
      <c r="R9" s="478"/>
      <c r="S9" s="466"/>
      <c r="T9" s="479">
        <v>25</v>
      </c>
      <c r="U9" s="762"/>
      <c r="V9" s="762"/>
      <c r="W9" s="479">
        <v>656</v>
      </c>
      <c r="X9" s="300"/>
      <c r="Y9" s="479">
        <v>75</v>
      </c>
      <c r="Z9" s="471"/>
    </row>
    <row r="10" spans="1:26" ht="9" customHeight="1">
      <c r="A10" s="476"/>
      <c r="B10" s="476"/>
      <c r="C10" s="836"/>
      <c r="D10" s="472"/>
      <c r="E10" s="479"/>
      <c r="F10" s="478"/>
      <c r="G10" s="466"/>
      <c r="H10" s="479"/>
      <c r="I10" s="479"/>
      <c r="J10" s="466"/>
      <c r="K10" s="479"/>
      <c r="L10" s="479"/>
      <c r="M10" s="466"/>
      <c r="N10" s="479"/>
      <c r="O10" s="479"/>
      <c r="P10" s="472"/>
      <c r="Q10" s="479"/>
      <c r="R10" s="478"/>
      <c r="S10" s="466"/>
      <c r="T10" s="479"/>
      <c r="U10" s="479"/>
      <c r="V10" s="479"/>
      <c r="W10" s="479"/>
      <c r="X10" s="300"/>
      <c r="Y10" s="479"/>
      <c r="Z10" s="471"/>
    </row>
    <row r="11" spans="1:26" ht="13.8">
      <c r="A11" s="475" t="s">
        <v>94</v>
      </c>
      <c r="B11" s="476"/>
      <c r="C11" s="836"/>
      <c r="D11" s="472"/>
      <c r="E11" s="470"/>
      <c r="F11" s="477"/>
      <c r="G11" s="466"/>
      <c r="H11" s="470"/>
      <c r="I11" s="466"/>
      <c r="J11" s="466"/>
      <c r="K11" s="470"/>
      <c r="L11" s="466"/>
      <c r="M11" s="466"/>
      <c r="N11" s="470"/>
      <c r="O11" s="466"/>
      <c r="P11" s="472"/>
      <c r="Q11" s="470"/>
      <c r="R11" s="477"/>
      <c r="S11" s="466"/>
      <c r="T11" s="470"/>
      <c r="U11" s="470"/>
      <c r="V11" s="466"/>
      <c r="W11" s="470"/>
      <c r="X11" s="300"/>
      <c r="Y11" s="470"/>
      <c r="Z11" s="471"/>
    </row>
    <row r="12" spans="1:26">
      <c r="A12" s="476"/>
      <c r="B12" s="476"/>
      <c r="C12" s="836" t="s">
        <v>384</v>
      </c>
      <c r="D12" s="472"/>
      <c r="E12" s="308">
        <v>458</v>
      </c>
      <c r="F12" s="134"/>
      <c r="G12" s="466"/>
      <c r="H12" s="479">
        <v>463</v>
      </c>
      <c r="I12" s="121"/>
      <c r="J12" s="466"/>
      <c r="K12" s="479">
        <v>451</v>
      </c>
      <c r="L12" s="121"/>
      <c r="M12" s="466"/>
      <c r="N12" s="121">
        <v>466</v>
      </c>
      <c r="O12" s="121"/>
      <c r="P12" s="472"/>
      <c r="Q12" s="308">
        <v>472</v>
      </c>
      <c r="R12" s="134"/>
      <c r="S12" s="466"/>
      <c r="T12" s="479">
        <v>519</v>
      </c>
      <c r="U12" s="121"/>
      <c r="V12" s="121"/>
      <c r="W12" s="479">
        <v>921</v>
      </c>
      <c r="X12" s="300"/>
      <c r="Y12" s="121">
        <v>991</v>
      </c>
      <c r="Z12" s="471"/>
    </row>
    <row r="13" spans="1:26" ht="13.8">
      <c r="A13" s="476"/>
      <c r="B13" s="476"/>
      <c r="C13" s="836" t="s">
        <v>424</v>
      </c>
      <c r="D13" s="472"/>
      <c r="E13" s="308">
        <v>58</v>
      </c>
      <c r="F13" s="134"/>
      <c r="G13" s="466"/>
      <c r="H13" s="479">
        <v>79</v>
      </c>
      <c r="I13" s="121"/>
      <c r="J13" s="466"/>
      <c r="K13" s="479">
        <v>58</v>
      </c>
      <c r="L13" s="121"/>
      <c r="M13" s="466"/>
      <c r="N13" s="121">
        <v>61</v>
      </c>
      <c r="O13" s="121"/>
      <c r="P13" s="472"/>
      <c r="Q13" s="308">
        <v>59</v>
      </c>
      <c r="R13" s="134"/>
      <c r="S13" s="466"/>
      <c r="T13" s="479">
        <v>78</v>
      </c>
      <c r="U13" s="121"/>
      <c r="V13" s="121"/>
      <c r="W13" s="479">
        <v>137</v>
      </c>
      <c r="X13" s="300"/>
      <c r="Y13" s="121">
        <v>137</v>
      </c>
      <c r="Z13" s="471"/>
    </row>
    <row r="14" spans="1:26">
      <c r="A14" s="476"/>
      <c r="B14" s="476"/>
      <c r="C14" s="836" t="s">
        <v>1014</v>
      </c>
      <c r="D14" s="472"/>
      <c r="E14" s="308">
        <v>516</v>
      </c>
      <c r="F14" s="134"/>
      <c r="G14" s="466"/>
      <c r="H14" s="479">
        <v>542</v>
      </c>
      <c r="I14" s="121"/>
      <c r="J14" s="466"/>
      <c r="K14" s="479">
        <v>509</v>
      </c>
      <c r="L14" s="121"/>
      <c r="M14" s="466"/>
      <c r="N14" s="121">
        <v>527</v>
      </c>
      <c r="O14" s="121"/>
      <c r="P14" s="472"/>
      <c r="Q14" s="308">
        <v>531</v>
      </c>
      <c r="R14" s="134"/>
      <c r="S14" s="466"/>
      <c r="T14" s="479">
        <v>597</v>
      </c>
      <c r="U14" s="121"/>
      <c r="V14" s="121"/>
      <c r="W14" s="479">
        <v>1058</v>
      </c>
      <c r="X14" s="300"/>
      <c r="Y14" s="121">
        <v>1128</v>
      </c>
      <c r="Z14" s="471"/>
    </row>
    <row r="15" spans="1:26" ht="13.8">
      <c r="A15" s="476"/>
      <c r="B15" s="476"/>
      <c r="C15" s="836" t="s">
        <v>425</v>
      </c>
      <c r="D15" s="472"/>
      <c r="E15" s="308">
        <v>116</v>
      </c>
      <c r="F15" s="134"/>
      <c r="G15" s="466"/>
      <c r="H15" s="479">
        <v>101</v>
      </c>
      <c r="I15" s="121"/>
      <c r="J15" s="466"/>
      <c r="K15" s="479">
        <v>103</v>
      </c>
      <c r="L15" s="121"/>
      <c r="M15" s="466"/>
      <c r="N15" s="121">
        <v>116</v>
      </c>
      <c r="O15" s="121"/>
      <c r="P15" s="472"/>
      <c r="Q15" s="308">
        <v>123</v>
      </c>
      <c r="R15" s="134"/>
      <c r="S15" s="466"/>
      <c r="T15" s="479">
        <v>114</v>
      </c>
      <c r="U15" s="121"/>
      <c r="V15" s="121"/>
      <c r="W15" s="479">
        <v>217</v>
      </c>
      <c r="X15" s="300"/>
      <c r="Y15" s="121">
        <v>237</v>
      </c>
      <c r="Z15" s="471"/>
    </row>
    <row r="16" spans="1:26" ht="13.8">
      <c r="A16" s="475" t="s">
        <v>722</v>
      </c>
      <c r="B16" s="476"/>
      <c r="C16" s="836"/>
      <c r="D16" s="472"/>
      <c r="E16" s="466"/>
      <c r="F16" s="477"/>
      <c r="G16" s="466"/>
      <c r="H16" s="466"/>
      <c r="I16" s="466"/>
      <c r="J16" s="466"/>
      <c r="K16" s="466"/>
      <c r="L16" s="466"/>
      <c r="M16" s="466"/>
      <c r="N16" s="466"/>
      <c r="O16" s="466"/>
      <c r="P16" s="472"/>
      <c r="Q16" s="466"/>
      <c r="R16" s="477"/>
      <c r="S16" s="466"/>
      <c r="T16" s="466"/>
      <c r="U16" s="466"/>
      <c r="V16" s="466"/>
      <c r="W16" s="466"/>
      <c r="X16" s="300"/>
      <c r="Y16" s="466"/>
      <c r="Z16" s="471"/>
    </row>
    <row r="17" spans="1:26">
      <c r="A17" s="476"/>
      <c r="B17" s="476"/>
      <c r="C17" s="836" t="s">
        <v>384</v>
      </c>
      <c r="D17" s="472"/>
      <c r="E17" s="308">
        <v>447</v>
      </c>
      <c r="F17" s="478"/>
      <c r="G17" s="466"/>
      <c r="H17" s="479">
        <v>447</v>
      </c>
      <c r="I17" s="479"/>
      <c r="J17" s="466"/>
      <c r="K17" s="479">
        <v>450</v>
      </c>
      <c r="L17" s="479"/>
      <c r="M17" s="466"/>
      <c r="N17" s="479">
        <v>446</v>
      </c>
      <c r="O17" s="479"/>
      <c r="P17" s="472"/>
      <c r="Q17" s="308">
        <v>442</v>
      </c>
      <c r="R17" s="478"/>
      <c r="S17" s="466"/>
      <c r="T17" s="479">
        <v>439.46877555445889</v>
      </c>
      <c r="U17" s="479"/>
      <c r="V17" s="479"/>
      <c r="W17" s="479">
        <v>447</v>
      </c>
      <c r="X17" s="300"/>
      <c r="Y17" s="479">
        <v>441</v>
      </c>
      <c r="Z17" s="471"/>
    </row>
    <row r="18" spans="1:26" ht="13.8">
      <c r="A18" s="476"/>
      <c r="B18" s="476"/>
      <c r="C18" s="836" t="s">
        <v>424</v>
      </c>
      <c r="D18" s="472"/>
      <c r="E18" s="308">
        <v>601</v>
      </c>
      <c r="F18" s="478"/>
      <c r="G18" s="466"/>
      <c r="H18" s="479">
        <v>598</v>
      </c>
      <c r="I18" s="479"/>
      <c r="J18" s="466"/>
      <c r="K18" s="479">
        <v>598</v>
      </c>
      <c r="L18" s="479"/>
      <c r="M18" s="466"/>
      <c r="N18" s="479">
        <v>586</v>
      </c>
      <c r="O18" s="479"/>
      <c r="P18" s="472"/>
      <c r="Q18" s="308">
        <v>620</v>
      </c>
      <c r="R18" s="478"/>
      <c r="S18" s="466"/>
      <c r="T18" s="479">
        <v>620.91920401162076</v>
      </c>
      <c r="U18" s="479"/>
      <c r="V18" s="479"/>
      <c r="W18" s="479">
        <v>599</v>
      </c>
      <c r="X18" s="300"/>
      <c r="Y18" s="479">
        <v>620</v>
      </c>
      <c r="Z18" s="471"/>
    </row>
    <row r="19" spans="1:26">
      <c r="A19" s="476"/>
      <c r="B19" s="476"/>
      <c r="C19" s="836" t="s">
        <v>1014</v>
      </c>
      <c r="D19" s="472"/>
      <c r="E19" s="308">
        <v>452</v>
      </c>
      <c r="F19" s="478"/>
      <c r="G19" s="466"/>
      <c r="H19" s="479">
        <v>452</v>
      </c>
      <c r="I19" s="479"/>
      <c r="J19" s="466"/>
      <c r="K19" s="479">
        <v>455</v>
      </c>
      <c r="L19" s="479"/>
      <c r="M19" s="466"/>
      <c r="N19" s="479">
        <v>451</v>
      </c>
      <c r="O19" s="479"/>
      <c r="P19" s="472"/>
      <c r="Q19" s="308">
        <v>448</v>
      </c>
      <c r="R19" s="478"/>
      <c r="S19" s="466"/>
      <c r="T19" s="479">
        <v>446.47373434695407</v>
      </c>
      <c r="U19" s="479"/>
      <c r="V19" s="479"/>
      <c r="W19" s="479">
        <v>452</v>
      </c>
      <c r="X19" s="300"/>
      <c r="Y19" s="479">
        <v>447</v>
      </c>
      <c r="Z19" s="471"/>
    </row>
    <row r="20" spans="1:26">
      <c r="A20" s="476"/>
      <c r="B20" s="476"/>
      <c r="C20" s="836" t="s">
        <v>367</v>
      </c>
      <c r="D20" s="472"/>
      <c r="E20" s="308">
        <v>1080</v>
      </c>
      <c r="F20" s="478"/>
      <c r="G20" s="466"/>
      <c r="H20" s="479">
        <v>1065</v>
      </c>
      <c r="I20" s="479"/>
      <c r="J20" s="466"/>
      <c r="K20" s="479">
        <v>1031</v>
      </c>
      <c r="L20" s="479"/>
      <c r="M20" s="466"/>
      <c r="N20" s="479">
        <v>1001</v>
      </c>
      <c r="O20" s="479"/>
      <c r="P20" s="472"/>
      <c r="Q20" s="308">
        <v>989</v>
      </c>
      <c r="R20" s="478"/>
      <c r="S20" s="466"/>
      <c r="T20" s="479">
        <v>975.27204504580834</v>
      </c>
      <c r="U20" s="479"/>
      <c r="V20" s="479"/>
      <c r="W20" s="479">
        <v>1073</v>
      </c>
      <c r="X20" s="300"/>
      <c r="Y20" s="479">
        <v>983</v>
      </c>
      <c r="Z20" s="471"/>
    </row>
    <row r="21" spans="1:26" ht="13.8">
      <c r="A21" s="475" t="s">
        <v>723</v>
      </c>
      <c r="B21" s="476"/>
      <c r="C21" s="836"/>
      <c r="D21" s="472"/>
      <c r="E21" s="466"/>
      <c r="F21" s="477"/>
      <c r="G21" s="466"/>
      <c r="H21" s="466"/>
      <c r="I21" s="466"/>
      <c r="J21" s="466"/>
      <c r="K21" s="466"/>
      <c r="L21" s="466"/>
      <c r="M21" s="466"/>
      <c r="N21" s="466"/>
      <c r="O21" s="466"/>
      <c r="P21" s="472"/>
      <c r="Q21" s="466"/>
      <c r="R21" s="477"/>
      <c r="S21" s="466"/>
      <c r="T21" s="466"/>
      <c r="U21" s="466"/>
      <c r="V21" s="466"/>
      <c r="W21" s="466"/>
      <c r="X21" s="300"/>
      <c r="Y21" s="466"/>
      <c r="Z21" s="471"/>
    </row>
    <row r="22" spans="1:26">
      <c r="A22" s="476"/>
      <c r="B22" s="476"/>
      <c r="C22" s="836" t="s">
        <v>384</v>
      </c>
      <c r="D22" s="472"/>
      <c r="E22" s="308">
        <v>433</v>
      </c>
      <c r="F22" s="478"/>
      <c r="G22" s="466"/>
      <c r="H22" s="479">
        <v>431</v>
      </c>
      <c r="I22" s="479"/>
      <c r="J22" s="466"/>
      <c r="K22" s="479">
        <v>428</v>
      </c>
      <c r="L22" s="479"/>
      <c r="M22" s="466"/>
      <c r="N22" s="479">
        <v>429</v>
      </c>
      <c r="O22" s="479"/>
      <c r="P22" s="472"/>
      <c r="Q22" s="308">
        <v>429</v>
      </c>
      <c r="R22" s="478"/>
      <c r="S22" s="466"/>
      <c r="T22" s="479">
        <v>429.81746785889231</v>
      </c>
      <c r="U22" s="479"/>
      <c r="V22" s="479"/>
      <c r="W22" s="479">
        <v>432</v>
      </c>
      <c r="X22" s="300"/>
      <c r="Y22" s="479">
        <v>429</v>
      </c>
      <c r="Z22" s="471"/>
    </row>
    <row r="23" spans="1:26">
      <c r="A23" s="476"/>
      <c r="B23" s="476"/>
      <c r="C23" s="836" t="s">
        <v>385</v>
      </c>
      <c r="D23" s="472"/>
      <c r="E23" s="308">
        <v>545</v>
      </c>
      <c r="F23" s="478"/>
      <c r="G23" s="466"/>
      <c r="H23" s="479">
        <v>542</v>
      </c>
      <c r="I23" s="479"/>
      <c r="J23" s="466"/>
      <c r="K23" s="479">
        <v>533</v>
      </c>
      <c r="L23" s="479"/>
      <c r="M23" s="466"/>
      <c r="N23" s="479">
        <v>533</v>
      </c>
      <c r="O23" s="479"/>
      <c r="P23" s="472"/>
      <c r="Q23" s="308">
        <v>573</v>
      </c>
      <c r="R23" s="478"/>
      <c r="S23" s="466"/>
      <c r="T23" s="479">
        <v>579.07830533998617</v>
      </c>
      <c r="U23" s="479"/>
      <c r="V23" s="479"/>
      <c r="W23" s="479">
        <v>543</v>
      </c>
      <c r="X23" s="300"/>
      <c r="Y23" s="479">
        <v>576</v>
      </c>
      <c r="Z23" s="471"/>
    </row>
    <row r="24" spans="1:26">
      <c r="A24" s="476"/>
      <c r="B24" s="476"/>
      <c r="C24" s="836" t="s">
        <v>1014</v>
      </c>
      <c r="D24" s="472"/>
      <c r="E24" s="308">
        <v>437</v>
      </c>
      <c r="F24" s="478"/>
      <c r="G24" s="466"/>
      <c r="H24" s="479">
        <v>434</v>
      </c>
      <c r="I24" s="479"/>
      <c r="J24" s="466"/>
      <c r="K24" s="479">
        <v>432</v>
      </c>
      <c r="L24" s="479"/>
      <c r="M24" s="466"/>
      <c r="N24" s="479">
        <v>432</v>
      </c>
      <c r="O24" s="479"/>
      <c r="P24" s="472"/>
      <c r="Q24" s="308">
        <v>434</v>
      </c>
      <c r="R24" s="478"/>
      <c r="S24" s="466"/>
      <c r="T24" s="479">
        <v>435.02696723765808</v>
      </c>
      <c r="U24" s="479"/>
      <c r="V24" s="479"/>
      <c r="W24" s="479">
        <v>436</v>
      </c>
      <c r="X24" s="300"/>
      <c r="Y24" s="479">
        <v>435</v>
      </c>
      <c r="Z24" s="471"/>
    </row>
    <row r="25" spans="1:26">
      <c r="A25" s="476"/>
      <c r="B25" s="476"/>
      <c r="C25" s="836" t="s">
        <v>367</v>
      </c>
      <c r="D25" s="472"/>
      <c r="E25" s="308">
        <v>925</v>
      </c>
      <c r="F25" s="478"/>
      <c r="G25" s="466"/>
      <c r="H25" s="479">
        <v>904</v>
      </c>
      <c r="I25" s="479"/>
      <c r="J25" s="466"/>
      <c r="K25" s="479">
        <v>890</v>
      </c>
      <c r="L25" s="479"/>
      <c r="M25" s="466"/>
      <c r="N25" s="479">
        <v>871</v>
      </c>
      <c r="O25" s="479"/>
      <c r="P25" s="472"/>
      <c r="Q25" s="308">
        <v>856</v>
      </c>
      <c r="R25" s="478"/>
      <c r="S25" s="466"/>
      <c r="T25" s="479">
        <v>843.52461085986806</v>
      </c>
      <c r="U25" s="479"/>
      <c r="V25" s="479"/>
      <c r="W25" s="479">
        <v>914</v>
      </c>
      <c r="X25" s="300"/>
      <c r="Y25" s="479">
        <v>850</v>
      </c>
      <c r="Z25" s="471"/>
    </row>
    <row r="26" spans="1:26" ht="13.8">
      <c r="A26" s="475" t="s">
        <v>724</v>
      </c>
      <c r="B26" s="476"/>
      <c r="C26" s="836"/>
      <c r="D26" s="472"/>
      <c r="E26" s="466"/>
      <c r="F26" s="477"/>
      <c r="G26" s="466"/>
      <c r="H26" s="466"/>
      <c r="I26" s="466"/>
      <c r="J26" s="466"/>
      <c r="K26" s="466"/>
      <c r="L26" s="466"/>
      <c r="M26" s="466"/>
      <c r="N26" s="466"/>
      <c r="O26" s="466"/>
      <c r="P26" s="472"/>
      <c r="Q26" s="466"/>
      <c r="R26" s="477"/>
      <c r="S26" s="466"/>
      <c r="T26" s="466"/>
      <c r="U26" s="466"/>
      <c r="V26" s="466"/>
      <c r="W26" s="466"/>
      <c r="X26" s="300"/>
      <c r="Y26" s="466"/>
      <c r="Z26" s="471"/>
    </row>
    <row r="27" spans="1:26">
      <c r="A27" s="476"/>
      <c r="B27" s="476"/>
      <c r="C27" s="836" t="s">
        <v>372</v>
      </c>
      <c r="D27" s="472"/>
      <c r="E27" s="426">
        <v>89</v>
      </c>
      <c r="F27" s="481"/>
      <c r="G27" s="466"/>
      <c r="H27" s="480">
        <v>88.7</v>
      </c>
      <c r="I27" s="480"/>
      <c r="J27" s="466"/>
      <c r="K27" s="480">
        <v>88.8</v>
      </c>
      <c r="L27" s="480"/>
      <c r="M27" s="466"/>
      <c r="N27" s="480">
        <v>89.1</v>
      </c>
      <c r="O27" s="480"/>
      <c r="P27" s="472"/>
      <c r="Q27" s="426">
        <v>89.2</v>
      </c>
      <c r="R27" s="481"/>
      <c r="S27" s="466"/>
      <c r="T27" s="480">
        <v>88.883369238201439</v>
      </c>
      <c r="U27" s="480"/>
      <c r="V27" s="480"/>
      <c r="W27" s="480">
        <v>88.8</v>
      </c>
      <c r="X27" s="300"/>
      <c r="Y27" s="480">
        <v>89</v>
      </c>
      <c r="Z27" s="471"/>
    </row>
    <row r="28" spans="1:26" ht="13.8">
      <c r="A28" s="476"/>
      <c r="B28" s="476"/>
      <c r="C28" s="836" t="s">
        <v>424</v>
      </c>
      <c r="D28" s="472"/>
      <c r="E28" s="426">
        <v>71.2</v>
      </c>
      <c r="F28" s="481"/>
      <c r="G28" s="466"/>
      <c r="H28" s="480">
        <v>69.099999999999994</v>
      </c>
      <c r="I28" s="480"/>
      <c r="J28" s="466"/>
      <c r="K28" s="480">
        <v>69.7</v>
      </c>
      <c r="L28" s="480"/>
      <c r="M28" s="466"/>
      <c r="N28" s="480">
        <v>70.599999999999994</v>
      </c>
      <c r="O28" s="480"/>
      <c r="P28" s="472"/>
      <c r="Q28" s="426">
        <v>70.8</v>
      </c>
      <c r="R28" s="481"/>
      <c r="S28" s="466"/>
      <c r="T28" s="480">
        <v>70.43695844745605</v>
      </c>
      <c r="U28" s="480"/>
      <c r="V28" s="480"/>
      <c r="W28" s="480">
        <v>70.099999999999994</v>
      </c>
      <c r="X28" s="300"/>
      <c r="Y28" s="480">
        <v>70.599999999999994</v>
      </c>
      <c r="Z28" s="471"/>
    </row>
    <row r="29" spans="1:26">
      <c r="A29" s="476"/>
      <c r="B29" s="476"/>
      <c r="C29" s="836" t="s">
        <v>1014</v>
      </c>
      <c r="D29" s="472"/>
      <c r="E29" s="426">
        <v>88.3</v>
      </c>
      <c r="F29" s="481"/>
      <c r="G29" s="466"/>
      <c r="H29" s="480">
        <v>88</v>
      </c>
      <c r="I29" s="480"/>
      <c r="J29" s="466"/>
      <c r="K29" s="480">
        <v>88</v>
      </c>
      <c r="L29" s="480"/>
      <c r="M29" s="466"/>
      <c r="N29" s="480">
        <v>88.4</v>
      </c>
      <c r="O29" s="480"/>
      <c r="P29" s="472"/>
      <c r="Q29" s="426">
        <v>88.5</v>
      </c>
      <c r="R29" s="481"/>
      <c r="S29" s="466"/>
      <c r="T29" s="480">
        <v>88.134790922757517</v>
      </c>
      <c r="U29" s="480"/>
      <c r="V29" s="480"/>
      <c r="W29" s="480">
        <v>88.1</v>
      </c>
      <c r="X29" s="300"/>
      <c r="Y29" s="480">
        <v>88.3</v>
      </c>
      <c r="Z29" s="471"/>
    </row>
    <row r="30" spans="1:26">
      <c r="A30" s="476"/>
      <c r="B30" s="476"/>
      <c r="C30" s="836" t="s">
        <v>367</v>
      </c>
      <c r="D30" s="472"/>
      <c r="E30" s="426">
        <v>87</v>
      </c>
      <c r="F30" s="481"/>
      <c r="G30" s="466"/>
      <c r="H30" s="480">
        <v>87.4</v>
      </c>
      <c r="I30" s="480"/>
      <c r="J30" s="466"/>
      <c r="K30" s="480">
        <v>88.1</v>
      </c>
      <c r="L30" s="480"/>
      <c r="M30" s="466"/>
      <c r="N30" s="480">
        <v>88.4</v>
      </c>
      <c r="O30" s="480"/>
      <c r="P30" s="472"/>
      <c r="Q30" s="426">
        <v>88.4</v>
      </c>
      <c r="R30" s="481"/>
      <c r="S30" s="466"/>
      <c r="T30" s="480">
        <v>88.272652073199296</v>
      </c>
      <c r="U30" s="480"/>
      <c r="V30" s="480"/>
      <c r="W30" s="480">
        <v>87.2</v>
      </c>
      <c r="X30" s="300"/>
      <c r="Y30" s="480">
        <v>88.3</v>
      </c>
      <c r="Z30" s="471"/>
    </row>
    <row r="31" spans="1:26">
      <c r="A31" s="475" t="s">
        <v>1015</v>
      </c>
      <c r="B31" s="476"/>
      <c r="C31" s="836"/>
      <c r="D31" s="472"/>
      <c r="E31" s="142"/>
      <c r="F31" s="168"/>
      <c r="G31" s="466"/>
      <c r="H31" s="142"/>
      <c r="I31" s="142"/>
      <c r="J31" s="466"/>
      <c r="K31" s="142"/>
      <c r="L31" s="142"/>
      <c r="M31" s="466"/>
      <c r="N31" s="142"/>
      <c r="O31" s="142"/>
      <c r="P31" s="472"/>
      <c r="Q31" s="142"/>
      <c r="R31" s="168"/>
      <c r="S31" s="466"/>
      <c r="T31" s="142"/>
      <c r="U31" s="142"/>
      <c r="V31" s="142"/>
      <c r="W31" s="142"/>
      <c r="X31" s="300"/>
      <c r="Y31" s="142"/>
      <c r="Z31" s="471"/>
    </row>
    <row r="32" spans="1:26">
      <c r="A32" s="475"/>
      <c r="B32" s="475" t="s">
        <v>1016</v>
      </c>
      <c r="C32" s="836"/>
      <c r="D32" s="472"/>
      <c r="E32" s="142"/>
      <c r="F32" s="168"/>
      <c r="G32" s="466"/>
      <c r="H32" s="142"/>
      <c r="I32" s="142"/>
      <c r="J32" s="466"/>
      <c r="K32" s="142"/>
      <c r="L32" s="142"/>
      <c r="M32" s="466"/>
      <c r="N32" s="142"/>
      <c r="O32" s="142"/>
      <c r="P32" s="472"/>
      <c r="Q32" s="142"/>
      <c r="R32" s="168"/>
      <c r="S32" s="466"/>
      <c r="T32" s="142"/>
      <c r="U32" s="142"/>
      <c r="V32" s="142"/>
      <c r="W32" s="142"/>
      <c r="X32" s="300"/>
      <c r="Y32" s="142"/>
      <c r="Z32" s="471"/>
    </row>
    <row r="33" spans="1:26">
      <c r="A33" s="476"/>
      <c r="B33" s="476"/>
      <c r="C33" s="836" t="s">
        <v>384</v>
      </c>
      <c r="D33" s="472"/>
      <c r="E33" s="426">
        <v>1.9</v>
      </c>
      <c r="F33" s="481"/>
      <c r="G33" s="466"/>
      <c r="H33" s="480">
        <v>-2.1</v>
      </c>
      <c r="I33" s="480"/>
      <c r="J33" s="466"/>
      <c r="K33" s="480">
        <v>-3.5</v>
      </c>
      <c r="L33" s="480"/>
      <c r="M33" s="466"/>
      <c r="N33" s="480">
        <v>-3.3</v>
      </c>
      <c r="O33" s="480"/>
      <c r="P33" s="472"/>
      <c r="Q33" s="426">
        <v>-2.2999999999999998</v>
      </c>
      <c r="R33" s="481"/>
      <c r="S33" s="466"/>
      <c r="T33" s="480">
        <v>3.080519191506125</v>
      </c>
      <c r="U33" s="480"/>
      <c r="V33" s="480"/>
      <c r="W33" s="480">
        <v>-0.1</v>
      </c>
      <c r="X33" s="300"/>
      <c r="Y33" s="480">
        <v>0.3</v>
      </c>
      <c r="Z33" s="471"/>
    </row>
    <row r="34" spans="1:26">
      <c r="A34" s="476"/>
      <c r="B34" s="476"/>
      <c r="C34" s="836" t="s">
        <v>371</v>
      </c>
      <c r="D34" s="472"/>
      <c r="E34" s="426">
        <v>3.2</v>
      </c>
      <c r="F34" s="481"/>
      <c r="G34" s="466"/>
      <c r="H34" s="480">
        <v>-1</v>
      </c>
      <c r="I34" s="480"/>
      <c r="J34" s="466"/>
      <c r="K34" s="480">
        <v>-0.3</v>
      </c>
      <c r="L34" s="480"/>
      <c r="M34" s="466"/>
      <c r="N34" s="480">
        <v>-5.9</v>
      </c>
      <c r="O34" s="480"/>
      <c r="P34" s="472"/>
      <c r="Q34" s="426">
        <v>-2.4</v>
      </c>
      <c r="R34" s="481"/>
      <c r="S34" s="466"/>
      <c r="T34" s="480">
        <v>2.3371205463129114</v>
      </c>
      <c r="U34" s="480"/>
      <c r="V34" s="480"/>
      <c r="W34" s="480">
        <v>1</v>
      </c>
      <c r="X34" s="300"/>
      <c r="Y34" s="480">
        <v>-0.1</v>
      </c>
      <c r="Z34" s="471"/>
    </row>
    <row r="35" spans="1:26">
      <c r="A35" s="476"/>
      <c r="B35" s="476"/>
      <c r="C35" s="836" t="s">
        <v>1014</v>
      </c>
      <c r="D35" s="472"/>
      <c r="E35" s="426">
        <v>1.6</v>
      </c>
      <c r="F35" s="481"/>
      <c r="G35" s="466"/>
      <c r="H35" s="480">
        <v>-2.5</v>
      </c>
      <c r="I35" s="480"/>
      <c r="J35" s="466"/>
      <c r="K35" s="480">
        <v>-3.8</v>
      </c>
      <c r="L35" s="480"/>
      <c r="M35" s="466"/>
      <c r="N35" s="480">
        <v>-3.9</v>
      </c>
      <c r="O35" s="480"/>
      <c r="P35" s="472"/>
      <c r="Q35" s="426">
        <v>-2.7</v>
      </c>
      <c r="R35" s="481"/>
      <c r="S35" s="466"/>
      <c r="T35" s="480">
        <v>2.6518287474513893</v>
      </c>
      <c r="U35" s="480"/>
      <c r="V35" s="480"/>
      <c r="W35" s="480">
        <v>-0.5</v>
      </c>
      <c r="X35" s="300"/>
      <c r="Y35" s="480">
        <v>-0.1</v>
      </c>
      <c r="Z35" s="471"/>
    </row>
    <row r="36" spans="1:26">
      <c r="A36" s="475" t="s">
        <v>1017</v>
      </c>
      <c r="B36" s="476"/>
      <c r="C36" s="836"/>
      <c r="D36" s="472"/>
      <c r="E36" s="142"/>
      <c r="F36" s="168"/>
      <c r="G36" s="466"/>
      <c r="H36" s="142"/>
      <c r="I36" s="142"/>
      <c r="J36" s="466"/>
      <c r="K36" s="142"/>
      <c r="L36" s="142"/>
      <c r="M36" s="466"/>
      <c r="N36" s="142"/>
      <c r="O36" s="142"/>
      <c r="P36" s="472"/>
      <c r="Q36" s="142"/>
      <c r="R36" s="168"/>
      <c r="S36" s="466"/>
      <c r="T36" s="142"/>
      <c r="U36" s="142"/>
      <c r="V36" s="142"/>
      <c r="W36" s="142"/>
      <c r="X36" s="300"/>
      <c r="Y36" s="142"/>
      <c r="Z36" s="471"/>
    </row>
    <row r="37" spans="1:26">
      <c r="A37" s="475"/>
      <c r="B37" s="475" t="s">
        <v>1016</v>
      </c>
      <c r="C37" s="836"/>
      <c r="D37" s="472"/>
      <c r="E37" s="142"/>
      <c r="F37" s="168"/>
      <c r="G37" s="466"/>
      <c r="H37" s="142"/>
      <c r="I37" s="142"/>
      <c r="J37" s="466"/>
      <c r="K37" s="142"/>
      <c r="L37" s="142"/>
      <c r="M37" s="466"/>
      <c r="N37" s="142"/>
      <c r="O37" s="142"/>
      <c r="P37" s="472"/>
      <c r="Q37" s="142"/>
      <c r="R37" s="168"/>
      <c r="S37" s="466"/>
      <c r="T37" s="142"/>
      <c r="U37" s="142"/>
      <c r="V37" s="142"/>
      <c r="W37" s="142"/>
      <c r="X37" s="300"/>
      <c r="Y37" s="142"/>
      <c r="Z37" s="471"/>
    </row>
    <row r="38" spans="1:26">
      <c r="A38" s="476"/>
      <c r="B38" s="476"/>
      <c r="C38" s="836" t="s">
        <v>384</v>
      </c>
      <c r="D38" s="472"/>
      <c r="E38" s="426">
        <v>1.4</v>
      </c>
      <c r="F38" s="481"/>
      <c r="G38" s="466"/>
      <c r="H38" s="480">
        <v>-4.0999999999999996</v>
      </c>
      <c r="I38" s="480"/>
      <c r="J38" s="466"/>
      <c r="K38" s="480">
        <v>-2.6</v>
      </c>
      <c r="L38" s="480"/>
      <c r="M38" s="466"/>
      <c r="N38" s="480">
        <v>-2.6</v>
      </c>
      <c r="O38" s="480"/>
      <c r="P38" s="472"/>
      <c r="Q38" s="426">
        <v>-3.9</v>
      </c>
      <c r="R38" s="481"/>
      <c r="S38" s="466"/>
      <c r="T38" s="480">
        <v>1.1570788615182321</v>
      </c>
      <c r="U38" s="480"/>
      <c r="V38" s="480"/>
      <c r="W38" s="480">
        <v>-1.4</v>
      </c>
      <c r="X38" s="300"/>
      <c r="Y38" s="480">
        <v>-1.4</v>
      </c>
      <c r="Z38" s="471"/>
    </row>
    <row r="39" spans="1:26">
      <c r="A39" s="476"/>
      <c r="B39" s="476"/>
      <c r="C39" s="836" t="s">
        <v>371</v>
      </c>
      <c r="D39" s="472"/>
      <c r="E39" s="426">
        <v>0.9</v>
      </c>
      <c r="F39" s="481"/>
      <c r="G39" s="466"/>
      <c r="H39" s="480">
        <v>-1.2</v>
      </c>
      <c r="I39" s="480"/>
      <c r="J39" s="466"/>
      <c r="K39" s="480">
        <v>1.1000000000000001</v>
      </c>
      <c r="L39" s="480"/>
      <c r="M39" s="466"/>
      <c r="N39" s="480">
        <v>-2.7</v>
      </c>
      <c r="O39" s="480"/>
      <c r="P39" s="472"/>
      <c r="Q39" s="426">
        <v>-1.8</v>
      </c>
      <c r="R39" s="481"/>
      <c r="S39" s="466"/>
      <c r="T39" s="480">
        <v>0.54588839251000854</v>
      </c>
      <c r="U39" s="480"/>
      <c r="V39" s="480"/>
      <c r="W39" s="480">
        <v>-0.2</v>
      </c>
      <c r="X39" s="300"/>
      <c r="Y39" s="480">
        <v>-0.6</v>
      </c>
      <c r="Z39" s="471"/>
    </row>
    <row r="40" spans="1:26">
      <c r="A40" s="476"/>
      <c r="B40" s="476"/>
      <c r="C40" s="836" t="s">
        <v>1014</v>
      </c>
      <c r="D40" s="472"/>
      <c r="E40" s="426">
        <v>1.1000000000000001</v>
      </c>
      <c r="F40" s="481"/>
      <c r="G40" s="466"/>
      <c r="H40" s="480">
        <v>-4.3</v>
      </c>
      <c r="I40" s="480"/>
      <c r="J40" s="466"/>
      <c r="K40" s="480">
        <v>-2.7</v>
      </c>
      <c r="L40" s="480"/>
      <c r="M40" s="466"/>
      <c r="N40" s="480">
        <v>-2.9</v>
      </c>
      <c r="O40" s="480"/>
      <c r="P40" s="472"/>
      <c r="Q40" s="426">
        <v>-4</v>
      </c>
      <c r="R40" s="481"/>
      <c r="S40" s="466"/>
      <c r="T40" s="480">
        <v>0.88133665958680507</v>
      </c>
      <c r="U40" s="480"/>
      <c r="V40" s="480"/>
      <c r="W40" s="480">
        <v>-1.6</v>
      </c>
      <c r="X40" s="300"/>
      <c r="Y40" s="480">
        <v>-1.6</v>
      </c>
      <c r="Z40" s="471"/>
    </row>
    <row r="41" spans="1:26">
      <c r="A41" s="475" t="s">
        <v>1018</v>
      </c>
      <c r="B41" s="476"/>
      <c r="C41" s="836"/>
      <c r="D41" s="472"/>
      <c r="E41" s="466"/>
      <c r="F41" s="477"/>
      <c r="G41" s="466"/>
      <c r="H41" s="466"/>
      <c r="I41" s="466"/>
      <c r="J41" s="466"/>
      <c r="K41" s="466"/>
      <c r="L41" s="466"/>
      <c r="M41" s="466"/>
      <c r="N41" s="466"/>
      <c r="O41" s="466"/>
      <c r="P41" s="472"/>
      <c r="Q41" s="466"/>
      <c r="R41" s="477"/>
      <c r="S41" s="466"/>
      <c r="T41" s="466"/>
      <c r="U41" s="466"/>
      <c r="V41" s="466"/>
      <c r="W41" s="466"/>
      <c r="X41" s="300"/>
      <c r="Y41" s="466"/>
      <c r="Z41" s="471"/>
    </row>
    <row r="42" spans="1:26">
      <c r="A42" s="475"/>
      <c r="B42" s="475" t="s">
        <v>1016</v>
      </c>
      <c r="C42" s="836"/>
      <c r="D42" s="472"/>
      <c r="E42" s="466"/>
      <c r="F42" s="477"/>
      <c r="G42" s="466"/>
      <c r="H42" s="466"/>
      <c r="I42" s="466"/>
      <c r="J42" s="466"/>
      <c r="K42" s="466"/>
      <c r="L42" s="466"/>
      <c r="M42" s="466"/>
      <c r="N42" s="466"/>
      <c r="O42" s="466"/>
      <c r="P42" s="472"/>
      <c r="Q42" s="466"/>
      <c r="R42" s="477"/>
      <c r="S42" s="466"/>
      <c r="T42" s="466"/>
      <c r="U42" s="466"/>
      <c r="V42" s="466"/>
      <c r="W42" s="466"/>
      <c r="X42" s="300"/>
      <c r="Y42" s="466"/>
      <c r="Z42" s="471"/>
    </row>
    <row r="43" spans="1:26">
      <c r="A43" s="476"/>
      <c r="B43" s="476"/>
      <c r="C43" s="836" t="s">
        <v>1019</v>
      </c>
      <c r="D43" s="472"/>
      <c r="E43" s="426">
        <v>3.4</v>
      </c>
      <c r="F43" s="481"/>
      <c r="G43" s="466"/>
      <c r="H43" s="480">
        <v>1.2</v>
      </c>
      <c r="I43" s="480"/>
      <c r="J43" s="466"/>
      <c r="K43" s="480">
        <v>1.9</v>
      </c>
      <c r="L43" s="480"/>
      <c r="M43" s="466"/>
      <c r="N43" s="480">
        <v>0.2</v>
      </c>
      <c r="O43" s="480"/>
      <c r="P43" s="472"/>
      <c r="Q43" s="426">
        <v>0.4</v>
      </c>
      <c r="R43" s="481"/>
      <c r="S43" s="466"/>
      <c r="T43" s="480">
        <v>3.6448761840021104</v>
      </c>
      <c r="U43" s="480"/>
      <c r="V43" s="480"/>
      <c r="W43" s="480">
        <v>2.2999999999999998</v>
      </c>
      <c r="X43" s="300"/>
      <c r="Y43" s="480">
        <v>2</v>
      </c>
      <c r="Z43" s="471"/>
    </row>
    <row r="44" spans="1:26">
      <c r="A44" s="476"/>
      <c r="B44" s="476"/>
      <c r="C44" s="836" t="s">
        <v>1020</v>
      </c>
      <c r="D44" s="472"/>
      <c r="E44" s="426">
        <v>3</v>
      </c>
      <c r="F44" s="481"/>
      <c r="G44" s="466"/>
      <c r="H44" s="480">
        <v>4.5999999999999996</v>
      </c>
      <c r="I44" s="480"/>
      <c r="J44" s="466"/>
      <c r="K44" s="480">
        <v>5.8</v>
      </c>
      <c r="L44" s="480"/>
      <c r="M44" s="466"/>
      <c r="N44" s="480">
        <v>1</v>
      </c>
      <c r="O44" s="480"/>
      <c r="P44" s="472"/>
      <c r="Q44" s="426">
        <v>1.1000000000000001</v>
      </c>
      <c r="R44" s="481"/>
      <c r="S44" s="466"/>
      <c r="T44" s="480">
        <v>0.81512103826339999</v>
      </c>
      <c r="U44" s="480"/>
      <c r="V44" s="480"/>
      <c r="W44" s="480">
        <v>3.8</v>
      </c>
      <c r="X44" s="300"/>
      <c r="Y44" s="480">
        <v>1</v>
      </c>
      <c r="Z44" s="471"/>
    </row>
    <row r="45" spans="1:26">
      <c r="A45" s="475" t="s">
        <v>1021</v>
      </c>
      <c r="B45" s="476"/>
      <c r="C45" s="836"/>
      <c r="D45" s="472"/>
      <c r="E45" s="466"/>
      <c r="F45" s="477"/>
      <c r="G45" s="466"/>
      <c r="H45" s="466"/>
      <c r="I45" s="466"/>
      <c r="J45" s="466"/>
      <c r="K45" s="466"/>
      <c r="L45" s="466"/>
      <c r="M45" s="466"/>
      <c r="N45" s="466"/>
      <c r="O45" s="466"/>
      <c r="P45" s="472"/>
      <c r="Q45" s="466"/>
      <c r="R45" s="477"/>
      <c r="S45" s="466"/>
      <c r="T45" s="466"/>
      <c r="U45" s="466"/>
      <c r="V45" s="466"/>
      <c r="W45" s="466"/>
      <c r="X45" s="313"/>
      <c r="Y45" s="466"/>
      <c r="Z45" s="471"/>
    </row>
    <row r="46" spans="1:26">
      <c r="A46" s="475"/>
      <c r="B46" s="475" t="s">
        <v>1016</v>
      </c>
      <c r="C46" s="836"/>
      <c r="D46" s="472"/>
      <c r="E46" s="466"/>
      <c r="F46" s="477"/>
      <c r="G46" s="466"/>
      <c r="H46" s="466"/>
      <c r="I46" s="466"/>
      <c r="J46" s="466"/>
      <c r="K46" s="466"/>
      <c r="L46" s="466"/>
      <c r="M46" s="466"/>
      <c r="N46" s="466"/>
      <c r="O46" s="466"/>
      <c r="P46" s="472"/>
      <c r="Q46" s="466"/>
      <c r="R46" s="477"/>
      <c r="S46" s="466"/>
      <c r="T46" s="466"/>
      <c r="U46" s="466"/>
      <c r="V46" s="466"/>
      <c r="W46" s="466"/>
      <c r="X46" s="313"/>
      <c r="Y46" s="466"/>
      <c r="Z46" s="471"/>
    </row>
    <row r="47" spans="1:26">
      <c r="A47" s="476"/>
      <c r="B47" s="476"/>
      <c r="C47" s="836" t="s">
        <v>1022</v>
      </c>
      <c r="D47" s="472"/>
      <c r="E47" s="426">
        <v>-6.7</v>
      </c>
      <c r="F47" s="481"/>
      <c r="G47" s="466"/>
      <c r="H47" s="480">
        <v>-4.8</v>
      </c>
      <c r="I47" s="480"/>
      <c r="J47" s="466"/>
      <c r="K47" s="480">
        <v>4.5</v>
      </c>
      <c r="L47" s="480"/>
      <c r="M47" s="466"/>
      <c r="N47" s="480">
        <v>6</v>
      </c>
      <c r="O47" s="480"/>
      <c r="P47" s="472"/>
      <c r="Q47" s="426">
        <v>-0.8</v>
      </c>
      <c r="R47" s="481"/>
      <c r="S47" s="466"/>
      <c r="T47" s="480">
        <v>1.6746762176357641</v>
      </c>
      <c r="U47" s="480"/>
      <c r="V47" s="480"/>
      <c r="W47" s="480">
        <v>-5.8</v>
      </c>
      <c r="X47" s="313"/>
      <c r="Y47" s="480">
        <v>0.4</v>
      </c>
      <c r="Z47" s="471"/>
    </row>
    <row r="48" spans="1:26">
      <c r="A48" s="476"/>
      <c r="B48" s="476"/>
      <c r="C48" s="836" t="s">
        <v>1023</v>
      </c>
      <c r="D48" s="472"/>
      <c r="E48" s="426">
        <v>2</v>
      </c>
      <c r="F48" s="481"/>
      <c r="G48" s="466"/>
      <c r="H48" s="480">
        <v>-0.4</v>
      </c>
      <c r="I48" s="480"/>
      <c r="J48" s="466"/>
      <c r="K48" s="480">
        <v>-1.9</v>
      </c>
      <c r="L48" s="480"/>
      <c r="M48" s="466"/>
      <c r="N48" s="480">
        <v>3.3</v>
      </c>
      <c r="O48" s="480"/>
      <c r="P48" s="472"/>
      <c r="Q48" s="426">
        <v>3.4</v>
      </c>
      <c r="R48" s="481"/>
      <c r="S48" s="466"/>
      <c r="T48" s="480">
        <v>3.5034760388540587</v>
      </c>
      <c r="U48" s="480"/>
      <c r="V48" s="480"/>
      <c r="W48" s="480">
        <v>0.8</v>
      </c>
      <c r="X48" s="313"/>
      <c r="Y48" s="480">
        <v>3.5</v>
      </c>
      <c r="Z48" s="471"/>
    </row>
    <row r="49" spans="1:26" ht="13.8" thickBot="1">
      <c r="A49" s="465"/>
      <c r="B49" s="465"/>
      <c r="C49" s="466"/>
      <c r="D49" s="482"/>
      <c r="E49" s="483"/>
      <c r="F49" s="484"/>
      <c r="G49" s="466"/>
      <c r="H49" s="466"/>
      <c r="I49" s="466"/>
      <c r="J49" s="466"/>
      <c r="K49" s="466"/>
      <c r="L49" s="466"/>
      <c r="M49" s="466"/>
      <c r="N49" s="466"/>
      <c r="O49" s="466"/>
      <c r="P49" s="482"/>
      <c r="Q49" s="483"/>
      <c r="R49" s="484"/>
      <c r="S49" s="466"/>
      <c r="T49" s="466"/>
      <c r="U49" s="466"/>
      <c r="V49" s="466"/>
      <c r="W49" s="313"/>
      <c r="X49" s="313"/>
      <c r="Y49" s="313"/>
      <c r="Z49" s="471"/>
    </row>
    <row r="50" spans="1:26">
      <c r="D50" s="471"/>
      <c r="E50" s="471"/>
      <c r="F50" s="471"/>
      <c r="G50" s="471"/>
      <c r="H50" s="471"/>
      <c r="I50" s="471"/>
      <c r="J50" s="471"/>
      <c r="K50" s="471"/>
      <c r="L50" s="471"/>
      <c r="M50" s="471"/>
      <c r="N50" s="471"/>
      <c r="O50" s="471"/>
      <c r="P50" s="471"/>
      <c r="Q50" s="471"/>
      <c r="R50" s="471"/>
      <c r="S50" s="471"/>
      <c r="T50" s="471"/>
      <c r="U50" s="471"/>
      <c r="V50" s="471"/>
    </row>
    <row r="51" spans="1:26" ht="15.6">
      <c r="A51" s="485" t="s">
        <v>770</v>
      </c>
      <c r="B51" s="999" t="s">
        <v>1133</v>
      </c>
      <c r="C51" s="999"/>
      <c r="D51" s="999"/>
      <c r="E51" s="999"/>
      <c r="F51" s="999"/>
      <c r="G51" s="999"/>
      <c r="H51" s="999"/>
      <c r="I51" s="999"/>
      <c r="J51" s="999"/>
      <c r="K51" s="999"/>
      <c r="L51" s="999"/>
      <c r="M51" s="999"/>
      <c r="N51" s="999"/>
      <c r="O51" s="999"/>
      <c r="P51" s="999"/>
      <c r="Q51" s="999"/>
      <c r="R51" s="999"/>
      <c r="S51" s="999"/>
      <c r="T51" s="999"/>
      <c r="U51" s="999"/>
      <c r="V51" s="999"/>
      <c r="W51" s="999"/>
      <c r="X51" s="999"/>
      <c r="Y51" s="999"/>
    </row>
    <row r="52" spans="1:26" ht="24" customHeight="1">
      <c r="A52" s="485" t="s">
        <v>772</v>
      </c>
      <c r="B52" s="1015" t="s">
        <v>739</v>
      </c>
      <c r="C52" s="1015"/>
      <c r="D52" s="1015"/>
      <c r="E52" s="1015"/>
      <c r="F52" s="1015"/>
      <c r="G52" s="1015"/>
      <c r="H52" s="1015"/>
      <c r="I52" s="1015"/>
      <c r="J52" s="1015"/>
      <c r="K52" s="1015"/>
      <c r="L52" s="1015"/>
      <c r="M52" s="1015"/>
      <c r="N52" s="1015"/>
      <c r="O52" s="1015"/>
      <c r="P52" s="1015"/>
      <c r="Q52" s="1015"/>
      <c r="R52" s="1015"/>
      <c r="S52" s="1015"/>
      <c r="T52" s="1015"/>
      <c r="U52" s="1015"/>
      <c r="V52" s="1015"/>
      <c r="W52" s="1015"/>
      <c r="X52" s="1015"/>
      <c r="Y52" s="1015"/>
    </row>
    <row r="53" spans="1:26" ht="15" customHeight="1">
      <c r="A53" s="485" t="s">
        <v>798</v>
      </c>
      <c r="B53" s="1015" t="s">
        <v>725</v>
      </c>
      <c r="C53" s="1015"/>
      <c r="D53" s="1015"/>
      <c r="E53" s="1015"/>
      <c r="F53" s="1015"/>
      <c r="G53" s="1015"/>
      <c r="H53" s="1015"/>
      <c r="I53" s="1015"/>
      <c r="J53" s="1015"/>
      <c r="K53" s="1015"/>
      <c r="L53" s="1015"/>
      <c r="M53" s="1015"/>
      <c r="N53" s="1015"/>
      <c r="O53" s="1015"/>
      <c r="P53" s="1015"/>
      <c r="Q53" s="1015"/>
      <c r="R53" s="1015"/>
      <c r="S53" s="1015"/>
      <c r="T53" s="1015"/>
      <c r="U53" s="1015"/>
      <c r="V53" s="1015"/>
      <c r="W53" s="1015"/>
      <c r="X53" s="1015"/>
      <c r="Y53" s="1015"/>
    </row>
    <row r="54" spans="1:26" ht="39" customHeight="1">
      <c r="A54" s="485" t="s">
        <v>432</v>
      </c>
      <c r="B54" s="1015" t="s">
        <v>748</v>
      </c>
      <c r="C54" s="1015"/>
      <c r="D54" s="1015"/>
      <c r="E54" s="1015"/>
      <c r="F54" s="1015"/>
      <c r="G54" s="1015"/>
      <c r="H54" s="1015"/>
      <c r="I54" s="1015"/>
      <c r="J54" s="1015"/>
      <c r="K54" s="1015"/>
      <c r="L54" s="1015"/>
      <c r="M54" s="1015"/>
      <c r="N54" s="1015"/>
      <c r="O54" s="1015"/>
      <c r="P54" s="1015"/>
      <c r="Q54" s="1015"/>
      <c r="R54" s="1015"/>
      <c r="S54" s="1015"/>
      <c r="T54" s="1015"/>
      <c r="U54" s="1015"/>
      <c r="V54" s="1015"/>
      <c r="W54" s="1015"/>
      <c r="X54" s="1015"/>
      <c r="Y54" s="1015"/>
    </row>
    <row r="55" spans="1:26" ht="28.5" customHeight="1">
      <c r="A55" s="485" t="s">
        <v>434</v>
      </c>
      <c r="B55" s="1015" t="s">
        <v>1024</v>
      </c>
      <c r="C55" s="1015"/>
      <c r="D55" s="1015"/>
      <c r="E55" s="1015"/>
      <c r="F55" s="1015"/>
      <c r="G55" s="1015"/>
      <c r="H55" s="1015"/>
      <c r="I55" s="1015"/>
      <c r="J55" s="1015"/>
      <c r="K55" s="1015"/>
      <c r="L55" s="1015"/>
      <c r="M55" s="1015"/>
      <c r="N55" s="1015"/>
      <c r="O55" s="1015"/>
      <c r="P55" s="1015"/>
      <c r="Q55" s="1015"/>
      <c r="R55" s="1015"/>
      <c r="S55" s="1015"/>
      <c r="T55" s="1015"/>
      <c r="U55" s="1015"/>
      <c r="V55" s="1015"/>
      <c r="W55" s="1015"/>
      <c r="X55" s="1015"/>
      <c r="Y55" s="1015"/>
    </row>
    <row r="56" spans="1:26" ht="15.6">
      <c r="A56" s="485" t="s">
        <v>721</v>
      </c>
      <c r="B56" s="1015" t="s">
        <v>1025</v>
      </c>
      <c r="C56" s="1015"/>
      <c r="D56" s="1015"/>
      <c r="E56" s="1015"/>
      <c r="F56" s="1015"/>
      <c r="G56" s="1015"/>
      <c r="H56" s="1015"/>
      <c r="I56" s="1015"/>
      <c r="J56" s="1015"/>
      <c r="K56" s="1015"/>
      <c r="L56" s="1015"/>
      <c r="M56" s="1015"/>
      <c r="N56" s="1015"/>
      <c r="O56" s="1015"/>
      <c r="P56" s="1015"/>
      <c r="Q56" s="1015"/>
      <c r="R56" s="1015"/>
      <c r="S56" s="1015"/>
      <c r="T56" s="1015"/>
      <c r="U56" s="1015"/>
      <c r="V56" s="1015"/>
      <c r="W56" s="1015"/>
      <c r="X56" s="1015"/>
      <c r="Y56" s="1015"/>
    </row>
    <row r="57" spans="1:26" ht="15.6">
      <c r="A57" s="485"/>
      <c r="B57" s="465"/>
      <c r="C57" s="465"/>
      <c r="D57" s="471"/>
      <c r="E57" s="471"/>
      <c r="F57" s="471"/>
    </row>
    <row r="58" spans="1:26">
      <c r="D58" s="471"/>
      <c r="E58" s="471"/>
      <c r="F58" s="471"/>
      <c r="G58" s="471"/>
      <c r="H58" s="471"/>
      <c r="I58" s="471"/>
      <c r="J58" s="471"/>
      <c r="K58" s="471"/>
      <c r="L58" s="471"/>
      <c r="M58" s="471"/>
      <c r="N58" s="471"/>
      <c r="O58" s="471"/>
      <c r="P58" s="471"/>
      <c r="Q58" s="471"/>
      <c r="R58" s="471"/>
      <c r="S58" s="471"/>
      <c r="T58" s="471"/>
      <c r="U58" s="471"/>
      <c r="V58" s="471"/>
    </row>
    <row r="59" spans="1:26">
      <c r="D59" s="471"/>
      <c r="E59" s="471"/>
      <c r="F59" s="471"/>
      <c r="G59" s="471"/>
      <c r="H59" s="471"/>
      <c r="I59" s="471"/>
      <c r="J59" s="471"/>
      <c r="K59" s="471"/>
      <c r="L59" s="471"/>
      <c r="M59" s="471"/>
      <c r="N59" s="471"/>
      <c r="O59" s="471"/>
      <c r="P59" s="471"/>
      <c r="Q59" s="471"/>
      <c r="R59" s="471"/>
      <c r="S59" s="471"/>
      <c r="T59" s="471"/>
      <c r="U59" s="471"/>
      <c r="V59" s="471"/>
    </row>
    <row r="60" spans="1:26">
      <c r="D60" s="471"/>
      <c r="E60" s="471"/>
      <c r="F60" s="471"/>
      <c r="G60" s="471"/>
      <c r="H60" s="471"/>
      <c r="I60" s="471"/>
      <c r="J60" s="471"/>
      <c r="K60" s="471"/>
      <c r="L60" s="471"/>
      <c r="M60" s="471"/>
      <c r="N60" s="471"/>
      <c r="O60" s="471"/>
      <c r="P60" s="471"/>
      <c r="Q60" s="471"/>
      <c r="R60" s="471"/>
      <c r="S60" s="471"/>
      <c r="T60" s="471"/>
      <c r="U60" s="471"/>
      <c r="V60" s="471"/>
    </row>
    <row r="61" spans="1:26">
      <c r="D61" s="471"/>
      <c r="E61" s="471"/>
      <c r="F61" s="471"/>
      <c r="G61" s="471"/>
      <c r="H61" s="471"/>
      <c r="I61" s="471"/>
      <c r="J61" s="471"/>
      <c r="K61" s="471"/>
      <c r="L61" s="471"/>
      <c r="M61" s="471"/>
      <c r="N61" s="471"/>
      <c r="O61" s="471"/>
      <c r="P61" s="471"/>
      <c r="Q61" s="471"/>
      <c r="R61" s="471"/>
      <c r="S61" s="471"/>
      <c r="T61" s="471"/>
      <c r="U61" s="471"/>
      <c r="V61" s="471"/>
    </row>
    <row r="62" spans="1:26">
      <c r="D62" s="471"/>
      <c r="E62" s="471"/>
      <c r="F62" s="471"/>
      <c r="G62" s="471"/>
      <c r="H62" s="471"/>
      <c r="I62" s="471"/>
      <c r="J62" s="471"/>
      <c r="K62" s="471"/>
      <c r="L62" s="471"/>
      <c r="M62" s="471"/>
      <c r="N62" s="471"/>
      <c r="O62" s="471"/>
      <c r="P62" s="471"/>
      <c r="Q62" s="471"/>
      <c r="R62" s="471"/>
      <c r="S62" s="471"/>
      <c r="T62" s="471"/>
      <c r="U62" s="471"/>
      <c r="V62" s="471"/>
    </row>
    <row r="63" spans="1:26">
      <c r="D63" s="471"/>
      <c r="E63" s="471"/>
      <c r="F63" s="471"/>
      <c r="G63" s="471"/>
      <c r="H63" s="471"/>
      <c r="I63" s="471"/>
      <c r="J63" s="471"/>
      <c r="K63" s="471"/>
      <c r="L63" s="471"/>
      <c r="M63" s="471"/>
      <c r="N63" s="471"/>
      <c r="O63" s="471"/>
      <c r="P63" s="471"/>
      <c r="Q63" s="471"/>
      <c r="R63" s="471"/>
      <c r="S63" s="471"/>
      <c r="T63" s="471"/>
      <c r="U63" s="471"/>
      <c r="V63" s="471"/>
    </row>
    <row r="64" spans="1:26">
      <c r="D64" s="471"/>
      <c r="E64" s="471"/>
      <c r="F64" s="471"/>
      <c r="G64" s="471"/>
      <c r="H64" s="471"/>
      <c r="I64" s="471"/>
      <c r="J64" s="471"/>
      <c r="K64" s="471"/>
      <c r="L64" s="471"/>
      <c r="M64" s="471"/>
      <c r="N64" s="471"/>
      <c r="O64" s="471"/>
      <c r="P64" s="471"/>
      <c r="Q64" s="471"/>
      <c r="R64" s="471"/>
      <c r="S64" s="471"/>
      <c r="T64" s="471"/>
      <c r="U64" s="471"/>
      <c r="V64" s="471"/>
    </row>
    <row r="65" spans="4:22">
      <c r="D65" s="471"/>
      <c r="E65" s="471"/>
      <c r="F65" s="471"/>
      <c r="G65" s="471"/>
      <c r="H65" s="471"/>
      <c r="I65" s="471"/>
      <c r="J65" s="471"/>
      <c r="K65" s="471"/>
      <c r="L65" s="471"/>
      <c r="M65" s="471"/>
      <c r="N65" s="471"/>
      <c r="O65" s="471"/>
      <c r="P65" s="471"/>
      <c r="Q65" s="471"/>
      <c r="R65" s="471"/>
      <c r="S65" s="471"/>
      <c r="T65" s="471"/>
      <c r="U65" s="471"/>
      <c r="V65" s="471"/>
    </row>
    <row r="66" spans="4:22">
      <c r="D66" s="471"/>
      <c r="E66" s="471"/>
      <c r="F66" s="471"/>
      <c r="G66" s="471"/>
      <c r="H66" s="471"/>
      <c r="I66" s="471"/>
      <c r="J66" s="471"/>
      <c r="K66" s="471"/>
      <c r="L66" s="471"/>
      <c r="M66" s="471"/>
      <c r="N66" s="471"/>
      <c r="O66" s="471"/>
      <c r="P66" s="471"/>
      <c r="Q66" s="471"/>
      <c r="R66" s="471"/>
      <c r="S66" s="471"/>
      <c r="T66" s="471"/>
      <c r="U66" s="471"/>
      <c r="V66" s="471"/>
    </row>
    <row r="67" spans="4:22">
      <c r="D67" s="471"/>
      <c r="E67" s="471"/>
      <c r="F67" s="471"/>
      <c r="G67" s="471"/>
      <c r="H67" s="471"/>
      <c r="I67" s="471"/>
      <c r="J67" s="471"/>
      <c r="K67" s="471"/>
      <c r="L67" s="471"/>
      <c r="M67" s="471"/>
      <c r="N67" s="471"/>
      <c r="O67" s="471"/>
      <c r="P67" s="471"/>
      <c r="Q67" s="471"/>
      <c r="R67" s="471"/>
      <c r="S67" s="471"/>
      <c r="T67" s="471"/>
      <c r="U67" s="471"/>
      <c r="V67" s="471"/>
    </row>
    <row r="68" spans="4:22">
      <c r="D68" s="471"/>
      <c r="E68" s="471"/>
      <c r="F68" s="471"/>
      <c r="G68" s="471"/>
      <c r="H68" s="471"/>
      <c r="I68" s="471"/>
      <c r="J68" s="471"/>
      <c r="K68" s="471"/>
      <c r="L68" s="471"/>
      <c r="M68" s="471"/>
      <c r="N68" s="471"/>
      <c r="O68" s="471"/>
      <c r="P68" s="471"/>
      <c r="Q68" s="471"/>
      <c r="R68" s="471"/>
      <c r="S68" s="471"/>
      <c r="T68" s="471"/>
      <c r="U68" s="471"/>
      <c r="V68" s="471"/>
    </row>
    <row r="69" spans="4:22">
      <c r="D69" s="471"/>
      <c r="E69" s="471"/>
      <c r="F69" s="471"/>
      <c r="G69" s="471"/>
      <c r="H69" s="471"/>
      <c r="I69" s="471"/>
      <c r="J69" s="471"/>
      <c r="K69" s="471"/>
      <c r="L69" s="471"/>
      <c r="M69" s="471"/>
      <c r="N69" s="471"/>
      <c r="O69" s="471"/>
      <c r="P69" s="471"/>
      <c r="Q69" s="471"/>
      <c r="R69" s="471"/>
      <c r="S69" s="471"/>
      <c r="T69" s="471"/>
      <c r="U69" s="471"/>
      <c r="V69" s="471"/>
    </row>
    <row r="70" spans="4:22">
      <c r="D70" s="471"/>
      <c r="E70" s="471"/>
      <c r="F70" s="471"/>
      <c r="G70" s="471"/>
      <c r="H70" s="471"/>
      <c r="I70" s="471"/>
      <c r="J70" s="471"/>
      <c r="K70" s="471"/>
      <c r="L70" s="471"/>
      <c r="M70" s="471"/>
      <c r="N70" s="471"/>
      <c r="O70" s="471"/>
      <c r="P70" s="471"/>
      <c r="Q70" s="471"/>
      <c r="R70" s="471"/>
      <c r="S70" s="471"/>
      <c r="T70" s="471"/>
      <c r="U70" s="471"/>
      <c r="V70" s="471"/>
    </row>
    <row r="71" spans="4:22">
      <c r="D71" s="471"/>
      <c r="E71" s="471"/>
      <c r="F71" s="471"/>
      <c r="G71" s="471"/>
      <c r="H71" s="471"/>
      <c r="I71" s="471"/>
      <c r="J71" s="471"/>
      <c r="K71" s="471"/>
      <c r="L71" s="471"/>
      <c r="M71" s="471"/>
      <c r="N71" s="471"/>
      <c r="O71" s="471"/>
      <c r="P71" s="471"/>
      <c r="Q71" s="471"/>
      <c r="R71" s="471"/>
      <c r="S71" s="471"/>
      <c r="T71" s="471"/>
      <c r="U71" s="471"/>
      <c r="V71" s="471"/>
    </row>
    <row r="72" spans="4:22">
      <c r="D72" s="471"/>
      <c r="E72" s="471"/>
      <c r="F72" s="471"/>
      <c r="G72" s="471"/>
      <c r="H72" s="471"/>
      <c r="I72" s="471"/>
      <c r="J72" s="471"/>
      <c r="K72" s="471"/>
      <c r="L72" s="471"/>
      <c r="M72" s="471"/>
      <c r="N72" s="471"/>
      <c r="O72" s="471"/>
      <c r="P72" s="471"/>
      <c r="Q72" s="471"/>
      <c r="R72" s="471"/>
      <c r="S72" s="471"/>
      <c r="T72" s="471"/>
      <c r="U72" s="471"/>
      <c r="V72" s="471"/>
    </row>
    <row r="73" spans="4:22">
      <c r="D73" s="471"/>
      <c r="E73" s="471"/>
      <c r="F73" s="471"/>
      <c r="G73" s="471"/>
      <c r="H73" s="471"/>
      <c r="I73" s="471"/>
      <c r="J73" s="471"/>
      <c r="K73" s="471"/>
      <c r="L73" s="471"/>
      <c r="M73" s="471"/>
      <c r="N73" s="471"/>
      <c r="O73" s="471"/>
      <c r="P73" s="471"/>
      <c r="Q73" s="471"/>
      <c r="R73" s="471"/>
      <c r="S73" s="471"/>
      <c r="T73" s="471"/>
      <c r="U73" s="471"/>
      <c r="V73" s="471"/>
    </row>
    <row r="74" spans="4:22">
      <c r="D74" s="471"/>
      <c r="E74" s="471"/>
      <c r="F74" s="471"/>
      <c r="G74" s="471"/>
      <c r="H74" s="471"/>
      <c r="I74" s="471"/>
      <c r="J74" s="471"/>
      <c r="K74" s="471"/>
      <c r="L74" s="471"/>
      <c r="M74" s="471"/>
      <c r="N74" s="471"/>
      <c r="O74" s="471"/>
      <c r="P74" s="471"/>
      <c r="Q74" s="471"/>
      <c r="R74" s="471"/>
      <c r="S74" s="471"/>
      <c r="T74" s="471"/>
      <c r="U74" s="471"/>
      <c r="V74" s="471"/>
    </row>
    <row r="75" spans="4:22">
      <c r="D75" s="471"/>
      <c r="E75" s="471"/>
      <c r="F75" s="471"/>
      <c r="G75" s="471"/>
      <c r="H75" s="471"/>
      <c r="I75" s="471"/>
      <c r="J75" s="471"/>
      <c r="K75" s="471"/>
      <c r="L75" s="471"/>
      <c r="M75" s="471"/>
      <c r="N75" s="471"/>
      <c r="O75" s="471"/>
      <c r="P75" s="471"/>
      <c r="Q75" s="471"/>
      <c r="R75" s="471"/>
      <c r="S75" s="471"/>
      <c r="T75" s="471"/>
      <c r="U75" s="471"/>
      <c r="V75" s="471"/>
    </row>
    <row r="76" spans="4:22">
      <c r="D76" s="471"/>
      <c r="E76" s="471"/>
      <c r="F76" s="471"/>
      <c r="G76" s="471"/>
      <c r="H76" s="471"/>
      <c r="I76" s="471"/>
      <c r="J76" s="471"/>
      <c r="K76" s="471"/>
      <c r="L76" s="471"/>
      <c r="M76" s="471"/>
      <c r="N76" s="471"/>
      <c r="O76" s="471"/>
      <c r="P76" s="471"/>
      <c r="Q76" s="471"/>
      <c r="R76" s="471"/>
      <c r="S76" s="471"/>
      <c r="T76" s="471"/>
      <c r="U76" s="471"/>
      <c r="V76" s="471"/>
    </row>
    <row r="77" spans="4:22">
      <c r="D77" s="471"/>
      <c r="E77" s="471"/>
      <c r="F77" s="471"/>
      <c r="G77" s="471"/>
      <c r="H77" s="471"/>
      <c r="I77" s="471"/>
      <c r="J77" s="471"/>
      <c r="K77" s="471"/>
      <c r="L77" s="471"/>
      <c r="M77" s="471"/>
      <c r="N77" s="471"/>
      <c r="O77" s="471"/>
      <c r="P77" s="471"/>
      <c r="Q77" s="471"/>
      <c r="R77" s="471"/>
      <c r="S77" s="471"/>
      <c r="T77" s="471"/>
      <c r="U77" s="471"/>
      <c r="V77" s="471"/>
    </row>
    <row r="78" spans="4:22">
      <c r="D78" s="471"/>
      <c r="E78" s="471"/>
      <c r="F78" s="471"/>
    </row>
  </sheetData>
  <mergeCells count="11">
    <mergeCell ref="B53:Y53"/>
    <mergeCell ref="D4:T4"/>
    <mergeCell ref="W4:Y4"/>
    <mergeCell ref="A1:Y1"/>
    <mergeCell ref="A2:Y2"/>
    <mergeCell ref="A3:T3"/>
    <mergeCell ref="B56:Y56"/>
    <mergeCell ref="B51:Y51"/>
    <mergeCell ref="B52:Y52"/>
    <mergeCell ref="B54:Y54"/>
    <mergeCell ref="B55:Y55"/>
  </mergeCells>
  <phoneticPr fontId="24" type="noConversion"/>
  <printOptions horizontalCentered="1"/>
  <pageMargins left="0.25" right="0.25" top="0.5" bottom="0.25" header="0.3" footer="0.25"/>
  <pageSetup scale="69" orientation="landscape" r:id="rId1"/>
  <headerFooter alignWithMargins="0">
    <oddFooter>&amp;R&amp;A</oddFooter>
  </headerFooter>
  <ignoredErrors>
    <ignoredError sqref="A51:A56" numberStoredAsText="1"/>
  </ignoredErrors>
</worksheet>
</file>

<file path=xl/worksheets/sheet26.xml><?xml version="1.0" encoding="utf-8"?>
<worksheet xmlns="http://schemas.openxmlformats.org/spreadsheetml/2006/main" xmlns:r="http://schemas.openxmlformats.org/officeDocument/2006/relationships">
  <sheetPr>
    <pageSetUpPr fitToPage="1"/>
  </sheetPr>
  <dimension ref="A1:S85"/>
  <sheetViews>
    <sheetView zoomScale="75" zoomScaleNormal="75" workbookViewId="0">
      <selection sqref="A1:O1"/>
    </sheetView>
  </sheetViews>
  <sheetFormatPr defaultColWidth="9.109375" defaultRowHeight="13.2"/>
  <cols>
    <col min="1" max="1" width="3.109375" style="284" customWidth="1"/>
    <col min="2" max="2" width="2.44140625" style="284" customWidth="1"/>
    <col min="3" max="3" width="53.6640625" style="284" customWidth="1"/>
    <col min="4" max="4" width="2.44140625" style="443" customWidth="1"/>
    <col min="5" max="5" width="10.6640625" style="284" customWidth="1"/>
    <col min="6" max="6" width="2.44140625" style="284" customWidth="1"/>
    <col min="7" max="7" width="2.44140625" style="443" customWidth="1"/>
    <col min="8" max="8" width="10.6640625" style="284" customWidth="1"/>
    <col min="9" max="9" width="2.44140625" style="284" customWidth="1"/>
    <col min="10" max="10" width="2.44140625" style="443" customWidth="1"/>
    <col min="11" max="11" width="10.6640625" style="284" customWidth="1"/>
    <col min="12" max="13" width="2.44140625" style="284" customWidth="1"/>
    <col min="14" max="14" width="10.6640625" style="284" customWidth="1"/>
    <col min="15" max="15" width="2.44140625" style="284" customWidth="1"/>
    <col min="16" max="16384" width="9.109375" style="284"/>
  </cols>
  <sheetData>
    <row r="1" spans="1:15">
      <c r="A1" s="1011" t="s">
        <v>96</v>
      </c>
      <c r="B1" s="1011"/>
      <c r="C1" s="1011"/>
      <c r="D1" s="1011"/>
      <c r="E1" s="1011"/>
      <c r="F1" s="1011"/>
      <c r="G1" s="1011"/>
      <c r="H1" s="1011"/>
      <c r="I1" s="1011"/>
      <c r="J1" s="1011"/>
      <c r="K1" s="1011"/>
      <c r="L1" s="1011"/>
      <c r="M1" s="1011"/>
      <c r="N1" s="1011"/>
      <c r="O1" s="1011"/>
    </row>
    <row r="2" spans="1:15">
      <c r="A2" s="1011" t="s">
        <v>68</v>
      </c>
      <c r="B2" s="1011"/>
      <c r="C2" s="1011"/>
      <c r="D2" s="1011"/>
      <c r="E2" s="1011"/>
      <c r="F2" s="1011"/>
      <c r="G2" s="1011"/>
      <c r="H2" s="1011"/>
      <c r="I2" s="1011"/>
      <c r="J2" s="1011"/>
      <c r="K2" s="1011"/>
      <c r="L2" s="1011"/>
      <c r="M2" s="1011"/>
      <c r="N2" s="1011"/>
      <c r="O2" s="1011"/>
    </row>
    <row r="3" spans="1:15">
      <c r="A3" s="905"/>
      <c r="B3" s="905"/>
      <c r="C3" s="905"/>
      <c r="D3" s="905"/>
      <c r="E3" s="905"/>
      <c r="F3" s="905"/>
      <c r="G3" s="905"/>
      <c r="H3" s="905"/>
      <c r="I3" s="905"/>
      <c r="J3" s="905"/>
      <c r="K3" s="905"/>
      <c r="L3" s="905"/>
      <c r="M3" s="905"/>
      <c r="N3" s="905"/>
      <c r="O3" s="905"/>
    </row>
    <row r="4" spans="1:15">
      <c r="A4" s="910"/>
      <c r="B4" s="910"/>
      <c r="C4" s="910"/>
      <c r="D4" s="910"/>
      <c r="E4" s="910"/>
      <c r="F4" s="910"/>
      <c r="G4" s="910"/>
      <c r="H4" s="910"/>
      <c r="I4" s="910"/>
      <c r="J4" s="910"/>
      <c r="K4" s="910"/>
      <c r="L4" s="910"/>
      <c r="M4" s="910"/>
      <c r="N4" s="298"/>
      <c r="O4" s="319"/>
    </row>
    <row r="5" spans="1:15">
      <c r="A5" s="290" t="s">
        <v>298</v>
      </c>
      <c r="B5" s="290"/>
      <c r="C5" s="287"/>
      <c r="D5" s="975" t="s">
        <v>99</v>
      </c>
      <c r="E5" s="975"/>
      <c r="F5" s="975"/>
      <c r="G5" s="975"/>
      <c r="H5" s="975"/>
      <c r="I5" s="975"/>
      <c r="J5" s="975"/>
      <c r="K5" s="975"/>
      <c r="L5" s="66"/>
      <c r="M5" s="298"/>
      <c r="N5" s="967" t="s">
        <v>100</v>
      </c>
      <c r="O5" s="319"/>
    </row>
    <row r="6" spans="1:15" ht="13.8" thickBot="1">
      <c r="A6" s="290"/>
      <c r="C6" s="287"/>
      <c r="D6" s="414"/>
      <c r="E6" s="287"/>
      <c r="F6" s="287"/>
      <c r="G6" s="311"/>
      <c r="H6" s="288"/>
      <c r="I6" s="288"/>
      <c r="J6" s="827"/>
      <c r="K6" s="806"/>
      <c r="L6" s="287"/>
    </row>
    <row r="7" spans="1:15" ht="13.8">
      <c r="A7" s="290"/>
      <c r="B7" s="290"/>
      <c r="C7" s="293"/>
      <c r="D7" s="415"/>
      <c r="E7" s="8" t="s">
        <v>104</v>
      </c>
      <c r="F7" s="292"/>
      <c r="G7" s="416"/>
      <c r="H7" s="6" t="s">
        <v>105</v>
      </c>
      <c r="I7" s="417"/>
      <c r="J7" s="417"/>
      <c r="K7" s="6" t="s">
        <v>69</v>
      </c>
      <c r="L7" s="417"/>
      <c r="M7" s="313"/>
      <c r="N7" s="6" t="s">
        <v>104</v>
      </c>
      <c r="O7" s="313"/>
    </row>
    <row r="8" spans="1:15">
      <c r="A8" s="290" t="s">
        <v>800</v>
      </c>
      <c r="B8" s="290"/>
      <c r="C8" s="293"/>
      <c r="D8" s="418"/>
      <c r="E8" s="13">
        <v>2012</v>
      </c>
      <c r="F8" s="296"/>
      <c r="G8" s="416"/>
      <c r="H8" s="13">
        <v>2012</v>
      </c>
      <c r="I8" s="293"/>
      <c r="J8" s="417"/>
      <c r="K8" s="13">
        <v>2011</v>
      </c>
      <c r="L8" s="417"/>
      <c r="M8" s="313"/>
      <c r="N8" s="13">
        <v>2012</v>
      </c>
      <c r="O8" s="313"/>
    </row>
    <row r="9" spans="1:15">
      <c r="A9" s="419"/>
      <c r="B9" s="419"/>
      <c r="C9" s="459"/>
      <c r="D9" s="307"/>
      <c r="E9" s="298"/>
      <c r="F9" s="299"/>
      <c r="G9" s="309"/>
      <c r="H9" s="298"/>
      <c r="I9" s="459"/>
      <c r="J9" s="300"/>
      <c r="K9" s="298"/>
      <c r="L9" s="300"/>
      <c r="M9" s="313"/>
      <c r="N9" s="298"/>
      <c r="O9" s="313"/>
    </row>
    <row r="10" spans="1:15" s="290" customFormat="1" ht="11.4">
      <c r="A10" s="421"/>
      <c r="B10" s="420" t="s">
        <v>1000</v>
      </c>
      <c r="C10" s="428"/>
      <c r="D10" s="307" t="s">
        <v>108</v>
      </c>
      <c r="E10" s="422">
        <v>224</v>
      </c>
      <c r="F10" s="429"/>
      <c r="G10" s="309" t="s">
        <v>108</v>
      </c>
      <c r="H10" s="422">
        <v>262</v>
      </c>
      <c r="I10" s="420"/>
      <c r="J10" s="426" t="s">
        <v>108</v>
      </c>
      <c r="K10" s="422">
        <v>181</v>
      </c>
      <c r="L10" s="424"/>
      <c r="M10" s="309" t="s">
        <v>108</v>
      </c>
      <c r="N10" s="422">
        <v>486</v>
      </c>
      <c r="O10" s="300"/>
    </row>
    <row r="11" spans="1:15" s="290" customFormat="1" ht="11.4">
      <c r="A11" s="420"/>
      <c r="B11" s="420"/>
      <c r="C11" s="420"/>
      <c r="D11" s="307"/>
      <c r="E11" s="308"/>
      <c r="F11" s="429"/>
      <c r="G11" s="309"/>
      <c r="H11" s="308"/>
      <c r="I11" s="420"/>
      <c r="J11" s="426"/>
      <c r="K11" s="308"/>
      <c r="L11" s="424"/>
      <c r="M11" s="300"/>
      <c r="N11" s="308"/>
      <c r="O11" s="300"/>
    </row>
    <row r="12" spans="1:15" s="290" customFormat="1" ht="11.4">
      <c r="A12" s="420"/>
      <c r="B12" s="420" t="s">
        <v>1001</v>
      </c>
      <c r="C12" s="420"/>
      <c r="D12" s="307" t="s">
        <v>108</v>
      </c>
      <c r="E12" s="422">
        <v>234</v>
      </c>
      <c r="F12" s="429"/>
      <c r="G12" s="309" t="s">
        <v>108</v>
      </c>
      <c r="H12" s="422">
        <v>221</v>
      </c>
      <c r="I12" s="420"/>
      <c r="J12" s="426" t="s">
        <v>108</v>
      </c>
      <c r="K12" s="422">
        <v>201</v>
      </c>
      <c r="L12" s="424"/>
      <c r="M12" s="309" t="s">
        <v>108</v>
      </c>
      <c r="N12" s="422">
        <v>455</v>
      </c>
      <c r="O12" s="300"/>
    </row>
    <row r="13" spans="1:15" s="290" customFormat="1" ht="11.4">
      <c r="A13" s="420"/>
      <c r="B13" s="420"/>
      <c r="C13" s="420"/>
      <c r="D13" s="307"/>
      <c r="E13" s="422"/>
      <c r="F13" s="429"/>
      <c r="G13" s="309"/>
      <c r="H13" s="422"/>
      <c r="I13" s="420"/>
      <c r="J13" s="426"/>
      <c r="K13" s="422"/>
      <c r="L13" s="424"/>
      <c r="M13" s="300"/>
      <c r="N13" s="422"/>
      <c r="O13" s="300"/>
    </row>
    <row r="14" spans="1:15" s="290" customFormat="1" ht="11.4">
      <c r="A14" s="420"/>
      <c r="B14" s="420" t="s">
        <v>379</v>
      </c>
      <c r="C14" s="420"/>
      <c r="D14" s="307"/>
      <c r="E14" s="422"/>
      <c r="F14" s="429"/>
      <c r="G14" s="309"/>
      <c r="H14" s="422"/>
      <c r="I14" s="420"/>
      <c r="J14" s="426"/>
      <c r="K14" s="422"/>
      <c r="L14" s="424"/>
      <c r="M14" s="300"/>
      <c r="N14" s="422"/>
      <c r="O14" s="300"/>
    </row>
    <row r="15" spans="1:15" s="290" customFormat="1" ht="11.4">
      <c r="A15" s="420"/>
      <c r="C15" s="420" t="s">
        <v>70</v>
      </c>
      <c r="D15" s="307" t="s">
        <v>108</v>
      </c>
      <c r="E15" s="422">
        <v>172</v>
      </c>
      <c r="F15" s="429"/>
      <c r="G15" s="309" t="s">
        <v>108</v>
      </c>
      <c r="H15" s="422">
        <v>160</v>
      </c>
      <c r="I15" s="420"/>
      <c r="J15" s="426" t="s">
        <v>108</v>
      </c>
      <c r="K15" s="422">
        <v>157</v>
      </c>
      <c r="L15" s="424"/>
      <c r="M15" s="309" t="s">
        <v>108</v>
      </c>
      <c r="N15" s="422">
        <v>332</v>
      </c>
      <c r="O15" s="300"/>
    </row>
    <row r="16" spans="1:15" s="290" customFormat="1" ht="11.4">
      <c r="A16" s="420"/>
      <c r="C16" s="420" t="s">
        <v>71</v>
      </c>
      <c r="D16" s="307"/>
      <c r="E16" s="422">
        <v>6</v>
      </c>
      <c r="F16" s="429"/>
      <c r="G16" s="309"/>
      <c r="H16" s="422">
        <v>1</v>
      </c>
      <c r="I16" s="420"/>
      <c r="J16" s="426"/>
      <c r="K16" s="422">
        <v>0</v>
      </c>
      <c r="L16" s="424"/>
      <c r="M16" s="309"/>
      <c r="N16" s="422">
        <v>7</v>
      </c>
      <c r="O16" s="300"/>
    </row>
    <row r="17" spans="1:19" s="290" customFormat="1" ht="11.4">
      <c r="A17" s="420"/>
      <c r="C17" s="420" t="s">
        <v>1089</v>
      </c>
      <c r="D17" s="307"/>
      <c r="E17" s="425">
        <v>0</v>
      </c>
      <c r="F17" s="429"/>
      <c r="G17" s="309"/>
      <c r="H17" s="425">
        <v>0</v>
      </c>
      <c r="I17" s="420"/>
      <c r="J17" s="426"/>
      <c r="K17" s="425">
        <v>0</v>
      </c>
      <c r="L17" s="424"/>
      <c r="N17" s="425">
        <v>0</v>
      </c>
      <c r="O17" s="300"/>
    </row>
    <row r="18" spans="1:19" s="290" customFormat="1" ht="11.4">
      <c r="A18" s="421"/>
      <c r="B18" s="420"/>
      <c r="C18" s="420"/>
      <c r="D18" s="307" t="s">
        <v>108</v>
      </c>
      <c r="E18" s="308">
        <v>178</v>
      </c>
      <c r="F18" s="429"/>
      <c r="G18" s="307" t="s">
        <v>108</v>
      </c>
      <c r="H18" s="308">
        <v>161</v>
      </c>
      <c r="I18" s="420"/>
      <c r="J18" s="426" t="s">
        <v>108</v>
      </c>
      <c r="K18" s="308">
        <v>157</v>
      </c>
      <c r="L18" s="424"/>
      <c r="M18" s="309" t="s">
        <v>108</v>
      </c>
      <c r="N18" s="308">
        <v>339</v>
      </c>
      <c r="O18" s="300"/>
    </row>
    <row r="19" spans="1:19" s="290" customFormat="1" ht="11.4">
      <c r="A19" s="421"/>
      <c r="B19" s="420"/>
      <c r="C19" s="420"/>
      <c r="D19" s="307"/>
      <c r="E19" s="308"/>
      <c r="F19" s="429"/>
      <c r="G19" s="309"/>
      <c r="H19" s="308"/>
      <c r="I19" s="420"/>
      <c r="J19" s="426"/>
      <c r="K19" s="308"/>
      <c r="L19" s="424"/>
      <c r="M19" s="300"/>
      <c r="N19" s="308"/>
      <c r="O19" s="300"/>
    </row>
    <row r="20" spans="1:19" s="290" customFormat="1" ht="11.4">
      <c r="A20" s="421"/>
      <c r="B20" s="420" t="s">
        <v>381</v>
      </c>
      <c r="C20" s="420"/>
      <c r="D20" s="307"/>
      <c r="E20" s="308"/>
      <c r="F20" s="429"/>
      <c r="G20" s="309"/>
      <c r="H20" s="308"/>
      <c r="I20" s="420"/>
      <c r="J20" s="426"/>
      <c r="K20" s="308"/>
      <c r="L20" s="424"/>
      <c r="M20" s="300"/>
      <c r="N20" s="308"/>
      <c r="O20" s="300"/>
    </row>
    <row r="21" spans="1:19" s="290" customFormat="1" ht="11.4">
      <c r="A21" s="421"/>
      <c r="B21" s="420"/>
      <c r="C21" s="420" t="s">
        <v>72</v>
      </c>
      <c r="D21" s="307"/>
      <c r="E21" s="308"/>
      <c r="F21" s="429"/>
      <c r="G21" s="309"/>
      <c r="H21" s="308"/>
      <c r="I21" s="420"/>
      <c r="J21" s="426"/>
      <c r="K21" s="308"/>
      <c r="L21" s="424"/>
      <c r="M21" s="300"/>
      <c r="N21" s="308"/>
      <c r="O21" s="300"/>
    </row>
    <row r="22" spans="1:19" s="290" customFormat="1">
      <c r="A22" s="421"/>
      <c r="B22" s="420"/>
      <c r="C22" s="420" t="s">
        <v>735</v>
      </c>
      <c r="D22" s="307" t="s">
        <v>108</v>
      </c>
      <c r="E22" s="422">
        <v>19</v>
      </c>
      <c r="F22" s="429"/>
      <c r="G22" s="309" t="s">
        <v>108</v>
      </c>
      <c r="H22" s="422">
        <v>40</v>
      </c>
      <c r="I22" s="420"/>
      <c r="J22" s="426" t="s">
        <v>108</v>
      </c>
      <c r="K22" s="422">
        <v>42</v>
      </c>
      <c r="L22" s="424"/>
      <c r="M22" s="309" t="s">
        <v>108</v>
      </c>
      <c r="N22" s="422">
        <v>59</v>
      </c>
      <c r="O22" s="300"/>
    </row>
    <row r="23" spans="1:19" s="290" customFormat="1" ht="11.4">
      <c r="A23" s="421"/>
      <c r="C23" s="290" t="s">
        <v>73</v>
      </c>
      <c r="D23" s="307"/>
      <c r="E23" s="422">
        <v>38</v>
      </c>
      <c r="F23" s="429"/>
      <c r="G23" s="309"/>
      <c r="H23" s="422">
        <v>45</v>
      </c>
      <c r="I23" s="420"/>
      <c r="J23" s="426"/>
      <c r="K23" s="422">
        <v>22</v>
      </c>
      <c r="L23" s="424"/>
      <c r="M23" s="309"/>
      <c r="N23" s="422">
        <v>83</v>
      </c>
      <c r="O23" s="300"/>
    </row>
    <row r="24" spans="1:19" s="290" customFormat="1" ht="11.4">
      <c r="A24" s="421"/>
      <c r="B24" s="420"/>
      <c r="C24" s="420" t="s">
        <v>74</v>
      </c>
      <c r="D24" s="307"/>
      <c r="E24" s="425">
        <v>38</v>
      </c>
      <c r="F24" s="429"/>
      <c r="G24" s="309"/>
      <c r="H24" s="425">
        <v>36</v>
      </c>
      <c r="I24" s="420"/>
      <c r="J24" s="426"/>
      <c r="K24" s="425">
        <v>24</v>
      </c>
      <c r="L24" s="424"/>
      <c r="M24" s="309"/>
      <c r="N24" s="425">
        <v>74</v>
      </c>
      <c r="O24" s="300"/>
    </row>
    <row r="25" spans="1:19" s="290" customFormat="1" ht="11.4">
      <c r="A25" s="421"/>
      <c r="B25" s="420"/>
      <c r="C25" s="420"/>
      <c r="D25" s="307" t="s">
        <v>108</v>
      </c>
      <c r="E25" s="422">
        <v>95</v>
      </c>
      <c r="F25" s="429"/>
      <c r="G25" s="307" t="s">
        <v>108</v>
      </c>
      <c r="H25" s="422">
        <v>121</v>
      </c>
      <c r="I25" s="420"/>
      <c r="J25" s="426" t="s">
        <v>108</v>
      </c>
      <c r="K25" s="422">
        <v>88</v>
      </c>
      <c r="L25" s="424"/>
      <c r="M25" s="309" t="s">
        <v>108</v>
      </c>
      <c r="N25" s="422">
        <v>216</v>
      </c>
      <c r="O25" s="300"/>
    </row>
    <row r="26" spans="1:19" s="290" customFormat="1" ht="11.4">
      <c r="A26" s="421"/>
      <c r="B26" s="420"/>
      <c r="C26" s="420"/>
      <c r="D26" s="307"/>
      <c r="E26" s="422"/>
      <c r="F26" s="429"/>
      <c r="G26" s="309"/>
      <c r="H26" s="422"/>
      <c r="I26" s="420"/>
      <c r="J26" s="426"/>
      <c r="K26" s="422"/>
      <c r="L26" s="424"/>
      <c r="M26" s="309"/>
      <c r="N26" s="422"/>
      <c r="O26" s="300"/>
    </row>
    <row r="27" spans="1:19" s="290" customFormat="1" ht="11.4">
      <c r="A27" s="421"/>
      <c r="B27" s="421" t="s">
        <v>75</v>
      </c>
      <c r="C27" s="420"/>
      <c r="D27" s="307" t="s">
        <v>108</v>
      </c>
      <c r="E27" s="422">
        <v>-39</v>
      </c>
      <c r="F27" s="462"/>
      <c r="G27" s="309" t="s">
        <v>108</v>
      </c>
      <c r="H27" s="422">
        <v>-61</v>
      </c>
      <c r="I27" s="420"/>
      <c r="J27" s="422" t="s">
        <v>108</v>
      </c>
      <c r="K27" s="422">
        <v>-44</v>
      </c>
      <c r="L27" s="422"/>
      <c r="M27" s="309" t="s">
        <v>108</v>
      </c>
      <c r="N27" s="422">
        <v>-100</v>
      </c>
      <c r="O27" s="300"/>
    </row>
    <row r="28" spans="1:19" s="290" customFormat="1" ht="11.4">
      <c r="A28" s="420"/>
      <c r="B28" s="420"/>
      <c r="C28" s="420"/>
      <c r="D28" s="307"/>
      <c r="E28" s="422"/>
      <c r="F28" s="429"/>
      <c r="G28" s="309"/>
      <c r="H28" s="422"/>
      <c r="I28" s="420"/>
      <c r="J28" s="426"/>
      <c r="K28" s="422"/>
      <c r="L28" s="424"/>
      <c r="M28" s="300"/>
      <c r="N28" s="422"/>
      <c r="O28" s="300"/>
      <c r="S28" s="290" t="s">
        <v>298</v>
      </c>
    </row>
    <row r="29" spans="1:19" s="290" customFormat="1" ht="11.4">
      <c r="A29" s="420"/>
      <c r="B29" s="420" t="s">
        <v>355</v>
      </c>
      <c r="C29" s="420"/>
      <c r="D29" s="307"/>
      <c r="E29" s="426">
        <v>76.068376068376068</v>
      </c>
      <c r="F29" s="429"/>
      <c r="G29" s="309"/>
      <c r="H29" s="426">
        <v>72.8</v>
      </c>
      <c r="I29" s="420"/>
      <c r="J29" s="426"/>
      <c r="K29" s="426">
        <v>78.099999999999994</v>
      </c>
      <c r="L29" s="424"/>
      <c r="M29" s="300"/>
      <c r="N29" s="426">
        <v>74.505494505494511</v>
      </c>
      <c r="O29" s="300"/>
    </row>
    <row r="30" spans="1:19" s="290" customFormat="1" ht="11.4">
      <c r="A30" s="420"/>
      <c r="B30" s="420" t="s">
        <v>356</v>
      </c>
      <c r="C30" s="420"/>
      <c r="D30" s="307"/>
      <c r="E30" s="430">
        <v>40.598290598290596</v>
      </c>
      <c r="F30" s="429"/>
      <c r="G30" s="309"/>
      <c r="H30" s="430">
        <v>54.8</v>
      </c>
      <c r="I30" s="420"/>
      <c r="J30" s="426"/>
      <c r="K30" s="430">
        <v>43.8</v>
      </c>
      <c r="L30" s="424"/>
      <c r="M30" s="300"/>
      <c r="N30" s="430">
        <v>47.472527472527467</v>
      </c>
      <c r="O30" s="300"/>
    </row>
    <row r="31" spans="1:19" s="290" customFormat="1" ht="11.4">
      <c r="A31" s="420"/>
      <c r="B31" s="420" t="s">
        <v>357</v>
      </c>
      <c r="C31" s="306"/>
      <c r="D31" s="307"/>
      <c r="E31" s="426">
        <v>116.66666666666667</v>
      </c>
      <c r="F31" s="429"/>
      <c r="G31" s="309"/>
      <c r="H31" s="426">
        <v>127.60180995475112</v>
      </c>
      <c r="I31" s="420"/>
      <c r="J31" s="426"/>
      <c r="K31" s="426">
        <v>121.89999999999999</v>
      </c>
      <c r="L31" s="424"/>
      <c r="M31" s="300"/>
      <c r="N31" s="426">
        <v>121.97802197802199</v>
      </c>
      <c r="O31" s="300"/>
    </row>
    <row r="32" spans="1:19" s="290" customFormat="1" ht="11.4">
      <c r="A32" s="420"/>
      <c r="B32" s="420"/>
      <c r="C32" s="428"/>
      <c r="D32" s="307"/>
      <c r="E32" s="308"/>
      <c r="F32" s="429"/>
      <c r="G32" s="309"/>
      <c r="H32" s="308"/>
      <c r="I32" s="428"/>
      <c r="J32" s="426"/>
      <c r="K32" s="308"/>
      <c r="L32" s="424"/>
      <c r="M32" s="300"/>
      <c r="N32" s="308"/>
      <c r="O32" s="300"/>
    </row>
    <row r="33" spans="1:16" s="290" customFormat="1" ht="11.4">
      <c r="A33" s="420"/>
      <c r="B33" s="420" t="s">
        <v>1004</v>
      </c>
      <c r="C33" s="428"/>
      <c r="D33" s="307"/>
      <c r="E33" s="426">
        <v>2.6</v>
      </c>
      <c r="F33" s="429"/>
      <c r="G33" s="309"/>
      <c r="H33" s="426">
        <v>0.35248868778280551</v>
      </c>
      <c r="I33" s="420"/>
      <c r="J33" s="426"/>
      <c r="K33" s="426">
        <v>0</v>
      </c>
      <c r="L33" s="424"/>
      <c r="M33" s="300"/>
      <c r="N33" s="426">
        <v>1.5</v>
      </c>
      <c r="O33" s="300"/>
    </row>
    <row r="34" spans="1:16" s="290" customFormat="1" ht="7.5" customHeight="1">
      <c r="A34" s="420"/>
      <c r="B34" s="420"/>
      <c r="C34" s="420"/>
      <c r="D34" s="307"/>
      <c r="E34" s="309"/>
      <c r="F34" s="429"/>
      <c r="G34" s="309"/>
      <c r="H34" s="426"/>
      <c r="I34" s="424"/>
      <c r="J34" s="426"/>
      <c r="K34" s="426"/>
      <c r="L34" s="424"/>
      <c r="M34" s="426"/>
      <c r="N34" s="426"/>
      <c r="O34" s="426"/>
      <c r="P34" s="426"/>
    </row>
    <row r="35" spans="1:16" s="290" customFormat="1" ht="11.4">
      <c r="A35" s="420"/>
      <c r="B35" s="420" t="s">
        <v>691</v>
      </c>
      <c r="C35" s="420"/>
      <c r="D35" s="307"/>
      <c r="E35" s="426">
        <v>0</v>
      </c>
      <c r="F35" s="429"/>
      <c r="G35" s="309"/>
      <c r="H35" s="426">
        <v>0</v>
      </c>
      <c r="I35" s="424"/>
      <c r="J35" s="426"/>
      <c r="K35" s="426">
        <v>0</v>
      </c>
      <c r="L35" s="424"/>
      <c r="M35" s="426"/>
      <c r="N35" s="426">
        <v>0</v>
      </c>
      <c r="O35" s="426"/>
      <c r="P35" s="426"/>
    </row>
    <row r="36" spans="1:16" s="290" customFormat="1" ht="7.5" customHeight="1">
      <c r="A36" s="420"/>
      <c r="B36" s="420"/>
      <c r="C36" s="420"/>
      <c r="D36" s="307"/>
      <c r="E36" s="880"/>
      <c r="F36" s="429"/>
      <c r="G36" s="309"/>
      <c r="H36" s="426"/>
      <c r="I36" s="424"/>
      <c r="J36" s="426"/>
      <c r="K36" s="426"/>
      <c r="L36" s="424"/>
      <c r="M36" s="426"/>
      <c r="N36" s="426"/>
      <c r="O36" s="426"/>
      <c r="P36" s="426"/>
    </row>
    <row r="37" spans="1:16" s="290" customFormat="1" ht="11.4">
      <c r="A37" s="420"/>
      <c r="B37" s="420" t="s">
        <v>955</v>
      </c>
      <c r="C37" s="420"/>
      <c r="D37" s="307"/>
      <c r="E37" s="309"/>
      <c r="F37" s="429"/>
      <c r="G37" s="309"/>
      <c r="H37" s="426"/>
      <c r="I37" s="424"/>
      <c r="J37" s="426"/>
      <c r="K37" s="426"/>
      <c r="L37" s="424"/>
      <c r="M37" s="426"/>
      <c r="N37" s="426"/>
      <c r="O37" s="426"/>
      <c r="P37" s="426"/>
    </row>
    <row r="38" spans="1:16" s="290" customFormat="1" ht="11.4">
      <c r="A38" s="420"/>
      <c r="B38" s="420"/>
      <c r="C38" s="420" t="s">
        <v>10</v>
      </c>
      <c r="D38" s="307"/>
      <c r="E38" s="426">
        <v>8.1</v>
      </c>
      <c r="F38" s="429"/>
      <c r="G38" s="309"/>
      <c r="H38" s="426">
        <v>18.100000000000001</v>
      </c>
      <c r="I38" s="424"/>
      <c r="J38" s="426"/>
      <c r="K38" s="426">
        <v>20.9</v>
      </c>
      <c r="L38" s="424"/>
      <c r="M38" s="426"/>
      <c r="N38" s="426">
        <v>13</v>
      </c>
      <c r="O38" s="426"/>
      <c r="P38" s="426"/>
    </row>
    <row r="39" spans="1:16" s="290" customFormat="1" ht="7.5" customHeight="1">
      <c r="A39" s="420"/>
      <c r="B39" s="420"/>
      <c r="C39" s="420"/>
      <c r="D39" s="307"/>
      <c r="E39" s="426"/>
      <c r="F39" s="429"/>
      <c r="G39" s="309"/>
      <c r="H39" s="426"/>
      <c r="I39" s="424"/>
      <c r="J39" s="426"/>
      <c r="K39" s="426"/>
      <c r="L39" s="424"/>
      <c r="M39" s="426"/>
      <c r="N39" s="426"/>
      <c r="O39" s="426"/>
      <c r="P39" s="426"/>
    </row>
    <row r="40" spans="1:16" s="290" customFormat="1" ht="11.4">
      <c r="A40" s="420"/>
      <c r="B40" s="420" t="s">
        <v>76</v>
      </c>
      <c r="C40" s="420"/>
      <c r="D40" s="307"/>
      <c r="E40" s="426">
        <v>16.239316239316238</v>
      </c>
      <c r="F40" s="429"/>
      <c r="G40" s="309"/>
      <c r="H40" s="426">
        <v>20.399999999999999</v>
      </c>
      <c r="I40" s="424"/>
      <c r="J40" s="426"/>
      <c r="K40" s="426">
        <v>10.9</v>
      </c>
      <c r="L40" s="424"/>
      <c r="M40" s="426"/>
      <c r="N40" s="426">
        <v>18.241758241758241</v>
      </c>
      <c r="O40" s="426"/>
      <c r="P40" s="426"/>
    </row>
    <row r="41" spans="1:16" s="290" customFormat="1" ht="7.5" customHeight="1">
      <c r="A41" s="420"/>
      <c r="B41" s="420"/>
      <c r="C41" s="420"/>
      <c r="D41" s="307"/>
      <c r="E41" s="426"/>
      <c r="F41" s="429"/>
      <c r="G41" s="309"/>
      <c r="H41" s="426"/>
      <c r="I41" s="424"/>
      <c r="J41" s="426"/>
      <c r="K41" s="426"/>
      <c r="L41" s="424"/>
      <c r="M41" s="426"/>
      <c r="N41" s="426"/>
      <c r="O41" s="426"/>
      <c r="P41" s="426"/>
    </row>
    <row r="42" spans="1:16" s="290" customFormat="1" ht="11.4">
      <c r="A42" s="420"/>
      <c r="B42" s="420" t="s">
        <v>77</v>
      </c>
      <c r="C42" s="300"/>
      <c r="D42" s="307"/>
      <c r="E42" s="426"/>
      <c r="F42" s="429"/>
      <c r="G42" s="309"/>
      <c r="H42" s="426"/>
      <c r="I42" s="420"/>
      <c r="J42" s="426"/>
      <c r="K42" s="426"/>
      <c r="L42" s="424"/>
      <c r="M42" s="300"/>
      <c r="N42" s="426"/>
      <c r="O42" s="300"/>
    </row>
    <row r="43" spans="1:16" s="290" customFormat="1" ht="11.4">
      <c r="A43" s="420"/>
      <c r="B43" s="235" t="s">
        <v>78</v>
      </c>
      <c r="C43" s="300"/>
      <c r="D43" s="307"/>
      <c r="F43" s="429"/>
      <c r="G43" s="309"/>
      <c r="I43" s="420"/>
      <c r="J43" s="426"/>
      <c r="L43" s="424"/>
      <c r="M43" s="300"/>
      <c r="N43" s="426"/>
      <c r="O43" s="300"/>
    </row>
    <row r="44" spans="1:16" s="290" customFormat="1" ht="11.4">
      <c r="A44" s="420"/>
      <c r="B44" s="235" t="s">
        <v>79</v>
      </c>
      <c r="C44" s="300"/>
      <c r="D44" s="307"/>
      <c r="E44" s="290">
        <v>105.96666666666668</v>
      </c>
      <c r="F44" s="429"/>
      <c r="G44" s="309"/>
      <c r="H44" s="426">
        <v>109.1018099547511</v>
      </c>
      <c r="I44" s="420"/>
      <c r="J44" s="426"/>
      <c r="K44" s="426">
        <v>101</v>
      </c>
      <c r="L44" s="424"/>
      <c r="M44" s="300"/>
      <c r="N44" s="290">
        <v>107.47802197802199</v>
      </c>
      <c r="O44" s="300"/>
    </row>
    <row r="45" spans="1:16" s="290" customFormat="1" ht="11.4">
      <c r="A45" s="420"/>
      <c r="C45" s="66" t="s">
        <v>358</v>
      </c>
      <c r="D45" s="297"/>
      <c r="E45" s="426">
        <v>2.6</v>
      </c>
      <c r="F45" s="299"/>
      <c r="G45" s="309"/>
      <c r="H45" s="426">
        <v>0.4</v>
      </c>
      <c r="I45" s="420"/>
      <c r="J45" s="300"/>
      <c r="K45" s="426">
        <v>0</v>
      </c>
      <c r="L45" s="300"/>
      <c r="N45" s="426">
        <v>1.5</v>
      </c>
    </row>
    <row r="46" spans="1:16" s="290" customFormat="1" ht="11.4">
      <c r="A46" s="420"/>
      <c r="C46" s="66" t="s">
        <v>80</v>
      </c>
      <c r="D46" s="307"/>
      <c r="E46" s="426">
        <v>0</v>
      </c>
      <c r="F46" s="429"/>
      <c r="G46" s="309"/>
      <c r="H46" s="426">
        <v>0</v>
      </c>
      <c r="I46" s="420"/>
      <c r="J46" s="426"/>
      <c r="K46" s="426">
        <v>0</v>
      </c>
      <c r="L46" s="424"/>
      <c r="M46" s="300"/>
      <c r="N46" s="426">
        <v>0</v>
      </c>
      <c r="O46" s="300"/>
    </row>
    <row r="47" spans="1:16" s="290" customFormat="1" ht="11.4">
      <c r="A47" s="420"/>
      <c r="C47" s="235" t="s">
        <v>81</v>
      </c>
      <c r="D47" s="307"/>
      <c r="E47" s="426"/>
      <c r="F47" s="429"/>
      <c r="G47" s="309"/>
      <c r="H47" s="426"/>
      <c r="I47" s="420"/>
      <c r="J47" s="426"/>
      <c r="K47" s="426"/>
      <c r="L47" s="424"/>
      <c r="M47" s="300"/>
      <c r="N47" s="426"/>
      <c r="O47" s="300"/>
    </row>
    <row r="48" spans="1:16" s="290" customFormat="1" ht="11.4">
      <c r="A48" s="420"/>
      <c r="B48" s="420"/>
      <c r="C48" s="235" t="s">
        <v>82</v>
      </c>
      <c r="D48" s="307"/>
      <c r="E48" s="430">
        <v>8.1</v>
      </c>
      <c r="F48" s="429"/>
      <c r="G48" s="309"/>
      <c r="H48" s="426">
        <v>18.100000000000001</v>
      </c>
      <c r="I48" s="420"/>
      <c r="J48" s="426"/>
      <c r="K48" s="426">
        <v>20.9</v>
      </c>
      <c r="L48" s="424"/>
      <c r="M48" s="300"/>
      <c r="N48" s="430">
        <v>13</v>
      </c>
      <c r="O48" s="300"/>
    </row>
    <row r="49" spans="1:19" s="290" customFormat="1" ht="12" thickBot="1">
      <c r="A49" s="420"/>
      <c r="B49" s="67" t="s">
        <v>83</v>
      </c>
      <c r="C49" s="300"/>
      <c r="D49" s="307"/>
      <c r="E49" s="431">
        <v>116.66666666666667</v>
      </c>
      <c r="F49" s="429"/>
      <c r="G49" s="309"/>
      <c r="H49" s="431">
        <v>127.60180995475112</v>
      </c>
      <c r="I49" s="420"/>
      <c r="J49" s="426"/>
      <c r="K49" s="431">
        <v>121.89999999999999</v>
      </c>
      <c r="L49" s="424"/>
      <c r="M49" s="300"/>
      <c r="N49" s="431">
        <v>121.97802197802199</v>
      </c>
      <c r="O49" s="300"/>
    </row>
    <row r="50" spans="1:19" s="290" customFormat="1" ht="12" thickTop="1">
      <c r="A50" s="420"/>
      <c r="B50" s="67"/>
      <c r="C50" s="300"/>
      <c r="D50" s="307"/>
      <c r="E50" s="426"/>
      <c r="F50" s="429"/>
      <c r="G50" s="309"/>
      <c r="H50" s="426"/>
      <c r="I50" s="420"/>
      <c r="J50" s="426"/>
      <c r="K50" s="426"/>
      <c r="L50" s="424"/>
      <c r="M50" s="300"/>
      <c r="N50" s="426"/>
      <c r="O50" s="300"/>
    </row>
    <row r="51" spans="1:19" s="290" customFormat="1" ht="11.4">
      <c r="A51" s="420"/>
      <c r="B51" s="476" t="s">
        <v>84</v>
      </c>
      <c r="C51" s="300"/>
      <c r="D51" s="307"/>
      <c r="E51" s="308">
        <v>892</v>
      </c>
      <c r="F51" s="429"/>
      <c r="G51" s="309"/>
      <c r="H51" s="308">
        <v>849</v>
      </c>
      <c r="I51" s="420"/>
      <c r="J51" s="426"/>
      <c r="K51" s="308">
        <v>786</v>
      </c>
      <c r="L51" s="424"/>
      <c r="M51" s="300"/>
      <c r="N51" s="308">
        <v>892</v>
      </c>
      <c r="O51" s="300"/>
    </row>
    <row r="52" spans="1:19" s="290" customFormat="1" ht="7.5" customHeight="1">
      <c r="A52" s="420"/>
      <c r="B52" s="476"/>
      <c r="C52" s="300"/>
      <c r="D52" s="307"/>
      <c r="E52" s="308"/>
      <c r="F52" s="429"/>
      <c r="G52" s="309"/>
      <c r="H52" s="308"/>
      <c r="I52" s="420"/>
      <c r="J52" s="426"/>
      <c r="K52" s="308"/>
      <c r="L52" s="424"/>
      <c r="M52" s="300"/>
      <c r="N52" s="308"/>
      <c r="O52" s="300"/>
    </row>
    <row r="53" spans="1:19" s="290" customFormat="1" ht="11.4">
      <c r="A53" s="420"/>
      <c r="B53" s="476" t="s">
        <v>143</v>
      </c>
      <c r="C53" s="300"/>
      <c r="D53" s="307"/>
      <c r="E53" s="308">
        <v>490</v>
      </c>
      <c r="F53" s="429"/>
      <c r="G53" s="309"/>
      <c r="H53" s="308">
        <v>508</v>
      </c>
      <c r="I53" s="420"/>
      <c r="J53" s="426"/>
      <c r="K53" s="891" t="s">
        <v>429</v>
      </c>
      <c r="L53" s="424"/>
      <c r="M53" s="300"/>
      <c r="N53" s="308">
        <v>499</v>
      </c>
      <c r="O53" s="300"/>
    </row>
    <row r="54" spans="1:19" s="290" customFormat="1" ht="7.5" customHeight="1">
      <c r="A54" s="420"/>
      <c r="B54" s="67"/>
      <c r="C54" s="300"/>
      <c r="D54" s="307"/>
      <c r="E54" s="426"/>
      <c r="F54" s="429"/>
      <c r="G54" s="309"/>
      <c r="H54" s="426"/>
      <c r="I54" s="420"/>
      <c r="J54" s="426"/>
      <c r="K54" s="426"/>
      <c r="L54" s="424"/>
      <c r="M54" s="300"/>
      <c r="N54" s="426"/>
      <c r="O54" s="300"/>
    </row>
    <row r="55" spans="1:19" s="290" customFormat="1" ht="11.4">
      <c r="A55" s="420"/>
      <c r="B55" s="476" t="s">
        <v>85</v>
      </c>
      <c r="C55" s="300"/>
      <c r="D55" s="307"/>
      <c r="E55" s="426">
        <v>79.7</v>
      </c>
      <c r="F55" s="429"/>
      <c r="G55" s="309"/>
      <c r="H55" s="426">
        <v>78.5</v>
      </c>
      <c r="I55" s="420"/>
      <c r="J55" s="426"/>
      <c r="K55" s="426">
        <v>76.3</v>
      </c>
      <c r="L55" s="424"/>
      <c r="M55" s="300"/>
      <c r="N55" s="426">
        <v>79</v>
      </c>
      <c r="O55" s="300"/>
    </row>
    <row r="56" spans="1:19" s="290" customFormat="1" ht="7.5" customHeight="1">
      <c r="A56" s="420"/>
      <c r="B56" s="475"/>
      <c r="C56" s="300"/>
      <c r="D56" s="307"/>
      <c r="E56" s="426"/>
      <c r="F56" s="429"/>
      <c r="G56" s="309"/>
      <c r="H56" s="426"/>
      <c r="I56" s="420"/>
      <c r="J56" s="426"/>
      <c r="K56" s="426"/>
      <c r="L56" s="424"/>
      <c r="M56" s="300"/>
      <c r="N56" s="426"/>
      <c r="O56" s="300"/>
    </row>
    <row r="57" spans="1:19" s="290" customFormat="1" ht="11.4">
      <c r="A57" s="420"/>
      <c r="B57" s="476" t="s">
        <v>86</v>
      </c>
      <c r="C57" s="300"/>
      <c r="D57" s="307"/>
      <c r="E57" s="426">
        <v>0.58505850585058505</v>
      </c>
      <c r="F57" s="429"/>
      <c r="G57" s="309"/>
      <c r="H57" s="426">
        <v>0.92006033182503777</v>
      </c>
      <c r="I57" s="420"/>
      <c r="J57" s="426"/>
      <c r="K57" s="426">
        <v>0.66626287098728043</v>
      </c>
      <c r="L57" s="424"/>
      <c r="M57" s="300"/>
      <c r="N57" s="426">
        <v>0.75210589651022863</v>
      </c>
      <c r="O57" s="300"/>
    </row>
    <row r="58" spans="1:19" s="290" customFormat="1" ht="7.5" customHeight="1">
      <c r="A58" s="420"/>
      <c r="B58" s="475"/>
      <c r="C58" s="300"/>
      <c r="D58" s="307"/>
      <c r="E58" s="426"/>
      <c r="F58" s="429"/>
      <c r="G58" s="309"/>
      <c r="H58" s="426"/>
      <c r="I58" s="420"/>
      <c r="J58" s="426"/>
      <c r="K58" s="426"/>
      <c r="L58" s="424"/>
      <c r="M58" s="300"/>
      <c r="N58" s="426"/>
      <c r="O58" s="300"/>
    </row>
    <row r="59" spans="1:19" s="290" customFormat="1" ht="11.4">
      <c r="A59" s="420"/>
      <c r="B59" s="476" t="s">
        <v>87</v>
      </c>
      <c r="C59" s="300"/>
      <c r="D59" s="307"/>
      <c r="E59" s="426">
        <v>1.4251425142514251</v>
      </c>
      <c r="F59" s="429"/>
      <c r="G59" s="309"/>
      <c r="H59" s="426">
        <v>1.8250377073906487</v>
      </c>
      <c r="I59" s="420"/>
      <c r="J59" s="426"/>
      <c r="K59" s="426">
        <v>1.3325257419745609</v>
      </c>
      <c r="L59" s="424"/>
      <c r="M59" s="300"/>
      <c r="N59" s="426">
        <v>1.6245487364620936</v>
      </c>
      <c r="O59" s="300"/>
    </row>
    <row r="60" spans="1:19" s="290" customFormat="1" ht="7.5" customHeight="1" thickBot="1">
      <c r="A60" s="420"/>
      <c r="B60" s="420"/>
      <c r="C60" s="66"/>
      <c r="D60" s="432"/>
      <c r="E60" s="433"/>
      <c r="F60" s="456"/>
      <c r="G60" s="309"/>
      <c r="H60" s="426"/>
      <c r="I60" s="420"/>
      <c r="J60" s="426"/>
      <c r="K60" s="426"/>
      <c r="L60" s="424"/>
      <c r="M60" s="300"/>
      <c r="N60" s="426"/>
      <c r="O60" s="300"/>
    </row>
    <row r="61" spans="1:19" s="290" customFormat="1" ht="12">
      <c r="A61" s="419"/>
      <c r="B61" s="420"/>
      <c r="C61" s="434"/>
      <c r="D61" s="437"/>
      <c r="E61" s="436"/>
      <c r="F61" s="436"/>
      <c r="G61" s="438"/>
      <c r="H61" s="439"/>
      <c r="I61" s="439"/>
      <c r="J61" s="435"/>
      <c r="K61" s="436"/>
      <c r="L61" s="436"/>
      <c r="M61" s="300"/>
      <c r="N61" s="300"/>
      <c r="O61" s="300"/>
    </row>
    <row r="62" spans="1:19" ht="15.6">
      <c r="A62" s="881" t="s">
        <v>770</v>
      </c>
      <c r="B62" s="290" t="s">
        <v>88</v>
      </c>
      <c r="J62" s="442"/>
      <c r="K62" s="313"/>
      <c r="L62" s="313"/>
      <c r="S62" s="290"/>
    </row>
    <row r="63" spans="1:19" ht="15.6">
      <c r="A63" s="881" t="s">
        <v>772</v>
      </c>
      <c r="B63" s="11" t="s">
        <v>734</v>
      </c>
      <c r="C63" s="35"/>
      <c r="D63" s="35"/>
      <c r="E63" s="35"/>
      <c r="F63" s="35"/>
      <c r="G63" s="35"/>
      <c r="H63" s="35"/>
      <c r="I63" s="35"/>
      <c r="J63" s="35"/>
      <c r="K63" s="35"/>
      <c r="L63" s="35"/>
      <c r="S63" s="290"/>
    </row>
    <row r="64" spans="1:19">
      <c r="A64" s="928" t="s">
        <v>429</v>
      </c>
      <c r="B64" s="999" t="s">
        <v>42</v>
      </c>
      <c r="C64" s="999"/>
      <c r="D64" s="999"/>
      <c r="E64" s="999"/>
      <c r="F64" s="999"/>
      <c r="G64" s="999"/>
      <c r="H64" s="999"/>
      <c r="I64" s="999"/>
      <c r="J64" s="999"/>
      <c r="K64" s="999"/>
      <c r="L64" s="999"/>
      <c r="M64" s="999"/>
      <c r="N64" s="999"/>
      <c r="O64" s="999"/>
    </row>
    <row r="65" spans="10:12">
      <c r="J65" s="442"/>
      <c r="K65" s="313"/>
      <c r="L65" s="313"/>
    </row>
    <row r="66" spans="10:12">
      <c r="J66" s="442"/>
      <c r="K66" s="313"/>
      <c r="L66" s="313"/>
    </row>
    <row r="67" spans="10:12">
      <c r="J67" s="442"/>
      <c r="K67" s="313"/>
      <c r="L67" s="313"/>
    </row>
    <row r="68" spans="10:12">
      <c r="J68" s="442"/>
      <c r="K68" s="313"/>
      <c r="L68" s="313"/>
    </row>
    <row r="69" spans="10:12">
      <c r="J69" s="442"/>
      <c r="K69" s="313"/>
      <c r="L69" s="313"/>
    </row>
    <row r="70" spans="10:12">
      <c r="J70" s="442"/>
      <c r="K70" s="313"/>
      <c r="L70" s="313"/>
    </row>
    <row r="71" spans="10:12">
      <c r="J71" s="442"/>
      <c r="K71" s="313"/>
      <c r="L71" s="313"/>
    </row>
    <row r="72" spans="10:12">
      <c r="J72" s="442"/>
      <c r="K72" s="313"/>
      <c r="L72" s="313"/>
    </row>
    <row r="73" spans="10:12">
      <c r="J73" s="442"/>
      <c r="K73" s="313"/>
      <c r="L73" s="313"/>
    </row>
    <row r="74" spans="10:12">
      <c r="J74" s="442"/>
      <c r="K74" s="313"/>
      <c r="L74" s="313"/>
    </row>
    <row r="75" spans="10:12">
      <c r="J75" s="442"/>
      <c r="K75" s="313"/>
      <c r="L75" s="313"/>
    </row>
    <row r="76" spans="10:12">
      <c r="J76" s="442"/>
      <c r="K76" s="313"/>
      <c r="L76" s="313"/>
    </row>
    <row r="77" spans="10:12">
      <c r="J77" s="442"/>
      <c r="K77" s="313"/>
      <c r="L77" s="313"/>
    </row>
    <row r="78" spans="10:12">
      <c r="J78" s="442"/>
      <c r="K78" s="313"/>
      <c r="L78" s="313"/>
    </row>
    <row r="79" spans="10:12">
      <c r="J79" s="442"/>
      <c r="K79" s="313"/>
      <c r="L79" s="313"/>
    </row>
    <row r="80" spans="10:12">
      <c r="J80" s="442"/>
      <c r="K80" s="313"/>
      <c r="L80" s="313"/>
    </row>
    <row r="81" spans="10:12">
      <c r="J81" s="442"/>
      <c r="K81" s="313"/>
      <c r="L81" s="313"/>
    </row>
    <row r="82" spans="10:12">
      <c r="J82" s="442"/>
      <c r="K82" s="313"/>
      <c r="L82" s="313"/>
    </row>
    <row r="83" spans="10:12">
      <c r="J83" s="442"/>
      <c r="K83" s="313"/>
      <c r="L83" s="313"/>
    </row>
    <row r="84" spans="10:12">
      <c r="J84" s="442"/>
      <c r="K84" s="313"/>
      <c r="L84" s="313"/>
    </row>
    <row r="85" spans="10:12">
      <c r="J85" s="442"/>
      <c r="K85" s="313"/>
      <c r="L85" s="313"/>
    </row>
  </sheetData>
  <mergeCells count="4">
    <mergeCell ref="B64:O64"/>
    <mergeCell ref="A1:O1"/>
    <mergeCell ref="A2:O2"/>
    <mergeCell ref="D5:K5"/>
  </mergeCells>
  <phoneticPr fontId="24" type="noConversion"/>
  <printOptions horizontalCentered="1"/>
  <pageMargins left="0.7" right="0.7" top="0.5" bottom="0.5" header="0.3" footer="0.3"/>
  <pageSetup scale="74" orientation="landscape" r:id="rId1"/>
  <headerFooter>
    <oddFooter>&amp;R&amp;A</oddFooter>
  </headerFooter>
  <ignoredErrors>
    <ignoredError sqref="A62:A63" numberStoredAsText="1"/>
  </ignoredErrors>
</worksheet>
</file>

<file path=xl/worksheets/sheet27.xml><?xml version="1.0" encoding="utf-8"?>
<worksheet xmlns="http://schemas.openxmlformats.org/spreadsheetml/2006/main" xmlns:r="http://schemas.openxmlformats.org/officeDocument/2006/relationships">
  <dimension ref="A1:Y27"/>
  <sheetViews>
    <sheetView zoomScale="75" zoomScaleNormal="75" workbookViewId="0">
      <selection sqref="A1:Q1"/>
    </sheetView>
  </sheetViews>
  <sheetFormatPr defaultColWidth="9.109375" defaultRowHeight="11.4"/>
  <cols>
    <col min="1" max="1" width="39.33203125" style="486" customWidth="1"/>
    <col min="2" max="2" width="2.44140625" style="486" customWidth="1"/>
    <col min="3" max="3" width="11.109375" style="489" customWidth="1"/>
    <col min="4" max="4" width="2.44140625" style="489" customWidth="1"/>
    <col min="5" max="5" width="11.109375" style="489" customWidth="1"/>
    <col min="6" max="6" width="2.44140625" style="489" customWidth="1"/>
    <col min="7" max="7" width="11.109375" style="489" customWidth="1"/>
    <col min="8" max="8" width="2.44140625" style="489" customWidth="1"/>
    <col min="9" max="9" width="11.109375" style="489" customWidth="1"/>
    <col min="10" max="10" width="2.44140625" style="489" customWidth="1"/>
    <col min="11" max="11" width="11.109375" style="489" customWidth="1"/>
    <col min="12" max="12" width="2.44140625" style="489" customWidth="1"/>
    <col min="13" max="13" width="11.109375" style="489" customWidth="1"/>
    <col min="14" max="14" width="2.44140625" style="489" customWidth="1"/>
    <col min="15" max="15" width="11.109375" style="489" customWidth="1"/>
    <col min="16" max="16" width="2.44140625" style="489" customWidth="1"/>
    <col min="17" max="17" width="11.109375" style="489" customWidth="1"/>
    <col min="18" max="18" width="2.44140625" style="489" customWidth="1"/>
    <col min="19" max="19" width="11.109375" style="489" customWidth="1"/>
    <col min="20" max="20" width="2.44140625" style="489" customWidth="1"/>
    <col min="21" max="21" width="11" style="489" customWidth="1"/>
    <col min="22" max="22" width="2.44140625" style="486" customWidth="1"/>
    <col min="23" max="23" width="11.109375" style="486" customWidth="1"/>
    <col min="24" max="16384" width="9.109375" style="486"/>
  </cols>
  <sheetData>
    <row r="1" spans="1:23" ht="13.2">
      <c r="A1" s="1019" t="s">
        <v>96</v>
      </c>
      <c r="B1" s="1019"/>
      <c r="C1" s="1019"/>
      <c r="D1" s="1019"/>
      <c r="E1" s="1019"/>
      <c r="F1" s="1019"/>
      <c r="G1" s="1019"/>
      <c r="H1" s="1019"/>
      <c r="I1" s="1019"/>
      <c r="J1" s="1019"/>
      <c r="K1" s="1019"/>
      <c r="L1" s="1019"/>
      <c r="M1" s="1019"/>
      <c r="N1" s="1019"/>
      <c r="O1" s="1019"/>
      <c r="P1" s="1019"/>
      <c r="Q1" s="1019"/>
      <c r="R1" s="906"/>
      <c r="S1" s="906"/>
      <c r="T1" s="906"/>
      <c r="U1" s="906"/>
      <c r="V1" s="906"/>
      <c r="W1" s="906"/>
    </row>
    <row r="2" spans="1:23" ht="14.4">
      <c r="A2" s="1019" t="s">
        <v>1026</v>
      </c>
      <c r="B2" s="1019"/>
      <c r="C2" s="1019"/>
      <c r="D2" s="1019"/>
      <c r="E2" s="1019"/>
      <c r="F2" s="1019"/>
      <c r="G2" s="1019"/>
      <c r="H2" s="1019"/>
      <c r="I2" s="1019"/>
      <c r="J2" s="1019"/>
      <c r="K2" s="1019"/>
      <c r="L2" s="1019"/>
      <c r="M2" s="1019"/>
      <c r="N2" s="1019"/>
      <c r="O2" s="1019"/>
      <c r="P2" s="1019"/>
      <c r="Q2" s="1019"/>
      <c r="R2" s="662"/>
      <c r="S2" s="662"/>
      <c r="T2" s="662"/>
      <c r="U2" s="662"/>
      <c r="V2" s="662"/>
      <c r="W2" s="662"/>
    </row>
    <row r="3" spans="1:23" ht="14.4">
      <c r="A3" s="1020" t="s">
        <v>800</v>
      </c>
      <c r="B3" s="1020"/>
      <c r="C3" s="1020"/>
      <c r="D3" s="1020"/>
      <c r="E3" s="1020"/>
      <c r="F3" s="1020"/>
      <c r="G3" s="1020"/>
      <c r="H3" s="1020"/>
      <c r="I3" s="1020"/>
      <c r="J3" s="1020"/>
      <c r="K3" s="1020"/>
      <c r="L3" s="1020"/>
      <c r="M3" s="1020"/>
      <c r="N3" s="1020"/>
      <c r="O3" s="1020"/>
      <c r="P3" s="1020"/>
      <c r="Q3" s="1020"/>
      <c r="R3" s="662"/>
      <c r="S3" s="662"/>
      <c r="T3" s="662"/>
      <c r="U3" s="662"/>
      <c r="V3" s="662"/>
      <c r="W3" s="662"/>
    </row>
    <row r="4" spans="1:23" ht="12">
      <c r="A4" s="487"/>
      <c r="B4" s="487"/>
      <c r="C4" s="488"/>
      <c r="D4" s="488"/>
      <c r="E4" s="488"/>
      <c r="F4" s="488"/>
      <c r="G4" s="488"/>
      <c r="H4" s="488"/>
      <c r="I4" s="488"/>
      <c r="J4" s="488"/>
      <c r="K4" s="488"/>
      <c r="L4" s="488"/>
      <c r="M4" s="488"/>
      <c r="N4" s="488"/>
      <c r="O4" s="488"/>
      <c r="P4" s="488"/>
      <c r="Q4" s="488"/>
    </row>
    <row r="5" spans="1:23">
      <c r="C5" s="1021" t="s">
        <v>1145</v>
      </c>
      <c r="D5" s="1022"/>
      <c r="E5" s="1022"/>
      <c r="F5" s="1022"/>
      <c r="G5" s="1022"/>
      <c r="H5" s="1022"/>
      <c r="I5" s="1022"/>
      <c r="J5" s="1022"/>
      <c r="K5" s="1022"/>
      <c r="L5" s="1022"/>
      <c r="M5" s="1022"/>
      <c r="N5" s="1022"/>
      <c r="O5" s="1022"/>
      <c r="P5" s="1022"/>
      <c r="Q5" s="1022"/>
    </row>
    <row r="6" spans="1:23">
      <c r="N6" s="490"/>
    </row>
    <row r="7" spans="1:23" ht="13.2">
      <c r="C7" s="490"/>
      <c r="E7" s="490"/>
      <c r="I7" s="490"/>
      <c r="J7" s="490"/>
      <c r="K7" s="490"/>
      <c r="M7" s="490"/>
      <c r="N7" s="490"/>
      <c r="O7" s="1022" t="s">
        <v>44</v>
      </c>
      <c r="P7" s="1022"/>
      <c r="Q7" s="1022"/>
    </row>
    <row r="8" spans="1:23">
      <c r="C8" s="491"/>
      <c r="D8" s="491"/>
      <c r="E8" s="491"/>
      <c r="F8" s="491"/>
      <c r="G8" s="491"/>
      <c r="H8" s="491"/>
      <c r="I8" s="491"/>
      <c r="J8" s="491"/>
      <c r="K8" s="491"/>
      <c r="L8" s="491"/>
      <c r="M8" s="491"/>
      <c r="N8" s="490"/>
      <c r="O8" s="491"/>
      <c r="P8" s="491"/>
      <c r="Q8" s="492" t="s">
        <v>1027</v>
      </c>
    </row>
    <row r="9" spans="1:23">
      <c r="C9" s="491"/>
      <c r="D9" s="491"/>
      <c r="E9" s="491"/>
      <c r="F9" s="491"/>
      <c r="G9" s="491"/>
      <c r="H9" s="491"/>
      <c r="I9" s="491"/>
      <c r="J9" s="491"/>
      <c r="K9" s="491" t="s">
        <v>255</v>
      </c>
      <c r="L9" s="491"/>
      <c r="M9" s="491"/>
      <c r="N9" s="490"/>
      <c r="O9" s="491"/>
      <c r="P9" s="491"/>
      <c r="Q9" s="492" t="s">
        <v>1028</v>
      </c>
    </row>
    <row r="10" spans="1:23">
      <c r="C10" s="490" t="s">
        <v>1029</v>
      </c>
      <c r="E10" s="490" t="s">
        <v>376</v>
      </c>
      <c r="I10" s="490" t="s">
        <v>1030</v>
      </c>
      <c r="J10" s="490"/>
      <c r="K10" s="490" t="s">
        <v>1031</v>
      </c>
      <c r="M10" s="490" t="s">
        <v>414</v>
      </c>
      <c r="N10" s="490"/>
      <c r="O10" s="490" t="s">
        <v>414</v>
      </c>
      <c r="P10" s="491"/>
      <c r="Q10" s="492" t="s">
        <v>1032</v>
      </c>
    </row>
    <row r="11" spans="1:23" ht="15.6">
      <c r="A11" s="493" t="s">
        <v>1033</v>
      </c>
      <c r="C11" s="494" t="s">
        <v>1034</v>
      </c>
      <c r="E11" s="494" t="s">
        <v>1035</v>
      </c>
      <c r="G11" s="494" t="s">
        <v>1036</v>
      </c>
      <c r="I11" s="494" t="s">
        <v>1035</v>
      </c>
      <c r="J11" s="491"/>
      <c r="K11" s="494" t="s">
        <v>1037</v>
      </c>
      <c r="M11" s="494" t="s">
        <v>1038</v>
      </c>
      <c r="O11" s="494" t="s">
        <v>416</v>
      </c>
      <c r="Q11" s="13" t="s">
        <v>1039</v>
      </c>
    </row>
    <row r="13" spans="1:23">
      <c r="A13" s="486" t="s">
        <v>1040</v>
      </c>
      <c r="B13" s="495" t="s">
        <v>108</v>
      </c>
      <c r="C13" s="496">
        <v>56</v>
      </c>
      <c r="D13" s="497" t="s">
        <v>108</v>
      </c>
      <c r="E13" s="496">
        <v>32</v>
      </c>
      <c r="G13" s="498">
        <v>0.5714285714285714</v>
      </c>
      <c r="H13" s="497" t="s">
        <v>108</v>
      </c>
      <c r="I13" s="496">
        <v>-6</v>
      </c>
      <c r="K13" s="498">
        <v>-0.10714285714285714</v>
      </c>
      <c r="O13" s="499"/>
      <c r="P13" s="500"/>
      <c r="Q13" s="501"/>
    </row>
    <row r="14" spans="1:23">
      <c r="A14" s="486" t="s">
        <v>1041</v>
      </c>
      <c r="C14" s="502">
        <v>1620</v>
      </c>
      <c r="E14" s="502">
        <v>941</v>
      </c>
      <c r="G14" s="498">
        <v>0.58086419753086416</v>
      </c>
      <c r="I14" s="502">
        <v>313</v>
      </c>
      <c r="K14" s="498">
        <v>0.19320987654320987</v>
      </c>
      <c r="O14" s="499"/>
      <c r="P14" s="500"/>
      <c r="Q14" s="501"/>
    </row>
    <row r="15" spans="1:23" ht="15.6">
      <c r="A15" s="486" t="s">
        <v>1042</v>
      </c>
      <c r="C15" s="496">
        <v>1676</v>
      </c>
      <c r="E15" s="496">
        <v>973</v>
      </c>
      <c r="G15" s="498">
        <v>0.58054892601431984</v>
      </c>
      <c r="I15" s="496">
        <v>307</v>
      </c>
      <c r="J15" s="496"/>
      <c r="K15" s="498">
        <v>0.18317422434367542</v>
      </c>
      <c r="M15" s="496"/>
      <c r="O15" s="496">
        <v>16</v>
      </c>
      <c r="Q15" s="503">
        <v>8.8999999999999996E-2</v>
      </c>
    </row>
    <row r="16" spans="1:23">
      <c r="A16" s="504" t="s">
        <v>1043</v>
      </c>
      <c r="B16" s="495"/>
      <c r="C16" s="502">
        <v>1476</v>
      </c>
      <c r="D16" s="497"/>
      <c r="E16" s="502">
        <v>1194</v>
      </c>
      <c r="G16" s="498">
        <v>0.80894308943089432</v>
      </c>
      <c r="H16" s="497"/>
      <c r="I16" s="502">
        <v>496</v>
      </c>
      <c r="J16" s="142"/>
      <c r="K16" s="498">
        <v>0.33604336043360433</v>
      </c>
      <c r="M16" s="499"/>
      <c r="O16" s="502">
        <v>15</v>
      </c>
      <c r="Q16" s="503">
        <v>7.4999999999999997E-2</v>
      </c>
    </row>
    <row r="17" spans="1:25">
      <c r="B17" s="495"/>
      <c r="C17" s="499"/>
      <c r="D17" s="497"/>
      <c r="E17" s="499"/>
      <c r="F17" s="500"/>
      <c r="G17" s="505"/>
      <c r="H17" s="497"/>
      <c r="I17" s="499"/>
      <c r="J17" s="142"/>
      <c r="K17" s="142"/>
      <c r="L17" s="500"/>
      <c r="M17" s="499"/>
      <c r="N17" s="500"/>
      <c r="O17" s="499"/>
      <c r="P17" s="500"/>
      <c r="Q17" s="503"/>
    </row>
    <row r="18" spans="1:25" ht="12" thickBot="1">
      <c r="A18" s="486" t="s">
        <v>1044</v>
      </c>
      <c r="B18" s="495" t="s">
        <v>108</v>
      </c>
      <c r="C18" s="506">
        <v>3152</v>
      </c>
      <c r="D18" s="497" t="s">
        <v>108</v>
      </c>
      <c r="E18" s="506">
        <v>2167</v>
      </c>
      <c r="G18" s="498">
        <v>0.6875</v>
      </c>
      <c r="H18" s="497" t="s">
        <v>108</v>
      </c>
      <c r="I18" s="506">
        <v>803</v>
      </c>
      <c r="J18" s="507"/>
      <c r="K18" s="498">
        <v>0.25475888324873097</v>
      </c>
      <c r="M18" s="506">
        <v>45</v>
      </c>
      <c r="O18" s="506">
        <v>31</v>
      </c>
      <c r="Q18" s="503">
        <v>8.4000000000000005E-2</v>
      </c>
    </row>
    <row r="19" spans="1:25" ht="12" thickTop="1">
      <c r="B19" s="495"/>
      <c r="C19" s="499"/>
      <c r="D19" s="497"/>
      <c r="E19" s="499"/>
      <c r="G19" s="505"/>
      <c r="H19" s="497"/>
      <c r="I19" s="508"/>
      <c r="J19" s="507"/>
      <c r="K19" s="509"/>
      <c r="M19" s="499"/>
      <c r="O19" s="499"/>
      <c r="Q19" s="505"/>
      <c r="V19" s="504"/>
      <c r="W19" s="504"/>
    </row>
    <row r="20" spans="1:25">
      <c r="B20" s="495"/>
      <c r="C20" s="121"/>
      <c r="D20" s="497"/>
      <c r="E20" s="121"/>
      <c r="G20" s="505"/>
      <c r="H20" s="497"/>
      <c r="I20" s="121"/>
      <c r="J20" s="507"/>
      <c r="K20" s="498"/>
      <c r="M20" s="499"/>
      <c r="O20" s="510"/>
      <c r="P20" s="510"/>
      <c r="Q20" s="510"/>
      <c r="R20" s="500"/>
      <c r="S20" s="505"/>
      <c r="T20" s="500"/>
      <c r="U20" s="507"/>
      <c r="V20" s="511"/>
      <c r="W20" s="512"/>
    </row>
    <row r="21" spans="1:25" customFormat="1" ht="16.2">
      <c r="A21" s="513" t="s">
        <v>1045</v>
      </c>
      <c r="B21" s="489"/>
      <c r="C21" s="489"/>
      <c r="D21" s="489"/>
      <c r="E21" s="489"/>
      <c r="F21" s="489"/>
      <c r="G21" s="489"/>
      <c r="H21" s="489"/>
      <c r="I21" s="489"/>
      <c r="J21" s="489"/>
      <c r="K21" s="489"/>
      <c r="L21" s="489"/>
      <c r="M21" s="489"/>
      <c r="N21" s="489"/>
      <c r="O21" s="489"/>
      <c r="P21" s="489"/>
      <c r="Q21" s="489"/>
      <c r="R21" s="489"/>
      <c r="S21" s="489"/>
      <c r="T21" s="489"/>
      <c r="U21" s="489"/>
      <c r="V21" s="486"/>
      <c r="W21" s="486"/>
      <c r="Y21" s="486"/>
    </row>
    <row r="22" spans="1:25" customFormat="1" ht="63" customHeight="1">
      <c r="A22" s="1023" t="s">
        <v>55</v>
      </c>
      <c r="B22" s="1023"/>
      <c r="C22" s="1023"/>
      <c r="D22" s="1023"/>
      <c r="E22" s="1023"/>
      <c r="F22" s="1023"/>
      <c r="G22" s="1023"/>
      <c r="H22" s="1023"/>
      <c r="I22" s="1023"/>
      <c r="J22" s="1023"/>
      <c r="K22" s="1023"/>
      <c r="L22" s="1023"/>
      <c r="M22" s="1023"/>
      <c r="N22" s="1023"/>
      <c r="O22" s="1023"/>
      <c r="P22" s="1023"/>
      <c r="Q22" s="1023"/>
      <c r="R22" s="911"/>
      <c r="S22" s="911"/>
      <c r="T22" s="911"/>
      <c r="U22" s="911"/>
      <c r="V22" s="911"/>
      <c r="W22" s="911"/>
      <c r="Y22" s="486"/>
    </row>
    <row r="23" spans="1:25" customFormat="1" ht="16.2">
      <c r="A23" s="514" t="s">
        <v>1046</v>
      </c>
      <c r="B23" s="515"/>
      <c r="C23" s="515"/>
      <c r="D23" s="515"/>
      <c r="E23" s="515"/>
      <c r="F23" s="515"/>
      <c r="G23" s="515"/>
      <c r="H23" s="515"/>
      <c r="I23" s="515"/>
      <c r="J23" s="515"/>
      <c r="K23" s="515"/>
      <c r="L23" s="515"/>
      <c r="M23" s="515"/>
      <c r="N23" s="515"/>
      <c r="O23" s="515"/>
      <c r="P23" s="515"/>
      <c r="Q23" s="515"/>
      <c r="R23" s="516"/>
      <c r="S23" s="516"/>
      <c r="T23" s="516"/>
      <c r="U23" s="516"/>
      <c r="V23" s="517"/>
      <c r="W23" s="517"/>
    </row>
    <row r="24" spans="1:25" customFormat="1" ht="26.25" customHeight="1">
      <c r="A24" s="1023" t="s">
        <v>1047</v>
      </c>
      <c r="B24" s="1023"/>
      <c r="C24" s="1023"/>
      <c r="D24" s="1023"/>
      <c r="E24" s="1023"/>
      <c r="F24" s="1023"/>
      <c r="G24" s="1023"/>
      <c r="H24" s="1023"/>
      <c r="I24" s="1023"/>
      <c r="J24" s="1023"/>
      <c r="K24" s="1023"/>
      <c r="L24" s="1023"/>
      <c r="M24" s="1023"/>
      <c r="N24" s="1023"/>
      <c r="O24" s="1023"/>
      <c r="P24" s="1023"/>
      <c r="Q24" s="1023"/>
      <c r="R24" s="911"/>
      <c r="S24" s="911"/>
      <c r="T24" s="911"/>
      <c r="U24" s="911"/>
      <c r="V24" s="911"/>
      <c r="W24" s="911"/>
    </row>
    <row r="25" spans="1:25" ht="15.6">
      <c r="A25" s="514" t="s">
        <v>43</v>
      </c>
      <c r="B25" s="515"/>
      <c r="C25" s="515"/>
      <c r="D25" s="515"/>
      <c r="E25" s="515"/>
      <c r="F25" s="515"/>
      <c r="G25" s="515"/>
      <c r="H25" s="515"/>
      <c r="I25" s="515"/>
      <c r="J25" s="515"/>
      <c r="K25" s="515"/>
      <c r="L25" s="515"/>
      <c r="M25" s="515"/>
      <c r="N25" s="515"/>
      <c r="O25" s="515"/>
      <c r="P25" s="515"/>
      <c r="Q25" s="515"/>
      <c r="R25" s="515"/>
      <c r="S25" s="515"/>
      <c r="T25" s="515"/>
      <c r="U25" s="515"/>
      <c r="V25" s="906"/>
      <c r="W25" s="906"/>
    </row>
    <row r="26" spans="1:25" ht="15" customHeight="1">
      <c r="A26" s="973" t="s">
        <v>1048</v>
      </c>
      <c r="B26" s="973"/>
      <c r="C26" s="973"/>
      <c r="D26" s="973"/>
      <c r="E26" s="973"/>
      <c r="F26" s="973"/>
      <c r="G26" s="973"/>
      <c r="H26" s="973"/>
      <c r="I26" s="973"/>
      <c r="J26" s="973"/>
      <c r="K26" s="973"/>
      <c r="L26" s="973"/>
      <c r="M26" s="973"/>
      <c r="N26" s="973"/>
      <c r="O26" s="973"/>
      <c r="P26" s="973"/>
      <c r="Q26" s="973"/>
      <c r="R26" s="907"/>
      <c r="S26" s="907"/>
      <c r="T26" s="907"/>
      <c r="U26" s="907"/>
      <c r="V26" s="518"/>
      <c r="W26" s="518"/>
    </row>
    <row r="27" spans="1:25" ht="13.2">
      <c r="A27" s="200"/>
    </row>
  </sheetData>
  <mergeCells count="8">
    <mergeCell ref="A1:Q1"/>
    <mergeCell ref="A3:Q3"/>
    <mergeCell ref="C5:Q5"/>
    <mergeCell ref="O7:Q7"/>
    <mergeCell ref="A24:Q24"/>
    <mergeCell ref="A26:Q26"/>
    <mergeCell ref="A22:Q22"/>
    <mergeCell ref="A2:Q2"/>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28.xml><?xml version="1.0" encoding="utf-8"?>
<worksheet xmlns="http://schemas.openxmlformats.org/spreadsheetml/2006/main" xmlns:r="http://schemas.openxmlformats.org/officeDocument/2006/relationships">
  <sheetPr enableFormatConditionsCalculation="0">
    <pageSetUpPr fitToPage="1"/>
  </sheetPr>
  <dimension ref="A1:V65"/>
  <sheetViews>
    <sheetView zoomScale="75" zoomScaleNormal="75" workbookViewId="0">
      <selection activeCell="B64" sqref="B64:V64"/>
    </sheetView>
  </sheetViews>
  <sheetFormatPr defaultColWidth="9.109375" defaultRowHeight="10.199999999999999"/>
  <cols>
    <col min="1" max="1" width="3.33203125" style="202" customWidth="1"/>
    <col min="2" max="2" width="2.44140625" style="202" customWidth="1"/>
    <col min="3" max="4" width="9.33203125" style="519" customWidth="1"/>
    <col min="5" max="5" width="9.33203125" style="202" customWidth="1"/>
    <col min="6" max="6" width="1.5546875" style="202" customWidth="1"/>
    <col min="7" max="7" width="9.33203125" style="202" customWidth="1"/>
    <col min="8" max="8" width="1.5546875" style="202" customWidth="1"/>
    <col min="9" max="9" width="9.33203125" style="202" customWidth="1"/>
    <col min="10" max="10" width="1.5546875" style="202" customWidth="1"/>
    <col min="11" max="11" width="9.33203125" style="202" customWidth="1"/>
    <col min="12" max="12" width="1.5546875" style="202" customWidth="1"/>
    <col min="13" max="13" width="9.33203125" style="202" customWidth="1"/>
    <col min="14" max="15" width="2.44140625" style="202" customWidth="1"/>
    <col min="16" max="16" width="10.5546875" style="202" customWidth="1"/>
    <col min="17" max="17" width="2.44140625" style="202" customWidth="1"/>
    <col min="18" max="18" width="10.5546875" style="202" customWidth="1"/>
    <col min="19" max="19" width="3.6640625" style="202" customWidth="1"/>
    <col min="20" max="20" width="11.6640625" style="202" customWidth="1"/>
    <col min="21" max="21" width="2.44140625" style="202" customWidth="1"/>
    <col min="22" max="22" width="12.6640625" style="202" customWidth="1"/>
    <col min="23" max="16384" width="9.109375" style="202"/>
  </cols>
  <sheetData>
    <row r="1" spans="1:22" ht="13.2">
      <c r="A1" s="1009" t="s">
        <v>96</v>
      </c>
      <c r="B1" s="1009"/>
      <c r="C1" s="1009"/>
      <c r="D1" s="1009"/>
      <c r="E1" s="1009"/>
      <c r="F1" s="1009"/>
      <c r="G1" s="1009"/>
      <c r="H1" s="1009"/>
      <c r="I1" s="1009"/>
      <c r="J1" s="1009"/>
      <c r="K1" s="1009"/>
      <c r="L1" s="1009"/>
      <c r="M1" s="1009"/>
      <c r="N1" s="1009"/>
      <c r="O1" s="1009"/>
      <c r="P1" s="1009"/>
      <c r="Q1" s="1009"/>
      <c r="R1" s="1009"/>
      <c r="S1" s="1009"/>
      <c r="T1" s="1009"/>
      <c r="U1" s="1009"/>
      <c r="V1" s="1009"/>
    </row>
    <row r="2" spans="1:22" ht="13.2">
      <c r="A2" s="1009" t="s">
        <v>412</v>
      </c>
      <c r="B2" s="1009"/>
      <c r="C2" s="1009"/>
      <c r="D2" s="1009"/>
      <c r="E2" s="1009"/>
      <c r="F2" s="1009"/>
      <c r="G2" s="1009"/>
      <c r="H2" s="1009"/>
      <c r="I2" s="1009"/>
      <c r="J2" s="1009"/>
      <c r="K2" s="1009"/>
      <c r="L2" s="1009"/>
      <c r="M2" s="1009"/>
      <c r="N2" s="1009"/>
      <c r="O2" s="1009"/>
      <c r="P2" s="1009"/>
      <c r="Q2" s="1009"/>
      <c r="R2" s="1009"/>
      <c r="S2" s="1009"/>
      <c r="T2" s="1009"/>
      <c r="U2" s="1009"/>
      <c r="V2" s="1009"/>
    </row>
    <row r="3" spans="1:22" ht="13.2">
      <c r="A3" s="1009" t="s">
        <v>1049</v>
      </c>
      <c r="B3" s="1009"/>
      <c r="C3" s="1009"/>
      <c r="D3" s="1009"/>
      <c r="E3" s="1009"/>
      <c r="F3" s="1009"/>
      <c r="G3" s="1009"/>
      <c r="H3" s="1009"/>
      <c r="I3" s="1009"/>
      <c r="J3" s="1009"/>
      <c r="K3" s="1009"/>
      <c r="L3" s="1009"/>
      <c r="M3" s="1009"/>
      <c r="N3" s="1009"/>
      <c r="O3" s="1009"/>
      <c r="P3" s="1009"/>
      <c r="Q3" s="1009"/>
      <c r="R3" s="1009"/>
      <c r="S3" s="1009"/>
      <c r="T3" s="1009"/>
      <c r="U3" s="1009"/>
      <c r="V3" s="1009"/>
    </row>
    <row r="4" spans="1:22" ht="12.75" customHeight="1">
      <c r="A4" s="1025" t="s">
        <v>300</v>
      </c>
      <c r="B4" s="1025"/>
      <c r="C4" s="1025"/>
      <c r="D4" s="1025"/>
      <c r="E4" s="1025"/>
      <c r="F4" s="1025"/>
      <c r="G4" s="1025"/>
      <c r="H4" s="1025"/>
      <c r="I4" s="1025"/>
      <c r="J4" s="1025"/>
      <c r="K4" s="1025"/>
      <c r="L4" s="1025"/>
      <c r="M4" s="1025"/>
      <c r="N4" s="1025"/>
      <c r="O4" s="1025"/>
      <c r="P4" s="1025"/>
      <c r="Q4" s="1025"/>
      <c r="R4" s="1025"/>
      <c r="S4" s="1025"/>
      <c r="T4" s="1025"/>
      <c r="U4" s="1025"/>
      <c r="V4" s="1025"/>
    </row>
    <row r="5" spans="1:22" ht="12.75" customHeight="1">
      <c r="A5" s="201"/>
      <c r="B5" s="201"/>
      <c r="C5" s="201"/>
      <c r="D5" s="201"/>
      <c r="E5" s="201"/>
      <c r="F5" s="201"/>
      <c r="G5" s="201"/>
      <c r="H5" s="201"/>
      <c r="I5" s="201"/>
      <c r="J5" s="201"/>
      <c r="K5" s="201"/>
      <c r="L5" s="201"/>
      <c r="M5" s="201"/>
      <c r="N5" s="201"/>
      <c r="O5" s="201"/>
      <c r="P5" s="201"/>
      <c r="Q5" s="201"/>
      <c r="R5" s="201"/>
      <c r="T5" s="1024" t="s">
        <v>1050</v>
      </c>
      <c r="U5" s="1024"/>
      <c r="V5" s="1024"/>
    </row>
    <row r="6" spans="1:22" ht="12.75" customHeight="1">
      <c r="A6" s="201"/>
      <c r="B6" s="201"/>
      <c r="C6" s="201"/>
      <c r="D6" s="201"/>
      <c r="E6" s="201"/>
      <c r="F6" s="201"/>
      <c r="G6" s="201"/>
      <c r="H6" s="201"/>
      <c r="I6" s="201"/>
      <c r="J6" s="201"/>
      <c r="K6" s="201"/>
      <c r="L6" s="201"/>
      <c r="M6" s="201"/>
      <c r="N6" s="201"/>
      <c r="O6" s="201"/>
      <c r="P6" s="201"/>
      <c r="Q6" s="201"/>
      <c r="R6" s="201"/>
      <c r="T6" s="1024" t="s">
        <v>1051</v>
      </c>
      <c r="U6" s="1024"/>
      <c r="V6" s="1024"/>
    </row>
    <row r="7" spans="1:22" ht="11.4">
      <c r="T7" s="990" t="s">
        <v>1052</v>
      </c>
      <c r="U7" s="990"/>
      <c r="V7" s="990"/>
    </row>
    <row r="8" spans="1:22" ht="11.4">
      <c r="C8" s="215"/>
      <c r="D8" s="215"/>
      <c r="E8" s="1024" t="s">
        <v>1053</v>
      </c>
      <c r="F8" s="1024"/>
      <c r="G8" s="1024"/>
      <c r="H8" s="1024"/>
      <c r="I8" s="1024"/>
      <c r="J8" s="1024"/>
      <c r="K8" s="1024"/>
      <c r="L8" s="1024"/>
      <c r="M8" s="1024"/>
      <c r="N8" s="381"/>
      <c r="O8" s="381"/>
      <c r="P8" s="381" t="s">
        <v>402</v>
      </c>
      <c r="Q8" s="204"/>
      <c r="R8" s="208" t="s">
        <v>1044</v>
      </c>
      <c r="T8" s="208" t="s">
        <v>1044</v>
      </c>
      <c r="U8" s="204"/>
      <c r="V8" s="381" t="s">
        <v>1054</v>
      </c>
    </row>
    <row r="9" spans="1:22" ht="11.4">
      <c r="C9" s="215"/>
      <c r="D9" s="215"/>
      <c r="E9" s="990" t="s">
        <v>383</v>
      </c>
      <c r="F9" s="990"/>
      <c r="G9" s="990"/>
      <c r="H9" s="990"/>
      <c r="I9" s="990"/>
      <c r="J9" s="990"/>
      <c r="K9" s="990"/>
      <c r="L9" s="990"/>
      <c r="M9" s="990"/>
      <c r="N9" s="208"/>
      <c r="O9" s="208"/>
      <c r="P9" s="208" t="s">
        <v>406</v>
      </c>
      <c r="Q9" s="204"/>
      <c r="R9" s="208" t="s">
        <v>1055</v>
      </c>
      <c r="T9" s="208" t="s">
        <v>1055</v>
      </c>
      <c r="U9" s="220"/>
      <c r="V9" s="381" t="s">
        <v>801</v>
      </c>
    </row>
    <row r="10" spans="1:22" ht="11.4">
      <c r="C10" s="215"/>
      <c r="D10" s="215"/>
      <c r="E10" s="205" t="s">
        <v>1056</v>
      </c>
      <c r="F10" s="381"/>
      <c r="G10" s="205" t="s">
        <v>1057</v>
      </c>
      <c r="H10" s="381"/>
      <c r="I10" s="205" t="s">
        <v>1058</v>
      </c>
      <c r="J10" s="381"/>
      <c r="K10" s="205" t="s">
        <v>1059</v>
      </c>
      <c r="L10" s="208"/>
      <c r="M10" s="205" t="s">
        <v>1060</v>
      </c>
      <c r="N10" s="208"/>
      <c r="O10" s="208"/>
      <c r="P10" s="205" t="s">
        <v>1061</v>
      </c>
      <c r="Q10" s="204"/>
      <c r="R10" s="205" t="s">
        <v>1062</v>
      </c>
      <c r="T10" s="205" t="s">
        <v>1062</v>
      </c>
      <c r="U10" s="204"/>
      <c r="V10" s="205" t="s">
        <v>383</v>
      </c>
    </row>
    <row r="11" spans="1:22" ht="13.2">
      <c r="C11" s="215" t="s">
        <v>1063</v>
      </c>
      <c r="D11" s="215"/>
      <c r="E11" s="520">
        <v>3.2</v>
      </c>
      <c r="F11" s="520"/>
      <c r="G11" s="520">
        <v>7.1</v>
      </c>
      <c r="H11" s="520"/>
      <c r="I11" s="520">
        <v>48.7</v>
      </c>
      <c r="J11" s="520"/>
      <c r="K11" s="520">
        <v>25.5</v>
      </c>
      <c r="L11" s="520"/>
      <c r="M11" s="520">
        <v>21.2</v>
      </c>
      <c r="N11" s="520"/>
      <c r="O11" s="520"/>
      <c r="P11" s="521">
        <v>15542</v>
      </c>
      <c r="R11" s="522">
        <v>3301</v>
      </c>
      <c r="T11" s="523">
        <v>680</v>
      </c>
      <c r="U11" s="204"/>
      <c r="V11" s="278">
        <v>4.4000000000000004</v>
      </c>
    </row>
    <row r="12" spans="1:22" ht="13.2">
      <c r="C12" s="215" t="s">
        <v>1064</v>
      </c>
      <c r="D12" s="215"/>
      <c r="E12" s="520">
        <v>5.8</v>
      </c>
      <c r="F12" s="520"/>
      <c r="G12" s="520">
        <v>3</v>
      </c>
      <c r="H12" s="520"/>
      <c r="I12" s="520">
        <v>1.2</v>
      </c>
      <c r="J12" s="520"/>
      <c r="K12" s="520">
        <v>3.8</v>
      </c>
      <c r="L12" s="520"/>
      <c r="M12" s="520">
        <v>3.4</v>
      </c>
      <c r="N12" s="520"/>
      <c r="O12" s="520"/>
      <c r="P12" s="524">
        <v>16039</v>
      </c>
      <c r="R12" s="21">
        <v>547</v>
      </c>
      <c r="T12" s="212">
        <v>607</v>
      </c>
      <c r="U12" s="204"/>
      <c r="V12" s="278">
        <v>3.8</v>
      </c>
    </row>
    <row r="13" spans="1:22" ht="13.2">
      <c r="C13" s="215" t="s">
        <v>1065</v>
      </c>
      <c r="D13" s="215"/>
      <c r="E13" s="520">
        <v>27.4</v>
      </c>
      <c r="F13" s="520"/>
      <c r="G13" s="520">
        <v>4.4000000000000004</v>
      </c>
      <c r="H13" s="520"/>
      <c r="I13" s="520">
        <v>9.5</v>
      </c>
      <c r="J13" s="520"/>
      <c r="K13" s="520">
        <v>7.3</v>
      </c>
      <c r="L13" s="520"/>
      <c r="M13" s="520">
        <v>12</v>
      </c>
      <c r="N13" s="520"/>
      <c r="O13" s="520"/>
      <c r="P13" s="524">
        <v>16513</v>
      </c>
      <c r="R13" s="21">
        <v>1989</v>
      </c>
      <c r="T13" s="212">
        <v>529</v>
      </c>
      <c r="U13" s="204"/>
      <c r="V13" s="278">
        <v>3.2</v>
      </c>
    </row>
    <row r="14" spans="1:22" ht="11.4">
      <c r="C14" s="215">
        <v>1995</v>
      </c>
      <c r="D14" s="215"/>
      <c r="E14" s="520">
        <v>4</v>
      </c>
      <c r="F14" s="520"/>
      <c r="G14" s="520">
        <v>7.8</v>
      </c>
      <c r="H14" s="520"/>
      <c r="I14" s="520">
        <v>3.8</v>
      </c>
      <c r="J14" s="520"/>
      <c r="K14" s="520">
        <v>5</v>
      </c>
      <c r="L14" s="520"/>
      <c r="M14" s="520">
        <v>5.2</v>
      </c>
      <c r="N14" s="520"/>
      <c r="O14" s="520"/>
      <c r="P14" s="524">
        <v>17540</v>
      </c>
      <c r="R14" s="21">
        <v>905</v>
      </c>
      <c r="S14" s="525"/>
      <c r="T14" s="212">
        <v>683</v>
      </c>
      <c r="U14" s="204"/>
      <c r="V14" s="278">
        <v>3.9</v>
      </c>
    </row>
    <row r="15" spans="1:22" ht="11.4">
      <c r="C15" s="215">
        <v>1996</v>
      </c>
      <c r="D15" s="215"/>
      <c r="E15" s="520">
        <v>5.0999999999999996</v>
      </c>
      <c r="F15" s="520"/>
      <c r="G15" s="520">
        <v>6</v>
      </c>
      <c r="H15" s="520"/>
      <c r="I15" s="520">
        <v>6.4</v>
      </c>
      <c r="J15" s="520"/>
      <c r="K15" s="520">
        <v>3.8</v>
      </c>
      <c r="L15" s="520"/>
      <c r="M15" s="520">
        <v>5.4</v>
      </c>
      <c r="N15" s="520"/>
      <c r="O15" s="520"/>
      <c r="P15" s="524">
        <v>18366</v>
      </c>
      <c r="R15" s="21">
        <v>983</v>
      </c>
      <c r="S15" s="525"/>
      <c r="T15" s="212">
        <v>837</v>
      </c>
      <c r="U15" s="204"/>
      <c r="V15" s="278">
        <v>4.5999999999999996</v>
      </c>
    </row>
    <row r="16" spans="1:22" ht="11.4">
      <c r="C16" s="215">
        <v>1997</v>
      </c>
      <c r="D16" s="215"/>
      <c r="E16" s="520">
        <v>2.4</v>
      </c>
      <c r="F16" s="520"/>
      <c r="G16" s="520">
        <v>2.6</v>
      </c>
      <c r="H16" s="520"/>
      <c r="I16" s="520">
        <v>2.6</v>
      </c>
      <c r="J16" s="520"/>
      <c r="K16" s="520">
        <v>0.3</v>
      </c>
      <c r="L16" s="520"/>
      <c r="M16" s="520">
        <v>2</v>
      </c>
      <c r="N16" s="520"/>
      <c r="O16" s="520"/>
      <c r="P16" s="524">
        <v>18604</v>
      </c>
      <c r="R16" s="21">
        <v>365</v>
      </c>
      <c r="T16" s="212">
        <v>325</v>
      </c>
      <c r="U16" s="204"/>
      <c r="V16" s="278">
        <v>1.7</v>
      </c>
    </row>
    <row r="17" spans="3:22" ht="11.4">
      <c r="C17" s="215">
        <v>1998</v>
      </c>
      <c r="D17" s="215"/>
      <c r="E17" s="520">
        <v>2.5</v>
      </c>
      <c r="F17" s="520"/>
      <c r="G17" s="520">
        <v>6.3</v>
      </c>
      <c r="H17" s="520"/>
      <c r="I17" s="520">
        <v>3.9</v>
      </c>
      <c r="J17" s="520"/>
      <c r="K17" s="520">
        <v>3.4</v>
      </c>
      <c r="L17" s="520"/>
      <c r="M17" s="520">
        <v>4</v>
      </c>
      <c r="N17" s="520"/>
      <c r="O17" s="520"/>
      <c r="P17" s="524">
        <v>19307</v>
      </c>
      <c r="R17" s="21">
        <v>780</v>
      </c>
      <c r="T17" s="212">
        <v>615</v>
      </c>
      <c r="U17" s="204"/>
      <c r="V17" s="278">
        <v>3.2</v>
      </c>
    </row>
    <row r="18" spans="3:22" ht="11.4">
      <c r="C18" s="215">
        <v>1999</v>
      </c>
      <c r="D18" s="215"/>
      <c r="E18" s="520">
        <v>2.6</v>
      </c>
      <c r="F18" s="520"/>
      <c r="G18" s="520">
        <v>5.6</v>
      </c>
      <c r="H18" s="520"/>
      <c r="I18" s="520">
        <v>5.4</v>
      </c>
      <c r="J18" s="520"/>
      <c r="K18" s="520">
        <v>2.7</v>
      </c>
      <c r="L18" s="520"/>
      <c r="M18" s="520">
        <v>4.0999999999999996</v>
      </c>
      <c r="N18" s="520"/>
      <c r="O18" s="520"/>
      <c r="P18" s="524">
        <v>20112</v>
      </c>
      <c r="R18" s="21">
        <v>816</v>
      </c>
      <c r="T18" s="212">
        <v>623</v>
      </c>
      <c r="U18" s="204"/>
      <c r="V18" s="278">
        <v>3.1</v>
      </c>
    </row>
    <row r="19" spans="3:22" ht="11.4">
      <c r="C19" s="215">
        <v>2000</v>
      </c>
      <c r="D19" s="215"/>
      <c r="E19" s="520">
        <v>7</v>
      </c>
      <c r="F19" s="520"/>
      <c r="G19" s="520">
        <v>6.7</v>
      </c>
      <c r="H19" s="520"/>
      <c r="I19" s="520">
        <v>1.7</v>
      </c>
      <c r="J19" s="520"/>
      <c r="K19" s="520">
        <v>2.2999999999999998</v>
      </c>
      <c r="L19" s="520"/>
      <c r="M19" s="520">
        <v>4.4000000000000004</v>
      </c>
      <c r="N19" s="520"/>
      <c r="O19" s="520"/>
      <c r="P19" s="524">
        <v>21871</v>
      </c>
      <c r="R19" s="21">
        <v>967</v>
      </c>
      <c r="T19" s="212">
        <v>930</v>
      </c>
      <c r="U19" s="204"/>
      <c r="V19" s="278">
        <v>4.3</v>
      </c>
    </row>
    <row r="20" spans="3:22" ht="11.4">
      <c r="C20" s="215">
        <v>2001</v>
      </c>
      <c r="D20" s="98"/>
      <c r="E20" s="400">
        <v>1.5</v>
      </c>
      <c r="F20" s="400"/>
      <c r="G20" s="400">
        <v>9.8000000000000007</v>
      </c>
      <c r="H20" s="400"/>
      <c r="I20" s="400">
        <v>2.5</v>
      </c>
      <c r="J20" s="400"/>
      <c r="K20" s="400">
        <v>2.4</v>
      </c>
      <c r="L20" s="400"/>
      <c r="M20" s="400">
        <v>4</v>
      </c>
      <c r="N20" s="400"/>
      <c r="O20" s="400"/>
      <c r="P20" s="27">
        <v>22197</v>
      </c>
      <c r="Q20" s="2"/>
      <c r="R20" s="21">
        <v>894</v>
      </c>
      <c r="S20" s="2"/>
      <c r="T20" s="21">
        <v>763</v>
      </c>
      <c r="U20" s="5"/>
      <c r="V20" s="526">
        <v>3.4</v>
      </c>
    </row>
    <row r="21" spans="3:22" ht="11.4">
      <c r="C21" s="215">
        <v>2002</v>
      </c>
      <c r="D21" s="98"/>
      <c r="E21" s="400">
        <v>1.9</v>
      </c>
      <c r="F21" s="400"/>
      <c r="G21" s="400">
        <v>5</v>
      </c>
      <c r="H21" s="400"/>
      <c r="I21" s="400">
        <v>1.6</v>
      </c>
      <c r="J21" s="400"/>
      <c r="K21" s="400">
        <v>4</v>
      </c>
      <c r="L21" s="400"/>
      <c r="M21" s="400">
        <v>3.1</v>
      </c>
      <c r="N21" s="400"/>
      <c r="O21" s="400"/>
      <c r="P21" s="27">
        <v>23361</v>
      </c>
      <c r="Q21" s="2"/>
      <c r="R21" s="21">
        <v>731</v>
      </c>
      <c r="S21" s="2"/>
      <c r="T21" s="21">
        <v>638</v>
      </c>
      <c r="U21" s="5"/>
      <c r="V21" s="526">
        <v>2.7</v>
      </c>
    </row>
    <row r="22" spans="3:22" ht="11.4">
      <c r="C22" s="215">
        <v>2003</v>
      </c>
      <c r="D22" s="98"/>
      <c r="E22" s="400">
        <v>2.2000000000000002</v>
      </c>
      <c r="F22" s="400"/>
      <c r="G22" s="400">
        <v>9.1999999999999993</v>
      </c>
      <c r="H22" s="400"/>
      <c r="I22" s="400">
        <v>6.1</v>
      </c>
      <c r="J22" s="400"/>
      <c r="K22" s="400">
        <v>6.5</v>
      </c>
      <c r="L22" s="400"/>
      <c r="M22" s="400">
        <v>6</v>
      </c>
      <c r="N22" s="400"/>
      <c r="O22" s="400"/>
      <c r="P22" s="27">
        <v>24677</v>
      </c>
      <c r="Q22" s="2"/>
      <c r="R22" s="21">
        <v>1489</v>
      </c>
      <c r="S22" s="2"/>
      <c r="T22" s="21">
        <v>1256</v>
      </c>
      <c r="U22" s="5"/>
      <c r="V22" s="526">
        <v>5.0999999999999996</v>
      </c>
    </row>
    <row r="23" spans="3:22" ht="12" customHeight="1">
      <c r="C23" s="215">
        <v>2004</v>
      </c>
      <c r="D23" s="98"/>
      <c r="E23" s="400">
        <v>1.6</v>
      </c>
      <c r="F23" s="400"/>
      <c r="G23" s="400">
        <v>3.8</v>
      </c>
      <c r="H23" s="400"/>
      <c r="I23" s="400">
        <v>26</v>
      </c>
      <c r="J23" s="527"/>
      <c r="K23" s="400">
        <v>6.2</v>
      </c>
      <c r="L23" s="400"/>
      <c r="M23" s="400">
        <v>9.5</v>
      </c>
      <c r="N23" s="400"/>
      <c r="O23" s="400"/>
      <c r="P23" s="27">
        <v>25989</v>
      </c>
      <c r="Q23" s="2"/>
      <c r="R23" s="21">
        <v>2468</v>
      </c>
      <c r="S23" s="2"/>
      <c r="T23" s="21">
        <v>467</v>
      </c>
      <c r="U23" s="5"/>
      <c r="V23" s="526">
        <v>1.8</v>
      </c>
    </row>
    <row r="24" spans="3:22" ht="12" customHeight="1">
      <c r="C24" s="215">
        <v>2005</v>
      </c>
      <c r="D24" s="98"/>
      <c r="E24" s="400">
        <v>2.5</v>
      </c>
      <c r="F24" s="400"/>
      <c r="G24" s="400">
        <v>2.2000000000000002</v>
      </c>
      <c r="H24" s="400"/>
      <c r="I24" s="400">
        <v>69.400000000000006</v>
      </c>
      <c r="J24" s="527"/>
      <c r="K24" s="400">
        <v>9.6</v>
      </c>
      <c r="L24" s="400"/>
      <c r="M24" s="400">
        <v>21</v>
      </c>
      <c r="N24" s="400"/>
      <c r="O24" s="400"/>
      <c r="P24" s="27">
        <v>27039</v>
      </c>
      <c r="Q24" s="2"/>
      <c r="R24" s="21">
        <v>5674</v>
      </c>
      <c r="S24" s="2"/>
      <c r="T24" s="21">
        <v>460</v>
      </c>
      <c r="U24" s="5"/>
      <c r="V24" s="526">
        <v>1.7</v>
      </c>
    </row>
    <row r="25" spans="3:22" ht="12" customHeight="1">
      <c r="C25" s="215">
        <v>2006</v>
      </c>
      <c r="D25" s="98"/>
      <c r="E25" s="400">
        <v>1.6</v>
      </c>
      <c r="F25" s="400"/>
      <c r="G25" s="528">
        <v>3.7</v>
      </c>
      <c r="H25" s="528"/>
      <c r="I25" s="528">
        <v>2.5</v>
      </c>
      <c r="J25" s="529"/>
      <c r="K25" s="528">
        <v>4.0999999999999996</v>
      </c>
      <c r="L25" s="528"/>
      <c r="M25" s="528">
        <v>3</v>
      </c>
      <c r="N25" s="400"/>
      <c r="O25" s="400"/>
      <c r="P25" s="27">
        <v>27369</v>
      </c>
      <c r="Q25" s="2"/>
      <c r="R25" s="21">
        <v>810</v>
      </c>
      <c r="S25" s="2"/>
      <c r="T25" s="21">
        <v>1044</v>
      </c>
      <c r="U25" s="5"/>
      <c r="V25" s="526">
        <v>3.8</v>
      </c>
    </row>
    <row r="26" spans="3:22" ht="12" customHeight="1">
      <c r="C26" s="215">
        <v>2007</v>
      </c>
      <c r="D26" s="98"/>
      <c r="E26" s="400">
        <v>2.4</v>
      </c>
      <c r="F26" s="400"/>
      <c r="G26" s="530">
        <v>6.3</v>
      </c>
      <c r="H26" s="186"/>
      <c r="I26" s="530">
        <v>5</v>
      </c>
      <c r="J26" s="531"/>
      <c r="K26" s="530">
        <v>7</v>
      </c>
      <c r="L26" s="528"/>
      <c r="M26" s="528">
        <v>5.2</v>
      </c>
      <c r="N26" s="400"/>
      <c r="O26" s="400"/>
      <c r="P26" s="27">
        <v>27233</v>
      </c>
      <c r="Q26" s="2"/>
      <c r="R26" s="21">
        <v>1409</v>
      </c>
      <c r="S26" s="2"/>
      <c r="T26" s="21">
        <v>1336</v>
      </c>
      <c r="U26" s="5"/>
      <c r="V26" s="526">
        <v>4.9000000000000004</v>
      </c>
    </row>
    <row r="27" spans="3:22" ht="12" customHeight="1">
      <c r="C27" s="215">
        <v>2008</v>
      </c>
      <c r="D27" s="98"/>
      <c r="E27" s="400">
        <v>8.4</v>
      </c>
      <c r="F27" s="400"/>
      <c r="G27" s="530">
        <v>10.3</v>
      </c>
      <c r="H27" s="186"/>
      <c r="I27" s="530">
        <v>26.8</v>
      </c>
      <c r="J27" s="531"/>
      <c r="K27" s="530">
        <v>3.9</v>
      </c>
      <c r="L27" s="528"/>
      <c r="M27" s="528">
        <v>12.4</v>
      </c>
      <c r="N27" s="400"/>
      <c r="O27" s="400"/>
      <c r="P27" s="27">
        <v>26967</v>
      </c>
      <c r="Q27" s="2"/>
      <c r="R27" s="21">
        <v>3342</v>
      </c>
      <c r="S27" s="2"/>
      <c r="T27" s="21">
        <v>1876</v>
      </c>
      <c r="U27" s="5"/>
      <c r="V27" s="526">
        <v>7</v>
      </c>
    </row>
    <row r="28" spans="3:22" ht="12" customHeight="1">
      <c r="C28" s="215">
        <v>2009</v>
      </c>
      <c r="D28" s="98"/>
      <c r="E28" s="400">
        <v>7.8</v>
      </c>
      <c r="F28" s="400"/>
      <c r="G28" s="530">
        <v>12.5</v>
      </c>
      <c r="H28" s="186"/>
      <c r="I28" s="530">
        <v>6.2</v>
      </c>
      <c r="J28" s="531"/>
      <c r="K28" s="530">
        <v>5</v>
      </c>
      <c r="L28" s="528"/>
      <c r="M28" s="528">
        <v>7.9</v>
      </c>
      <c r="N28" s="400"/>
      <c r="O28" s="400"/>
      <c r="P28" s="27">
        <v>26194</v>
      </c>
      <c r="Q28" s="2"/>
      <c r="R28" s="21">
        <v>2069</v>
      </c>
      <c r="S28" s="2"/>
      <c r="T28" s="21">
        <v>2159</v>
      </c>
      <c r="U28" s="5"/>
      <c r="V28" s="526">
        <v>8.1999999999999993</v>
      </c>
    </row>
    <row r="29" spans="3:22" ht="12" customHeight="1">
      <c r="C29" s="215">
        <v>2010</v>
      </c>
      <c r="D29" s="98"/>
      <c r="E29" s="400">
        <v>10</v>
      </c>
      <c r="F29" s="400"/>
      <c r="G29" s="530">
        <v>9.8000000000000007</v>
      </c>
      <c r="H29" s="186"/>
      <c r="I29" s="530">
        <v>5.9</v>
      </c>
      <c r="J29" s="531"/>
      <c r="K29" s="530">
        <v>8.3000000000000007</v>
      </c>
      <c r="L29" s="528"/>
      <c r="M29" s="528">
        <v>8.5</v>
      </c>
      <c r="N29" s="400"/>
      <c r="O29" s="400"/>
      <c r="P29" s="27">
        <v>25957</v>
      </c>
      <c r="Q29" s="2"/>
      <c r="R29" s="21">
        <v>2207</v>
      </c>
      <c r="S29" s="2"/>
      <c r="T29" s="21">
        <v>2272</v>
      </c>
      <c r="U29" s="5"/>
      <c r="V29" s="532">
        <v>8.8000000000000007</v>
      </c>
    </row>
    <row r="30" spans="3:22" ht="12" customHeight="1">
      <c r="C30" s="215">
        <v>2011</v>
      </c>
      <c r="D30" s="98"/>
      <c r="E30" s="400">
        <v>5.2</v>
      </c>
      <c r="F30" s="400"/>
      <c r="G30" s="530">
        <v>36.200000000000003</v>
      </c>
      <c r="H30" s="186"/>
      <c r="I30" s="530">
        <v>16.7</v>
      </c>
      <c r="J30" s="531"/>
      <c r="K30" s="530">
        <v>1</v>
      </c>
      <c r="L30" s="528"/>
      <c r="M30" s="528">
        <v>14.7</v>
      </c>
      <c r="N30" s="400"/>
      <c r="O30" s="400"/>
      <c r="P30" s="27">
        <v>25942</v>
      </c>
      <c r="Q30" s="2"/>
      <c r="R30" s="27">
        <v>3815</v>
      </c>
      <c r="S30" s="2"/>
      <c r="T30" s="27">
        <v>3298</v>
      </c>
      <c r="U30" s="5"/>
      <c r="V30" s="400">
        <v>12.7</v>
      </c>
    </row>
    <row r="31" spans="3:22" ht="12" customHeight="1">
      <c r="C31" s="215">
        <v>2012</v>
      </c>
      <c r="D31" s="98"/>
      <c r="E31" s="400">
        <v>3.9064856711915534</v>
      </c>
      <c r="F31" s="400"/>
      <c r="G31" s="530">
        <v>12.3</v>
      </c>
      <c r="H31" s="186"/>
      <c r="I31" s="530">
        <v>0</v>
      </c>
      <c r="J31" s="531"/>
      <c r="K31" s="530">
        <v>0</v>
      </c>
      <c r="L31" s="528"/>
      <c r="M31" s="528">
        <v>8.1</v>
      </c>
      <c r="N31" s="400"/>
      <c r="O31" s="400"/>
      <c r="P31" s="27">
        <v>13296</v>
      </c>
      <c r="Q31" s="2"/>
      <c r="R31" s="27">
        <v>1078</v>
      </c>
      <c r="S31" s="2"/>
      <c r="T31" s="27">
        <v>1146</v>
      </c>
      <c r="U31" s="5"/>
      <c r="V31" s="400">
        <v>8.6</v>
      </c>
    </row>
    <row r="32" spans="3:22" ht="11.25" customHeight="1">
      <c r="C32" s="215"/>
      <c r="D32" s="98"/>
      <c r="E32" s="400"/>
      <c r="F32" s="400"/>
      <c r="G32" s="530"/>
      <c r="H32" s="186"/>
      <c r="I32" s="530"/>
      <c r="J32" s="531"/>
      <c r="K32" s="530"/>
      <c r="L32" s="528"/>
      <c r="M32" s="528"/>
      <c r="N32" s="400"/>
      <c r="O32" s="400"/>
      <c r="P32" s="27"/>
      <c r="Q32" s="2"/>
      <c r="R32" s="21"/>
      <c r="S32" s="2"/>
      <c r="T32" s="2"/>
      <c r="U32" s="2"/>
      <c r="V32" s="2"/>
    </row>
    <row r="33" spans="3:22" ht="14.25" customHeight="1">
      <c r="C33" s="215" t="s">
        <v>1066</v>
      </c>
      <c r="D33" s="98"/>
      <c r="E33" s="400">
        <v>4.9000000000000004</v>
      </c>
      <c r="F33" s="400"/>
      <c r="G33" s="400">
        <v>8.5</v>
      </c>
      <c r="H33" s="186"/>
      <c r="I33" s="400">
        <v>13.1</v>
      </c>
      <c r="J33" s="531"/>
      <c r="K33" s="400">
        <v>5.4</v>
      </c>
      <c r="L33" s="528"/>
      <c r="M33" s="400">
        <v>8</v>
      </c>
      <c r="N33" s="400"/>
      <c r="O33" s="400"/>
      <c r="P33" s="25"/>
      <c r="Q33" s="63"/>
      <c r="R33" s="25"/>
      <c r="S33" s="2"/>
      <c r="T33" s="2"/>
      <c r="U33" s="2"/>
      <c r="V33" s="526">
        <v>4.8996446540538781</v>
      </c>
    </row>
    <row r="34" spans="3:22" ht="11.4">
      <c r="C34" s="215"/>
      <c r="D34" s="98"/>
      <c r="E34" s="400"/>
      <c r="F34" s="400"/>
      <c r="G34" s="400"/>
      <c r="H34" s="400"/>
      <c r="I34" s="400"/>
      <c r="J34" s="400"/>
      <c r="K34" s="400"/>
      <c r="L34" s="400"/>
      <c r="M34" s="400"/>
      <c r="N34" s="400"/>
      <c r="O34" s="400"/>
      <c r="P34" s="121"/>
      <c r="Q34" s="2"/>
      <c r="R34" s="2"/>
      <c r="S34" s="2"/>
      <c r="T34" s="2"/>
      <c r="U34" s="2"/>
      <c r="V34" s="2"/>
    </row>
    <row r="35" spans="3:22" ht="11.4">
      <c r="C35" s="215"/>
      <c r="D35" s="98"/>
      <c r="E35" s="992" t="s">
        <v>1067</v>
      </c>
      <c r="F35" s="992"/>
      <c r="G35" s="992"/>
      <c r="H35" s="992"/>
      <c r="I35" s="992"/>
      <c r="J35" s="992"/>
      <c r="K35" s="992"/>
      <c r="L35" s="992"/>
      <c r="M35" s="992"/>
      <c r="N35" s="10"/>
      <c r="O35" s="10"/>
      <c r="P35" s="2"/>
      <c r="Q35" s="2"/>
      <c r="R35" s="2"/>
      <c r="S35" s="2"/>
      <c r="T35" s="2"/>
      <c r="U35" s="2"/>
      <c r="V35" s="2"/>
    </row>
    <row r="36" spans="3:22" ht="11.4">
      <c r="C36" s="215"/>
      <c r="D36" s="98"/>
      <c r="E36" s="994" t="s">
        <v>1068</v>
      </c>
      <c r="F36" s="994"/>
      <c r="G36" s="994"/>
      <c r="H36" s="994"/>
      <c r="I36" s="994"/>
      <c r="J36" s="994"/>
      <c r="K36" s="994"/>
      <c r="L36" s="994"/>
      <c r="M36" s="994"/>
      <c r="N36" s="6"/>
      <c r="O36" s="6"/>
      <c r="P36" s="10" t="s">
        <v>402</v>
      </c>
      <c r="Q36" s="5"/>
      <c r="R36" s="6" t="s">
        <v>1044</v>
      </c>
      <c r="S36" s="2"/>
      <c r="T36" s="2"/>
      <c r="U36" s="2"/>
      <c r="V36" s="2"/>
    </row>
    <row r="37" spans="3:22" ht="13.2">
      <c r="C37" s="215"/>
      <c r="D37" s="98"/>
      <c r="E37" s="975" t="s">
        <v>1069</v>
      </c>
      <c r="F37" s="975"/>
      <c r="G37" s="975"/>
      <c r="H37" s="975"/>
      <c r="I37" s="975"/>
      <c r="J37" s="975"/>
      <c r="K37" s="975"/>
      <c r="L37" s="975"/>
      <c r="M37" s="975"/>
      <c r="N37" s="6"/>
      <c r="O37" s="6"/>
      <c r="P37" s="6" t="s">
        <v>406</v>
      </c>
      <c r="Q37" s="5"/>
      <c r="R37" s="6" t="s">
        <v>1055</v>
      </c>
      <c r="S37" s="2"/>
      <c r="T37" s="2"/>
      <c r="U37" s="2"/>
      <c r="V37" s="2"/>
    </row>
    <row r="38" spans="3:22" ht="11.4">
      <c r="C38" s="215"/>
      <c r="D38" s="98"/>
      <c r="E38" s="13" t="s">
        <v>1056</v>
      </c>
      <c r="F38" s="10"/>
      <c r="G38" s="13" t="s">
        <v>1057</v>
      </c>
      <c r="H38" s="10"/>
      <c r="I38" s="13" t="s">
        <v>1058</v>
      </c>
      <c r="J38" s="10"/>
      <c r="K38" s="13" t="s">
        <v>1059</v>
      </c>
      <c r="L38" s="5"/>
      <c r="M38" s="13" t="s">
        <v>1070</v>
      </c>
      <c r="N38" s="6"/>
      <c r="O38" s="6"/>
      <c r="P38" s="13" t="s">
        <v>1061</v>
      </c>
      <c r="Q38" s="5"/>
      <c r="R38" s="13" t="s">
        <v>1062</v>
      </c>
      <c r="S38" s="2"/>
      <c r="T38" s="2"/>
      <c r="U38" s="2"/>
      <c r="V38" s="2"/>
    </row>
    <row r="39" spans="3:22" ht="13.2">
      <c r="C39" s="215" t="s">
        <v>1063</v>
      </c>
      <c r="D39" s="98"/>
      <c r="E39" s="400">
        <v>3.2</v>
      </c>
      <c r="F39" s="400"/>
      <c r="G39" s="400">
        <v>7</v>
      </c>
      <c r="H39" s="400"/>
      <c r="I39" s="400">
        <v>4.5</v>
      </c>
      <c r="J39" s="400"/>
      <c r="K39" s="400">
        <v>2.9</v>
      </c>
      <c r="L39" s="400"/>
      <c r="M39" s="400">
        <v>4.4000000000000004</v>
      </c>
      <c r="N39" s="400"/>
      <c r="O39" s="400"/>
      <c r="P39" s="533">
        <v>15542</v>
      </c>
      <c r="Q39" s="2"/>
      <c r="R39" s="522">
        <v>681</v>
      </c>
      <c r="S39" s="2"/>
      <c r="T39" s="2"/>
      <c r="U39" s="2"/>
      <c r="V39" s="2"/>
    </row>
    <row r="40" spans="3:22" ht="13.2">
      <c r="C40" s="215" t="s">
        <v>1064</v>
      </c>
      <c r="D40" s="98"/>
      <c r="E40" s="400">
        <v>5.6</v>
      </c>
      <c r="F40" s="400"/>
      <c r="G40" s="400">
        <v>3</v>
      </c>
      <c r="H40" s="400"/>
      <c r="I40" s="400">
        <v>1.5</v>
      </c>
      <c r="J40" s="400"/>
      <c r="K40" s="400">
        <v>5.0999999999999996</v>
      </c>
      <c r="L40" s="400"/>
      <c r="M40" s="400">
        <v>3.8</v>
      </c>
      <c r="N40" s="400"/>
      <c r="O40" s="400"/>
      <c r="P40" s="25">
        <v>16039</v>
      </c>
      <c r="Q40" s="2"/>
      <c r="R40" s="21">
        <v>607</v>
      </c>
      <c r="S40" s="2"/>
      <c r="T40" s="2"/>
      <c r="U40" s="2"/>
      <c r="V40" s="2"/>
    </row>
    <row r="41" spans="3:22" ht="13.2">
      <c r="C41" s="215" t="s">
        <v>1065</v>
      </c>
      <c r="D41" s="98"/>
      <c r="E41" s="400">
        <v>5.0999999999999996</v>
      </c>
      <c r="F41" s="400"/>
      <c r="G41" s="400">
        <v>3.8</v>
      </c>
      <c r="H41" s="400"/>
      <c r="I41" s="400">
        <v>1.7</v>
      </c>
      <c r="J41" s="400"/>
      <c r="K41" s="400">
        <v>2.5</v>
      </c>
      <c r="L41" s="400"/>
      <c r="M41" s="400">
        <v>3.2</v>
      </c>
      <c r="N41" s="400"/>
      <c r="O41" s="400"/>
      <c r="P41" s="25">
        <v>16513</v>
      </c>
      <c r="Q41" s="2"/>
      <c r="R41" s="21">
        <v>535</v>
      </c>
      <c r="S41" s="2"/>
      <c r="T41" s="2"/>
      <c r="U41" s="2"/>
      <c r="V41" s="2"/>
    </row>
    <row r="42" spans="3:22" ht="11.4">
      <c r="C42" s="215">
        <v>1995</v>
      </c>
      <c r="D42" s="98"/>
      <c r="E42" s="400">
        <v>4</v>
      </c>
      <c r="F42" s="400"/>
      <c r="G42" s="400">
        <v>7.7</v>
      </c>
      <c r="H42" s="400"/>
      <c r="I42" s="400">
        <v>1.8</v>
      </c>
      <c r="J42" s="400"/>
      <c r="K42" s="400">
        <v>5</v>
      </c>
      <c r="L42" s="400"/>
      <c r="M42" s="400">
        <v>4.5999999999999996</v>
      </c>
      <c r="N42" s="400"/>
      <c r="O42" s="400"/>
      <c r="P42" s="25">
        <v>17540</v>
      </c>
      <c r="Q42" s="2"/>
      <c r="R42" s="21">
        <v>843</v>
      </c>
      <c r="S42" s="2"/>
      <c r="T42" s="2"/>
      <c r="U42" s="2"/>
      <c r="V42" s="2"/>
    </row>
    <row r="43" spans="3:22" ht="11.4">
      <c r="C43" s="215">
        <v>1996</v>
      </c>
      <c r="D43" s="98"/>
      <c r="E43" s="400">
        <v>5.0999999999999996</v>
      </c>
      <c r="F43" s="400"/>
      <c r="G43" s="400">
        <v>6</v>
      </c>
      <c r="H43" s="400"/>
      <c r="I43" s="400">
        <v>6.4</v>
      </c>
      <c r="J43" s="400"/>
      <c r="K43" s="400">
        <v>3.8</v>
      </c>
      <c r="L43" s="400"/>
      <c r="M43" s="400">
        <v>5.4</v>
      </c>
      <c r="N43" s="400"/>
      <c r="O43" s="400"/>
      <c r="P43" s="25">
        <v>18366</v>
      </c>
      <c r="Q43" s="2"/>
      <c r="R43" s="21">
        <v>991</v>
      </c>
      <c r="S43" s="2"/>
      <c r="T43" s="2"/>
      <c r="U43" s="2"/>
      <c r="V43" s="2"/>
    </row>
    <row r="44" spans="3:22" ht="11.4">
      <c r="C44" s="215">
        <v>1997</v>
      </c>
      <c r="D44" s="98"/>
      <c r="E44" s="400">
        <v>2.4</v>
      </c>
      <c r="F44" s="400"/>
      <c r="G44" s="400">
        <v>2.6</v>
      </c>
      <c r="H44" s="400"/>
      <c r="I44" s="400">
        <v>1.8</v>
      </c>
      <c r="J44" s="400"/>
      <c r="K44" s="400">
        <v>0.3</v>
      </c>
      <c r="L44" s="400"/>
      <c r="M44" s="400">
        <v>1.8</v>
      </c>
      <c r="N44" s="400"/>
      <c r="O44" s="400"/>
      <c r="P44" s="25">
        <v>18604</v>
      </c>
      <c r="Q44" s="2"/>
      <c r="R44" s="21">
        <v>329</v>
      </c>
      <c r="S44" s="2"/>
      <c r="T44" s="2"/>
      <c r="U44" s="2"/>
      <c r="V44" s="2"/>
    </row>
    <row r="45" spans="3:22" ht="11.4">
      <c r="C45" s="215">
        <v>1998</v>
      </c>
      <c r="D45" s="98"/>
      <c r="E45" s="400">
        <v>2</v>
      </c>
      <c r="F45" s="400"/>
      <c r="G45" s="400">
        <v>6.3</v>
      </c>
      <c r="H45" s="400"/>
      <c r="I45" s="400">
        <v>3.9</v>
      </c>
      <c r="J45" s="400"/>
      <c r="K45" s="400">
        <v>2.2000000000000002</v>
      </c>
      <c r="L45" s="400"/>
      <c r="M45" s="400">
        <v>3.6</v>
      </c>
      <c r="N45" s="400"/>
      <c r="O45" s="400"/>
      <c r="P45" s="25">
        <v>19307</v>
      </c>
      <c r="Q45" s="2"/>
      <c r="R45" s="21">
        <v>695</v>
      </c>
      <c r="S45" s="2"/>
      <c r="T45" s="2"/>
      <c r="U45" s="2"/>
      <c r="V45" s="2"/>
    </row>
    <row r="46" spans="3:22" ht="11.4">
      <c r="C46" s="215">
        <v>1999</v>
      </c>
      <c r="D46" s="98"/>
      <c r="E46" s="400">
        <v>2.6</v>
      </c>
      <c r="F46" s="400"/>
      <c r="G46" s="400">
        <v>5.6</v>
      </c>
      <c r="H46" s="400"/>
      <c r="I46" s="400">
        <v>5.4</v>
      </c>
      <c r="J46" s="400"/>
      <c r="K46" s="400">
        <v>2.2999999999999998</v>
      </c>
      <c r="L46" s="400"/>
      <c r="M46" s="400">
        <v>3.9</v>
      </c>
      <c r="N46" s="400"/>
      <c r="O46" s="400"/>
      <c r="P46" s="25">
        <v>20112</v>
      </c>
      <c r="Q46" s="2"/>
      <c r="R46" s="21">
        <v>790</v>
      </c>
      <c r="S46" s="2"/>
      <c r="T46" s="2"/>
      <c r="U46" s="2"/>
      <c r="V46" s="2"/>
    </row>
    <row r="47" spans="3:22" ht="11.4">
      <c r="C47" s="215">
        <v>2000</v>
      </c>
      <c r="D47" s="98"/>
      <c r="E47" s="400">
        <v>7</v>
      </c>
      <c r="F47" s="400"/>
      <c r="G47" s="400">
        <v>6.7</v>
      </c>
      <c r="H47" s="400"/>
      <c r="I47" s="400">
        <v>1.5</v>
      </c>
      <c r="J47" s="400"/>
      <c r="K47" s="400">
        <v>1.8</v>
      </c>
      <c r="L47" s="400"/>
      <c r="M47" s="400">
        <v>4.3</v>
      </c>
      <c r="N47" s="400"/>
      <c r="O47" s="400"/>
      <c r="P47" s="25">
        <v>21871</v>
      </c>
      <c r="Q47" s="2"/>
      <c r="R47" s="21">
        <v>930</v>
      </c>
      <c r="S47" s="2"/>
      <c r="T47" s="2"/>
      <c r="U47" s="2"/>
      <c r="V47" s="2"/>
    </row>
    <row r="48" spans="3:22" ht="11.4">
      <c r="C48" s="215">
        <v>2001</v>
      </c>
      <c r="D48" s="98"/>
      <c r="E48" s="400">
        <v>1.5</v>
      </c>
      <c r="F48" s="400"/>
      <c r="G48" s="400">
        <v>8.1</v>
      </c>
      <c r="H48" s="400"/>
      <c r="I48" s="400">
        <v>2.5</v>
      </c>
      <c r="J48" s="400"/>
      <c r="K48" s="400">
        <v>1.7</v>
      </c>
      <c r="L48" s="400"/>
      <c r="M48" s="400">
        <v>3.5</v>
      </c>
      <c r="N48" s="400"/>
      <c r="O48" s="400"/>
      <c r="P48" s="27">
        <v>22197</v>
      </c>
      <c r="Q48" s="2"/>
      <c r="R48" s="21">
        <v>769</v>
      </c>
      <c r="S48" s="2"/>
      <c r="T48" s="2"/>
      <c r="U48" s="2"/>
      <c r="V48" s="2"/>
    </row>
    <row r="49" spans="1:22" ht="11.4">
      <c r="C49" s="215">
        <v>2002</v>
      </c>
      <c r="D49" s="98"/>
      <c r="E49" s="400">
        <v>1.8</v>
      </c>
      <c r="F49" s="400"/>
      <c r="G49" s="400">
        <v>5</v>
      </c>
      <c r="H49" s="400"/>
      <c r="I49" s="400">
        <v>1.6</v>
      </c>
      <c r="J49" s="400"/>
      <c r="K49" s="400">
        <v>3.6</v>
      </c>
      <c r="L49" s="400"/>
      <c r="M49" s="400">
        <v>3</v>
      </c>
      <c r="N49" s="400"/>
      <c r="O49" s="400"/>
      <c r="P49" s="27">
        <v>23361</v>
      </c>
      <c r="Q49" s="2"/>
      <c r="R49" s="21">
        <v>706</v>
      </c>
      <c r="S49" s="2"/>
      <c r="T49" s="2"/>
      <c r="U49" s="2"/>
      <c r="V49" s="2"/>
    </row>
    <row r="50" spans="1:22" ht="11.4">
      <c r="C50" s="215">
        <v>2003</v>
      </c>
      <c r="D50" s="98"/>
      <c r="E50" s="400">
        <v>2.1</v>
      </c>
      <c r="F50" s="400"/>
      <c r="G50" s="400">
        <v>9</v>
      </c>
      <c r="H50" s="400"/>
      <c r="I50" s="400">
        <v>6.1</v>
      </c>
      <c r="J50" s="400"/>
      <c r="K50" s="400">
        <v>6.4</v>
      </c>
      <c r="L50" s="400"/>
      <c r="M50" s="400">
        <v>5.9</v>
      </c>
      <c r="N50" s="400"/>
      <c r="O50" s="400"/>
      <c r="P50" s="27">
        <v>24677</v>
      </c>
      <c r="Q50" s="2"/>
      <c r="R50" s="21">
        <v>1458</v>
      </c>
      <c r="S50" s="2"/>
      <c r="T50" s="2"/>
      <c r="U50" s="2"/>
      <c r="V50" s="2"/>
    </row>
    <row r="51" spans="1:22" ht="12" customHeight="1">
      <c r="C51" s="215">
        <v>2004</v>
      </c>
      <c r="D51" s="98"/>
      <c r="E51" s="400">
        <v>1.6</v>
      </c>
      <c r="F51" s="5"/>
      <c r="G51" s="400">
        <v>3.8</v>
      </c>
      <c r="H51" s="5"/>
      <c r="I51" s="400">
        <v>26</v>
      </c>
      <c r="J51" s="527"/>
      <c r="K51" s="400">
        <v>6.2</v>
      </c>
      <c r="L51" s="5"/>
      <c r="M51" s="400">
        <v>9.5</v>
      </c>
      <c r="N51" s="5"/>
      <c r="O51" s="400"/>
      <c r="P51" s="27">
        <v>25989</v>
      </c>
      <c r="Q51" s="2"/>
      <c r="R51" s="21">
        <v>2468</v>
      </c>
      <c r="S51" s="2"/>
      <c r="T51" s="2"/>
      <c r="U51" s="2"/>
      <c r="V51" s="2"/>
    </row>
    <row r="52" spans="1:22" ht="12" customHeight="1">
      <c r="C52" s="215">
        <v>2005</v>
      </c>
      <c r="D52" s="98"/>
      <c r="E52" s="400">
        <v>2.5</v>
      </c>
      <c r="F52" s="5"/>
      <c r="G52" s="400">
        <v>2.2000000000000002</v>
      </c>
      <c r="H52" s="5"/>
      <c r="I52" s="400">
        <v>69.400000000000006</v>
      </c>
      <c r="J52" s="527"/>
      <c r="K52" s="400">
        <v>9.6</v>
      </c>
      <c r="L52" s="5"/>
      <c r="M52" s="400">
        <v>21</v>
      </c>
      <c r="N52" s="5"/>
      <c r="O52" s="400"/>
      <c r="P52" s="27">
        <v>27039</v>
      </c>
      <c r="Q52" s="2"/>
      <c r="R52" s="21">
        <v>5674</v>
      </c>
      <c r="S52" s="2"/>
      <c r="T52" s="2"/>
      <c r="U52" s="2"/>
      <c r="V52" s="2"/>
    </row>
    <row r="53" spans="1:22" ht="12" customHeight="1">
      <c r="C53" s="215">
        <v>2006</v>
      </c>
      <c r="D53" s="98"/>
      <c r="E53" s="400">
        <v>1.6</v>
      </c>
      <c r="F53" s="5"/>
      <c r="G53" s="528">
        <v>3.7</v>
      </c>
      <c r="H53" s="528"/>
      <c r="I53" s="528">
        <v>2.5</v>
      </c>
      <c r="J53" s="529"/>
      <c r="K53" s="528">
        <v>4.0999999999999996</v>
      </c>
      <c r="L53" s="528"/>
      <c r="M53" s="400">
        <v>3</v>
      </c>
      <c r="N53" s="5"/>
      <c r="O53" s="400"/>
      <c r="P53" s="27">
        <v>27369</v>
      </c>
      <c r="Q53" s="2"/>
      <c r="R53" s="21">
        <v>810</v>
      </c>
      <c r="S53" s="2"/>
      <c r="T53" s="2"/>
      <c r="U53" s="2"/>
      <c r="V53" s="2"/>
    </row>
    <row r="54" spans="1:22" ht="11.4">
      <c r="C54" s="215">
        <v>2007</v>
      </c>
      <c r="D54" s="98"/>
      <c r="E54" s="400">
        <v>2.4</v>
      </c>
      <c r="F54" s="5"/>
      <c r="G54" s="526">
        <v>6.3</v>
      </c>
      <c r="H54" s="21"/>
      <c r="I54" s="526">
        <v>5</v>
      </c>
      <c r="J54" s="21"/>
      <c r="K54" s="526">
        <v>7</v>
      </c>
      <c r="L54" s="21"/>
      <c r="M54" s="400">
        <v>5.2</v>
      </c>
      <c r="N54" s="5"/>
      <c r="O54" s="400"/>
      <c r="P54" s="117">
        <v>27233</v>
      </c>
      <c r="Q54" s="2"/>
      <c r="R54" s="21">
        <v>1409</v>
      </c>
      <c r="S54" s="2"/>
      <c r="T54" s="2"/>
      <c r="U54" s="2"/>
      <c r="V54" s="2"/>
    </row>
    <row r="55" spans="1:22" ht="12" customHeight="1">
      <c r="C55" s="215">
        <v>2008</v>
      </c>
      <c r="D55" s="98"/>
      <c r="E55" s="400">
        <v>8.4</v>
      </c>
      <c r="F55" s="5"/>
      <c r="G55" s="526">
        <v>10.3</v>
      </c>
      <c r="H55" s="21"/>
      <c r="I55" s="526">
        <v>26.8</v>
      </c>
      <c r="J55" s="21"/>
      <c r="K55" s="526">
        <v>3.9</v>
      </c>
      <c r="L55" s="21"/>
      <c r="M55" s="400">
        <v>12.4</v>
      </c>
      <c r="N55" s="5"/>
      <c r="O55" s="400"/>
      <c r="P55" s="117">
        <v>26967</v>
      </c>
      <c r="Q55" s="2"/>
      <c r="R55" s="21">
        <v>3342</v>
      </c>
      <c r="S55" s="2"/>
      <c r="T55" s="2"/>
      <c r="U55" s="2"/>
      <c r="V55" s="2"/>
    </row>
    <row r="56" spans="1:22" ht="12" customHeight="1">
      <c r="C56" s="215">
        <v>2009</v>
      </c>
      <c r="D56" s="98"/>
      <c r="E56" s="400">
        <v>7.8</v>
      </c>
      <c r="F56" s="5"/>
      <c r="G56" s="526">
        <v>12.5</v>
      </c>
      <c r="H56" s="21"/>
      <c r="I56" s="526">
        <v>6.2</v>
      </c>
      <c r="J56" s="21"/>
      <c r="K56" s="526">
        <v>5</v>
      </c>
      <c r="L56" s="21"/>
      <c r="M56" s="400">
        <v>7.9</v>
      </c>
      <c r="N56" s="5"/>
      <c r="O56" s="400"/>
      <c r="P56" s="117">
        <v>26194</v>
      </c>
      <c r="Q56" s="2"/>
      <c r="R56" s="21">
        <v>2069</v>
      </c>
      <c r="S56" s="2"/>
      <c r="T56" s="2"/>
      <c r="U56" s="2"/>
      <c r="V56" s="2"/>
    </row>
    <row r="57" spans="1:22" ht="12" customHeight="1">
      <c r="C57" s="215">
        <v>2010</v>
      </c>
      <c r="D57" s="98"/>
      <c r="E57" s="400">
        <v>10</v>
      </c>
      <c r="F57" s="400"/>
      <c r="G57" s="530">
        <v>9.8000000000000007</v>
      </c>
      <c r="H57" s="186"/>
      <c r="I57" s="530">
        <v>5.9</v>
      </c>
      <c r="J57" s="531"/>
      <c r="K57" s="530">
        <v>8.3000000000000007</v>
      </c>
      <c r="L57" s="528"/>
      <c r="M57" s="528">
        <v>8.5</v>
      </c>
      <c r="N57" s="400"/>
      <c r="O57" s="400"/>
      <c r="P57" s="27">
        <v>25957</v>
      </c>
      <c r="Q57" s="2"/>
      <c r="R57" s="21">
        <v>2207</v>
      </c>
      <c r="S57" s="2"/>
      <c r="T57" s="2"/>
      <c r="U57" s="2"/>
      <c r="V57" s="2"/>
    </row>
    <row r="58" spans="1:22" ht="12" customHeight="1">
      <c r="C58" s="215">
        <v>2011</v>
      </c>
      <c r="D58" s="98"/>
      <c r="E58" s="400">
        <v>5.2</v>
      </c>
      <c r="F58" s="400"/>
      <c r="G58" s="530">
        <v>36.200000000000003</v>
      </c>
      <c r="H58" s="186"/>
      <c r="I58" s="530">
        <v>16.7</v>
      </c>
      <c r="J58" s="531"/>
      <c r="K58" s="530">
        <v>1</v>
      </c>
      <c r="L58" s="528"/>
      <c r="M58" s="528">
        <v>14.7</v>
      </c>
      <c r="N58" s="400"/>
      <c r="O58" s="400"/>
      <c r="P58" s="27">
        <v>25942</v>
      </c>
      <c r="Q58" s="2"/>
      <c r="R58" s="27">
        <v>3815</v>
      </c>
      <c r="S58" s="2"/>
      <c r="T58" s="2"/>
      <c r="U58" s="2"/>
      <c r="V58" s="2"/>
    </row>
    <row r="59" spans="1:22" ht="12" customHeight="1">
      <c r="C59" s="215">
        <v>2012</v>
      </c>
      <c r="D59" s="98"/>
      <c r="E59" s="400">
        <v>3.9</v>
      </c>
      <c r="F59" s="400"/>
      <c r="G59" s="530">
        <v>12.3</v>
      </c>
      <c r="H59" s="186"/>
      <c r="I59" s="530">
        <v>0</v>
      </c>
      <c r="J59" s="531"/>
      <c r="K59" s="530">
        <v>0</v>
      </c>
      <c r="L59" s="528"/>
      <c r="M59" s="528">
        <v>8.1</v>
      </c>
      <c r="N59" s="400"/>
      <c r="O59" s="400"/>
      <c r="P59" s="27">
        <v>13296</v>
      </c>
      <c r="Q59" s="2"/>
      <c r="R59" s="27">
        <v>1078</v>
      </c>
      <c r="S59" s="2"/>
      <c r="T59" s="2"/>
      <c r="U59" s="2"/>
      <c r="V59" s="2"/>
    </row>
    <row r="60" spans="1:22" ht="11.4">
      <c r="C60" s="215"/>
      <c r="D60" s="98"/>
      <c r="E60" s="400"/>
      <c r="F60" s="5"/>
      <c r="G60" s="526"/>
      <c r="H60" s="21"/>
      <c r="I60" s="526"/>
      <c r="J60" s="21"/>
      <c r="K60" s="526"/>
      <c r="L60" s="21"/>
      <c r="M60" s="400"/>
      <c r="N60" s="5"/>
      <c r="O60" s="400"/>
      <c r="P60" s="117"/>
      <c r="Q60" s="2"/>
      <c r="R60" s="21"/>
      <c r="S60" s="2"/>
      <c r="T60" s="2"/>
      <c r="U60" s="2"/>
      <c r="V60" s="2"/>
    </row>
    <row r="61" spans="1:22" ht="13.2">
      <c r="C61" s="215" t="s">
        <v>1071</v>
      </c>
      <c r="D61" s="98"/>
      <c r="E61" s="400">
        <v>4.0999999999999996</v>
      </c>
      <c r="F61" s="5"/>
      <c r="G61" s="400">
        <v>8.4</v>
      </c>
      <c r="H61" s="21"/>
      <c r="I61" s="400">
        <v>11.2</v>
      </c>
      <c r="J61" s="21"/>
      <c r="K61" s="400">
        <v>4.3</v>
      </c>
      <c r="L61" s="21"/>
      <c r="M61" s="400">
        <v>7</v>
      </c>
      <c r="N61" s="5"/>
      <c r="O61" s="400"/>
      <c r="P61" s="25"/>
      <c r="Q61" s="63"/>
      <c r="R61" s="25"/>
      <c r="S61" s="2"/>
      <c r="T61" s="2"/>
      <c r="U61" s="2"/>
      <c r="V61" s="2"/>
    </row>
    <row r="62" spans="1:22">
      <c r="E62" s="2"/>
      <c r="F62" s="2"/>
      <c r="G62" s="2"/>
      <c r="H62" s="2"/>
      <c r="I62" s="2"/>
      <c r="J62" s="2"/>
      <c r="K62" s="2"/>
      <c r="L62" s="2"/>
      <c r="M62" s="2"/>
      <c r="P62" s="2"/>
      <c r="R62" s="2"/>
    </row>
    <row r="63" spans="1:22" ht="39.75" customHeight="1">
      <c r="A63" s="534" t="s">
        <v>770</v>
      </c>
      <c r="B63" s="973" t="s">
        <v>1072</v>
      </c>
      <c r="C63" s="973"/>
      <c r="D63" s="973"/>
      <c r="E63" s="973"/>
      <c r="F63" s="973"/>
      <c r="G63" s="973"/>
      <c r="H63" s="973"/>
      <c r="I63" s="973"/>
      <c r="J63" s="973"/>
      <c r="K63" s="973"/>
      <c r="L63" s="973"/>
      <c r="M63" s="973"/>
      <c r="N63" s="973"/>
      <c r="O63" s="973"/>
      <c r="P63" s="973"/>
      <c r="Q63" s="973"/>
      <c r="R63" s="973"/>
      <c r="S63" s="973"/>
      <c r="T63" s="973"/>
      <c r="U63" s="973"/>
      <c r="V63" s="973"/>
    </row>
    <row r="64" spans="1:22" ht="14.25" customHeight="1">
      <c r="A64" s="535" t="s">
        <v>772</v>
      </c>
      <c r="B64" s="973" t="s">
        <v>1073</v>
      </c>
      <c r="C64" s="973"/>
      <c r="D64" s="973"/>
      <c r="E64" s="973"/>
      <c r="F64" s="973"/>
      <c r="G64" s="973"/>
      <c r="H64" s="973"/>
      <c r="I64" s="973"/>
      <c r="J64" s="973"/>
      <c r="K64" s="973"/>
      <c r="L64" s="973"/>
      <c r="M64" s="973"/>
      <c r="N64" s="973"/>
      <c r="O64" s="973"/>
      <c r="P64" s="973"/>
      <c r="Q64" s="973"/>
      <c r="R64" s="973"/>
      <c r="S64" s="973"/>
      <c r="T64" s="973"/>
      <c r="U64" s="973"/>
      <c r="V64" s="973"/>
    </row>
    <row r="65" spans="1:22" ht="14.25" customHeight="1">
      <c r="A65" s="534" t="s">
        <v>798</v>
      </c>
      <c r="B65" s="973" t="s">
        <v>1074</v>
      </c>
      <c r="C65" s="973"/>
      <c r="D65" s="973"/>
      <c r="E65" s="973"/>
      <c r="F65" s="973"/>
      <c r="G65" s="973"/>
      <c r="H65" s="973"/>
      <c r="I65" s="973"/>
      <c r="J65" s="973"/>
      <c r="K65" s="973"/>
      <c r="L65" s="973"/>
      <c r="M65" s="973"/>
      <c r="N65" s="973"/>
      <c r="O65" s="973"/>
      <c r="P65" s="973"/>
      <c r="Q65" s="973"/>
      <c r="R65" s="973"/>
      <c r="S65" s="973"/>
      <c r="T65" s="973"/>
      <c r="U65" s="973"/>
      <c r="V65" s="973"/>
    </row>
  </sheetData>
  <mergeCells count="15">
    <mergeCell ref="T6:V6"/>
    <mergeCell ref="A1:V1"/>
    <mergeCell ref="A2:V2"/>
    <mergeCell ref="A3:V3"/>
    <mergeCell ref="A4:V4"/>
    <mergeCell ref="T5:V5"/>
    <mergeCell ref="B63:V63"/>
    <mergeCell ref="B64:V64"/>
    <mergeCell ref="B65:V65"/>
    <mergeCell ref="T7:V7"/>
    <mergeCell ref="E8:M8"/>
    <mergeCell ref="E9:M9"/>
    <mergeCell ref="E35:M35"/>
    <mergeCell ref="E36:M36"/>
    <mergeCell ref="E37:M37"/>
  </mergeCells>
  <phoneticPr fontId="24" type="noConversion"/>
  <printOptions horizontalCentered="1"/>
  <pageMargins left="0.25" right="0.25" top="0.5" bottom="0.25" header="0.3" footer="0"/>
  <pageSetup scale="69" orientation="landscape" r:id="rId1"/>
  <headerFooter alignWithMargins="0">
    <oddFooter>&amp;R&amp;A</oddFooter>
  </headerFooter>
  <ignoredErrors>
    <ignoredError sqref="A63:A65" numberStoredAsText="1"/>
  </ignoredErrors>
</worksheet>
</file>

<file path=xl/worksheets/sheet29.xml><?xml version="1.0" encoding="utf-8"?>
<worksheet xmlns="http://schemas.openxmlformats.org/spreadsheetml/2006/main" xmlns:r="http://schemas.openxmlformats.org/officeDocument/2006/relationships">
  <dimension ref="A1:AU34"/>
  <sheetViews>
    <sheetView zoomScale="75" zoomScaleNormal="75" workbookViewId="0">
      <selection activeCell="T40" sqref="T40"/>
    </sheetView>
  </sheetViews>
  <sheetFormatPr defaultRowHeight="14.4"/>
  <cols>
    <col min="1" max="1" width="4.44140625" customWidth="1"/>
    <col min="5" max="5" width="3.109375" customWidth="1"/>
    <col min="7" max="7" width="2.6640625" customWidth="1"/>
    <col min="8" max="8" width="9" customWidth="1"/>
    <col min="9" max="9" width="2.5546875" customWidth="1"/>
    <col min="10" max="10" width="9" customWidth="1"/>
    <col min="11" max="11" width="3.33203125" customWidth="1"/>
    <col min="12" max="12" width="3.109375" customWidth="1"/>
    <col min="13" max="13" width="12.5546875" customWidth="1"/>
    <col min="14" max="14" width="2.5546875" customWidth="1"/>
    <col min="15" max="15" width="9" customWidth="1"/>
    <col min="16" max="16" width="3.33203125" customWidth="1"/>
    <col min="17" max="17" width="3.5546875" customWidth="1"/>
    <col min="18" max="18" width="11.44140625" customWidth="1"/>
    <col min="19" max="19" width="4.6640625" customWidth="1"/>
    <col min="20" max="20" width="12.6640625" customWidth="1"/>
  </cols>
  <sheetData>
    <row r="1" spans="1:47" ht="15.75" customHeight="1">
      <c r="A1" s="1009" t="s">
        <v>96</v>
      </c>
      <c r="B1" s="1009"/>
      <c r="C1" s="1009"/>
      <c r="D1" s="1009"/>
      <c r="E1" s="1009"/>
      <c r="F1" s="1009"/>
      <c r="G1" s="1009"/>
      <c r="H1" s="1009"/>
      <c r="I1" s="1009"/>
      <c r="J1" s="1009"/>
      <c r="K1" s="1009"/>
      <c r="L1" s="1009"/>
      <c r="M1" s="1009"/>
      <c r="N1" s="1009"/>
      <c r="O1" s="1009"/>
      <c r="P1" s="1009"/>
      <c r="Q1" s="1009"/>
      <c r="R1" s="1009"/>
      <c r="S1" s="1009"/>
      <c r="T1" s="1009"/>
      <c r="U1" s="536"/>
      <c r="V1" s="536"/>
      <c r="W1" s="536"/>
    </row>
    <row r="2" spans="1:47" ht="15.75" customHeight="1">
      <c r="A2" s="1009" t="s">
        <v>50</v>
      </c>
      <c r="B2" s="1009"/>
      <c r="C2" s="1009"/>
      <c r="D2" s="1009"/>
      <c r="E2" s="1009"/>
      <c r="F2" s="1009"/>
      <c r="G2" s="1009"/>
      <c r="H2" s="1009"/>
      <c r="I2" s="1009"/>
      <c r="J2" s="1009"/>
      <c r="K2" s="1009"/>
      <c r="L2" s="1009"/>
      <c r="M2" s="1009"/>
      <c r="N2" s="1009"/>
      <c r="O2" s="1009"/>
      <c r="P2" s="1009"/>
      <c r="Q2" s="1009"/>
      <c r="R2" s="1009"/>
      <c r="S2" s="1009"/>
      <c r="T2" s="1009"/>
      <c r="U2" s="536"/>
      <c r="V2" s="536"/>
      <c r="W2" s="536"/>
    </row>
    <row r="3" spans="1:47" ht="15.75" customHeight="1">
      <c r="A3" s="1025" t="s">
        <v>300</v>
      </c>
      <c r="B3" s="1025"/>
      <c r="C3" s="1025"/>
      <c r="D3" s="1025"/>
      <c r="E3" s="1025"/>
      <c r="F3" s="1025"/>
      <c r="G3" s="1025"/>
      <c r="H3" s="1025"/>
      <c r="I3" s="1025"/>
      <c r="J3" s="1025"/>
      <c r="K3" s="1025"/>
      <c r="L3" s="1025"/>
      <c r="M3" s="1025"/>
      <c r="N3" s="1025"/>
      <c r="O3" s="1025"/>
      <c r="P3" s="1025"/>
      <c r="Q3" s="1025"/>
      <c r="R3" s="1025"/>
      <c r="S3" s="1025"/>
      <c r="T3" s="1025"/>
      <c r="U3" s="537"/>
      <c r="V3" s="537"/>
      <c r="W3" s="537"/>
      <c r="X3" s="537"/>
      <c r="Y3" s="537"/>
      <c r="Z3" s="537"/>
      <c r="AA3" s="537"/>
      <c r="AB3" s="537"/>
      <c r="AC3" s="537"/>
      <c r="AD3" s="537"/>
      <c r="AE3" s="537"/>
      <c r="AF3" s="537"/>
      <c r="AG3" s="537"/>
      <c r="AH3" s="537"/>
      <c r="AI3" s="537"/>
      <c r="AJ3" s="537"/>
      <c r="AK3" s="537"/>
      <c r="AL3" s="537"/>
      <c r="AM3" s="537"/>
      <c r="AN3" s="537"/>
      <c r="AO3" s="537"/>
      <c r="AP3" s="537"/>
      <c r="AQ3" s="537"/>
      <c r="AR3" s="537"/>
      <c r="AS3" s="537"/>
      <c r="AT3" s="537"/>
      <c r="AU3" s="537"/>
    </row>
    <row r="4" spans="1:47" s="204" customFormat="1" ht="15" customHeight="1"/>
    <row r="5" spans="1:47" s="204" customFormat="1" ht="15" customHeight="1">
      <c r="A5" s="1021" t="s">
        <v>1144</v>
      </c>
      <c r="B5" s="1021"/>
      <c r="C5" s="1021"/>
      <c r="D5" s="1021"/>
      <c r="E5" s="1021"/>
      <c r="F5" s="1021"/>
      <c r="G5" s="1021"/>
      <c r="H5" s="1021"/>
      <c r="I5" s="1021"/>
      <c r="J5" s="1021"/>
      <c r="K5" s="1021"/>
      <c r="L5" s="1021"/>
      <c r="M5" s="1021"/>
      <c r="N5" s="1021"/>
      <c r="O5" s="1021"/>
      <c r="P5" s="1021"/>
      <c r="Q5" s="1021"/>
      <c r="R5" s="1021"/>
      <c r="S5" s="1021"/>
      <c r="T5" s="1021"/>
    </row>
    <row r="6" spans="1:47" s="204" customFormat="1" ht="15" customHeight="1">
      <c r="A6" s="538"/>
      <c r="B6" s="491"/>
      <c r="C6" s="491"/>
      <c r="D6" s="491"/>
      <c r="E6" s="491"/>
      <c r="F6" s="491"/>
      <c r="G6" s="491"/>
      <c r="H6" s="491"/>
      <c r="I6" s="491"/>
      <c r="J6" s="491"/>
      <c r="K6" s="491"/>
      <c r="L6" s="491"/>
      <c r="M6" s="491"/>
      <c r="N6" s="491"/>
      <c r="O6" s="491"/>
      <c r="P6" s="491"/>
      <c r="Q6" s="491"/>
      <c r="R6" s="491"/>
      <c r="S6" s="491"/>
      <c r="T6" s="491" t="s">
        <v>1075</v>
      </c>
    </row>
    <row r="7" spans="1:47" s="204" customFormat="1" ht="15" customHeight="1">
      <c r="A7" s="5"/>
      <c r="B7" s="5"/>
      <c r="C7" s="5"/>
      <c r="D7" s="5"/>
      <c r="E7" s="5"/>
      <c r="F7" s="10"/>
      <c r="G7" s="5"/>
      <c r="H7" s="10" t="s">
        <v>1076</v>
      </c>
      <c r="I7" s="10"/>
      <c r="J7" s="5"/>
      <c r="K7" s="5"/>
      <c r="L7" s="5"/>
      <c r="M7" s="10" t="s">
        <v>1077</v>
      </c>
      <c r="N7" s="10"/>
      <c r="O7" s="5"/>
      <c r="P7" s="5"/>
      <c r="Q7" s="5"/>
      <c r="R7" s="10" t="s">
        <v>1078</v>
      </c>
      <c r="S7" s="5"/>
      <c r="T7" s="10" t="s">
        <v>1055</v>
      </c>
      <c r="U7" s="5"/>
    </row>
    <row r="8" spans="1:47" s="204" customFormat="1" ht="15" customHeight="1">
      <c r="A8" s="539" t="s">
        <v>1079</v>
      </c>
      <c r="B8" s="539"/>
      <c r="C8" s="539"/>
      <c r="D8" s="5"/>
      <c r="E8" s="5"/>
      <c r="F8" s="6"/>
      <c r="G8" s="5"/>
      <c r="H8" s="13" t="s">
        <v>1080</v>
      </c>
      <c r="I8" s="6"/>
      <c r="J8" s="540"/>
      <c r="K8" s="540"/>
      <c r="L8" s="5"/>
      <c r="M8" s="13" t="s">
        <v>1081</v>
      </c>
      <c r="N8" s="6"/>
      <c r="O8" s="540"/>
      <c r="P8" s="540"/>
      <c r="Q8" s="5"/>
      <c r="R8" s="13" t="s">
        <v>1082</v>
      </c>
      <c r="S8" s="5"/>
      <c r="T8" s="13" t="s">
        <v>1083</v>
      </c>
      <c r="U8" s="5"/>
    </row>
    <row r="9" spans="1:47" s="204" customFormat="1" ht="15" customHeight="1">
      <c r="A9" s="5" t="s">
        <v>1084</v>
      </c>
      <c r="B9" s="5"/>
      <c r="C9" s="5"/>
      <c r="D9" s="5"/>
      <c r="E9" s="5"/>
      <c r="F9" s="11"/>
      <c r="G9" s="5"/>
      <c r="H9" s="21">
        <v>0</v>
      </c>
      <c r="I9" s="21"/>
      <c r="J9" s="382">
        <v>0</v>
      </c>
      <c r="K9" s="5" t="s">
        <v>893</v>
      </c>
      <c r="L9" s="541" t="s">
        <v>108</v>
      </c>
      <c r="M9" s="21">
        <v>0</v>
      </c>
      <c r="N9" s="21"/>
      <c r="O9" s="382">
        <v>0</v>
      </c>
      <c r="P9" s="5" t="s">
        <v>893</v>
      </c>
      <c r="Q9" s="5"/>
      <c r="R9" s="23">
        <v>0</v>
      </c>
      <c r="S9" s="541" t="s">
        <v>108</v>
      </c>
      <c r="T9" s="23">
        <v>0</v>
      </c>
      <c r="U9" s="5"/>
    </row>
    <row r="10" spans="1:47" s="204" customFormat="1" ht="15" customHeight="1">
      <c r="A10" s="5" t="s">
        <v>1085</v>
      </c>
      <c r="B10" s="5"/>
      <c r="C10" s="5"/>
      <c r="D10" s="5"/>
      <c r="E10" s="5"/>
      <c r="F10" s="5"/>
      <c r="G10" s="5"/>
      <c r="H10" s="21">
        <v>4</v>
      </c>
      <c r="I10" s="52"/>
      <c r="J10" s="382">
        <v>13.3</v>
      </c>
      <c r="K10" s="5"/>
      <c r="L10" s="5"/>
      <c r="M10" s="21">
        <v>551</v>
      </c>
      <c r="N10" s="52"/>
      <c r="O10" s="382">
        <v>67.3</v>
      </c>
      <c r="P10" s="5"/>
      <c r="Q10" s="5"/>
      <c r="R10" s="382">
        <v>8.3000000000000007</v>
      </c>
      <c r="S10" s="541"/>
      <c r="T10" s="23">
        <v>137.75</v>
      </c>
      <c r="U10" s="5"/>
    </row>
    <row r="11" spans="1:47" s="204" customFormat="1" ht="15" customHeight="1">
      <c r="A11" s="5" t="s">
        <v>1086</v>
      </c>
      <c r="B11" s="5"/>
      <c r="C11" s="5"/>
      <c r="D11" s="5"/>
      <c r="E11" s="5"/>
      <c r="F11" s="5"/>
      <c r="G11" s="5"/>
      <c r="H11" s="21">
        <v>2</v>
      </c>
      <c r="I11" s="52"/>
      <c r="J11" s="526">
        <v>6.7</v>
      </c>
      <c r="K11" s="5"/>
      <c r="L11" s="5"/>
      <c r="M11" s="21">
        <v>185</v>
      </c>
      <c r="N11" s="52"/>
      <c r="O11" s="347">
        <v>22.6</v>
      </c>
      <c r="P11" s="5"/>
      <c r="Q11" s="5"/>
      <c r="R11" s="382">
        <v>2.8</v>
      </c>
      <c r="S11" s="5"/>
      <c r="T11" s="23">
        <v>92.5</v>
      </c>
      <c r="U11" s="5"/>
    </row>
    <row r="12" spans="1:47" s="204" customFormat="1" ht="15" customHeight="1">
      <c r="A12" s="5" t="s">
        <v>1087</v>
      </c>
      <c r="B12" s="5"/>
      <c r="C12" s="5"/>
      <c r="D12" s="5"/>
      <c r="E12" s="5"/>
      <c r="F12" s="5"/>
      <c r="G12" s="5"/>
      <c r="H12" s="21">
        <v>24</v>
      </c>
      <c r="I12" s="52"/>
      <c r="J12" s="526">
        <v>80</v>
      </c>
      <c r="K12" s="5"/>
      <c r="L12" s="5"/>
      <c r="M12" s="39">
        <v>227</v>
      </c>
      <c r="N12" s="52"/>
      <c r="O12" s="542">
        <v>27.7</v>
      </c>
      <c r="P12" s="5"/>
      <c r="Q12" s="5"/>
      <c r="R12" s="874">
        <v>3.4</v>
      </c>
      <c r="S12" s="541"/>
      <c r="T12" s="23">
        <v>9.4583333333333339</v>
      </c>
      <c r="U12" s="5"/>
    </row>
    <row r="13" spans="1:47" s="204" customFormat="1" ht="15" customHeight="1" thickBot="1">
      <c r="A13" s="5" t="s">
        <v>1088</v>
      </c>
      <c r="B13" s="5"/>
      <c r="C13" s="5"/>
      <c r="D13" s="5"/>
      <c r="E13" s="5"/>
      <c r="F13" s="5"/>
      <c r="G13" s="5"/>
      <c r="H13" s="543">
        <v>30</v>
      </c>
      <c r="I13" s="54"/>
      <c r="J13" s="544">
        <v>100</v>
      </c>
      <c r="K13" s="5" t="s">
        <v>893</v>
      </c>
      <c r="L13" s="5"/>
      <c r="M13" s="23">
        <v>963</v>
      </c>
      <c r="N13" s="54"/>
      <c r="O13" s="89">
        <v>117.60000000000001</v>
      </c>
      <c r="P13" s="5"/>
      <c r="Q13" s="5"/>
      <c r="R13" s="89">
        <v>14.500000000000002</v>
      </c>
      <c r="S13" s="541"/>
      <c r="T13" s="23">
        <v>32.1</v>
      </c>
      <c r="U13" s="5"/>
    </row>
    <row r="14" spans="1:47" s="204" customFormat="1" ht="14.25" customHeight="1" thickTop="1">
      <c r="A14" s="5" t="s">
        <v>1089</v>
      </c>
      <c r="B14" s="5"/>
      <c r="C14" s="5"/>
      <c r="D14" s="5"/>
      <c r="E14" s="5"/>
      <c r="F14" s="5"/>
      <c r="G14" s="5"/>
      <c r="H14" s="54"/>
      <c r="I14" s="54"/>
      <c r="J14" s="526"/>
      <c r="K14" s="5"/>
      <c r="L14" s="541"/>
      <c r="M14" s="23">
        <v>-93</v>
      </c>
      <c r="N14" s="54"/>
      <c r="O14" s="526">
        <v>-11.4</v>
      </c>
      <c r="P14" s="5"/>
      <c r="Q14" s="5"/>
      <c r="R14" s="382">
        <v>-1.4</v>
      </c>
      <c r="S14" s="5"/>
      <c r="T14" s="52"/>
      <c r="U14" s="5"/>
    </row>
    <row r="15" spans="1:47" s="204" customFormat="1" ht="14.25" customHeight="1">
      <c r="A15" s="5" t="s">
        <v>1090</v>
      </c>
      <c r="B15" s="5"/>
      <c r="C15" s="5"/>
      <c r="D15" s="5"/>
      <c r="E15" s="5"/>
      <c r="F15" s="5"/>
      <c r="G15" s="5"/>
      <c r="H15" s="54"/>
      <c r="I15" s="54"/>
      <c r="J15" s="526"/>
      <c r="K15" s="5"/>
      <c r="L15" s="541"/>
      <c r="M15" s="23">
        <v>-51</v>
      </c>
      <c r="N15" s="54"/>
      <c r="O15" s="89">
        <v>-6.2</v>
      </c>
      <c r="P15" s="5"/>
      <c r="Q15" s="5"/>
      <c r="R15" s="89">
        <v>-0.8</v>
      </c>
      <c r="S15" s="5"/>
      <c r="T15" s="52"/>
      <c r="U15" s="5"/>
    </row>
    <row r="16" spans="1:47" s="204" customFormat="1" ht="15" customHeight="1" thickBot="1">
      <c r="A16" s="5" t="s">
        <v>1091</v>
      </c>
      <c r="B16" s="5"/>
      <c r="C16" s="5"/>
      <c r="D16" s="5"/>
      <c r="E16" s="5"/>
      <c r="F16" s="5"/>
      <c r="G16" s="5"/>
      <c r="H16" s="11"/>
      <c r="I16" s="11"/>
      <c r="J16" s="5"/>
      <c r="K16" s="5"/>
      <c r="L16" s="541" t="s">
        <v>108</v>
      </c>
      <c r="M16" s="543">
        <v>819</v>
      </c>
      <c r="N16" s="11"/>
      <c r="O16" s="233">
        <v>100</v>
      </c>
      <c r="P16" s="5" t="s">
        <v>893</v>
      </c>
      <c r="Q16" s="5"/>
      <c r="R16" s="544">
        <v>12.3</v>
      </c>
      <c r="S16" s="5"/>
      <c r="T16" s="5"/>
      <c r="U16" s="5"/>
    </row>
    <row r="17" spans="1:21" s="204" customFormat="1" ht="12" thickTop="1">
      <c r="A17" s="5"/>
      <c r="B17" s="5"/>
      <c r="C17" s="5"/>
      <c r="D17" s="5"/>
      <c r="E17" s="5"/>
      <c r="F17" s="5"/>
      <c r="G17" s="5"/>
      <c r="H17" s="11"/>
      <c r="I17" s="11"/>
      <c r="J17" s="5"/>
      <c r="K17" s="5"/>
      <c r="L17" s="5"/>
      <c r="M17" s="11"/>
      <c r="N17" s="11"/>
      <c r="O17" s="5"/>
      <c r="P17" s="5"/>
      <c r="Q17" s="5"/>
      <c r="R17" s="11"/>
      <c r="S17" s="5"/>
      <c r="T17" s="5"/>
      <c r="U17" s="5"/>
    </row>
    <row r="18" spans="1:21" s="204" customFormat="1" ht="11.4">
      <c r="A18" s="1021" t="s">
        <v>1145</v>
      </c>
      <c r="B18" s="1021"/>
      <c r="C18" s="1021"/>
      <c r="D18" s="1021"/>
      <c r="E18" s="1021"/>
      <c r="F18" s="1021"/>
      <c r="G18" s="1021"/>
      <c r="H18" s="1021"/>
      <c r="I18" s="1021"/>
      <c r="J18" s="1021"/>
      <c r="K18" s="1021"/>
      <c r="L18" s="1021"/>
      <c r="M18" s="1021"/>
      <c r="N18" s="1021"/>
      <c r="O18" s="1021"/>
      <c r="P18" s="1021"/>
      <c r="Q18" s="1021"/>
      <c r="R18" s="1021"/>
      <c r="S18" s="1021"/>
      <c r="T18" s="1021"/>
      <c r="U18" s="5"/>
    </row>
    <row r="19" spans="1:21" s="204" customFormat="1" ht="11.4">
      <c r="A19" s="538"/>
      <c r="B19" s="491"/>
      <c r="C19" s="491"/>
      <c r="D19" s="491"/>
      <c r="E19" s="491"/>
      <c r="F19" s="491"/>
      <c r="G19" s="491"/>
      <c r="H19" s="545"/>
      <c r="I19" s="491"/>
      <c r="J19" s="491"/>
      <c r="K19" s="491"/>
      <c r="L19" s="491"/>
      <c r="M19" s="197"/>
      <c r="N19" s="491"/>
      <c r="O19" s="491"/>
      <c r="P19" s="491"/>
      <c r="Q19" s="491"/>
      <c r="R19" s="197"/>
      <c r="S19" s="491"/>
      <c r="T19" s="491" t="s">
        <v>1075</v>
      </c>
      <c r="U19" s="5"/>
    </row>
    <row r="20" spans="1:21" s="204" customFormat="1" ht="11.4">
      <c r="A20" s="5"/>
      <c r="B20" s="5"/>
      <c r="C20" s="5"/>
      <c r="D20" s="5"/>
      <c r="E20" s="5"/>
      <c r="F20" s="6"/>
      <c r="G20" s="5"/>
      <c r="H20" s="10" t="s">
        <v>1076</v>
      </c>
      <c r="I20" s="10"/>
      <c r="J20" s="5"/>
      <c r="K20" s="5"/>
      <c r="L20" s="5"/>
      <c r="M20" s="10" t="s">
        <v>1077</v>
      </c>
      <c r="N20" s="10"/>
      <c r="O20" s="5"/>
      <c r="P20" s="5"/>
      <c r="Q20" s="5"/>
      <c r="R20" s="10" t="s">
        <v>1078</v>
      </c>
      <c r="S20" s="5"/>
      <c r="T20" s="10" t="s">
        <v>1055</v>
      </c>
      <c r="U20" s="5"/>
    </row>
    <row r="21" spans="1:21" s="204" customFormat="1" ht="11.4">
      <c r="A21" s="539" t="s">
        <v>1079</v>
      </c>
      <c r="B21" s="539"/>
      <c r="C21" s="539"/>
      <c r="D21" s="5"/>
      <c r="E21" s="5"/>
      <c r="F21" s="6"/>
      <c r="G21" s="5"/>
      <c r="H21" s="13" t="s">
        <v>1080</v>
      </c>
      <c r="I21" s="6"/>
      <c r="J21" s="540"/>
      <c r="K21" s="540"/>
      <c r="L21" s="5"/>
      <c r="M21" s="13" t="s">
        <v>1081</v>
      </c>
      <c r="N21" s="6"/>
      <c r="O21" s="540"/>
      <c r="P21" s="540"/>
      <c r="Q21" s="5"/>
      <c r="R21" s="13" t="s">
        <v>1082</v>
      </c>
      <c r="S21" s="5"/>
      <c r="T21" s="13" t="s">
        <v>1083</v>
      </c>
      <c r="U21" s="5"/>
    </row>
    <row r="22" spans="1:21" s="204" customFormat="1" ht="15" customHeight="1">
      <c r="A22" s="5" t="s">
        <v>1084</v>
      </c>
      <c r="B22" s="5"/>
      <c r="C22" s="5"/>
      <c r="D22" s="5"/>
      <c r="E22" s="5"/>
      <c r="F22" s="11"/>
      <c r="G22" s="5"/>
      <c r="H22" s="21">
        <v>0</v>
      </c>
      <c r="I22" s="21"/>
      <c r="J22" s="382">
        <v>0</v>
      </c>
      <c r="K22" s="5" t="s">
        <v>893</v>
      </c>
      <c r="L22" s="541" t="s">
        <v>108</v>
      </c>
      <c r="M22" s="21">
        <v>0</v>
      </c>
      <c r="N22" s="21"/>
      <c r="O22" s="382">
        <v>0</v>
      </c>
      <c r="P22" s="5" t="s">
        <v>893</v>
      </c>
      <c r="Q22" s="5"/>
      <c r="R22" s="23">
        <v>0</v>
      </c>
      <c r="S22" s="541" t="s">
        <v>108</v>
      </c>
      <c r="T22" s="23">
        <v>0</v>
      </c>
      <c r="U22" s="5"/>
    </row>
    <row r="23" spans="1:21" s="204" customFormat="1" ht="15" customHeight="1">
      <c r="A23" s="5" t="s">
        <v>1085</v>
      </c>
      <c r="B23" s="5"/>
      <c r="C23" s="5"/>
      <c r="D23" s="5"/>
      <c r="E23" s="5"/>
      <c r="F23" s="5"/>
      <c r="G23" s="5"/>
      <c r="H23" s="21">
        <v>5</v>
      </c>
      <c r="I23" s="52"/>
      <c r="J23" s="382">
        <v>11.1</v>
      </c>
      <c r="K23" s="5"/>
      <c r="L23" s="5"/>
      <c r="M23" s="21">
        <v>697</v>
      </c>
      <c r="N23" s="52"/>
      <c r="O23" s="382">
        <v>64.7</v>
      </c>
      <c r="P23" s="5"/>
      <c r="Q23" s="5"/>
      <c r="R23" s="382">
        <v>5.2</v>
      </c>
      <c r="S23" s="541"/>
      <c r="T23" s="23">
        <v>139.4</v>
      </c>
      <c r="U23" s="5"/>
    </row>
    <row r="24" spans="1:21" s="204" customFormat="1" ht="15" customHeight="1">
      <c r="A24" s="5" t="s">
        <v>1086</v>
      </c>
      <c r="B24" s="5"/>
      <c r="C24" s="5"/>
      <c r="D24" s="5"/>
      <c r="E24" s="5"/>
      <c r="F24" s="5"/>
      <c r="G24" s="5"/>
      <c r="H24" s="21">
        <v>3</v>
      </c>
      <c r="I24" s="52"/>
      <c r="J24" s="526">
        <v>6.7</v>
      </c>
      <c r="K24" s="5"/>
      <c r="L24" s="5"/>
      <c r="M24" s="21">
        <v>251</v>
      </c>
      <c r="N24" s="52"/>
      <c r="O24" s="347">
        <v>23.3</v>
      </c>
      <c r="P24" s="5"/>
      <c r="Q24" s="5"/>
      <c r="R24" s="382">
        <v>1.9</v>
      </c>
      <c r="S24" s="5"/>
      <c r="T24" s="23">
        <v>83.666666666666671</v>
      </c>
      <c r="U24" s="5"/>
    </row>
    <row r="25" spans="1:21" s="204" customFormat="1" ht="15" customHeight="1">
      <c r="A25" s="5" t="s">
        <v>1087</v>
      </c>
      <c r="B25" s="5"/>
      <c r="C25" s="5"/>
      <c r="D25" s="5"/>
      <c r="E25" s="5"/>
      <c r="F25" s="5"/>
      <c r="G25" s="5"/>
      <c r="H25" s="21">
        <v>37</v>
      </c>
      <c r="I25" s="52"/>
      <c r="J25" s="526">
        <v>82.2</v>
      </c>
      <c r="K25" s="5"/>
      <c r="L25" s="5"/>
      <c r="M25" s="39">
        <v>384</v>
      </c>
      <c r="N25" s="52"/>
      <c r="O25" s="542">
        <v>35.6</v>
      </c>
      <c r="P25" s="5"/>
      <c r="Q25" s="5"/>
      <c r="R25" s="874">
        <v>2.9</v>
      </c>
      <c r="S25" s="541"/>
      <c r="T25" s="23">
        <v>10.378378378378379</v>
      </c>
      <c r="U25" s="5"/>
    </row>
    <row r="26" spans="1:21" s="204" customFormat="1" ht="15" customHeight="1" thickBot="1">
      <c r="A26" s="5" t="s">
        <v>1088</v>
      </c>
      <c r="B26" s="5"/>
      <c r="C26" s="5"/>
      <c r="D26" s="5"/>
      <c r="E26" s="5"/>
      <c r="F26" s="5"/>
      <c r="G26" s="5"/>
      <c r="H26" s="543">
        <v>45</v>
      </c>
      <c r="I26" s="54"/>
      <c r="J26" s="544">
        <v>100</v>
      </c>
      <c r="K26" s="5" t="s">
        <v>893</v>
      </c>
      <c r="L26" s="5"/>
      <c r="M26" s="23">
        <v>1332</v>
      </c>
      <c r="N26" s="54"/>
      <c r="O26" s="89">
        <v>123.6</v>
      </c>
      <c r="P26" s="5"/>
      <c r="Q26" s="5"/>
      <c r="R26" s="89">
        <v>10</v>
      </c>
      <c r="S26" s="541"/>
      <c r="T26" s="23">
        <v>29.6</v>
      </c>
      <c r="U26" s="5"/>
    </row>
    <row r="27" spans="1:21" s="204" customFormat="1" ht="14.25" customHeight="1" thickTop="1">
      <c r="A27" s="5" t="s">
        <v>1089</v>
      </c>
      <c r="B27" s="5"/>
      <c r="C27" s="5"/>
      <c r="D27" s="5"/>
      <c r="E27" s="5"/>
      <c r="F27" s="5"/>
      <c r="G27" s="5"/>
      <c r="H27" s="54"/>
      <c r="I27" s="54"/>
      <c r="J27" s="526"/>
      <c r="K27" s="5"/>
      <c r="L27" s="541"/>
      <c r="M27" s="23">
        <v>-254</v>
      </c>
      <c r="N27" s="54"/>
      <c r="O27" s="526">
        <v>-23.562152133580703</v>
      </c>
      <c r="P27" s="5"/>
      <c r="Q27" s="5"/>
      <c r="R27" s="382">
        <v>-1.9</v>
      </c>
      <c r="S27" s="5"/>
      <c r="T27" s="52"/>
      <c r="U27" s="5"/>
    </row>
    <row r="28" spans="1:21" s="204" customFormat="1" ht="14.25" customHeight="1" thickBot="1">
      <c r="A28" s="5" t="s">
        <v>1091</v>
      </c>
      <c r="B28" s="5"/>
      <c r="C28" s="5"/>
      <c r="D28" s="5"/>
      <c r="E28" s="5"/>
      <c r="F28" s="5"/>
      <c r="G28" s="5"/>
      <c r="H28" s="54"/>
      <c r="I28" s="54"/>
      <c r="J28" s="526"/>
      <c r="K28" s="5"/>
      <c r="L28" s="541" t="s">
        <v>108</v>
      </c>
      <c r="M28" s="543">
        <v>1078</v>
      </c>
      <c r="N28" s="54"/>
      <c r="O28" s="543">
        <v>100.0378478664193</v>
      </c>
      <c r="P28" s="5" t="s">
        <v>893</v>
      </c>
      <c r="Q28" s="5"/>
      <c r="R28" s="544">
        <v>8.1</v>
      </c>
      <c r="S28" s="5"/>
      <c r="T28" s="52"/>
      <c r="U28" s="5"/>
    </row>
    <row r="29" spans="1:21" s="204" customFormat="1" ht="12" thickTop="1"/>
    <row r="30" spans="1:21" s="204" customFormat="1" ht="11.4"/>
    <row r="31" spans="1:21" s="204" customFormat="1" ht="11.4"/>
    <row r="32" spans="1:21" s="204" customFormat="1" ht="11.4"/>
    <row r="33" s="204" customFormat="1" ht="11.4"/>
    <row r="34" s="204" customFormat="1" ht="11.4"/>
  </sheetData>
  <mergeCells count="5">
    <mergeCell ref="A18:T18"/>
    <mergeCell ref="A1:T1"/>
    <mergeCell ref="A2:T2"/>
    <mergeCell ref="A3:T3"/>
    <mergeCell ref="A5:T5"/>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30.xml><?xml version="1.0" encoding="utf-8"?>
<worksheet xmlns="http://schemas.openxmlformats.org/spreadsheetml/2006/main" xmlns:r="http://schemas.openxmlformats.org/officeDocument/2006/relationships">
  <sheetPr enableFormatConditionsCalculation="0">
    <pageSetUpPr fitToPage="1"/>
  </sheetPr>
  <dimension ref="A1:AA280"/>
  <sheetViews>
    <sheetView zoomScale="75" zoomScaleNormal="75" workbookViewId="0">
      <selection activeCell="E37" sqref="E37"/>
    </sheetView>
  </sheetViews>
  <sheetFormatPr defaultRowHeight="14.4"/>
  <cols>
    <col min="1" max="2" width="2.44140625" customWidth="1"/>
    <col min="3" max="3" width="31.109375" style="554" customWidth="1"/>
    <col min="4" max="4" width="2.44140625" customWidth="1"/>
    <col min="5" max="5" width="8.44140625" customWidth="1"/>
    <col min="6" max="6" width="2.44140625" customWidth="1"/>
    <col min="7" max="7" width="2.44140625" style="249" customWidth="1"/>
    <col min="8" max="8" width="8.44140625" style="249" customWidth="1"/>
    <col min="9" max="10" width="2.44140625" style="249" customWidth="1"/>
    <col min="11" max="11" width="8.44140625" style="249" customWidth="1"/>
    <col min="12" max="13" width="2.44140625" style="249" customWidth="1"/>
    <col min="14" max="14" width="8.44140625" style="249" customWidth="1"/>
    <col min="15" max="15" width="2.44140625" style="249" customWidth="1"/>
    <col min="16" max="16" width="2.44140625" customWidth="1"/>
    <col min="17" max="17" width="8.44140625" customWidth="1"/>
    <col min="18" max="19" width="2.44140625" customWidth="1"/>
    <col min="20" max="20" width="8.44140625" style="249" customWidth="1"/>
    <col min="21" max="22" width="2.44140625" customWidth="1"/>
    <col min="23" max="23" width="8.44140625" customWidth="1"/>
    <col min="24" max="25" width="2.44140625" customWidth="1"/>
    <col min="26" max="26" width="8.44140625" customWidth="1"/>
  </cols>
  <sheetData>
    <row r="1" spans="1:26" s="546" customFormat="1" ht="13.2">
      <c r="A1" s="1006" t="s">
        <v>96</v>
      </c>
      <c r="B1" s="1006"/>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row>
    <row r="2" spans="1:26" s="546" customFormat="1" ht="13.2">
      <c r="A2" s="1006" t="s">
        <v>1092</v>
      </c>
      <c r="B2" s="1006"/>
      <c r="C2" s="1006"/>
      <c r="D2" s="1006"/>
      <c r="E2" s="1006"/>
      <c r="F2" s="1006"/>
      <c r="G2" s="1006"/>
      <c r="H2" s="1006"/>
      <c r="I2" s="1006"/>
      <c r="J2" s="1006"/>
      <c r="K2" s="1006"/>
      <c r="L2" s="1006"/>
      <c r="M2" s="1006"/>
      <c r="N2" s="1006"/>
      <c r="O2" s="1006"/>
      <c r="P2" s="1006"/>
      <c r="Q2" s="1006"/>
      <c r="R2" s="1006"/>
      <c r="S2" s="1006"/>
      <c r="T2" s="1006"/>
      <c r="U2" s="1006"/>
      <c r="V2" s="1006"/>
      <c r="W2" s="1006"/>
      <c r="X2" s="1006"/>
      <c r="Y2" s="1006"/>
      <c r="Z2" s="1006"/>
    </row>
    <row r="3" spans="1:26" s="200" customFormat="1" ht="13.2">
      <c r="A3" s="972" t="s">
        <v>693</v>
      </c>
      <c r="B3" s="972"/>
      <c r="C3" s="972"/>
      <c r="D3" s="972"/>
      <c r="E3" s="972"/>
      <c r="F3" s="972"/>
      <c r="G3" s="972"/>
      <c r="H3" s="972"/>
      <c r="I3" s="972"/>
      <c r="J3" s="972"/>
      <c r="K3" s="972"/>
      <c r="L3" s="972"/>
      <c r="M3" s="972"/>
      <c r="N3" s="972"/>
      <c r="O3" s="972"/>
      <c r="P3" s="972"/>
      <c r="Q3" s="972"/>
      <c r="R3" s="972"/>
      <c r="S3" s="972"/>
      <c r="T3" s="972"/>
      <c r="U3" s="972"/>
      <c r="V3" s="972"/>
      <c r="W3" s="972"/>
      <c r="X3" s="972"/>
      <c r="Y3" s="972"/>
      <c r="Z3" s="972"/>
    </row>
    <row r="4" spans="1:26" s="200" customFormat="1" ht="13.2">
      <c r="A4" s="1025" t="s">
        <v>300</v>
      </c>
      <c r="B4" s="1025"/>
      <c r="C4" s="1025"/>
      <c r="D4" s="1025"/>
      <c r="E4" s="1025"/>
      <c r="F4" s="1025"/>
      <c r="G4" s="1025"/>
      <c r="H4" s="1025"/>
      <c r="I4" s="1025"/>
      <c r="J4" s="1025"/>
      <c r="K4" s="1025"/>
      <c r="L4" s="1025"/>
      <c r="M4" s="1025"/>
      <c r="N4" s="1025"/>
      <c r="O4" s="1025"/>
      <c r="P4" s="1025"/>
      <c r="Q4" s="1025"/>
      <c r="R4" s="1025"/>
      <c r="S4" s="1025"/>
      <c r="T4" s="1025"/>
      <c r="U4" s="1025"/>
      <c r="V4" s="1025"/>
      <c r="W4" s="1025"/>
      <c r="X4" s="1025"/>
      <c r="Y4" s="1025"/>
      <c r="Z4" s="1025"/>
    </row>
    <row r="5" spans="1:26" s="200" customFormat="1" ht="13.2">
      <c r="B5" s="199"/>
      <c r="C5" s="367"/>
      <c r="D5" s="199"/>
      <c r="E5" s="199"/>
      <c r="F5" s="199"/>
      <c r="G5" s="1"/>
      <c r="H5" s="1026"/>
      <c r="I5" s="1026"/>
      <c r="J5" s="1"/>
      <c r="K5" s="1026"/>
      <c r="L5" s="1026"/>
      <c r="M5" s="1"/>
      <c r="N5" s="1026"/>
      <c r="O5" s="1026"/>
      <c r="P5" s="199"/>
      <c r="Q5" s="1026"/>
      <c r="R5" s="1026"/>
      <c r="S5" s="199"/>
      <c r="T5" s="720"/>
      <c r="U5" s="1026"/>
      <c r="V5" s="1026"/>
      <c r="W5" s="1026"/>
      <c r="X5" s="1026"/>
      <c r="Y5" s="1026"/>
      <c r="Z5" s="1026"/>
    </row>
    <row r="6" spans="1:26" s="200" customFormat="1" ht="13.2">
      <c r="C6" s="203"/>
      <c r="D6" s="990" t="s">
        <v>99</v>
      </c>
      <c r="E6" s="990"/>
      <c r="F6" s="990"/>
      <c r="G6" s="990"/>
      <c r="H6" s="990"/>
      <c r="I6" s="990"/>
      <c r="J6" s="990"/>
      <c r="K6" s="990"/>
      <c r="L6" s="990"/>
      <c r="M6" s="990"/>
      <c r="N6" s="990"/>
      <c r="O6" s="990"/>
      <c r="P6" s="990"/>
      <c r="Q6" s="990"/>
      <c r="R6" s="990"/>
      <c r="S6" s="990"/>
      <c r="T6" s="990"/>
      <c r="U6" s="208"/>
      <c r="V6" s="208"/>
      <c r="W6" s="990" t="s">
        <v>100</v>
      </c>
      <c r="X6" s="990"/>
      <c r="Y6" s="990"/>
      <c r="Z6" s="990"/>
    </row>
    <row r="7" spans="1:26" s="200" customFormat="1" ht="13.8" thickBot="1">
      <c r="C7" s="203"/>
      <c r="G7" s="192"/>
      <c r="H7" s="6"/>
      <c r="I7" s="6"/>
      <c r="J7" s="192"/>
      <c r="K7" s="6"/>
      <c r="L7" s="6"/>
      <c r="M7" s="192"/>
      <c r="N7" s="6"/>
      <c r="O7" s="6"/>
      <c r="Q7" s="208"/>
      <c r="R7" s="208"/>
      <c r="S7" s="208"/>
      <c r="T7" s="6"/>
      <c r="U7" s="208"/>
      <c r="V7" s="208"/>
      <c r="W7" s="208"/>
      <c r="X7" s="208"/>
      <c r="Y7" s="208"/>
      <c r="Z7" s="208"/>
    </row>
    <row r="8" spans="1:26" s="200" customFormat="1" ht="13.2">
      <c r="C8" s="203"/>
      <c r="D8" s="798"/>
      <c r="E8" s="589" t="s">
        <v>104</v>
      </c>
      <c r="F8" s="688"/>
      <c r="G8" s="206"/>
      <c r="H8" s="208" t="s">
        <v>105</v>
      </c>
      <c r="I8" s="206"/>
      <c r="J8" s="206"/>
      <c r="K8" s="208" t="s">
        <v>102</v>
      </c>
      <c r="L8" s="206"/>
      <c r="M8" s="206"/>
      <c r="N8" s="208" t="s">
        <v>103</v>
      </c>
      <c r="O8" s="206"/>
      <c r="P8" s="798"/>
      <c r="Q8" s="589" t="s">
        <v>104</v>
      </c>
      <c r="R8" s="688"/>
      <c r="S8" s="206"/>
      <c r="T8" s="208" t="s">
        <v>105</v>
      </c>
      <c r="U8" s="206"/>
      <c r="V8" s="276"/>
      <c r="W8" s="208" t="s">
        <v>104</v>
      </c>
      <c r="X8" s="208"/>
      <c r="Y8" s="275"/>
      <c r="Z8" s="208" t="s">
        <v>104</v>
      </c>
    </row>
    <row r="9" spans="1:26" s="200" customFormat="1" ht="13.2">
      <c r="C9" s="203"/>
      <c r="D9" s="690"/>
      <c r="E9" s="13">
        <v>2012</v>
      </c>
      <c r="F9" s="689"/>
      <c r="G9" s="206"/>
      <c r="H9" s="13">
        <v>2012</v>
      </c>
      <c r="I9" s="206"/>
      <c r="J9" s="206"/>
      <c r="K9" s="13">
        <v>2011</v>
      </c>
      <c r="L9" s="206"/>
      <c r="M9" s="206"/>
      <c r="N9" s="13">
        <v>2011</v>
      </c>
      <c r="O9" s="206"/>
      <c r="P9" s="690"/>
      <c r="Q9" s="13">
        <v>2011</v>
      </c>
      <c r="R9" s="689"/>
      <c r="S9" s="206"/>
      <c r="T9" s="13">
        <v>2011</v>
      </c>
      <c r="U9" s="206"/>
      <c r="V9" s="276"/>
      <c r="W9" s="13">
        <v>2012</v>
      </c>
      <c r="X9" s="208"/>
      <c r="Y9" s="275"/>
      <c r="Z9" s="13">
        <v>2011</v>
      </c>
    </row>
    <row r="10" spans="1:26" s="200" customFormat="1" ht="13.2">
      <c r="A10" s="547"/>
      <c r="C10" s="203"/>
      <c r="D10" s="690"/>
      <c r="E10" s="6"/>
      <c r="F10" s="689"/>
      <c r="G10" s="206"/>
      <c r="H10" s="6"/>
      <c r="I10" s="206"/>
      <c r="J10" s="206"/>
      <c r="K10" s="6"/>
      <c r="L10" s="206"/>
      <c r="M10" s="206"/>
      <c r="N10" s="6"/>
      <c r="O10" s="206"/>
      <c r="P10" s="690"/>
      <c r="Q10" s="6"/>
      <c r="R10" s="689"/>
      <c r="S10" s="206"/>
      <c r="T10" s="6"/>
      <c r="U10" s="206"/>
      <c r="V10" s="276"/>
      <c r="W10" s="6"/>
      <c r="X10" s="208"/>
      <c r="Y10" s="275"/>
      <c r="Z10" s="6"/>
    </row>
    <row r="11" spans="1:26" s="200" customFormat="1" ht="13.8">
      <c r="A11" s="548" t="s">
        <v>694</v>
      </c>
      <c r="C11" s="203"/>
      <c r="D11" s="690"/>
      <c r="E11" s="208"/>
      <c r="F11" s="689"/>
      <c r="G11" s="206"/>
      <c r="H11" s="208"/>
      <c r="I11" s="206"/>
      <c r="J11" s="206"/>
      <c r="K11" s="208"/>
      <c r="L11" s="206"/>
      <c r="M11" s="206"/>
      <c r="N11" s="208"/>
      <c r="O11" s="206"/>
      <c r="P11" s="690"/>
      <c r="Q11" s="208"/>
      <c r="R11" s="689"/>
      <c r="S11" s="206"/>
      <c r="T11" s="208"/>
      <c r="U11" s="208"/>
      <c r="V11" s="208"/>
      <c r="W11" s="6"/>
      <c r="X11" s="206"/>
      <c r="Y11" s="208"/>
      <c r="Z11" s="208"/>
    </row>
    <row r="12" spans="1:26" s="200" customFormat="1" ht="13.2">
      <c r="A12" s="548"/>
      <c r="C12" s="203"/>
      <c r="D12" s="690"/>
      <c r="E12" s="208"/>
      <c r="F12" s="689"/>
      <c r="G12" s="206"/>
      <c r="H12" s="208"/>
      <c r="I12" s="206"/>
      <c r="J12" s="206"/>
      <c r="K12" s="208"/>
      <c r="L12" s="206"/>
      <c r="M12" s="206"/>
      <c r="N12" s="208"/>
      <c r="O12" s="206"/>
      <c r="P12" s="690"/>
      <c r="Q12" s="208"/>
      <c r="R12" s="689"/>
      <c r="S12" s="206"/>
      <c r="T12" s="208"/>
      <c r="U12" s="208"/>
      <c r="V12" s="208"/>
      <c r="W12" s="6"/>
      <c r="X12" s="206"/>
      <c r="Y12" s="208"/>
      <c r="Z12" s="208"/>
    </row>
    <row r="13" spans="1:26" s="200" customFormat="1" ht="13.8">
      <c r="A13" s="204" t="s">
        <v>1093</v>
      </c>
      <c r="B13" s="204"/>
      <c r="C13" s="206"/>
      <c r="D13" s="549" t="s">
        <v>108</v>
      </c>
      <c r="E13" s="23">
        <v>-83</v>
      </c>
      <c r="F13" s="37"/>
      <c r="G13" s="550" t="s">
        <v>108</v>
      </c>
      <c r="H13" s="23">
        <v>-48</v>
      </c>
      <c r="I13" s="11"/>
      <c r="J13" s="550" t="s">
        <v>108</v>
      </c>
      <c r="K13" s="23">
        <v>-136</v>
      </c>
      <c r="L13" s="11"/>
      <c r="M13" s="550" t="s">
        <v>108</v>
      </c>
      <c r="N13" s="23">
        <v>-136</v>
      </c>
      <c r="O13" s="11"/>
      <c r="P13" s="549" t="s">
        <v>108</v>
      </c>
      <c r="Q13" s="23">
        <v>-90</v>
      </c>
      <c r="R13" s="37"/>
      <c r="S13" s="550" t="s">
        <v>108</v>
      </c>
      <c r="T13" s="23">
        <v>-19</v>
      </c>
      <c r="U13" s="23"/>
      <c r="V13" s="550" t="s">
        <v>108</v>
      </c>
      <c r="W13" s="23">
        <v>-131</v>
      </c>
      <c r="X13" s="11"/>
      <c r="Y13" s="541" t="s">
        <v>108</v>
      </c>
      <c r="Z13" s="23">
        <v>-109</v>
      </c>
    </row>
    <row r="14" spans="1:26" s="200" customFormat="1" ht="13.2">
      <c r="A14" s="204" t="s">
        <v>367</v>
      </c>
      <c r="B14" s="204"/>
      <c r="C14" s="206"/>
      <c r="D14" s="549"/>
      <c r="E14" s="23">
        <v>-56</v>
      </c>
      <c r="F14" s="37"/>
      <c r="G14" s="550"/>
      <c r="H14" s="23">
        <v>-119</v>
      </c>
      <c r="I14" s="11"/>
      <c r="J14" s="550"/>
      <c r="K14" s="23">
        <v>-30</v>
      </c>
      <c r="L14" s="11"/>
      <c r="M14" s="550"/>
      <c r="N14" s="23">
        <v>-4</v>
      </c>
      <c r="O14" s="11"/>
      <c r="P14" s="549"/>
      <c r="Q14" s="23">
        <v>3</v>
      </c>
      <c r="R14" s="37"/>
      <c r="S14" s="550"/>
      <c r="T14" s="23">
        <v>-38</v>
      </c>
      <c r="U14" s="23"/>
      <c r="V14" s="550"/>
      <c r="W14" s="23">
        <v>-175</v>
      </c>
      <c r="X14" s="11"/>
      <c r="Y14" s="541"/>
      <c r="Z14" s="23">
        <v>-35</v>
      </c>
    </row>
    <row r="15" spans="1:26" s="200" customFormat="1" ht="13.2">
      <c r="A15" s="204" t="s">
        <v>368</v>
      </c>
      <c r="B15" s="204"/>
      <c r="C15" s="206"/>
      <c r="D15" s="549"/>
      <c r="E15" s="39">
        <v>-22</v>
      </c>
      <c r="F15" s="37"/>
      <c r="G15" s="550"/>
      <c r="H15" s="39">
        <v>-40</v>
      </c>
      <c r="I15" s="11"/>
      <c r="J15" s="550"/>
      <c r="K15" s="39">
        <v>33</v>
      </c>
      <c r="L15" s="11"/>
      <c r="M15" s="550"/>
      <c r="N15" s="39">
        <v>12</v>
      </c>
      <c r="O15" s="11"/>
      <c r="P15" s="549"/>
      <c r="Q15" s="39">
        <v>36</v>
      </c>
      <c r="R15" s="37"/>
      <c r="S15" s="550"/>
      <c r="T15" s="39">
        <v>13</v>
      </c>
      <c r="U15" s="23"/>
      <c r="V15" s="550"/>
      <c r="W15" s="39">
        <v>-62</v>
      </c>
      <c r="X15" s="11"/>
      <c r="Y15" s="541"/>
      <c r="Z15" s="39">
        <v>49</v>
      </c>
    </row>
    <row r="16" spans="1:26" s="200" customFormat="1" ht="13.2">
      <c r="A16" s="204"/>
      <c r="B16" s="204"/>
      <c r="C16" s="206"/>
      <c r="D16" s="549"/>
      <c r="E16" s="23"/>
      <c r="F16" s="37"/>
      <c r="G16" s="550"/>
      <c r="H16" s="23"/>
      <c r="I16" s="11"/>
      <c r="J16" s="550"/>
      <c r="K16" s="23"/>
      <c r="L16" s="11"/>
      <c r="M16" s="550"/>
      <c r="N16" s="23"/>
      <c r="O16" s="11"/>
      <c r="P16" s="549"/>
      <c r="Q16" s="23"/>
      <c r="R16" s="37"/>
      <c r="S16" s="550"/>
      <c r="T16" s="23"/>
      <c r="U16" s="23"/>
      <c r="V16" s="550"/>
      <c r="W16" s="23"/>
      <c r="X16" s="11"/>
      <c r="Y16" s="541"/>
      <c r="Z16" s="23"/>
    </row>
    <row r="17" spans="1:26" s="200" customFormat="1" ht="13.8">
      <c r="A17" s="204" t="s">
        <v>1094</v>
      </c>
      <c r="B17" s="204"/>
      <c r="C17" s="206"/>
      <c r="D17" s="549"/>
      <c r="E17" s="23">
        <v>-161</v>
      </c>
      <c r="F17" s="37"/>
      <c r="G17" s="550"/>
      <c r="H17" s="23">
        <v>-207</v>
      </c>
      <c r="I17" s="11"/>
      <c r="J17" s="550"/>
      <c r="K17" s="23">
        <v>-133</v>
      </c>
      <c r="L17" s="11"/>
      <c r="M17" s="550"/>
      <c r="N17" s="23">
        <v>-128</v>
      </c>
      <c r="O17" s="11"/>
      <c r="P17" s="549"/>
      <c r="Q17" s="23">
        <v>-51</v>
      </c>
      <c r="R17" s="37"/>
      <c r="S17" s="550"/>
      <c r="T17" s="23">
        <v>-44</v>
      </c>
      <c r="U17" s="23"/>
      <c r="V17" s="550"/>
      <c r="W17" s="23">
        <v>-368</v>
      </c>
      <c r="X17" s="11"/>
      <c r="Y17" s="541"/>
      <c r="Z17" s="23">
        <v>-95</v>
      </c>
    </row>
    <row r="18" spans="1:26" s="200" customFormat="1" ht="13.2">
      <c r="A18" s="204"/>
      <c r="B18" s="204"/>
      <c r="C18" s="206"/>
      <c r="D18" s="549"/>
      <c r="E18" s="23"/>
      <c r="F18" s="37"/>
      <c r="G18" s="550"/>
      <c r="H18" s="23"/>
      <c r="I18" s="11"/>
      <c r="J18" s="550"/>
      <c r="K18" s="23"/>
      <c r="L18" s="11"/>
      <c r="M18" s="550"/>
      <c r="N18" s="23"/>
      <c r="O18" s="11"/>
      <c r="P18" s="549"/>
      <c r="Q18" s="23"/>
      <c r="R18" s="37"/>
      <c r="S18" s="550"/>
      <c r="T18" s="23"/>
      <c r="U18" s="23"/>
      <c r="V18" s="550"/>
      <c r="W18" s="23"/>
      <c r="X18" s="11"/>
      <c r="Y18" s="541"/>
      <c r="Z18" s="23"/>
    </row>
    <row r="19" spans="1:26" s="200" customFormat="1" ht="13.2">
      <c r="A19" s="204" t="s">
        <v>1095</v>
      </c>
      <c r="B19" s="204"/>
      <c r="C19" s="206"/>
      <c r="D19" s="549"/>
      <c r="E19" s="39">
        <v>3</v>
      </c>
      <c r="F19" s="37"/>
      <c r="G19" s="550"/>
      <c r="H19" s="39">
        <v>3</v>
      </c>
      <c r="I19" s="11"/>
      <c r="J19" s="550"/>
      <c r="K19" s="39">
        <v>3</v>
      </c>
      <c r="L19" s="11"/>
      <c r="M19" s="550"/>
      <c r="N19" s="39">
        <v>11</v>
      </c>
      <c r="O19" s="11"/>
      <c r="P19" s="549"/>
      <c r="Q19" s="39">
        <v>4</v>
      </c>
      <c r="R19" s="37"/>
      <c r="S19" s="550"/>
      <c r="T19" s="39">
        <v>3</v>
      </c>
      <c r="U19" s="23"/>
      <c r="V19" s="550"/>
      <c r="W19" s="39">
        <v>6</v>
      </c>
      <c r="X19" s="11"/>
      <c r="Y19" s="541"/>
      <c r="Z19" s="39">
        <v>7</v>
      </c>
    </row>
    <row r="20" spans="1:26" s="200" customFormat="1" ht="13.2">
      <c r="A20" s="204"/>
      <c r="B20" s="204"/>
      <c r="C20" s="206"/>
      <c r="D20" s="549"/>
      <c r="E20" s="23"/>
      <c r="F20" s="37"/>
      <c r="G20" s="550"/>
      <c r="H20" s="23"/>
      <c r="I20" s="11"/>
      <c r="J20" s="550"/>
      <c r="K20" s="23"/>
      <c r="L20" s="11"/>
      <c r="M20" s="550"/>
      <c r="N20" s="23"/>
      <c r="O20" s="11"/>
      <c r="P20" s="549"/>
      <c r="Q20" s="23"/>
      <c r="R20" s="37"/>
      <c r="S20" s="550"/>
      <c r="T20" s="23"/>
      <c r="U20" s="23"/>
      <c r="V20" s="550"/>
      <c r="W20" s="23"/>
      <c r="X20" s="11"/>
      <c r="Y20" s="541"/>
      <c r="Z20" s="23"/>
    </row>
    <row r="21" spans="1:26" s="200" customFormat="1" ht="13.8" thickBot="1">
      <c r="A21" s="204" t="s">
        <v>1096</v>
      </c>
      <c r="B21" s="204"/>
      <c r="C21" s="206"/>
      <c r="D21" s="549" t="s">
        <v>108</v>
      </c>
      <c r="E21" s="45">
        <v>-158</v>
      </c>
      <c r="F21" s="37"/>
      <c r="G21" s="550" t="s">
        <v>108</v>
      </c>
      <c r="H21" s="45">
        <v>-204</v>
      </c>
      <c r="I21" s="11"/>
      <c r="J21" s="550" t="s">
        <v>108</v>
      </c>
      <c r="K21" s="45">
        <v>-130</v>
      </c>
      <c r="L21" s="11"/>
      <c r="M21" s="550" t="s">
        <v>108</v>
      </c>
      <c r="N21" s="45">
        <v>-117</v>
      </c>
      <c r="O21" s="11"/>
      <c r="P21" s="549" t="s">
        <v>108</v>
      </c>
      <c r="Q21" s="45">
        <v>-47</v>
      </c>
      <c r="R21" s="37"/>
      <c r="S21" s="550" t="s">
        <v>108</v>
      </c>
      <c r="T21" s="45">
        <v>-41</v>
      </c>
      <c r="U21" s="23"/>
      <c r="V21" s="550" t="s">
        <v>108</v>
      </c>
      <c r="W21" s="45">
        <v>-362</v>
      </c>
      <c r="X21" s="11"/>
      <c r="Y21" s="541" t="s">
        <v>108</v>
      </c>
      <c r="Z21" s="45">
        <v>-88</v>
      </c>
    </row>
    <row r="22" spans="1:26" s="200" customFormat="1" ht="13.8" thickTop="1">
      <c r="A22" s="204"/>
      <c r="B22" s="204"/>
      <c r="C22" s="206"/>
      <c r="D22" s="549"/>
      <c r="E22" s="23"/>
      <c r="F22" s="37"/>
      <c r="G22" s="550"/>
      <c r="H22" s="23"/>
      <c r="I22" s="11"/>
      <c r="J22" s="550"/>
      <c r="K22" s="23"/>
      <c r="L22" s="11"/>
      <c r="M22" s="550"/>
      <c r="N22" s="23"/>
      <c r="O22" s="11"/>
      <c r="P22" s="549"/>
      <c r="Q22" s="23"/>
      <c r="R22" s="37"/>
      <c r="S22" s="550"/>
      <c r="T22" s="23"/>
      <c r="U22" s="23"/>
      <c r="V22" s="550"/>
      <c r="W22" s="23"/>
      <c r="X22" s="11"/>
      <c r="Y22" s="541"/>
      <c r="Z22" s="23"/>
    </row>
    <row r="23" spans="1:26" s="200" customFormat="1" ht="13.2">
      <c r="A23" s="204"/>
      <c r="B23" s="204"/>
      <c r="C23" s="206"/>
      <c r="D23" s="549"/>
      <c r="E23" s="23"/>
      <c r="F23" s="37"/>
      <c r="G23" s="550"/>
      <c r="H23" s="23"/>
      <c r="I23" s="11"/>
      <c r="J23" s="550"/>
      <c r="K23" s="23"/>
      <c r="L23" s="11"/>
      <c r="M23" s="550"/>
      <c r="N23" s="23"/>
      <c r="O23" s="11"/>
      <c r="P23" s="549"/>
      <c r="Q23" s="23"/>
      <c r="R23" s="37"/>
      <c r="S23" s="550"/>
      <c r="T23" s="23"/>
      <c r="U23" s="23"/>
      <c r="V23" s="550"/>
      <c r="W23" s="23"/>
      <c r="X23" s="11"/>
      <c r="Y23" s="541"/>
      <c r="Z23" s="23"/>
    </row>
    <row r="24" spans="1:26" s="200" customFormat="1" ht="13.2">
      <c r="A24" s="204" t="s">
        <v>361</v>
      </c>
      <c r="B24" s="204"/>
      <c r="C24" s="206"/>
      <c r="D24" s="549" t="s">
        <v>108</v>
      </c>
      <c r="E24" s="23">
        <v>-151</v>
      </c>
      <c r="F24" s="37"/>
      <c r="G24" s="550" t="s">
        <v>108</v>
      </c>
      <c r="H24" s="23">
        <v>-205</v>
      </c>
      <c r="I24" s="11"/>
      <c r="J24" s="550" t="s">
        <v>108</v>
      </c>
      <c r="K24" s="23">
        <v>-142</v>
      </c>
      <c r="L24" s="11"/>
      <c r="M24" s="550" t="s">
        <v>108</v>
      </c>
      <c r="N24" s="23">
        <v>-132</v>
      </c>
      <c r="O24" s="11"/>
      <c r="P24" s="549" t="s">
        <v>108</v>
      </c>
      <c r="Q24" s="23">
        <v>-49</v>
      </c>
      <c r="R24" s="37"/>
      <c r="S24" s="550" t="s">
        <v>108</v>
      </c>
      <c r="T24" s="23">
        <v>-48</v>
      </c>
      <c r="U24" s="23"/>
      <c r="V24" s="550" t="s">
        <v>108</v>
      </c>
      <c r="W24" s="23">
        <v>-356</v>
      </c>
      <c r="X24" s="11"/>
      <c r="Y24" s="541" t="s">
        <v>108</v>
      </c>
      <c r="Z24" s="23">
        <v>-97</v>
      </c>
    </row>
    <row r="25" spans="1:26" s="200" customFormat="1" ht="13.2">
      <c r="A25" s="204" t="s">
        <v>1012</v>
      </c>
      <c r="B25" s="204"/>
      <c r="C25" s="206"/>
      <c r="D25" s="549"/>
      <c r="E25" s="23">
        <v>-10</v>
      </c>
      <c r="F25" s="37"/>
      <c r="G25" s="550"/>
      <c r="H25" s="23">
        <v>-2</v>
      </c>
      <c r="I25" s="11"/>
      <c r="J25" s="550"/>
      <c r="K25" s="23">
        <v>9</v>
      </c>
      <c r="L25" s="11"/>
      <c r="M25" s="550"/>
      <c r="N25" s="23">
        <v>4</v>
      </c>
      <c r="O25" s="11"/>
      <c r="P25" s="549"/>
      <c r="Q25" s="23">
        <v>-2</v>
      </c>
      <c r="R25" s="37"/>
      <c r="S25" s="550"/>
      <c r="T25" s="23">
        <v>4</v>
      </c>
      <c r="U25" s="23"/>
      <c r="V25" s="550"/>
      <c r="W25" s="23">
        <v>-12</v>
      </c>
      <c r="X25" s="11"/>
      <c r="Y25" s="550"/>
      <c r="Z25" s="23">
        <v>2</v>
      </c>
    </row>
    <row r="26" spans="1:26" s="200" customFormat="1" ht="13.2">
      <c r="A26" s="5" t="s">
        <v>428</v>
      </c>
      <c r="B26" s="5"/>
      <c r="C26" s="11"/>
      <c r="D26" s="549"/>
      <c r="E26" s="39">
        <v>0</v>
      </c>
      <c r="F26" s="37"/>
      <c r="G26" s="550"/>
      <c r="H26" s="39">
        <v>0</v>
      </c>
      <c r="I26" s="11"/>
      <c r="J26" s="550"/>
      <c r="K26" s="39">
        <v>0</v>
      </c>
      <c r="L26" s="11"/>
      <c r="M26" s="550"/>
      <c r="N26" s="39">
        <v>0</v>
      </c>
      <c r="O26" s="11"/>
      <c r="P26" s="549"/>
      <c r="Q26" s="39">
        <v>0</v>
      </c>
      <c r="R26" s="37"/>
      <c r="S26" s="550"/>
      <c r="T26" s="39">
        <v>0</v>
      </c>
      <c r="U26" s="23"/>
      <c r="V26" s="550"/>
      <c r="W26" s="39">
        <v>0</v>
      </c>
      <c r="X26" s="11"/>
      <c r="Y26" s="541"/>
      <c r="Z26" s="39">
        <v>0</v>
      </c>
    </row>
    <row r="27" spans="1:26" s="200" customFormat="1" ht="13.2">
      <c r="A27" s="5"/>
      <c r="B27" s="5"/>
      <c r="C27" s="11"/>
      <c r="D27" s="549"/>
      <c r="E27" s="23"/>
      <c r="F27" s="37"/>
      <c r="G27" s="550"/>
      <c r="H27" s="23"/>
      <c r="I27" s="11"/>
      <c r="J27" s="550"/>
      <c r="K27" s="23"/>
      <c r="L27" s="11"/>
      <c r="M27" s="550"/>
      <c r="N27" s="23"/>
      <c r="O27" s="11"/>
      <c r="P27" s="549"/>
      <c r="Q27" s="23"/>
      <c r="R27" s="37"/>
      <c r="S27" s="550"/>
      <c r="T27" s="23"/>
      <c r="U27" s="23"/>
      <c r="V27" s="550"/>
      <c r="W27" s="23"/>
      <c r="X27" s="11"/>
      <c r="Y27" s="550"/>
      <c r="Z27" s="23"/>
    </row>
    <row r="28" spans="1:26" s="200" customFormat="1" ht="15.75" customHeight="1" thickBot="1">
      <c r="A28" s="5" t="s">
        <v>1097</v>
      </c>
      <c r="B28" s="5"/>
      <c r="C28" s="11"/>
      <c r="D28" s="549" t="s">
        <v>108</v>
      </c>
      <c r="E28" s="45">
        <v>-161</v>
      </c>
      <c r="F28" s="37"/>
      <c r="G28" s="550" t="s">
        <v>108</v>
      </c>
      <c r="H28" s="45">
        <v>-207</v>
      </c>
      <c r="I28" s="11"/>
      <c r="J28" s="550" t="s">
        <v>108</v>
      </c>
      <c r="K28" s="45">
        <v>-133</v>
      </c>
      <c r="L28" s="11"/>
      <c r="M28" s="550" t="s">
        <v>108</v>
      </c>
      <c r="N28" s="45">
        <v>-128</v>
      </c>
      <c r="O28" s="11"/>
      <c r="P28" s="549" t="s">
        <v>108</v>
      </c>
      <c r="Q28" s="45">
        <v>-51</v>
      </c>
      <c r="R28" s="37"/>
      <c r="S28" s="550" t="s">
        <v>108</v>
      </c>
      <c r="T28" s="45">
        <v>-44</v>
      </c>
      <c r="U28" s="23"/>
      <c r="V28" s="550" t="s">
        <v>108</v>
      </c>
      <c r="W28" s="45">
        <v>-368</v>
      </c>
      <c r="X28" s="11"/>
      <c r="Y28" s="541" t="s">
        <v>108</v>
      </c>
      <c r="Z28" s="45">
        <v>-95</v>
      </c>
    </row>
    <row r="29" spans="1:26" s="200" customFormat="1" ht="13.8" thickTop="1">
      <c r="A29" s="5"/>
      <c r="B29" s="5"/>
      <c r="C29" s="11"/>
      <c r="D29" s="36"/>
      <c r="E29" s="11"/>
      <c r="F29" s="37"/>
      <c r="G29" s="11"/>
      <c r="H29" s="11"/>
      <c r="I29" s="11"/>
      <c r="J29" s="11"/>
      <c r="K29" s="11"/>
      <c r="L29" s="11"/>
      <c r="M29" s="11"/>
      <c r="N29" s="11"/>
      <c r="O29" s="11"/>
      <c r="P29" s="36"/>
      <c r="Q29" s="11"/>
      <c r="R29" s="37"/>
      <c r="S29" s="11"/>
      <c r="T29" s="11"/>
      <c r="U29" s="11"/>
      <c r="V29" s="11"/>
      <c r="W29" s="11"/>
      <c r="X29" s="11"/>
      <c r="Y29" s="5"/>
      <c r="Z29" s="11"/>
    </row>
    <row r="30" spans="1:26" s="200" customFormat="1" ht="13.2">
      <c r="A30" s="763" t="s">
        <v>695</v>
      </c>
      <c r="B30" s="5"/>
      <c r="C30" s="11"/>
      <c r="D30" s="36"/>
      <c r="E30" s="11"/>
      <c r="F30" s="37"/>
      <c r="G30" s="11"/>
      <c r="H30" s="11"/>
      <c r="I30" s="11"/>
      <c r="J30" s="11"/>
      <c r="K30" s="11"/>
      <c r="L30" s="11"/>
      <c r="M30" s="11"/>
      <c r="N30" s="11"/>
      <c r="O30" s="11"/>
      <c r="P30" s="36"/>
      <c r="Q30" s="11"/>
      <c r="R30" s="37"/>
      <c r="S30" s="11"/>
      <c r="T30" s="11"/>
      <c r="U30" s="11"/>
      <c r="V30" s="11"/>
      <c r="W30" s="11"/>
      <c r="X30" s="11"/>
      <c r="Y30" s="5"/>
      <c r="Z30" s="11"/>
    </row>
    <row r="31" spans="1:26" s="200" customFormat="1" ht="13.2">
      <c r="A31" s="763" t="s">
        <v>1098</v>
      </c>
      <c r="B31" s="5"/>
      <c r="C31" s="11"/>
      <c r="D31" s="36"/>
      <c r="E31" s="11"/>
      <c r="F31" s="37"/>
      <c r="G31" s="11"/>
      <c r="H31" s="11"/>
      <c r="I31" s="11"/>
      <c r="J31" s="11"/>
      <c r="K31" s="11"/>
      <c r="L31" s="11"/>
      <c r="M31" s="11"/>
      <c r="N31" s="11"/>
      <c r="O31" s="11"/>
      <c r="P31" s="36"/>
      <c r="Q31" s="11"/>
      <c r="R31" s="37"/>
      <c r="S31" s="11"/>
      <c r="T31" s="11"/>
      <c r="U31" s="11"/>
      <c r="V31" s="11"/>
      <c r="W31" s="11"/>
      <c r="X31" s="11"/>
      <c r="Y31" s="5"/>
      <c r="Z31" s="11"/>
    </row>
    <row r="32" spans="1:26" s="200" customFormat="1" ht="13.2">
      <c r="A32" s="763"/>
      <c r="B32" s="5"/>
      <c r="C32" s="11"/>
      <c r="D32" s="36"/>
      <c r="E32" s="11"/>
      <c r="F32" s="37"/>
      <c r="G32" s="11"/>
      <c r="H32" s="11"/>
      <c r="I32" s="11"/>
      <c r="J32" s="11"/>
      <c r="K32" s="11"/>
      <c r="L32" s="11"/>
      <c r="M32" s="11"/>
      <c r="N32" s="11"/>
      <c r="O32" s="11"/>
      <c r="P32" s="36"/>
      <c r="Q32" s="11"/>
      <c r="R32" s="37"/>
      <c r="S32" s="11"/>
      <c r="T32" s="11"/>
      <c r="U32" s="11"/>
      <c r="V32" s="11"/>
      <c r="W32" s="11"/>
      <c r="X32" s="11"/>
      <c r="Y32" s="5"/>
      <c r="Z32" s="11"/>
    </row>
    <row r="33" spans="1:27" s="200" customFormat="1" ht="13.8">
      <c r="A33" s="5" t="s">
        <v>1093</v>
      </c>
      <c r="B33" s="5"/>
      <c r="C33" s="11"/>
      <c r="D33" s="912"/>
      <c r="E33" s="89">
        <v>-1.3</v>
      </c>
      <c r="F33" s="88"/>
      <c r="G33" s="89"/>
      <c r="H33" s="89">
        <v>-0.7</v>
      </c>
      <c r="I33" s="89"/>
      <c r="J33" s="89"/>
      <c r="K33" s="89">
        <v>-2.1</v>
      </c>
      <c r="L33" s="89"/>
      <c r="M33" s="89"/>
      <c r="N33" s="89">
        <v>-2.1</v>
      </c>
      <c r="O33" s="89"/>
      <c r="P33" s="912"/>
      <c r="Q33" s="89">
        <v>-1.4</v>
      </c>
      <c r="R33" s="88"/>
      <c r="S33" s="89"/>
      <c r="T33" s="89">
        <v>-0.3</v>
      </c>
      <c r="U33" s="89"/>
      <c r="V33" s="89"/>
      <c r="W33" s="89">
        <v>-1</v>
      </c>
      <c r="X33" s="89"/>
      <c r="Y33" s="382"/>
      <c r="Z33" s="89">
        <v>-0.8</v>
      </c>
    </row>
    <row r="34" spans="1:27" s="200" customFormat="1" ht="13.2">
      <c r="A34" s="5" t="s">
        <v>367</v>
      </c>
      <c r="B34" s="5"/>
      <c r="C34" s="11"/>
      <c r="D34" s="912"/>
      <c r="E34" s="89">
        <v>-0.8</v>
      </c>
      <c r="F34" s="88"/>
      <c r="G34" s="89"/>
      <c r="H34" s="89">
        <v>-1.8</v>
      </c>
      <c r="I34" s="89"/>
      <c r="J34" s="89"/>
      <c r="K34" s="89">
        <v>-0.4</v>
      </c>
      <c r="L34" s="89"/>
      <c r="M34" s="89"/>
      <c r="N34" s="89">
        <v>-0.1</v>
      </c>
      <c r="O34" s="89"/>
      <c r="P34" s="912"/>
      <c r="Q34" s="89">
        <v>0</v>
      </c>
      <c r="R34" s="88"/>
      <c r="S34" s="89"/>
      <c r="T34" s="89">
        <v>-0.6</v>
      </c>
      <c r="U34" s="89"/>
      <c r="V34" s="89"/>
      <c r="W34" s="89">
        <v>-1.3</v>
      </c>
      <c r="X34" s="89"/>
      <c r="Y34" s="382"/>
      <c r="Z34" s="89">
        <v>-0.3</v>
      </c>
    </row>
    <row r="35" spans="1:27" s="200" customFormat="1" ht="13.2">
      <c r="A35" s="5" t="s">
        <v>368</v>
      </c>
      <c r="B35" s="5"/>
      <c r="C35" s="11"/>
      <c r="D35" s="912"/>
      <c r="E35" s="874">
        <v>-0.3</v>
      </c>
      <c r="F35" s="88"/>
      <c r="G35" s="89"/>
      <c r="H35" s="874">
        <v>-0.6</v>
      </c>
      <c r="I35" s="89"/>
      <c r="J35" s="89"/>
      <c r="K35" s="874">
        <v>0.5</v>
      </c>
      <c r="L35" s="89"/>
      <c r="M35" s="89"/>
      <c r="N35" s="874">
        <v>0.2</v>
      </c>
      <c r="O35" s="89"/>
      <c r="P35" s="912"/>
      <c r="Q35" s="874">
        <v>0.6</v>
      </c>
      <c r="R35" s="88"/>
      <c r="S35" s="89"/>
      <c r="T35" s="874">
        <v>0.2</v>
      </c>
      <c r="U35" s="89"/>
      <c r="V35" s="89"/>
      <c r="W35" s="874">
        <v>-0.5</v>
      </c>
      <c r="X35" s="89"/>
      <c r="Y35" s="382"/>
      <c r="Z35" s="874">
        <v>0.4</v>
      </c>
    </row>
    <row r="36" spans="1:27" s="200" customFormat="1" ht="13.2">
      <c r="A36" s="5"/>
      <c r="B36" s="5"/>
      <c r="C36" s="11"/>
      <c r="D36" s="912"/>
      <c r="E36" s="89"/>
      <c r="F36" s="88"/>
      <c r="G36" s="89"/>
      <c r="H36" s="89"/>
      <c r="I36" s="89"/>
      <c r="J36" s="89"/>
      <c r="K36" s="89"/>
      <c r="L36" s="89"/>
      <c r="M36" s="89"/>
      <c r="N36" s="89"/>
      <c r="O36" s="89"/>
      <c r="P36" s="912"/>
      <c r="Q36" s="89"/>
      <c r="R36" s="88"/>
      <c r="S36" s="89"/>
      <c r="T36" s="89"/>
      <c r="U36" s="89"/>
      <c r="V36" s="89"/>
      <c r="W36" s="89"/>
      <c r="X36" s="89"/>
      <c r="Y36" s="382"/>
      <c r="Z36" s="89"/>
    </row>
    <row r="37" spans="1:27" s="200" customFormat="1" ht="15.75" customHeight="1">
      <c r="A37" s="5" t="s">
        <v>1094</v>
      </c>
      <c r="B37" s="5"/>
      <c r="C37" s="11"/>
      <c r="D37" s="912"/>
      <c r="E37" s="89">
        <v>-2.4</v>
      </c>
      <c r="F37" s="88"/>
      <c r="G37" s="89"/>
      <c r="H37" s="89">
        <v>-3.1</v>
      </c>
      <c r="I37" s="89"/>
      <c r="J37" s="89"/>
      <c r="K37" s="89">
        <v>-2</v>
      </c>
      <c r="L37" s="89"/>
      <c r="M37" s="89"/>
      <c r="N37" s="89">
        <v>-2</v>
      </c>
      <c r="O37" s="89"/>
      <c r="P37" s="912"/>
      <c r="Q37" s="89">
        <v>-0.79999999999999993</v>
      </c>
      <c r="R37" s="88"/>
      <c r="S37" s="89"/>
      <c r="T37" s="89">
        <v>-0.7</v>
      </c>
      <c r="U37" s="89"/>
      <c r="V37" s="89"/>
      <c r="W37" s="89">
        <v>-2.8</v>
      </c>
      <c r="X37" s="89"/>
      <c r="Y37" s="382"/>
      <c r="Z37" s="89">
        <v>-0.70000000000000007</v>
      </c>
    </row>
    <row r="38" spans="1:27" s="200" customFormat="1" ht="13.2">
      <c r="A38" s="5"/>
      <c r="B38" s="5"/>
      <c r="C38" s="11"/>
      <c r="D38" s="912"/>
      <c r="E38" s="89"/>
      <c r="F38" s="88"/>
      <c r="G38" s="89"/>
      <c r="H38" s="89"/>
      <c r="I38" s="89"/>
      <c r="J38" s="89"/>
      <c r="K38" s="89"/>
      <c r="L38" s="89"/>
      <c r="M38" s="89"/>
      <c r="N38" s="89"/>
      <c r="O38" s="89"/>
      <c r="P38" s="912"/>
      <c r="Q38" s="89"/>
      <c r="R38" s="88"/>
      <c r="S38" s="89"/>
      <c r="T38" s="89"/>
      <c r="U38" s="89"/>
      <c r="V38" s="89"/>
      <c r="W38" s="89"/>
      <c r="X38" s="89"/>
      <c r="Y38" s="382"/>
      <c r="Z38" s="89"/>
    </row>
    <row r="39" spans="1:27" s="200" customFormat="1" ht="14.25" customHeight="1">
      <c r="A39" s="5" t="s">
        <v>1095</v>
      </c>
      <c r="B39" s="5"/>
      <c r="C39" s="11"/>
      <c r="D39" s="912"/>
      <c r="E39" s="874">
        <v>0</v>
      </c>
      <c r="F39" s="88"/>
      <c r="G39" s="89"/>
      <c r="H39" s="874">
        <v>0</v>
      </c>
      <c r="I39" s="89"/>
      <c r="J39" s="89"/>
      <c r="K39" s="874">
        <v>0</v>
      </c>
      <c r="L39" s="89"/>
      <c r="M39" s="89"/>
      <c r="N39" s="874">
        <v>0.2</v>
      </c>
      <c r="O39" s="89"/>
      <c r="P39" s="912"/>
      <c r="Q39" s="874">
        <v>0.1</v>
      </c>
      <c r="R39" s="88"/>
      <c r="S39" s="89"/>
      <c r="T39" s="874">
        <v>0</v>
      </c>
      <c r="U39" s="89"/>
      <c r="V39" s="89"/>
      <c r="W39" s="874">
        <v>0.1</v>
      </c>
      <c r="X39" s="89"/>
      <c r="Y39" s="382"/>
      <c r="Z39" s="874">
        <v>0</v>
      </c>
    </row>
    <row r="40" spans="1:27" s="200" customFormat="1" ht="13.2">
      <c r="A40" s="5"/>
      <c r="B40" s="5"/>
      <c r="C40" s="11"/>
      <c r="D40" s="912"/>
      <c r="E40" s="89"/>
      <c r="F40" s="88"/>
      <c r="G40" s="89"/>
      <c r="H40" s="89"/>
      <c r="I40" s="89"/>
      <c r="J40" s="89"/>
      <c r="K40" s="89"/>
      <c r="L40" s="89"/>
      <c r="M40" s="89"/>
      <c r="N40" s="89"/>
      <c r="O40" s="89"/>
      <c r="P40" s="912"/>
      <c r="Q40" s="89"/>
      <c r="R40" s="88"/>
      <c r="S40" s="89"/>
      <c r="T40" s="89"/>
      <c r="U40" s="89"/>
      <c r="V40" s="89"/>
      <c r="W40" s="89"/>
      <c r="X40" s="89"/>
      <c r="Y40" s="382"/>
      <c r="Z40" s="89"/>
    </row>
    <row r="41" spans="1:27" s="200" customFormat="1" ht="13.8" thickBot="1">
      <c r="A41" s="5" t="s">
        <v>1096</v>
      </c>
      <c r="B41" s="5"/>
      <c r="C41" s="11"/>
      <c r="D41" s="912"/>
      <c r="E41" s="87">
        <v>-2.4</v>
      </c>
      <c r="F41" s="88"/>
      <c r="G41" s="89"/>
      <c r="H41" s="87">
        <v>-3.1</v>
      </c>
      <c r="I41" s="89"/>
      <c r="J41" s="89"/>
      <c r="K41" s="87">
        <v>-2</v>
      </c>
      <c r="L41" s="89"/>
      <c r="M41" s="89"/>
      <c r="N41" s="87">
        <v>-1.8</v>
      </c>
      <c r="O41" s="89"/>
      <c r="P41" s="912"/>
      <c r="Q41" s="87">
        <v>-0.7</v>
      </c>
      <c r="R41" s="88"/>
      <c r="S41" s="89"/>
      <c r="T41" s="87">
        <v>-0.7</v>
      </c>
      <c r="U41" s="89"/>
      <c r="V41" s="89"/>
      <c r="W41" s="87">
        <v>-2.7</v>
      </c>
      <c r="X41" s="89"/>
      <c r="Y41" s="382"/>
      <c r="Z41" s="87">
        <v>-0.70000000000000007</v>
      </c>
    </row>
    <row r="42" spans="1:27" s="200" customFormat="1" ht="13.8" thickTop="1">
      <c r="A42" s="5"/>
      <c r="B42" s="5"/>
      <c r="C42" s="11"/>
      <c r="D42" s="912"/>
      <c r="E42" s="89"/>
      <c r="F42" s="88"/>
      <c r="G42" s="89"/>
      <c r="H42" s="89"/>
      <c r="I42" s="89"/>
      <c r="J42" s="89"/>
      <c r="K42" s="89"/>
      <c r="L42" s="89"/>
      <c r="M42" s="89"/>
      <c r="N42" s="89"/>
      <c r="O42" s="89"/>
      <c r="P42" s="912"/>
      <c r="Q42" s="89"/>
      <c r="R42" s="88"/>
      <c r="S42" s="89"/>
      <c r="T42" s="89"/>
      <c r="U42" s="89"/>
      <c r="V42" s="89"/>
      <c r="W42" s="89"/>
      <c r="X42" s="89"/>
      <c r="Y42" s="382"/>
      <c r="Z42" s="89"/>
    </row>
    <row r="43" spans="1:27" s="200" customFormat="1" ht="13.2">
      <c r="A43" s="5"/>
      <c r="B43" s="5"/>
      <c r="C43" s="11"/>
      <c r="D43" s="912"/>
      <c r="E43" s="89"/>
      <c r="F43" s="88"/>
      <c r="G43" s="89"/>
      <c r="H43" s="89"/>
      <c r="I43" s="89"/>
      <c r="J43" s="89"/>
      <c r="K43" s="89"/>
      <c r="L43" s="89"/>
      <c r="M43" s="89"/>
      <c r="N43" s="89"/>
      <c r="O43" s="89"/>
      <c r="P43" s="912"/>
      <c r="Q43" s="89"/>
      <c r="R43" s="88"/>
      <c r="S43" s="89"/>
      <c r="T43" s="89"/>
      <c r="U43" s="89"/>
      <c r="V43" s="89"/>
      <c r="W43" s="89"/>
      <c r="X43" s="89"/>
      <c r="Y43" s="382"/>
      <c r="Z43" s="89"/>
    </row>
    <row r="44" spans="1:27" s="200" customFormat="1" ht="13.2">
      <c r="A44" s="5" t="s">
        <v>361</v>
      </c>
      <c r="B44" s="5"/>
      <c r="C44" s="11"/>
      <c r="D44" s="912"/>
      <c r="E44" s="89">
        <v>-2.2999999999999998</v>
      </c>
      <c r="F44" s="88"/>
      <c r="G44" s="89"/>
      <c r="H44" s="89">
        <v>-3.1</v>
      </c>
      <c r="I44" s="89"/>
      <c r="J44" s="89"/>
      <c r="K44" s="89">
        <v>-2.1</v>
      </c>
      <c r="L44" s="89"/>
      <c r="M44" s="89"/>
      <c r="N44" s="89">
        <v>-2.1</v>
      </c>
      <c r="O44" s="89"/>
      <c r="P44" s="912"/>
      <c r="Q44" s="89">
        <v>-0.8</v>
      </c>
      <c r="R44" s="88"/>
      <c r="S44" s="89"/>
      <c r="T44" s="89">
        <v>-0.8</v>
      </c>
      <c r="U44" s="89"/>
      <c r="V44" s="89"/>
      <c r="W44" s="89">
        <v>-2.7</v>
      </c>
      <c r="X44" s="89"/>
      <c r="Y44" s="382"/>
      <c r="Z44" s="89">
        <v>-0.7</v>
      </c>
      <c r="AA44" s="192"/>
    </row>
    <row r="45" spans="1:27" s="200" customFormat="1" ht="13.2">
      <c r="A45" s="5" t="s">
        <v>1012</v>
      </c>
      <c r="B45" s="5"/>
      <c r="C45" s="11"/>
      <c r="D45" s="912"/>
      <c r="E45" s="89">
        <v>-0.1</v>
      </c>
      <c r="F45" s="88"/>
      <c r="G45" s="89"/>
      <c r="H45" s="89">
        <v>0</v>
      </c>
      <c r="I45" s="89"/>
      <c r="J45" s="89"/>
      <c r="K45" s="89">
        <v>0.1</v>
      </c>
      <c r="L45" s="89"/>
      <c r="M45" s="89"/>
      <c r="N45" s="89">
        <v>0.1</v>
      </c>
      <c r="O45" s="89"/>
      <c r="P45" s="912"/>
      <c r="Q45" s="89">
        <v>0</v>
      </c>
      <c r="R45" s="88"/>
      <c r="S45" s="89"/>
      <c r="T45" s="89">
        <v>0.1</v>
      </c>
      <c r="U45" s="89"/>
      <c r="V45" s="89"/>
      <c r="W45" s="89">
        <v>-0.1</v>
      </c>
      <c r="X45" s="89"/>
      <c r="Y45" s="382"/>
      <c r="Z45" s="89">
        <v>0</v>
      </c>
      <c r="AA45" s="192"/>
    </row>
    <row r="46" spans="1:27" s="200" customFormat="1" ht="13.2">
      <c r="A46" s="5" t="s">
        <v>428</v>
      </c>
      <c r="B46" s="5"/>
      <c r="C46" s="11"/>
      <c r="D46" s="912"/>
      <c r="E46" s="874">
        <v>0</v>
      </c>
      <c r="F46" s="88"/>
      <c r="G46" s="89"/>
      <c r="H46" s="874">
        <v>0</v>
      </c>
      <c r="I46" s="89"/>
      <c r="J46" s="89"/>
      <c r="K46" s="874">
        <v>0</v>
      </c>
      <c r="L46" s="89"/>
      <c r="M46" s="89"/>
      <c r="N46" s="874">
        <v>0</v>
      </c>
      <c r="O46" s="89"/>
      <c r="P46" s="912"/>
      <c r="Q46" s="874">
        <v>0</v>
      </c>
      <c r="R46" s="88"/>
      <c r="S46" s="89"/>
      <c r="T46" s="874">
        <v>0</v>
      </c>
      <c r="U46" s="89"/>
      <c r="V46" s="89"/>
      <c r="W46" s="874">
        <v>0</v>
      </c>
      <c r="X46" s="89"/>
      <c r="Y46" s="382"/>
      <c r="Z46" s="874">
        <v>0</v>
      </c>
      <c r="AA46" s="192"/>
    </row>
    <row r="47" spans="1:27" s="200" customFormat="1" ht="13.2">
      <c r="A47" s="5"/>
      <c r="B47" s="5"/>
      <c r="C47" s="11"/>
      <c r="D47" s="912"/>
      <c r="E47" s="89"/>
      <c r="F47" s="88"/>
      <c r="G47" s="89"/>
      <c r="H47" s="89"/>
      <c r="I47" s="89"/>
      <c r="J47" s="89"/>
      <c r="K47" s="89"/>
      <c r="L47" s="89"/>
      <c r="M47" s="89"/>
      <c r="N47" s="89"/>
      <c r="O47" s="89"/>
      <c r="P47" s="912"/>
      <c r="Q47" s="89"/>
      <c r="R47" s="88"/>
      <c r="S47" s="89"/>
      <c r="T47" s="89"/>
      <c r="U47" s="89"/>
      <c r="V47" s="89"/>
      <c r="W47" s="89"/>
      <c r="X47" s="89"/>
      <c r="Y47" s="382"/>
      <c r="Z47" s="89"/>
      <c r="AA47" s="192"/>
    </row>
    <row r="48" spans="1:27" s="200" customFormat="1" ht="15.75" customHeight="1" thickBot="1">
      <c r="A48" s="5" t="s">
        <v>1097</v>
      </c>
      <c r="B48" s="5"/>
      <c r="C48" s="11"/>
      <c r="D48" s="912"/>
      <c r="E48" s="87">
        <v>-2.4</v>
      </c>
      <c r="F48" s="88"/>
      <c r="G48" s="89"/>
      <c r="H48" s="87">
        <v>-3.1</v>
      </c>
      <c r="I48" s="89"/>
      <c r="J48" s="89"/>
      <c r="K48" s="87">
        <v>-2</v>
      </c>
      <c r="L48" s="89"/>
      <c r="M48" s="89"/>
      <c r="N48" s="87">
        <v>-2</v>
      </c>
      <c r="O48" s="89"/>
      <c r="P48" s="912"/>
      <c r="Q48" s="87">
        <v>-0.8</v>
      </c>
      <c r="R48" s="88"/>
      <c r="S48" s="89"/>
      <c r="T48" s="87">
        <v>-0.70000000000000007</v>
      </c>
      <c r="U48" s="89"/>
      <c r="V48" s="89"/>
      <c r="W48" s="87">
        <v>-2.8</v>
      </c>
      <c r="X48" s="89"/>
      <c r="Y48" s="382"/>
      <c r="Z48" s="87">
        <v>-0.7</v>
      </c>
      <c r="AA48" s="192"/>
    </row>
    <row r="49" spans="1:27" s="200" customFormat="1" thickTop="1" thickBot="1">
      <c r="A49" s="5"/>
      <c r="B49" s="5"/>
      <c r="C49" s="11"/>
      <c r="D49" s="551"/>
      <c r="E49" s="764"/>
      <c r="F49" s="552"/>
      <c r="G49" s="553"/>
      <c r="H49" s="553"/>
      <c r="I49" s="553"/>
      <c r="J49" s="553"/>
      <c r="K49" s="553"/>
      <c r="L49" s="553"/>
      <c r="M49" s="553"/>
      <c r="N49" s="553"/>
      <c r="O49" s="553"/>
      <c r="P49" s="551"/>
      <c r="Q49" s="764"/>
      <c r="R49" s="552"/>
      <c r="S49" s="553"/>
      <c r="T49" s="553"/>
      <c r="U49" s="553"/>
      <c r="V49" s="553"/>
      <c r="W49" s="553"/>
      <c r="X49" s="553"/>
      <c r="Y49" s="192"/>
      <c r="Z49" s="192"/>
      <c r="AA49" s="192"/>
    </row>
    <row r="50" spans="1:27" s="200" customFormat="1" ht="13.2">
      <c r="A50" s="192"/>
      <c r="B50" s="192"/>
      <c r="C50" s="553"/>
      <c r="D50" s="553"/>
      <c r="E50" s="553"/>
      <c r="F50" s="553"/>
      <c r="G50" s="553"/>
      <c r="H50" s="553"/>
      <c r="I50" s="553"/>
      <c r="J50" s="553"/>
      <c r="K50" s="553"/>
      <c r="L50" s="553"/>
      <c r="M50" s="553"/>
      <c r="N50" s="553"/>
      <c r="O50" s="553"/>
      <c r="P50" s="553"/>
      <c r="Q50" s="553"/>
      <c r="R50" s="553"/>
      <c r="S50" s="553"/>
      <c r="T50" s="553"/>
      <c r="U50" s="192"/>
      <c r="V50" s="192"/>
      <c r="W50" s="192"/>
      <c r="X50" s="192"/>
      <c r="Y50" s="192"/>
      <c r="Z50" s="192"/>
    </row>
    <row r="51" spans="1:27" s="200" customFormat="1" ht="15.75" customHeight="1">
      <c r="A51" s="765" t="s">
        <v>770</v>
      </c>
      <c r="B51" s="1027" t="s">
        <v>1099</v>
      </c>
      <c r="C51" s="1027"/>
      <c r="D51" s="1027"/>
      <c r="E51" s="1027"/>
      <c r="F51" s="1027"/>
      <c r="G51" s="1027"/>
      <c r="H51" s="1027"/>
      <c r="I51" s="1027"/>
      <c r="J51" s="1027"/>
      <c r="K51" s="1027"/>
      <c r="L51" s="1027"/>
      <c r="M51" s="1027"/>
      <c r="N51" s="1027"/>
      <c r="O51" s="1027"/>
      <c r="P51" s="1027"/>
      <c r="Q51" s="1027"/>
      <c r="R51" s="1027"/>
      <c r="S51" s="1027"/>
      <c r="T51" s="1027"/>
      <c r="U51" s="1027"/>
      <c r="V51" s="1027"/>
      <c r="W51" s="1027"/>
      <c r="X51" s="1027"/>
      <c r="Y51" s="1027"/>
      <c r="Z51" s="1027"/>
    </row>
    <row r="52" spans="1:27" s="200" customFormat="1" ht="26.25" customHeight="1">
      <c r="A52" s="765" t="s">
        <v>772</v>
      </c>
      <c r="B52" s="973" t="s">
        <v>997</v>
      </c>
      <c r="C52" s="973"/>
      <c r="D52" s="973"/>
      <c r="E52" s="973"/>
      <c r="F52" s="973"/>
      <c r="G52" s="973"/>
      <c r="H52" s="973"/>
      <c r="I52" s="973"/>
      <c r="J52" s="973"/>
      <c r="K52" s="973"/>
      <c r="L52" s="973"/>
      <c r="M52" s="973"/>
      <c r="N52" s="973"/>
      <c r="O52" s="973"/>
      <c r="P52" s="973"/>
      <c r="Q52" s="973"/>
      <c r="R52" s="973"/>
      <c r="S52" s="973"/>
      <c r="T52" s="973"/>
      <c r="U52" s="973"/>
      <c r="V52" s="973"/>
      <c r="W52" s="973"/>
      <c r="X52" s="973"/>
      <c r="Y52" s="973"/>
      <c r="Z52" s="973"/>
    </row>
    <row r="53" spans="1:27" s="200" customFormat="1" ht="13.2">
      <c r="C53" s="203"/>
      <c r="G53" s="553"/>
      <c r="I53" s="553"/>
      <c r="J53" s="553"/>
      <c r="L53" s="553"/>
      <c r="M53" s="192"/>
      <c r="O53" s="192"/>
      <c r="T53" s="192"/>
    </row>
    <row r="54" spans="1:27" s="200" customFormat="1" ht="13.2">
      <c r="C54" s="203"/>
      <c r="G54" s="553"/>
      <c r="I54" s="553"/>
      <c r="J54" s="553"/>
      <c r="L54" s="553"/>
      <c r="M54" s="192"/>
      <c r="O54" s="192"/>
      <c r="T54" s="192"/>
    </row>
    <row r="55" spans="1:27" s="200" customFormat="1" ht="13.2">
      <c r="C55" s="203"/>
      <c r="G55" s="553"/>
      <c r="I55" s="553"/>
      <c r="J55" s="553"/>
      <c r="L55" s="553"/>
      <c r="M55" s="192"/>
      <c r="O55" s="192"/>
      <c r="T55" s="192"/>
    </row>
    <row r="56" spans="1:27" s="200" customFormat="1" ht="13.2">
      <c r="C56" s="203"/>
      <c r="G56" s="553"/>
      <c r="I56" s="553"/>
      <c r="J56" s="553"/>
      <c r="L56" s="553"/>
      <c r="M56" s="192"/>
      <c r="O56" s="192"/>
      <c r="T56" s="192"/>
    </row>
    <row r="57" spans="1:27" s="200" customFormat="1" ht="13.2">
      <c r="C57" s="203"/>
      <c r="G57" s="553"/>
      <c r="I57" s="553"/>
      <c r="J57" s="553"/>
      <c r="L57" s="553"/>
      <c r="M57" s="192"/>
      <c r="O57" s="192"/>
      <c r="T57" s="192"/>
    </row>
    <row r="58" spans="1:27" s="200" customFormat="1" ht="13.2">
      <c r="C58" s="203"/>
      <c r="G58" s="553"/>
      <c r="I58" s="553"/>
      <c r="J58" s="553"/>
      <c r="L58" s="553"/>
      <c r="M58" s="192"/>
      <c r="O58" s="192"/>
      <c r="T58" s="192"/>
    </row>
    <row r="59" spans="1:27" s="200" customFormat="1" ht="13.2">
      <c r="C59" s="203"/>
      <c r="G59" s="553"/>
      <c r="I59" s="553"/>
      <c r="J59" s="553"/>
      <c r="L59" s="553"/>
      <c r="M59" s="192"/>
      <c r="O59" s="192"/>
      <c r="T59" s="192"/>
    </row>
    <row r="60" spans="1:27" s="200" customFormat="1" ht="13.2">
      <c r="C60" s="203"/>
      <c r="G60" s="553"/>
      <c r="I60" s="553"/>
      <c r="J60" s="553"/>
      <c r="L60" s="553"/>
      <c r="M60" s="192"/>
      <c r="O60" s="192"/>
      <c r="T60" s="192"/>
    </row>
    <row r="61" spans="1:27" s="200" customFormat="1" ht="13.2">
      <c r="C61" s="203"/>
      <c r="G61" s="553"/>
      <c r="I61" s="553"/>
      <c r="J61" s="553"/>
      <c r="L61" s="553"/>
      <c r="M61" s="192"/>
      <c r="O61" s="192"/>
      <c r="T61" s="192"/>
    </row>
    <row r="62" spans="1:27" s="200" customFormat="1" ht="13.2">
      <c r="C62" s="203"/>
      <c r="G62" s="553"/>
      <c r="I62" s="553"/>
      <c r="J62" s="553"/>
      <c r="L62" s="553"/>
      <c r="M62" s="192"/>
      <c r="O62" s="192"/>
      <c r="T62" s="192"/>
    </row>
    <row r="63" spans="1:27" s="200" customFormat="1" ht="13.2">
      <c r="C63" s="203"/>
      <c r="G63" s="553"/>
      <c r="I63" s="553"/>
      <c r="J63" s="553"/>
      <c r="L63" s="553"/>
      <c r="M63" s="192"/>
      <c r="O63" s="192"/>
      <c r="T63" s="192"/>
    </row>
    <row r="64" spans="1:27" s="200" customFormat="1" ht="13.2">
      <c r="C64" s="203"/>
      <c r="G64" s="553"/>
      <c r="I64" s="553"/>
      <c r="J64" s="553"/>
      <c r="L64" s="553"/>
      <c r="M64" s="192"/>
      <c r="O64" s="192"/>
      <c r="T64" s="192"/>
    </row>
    <row r="65" spans="3:20" s="200" customFormat="1" ht="13.2">
      <c r="C65" s="203"/>
      <c r="G65" s="553"/>
      <c r="I65" s="553"/>
      <c r="J65" s="553"/>
      <c r="L65" s="553"/>
      <c r="M65" s="192"/>
      <c r="O65" s="192"/>
      <c r="T65" s="192"/>
    </row>
    <row r="66" spans="3:20" s="200" customFormat="1" ht="13.2">
      <c r="C66" s="203"/>
      <c r="G66" s="553"/>
      <c r="I66" s="553"/>
      <c r="J66" s="553"/>
      <c r="L66" s="553"/>
      <c r="M66" s="192"/>
      <c r="O66" s="192"/>
      <c r="T66" s="192"/>
    </row>
    <row r="67" spans="3:20" s="200" customFormat="1" ht="13.2">
      <c r="C67" s="203"/>
      <c r="G67" s="553"/>
      <c r="I67" s="553"/>
      <c r="J67" s="553"/>
      <c r="L67" s="553"/>
      <c r="M67" s="192"/>
      <c r="O67" s="192"/>
      <c r="T67" s="192"/>
    </row>
    <row r="68" spans="3:20" s="200" customFormat="1" ht="13.2">
      <c r="C68" s="203"/>
      <c r="G68" s="553"/>
      <c r="I68" s="553"/>
      <c r="J68" s="553"/>
      <c r="L68" s="553"/>
      <c r="M68" s="192"/>
      <c r="O68" s="192"/>
      <c r="T68" s="192"/>
    </row>
    <row r="69" spans="3:20" s="200" customFormat="1" ht="13.2">
      <c r="C69" s="203"/>
      <c r="G69" s="553"/>
      <c r="I69" s="553"/>
      <c r="J69" s="553"/>
      <c r="L69" s="553"/>
      <c r="M69" s="192"/>
      <c r="O69" s="192"/>
      <c r="T69" s="192"/>
    </row>
    <row r="70" spans="3:20" s="200" customFormat="1" ht="13.2">
      <c r="C70" s="203"/>
      <c r="G70" s="553"/>
      <c r="I70" s="553"/>
      <c r="J70" s="553"/>
      <c r="L70" s="553"/>
      <c r="M70" s="192"/>
      <c r="O70" s="192"/>
      <c r="T70" s="192"/>
    </row>
    <row r="71" spans="3:20" s="200" customFormat="1" ht="13.2">
      <c r="C71" s="203"/>
      <c r="G71" s="553"/>
      <c r="I71" s="553"/>
      <c r="J71" s="553"/>
      <c r="L71" s="553"/>
      <c r="M71" s="192"/>
      <c r="O71" s="192"/>
      <c r="T71" s="192"/>
    </row>
    <row r="72" spans="3:20" s="200" customFormat="1" ht="13.2">
      <c r="C72" s="203"/>
      <c r="G72" s="553"/>
      <c r="H72" s="553"/>
      <c r="I72" s="553"/>
      <c r="J72" s="553"/>
      <c r="K72" s="553"/>
      <c r="L72" s="553"/>
      <c r="M72" s="192"/>
      <c r="N72" s="192"/>
      <c r="O72" s="192"/>
      <c r="T72" s="192"/>
    </row>
    <row r="73" spans="3:20" s="200" customFormat="1" ht="13.2">
      <c r="C73" s="203"/>
      <c r="G73" s="553"/>
      <c r="H73" s="553"/>
      <c r="I73" s="553"/>
      <c r="J73" s="553"/>
      <c r="K73" s="553"/>
      <c r="L73" s="553"/>
      <c r="M73" s="192"/>
      <c r="N73" s="192"/>
      <c r="O73" s="192"/>
      <c r="T73" s="192"/>
    </row>
    <row r="74" spans="3:20" s="200" customFormat="1" ht="13.2">
      <c r="C74" s="203"/>
      <c r="G74" s="553"/>
      <c r="H74" s="553"/>
      <c r="I74" s="553"/>
      <c r="J74" s="553"/>
      <c r="K74" s="553"/>
      <c r="L74" s="553"/>
      <c r="M74" s="192"/>
      <c r="N74" s="192"/>
      <c r="O74" s="192"/>
      <c r="T74" s="192"/>
    </row>
    <row r="75" spans="3:20" s="200" customFormat="1" ht="13.2">
      <c r="C75" s="203"/>
      <c r="G75" s="553"/>
      <c r="H75" s="553"/>
      <c r="I75" s="553"/>
      <c r="J75" s="553"/>
      <c r="K75" s="553"/>
      <c r="L75" s="553"/>
      <c r="M75" s="192"/>
      <c r="N75" s="192"/>
      <c r="O75" s="192"/>
      <c r="T75" s="192"/>
    </row>
    <row r="76" spans="3:20" s="200" customFormat="1" ht="13.2">
      <c r="C76" s="203"/>
      <c r="G76" s="553"/>
      <c r="H76" s="553"/>
      <c r="I76" s="553"/>
      <c r="J76" s="553"/>
      <c r="K76" s="553"/>
      <c r="L76" s="553"/>
      <c r="M76" s="192"/>
      <c r="N76" s="192"/>
      <c r="O76" s="192"/>
      <c r="T76" s="192"/>
    </row>
    <row r="77" spans="3:20" s="200" customFormat="1" ht="13.2">
      <c r="C77" s="203"/>
      <c r="G77" s="553"/>
      <c r="H77" s="553"/>
      <c r="I77" s="553"/>
      <c r="J77" s="553"/>
      <c r="K77" s="553"/>
      <c r="L77" s="553"/>
      <c r="M77" s="192"/>
      <c r="N77" s="192"/>
      <c r="O77" s="192"/>
      <c r="T77" s="192"/>
    </row>
    <row r="78" spans="3:20" s="200" customFormat="1" ht="13.2">
      <c r="C78" s="203"/>
      <c r="G78" s="553"/>
      <c r="H78" s="553"/>
      <c r="I78" s="553"/>
      <c r="J78" s="553"/>
      <c r="K78" s="553"/>
      <c r="L78" s="553"/>
      <c r="M78" s="192"/>
      <c r="N78" s="192"/>
      <c r="O78" s="192"/>
      <c r="T78" s="192"/>
    </row>
    <row r="79" spans="3:20" s="200" customFormat="1" ht="13.2">
      <c r="C79" s="203"/>
      <c r="G79" s="553"/>
      <c r="H79" s="553"/>
      <c r="I79" s="553"/>
      <c r="J79" s="553"/>
      <c r="K79" s="553"/>
      <c r="L79" s="553"/>
      <c r="M79" s="192"/>
      <c r="N79" s="192"/>
      <c r="O79" s="192"/>
      <c r="T79" s="192"/>
    </row>
    <row r="80" spans="3:20" s="200" customFormat="1" ht="13.2">
      <c r="C80" s="203"/>
      <c r="G80" s="553"/>
      <c r="H80" s="553"/>
      <c r="I80" s="553"/>
      <c r="J80" s="553"/>
      <c r="K80" s="553"/>
      <c r="L80" s="553"/>
      <c r="M80" s="192"/>
      <c r="N80" s="192"/>
      <c r="O80" s="192"/>
      <c r="T80" s="192"/>
    </row>
    <row r="81" spans="3:20" s="200" customFormat="1" ht="13.2">
      <c r="C81" s="203"/>
      <c r="G81" s="553"/>
      <c r="H81" s="553"/>
      <c r="I81" s="553"/>
      <c r="J81" s="553"/>
      <c r="K81" s="553"/>
      <c r="L81" s="553"/>
      <c r="M81" s="192"/>
      <c r="N81" s="192"/>
      <c r="O81" s="192"/>
      <c r="T81" s="192"/>
    </row>
    <row r="82" spans="3:20" s="200" customFormat="1" ht="13.2">
      <c r="C82" s="203"/>
      <c r="G82" s="553"/>
      <c r="H82" s="553"/>
      <c r="I82" s="553"/>
      <c r="J82" s="553"/>
      <c r="K82" s="553"/>
      <c r="L82" s="553"/>
      <c r="M82" s="192"/>
      <c r="N82" s="192"/>
      <c r="O82" s="192"/>
      <c r="T82" s="192"/>
    </row>
    <row r="83" spans="3:20" s="200" customFormat="1" ht="13.2">
      <c r="C83" s="203"/>
      <c r="G83" s="553"/>
      <c r="H83" s="553"/>
      <c r="I83" s="553"/>
      <c r="J83" s="553"/>
      <c r="K83" s="553"/>
      <c r="L83" s="553"/>
      <c r="M83" s="192"/>
      <c r="N83" s="192"/>
      <c r="O83" s="192"/>
      <c r="T83" s="192"/>
    </row>
    <row r="84" spans="3:20" s="200" customFormat="1" ht="13.2">
      <c r="C84" s="203"/>
      <c r="G84" s="553"/>
      <c r="H84" s="553"/>
      <c r="I84" s="553"/>
      <c r="J84" s="553"/>
      <c r="K84" s="553"/>
      <c r="L84" s="553"/>
      <c r="M84" s="192"/>
      <c r="N84" s="192"/>
      <c r="O84" s="192"/>
      <c r="T84" s="192"/>
    </row>
    <row r="85" spans="3:20" s="200" customFormat="1" ht="13.2">
      <c r="C85" s="203"/>
      <c r="G85" s="553"/>
      <c r="H85" s="553"/>
      <c r="I85" s="553"/>
      <c r="J85" s="553"/>
      <c r="K85" s="553"/>
      <c r="L85" s="553"/>
      <c r="M85" s="192"/>
      <c r="N85" s="192"/>
      <c r="O85" s="192"/>
      <c r="T85" s="192"/>
    </row>
    <row r="86" spans="3:20" s="200" customFormat="1" ht="13.2">
      <c r="C86" s="203"/>
      <c r="G86" s="553"/>
      <c r="H86" s="553"/>
      <c r="I86" s="553"/>
      <c r="J86" s="553"/>
      <c r="K86" s="553"/>
      <c r="L86" s="553"/>
      <c r="M86" s="192"/>
      <c r="N86" s="192"/>
      <c r="O86" s="192"/>
      <c r="T86" s="192"/>
    </row>
    <row r="87" spans="3:20" s="200" customFormat="1" ht="13.2">
      <c r="C87" s="203"/>
      <c r="G87" s="192"/>
      <c r="H87" s="192"/>
      <c r="I87" s="192"/>
      <c r="J87" s="192"/>
      <c r="K87" s="192"/>
      <c r="L87" s="192"/>
      <c r="M87" s="192"/>
      <c r="N87" s="192"/>
      <c r="O87" s="192"/>
      <c r="T87" s="192"/>
    </row>
    <row r="88" spans="3:20" s="200" customFormat="1" ht="13.2">
      <c r="C88" s="203"/>
      <c r="G88" s="192"/>
      <c r="H88" s="192"/>
      <c r="I88" s="192"/>
      <c r="J88" s="192"/>
      <c r="K88" s="192"/>
      <c r="L88" s="192"/>
      <c r="M88" s="192"/>
      <c r="N88" s="192"/>
      <c r="O88" s="192"/>
      <c r="T88" s="192"/>
    </row>
    <row r="89" spans="3:20" s="200" customFormat="1" ht="13.2">
      <c r="C89" s="203"/>
      <c r="G89" s="192"/>
      <c r="H89" s="192"/>
      <c r="I89" s="192"/>
      <c r="J89" s="192"/>
      <c r="K89" s="192"/>
      <c r="L89" s="192"/>
      <c r="M89" s="192"/>
      <c r="N89" s="192"/>
      <c r="O89" s="192"/>
      <c r="T89" s="192"/>
    </row>
    <row r="90" spans="3:20" s="200" customFormat="1" ht="13.2">
      <c r="C90" s="203"/>
      <c r="G90" s="192"/>
      <c r="H90" s="192"/>
      <c r="I90" s="192"/>
      <c r="J90" s="192"/>
      <c r="K90" s="192"/>
      <c r="L90" s="192"/>
      <c r="M90" s="192"/>
      <c r="N90" s="192"/>
      <c r="O90" s="192"/>
      <c r="T90" s="192"/>
    </row>
    <row r="91" spans="3:20" s="200" customFormat="1" ht="13.2">
      <c r="C91" s="203"/>
      <c r="G91" s="192"/>
      <c r="H91" s="192"/>
      <c r="I91" s="192"/>
      <c r="J91" s="192"/>
      <c r="K91" s="192"/>
      <c r="L91" s="192"/>
      <c r="M91" s="192"/>
      <c r="N91" s="192"/>
      <c r="O91" s="192"/>
      <c r="T91" s="192"/>
    </row>
    <row r="92" spans="3:20" s="200" customFormat="1" ht="13.2">
      <c r="C92" s="203"/>
      <c r="G92" s="192"/>
      <c r="H92" s="192"/>
      <c r="I92" s="192"/>
      <c r="J92" s="192"/>
      <c r="K92" s="192"/>
      <c r="L92" s="192"/>
      <c r="M92" s="192"/>
      <c r="N92" s="192"/>
      <c r="O92" s="192"/>
      <c r="T92" s="192"/>
    </row>
    <row r="93" spans="3:20" s="200" customFormat="1" ht="13.2">
      <c r="C93" s="203"/>
      <c r="G93" s="192"/>
      <c r="H93" s="192"/>
      <c r="I93" s="192"/>
      <c r="J93" s="192"/>
      <c r="K93" s="192"/>
      <c r="L93" s="192"/>
      <c r="M93" s="192"/>
      <c r="N93" s="192"/>
      <c r="O93" s="192"/>
      <c r="T93" s="192"/>
    </row>
    <row r="94" spans="3:20" s="200" customFormat="1" ht="13.2">
      <c r="C94" s="203"/>
      <c r="G94" s="192"/>
      <c r="H94" s="192"/>
      <c r="I94" s="192"/>
      <c r="J94" s="192"/>
      <c r="K94" s="192"/>
      <c r="L94" s="192"/>
      <c r="M94" s="192"/>
      <c r="N94" s="192"/>
      <c r="O94" s="192"/>
      <c r="T94" s="192"/>
    </row>
    <row r="95" spans="3:20" s="200" customFormat="1" ht="13.2">
      <c r="C95" s="203"/>
      <c r="G95" s="192"/>
      <c r="H95" s="192"/>
      <c r="I95" s="192"/>
      <c r="J95" s="192"/>
      <c r="K95" s="192"/>
      <c r="L95" s="192"/>
      <c r="M95" s="192"/>
      <c r="N95" s="192"/>
      <c r="O95" s="192"/>
      <c r="T95" s="192"/>
    </row>
    <row r="96" spans="3:20" s="200" customFormat="1" ht="13.2">
      <c r="C96" s="203"/>
      <c r="G96" s="192"/>
      <c r="H96" s="192"/>
      <c r="I96" s="192"/>
      <c r="J96" s="192"/>
      <c r="K96" s="192"/>
      <c r="L96" s="192"/>
      <c r="M96" s="192"/>
      <c r="N96" s="192"/>
      <c r="O96" s="192"/>
      <c r="T96" s="192"/>
    </row>
    <row r="97" spans="3:20" s="200" customFormat="1" ht="13.2">
      <c r="C97" s="203"/>
      <c r="G97" s="192"/>
      <c r="H97" s="192"/>
      <c r="I97" s="192"/>
      <c r="J97" s="192"/>
      <c r="K97" s="192"/>
      <c r="L97" s="192"/>
      <c r="M97" s="192"/>
      <c r="N97" s="192"/>
      <c r="O97" s="192"/>
      <c r="T97" s="192"/>
    </row>
    <row r="98" spans="3:20" s="200" customFormat="1" ht="13.2">
      <c r="C98" s="203"/>
      <c r="G98" s="192"/>
      <c r="H98" s="192"/>
      <c r="I98" s="192"/>
      <c r="J98" s="192"/>
      <c r="K98" s="192"/>
      <c r="L98" s="192"/>
      <c r="M98" s="192"/>
      <c r="N98" s="192"/>
      <c r="O98" s="192"/>
      <c r="T98" s="192"/>
    </row>
    <row r="99" spans="3:20" s="200" customFormat="1" ht="13.2">
      <c r="C99" s="203"/>
      <c r="G99" s="192"/>
      <c r="H99" s="192"/>
      <c r="I99" s="192"/>
      <c r="J99" s="192"/>
      <c r="K99" s="192"/>
      <c r="L99" s="192"/>
      <c r="M99" s="192"/>
      <c r="N99" s="192"/>
      <c r="O99" s="192"/>
      <c r="T99" s="192"/>
    </row>
    <row r="100" spans="3:20" s="200" customFormat="1" ht="13.2">
      <c r="C100" s="203"/>
      <c r="G100" s="192"/>
      <c r="H100" s="192"/>
      <c r="I100" s="192"/>
      <c r="J100" s="192"/>
      <c r="K100" s="192"/>
      <c r="L100" s="192"/>
      <c r="M100" s="192"/>
      <c r="N100" s="192"/>
      <c r="O100" s="192"/>
      <c r="T100" s="192"/>
    </row>
    <row r="101" spans="3:20" s="200" customFormat="1" ht="13.2">
      <c r="C101" s="203"/>
      <c r="G101" s="192"/>
      <c r="H101" s="192"/>
      <c r="I101" s="192"/>
      <c r="J101" s="192"/>
      <c r="K101" s="192"/>
      <c r="L101" s="192"/>
      <c r="M101" s="192"/>
      <c r="N101" s="192"/>
      <c r="O101" s="192"/>
      <c r="T101" s="192"/>
    </row>
    <row r="102" spans="3:20" s="200" customFormat="1" ht="13.2">
      <c r="C102" s="203"/>
      <c r="G102" s="192"/>
      <c r="H102" s="192"/>
      <c r="I102" s="192"/>
      <c r="J102" s="192"/>
      <c r="K102" s="192"/>
      <c r="L102" s="192"/>
      <c r="M102" s="192"/>
      <c r="N102" s="192"/>
      <c r="O102" s="192"/>
      <c r="T102" s="192"/>
    </row>
    <row r="103" spans="3:20" s="200" customFormat="1" ht="13.2">
      <c r="C103" s="203"/>
      <c r="G103" s="192"/>
      <c r="H103" s="192"/>
      <c r="I103" s="192"/>
      <c r="J103" s="192"/>
      <c r="K103" s="192"/>
      <c r="L103" s="192"/>
      <c r="M103" s="192"/>
      <c r="N103" s="192"/>
      <c r="O103" s="192"/>
      <c r="T103" s="192"/>
    </row>
    <row r="104" spans="3:20" s="200" customFormat="1" ht="13.2">
      <c r="C104" s="203"/>
      <c r="G104" s="192"/>
      <c r="H104" s="192"/>
      <c r="I104" s="192"/>
      <c r="J104" s="192"/>
      <c r="K104" s="192"/>
      <c r="L104" s="192"/>
      <c r="M104" s="192"/>
      <c r="N104" s="192"/>
      <c r="O104" s="192"/>
      <c r="T104" s="192"/>
    </row>
    <row r="105" spans="3:20" s="200" customFormat="1" ht="13.2">
      <c r="C105" s="203"/>
      <c r="G105" s="192"/>
      <c r="H105" s="192"/>
      <c r="I105" s="192"/>
      <c r="J105" s="192"/>
      <c r="K105" s="192"/>
      <c r="L105" s="192"/>
      <c r="M105" s="192"/>
      <c r="N105" s="192"/>
      <c r="O105" s="192"/>
      <c r="T105" s="192"/>
    </row>
    <row r="106" spans="3:20" s="200" customFormat="1" ht="13.2">
      <c r="C106" s="203"/>
      <c r="G106" s="192"/>
      <c r="H106" s="192"/>
      <c r="I106" s="192"/>
      <c r="J106" s="192"/>
      <c r="K106" s="192"/>
      <c r="L106" s="192"/>
      <c r="M106" s="192"/>
      <c r="N106" s="192"/>
      <c r="O106" s="192"/>
      <c r="T106" s="192"/>
    </row>
    <row r="107" spans="3:20" s="200" customFormat="1" ht="13.2">
      <c r="C107" s="203"/>
      <c r="G107" s="192"/>
      <c r="H107" s="192"/>
      <c r="I107" s="192"/>
      <c r="J107" s="192"/>
      <c r="K107" s="192"/>
      <c r="L107" s="192"/>
      <c r="M107" s="192"/>
      <c r="N107" s="192"/>
      <c r="O107" s="192"/>
      <c r="T107" s="192"/>
    </row>
    <row r="108" spans="3:20" s="200" customFormat="1" ht="13.2">
      <c r="C108" s="203"/>
      <c r="G108" s="192"/>
      <c r="H108" s="192"/>
      <c r="I108" s="192"/>
      <c r="J108" s="192"/>
      <c r="K108" s="192"/>
      <c r="L108" s="192"/>
      <c r="M108" s="192"/>
      <c r="N108" s="192"/>
      <c r="O108" s="192"/>
      <c r="T108" s="192"/>
    </row>
    <row r="109" spans="3:20" s="200" customFormat="1" ht="13.2">
      <c r="C109" s="203"/>
      <c r="G109" s="192"/>
      <c r="H109" s="192"/>
      <c r="I109" s="192"/>
      <c r="J109" s="192"/>
      <c r="K109" s="192"/>
      <c r="L109" s="192"/>
      <c r="M109" s="192"/>
      <c r="N109" s="192"/>
      <c r="O109" s="192"/>
      <c r="T109" s="192"/>
    </row>
    <row r="110" spans="3:20" s="200" customFormat="1" ht="13.2">
      <c r="C110" s="203"/>
      <c r="G110" s="192"/>
      <c r="H110" s="192"/>
      <c r="I110" s="192"/>
      <c r="J110" s="192"/>
      <c r="K110" s="192"/>
      <c r="L110" s="192"/>
      <c r="M110" s="192"/>
      <c r="N110" s="192"/>
      <c r="O110" s="192"/>
      <c r="T110" s="192"/>
    </row>
    <row r="111" spans="3:20" s="200" customFormat="1" ht="13.2">
      <c r="C111" s="203"/>
      <c r="G111" s="192"/>
      <c r="H111" s="192"/>
      <c r="I111" s="192"/>
      <c r="J111" s="192"/>
      <c r="K111" s="192"/>
      <c r="L111" s="192"/>
      <c r="M111" s="192"/>
      <c r="N111" s="192"/>
      <c r="O111" s="192"/>
      <c r="T111" s="192"/>
    </row>
    <row r="112" spans="3:20" s="200" customFormat="1" ht="13.2">
      <c r="C112" s="203"/>
      <c r="G112" s="192"/>
      <c r="H112" s="192"/>
      <c r="I112" s="192"/>
      <c r="J112" s="192"/>
      <c r="K112" s="192"/>
      <c r="L112" s="192"/>
      <c r="M112" s="192"/>
      <c r="N112" s="192"/>
      <c r="O112" s="192"/>
      <c r="T112" s="192"/>
    </row>
    <row r="113" spans="3:20" s="200" customFormat="1" ht="13.2">
      <c r="C113" s="203"/>
      <c r="G113" s="192"/>
      <c r="H113" s="192"/>
      <c r="I113" s="192"/>
      <c r="J113" s="192"/>
      <c r="K113" s="192"/>
      <c r="L113" s="192"/>
      <c r="M113" s="192"/>
      <c r="N113" s="192"/>
      <c r="O113" s="192"/>
      <c r="T113" s="192"/>
    </row>
    <row r="114" spans="3:20" s="200" customFormat="1" ht="13.2">
      <c r="C114" s="203"/>
      <c r="G114" s="192"/>
      <c r="H114" s="192"/>
      <c r="I114" s="192"/>
      <c r="J114" s="192"/>
      <c r="K114" s="192"/>
      <c r="L114" s="192"/>
      <c r="M114" s="192"/>
      <c r="N114" s="192"/>
      <c r="O114" s="192"/>
      <c r="T114" s="192"/>
    </row>
    <row r="115" spans="3:20" s="200" customFormat="1" ht="13.2">
      <c r="C115" s="203"/>
      <c r="G115" s="192"/>
      <c r="H115" s="192"/>
      <c r="I115" s="192"/>
      <c r="J115" s="192"/>
      <c r="K115" s="192"/>
      <c r="L115" s="192"/>
      <c r="M115" s="192"/>
      <c r="N115" s="192"/>
      <c r="O115" s="192"/>
      <c r="T115" s="192"/>
    </row>
    <row r="116" spans="3:20" s="200" customFormat="1" ht="13.2">
      <c r="C116" s="203"/>
      <c r="G116" s="192"/>
      <c r="H116" s="192"/>
      <c r="I116" s="192"/>
      <c r="J116" s="192"/>
      <c r="K116" s="192"/>
      <c r="L116" s="192"/>
      <c r="M116" s="192"/>
      <c r="N116" s="192"/>
      <c r="O116" s="192"/>
      <c r="T116" s="192"/>
    </row>
    <row r="117" spans="3:20" s="200" customFormat="1" ht="13.2">
      <c r="C117" s="203"/>
      <c r="G117" s="192"/>
      <c r="H117" s="192"/>
      <c r="I117" s="192"/>
      <c r="J117" s="192"/>
      <c r="K117" s="192"/>
      <c r="L117" s="192"/>
      <c r="M117" s="192"/>
      <c r="N117" s="192"/>
      <c r="O117" s="192"/>
      <c r="T117" s="192"/>
    </row>
    <row r="118" spans="3:20" s="200" customFormat="1" ht="13.2">
      <c r="C118" s="203"/>
      <c r="G118" s="192"/>
      <c r="H118" s="192"/>
      <c r="I118" s="192"/>
      <c r="J118" s="192"/>
      <c r="K118" s="192"/>
      <c r="L118" s="192"/>
      <c r="M118" s="192"/>
      <c r="N118" s="192"/>
      <c r="O118" s="192"/>
      <c r="T118" s="192"/>
    </row>
    <row r="119" spans="3:20" s="200" customFormat="1" ht="13.2">
      <c r="C119" s="203"/>
      <c r="G119" s="192"/>
      <c r="H119" s="192"/>
      <c r="I119" s="192"/>
      <c r="J119" s="192"/>
      <c r="K119" s="192"/>
      <c r="L119" s="192"/>
      <c r="M119" s="192"/>
      <c r="N119" s="192"/>
      <c r="O119" s="192"/>
      <c r="T119" s="192"/>
    </row>
    <row r="120" spans="3:20" s="200" customFormat="1" ht="13.2">
      <c r="C120" s="203"/>
      <c r="G120" s="192"/>
      <c r="H120" s="192"/>
      <c r="I120" s="192"/>
      <c r="J120" s="192"/>
      <c r="K120" s="192"/>
      <c r="L120" s="192"/>
      <c r="M120" s="192"/>
      <c r="N120" s="192"/>
      <c r="O120" s="192"/>
      <c r="T120" s="192"/>
    </row>
    <row r="121" spans="3:20" s="200" customFormat="1" ht="13.2">
      <c r="C121" s="203"/>
      <c r="G121" s="192"/>
      <c r="H121" s="192"/>
      <c r="I121" s="192"/>
      <c r="J121" s="192"/>
      <c r="K121" s="192"/>
      <c r="L121" s="192"/>
      <c r="M121" s="192"/>
      <c r="N121" s="192"/>
      <c r="O121" s="192"/>
      <c r="T121" s="192"/>
    </row>
    <row r="122" spans="3:20" s="200" customFormat="1" ht="13.2">
      <c r="C122" s="203"/>
      <c r="G122" s="192"/>
      <c r="H122" s="192"/>
      <c r="I122" s="192"/>
      <c r="J122" s="192"/>
      <c r="K122" s="192"/>
      <c r="L122" s="192"/>
      <c r="M122" s="192"/>
      <c r="N122" s="192"/>
      <c r="O122" s="192"/>
      <c r="T122" s="192"/>
    </row>
    <row r="123" spans="3:20" s="200" customFormat="1" ht="13.2">
      <c r="C123" s="203"/>
      <c r="G123" s="192"/>
      <c r="H123" s="192"/>
      <c r="I123" s="192"/>
      <c r="J123" s="192"/>
      <c r="K123" s="192"/>
      <c r="L123" s="192"/>
      <c r="M123" s="192"/>
      <c r="N123" s="192"/>
      <c r="O123" s="192"/>
      <c r="T123" s="192"/>
    </row>
    <row r="124" spans="3:20" s="200" customFormat="1" ht="13.2">
      <c r="C124" s="203"/>
      <c r="G124" s="192"/>
      <c r="H124" s="192"/>
      <c r="I124" s="192"/>
      <c r="J124" s="192"/>
      <c r="K124" s="192"/>
      <c r="L124" s="192"/>
      <c r="M124" s="192"/>
      <c r="N124" s="192"/>
      <c r="O124" s="192"/>
      <c r="T124" s="192"/>
    </row>
    <row r="125" spans="3:20" s="200" customFormat="1" ht="13.2">
      <c r="C125" s="203"/>
      <c r="G125" s="192"/>
      <c r="H125" s="192"/>
      <c r="I125" s="192"/>
      <c r="J125" s="192"/>
      <c r="K125" s="192"/>
      <c r="L125" s="192"/>
      <c r="M125" s="192"/>
      <c r="N125" s="192"/>
      <c r="O125" s="192"/>
      <c r="T125" s="192"/>
    </row>
    <row r="126" spans="3:20" s="200" customFormat="1" ht="13.2">
      <c r="C126" s="203"/>
      <c r="G126" s="192"/>
      <c r="H126" s="192"/>
      <c r="I126" s="192"/>
      <c r="J126" s="192"/>
      <c r="K126" s="192"/>
      <c r="L126" s="192"/>
      <c r="M126" s="192"/>
      <c r="N126" s="192"/>
      <c r="O126" s="192"/>
      <c r="T126" s="192"/>
    </row>
    <row r="127" spans="3:20" s="200" customFormat="1" ht="13.2">
      <c r="C127" s="203"/>
      <c r="G127" s="192"/>
      <c r="H127" s="192"/>
      <c r="I127" s="192"/>
      <c r="J127" s="192"/>
      <c r="K127" s="192"/>
      <c r="L127" s="192"/>
      <c r="M127" s="192"/>
      <c r="N127" s="192"/>
      <c r="O127" s="192"/>
      <c r="T127" s="192"/>
    </row>
    <row r="128" spans="3:20" s="200" customFormat="1" ht="13.2">
      <c r="C128" s="203"/>
      <c r="G128" s="192"/>
      <c r="H128" s="192"/>
      <c r="I128" s="192"/>
      <c r="J128" s="192"/>
      <c r="K128" s="192"/>
      <c r="L128" s="192"/>
      <c r="M128" s="192"/>
      <c r="N128" s="192"/>
      <c r="O128" s="192"/>
      <c r="T128" s="192"/>
    </row>
    <row r="129" spans="3:20" s="200" customFormat="1" ht="13.2">
      <c r="C129" s="203"/>
      <c r="G129" s="192"/>
      <c r="H129" s="192"/>
      <c r="I129" s="192"/>
      <c r="J129" s="192"/>
      <c r="K129" s="192"/>
      <c r="L129" s="192"/>
      <c r="M129" s="192"/>
      <c r="N129" s="192"/>
      <c r="O129" s="192"/>
      <c r="T129" s="192"/>
    </row>
    <row r="130" spans="3:20" s="200" customFormat="1" ht="13.2">
      <c r="C130" s="203"/>
      <c r="G130" s="192"/>
      <c r="H130" s="192"/>
      <c r="I130" s="192"/>
      <c r="J130" s="192"/>
      <c r="K130" s="192"/>
      <c r="L130" s="192"/>
      <c r="M130" s="192"/>
      <c r="N130" s="192"/>
      <c r="O130" s="192"/>
      <c r="T130" s="192"/>
    </row>
    <row r="131" spans="3:20" s="200" customFormat="1" ht="13.2">
      <c r="C131" s="203"/>
      <c r="G131" s="192"/>
      <c r="H131" s="192"/>
      <c r="I131" s="192"/>
      <c r="J131" s="192"/>
      <c r="K131" s="192"/>
      <c r="L131" s="192"/>
      <c r="M131" s="192"/>
      <c r="N131" s="192"/>
      <c r="O131" s="192"/>
      <c r="T131" s="192"/>
    </row>
    <row r="132" spans="3:20" s="200" customFormat="1" ht="13.2">
      <c r="C132" s="203"/>
      <c r="G132" s="192"/>
      <c r="H132" s="192"/>
      <c r="I132" s="192"/>
      <c r="J132" s="192"/>
      <c r="K132" s="192"/>
      <c r="L132" s="192"/>
      <c r="M132" s="192"/>
      <c r="N132" s="192"/>
      <c r="O132" s="192"/>
      <c r="T132" s="192"/>
    </row>
    <row r="133" spans="3:20" s="200" customFormat="1" ht="13.2">
      <c r="C133" s="203"/>
      <c r="G133" s="192"/>
      <c r="H133" s="192"/>
      <c r="I133" s="192"/>
      <c r="J133" s="192"/>
      <c r="K133" s="192"/>
      <c r="L133" s="192"/>
      <c r="M133" s="192"/>
      <c r="N133" s="192"/>
      <c r="O133" s="192"/>
      <c r="T133" s="192"/>
    </row>
    <row r="134" spans="3:20" s="200" customFormat="1" ht="13.2">
      <c r="C134" s="203"/>
      <c r="G134" s="192"/>
      <c r="H134" s="192"/>
      <c r="I134" s="192"/>
      <c r="J134" s="192"/>
      <c r="K134" s="192"/>
      <c r="L134" s="192"/>
      <c r="M134" s="192"/>
      <c r="N134" s="192"/>
      <c r="O134" s="192"/>
      <c r="T134" s="192"/>
    </row>
    <row r="135" spans="3:20" s="200" customFormat="1" ht="13.2">
      <c r="C135" s="203"/>
      <c r="G135" s="192"/>
      <c r="H135" s="192"/>
      <c r="I135" s="192"/>
      <c r="J135" s="192"/>
      <c r="K135" s="192"/>
      <c r="L135" s="192"/>
      <c r="M135" s="192"/>
      <c r="N135" s="192"/>
      <c r="O135" s="192"/>
      <c r="T135" s="192"/>
    </row>
    <row r="136" spans="3:20" s="200" customFormat="1" ht="13.2">
      <c r="C136" s="203"/>
      <c r="G136" s="192"/>
      <c r="H136" s="192"/>
      <c r="I136" s="192"/>
      <c r="J136" s="192"/>
      <c r="K136" s="192"/>
      <c r="L136" s="192"/>
      <c r="M136" s="192"/>
      <c r="N136" s="192"/>
      <c r="O136" s="192"/>
      <c r="T136" s="192"/>
    </row>
    <row r="137" spans="3:20" s="200" customFormat="1" ht="13.2">
      <c r="C137" s="203"/>
      <c r="G137" s="192"/>
      <c r="H137" s="192"/>
      <c r="I137" s="192"/>
      <c r="J137" s="192"/>
      <c r="K137" s="192"/>
      <c r="L137" s="192"/>
      <c r="M137" s="192"/>
      <c r="N137" s="192"/>
      <c r="O137" s="192"/>
      <c r="T137" s="192"/>
    </row>
    <row r="138" spans="3:20" s="200" customFormat="1" ht="13.2">
      <c r="C138" s="203"/>
      <c r="G138" s="192"/>
      <c r="H138" s="192"/>
      <c r="I138" s="192"/>
      <c r="J138" s="192"/>
      <c r="K138" s="192"/>
      <c r="L138" s="192"/>
      <c r="M138" s="192"/>
      <c r="N138" s="192"/>
      <c r="O138" s="192"/>
      <c r="T138" s="192"/>
    </row>
    <row r="139" spans="3:20" s="200" customFormat="1" ht="13.2">
      <c r="C139" s="203"/>
      <c r="G139" s="192"/>
      <c r="H139" s="192"/>
      <c r="I139" s="192"/>
      <c r="J139" s="192"/>
      <c r="K139" s="192"/>
      <c r="L139" s="192"/>
      <c r="M139" s="192"/>
      <c r="N139" s="192"/>
      <c r="O139" s="192"/>
      <c r="T139" s="192"/>
    </row>
    <row r="140" spans="3:20" s="200" customFormat="1" ht="13.2">
      <c r="C140" s="203"/>
      <c r="G140" s="192"/>
      <c r="H140" s="192"/>
      <c r="I140" s="192"/>
      <c r="J140" s="192"/>
      <c r="K140" s="192"/>
      <c r="L140" s="192"/>
      <c r="M140" s="192"/>
      <c r="N140" s="192"/>
      <c r="O140" s="192"/>
      <c r="T140" s="192"/>
    </row>
    <row r="141" spans="3:20" s="200" customFormat="1" ht="13.2">
      <c r="C141" s="203"/>
      <c r="G141" s="192"/>
      <c r="H141" s="192"/>
      <c r="I141" s="192"/>
      <c r="J141" s="192"/>
      <c r="K141" s="192"/>
      <c r="L141" s="192"/>
      <c r="M141" s="192"/>
      <c r="N141" s="192"/>
      <c r="O141" s="192"/>
      <c r="T141" s="192"/>
    </row>
    <row r="142" spans="3:20" s="200" customFormat="1" ht="13.2">
      <c r="C142" s="203"/>
      <c r="G142" s="192"/>
      <c r="H142" s="192"/>
      <c r="I142" s="192"/>
      <c r="J142" s="192"/>
      <c r="K142" s="192"/>
      <c r="L142" s="192"/>
      <c r="M142" s="192"/>
      <c r="N142" s="192"/>
      <c r="O142" s="192"/>
      <c r="T142" s="192"/>
    </row>
    <row r="143" spans="3:20" s="200" customFormat="1" ht="13.2">
      <c r="C143" s="203"/>
      <c r="G143" s="192"/>
      <c r="H143" s="192"/>
      <c r="I143" s="192"/>
      <c r="J143" s="192"/>
      <c r="K143" s="192"/>
      <c r="L143" s="192"/>
      <c r="M143" s="192"/>
      <c r="N143" s="192"/>
      <c r="O143" s="192"/>
      <c r="T143" s="192"/>
    </row>
    <row r="144" spans="3:20" s="200" customFormat="1" ht="13.2">
      <c r="C144" s="203"/>
      <c r="G144" s="192"/>
      <c r="H144" s="192"/>
      <c r="I144" s="192"/>
      <c r="J144" s="192"/>
      <c r="K144" s="192"/>
      <c r="L144" s="192"/>
      <c r="M144" s="192"/>
      <c r="N144" s="192"/>
      <c r="O144" s="192"/>
      <c r="T144" s="192"/>
    </row>
    <row r="145" spans="3:20" s="200" customFormat="1" ht="13.2">
      <c r="C145" s="203"/>
      <c r="G145" s="192"/>
      <c r="H145" s="192"/>
      <c r="I145" s="192"/>
      <c r="J145" s="192"/>
      <c r="K145" s="192"/>
      <c r="L145" s="192"/>
      <c r="M145" s="192"/>
      <c r="N145" s="192"/>
      <c r="O145" s="192"/>
      <c r="T145" s="192"/>
    </row>
    <row r="146" spans="3:20" s="200" customFormat="1" ht="13.2">
      <c r="C146" s="203"/>
      <c r="G146" s="192"/>
      <c r="H146" s="192"/>
      <c r="I146" s="192"/>
      <c r="J146" s="192"/>
      <c r="K146" s="192"/>
      <c r="L146" s="192"/>
      <c r="M146" s="192"/>
      <c r="N146" s="192"/>
      <c r="O146" s="192"/>
      <c r="T146" s="192"/>
    </row>
    <row r="147" spans="3:20" s="200" customFormat="1" ht="13.2">
      <c r="C147" s="203"/>
      <c r="G147" s="192"/>
      <c r="H147" s="192"/>
      <c r="I147" s="192"/>
      <c r="J147" s="192"/>
      <c r="K147" s="192"/>
      <c r="L147" s="192"/>
      <c r="M147" s="192"/>
      <c r="N147" s="192"/>
      <c r="O147" s="192"/>
      <c r="T147" s="192"/>
    </row>
    <row r="148" spans="3:20" s="200" customFormat="1" ht="13.2">
      <c r="C148" s="203"/>
      <c r="G148" s="192"/>
      <c r="H148" s="192"/>
      <c r="I148" s="192"/>
      <c r="J148" s="192"/>
      <c r="K148" s="192"/>
      <c r="L148" s="192"/>
      <c r="M148" s="192"/>
      <c r="N148" s="192"/>
      <c r="O148" s="192"/>
      <c r="T148" s="192"/>
    </row>
    <row r="149" spans="3:20" s="200" customFormat="1" ht="13.2">
      <c r="C149" s="203"/>
      <c r="G149" s="192"/>
      <c r="H149" s="192"/>
      <c r="I149" s="192"/>
      <c r="J149" s="192"/>
      <c r="K149" s="192"/>
      <c r="L149" s="192"/>
      <c r="M149" s="192"/>
      <c r="N149" s="192"/>
      <c r="O149" s="192"/>
      <c r="T149" s="192"/>
    </row>
    <row r="150" spans="3:20" s="200" customFormat="1" ht="13.2">
      <c r="C150" s="203"/>
      <c r="G150" s="192"/>
      <c r="H150" s="192"/>
      <c r="I150" s="192"/>
      <c r="J150" s="192"/>
      <c r="K150" s="192"/>
      <c r="L150" s="192"/>
      <c r="M150" s="192"/>
      <c r="N150" s="192"/>
      <c r="O150" s="192"/>
      <c r="T150" s="192"/>
    </row>
    <row r="151" spans="3:20" s="200" customFormat="1" ht="13.2">
      <c r="C151" s="203"/>
      <c r="G151" s="192"/>
      <c r="H151" s="192"/>
      <c r="I151" s="192"/>
      <c r="J151" s="192"/>
      <c r="K151" s="192"/>
      <c r="L151" s="192"/>
      <c r="M151" s="192"/>
      <c r="N151" s="192"/>
      <c r="O151" s="192"/>
      <c r="T151" s="192"/>
    </row>
    <row r="152" spans="3:20" s="200" customFormat="1" ht="13.2">
      <c r="C152" s="203"/>
      <c r="G152" s="192"/>
      <c r="H152" s="192"/>
      <c r="I152" s="192"/>
      <c r="J152" s="192"/>
      <c r="K152" s="192"/>
      <c r="L152" s="192"/>
      <c r="M152" s="192"/>
      <c r="N152" s="192"/>
      <c r="O152" s="192"/>
      <c r="T152" s="192"/>
    </row>
    <row r="153" spans="3:20" s="200" customFormat="1" ht="13.2">
      <c r="C153" s="203"/>
      <c r="G153" s="192"/>
      <c r="H153" s="192"/>
      <c r="I153" s="192"/>
      <c r="J153" s="192"/>
      <c r="K153" s="192"/>
      <c r="L153" s="192"/>
      <c r="M153" s="192"/>
      <c r="N153" s="192"/>
      <c r="O153" s="192"/>
      <c r="T153" s="192"/>
    </row>
    <row r="154" spans="3:20" s="200" customFormat="1" ht="13.2">
      <c r="C154" s="203"/>
      <c r="G154" s="192"/>
      <c r="H154" s="192"/>
      <c r="I154" s="192"/>
      <c r="J154" s="192"/>
      <c r="K154" s="192"/>
      <c r="L154" s="192"/>
      <c r="M154" s="192"/>
      <c r="N154" s="192"/>
      <c r="O154" s="192"/>
      <c r="T154" s="192"/>
    </row>
    <row r="155" spans="3:20" s="200" customFormat="1" ht="13.2">
      <c r="C155" s="203"/>
      <c r="G155" s="192"/>
      <c r="H155" s="192"/>
      <c r="I155" s="192"/>
      <c r="J155" s="192"/>
      <c r="K155" s="192"/>
      <c r="L155" s="192"/>
      <c r="M155" s="192"/>
      <c r="N155" s="192"/>
      <c r="O155" s="192"/>
      <c r="T155" s="192"/>
    </row>
    <row r="156" spans="3:20" s="200" customFormat="1" ht="13.2">
      <c r="C156" s="203"/>
      <c r="G156" s="192"/>
      <c r="H156" s="192"/>
      <c r="I156" s="192"/>
      <c r="J156" s="192"/>
      <c r="K156" s="192"/>
      <c r="L156" s="192"/>
      <c r="M156" s="192"/>
      <c r="N156" s="192"/>
      <c r="O156" s="192"/>
      <c r="T156" s="192"/>
    </row>
    <row r="157" spans="3:20" s="200" customFormat="1" ht="13.2">
      <c r="C157" s="203"/>
      <c r="G157" s="192"/>
      <c r="H157" s="192"/>
      <c r="I157" s="192"/>
      <c r="J157" s="192"/>
      <c r="K157" s="192"/>
      <c r="L157" s="192"/>
      <c r="M157" s="192"/>
      <c r="N157" s="192"/>
      <c r="O157" s="192"/>
      <c r="T157" s="192"/>
    </row>
    <row r="158" spans="3:20" s="200" customFormat="1" ht="13.2">
      <c r="C158" s="203"/>
      <c r="G158" s="192"/>
      <c r="H158" s="192"/>
      <c r="I158" s="192"/>
      <c r="J158" s="192"/>
      <c r="K158" s="192"/>
      <c r="L158" s="192"/>
      <c r="M158" s="192"/>
      <c r="N158" s="192"/>
      <c r="O158" s="192"/>
      <c r="T158" s="192"/>
    </row>
    <row r="159" spans="3:20" s="200" customFormat="1" ht="13.2">
      <c r="C159" s="203"/>
      <c r="G159" s="192"/>
      <c r="H159" s="192"/>
      <c r="I159" s="192"/>
      <c r="J159" s="192"/>
      <c r="K159" s="192"/>
      <c r="L159" s="192"/>
      <c r="M159" s="192"/>
      <c r="N159" s="192"/>
      <c r="O159" s="192"/>
      <c r="T159" s="192"/>
    </row>
    <row r="160" spans="3:20" s="200" customFormat="1" ht="13.2">
      <c r="C160" s="203"/>
      <c r="G160" s="192"/>
      <c r="H160" s="192"/>
      <c r="I160" s="192"/>
      <c r="J160" s="192"/>
      <c r="K160" s="192"/>
      <c r="L160" s="192"/>
      <c r="M160" s="192"/>
      <c r="N160" s="192"/>
      <c r="O160" s="192"/>
      <c r="T160" s="192"/>
    </row>
    <row r="161" spans="3:20" s="200" customFormat="1" ht="13.2">
      <c r="C161" s="203"/>
      <c r="G161" s="192"/>
      <c r="H161" s="192"/>
      <c r="I161" s="192"/>
      <c r="J161" s="192"/>
      <c r="K161" s="192"/>
      <c r="L161" s="192"/>
      <c r="M161" s="192"/>
      <c r="N161" s="192"/>
      <c r="O161" s="192"/>
      <c r="T161" s="192"/>
    </row>
    <row r="162" spans="3:20" s="200" customFormat="1" ht="13.2">
      <c r="C162" s="203"/>
      <c r="G162" s="192"/>
      <c r="H162" s="192"/>
      <c r="I162" s="192"/>
      <c r="J162" s="192"/>
      <c r="K162" s="192"/>
      <c r="L162" s="192"/>
      <c r="M162" s="192"/>
      <c r="N162" s="192"/>
      <c r="O162" s="192"/>
      <c r="T162" s="192"/>
    </row>
    <row r="163" spans="3:20" s="200" customFormat="1" ht="13.2">
      <c r="C163" s="203"/>
      <c r="G163" s="192"/>
      <c r="H163" s="192"/>
      <c r="I163" s="192"/>
      <c r="J163" s="192"/>
      <c r="K163" s="192"/>
      <c r="L163" s="192"/>
      <c r="M163" s="192"/>
      <c r="N163" s="192"/>
      <c r="O163" s="192"/>
      <c r="T163" s="192"/>
    </row>
    <row r="164" spans="3:20" s="200" customFormat="1" ht="13.2">
      <c r="C164" s="203"/>
      <c r="G164" s="192"/>
      <c r="H164" s="192"/>
      <c r="I164" s="192"/>
      <c r="J164" s="192"/>
      <c r="K164" s="192"/>
      <c r="L164" s="192"/>
      <c r="M164" s="192"/>
      <c r="N164" s="192"/>
      <c r="O164" s="192"/>
      <c r="T164" s="192"/>
    </row>
    <row r="165" spans="3:20" s="200" customFormat="1" ht="13.2">
      <c r="C165" s="203"/>
      <c r="G165" s="192"/>
      <c r="H165" s="192"/>
      <c r="I165" s="192"/>
      <c r="J165" s="192"/>
      <c r="K165" s="192"/>
      <c r="L165" s="192"/>
      <c r="M165" s="192"/>
      <c r="N165" s="192"/>
      <c r="O165" s="192"/>
      <c r="T165" s="192"/>
    </row>
    <row r="166" spans="3:20" s="200" customFormat="1" ht="13.2">
      <c r="C166" s="203"/>
      <c r="G166" s="192"/>
      <c r="H166" s="192"/>
      <c r="I166" s="192"/>
      <c r="J166" s="192"/>
      <c r="K166" s="192"/>
      <c r="L166" s="192"/>
      <c r="M166" s="192"/>
      <c r="N166" s="192"/>
      <c r="O166" s="192"/>
      <c r="T166" s="192"/>
    </row>
    <row r="167" spans="3:20" s="200" customFormat="1" ht="13.2">
      <c r="C167" s="203"/>
      <c r="G167" s="192"/>
      <c r="H167" s="192"/>
      <c r="I167" s="192"/>
      <c r="J167" s="192"/>
      <c r="K167" s="192"/>
      <c r="L167" s="192"/>
      <c r="M167" s="192"/>
      <c r="N167" s="192"/>
      <c r="O167" s="192"/>
      <c r="T167" s="192"/>
    </row>
    <row r="168" spans="3:20" s="200" customFormat="1" ht="13.2">
      <c r="C168" s="203"/>
      <c r="G168" s="192"/>
      <c r="H168" s="192"/>
      <c r="I168" s="192"/>
      <c r="J168" s="192"/>
      <c r="K168" s="192"/>
      <c r="L168" s="192"/>
      <c r="M168" s="192"/>
      <c r="N168" s="192"/>
      <c r="O168" s="192"/>
      <c r="T168" s="192"/>
    </row>
    <row r="169" spans="3:20" s="200" customFormat="1" ht="13.2">
      <c r="C169" s="203"/>
      <c r="G169" s="192"/>
      <c r="H169" s="192"/>
      <c r="I169" s="192"/>
      <c r="J169" s="192"/>
      <c r="K169" s="192"/>
      <c r="L169" s="192"/>
      <c r="M169" s="192"/>
      <c r="N169" s="192"/>
      <c r="O169" s="192"/>
      <c r="T169" s="192"/>
    </row>
    <row r="170" spans="3:20" s="200" customFormat="1" ht="13.2">
      <c r="C170" s="203"/>
      <c r="G170" s="192"/>
      <c r="H170" s="192"/>
      <c r="I170" s="192"/>
      <c r="J170" s="192"/>
      <c r="K170" s="192"/>
      <c r="L170" s="192"/>
      <c r="M170" s="192"/>
      <c r="N170" s="192"/>
      <c r="O170" s="192"/>
      <c r="T170" s="192"/>
    </row>
    <row r="171" spans="3:20" s="200" customFormat="1" ht="13.2">
      <c r="C171" s="203"/>
      <c r="G171" s="192"/>
      <c r="H171" s="192"/>
      <c r="I171" s="192"/>
      <c r="J171" s="192"/>
      <c r="K171" s="192"/>
      <c r="L171" s="192"/>
      <c r="M171" s="192"/>
      <c r="N171" s="192"/>
      <c r="O171" s="192"/>
      <c r="T171" s="192"/>
    </row>
    <row r="172" spans="3:20" s="200" customFormat="1" ht="13.2">
      <c r="C172" s="203"/>
      <c r="G172" s="192"/>
      <c r="H172" s="192"/>
      <c r="I172" s="192"/>
      <c r="J172" s="192"/>
      <c r="K172" s="192"/>
      <c r="L172" s="192"/>
      <c r="M172" s="192"/>
      <c r="N172" s="192"/>
      <c r="O172" s="192"/>
      <c r="T172" s="192"/>
    </row>
    <row r="173" spans="3:20" s="200" customFormat="1" ht="13.2">
      <c r="C173" s="203"/>
      <c r="G173" s="192"/>
      <c r="H173" s="192"/>
      <c r="I173" s="192"/>
      <c r="J173" s="192"/>
      <c r="K173" s="192"/>
      <c r="L173" s="192"/>
      <c r="M173" s="192"/>
      <c r="N173" s="192"/>
      <c r="O173" s="192"/>
      <c r="T173" s="192"/>
    </row>
    <row r="174" spans="3:20" s="200" customFormat="1" ht="13.2">
      <c r="C174" s="203"/>
      <c r="G174" s="192"/>
      <c r="H174" s="192"/>
      <c r="I174" s="192"/>
      <c r="J174" s="192"/>
      <c r="K174" s="192"/>
      <c r="L174" s="192"/>
      <c r="M174" s="192"/>
      <c r="N174" s="192"/>
      <c r="O174" s="192"/>
      <c r="T174" s="192"/>
    </row>
    <row r="175" spans="3:20" s="200" customFormat="1" ht="13.2">
      <c r="C175" s="203"/>
      <c r="G175" s="192"/>
      <c r="H175" s="192"/>
      <c r="I175" s="192"/>
      <c r="J175" s="192"/>
      <c r="K175" s="192"/>
      <c r="L175" s="192"/>
      <c r="M175" s="192"/>
      <c r="N175" s="192"/>
      <c r="O175" s="192"/>
      <c r="T175" s="192"/>
    </row>
    <row r="176" spans="3:20" s="200" customFormat="1" ht="13.2">
      <c r="C176" s="203"/>
      <c r="G176" s="192"/>
      <c r="H176" s="192"/>
      <c r="I176" s="192"/>
      <c r="J176" s="192"/>
      <c r="K176" s="192"/>
      <c r="L176" s="192"/>
      <c r="M176" s="192"/>
      <c r="N176" s="192"/>
      <c r="O176" s="192"/>
      <c r="T176" s="192"/>
    </row>
    <row r="177" spans="3:20" s="200" customFormat="1" ht="13.2">
      <c r="C177" s="203"/>
      <c r="G177" s="192"/>
      <c r="H177" s="192"/>
      <c r="I177" s="192"/>
      <c r="J177" s="192"/>
      <c r="K177" s="192"/>
      <c r="L177" s="192"/>
      <c r="M177" s="192"/>
      <c r="N177" s="192"/>
      <c r="O177" s="192"/>
      <c r="T177" s="192"/>
    </row>
    <row r="178" spans="3:20" s="200" customFormat="1" ht="13.2">
      <c r="C178" s="203"/>
      <c r="G178" s="192"/>
      <c r="H178" s="192"/>
      <c r="I178" s="192"/>
      <c r="J178" s="192"/>
      <c r="K178" s="192"/>
      <c r="L178" s="192"/>
      <c r="M178" s="192"/>
      <c r="N178" s="192"/>
      <c r="O178" s="192"/>
      <c r="T178" s="192"/>
    </row>
    <row r="179" spans="3:20" s="200" customFormat="1" ht="13.2">
      <c r="C179" s="203"/>
      <c r="G179" s="192"/>
      <c r="H179" s="192"/>
      <c r="I179" s="192"/>
      <c r="J179" s="192"/>
      <c r="K179" s="192"/>
      <c r="L179" s="192"/>
      <c r="M179" s="192"/>
      <c r="N179" s="192"/>
      <c r="O179" s="192"/>
      <c r="T179" s="192"/>
    </row>
    <row r="180" spans="3:20" s="200" customFormat="1" ht="13.2">
      <c r="C180" s="203"/>
      <c r="G180" s="192"/>
      <c r="H180" s="192"/>
      <c r="I180" s="192"/>
      <c r="J180" s="192"/>
      <c r="K180" s="192"/>
      <c r="L180" s="192"/>
      <c r="M180" s="192"/>
      <c r="N180" s="192"/>
      <c r="O180" s="192"/>
      <c r="T180" s="192"/>
    </row>
    <row r="181" spans="3:20" s="200" customFormat="1" ht="13.2">
      <c r="C181" s="203"/>
      <c r="G181" s="192"/>
      <c r="H181" s="192"/>
      <c r="I181" s="192"/>
      <c r="J181" s="192"/>
      <c r="K181" s="192"/>
      <c r="L181" s="192"/>
      <c r="M181" s="192"/>
      <c r="N181" s="192"/>
      <c r="O181" s="192"/>
      <c r="T181" s="192"/>
    </row>
    <row r="182" spans="3:20" s="200" customFormat="1" ht="13.2">
      <c r="C182" s="203"/>
      <c r="G182" s="192"/>
      <c r="H182" s="192"/>
      <c r="I182" s="192"/>
      <c r="J182" s="192"/>
      <c r="K182" s="192"/>
      <c r="L182" s="192"/>
      <c r="M182" s="192"/>
      <c r="N182" s="192"/>
      <c r="O182" s="192"/>
      <c r="T182" s="192"/>
    </row>
    <row r="183" spans="3:20" s="200" customFormat="1" ht="13.2">
      <c r="C183" s="203"/>
      <c r="G183" s="192"/>
      <c r="H183" s="192"/>
      <c r="I183" s="192"/>
      <c r="J183" s="192"/>
      <c r="K183" s="192"/>
      <c r="L183" s="192"/>
      <c r="M183" s="192"/>
      <c r="N183" s="192"/>
      <c r="O183" s="192"/>
      <c r="T183" s="192"/>
    </row>
    <row r="184" spans="3:20" s="200" customFormat="1" ht="13.2">
      <c r="C184" s="203"/>
      <c r="G184" s="192"/>
      <c r="H184" s="192"/>
      <c r="I184" s="192"/>
      <c r="J184" s="192"/>
      <c r="K184" s="192"/>
      <c r="L184" s="192"/>
      <c r="M184" s="192"/>
      <c r="N184" s="192"/>
      <c r="O184" s="192"/>
      <c r="T184" s="192"/>
    </row>
    <row r="185" spans="3:20" s="200" customFormat="1" ht="13.2">
      <c r="C185" s="203"/>
      <c r="G185" s="192"/>
      <c r="H185" s="192"/>
      <c r="I185" s="192"/>
      <c r="J185" s="192"/>
      <c r="K185" s="192"/>
      <c r="L185" s="192"/>
      <c r="M185" s="192"/>
      <c r="N185" s="192"/>
      <c r="O185" s="192"/>
      <c r="T185" s="192"/>
    </row>
    <row r="186" spans="3:20" s="200" customFormat="1" ht="13.2">
      <c r="C186" s="203"/>
      <c r="G186" s="192"/>
      <c r="H186" s="192"/>
      <c r="I186" s="192"/>
      <c r="J186" s="192"/>
      <c r="K186" s="192"/>
      <c r="L186" s="192"/>
      <c r="M186" s="192"/>
      <c r="N186" s="192"/>
      <c r="O186" s="192"/>
      <c r="T186" s="192"/>
    </row>
    <row r="187" spans="3:20" s="200" customFormat="1" ht="13.2">
      <c r="C187" s="203"/>
      <c r="G187" s="192"/>
      <c r="H187" s="192"/>
      <c r="I187" s="192"/>
      <c r="J187" s="192"/>
      <c r="K187" s="192"/>
      <c r="L187" s="192"/>
      <c r="M187" s="192"/>
      <c r="N187" s="192"/>
      <c r="O187" s="192"/>
      <c r="T187" s="192"/>
    </row>
    <row r="188" spans="3:20" s="200" customFormat="1" ht="13.2">
      <c r="C188" s="203"/>
      <c r="G188" s="192"/>
      <c r="H188" s="192"/>
      <c r="I188" s="192"/>
      <c r="J188" s="192"/>
      <c r="K188" s="192"/>
      <c r="L188" s="192"/>
      <c r="M188" s="192"/>
      <c r="N188" s="192"/>
      <c r="O188" s="192"/>
      <c r="T188" s="192"/>
    </row>
    <row r="189" spans="3:20" s="200" customFormat="1" ht="13.2">
      <c r="C189" s="203"/>
      <c r="G189" s="192"/>
      <c r="H189" s="192"/>
      <c r="I189" s="192"/>
      <c r="J189" s="192"/>
      <c r="K189" s="192"/>
      <c r="L189" s="192"/>
      <c r="M189" s="192"/>
      <c r="N189" s="192"/>
      <c r="O189" s="192"/>
      <c r="T189" s="192"/>
    </row>
    <row r="190" spans="3:20" s="200" customFormat="1" ht="13.2">
      <c r="C190" s="203"/>
      <c r="G190" s="192"/>
      <c r="H190" s="192"/>
      <c r="I190" s="192"/>
      <c r="J190" s="192"/>
      <c r="K190" s="192"/>
      <c r="L190" s="192"/>
      <c r="M190" s="192"/>
      <c r="N190" s="192"/>
      <c r="O190" s="192"/>
      <c r="T190" s="192"/>
    </row>
    <row r="191" spans="3:20" s="200" customFormat="1" ht="13.2">
      <c r="C191" s="203"/>
      <c r="G191" s="192"/>
      <c r="H191" s="192"/>
      <c r="I191" s="192"/>
      <c r="J191" s="192"/>
      <c r="K191" s="192"/>
      <c r="L191" s="192"/>
      <c r="M191" s="192"/>
      <c r="N191" s="192"/>
      <c r="O191" s="192"/>
      <c r="T191" s="192"/>
    </row>
    <row r="192" spans="3:20" s="200" customFormat="1" ht="13.2">
      <c r="C192" s="203"/>
      <c r="G192" s="192"/>
      <c r="H192" s="192"/>
      <c r="I192" s="192"/>
      <c r="J192" s="192"/>
      <c r="K192" s="192"/>
      <c r="L192" s="192"/>
      <c r="M192" s="192"/>
      <c r="N192" s="192"/>
      <c r="O192" s="192"/>
      <c r="T192" s="192"/>
    </row>
    <row r="193" spans="3:20" s="200" customFormat="1" ht="13.2">
      <c r="C193" s="203"/>
      <c r="G193" s="192"/>
      <c r="H193" s="192"/>
      <c r="I193" s="192"/>
      <c r="J193" s="192"/>
      <c r="K193" s="192"/>
      <c r="L193" s="192"/>
      <c r="M193" s="192"/>
      <c r="N193" s="192"/>
      <c r="O193" s="192"/>
      <c r="T193" s="192"/>
    </row>
    <row r="194" spans="3:20" s="200" customFormat="1" ht="13.2">
      <c r="C194" s="203"/>
      <c r="G194" s="192"/>
      <c r="H194" s="192"/>
      <c r="I194" s="192"/>
      <c r="J194" s="192"/>
      <c r="K194" s="192"/>
      <c r="L194" s="192"/>
      <c r="M194" s="192"/>
      <c r="N194" s="192"/>
      <c r="O194" s="192"/>
      <c r="T194" s="192"/>
    </row>
    <row r="195" spans="3:20" s="200" customFormat="1" ht="13.2">
      <c r="C195" s="203"/>
      <c r="G195" s="192"/>
      <c r="H195" s="192"/>
      <c r="I195" s="192"/>
      <c r="J195" s="192"/>
      <c r="K195" s="192"/>
      <c r="L195" s="192"/>
      <c r="M195" s="192"/>
      <c r="N195" s="192"/>
      <c r="O195" s="192"/>
      <c r="T195" s="192"/>
    </row>
    <row r="196" spans="3:20" s="200" customFormat="1" ht="13.2">
      <c r="C196" s="203"/>
      <c r="G196" s="192"/>
      <c r="H196" s="192"/>
      <c r="I196" s="192"/>
      <c r="J196" s="192"/>
      <c r="K196" s="192"/>
      <c r="L196" s="192"/>
      <c r="M196" s="192"/>
      <c r="N196" s="192"/>
      <c r="O196" s="192"/>
      <c r="T196" s="192"/>
    </row>
    <row r="197" spans="3:20" s="200" customFormat="1" ht="13.2">
      <c r="C197" s="203"/>
      <c r="G197" s="192"/>
      <c r="H197" s="192"/>
      <c r="I197" s="192"/>
      <c r="J197" s="192"/>
      <c r="K197" s="192"/>
      <c r="L197" s="192"/>
      <c r="M197" s="192"/>
      <c r="N197" s="192"/>
      <c r="O197" s="192"/>
      <c r="T197" s="192"/>
    </row>
    <row r="198" spans="3:20" s="200" customFormat="1" ht="13.2">
      <c r="C198" s="203"/>
      <c r="G198" s="192"/>
      <c r="H198" s="192"/>
      <c r="I198" s="192"/>
      <c r="J198" s="192"/>
      <c r="K198" s="192"/>
      <c r="L198" s="192"/>
      <c r="M198" s="192"/>
      <c r="N198" s="192"/>
      <c r="O198" s="192"/>
      <c r="T198" s="192"/>
    </row>
    <row r="199" spans="3:20" s="200" customFormat="1" ht="13.2">
      <c r="C199" s="203"/>
      <c r="G199" s="192"/>
      <c r="H199" s="192"/>
      <c r="I199" s="192"/>
      <c r="J199" s="192"/>
      <c r="K199" s="192"/>
      <c r="L199" s="192"/>
      <c r="M199" s="192"/>
      <c r="N199" s="192"/>
      <c r="O199" s="192"/>
      <c r="T199" s="192"/>
    </row>
    <row r="200" spans="3:20" s="200" customFormat="1" ht="13.2">
      <c r="C200" s="203"/>
      <c r="G200" s="192"/>
      <c r="H200" s="192"/>
      <c r="I200" s="192"/>
      <c r="J200" s="192"/>
      <c r="K200" s="192"/>
      <c r="L200" s="192"/>
      <c r="M200" s="192"/>
      <c r="N200" s="192"/>
      <c r="O200" s="192"/>
      <c r="T200" s="192"/>
    </row>
    <row r="201" spans="3:20" s="200" customFormat="1" ht="13.2">
      <c r="C201" s="203"/>
      <c r="G201" s="192"/>
      <c r="H201" s="192"/>
      <c r="I201" s="192"/>
      <c r="J201" s="192"/>
      <c r="K201" s="192"/>
      <c r="L201" s="192"/>
      <c r="M201" s="192"/>
      <c r="N201" s="192"/>
      <c r="O201" s="192"/>
      <c r="T201" s="192"/>
    </row>
    <row r="202" spans="3:20" s="200" customFormat="1" ht="13.2">
      <c r="C202" s="203"/>
      <c r="G202" s="192"/>
      <c r="H202" s="192"/>
      <c r="I202" s="192"/>
      <c r="J202" s="192"/>
      <c r="K202" s="192"/>
      <c r="L202" s="192"/>
      <c r="M202" s="192"/>
      <c r="N202" s="192"/>
      <c r="O202" s="192"/>
      <c r="T202" s="192"/>
    </row>
    <row r="203" spans="3:20" s="200" customFormat="1" ht="13.2">
      <c r="C203" s="203"/>
      <c r="G203" s="192"/>
      <c r="H203" s="192"/>
      <c r="I203" s="192"/>
      <c r="J203" s="192"/>
      <c r="K203" s="192"/>
      <c r="L203" s="192"/>
      <c r="M203" s="192"/>
      <c r="N203" s="192"/>
      <c r="O203" s="192"/>
      <c r="T203" s="192"/>
    </row>
    <row r="204" spans="3:20" s="200" customFormat="1" ht="13.2">
      <c r="C204" s="203"/>
      <c r="G204" s="192"/>
      <c r="H204" s="192"/>
      <c r="I204" s="192"/>
      <c r="J204" s="192"/>
      <c r="K204" s="192"/>
      <c r="L204" s="192"/>
      <c r="M204" s="192"/>
      <c r="N204" s="192"/>
      <c r="O204" s="192"/>
      <c r="T204" s="192"/>
    </row>
    <row r="205" spans="3:20" s="200" customFormat="1" ht="13.2">
      <c r="C205" s="203"/>
      <c r="G205" s="192"/>
      <c r="H205" s="192"/>
      <c r="I205" s="192"/>
      <c r="J205" s="192"/>
      <c r="K205" s="192"/>
      <c r="L205" s="192"/>
      <c r="M205" s="192"/>
      <c r="N205" s="192"/>
      <c r="O205" s="192"/>
      <c r="T205" s="192"/>
    </row>
    <row r="206" spans="3:20" s="200" customFormat="1" ht="13.2">
      <c r="C206" s="203"/>
      <c r="G206" s="192"/>
      <c r="H206" s="192"/>
      <c r="I206" s="192"/>
      <c r="J206" s="192"/>
      <c r="K206" s="192"/>
      <c r="L206" s="192"/>
      <c r="M206" s="192"/>
      <c r="N206" s="192"/>
      <c r="O206" s="192"/>
      <c r="T206" s="192"/>
    </row>
    <row r="207" spans="3:20" s="200" customFormat="1" ht="13.2">
      <c r="C207" s="203"/>
      <c r="G207" s="192"/>
      <c r="H207" s="192"/>
      <c r="I207" s="192"/>
      <c r="J207" s="192"/>
      <c r="K207" s="192"/>
      <c r="L207" s="192"/>
      <c r="M207" s="192"/>
      <c r="N207" s="192"/>
      <c r="O207" s="192"/>
      <c r="T207" s="192"/>
    </row>
    <row r="208" spans="3:20" s="200" customFormat="1" ht="13.2">
      <c r="C208" s="203"/>
      <c r="G208" s="192"/>
      <c r="H208" s="192"/>
      <c r="I208" s="192"/>
      <c r="J208" s="192"/>
      <c r="K208" s="192"/>
      <c r="L208" s="192"/>
      <c r="M208" s="192"/>
      <c r="N208" s="192"/>
      <c r="O208" s="192"/>
      <c r="T208" s="192"/>
    </row>
    <row r="209" spans="3:20" s="200" customFormat="1" ht="13.2">
      <c r="C209" s="203"/>
      <c r="G209" s="192"/>
      <c r="H209" s="192"/>
      <c r="I209" s="192"/>
      <c r="J209" s="192"/>
      <c r="K209" s="192"/>
      <c r="L209" s="192"/>
      <c r="M209" s="192"/>
      <c r="N209" s="192"/>
      <c r="O209" s="192"/>
      <c r="T209" s="192"/>
    </row>
    <row r="210" spans="3:20" s="200" customFormat="1" ht="13.2">
      <c r="C210" s="203"/>
      <c r="G210" s="192"/>
      <c r="H210" s="192"/>
      <c r="I210" s="192"/>
      <c r="J210" s="192"/>
      <c r="K210" s="192"/>
      <c r="L210" s="192"/>
      <c r="M210" s="192"/>
      <c r="N210" s="192"/>
      <c r="O210" s="192"/>
      <c r="T210" s="192"/>
    </row>
    <row r="211" spans="3:20" s="200" customFormat="1" ht="13.2">
      <c r="C211" s="203"/>
      <c r="G211" s="192"/>
      <c r="H211" s="192"/>
      <c r="I211" s="192"/>
      <c r="J211" s="192"/>
      <c r="K211" s="192"/>
      <c r="L211" s="192"/>
      <c r="M211" s="192"/>
      <c r="N211" s="192"/>
      <c r="O211" s="192"/>
      <c r="T211" s="192"/>
    </row>
    <row r="212" spans="3:20" s="200" customFormat="1" ht="13.2">
      <c r="C212" s="203"/>
      <c r="G212" s="192"/>
      <c r="H212" s="192"/>
      <c r="I212" s="192"/>
      <c r="J212" s="192"/>
      <c r="K212" s="192"/>
      <c r="L212" s="192"/>
      <c r="M212" s="192"/>
      <c r="N212" s="192"/>
      <c r="O212" s="192"/>
      <c r="T212" s="192"/>
    </row>
    <row r="213" spans="3:20" s="200" customFormat="1" ht="13.2">
      <c r="C213" s="203"/>
      <c r="G213" s="192"/>
      <c r="H213" s="192"/>
      <c r="I213" s="192"/>
      <c r="J213" s="192"/>
      <c r="K213" s="192"/>
      <c r="L213" s="192"/>
      <c r="M213" s="192"/>
      <c r="N213" s="192"/>
      <c r="O213" s="192"/>
      <c r="T213" s="192"/>
    </row>
    <row r="214" spans="3:20" s="200" customFormat="1" ht="13.2">
      <c r="C214" s="203"/>
      <c r="G214" s="192"/>
      <c r="H214" s="192"/>
      <c r="I214" s="192"/>
      <c r="J214" s="192"/>
      <c r="K214" s="192"/>
      <c r="L214" s="192"/>
      <c r="M214" s="192"/>
      <c r="N214" s="192"/>
      <c r="O214" s="192"/>
      <c r="T214" s="192"/>
    </row>
    <row r="215" spans="3:20" s="200" customFormat="1" ht="13.2">
      <c r="C215" s="203"/>
      <c r="G215" s="192"/>
      <c r="H215" s="192"/>
      <c r="I215" s="192"/>
      <c r="J215" s="192"/>
      <c r="K215" s="192"/>
      <c r="L215" s="192"/>
      <c r="M215" s="192"/>
      <c r="N215" s="192"/>
      <c r="O215" s="192"/>
      <c r="T215" s="192"/>
    </row>
    <row r="216" spans="3:20" s="200" customFormat="1" ht="13.2">
      <c r="C216" s="203"/>
      <c r="G216" s="192"/>
      <c r="H216" s="192"/>
      <c r="I216" s="192"/>
      <c r="J216" s="192"/>
      <c r="K216" s="192"/>
      <c r="L216" s="192"/>
      <c r="M216" s="192"/>
      <c r="N216" s="192"/>
      <c r="O216" s="192"/>
      <c r="T216" s="192"/>
    </row>
    <row r="217" spans="3:20" s="200" customFormat="1" ht="13.2">
      <c r="C217" s="203"/>
      <c r="G217" s="192"/>
      <c r="H217" s="192"/>
      <c r="I217" s="192"/>
      <c r="J217" s="192"/>
      <c r="K217" s="192"/>
      <c r="L217" s="192"/>
      <c r="M217" s="192"/>
      <c r="N217" s="192"/>
      <c r="O217" s="192"/>
      <c r="T217" s="192"/>
    </row>
    <row r="218" spans="3:20" s="200" customFormat="1" ht="13.2">
      <c r="C218" s="203"/>
      <c r="G218" s="192"/>
      <c r="H218" s="192"/>
      <c r="I218" s="192"/>
      <c r="J218" s="192"/>
      <c r="K218" s="192"/>
      <c r="L218" s="192"/>
      <c r="M218" s="192"/>
      <c r="N218" s="192"/>
      <c r="O218" s="192"/>
      <c r="T218" s="192"/>
    </row>
    <row r="219" spans="3:20" s="200" customFormat="1" ht="13.2">
      <c r="C219" s="203"/>
      <c r="G219" s="192"/>
      <c r="H219" s="192"/>
      <c r="I219" s="192"/>
      <c r="J219" s="192"/>
      <c r="K219" s="192"/>
      <c r="L219" s="192"/>
      <c r="M219" s="192"/>
      <c r="N219" s="192"/>
      <c r="O219" s="192"/>
      <c r="T219" s="192"/>
    </row>
    <row r="220" spans="3:20" s="200" customFormat="1" ht="13.2">
      <c r="C220" s="203"/>
      <c r="G220" s="192"/>
      <c r="H220" s="192"/>
      <c r="I220" s="192"/>
      <c r="J220" s="192"/>
      <c r="K220" s="192"/>
      <c r="L220" s="192"/>
      <c r="M220" s="192"/>
      <c r="N220" s="192"/>
      <c r="O220" s="192"/>
      <c r="T220" s="192"/>
    </row>
    <row r="221" spans="3:20" s="200" customFormat="1" ht="13.2">
      <c r="C221" s="203"/>
      <c r="G221" s="192"/>
      <c r="H221" s="192"/>
      <c r="I221" s="192"/>
      <c r="J221" s="192"/>
      <c r="K221" s="192"/>
      <c r="L221" s="192"/>
      <c r="M221" s="192"/>
      <c r="N221" s="192"/>
      <c r="O221" s="192"/>
      <c r="T221" s="192"/>
    </row>
    <row r="222" spans="3:20" s="200" customFormat="1" ht="13.2">
      <c r="C222" s="203"/>
      <c r="G222" s="192"/>
      <c r="H222" s="192"/>
      <c r="I222" s="192"/>
      <c r="J222" s="192"/>
      <c r="K222" s="192"/>
      <c r="L222" s="192"/>
      <c r="M222" s="192"/>
      <c r="N222" s="192"/>
      <c r="O222" s="192"/>
      <c r="T222" s="192"/>
    </row>
    <row r="223" spans="3:20" s="200" customFormat="1" ht="13.2">
      <c r="C223" s="203"/>
      <c r="G223" s="192"/>
      <c r="H223" s="192"/>
      <c r="I223" s="192"/>
      <c r="J223" s="192"/>
      <c r="K223" s="192"/>
      <c r="L223" s="192"/>
      <c r="M223" s="192"/>
      <c r="N223" s="192"/>
      <c r="O223" s="192"/>
      <c r="T223" s="192"/>
    </row>
    <row r="224" spans="3:20" s="200" customFormat="1" ht="13.2">
      <c r="C224" s="203"/>
      <c r="G224" s="192"/>
      <c r="H224" s="192"/>
      <c r="I224" s="192"/>
      <c r="J224" s="192"/>
      <c r="K224" s="192"/>
      <c r="L224" s="192"/>
      <c r="M224" s="192"/>
      <c r="N224" s="192"/>
      <c r="O224" s="192"/>
      <c r="T224" s="192"/>
    </row>
    <row r="225" spans="3:20" s="200" customFormat="1" ht="13.2">
      <c r="C225" s="203"/>
      <c r="G225" s="192"/>
      <c r="H225" s="192"/>
      <c r="I225" s="192"/>
      <c r="J225" s="192"/>
      <c r="K225" s="192"/>
      <c r="L225" s="192"/>
      <c r="M225" s="192"/>
      <c r="N225" s="192"/>
      <c r="O225" s="192"/>
      <c r="T225" s="192"/>
    </row>
    <row r="226" spans="3:20" s="200" customFormat="1" ht="13.2">
      <c r="C226" s="203"/>
      <c r="G226" s="192"/>
      <c r="H226" s="192"/>
      <c r="I226" s="192"/>
      <c r="J226" s="192"/>
      <c r="K226" s="192"/>
      <c r="L226" s="192"/>
      <c r="M226" s="192"/>
      <c r="N226" s="192"/>
      <c r="O226" s="192"/>
      <c r="T226" s="192"/>
    </row>
    <row r="227" spans="3:20" s="200" customFormat="1" ht="13.2">
      <c r="C227" s="203"/>
      <c r="G227" s="192"/>
      <c r="H227" s="192"/>
      <c r="I227" s="192"/>
      <c r="J227" s="192"/>
      <c r="K227" s="192"/>
      <c r="L227" s="192"/>
      <c r="M227" s="192"/>
      <c r="N227" s="192"/>
      <c r="O227" s="192"/>
      <c r="T227" s="192"/>
    </row>
    <row r="228" spans="3:20" s="200" customFormat="1" ht="13.2">
      <c r="C228" s="203"/>
      <c r="G228" s="192"/>
      <c r="H228" s="192"/>
      <c r="I228" s="192"/>
      <c r="J228" s="192"/>
      <c r="K228" s="192"/>
      <c r="L228" s="192"/>
      <c r="M228" s="192"/>
      <c r="N228" s="192"/>
      <c r="O228" s="192"/>
      <c r="T228" s="192"/>
    </row>
    <row r="229" spans="3:20" s="200" customFormat="1" ht="13.2">
      <c r="C229" s="203"/>
      <c r="G229" s="192"/>
      <c r="H229" s="192"/>
      <c r="I229" s="192"/>
      <c r="J229" s="192"/>
      <c r="K229" s="192"/>
      <c r="L229" s="192"/>
      <c r="M229" s="192"/>
      <c r="N229" s="192"/>
      <c r="O229" s="192"/>
      <c r="T229" s="192"/>
    </row>
    <row r="230" spans="3:20" s="200" customFormat="1" ht="13.2">
      <c r="C230" s="203"/>
      <c r="G230" s="192"/>
      <c r="H230" s="192"/>
      <c r="I230" s="192"/>
      <c r="J230" s="192"/>
      <c r="K230" s="192"/>
      <c r="L230" s="192"/>
      <c r="M230" s="192"/>
      <c r="N230" s="192"/>
      <c r="O230" s="192"/>
      <c r="T230" s="192"/>
    </row>
    <row r="231" spans="3:20" s="200" customFormat="1" ht="13.2">
      <c r="C231" s="203"/>
      <c r="G231" s="192"/>
      <c r="H231" s="192"/>
      <c r="I231" s="192"/>
      <c r="J231" s="192"/>
      <c r="K231" s="192"/>
      <c r="L231" s="192"/>
      <c r="M231" s="192"/>
      <c r="N231" s="192"/>
      <c r="O231" s="192"/>
      <c r="T231" s="192"/>
    </row>
    <row r="232" spans="3:20" s="200" customFormat="1" ht="13.2">
      <c r="C232" s="203"/>
      <c r="G232" s="192"/>
      <c r="H232" s="192"/>
      <c r="I232" s="192"/>
      <c r="J232" s="192"/>
      <c r="K232" s="192"/>
      <c r="L232" s="192"/>
      <c r="M232" s="192"/>
      <c r="N232" s="192"/>
      <c r="O232" s="192"/>
      <c r="T232" s="192"/>
    </row>
    <row r="233" spans="3:20" s="200" customFormat="1" ht="13.2">
      <c r="C233" s="203"/>
      <c r="G233" s="192"/>
      <c r="H233" s="192"/>
      <c r="I233" s="192"/>
      <c r="J233" s="192"/>
      <c r="K233" s="192"/>
      <c r="L233" s="192"/>
      <c r="M233" s="192"/>
      <c r="N233" s="192"/>
      <c r="O233" s="192"/>
      <c r="T233" s="192"/>
    </row>
    <row r="234" spans="3:20" s="200" customFormat="1" ht="13.2">
      <c r="C234" s="203"/>
      <c r="G234" s="192"/>
      <c r="H234" s="192"/>
      <c r="I234" s="192"/>
      <c r="J234" s="192"/>
      <c r="K234" s="192"/>
      <c r="L234" s="192"/>
      <c r="M234" s="192"/>
      <c r="N234" s="192"/>
      <c r="O234" s="192"/>
      <c r="T234" s="192"/>
    </row>
    <row r="235" spans="3:20" s="200" customFormat="1" ht="13.2">
      <c r="C235" s="203"/>
      <c r="G235" s="192"/>
      <c r="H235" s="192"/>
      <c r="I235" s="192"/>
      <c r="J235" s="192"/>
      <c r="K235" s="192"/>
      <c r="L235" s="192"/>
      <c r="M235" s="192"/>
      <c r="N235" s="192"/>
      <c r="O235" s="192"/>
      <c r="T235" s="192"/>
    </row>
    <row r="236" spans="3:20" s="200" customFormat="1" ht="13.2">
      <c r="C236" s="203"/>
      <c r="G236" s="192"/>
      <c r="H236" s="192"/>
      <c r="I236" s="192"/>
      <c r="J236" s="192"/>
      <c r="K236" s="192"/>
      <c r="L236" s="192"/>
      <c r="M236" s="192"/>
      <c r="N236" s="192"/>
      <c r="O236" s="192"/>
      <c r="T236" s="192"/>
    </row>
    <row r="237" spans="3:20" s="200" customFormat="1" ht="13.2">
      <c r="C237" s="203"/>
      <c r="G237" s="192"/>
      <c r="H237" s="192"/>
      <c r="I237" s="192"/>
      <c r="J237" s="192"/>
      <c r="K237" s="192"/>
      <c r="L237" s="192"/>
      <c r="M237" s="192"/>
      <c r="N237" s="192"/>
      <c r="O237" s="192"/>
      <c r="T237" s="192"/>
    </row>
    <row r="238" spans="3:20" s="200" customFormat="1" ht="13.2">
      <c r="C238" s="203"/>
      <c r="G238" s="192"/>
      <c r="H238" s="192"/>
      <c r="I238" s="192"/>
      <c r="J238" s="192"/>
      <c r="K238" s="192"/>
      <c r="L238" s="192"/>
      <c r="M238" s="192"/>
      <c r="N238" s="192"/>
      <c r="O238" s="192"/>
      <c r="T238" s="192"/>
    </row>
    <row r="239" spans="3:20" s="200" customFormat="1" ht="13.2">
      <c r="C239" s="203"/>
      <c r="G239" s="192"/>
      <c r="H239" s="192"/>
      <c r="I239" s="192"/>
      <c r="J239" s="192"/>
      <c r="K239" s="192"/>
      <c r="L239" s="192"/>
      <c r="M239" s="192"/>
      <c r="N239" s="192"/>
      <c r="O239" s="192"/>
      <c r="T239" s="192"/>
    </row>
    <row r="240" spans="3:20" s="200" customFormat="1" ht="13.2">
      <c r="C240" s="203"/>
      <c r="G240" s="192"/>
      <c r="H240" s="192"/>
      <c r="I240" s="192"/>
      <c r="J240" s="192"/>
      <c r="K240" s="192"/>
      <c r="L240" s="192"/>
      <c r="M240" s="192"/>
      <c r="N240" s="192"/>
      <c r="O240" s="192"/>
      <c r="T240" s="192"/>
    </row>
    <row r="241" spans="3:20" s="200" customFormat="1" ht="13.2">
      <c r="C241" s="203"/>
      <c r="G241" s="192"/>
      <c r="H241" s="192"/>
      <c r="I241" s="192"/>
      <c r="J241" s="192"/>
      <c r="K241" s="192"/>
      <c r="L241" s="192"/>
      <c r="M241" s="192"/>
      <c r="N241" s="192"/>
      <c r="O241" s="192"/>
      <c r="T241" s="192"/>
    </row>
    <row r="242" spans="3:20" s="200" customFormat="1" ht="13.2">
      <c r="C242" s="203"/>
      <c r="G242" s="192"/>
      <c r="H242" s="192"/>
      <c r="I242" s="192"/>
      <c r="J242" s="192"/>
      <c r="K242" s="192"/>
      <c r="L242" s="192"/>
      <c r="M242" s="192"/>
      <c r="N242" s="192"/>
      <c r="O242" s="192"/>
      <c r="T242" s="192"/>
    </row>
    <row r="243" spans="3:20" s="200" customFormat="1" ht="13.2">
      <c r="C243" s="203"/>
      <c r="G243" s="192"/>
      <c r="H243" s="192"/>
      <c r="I243" s="192"/>
      <c r="J243" s="192"/>
      <c r="K243" s="192"/>
      <c r="L243" s="192"/>
      <c r="M243" s="192"/>
      <c r="N243" s="192"/>
      <c r="O243" s="192"/>
      <c r="T243" s="192"/>
    </row>
    <row r="244" spans="3:20" s="200" customFormat="1" ht="13.2">
      <c r="C244" s="203"/>
      <c r="G244" s="192"/>
      <c r="H244" s="192"/>
      <c r="I244" s="192"/>
      <c r="J244" s="192"/>
      <c r="K244" s="192"/>
      <c r="L244" s="192"/>
      <c r="M244" s="192"/>
      <c r="N244" s="192"/>
      <c r="O244" s="192"/>
      <c r="T244" s="192"/>
    </row>
    <row r="245" spans="3:20" s="200" customFormat="1" ht="13.2">
      <c r="C245" s="203"/>
      <c r="G245" s="192"/>
      <c r="H245" s="192"/>
      <c r="I245" s="192"/>
      <c r="J245" s="192"/>
      <c r="K245" s="192"/>
      <c r="L245" s="192"/>
      <c r="M245" s="192"/>
      <c r="N245" s="192"/>
      <c r="O245" s="192"/>
      <c r="T245" s="192"/>
    </row>
    <row r="246" spans="3:20" s="200" customFormat="1" ht="13.2">
      <c r="C246" s="203"/>
      <c r="G246" s="192"/>
      <c r="H246" s="192"/>
      <c r="I246" s="192"/>
      <c r="J246" s="192"/>
      <c r="K246" s="192"/>
      <c r="L246" s="192"/>
      <c r="M246" s="192"/>
      <c r="N246" s="192"/>
      <c r="O246" s="192"/>
      <c r="T246" s="192"/>
    </row>
    <row r="247" spans="3:20" s="200" customFormat="1" ht="13.2">
      <c r="C247" s="203"/>
      <c r="G247" s="192"/>
      <c r="H247" s="192"/>
      <c r="I247" s="192"/>
      <c r="J247" s="192"/>
      <c r="K247" s="192"/>
      <c r="L247" s="192"/>
      <c r="M247" s="192"/>
      <c r="N247" s="192"/>
      <c r="O247" s="192"/>
      <c r="T247" s="192"/>
    </row>
    <row r="248" spans="3:20" s="200" customFormat="1" ht="13.2">
      <c r="C248" s="203"/>
      <c r="G248" s="192"/>
      <c r="H248" s="192"/>
      <c r="I248" s="192"/>
      <c r="J248" s="192"/>
      <c r="K248" s="192"/>
      <c r="L248" s="192"/>
      <c r="M248" s="192"/>
      <c r="N248" s="192"/>
      <c r="O248" s="192"/>
      <c r="T248" s="192"/>
    </row>
    <row r="249" spans="3:20" s="200" customFormat="1" ht="13.2">
      <c r="C249" s="203"/>
      <c r="G249" s="192"/>
      <c r="H249" s="192"/>
      <c r="I249" s="192"/>
      <c r="J249" s="192"/>
      <c r="K249" s="192"/>
      <c r="L249" s="192"/>
      <c r="M249" s="192"/>
      <c r="N249" s="192"/>
      <c r="O249" s="192"/>
      <c r="T249" s="192"/>
    </row>
    <row r="250" spans="3:20" s="200" customFormat="1" ht="13.2">
      <c r="C250" s="203"/>
      <c r="G250" s="192"/>
      <c r="H250" s="192"/>
      <c r="I250" s="192"/>
      <c r="J250" s="192"/>
      <c r="K250" s="192"/>
      <c r="L250" s="192"/>
      <c r="M250" s="192"/>
      <c r="N250" s="192"/>
      <c r="O250" s="192"/>
      <c r="T250" s="192"/>
    </row>
    <row r="251" spans="3:20" s="200" customFormat="1" ht="13.2">
      <c r="C251" s="203"/>
      <c r="G251" s="192"/>
      <c r="H251" s="192"/>
      <c r="I251" s="192"/>
      <c r="J251" s="192"/>
      <c r="K251" s="192"/>
      <c r="L251" s="192"/>
      <c r="M251" s="192"/>
      <c r="N251" s="192"/>
      <c r="O251" s="192"/>
      <c r="T251" s="192"/>
    </row>
    <row r="252" spans="3:20" s="200" customFormat="1" ht="13.2">
      <c r="C252" s="203"/>
      <c r="G252" s="192"/>
      <c r="H252" s="192"/>
      <c r="I252" s="192"/>
      <c r="J252" s="192"/>
      <c r="K252" s="192"/>
      <c r="L252" s="192"/>
      <c r="M252" s="192"/>
      <c r="N252" s="192"/>
      <c r="O252" s="192"/>
      <c r="T252" s="192"/>
    </row>
    <row r="253" spans="3:20" s="200" customFormat="1" ht="13.2">
      <c r="C253" s="203"/>
      <c r="G253" s="192"/>
      <c r="H253" s="192"/>
      <c r="I253" s="192"/>
      <c r="J253" s="192"/>
      <c r="K253" s="192"/>
      <c r="L253" s="192"/>
      <c r="M253" s="192"/>
      <c r="N253" s="192"/>
      <c r="O253" s="192"/>
      <c r="T253" s="192"/>
    </row>
    <row r="254" spans="3:20" s="200" customFormat="1" ht="13.2">
      <c r="C254" s="203"/>
      <c r="G254" s="192"/>
      <c r="H254" s="192"/>
      <c r="I254" s="192"/>
      <c r="J254" s="192"/>
      <c r="K254" s="192"/>
      <c r="L254" s="192"/>
      <c r="M254" s="192"/>
      <c r="N254" s="192"/>
      <c r="O254" s="192"/>
      <c r="T254" s="192"/>
    </row>
    <row r="255" spans="3:20" s="200" customFormat="1" ht="13.2">
      <c r="C255" s="203"/>
      <c r="G255" s="192"/>
      <c r="H255" s="192"/>
      <c r="I255" s="192"/>
      <c r="J255" s="192"/>
      <c r="K255" s="192"/>
      <c r="L255" s="192"/>
      <c r="M255" s="192"/>
      <c r="N255" s="192"/>
      <c r="O255" s="192"/>
      <c r="T255" s="192"/>
    </row>
    <row r="256" spans="3:20" s="200" customFormat="1" ht="13.2">
      <c r="C256" s="203"/>
      <c r="G256" s="192"/>
      <c r="H256" s="192"/>
      <c r="I256" s="192"/>
      <c r="J256" s="192"/>
      <c r="K256" s="192"/>
      <c r="L256" s="192"/>
      <c r="M256" s="192"/>
      <c r="N256" s="192"/>
      <c r="O256" s="192"/>
      <c r="T256" s="192"/>
    </row>
    <row r="257" spans="3:20" s="200" customFormat="1" ht="13.2">
      <c r="C257" s="203"/>
      <c r="G257" s="192"/>
      <c r="H257" s="192"/>
      <c r="I257" s="192"/>
      <c r="J257" s="192"/>
      <c r="K257" s="192"/>
      <c r="L257" s="192"/>
      <c r="M257" s="192"/>
      <c r="N257" s="192"/>
      <c r="O257" s="192"/>
      <c r="T257" s="192"/>
    </row>
    <row r="258" spans="3:20" s="200" customFormat="1" ht="13.2">
      <c r="C258" s="203"/>
      <c r="G258" s="192"/>
      <c r="H258" s="192"/>
      <c r="I258" s="192"/>
      <c r="J258" s="192"/>
      <c r="K258" s="192"/>
      <c r="L258" s="192"/>
      <c r="M258" s="192"/>
      <c r="N258" s="192"/>
      <c r="O258" s="192"/>
      <c r="T258" s="192"/>
    </row>
    <row r="259" spans="3:20" s="200" customFormat="1" ht="13.2">
      <c r="C259" s="203"/>
      <c r="G259" s="192"/>
      <c r="H259" s="192"/>
      <c r="I259" s="192"/>
      <c r="J259" s="192"/>
      <c r="K259" s="192"/>
      <c r="L259" s="192"/>
      <c r="M259" s="192"/>
      <c r="N259" s="192"/>
      <c r="O259" s="192"/>
      <c r="T259" s="192"/>
    </row>
    <row r="260" spans="3:20" s="200" customFormat="1" ht="13.2">
      <c r="C260" s="203"/>
      <c r="G260" s="192"/>
      <c r="H260" s="192"/>
      <c r="I260" s="192"/>
      <c r="J260" s="192"/>
      <c r="K260" s="192"/>
      <c r="L260" s="192"/>
      <c r="M260" s="192"/>
      <c r="N260" s="192"/>
      <c r="O260" s="192"/>
      <c r="T260" s="192"/>
    </row>
    <row r="261" spans="3:20" s="200" customFormat="1" ht="13.2">
      <c r="C261" s="203"/>
      <c r="G261" s="192"/>
      <c r="H261" s="192"/>
      <c r="I261" s="192"/>
      <c r="J261" s="192"/>
      <c r="K261" s="192"/>
      <c r="L261" s="192"/>
      <c r="M261" s="192"/>
      <c r="N261" s="192"/>
      <c r="O261" s="192"/>
      <c r="T261" s="192"/>
    </row>
    <row r="262" spans="3:20" s="200" customFormat="1" ht="13.2">
      <c r="C262" s="203"/>
      <c r="G262" s="192"/>
      <c r="H262" s="192"/>
      <c r="I262" s="192"/>
      <c r="J262" s="192"/>
      <c r="K262" s="192"/>
      <c r="L262" s="192"/>
      <c r="M262" s="192"/>
      <c r="N262" s="192"/>
      <c r="O262" s="192"/>
      <c r="T262" s="192"/>
    </row>
    <row r="263" spans="3:20" s="200" customFormat="1" ht="13.2">
      <c r="C263" s="203"/>
      <c r="G263" s="192"/>
      <c r="H263" s="192"/>
      <c r="I263" s="192"/>
      <c r="J263" s="192"/>
      <c r="K263" s="192"/>
      <c r="L263" s="192"/>
      <c r="M263" s="192"/>
      <c r="N263" s="192"/>
      <c r="O263" s="192"/>
      <c r="T263" s="192"/>
    </row>
    <row r="264" spans="3:20" s="200" customFormat="1" ht="13.2">
      <c r="C264" s="203"/>
      <c r="G264" s="192"/>
      <c r="H264" s="192"/>
      <c r="I264" s="192"/>
      <c r="J264" s="192"/>
      <c r="K264" s="192"/>
      <c r="L264" s="192"/>
      <c r="M264" s="192"/>
      <c r="N264" s="192"/>
      <c r="O264" s="192"/>
      <c r="T264" s="192"/>
    </row>
    <row r="265" spans="3:20" s="200" customFormat="1" ht="13.2">
      <c r="C265" s="203"/>
      <c r="G265" s="192"/>
      <c r="H265" s="192"/>
      <c r="I265" s="192"/>
      <c r="J265" s="192"/>
      <c r="K265" s="192"/>
      <c r="L265" s="192"/>
      <c r="M265" s="192"/>
      <c r="N265" s="192"/>
      <c r="O265" s="192"/>
      <c r="T265" s="192"/>
    </row>
    <row r="266" spans="3:20" s="200" customFormat="1" ht="13.2">
      <c r="C266" s="203"/>
      <c r="G266" s="192"/>
      <c r="H266" s="192"/>
      <c r="I266" s="192"/>
      <c r="J266" s="192"/>
      <c r="K266" s="192"/>
      <c r="L266" s="192"/>
      <c r="M266" s="192"/>
      <c r="N266" s="192"/>
      <c r="O266" s="192"/>
      <c r="T266" s="192"/>
    </row>
    <row r="267" spans="3:20" s="200" customFormat="1" ht="13.2">
      <c r="C267" s="203"/>
      <c r="G267" s="192"/>
      <c r="H267" s="192"/>
      <c r="I267" s="192"/>
      <c r="J267" s="192"/>
      <c r="K267" s="192"/>
      <c r="L267" s="192"/>
      <c r="M267" s="192"/>
      <c r="N267" s="192"/>
      <c r="O267" s="192"/>
      <c r="T267" s="192"/>
    </row>
    <row r="268" spans="3:20" s="200" customFormat="1" ht="13.2">
      <c r="C268" s="203"/>
      <c r="G268" s="192"/>
      <c r="H268" s="192"/>
      <c r="I268" s="192"/>
      <c r="J268" s="192"/>
      <c r="K268" s="192"/>
      <c r="L268" s="192"/>
      <c r="M268" s="192"/>
      <c r="N268" s="192"/>
      <c r="O268" s="192"/>
      <c r="T268" s="192"/>
    </row>
    <row r="269" spans="3:20" s="200" customFormat="1" ht="13.2">
      <c r="C269" s="203"/>
      <c r="G269" s="192"/>
      <c r="H269" s="192"/>
      <c r="I269" s="192"/>
      <c r="J269" s="192"/>
      <c r="K269" s="192"/>
      <c r="L269" s="192"/>
      <c r="M269" s="192"/>
      <c r="N269" s="192"/>
      <c r="O269" s="192"/>
      <c r="T269" s="192"/>
    </row>
    <row r="270" spans="3:20" s="200" customFormat="1" ht="13.2">
      <c r="C270" s="203"/>
      <c r="G270" s="192"/>
      <c r="H270" s="192"/>
      <c r="I270" s="192"/>
      <c r="J270" s="192"/>
      <c r="K270" s="192"/>
      <c r="L270" s="192"/>
      <c r="M270" s="192"/>
      <c r="N270" s="192"/>
      <c r="O270" s="192"/>
      <c r="T270" s="192"/>
    </row>
    <row r="271" spans="3:20" s="200" customFormat="1" ht="13.2">
      <c r="C271" s="203"/>
      <c r="G271" s="192"/>
      <c r="H271" s="192"/>
      <c r="I271" s="192"/>
      <c r="J271" s="192"/>
      <c r="K271" s="192"/>
      <c r="L271" s="192"/>
      <c r="M271" s="192"/>
      <c r="N271" s="192"/>
      <c r="O271" s="192"/>
      <c r="T271" s="192"/>
    </row>
    <row r="272" spans="3:20" s="200" customFormat="1" ht="13.2">
      <c r="C272" s="203"/>
      <c r="G272" s="192"/>
      <c r="H272" s="192"/>
      <c r="I272" s="192"/>
      <c r="J272" s="192"/>
      <c r="K272" s="192"/>
      <c r="L272" s="192"/>
      <c r="M272" s="192"/>
      <c r="N272" s="192"/>
      <c r="O272" s="192"/>
      <c r="T272" s="192"/>
    </row>
    <row r="273" spans="3:20" s="200" customFormat="1" ht="13.2">
      <c r="C273" s="203"/>
      <c r="G273" s="192"/>
      <c r="H273" s="192"/>
      <c r="I273" s="192"/>
      <c r="J273" s="192"/>
      <c r="K273" s="192"/>
      <c r="L273" s="192"/>
      <c r="M273" s="192"/>
      <c r="N273" s="192"/>
      <c r="O273" s="192"/>
      <c r="T273" s="192"/>
    </row>
    <row r="274" spans="3:20" s="200" customFormat="1" ht="13.2">
      <c r="C274" s="203"/>
      <c r="G274" s="192"/>
      <c r="H274" s="192"/>
      <c r="I274" s="192"/>
      <c r="J274" s="192"/>
      <c r="K274" s="192"/>
      <c r="L274" s="192"/>
      <c r="M274" s="192"/>
      <c r="N274" s="192"/>
      <c r="O274" s="192"/>
      <c r="T274" s="192"/>
    </row>
    <row r="275" spans="3:20" s="200" customFormat="1" ht="13.2">
      <c r="C275" s="203"/>
      <c r="G275" s="192"/>
      <c r="H275" s="192"/>
      <c r="I275" s="192"/>
      <c r="J275" s="192"/>
      <c r="K275" s="192"/>
      <c r="L275" s="192"/>
      <c r="M275" s="192"/>
      <c r="N275" s="192"/>
      <c r="O275" s="192"/>
      <c r="T275" s="192"/>
    </row>
    <row r="276" spans="3:20" s="200" customFormat="1" ht="13.2">
      <c r="C276" s="203"/>
      <c r="G276" s="192"/>
      <c r="H276" s="192"/>
      <c r="I276" s="192"/>
      <c r="J276" s="192"/>
      <c r="K276" s="192"/>
      <c r="L276" s="192"/>
      <c r="M276" s="192"/>
      <c r="N276" s="192"/>
      <c r="O276" s="192"/>
      <c r="T276" s="192"/>
    </row>
    <row r="277" spans="3:20" s="200" customFormat="1" ht="13.2">
      <c r="C277" s="203"/>
      <c r="G277" s="192"/>
      <c r="H277" s="192"/>
      <c r="I277" s="192"/>
      <c r="J277" s="192"/>
      <c r="K277" s="192"/>
      <c r="L277" s="192"/>
      <c r="M277" s="192"/>
      <c r="N277" s="192"/>
      <c r="O277" s="192"/>
      <c r="T277" s="192"/>
    </row>
    <row r="278" spans="3:20" s="200" customFormat="1" ht="13.2">
      <c r="C278" s="203"/>
      <c r="G278" s="192"/>
      <c r="H278" s="192"/>
      <c r="I278" s="192"/>
      <c r="J278" s="192"/>
      <c r="K278" s="192"/>
      <c r="L278" s="192"/>
      <c r="M278" s="192"/>
      <c r="N278" s="192"/>
      <c r="O278" s="192"/>
      <c r="T278" s="192"/>
    </row>
    <row r="279" spans="3:20" s="200" customFormat="1" ht="13.2">
      <c r="C279" s="203"/>
      <c r="G279" s="192"/>
      <c r="H279" s="192"/>
      <c r="I279" s="192"/>
      <c r="J279" s="192"/>
      <c r="K279" s="192"/>
      <c r="L279" s="192"/>
      <c r="M279" s="192"/>
      <c r="N279" s="192"/>
      <c r="O279" s="192"/>
      <c r="T279" s="192"/>
    </row>
    <row r="280" spans="3:20" s="200" customFormat="1" ht="13.2">
      <c r="C280" s="203"/>
      <c r="G280" s="192"/>
      <c r="H280" s="192"/>
      <c r="I280" s="192"/>
      <c r="J280" s="192"/>
      <c r="K280" s="192"/>
      <c r="L280" s="192"/>
      <c r="M280" s="192"/>
      <c r="N280" s="192"/>
      <c r="O280" s="192"/>
      <c r="T280" s="192"/>
    </row>
  </sheetData>
  <mergeCells count="13">
    <mergeCell ref="A1:Z1"/>
    <mergeCell ref="A2:Z2"/>
    <mergeCell ref="A3:Z3"/>
    <mergeCell ref="A4:Z4"/>
    <mergeCell ref="U5:Z5"/>
    <mergeCell ref="H5:I5"/>
    <mergeCell ref="K5:L5"/>
    <mergeCell ref="N5:O5"/>
    <mergeCell ref="Q5:R5"/>
    <mergeCell ref="B52:Z52"/>
    <mergeCell ref="D6:T6"/>
    <mergeCell ref="W6:Z6"/>
    <mergeCell ref="B51:Z51"/>
  </mergeCells>
  <phoneticPr fontId="24" type="noConversion"/>
  <printOptions horizontalCentered="1"/>
  <pageMargins left="0.25" right="0.25" top="0.5" bottom="0.5" header="0.3" footer="0.3"/>
  <pageSetup scale="74" orientation="landscape" r:id="rId1"/>
  <headerFooter alignWithMargins="0">
    <oddFooter>&amp;R&amp;A</oddFooter>
  </headerFooter>
  <ignoredErrors>
    <ignoredError sqref="A51:A52" numberStoredAsText="1"/>
  </ignoredErrors>
</worksheet>
</file>

<file path=xl/worksheets/sheet31.xml><?xml version="1.0" encoding="utf-8"?>
<worksheet xmlns="http://schemas.openxmlformats.org/spreadsheetml/2006/main" xmlns:r="http://schemas.openxmlformats.org/officeDocument/2006/relationships">
  <dimension ref="A1:V207"/>
  <sheetViews>
    <sheetView zoomScale="75" zoomScaleNormal="75" workbookViewId="0">
      <selection sqref="A1:V1"/>
    </sheetView>
  </sheetViews>
  <sheetFormatPr defaultColWidth="12.5546875" defaultRowHeight="10.199999999999999"/>
  <cols>
    <col min="1" max="1" width="2.44140625" style="559" customWidth="1"/>
    <col min="2" max="2" width="35" style="559" customWidth="1"/>
    <col min="3" max="3" width="2.44140625" style="559" customWidth="1"/>
    <col min="4" max="4" width="8.44140625" style="559" customWidth="1"/>
    <col min="5" max="6" width="2.44140625" style="559" customWidth="1"/>
    <col min="7" max="7" width="8.44140625" style="559" customWidth="1"/>
    <col min="8" max="9" width="2.44140625" style="559" customWidth="1"/>
    <col min="10" max="10" width="8.33203125" style="559" customWidth="1"/>
    <col min="11" max="12" width="2.44140625" style="559" customWidth="1"/>
    <col min="13" max="13" width="8.33203125" style="559" customWidth="1"/>
    <col min="14" max="15" width="2.44140625" style="559" customWidth="1"/>
    <col min="16" max="16" width="8.33203125" style="559" customWidth="1"/>
    <col min="17" max="18" width="2.44140625" style="559" customWidth="1"/>
    <col min="19" max="19" width="8.33203125" style="559" customWidth="1"/>
    <col min="20" max="21" width="2.44140625" style="559" customWidth="1"/>
    <col min="22" max="22" width="8.33203125" style="559" customWidth="1"/>
    <col min="23" max="25" width="12.5546875" style="559" customWidth="1"/>
    <col min="26" max="16384" width="12.5546875" style="559"/>
  </cols>
  <sheetData>
    <row r="1" spans="1:22" s="558" customFormat="1" ht="13.2">
      <c r="A1" s="1028" t="s">
        <v>96</v>
      </c>
      <c r="B1" s="1028"/>
      <c r="C1" s="1028"/>
      <c r="D1" s="1028"/>
      <c r="E1" s="1028"/>
      <c r="F1" s="1028"/>
      <c r="G1" s="1028"/>
      <c r="H1" s="1028"/>
      <c r="I1" s="1028"/>
      <c r="J1" s="1028"/>
      <c r="K1" s="1028"/>
      <c r="L1" s="1028"/>
      <c r="M1" s="1028"/>
      <c r="N1" s="1028"/>
      <c r="O1" s="1028"/>
      <c r="P1" s="1028"/>
      <c r="Q1" s="1028"/>
      <c r="R1" s="1028"/>
      <c r="S1" s="1028"/>
      <c r="T1" s="1028"/>
      <c r="U1" s="1028"/>
      <c r="V1" s="1028"/>
    </row>
    <row r="2" spans="1:22" s="558" customFormat="1" ht="13.2">
      <c r="A2" s="1028" t="s">
        <v>476</v>
      </c>
      <c r="B2" s="1028"/>
      <c r="C2" s="1028"/>
      <c r="D2" s="1028"/>
      <c r="E2" s="1028"/>
      <c r="F2" s="1028"/>
      <c r="G2" s="1028"/>
      <c r="H2" s="1028"/>
      <c r="I2" s="1028"/>
      <c r="J2" s="1028"/>
      <c r="K2" s="1028"/>
      <c r="L2" s="1028"/>
      <c r="M2" s="1028"/>
      <c r="N2" s="1028"/>
      <c r="O2" s="1028"/>
      <c r="P2" s="1028"/>
      <c r="Q2" s="1028"/>
      <c r="R2" s="1028"/>
      <c r="S2" s="1028"/>
      <c r="T2" s="1028"/>
      <c r="U2" s="1028"/>
      <c r="V2" s="1028"/>
    </row>
    <row r="3" spans="1:22">
      <c r="A3" s="1029" t="s">
        <v>800</v>
      </c>
      <c r="B3" s="1029"/>
      <c r="C3" s="1029"/>
      <c r="D3" s="1029"/>
      <c r="E3" s="1029"/>
      <c r="F3" s="1029"/>
      <c r="G3" s="1029"/>
      <c r="H3" s="1029"/>
      <c r="I3" s="1029"/>
      <c r="J3" s="1029"/>
      <c r="K3" s="1029"/>
      <c r="L3" s="1029"/>
      <c r="M3" s="1029"/>
      <c r="N3" s="1029"/>
      <c r="O3" s="1029"/>
      <c r="P3" s="1029"/>
      <c r="Q3" s="1029"/>
      <c r="R3" s="1029"/>
      <c r="S3" s="1029"/>
      <c r="T3" s="1029"/>
      <c r="U3" s="1029"/>
      <c r="V3" s="1029"/>
    </row>
    <row r="4" spans="1:22">
      <c r="A4" s="560"/>
      <c r="B4" s="560"/>
      <c r="C4" s="560"/>
      <c r="D4" s="560"/>
      <c r="E4" s="560"/>
      <c r="F4" s="560"/>
      <c r="G4" s="560"/>
      <c r="H4" s="560"/>
      <c r="I4" s="560"/>
      <c r="J4" s="560"/>
      <c r="K4" s="560"/>
      <c r="L4" s="560"/>
      <c r="M4" s="560"/>
      <c r="N4" s="560"/>
      <c r="O4" s="560"/>
      <c r="P4" s="560"/>
      <c r="Q4" s="560"/>
      <c r="R4" s="560"/>
      <c r="S4" s="560"/>
      <c r="T4" s="560"/>
      <c r="U4" s="560"/>
      <c r="V4" s="560"/>
    </row>
    <row r="5" spans="1:22" s="561" customFormat="1" ht="11.4">
      <c r="J5" s="563"/>
      <c r="K5" s="562"/>
      <c r="M5" s="563"/>
      <c r="N5" s="562"/>
      <c r="P5" s="563"/>
      <c r="Q5" s="562"/>
      <c r="S5" s="563"/>
      <c r="T5" s="562"/>
      <c r="V5" s="563"/>
    </row>
    <row r="6" spans="1:22" s="561" customFormat="1" ht="11.4">
      <c r="C6" s="564"/>
      <c r="F6" s="564"/>
      <c r="I6" s="564"/>
      <c r="J6" s="562"/>
      <c r="K6" s="562"/>
      <c r="L6" s="564"/>
      <c r="M6" s="562"/>
      <c r="N6" s="562"/>
      <c r="O6" s="564"/>
      <c r="P6" s="562"/>
      <c r="Q6" s="562"/>
      <c r="R6" s="564"/>
      <c r="S6" s="562"/>
      <c r="T6" s="562"/>
      <c r="U6" s="564"/>
      <c r="V6" s="562"/>
    </row>
    <row r="7" spans="1:22" s="561" customFormat="1" ht="12" customHeight="1">
      <c r="C7" s="567"/>
      <c r="D7" s="1031" t="s">
        <v>99</v>
      </c>
      <c r="E7" s="1031"/>
      <c r="F7" s="1031"/>
      <c r="G7" s="1031"/>
      <c r="H7" s="565"/>
      <c r="J7" s="1030" t="s">
        <v>324</v>
      </c>
      <c r="K7" s="1030"/>
      <c r="L7" s="1030"/>
      <c r="M7" s="1030"/>
      <c r="N7" s="1030"/>
      <c r="O7" s="1030"/>
      <c r="P7" s="1030"/>
      <c r="Q7" s="1030"/>
      <c r="R7" s="1030"/>
      <c r="S7" s="1030"/>
      <c r="T7" s="1030"/>
      <c r="U7" s="1030"/>
      <c r="V7" s="1030"/>
    </row>
    <row r="8" spans="1:22" s="561" customFormat="1" ht="12" customHeight="1">
      <c r="C8" s="568"/>
      <c r="D8" s="566"/>
      <c r="E8" s="567"/>
      <c r="F8" s="568"/>
      <c r="G8" s="566"/>
      <c r="H8" s="567"/>
      <c r="I8" s="565"/>
      <c r="J8" s="563"/>
      <c r="K8" s="563"/>
      <c r="L8" s="565"/>
      <c r="M8" s="563"/>
      <c r="O8" s="565"/>
      <c r="P8" s="563"/>
      <c r="R8" s="565"/>
      <c r="S8" s="563"/>
      <c r="U8" s="565"/>
      <c r="V8" s="563"/>
    </row>
    <row r="9" spans="1:22" s="561" customFormat="1" ht="11.4">
      <c r="C9" s="568"/>
      <c r="D9" s="563" t="s">
        <v>104</v>
      </c>
      <c r="E9" s="568"/>
      <c r="F9" s="568"/>
      <c r="G9" s="569" t="s">
        <v>105</v>
      </c>
      <c r="H9" s="568"/>
      <c r="I9" s="568"/>
      <c r="J9" s="563"/>
      <c r="K9" s="563"/>
      <c r="L9" s="568"/>
      <c r="M9" s="563"/>
      <c r="N9" s="563"/>
      <c r="O9" s="568"/>
      <c r="P9" s="563"/>
      <c r="Q9" s="563"/>
      <c r="R9" s="568"/>
      <c r="S9" s="563"/>
      <c r="T9" s="563"/>
      <c r="U9" s="568"/>
      <c r="V9" s="563"/>
    </row>
    <row r="10" spans="1:22" s="561" customFormat="1" ht="11.4">
      <c r="C10" s="568"/>
      <c r="D10" s="570">
        <v>2012</v>
      </c>
      <c r="E10" s="568"/>
      <c r="F10" s="568"/>
      <c r="G10" s="570">
        <v>2012</v>
      </c>
      <c r="H10" s="568"/>
      <c r="I10" s="568"/>
      <c r="J10" s="570">
        <v>2011</v>
      </c>
      <c r="K10" s="563"/>
      <c r="L10" s="568"/>
      <c r="M10" s="570">
        <v>2010</v>
      </c>
      <c r="N10" s="563"/>
      <c r="O10" s="568"/>
      <c r="P10" s="570">
        <v>2009</v>
      </c>
      <c r="Q10" s="563"/>
      <c r="R10" s="568"/>
      <c r="S10" s="570">
        <v>2008</v>
      </c>
      <c r="T10" s="563"/>
      <c r="U10" s="568"/>
      <c r="V10" s="570">
        <v>2007</v>
      </c>
    </row>
    <row r="11" spans="1:22" s="561" customFormat="1" ht="12">
      <c r="A11" s="571" t="s">
        <v>475</v>
      </c>
      <c r="C11" s="568"/>
      <c r="D11" s="569"/>
      <c r="E11" s="568"/>
      <c r="F11" s="568"/>
      <c r="G11" s="569"/>
      <c r="H11" s="568"/>
      <c r="I11" s="568"/>
      <c r="J11" s="569"/>
      <c r="K11" s="569"/>
      <c r="L11" s="568"/>
      <c r="M11" s="569"/>
      <c r="N11" s="563"/>
      <c r="O11" s="568"/>
      <c r="P11" s="569"/>
      <c r="Q11" s="563"/>
      <c r="R11" s="568"/>
      <c r="S11" s="569"/>
      <c r="T11" s="563"/>
      <c r="U11" s="568"/>
      <c r="V11" s="569"/>
    </row>
    <row r="12" spans="1:22" s="561" customFormat="1" ht="12">
      <c r="A12" s="571"/>
      <c r="C12" s="568"/>
      <c r="D12" s="569"/>
      <c r="E12" s="568"/>
      <c r="F12" s="568"/>
      <c r="G12" s="569"/>
      <c r="H12" s="568"/>
      <c r="I12" s="568"/>
      <c r="J12" s="569"/>
      <c r="K12" s="563"/>
      <c r="L12" s="568"/>
      <c r="M12" s="569"/>
      <c r="N12" s="563"/>
      <c r="O12" s="568"/>
      <c r="P12" s="569"/>
      <c r="Q12" s="563"/>
      <c r="R12" s="568"/>
      <c r="S12" s="569"/>
      <c r="T12" s="563"/>
      <c r="U12" s="568"/>
      <c r="V12" s="569"/>
    </row>
    <row r="13" spans="1:22" s="561" customFormat="1" ht="12">
      <c r="A13" s="571" t="s">
        <v>477</v>
      </c>
      <c r="C13" s="568"/>
      <c r="D13" s="572"/>
      <c r="E13" s="568"/>
      <c r="F13" s="568"/>
      <c r="G13" s="572"/>
      <c r="H13" s="568"/>
      <c r="I13" s="568"/>
      <c r="J13" s="572"/>
      <c r="K13" s="568"/>
      <c r="L13" s="568"/>
      <c r="M13" s="572"/>
      <c r="N13" s="568"/>
      <c r="O13" s="568"/>
      <c r="P13" s="572"/>
      <c r="Q13" s="568"/>
      <c r="R13" s="568"/>
      <c r="S13" s="572"/>
      <c r="T13" s="568"/>
      <c r="U13" s="568"/>
      <c r="V13" s="572"/>
    </row>
    <row r="14" spans="1:22" s="561" customFormat="1" ht="11.4">
      <c r="B14" s="573" t="s">
        <v>478</v>
      </c>
      <c r="C14" s="574" t="s">
        <v>108</v>
      </c>
      <c r="D14" s="575">
        <v>1050</v>
      </c>
      <c r="E14" s="576"/>
      <c r="F14" s="574" t="s">
        <v>108</v>
      </c>
      <c r="G14" s="575">
        <v>1078</v>
      </c>
      <c r="H14" s="576"/>
      <c r="I14" s="576" t="s">
        <v>108</v>
      </c>
      <c r="J14" s="575">
        <v>1100</v>
      </c>
      <c r="K14" s="575"/>
      <c r="L14" s="576" t="s">
        <v>108</v>
      </c>
      <c r="M14" s="575">
        <v>1180</v>
      </c>
      <c r="N14" s="577"/>
      <c r="O14" s="576" t="s">
        <v>108</v>
      </c>
      <c r="P14" s="575">
        <v>1228</v>
      </c>
      <c r="Q14" s="577"/>
      <c r="R14" s="576" t="s">
        <v>108</v>
      </c>
      <c r="S14" s="575">
        <v>1302</v>
      </c>
      <c r="T14" s="577"/>
      <c r="U14" s="576" t="s">
        <v>108</v>
      </c>
      <c r="V14" s="575">
        <v>1375</v>
      </c>
    </row>
    <row r="15" spans="1:22" s="561" customFormat="1" ht="11.4">
      <c r="B15" s="573" t="s">
        <v>479</v>
      </c>
      <c r="C15" s="574"/>
      <c r="D15" s="578">
        <v>0</v>
      </c>
      <c r="E15" s="576"/>
      <c r="F15" s="574"/>
      <c r="G15" s="578">
        <v>0</v>
      </c>
      <c r="H15" s="576"/>
      <c r="I15" s="576"/>
      <c r="J15" s="578">
        <v>26</v>
      </c>
      <c r="K15" s="578"/>
      <c r="L15" s="576"/>
      <c r="M15" s="578">
        <v>5</v>
      </c>
      <c r="N15" s="579"/>
      <c r="O15" s="576"/>
      <c r="P15" s="578">
        <v>-8</v>
      </c>
      <c r="Q15" s="579"/>
      <c r="R15" s="576"/>
      <c r="S15" s="578">
        <v>8</v>
      </c>
      <c r="T15" s="579"/>
      <c r="U15" s="576"/>
      <c r="V15" s="578">
        <v>17</v>
      </c>
    </row>
    <row r="16" spans="1:22" s="561" customFormat="1" ht="12" customHeight="1">
      <c r="B16" s="573" t="s">
        <v>480</v>
      </c>
      <c r="C16" s="574"/>
      <c r="D16" s="578">
        <v>-16</v>
      </c>
      <c r="E16" s="576"/>
      <c r="F16" s="574"/>
      <c r="G16" s="578">
        <v>-28</v>
      </c>
      <c r="H16" s="576"/>
      <c r="I16" s="576"/>
      <c r="J16" s="580">
        <v>-48</v>
      </c>
      <c r="K16" s="578"/>
      <c r="L16" s="576"/>
      <c r="M16" s="580">
        <v>-85</v>
      </c>
      <c r="N16" s="579"/>
      <c r="O16" s="576"/>
      <c r="P16" s="581">
        <v>-40</v>
      </c>
      <c r="Q16" s="579"/>
      <c r="R16" s="576"/>
      <c r="S16" s="581">
        <v>-82</v>
      </c>
      <c r="T16" s="579"/>
      <c r="U16" s="576"/>
      <c r="V16" s="581">
        <v>-90</v>
      </c>
    </row>
    <row r="17" spans="1:22" s="561" customFormat="1" ht="12" thickBot="1">
      <c r="B17" s="573" t="s">
        <v>481</v>
      </c>
      <c r="C17" s="574" t="s">
        <v>108</v>
      </c>
      <c r="D17" s="582">
        <v>1034</v>
      </c>
      <c r="E17" s="576"/>
      <c r="F17" s="574" t="s">
        <v>108</v>
      </c>
      <c r="G17" s="582">
        <v>1050</v>
      </c>
      <c r="H17" s="576"/>
      <c r="I17" s="576" t="s">
        <v>108</v>
      </c>
      <c r="J17" s="583">
        <v>1078</v>
      </c>
      <c r="K17" s="578"/>
      <c r="L17" s="576" t="s">
        <v>108</v>
      </c>
      <c r="M17" s="583">
        <v>1100</v>
      </c>
      <c r="N17" s="579"/>
      <c r="O17" s="576" t="s">
        <v>108</v>
      </c>
      <c r="P17" s="583">
        <v>1180</v>
      </c>
      <c r="Q17" s="579"/>
      <c r="R17" s="576" t="s">
        <v>108</v>
      </c>
      <c r="S17" s="583">
        <v>1228</v>
      </c>
      <c r="T17" s="579"/>
      <c r="U17" s="576" t="s">
        <v>108</v>
      </c>
      <c r="V17" s="583">
        <v>1302</v>
      </c>
    </row>
    <row r="18" spans="1:22" s="561" customFormat="1" ht="12" thickTop="1">
      <c r="C18" s="568"/>
      <c r="D18" s="572"/>
      <c r="E18" s="572"/>
      <c r="F18" s="568"/>
      <c r="G18" s="572"/>
      <c r="H18" s="572"/>
      <c r="I18" s="572"/>
      <c r="J18" s="572"/>
      <c r="K18" s="572"/>
      <c r="L18" s="572"/>
      <c r="M18" s="572"/>
      <c r="N18" s="568"/>
      <c r="O18" s="572"/>
      <c r="P18" s="572"/>
      <c r="Q18" s="568"/>
      <c r="R18" s="572"/>
      <c r="S18" s="572"/>
      <c r="T18" s="568"/>
      <c r="U18" s="572"/>
      <c r="V18" s="572"/>
    </row>
    <row r="19" spans="1:22" s="561" customFormat="1" ht="11.4">
      <c r="B19" s="573" t="s">
        <v>480</v>
      </c>
      <c r="C19" s="568"/>
      <c r="D19" s="572"/>
      <c r="E19" s="572"/>
      <c r="F19" s="568"/>
      <c r="G19" s="572"/>
      <c r="H19" s="572"/>
      <c r="I19" s="572"/>
      <c r="J19" s="572"/>
      <c r="K19" s="572"/>
      <c r="L19" s="572"/>
      <c r="M19" s="572"/>
      <c r="N19" s="568"/>
      <c r="O19" s="572"/>
      <c r="P19" s="572"/>
      <c r="Q19" s="568"/>
      <c r="R19" s="572"/>
      <c r="S19" s="572"/>
      <c r="T19" s="568"/>
      <c r="U19" s="572"/>
      <c r="V19" s="572"/>
    </row>
    <row r="20" spans="1:22" s="561" customFormat="1" ht="12">
      <c r="A20" s="571"/>
      <c r="B20" s="561" t="s">
        <v>482</v>
      </c>
      <c r="C20" s="574"/>
      <c r="D20" s="585">
        <v>1.5473887814313346E-2</v>
      </c>
      <c r="E20" s="576"/>
      <c r="F20" s="574"/>
      <c r="G20" s="584">
        <v>2.6666666666666668E-2</v>
      </c>
      <c r="H20" s="576"/>
      <c r="I20" s="576"/>
      <c r="J20" s="584">
        <v>4.4526901669758798E-2</v>
      </c>
      <c r="K20" s="584"/>
      <c r="L20" s="576"/>
      <c r="M20" s="584">
        <v>7.7272727272727271E-2</v>
      </c>
      <c r="N20" s="586"/>
      <c r="O20" s="576"/>
      <c r="P20" s="584">
        <v>3.3898305084745763E-2</v>
      </c>
      <c r="Q20" s="586"/>
      <c r="R20" s="576"/>
      <c r="S20" s="584">
        <v>6.6775244299674269E-2</v>
      </c>
      <c r="T20" s="586"/>
      <c r="U20" s="576"/>
      <c r="V20" s="584">
        <v>6.9124423963133647E-2</v>
      </c>
    </row>
    <row r="21" spans="1:22" s="561" customFormat="1" ht="12">
      <c r="A21" s="571"/>
      <c r="C21" s="568"/>
      <c r="D21" s="584"/>
      <c r="E21" s="572"/>
      <c r="F21" s="568"/>
      <c r="G21" s="584"/>
      <c r="H21" s="572"/>
      <c r="I21" s="572"/>
      <c r="J21" s="569"/>
      <c r="K21" s="569"/>
      <c r="L21" s="572"/>
      <c r="M21" s="569"/>
      <c r="N21" s="563"/>
      <c r="O21" s="572"/>
      <c r="P21" s="569"/>
      <c r="Q21" s="563"/>
      <c r="R21" s="572"/>
      <c r="S21" s="569"/>
      <c r="T21" s="563"/>
      <c r="U21" s="572"/>
      <c r="V21" s="569"/>
    </row>
    <row r="22" spans="1:22" s="561" customFormat="1" ht="12">
      <c r="A22" s="571" t="s">
        <v>483</v>
      </c>
      <c r="C22" s="568"/>
      <c r="D22" s="572"/>
      <c r="E22" s="572"/>
      <c r="F22" s="568"/>
      <c r="G22" s="572"/>
      <c r="H22" s="572"/>
      <c r="I22" s="572"/>
      <c r="J22" s="572"/>
      <c r="K22" s="572"/>
      <c r="L22" s="572"/>
      <c r="M22" s="572"/>
      <c r="N22" s="568"/>
      <c r="O22" s="572"/>
      <c r="P22" s="572"/>
      <c r="Q22" s="568"/>
      <c r="R22" s="572"/>
      <c r="S22" s="572"/>
      <c r="T22" s="568"/>
      <c r="U22" s="572"/>
      <c r="V22" s="572"/>
    </row>
    <row r="23" spans="1:22" s="561" customFormat="1" ht="11.4">
      <c r="B23" s="573" t="s">
        <v>478</v>
      </c>
      <c r="C23" s="574" t="s">
        <v>108</v>
      </c>
      <c r="D23" s="575">
        <v>183</v>
      </c>
      <c r="E23" s="576"/>
      <c r="F23" s="574" t="s">
        <v>108</v>
      </c>
      <c r="G23" s="575">
        <v>185</v>
      </c>
      <c r="H23" s="576"/>
      <c r="I23" s="576" t="s">
        <v>108</v>
      </c>
      <c r="J23" s="575">
        <v>201</v>
      </c>
      <c r="K23" s="575"/>
      <c r="L23" s="576" t="s">
        <v>108</v>
      </c>
      <c r="M23" s="575">
        <v>198</v>
      </c>
      <c r="N23" s="577"/>
      <c r="O23" s="576" t="s">
        <v>108</v>
      </c>
      <c r="P23" s="575">
        <v>195</v>
      </c>
      <c r="Q23" s="577"/>
      <c r="R23" s="576" t="s">
        <v>108</v>
      </c>
      <c r="S23" s="575">
        <v>232</v>
      </c>
      <c r="T23" s="577"/>
      <c r="U23" s="576" t="s">
        <v>108</v>
      </c>
      <c r="V23" s="575">
        <v>194</v>
      </c>
    </row>
    <row r="24" spans="1:22" s="561" customFormat="1" ht="11.4">
      <c r="B24" s="573" t="s">
        <v>479</v>
      </c>
      <c r="C24" s="574"/>
      <c r="D24" s="578">
        <v>0</v>
      </c>
      <c r="E24" s="576"/>
      <c r="F24" s="574"/>
      <c r="G24" s="578">
        <v>0</v>
      </c>
      <c r="H24" s="576"/>
      <c r="I24" s="576"/>
      <c r="J24" s="578">
        <v>0</v>
      </c>
      <c r="K24" s="578"/>
      <c r="L24" s="576"/>
      <c r="M24" s="578">
        <v>18</v>
      </c>
      <c r="N24" s="579"/>
      <c r="O24" s="576"/>
      <c r="P24" s="578">
        <v>13</v>
      </c>
      <c r="Q24" s="579"/>
      <c r="R24" s="576"/>
      <c r="S24" s="578">
        <v>0</v>
      </c>
      <c r="T24" s="579"/>
      <c r="U24" s="576"/>
      <c r="V24" s="578">
        <v>63</v>
      </c>
    </row>
    <row r="25" spans="1:22" s="561" customFormat="1" ht="11.4">
      <c r="B25" s="573" t="s">
        <v>480</v>
      </c>
      <c r="C25" s="574"/>
      <c r="D25" s="578">
        <v>-2</v>
      </c>
      <c r="E25" s="576"/>
      <c r="F25" s="574"/>
      <c r="G25" s="578">
        <v>-2</v>
      </c>
      <c r="H25" s="576"/>
      <c r="I25" s="576"/>
      <c r="J25" s="580">
        <v>-16</v>
      </c>
      <c r="K25" s="578"/>
      <c r="L25" s="576"/>
      <c r="M25" s="580">
        <v>-15</v>
      </c>
      <c r="N25" s="579"/>
      <c r="O25" s="576"/>
      <c r="P25" s="581">
        <v>-10</v>
      </c>
      <c r="Q25" s="579"/>
      <c r="R25" s="576"/>
      <c r="S25" s="581">
        <v>-37</v>
      </c>
      <c r="T25" s="579"/>
      <c r="U25" s="576"/>
      <c r="V25" s="581">
        <v>-25</v>
      </c>
    </row>
    <row r="26" spans="1:22" s="561" customFormat="1" ht="12" thickBot="1">
      <c r="B26" s="573" t="s">
        <v>481</v>
      </c>
      <c r="C26" s="574" t="s">
        <v>108</v>
      </c>
      <c r="D26" s="582">
        <v>181</v>
      </c>
      <c r="E26" s="576"/>
      <c r="F26" s="574" t="s">
        <v>108</v>
      </c>
      <c r="G26" s="582">
        <v>183</v>
      </c>
      <c r="H26" s="576"/>
      <c r="I26" s="576" t="s">
        <v>108</v>
      </c>
      <c r="J26" s="583">
        <v>185</v>
      </c>
      <c r="K26" s="578"/>
      <c r="L26" s="576" t="s">
        <v>108</v>
      </c>
      <c r="M26" s="583">
        <v>201</v>
      </c>
      <c r="N26" s="579"/>
      <c r="O26" s="576" t="s">
        <v>108</v>
      </c>
      <c r="P26" s="583">
        <v>198</v>
      </c>
      <c r="Q26" s="579"/>
      <c r="R26" s="576" t="s">
        <v>108</v>
      </c>
      <c r="S26" s="583">
        <v>195</v>
      </c>
      <c r="T26" s="579"/>
      <c r="U26" s="576" t="s">
        <v>108</v>
      </c>
      <c r="V26" s="583">
        <v>232</v>
      </c>
    </row>
    <row r="27" spans="1:22" s="561" customFormat="1" ht="12" thickTop="1">
      <c r="C27" s="568"/>
      <c r="D27" s="572"/>
      <c r="E27" s="572"/>
      <c r="F27" s="568"/>
      <c r="G27" s="572"/>
      <c r="H27" s="572"/>
      <c r="I27" s="572"/>
      <c r="J27" s="572"/>
      <c r="K27" s="572"/>
      <c r="L27" s="572"/>
      <c r="M27" s="572"/>
      <c r="N27" s="568"/>
      <c r="O27" s="572"/>
      <c r="P27" s="572"/>
      <c r="Q27" s="568"/>
      <c r="R27" s="572"/>
      <c r="S27" s="572"/>
      <c r="T27" s="568"/>
      <c r="U27" s="572"/>
      <c r="V27" s="572"/>
    </row>
    <row r="28" spans="1:22" s="561" customFormat="1" ht="11.4">
      <c r="B28" s="573" t="s">
        <v>480</v>
      </c>
      <c r="C28" s="574"/>
      <c r="D28" s="572"/>
      <c r="E28" s="572"/>
      <c r="F28" s="574"/>
      <c r="G28" s="572"/>
      <c r="H28" s="572"/>
      <c r="I28" s="572"/>
      <c r="J28" s="572"/>
      <c r="K28" s="572"/>
      <c r="L28" s="572"/>
      <c r="M28" s="572"/>
      <c r="N28" s="568"/>
      <c r="O28" s="572"/>
      <c r="P28" s="572"/>
      <c r="Q28" s="568"/>
      <c r="R28" s="572"/>
      <c r="S28" s="572"/>
      <c r="T28" s="568"/>
      <c r="U28" s="572"/>
      <c r="V28" s="572"/>
    </row>
    <row r="29" spans="1:22" s="561" customFormat="1" ht="11.4">
      <c r="B29" s="561" t="s">
        <v>482</v>
      </c>
      <c r="C29" s="568"/>
      <c r="D29" s="584">
        <v>1.1049723756906077E-2</v>
      </c>
      <c r="E29" s="576"/>
      <c r="F29" s="568"/>
      <c r="G29" s="584">
        <v>1.092896174863388E-2</v>
      </c>
      <c r="H29" s="576"/>
      <c r="I29" s="576"/>
      <c r="J29" s="584">
        <v>8.6486486486486505E-2</v>
      </c>
      <c r="K29" s="584"/>
      <c r="L29" s="576"/>
      <c r="M29" s="584">
        <v>7.4626865671641784E-2</v>
      </c>
      <c r="N29" s="586"/>
      <c r="O29" s="576"/>
      <c r="P29" s="584">
        <v>5.0505050505050504E-2</v>
      </c>
      <c r="Q29" s="586"/>
      <c r="R29" s="576"/>
      <c r="S29" s="584">
        <v>0.18974358974358974</v>
      </c>
      <c r="T29" s="586"/>
      <c r="U29" s="576"/>
      <c r="V29" s="584">
        <v>0.10775862068965517</v>
      </c>
    </row>
    <row r="30" spans="1:22" s="561" customFormat="1" ht="11.4">
      <c r="A30" s="587"/>
      <c r="B30" s="587"/>
      <c r="C30" s="587"/>
      <c r="D30" s="572"/>
      <c r="E30" s="572"/>
      <c r="F30" s="587"/>
      <c r="G30" s="572"/>
      <c r="H30" s="572"/>
      <c r="I30" s="572"/>
      <c r="J30" s="572"/>
      <c r="K30" s="572"/>
      <c r="L30" s="572"/>
      <c r="M30" s="572"/>
      <c r="N30" s="572"/>
      <c r="O30" s="572"/>
      <c r="P30" s="572"/>
      <c r="Q30" s="572"/>
      <c r="R30" s="572"/>
      <c r="S30" s="572"/>
      <c r="T30" s="572"/>
      <c r="U30" s="572"/>
      <c r="V30" s="572"/>
    </row>
    <row r="31" spans="1:22" s="561" customFormat="1" ht="11.4"/>
    <row r="32" spans="1:22" s="561" customFormat="1" ht="11.4"/>
    <row r="33" s="561" customFormat="1" ht="11.4"/>
    <row r="34" s="561" customFormat="1" ht="11.4"/>
    <row r="35" s="561" customFormat="1" ht="11.4"/>
    <row r="36" s="561" customFormat="1" ht="11.4"/>
    <row r="37" s="561" customFormat="1" ht="11.4"/>
    <row r="38" s="561" customFormat="1" ht="11.4"/>
    <row r="39" s="561" customFormat="1" ht="11.4"/>
    <row r="40" s="561" customFormat="1" ht="11.4"/>
    <row r="41" s="561" customFormat="1" ht="11.4"/>
    <row r="42" s="561" customFormat="1" ht="11.4"/>
    <row r="43" s="561" customFormat="1" ht="11.4"/>
    <row r="44" s="561" customFormat="1" ht="11.4"/>
    <row r="45" s="561" customFormat="1" ht="11.4"/>
    <row r="46" s="561" customFormat="1" ht="11.4"/>
    <row r="47" s="561" customFormat="1" ht="11.4"/>
    <row r="48" s="561" customFormat="1" ht="11.4"/>
    <row r="49" s="561" customFormat="1" ht="11.4"/>
    <row r="50" s="561" customFormat="1" ht="11.4"/>
    <row r="51" s="561" customFormat="1" ht="11.4"/>
    <row r="52" s="561" customFormat="1" ht="11.4"/>
    <row r="53" s="561" customFormat="1" ht="11.4"/>
    <row r="54" s="561" customFormat="1" ht="11.4"/>
    <row r="55" s="561" customFormat="1" ht="11.4"/>
    <row r="56" s="561" customFormat="1" ht="11.4"/>
    <row r="57" s="561" customFormat="1" ht="11.4"/>
    <row r="58" s="561" customFormat="1" ht="11.4"/>
    <row r="59" s="561" customFormat="1" ht="11.4"/>
    <row r="60" s="561" customFormat="1" ht="11.4"/>
    <row r="61" s="561" customFormat="1" ht="11.4"/>
    <row r="62" s="561" customFormat="1" ht="11.4"/>
    <row r="63" s="561" customFormat="1" ht="11.4"/>
    <row r="64" s="561" customFormat="1" ht="11.4"/>
    <row r="65" s="561" customFormat="1" ht="11.4"/>
    <row r="66" s="561" customFormat="1" ht="11.4"/>
    <row r="67" s="561" customFormat="1" ht="11.4"/>
    <row r="68" s="561" customFormat="1" ht="11.4"/>
    <row r="69" s="561" customFormat="1" ht="11.4"/>
    <row r="70" s="561" customFormat="1" ht="11.4"/>
    <row r="71" s="561" customFormat="1" ht="11.4"/>
    <row r="72" s="561" customFormat="1" ht="11.4"/>
    <row r="73" s="561" customFormat="1" ht="11.4"/>
    <row r="74" s="561" customFormat="1" ht="11.4"/>
    <row r="75" s="561" customFormat="1" ht="11.4"/>
    <row r="76" s="561" customFormat="1" ht="11.4"/>
    <row r="77" s="561" customFormat="1" ht="11.4"/>
    <row r="78" s="561" customFormat="1" ht="11.4"/>
    <row r="79" s="561" customFormat="1" ht="11.4"/>
    <row r="80" s="561" customFormat="1" ht="11.4"/>
    <row r="81" s="561" customFormat="1" ht="11.4"/>
    <row r="82" s="561" customFormat="1" ht="11.4"/>
    <row r="83" s="561" customFormat="1" ht="11.4"/>
    <row r="84" s="561" customFormat="1" ht="11.4"/>
    <row r="85" s="561" customFormat="1" ht="11.4"/>
    <row r="86" s="561" customFormat="1" ht="11.4"/>
    <row r="87" s="561" customFormat="1" ht="11.4"/>
    <row r="88" s="561" customFormat="1" ht="11.4"/>
    <row r="89" s="561" customFormat="1" ht="11.4"/>
    <row r="90" s="561" customFormat="1" ht="11.4"/>
    <row r="91" s="561" customFormat="1" ht="11.4"/>
    <row r="92" s="561" customFormat="1" ht="11.4"/>
    <row r="93" s="561" customFormat="1" ht="11.4"/>
    <row r="94" s="561" customFormat="1" ht="11.4"/>
    <row r="95" s="561" customFormat="1" ht="11.4"/>
    <row r="96" s="561" customFormat="1" ht="11.4"/>
    <row r="97" s="561" customFormat="1" ht="11.4"/>
    <row r="98" s="561" customFormat="1" ht="11.4"/>
    <row r="99" s="561" customFormat="1" ht="11.4"/>
    <row r="100" s="561" customFormat="1" ht="11.4"/>
    <row r="101" s="561" customFormat="1" ht="11.4"/>
    <row r="102" s="561" customFormat="1" ht="11.4"/>
    <row r="103" s="561" customFormat="1" ht="11.4"/>
    <row r="104" s="561" customFormat="1" ht="11.4"/>
    <row r="105" s="561" customFormat="1" ht="11.4"/>
    <row r="106" s="561" customFormat="1" ht="11.4"/>
    <row r="107" s="561" customFormat="1" ht="11.4"/>
    <row r="108" s="561" customFormat="1" ht="11.4"/>
    <row r="109" s="561" customFormat="1" ht="11.4"/>
    <row r="110" s="561" customFormat="1" ht="11.4"/>
    <row r="111" s="561" customFormat="1" ht="11.4"/>
    <row r="112" s="561" customFormat="1" ht="11.4"/>
    <row r="113" s="561" customFormat="1" ht="11.4"/>
    <row r="114" s="561" customFormat="1" ht="11.4"/>
    <row r="115" s="561" customFormat="1" ht="11.4"/>
    <row r="116" s="561" customFormat="1" ht="11.4"/>
    <row r="117" s="561" customFormat="1" ht="11.4"/>
    <row r="118" s="561" customFormat="1" ht="11.4"/>
    <row r="119" s="561" customFormat="1" ht="11.4"/>
    <row r="120" s="561" customFormat="1" ht="11.4"/>
    <row r="121" s="561" customFormat="1" ht="11.4"/>
    <row r="122" s="561" customFormat="1" ht="11.4"/>
    <row r="123" s="561" customFormat="1" ht="11.4"/>
    <row r="124" s="561" customFormat="1" ht="11.4"/>
    <row r="125" s="561" customFormat="1" ht="11.4"/>
    <row r="126" s="561" customFormat="1" ht="11.4"/>
    <row r="127" s="561" customFormat="1" ht="11.4"/>
    <row r="128" s="561" customFormat="1" ht="11.4"/>
    <row r="129" s="561" customFormat="1" ht="11.4"/>
    <row r="130" s="561" customFormat="1" ht="11.4"/>
    <row r="131" s="561" customFormat="1" ht="11.4"/>
    <row r="132" s="561" customFormat="1" ht="11.4"/>
    <row r="133" s="561" customFormat="1" ht="11.4"/>
    <row r="134" s="561" customFormat="1" ht="11.4"/>
    <row r="135" s="561" customFormat="1" ht="11.4"/>
    <row r="136" s="561" customFormat="1" ht="11.4"/>
    <row r="137" s="561" customFormat="1" ht="11.4"/>
    <row r="138" s="561" customFormat="1" ht="11.4"/>
    <row r="139" s="561" customFormat="1" ht="11.4"/>
    <row r="140" s="561" customFormat="1" ht="11.4"/>
    <row r="141" s="561" customFormat="1" ht="11.4"/>
    <row r="142" s="561" customFormat="1" ht="11.4"/>
    <row r="143" s="561" customFormat="1" ht="11.4"/>
    <row r="144" s="561" customFormat="1" ht="11.4"/>
    <row r="145" s="561" customFormat="1" ht="11.4"/>
    <row r="146" s="561" customFormat="1" ht="11.4"/>
    <row r="147" s="561" customFormat="1" ht="11.4"/>
    <row r="148" s="561" customFormat="1" ht="11.4"/>
    <row r="149" s="561" customFormat="1" ht="11.4"/>
    <row r="150" s="561" customFormat="1" ht="11.4"/>
    <row r="151" s="561" customFormat="1" ht="11.4"/>
    <row r="152" s="561" customFormat="1" ht="11.4"/>
    <row r="153" s="561" customFormat="1" ht="11.4"/>
    <row r="154" s="561" customFormat="1" ht="11.4"/>
    <row r="155" s="561" customFormat="1" ht="11.4"/>
    <row r="156" s="561" customFormat="1" ht="11.4"/>
    <row r="157" s="561" customFormat="1" ht="11.4"/>
    <row r="158" s="561" customFormat="1" ht="11.4"/>
    <row r="159" s="561" customFormat="1" ht="11.4"/>
    <row r="160" s="561" customFormat="1" ht="11.4"/>
    <row r="161" s="561" customFormat="1" ht="11.4"/>
    <row r="162" s="561" customFormat="1" ht="11.4"/>
    <row r="163" s="561" customFormat="1" ht="11.4"/>
    <row r="164" s="561" customFormat="1" ht="11.4"/>
    <row r="165" s="561" customFormat="1" ht="11.4"/>
    <row r="166" s="561" customFormat="1" ht="11.4"/>
    <row r="167" s="561" customFormat="1" ht="11.4"/>
    <row r="168" s="561" customFormat="1" ht="11.4"/>
    <row r="169" s="561" customFormat="1" ht="11.4"/>
    <row r="170" s="561" customFormat="1" ht="11.4"/>
    <row r="171" s="561" customFormat="1" ht="11.4"/>
    <row r="172" s="561" customFormat="1" ht="11.4"/>
    <row r="173" s="561" customFormat="1" ht="11.4"/>
    <row r="174" s="561" customFormat="1" ht="11.4"/>
    <row r="175" s="561" customFormat="1" ht="11.4"/>
    <row r="176" s="561" customFormat="1" ht="11.4"/>
    <row r="177" s="561" customFormat="1" ht="11.4"/>
    <row r="178" s="561" customFormat="1" ht="11.4"/>
    <row r="179" s="561" customFormat="1" ht="11.4"/>
    <row r="180" s="561" customFormat="1" ht="11.4"/>
    <row r="181" s="561" customFormat="1" ht="11.4"/>
    <row r="182" s="561" customFormat="1" ht="11.4"/>
    <row r="183" s="561" customFormat="1" ht="11.4"/>
    <row r="184" s="561" customFormat="1" ht="11.4"/>
    <row r="185" s="561" customFormat="1" ht="11.4"/>
    <row r="186" s="561" customFormat="1" ht="11.4"/>
    <row r="187" s="561" customFormat="1" ht="11.4"/>
    <row r="188" s="561" customFormat="1" ht="11.4"/>
    <row r="189" s="561" customFormat="1" ht="11.4"/>
    <row r="190" s="561" customFormat="1" ht="11.4"/>
    <row r="191" s="561" customFormat="1" ht="11.4"/>
    <row r="192" s="561" customFormat="1" ht="11.4"/>
    <row r="193" spans="4:22" s="561" customFormat="1" ht="11.4"/>
    <row r="194" spans="4:22" s="561" customFormat="1" ht="11.4"/>
    <row r="195" spans="4:22" s="561" customFormat="1" ht="11.4"/>
    <row r="196" spans="4:22" s="561" customFormat="1" ht="11.4"/>
    <row r="197" spans="4:22" s="561" customFormat="1" ht="11.4"/>
    <row r="198" spans="4:22" s="561" customFormat="1" ht="11.4"/>
    <row r="199" spans="4:22" s="561" customFormat="1" ht="11.4"/>
    <row r="200" spans="4:22" s="561" customFormat="1" ht="11.4"/>
    <row r="201" spans="4:22" s="561" customFormat="1" ht="11.4"/>
    <row r="202" spans="4:22" s="561" customFormat="1" ht="11.4"/>
    <row r="203" spans="4:22" s="561" customFormat="1" ht="11.4"/>
    <row r="204" spans="4:22" s="561" customFormat="1" ht="11.4"/>
    <row r="205" spans="4:22" s="561" customFormat="1" ht="11.4"/>
    <row r="206" spans="4:22" s="561" customFormat="1" ht="11.4"/>
    <row r="207" spans="4:22" ht="11.4">
      <c r="D207" s="561"/>
      <c r="E207" s="561"/>
      <c r="G207" s="561"/>
      <c r="H207" s="561"/>
      <c r="I207" s="561"/>
      <c r="J207" s="561"/>
      <c r="K207" s="561"/>
      <c r="L207" s="561"/>
      <c r="M207" s="561"/>
      <c r="N207" s="561"/>
      <c r="O207" s="561"/>
      <c r="P207" s="561"/>
      <c r="Q207" s="561"/>
      <c r="R207" s="561"/>
      <c r="S207" s="561"/>
      <c r="T207" s="561"/>
      <c r="U207" s="561"/>
      <c r="V207" s="561"/>
    </row>
  </sheetData>
  <mergeCells count="5">
    <mergeCell ref="A1:V1"/>
    <mergeCell ref="A2:V2"/>
    <mergeCell ref="A3:V3"/>
    <mergeCell ref="J7:V7"/>
    <mergeCell ref="D7:G7"/>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32.xml><?xml version="1.0" encoding="utf-8"?>
<worksheet xmlns="http://schemas.openxmlformats.org/spreadsheetml/2006/main" xmlns:r="http://schemas.openxmlformats.org/officeDocument/2006/relationships">
  <dimension ref="A1:Z53"/>
  <sheetViews>
    <sheetView zoomScale="75" zoomScaleNormal="75" workbookViewId="0">
      <selection sqref="A1:Y1"/>
    </sheetView>
  </sheetViews>
  <sheetFormatPr defaultColWidth="5.6640625" defaultRowHeight="13.2"/>
  <cols>
    <col min="1" max="1" width="4.109375" style="202" customWidth="1"/>
    <col min="2" max="2" width="42.88671875" style="242" customWidth="1"/>
    <col min="3" max="3" width="2.44140625" style="202" customWidth="1"/>
    <col min="4" max="4" width="8.44140625" style="202" customWidth="1"/>
    <col min="5" max="5" width="2.44140625" style="202" customWidth="1"/>
    <col min="6" max="6" width="2.44140625" style="239" customWidth="1"/>
    <col min="7" max="7" width="8.44140625" style="243" customWidth="1"/>
    <col min="8" max="8" width="2.44140625" style="243" customWidth="1"/>
    <col min="9" max="9" width="2.44140625" style="239" customWidth="1"/>
    <col min="10" max="10" width="8.44140625" style="243" customWidth="1"/>
    <col min="11" max="11" width="2.44140625" style="243" customWidth="1"/>
    <col min="12" max="12" width="2.44140625" style="240" customWidth="1"/>
    <col min="13" max="13" width="8.44140625" style="243" customWidth="1"/>
    <col min="14" max="15" width="2.44140625" style="202" customWidth="1"/>
    <col min="16" max="16" width="8.33203125" style="202" customWidth="1"/>
    <col min="17" max="17" width="2.44140625" style="202" customWidth="1"/>
    <col min="18" max="18" width="2.44140625" style="2" customWidth="1"/>
    <col min="19" max="19" width="8.44140625" style="2" customWidth="1"/>
    <col min="20" max="20" width="2.44140625" style="2" customWidth="1"/>
    <col min="21" max="21" width="2.44140625" style="202" customWidth="1"/>
    <col min="22" max="22" width="8.44140625" style="202" customWidth="1"/>
    <col min="23" max="24" width="2.44140625" style="202" customWidth="1"/>
    <col min="25" max="26" width="8.44140625" style="202" customWidth="1"/>
    <col min="27" max="16384" width="5.6640625" style="202"/>
  </cols>
  <sheetData>
    <row r="1" spans="1:26" s="200" customFormat="1">
      <c r="A1" s="1009" t="s">
        <v>96</v>
      </c>
      <c r="B1" s="1009"/>
      <c r="C1" s="1009"/>
      <c r="D1" s="1009"/>
      <c r="E1" s="1009"/>
      <c r="F1" s="1009"/>
      <c r="G1" s="1009"/>
      <c r="H1" s="1009"/>
      <c r="I1" s="1009"/>
      <c r="J1" s="1009"/>
      <c r="K1" s="1009"/>
      <c r="L1" s="1009"/>
      <c r="M1" s="1009"/>
      <c r="N1" s="1009"/>
      <c r="O1" s="1009"/>
      <c r="P1" s="1009"/>
      <c r="Q1" s="1009"/>
      <c r="R1" s="1009"/>
      <c r="S1" s="1009"/>
      <c r="T1" s="1009"/>
      <c r="U1" s="1009"/>
      <c r="V1" s="1009"/>
      <c r="W1" s="1009"/>
      <c r="X1" s="1009"/>
      <c r="Y1" s="1009"/>
    </row>
    <row r="2" spans="1:26" s="200" customFormat="1">
      <c r="A2" s="1009" t="s">
        <v>484</v>
      </c>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Y2" s="1009"/>
    </row>
    <row r="3" spans="1:26" ht="12.75" customHeight="1">
      <c r="A3" s="1025" t="s">
        <v>800</v>
      </c>
      <c r="B3" s="1025"/>
      <c r="C3" s="1025"/>
      <c r="D3" s="1025"/>
      <c r="E3" s="1025"/>
      <c r="F3" s="1025"/>
      <c r="G3" s="1025"/>
      <c r="H3" s="1025"/>
      <c r="I3" s="1025"/>
      <c r="J3" s="1025"/>
      <c r="K3" s="1025"/>
      <c r="L3" s="1025"/>
      <c r="M3" s="1025"/>
      <c r="N3" s="1025"/>
      <c r="O3" s="1025"/>
      <c r="P3" s="1025"/>
      <c r="Q3" s="1025"/>
      <c r="R3" s="1025"/>
      <c r="S3" s="1025"/>
      <c r="T3" s="1025"/>
      <c r="U3" s="1025"/>
      <c r="V3" s="1025"/>
      <c r="W3" s="1025"/>
      <c r="X3" s="1025"/>
      <c r="Y3" s="1025"/>
    </row>
    <row r="4" spans="1:26" s="204" customFormat="1">
      <c r="A4" s="200"/>
      <c r="B4" s="203"/>
      <c r="C4" s="200"/>
      <c r="D4" s="200"/>
      <c r="E4" s="200"/>
      <c r="F4" s="200"/>
      <c r="G4" s="200"/>
      <c r="H4" s="200"/>
      <c r="I4" s="200"/>
      <c r="J4" s="200"/>
      <c r="K4" s="200"/>
      <c r="L4" s="203"/>
      <c r="M4" s="200"/>
      <c r="R4" s="5"/>
      <c r="S4" s="5"/>
      <c r="T4" s="5"/>
    </row>
    <row r="5" spans="1:26" s="204" customFormat="1">
      <c r="A5" s="200"/>
      <c r="B5" s="203"/>
      <c r="C5" s="990" t="s">
        <v>99</v>
      </c>
      <c r="D5" s="990"/>
      <c r="E5" s="990"/>
      <c r="F5" s="990"/>
      <c r="G5" s="990"/>
      <c r="H5" s="990"/>
      <c r="I5" s="990"/>
      <c r="J5" s="990"/>
      <c r="K5" s="990"/>
      <c r="L5" s="990"/>
      <c r="M5" s="990"/>
      <c r="N5" s="990"/>
      <c r="O5" s="990"/>
      <c r="P5" s="990"/>
      <c r="Q5" s="990"/>
      <c r="R5" s="990"/>
      <c r="S5" s="990"/>
      <c r="V5" s="990" t="s">
        <v>100</v>
      </c>
      <c r="W5" s="990"/>
      <c r="X5" s="990"/>
      <c r="Y5" s="990"/>
    </row>
    <row r="6" spans="1:26" s="204" customFormat="1" ht="13.8" thickBot="1">
      <c r="A6" s="203"/>
      <c r="B6" s="203"/>
      <c r="C6" s="203"/>
      <c r="D6" s="203"/>
      <c r="E6" s="203"/>
      <c r="F6" s="207"/>
      <c r="G6" s="208"/>
      <c r="H6" s="830"/>
      <c r="I6" s="830"/>
      <c r="J6" s="830"/>
      <c r="K6" s="831"/>
      <c r="L6" s="830"/>
      <c r="M6" s="208"/>
      <c r="N6" s="206"/>
      <c r="O6" s="206"/>
      <c r="P6" s="206"/>
      <c r="Q6" s="206"/>
      <c r="R6" s="11"/>
      <c r="S6" s="5"/>
      <c r="T6" s="5"/>
    </row>
    <row r="7" spans="1:26" s="204" customFormat="1">
      <c r="A7" s="200"/>
      <c r="B7" s="203"/>
      <c r="C7" s="798"/>
      <c r="D7" s="589" t="s">
        <v>104</v>
      </c>
      <c r="E7" s="688"/>
      <c r="F7" s="208"/>
      <c r="G7" s="208" t="s">
        <v>105</v>
      </c>
      <c r="H7" s="208"/>
      <c r="I7" s="208"/>
      <c r="J7" s="208" t="s">
        <v>102</v>
      </c>
      <c r="K7" s="208"/>
      <c r="L7" s="206"/>
      <c r="M7" s="208" t="s">
        <v>103</v>
      </c>
      <c r="N7" s="206"/>
      <c r="O7" s="798"/>
      <c r="P7" s="589" t="s">
        <v>104</v>
      </c>
      <c r="Q7" s="688"/>
      <c r="R7" s="208"/>
      <c r="S7" s="208" t="s">
        <v>105</v>
      </c>
      <c r="T7" s="206"/>
      <c r="V7" s="208" t="s">
        <v>104</v>
      </c>
      <c r="W7" s="208"/>
      <c r="Y7" s="208" t="s">
        <v>104</v>
      </c>
    </row>
    <row r="8" spans="1:26" s="204" customFormat="1">
      <c r="A8" s="200"/>
      <c r="B8" s="203"/>
      <c r="C8" s="690"/>
      <c r="D8" s="13">
        <v>2012</v>
      </c>
      <c r="E8" s="800"/>
      <c r="F8" s="720"/>
      <c r="G8" s="13">
        <v>2012</v>
      </c>
      <c r="H8" s="208" t="s">
        <v>485</v>
      </c>
      <c r="I8" s="720"/>
      <c r="J8" s="13">
        <v>2011</v>
      </c>
      <c r="K8" s="208"/>
      <c r="L8" s="206"/>
      <c r="M8" s="13">
        <v>2011</v>
      </c>
      <c r="N8" s="203"/>
      <c r="O8" s="690"/>
      <c r="P8" s="13">
        <v>2011</v>
      </c>
      <c r="Q8" s="800"/>
      <c r="R8" s="720"/>
      <c r="S8" s="13">
        <v>2011</v>
      </c>
      <c r="T8" s="203"/>
      <c r="V8" s="13">
        <v>2012</v>
      </c>
      <c r="W8" s="208"/>
      <c r="Y8" s="205">
        <v>2011</v>
      </c>
    </row>
    <row r="9" spans="1:26" s="204" customFormat="1">
      <c r="A9" s="200"/>
      <c r="B9" s="203"/>
      <c r="C9" s="690"/>
      <c r="D9" s="18"/>
      <c r="E9" s="689"/>
      <c r="F9" s="721"/>
      <c r="G9" s="18"/>
      <c r="H9" s="691"/>
      <c r="I9" s="721"/>
      <c r="J9" s="18"/>
      <c r="K9" s="691"/>
      <c r="L9" s="206"/>
      <c r="M9" s="18"/>
      <c r="N9" s="206"/>
      <c r="O9" s="690"/>
      <c r="P9" s="18"/>
      <c r="Q9" s="689"/>
      <c r="R9" s="721"/>
      <c r="S9" s="18"/>
      <c r="T9" s="206"/>
      <c r="V9" s="381"/>
      <c r="W9" s="381"/>
      <c r="Y9" s="381"/>
      <c r="Z9" s="381"/>
    </row>
    <row r="10" spans="1:26" s="204" customFormat="1" ht="15.9" customHeight="1" thickBot="1">
      <c r="A10" s="215" t="s">
        <v>819</v>
      </c>
      <c r="B10" s="211"/>
      <c r="C10" s="22" t="s">
        <v>108</v>
      </c>
      <c r="D10" s="591">
        <v>57734</v>
      </c>
      <c r="E10" s="37"/>
      <c r="F10" s="23" t="s">
        <v>108</v>
      </c>
      <c r="G10" s="114">
        <v>57620</v>
      </c>
      <c r="H10" s="11"/>
      <c r="I10" s="23" t="s">
        <v>108</v>
      </c>
      <c r="J10" s="114">
        <v>57373</v>
      </c>
      <c r="K10" s="11"/>
      <c r="L10" s="23" t="s">
        <v>108</v>
      </c>
      <c r="M10" s="114">
        <v>59068</v>
      </c>
      <c r="N10" s="11"/>
      <c r="O10" s="22" t="s">
        <v>108</v>
      </c>
      <c r="P10" s="591">
        <v>59659</v>
      </c>
      <c r="Q10" s="37"/>
      <c r="R10" s="23" t="s">
        <v>108</v>
      </c>
      <c r="S10" s="114">
        <v>60484</v>
      </c>
      <c r="T10" s="11"/>
      <c r="U10" s="23" t="s">
        <v>108</v>
      </c>
      <c r="V10" s="591">
        <v>57734</v>
      </c>
      <c r="W10" s="176"/>
      <c r="X10" s="23" t="s">
        <v>108</v>
      </c>
      <c r="Y10" s="114">
        <v>59659</v>
      </c>
    </row>
    <row r="11" spans="1:26" s="204" customFormat="1" ht="12" thickTop="1">
      <c r="A11" s="195"/>
      <c r="B11" s="592"/>
      <c r="C11" s="22"/>
      <c r="D11" s="23"/>
      <c r="E11" s="37"/>
      <c r="F11" s="23"/>
      <c r="G11" s="176"/>
      <c r="H11" s="11"/>
      <c r="I11" s="23"/>
      <c r="J11" s="176"/>
      <c r="K11" s="11"/>
      <c r="L11" s="23"/>
      <c r="M11" s="176"/>
      <c r="N11" s="11"/>
      <c r="O11" s="22"/>
      <c r="P11" s="23"/>
      <c r="Q11" s="37"/>
      <c r="R11" s="23"/>
      <c r="S11" s="176"/>
      <c r="T11" s="11"/>
      <c r="U11" s="23"/>
      <c r="V11" s="23"/>
      <c r="W11" s="176"/>
      <c r="X11" s="23"/>
      <c r="Y11" s="176"/>
    </row>
    <row r="12" spans="1:26" s="204" customFormat="1" ht="11.4">
      <c r="A12" s="215" t="s">
        <v>402</v>
      </c>
      <c r="B12" s="211"/>
      <c r="C12" s="22" t="s">
        <v>108</v>
      </c>
      <c r="D12" s="176">
        <v>291</v>
      </c>
      <c r="E12" s="37"/>
      <c r="F12" s="23" t="s">
        <v>108</v>
      </c>
      <c r="G12" s="176">
        <v>287</v>
      </c>
      <c r="H12" s="11"/>
      <c r="I12" s="23" t="s">
        <v>108</v>
      </c>
      <c r="J12" s="176">
        <v>305</v>
      </c>
      <c r="K12" s="11"/>
      <c r="L12" s="23" t="s">
        <v>108</v>
      </c>
      <c r="M12" s="176">
        <v>287</v>
      </c>
      <c r="N12" s="11"/>
      <c r="O12" s="22" t="s">
        <v>108</v>
      </c>
      <c r="P12" s="176">
        <v>286</v>
      </c>
      <c r="Q12" s="37"/>
      <c r="R12" s="23" t="s">
        <v>108</v>
      </c>
      <c r="S12" s="176">
        <v>312</v>
      </c>
      <c r="T12" s="11"/>
      <c r="U12" s="23" t="s">
        <v>108</v>
      </c>
      <c r="V12" s="176">
        <v>578</v>
      </c>
      <c r="W12" s="176"/>
      <c r="X12" s="23" t="s">
        <v>108</v>
      </c>
      <c r="Y12" s="176">
        <v>598</v>
      </c>
    </row>
    <row r="13" spans="1:26" s="204" customFormat="1" ht="11.4">
      <c r="A13" s="98" t="s">
        <v>486</v>
      </c>
      <c r="B13" s="15"/>
      <c r="C13" s="22"/>
      <c r="D13" s="176">
        <v>268</v>
      </c>
      <c r="E13" s="37"/>
      <c r="F13" s="23"/>
      <c r="G13" s="176">
        <v>266</v>
      </c>
      <c r="H13" s="11"/>
      <c r="I13" s="23"/>
      <c r="J13" s="176">
        <v>265</v>
      </c>
      <c r="K13" s="11"/>
      <c r="L13" s="23"/>
      <c r="M13" s="176">
        <v>265</v>
      </c>
      <c r="N13" s="11"/>
      <c r="O13" s="22"/>
      <c r="P13" s="176">
        <v>261</v>
      </c>
      <c r="Q13" s="37"/>
      <c r="R13" s="23"/>
      <c r="S13" s="176">
        <v>257</v>
      </c>
      <c r="T13" s="11"/>
      <c r="U13" s="23"/>
      <c r="V13" s="176">
        <v>534</v>
      </c>
      <c r="W13" s="176"/>
      <c r="X13" s="23"/>
      <c r="Y13" s="176">
        <v>518</v>
      </c>
    </row>
    <row r="14" spans="1:26" s="204" customFormat="1" ht="11.4">
      <c r="A14" s="211" t="s">
        <v>307</v>
      </c>
      <c r="B14" s="211"/>
      <c r="C14" s="36"/>
      <c r="D14" s="176">
        <v>663</v>
      </c>
      <c r="E14" s="37"/>
      <c r="F14" s="11"/>
      <c r="G14" s="176">
        <v>687</v>
      </c>
      <c r="H14" s="11"/>
      <c r="I14" s="11"/>
      <c r="J14" s="176">
        <v>656</v>
      </c>
      <c r="K14" s="11"/>
      <c r="L14" s="11"/>
      <c r="M14" s="176">
        <v>682</v>
      </c>
      <c r="N14" s="11"/>
      <c r="O14" s="36"/>
      <c r="P14" s="176">
        <v>694</v>
      </c>
      <c r="Q14" s="37"/>
      <c r="R14" s="11"/>
      <c r="S14" s="176">
        <v>684</v>
      </c>
      <c r="T14" s="11"/>
      <c r="U14" s="11"/>
      <c r="V14" s="176">
        <v>1350</v>
      </c>
      <c r="W14" s="176"/>
      <c r="X14" s="11"/>
      <c r="Y14" s="176">
        <v>1378</v>
      </c>
    </row>
    <row r="15" spans="1:26" s="204" customFormat="1" ht="11.4">
      <c r="A15" s="211" t="s">
        <v>487</v>
      </c>
      <c r="B15" s="211"/>
      <c r="C15" s="36"/>
      <c r="D15" s="176"/>
      <c r="E15" s="37"/>
      <c r="F15" s="11"/>
      <c r="G15" s="176"/>
      <c r="H15" s="11"/>
      <c r="I15" s="11"/>
      <c r="J15" s="176"/>
      <c r="K15" s="11"/>
      <c r="L15" s="11"/>
      <c r="M15" s="176"/>
      <c r="N15" s="11"/>
      <c r="O15" s="36"/>
      <c r="P15" s="176"/>
      <c r="Q15" s="37"/>
      <c r="R15" s="11"/>
      <c r="S15" s="176"/>
      <c r="T15" s="11"/>
      <c r="U15" s="11"/>
      <c r="V15" s="176"/>
      <c r="W15" s="176"/>
      <c r="X15" s="11"/>
      <c r="Y15" s="176"/>
    </row>
    <row r="16" spans="1:26" s="204" customFormat="1" ht="11.4">
      <c r="A16" s="211" t="s">
        <v>488</v>
      </c>
      <c r="B16" s="211"/>
      <c r="C16" s="36"/>
      <c r="D16" s="176">
        <v>15</v>
      </c>
      <c r="E16" s="37"/>
      <c r="F16" s="11"/>
      <c r="G16" s="176">
        <v>15</v>
      </c>
      <c r="H16" s="11"/>
      <c r="I16" s="11"/>
      <c r="J16" s="176">
        <v>16</v>
      </c>
      <c r="K16" s="11"/>
      <c r="L16" s="11"/>
      <c r="M16" s="176">
        <v>18</v>
      </c>
      <c r="N16" s="11"/>
      <c r="O16" s="36"/>
      <c r="P16" s="176">
        <v>19</v>
      </c>
      <c r="Q16" s="37"/>
      <c r="R16" s="11"/>
      <c r="S16" s="176">
        <v>17</v>
      </c>
      <c r="T16" s="11"/>
      <c r="U16" s="11"/>
      <c r="V16" s="176">
        <v>30</v>
      </c>
      <c r="W16" s="176"/>
      <c r="X16" s="11"/>
      <c r="Y16" s="176">
        <v>36</v>
      </c>
    </row>
    <row r="17" spans="1:25" s="204" customFormat="1" ht="11.4">
      <c r="A17" s="215" t="s">
        <v>489</v>
      </c>
      <c r="B17" s="211"/>
      <c r="C17" s="595"/>
      <c r="D17" s="176">
        <v>-462</v>
      </c>
      <c r="E17" s="37"/>
      <c r="F17" s="176"/>
      <c r="G17" s="176">
        <v>-439</v>
      </c>
      <c r="H17" s="11"/>
      <c r="I17" s="176"/>
      <c r="J17" s="176">
        <v>-430</v>
      </c>
      <c r="K17" s="11"/>
      <c r="L17" s="213"/>
      <c r="M17" s="176">
        <v>-455</v>
      </c>
      <c r="N17" s="11"/>
      <c r="O17" s="595"/>
      <c r="P17" s="176">
        <v>-422</v>
      </c>
      <c r="Q17" s="37"/>
      <c r="R17" s="176"/>
      <c r="S17" s="176">
        <v>-454</v>
      </c>
      <c r="T17" s="11"/>
      <c r="U17" s="213"/>
      <c r="V17" s="176">
        <v>-901</v>
      </c>
      <c r="W17" s="176"/>
      <c r="X17" s="213"/>
      <c r="Y17" s="176">
        <v>-876</v>
      </c>
    </row>
    <row r="18" spans="1:25" s="204" customFormat="1" ht="11.4">
      <c r="A18" s="204" t="s">
        <v>752</v>
      </c>
      <c r="B18" s="206"/>
      <c r="C18" s="36"/>
      <c r="D18" s="176">
        <v>-362</v>
      </c>
      <c r="E18" s="37"/>
      <c r="F18" s="11"/>
      <c r="G18" s="176">
        <v>-368</v>
      </c>
      <c r="H18" s="11"/>
      <c r="I18" s="11"/>
      <c r="J18" s="176">
        <v>-385</v>
      </c>
      <c r="K18" s="11"/>
      <c r="L18" s="11"/>
      <c r="M18" s="176">
        <v>-395</v>
      </c>
      <c r="N18" s="11"/>
      <c r="O18" s="36"/>
      <c r="P18" s="176">
        <v>-412</v>
      </c>
      <c r="Q18" s="37"/>
      <c r="R18" s="11"/>
      <c r="S18" s="176">
        <v>-425</v>
      </c>
      <c r="T18" s="11"/>
      <c r="U18" s="11"/>
      <c r="V18" s="176">
        <v>-730</v>
      </c>
      <c r="W18" s="176"/>
      <c r="X18" s="11"/>
      <c r="Y18" s="176">
        <v>-837</v>
      </c>
    </row>
    <row r="19" spans="1:25" s="204" customFormat="1" ht="11.4">
      <c r="A19" s="204" t="s">
        <v>490</v>
      </c>
      <c r="B19" s="206"/>
      <c r="C19" s="595"/>
      <c r="D19" s="176"/>
      <c r="E19" s="37"/>
      <c r="F19" s="176"/>
      <c r="G19" s="176"/>
      <c r="H19" s="11"/>
      <c r="I19" s="176"/>
      <c r="J19" s="176"/>
      <c r="K19" s="11"/>
      <c r="L19" s="213"/>
      <c r="M19" s="176"/>
      <c r="N19" s="11"/>
      <c r="O19" s="595"/>
      <c r="P19" s="176"/>
      <c r="Q19" s="37"/>
      <c r="R19" s="176"/>
      <c r="S19" s="176"/>
      <c r="T19" s="11"/>
      <c r="U19" s="213"/>
      <c r="V19" s="176"/>
      <c r="W19" s="176"/>
      <c r="X19" s="213"/>
      <c r="Y19" s="176"/>
    </row>
    <row r="20" spans="1:25" s="204" customFormat="1" ht="11.4">
      <c r="A20" s="204" t="s">
        <v>491</v>
      </c>
      <c r="B20" s="206"/>
      <c r="C20" s="595"/>
      <c r="D20" s="176">
        <v>-76</v>
      </c>
      <c r="E20" s="37"/>
      <c r="F20" s="176"/>
      <c r="G20" s="176">
        <v>-86</v>
      </c>
      <c r="H20" s="11"/>
      <c r="I20" s="176"/>
      <c r="J20" s="176">
        <v>-78</v>
      </c>
      <c r="K20" s="11"/>
      <c r="L20" s="213"/>
      <c r="M20" s="176">
        <v>-83</v>
      </c>
      <c r="N20" s="11"/>
      <c r="O20" s="595"/>
      <c r="P20" s="176">
        <v>-87</v>
      </c>
      <c r="Q20" s="37"/>
      <c r="R20" s="176"/>
      <c r="S20" s="176">
        <v>-95</v>
      </c>
      <c r="T20" s="11"/>
      <c r="U20" s="213"/>
      <c r="V20" s="176">
        <v>-162</v>
      </c>
      <c r="W20" s="176"/>
      <c r="X20" s="213"/>
      <c r="Y20" s="176">
        <v>-182</v>
      </c>
    </row>
    <row r="21" spans="1:25" s="204" customFormat="1" ht="11.4">
      <c r="A21" s="215" t="s">
        <v>492</v>
      </c>
      <c r="B21" s="211"/>
      <c r="C21" s="595"/>
      <c r="D21" s="176">
        <v>-135</v>
      </c>
      <c r="E21" s="37"/>
      <c r="F21" s="176"/>
      <c r="G21" s="176">
        <v>-142</v>
      </c>
      <c r="H21" s="11"/>
      <c r="I21" s="176"/>
      <c r="J21" s="176">
        <v>-159</v>
      </c>
      <c r="K21" s="11"/>
      <c r="L21" s="213"/>
      <c r="M21" s="176">
        <v>-129</v>
      </c>
      <c r="N21" s="11"/>
      <c r="O21" s="595"/>
      <c r="P21" s="176">
        <v>-135</v>
      </c>
      <c r="Q21" s="37"/>
      <c r="R21" s="176"/>
      <c r="S21" s="176">
        <v>-132</v>
      </c>
      <c r="T21" s="11"/>
      <c r="U21" s="213"/>
      <c r="V21" s="176">
        <v>-277</v>
      </c>
      <c r="W21" s="176"/>
      <c r="X21" s="213"/>
      <c r="Y21" s="176">
        <v>-267</v>
      </c>
    </row>
    <row r="22" spans="1:25" s="204" customFormat="1" ht="11.4">
      <c r="A22" s="204" t="s">
        <v>325</v>
      </c>
      <c r="B22" s="206"/>
      <c r="C22" s="595"/>
      <c r="D22" s="176">
        <v>0</v>
      </c>
      <c r="E22" s="37"/>
      <c r="F22" s="176"/>
      <c r="G22" s="176">
        <v>0</v>
      </c>
      <c r="H22" s="11"/>
      <c r="I22" s="176"/>
      <c r="J22" s="176">
        <v>-3</v>
      </c>
      <c r="K22" s="11"/>
      <c r="L22" s="213"/>
      <c r="M22" s="176">
        <v>0</v>
      </c>
      <c r="N22" s="11"/>
      <c r="O22" s="595"/>
      <c r="P22" s="176">
        <v>0</v>
      </c>
      <c r="Q22" s="37"/>
      <c r="R22" s="176"/>
      <c r="S22" s="176">
        <v>2</v>
      </c>
      <c r="T22" s="11"/>
      <c r="U22" s="213"/>
      <c r="V22" s="176">
        <v>0</v>
      </c>
      <c r="W22" s="176"/>
      <c r="X22" s="213"/>
      <c r="Y22" s="176">
        <v>2</v>
      </c>
    </row>
    <row r="23" spans="1:25" s="204" customFormat="1" ht="11.4">
      <c r="A23" s="215" t="s">
        <v>493</v>
      </c>
      <c r="B23" s="211"/>
      <c r="C23" s="595"/>
      <c r="D23" s="113">
        <v>-64</v>
      </c>
      <c r="E23" s="37"/>
      <c r="F23" s="176"/>
      <c r="G23" s="113">
        <v>-70</v>
      </c>
      <c r="H23" s="11"/>
      <c r="I23" s="176"/>
      <c r="J23" s="113">
        <v>-57</v>
      </c>
      <c r="K23" s="11"/>
      <c r="L23" s="213"/>
      <c r="M23" s="113">
        <v>-61</v>
      </c>
      <c r="N23" s="11"/>
      <c r="O23" s="595"/>
      <c r="P23" s="113">
        <v>-69</v>
      </c>
      <c r="Q23" s="37"/>
      <c r="R23" s="176"/>
      <c r="S23" s="113">
        <v>-53</v>
      </c>
      <c r="T23" s="11"/>
      <c r="U23" s="213"/>
      <c r="V23" s="113">
        <v>-134</v>
      </c>
      <c r="W23" s="176"/>
      <c r="X23" s="213"/>
      <c r="Y23" s="113">
        <v>-122</v>
      </c>
    </row>
    <row r="24" spans="1:25" s="204" customFormat="1" ht="11.4">
      <c r="A24" s="215"/>
      <c r="B24" s="211"/>
      <c r="C24" s="595"/>
      <c r="D24" s="176"/>
      <c r="E24" s="37"/>
      <c r="F24" s="176"/>
      <c r="G24" s="176"/>
      <c r="H24" s="11"/>
      <c r="I24" s="176"/>
      <c r="J24" s="176"/>
      <c r="K24" s="11"/>
      <c r="L24" s="213"/>
      <c r="M24" s="176"/>
      <c r="N24" s="11"/>
      <c r="O24" s="595"/>
      <c r="P24" s="176"/>
      <c r="Q24" s="37"/>
      <c r="R24" s="176"/>
      <c r="S24" s="176"/>
      <c r="T24" s="11"/>
      <c r="U24" s="213"/>
      <c r="V24" s="176"/>
      <c r="W24" s="176"/>
      <c r="X24" s="213"/>
      <c r="Y24" s="176"/>
    </row>
    <row r="25" spans="1:25" s="204" customFormat="1" ht="11.4">
      <c r="A25" s="215" t="s">
        <v>296</v>
      </c>
      <c r="B25" s="211"/>
      <c r="C25" s="36"/>
      <c r="D25" s="23">
        <v>138</v>
      </c>
      <c r="E25" s="37"/>
      <c r="F25" s="11"/>
      <c r="G25" s="176">
        <v>150</v>
      </c>
      <c r="H25" s="11"/>
      <c r="I25" s="11"/>
      <c r="J25" s="176">
        <v>130</v>
      </c>
      <c r="K25" s="11"/>
      <c r="L25" s="11"/>
      <c r="M25" s="176">
        <v>129</v>
      </c>
      <c r="N25" s="11"/>
      <c r="O25" s="36"/>
      <c r="P25" s="23">
        <v>135</v>
      </c>
      <c r="Q25" s="37"/>
      <c r="R25" s="11"/>
      <c r="S25" s="176">
        <v>113</v>
      </c>
      <c r="T25" s="11"/>
      <c r="U25" s="11"/>
      <c r="V25" s="23">
        <v>288</v>
      </c>
      <c r="W25" s="23"/>
      <c r="X25" s="11"/>
      <c r="Y25" s="23">
        <v>248</v>
      </c>
    </row>
    <row r="26" spans="1:25" s="204" customFormat="1" ht="11.4">
      <c r="B26" s="206"/>
      <c r="C26" s="595"/>
      <c r="D26" s="176"/>
      <c r="E26" s="37"/>
      <c r="F26" s="176"/>
      <c r="G26" s="176"/>
      <c r="H26" s="11"/>
      <c r="I26" s="176"/>
      <c r="J26" s="176"/>
      <c r="K26" s="11"/>
      <c r="L26" s="213"/>
      <c r="M26" s="176"/>
      <c r="N26" s="11"/>
      <c r="O26" s="595"/>
      <c r="P26" s="176"/>
      <c r="Q26" s="37"/>
      <c r="R26" s="176"/>
      <c r="S26" s="176"/>
      <c r="T26" s="11"/>
      <c r="U26" s="213"/>
      <c r="V26" s="176"/>
      <c r="W26" s="176"/>
      <c r="X26" s="213"/>
      <c r="Y26" s="176"/>
    </row>
    <row r="27" spans="1:25" s="204" customFormat="1" ht="11.4">
      <c r="A27" s="216" t="s">
        <v>297</v>
      </c>
      <c r="B27" s="211"/>
      <c r="C27" s="595"/>
      <c r="D27" s="176">
        <v>5</v>
      </c>
      <c r="E27" s="37"/>
      <c r="F27" s="11"/>
      <c r="G27" s="176">
        <v>-14</v>
      </c>
      <c r="H27" s="11"/>
      <c r="I27" s="11"/>
      <c r="J27" s="176">
        <v>43</v>
      </c>
      <c r="K27" s="11"/>
      <c r="L27" s="213"/>
      <c r="M27" s="176">
        <v>142</v>
      </c>
      <c r="N27" s="11"/>
      <c r="O27" s="595"/>
      <c r="P27" s="176">
        <v>40</v>
      </c>
      <c r="Q27" s="37"/>
      <c r="R27" s="11"/>
      <c r="S27" s="176">
        <v>25</v>
      </c>
      <c r="T27" s="11"/>
      <c r="U27" s="213"/>
      <c r="V27" s="176">
        <v>-9</v>
      </c>
      <c r="W27" s="176"/>
      <c r="X27" s="213"/>
      <c r="Y27" s="176">
        <v>65</v>
      </c>
    </row>
    <row r="28" spans="1:25" s="204" customFormat="1" ht="11.4">
      <c r="A28" s="215" t="s">
        <v>494</v>
      </c>
      <c r="B28" s="211"/>
      <c r="C28" s="595"/>
      <c r="D28" s="176"/>
      <c r="E28" s="37"/>
      <c r="F28" s="11"/>
      <c r="G28" s="176"/>
      <c r="H28" s="11"/>
      <c r="I28" s="11"/>
      <c r="J28" s="176"/>
      <c r="K28" s="11"/>
      <c r="L28" s="213"/>
      <c r="M28" s="176"/>
      <c r="N28" s="11"/>
      <c r="O28" s="595"/>
      <c r="P28" s="176"/>
      <c r="Q28" s="37"/>
      <c r="R28" s="11"/>
      <c r="S28" s="176"/>
      <c r="T28" s="11"/>
      <c r="U28" s="213"/>
      <c r="V28" s="176"/>
      <c r="W28" s="176"/>
      <c r="X28" s="213"/>
      <c r="Y28" s="176"/>
    </row>
    <row r="29" spans="1:25" s="204" customFormat="1" ht="11.4">
      <c r="A29" s="215" t="s">
        <v>495</v>
      </c>
      <c r="B29" s="211"/>
      <c r="C29" s="595"/>
      <c r="D29" s="176">
        <v>-3</v>
      </c>
      <c r="E29" s="37"/>
      <c r="F29" s="11"/>
      <c r="G29" s="176">
        <v>-6</v>
      </c>
      <c r="H29" s="11"/>
      <c r="I29" s="11"/>
      <c r="J29" s="176">
        <v>-13</v>
      </c>
      <c r="K29" s="11"/>
      <c r="L29" s="213"/>
      <c r="M29" s="176">
        <v>-4</v>
      </c>
      <c r="N29" s="11"/>
      <c r="O29" s="595"/>
      <c r="P29" s="176">
        <v>-3</v>
      </c>
      <c r="Q29" s="37"/>
      <c r="R29" s="11"/>
      <c r="S29" s="176">
        <v>8</v>
      </c>
      <c r="T29" s="11"/>
      <c r="U29" s="213"/>
      <c r="V29" s="176">
        <v>-9</v>
      </c>
      <c r="W29" s="176"/>
      <c r="X29" s="213"/>
      <c r="Y29" s="176">
        <v>5</v>
      </c>
    </row>
    <row r="30" spans="1:25" s="204" customFormat="1" ht="11.4">
      <c r="A30" s="593" t="s">
        <v>783</v>
      </c>
      <c r="B30" s="594"/>
      <c r="C30" s="595"/>
      <c r="D30" s="176"/>
      <c r="E30" s="37"/>
      <c r="F30" s="11"/>
      <c r="G30" s="176"/>
      <c r="H30" s="11"/>
      <c r="I30" s="11"/>
      <c r="J30" s="176"/>
      <c r="K30" s="11"/>
      <c r="L30" s="213"/>
      <c r="M30" s="176"/>
      <c r="N30" s="11"/>
      <c r="O30" s="595"/>
      <c r="P30" s="176"/>
      <c r="Q30" s="37"/>
      <c r="R30" s="11"/>
      <c r="S30" s="176"/>
      <c r="T30" s="11"/>
      <c r="U30" s="213"/>
      <c r="V30" s="176"/>
      <c r="W30" s="176"/>
      <c r="X30" s="213"/>
      <c r="Y30" s="176"/>
    </row>
    <row r="31" spans="1:25" s="204" customFormat="1" ht="11.4">
      <c r="A31" s="593" t="s">
        <v>496</v>
      </c>
      <c r="B31" s="594"/>
      <c r="C31" s="595"/>
      <c r="D31" s="176"/>
      <c r="E31" s="37"/>
      <c r="F31" s="11"/>
      <c r="G31" s="176"/>
      <c r="H31" s="11"/>
      <c r="I31" s="11"/>
      <c r="J31" s="176"/>
      <c r="K31" s="11"/>
      <c r="L31" s="213"/>
      <c r="M31" s="176"/>
      <c r="N31" s="11"/>
      <c r="O31" s="595"/>
      <c r="P31" s="176"/>
      <c r="Q31" s="37"/>
      <c r="R31" s="11"/>
      <c r="S31" s="176"/>
      <c r="T31" s="11"/>
      <c r="U31" s="213"/>
      <c r="V31" s="176"/>
      <c r="W31" s="176"/>
      <c r="X31" s="213"/>
      <c r="Y31" s="176"/>
    </row>
    <row r="32" spans="1:25" s="204" customFormat="1" ht="11.4">
      <c r="A32" s="593" t="s">
        <v>497</v>
      </c>
      <c r="B32" s="594"/>
      <c r="C32" s="595"/>
      <c r="D32" s="176">
        <v>0</v>
      </c>
      <c r="E32" s="37"/>
      <c r="F32" s="11"/>
      <c r="G32" s="176">
        <v>-10</v>
      </c>
      <c r="H32" s="11"/>
      <c r="I32" s="11"/>
      <c r="J32" s="176">
        <v>-16</v>
      </c>
      <c r="K32" s="11"/>
      <c r="L32" s="213"/>
      <c r="M32" s="176">
        <v>-65</v>
      </c>
      <c r="N32" s="11"/>
      <c r="O32" s="595"/>
      <c r="P32" s="176">
        <v>-5</v>
      </c>
      <c r="Q32" s="37"/>
      <c r="R32" s="11"/>
      <c r="S32" s="176">
        <v>-22</v>
      </c>
      <c r="T32" s="11"/>
      <c r="U32" s="213"/>
      <c r="V32" s="176">
        <v>-10</v>
      </c>
      <c r="W32" s="176"/>
      <c r="X32" s="213"/>
      <c r="Y32" s="176">
        <v>-27</v>
      </c>
    </row>
    <row r="33" spans="1:25" s="204" customFormat="1" ht="11.4">
      <c r="A33" s="593" t="s">
        <v>498</v>
      </c>
      <c r="B33" s="594"/>
      <c r="C33" s="595"/>
      <c r="D33" s="176"/>
      <c r="E33" s="37"/>
      <c r="F33" s="11"/>
      <c r="G33" s="176"/>
      <c r="H33" s="11"/>
      <c r="I33" s="11"/>
      <c r="J33" s="176"/>
      <c r="K33" s="11"/>
      <c r="L33" s="213"/>
      <c r="M33" s="176"/>
      <c r="N33" s="11"/>
      <c r="O33" s="595"/>
      <c r="P33" s="176"/>
      <c r="Q33" s="37"/>
      <c r="R33" s="11"/>
      <c r="S33" s="176"/>
      <c r="T33" s="11"/>
      <c r="U33" s="213"/>
      <c r="V33" s="176"/>
      <c r="W33" s="176"/>
      <c r="X33" s="213"/>
      <c r="Y33" s="176"/>
    </row>
    <row r="34" spans="1:25" s="204" customFormat="1" ht="11.4">
      <c r="A34" s="593" t="s">
        <v>499</v>
      </c>
      <c r="B34" s="594"/>
      <c r="C34" s="595"/>
      <c r="D34" s="176">
        <v>0</v>
      </c>
      <c r="E34" s="37"/>
      <c r="F34" s="11"/>
      <c r="G34" s="176">
        <v>0</v>
      </c>
      <c r="H34" s="11"/>
      <c r="I34" s="11"/>
      <c r="J34" s="176">
        <v>0</v>
      </c>
      <c r="K34" s="11"/>
      <c r="L34" s="213"/>
      <c r="M34" s="176">
        <v>0</v>
      </c>
      <c r="N34" s="11"/>
      <c r="O34" s="595"/>
      <c r="P34" s="176">
        <v>0</v>
      </c>
      <c r="Q34" s="37"/>
      <c r="R34" s="11"/>
      <c r="S34" s="176">
        <v>3</v>
      </c>
      <c r="T34" s="11"/>
      <c r="U34" s="213"/>
      <c r="V34" s="176">
        <v>0</v>
      </c>
      <c r="W34" s="176"/>
      <c r="X34" s="213"/>
      <c r="Y34" s="176">
        <v>3</v>
      </c>
    </row>
    <row r="35" spans="1:25" s="204" customFormat="1" ht="11.4">
      <c r="A35" s="215" t="s">
        <v>500</v>
      </c>
      <c r="B35" s="211"/>
      <c r="C35" s="595"/>
      <c r="D35" s="176"/>
      <c r="E35" s="37"/>
      <c r="F35" s="11"/>
      <c r="G35" s="176"/>
      <c r="H35" s="11"/>
      <c r="I35" s="11"/>
      <c r="J35" s="176"/>
      <c r="K35" s="11"/>
      <c r="L35" s="213"/>
      <c r="M35" s="176"/>
      <c r="N35" s="11"/>
      <c r="O35" s="595"/>
      <c r="P35" s="176"/>
      <c r="Q35" s="37"/>
      <c r="R35" s="11"/>
      <c r="S35" s="176"/>
      <c r="T35" s="11"/>
      <c r="U35" s="213"/>
      <c r="V35" s="176"/>
      <c r="W35" s="176"/>
      <c r="X35" s="213"/>
      <c r="Y35" s="176"/>
    </row>
    <row r="36" spans="1:25" s="204" customFormat="1" ht="11.4">
      <c r="A36" s="215" t="s">
        <v>501</v>
      </c>
      <c r="B36" s="211"/>
      <c r="C36" s="595"/>
      <c r="D36" s="176">
        <v>-10</v>
      </c>
      <c r="E36" s="37"/>
      <c r="F36" s="11"/>
      <c r="G36" s="176">
        <v>-10</v>
      </c>
      <c r="H36" s="11"/>
      <c r="I36" s="11"/>
      <c r="J36" s="176">
        <v>-10</v>
      </c>
      <c r="K36" s="11"/>
      <c r="L36" s="213"/>
      <c r="M36" s="176">
        <v>-12</v>
      </c>
      <c r="N36" s="11"/>
      <c r="O36" s="595"/>
      <c r="P36" s="176">
        <v>-11</v>
      </c>
      <c r="Q36" s="37"/>
      <c r="R36" s="11"/>
      <c r="S36" s="176">
        <v>-12</v>
      </c>
      <c r="T36" s="11"/>
      <c r="U36" s="213"/>
      <c r="V36" s="176">
        <v>-20</v>
      </c>
      <c r="W36" s="176"/>
      <c r="X36" s="213"/>
      <c r="Y36" s="176">
        <v>-23</v>
      </c>
    </row>
    <row r="37" spans="1:25" s="204" customFormat="1" ht="11.4">
      <c r="A37" s="215" t="s">
        <v>790</v>
      </c>
      <c r="B37" s="211"/>
      <c r="C37" s="595"/>
      <c r="D37" s="113">
        <v>2</v>
      </c>
      <c r="E37" s="37"/>
      <c r="F37" s="11"/>
      <c r="G37" s="113">
        <v>2</v>
      </c>
      <c r="H37" s="11"/>
      <c r="I37" s="11"/>
      <c r="J37" s="113">
        <v>1</v>
      </c>
      <c r="K37" s="11"/>
      <c r="L37" s="213"/>
      <c r="M37" s="113">
        <v>2</v>
      </c>
      <c r="N37" s="11"/>
      <c r="O37" s="595"/>
      <c r="P37" s="113">
        <v>5</v>
      </c>
      <c r="Q37" s="37"/>
      <c r="R37" s="11"/>
      <c r="S37" s="113">
        <v>-13</v>
      </c>
      <c r="T37" s="11"/>
      <c r="U37" s="213"/>
      <c r="V37" s="113">
        <v>4</v>
      </c>
      <c r="W37" s="176"/>
      <c r="X37" s="213"/>
      <c r="Y37" s="113">
        <v>-8</v>
      </c>
    </row>
    <row r="38" spans="1:25" s="204" customFormat="1" ht="11.4">
      <c r="B38" s="206"/>
      <c r="C38" s="595"/>
      <c r="D38" s="176"/>
      <c r="E38" s="37"/>
      <c r="F38" s="176"/>
      <c r="G38" s="176"/>
      <c r="H38" s="11"/>
      <c r="I38" s="176"/>
      <c r="J38" s="176"/>
      <c r="K38" s="11"/>
      <c r="L38" s="213"/>
      <c r="M38" s="176"/>
      <c r="N38" s="11"/>
      <c r="O38" s="595"/>
      <c r="P38" s="176"/>
      <c r="Q38" s="37"/>
      <c r="R38" s="176"/>
      <c r="S38" s="176"/>
      <c r="T38" s="11"/>
      <c r="U38" s="213"/>
      <c r="V38" s="176"/>
      <c r="W38" s="176"/>
      <c r="X38" s="213"/>
      <c r="Y38" s="176"/>
    </row>
    <row r="39" spans="1:25" s="204" customFormat="1" ht="12" thickBot="1">
      <c r="A39" s="215" t="s">
        <v>947</v>
      </c>
      <c r="B39" s="211"/>
      <c r="C39" s="595" t="s">
        <v>108</v>
      </c>
      <c r="D39" s="114">
        <v>132</v>
      </c>
      <c r="E39" s="37"/>
      <c r="F39" s="213" t="s">
        <v>108</v>
      </c>
      <c r="G39" s="114">
        <v>112</v>
      </c>
      <c r="H39" s="11"/>
      <c r="I39" s="213" t="s">
        <v>108</v>
      </c>
      <c r="J39" s="114">
        <v>135</v>
      </c>
      <c r="K39" s="11"/>
      <c r="L39" s="213" t="s">
        <v>108</v>
      </c>
      <c r="M39" s="114">
        <v>192</v>
      </c>
      <c r="N39" s="11"/>
      <c r="O39" s="595" t="s">
        <v>108</v>
      </c>
      <c r="P39" s="114">
        <v>161</v>
      </c>
      <c r="Q39" s="37"/>
      <c r="R39" s="213" t="s">
        <v>108</v>
      </c>
      <c r="S39" s="114">
        <v>102</v>
      </c>
      <c r="T39" s="11"/>
      <c r="U39" s="213" t="s">
        <v>108</v>
      </c>
      <c r="V39" s="114">
        <v>244</v>
      </c>
      <c r="W39" s="176"/>
      <c r="X39" s="213" t="s">
        <v>108</v>
      </c>
      <c r="Y39" s="114">
        <v>263</v>
      </c>
    </row>
    <row r="40" spans="1:25" s="204" customFormat="1" ht="12.6" thickTop="1" thickBot="1">
      <c r="A40" s="215"/>
      <c r="B40" s="211"/>
      <c r="C40" s="596"/>
      <c r="D40" s="597"/>
      <c r="E40" s="598"/>
      <c r="F40" s="214"/>
      <c r="G40" s="176"/>
      <c r="H40" s="206"/>
      <c r="I40" s="214"/>
      <c r="J40" s="176"/>
      <c r="K40" s="206"/>
      <c r="L40" s="214"/>
      <c r="M40" s="176"/>
      <c r="N40" s="206"/>
      <c r="O40" s="596"/>
      <c r="P40" s="597"/>
      <c r="Q40" s="598"/>
      <c r="R40" s="214"/>
      <c r="S40" s="176"/>
      <c r="T40" s="206"/>
      <c r="U40" s="214"/>
      <c r="V40" s="176"/>
      <c r="W40" s="380"/>
      <c r="X40" s="214"/>
      <c r="Y40" s="176"/>
    </row>
    <row r="41" spans="1:25">
      <c r="F41" s="240"/>
      <c r="G41" s="207"/>
      <c r="H41" s="207"/>
      <c r="I41" s="240"/>
      <c r="J41" s="207"/>
      <c r="K41" s="207"/>
    </row>
    <row r="42" spans="1:25">
      <c r="A42" s="599"/>
      <c r="B42" s="600"/>
      <c r="C42" s="600"/>
      <c r="D42" s="600"/>
      <c r="E42" s="600"/>
      <c r="F42" s="600"/>
      <c r="G42" s="600"/>
      <c r="H42" s="600"/>
      <c r="I42" s="600"/>
      <c r="J42" s="600"/>
      <c r="K42" s="600"/>
      <c r="L42" s="600"/>
      <c r="M42" s="600"/>
      <c r="N42" s="600"/>
      <c r="O42" s="600"/>
      <c r="P42" s="600"/>
      <c r="Q42" s="600"/>
      <c r="R42" s="600"/>
      <c r="S42" s="600"/>
      <c r="T42" s="600"/>
      <c r="U42" s="600"/>
      <c r="V42" s="600"/>
      <c r="W42" s="600"/>
      <c r="X42" s="600"/>
      <c r="Y42" s="600"/>
    </row>
    <row r="43" spans="1:25">
      <c r="F43" s="240"/>
      <c r="G43" s="207"/>
      <c r="H43" s="207"/>
      <c r="I43" s="240"/>
      <c r="J43" s="207"/>
      <c r="K43" s="207"/>
    </row>
    <row r="44" spans="1:25">
      <c r="F44" s="240"/>
      <c r="G44" s="207"/>
      <c r="H44" s="207"/>
      <c r="I44" s="240"/>
      <c r="J44" s="207"/>
      <c r="K44" s="207"/>
    </row>
    <row r="45" spans="1:25">
      <c r="F45" s="240"/>
      <c r="G45" s="207"/>
      <c r="H45" s="207"/>
      <c r="I45" s="240"/>
      <c r="J45" s="207"/>
      <c r="K45" s="207"/>
    </row>
    <row r="46" spans="1:25">
      <c r="F46" s="240"/>
      <c r="G46" s="207"/>
      <c r="H46" s="207"/>
      <c r="I46" s="240"/>
      <c r="J46" s="207"/>
      <c r="K46" s="207"/>
    </row>
    <row r="47" spans="1:25">
      <c r="F47" s="240"/>
      <c r="G47" s="207"/>
      <c r="H47" s="207"/>
      <c r="I47" s="240"/>
      <c r="J47" s="207"/>
      <c r="K47" s="207"/>
    </row>
    <row r="48" spans="1:25">
      <c r="F48" s="240"/>
      <c r="G48" s="207"/>
      <c r="H48" s="207"/>
      <c r="I48" s="240"/>
      <c r="J48" s="207"/>
      <c r="K48" s="207"/>
    </row>
    <row r="49" spans="6:11">
      <c r="F49" s="240"/>
      <c r="G49" s="207"/>
      <c r="H49" s="207"/>
      <c r="I49" s="240"/>
      <c r="J49" s="207"/>
      <c r="K49" s="207"/>
    </row>
    <row r="50" spans="6:11">
      <c r="F50" s="240"/>
      <c r="G50" s="207"/>
      <c r="H50" s="207"/>
      <c r="I50" s="240"/>
      <c r="J50" s="207"/>
      <c r="K50" s="207"/>
    </row>
    <row r="51" spans="6:11">
      <c r="F51" s="240"/>
      <c r="G51" s="207"/>
      <c r="H51" s="207"/>
      <c r="I51" s="240"/>
      <c r="J51" s="207"/>
      <c r="K51" s="207"/>
    </row>
    <row r="52" spans="6:11">
      <c r="F52" s="240"/>
      <c r="G52" s="207"/>
      <c r="H52" s="207"/>
      <c r="I52" s="240"/>
      <c r="J52" s="207"/>
      <c r="K52" s="207"/>
    </row>
    <row r="53" spans="6:11">
      <c r="F53" s="240"/>
      <c r="G53" s="207"/>
      <c r="H53" s="207"/>
      <c r="I53" s="240"/>
      <c r="J53" s="207"/>
      <c r="K53" s="207"/>
    </row>
  </sheetData>
  <mergeCells count="5">
    <mergeCell ref="A1:Y1"/>
    <mergeCell ref="A2:Y2"/>
    <mergeCell ref="A3:Y3"/>
    <mergeCell ref="C5:S5"/>
    <mergeCell ref="V5:Y5"/>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33.xml><?xml version="1.0" encoding="utf-8"?>
<worksheet xmlns="http://schemas.openxmlformats.org/spreadsheetml/2006/main" xmlns:r="http://schemas.openxmlformats.org/officeDocument/2006/relationships">
  <dimension ref="A1:AR48"/>
  <sheetViews>
    <sheetView zoomScale="75" zoomScaleNormal="75" workbookViewId="0">
      <selection sqref="A1:V1"/>
    </sheetView>
  </sheetViews>
  <sheetFormatPr defaultColWidth="9.109375" defaultRowHeight="11.4"/>
  <cols>
    <col min="1" max="1" width="3.33203125" style="117" customWidth="1"/>
    <col min="2" max="2" width="2.44140625" style="117" customWidth="1"/>
    <col min="3" max="3" width="45.33203125" style="117" customWidth="1"/>
    <col min="4" max="4" width="2.44140625" style="121" customWidth="1"/>
    <col min="5" max="5" width="8.33203125" style="121" customWidth="1"/>
    <col min="6" max="6" width="3.109375" style="121" customWidth="1"/>
    <col min="7" max="7" width="2.44140625" style="117" customWidth="1"/>
    <col min="8" max="8" width="8.33203125" style="117" customWidth="1"/>
    <col min="9" max="9" width="3.109375" style="117" customWidth="1"/>
    <col min="10" max="10" width="2.44140625" style="117" customWidth="1"/>
    <col min="11" max="11" width="8.33203125" style="117" customWidth="1"/>
    <col min="12" max="12" width="3.109375" style="117" customWidth="1"/>
    <col min="13" max="13" width="2.44140625" style="117" customWidth="1"/>
    <col min="14" max="14" width="8.33203125" style="117" customWidth="1"/>
    <col min="15" max="15" width="3.109375" style="117" customWidth="1"/>
    <col min="16" max="16" width="2.44140625" style="117" customWidth="1"/>
    <col min="17" max="17" width="8.33203125" style="117" customWidth="1"/>
    <col min="18" max="18" width="3.109375" style="117" customWidth="1"/>
    <col min="19" max="19" width="2.44140625" style="117" customWidth="1"/>
    <col min="20" max="20" width="8.33203125" style="117" customWidth="1"/>
    <col min="21" max="21" width="3.33203125" style="117" customWidth="1"/>
    <col min="22" max="22" width="2.44140625" style="117" customWidth="1"/>
    <col min="23" max="23" width="8.33203125" style="117" customWidth="1"/>
    <col min="24" max="24" width="3.33203125" style="117" customWidth="1"/>
    <col min="25" max="25" width="2.44140625" style="117" customWidth="1"/>
    <col min="26" max="26" width="8.33203125" style="117" customWidth="1"/>
    <col min="27" max="27" width="3.33203125" style="117" customWidth="1"/>
    <col min="28" max="28" width="2.44140625" style="117" customWidth="1"/>
    <col min="29" max="29" width="8.33203125" style="117" customWidth="1"/>
    <col min="30" max="30" width="3.109375" style="117" customWidth="1"/>
    <col min="31" max="16384" width="9.109375" style="117"/>
  </cols>
  <sheetData>
    <row r="1" spans="1:34" ht="13.2">
      <c r="A1" s="978" t="s">
        <v>503</v>
      </c>
      <c r="B1" s="978"/>
      <c r="C1" s="978"/>
      <c r="D1" s="978"/>
      <c r="E1" s="978"/>
      <c r="F1" s="978"/>
      <c r="G1" s="978"/>
      <c r="H1" s="978"/>
      <c r="I1" s="978"/>
      <c r="J1" s="978"/>
      <c r="K1" s="978"/>
      <c r="L1" s="978"/>
      <c r="M1" s="978"/>
      <c r="N1" s="978"/>
      <c r="O1" s="978"/>
      <c r="P1" s="978"/>
      <c r="Q1" s="978"/>
      <c r="R1" s="978"/>
      <c r="S1" s="978"/>
      <c r="T1" s="978"/>
      <c r="U1" s="978"/>
      <c r="V1" s="978"/>
      <c r="W1" s="842"/>
      <c r="X1" s="842"/>
      <c r="Y1" s="842"/>
      <c r="Z1" s="842"/>
      <c r="AA1" s="842"/>
      <c r="AB1" s="842"/>
      <c r="AC1" s="842"/>
      <c r="AD1" s="842"/>
    </row>
    <row r="2" spans="1:34" ht="13.2">
      <c r="A2" s="978" t="s">
        <v>504</v>
      </c>
      <c r="B2" s="978"/>
      <c r="C2" s="978"/>
      <c r="D2" s="978"/>
      <c r="E2" s="978"/>
      <c r="F2" s="978"/>
      <c r="G2" s="978"/>
      <c r="H2" s="978"/>
      <c r="I2" s="978"/>
      <c r="J2" s="978"/>
      <c r="K2" s="978"/>
      <c r="L2" s="978"/>
      <c r="M2" s="978"/>
      <c r="N2" s="978"/>
      <c r="O2" s="978"/>
      <c r="P2" s="978"/>
      <c r="Q2" s="978"/>
      <c r="R2" s="978"/>
      <c r="S2" s="978"/>
      <c r="T2" s="978"/>
      <c r="U2" s="978"/>
      <c r="V2" s="978"/>
      <c r="W2" s="842"/>
      <c r="X2" s="842"/>
      <c r="Y2" s="842"/>
      <c r="Z2" s="842"/>
      <c r="AA2" s="842"/>
      <c r="AB2" s="842"/>
      <c r="AC2" s="842"/>
      <c r="AD2" s="842"/>
    </row>
    <row r="3" spans="1:34">
      <c r="A3" s="979" t="s">
        <v>800</v>
      </c>
      <c r="B3" s="979"/>
      <c r="C3" s="979"/>
      <c r="D3" s="979"/>
      <c r="E3" s="979"/>
      <c r="F3" s="979"/>
      <c r="G3" s="979"/>
      <c r="H3" s="979"/>
      <c r="I3" s="979"/>
      <c r="J3" s="979"/>
      <c r="K3" s="979"/>
      <c r="L3" s="979"/>
      <c r="M3" s="979"/>
      <c r="N3" s="979"/>
      <c r="O3" s="979"/>
      <c r="P3" s="979"/>
      <c r="Q3" s="979"/>
      <c r="R3" s="979"/>
      <c r="S3" s="979"/>
      <c r="T3" s="979"/>
      <c r="U3" s="979"/>
      <c r="V3" s="979"/>
      <c r="W3" s="843"/>
      <c r="X3" s="843"/>
      <c r="Y3" s="843"/>
      <c r="Z3" s="843"/>
      <c r="AA3" s="843"/>
      <c r="AB3" s="843"/>
      <c r="AC3" s="843"/>
      <c r="AD3" s="843"/>
    </row>
    <row r="4" spans="1:34" ht="13.2">
      <c r="A4" s="897"/>
      <c r="B4" s="897"/>
      <c r="C4" s="897"/>
      <c r="D4" s="123"/>
      <c r="E4" s="123"/>
      <c r="F4" s="123"/>
      <c r="G4" s="897"/>
      <c r="H4" s="897"/>
      <c r="I4" s="897"/>
      <c r="J4" s="897"/>
      <c r="K4" s="897"/>
      <c r="L4" s="897"/>
      <c r="M4" s="897"/>
      <c r="N4" s="897"/>
      <c r="O4" s="897"/>
      <c r="P4" s="897"/>
      <c r="Q4" s="897"/>
      <c r="R4" s="897"/>
      <c r="S4" s="897"/>
      <c r="T4" s="897"/>
      <c r="U4" s="897"/>
      <c r="V4" s="897"/>
      <c r="W4" s="897"/>
      <c r="X4" s="897"/>
      <c r="Y4" s="897"/>
      <c r="Z4" s="897"/>
      <c r="AA4" s="897"/>
      <c r="AB4" s="897"/>
      <c r="AC4" s="897"/>
      <c r="AD4" s="897"/>
    </row>
    <row r="5" spans="1:34" ht="15" customHeight="1">
      <c r="A5" s="897"/>
      <c r="B5" s="897"/>
      <c r="C5" s="897"/>
      <c r="D5" s="1032" t="s">
        <v>101</v>
      </c>
      <c r="E5" s="1032"/>
      <c r="F5" s="1032"/>
      <c r="G5" s="1032"/>
      <c r="H5" s="1032"/>
      <c r="I5" s="1032"/>
      <c r="J5" s="1032"/>
      <c r="K5" s="1032"/>
      <c r="L5" s="1032"/>
      <c r="M5" s="1032"/>
      <c r="N5" s="1032"/>
      <c r="O5" s="1032"/>
      <c r="P5" s="1032"/>
      <c r="Q5" s="1032"/>
      <c r="R5" s="1032"/>
      <c r="S5" s="1032"/>
      <c r="T5" s="1032"/>
      <c r="U5" s="1032"/>
      <c r="V5" s="841"/>
      <c r="W5" s="841"/>
      <c r="X5" s="841"/>
      <c r="Y5" s="841"/>
      <c r="Z5" s="841"/>
      <c r="AA5" s="841"/>
      <c r="AB5" s="841"/>
      <c r="AC5" s="841"/>
      <c r="AD5" s="841"/>
    </row>
    <row r="6" spans="1:34" ht="13.8" thickBot="1">
      <c r="A6" s="897"/>
      <c r="B6" s="897"/>
      <c r="C6" s="897"/>
      <c r="D6" s="123"/>
      <c r="E6" s="123"/>
      <c r="F6" s="123"/>
      <c r="G6" s="897"/>
      <c r="H6" s="123"/>
      <c r="I6" s="897"/>
      <c r="J6" s="897"/>
      <c r="K6" s="123"/>
      <c r="L6" s="897"/>
      <c r="M6" s="897"/>
      <c r="N6" s="897"/>
      <c r="O6" s="897"/>
      <c r="P6" s="897"/>
      <c r="Q6" s="897"/>
      <c r="R6" s="897"/>
      <c r="S6" s="897"/>
      <c r="T6" s="897"/>
      <c r="U6" s="897"/>
      <c r="V6" s="897"/>
      <c r="W6" s="897"/>
      <c r="X6" s="897"/>
      <c r="Y6" s="897"/>
      <c r="Z6" s="897"/>
      <c r="AA6" s="897"/>
      <c r="AB6" s="897"/>
      <c r="AC6" s="897"/>
      <c r="AD6" s="897"/>
      <c r="AE6" s="121"/>
    </row>
    <row r="7" spans="1:34" ht="13.2">
      <c r="A7" s="897"/>
      <c r="B7" s="897"/>
      <c r="C7" s="123"/>
      <c r="D7" s="118"/>
      <c r="E7" s="119" t="s">
        <v>104</v>
      </c>
      <c r="F7" s="174"/>
      <c r="G7" s="121"/>
      <c r="H7" s="122" t="s">
        <v>105</v>
      </c>
      <c r="I7" s="121"/>
      <c r="J7" s="121"/>
      <c r="K7" s="122" t="s">
        <v>102</v>
      </c>
      <c r="L7" s="121"/>
      <c r="M7" s="121"/>
      <c r="N7" s="122" t="s">
        <v>103</v>
      </c>
      <c r="O7" s="121"/>
      <c r="P7" s="118"/>
      <c r="Q7" s="119" t="s">
        <v>104</v>
      </c>
      <c r="R7" s="174"/>
      <c r="S7" s="121"/>
      <c r="T7" s="122" t="s">
        <v>105</v>
      </c>
      <c r="U7" s="121"/>
      <c r="V7" s="897"/>
      <c r="W7" s="897"/>
      <c r="X7" s="897"/>
      <c r="Y7" s="897"/>
      <c r="Z7" s="897"/>
      <c r="AA7" s="897"/>
      <c r="AB7" s="897"/>
      <c r="AC7" s="897"/>
      <c r="AD7" s="897"/>
      <c r="AE7" s="121"/>
      <c r="AH7" s="121"/>
    </row>
    <row r="8" spans="1:34" s="124" customFormat="1" ht="13.2">
      <c r="C8" s="128"/>
      <c r="D8" s="125"/>
      <c r="E8" s="126">
        <v>2012</v>
      </c>
      <c r="F8" s="127"/>
      <c r="G8" s="128"/>
      <c r="H8" s="126">
        <v>2012</v>
      </c>
      <c r="I8" s="128"/>
      <c r="J8" s="128"/>
      <c r="K8" s="126">
        <v>2011</v>
      </c>
      <c r="L8" s="128"/>
      <c r="M8" s="128"/>
      <c r="N8" s="126">
        <v>2011</v>
      </c>
      <c r="O8" s="128"/>
      <c r="P8" s="125"/>
      <c r="Q8" s="126">
        <v>2011</v>
      </c>
      <c r="R8" s="127"/>
      <c r="S8" s="128"/>
      <c r="T8" s="126">
        <v>2011</v>
      </c>
      <c r="U8" s="128"/>
      <c r="V8" s="897"/>
      <c r="W8" s="897"/>
      <c r="X8" s="897"/>
      <c r="Y8" s="897"/>
      <c r="Z8" s="897"/>
      <c r="AA8" s="897"/>
      <c r="AB8" s="897"/>
      <c r="AC8" s="897"/>
      <c r="AD8" s="897"/>
      <c r="AE8" s="121"/>
      <c r="AF8" s="117"/>
      <c r="AG8" s="117"/>
      <c r="AH8" s="128"/>
    </row>
    <row r="9" spans="1:34" s="130" customFormat="1" ht="13.2">
      <c r="A9" s="129" t="s">
        <v>505</v>
      </c>
      <c r="C9" s="122"/>
      <c r="D9" s="131"/>
      <c r="E9" s="122"/>
      <c r="F9" s="132"/>
      <c r="G9" s="122"/>
      <c r="H9" s="122"/>
      <c r="I9" s="122"/>
      <c r="J9" s="122"/>
      <c r="K9" s="122"/>
      <c r="L9" s="122"/>
      <c r="M9" s="122"/>
      <c r="N9" s="122"/>
      <c r="O9" s="122"/>
      <c r="P9" s="131"/>
      <c r="Q9" s="122"/>
      <c r="R9" s="132"/>
      <c r="S9" s="122"/>
      <c r="T9" s="122"/>
      <c r="U9" s="122"/>
      <c r="V9" s="897"/>
      <c r="W9" s="897"/>
      <c r="X9" s="897"/>
      <c r="Y9" s="897"/>
      <c r="Z9" s="897"/>
      <c r="AA9" s="897"/>
      <c r="AB9" s="897"/>
      <c r="AC9" s="897"/>
      <c r="AD9" s="897"/>
      <c r="AE9" s="121"/>
      <c r="AF9" s="117"/>
      <c r="AG9" s="117"/>
      <c r="AH9" s="122"/>
    </row>
    <row r="10" spans="1:34" s="130" customFormat="1" ht="13.2">
      <c r="C10" s="122"/>
      <c r="D10" s="131"/>
      <c r="E10" s="122"/>
      <c r="F10" s="132"/>
      <c r="G10" s="122"/>
      <c r="H10" s="122"/>
      <c r="I10" s="122"/>
      <c r="J10" s="122"/>
      <c r="K10" s="122"/>
      <c r="L10" s="122"/>
      <c r="M10" s="122"/>
      <c r="N10" s="122"/>
      <c r="O10" s="122"/>
      <c r="P10" s="131"/>
      <c r="Q10" s="122"/>
      <c r="R10" s="132"/>
      <c r="S10" s="122"/>
      <c r="T10" s="122"/>
      <c r="U10" s="122"/>
      <c r="V10" s="897"/>
      <c r="W10" s="897"/>
      <c r="X10" s="897"/>
      <c r="Y10" s="897"/>
      <c r="Z10" s="897"/>
      <c r="AA10" s="897"/>
      <c r="AB10" s="897"/>
      <c r="AC10" s="897"/>
      <c r="AD10" s="897"/>
      <c r="AE10" s="121"/>
      <c r="AF10" s="117"/>
      <c r="AG10" s="117"/>
      <c r="AH10" s="122"/>
    </row>
    <row r="11" spans="1:34" ht="13.2">
      <c r="B11" s="117" t="s">
        <v>872</v>
      </c>
      <c r="C11" s="121"/>
      <c r="D11" s="133"/>
      <c r="F11" s="134"/>
      <c r="G11" s="121"/>
      <c r="H11" s="121"/>
      <c r="I11" s="121"/>
      <c r="J11" s="121"/>
      <c r="K11" s="121"/>
      <c r="L11" s="121"/>
      <c r="M11" s="121"/>
      <c r="N11" s="121"/>
      <c r="O11" s="121"/>
      <c r="P11" s="133"/>
      <c r="Q11" s="121"/>
      <c r="R11" s="134"/>
      <c r="S11" s="121"/>
      <c r="T11" s="121"/>
      <c r="U11" s="121"/>
      <c r="V11" s="897"/>
      <c r="W11" s="897"/>
      <c r="X11" s="897"/>
      <c r="Y11" s="897"/>
      <c r="Z11" s="897"/>
      <c r="AA11" s="897"/>
      <c r="AB11" s="897"/>
      <c r="AC11" s="897"/>
      <c r="AD11" s="897"/>
      <c r="AE11" s="121"/>
      <c r="AH11" s="121"/>
    </row>
    <row r="12" spans="1:34" ht="13.2">
      <c r="C12" s="121"/>
      <c r="D12" s="133"/>
      <c r="F12" s="134"/>
      <c r="G12" s="121"/>
      <c r="H12" s="121"/>
      <c r="I12" s="121"/>
      <c r="J12" s="121"/>
      <c r="K12" s="121"/>
      <c r="L12" s="121"/>
      <c r="M12" s="121"/>
      <c r="N12" s="121"/>
      <c r="O12" s="121"/>
      <c r="P12" s="133"/>
      <c r="Q12" s="121"/>
      <c r="R12" s="134"/>
      <c r="S12" s="121"/>
      <c r="T12" s="121"/>
      <c r="U12" s="121"/>
      <c r="V12" s="897"/>
      <c r="W12" s="897"/>
      <c r="X12" s="897"/>
      <c r="Y12" s="897"/>
      <c r="Z12" s="897"/>
      <c r="AA12" s="897"/>
      <c r="AB12" s="897"/>
      <c r="AC12" s="897"/>
      <c r="AD12" s="897"/>
      <c r="AE12" s="121"/>
      <c r="AH12" s="121"/>
    </row>
    <row r="13" spans="1:34" ht="16.5" customHeight="1" thickBot="1">
      <c r="C13" s="601" t="s">
        <v>888</v>
      </c>
      <c r="D13" s="133" t="s">
        <v>108</v>
      </c>
      <c r="E13" s="136">
        <v>571</v>
      </c>
      <c r="F13" s="134"/>
      <c r="G13" s="121" t="s">
        <v>108</v>
      </c>
      <c r="H13" s="136">
        <v>600</v>
      </c>
      <c r="I13" s="121"/>
      <c r="J13" s="121" t="s">
        <v>108</v>
      </c>
      <c r="K13" s="136">
        <v>590</v>
      </c>
      <c r="L13" s="121"/>
      <c r="M13" s="121" t="s">
        <v>108</v>
      </c>
      <c r="N13" s="136">
        <v>527</v>
      </c>
      <c r="O13" s="121"/>
      <c r="P13" s="133" t="s">
        <v>108</v>
      </c>
      <c r="Q13" s="136">
        <v>417</v>
      </c>
      <c r="R13" s="134"/>
      <c r="S13" s="121" t="s">
        <v>108</v>
      </c>
      <c r="T13" s="136">
        <v>141</v>
      </c>
      <c r="U13" s="121"/>
      <c r="V13" s="897"/>
      <c r="W13" s="897"/>
      <c r="X13" s="897"/>
      <c r="Y13" s="897"/>
      <c r="Z13" s="897"/>
      <c r="AA13" s="897"/>
      <c r="AB13" s="897"/>
      <c r="AC13" s="897"/>
      <c r="AD13" s="897"/>
      <c r="AE13" s="121"/>
    </row>
    <row r="14" spans="1:34" ht="13.8" thickTop="1">
      <c r="C14" s="121"/>
      <c r="D14" s="133"/>
      <c r="F14" s="134"/>
      <c r="G14" s="121"/>
      <c r="H14" s="121"/>
      <c r="I14" s="121"/>
      <c r="J14" s="121"/>
      <c r="K14" s="121"/>
      <c r="L14" s="121"/>
      <c r="M14" s="121"/>
      <c r="N14" s="121"/>
      <c r="O14" s="121"/>
      <c r="P14" s="133"/>
      <c r="Q14" s="121"/>
      <c r="R14" s="134"/>
      <c r="S14" s="121"/>
      <c r="T14" s="121"/>
      <c r="U14" s="121"/>
      <c r="V14" s="897"/>
      <c r="W14" s="897"/>
      <c r="X14" s="897"/>
      <c r="Y14" s="897"/>
      <c r="Z14" s="897"/>
      <c r="AA14" s="897"/>
      <c r="AB14" s="897"/>
      <c r="AC14" s="897"/>
      <c r="AD14" s="897"/>
      <c r="AE14" s="121"/>
      <c r="AH14" s="121"/>
    </row>
    <row r="15" spans="1:34" ht="13.2">
      <c r="B15" s="117" t="s">
        <v>874</v>
      </c>
      <c r="C15" s="121"/>
      <c r="D15" s="133"/>
      <c r="F15" s="134"/>
      <c r="G15" s="121"/>
      <c r="H15" s="121"/>
      <c r="I15" s="121"/>
      <c r="J15" s="121"/>
      <c r="K15" s="121"/>
      <c r="L15" s="121"/>
      <c r="M15" s="121"/>
      <c r="N15" s="121"/>
      <c r="O15" s="121"/>
      <c r="P15" s="133"/>
      <c r="Q15" s="121"/>
      <c r="R15" s="134"/>
      <c r="S15" s="121"/>
      <c r="T15" s="121"/>
      <c r="U15" s="121"/>
      <c r="V15" s="897"/>
      <c r="W15" s="897"/>
      <c r="X15" s="897"/>
      <c r="Y15" s="897"/>
      <c r="Z15" s="897"/>
      <c r="AA15" s="897"/>
      <c r="AB15" s="897"/>
      <c r="AC15" s="897"/>
      <c r="AD15" s="897"/>
      <c r="AE15" s="121"/>
      <c r="AH15" s="121"/>
    </row>
    <row r="16" spans="1:34" ht="13.2">
      <c r="C16" s="121"/>
      <c r="D16" s="133"/>
      <c r="F16" s="134"/>
      <c r="G16" s="121"/>
      <c r="H16" s="121"/>
      <c r="I16" s="121"/>
      <c r="J16" s="121"/>
      <c r="K16" s="121"/>
      <c r="L16" s="121"/>
      <c r="M16" s="121"/>
      <c r="N16" s="121"/>
      <c r="O16" s="121"/>
      <c r="P16" s="133"/>
      <c r="Q16" s="121"/>
      <c r="R16" s="134"/>
      <c r="S16" s="121"/>
      <c r="T16" s="121"/>
      <c r="U16" s="121"/>
      <c r="V16" s="897"/>
      <c r="W16" s="897"/>
      <c r="X16" s="897"/>
      <c r="Y16" s="897"/>
      <c r="Z16" s="897"/>
      <c r="AA16" s="897"/>
      <c r="AB16" s="897"/>
      <c r="AC16" s="897"/>
      <c r="AD16" s="897"/>
      <c r="AE16" s="121"/>
      <c r="AH16" s="121"/>
    </row>
    <row r="17" spans="1:34" ht="17.25" customHeight="1">
      <c r="C17" s="602" t="s">
        <v>506</v>
      </c>
      <c r="D17" s="133" t="s">
        <v>108</v>
      </c>
      <c r="E17" s="121">
        <v>6868</v>
      </c>
      <c r="F17" s="134"/>
      <c r="G17" s="121" t="s">
        <v>108</v>
      </c>
      <c r="H17" s="121">
        <v>6568</v>
      </c>
      <c r="I17" s="121"/>
      <c r="J17" s="121" t="s">
        <v>108</v>
      </c>
      <c r="K17" s="121">
        <v>6385</v>
      </c>
      <c r="L17" s="121"/>
      <c r="M17" s="121" t="s">
        <v>108</v>
      </c>
      <c r="N17" s="121">
        <v>6450</v>
      </c>
      <c r="O17" s="121"/>
      <c r="P17" s="133" t="s">
        <v>108</v>
      </c>
      <c r="Q17" s="121">
        <v>5895</v>
      </c>
      <c r="R17" s="134"/>
      <c r="S17" s="121" t="s">
        <v>108</v>
      </c>
      <c r="T17" s="121">
        <v>5510</v>
      </c>
      <c r="U17" s="121"/>
      <c r="V17" s="897"/>
      <c r="W17" s="897"/>
      <c r="X17" s="897"/>
      <c r="Y17" s="897"/>
      <c r="Z17" s="897"/>
      <c r="AA17" s="897"/>
      <c r="AB17" s="897"/>
      <c r="AC17" s="897"/>
      <c r="AD17" s="897"/>
      <c r="AE17" s="121"/>
      <c r="AH17" s="121"/>
    </row>
    <row r="18" spans="1:34" ht="13.2">
      <c r="C18" s="602" t="s">
        <v>507</v>
      </c>
      <c r="D18" s="133"/>
      <c r="E18" s="121">
        <v>7737</v>
      </c>
      <c r="F18" s="134"/>
      <c r="G18" s="121"/>
      <c r="H18" s="121">
        <v>7475</v>
      </c>
      <c r="I18" s="121"/>
      <c r="J18" s="121"/>
      <c r="K18" s="121">
        <v>7230</v>
      </c>
      <c r="L18" s="121"/>
      <c r="M18" s="121"/>
      <c r="N18" s="121">
        <v>7044</v>
      </c>
      <c r="O18" s="121"/>
      <c r="P18" s="133"/>
      <c r="Q18" s="121">
        <v>6868</v>
      </c>
      <c r="R18" s="134"/>
      <c r="S18" s="121"/>
      <c r="T18" s="121">
        <v>6568</v>
      </c>
      <c r="U18" s="121"/>
      <c r="V18" s="897"/>
      <c r="W18" s="897"/>
      <c r="X18" s="897"/>
      <c r="Y18" s="897"/>
      <c r="Z18" s="897"/>
      <c r="AA18" s="897"/>
      <c r="AB18" s="897"/>
      <c r="AC18" s="897"/>
      <c r="AD18" s="897"/>
      <c r="AE18" s="121"/>
      <c r="AH18" s="121"/>
    </row>
    <row r="19" spans="1:34" ht="13.2">
      <c r="C19" s="121"/>
      <c r="D19" s="133"/>
      <c r="F19" s="134"/>
      <c r="G19" s="121"/>
      <c r="H19" s="121"/>
      <c r="I19" s="121"/>
      <c r="J19" s="121"/>
      <c r="K19" s="121"/>
      <c r="L19" s="121"/>
      <c r="M19" s="121"/>
      <c r="N19" s="121"/>
      <c r="O19" s="121"/>
      <c r="P19" s="133"/>
      <c r="Q19" s="121"/>
      <c r="R19" s="134"/>
      <c r="S19" s="121"/>
      <c r="T19" s="121"/>
      <c r="U19" s="121"/>
      <c r="V19" s="897"/>
      <c r="W19" s="897"/>
      <c r="X19" s="897"/>
      <c r="Y19" s="897"/>
      <c r="Z19" s="897"/>
      <c r="AA19" s="897"/>
      <c r="AB19" s="897"/>
      <c r="AC19" s="897"/>
      <c r="AD19" s="897"/>
      <c r="AE19" s="121"/>
      <c r="AH19" s="121"/>
    </row>
    <row r="20" spans="1:34" ht="17.25" customHeight="1" thickBot="1">
      <c r="C20" s="601" t="s">
        <v>508</v>
      </c>
      <c r="D20" s="133" t="s">
        <v>108</v>
      </c>
      <c r="E20" s="136">
        <v>7302.5</v>
      </c>
      <c r="F20" s="134"/>
      <c r="G20" s="121" t="s">
        <v>108</v>
      </c>
      <c r="H20" s="136">
        <v>7021.5</v>
      </c>
      <c r="I20" s="121"/>
      <c r="J20" s="121" t="s">
        <v>108</v>
      </c>
      <c r="K20" s="136">
        <v>6807.5</v>
      </c>
      <c r="L20" s="121"/>
      <c r="M20" s="121" t="s">
        <v>108</v>
      </c>
      <c r="N20" s="136">
        <v>6747</v>
      </c>
      <c r="O20" s="121"/>
      <c r="P20" s="133" t="s">
        <v>108</v>
      </c>
      <c r="Q20" s="136">
        <v>6381.5</v>
      </c>
      <c r="R20" s="134"/>
      <c r="S20" s="121" t="s">
        <v>108</v>
      </c>
      <c r="T20" s="136">
        <v>6039</v>
      </c>
      <c r="U20" s="121"/>
      <c r="V20" s="897"/>
      <c r="W20" s="897"/>
      <c r="X20" s="897"/>
      <c r="Y20" s="897"/>
      <c r="Z20" s="897"/>
      <c r="AA20" s="897"/>
      <c r="AB20" s="897"/>
      <c r="AC20" s="897"/>
      <c r="AD20" s="897"/>
      <c r="AE20" s="121"/>
      <c r="AH20" s="121"/>
    </row>
    <row r="21" spans="1:34" ht="13.8" thickTop="1">
      <c r="C21" s="121"/>
      <c r="D21" s="133"/>
      <c r="F21" s="134"/>
      <c r="G21" s="121"/>
      <c r="H21" s="121"/>
      <c r="I21" s="121"/>
      <c r="J21" s="121"/>
      <c r="K21" s="121"/>
      <c r="L21" s="121"/>
      <c r="M21" s="121"/>
      <c r="N21" s="121"/>
      <c r="O21" s="121"/>
      <c r="P21" s="133"/>
      <c r="Q21" s="121"/>
      <c r="R21" s="134"/>
      <c r="S21" s="121"/>
      <c r="T21" s="121"/>
      <c r="U21" s="121"/>
      <c r="V21" s="897"/>
      <c r="W21" s="897"/>
      <c r="X21" s="897"/>
      <c r="Y21" s="897"/>
      <c r="Z21" s="897"/>
      <c r="AA21" s="897"/>
      <c r="AB21" s="897"/>
      <c r="AC21" s="897"/>
      <c r="AD21" s="897"/>
      <c r="AE21" s="121"/>
      <c r="AH21" s="121"/>
    </row>
    <row r="22" spans="1:34" ht="14.4" thickBot="1">
      <c r="C22" s="128" t="s">
        <v>509</v>
      </c>
      <c r="D22" s="133"/>
      <c r="E22" s="138">
        <v>7.8192399863060587</v>
      </c>
      <c r="F22" s="134" t="s">
        <v>893</v>
      </c>
      <c r="G22" s="121"/>
      <c r="H22" s="138">
        <v>8.5451826532792143</v>
      </c>
      <c r="I22" s="121" t="s">
        <v>893</v>
      </c>
      <c r="J22" s="121"/>
      <c r="K22" s="138">
        <v>8.6669114946749914</v>
      </c>
      <c r="L22" s="121" t="s">
        <v>893</v>
      </c>
      <c r="M22" s="121"/>
      <c r="N22" s="138">
        <v>7.8108789091448054</v>
      </c>
      <c r="O22" s="121" t="s">
        <v>893</v>
      </c>
      <c r="P22" s="133"/>
      <c r="Q22" s="138">
        <v>6.5345138290370599</v>
      </c>
      <c r="R22" s="134" t="s">
        <v>893</v>
      </c>
      <c r="S22" s="121"/>
      <c r="T22" s="138">
        <v>2.3348236462990561</v>
      </c>
      <c r="U22" s="121" t="s">
        <v>893</v>
      </c>
      <c r="V22" s="897"/>
      <c r="W22" s="897"/>
      <c r="X22" s="897"/>
      <c r="Y22" s="897"/>
      <c r="Z22" s="897"/>
      <c r="AA22" s="897"/>
      <c r="AB22" s="897"/>
      <c r="AC22" s="897"/>
      <c r="AD22" s="897"/>
      <c r="AE22" s="121"/>
      <c r="AH22" s="121"/>
    </row>
    <row r="23" spans="1:34" ht="13.8" thickTop="1">
      <c r="C23" s="121"/>
      <c r="D23" s="133"/>
      <c r="F23" s="134"/>
      <c r="G23" s="121"/>
      <c r="H23" s="121"/>
      <c r="I23" s="121"/>
      <c r="J23" s="121"/>
      <c r="K23" s="121"/>
      <c r="L23" s="121"/>
      <c r="M23" s="121"/>
      <c r="N23" s="121"/>
      <c r="O23" s="121"/>
      <c r="P23" s="133"/>
      <c r="Q23" s="121"/>
      <c r="R23" s="134"/>
      <c r="S23" s="121"/>
      <c r="T23" s="121"/>
      <c r="U23" s="121"/>
      <c r="V23" s="897"/>
      <c r="W23" s="897"/>
      <c r="X23" s="897"/>
      <c r="Y23" s="897"/>
      <c r="Z23" s="897"/>
      <c r="AA23" s="897"/>
      <c r="AB23" s="897"/>
      <c r="AC23" s="897"/>
      <c r="AD23" s="897"/>
      <c r="AE23" s="121"/>
      <c r="AH23" s="121"/>
    </row>
    <row r="24" spans="1:34" ht="13.2">
      <c r="C24" s="121"/>
      <c r="D24" s="133"/>
      <c r="F24" s="134"/>
      <c r="G24" s="121"/>
      <c r="H24" s="121"/>
      <c r="I24" s="121"/>
      <c r="J24" s="121"/>
      <c r="K24" s="121"/>
      <c r="L24" s="121"/>
      <c r="M24" s="121"/>
      <c r="N24" s="121"/>
      <c r="O24" s="121"/>
      <c r="P24" s="133"/>
      <c r="Q24" s="121"/>
      <c r="R24" s="134"/>
      <c r="S24" s="121"/>
      <c r="T24" s="121"/>
      <c r="U24" s="121"/>
      <c r="V24" s="897"/>
      <c r="W24" s="897"/>
      <c r="X24" s="897"/>
      <c r="Y24" s="897"/>
      <c r="Z24" s="897"/>
      <c r="AA24" s="897"/>
      <c r="AB24" s="897"/>
      <c r="AC24" s="897"/>
      <c r="AD24" s="897"/>
      <c r="AE24" s="121"/>
      <c r="AH24" s="121"/>
    </row>
    <row r="25" spans="1:34" ht="13.2">
      <c r="C25" s="121"/>
      <c r="D25" s="133"/>
      <c r="F25" s="134"/>
      <c r="G25" s="121"/>
      <c r="H25" s="121"/>
      <c r="I25" s="121"/>
      <c r="J25" s="121"/>
      <c r="K25" s="121"/>
      <c r="L25" s="121"/>
      <c r="M25" s="121"/>
      <c r="N25" s="121"/>
      <c r="O25" s="121"/>
      <c r="P25" s="133"/>
      <c r="Q25" s="121"/>
      <c r="R25" s="134"/>
      <c r="S25" s="121"/>
      <c r="T25" s="121"/>
      <c r="U25" s="121"/>
      <c r="V25" s="897"/>
      <c r="W25" s="897"/>
      <c r="X25" s="897"/>
      <c r="Y25" s="897"/>
      <c r="Z25" s="897"/>
      <c r="AA25" s="897"/>
      <c r="AB25" s="897"/>
      <c r="AC25" s="897"/>
      <c r="AD25" s="897"/>
      <c r="AE25" s="121"/>
      <c r="AH25" s="121"/>
    </row>
    <row r="26" spans="1:34" ht="13.2">
      <c r="A26" s="129" t="s">
        <v>510</v>
      </c>
      <c r="B26" s="130"/>
      <c r="C26" s="122"/>
      <c r="D26" s="131"/>
      <c r="E26" s="122"/>
      <c r="F26" s="132"/>
      <c r="G26" s="122"/>
      <c r="H26" s="122"/>
      <c r="I26" s="122"/>
      <c r="J26" s="122"/>
      <c r="K26" s="122"/>
      <c r="L26" s="122"/>
      <c r="M26" s="122"/>
      <c r="N26" s="122"/>
      <c r="O26" s="122"/>
      <c r="P26" s="131"/>
      <c r="Q26" s="122"/>
      <c r="R26" s="132"/>
      <c r="S26" s="122"/>
      <c r="T26" s="122"/>
      <c r="U26" s="122"/>
      <c r="V26" s="897"/>
      <c r="W26" s="897"/>
      <c r="X26" s="897"/>
      <c r="Y26" s="897"/>
      <c r="Z26" s="897"/>
      <c r="AA26" s="897"/>
      <c r="AB26" s="897"/>
      <c r="AC26" s="897"/>
      <c r="AD26" s="897"/>
      <c r="AE26" s="121"/>
      <c r="AH26" s="122"/>
    </row>
    <row r="27" spans="1:34" ht="13.2">
      <c r="A27" s="130"/>
      <c r="B27" s="130"/>
      <c r="C27" s="122"/>
      <c r="D27" s="131"/>
      <c r="E27" s="122"/>
      <c r="F27" s="132"/>
      <c r="G27" s="122"/>
      <c r="H27" s="122"/>
      <c r="I27" s="122"/>
      <c r="J27" s="122"/>
      <c r="K27" s="122"/>
      <c r="L27" s="122"/>
      <c r="M27" s="122"/>
      <c r="N27" s="122"/>
      <c r="O27" s="122"/>
      <c r="P27" s="131"/>
      <c r="Q27" s="122"/>
      <c r="R27" s="132"/>
      <c r="S27" s="122"/>
      <c r="T27" s="122"/>
      <c r="U27" s="122"/>
      <c r="V27" s="897"/>
      <c r="W27" s="897"/>
      <c r="X27" s="897"/>
      <c r="Y27" s="897"/>
      <c r="Z27" s="897"/>
      <c r="AA27" s="897"/>
      <c r="AB27" s="897"/>
      <c r="AC27" s="897"/>
      <c r="AD27" s="897"/>
      <c r="AE27" s="121"/>
      <c r="AH27" s="122"/>
    </row>
    <row r="28" spans="1:34" ht="13.2">
      <c r="B28" s="117" t="s">
        <v>872</v>
      </c>
      <c r="C28" s="121"/>
      <c r="D28" s="133"/>
      <c r="F28" s="134"/>
      <c r="G28" s="121"/>
      <c r="H28" s="121"/>
      <c r="I28" s="121"/>
      <c r="J28" s="121"/>
      <c r="K28" s="121"/>
      <c r="L28" s="121"/>
      <c r="M28" s="121"/>
      <c r="N28" s="121"/>
      <c r="O28" s="121"/>
      <c r="P28" s="133"/>
      <c r="Q28" s="121"/>
      <c r="R28" s="134"/>
      <c r="S28" s="121"/>
      <c r="T28" s="121"/>
      <c r="U28" s="121"/>
      <c r="V28" s="897"/>
      <c r="W28" s="897"/>
      <c r="X28" s="897"/>
      <c r="Y28" s="897"/>
      <c r="Z28" s="897"/>
      <c r="AA28" s="897"/>
      <c r="AB28" s="897"/>
      <c r="AC28" s="897"/>
      <c r="AD28" s="897"/>
      <c r="AE28" s="121"/>
      <c r="AH28" s="121"/>
    </row>
    <row r="29" spans="1:34" ht="17.25" customHeight="1" thickBot="1">
      <c r="C29" s="601" t="s">
        <v>895</v>
      </c>
      <c r="D29" s="133" t="s">
        <v>108</v>
      </c>
      <c r="E29" s="136">
        <v>547</v>
      </c>
      <c r="F29" s="134"/>
      <c r="G29" s="121" t="s">
        <v>108</v>
      </c>
      <c r="H29" s="136">
        <v>544</v>
      </c>
      <c r="I29" s="121"/>
      <c r="J29" s="121" t="s">
        <v>108</v>
      </c>
      <c r="K29" s="136">
        <v>507</v>
      </c>
      <c r="L29" s="121"/>
      <c r="M29" s="121" t="s">
        <v>108</v>
      </c>
      <c r="N29" s="136">
        <v>472</v>
      </c>
      <c r="O29" s="121"/>
      <c r="P29" s="133" t="s">
        <v>108</v>
      </c>
      <c r="Q29" s="136">
        <v>447</v>
      </c>
      <c r="R29" s="134"/>
      <c r="S29" s="121" t="s">
        <v>108</v>
      </c>
      <c r="T29" s="136">
        <v>426</v>
      </c>
      <c r="U29" s="121"/>
      <c r="V29" s="897"/>
      <c r="W29" s="897"/>
      <c r="X29" s="897"/>
      <c r="Y29" s="897"/>
      <c r="Z29" s="897"/>
      <c r="AA29" s="897"/>
      <c r="AB29" s="897"/>
      <c r="AC29" s="897"/>
      <c r="AD29" s="897"/>
      <c r="AE29" s="121"/>
    </row>
    <row r="30" spans="1:34" ht="13.8" thickTop="1">
      <c r="C30" s="121"/>
      <c r="D30" s="133"/>
      <c r="F30" s="134"/>
      <c r="G30" s="121"/>
      <c r="H30" s="121"/>
      <c r="I30" s="121"/>
      <c r="J30" s="121"/>
      <c r="K30" s="121"/>
      <c r="L30" s="121"/>
      <c r="M30" s="121"/>
      <c r="N30" s="121"/>
      <c r="O30" s="121"/>
      <c r="P30" s="133"/>
      <c r="Q30" s="121"/>
      <c r="R30" s="134"/>
      <c r="S30" s="121"/>
      <c r="T30" s="121"/>
      <c r="U30" s="121"/>
      <c r="V30" s="897"/>
      <c r="W30" s="897"/>
      <c r="X30" s="897"/>
      <c r="Y30" s="897"/>
      <c r="Z30" s="897"/>
      <c r="AA30" s="897"/>
      <c r="AB30" s="897"/>
      <c r="AC30" s="897"/>
      <c r="AD30" s="897"/>
      <c r="AE30" s="121"/>
      <c r="AH30" s="121"/>
    </row>
    <row r="31" spans="1:34" ht="13.2">
      <c r="B31" s="117" t="s">
        <v>874</v>
      </c>
      <c r="C31" s="121"/>
      <c r="D31" s="133"/>
      <c r="F31" s="134"/>
      <c r="G31" s="121"/>
      <c r="H31" s="121"/>
      <c r="I31" s="121"/>
      <c r="J31" s="121"/>
      <c r="K31" s="121"/>
      <c r="L31" s="121"/>
      <c r="M31" s="121"/>
      <c r="N31" s="121"/>
      <c r="O31" s="121"/>
      <c r="P31" s="133"/>
      <c r="Q31" s="121"/>
      <c r="R31" s="134"/>
      <c r="S31" s="121"/>
      <c r="T31" s="121"/>
      <c r="U31" s="121"/>
      <c r="V31" s="897"/>
      <c r="W31" s="897"/>
      <c r="X31" s="897"/>
      <c r="Y31" s="897"/>
      <c r="Z31" s="897"/>
      <c r="AA31" s="897"/>
      <c r="AB31" s="897"/>
      <c r="AC31" s="897"/>
      <c r="AD31" s="897"/>
      <c r="AE31" s="121"/>
      <c r="AH31" s="121"/>
    </row>
    <row r="32" spans="1:34" ht="13.2">
      <c r="C32" s="121"/>
      <c r="D32" s="133"/>
      <c r="F32" s="134"/>
      <c r="G32" s="121"/>
      <c r="H32" s="121"/>
      <c r="I32" s="121"/>
      <c r="J32" s="121"/>
      <c r="K32" s="121"/>
      <c r="L32" s="121"/>
      <c r="M32" s="121"/>
      <c r="N32" s="121"/>
      <c r="O32" s="121"/>
      <c r="P32" s="133"/>
      <c r="Q32" s="121"/>
      <c r="R32" s="134"/>
      <c r="S32" s="121"/>
      <c r="T32" s="121"/>
      <c r="U32" s="121"/>
      <c r="V32" s="897"/>
      <c r="W32" s="897"/>
      <c r="X32" s="897"/>
      <c r="Y32" s="897"/>
      <c r="Z32" s="897"/>
      <c r="AA32" s="897"/>
      <c r="AB32" s="897"/>
      <c r="AC32" s="897"/>
      <c r="AD32" s="897"/>
      <c r="AE32" s="121"/>
      <c r="AH32" s="121"/>
    </row>
    <row r="33" spans="1:44" ht="13.2">
      <c r="C33" s="602" t="s">
        <v>511</v>
      </c>
      <c r="D33" s="133" t="s">
        <v>108</v>
      </c>
      <c r="E33" s="121">
        <v>6868</v>
      </c>
      <c r="F33" s="134"/>
      <c r="G33" s="121" t="s">
        <v>108</v>
      </c>
      <c r="H33" s="121">
        <v>6568</v>
      </c>
      <c r="I33" s="121"/>
      <c r="J33" s="121" t="s">
        <v>108</v>
      </c>
      <c r="K33" s="121">
        <v>6385</v>
      </c>
      <c r="L33" s="121"/>
      <c r="M33" s="121" t="s">
        <v>108</v>
      </c>
      <c r="N33" s="121">
        <v>6450</v>
      </c>
      <c r="O33" s="121"/>
      <c r="P33" s="133" t="s">
        <v>108</v>
      </c>
      <c r="Q33" s="121">
        <v>5895</v>
      </c>
      <c r="R33" s="134"/>
      <c r="S33" s="121" t="s">
        <v>108</v>
      </c>
      <c r="T33" s="121">
        <v>5510</v>
      </c>
      <c r="U33" s="121"/>
      <c r="V33" s="897"/>
      <c r="W33" s="897"/>
      <c r="X33" s="897"/>
      <c r="Y33" s="897"/>
      <c r="Z33" s="897"/>
      <c r="AA33" s="897"/>
      <c r="AB33" s="897"/>
      <c r="AC33" s="897"/>
      <c r="AD33" s="897"/>
      <c r="AE33" s="121"/>
      <c r="AH33" s="121"/>
    </row>
    <row r="34" spans="1:44" ht="13.2">
      <c r="C34" s="602" t="s">
        <v>512</v>
      </c>
      <c r="D34" s="133"/>
      <c r="E34" s="141">
        <v>792</v>
      </c>
      <c r="F34" s="134"/>
      <c r="G34" s="121"/>
      <c r="H34" s="141">
        <v>656</v>
      </c>
      <c r="I34" s="121"/>
      <c r="J34" s="121"/>
      <c r="K34" s="141">
        <v>548</v>
      </c>
      <c r="L34" s="121"/>
      <c r="M34" s="121"/>
      <c r="N34" s="141">
        <v>685</v>
      </c>
      <c r="O34" s="121"/>
      <c r="P34" s="133"/>
      <c r="Q34" s="141">
        <v>183</v>
      </c>
      <c r="R34" s="134"/>
      <c r="S34" s="121"/>
      <c r="T34" s="141">
        <v>-316</v>
      </c>
      <c r="U34" s="121"/>
      <c r="V34" s="897"/>
      <c r="W34" s="897"/>
      <c r="X34" s="897"/>
      <c r="Y34" s="897"/>
      <c r="Z34" s="897"/>
      <c r="AA34" s="897"/>
      <c r="AB34" s="897"/>
      <c r="AC34" s="897"/>
      <c r="AD34" s="897"/>
      <c r="AE34" s="121"/>
      <c r="AH34" s="121"/>
    </row>
    <row r="35" spans="1:44" ht="13.2">
      <c r="C35" s="602" t="s">
        <v>513</v>
      </c>
      <c r="D35" s="133"/>
      <c r="E35" s="121">
        <v>6076</v>
      </c>
      <c r="F35" s="134"/>
      <c r="G35" s="121"/>
      <c r="H35" s="121">
        <v>5912</v>
      </c>
      <c r="I35" s="121"/>
      <c r="J35" s="121"/>
      <c r="K35" s="121">
        <v>5837</v>
      </c>
      <c r="L35" s="121"/>
      <c r="M35" s="121"/>
      <c r="N35" s="121">
        <v>5765</v>
      </c>
      <c r="O35" s="121"/>
      <c r="P35" s="133"/>
      <c r="Q35" s="121">
        <v>5712</v>
      </c>
      <c r="R35" s="134"/>
      <c r="S35" s="121"/>
      <c r="T35" s="121">
        <v>5826</v>
      </c>
      <c r="U35" s="121"/>
      <c r="V35" s="897"/>
      <c r="W35" s="897"/>
      <c r="X35" s="897"/>
      <c r="Y35" s="897"/>
      <c r="Z35" s="897"/>
      <c r="AA35" s="897"/>
      <c r="AB35" s="897"/>
      <c r="AC35" s="897"/>
      <c r="AD35" s="897"/>
      <c r="AE35" s="121"/>
      <c r="AH35" s="121"/>
    </row>
    <row r="36" spans="1:44" ht="13.2">
      <c r="C36" s="602"/>
      <c r="D36" s="133"/>
      <c r="F36" s="134"/>
      <c r="G36" s="121"/>
      <c r="H36" s="121"/>
      <c r="I36" s="121"/>
      <c r="J36" s="121"/>
      <c r="K36" s="121"/>
      <c r="L36" s="121"/>
      <c r="M36" s="121"/>
      <c r="N36" s="121"/>
      <c r="O36" s="121"/>
      <c r="P36" s="133"/>
      <c r="Q36" s="121"/>
      <c r="R36" s="134"/>
      <c r="S36" s="121"/>
      <c r="T36" s="121"/>
      <c r="U36" s="121"/>
      <c r="V36" s="897"/>
      <c r="W36" s="897"/>
      <c r="X36" s="897"/>
      <c r="Y36" s="897"/>
      <c r="Z36" s="897"/>
      <c r="AA36" s="897"/>
      <c r="AB36" s="897"/>
      <c r="AC36" s="897"/>
      <c r="AD36" s="897"/>
      <c r="AE36" s="121"/>
      <c r="AH36" s="121"/>
    </row>
    <row r="37" spans="1:44" ht="13.2">
      <c r="C37" s="602" t="s">
        <v>507</v>
      </c>
      <c r="D37" s="133"/>
      <c r="E37" s="121">
        <v>7737</v>
      </c>
      <c r="F37" s="134"/>
      <c r="G37" s="121"/>
      <c r="H37" s="121">
        <v>7475</v>
      </c>
      <c r="I37" s="121"/>
      <c r="J37" s="121"/>
      <c r="K37" s="121">
        <v>7230</v>
      </c>
      <c r="L37" s="121"/>
      <c r="M37" s="121"/>
      <c r="N37" s="121">
        <v>7044</v>
      </c>
      <c r="O37" s="121"/>
      <c r="P37" s="133"/>
      <c r="Q37" s="121">
        <v>6868</v>
      </c>
      <c r="R37" s="134"/>
      <c r="S37" s="121"/>
      <c r="T37" s="121">
        <v>6568</v>
      </c>
      <c r="U37" s="121"/>
      <c r="V37" s="897"/>
      <c r="W37" s="897"/>
      <c r="X37" s="897"/>
      <c r="Y37" s="897"/>
      <c r="Z37" s="897"/>
      <c r="AA37" s="897"/>
      <c r="AB37" s="897"/>
      <c r="AC37" s="897"/>
      <c r="AD37" s="897"/>
      <c r="AE37" s="121"/>
      <c r="AH37" s="121"/>
    </row>
    <row r="38" spans="1:44" ht="13.2">
      <c r="C38" s="602" t="s">
        <v>512</v>
      </c>
      <c r="D38" s="133"/>
      <c r="E38" s="141">
        <v>1240</v>
      </c>
      <c r="F38" s="134"/>
      <c r="G38" s="121"/>
      <c r="H38" s="141">
        <v>1073</v>
      </c>
      <c r="I38" s="121"/>
      <c r="J38" s="121"/>
      <c r="K38" s="141">
        <v>842</v>
      </c>
      <c r="L38" s="121"/>
      <c r="M38" s="121"/>
      <c r="N38" s="141">
        <v>776</v>
      </c>
      <c r="O38" s="121"/>
      <c r="P38" s="133"/>
      <c r="Q38" s="141">
        <v>792</v>
      </c>
      <c r="R38" s="134"/>
      <c r="S38" s="121"/>
      <c r="T38" s="141">
        <v>656</v>
      </c>
      <c r="U38" s="121"/>
      <c r="V38" s="897"/>
      <c r="W38" s="897"/>
      <c r="X38" s="897"/>
      <c r="Y38" s="897"/>
      <c r="Z38" s="897"/>
      <c r="AA38" s="897"/>
      <c r="AB38" s="897"/>
      <c r="AC38" s="897"/>
      <c r="AD38" s="897"/>
      <c r="AE38" s="121"/>
      <c r="AH38" s="121"/>
    </row>
    <row r="39" spans="1:44" ht="13.2">
      <c r="C39" s="602" t="s">
        <v>514</v>
      </c>
      <c r="D39" s="133"/>
      <c r="E39" s="121">
        <v>6497</v>
      </c>
      <c r="F39" s="134"/>
      <c r="G39" s="121"/>
      <c r="H39" s="121">
        <v>6402</v>
      </c>
      <c r="I39" s="121"/>
      <c r="J39" s="121"/>
      <c r="K39" s="121">
        <v>6388</v>
      </c>
      <c r="L39" s="121"/>
      <c r="M39" s="121"/>
      <c r="N39" s="121">
        <v>6268</v>
      </c>
      <c r="O39" s="121"/>
      <c r="P39" s="133"/>
      <c r="Q39" s="121">
        <v>6076</v>
      </c>
      <c r="R39" s="134"/>
      <c r="S39" s="121"/>
      <c r="T39" s="121">
        <v>5912</v>
      </c>
      <c r="U39" s="121"/>
      <c r="V39" s="897"/>
      <c r="W39" s="897"/>
      <c r="X39" s="897"/>
      <c r="Y39" s="897"/>
      <c r="Z39" s="897"/>
      <c r="AA39" s="897"/>
      <c r="AB39" s="897"/>
      <c r="AC39" s="897"/>
      <c r="AD39" s="897"/>
      <c r="AE39" s="121"/>
      <c r="AH39" s="121"/>
    </row>
    <row r="40" spans="1:44" ht="13.2">
      <c r="C40" s="121"/>
      <c r="D40" s="133"/>
      <c r="F40" s="134"/>
      <c r="G40" s="121"/>
      <c r="H40" s="121"/>
      <c r="I40" s="121"/>
      <c r="J40" s="121"/>
      <c r="K40" s="121"/>
      <c r="L40" s="121"/>
      <c r="M40" s="121"/>
      <c r="N40" s="121"/>
      <c r="O40" s="121"/>
      <c r="P40" s="133"/>
      <c r="Q40" s="121"/>
      <c r="R40" s="134"/>
      <c r="S40" s="121"/>
      <c r="T40" s="121"/>
      <c r="U40" s="121"/>
      <c r="V40" s="897"/>
      <c r="W40" s="897"/>
      <c r="X40" s="897"/>
      <c r="Y40" s="897"/>
      <c r="Z40" s="897"/>
      <c r="AA40" s="897"/>
      <c r="AB40" s="897"/>
      <c r="AC40" s="897"/>
      <c r="AD40" s="897"/>
      <c r="AE40" s="121"/>
      <c r="AH40" s="121"/>
    </row>
    <row r="41" spans="1:44" ht="23.25" customHeight="1" thickBot="1">
      <c r="C41" s="601" t="s">
        <v>515</v>
      </c>
      <c r="D41" s="133" t="s">
        <v>108</v>
      </c>
      <c r="E41" s="136">
        <v>6286.5</v>
      </c>
      <c r="F41" s="134"/>
      <c r="G41" s="121" t="s">
        <v>108</v>
      </c>
      <c r="H41" s="136">
        <v>6157</v>
      </c>
      <c r="I41" s="121"/>
      <c r="J41" s="121" t="s">
        <v>108</v>
      </c>
      <c r="K41" s="136">
        <v>6112.5</v>
      </c>
      <c r="L41" s="121"/>
      <c r="M41" s="121" t="s">
        <v>108</v>
      </c>
      <c r="N41" s="136">
        <v>6016.5</v>
      </c>
      <c r="O41" s="121"/>
      <c r="P41" s="133" t="s">
        <v>108</v>
      </c>
      <c r="Q41" s="136">
        <v>5894</v>
      </c>
      <c r="R41" s="134"/>
      <c r="S41" s="121" t="s">
        <v>108</v>
      </c>
      <c r="T41" s="136">
        <v>5869</v>
      </c>
      <c r="U41" s="121"/>
      <c r="V41" s="897"/>
      <c r="W41" s="897"/>
      <c r="X41" s="897"/>
      <c r="Y41" s="897"/>
      <c r="Z41" s="897"/>
      <c r="AA41" s="897"/>
      <c r="AB41" s="897"/>
      <c r="AC41" s="897"/>
      <c r="AD41" s="897"/>
      <c r="AE41" s="121"/>
      <c r="AH41" s="121"/>
    </row>
    <row r="42" spans="1:44" ht="13.8" thickTop="1">
      <c r="C42" s="121"/>
      <c r="D42" s="133"/>
      <c r="F42" s="134"/>
      <c r="G42" s="121"/>
      <c r="H42" s="121"/>
      <c r="I42" s="121"/>
      <c r="J42" s="121"/>
      <c r="K42" s="121"/>
      <c r="L42" s="121"/>
      <c r="M42" s="121"/>
      <c r="N42" s="121"/>
      <c r="O42" s="121"/>
      <c r="P42" s="133"/>
      <c r="Q42" s="121"/>
      <c r="R42" s="134"/>
      <c r="S42" s="121"/>
      <c r="T42" s="121"/>
      <c r="U42" s="121"/>
      <c r="V42" s="897"/>
      <c r="W42" s="897"/>
      <c r="X42" s="897"/>
      <c r="Y42" s="897"/>
      <c r="Z42" s="897"/>
      <c r="AA42" s="897"/>
      <c r="AB42" s="897"/>
      <c r="AC42" s="897"/>
      <c r="AD42" s="897"/>
      <c r="AE42" s="121"/>
      <c r="AH42" s="121"/>
    </row>
    <row r="43" spans="1:44" ht="15" customHeight="1" thickBot="1">
      <c r="C43" s="128" t="s">
        <v>516</v>
      </c>
      <c r="D43" s="133"/>
      <c r="E43" s="138">
        <v>8.7011850791378347</v>
      </c>
      <c r="F43" s="134" t="s">
        <v>893</v>
      </c>
      <c r="G43" s="121"/>
      <c r="H43" s="138">
        <v>8.835471820691895</v>
      </c>
      <c r="I43" s="121" t="s">
        <v>893</v>
      </c>
      <c r="J43" s="121"/>
      <c r="K43" s="138">
        <v>8.294478527607362</v>
      </c>
      <c r="L43" s="121" t="s">
        <v>893</v>
      </c>
      <c r="M43" s="121"/>
      <c r="N43" s="138">
        <v>7.8450926618465884</v>
      </c>
      <c r="O43" s="121" t="s">
        <v>893</v>
      </c>
      <c r="P43" s="133"/>
      <c r="Q43" s="138">
        <v>7.5839837122497453</v>
      </c>
      <c r="R43" s="134" t="s">
        <v>893</v>
      </c>
      <c r="S43" s="121"/>
      <c r="T43" s="138">
        <v>7.2584767422048042</v>
      </c>
      <c r="U43" s="121" t="s">
        <v>893</v>
      </c>
      <c r="V43" s="897"/>
      <c r="W43" s="897"/>
      <c r="X43" s="897"/>
      <c r="Y43" s="897"/>
      <c r="Z43" s="897"/>
      <c r="AA43" s="897"/>
      <c r="AB43" s="897"/>
      <c r="AC43" s="897"/>
      <c r="AD43" s="897"/>
      <c r="AE43" s="121"/>
      <c r="AH43" s="121"/>
    </row>
    <row r="44" spans="1:44" ht="14.4" thickTop="1" thickBot="1">
      <c r="C44" s="121"/>
      <c r="D44" s="144"/>
      <c r="E44" s="145"/>
      <c r="F44" s="146"/>
      <c r="G44" s="121"/>
      <c r="H44" s="121"/>
      <c r="I44" s="121"/>
      <c r="J44" s="121"/>
      <c r="K44" s="121"/>
      <c r="L44" s="121"/>
      <c r="M44" s="121"/>
      <c r="N44" s="121"/>
      <c r="O44" s="121"/>
      <c r="P44" s="144"/>
      <c r="Q44" s="145"/>
      <c r="R44" s="146"/>
      <c r="S44" s="121"/>
      <c r="T44" s="121"/>
      <c r="U44" s="121"/>
      <c r="V44" s="897"/>
      <c r="W44" s="897"/>
      <c r="X44" s="897"/>
      <c r="Y44" s="897"/>
      <c r="Z44" s="897"/>
      <c r="AA44" s="897"/>
      <c r="AB44" s="897"/>
      <c r="AC44" s="897"/>
      <c r="AD44" s="897"/>
      <c r="AE44" s="121"/>
      <c r="AH44" s="121"/>
    </row>
    <row r="45" spans="1:44">
      <c r="H45" s="121"/>
      <c r="N45" s="121"/>
      <c r="S45" s="121"/>
      <c r="T45" s="121"/>
      <c r="U45" s="121"/>
      <c r="W45" s="121"/>
      <c r="X45" s="121"/>
      <c r="Y45" s="121"/>
      <c r="Z45" s="121"/>
      <c r="AA45" s="121"/>
      <c r="AB45" s="121"/>
      <c r="AC45" s="121"/>
      <c r="AD45" s="121"/>
    </row>
    <row r="46" spans="1:44" ht="13.2">
      <c r="A46" s="149" t="s">
        <v>770</v>
      </c>
      <c r="B46" s="1034" t="s">
        <v>901</v>
      </c>
      <c r="C46" s="1034"/>
      <c r="D46" s="1034"/>
      <c r="E46" s="1034"/>
      <c r="F46" s="1034"/>
      <c r="G46" s="1034"/>
      <c r="H46" s="1034"/>
      <c r="I46" s="1034"/>
      <c r="J46" s="1034"/>
      <c r="K46" s="1034"/>
      <c r="L46" s="1034"/>
      <c r="M46" s="1034"/>
      <c r="N46" s="1034"/>
      <c r="O46" s="1034"/>
      <c r="P46" s="1034"/>
      <c r="Q46" s="1034"/>
      <c r="R46" s="1034"/>
      <c r="S46" s="1034"/>
      <c r="T46" s="1034"/>
      <c r="U46" s="1034"/>
      <c r="V46" s="150"/>
      <c r="W46" s="150"/>
      <c r="X46" s="150"/>
      <c r="Y46" s="150"/>
      <c r="Z46" s="150"/>
      <c r="AA46" s="150"/>
      <c r="AB46" s="150"/>
      <c r="AC46" s="150"/>
      <c r="AD46" s="150"/>
      <c r="AE46" s="124"/>
      <c r="AH46" s="128"/>
      <c r="AI46" s="128"/>
      <c r="AJ46" s="128"/>
      <c r="AK46" s="128"/>
      <c r="AL46" s="128"/>
      <c r="AM46" s="124"/>
      <c r="AN46" s="124"/>
      <c r="AO46" s="124"/>
      <c r="AP46" s="124"/>
      <c r="AQ46" s="124"/>
      <c r="AR46" s="124"/>
    </row>
    <row r="47" spans="1:44" ht="26.25" customHeight="1">
      <c r="A47" s="149" t="s">
        <v>772</v>
      </c>
      <c r="B47" s="1033" t="s">
        <v>740</v>
      </c>
      <c r="C47" s="1033"/>
      <c r="D47" s="1033"/>
      <c r="E47" s="1033"/>
      <c r="F47" s="1033"/>
      <c r="G47" s="1033"/>
      <c r="H47" s="1033"/>
      <c r="I47" s="1033"/>
      <c r="J47" s="1033"/>
      <c r="K47" s="1033"/>
      <c r="L47" s="1033"/>
      <c r="M47" s="1033"/>
      <c r="N47" s="1033"/>
      <c r="O47" s="1033"/>
      <c r="P47" s="1033"/>
      <c r="Q47" s="1033"/>
      <c r="R47" s="1033"/>
      <c r="S47" s="1033"/>
      <c r="T47" s="1033"/>
      <c r="U47" s="1033"/>
      <c r="V47" s="603"/>
      <c r="W47" s="603"/>
      <c r="X47" s="603"/>
      <c r="Y47" s="603"/>
      <c r="Z47" s="603"/>
      <c r="AA47" s="603"/>
      <c r="AB47" s="603"/>
      <c r="AC47" s="603"/>
      <c r="AD47" s="603"/>
      <c r="AE47" s="603"/>
      <c r="AF47" s="603"/>
      <c r="AG47" s="603"/>
      <c r="AH47" s="603"/>
      <c r="AI47" s="603"/>
      <c r="AJ47" s="603"/>
      <c r="AK47" s="603"/>
      <c r="AL47" s="603"/>
      <c r="AM47" s="603"/>
      <c r="AN47" s="603"/>
      <c r="AO47" s="603"/>
      <c r="AP47" s="603"/>
      <c r="AQ47" s="124"/>
      <c r="AR47" s="124"/>
    </row>
    <row r="48" spans="1:44" ht="26.25" customHeight="1">
      <c r="A48" s="149" t="s">
        <v>798</v>
      </c>
      <c r="B48" s="980" t="s">
        <v>517</v>
      </c>
      <c r="C48" s="980"/>
      <c r="D48" s="980"/>
      <c r="E48" s="980"/>
      <c r="F48" s="980"/>
      <c r="G48" s="980"/>
      <c r="H48" s="980"/>
      <c r="I48" s="980"/>
      <c r="J48" s="980"/>
      <c r="K48" s="980"/>
      <c r="L48" s="980"/>
      <c r="M48" s="980"/>
      <c r="N48" s="980"/>
      <c r="O48" s="980"/>
      <c r="P48" s="980"/>
      <c r="Q48" s="980"/>
      <c r="R48" s="980"/>
      <c r="S48" s="980"/>
      <c r="T48" s="980"/>
      <c r="U48" s="980"/>
      <c r="V48" s="913"/>
      <c r="W48" s="913"/>
      <c r="X48" s="913"/>
      <c r="Y48" s="913"/>
      <c r="Z48" s="913"/>
      <c r="AA48" s="913"/>
      <c r="AB48" s="913"/>
      <c r="AC48" s="913"/>
      <c r="AD48" s="913"/>
      <c r="AE48" s="604"/>
      <c r="AH48" s="604"/>
      <c r="AI48" s="604"/>
      <c r="AJ48" s="604"/>
      <c r="AK48" s="604"/>
      <c r="AL48" s="604"/>
      <c r="AM48" s="604"/>
      <c r="AN48" s="604"/>
      <c r="AO48" s="604"/>
      <c r="AP48" s="604"/>
      <c r="AQ48" s="604"/>
      <c r="AR48" s="604"/>
    </row>
  </sheetData>
  <mergeCells count="7">
    <mergeCell ref="A2:V2"/>
    <mergeCell ref="A1:V1"/>
    <mergeCell ref="D5:U5"/>
    <mergeCell ref="B48:U48"/>
    <mergeCell ref="B47:U47"/>
    <mergeCell ref="B46:U46"/>
    <mergeCell ref="A3:V3"/>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A46:A48" numberStoredAsText="1"/>
  </ignoredErrors>
</worksheet>
</file>

<file path=xl/worksheets/sheet34.xml><?xml version="1.0" encoding="utf-8"?>
<worksheet xmlns="http://schemas.openxmlformats.org/spreadsheetml/2006/main" xmlns:r="http://schemas.openxmlformats.org/officeDocument/2006/relationships">
  <dimension ref="A1:AC51"/>
  <sheetViews>
    <sheetView zoomScale="75" zoomScaleNormal="75" workbookViewId="0">
      <selection sqref="A1:Z1"/>
    </sheetView>
  </sheetViews>
  <sheetFormatPr defaultColWidth="8.44140625" defaultRowHeight="10.199999999999999"/>
  <cols>
    <col min="1" max="1" width="3.33203125" style="606" customWidth="1"/>
    <col min="2" max="2" width="2.44140625" style="606" customWidth="1"/>
    <col min="3" max="3" width="44.44140625" style="609" customWidth="1"/>
    <col min="4" max="4" width="2.44140625" style="606" customWidth="1"/>
    <col min="5" max="5" width="8.44140625" style="606" customWidth="1"/>
    <col min="6" max="7" width="2.44140625" style="606" customWidth="1"/>
    <col min="8" max="8" width="8.44140625" style="606" customWidth="1"/>
    <col min="9" max="10" width="2.44140625" style="606" customWidth="1"/>
    <col min="11" max="11" width="8.44140625" style="606" customWidth="1"/>
    <col min="12" max="13" width="2.44140625" style="606" customWidth="1"/>
    <col min="14" max="14" width="8.44140625" style="606" customWidth="1"/>
    <col min="15" max="16" width="2.44140625" style="606" customWidth="1"/>
    <col min="17" max="17" width="8.44140625" style="606" customWidth="1"/>
    <col min="18" max="19" width="2.44140625" style="606" customWidth="1"/>
    <col min="20" max="20" width="8.44140625" style="606"/>
    <col min="21" max="22" width="2.44140625" style="606" customWidth="1"/>
    <col min="23" max="23" width="8.44140625" style="606" customWidth="1"/>
    <col min="24" max="25" width="2.44140625" style="606" customWidth="1"/>
    <col min="26" max="28" width="8.44140625" style="606" customWidth="1"/>
    <col min="29" max="16384" width="8.44140625" style="606"/>
  </cols>
  <sheetData>
    <row r="1" spans="1:29" s="605" customFormat="1" ht="13.2">
      <c r="A1" s="1035" t="s">
        <v>96</v>
      </c>
      <c r="B1" s="1035"/>
      <c r="C1" s="1035"/>
      <c r="D1" s="1035"/>
      <c r="E1" s="1035"/>
      <c r="F1" s="1035"/>
      <c r="G1" s="1035"/>
      <c r="H1" s="1035"/>
      <c r="I1" s="1035"/>
      <c r="J1" s="1035"/>
      <c r="K1" s="1035"/>
      <c r="L1" s="1035"/>
      <c r="M1" s="1035"/>
      <c r="N1" s="1035"/>
      <c r="O1" s="1035"/>
      <c r="P1" s="1035"/>
      <c r="Q1" s="1035"/>
      <c r="R1" s="1035"/>
      <c r="S1" s="1035"/>
      <c r="T1" s="1035"/>
      <c r="U1" s="1035"/>
      <c r="V1" s="1035"/>
      <c r="W1" s="1035"/>
      <c r="X1" s="1035"/>
      <c r="Y1" s="1035"/>
      <c r="Z1" s="1035"/>
    </row>
    <row r="2" spans="1:29" s="605" customFormat="1" ht="13.2">
      <c r="A2" s="1035" t="s">
        <v>518</v>
      </c>
      <c r="B2" s="1035"/>
      <c r="C2" s="1035"/>
      <c r="D2" s="1035"/>
      <c r="E2" s="1035"/>
      <c r="F2" s="1035"/>
      <c r="G2" s="1035"/>
      <c r="H2" s="1035"/>
      <c r="I2" s="1035"/>
      <c r="J2" s="1035"/>
      <c r="K2" s="1035"/>
      <c r="L2" s="1035"/>
      <c r="M2" s="1035"/>
      <c r="N2" s="1035"/>
      <c r="O2" s="1035"/>
      <c r="P2" s="1035"/>
      <c r="Q2" s="1035"/>
      <c r="R2" s="1035"/>
      <c r="S2" s="1035"/>
      <c r="T2" s="1035"/>
      <c r="U2" s="1035"/>
      <c r="V2" s="1035"/>
      <c r="W2" s="1035"/>
      <c r="X2" s="1035"/>
      <c r="Y2" s="1035"/>
      <c r="Z2" s="1035"/>
    </row>
    <row r="3" spans="1:29">
      <c r="A3" s="1036" t="s">
        <v>800</v>
      </c>
      <c r="B3" s="1036"/>
      <c r="C3" s="1036"/>
      <c r="D3" s="1036"/>
      <c r="E3" s="1036"/>
      <c r="F3" s="1036"/>
      <c r="G3" s="1036"/>
      <c r="H3" s="1036"/>
      <c r="I3" s="1036"/>
      <c r="J3" s="1036"/>
      <c r="K3" s="1036"/>
      <c r="L3" s="1036"/>
      <c r="M3" s="1036"/>
      <c r="N3" s="1036"/>
      <c r="O3" s="1036"/>
      <c r="P3" s="1036"/>
      <c r="Q3" s="1036"/>
      <c r="R3" s="1036"/>
      <c r="S3" s="1036"/>
      <c r="T3" s="1036"/>
      <c r="U3" s="1036"/>
      <c r="V3" s="1036"/>
      <c r="W3" s="1036"/>
      <c r="X3" s="1036"/>
      <c r="Y3" s="1036"/>
      <c r="Z3" s="1036"/>
    </row>
    <row r="4" spans="1:29">
      <c r="A4" s="607"/>
      <c r="B4" s="607"/>
      <c r="C4" s="608"/>
      <c r="D4" s="607"/>
      <c r="E4" s="607"/>
      <c r="F4" s="607"/>
      <c r="G4" s="607"/>
      <c r="H4" s="607"/>
      <c r="I4" s="607"/>
      <c r="J4" s="607"/>
      <c r="K4" s="607"/>
      <c r="L4" s="607"/>
      <c r="M4" s="607"/>
      <c r="N4" s="607"/>
      <c r="O4" s="607"/>
      <c r="P4" s="607"/>
      <c r="Q4" s="607"/>
    </row>
    <row r="5" spans="1:29" ht="11.4">
      <c r="A5" s="607"/>
      <c r="B5" s="607"/>
      <c r="C5" s="608"/>
      <c r="D5" s="1037" t="s">
        <v>99</v>
      </c>
      <c r="E5" s="1037"/>
      <c r="F5" s="1037"/>
      <c r="G5" s="1037"/>
      <c r="H5" s="1037"/>
      <c r="I5" s="1037"/>
      <c r="J5" s="1037"/>
      <c r="K5" s="1037"/>
      <c r="L5" s="1037"/>
      <c r="M5" s="1037"/>
      <c r="N5" s="1037"/>
      <c r="O5" s="1037"/>
      <c r="P5" s="1037"/>
      <c r="Q5" s="1037"/>
      <c r="R5" s="1037"/>
      <c r="S5" s="1037"/>
      <c r="T5" s="1037"/>
      <c r="W5" s="1038" t="s">
        <v>100</v>
      </c>
      <c r="X5" s="1038"/>
      <c r="Y5" s="1038"/>
      <c r="Z5" s="1038"/>
    </row>
    <row r="6" spans="1:29" ht="10.8" thickBot="1">
      <c r="A6" s="607"/>
      <c r="B6" s="607"/>
      <c r="C6" s="608"/>
      <c r="D6" s="607"/>
      <c r="E6" s="607"/>
      <c r="F6" s="607"/>
      <c r="G6" s="607"/>
      <c r="H6" s="607"/>
      <c r="I6" s="607"/>
      <c r="J6" s="607"/>
      <c r="K6" s="607"/>
      <c r="L6" s="607"/>
      <c r="M6" s="607"/>
      <c r="N6" s="607"/>
      <c r="O6" s="607"/>
      <c r="P6" s="608"/>
      <c r="Q6" s="608"/>
      <c r="R6" s="609"/>
    </row>
    <row r="7" spans="1:29" ht="11.4">
      <c r="A7" s="607"/>
      <c r="B7" s="607"/>
      <c r="C7" s="608"/>
      <c r="D7" s="610"/>
      <c r="E7" s="611" t="s">
        <v>104</v>
      </c>
      <c r="F7" s="612"/>
      <c r="G7" s="613"/>
      <c r="H7" s="613" t="s">
        <v>105</v>
      </c>
      <c r="I7" s="613"/>
      <c r="J7" s="613"/>
      <c r="K7" s="613" t="s">
        <v>102</v>
      </c>
      <c r="L7" s="613"/>
      <c r="M7" s="613"/>
      <c r="N7" s="613" t="s">
        <v>103</v>
      </c>
      <c r="O7" s="613"/>
      <c r="P7" s="610"/>
      <c r="Q7" s="611" t="s">
        <v>104</v>
      </c>
      <c r="R7" s="612"/>
      <c r="S7" s="613"/>
      <c r="T7" s="613" t="s">
        <v>105</v>
      </c>
      <c r="U7" s="614"/>
      <c r="V7" s="615"/>
      <c r="W7" s="615" t="s">
        <v>104</v>
      </c>
      <c r="X7" s="615"/>
      <c r="Y7" s="615"/>
      <c r="Z7" s="615" t="s">
        <v>104</v>
      </c>
    </row>
    <row r="8" spans="1:29" ht="12">
      <c r="A8" s="616"/>
      <c r="B8" s="617"/>
      <c r="C8" s="618"/>
      <c r="D8" s="619"/>
      <c r="E8" s="620">
        <v>2012</v>
      </c>
      <c r="F8" s="621"/>
      <c r="G8" s="622"/>
      <c r="H8" s="620">
        <v>2012</v>
      </c>
      <c r="I8" s="623"/>
      <c r="J8" s="622"/>
      <c r="K8" s="620">
        <v>2011</v>
      </c>
      <c r="L8" s="623"/>
      <c r="M8" s="622"/>
      <c r="N8" s="620">
        <v>2011</v>
      </c>
      <c r="O8" s="623"/>
      <c r="P8" s="619"/>
      <c r="Q8" s="620">
        <v>2011</v>
      </c>
      <c r="R8" s="621"/>
      <c r="S8" s="622"/>
      <c r="T8" s="620">
        <v>2011</v>
      </c>
      <c r="U8" s="624"/>
      <c r="V8" s="625"/>
      <c r="W8" s="620">
        <v>2012</v>
      </c>
      <c r="X8" s="614"/>
      <c r="Y8" s="625"/>
      <c r="Z8" s="626">
        <v>2011</v>
      </c>
    </row>
    <row r="9" spans="1:29" ht="12">
      <c r="A9" s="616" t="s">
        <v>519</v>
      </c>
      <c r="B9" s="617"/>
      <c r="C9" s="618"/>
      <c r="D9" s="619"/>
      <c r="E9" s="613"/>
      <c r="F9" s="621"/>
      <c r="G9" s="622"/>
      <c r="H9" s="613"/>
      <c r="I9" s="623"/>
      <c r="J9" s="622"/>
      <c r="K9" s="613"/>
      <c r="L9" s="623"/>
      <c r="M9" s="622"/>
      <c r="N9" s="613"/>
      <c r="O9" s="623"/>
      <c r="P9" s="619"/>
      <c r="Q9" s="613"/>
      <c r="R9" s="621"/>
      <c r="S9" s="622"/>
      <c r="T9" s="613"/>
      <c r="U9" s="624"/>
      <c r="V9" s="625"/>
      <c r="W9" s="613"/>
      <c r="X9" s="614"/>
      <c r="Y9" s="625"/>
      <c r="Z9" s="614"/>
    </row>
    <row r="10" spans="1:29" ht="12">
      <c r="A10" s="627" t="s">
        <v>520</v>
      </c>
      <c r="B10" s="617"/>
      <c r="C10" s="618"/>
      <c r="D10" s="619"/>
      <c r="E10" s="613"/>
      <c r="F10" s="621"/>
      <c r="G10" s="622"/>
      <c r="H10" s="613"/>
      <c r="I10" s="623"/>
      <c r="J10" s="622"/>
      <c r="K10" s="613"/>
      <c r="L10" s="623"/>
      <c r="M10" s="622"/>
      <c r="N10" s="613"/>
      <c r="O10" s="623"/>
      <c r="P10" s="619"/>
      <c r="Q10" s="613"/>
      <c r="R10" s="621"/>
      <c r="S10" s="622"/>
      <c r="T10" s="613"/>
      <c r="U10" s="624"/>
      <c r="V10" s="625"/>
      <c r="W10" s="613"/>
      <c r="X10" s="614"/>
      <c r="Y10" s="625"/>
      <c r="Z10" s="614"/>
    </row>
    <row r="11" spans="1:29" ht="6.75" customHeight="1">
      <c r="A11" s="616"/>
      <c r="B11" s="607"/>
      <c r="C11" s="628"/>
      <c r="D11" s="629"/>
      <c r="E11" s="630"/>
      <c r="F11" s="631"/>
      <c r="G11" s="630"/>
      <c r="H11" s="630"/>
      <c r="I11" s="630"/>
      <c r="J11" s="630"/>
      <c r="K11" s="630"/>
      <c r="L11" s="630"/>
      <c r="M11" s="630"/>
      <c r="N11" s="630"/>
      <c r="O11" s="630"/>
      <c r="P11" s="629"/>
      <c r="Q11" s="630"/>
      <c r="R11" s="631"/>
      <c r="S11" s="630"/>
      <c r="T11" s="630"/>
      <c r="U11" s="630"/>
      <c r="V11" s="632"/>
      <c r="W11" s="632"/>
      <c r="X11" s="632"/>
      <c r="Y11" s="632"/>
      <c r="Z11" s="632"/>
    </row>
    <row r="12" spans="1:29" s="634" customFormat="1" ht="12">
      <c r="B12" s="627" t="s">
        <v>521</v>
      </c>
      <c r="C12" s="635"/>
      <c r="D12" s="636"/>
      <c r="E12" s="635"/>
      <c r="F12" s="637"/>
      <c r="G12" s="635"/>
      <c r="H12" s="635"/>
      <c r="I12" s="635"/>
      <c r="J12" s="635"/>
      <c r="K12" s="635"/>
      <c r="L12" s="635"/>
      <c r="M12" s="635"/>
      <c r="N12" s="635"/>
      <c r="O12" s="635"/>
      <c r="P12" s="636"/>
      <c r="Q12" s="635"/>
      <c r="R12" s="637"/>
      <c r="S12" s="635"/>
      <c r="T12" s="635"/>
      <c r="U12" s="635"/>
      <c r="V12" s="638"/>
      <c r="W12" s="638"/>
      <c r="X12" s="638"/>
      <c r="Y12" s="638"/>
      <c r="Z12" s="638"/>
      <c r="AA12" s="639"/>
      <c r="AB12" s="639"/>
      <c r="AC12" s="639"/>
    </row>
    <row r="13" spans="1:29" s="634" customFormat="1" ht="11.4">
      <c r="C13" s="640" t="s">
        <v>522</v>
      </c>
      <c r="D13" s="641" t="s">
        <v>108</v>
      </c>
      <c r="E13" s="635">
        <v>117</v>
      </c>
      <c r="F13" s="637"/>
      <c r="G13" s="642" t="s">
        <v>108</v>
      </c>
      <c r="H13" s="638">
        <v>113</v>
      </c>
      <c r="I13" s="635"/>
      <c r="J13" s="642" t="s">
        <v>108</v>
      </c>
      <c r="K13" s="638">
        <v>113</v>
      </c>
      <c r="L13" s="635"/>
      <c r="M13" s="642" t="s">
        <v>108</v>
      </c>
      <c r="N13" s="638">
        <v>111</v>
      </c>
      <c r="O13" s="635"/>
      <c r="P13" s="641" t="s">
        <v>108</v>
      </c>
      <c r="Q13" s="635">
        <v>109</v>
      </c>
      <c r="R13" s="637"/>
      <c r="S13" s="642" t="s">
        <v>108</v>
      </c>
      <c r="T13" s="638">
        <v>108</v>
      </c>
      <c r="U13" s="635"/>
      <c r="V13" s="643" t="s">
        <v>108</v>
      </c>
      <c r="W13" s="638">
        <v>230</v>
      </c>
      <c r="X13" s="638"/>
      <c r="Y13" s="643" t="s">
        <v>108</v>
      </c>
      <c r="Z13" s="638">
        <v>217</v>
      </c>
      <c r="AA13" s="639"/>
      <c r="AB13" s="639"/>
      <c r="AC13" s="639"/>
    </row>
    <row r="14" spans="1:29" s="634" customFormat="1" ht="11.4">
      <c r="C14" s="640" t="s">
        <v>523</v>
      </c>
      <c r="D14" s="636"/>
      <c r="E14" s="635">
        <v>160</v>
      </c>
      <c r="F14" s="637"/>
      <c r="G14" s="635"/>
      <c r="H14" s="638">
        <v>162</v>
      </c>
      <c r="I14" s="635"/>
      <c r="J14" s="635"/>
      <c r="K14" s="638">
        <v>160</v>
      </c>
      <c r="L14" s="635"/>
      <c r="M14" s="635"/>
      <c r="N14" s="638">
        <v>160</v>
      </c>
      <c r="O14" s="635"/>
      <c r="P14" s="636"/>
      <c r="Q14" s="635">
        <v>162</v>
      </c>
      <c r="R14" s="637"/>
      <c r="S14" s="635"/>
      <c r="T14" s="638">
        <v>161</v>
      </c>
      <c r="U14" s="635"/>
      <c r="V14" s="638"/>
      <c r="W14" s="638">
        <v>322</v>
      </c>
      <c r="X14" s="638"/>
      <c r="Y14" s="638"/>
      <c r="Z14" s="638">
        <v>323</v>
      </c>
      <c r="AA14" s="639"/>
      <c r="AB14" s="639"/>
      <c r="AC14" s="639"/>
    </row>
    <row r="15" spans="1:29" s="634" customFormat="1" ht="11.4">
      <c r="C15" s="640" t="s">
        <v>524</v>
      </c>
      <c r="D15" s="636"/>
      <c r="E15" s="644">
        <v>263</v>
      </c>
      <c r="F15" s="637"/>
      <c r="G15" s="635"/>
      <c r="H15" s="644">
        <v>260</v>
      </c>
      <c r="I15" s="635"/>
      <c r="J15" s="635"/>
      <c r="K15" s="644">
        <v>256</v>
      </c>
      <c r="L15" s="635"/>
      <c r="M15" s="635"/>
      <c r="N15" s="644">
        <v>258</v>
      </c>
      <c r="O15" s="635"/>
      <c r="P15" s="636"/>
      <c r="Q15" s="644">
        <v>253</v>
      </c>
      <c r="R15" s="637"/>
      <c r="S15" s="635"/>
      <c r="T15" s="644">
        <v>248</v>
      </c>
      <c r="U15" s="635"/>
      <c r="V15" s="638"/>
      <c r="W15" s="644">
        <v>523</v>
      </c>
      <c r="X15" s="635"/>
      <c r="Y15" s="638"/>
      <c r="Z15" s="644">
        <v>501</v>
      </c>
      <c r="AA15" s="639"/>
      <c r="AB15" s="639"/>
      <c r="AC15" s="639"/>
    </row>
    <row r="16" spans="1:29" s="634" customFormat="1" ht="11.4">
      <c r="B16" s="645"/>
      <c r="C16" s="635"/>
      <c r="D16" s="646"/>
      <c r="E16" s="647">
        <v>540</v>
      </c>
      <c r="F16" s="648"/>
      <c r="G16" s="649"/>
      <c r="H16" s="647">
        <v>535</v>
      </c>
      <c r="I16" s="635"/>
      <c r="J16" s="649"/>
      <c r="K16" s="647">
        <v>529</v>
      </c>
      <c r="L16" s="635"/>
      <c r="M16" s="649"/>
      <c r="N16" s="647">
        <v>529</v>
      </c>
      <c r="O16" s="635"/>
      <c r="P16" s="646"/>
      <c r="Q16" s="647">
        <v>524</v>
      </c>
      <c r="R16" s="648"/>
      <c r="S16" s="649"/>
      <c r="T16" s="647">
        <v>517</v>
      </c>
      <c r="U16" s="635"/>
      <c r="V16" s="633"/>
      <c r="W16" s="647">
        <v>1075</v>
      </c>
      <c r="X16" s="647"/>
      <c r="Y16" s="633"/>
      <c r="Z16" s="647">
        <v>1041</v>
      </c>
      <c r="AA16" s="639"/>
      <c r="AB16" s="639"/>
      <c r="AC16" s="639"/>
    </row>
    <row r="17" spans="1:29" s="634" customFormat="1" ht="12">
      <c r="B17" s="627" t="s">
        <v>525</v>
      </c>
      <c r="C17" s="649"/>
      <c r="D17" s="646"/>
      <c r="E17" s="653"/>
      <c r="F17" s="651"/>
      <c r="G17" s="649"/>
      <c r="H17" s="650"/>
      <c r="I17" s="635"/>
      <c r="J17" s="649"/>
      <c r="K17" s="650"/>
      <c r="L17" s="635"/>
      <c r="M17" s="649"/>
      <c r="N17" s="650"/>
      <c r="O17" s="635"/>
      <c r="P17" s="646"/>
      <c r="Q17" s="653"/>
      <c r="R17" s="651"/>
      <c r="S17" s="649"/>
      <c r="T17" s="650"/>
      <c r="U17" s="635"/>
      <c r="V17" s="633"/>
      <c r="W17" s="650"/>
      <c r="X17" s="650"/>
      <c r="Y17" s="633"/>
      <c r="Z17" s="650"/>
      <c r="AA17" s="639"/>
      <c r="AB17" s="639"/>
      <c r="AC17" s="639"/>
    </row>
    <row r="18" spans="1:29" s="634" customFormat="1" ht="12">
      <c r="B18" s="616"/>
      <c r="C18" s="640" t="s">
        <v>526</v>
      </c>
      <c r="D18" s="646"/>
      <c r="E18" s="653">
        <v>14</v>
      </c>
      <c r="F18" s="651"/>
      <c r="G18" s="649"/>
      <c r="H18" s="650">
        <v>12</v>
      </c>
      <c r="I18" s="635"/>
      <c r="J18" s="649"/>
      <c r="K18" s="650">
        <v>32</v>
      </c>
      <c r="L18" s="635"/>
      <c r="M18" s="649"/>
      <c r="N18" s="650">
        <v>16</v>
      </c>
      <c r="O18" s="635"/>
      <c r="P18" s="646"/>
      <c r="Q18" s="653">
        <v>15</v>
      </c>
      <c r="R18" s="651"/>
      <c r="S18" s="649"/>
      <c r="T18" s="650">
        <v>43</v>
      </c>
      <c r="U18" s="635"/>
      <c r="V18" s="633"/>
      <c r="W18" s="638">
        <v>26</v>
      </c>
      <c r="X18" s="650"/>
      <c r="Y18" s="633"/>
      <c r="Z18" s="650">
        <v>58</v>
      </c>
      <c r="AA18" s="639"/>
      <c r="AB18" s="639"/>
      <c r="AC18" s="639"/>
    </row>
    <row r="19" spans="1:29" s="634" customFormat="1" ht="12">
      <c r="B19" s="616"/>
      <c r="C19" s="640" t="s">
        <v>527</v>
      </c>
      <c r="D19" s="636"/>
      <c r="E19" s="652">
        <v>5</v>
      </c>
      <c r="F19" s="637"/>
      <c r="G19" s="635"/>
      <c r="H19" s="652">
        <v>6</v>
      </c>
      <c r="I19" s="635"/>
      <c r="J19" s="635"/>
      <c r="K19" s="652">
        <v>9</v>
      </c>
      <c r="L19" s="635"/>
      <c r="M19" s="635"/>
      <c r="N19" s="652">
        <v>7</v>
      </c>
      <c r="O19" s="635"/>
      <c r="P19" s="636"/>
      <c r="Q19" s="652">
        <v>8</v>
      </c>
      <c r="R19" s="637"/>
      <c r="S19" s="635"/>
      <c r="T19" s="652">
        <v>9</v>
      </c>
      <c r="U19" s="635"/>
      <c r="V19" s="638"/>
      <c r="W19" s="638">
        <v>11</v>
      </c>
      <c r="X19" s="650"/>
      <c r="Y19" s="638"/>
      <c r="Z19" s="652">
        <v>17</v>
      </c>
      <c r="AA19" s="639"/>
      <c r="AB19" s="639"/>
      <c r="AC19" s="639"/>
    </row>
    <row r="20" spans="1:29" s="634" customFormat="1" ht="12">
      <c r="B20" s="616"/>
      <c r="C20" s="640"/>
      <c r="D20" s="636"/>
      <c r="E20" s="654">
        <v>19</v>
      </c>
      <c r="F20" s="637"/>
      <c r="G20" s="635"/>
      <c r="H20" s="654">
        <v>18</v>
      </c>
      <c r="I20" s="635"/>
      <c r="J20" s="635"/>
      <c r="K20" s="654">
        <v>41</v>
      </c>
      <c r="L20" s="635"/>
      <c r="M20" s="635"/>
      <c r="N20" s="654">
        <v>23</v>
      </c>
      <c r="O20" s="635"/>
      <c r="P20" s="636"/>
      <c r="Q20" s="654">
        <v>23</v>
      </c>
      <c r="R20" s="637"/>
      <c r="S20" s="635"/>
      <c r="T20" s="654">
        <v>52</v>
      </c>
      <c r="U20" s="635"/>
      <c r="V20" s="638"/>
      <c r="W20" s="654">
        <v>37</v>
      </c>
      <c r="X20" s="650"/>
      <c r="Y20" s="638"/>
      <c r="Z20" s="654">
        <v>75</v>
      </c>
      <c r="AA20" s="639"/>
      <c r="AB20" s="639"/>
      <c r="AC20" s="639"/>
    </row>
    <row r="21" spans="1:29" s="634" customFormat="1" ht="12" thickBot="1">
      <c r="B21" s="893" t="s">
        <v>1044</v>
      </c>
      <c r="C21" s="649"/>
      <c r="D21" s="641" t="s">
        <v>108</v>
      </c>
      <c r="E21" s="655">
        <v>559</v>
      </c>
      <c r="F21" s="651"/>
      <c r="G21" s="642" t="s">
        <v>108</v>
      </c>
      <c r="H21" s="655">
        <v>553</v>
      </c>
      <c r="I21" s="635"/>
      <c r="J21" s="642" t="s">
        <v>108</v>
      </c>
      <c r="K21" s="655">
        <v>570</v>
      </c>
      <c r="L21" s="635"/>
      <c r="M21" s="642" t="s">
        <v>108</v>
      </c>
      <c r="N21" s="655">
        <v>552</v>
      </c>
      <c r="O21" s="635"/>
      <c r="P21" s="641" t="s">
        <v>108</v>
      </c>
      <c r="Q21" s="655">
        <v>547</v>
      </c>
      <c r="R21" s="651"/>
      <c r="S21" s="642" t="s">
        <v>108</v>
      </c>
      <c r="T21" s="655">
        <v>569</v>
      </c>
      <c r="U21" s="635"/>
      <c r="V21" s="643" t="s">
        <v>108</v>
      </c>
      <c r="W21" s="655">
        <v>1112</v>
      </c>
      <c r="X21" s="653"/>
      <c r="Y21" s="643" t="s">
        <v>108</v>
      </c>
      <c r="Z21" s="655">
        <v>1116</v>
      </c>
      <c r="AA21" s="639"/>
      <c r="AB21" s="639"/>
      <c r="AC21" s="639"/>
    </row>
    <row r="22" spans="1:29" s="634" customFormat="1" ht="12" thickTop="1">
      <c r="C22" s="635"/>
      <c r="D22" s="636"/>
      <c r="E22" s="635"/>
      <c r="F22" s="637"/>
      <c r="G22" s="635"/>
      <c r="H22" s="638"/>
      <c r="I22" s="635"/>
      <c r="J22" s="635"/>
      <c r="K22" s="638"/>
      <c r="L22" s="635"/>
      <c r="M22" s="635"/>
      <c r="N22" s="638"/>
      <c r="O22" s="635"/>
      <c r="P22" s="636"/>
      <c r="Q22" s="635"/>
      <c r="R22" s="637"/>
      <c r="S22" s="635"/>
      <c r="T22" s="638"/>
      <c r="U22" s="635"/>
      <c r="V22" s="638"/>
      <c r="W22" s="638"/>
      <c r="X22" s="638"/>
      <c r="Y22" s="638"/>
      <c r="Z22" s="638"/>
      <c r="AA22" s="639"/>
      <c r="AB22" s="639"/>
      <c r="AC22" s="639"/>
    </row>
    <row r="23" spans="1:29" s="634" customFormat="1" ht="12">
      <c r="A23" s="616" t="s">
        <v>519</v>
      </c>
      <c r="C23" s="635"/>
      <c r="D23" s="636"/>
      <c r="E23" s="635"/>
      <c r="F23" s="637"/>
      <c r="G23" s="635"/>
      <c r="H23" s="638"/>
      <c r="I23" s="635"/>
      <c r="J23" s="635"/>
      <c r="K23" s="638"/>
      <c r="L23" s="635"/>
      <c r="M23" s="635"/>
      <c r="N23" s="638"/>
      <c r="O23" s="635"/>
      <c r="P23" s="636"/>
      <c r="Q23" s="635"/>
      <c r="R23" s="637"/>
      <c r="S23" s="635"/>
      <c r="T23" s="638"/>
      <c r="U23" s="635"/>
      <c r="V23" s="638"/>
      <c r="W23" s="638"/>
      <c r="X23" s="638"/>
      <c r="Y23" s="638"/>
      <c r="Z23" s="638"/>
      <c r="AA23" s="639"/>
      <c r="AB23" s="639"/>
      <c r="AC23" s="639"/>
    </row>
    <row r="24" spans="1:29" s="634" customFormat="1" ht="12">
      <c r="A24" s="627" t="s">
        <v>528</v>
      </c>
      <c r="B24" s="656"/>
      <c r="C24" s="649"/>
      <c r="D24" s="641"/>
      <c r="E24" s="653"/>
      <c r="F24" s="651"/>
      <c r="G24" s="642"/>
      <c r="H24" s="653"/>
      <c r="I24" s="635"/>
      <c r="J24" s="642"/>
      <c r="K24" s="653"/>
      <c r="L24" s="635"/>
      <c r="M24" s="642"/>
      <c r="N24" s="653"/>
      <c r="O24" s="635"/>
      <c r="P24" s="641"/>
      <c r="Q24" s="653"/>
      <c r="R24" s="651"/>
      <c r="S24" s="642"/>
      <c r="T24" s="653"/>
      <c r="U24" s="635"/>
      <c r="V24" s="643"/>
      <c r="W24" s="653"/>
      <c r="X24" s="653"/>
      <c r="Y24" s="643"/>
      <c r="Z24" s="653"/>
      <c r="AA24" s="639"/>
      <c r="AB24" s="639"/>
      <c r="AC24" s="639"/>
    </row>
    <row r="25" spans="1:29" s="634" customFormat="1" ht="7.5" customHeight="1">
      <c r="B25" s="616"/>
      <c r="C25" s="649"/>
      <c r="D25" s="641"/>
      <c r="E25" s="653"/>
      <c r="F25" s="651"/>
      <c r="G25" s="642"/>
      <c r="H25" s="653"/>
      <c r="I25" s="635"/>
      <c r="J25" s="642"/>
      <c r="K25" s="653"/>
      <c r="L25" s="635"/>
      <c r="M25" s="642"/>
      <c r="N25" s="653"/>
      <c r="O25" s="635"/>
      <c r="P25" s="641"/>
      <c r="Q25" s="653"/>
      <c r="R25" s="651"/>
      <c r="S25" s="642"/>
      <c r="T25" s="653"/>
      <c r="U25" s="635"/>
      <c r="V25" s="643"/>
      <c r="W25" s="653"/>
      <c r="X25" s="653"/>
      <c r="Y25" s="643"/>
      <c r="Z25" s="653"/>
      <c r="AA25" s="639"/>
      <c r="AB25" s="639"/>
      <c r="AC25" s="639"/>
    </row>
    <row r="26" spans="1:29" s="634" customFormat="1" ht="13.2">
      <c r="B26" s="657" t="s">
        <v>59</v>
      </c>
      <c r="D26" s="641" t="s">
        <v>108</v>
      </c>
      <c r="E26" s="653">
        <v>272</v>
      </c>
      <c r="F26" s="651"/>
      <c r="G26" s="642" t="s">
        <v>108</v>
      </c>
      <c r="H26" s="653">
        <v>266</v>
      </c>
      <c r="I26" s="635"/>
      <c r="J26" s="642" t="s">
        <v>108</v>
      </c>
      <c r="K26" s="653">
        <v>264</v>
      </c>
      <c r="L26" s="635"/>
      <c r="M26" s="642" t="s">
        <v>108</v>
      </c>
      <c r="N26" s="653">
        <v>260</v>
      </c>
      <c r="O26" s="635"/>
      <c r="P26" s="641" t="s">
        <v>108</v>
      </c>
      <c r="Q26" s="653">
        <v>256</v>
      </c>
      <c r="R26" s="651"/>
      <c r="S26" s="642" t="s">
        <v>108</v>
      </c>
      <c r="T26" s="653">
        <v>251</v>
      </c>
      <c r="U26" s="635"/>
      <c r="V26" s="643" t="s">
        <v>108</v>
      </c>
      <c r="W26" s="638">
        <v>538</v>
      </c>
      <c r="X26" s="653"/>
      <c r="Y26" s="643" t="s">
        <v>108</v>
      </c>
      <c r="Z26" s="653">
        <v>507</v>
      </c>
      <c r="AA26" s="639"/>
      <c r="AB26" s="639"/>
      <c r="AC26" s="639"/>
    </row>
    <row r="27" spans="1:29" s="634" customFormat="1" ht="11.4">
      <c r="B27" s="657" t="s">
        <v>529</v>
      </c>
      <c r="D27" s="641"/>
      <c r="E27" s="653">
        <v>170</v>
      </c>
      <c r="F27" s="651"/>
      <c r="G27" s="642"/>
      <c r="H27" s="653">
        <v>170</v>
      </c>
      <c r="I27" s="635"/>
      <c r="J27" s="642"/>
      <c r="K27" s="653">
        <v>171</v>
      </c>
      <c r="L27" s="635"/>
      <c r="M27" s="642"/>
      <c r="N27" s="653">
        <v>171</v>
      </c>
      <c r="O27" s="635"/>
      <c r="P27" s="641"/>
      <c r="Q27" s="653">
        <v>169</v>
      </c>
      <c r="R27" s="651"/>
      <c r="S27" s="642"/>
      <c r="T27" s="653">
        <v>168</v>
      </c>
      <c r="U27" s="635"/>
      <c r="V27" s="643"/>
      <c r="W27" s="638">
        <v>340</v>
      </c>
      <c r="X27" s="653"/>
      <c r="Y27" s="643"/>
      <c r="Z27" s="653">
        <v>337</v>
      </c>
      <c r="AA27" s="639"/>
      <c r="AB27" s="639"/>
      <c r="AC27" s="639"/>
    </row>
    <row r="28" spans="1:29" s="634" customFormat="1" ht="11.4">
      <c r="B28" s="657" t="s">
        <v>278</v>
      </c>
      <c r="D28" s="641"/>
      <c r="E28" s="653">
        <v>117</v>
      </c>
      <c r="F28" s="651"/>
      <c r="G28" s="642"/>
      <c r="H28" s="653">
        <v>117</v>
      </c>
      <c r="I28" s="635"/>
      <c r="J28" s="642"/>
      <c r="K28" s="653">
        <v>135</v>
      </c>
      <c r="L28" s="635"/>
      <c r="M28" s="642"/>
      <c r="N28" s="653">
        <v>121</v>
      </c>
      <c r="O28" s="635"/>
      <c r="P28" s="641"/>
      <c r="Q28" s="653">
        <v>122</v>
      </c>
      <c r="R28" s="651"/>
      <c r="S28" s="642"/>
      <c r="T28" s="653">
        <v>150</v>
      </c>
      <c r="U28" s="635"/>
      <c r="V28" s="643"/>
      <c r="W28" s="638">
        <v>234</v>
      </c>
      <c r="X28" s="653"/>
      <c r="Y28" s="643"/>
      <c r="Z28" s="653">
        <v>272</v>
      </c>
      <c r="AA28" s="639"/>
      <c r="AB28" s="639"/>
      <c r="AC28" s="639"/>
    </row>
    <row r="29" spans="1:29" s="634" customFormat="1" ht="12.6" thickBot="1">
      <c r="B29" s="616"/>
      <c r="C29" s="893" t="s">
        <v>1044</v>
      </c>
      <c r="D29" s="641" t="s">
        <v>108</v>
      </c>
      <c r="E29" s="658">
        <v>559</v>
      </c>
      <c r="F29" s="651"/>
      <c r="G29" s="642" t="s">
        <v>108</v>
      </c>
      <c r="H29" s="658">
        <v>553</v>
      </c>
      <c r="I29" s="635"/>
      <c r="J29" s="642" t="s">
        <v>108</v>
      </c>
      <c r="K29" s="658">
        <v>570</v>
      </c>
      <c r="L29" s="635"/>
      <c r="M29" s="642" t="s">
        <v>108</v>
      </c>
      <c r="N29" s="658">
        <v>552</v>
      </c>
      <c r="O29" s="635"/>
      <c r="P29" s="641" t="s">
        <v>108</v>
      </c>
      <c r="Q29" s="658">
        <v>547</v>
      </c>
      <c r="R29" s="651"/>
      <c r="S29" s="642" t="s">
        <v>108</v>
      </c>
      <c r="T29" s="658">
        <v>569</v>
      </c>
      <c r="U29" s="635"/>
      <c r="V29" s="643" t="s">
        <v>108</v>
      </c>
      <c r="W29" s="658">
        <v>1112</v>
      </c>
      <c r="X29" s="653"/>
      <c r="Y29" s="643" t="s">
        <v>108</v>
      </c>
      <c r="Z29" s="658">
        <v>1116</v>
      </c>
      <c r="AA29" s="639"/>
      <c r="AB29" s="639"/>
      <c r="AC29" s="639"/>
    </row>
    <row r="30" spans="1:29" s="634" customFormat="1" ht="12" thickTop="1">
      <c r="B30" s="606"/>
      <c r="C30" s="609"/>
      <c r="D30" s="646"/>
      <c r="E30" s="649"/>
      <c r="F30" s="651"/>
      <c r="G30" s="635"/>
      <c r="H30" s="635"/>
      <c r="I30" s="635"/>
      <c r="J30" s="635"/>
      <c r="K30" s="635"/>
      <c r="L30" s="635"/>
      <c r="M30" s="635"/>
      <c r="N30" s="635"/>
      <c r="O30" s="635"/>
      <c r="P30" s="646"/>
      <c r="Q30" s="649"/>
      <c r="R30" s="651"/>
      <c r="S30" s="635"/>
      <c r="T30" s="635"/>
      <c r="U30" s="635"/>
      <c r="V30" s="638"/>
      <c r="W30" s="638"/>
      <c r="X30" s="638"/>
      <c r="Y30" s="638"/>
      <c r="Z30" s="638"/>
      <c r="AA30" s="639"/>
      <c r="AB30" s="639"/>
      <c r="AC30" s="639"/>
    </row>
    <row r="31" spans="1:29" s="634" customFormat="1" ht="11.4">
      <c r="B31" s="606"/>
      <c r="C31" s="609"/>
      <c r="D31" s="760"/>
      <c r="E31" s="609"/>
      <c r="F31" s="761"/>
      <c r="G31" s="609"/>
      <c r="H31" s="609"/>
      <c r="I31" s="609"/>
      <c r="J31" s="609"/>
      <c r="K31" s="609"/>
      <c r="L31" s="609"/>
      <c r="M31" s="609"/>
      <c r="N31" s="609"/>
      <c r="O31" s="609"/>
      <c r="P31" s="760"/>
      <c r="Q31" s="609"/>
      <c r="R31" s="761"/>
      <c r="S31" s="609"/>
      <c r="T31" s="609"/>
      <c r="U31" s="659"/>
      <c r="AA31" s="639"/>
      <c r="AB31" s="639"/>
      <c r="AC31" s="639"/>
    </row>
    <row r="32" spans="1:29" s="634" customFormat="1" ht="12">
      <c r="A32" s="770" t="s">
        <v>37</v>
      </c>
      <c r="B32" s="771"/>
      <c r="C32" s="635"/>
      <c r="D32" s="636"/>
      <c r="E32" s="635"/>
      <c r="F32" s="637"/>
      <c r="G32" s="635"/>
      <c r="H32" s="635"/>
      <c r="I32" s="635"/>
      <c r="J32" s="635"/>
      <c r="K32" s="635"/>
      <c r="L32" s="635"/>
      <c r="M32" s="635"/>
      <c r="N32" s="635"/>
      <c r="O32" s="635"/>
      <c r="P32" s="636"/>
      <c r="Q32" s="635"/>
      <c r="R32" s="637"/>
      <c r="S32" s="635"/>
      <c r="T32" s="635"/>
      <c r="U32" s="635"/>
      <c r="V32" s="635"/>
      <c r="W32" s="635"/>
      <c r="X32" s="635"/>
      <c r="Y32" s="635"/>
      <c r="Z32" s="635"/>
      <c r="AA32" s="759"/>
      <c r="AB32" s="639"/>
      <c r="AC32" s="639"/>
    </row>
    <row r="33" spans="1:29" s="634" customFormat="1" ht="13.8">
      <c r="A33" s="772" t="s">
        <v>746</v>
      </c>
      <c r="B33" s="770"/>
      <c r="C33" s="640"/>
      <c r="D33" s="641"/>
      <c r="E33" s="635"/>
      <c r="F33" s="637"/>
      <c r="G33" s="642"/>
      <c r="H33" s="635"/>
      <c r="I33" s="635"/>
      <c r="J33" s="642"/>
      <c r="K33" s="635"/>
      <c r="L33" s="635"/>
      <c r="M33" s="642"/>
      <c r="N33" s="635"/>
      <c r="O33" s="635"/>
      <c r="P33" s="641"/>
      <c r="Q33" s="635"/>
      <c r="R33" s="637"/>
      <c r="S33" s="642"/>
      <c r="T33" s="635"/>
      <c r="U33" s="635"/>
      <c r="V33" s="642"/>
      <c r="W33" s="635"/>
      <c r="X33" s="635"/>
      <c r="Y33" s="642"/>
      <c r="Z33" s="635"/>
      <c r="AA33" s="759"/>
      <c r="AB33" s="639"/>
      <c r="AC33" s="639"/>
    </row>
    <row r="34" spans="1:29" s="634" customFormat="1" ht="9.75" customHeight="1">
      <c r="A34" s="638"/>
      <c r="B34" s="638"/>
      <c r="C34" s="640"/>
      <c r="D34" s="636"/>
      <c r="E34" s="635"/>
      <c r="F34" s="637"/>
      <c r="G34" s="635"/>
      <c r="H34" s="635"/>
      <c r="I34" s="635"/>
      <c r="J34" s="635"/>
      <c r="K34" s="635"/>
      <c r="L34" s="635"/>
      <c r="M34" s="635"/>
      <c r="N34" s="635"/>
      <c r="O34" s="635"/>
      <c r="P34" s="636"/>
      <c r="Q34" s="635"/>
      <c r="R34" s="637"/>
      <c r="S34" s="635"/>
      <c r="T34" s="635"/>
      <c r="U34" s="635"/>
      <c r="V34" s="635"/>
      <c r="W34" s="635"/>
      <c r="X34" s="635"/>
      <c r="Y34" s="635"/>
      <c r="Z34" s="635"/>
      <c r="AA34" s="759"/>
      <c r="AB34" s="639"/>
      <c r="AC34" s="639"/>
    </row>
    <row r="35" spans="1:29" s="634" customFormat="1" ht="13.2">
      <c r="A35" s="638"/>
      <c r="B35" s="657" t="s">
        <v>59</v>
      </c>
      <c r="C35" s="640"/>
      <c r="D35" s="636"/>
      <c r="E35" s="635">
        <v>30544</v>
      </c>
      <c r="F35" s="637"/>
      <c r="G35" s="635"/>
      <c r="H35" s="635">
        <v>29714</v>
      </c>
      <c r="I35" s="635"/>
      <c r="J35" s="635"/>
      <c r="K35" s="635">
        <v>45053</v>
      </c>
      <c r="L35" s="635"/>
      <c r="M35" s="635"/>
      <c r="N35" s="635">
        <v>30006</v>
      </c>
      <c r="O35" s="635"/>
      <c r="P35" s="636"/>
      <c r="Q35" s="635">
        <v>29794</v>
      </c>
      <c r="R35" s="637"/>
      <c r="S35" s="635"/>
      <c r="T35" s="635">
        <v>25709</v>
      </c>
      <c r="U35" s="635"/>
      <c r="V35" s="635"/>
      <c r="W35" s="635">
        <v>60258</v>
      </c>
      <c r="X35" s="635"/>
      <c r="Y35" s="635"/>
      <c r="Z35" s="635">
        <v>55503</v>
      </c>
      <c r="AA35" s="759"/>
      <c r="AB35" s="639"/>
      <c r="AC35" s="639"/>
    </row>
    <row r="36" spans="1:29" s="634" customFormat="1" ht="11.4">
      <c r="A36" s="638"/>
      <c r="B36" s="657" t="s">
        <v>278</v>
      </c>
      <c r="C36" s="635"/>
      <c r="D36" s="646"/>
      <c r="E36" s="773">
        <v>780</v>
      </c>
      <c r="F36" s="648"/>
      <c r="G36" s="649"/>
      <c r="H36" s="773">
        <v>876</v>
      </c>
      <c r="I36" s="635"/>
      <c r="J36" s="649"/>
      <c r="K36" s="773">
        <v>812</v>
      </c>
      <c r="L36" s="635"/>
      <c r="M36" s="649"/>
      <c r="N36" s="773">
        <v>885</v>
      </c>
      <c r="O36" s="635"/>
      <c r="P36" s="646"/>
      <c r="Q36" s="773">
        <v>931</v>
      </c>
      <c r="R36" s="648"/>
      <c r="S36" s="649"/>
      <c r="T36" s="773">
        <v>981</v>
      </c>
      <c r="U36" s="635"/>
      <c r="V36" s="649"/>
      <c r="W36" s="635">
        <v>1656</v>
      </c>
      <c r="X36" s="647"/>
      <c r="Y36" s="649"/>
      <c r="Z36" s="635">
        <v>1912</v>
      </c>
      <c r="AA36" s="759"/>
      <c r="AB36" s="639"/>
      <c r="AC36" s="639"/>
    </row>
    <row r="37" spans="1:29" s="634" customFormat="1" ht="12.6" thickBot="1">
      <c r="A37" s="638"/>
      <c r="B37" s="771"/>
      <c r="C37" s="892" t="s">
        <v>1044</v>
      </c>
      <c r="D37" s="646"/>
      <c r="E37" s="658">
        <v>31324</v>
      </c>
      <c r="F37" s="651"/>
      <c r="G37" s="649"/>
      <c r="H37" s="658">
        <v>30590</v>
      </c>
      <c r="I37" s="635"/>
      <c r="J37" s="649"/>
      <c r="K37" s="658">
        <v>45865</v>
      </c>
      <c r="L37" s="635"/>
      <c r="M37" s="649"/>
      <c r="N37" s="658">
        <v>30891</v>
      </c>
      <c r="O37" s="635"/>
      <c r="P37" s="646"/>
      <c r="Q37" s="658">
        <v>30725</v>
      </c>
      <c r="R37" s="651"/>
      <c r="S37" s="649"/>
      <c r="T37" s="658">
        <v>26690</v>
      </c>
      <c r="U37" s="635"/>
      <c r="V37" s="649"/>
      <c r="W37" s="871">
        <v>61914</v>
      </c>
      <c r="X37" s="653"/>
      <c r="Y37" s="649"/>
      <c r="Z37" s="871">
        <v>57415</v>
      </c>
      <c r="AA37" s="759"/>
      <c r="AB37" s="639"/>
      <c r="AC37" s="639"/>
    </row>
    <row r="38" spans="1:29" s="634" customFormat="1" ht="13.2" thickTop="1" thickBot="1">
      <c r="A38" s="638"/>
      <c r="B38" s="774"/>
      <c r="C38" s="640"/>
      <c r="D38" s="775"/>
      <c r="E38" s="776"/>
      <c r="F38" s="777"/>
      <c r="G38" s="649"/>
      <c r="H38" s="653"/>
      <c r="I38" s="635"/>
      <c r="J38" s="649"/>
      <c r="K38" s="653"/>
      <c r="L38" s="635"/>
      <c r="M38" s="649"/>
      <c r="N38" s="653"/>
      <c r="O38" s="635"/>
      <c r="P38" s="775"/>
      <c r="Q38" s="776"/>
      <c r="R38" s="777"/>
      <c r="S38" s="649"/>
      <c r="T38" s="653"/>
      <c r="U38" s="635"/>
      <c r="V38" s="649"/>
      <c r="W38" s="635"/>
      <c r="X38" s="653"/>
      <c r="Y38" s="649"/>
      <c r="Z38" s="653"/>
      <c r="AA38" s="759"/>
      <c r="AB38" s="639"/>
      <c r="AC38" s="639"/>
    </row>
    <row r="39" spans="1:29" s="634" customFormat="1" ht="12">
      <c r="A39" s="638"/>
      <c r="B39" s="774"/>
      <c r="C39" s="640"/>
      <c r="D39" s="635"/>
      <c r="E39" s="653"/>
      <c r="F39" s="635"/>
      <c r="G39" s="635"/>
      <c r="H39" s="653"/>
      <c r="I39" s="635"/>
      <c r="J39" s="635"/>
      <c r="K39" s="653"/>
      <c r="L39" s="635"/>
      <c r="M39" s="635"/>
      <c r="N39" s="653"/>
      <c r="O39" s="635"/>
      <c r="P39" s="635"/>
      <c r="Q39" s="653"/>
      <c r="R39" s="635"/>
      <c r="S39" s="635"/>
      <c r="T39" s="653"/>
      <c r="U39" s="635"/>
      <c r="V39" s="635"/>
      <c r="W39" s="635"/>
      <c r="X39" s="653"/>
      <c r="Y39" s="635"/>
      <c r="Z39" s="653"/>
      <c r="AA39" s="759"/>
      <c r="AB39" s="639"/>
      <c r="AC39" s="639"/>
    </row>
    <row r="40" spans="1:29" s="634" customFormat="1" ht="13.8">
      <c r="A40" s="908" t="s">
        <v>770</v>
      </c>
      <c r="B40" s="657" t="s">
        <v>60</v>
      </c>
      <c r="C40" s="909"/>
      <c r="D40" s="635"/>
      <c r="E40" s="653"/>
      <c r="F40" s="635"/>
      <c r="G40" s="635"/>
      <c r="H40" s="653"/>
      <c r="I40" s="635"/>
      <c r="J40" s="635"/>
      <c r="K40" s="653"/>
      <c r="L40" s="635"/>
      <c r="M40" s="635"/>
      <c r="N40" s="653"/>
      <c r="O40" s="635"/>
      <c r="P40" s="635"/>
      <c r="Q40" s="653"/>
      <c r="R40" s="635"/>
      <c r="S40" s="635"/>
      <c r="T40" s="653"/>
      <c r="U40" s="635"/>
      <c r="V40" s="635"/>
      <c r="W40" s="653"/>
      <c r="X40" s="653"/>
      <c r="Y40" s="635"/>
      <c r="Z40" s="653"/>
      <c r="AA40" s="759"/>
      <c r="AB40" s="639"/>
      <c r="AC40" s="639"/>
    </row>
    <row r="41" spans="1:29" s="634" customFormat="1" ht="13.8">
      <c r="A41" s="908" t="s">
        <v>772</v>
      </c>
      <c r="B41" s="657" t="s">
        <v>61</v>
      </c>
      <c r="C41" s="909"/>
      <c r="D41" s="642"/>
      <c r="E41" s="635"/>
      <c r="F41" s="635"/>
      <c r="G41" s="642"/>
      <c r="H41" s="635"/>
      <c r="I41" s="635"/>
      <c r="J41" s="642"/>
      <c r="K41" s="635"/>
      <c r="L41" s="649"/>
      <c r="M41" s="642"/>
      <c r="N41" s="635"/>
      <c r="O41" s="635"/>
      <c r="P41" s="642"/>
      <c r="Q41" s="635"/>
      <c r="R41" s="635"/>
      <c r="S41" s="642"/>
      <c r="T41" s="635"/>
      <c r="U41" s="635"/>
      <c r="V41" s="642"/>
      <c r="W41" s="635"/>
      <c r="X41" s="653"/>
      <c r="Y41" s="642"/>
      <c r="Z41" s="635"/>
      <c r="AA41" s="759"/>
      <c r="AB41" s="639"/>
      <c r="AC41" s="639"/>
    </row>
    <row r="42" spans="1:29" s="634" customFormat="1" ht="13.8">
      <c r="A42" s="908"/>
      <c r="B42" s="657"/>
      <c r="C42" s="909"/>
      <c r="D42" s="635"/>
      <c r="E42" s="635"/>
      <c r="F42" s="635"/>
      <c r="G42" s="635"/>
      <c r="H42" s="635"/>
      <c r="I42" s="635"/>
      <c r="J42" s="635"/>
      <c r="K42" s="635"/>
      <c r="L42" s="635"/>
      <c r="M42" s="635"/>
      <c r="N42" s="635"/>
      <c r="O42" s="635"/>
      <c r="P42" s="635"/>
      <c r="Q42" s="635"/>
      <c r="R42" s="635"/>
      <c r="S42" s="635"/>
      <c r="T42" s="635"/>
      <c r="U42" s="635"/>
      <c r="V42" s="635"/>
      <c r="W42" s="635"/>
      <c r="X42" s="635"/>
      <c r="Y42" s="635"/>
      <c r="Z42" s="635"/>
      <c r="AA42" s="759"/>
      <c r="AB42" s="639"/>
      <c r="AC42" s="639"/>
    </row>
    <row r="43" spans="1:29" s="634" customFormat="1" ht="12">
      <c r="A43" s="616"/>
      <c r="C43" s="635"/>
      <c r="D43" s="635"/>
      <c r="E43" s="635"/>
      <c r="F43" s="635"/>
      <c r="G43" s="635"/>
      <c r="H43" s="635"/>
      <c r="I43" s="635"/>
      <c r="J43" s="635"/>
      <c r="K43" s="635"/>
      <c r="L43" s="635"/>
      <c r="M43" s="635"/>
      <c r="N43" s="635"/>
      <c r="O43" s="635"/>
      <c r="P43" s="635"/>
      <c r="Q43" s="635"/>
      <c r="R43" s="635"/>
      <c r="S43" s="635"/>
      <c r="T43" s="635"/>
      <c r="U43" s="635"/>
      <c r="V43" s="635"/>
      <c r="W43" s="635"/>
      <c r="X43" s="635"/>
      <c r="Y43" s="635"/>
      <c r="Z43" s="635"/>
      <c r="AA43" s="759"/>
      <c r="AB43" s="639"/>
      <c r="AC43" s="639"/>
    </row>
    <row r="44" spans="1:29" s="634" customFormat="1" ht="12">
      <c r="A44" s="627"/>
      <c r="B44" s="656"/>
      <c r="C44" s="635"/>
      <c r="D44" s="635"/>
      <c r="E44" s="635"/>
      <c r="F44" s="635"/>
      <c r="G44" s="635"/>
      <c r="H44" s="635"/>
      <c r="I44" s="635"/>
      <c r="J44" s="635"/>
      <c r="K44" s="635"/>
      <c r="L44" s="635"/>
      <c r="M44" s="635"/>
      <c r="N44" s="635"/>
      <c r="O44" s="635"/>
      <c r="P44" s="635"/>
      <c r="Q44" s="635"/>
      <c r="R44" s="635"/>
      <c r="S44" s="635"/>
      <c r="T44" s="635"/>
      <c r="U44" s="635"/>
      <c r="V44" s="635"/>
      <c r="W44" s="635"/>
      <c r="X44" s="635"/>
      <c r="Y44" s="635"/>
      <c r="Z44" s="635"/>
      <c r="AA44" s="759"/>
      <c r="AB44" s="639"/>
      <c r="AC44" s="639"/>
    </row>
    <row r="45" spans="1:29" s="634" customFormat="1" ht="12">
      <c r="B45" s="627"/>
      <c r="C45" s="635"/>
      <c r="D45" s="635"/>
      <c r="E45" s="635"/>
      <c r="F45" s="635"/>
      <c r="G45" s="635"/>
      <c r="H45" s="635"/>
      <c r="I45" s="635"/>
      <c r="J45" s="635"/>
      <c r="K45" s="635"/>
      <c r="L45" s="635"/>
      <c r="M45" s="635"/>
      <c r="N45" s="635"/>
      <c r="O45" s="635"/>
      <c r="P45" s="635"/>
      <c r="Q45" s="635"/>
      <c r="R45" s="635"/>
      <c r="S45" s="635"/>
      <c r="T45" s="635"/>
      <c r="U45" s="635"/>
      <c r="V45" s="635"/>
      <c r="W45" s="635"/>
      <c r="X45" s="635"/>
      <c r="Y45" s="635"/>
      <c r="Z45" s="635"/>
      <c r="AA45" s="639"/>
      <c r="AB45" s="639"/>
      <c r="AC45" s="639"/>
    </row>
    <row r="46" spans="1:29" ht="11.4">
      <c r="C46" s="635"/>
      <c r="D46" s="635"/>
      <c r="E46" s="635"/>
      <c r="F46" s="635"/>
      <c r="G46" s="635"/>
      <c r="H46" s="635"/>
      <c r="I46" s="635"/>
      <c r="J46" s="635"/>
      <c r="K46" s="635"/>
      <c r="L46" s="635"/>
      <c r="M46" s="635"/>
      <c r="N46" s="635"/>
      <c r="O46" s="635"/>
      <c r="P46" s="635"/>
      <c r="Q46" s="635"/>
      <c r="R46" s="635"/>
      <c r="S46" s="635"/>
      <c r="T46" s="635"/>
      <c r="U46" s="635"/>
      <c r="V46" s="635"/>
      <c r="W46" s="635"/>
      <c r="X46" s="635"/>
      <c r="Y46" s="635"/>
      <c r="Z46" s="635"/>
    </row>
    <row r="47" spans="1:29" ht="11.4">
      <c r="C47" s="635"/>
      <c r="D47" s="635"/>
      <c r="E47" s="635"/>
      <c r="F47" s="635"/>
      <c r="G47" s="635"/>
      <c r="H47" s="635"/>
      <c r="I47" s="635"/>
      <c r="J47" s="635"/>
      <c r="K47" s="635"/>
      <c r="L47" s="635"/>
      <c r="M47" s="635"/>
      <c r="N47" s="635"/>
      <c r="O47" s="635"/>
      <c r="P47" s="635"/>
      <c r="Q47" s="635"/>
      <c r="R47" s="635"/>
      <c r="S47" s="635"/>
      <c r="T47" s="635"/>
      <c r="U47" s="635"/>
      <c r="V47" s="635"/>
      <c r="W47" s="635"/>
      <c r="X47" s="635"/>
      <c r="Y47" s="635"/>
      <c r="Z47" s="635"/>
    </row>
    <row r="48" spans="1:29" ht="11.4">
      <c r="C48" s="635"/>
      <c r="D48" s="635"/>
      <c r="E48" s="635"/>
      <c r="F48" s="635"/>
      <c r="G48" s="635"/>
      <c r="H48" s="635"/>
      <c r="I48" s="635"/>
      <c r="J48" s="635"/>
      <c r="K48" s="635"/>
      <c r="L48" s="635"/>
      <c r="M48" s="635"/>
      <c r="N48" s="635"/>
      <c r="O48" s="635"/>
      <c r="P48" s="635"/>
      <c r="Q48" s="635"/>
      <c r="R48" s="635"/>
      <c r="S48" s="635"/>
      <c r="T48" s="635"/>
      <c r="U48" s="635"/>
      <c r="V48" s="635"/>
      <c r="W48" s="635"/>
      <c r="X48" s="635"/>
      <c r="Y48" s="635"/>
      <c r="Z48" s="635"/>
    </row>
    <row r="49" spans="3:26" ht="11.4">
      <c r="C49" s="635"/>
      <c r="D49" s="635"/>
      <c r="E49" s="635"/>
      <c r="F49" s="635"/>
      <c r="G49" s="635"/>
      <c r="H49" s="635"/>
      <c r="I49" s="635"/>
      <c r="J49" s="635"/>
      <c r="K49" s="635"/>
      <c r="L49" s="635"/>
      <c r="M49" s="635"/>
      <c r="N49" s="635"/>
      <c r="O49" s="635"/>
      <c r="P49" s="635"/>
      <c r="Q49" s="635"/>
      <c r="R49" s="635"/>
      <c r="S49" s="635"/>
      <c r="T49" s="635"/>
      <c r="U49" s="635"/>
      <c r="V49" s="635"/>
      <c r="W49" s="635"/>
      <c r="X49" s="635"/>
      <c r="Y49" s="635"/>
      <c r="Z49" s="635"/>
    </row>
    <row r="50" spans="3:26" ht="11.4">
      <c r="C50" s="635"/>
      <c r="D50" s="635"/>
      <c r="E50" s="635"/>
      <c r="F50" s="635"/>
      <c r="G50" s="635"/>
      <c r="H50" s="635"/>
      <c r="I50" s="635"/>
      <c r="J50" s="635"/>
      <c r="K50" s="635"/>
      <c r="L50" s="635"/>
      <c r="M50" s="635"/>
      <c r="N50" s="635"/>
      <c r="O50" s="635"/>
      <c r="P50" s="635"/>
      <c r="Q50" s="635"/>
      <c r="R50" s="635"/>
      <c r="S50" s="635"/>
      <c r="T50" s="635"/>
      <c r="U50" s="635"/>
      <c r="V50" s="635"/>
      <c r="W50" s="635"/>
      <c r="X50" s="635"/>
      <c r="Y50" s="635"/>
      <c r="Z50" s="635"/>
    </row>
    <row r="51" spans="3:26" ht="11.4">
      <c r="C51" s="635"/>
      <c r="D51" s="635"/>
      <c r="E51" s="635"/>
      <c r="F51" s="635"/>
      <c r="G51" s="635"/>
      <c r="H51" s="635"/>
      <c r="I51" s="635"/>
      <c r="J51" s="635"/>
      <c r="K51" s="635"/>
      <c r="L51" s="635"/>
      <c r="M51" s="635"/>
      <c r="N51" s="635"/>
      <c r="O51" s="635"/>
      <c r="P51" s="635"/>
      <c r="Q51" s="635"/>
      <c r="R51" s="635"/>
      <c r="S51" s="635"/>
      <c r="T51" s="635"/>
      <c r="U51" s="635"/>
      <c r="V51" s="635"/>
      <c r="W51" s="635"/>
      <c r="X51" s="635"/>
      <c r="Y51" s="635"/>
      <c r="Z51" s="635"/>
    </row>
  </sheetData>
  <mergeCells count="5">
    <mergeCell ref="A1:Z1"/>
    <mergeCell ref="A2:Z2"/>
    <mergeCell ref="A3:Z3"/>
    <mergeCell ref="D5:T5"/>
    <mergeCell ref="W5:Z5"/>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A40:A41" numberStoredAsText="1"/>
  </ignoredErrors>
</worksheet>
</file>

<file path=xl/worksheets/sheet35.xml><?xml version="1.0" encoding="utf-8"?>
<worksheet xmlns="http://schemas.openxmlformats.org/spreadsheetml/2006/main" xmlns:r="http://schemas.openxmlformats.org/officeDocument/2006/relationships">
  <dimension ref="A1:AA52"/>
  <sheetViews>
    <sheetView zoomScale="75" zoomScaleNormal="75" workbookViewId="0">
      <selection sqref="A1:Z1"/>
    </sheetView>
  </sheetViews>
  <sheetFormatPr defaultColWidth="9.109375" defaultRowHeight="11.4"/>
  <cols>
    <col min="1" max="1" width="4" style="555" customWidth="1"/>
    <col min="2" max="2" width="2.44140625" style="555" customWidth="1"/>
    <col min="3" max="3" width="41.33203125" style="556" customWidth="1"/>
    <col min="4" max="4" width="2.44140625" style="555" customWidth="1"/>
    <col min="5" max="5" width="8.44140625" style="555" customWidth="1"/>
    <col min="6" max="6" width="2.44140625" style="121" customWidth="1"/>
    <col min="7" max="7" width="2.44140625" style="555" customWidth="1"/>
    <col min="8" max="8" width="8.44140625" style="555" customWidth="1"/>
    <col min="9" max="10" width="2.44140625" style="555" customWidth="1"/>
    <col min="11" max="11" width="8.44140625" style="555" customWidth="1"/>
    <col min="12" max="13" width="2.44140625" style="555" customWidth="1"/>
    <col min="14" max="14" width="8.44140625" style="555" customWidth="1"/>
    <col min="15" max="16" width="2.44140625" style="555" customWidth="1"/>
    <col min="17" max="17" width="8.44140625" style="555" customWidth="1"/>
    <col min="18" max="19" width="2.44140625" style="555" customWidth="1"/>
    <col min="20" max="20" width="8.44140625" style="555" customWidth="1"/>
    <col min="21" max="21" width="2.44140625" style="555" customWidth="1"/>
    <col min="22" max="22" width="2.44140625" style="663" customWidth="1"/>
    <col min="23" max="23" width="8.44140625" style="555" customWidth="1"/>
    <col min="24" max="24" width="2.44140625" style="555" customWidth="1"/>
    <col min="25" max="25" width="2.44140625" style="663" customWidth="1"/>
    <col min="26" max="26" width="8.44140625" style="555" customWidth="1"/>
    <col min="27" max="16384" width="9.109375" style="555"/>
  </cols>
  <sheetData>
    <row r="1" spans="1:26" ht="13.2">
      <c r="A1" s="1039" t="s">
        <v>96</v>
      </c>
      <c r="B1" s="1039"/>
      <c r="C1" s="1039"/>
      <c r="D1" s="1039"/>
      <c r="E1" s="1039"/>
      <c r="F1" s="1039"/>
      <c r="G1" s="1039"/>
      <c r="H1" s="1039"/>
      <c r="I1" s="1039"/>
      <c r="J1" s="1039"/>
      <c r="K1" s="1039"/>
      <c r="L1" s="1039"/>
      <c r="M1" s="1039"/>
      <c r="N1" s="1039"/>
      <c r="O1" s="1039"/>
      <c r="P1" s="1039"/>
      <c r="Q1" s="1039"/>
      <c r="R1" s="1039"/>
      <c r="S1" s="1039"/>
      <c r="T1" s="1039"/>
      <c r="U1" s="1039"/>
      <c r="V1" s="1039"/>
      <c r="W1" s="1039"/>
      <c r="X1" s="1039"/>
      <c r="Y1" s="1039"/>
      <c r="Z1" s="1039"/>
    </row>
    <row r="2" spans="1:26" ht="13.2">
      <c r="A2" s="1039" t="s">
        <v>530</v>
      </c>
      <c r="B2" s="1039"/>
      <c r="C2" s="1039"/>
      <c r="D2" s="1039"/>
      <c r="E2" s="1039"/>
      <c r="F2" s="1039"/>
      <c r="G2" s="1039"/>
      <c r="H2" s="1039"/>
      <c r="I2" s="1039"/>
      <c r="J2" s="1039"/>
      <c r="K2" s="1039"/>
      <c r="L2" s="1039"/>
      <c r="M2" s="1039"/>
      <c r="N2" s="1039"/>
      <c r="O2" s="1039"/>
      <c r="P2" s="1039"/>
      <c r="Q2" s="1039"/>
      <c r="R2" s="1039"/>
      <c r="S2" s="1039"/>
      <c r="T2" s="1039"/>
      <c r="U2" s="1039"/>
      <c r="V2" s="1039"/>
      <c r="W2" s="1039"/>
      <c r="X2" s="1039"/>
      <c r="Y2" s="1039"/>
      <c r="Z2" s="1039"/>
    </row>
    <row r="3" spans="1:26">
      <c r="A3" s="1040" t="s">
        <v>800</v>
      </c>
      <c r="B3" s="1040"/>
      <c r="C3" s="1040"/>
      <c r="D3" s="1040"/>
      <c r="E3" s="1040"/>
      <c r="F3" s="1040"/>
      <c r="G3" s="1040"/>
      <c r="H3" s="1040"/>
      <c r="I3" s="1040"/>
      <c r="J3" s="1040"/>
      <c r="K3" s="1040"/>
      <c r="L3" s="1040"/>
      <c r="M3" s="1040"/>
      <c r="N3" s="1040"/>
      <c r="O3" s="1040"/>
      <c r="P3" s="1040"/>
      <c r="Q3" s="1040"/>
      <c r="R3" s="1040"/>
      <c r="S3" s="1040"/>
      <c r="T3" s="1040"/>
      <c r="U3" s="1040"/>
      <c r="V3" s="1040"/>
      <c r="W3" s="1040"/>
      <c r="X3" s="1040"/>
      <c r="Y3" s="1040"/>
      <c r="Z3" s="1040"/>
    </row>
    <row r="4" spans="1:26" ht="14.4">
      <c r="A4" s="660"/>
      <c r="B4" s="660"/>
      <c r="C4" s="661"/>
      <c r="D4" s="660"/>
      <c r="E4" s="660"/>
      <c r="F4" s="123"/>
      <c r="G4" s="660"/>
      <c r="H4" s="660"/>
      <c r="I4" s="660"/>
      <c r="J4" s="660"/>
      <c r="K4" s="660"/>
      <c r="L4" s="660"/>
      <c r="M4" s="660"/>
      <c r="N4" s="660"/>
      <c r="O4" s="660"/>
      <c r="P4" s="660"/>
      <c r="Q4" s="660"/>
      <c r="R4" s="660"/>
      <c r="S4" s="660"/>
      <c r="T4" s="660"/>
      <c r="U4" s="662"/>
      <c r="W4" s="662"/>
      <c r="X4" s="662"/>
      <c r="Z4" s="662"/>
    </row>
    <row r="5" spans="1:26" ht="12">
      <c r="B5" s="664"/>
      <c r="C5" s="665"/>
      <c r="D5" s="990" t="s">
        <v>99</v>
      </c>
      <c r="E5" s="990"/>
      <c r="F5" s="990"/>
      <c r="G5" s="990"/>
      <c r="H5" s="990"/>
      <c r="I5" s="990"/>
      <c r="J5" s="990"/>
      <c r="K5" s="990"/>
      <c r="L5" s="990"/>
      <c r="M5" s="990"/>
      <c r="N5" s="990"/>
      <c r="O5" s="990"/>
      <c r="P5" s="990"/>
      <c r="Q5" s="990"/>
      <c r="R5" s="990"/>
      <c r="S5" s="990"/>
      <c r="T5" s="990"/>
      <c r="U5" s="208"/>
      <c r="W5" s="990" t="s">
        <v>531</v>
      </c>
      <c r="X5" s="990"/>
      <c r="Y5" s="990"/>
      <c r="Z5" s="990"/>
    </row>
    <row r="6" spans="1:26" ht="12.6" thickBot="1">
      <c r="B6" s="664"/>
      <c r="C6" s="665"/>
      <c r="D6" s="664"/>
      <c r="E6" s="664"/>
      <c r="F6" s="181"/>
      <c r="G6" s="664"/>
      <c r="H6" s="664"/>
      <c r="I6" s="664"/>
      <c r="J6" s="664"/>
      <c r="K6" s="664"/>
      <c r="L6" s="664"/>
      <c r="M6" s="665"/>
      <c r="N6" s="664"/>
      <c r="O6" s="664"/>
      <c r="P6" s="664"/>
      <c r="Q6" s="664"/>
      <c r="R6" s="664"/>
      <c r="S6" s="665"/>
      <c r="T6" s="664"/>
      <c r="U6" s="664"/>
      <c r="W6" s="664"/>
      <c r="X6" s="664"/>
      <c r="Z6" s="664"/>
    </row>
    <row r="7" spans="1:26">
      <c r="D7" s="666"/>
      <c r="E7" s="589" t="s">
        <v>104</v>
      </c>
      <c r="F7" s="667"/>
      <c r="G7" s="556"/>
      <c r="H7" s="208" t="s">
        <v>105</v>
      </c>
      <c r="I7" s="6"/>
      <c r="J7" s="556"/>
      <c r="K7" s="208" t="s">
        <v>102</v>
      </c>
      <c r="L7" s="6"/>
      <c r="M7" s="556"/>
      <c r="N7" s="208" t="s">
        <v>103</v>
      </c>
      <c r="O7" s="6"/>
      <c r="P7" s="666"/>
      <c r="Q7" s="589" t="s">
        <v>104</v>
      </c>
      <c r="R7" s="667"/>
      <c r="S7" s="556"/>
      <c r="T7" s="208" t="s">
        <v>105</v>
      </c>
      <c r="U7" s="208"/>
      <c r="W7" s="208" t="s">
        <v>104</v>
      </c>
      <c r="X7" s="208"/>
      <c r="Z7" s="208" t="s">
        <v>104</v>
      </c>
    </row>
    <row r="8" spans="1:26" ht="12">
      <c r="A8" s="668"/>
      <c r="D8" s="669"/>
      <c r="E8" s="13">
        <v>2012</v>
      </c>
      <c r="F8" s="670"/>
      <c r="G8" s="556"/>
      <c r="H8" s="13">
        <v>2012</v>
      </c>
      <c r="I8" s="6"/>
      <c r="J8" s="556"/>
      <c r="K8" s="13">
        <v>2011</v>
      </c>
      <c r="L8" s="6"/>
      <c r="M8" s="556"/>
      <c r="N8" s="13">
        <v>2011</v>
      </c>
      <c r="O8" s="6"/>
      <c r="P8" s="669"/>
      <c r="Q8" s="13">
        <v>2011</v>
      </c>
      <c r="R8" s="670"/>
      <c r="S8" s="556"/>
      <c r="T8" s="13">
        <v>2011</v>
      </c>
      <c r="U8" s="208"/>
      <c r="W8" s="13">
        <v>2012</v>
      </c>
      <c r="X8" s="208"/>
      <c r="Z8" s="13">
        <v>2011</v>
      </c>
    </row>
    <row r="9" spans="1:26">
      <c r="D9" s="669"/>
      <c r="E9" s="122"/>
      <c r="F9" s="670"/>
      <c r="G9" s="556"/>
      <c r="H9" s="122"/>
      <c r="I9" s="122"/>
      <c r="J9" s="556"/>
      <c r="K9" s="122"/>
      <c r="L9" s="122"/>
      <c r="M9" s="556"/>
      <c r="N9" s="122"/>
      <c r="O9" s="122"/>
      <c r="P9" s="669"/>
      <c r="Q9" s="122"/>
      <c r="R9" s="670"/>
      <c r="S9" s="556"/>
      <c r="T9" s="122"/>
      <c r="U9" s="556"/>
      <c r="W9" s="130"/>
      <c r="X9" s="556"/>
      <c r="Z9" s="130"/>
    </row>
    <row r="10" spans="1:26">
      <c r="D10" s="669"/>
      <c r="E10" s="671"/>
      <c r="F10" s="670"/>
      <c r="G10" s="556"/>
      <c r="H10" s="671"/>
      <c r="I10" s="122"/>
      <c r="J10" s="556"/>
      <c r="K10" s="671"/>
      <c r="L10" s="122"/>
      <c r="M10" s="556"/>
      <c r="N10" s="671"/>
      <c r="O10" s="122"/>
      <c r="P10" s="669"/>
      <c r="Q10" s="671"/>
      <c r="R10" s="670"/>
      <c r="S10" s="556"/>
      <c r="T10" s="671"/>
      <c r="U10" s="556"/>
      <c r="W10" s="130"/>
      <c r="X10" s="556"/>
      <c r="Z10" s="663"/>
    </row>
    <row r="11" spans="1:26" ht="12">
      <c r="A11" s="672" t="s">
        <v>532</v>
      </c>
      <c r="D11" s="669" t="s">
        <v>108</v>
      </c>
      <c r="E11" s="27">
        <v>41603</v>
      </c>
      <c r="F11" s="670"/>
      <c r="G11" s="556" t="s">
        <v>108</v>
      </c>
      <c r="H11" s="121">
        <v>42332</v>
      </c>
      <c r="I11" s="121"/>
      <c r="J11" s="556" t="s">
        <v>108</v>
      </c>
      <c r="K11" s="121">
        <v>43776</v>
      </c>
      <c r="L11" s="121"/>
      <c r="M11" s="556" t="s">
        <v>108</v>
      </c>
      <c r="N11" s="121">
        <v>45078</v>
      </c>
      <c r="O11" s="121"/>
      <c r="P11" s="669" t="s">
        <v>108</v>
      </c>
      <c r="Q11" s="27">
        <v>46834</v>
      </c>
      <c r="R11" s="670"/>
      <c r="S11" s="556" t="s">
        <v>108</v>
      </c>
      <c r="T11" s="121">
        <v>48195</v>
      </c>
      <c r="U11" s="556"/>
      <c r="V11" s="663" t="s">
        <v>108</v>
      </c>
      <c r="W11" s="117">
        <v>42332</v>
      </c>
      <c r="Y11" s="663" t="s">
        <v>108</v>
      </c>
      <c r="Z11" s="117">
        <v>48195</v>
      </c>
    </row>
    <row r="12" spans="1:26" ht="12">
      <c r="A12" s="668"/>
      <c r="D12" s="669"/>
      <c r="E12" s="121"/>
      <c r="F12" s="670"/>
      <c r="G12" s="556"/>
      <c r="H12" s="121"/>
      <c r="I12" s="121"/>
      <c r="J12" s="556"/>
      <c r="K12" s="121"/>
      <c r="L12" s="121"/>
      <c r="M12" s="556"/>
      <c r="N12" s="121"/>
      <c r="O12" s="121"/>
      <c r="P12" s="669"/>
      <c r="Q12" s="121"/>
      <c r="R12" s="670"/>
      <c r="S12" s="556"/>
      <c r="T12" s="121"/>
      <c r="U12" s="556"/>
      <c r="W12" s="117"/>
      <c r="Z12" s="117"/>
    </row>
    <row r="13" spans="1:26" ht="12">
      <c r="A13" s="668"/>
      <c r="B13" s="672" t="s">
        <v>533</v>
      </c>
      <c r="D13" s="669"/>
      <c r="E13" s="121"/>
      <c r="F13" s="670"/>
      <c r="G13" s="556"/>
      <c r="H13" s="121"/>
      <c r="I13" s="121"/>
      <c r="J13" s="556"/>
      <c r="K13" s="121"/>
      <c r="L13" s="121"/>
      <c r="M13" s="556"/>
      <c r="N13" s="121"/>
      <c r="O13" s="121"/>
      <c r="P13" s="669"/>
      <c r="Q13" s="121"/>
      <c r="R13" s="670"/>
      <c r="S13" s="556"/>
      <c r="T13" s="121"/>
      <c r="U13" s="556"/>
      <c r="W13" s="117"/>
      <c r="Z13" s="117"/>
    </row>
    <row r="14" spans="1:26">
      <c r="B14" s="673" t="s">
        <v>534</v>
      </c>
      <c r="D14" s="669"/>
      <c r="E14" s="27">
        <v>185</v>
      </c>
      <c r="F14" s="670"/>
      <c r="G14" s="556"/>
      <c r="H14" s="121">
        <v>153</v>
      </c>
      <c r="I14" s="121"/>
      <c r="J14" s="556"/>
      <c r="K14" s="121">
        <v>228</v>
      </c>
      <c r="L14" s="121"/>
      <c r="M14" s="556"/>
      <c r="N14" s="121">
        <v>133</v>
      </c>
      <c r="O14" s="121"/>
      <c r="P14" s="669"/>
      <c r="Q14" s="27">
        <v>142</v>
      </c>
      <c r="R14" s="670"/>
      <c r="S14" s="556"/>
      <c r="T14" s="121">
        <v>164</v>
      </c>
      <c r="U14" s="556"/>
      <c r="W14" s="117">
        <v>338</v>
      </c>
      <c r="Z14" s="117">
        <v>306</v>
      </c>
    </row>
    <row r="15" spans="1:26">
      <c r="B15" s="673" t="s">
        <v>535</v>
      </c>
      <c r="D15" s="669"/>
      <c r="E15" s="27">
        <v>335</v>
      </c>
      <c r="F15" s="670"/>
      <c r="G15" s="556"/>
      <c r="H15" s="121">
        <v>332</v>
      </c>
      <c r="I15" s="121"/>
      <c r="J15" s="556"/>
      <c r="K15" s="121">
        <v>324</v>
      </c>
      <c r="L15" s="121"/>
      <c r="M15" s="556"/>
      <c r="N15" s="121">
        <v>321</v>
      </c>
      <c r="O15" s="121"/>
      <c r="P15" s="669"/>
      <c r="Q15" s="27">
        <v>316</v>
      </c>
      <c r="R15" s="670"/>
      <c r="S15" s="556"/>
      <c r="T15" s="121">
        <v>330</v>
      </c>
      <c r="U15" s="556"/>
      <c r="W15" s="117">
        <v>667</v>
      </c>
      <c r="Z15" s="117">
        <v>646</v>
      </c>
    </row>
    <row r="16" spans="1:26">
      <c r="B16" s="673" t="s">
        <v>1101</v>
      </c>
      <c r="D16" s="669"/>
      <c r="E16" s="30">
        <v>0</v>
      </c>
      <c r="F16" s="670"/>
      <c r="G16" s="556"/>
      <c r="H16" s="30">
        <v>0</v>
      </c>
      <c r="I16" s="121"/>
      <c r="J16" s="556"/>
      <c r="K16" s="141">
        <v>19</v>
      </c>
      <c r="L16" s="121"/>
      <c r="M16" s="556"/>
      <c r="N16" s="141">
        <v>32</v>
      </c>
      <c r="O16" s="121"/>
      <c r="P16" s="669"/>
      <c r="Q16" s="30">
        <v>97</v>
      </c>
      <c r="R16" s="670"/>
      <c r="S16" s="556"/>
      <c r="T16" s="141">
        <v>212</v>
      </c>
      <c r="U16" s="556"/>
      <c r="W16" s="30">
        <v>0</v>
      </c>
      <c r="X16" s="556"/>
      <c r="Z16" s="141">
        <v>309</v>
      </c>
    </row>
    <row r="17" spans="1:27">
      <c r="C17" s="556" t="s">
        <v>536</v>
      </c>
      <c r="D17" s="669"/>
      <c r="E17" s="27">
        <v>520</v>
      </c>
      <c r="F17" s="670"/>
      <c r="G17" s="556"/>
      <c r="H17" s="121">
        <v>485</v>
      </c>
      <c r="I17" s="121"/>
      <c r="J17" s="556"/>
      <c r="K17" s="121">
        <v>571</v>
      </c>
      <c r="L17" s="121"/>
      <c r="M17" s="556"/>
      <c r="N17" s="27">
        <v>486</v>
      </c>
      <c r="O17" s="121"/>
      <c r="P17" s="669"/>
      <c r="Q17" s="27">
        <v>555</v>
      </c>
      <c r="R17" s="670"/>
      <c r="S17" s="556"/>
      <c r="T17" s="121">
        <v>706</v>
      </c>
      <c r="U17" s="556"/>
      <c r="W17" s="121">
        <v>1005</v>
      </c>
      <c r="X17" s="556"/>
      <c r="Z17" s="121">
        <v>1261</v>
      </c>
      <c r="AA17" s="556"/>
    </row>
    <row r="18" spans="1:27">
      <c r="D18" s="669"/>
      <c r="E18" s="121"/>
      <c r="F18" s="670"/>
      <c r="G18" s="556"/>
      <c r="H18" s="121"/>
      <c r="I18" s="121"/>
      <c r="J18" s="556"/>
      <c r="K18" s="121"/>
      <c r="L18" s="121"/>
      <c r="M18" s="556"/>
      <c r="N18" s="121"/>
      <c r="O18" s="121"/>
      <c r="P18" s="669"/>
      <c r="Q18" s="121"/>
      <c r="R18" s="670"/>
      <c r="S18" s="556"/>
      <c r="T18" s="121"/>
      <c r="U18" s="556"/>
      <c r="W18" s="121"/>
      <c r="X18" s="556"/>
      <c r="Z18" s="121"/>
    </row>
    <row r="19" spans="1:27" ht="12">
      <c r="A19" s="668"/>
      <c r="B19" s="672" t="s">
        <v>537</v>
      </c>
      <c r="D19" s="669"/>
      <c r="E19" s="27">
        <v>369</v>
      </c>
      <c r="F19" s="670"/>
      <c r="G19" s="556"/>
      <c r="H19" s="121">
        <v>379</v>
      </c>
      <c r="I19" s="121"/>
      <c r="J19" s="556"/>
      <c r="K19" s="121">
        <v>406</v>
      </c>
      <c r="L19" s="121"/>
      <c r="M19" s="556"/>
      <c r="N19" s="121">
        <v>400</v>
      </c>
      <c r="O19" s="121"/>
      <c r="P19" s="669"/>
      <c r="Q19" s="27">
        <v>413</v>
      </c>
      <c r="R19" s="670"/>
      <c r="S19" s="556"/>
      <c r="T19" s="121">
        <v>410</v>
      </c>
      <c r="U19" s="556"/>
      <c r="W19" s="121">
        <v>748</v>
      </c>
      <c r="X19" s="556"/>
      <c r="Z19" s="121">
        <v>823</v>
      </c>
      <c r="AA19" s="556"/>
    </row>
    <row r="20" spans="1:27">
      <c r="B20" s="673"/>
      <c r="D20" s="669"/>
      <c r="E20" s="121"/>
      <c r="F20" s="670"/>
      <c r="G20" s="556"/>
      <c r="H20" s="121"/>
      <c r="I20" s="121"/>
      <c r="J20" s="556"/>
      <c r="K20" s="121"/>
      <c r="L20" s="121"/>
      <c r="M20" s="556"/>
      <c r="N20" s="121"/>
      <c r="O20" s="121"/>
      <c r="P20" s="669"/>
      <c r="Q20" s="121"/>
      <c r="R20" s="670"/>
      <c r="S20" s="556"/>
      <c r="T20" s="121"/>
      <c r="U20" s="556"/>
      <c r="W20" s="117"/>
      <c r="Z20" s="117"/>
    </row>
    <row r="21" spans="1:27" ht="12">
      <c r="A21" s="668"/>
      <c r="B21" s="672" t="s">
        <v>538</v>
      </c>
      <c r="D21" s="669"/>
      <c r="E21" s="121"/>
      <c r="F21" s="670"/>
      <c r="G21" s="556"/>
      <c r="H21" s="121"/>
      <c r="I21" s="121"/>
      <c r="J21" s="556"/>
      <c r="K21" s="121"/>
      <c r="L21" s="121"/>
      <c r="M21" s="556"/>
      <c r="N21" s="121"/>
      <c r="O21" s="121"/>
      <c r="P21" s="669"/>
      <c r="Q21" s="121"/>
      <c r="R21" s="670"/>
      <c r="S21" s="556"/>
      <c r="T21" s="121"/>
      <c r="U21" s="556"/>
      <c r="W21" s="117"/>
      <c r="Z21" s="117"/>
    </row>
    <row r="22" spans="1:27" ht="12">
      <c r="A22" s="668"/>
      <c r="B22" s="672"/>
      <c r="C22" s="674" t="s">
        <v>539</v>
      </c>
      <c r="D22" s="669"/>
      <c r="E22" s="121"/>
      <c r="F22" s="670"/>
      <c r="G22" s="556"/>
      <c r="H22" s="121"/>
      <c r="I22" s="121"/>
      <c r="J22" s="556"/>
      <c r="K22" s="121"/>
      <c r="L22" s="121"/>
      <c r="M22" s="556"/>
      <c r="N22" s="121"/>
      <c r="O22" s="121"/>
      <c r="P22" s="669"/>
      <c r="Q22" s="121"/>
      <c r="R22" s="670"/>
      <c r="S22" s="556"/>
      <c r="T22" s="121"/>
      <c r="U22" s="556"/>
      <c r="W22" s="117"/>
      <c r="Z22" s="117"/>
    </row>
    <row r="23" spans="1:27" ht="12">
      <c r="A23" s="668"/>
      <c r="B23" s="124" t="s">
        <v>66</v>
      </c>
      <c r="C23" s="876"/>
      <c r="D23" s="669"/>
      <c r="E23" s="121"/>
      <c r="F23" s="670"/>
      <c r="G23" s="556"/>
      <c r="H23" s="121"/>
      <c r="I23" s="121"/>
      <c r="J23" s="556"/>
      <c r="K23" s="121"/>
      <c r="L23" s="121"/>
      <c r="M23" s="556"/>
      <c r="N23" s="121"/>
      <c r="O23" s="121"/>
      <c r="P23" s="669"/>
      <c r="Q23" s="121"/>
      <c r="R23" s="670"/>
      <c r="S23" s="556"/>
      <c r="T23" s="121"/>
      <c r="U23" s="556"/>
      <c r="W23" s="117"/>
      <c r="Z23" s="117"/>
    </row>
    <row r="24" spans="1:27" ht="12">
      <c r="A24" s="668"/>
      <c r="B24" s="124" t="s">
        <v>65</v>
      </c>
      <c r="C24" s="121"/>
      <c r="D24" s="669"/>
      <c r="E24" s="27">
        <v>-88</v>
      </c>
      <c r="F24" s="670"/>
      <c r="G24" s="556"/>
      <c r="H24" s="121">
        <v>-1</v>
      </c>
      <c r="I24" s="121"/>
      <c r="J24" s="556"/>
      <c r="K24" s="121">
        <v>-48</v>
      </c>
      <c r="L24" s="121"/>
      <c r="M24" s="556"/>
      <c r="N24" s="121">
        <v>-26</v>
      </c>
      <c r="O24" s="121"/>
      <c r="P24" s="669"/>
      <c r="Q24" s="27">
        <v>-306</v>
      </c>
      <c r="R24" s="670"/>
      <c r="S24" s="556"/>
      <c r="T24" s="121">
        <v>-487</v>
      </c>
      <c r="U24" s="556"/>
      <c r="W24" s="117">
        <v>-89</v>
      </c>
      <c r="Z24" s="117">
        <v>-793</v>
      </c>
    </row>
    <row r="25" spans="1:27" ht="12">
      <c r="A25" s="668"/>
      <c r="B25" s="673" t="s">
        <v>540</v>
      </c>
      <c r="D25" s="669"/>
      <c r="E25" s="27">
        <v>-331</v>
      </c>
      <c r="F25" s="670"/>
      <c r="G25" s="556"/>
      <c r="H25" s="121">
        <v>-357</v>
      </c>
      <c r="I25" s="121"/>
      <c r="J25" s="556"/>
      <c r="K25" s="121">
        <v>-326</v>
      </c>
      <c r="L25" s="121"/>
      <c r="M25" s="556"/>
      <c r="N25" s="121">
        <v>-396</v>
      </c>
      <c r="O25" s="121"/>
      <c r="P25" s="669"/>
      <c r="Q25" s="27">
        <v>-367</v>
      </c>
      <c r="R25" s="670"/>
      <c r="S25" s="556"/>
      <c r="T25" s="121">
        <v>-372</v>
      </c>
      <c r="U25" s="121"/>
      <c r="V25" s="130"/>
      <c r="W25" s="117">
        <v>-688</v>
      </c>
      <c r="X25" s="117"/>
      <c r="Y25" s="130"/>
      <c r="Z25" s="117">
        <v>-739</v>
      </c>
    </row>
    <row r="26" spans="1:27" ht="12">
      <c r="A26" s="668"/>
      <c r="B26" s="673" t="s">
        <v>541</v>
      </c>
      <c r="D26" s="669"/>
      <c r="E26" s="27">
        <v>-949</v>
      </c>
      <c r="F26" s="134"/>
      <c r="G26" s="121"/>
      <c r="H26" s="121">
        <v>-943</v>
      </c>
      <c r="I26" s="121"/>
      <c r="J26" s="121"/>
      <c r="K26" s="121">
        <v>-1052</v>
      </c>
      <c r="L26" s="121"/>
      <c r="M26" s="121"/>
      <c r="N26" s="121">
        <v>-1351</v>
      </c>
      <c r="O26" s="121"/>
      <c r="P26" s="669"/>
      <c r="Q26" s="27">
        <v>-1513</v>
      </c>
      <c r="R26" s="134"/>
      <c r="S26" s="121"/>
      <c r="T26" s="121">
        <v>-1019</v>
      </c>
      <c r="U26" s="121"/>
      <c r="V26" s="130"/>
      <c r="W26" s="117">
        <v>-1892</v>
      </c>
      <c r="X26" s="117"/>
      <c r="Y26" s="130"/>
      <c r="Z26" s="117">
        <v>-2532</v>
      </c>
    </row>
    <row r="27" spans="1:27" ht="12">
      <c r="A27" s="668"/>
      <c r="B27" s="673" t="s">
        <v>1102</v>
      </c>
      <c r="D27" s="669"/>
      <c r="E27" s="27">
        <v>0</v>
      </c>
      <c r="F27" s="134"/>
      <c r="G27" s="121"/>
      <c r="H27" s="27">
        <v>0</v>
      </c>
      <c r="I27" s="121"/>
      <c r="J27" s="121"/>
      <c r="K27" s="121">
        <v>-817</v>
      </c>
      <c r="L27" s="121"/>
      <c r="M27" s="121"/>
      <c r="N27" s="121">
        <v>-162</v>
      </c>
      <c r="O27" s="121"/>
      <c r="P27" s="669"/>
      <c r="Q27" s="27">
        <v>-210</v>
      </c>
      <c r="R27" s="134"/>
      <c r="S27" s="121"/>
      <c r="T27" s="121">
        <v>-274</v>
      </c>
      <c r="U27" s="121"/>
      <c r="V27" s="130"/>
      <c r="W27" s="117">
        <v>0</v>
      </c>
      <c r="X27" s="117"/>
      <c r="Y27" s="130"/>
      <c r="Z27" s="117">
        <v>-484</v>
      </c>
    </row>
    <row r="28" spans="1:27" ht="12">
      <c r="A28" s="668"/>
      <c r="B28" s="673" t="s">
        <v>502</v>
      </c>
      <c r="D28" s="669"/>
      <c r="E28" s="27">
        <v>-266</v>
      </c>
      <c r="F28" s="670"/>
      <c r="G28" s="556"/>
      <c r="H28" s="121">
        <v>-264</v>
      </c>
      <c r="I28" s="121"/>
      <c r="J28" s="556"/>
      <c r="K28" s="121">
        <v>-265</v>
      </c>
      <c r="L28" s="121"/>
      <c r="M28" s="556"/>
      <c r="N28" s="121">
        <v>-257</v>
      </c>
      <c r="O28" s="121"/>
      <c r="P28" s="669"/>
      <c r="Q28" s="27">
        <v>-255</v>
      </c>
      <c r="R28" s="670"/>
      <c r="S28" s="556"/>
      <c r="T28" s="121">
        <v>-251</v>
      </c>
      <c r="U28" s="556"/>
      <c r="W28" s="117">
        <v>-530</v>
      </c>
      <c r="Z28" s="117">
        <v>-506</v>
      </c>
    </row>
    <row r="29" spans="1:27" ht="12">
      <c r="A29" s="668"/>
      <c r="B29" s="673" t="s">
        <v>542</v>
      </c>
      <c r="D29" s="669"/>
      <c r="E29" s="27">
        <v>2</v>
      </c>
      <c r="F29" s="670"/>
      <c r="G29" s="556"/>
      <c r="H29" s="121">
        <v>2</v>
      </c>
      <c r="I29" s="121"/>
      <c r="J29" s="556"/>
      <c r="K29" s="121">
        <v>3</v>
      </c>
      <c r="L29" s="121"/>
      <c r="M29" s="556"/>
      <c r="N29" s="121">
        <v>3</v>
      </c>
      <c r="O29" s="121"/>
      <c r="P29" s="669"/>
      <c r="Q29" s="27">
        <v>3</v>
      </c>
      <c r="R29" s="670"/>
      <c r="S29" s="556"/>
      <c r="T29" s="121">
        <v>3</v>
      </c>
      <c r="U29" s="556"/>
      <c r="W29" s="117">
        <v>4</v>
      </c>
      <c r="Z29" s="117">
        <v>6</v>
      </c>
    </row>
    <row r="30" spans="1:27" s="556" customFormat="1">
      <c r="A30" s="555"/>
      <c r="B30" s="673" t="s">
        <v>543</v>
      </c>
      <c r="D30" s="669"/>
      <c r="E30" s="27">
        <v>0</v>
      </c>
      <c r="F30" s="670"/>
      <c r="H30" s="27">
        <v>0</v>
      </c>
      <c r="I30" s="121"/>
      <c r="K30" s="27">
        <v>0</v>
      </c>
      <c r="L30" s="121"/>
      <c r="N30" s="27">
        <v>0</v>
      </c>
      <c r="O30" s="121"/>
      <c r="P30" s="669"/>
      <c r="Q30" s="27">
        <v>0</v>
      </c>
      <c r="R30" s="670"/>
      <c r="T30" s="27">
        <v>-34</v>
      </c>
      <c r="V30" s="663"/>
      <c r="W30" s="27">
        <v>0</v>
      </c>
      <c r="X30" s="555"/>
      <c r="Y30" s="663"/>
      <c r="Z30" s="117">
        <v>-34</v>
      </c>
    </row>
    <row r="31" spans="1:27" s="556" customFormat="1">
      <c r="A31" s="555"/>
      <c r="B31" s="673" t="s">
        <v>544</v>
      </c>
      <c r="D31" s="669"/>
      <c r="E31" s="30">
        <v>-28</v>
      </c>
      <c r="F31" s="670"/>
      <c r="H31" s="141">
        <v>-30</v>
      </c>
      <c r="I31" s="121"/>
      <c r="K31" s="141">
        <v>84</v>
      </c>
      <c r="L31" s="121"/>
      <c r="N31" s="141">
        <v>1</v>
      </c>
      <c r="O31" s="121"/>
      <c r="P31" s="669"/>
      <c r="Q31" s="30">
        <v>-76</v>
      </c>
      <c r="R31" s="670"/>
      <c r="T31" s="141">
        <v>-43</v>
      </c>
      <c r="V31" s="663"/>
      <c r="W31" s="141">
        <v>-58</v>
      </c>
      <c r="X31" s="555"/>
      <c r="Y31" s="663"/>
      <c r="Z31" s="141">
        <v>-119</v>
      </c>
    </row>
    <row r="32" spans="1:27" s="556" customFormat="1">
      <c r="A32" s="555"/>
      <c r="B32" s="555"/>
      <c r="C32" s="556" t="s">
        <v>545</v>
      </c>
      <c r="D32" s="669"/>
      <c r="E32" s="121"/>
      <c r="F32" s="670"/>
      <c r="H32" s="121"/>
      <c r="I32" s="121"/>
      <c r="K32" s="121"/>
      <c r="L32" s="121"/>
      <c r="N32" s="121"/>
      <c r="O32" s="121"/>
      <c r="P32" s="669"/>
      <c r="Q32" s="121"/>
      <c r="R32" s="670"/>
      <c r="T32" s="121"/>
      <c r="W32" s="121"/>
      <c r="Z32" s="121"/>
    </row>
    <row r="33" spans="1:26" s="556" customFormat="1">
      <c r="A33" s="555"/>
      <c r="B33" s="555"/>
      <c r="C33" s="673" t="s">
        <v>546</v>
      </c>
      <c r="D33" s="669"/>
      <c r="E33" s="30">
        <v>-1660</v>
      </c>
      <c r="F33" s="670"/>
      <c r="H33" s="30">
        <v>-1593</v>
      </c>
      <c r="I33" s="121"/>
      <c r="K33" s="30">
        <v>-2421</v>
      </c>
      <c r="L33" s="121"/>
      <c r="N33" s="30">
        <v>-2188</v>
      </c>
      <c r="O33" s="121"/>
      <c r="P33" s="669"/>
      <c r="Q33" s="30">
        <v>-2724</v>
      </c>
      <c r="R33" s="670"/>
      <c r="T33" s="30">
        <v>-2477</v>
      </c>
      <c r="V33" s="663"/>
      <c r="W33" s="141">
        <v>-3253</v>
      </c>
      <c r="Y33" s="663"/>
      <c r="Z33" s="141">
        <v>-5201</v>
      </c>
    </row>
    <row r="34" spans="1:26" s="556" customFormat="1">
      <c r="A34" s="555"/>
      <c r="B34" s="555"/>
      <c r="D34" s="669"/>
      <c r="E34" s="121"/>
      <c r="F34" s="670"/>
      <c r="H34" s="121"/>
      <c r="I34" s="121"/>
      <c r="K34" s="121"/>
      <c r="L34" s="121"/>
      <c r="N34" s="121"/>
      <c r="O34" s="121"/>
      <c r="P34" s="669"/>
      <c r="Q34" s="121"/>
      <c r="R34" s="670"/>
      <c r="T34" s="121"/>
      <c r="V34" s="663"/>
      <c r="W34" s="117"/>
      <c r="X34" s="555"/>
      <c r="Y34" s="663"/>
      <c r="Z34" s="117"/>
    </row>
    <row r="35" spans="1:26" s="556" customFormat="1">
      <c r="A35" s="555"/>
      <c r="B35" s="555"/>
      <c r="D35" s="669"/>
      <c r="E35" s="121"/>
      <c r="F35" s="670"/>
      <c r="H35" s="121"/>
      <c r="I35" s="121"/>
      <c r="K35" s="121"/>
      <c r="L35" s="121"/>
      <c r="N35" s="121"/>
      <c r="O35" s="121"/>
      <c r="P35" s="669"/>
      <c r="Q35" s="121"/>
      <c r="R35" s="670"/>
      <c r="T35" s="121"/>
      <c r="V35" s="663"/>
      <c r="W35" s="121"/>
      <c r="X35" s="555"/>
      <c r="Y35" s="663"/>
      <c r="Z35" s="121"/>
    </row>
    <row r="36" spans="1:26" s="556" customFormat="1" ht="12.6" thickBot="1">
      <c r="A36" s="672" t="s">
        <v>547</v>
      </c>
      <c r="B36" s="555"/>
      <c r="D36" s="669" t="s">
        <v>108</v>
      </c>
      <c r="E36" s="46">
        <v>40832</v>
      </c>
      <c r="F36" s="670"/>
      <c r="G36" s="556" t="s">
        <v>108</v>
      </c>
      <c r="H36" s="136">
        <v>41603</v>
      </c>
      <c r="I36" s="121"/>
      <c r="J36" s="556" t="s">
        <v>108</v>
      </c>
      <c r="K36" s="136">
        <v>42332</v>
      </c>
      <c r="L36" s="121"/>
      <c r="M36" s="556" t="s">
        <v>108</v>
      </c>
      <c r="N36" s="136">
        <v>43776</v>
      </c>
      <c r="O36" s="121"/>
      <c r="P36" s="669" t="s">
        <v>108</v>
      </c>
      <c r="Q36" s="46">
        <v>45078</v>
      </c>
      <c r="R36" s="670"/>
      <c r="S36" s="556" t="s">
        <v>108</v>
      </c>
      <c r="T36" s="136">
        <v>46834</v>
      </c>
      <c r="V36" s="663" t="s">
        <v>108</v>
      </c>
      <c r="W36" s="136">
        <v>40832</v>
      </c>
      <c r="X36" s="555"/>
      <c r="Y36" s="663" t="s">
        <v>108</v>
      </c>
      <c r="Z36" s="136">
        <v>45078</v>
      </c>
    </row>
    <row r="37" spans="1:26" s="556" customFormat="1" ht="12.6" thickTop="1" thickBot="1">
      <c r="D37" s="676"/>
      <c r="E37" s="677"/>
      <c r="F37" s="678"/>
      <c r="H37" s="121"/>
      <c r="I37" s="121"/>
      <c r="K37" s="121"/>
      <c r="L37" s="121"/>
      <c r="N37" s="121"/>
      <c r="O37" s="121"/>
      <c r="P37" s="676"/>
      <c r="Q37" s="677"/>
      <c r="R37" s="678"/>
      <c r="T37" s="121"/>
      <c r="V37" s="671"/>
      <c r="W37" s="121"/>
      <c r="X37" s="555"/>
      <c r="Y37" s="671"/>
    </row>
    <row r="38" spans="1:26" s="556" customFormat="1">
      <c r="F38" s="121"/>
      <c r="V38" s="671"/>
      <c r="W38" s="121"/>
      <c r="X38" s="555"/>
      <c r="Y38" s="671"/>
    </row>
    <row r="39" spans="1:26" ht="12">
      <c r="A39" s="668"/>
      <c r="G39" s="556"/>
      <c r="H39" s="556"/>
      <c r="I39" s="556"/>
      <c r="J39" s="556"/>
      <c r="K39" s="556"/>
      <c r="L39" s="556"/>
      <c r="M39" s="556"/>
      <c r="N39" s="556"/>
      <c r="O39" s="556"/>
      <c r="T39" s="556"/>
    </row>
    <row r="40" spans="1:26" ht="12">
      <c r="A40" s="668"/>
      <c r="G40" s="556"/>
      <c r="H40" s="556"/>
      <c r="I40" s="556"/>
      <c r="J40" s="556"/>
      <c r="K40" s="556"/>
      <c r="L40" s="556"/>
      <c r="M40" s="556"/>
      <c r="N40" s="556"/>
      <c r="O40" s="556"/>
      <c r="T40" s="556"/>
    </row>
    <row r="41" spans="1:26">
      <c r="G41" s="556"/>
      <c r="H41" s="556"/>
      <c r="I41" s="556"/>
      <c r="J41" s="556"/>
      <c r="K41" s="556"/>
      <c r="L41" s="556"/>
      <c r="M41" s="556"/>
      <c r="N41" s="556"/>
      <c r="O41" s="556"/>
    </row>
    <row r="42" spans="1:26" ht="12">
      <c r="A42" s="674"/>
      <c r="B42" s="556"/>
      <c r="D42" s="556"/>
      <c r="E42" s="556"/>
      <c r="G42" s="556"/>
      <c r="H42" s="556"/>
      <c r="I42" s="556"/>
      <c r="J42" s="556"/>
      <c r="K42" s="556"/>
      <c r="L42" s="556"/>
      <c r="M42" s="556"/>
      <c r="N42" s="556"/>
      <c r="O42" s="556"/>
      <c r="P42" s="556"/>
      <c r="Q42" s="556"/>
      <c r="R42" s="556"/>
      <c r="S42" s="556"/>
      <c r="T42" s="556"/>
    </row>
    <row r="43" spans="1:26">
      <c r="A43" s="556"/>
      <c r="B43" s="556"/>
      <c r="D43" s="556"/>
      <c r="E43" s="556"/>
      <c r="G43" s="556"/>
      <c r="H43" s="556"/>
      <c r="I43" s="556"/>
      <c r="J43" s="556"/>
      <c r="K43" s="556"/>
      <c r="L43" s="556"/>
      <c r="M43" s="556"/>
      <c r="N43" s="556"/>
      <c r="O43" s="556"/>
      <c r="P43" s="556"/>
      <c r="Q43" s="556"/>
      <c r="R43" s="556"/>
      <c r="S43" s="556"/>
      <c r="T43" s="556"/>
    </row>
    <row r="44" spans="1:26">
      <c r="A44" s="556"/>
      <c r="B44" s="556"/>
      <c r="D44" s="556"/>
      <c r="E44" s="556"/>
      <c r="G44" s="556"/>
      <c r="H44" s="556"/>
      <c r="I44" s="556"/>
      <c r="J44" s="556"/>
      <c r="K44" s="556"/>
      <c r="L44" s="556"/>
      <c r="M44" s="556"/>
      <c r="N44" s="556"/>
      <c r="O44" s="556"/>
      <c r="P44" s="556"/>
      <c r="Q44" s="556"/>
      <c r="R44" s="556"/>
      <c r="S44" s="556"/>
      <c r="T44" s="556"/>
    </row>
    <row r="45" spans="1:26">
      <c r="A45" s="556"/>
      <c r="B45" s="556"/>
      <c r="D45" s="556"/>
      <c r="E45" s="556"/>
      <c r="G45" s="556"/>
      <c r="H45" s="556"/>
      <c r="I45" s="556"/>
      <c r="J45" s="556"/>
      <c r="K45" s="556"/>
      <c r="L45" s="556"/>
      <c r="M45" s="556"/>
      <c r="N45" s="556"/>
      <c r="O45" s="556"/>
      <c r="P45" s="556"/>
      <c r="Q45" s="556"/>
      <c r="R45" s="556"/>
      <c r="S45" s="556"/>
      <c r="T45" s="556"/>
    </row>
    <row r="46" spans="1:26">
      <c r="A46" s="556"/>
      <c r="B46" s="556"/>
      <c r="D46" s="556"/>
      <c r="E46" s="556"/>
      <c r="G46" s="556"/>
      <c r="H46" s="556"/>
      <c r="I46" s="556"/>
      <c r="J46" s="556"/>
      <c r="K46" s="556"/>
      <c r="L46" s="556"/>
      <c r="M46" s="556"/>
      <c r="N46" s="556"/>
      <c r="O46" s="556"/>
      <c r="P46" s="556"/>
      <c r="Q46" s="556"/>
      <c r="R46" s="556"/>
      <c r="S46" s="556"/>
      <c r="T46" s="556"/>
    </row>
    <row r="47" spans="1:26">
      <c r="A47" s="556"/>
      <c r="B47" s="556"/>
      <c r="D47" s="556"/>
      <c r="E47" s="556"/>
      <c r="G47" s="556"/>
      <c r="H47" s="556"/>
      <c r="I47" s="556"/>
      <c r="J47" s="556"/>
      <c r="K47" s="556"/>
      <c r="L47" s="556"/>
      <c r="M47" s="556"/>
      <c r="N47" s="556"/>
      <c r="O47" s="556"/>
      <c r="P47" s="556"/>
      <c r="Q47" s="556"/>
      <c r="R47" s="556"/>
      <c r="S47" s="556"/>
      <c r="T47" s="556"/>
    </row>
    <row r="48" spans="1:26">
      <c r="A48" s="556"/>
      <c r="B48" s="556"/>
      <c r="D48" s="556"/>
      <c r="E48" s="556"/>
      <c r="G48" s="556"/>
      <c r="H48" s="556"/>
      <c r="I48" s="556"/>
      <c r="J48" s="556"/>
      <c r="K48" s="556"/>
      <c r="L48" s="556"/>
      <c r="M48" s="556"/>
      <c r="N48" s="556"/>
      <c r="O48" s="556"/>
      <c r="P48" s="556"/>
      <c r="Q48" s="556"/>
      <c r="R48" s="556"/>
      <c r="S48" s="556"/>
      <c r="T48" s="556"/>
    </row>
    <row r="49" spans="1:20">
      <c r="A49" s="556"/>
      <c r="B49" s="556"/>
      <c r="D49" s="556"/>
      <c r="E49" s="556"/>
      <c r="G49" s="556"/>
      <c r="H49" s="556"/>
      <c r="I49" s="556"/>
      <c r="J49" s="556"/>
      <c r="K49" s="556"/>
      <c r="L49" s="556"/>
      <c r="M49" s="556"/>
      <c r="N49" s="556"/>
      <c r="O49" s="556"/>
      <c r="P49" s="556"/>
      <c r="Q49" s="556"/>
      <c r="R49" s="556"/>
      <c r="S49" s="556"/>
      <c r="T49" s="556"/>
    </row>
    <row r="50" spans="1:20">
      <c r="A50" s="556"/>
      <c r="B50" s="556"/>
      <c r="D50" s="556"/>
      <c r="E50" s="556"/>
      <c r="G50" s="556"/>
      <c r="H50" s="556"/>
      <c r="I50" s="556"/>
      <c r="J50" s="556"/>
      <c r="K50" s="556"/>
      <c r="L50" s="556"/>
      <c r="M50" s="556"/>
      <c r="N50" s="556"/>
      <c r="O50" s="556"/>
      <c r="P50" s="556"/>
      <c r="Q50" s="556"/>
      <c r="R50" s="556"/>
      <c r="S50" s="556"/>
      <c r="T50" s="556"/>
    </row>
    <row r="51" spans="1:20" ht="12">
      <c r="A51" s="674"/>
      <c r="B51" s="556"/>
      <c r="D51" s="556"/>
      <c r="E51" s="556"/>
      <c r="G51" s="556"/>
      <c r="H51" s="556"/>
      <c r="I51" s="556"/>
      <c r="J51" s="556"/>
      <c r="K51" s="556"/>
      <c r="L51" s="556"/>
      <c r="M51" s="556"/>
      <c r="N51" s="556"/>
      <c r="O51" s="556"/>
      <c r="P51" s="556"/>
      <c r="Q51" s="556"/>
      <c r="R51" s="556"/>
      <c r="S51" s="556"/>
      <c r="T51" s="556"/>
    </row>
    <row r="52" spans="1:20">
      <c r="A52" s="556"/>
      <c r="B52" s="556"/>
      <c r="D52" s="556"/>
      <c r="E52" s="556"/>
      <c r="G52" s="556"/>
      <c r="H52" s="556"/>
      <c r="I52" s="556"/>
      <c r="J52" s="556"/>
      <c r="K52" s="556"/>
      <c r="L52" s="556"/>
      <c r="M52" s="556"/>
      <c r="N52" s="556"/>
      <c r="O52" s="556"/>
      <c r="P52" s="556"/>
      <c r="Q52" s="556"/>
      <c r="R52" s="556"/>
      <c r="S52" s="556"/>
      <c r="T52" s="556"/>
    </row>
  </sheetData>
  <mergeCells count="5">
    <mergeCell ref="A1:Z1"/>
    <mergeCell ref="A2:Z2"/>
    <mergeCell ref="A3:Z3"/>
    <mergeCell ref="D5:T5"/>
    <mergeCell ref="W5:Z5"/>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36.xml><?xml version="1.0" encoding="utf-8"?>
<worksheet xmlns="http://schemas.openxmlformats.org/spreadsheetml/2006/main" xmlns:r="http://schemas.openxmlformats.org/officeDocument/2006/relationships">
  <sheetPr>
    <pageSetUpPr fitToPage="1"/>
  </sheetPr>
  <dimension ref="A1:AF70"/>
  <sheetViews>
    <sheetView zoomScale="75" zoomScaleNormal="75" workbookViewId="0">
      <selection sqref="A1:Y1"/>
    </sheetView>
  </sheetViews>
  <sheetFormatPr defaultColWidth="7.33203125" defaultRowHeight="13.2"/>
  <cols>
    <col min="1" max="1" width="3.33203125" style="2" customWidth="1"/>
    <col min="2" max="2" width="41" style="35" customWidth="1"/>
    <col min="3" max="3" width="2.44140625" style="2" customWidth="1"/>
    <col min="4" max="4" width="8.5546875" style="2" customWidth="1"/>
    <col min="5" max="5" width="2.44140625" style="2" customWidth="1"/>
    <col min="6" max="6" width="2.44140625" style="65" customWidth="1"/>
    <col min="7" max="7" width="8.44140625" style="191" customWidth="1"/>
    <col min="8" max="8" width="2.44140625" style="191" customWidth="1"/>
    <col min="9" max="9" width="2.44140625" style="65" customWidth="1"/>
    <col min="10" max="10" width="8.44140625" style="191" customWidth="1"/>
    <col min="11" max="11" width="2.44140625" style="191" customWidth="1"/>
    <col min="12" max="12" width="2.44140625" style="355" customWidth="1"/>
    <col min="13" max="13" width="8.44140625" style="191" customWidth="1"/>
    <col min="14" max="15" width="2.44140625" style="2" customWidth="1"/>
    <col min="16" max="16" width="8.44140625" style="2" customWidth="1"/>
    <col min="17" max="18" width="2.44140625" style="2" customWidth="1"/>
    <col min="19" max="19" width="8.44140625" style="2" customWidth="1"/>
    <col min="20" max="21" width="2.44140625" style="2" customWidth="1"/>
    <col min="22" max="22" width="8.44140625" style="2" customWidth="1"/>
    <col min="23" max="24" width="2.44140625" style="2" customWidth="1"/>
    <col min="25" max="25" width="8.44140625" style="2" customWidth="1"/>
    <col min="26" max="26" width="7.33203125" style="2" customWidth="1"/>
    <col min="27" max="16384" width="7.33203125" style="2"/>
  </cols>
  <sheetData>
    <row r="1" spans="1:26" s="192" customFormat="1">
      <c r="A1" s="972" t="s">
        <v>96</v>
      </c>
      <c r="B1" s="972"/>
      <c r="C1" s="972"/>
      <c r="D1" s="972"/>
      <c r="E1" s="972"/>
      <c r="F1" s="972"/>
      <c r="G1" s="972"/>
      <c r="H1" s="972"/>
      <c r="I1" s="972"/>
      <c r="J1" s="972"/>
      <c r="K1" s="972"/>
      <c r="L1" s="972"/>
      <c r="M1" s="972"/>
      <c r="N1" s="972"/>
      <c r="O1" s="972"/>
      <c r="P1" s="972"/>
      <c r="Q1" s="972"/>
      <c r="R1" s="972"/>
      <c r="S1" s="972"/>
      <c r="T1" s="972"/>
      <c r="U1" s="972"/>
      <c r="V1" s="972"/>
      <c r="W1" s="972"/>
      <c r="X1" s="972"/>
      <c r="Y1" s="972"/>
    </row>
    <row r="2" spans="1:26" s="192" customFormat="1">
      <c r="A2" s="972" t="s">
        <v>548</v>
      </c>
      <c r="B2" s="972"/>
      <c r="C2" s="972"/>
      <c r="D2" s="972"/>
      <c r="E2" s="972"/>
      <c r="F2" s="972"/>
      <c r="G2" s="972"/>
      <c r="H2" s="972"/>
      <c r="I2" s="972"/>
      <c r="J2" s="972"/>
      <c r="K2" s="972"/>
      <c r="L2" s="972"/>
      <c r="M2" s="972"/>
      <c r="N2" s="972"/>
      <c r="O2" s="972"/>
      <c r="P2" s="972"/>
      <c r="Q2" s="972"/>
      <c r="R2" s="972"/>
      <c r="S2" s="972"/>
      <c r="T2" s="972"/>
      <c r="U2" s="972"/>
      <c r="V2" s="972"/>
      <c r="W2" s="972"/>
      <c r="X2" s="972"/>
      <c r="Y2" s="972"/>
    </row>
    <row r="3" spans="1:26" ht="10.199999999999999">
      <c r="A3" s="974" t="s">
        <v>800</v>
      </c>
      <c r="B3" s="974"/>
      <c r="C3" s="974"/>
      <c r="D3" s="974"/>
      <c r="E3" s="974"/>
      <c r="F3" s="974"/>
      <c r="G3" s="974"/>
      <c r="H3" s="974"/>
      <c r="I3" s="974"/>
      <c r="J3" s="974"/>
      <c r="K3" s="974"/>
      <c r="L3" s="974"/>
      <c r="M3" s="974"/>
      <c r="N3" s="974"/>
      <c r="O3" s="974"/>
      <c r="P3" s="974"/>
      <c r="Q3" s="974"/>
      <c r="R3" s="974"/>
      <c r="S3" s="974"/>
      <c r="T3" s="974"/>
      <c r="U3" s="974"/>
      <c r="V3" s="974"/>
      <c r="W3" s="974"/>
      <c r="X3" s="974"/>
      <c r="Y3" s="974"/>
    </row>
    <row r="4" spans="1:26" s="5" customFormat="1">
      <c r="A4" s="192"/>
      <c r="B4" s="553"/>
      <c r="C4" s="192"/>
      <c r="D4" s="192"/>
      <c r="E4" s="192"/>
      <c r="F4" s="192"/>
      <c r="G4" s="192"/>
      <c r="H4" s="192"/>
      <c r="I4" s="192"/>
      <c r="J4" s="192"/>
      <c r="K4" s="192"/>
      <c r="L4" s="553"/>
      <c r="M4" s="192"/>
    </row>
    <row r="5" spans="1:26" s="5" customFormat="1">
      <c r="A5" s="192"/>
      <c r="B5" s="553"/>
      <c r="C5" s="975" t="s">
        <v>99</v>
      </c>
      <c r="D5" s="975"/>
      <c r="E5" s="975"/>
      <c r="F5" s="975"/>
      <c r="G5" s="975"/>
      <c r="H5" s="975"/>
      <c r="I5" s="975"/>
      <c r="J5" s="975"/>
      <c r="K5" s="975"/>
      <c r="L5" s="975"/>
      <c r="M5" s="975"/>
      <c r="N5" s="975"/>
      <c r="O5" s="975"/>
      <c r="P5" s="975"/>
      <c r="Q5" s="975"/>
      <c r="R5" s="975"/>
      <c r="S5" s="975"/>
      <c r="V5" s="975" t="s">
        <v>100</v>
      </c>
      <c r="W5" s="975"/>
      <c r="X5" s="975"/>
      <c r="Y5" s="975"/>
    </row>
    <row r="6" spans="1:26" s="5" customFormat="1" ht="13.8" thickBot="1">
      <c r="A6" s="553"/>
      <c r="B6" s="553"/>
      <c r="C6" s="553"/>
      <c r="D6" s="553"/>
      <c r="E6" s="553"/>
      <c r="F6" s="679"/>
      <c r="G6" s="6"/>
      <c r="H6" s="6"/>
      <c r="I6" s="679"/>
      <c r="J6" s="6"/>
      <c r="K6" s="6"/>
      <c r="L6" s="6"/>
      <c r="M6" s="6"/>
      <c r="N6" s="11"/>
      <c r="O6" s="11"/>
      <c r="P6" s="11"/>
      <c r="Q6" s="11"/>
      <c r="R6" s="11"/>
    </row>
    <row r="7" spans="1:26" s="5" customFormat="1">
      <c r="A7" s="192"/>
      <c r="B7" s="553"/>
      <c r="C7" s="7"/>
      <c r="D7" s="8" t="s">
        <v>104</v>
      </c>
      <c r="E7" s="9"/>
      <c r="F7" s="11"/>
      <c r="G7" s="6" t="s">
        <v>105</v>
      </c>
      <c r="H7" s="11"/>
      <c r="I7" s="11"/>
      <c r="J7" s="6" t="s">
        <v>102</v>
      </c>
      <c r="K7" s="11"/>
      <c r="L7" s="11"/>
      <c r="M7" s="6" t="s">
        <v>103</v>
      </c>
      <c r="N7" s="11"/>
      <c r="O7" s="7"/>
      <c r="P7" s="8" t="s">
        <v>104</v>
      </c>
      <c r="Q7" s="9"/>
      <c r="R7" s="11"/>
      <c r="S7" s="6" t="s">
        <v>105</v>
      </c>
      <c r="T7" s="11"/>
      <c r="V7" s="6" t="s">
        <v>104</v>
      </c>
      <c r="W7" s="6"/>
      <c r="Y7" s="6" t="s">
        <v>104</v>
      </c>
    </row>
    <row r="8" spans="1:26" s="5" customFormat="1">
      <c r="A8" s="192"/>
      <c r="B8" s="553"/>
      <c r="C8" s="210"/>
      <c r="D8" s="13">
        <v>2012</v>
      </c>
      <c r="E8" s="14"/>
      <c r="F8" s="11"/>
      <c r="G8" s="13">
        <v>2012</v>
      </c>
      <c r="H8" s="553"/>
      <c r="I8" s="11"/>
      <c r="J8" s="13">
        <v>2011</v>
      </c>
      <c r="K8" s="553"/>
      <c r="L8" s="11"/>
      <c r="M8" s="13">
        <v>2011</v>
      </c>
      <c r="N8" s="553"/>
      <c r="O8" s="210"/>
      <c r="P8" s="13">
        <v>2011</v>
      </c>
      <c r="Q8" s="14"/>
      <c r="R8" s="11"/>
      <c r="S8" s="13">
        <v>2011</v>
      </c>
      <c r="T8" s="11"/>
      <c r="V8" s="13">
        <v>2012</v>
      </c>
      <c r="W8" s="6"/>
      <c r="Y8" s="13">
        <v>2011</v>
      </c>
    </row>
    <row r="9" spans="1:26" s="5" customFormat="1">
      <c r="A9" s="192"/>
      <c r="B9" s="553"/>
      <c r="C9" s="680"/>
      <c r="D9" s="18"/>
      <c r="E9" s="681"/>
      <c r="F9" s="11"/>
      <c r="G9" s="18"/>
      <c r="H9" s="11"/>
      <c r="I9" s="11"/>
      <c r="J9" s="18"/>
      <c r="K9" s="11"/>
      <c r="L9" s="11"/>
      <c r="M9" s="18"/>
      <c r="N9" s="11"/>
      <c r="O9" s="680"/>
      <c r="P9" s="18"/>
      <c r="Q9" s="681"/>
      <c r="R9" s="11"/>
      <c r="S9" s="18"/>
      <c r="T9" s="11"/>
      <c r="V9" s="18"/>
      <c r="W9" s="10"/>
      <c r="Y9" s="10"/>
      <c r="Z9" s="10"/>
    </row>
    <row r="10" spans="1:26" s="5" customFormat="1" ht="12">
      <c r="A10" s="682" t="s">
        <v>549</v>
      </c>
      <c r="B10" s="15"/>
      <c r="C10" s="22"/>
      <c r="D10" s="176"/>
      <c r="E10" s="37"/>
      <c r="F10" s="23"/>
      <c r="G10" s="176"/>
      <c r="H10" s="11"/>
      <c r="I10" s="23"/>
      <c r="J10" s="176"/>
      <c r="K10" s="11"/>
      <c r="L10" s="23"/>
      <c r="M10" s="176"/>
      <c r="N10" s="11"/>
      <c r="O10" s="22"/>
      <c r="P10" s="176"/>
      <c r="Q10" s="37"/>
      <c r="R10" s="23"/>
      <c r="S10" s="176"/>
      <c r="T10" s="11"/>
      <c r="U10" s="23"/>
      <c r="V10" s="683"/>
      <c r="W10" s="176"/>
      <c r="X10" s="23"/>
      <c r="Y10" s="683"/>
      <c r="Z10" s="11"/>
    </row>
    <row r="11" spans="1:26" ht="11.4">
      <c r="A11" s="684" t="s">
        <v>550</v>
      </c>
      <c r="B11" s="11"/>
      <c r="C11" s="230" t="s">
        <v>108</v>
      </c>
      <c r="D11" s="23">
        <v>291</v>
      </c>
      <c r="E11" s="37"/>
      <c r="F11" s="66" t="s">
        <v>108</v>
      </c>
      <c r="G11" s="23">
        <v>287</v>
      </c>
      <c r="H11" s="11"/>
      <c r="I11" s="66" t="s">
        <v>108</v>
      </c>
      <c r="J11" s="23">
        <v>305</v>
      </c>
      <c r="K11" s="11"/>
      <c r="L11" s="66" t="s">
        <v>108</v>
      </c>
      <c r="M11" s="23">
        <v>287</v>
      </c>
      <c r="N11" s="11"/>
      <c r="O11" s="230" t="s">
        <v>108</v>
      </c>
      <c r="P11" s="23">
        <v>286</v>
      </c>
      <c r="Q11" s="37"/>
      <c r="R11" s="66" t="s">
        <v>108</v>
      </c>
      <c r="S11" s="23">
        <v>312</v>
      </c>
      <c r="T11" s="5"/>
      <c r="U11" s="66" t="s">
        <v>108</v>
      </c>
      <c r="V11" s="23">
        <v>578</v>
      </c>
      <c r="W11" s="5"/>
      <c r="X11" s="66" t="s">
        <v>108</v>
      </c>
      <c r="Y11" s="21">
        <v>598</v>
      </c>
    </row>
    <row r="12" spans="1:26">
      <c r="A12" s="684" t="s">
        <v>551</v>
      </c>
      <c r="B12" s="11"/>
      <c r="C12" s="230"/>
      <c r="D12" s="23">
        <v>173</v>
      </c>
      <c r="E12" s="37"/>
      <c r="F12" s="66"/>
      <c r="G12" s="23">
        <v>170</v>
      </c>
      <c r="H12" s="11"/>
      <c r="I12" s="66"/>
      <c r="J12" s="23">
        <v>168</v>
      </c>
      <c r="K12" s="11"/>
      <c r="L12" s="66"/>
      <c r="M12" s="23">
        <v>167</v>
      </c>
      <c r="N12" s="11"/>
      <c r="O12" s="230"/>
      <c r="P12" s="23">
        <v>162</v>
      </c>
      <c r="Q12" s="37"/>
      <c r="R12" s="66"/>
      <c r="S12" s="23">
        <v>162</v>
      </c>
      <c r="T12" s="5"/>
      <c r="U12" s="66"/>
      <c r="V12" s="23">
        <v>343</v>
      </c>
      <c r="W12" s="5"/>
      <c r="X12" s="66"/>
      <c r="Y12" s="21">
        <v>324</v>
      </c>
    </row>
    <row r="13" spans="1:26" ht="11.4">
      <c r="A13" s="685" t="s">
        <v>552</v>
      </c>
      <c r="B13" s="11"/>
      <c r="C13" s="230"/>
      <c r="D13" s="23"/>
      <c r="E13" s="37"/>
      <c r="F13" s="66"/>
      <c r="G13" s="23"/>
      <c r="H13" s="11"/>
      <c r="I13" s="66"/>
      <c r="J13" s="23"/>
      <c r="K13" s="11"/>
      <c r="L13" s="66"/>
      <c r="M13" s="23"/>
      <c r="N13" s="11"/>
      <c r="O13" s="230"/>
      <c r="P13" s="23"/>
      <c r="Q13" s="37"/>
      <c r="R13" s="66"/>
      <c r="S13" s="23"/>
      <c r="T13" s="5"/>
      <c r="U13" s="66"/>
      <c r="V13" s="23"/>
      <c r="W13" s="5"/>
      <c r="X13" s="66"/>
      <c r="Y13" s="21"/>
    </row>
    <row r="14" spans="1:26">
      <c r="A14" s="684" t="s">
        <v>553</v>
      </c>
      <c r="B14" s="11"/>
      <c r="C14" s="230"/>
      <c r="D14" s="23">
        <v>-326</v>
      </c>
      <c r="E14" s="37"/>
      <c r="F14" s="66"/>
      <c r="G14" s="23">
        <v>-305</v>
      </c>
      <c r="H14" s="11"/>
      <c r="I14" s="66"/>
      <c r="J14" s="23">
        <v>-294</v>
      </c>
      <c r="K14" s="11"/>
      <c r="L14" s="66"/>
      <c r="M14" s="23">
        <v>-320</v>
      </c>
      <c r="N14" s="11"/>
      <c r="O14" s="230"/>
      <c r="P14" s="23">
        <v>-287</v>
      </c>
      <c r="Q14" s="37"/>
      <c r="R14" s="66"/>
      <c r="S14" s="23">
        <v>-319</v>
      </c>
      <c r="T14" s="5"/>
      <c r="U14" s="66"/>
      <c r="V14" s="23">
        <v>-631</v>
      </c>
      <c r="W14" s="5"/>
      <c r="X14" s="66"/>
      <c r="Y14" s="39">
        <v>-606</v>
      </c>
    </row>
    <row r="15" spans="1:26" ht="11.4">
      <c r="A15" s="684" t="s">
        <v>554</v>
      </c>
      <c r="B15" s="11"/>
      <c r="C15" s="230"/>
      <c r="D15" s="31">
        <v>138</v>
      </c>
      <c r="E15" s="37"/>
      <c r="F15" s="66"/>
      <c r="G15" s="31">
        <v>152</v>
      </c>
      <c r="H15" s="11"/>
      <c r="I15" s="66"/>
      <c r="J15" s="31">
        <v>179</v>
      </c>
      <c r="K15" s="11"/>
      <c r="L15" s="66"/>
      <c r="M15" s="31">
        <v>134</v>
      </c>
      <c r="N15" s="11"/>
      <c r="O15" s="230"/>
      <c r="P15" s="31">
        <v>161</v>
      </c>
      <c r="Q15" s="37"/>
      <c r="R15" s="66"/>
      <c r="S15" s="31">
        <v>155</v>
      </c>
      <c r="T15" s="5"/>
      <c r="U15" s="66"/>
      <c r="V15" s="31">
        <v>290</v>
      </c>
      <c r="W15" s="5"/>
      <c r="X15" s="66"/>
      <c r="Y15" s="31">
        <v>316</v>
      </c>
    </row>
    <row r="16" spans="1:26" ht="11.4">
      <c r="A16" s="5"/>
      <c r="B16" s="11"/>
      <c r="C16" s="230"/>
      <c r="D16" s="23"/>
      <c r="E16" s="37"/>
      <c r="F16" s="66"/>
      <c r="G16" s="23"/>
      <c r="H16" s="11"/>
      <c r="I16" s="66"/>
      <c r="J16" s="23"/>
      <c r="K16" s="11"/>
      <c r="L16" s="66"/>
      <c r="M16" s="23"/>
      <c r="N16" s="11"/>
      <c r="O16" s="230"/>
      <c r="P16" s="23"/>
      <c r="Q16" s="37"/>
      <c r="R16" s="66"/>
      <c r="S16" s="23"/>
      <c r="T16" s="11"/>
      <c r="U16" s="66"/>
      <c r="V16" s="23"/>
      <c r="W16" s="11"/>
      <c r="X16" s="66"/>
      <c r="Y16" s="21"/>
    </row>
    <row r="17" spans="1:27" ht="12">
      <c r="A17" s="44" t="s">
        <v>555</v>
      </c>
      <c r="B17" s="11"/>
      <c r="C17" s="230"/>
      <c r="D17" s="23"/>
      <c r="E17" s="37"/>
      <c r="F17" s="66"/>
      <c r="G17" s="23"/>
      <c r="H17" s="11"/>
      <c r="I17" s="66"/>
      <c r="J17" s="23"/>
      <c r="K17" s="11"/>
      <c r="L17" s="66"/>
      <c r="M17" s="23"/>
      <c r="N17" s="11"/>
      <c r="O17" s="230"/>
      <c r="P17" s="23"/>
      <c r="Q17" s="37"/>
      <c r="R17" s="66"/>
      <c r="S17" s="23"/>
      <c r="T17" s="5"/>
      <c r="U17" s="66"/>
      <c r="V17" s="23"/>
      <c r="W17" s="5"/>
      <c r="X17" s="66"/>
      <c r="Y17" s="21"/>
    </row>
    <row r="18" spans="1:27" ht="11.4">
      <c r="A18" s="684" t="s">
        <v>556</v>
      </c>
      <c r="C18" s="230"/>
      <c r="D18" s="23">
        <v>663</v>
      </c>
      <c r="E18" s="37"/>
      <c r="F18" s="66"/>
      <c r="G18" s="23">
        <v>687</v>
      </c>
      <c r="H18" s="11"/>
      <c r="I18" s="66"/>
      <c r="J18" s="23">
        <v>656</v>
      </c>
      <c r="K18" s="11"/>
      <c r="L18" s="66"/>
      <c r="M18" s="23">
        <v>682</v>
      </c>
      <c r="N18" s="11"/>
      <c r="O18" s="230"/>
      <c r="P18" s="23">
        <v>694</v>
      </c>
      <c r="Q18" s="37"/>
      <c r="R18" s="66"/>
      <c r="S18" s="23">
        <v>684</v>
      </c>
      <c r="T18" s="5"/>
      <c r="U18" s="66"/>
      <c r="V18" s="23">
        <v>1350</v>
      </c>
      <c r="W18" s="5"/>
      <c r="X18" s="66"/>
      <c r="Y18" s="21">
        <v>1378</v>
      </c>
    </row>
    <row r="19" spans="1:27" ht="11.4">
      <c r="A19" s="684" t="s">
        <v>557</v>
      </c>
      <c r="C19" s="230"/>
      <c r="D19" s="23"/>
      <c r="E19" s="37"/>
      <c r="F19" s="66"/>
      <c r="G19" s="23"/>
      <c r="H19" s="11"/>
      <c r="I19" s="66"/>
      <c r="J19" s="23"/>
      <c r="K19" s="11"/>
      <c r="L19" s="66"/>
      <c r="M19" s="23"/>
      <c r="N19" s="11"/>
      <c r="O19" s="230"/>
      <c r="P19" s="23"/>
      <c r="Q19" s="37"/>
      <c r="R19" s="66"/>
      <c r="S19" s="23"/>
      <c r="T19" s="5"/>
      <c r="U19" s="66"/>
      <c r="V19" s="23"/>
      <c r="W19" s="5"/>
      <c r="X19" s="66"/>
      <c r="Y19" s="21"/>
    </row>
    <row r="20" spans="1:27">
      <c r="A20" s="684" t="s">
        <v>747</v>
      </c>
      <c r="C20" s="230"/>
      <c r="D20" s="23">
        <v>-136</v>
      </c>
      <c r="E20" s="37"/>
      <c r="F20" s="66"/>
      <c r="G20" s="23">
        <v>-134</v>
      </c>
      <c r="H20" s="11"/>
      <c r="I20" s="66"/>
      <c r="J20" s="23">
        <v>-136</v>
      </c>
      <c r="K20" s="11"/>
      <c r="L20" s="66"/>
      <c r="M20" s="23">
        <v>-135</v>
      </c>
      <c r="N20" s="11"/>
      <c r="O20" s="230"/>
      <c r="P20" s="23">
        <v>-135</v>
      </c>
      <c r="Q20" s="37"/>
      <c r="R20" s="66"/>
      <c r="S20" s="23">
        <v>-135</v>
      </c>
      <c r="T20" s="5"/>
      <c r="U20" s="66"/>
      <c r="V20" s="23">
        <v>-270</v>
      </c>
      <c r="W20" s="5"/>
      <c r="X20" s="66"/>
      <c r="Y20" s="21">
        <v>-270</v>
      </c>
    </row>
    <row r="21" spans="1:27" ht="11.4">
      <c r="A21" s="684" t="s">
        <v>558</v>
      </c>
      <c r="C21" s="230"/>
      <c r="D21" s="23">
        <v>-366</v>
      </c>
      <c r="E21" s="37"/>
      <c r="F21" s="66"/>
      <c r="G21" s="23">
        <v>-378</v>
      </c>
      <c r="H21" s="11"/>
      <c r="I21" s="66"/>
      <c r="J21" s="23">
        <v>-405</v>
      </c>
      <c r="K21" s="11"/>
      <c r="L21" s="66"/>
      <c r="M21" s="23">
        <v>-405</v>
      </c>
      <c r="N21" s="11"/>
      <c r="O21" s="230"/>
      <c r="P21" s="23">
        <v>-417</v>
      </c>
      <c r="Q21" s="37"/>
      <c r="R21" s="66"/>
      <c r="S21" s="23">
        <v>-418</v>
      </c>
      <c r="T21" s="5"/>
      <c r="U21" s="66"/>
      <c r="V21" s="23">
        <v>-744</v>
      </c>
      <c r="W21" s="5"/>
      <c r="X21" s="66"/>
      <c r="Y21" s="39">
        <v>-835</v>
      </c>
    </row>
    <row r="22" spans="1:27" ht="11.4">
      <c r="A22" s="684" t="s">
        <v>559</v>
      </c>
      <c r="C22" s="230"/>
      <c r="D22" s="31">
        <v>161</v>
      </c>
      <c r="E22" s="47"/>
      <c r="F22" s="66"/>
      <c r="G22" s="31">
        <v>175</v>
      </c>
      <c r="H22" s="35"/>
      <c r="I22" s="66"/>
      <c r="J22" s="31">
        <v>115</v>
      </c>
      <c r="K22" s="35"/>
      <c r="L22" s="66"/>
      <c r="M22" s="31">
        <v>142</v>
      </c>
      <c r="N22" s="35"/>
      <c r="O22" s="230"/>
      <c r="P22" s="31">
        <v>142</v>
      </c>
      <c r="Q22" s="47"/>
      <c r="R22" s="66"/>
      <c r="S22" s="31">
        <v>131</v>
      </c>
      <c r="U22" s="66"/>
      <c r="V22" s="31">
        <v>336</v>
      </c>
      <c r="X22" s="66"/>
      <c r="Y22" s="31">
        <v>273</v>
      </c>
    </row>
    <row r="23" spans="1:27" s="5" customFormat="1" ht="11.4">
      <c r="B23" s="11"/>
      <c r="C23" s="230"/>
      <c r="D23" s="66"/>
      <c r="E23" s="37"/>
      <c r="F23" s="11"/>
      <c r="G23" s="11"/>
      <c r="H23" s="11"/>
      <c r="I23" s="11"/>
      <c r="J23" s="11"/>
      <c r="K23" s="11"/>
      <c r="L23" s="11"/>
      <c r="M23" s="11"/>
      <c r="N23" s="11"/>
      <c r="O23" s="230"/>
      <c r="P23" s="66"/>
      <c r="Q23" s="37"/>
      <c r="R23" s="11"/>
      <c r="S23" s="11"/>
      <c r="T23" s="11"/>
      <c r="U23" s="66"/>
      <c r="V23" s="66"/>
      <c r="W23" s="11"/>
      <c r="X23" s="66"/>
      <c r="Y23" s="21"/>
      <c r="AA23" s="2"/>
    </row>
    <row r="24" spans="1:27" s="5" customFormat="1" ht="11.4">
      <c r="A24" s="5" t="s">
        <v>560</v>
      </c>
      <c r="B24" s="11"/>
      <c r="C24" s="230"/>
      <c r="D24" s="66"/>
      <c r="E24" s="37"/>
      <c r="F24" s="11"/>
      <c r="G24" s="11"/>
      <c r="H24" s="11"/>
      <c r="I24" s="11"/>
      <c r="J24" s="11"/>
      <c r="K24" s="11"/>
      <c r="L24" s="11"/>
      <c r="M24" s="11"/>
      <c r="N24" s="11"/>
      <c r="O24" s="230"/>
      <c r="P24" s="66"/>
      <c r="Q24" s="37"/>
      <c r="R24" s="11"/>
      <c r="S24" s="11"/>
      <c r="U24" s="11"/>
      <c r="V24" s="66"/>
      <c r="X24" s="11"/>
      <c r="Y24" s="21"/>
      <c r="AA24" s="2"/>
    </row>
    <row r="25" spans="1:27" s="5" customFormat="1">
      <c r="B25" s="11" t="s">
        <v>561</v>
      </c>
      <c r="C25" s="230"/>
      <c r="D25" s="23">
        <v>95</v>
      </c>
      <c r="E25" s="37"/>
      <c r="F25" s="66"/>
      <c r="G25" s="23">
        <v>96</v>
      </c>
      <c r="H25" s="11"/>
      <c r="I25" s="66"/>
      <c r="J25" s="23">
        <v>97</v>
      </c>
      <c r="K25" s="11"/>
      <c r="L25" s="66"/>
      <c r="M25" s="23">
        <v>98</v>
      </c>
      <c r="N25" s="11"/>
      <c r="O25" s="230"/>
      <c r="P25" s="23">
        <v>99</v>
      </c>
      <c r="Q25" s="37"/>
      <c r="R25" s="66"/>
      <c r="S25" s="23">
        <v>95</v>
      </c>
      <c r="V25" s="23">
        <v>191</v>
      </c>
      <c r="Y25" s="21">
        <v>194</v>
      </c>
      <c r="AA25" s="2"/>
    </row>
    <row r="26" spans="1:27" s="5" customFormat="1" ht="11.4">
      <c r="A26" s="5" t="s">
        <v>562</v>
      </c>
      <c r="B26" s="11"/>
      <c r="C26" s="230"/>
      <c r="D26" s="23">
        <v>8</v>
      </c>
      <c r="E26" s="37"/>
      <c r="F26" s="66"/>
      <c r="G26" s="23">
        <v>-21</v>
      </c>
      <c r="H26" s="11"/>
      <c r="I26" s="66"/>
      <c r="J26" s="23">
        <v>68</v>
      </c>
      <c r="K26" s="11"/>
      <c r="L26" s="66"/>
      <c r="M26" s="23">
        <v>219</v>
      </c>
      <c r="N26" s="11"/>
      <c r="O26" s="230"/>
      <c r="P26" s="23">
        <v>62</v>
      </c>
      <c r="Q26" s="37"/>
      <c r="R26" s="66"/>
      <c r="S26" s="23">
        <v>39</v>
      </c>
      <c r="U26" s="66"/>
      <c r="V26" s="23">
        <v>-13</v>
      </c>
      <c r="X26" s="66"/>
      <c r="Y26" s="21">
        <v>101</v>
      </c>
      <c r="AA26" s="2"/>
    </row>
    <row r="27" spans="1:27" s="5" customFormat="1" ht="11.4">
      <c r="A27" s="5" t="s">
        <v>490</v>
      </c>
      <c r="B27" s="11"/>
      <c r="C27" s="230"/>
      <c r="D27" s="23"/>
      <c r="E27" s="37"/>
      <c r="F27" s="66"/>
      <c r="G27" s="23"/>
      <c r="H27" s="11"/>
      <c r="I27" s="66"/>
      <c r="J27" s="23"/>
      <c r="K27" s="11"/>
      <c r="L27" s="66"/>
      <c r="M27" s="23"/>
      <c r="N27" s="11"/>
      <c r="O27" s="230"/>
      <c r="P27" s="23"/>
      <c r="Q27" s="37"/>
      <c r="R27" s="66"/>
      <c r="S27" s="23"/>
      <c r="T27" s="11"/>
      <c r="U27" s="66"/>
      <c r="V27" s="23"/>
      <c r="W27" s="11"/>
      <c r="X27" s="66"/>
      <c r="Y27" s="21"/>
      <c r="AA27" s="2"/>
    </row>
    <row r="28" spans="1:27" s="5" customFormat="1" ht="11.4">
      <c r="A28" s="5" t="s">
        <v>491</v>
      </c>
      <c r="B28" s="11"/>
      <c r="C28" s="230"/>
      <c r="D28" s="23">
        <v>-77</v>
      </c>
      <c r="E28" s="37"/>
      <c r="F28" s="66"/>
      <c r="G28" s="23">
        <v>-101</v>
      </c>
      <c r="H28" s="11"/>
      <c r="I28" s="66"/>
      <c r="J28" s="23">
        <v>-101</v>
      </c>
      <c r="K28" s="11"/>
      <c r="L28" s="66"/>
      <c r="M28" s="23">
        <v>-180</v>
      </c>
      <c r="N28" s="11"/>
      <c r="O28" s="230"/>
      <c r="P28" s="23">
        <v>-93</v>
      </c>
      <c r="Q28" s="37"/>
      <c r="R28" s="66"/>
      <c r="S28" s="23">
        <v>-120</v>
      </c>
      <c r="U28" s="66"/>
      <c r="V28" s="23">
        <v>-178</v>
      </c>
      <c r="X28" s="66"/>
      <c r="Y28" s="21">
        <v>-213</v>
      </c>
      <c r="AA28" s="2"/>
    </row>
    <row r="29" spans="1:27" s="5" customFormat="1" ht="11.4">
      <c r="A29" s="98" t="s">
        <v>755</v>
      </c>
      <c r="B29" s="15"/>
      <c r="C29" s="230"/>
      <c r="D29" s="23">
        <v>-135</v>
      </c>
      <c r="E29" s="37"/>
      <c r="F29" s="66"/>
      <c r="G29" s="23">
        <v>-142</v>
      </c>
      <c r="H29" s="11"/>
      <c r="I29" s="66"/>
      <c r="J29" s="23">
        <v>-159</v>
      </c>
      <c r="K29" s="11"/>
      <c r="L29" s="66"/>
      <c r="M29" s="23">
        <v>-129</v>
      </c>
      <c r="N29" s="11"/>
      <c r="O29" s="230"/>
      <c r="P29" s="23">
        <v>-135</v>
      </c>
      <c r="Q29" s="37"/>
      <c r="R29" s="66"/>
      <c r="S29" s="23">
        <v>-132</v>
      </c>
      <c r="U29" s="66"/>
      <c r="V29" s="23">
        <v>-277</v>
      </c>
      <c r="X29" s="66"/>
      <c r="Y29" s="21">
        <v>-267</v>
      </c>
      <c r="AA29" s="2"/>
    </row>
    <row r="30" spans="1:27" s="5" customFormat="1" ht="11.4">
      <c r="A30" s="5" t="s">
        <v>325</v>
      </c>
      <c r="B30" s="11"/>
      <c r="C30" s="230"/>
      <c r="D30" s="23">
        <v>0</v>
      </c>
      <c r="E30" s="37"/>
      <c r="F30" s="66"/>
      <c r="G30" s="23">
        <v>0</v>
      </c>
      <c r="H30" s="11"/>
      <c r="I30" s="66"/>
      <c r="J30" s="23">
        <v>-3</v>
      </c>
      <c r="K30" s="11"/>
      <c r="L30" s="66"/>
      <c r="M30" s="23">
        <v>0</v>
      </c>
      <c r="N30" s="11"/>
      <c r="O30" s="230"/>
      <c r="P30" s="23">
        <v>0</v>
      </c>
      <c r="Q30" s="37"/>
      <c r="R30" s="66"/>
      <c r="S30" s="23">
        <v>2</v>
      </c>
      <c r="U30" s="66"/>
      <c r="V30" s="23">
        <v>0</v>
      </c>
      <c r="X30" s="66"/>
      <c r="Y30" s="21">
        <v>2</v>
      </c>
      <c r="AA30" s="2"/>
    </row>
    <row r="31" spans="1:27" s="5" customFormat="1" ht="11.4">
      <c r="A31" s="98" t="s">
        <v>759</v>
      </c>
      <c r="B31" s="11"/>
      <c r="C31" s="230"/>
      <c r="D31" s="23">
        <v>3</v>
      </c>
      <c r="E31" s="37"/>
      <c r="F31" s="66"/>
      <c r="G31" s="23">
        <v>3</v>
      </c>
      <c r="H31" s="11"/>
      <c r="I31" s="66"/>
      <c r="J31" s="23">
        <v>2</v>
      </c>
      <c r="K31" s="11"/>
      <c r="L31" s="66"/>
      <c r="M31" s="23">
        <v>4</v>
      </c>
      <c r="N31" s="11"/>
      <c r="O31" s="230"/>
      <c r="P31" s="23">
        <v>7</v>
      </c>
      <c r="Q31" s="37"/>
      <c r="R31" s="66"/>
      <c r="S31" s="23">
        <v>-20</v>
      </c>
      <c r="U31" s="66"/>
      <c r="V31" s="23">
        <v>6</v>
      </c>
      <c r="X31" s="66"/>
      <c r="Y31" s="21">
        <v>-13</v>
      </c>
      <c r="AA31" s="2"/>
    </row>
    <row r="32" spans="1:27" s="5" customFormat="1" ht="11.4">
      <c r="A32" s="98" t="s">
        <v>1132</v>
      </c>
      <c r="B32" s="15"/>
      <c r="C32" s="230"/>
      <c r="D32" s="39">
        <v>-61</v>
      </c>
      <c r="E32" s="37"/>
      <c r="F32" s="66"/>
      <c r="G32" s="39">
        <v>-50</v>
      </c>
      <c r="H32" s="11"/>
      <c r="I32" s="66"/>
      <c r="J32" s="39">
        <v>-63</v>
      </c>
      <c r="K32" s="11"/>
      <c r="L32" s="66"/>
      <c r="M32" s="39">
        <v>-96</v>
      </c>
      <c r="N32" s="11"/>
      <c r="O32" s="230"/>
      <c r="P32" s="39">
        <v>-82</v>
      </c>
      <c r="Q32" s="37"/>
      <c r="R32" s="66"/>
      <c r="S32" s="39">
        <v>-48</v>
      </c>
      <c r="U32" s="66"/>
      <c r="V32" s="39">
        <v>-111</v>
      </c>
      <c r="X32" s="66"/>
      <c r="Y32" s="39">
        <v>-130</v>
      </c>
      <c r="AA32" s="2"/>
    </row>
    <row r="33" spans="1:27" s="5" customFormat="1" ht="11.4">
      <c r="A33" s="98"/>
      <c r="B33" s="15"/>
      <c r="C33" s="230"/>
      <c r="D33" s="23"/>
      <c r="E33" s="37"/>
      <c r="F33" s="66"/>
      <c r="G33" s="23"/>
      <c r="H33" s="11"/>
      <c r="I33" s="66"/>
      <c r="J33" s="23"/>
      <c r="K33" s="11"/>
      <c r="L33" s="66"/>
      <c r="M33" s="23"/>
      <c r="N33" s="11"/>
      <c r="O33" s="230"/>
      <c r="P33" s="23"/>
      <c r="Q33" s="37"/>
      <c r="R33" s="66"/>
      <c r="S33" s="23"/>
      <c r="U33" s="66"/>
      <c r="V33" s="23"/>
      <c r="X33" s="66"/>
      <c r="Y33" s="21"/>
      <c r="AA33" s="2"/>
    </row>
    <row r="34" spans="1:27" s="5" customFormat="1" ht="12.6" thickBot="1">
      <c r="A34" s="194" t="s">
        <v>947</v>
      </c>
      <c r="B34" s="15"/>
      <c r="C34" s="230" t="s">
        <v>108</v>
      </c>
      <c r="D34" s="45">
        <v>132</v>
      </c>
      <c r="E34" s="37"/>
      <c r="F34" s="66" t="s">
        <v>108</v>
      </c>
      <c r="G34" s="45">
        <v>112</v>
      </c>
      <c r="H34" s="11"/>
      <c r="I34" s="66" t="s">
        <v>108</v>
      </c>
      <c r="J34" s="45">
        <v>135</v>
      </c>
      <c r="K34" s="11"/>
      <c r="L34" s="66" t="s">
        <v>108</v>
      </c>
      <c r="M34" s="45">
        <v>192</v>
      </c>
      <c r="N34" s="11"/>
      <c r="O34" s="230" t="s">
        <v>108</v>
      </c>
      <c r="P34" s="45">
        <v>161</v>
      </c>
      <c r="Q34" s="37"/>
      <c r="R34" s="66" t="s">
        <v>108</v>
      </c>
      <c r="S34" s="45">
        <v>102</v>
      </c>
      <c r="U34" s="66" t="s">
        <v>108</v>
      </c>
      <c r="V34" s="45">
        <v>244</v>
      </c>
      <c r="X34" s="66" t="s">
        <v>108</v>
      </c>
      <c r="Y34" s="45">
        <v>263</v>
      </c>
      <c r="AA34" s="2"/>
    </row>
    <row r="35" spans="1:27" s="5" customFormat="1" ht="12" thickTop="1">
      <c r="B35" s="11"/>
      <c r="C35" s="230"/>
      <c r="D35" s="66"/>
      <c r="E35" s="37"/>
      <c r="F35" s="11"/>
      <c r="G35" s="11"/>
      <c r="H35" s="11"/>
      <c r="I35" s="11"/>
      <c r="J35" s="11"/>
      <c r="K35" s="11"/>
      <c r="L35" s="11"/>
      <c r="M35" s="11"/>
      <c r="N35" s="11"/>
      <c r="O35" s="230"/>
      <c r="P35" s="66"/>
      <c r="Q35" s="37"/>
      <c r="R35" s="11"/>
      <c r="S35" s="11"/>
      <c r="V35" s="66"/>
      <c r="Y35" s="21"/>
      <c r="AA35" s="2"/>
    </row>
    <row r="36" spans="1:27" s="5" customFormat="1" ht="12">
      <c r="A36" s="44" t="s">
        <v>563</v>
      </c>
      <c r="B36" s="11"/>
      <c r="C36" s="230"/>
      <c r="D36" s="66"/>
      <c r="E36" s="37"/>
      <c r="F36" s="11"/>
      <c r="G36" s="11"/>
      <c r="H36" s="11"/>
      <c r="I36" s="11"/>
      <c r="J36" s="11"/>
      <c r="K36" s="11"/>
      <c r="L36" s="11"/>
      <c r="M36" s="11"/>
      <c r="N36" s="11"/>
      <c r="O36" s="230"/>
      <c r="P36" s="66"/>
      <c r="Q36" s="37"/>
      <c r="R36" s="11"/>
      <c r="S36" s="11"/>
      <c r="V36" s="66"/>
      <c r="Y36" s="21"/>
      <c r="AA36" s="2"/>
    </row>
    <row r="37" spans="1:27" s="5" customFormat="1" ht="11.4">
      <c r="A37" s="5" t="s">
        <v>564</v>
      </c>
      <c r="B37" s="11"/>
      <c r="C37" s="230" t="s">
        <v>108</v>
      </c>
      <c r="D37" s="23">
        <v>87</v>
      </c>
      <c r="E37" s="37"/>
      <c r="F37" s="66" t="s">
        <v>108</v>
      </c>
      <c r="G37" s="23">
        <v>91</v>
      </c>
      <c r="H37" s="11"/>
      <c r="I37" s="66" t="s">
        <v>108</v>
      </c>
      <c r="J37" s="23">
        <v>74</v>
      </c>
      <c r="K37" s="11"/>
      <c r="L37" s="66" t="s">
        <v>108</v>
      </c>
      <c r="M37" s="23">
        <v>90</v>
      </c>
      <c r="N37" s="11"/>
      <c r="O37" s="230" t="s">
        <v>108</v>
      </c>
      <c r="P37" s="23">
        <v>98</v>
      </c>
      <c r="Q37" s="37"/>
      <c r="R37" s="66" t="s">
        <v>108</v>
      </c>
      <c r="S37" s="23">
        <v>93</v>
      </c>
      <c r="U37" s="66" t="s">
        <v>108</v>
      </c>
      <c r="V37" s="23">
        <v>178</v>
      </c>
      <c r="X37" s="66" t="s">
        <v>108</v>
      </c>
      <c r="Y37" s="21">
        <v>191</v>
      </c>
      <c r="AA37" s="2"/>
    </row>
    <row r="38" spans="1:27" s="5" customFormat="1" ht="11.4">
      <c r="A38" s="5" t="s">
        <v>565</v>
      </c>
      <c r="B38" s="11"/>
      <c r="C38" s="230"/>
      <c r="D38" s="23">
        <v>72</v>
      </c>
      <c r="E38" s="37"/>
      <c r="F38" s="66"/>
      <c r="G38" s="23">
        <v>73</v>
      </c>
      <c r="H38" s="11"/>
      <c r="I38" s="66"/>
      <c r="J38" s="23">
        <v>114</v>
      </c>
      <c r="K38" s="11"/>
      <c r="L38" s="66"/>
      <c r="M38" s="23">
        <v>70</v>
      </c>
      <c r="N38" s="11"/>
      <c r="O38" s="230"/>
      <c r="P38" s="23">
        <v>71</v>
      </c>
      <c r="Q38" s="37"/>
      <c r="R38" s="66"/>
      <c r="S38" s="23">
        <v>74</v>
      </c>
      <c r="U38" s="66"/>
      <c r="V38" s="23">
        <v>145</v>
      </c>
      <c r="X38" s="66"/>
      <c r="Y38" s="21">
        <v>145</v>
      </c>
      <c r="AA38" s="2"/>
    </row>
    <row r="39" spans="1:27" s="5" customFormat="1" ht="11.4">
      <c r="A39" s="5" t="s">
        <v>566</v>
      </c>
      <c r="B39" s="11"/>
      <c r="C39" s="230"/>
      <c r="D39" s="39">
        <v>-21</v>
      </c>
      <c r="E39" s="37"/>
      <c r="F39" s="66"/>
      <c r="G39" s="39">
        <v>-12</v>
      </c>
      <c r="H39" s="11"/>
      <c r="I39" s="66"/>
      <c r="J39" s="39">
        <v>-9</v>
      </c>
      <c r="K39" s="11"/>
      <c r="L39" s="66"/>
      <c r="M39" s="39">
        <v>-26</v>
      </c>
      <c r="N39" s="11"/>
      <c r="O39" s="230"/>
      <c r="P39" s="39">
        <v>-8</v>
      </c>
      <c r="Q39" s="37"/>
      <c r="R39" s="66"/>
      <c r="S39" s="39">
        <v>-12</v>
      </c>
      <c r="U39" s="66"/>
      <c r="V39" s="39">
        <v>-33</v>
      </c>
      <c r="X39" s="66"/>
      <c r="Y39" s="39">
        <v>-20</v>
      </c>
      <c r="AA39" s="2"/>
    </row>
    <row r="40" spans="1:27" s="5" customFormat="1" ht="12" thickBot="1">
      <c r="B40" s="11" t="s">
        <v>567</v>
      </c>
      <c r="C40" s="230" t="s">
        <v>108</v>
      </c>
      <c r="D40" s="543">
        <v>138</v>
      </c>
      <c r="E40" s="37"/>
      <c r="F40" s="66" t="s">
        <v>108</v>
      </c>
      <c r="G40" s="543">
        <v>152</v>
      </c>
      <c r="H40" s="11"/>
      <c r="I40" s="66" t="s">
        <v>108</v>
      </c>
      <c r="J40" s="543">
        <v>179</v>
      </c>
      <c r="K40" s="11"/>
      <c r="L40" s="66" t="s">
        <v>108</v>
      </c>
      <c r="M40" s="543">
        <v>134</v>
      </c>
      <c r="N40" s="11"/>
      <c r="O40" s="230" t="s">
        <v>108</v>
      </c>
      <c r="P40" s="543">
        <v>161</v>
      </c>
      <c r="Q40" s="37"/>
      <c r="R40" s="66" t="s">
        <v>108</v>
      </c>
      <c r="S40" s="543">
        <v>155</v>
      </c>
      <c r="U40" s="66" t="s">
        <v>108</v>
      </c>
      <c r="V40" s="543">
        <v>290</v>
      </c>
      <c r="X40" s="66" t="s">
        <v>108</v>
      </c>
      <c r="Y40" s="45">
        <v>316</v>
      </c>
      <c r="AA40" s="2"/>
    </row>
    <row r="41" spans="1:27" s="5" customFormat="1" ht="12" thickTop="1">
      <c r="B41" s="11"/>
      <c r="C41" s="230"/>
      <c r="D41" s="23"/>
      <c r="E41" s="37"/>
      <c r="F41" s="66"/>
      <c r="G41" s="23"/>
      <c r="H41" s="11"/>
      <c r="I41" s="66"/>
      <c r="J41" s="23"/>
      <c r="K41" s="11"/>
      <c r="L41" s="66"/>
      <c r="M41" s="23"/>
      <c r="N41" s="11"/>
      <c r="O41" s="230"/>
      <c r="P41" s="23"/>
      <c r="Q41" s="37"/>
      <c r="R41" s="66"/>
      <c r="S41" s="23"/>
      <c r="U41" s="67"/>
      <c r="V41" s="23"/>
      <c r="X41" s="67"/>
      <c r="Y41" s="21"/>
      <c r="AA41" s="2"/>
    </row>
    <row r="42" spans="1:27" s="5" customFormat="1" ht="12">
      <c r="A42" s="44" t="s">
        <v>568</v>
      </c>
      <c r="B42" s="11"/>
      <c r="C42" s="230"/>
      <c r="D42" s="23"/>
      <c r="E42" s="37"/>
      <c r="F42" s="66"/>
      <c r="G42" s="23"/>
      <c r="H42" s="11"/>
      <c r="I42" s="66"/>
      <c r="J42" s="23"/>
      <c r="K42" s="11"/>
      <c r="L42" s="66"/>
      <c r="M42" s="23"/>
      <c r="N42" s="11"/>
      <c r="O42" s="230"/>
      <c r="P42" s="23"/>
      <c r="Q42" s="37"/>
      <c r="R42" s="66"/>
      <c r="S42" s="23"/>
      <c r="U42" s="67"/>
      <c r="V42" s="23"/>
      <c r="X42" s="67"/>
      <c r="Y42" s="21"/>
      <c r="AA42" s="2"/>
    </row>
    <row r="43" spans="1:27" s="5" customFormat="1" ht="11.4">
      <c r="A43" s="5" t="s">
        <v>569</v>
      </c>
      <c r="B43" s="11"/>
      <c r="C43" s="230" t="s">
        <v>108</v>
      </c>
      <c r="D43" s="23">
        <v>67</v>
      </c>
      <c r="E43" s="37"/>
      <c r="F43" s="66" t="s">
        <v>108</v>
      </c>
      <c r="G43" s="23">
        <v>87</v>
      </c>
      <c r="H43" s="11"/>
      <c r="I43" s="66" t="s">
        <v>108</v>
      </c>
      <c r="J43" s="23">
        <v>23</v>
      </c>
      <c r="K43" s="11"/>
      <c r="L43" s="66" t="s">
        <v>108</v>
      </c>
      <c r="M43" s="23">
        <v>48</v>
      </c>
      <c r="N43" s="11"/>
      <c r="O43" s="230" t="s">
        <v>108</v>
      </c>
      <c r="P43" s="23">
        <v>51</v>
      </c>
      <c r="Q43" s="37"/>
      <c r="R43" s="66" t="s">
        <v>108</v>
      </c>
      <c r="S43" s="23">
        <v>48</v>
      </c>
      <c r="U43" s="67" t="s">
        <v>108</v>
      </c>
      <c r="V43" s="23">
        <v>154</v>
      </c>
      <c r="X43" s="67" t="s">
        <v>108</v>
      </c>
      <c r="Y43" s="21">
        <v>99</v>
      </c>
      <c r="AA43" s="2"/>
    </row>
    <row r="44" spans="1:27" s="5" customFormat="1">
      <c r="A44" s="5" t="s">
        <v>570</v>
      </c>
      <c r="B44" s="11"/>
      <c r="C44" s="230"/>
      <c r="D44" s="23">
        <v>20</v>
      </c>
      <c r="E44" s="37"/>
      <c r="F44" s="66"/>
      <c r="G44" s="23">
        <v>18</v>
      </c>
      <c r="H44" s="11"/>
      <c r="I44" s="66"/>
      <c r="J44" s="23">
        <v>12</v>
      </c>
      <c r="K44" s="11"/>
      <c r="L44" s="66"/>
      <c r="M44" s="23">
        <v>17</v>
      </c>
      <c r="N44" s="11"/>
      <c r="O44" s="230"/>
      <c r="P44" s="23">
        <v>14</v>
      </c>
      <c r="Q44" s="37"/>
      <c r="R44" s="66"/>
      <c r="S44" s="23">
        <v>11</v>
      </c>
      <c r="U44" s="67"/>
      <c r="V44" s="23">
        <v>38</v>
      </c>
      <c r="X44" s="67"/>
      <c r="Y44" s="21">
        <v>25</v>
      </c>
      <c r="AA44" s="2"/>
    </row>
    <row r="45" spans="1:27" s="5" customFormat="1" ht="11.4">
      <c r="A45" s="5" t="s">
        <v>571</v>
      </c>
      <c r="B45" s="11"/>
      <c r="C45" s="230"/>
      <c r="D45" s="23">
        <v>0</v>
      </c>
      <c r="E45" s="37"/>
      <c r="F45" s="66"/>
      <c r="G45" s="23">
        <v>0</v>
      </c>
      <c r="H45" s="11"/>
      <c r="I45" s="66"/>
      <c r="J45" s="23">
        <v>2</v>
      </c>
      <c r="K45" s="11"/>
      <c r="L45" s="66"/>
      <c r="M45" s="23">
        <v>6</v>
      </c>
      <c r="N45" s="11"/>
      <c r="O45" s="230"/>
      <c r="P45" s="23">
        <v>6</v>
      </c>
      <c r="Q45" s="37"/>
      <c r="R45" s="66"/>
      <c r="S45" s="23">
        <v>8</v>
      </c>
      <c r="U45" s="67"/>
      <c r="V45" s="23">
        <v>0</v>
      </c>
      <c r="X45" s="67"/>
      <c r="Y45" s="21">
        <v>14</v>
      </c>
      <c r="AA45" s="2"/>
    </row>
    <row r="46" spans="1:27" s="5" customFormat="1" ht="11.4">
      <c r="A46" s="5" t="s">
        <v>565</v>
      </c>
      <c r="B46" s="11"/>
      <c r="C46" s="230"/>
      <c r="D46" s="23">
        <v>6</v>
      </c>
      <c r="E46" s="37"/>
      <c r="F46" s="66"/>
      <c r="G46" s="23">
        <v>6</v>
      </c>
      <c r="H46" s="11"/>
      <c r="I46" s="66"/>
      <c r="J46" s="23">
        <v>5</v>
      </c>
      <c r="K46" s="11"/>
      <c r="L46" s="66"/>
      <c r="M46" s="23">
        <v>4</v>
      </c>
      <c r="N46" s="11"/>
      <c r="O46" s="230"/>
      <c r="P46" s="23">
        <v>5</v>
      </c>
      <c r="Q46" s="37"/>
      <c r="R46" s="66"/>
      <c r="S46" s="23">
        <v>5</v>
      </c>
      <c r="U46" s="67"/>
      <c r="V46" s="23">
        <v>12</v>
      </c>
      <c r="X46" s="67"/>
      <c r="Y46" s="21">
        <v>10</v>
      </c>
      <c r="AA46" s="2"/>
    </row>
    <row r="47" spans="1:27" s="5" customFormat="1" ht="11.4">
      <c r="A47" s="5" t="s">
        <v>572</v>
      </c>
      <c r="B47" s="11"/>
      <c r="C47" s="230"/>
      <c r="D47" s="23"/>
      <c r="E47" s="37"/>
      <c r="F47" s="66"/>
      <c r="G47" s="23"/>
      <c r="H47" s="11"/>
      <c r="I47" s="66"/>
      <c r="J47" s="23"/>
      <c r="K47" s="11"/>
      <c r="L47" s="66"/>
      <c r="M47" s="23"/>
      <c r="N47" s="11"/>
      <c r="O47" s="230"/>
      <c r="P47" s="23"/>
      <c r="Q47" s="37"/>
      <c r="R47" s="66"/>
      <c r="S47" s="23"/>
      <c r="U47" s="67"/>
      <c r="V47" s="23"/>
      <c r="X47" s="67"/>
      <c r="Y47" s="21"/>
      <c r="AA47" s="2"/>
    </row>
    <row r="48" spans="1:27" s="5" customFormat="1">
      <c r="B48" s="11" t="s">
        <v>573</v>
      </c>
      <c r="C48" s="230"/>
      <c r="D48" s="39">
        <v>68</v>
      </c>
      <c r="E48" s="37"/>
      <c r="F48" s="66"/>
      <c r="G48" s="39">
        <v>64</v>
      </c>
      <c r="H48" s="11"/>
      <c r="I48" s="66"/>
      <c r="J48" s="39">
        <v>73</v>
      </c>
      <c r="K48" s="11"/>
      <c r="L48" s="66"/>
      <c r="M48" s="39">
        <v>67</v>
      </c>
      <c r="N48" s="11"/>
      <c r="O48" s="230"/>
      <c r="P48" s="39">
        <v>66</v>
      </c>
      <c r="Q48" s="37"/>
      <c r="R48" s="66"/>
      <c r="S48" s="39">
        <v>59</v>
      </c>
      <c r="U48" s="67"/>
      <c r="V48" s="39">
        <v>132</v>
      </c>
      <c r="X48" s="67"/>
      <c r="Y48" s="39">
        <v>125</v>
      </c>
      <c r="AA48" s="2"/>
    </row>
    <row r="49" spans="1:27" s="5" customFormat="1" ht="12" thickBot="1">
      <c r="B49" s="11" t="s">
        <v>559</v>
      </c>
      <c r="C49" s="230" t="s">
        <v>108</v>
      </c>
      <c r="D49" s="45">
        <v>161</v>
      </c>
      <c r="E49" s="37"/>
      <c r="F49" s="66" t="s">
        <v>108</v>
      </c>
      <c r="G49" s="45">
        <v>175</v>
      </c>
      <c r="H49" s="11"/>
      <c r="I49" s="66" t="s">
        <v>108</v>
      </c>
      <c r="J49" s="45">
        <v>115</v>
      </c>
      <c r="K49" s="11"/>
      <c r="L49" s="66" t="s">
        <v>108</v>
      </c>
      <c r="M49" s="45">
        <v>142</v>
      </c>
      <c r="N49" s="11"/>
      <c r="O49" s="230" t="s">
        <v>108</v>
      </c>
      <c r="P49" s="45">
        <v>142</v>
      </c>
      <c r="Q49" s="37"/>
      <c r="R49" s="66" t="s">
        <v>108</v>
      </c>
      <c r="S49" s="45">
        <v>131</v>
      </c>
      <c r="U49" s="67" t="s">
        <v>108</v>
      </c>
      <c r="V49" s="45">
        <v>336</v>
      </c>
      <c r="X49" s="67" t="s">
        <v>108</v>
      </c>
      <c r="Y49" s="543">
        <v>273</v>
      </c>
      <c r="AA49" s="2"/>
    </row>
    <row r="50" spans="1:27" s="5" customFormat="1" ht="12" thickTop="1">
      <c r="B50" s="11"/>
      <c r="C50" s="230"/>
      <c r="D50" s="66"/>
      <c r="E50" s="37"/>
      <c r="F50" s="11"/>
      <c r="G50" s="11"/>
      <c r="H50" s="11"/>
      <c r="I50" s="11"/>
      <c r="J50" s="11"/>
      <c r="K50" s="11"/>
      <c r="L50" s="11"/>
      <c r="M50" s="11"/>
      <c r="N50" s="11"/>
      <c r="O50" s="230"/>
      <c r="P50" s="66"/>
      <c r="Q50" s="37"/>
      <c r="R50" s="11"/>
      <c r="S50" s="11"/>
      <c r="V50" s="66"/>
      <c r="Y50" s="21"/>
      <c r="AA50" s="2"/>
    </row>
    <row r="51" spans="1:27" s="5" customFormat="1" ht="13.8">
      <c r="A51" s="686" t="s">
        <v>574</v>
      </c>
      <c r="B51" s="11"/>
      <c r="C51" s="230"/>
      <c r="D51" s="66"/>
      <c r="E51" s="37"/>
      <c r="F51" s="11"/>
      <c r="G51" s="11"/>
      <c r="H51" s="11"/>
      <c r="I51" s="11"/>
      <c r="J51" s="11"/>
      <c r="K51" s="11"/>
      <c r="L51" s="11"/>
      <c r="M51" s="11"/>
      <c r="N51" s="11"/>
      <c r="O51" s="230"/>
      <c r="P51" s="66"/>
      <c r="Q51" s="37"/>
      <c r="R51" s="11"/>
      <c r="S51" s="11"/>
      <c r="V51" s="66"/>
      <c r="Y51" s="21"/>
      <c r="AA51" s="2"/>
    </row>
    <row r="52" spans="1:27" s="5" customFormat="1" ht="11.4">
      <c r="A52" s="684" t="s">
        <v>575</v>
      </c>
      <c r="B52" s="11"/>
      <c r="C52" s="230" t="s">
        <v>108</v>
      </c>
      <c r="D52" s="23">
        <v>173</v>
      </c>
      <c r="E52" s="37"/>
      <c r="F52" s="66" t="s">
        <v>108</v>
      </c>
      <c r="G52" s="23">
        <v>170</v>
      </c>
      <c r="H52" s="11"/>
      <c r="I52" s="66" t="s">
        <v>108</v>
      </c>
      <c r="J52" s="23">
        <v>168</v>
      </c>
      <c r="K52" s="11"/>
      <c r="L52" s="66" t="s">
        <v>108</v>
      </c>
      <c r="M52" s="23">
        <v>167</v>
      </c>
      <c r="N52" s="11"/>
      <c r="O52" s="230" t="s">
        <v>108</v>
      </c>
      <c r="P52" s="23">
        <v>162</v>
      </c>
      <c r="Q52" s="37"/>
      <c r="R52" s="66" t="s">
        <v>108</v>
      </c>
      <c r="S52" s="23">
        <v>162</v>
      </c>
      <c r="U52" s="67" t="s">
        <v>108</v>
      </c>
      <c r="V52" s="23">
        <v>343</v>
      </c>
      <c r="X52" s="67" t="s">
        <v>108</v>
      </c>
      <c r="Y52" s="21">
        <v>324</v>
      </c>
      <c r="AA52" s="2"/>
    </row>
    <row r="53" spans="1:27" s="5" customFormat="1" ht="11.4">
      <c r="A53" s="5" t="s">
        <v>576</v>
      </c>
      <c r="B53" s="11"/>
      <c r="C53" s="36"/>
      <c r="D53" s="11"/>
      <c r="E53" s="37"/>
      <c r="F53" s="11"/>
      <c r="G53" s="11"/>
      <c r="H53" s="11"/>
      <c r="I53" s="11"/>
      <c r="J53" s="11"/>
      <c r="K53" s="11"/>
      <c r="L53" s="11"/>
      <c r="M53" s="11"/>
      <c r="N53" s="11"/>
      <c r="O53" s="36"/>
      <c r="P53" s="11"/>
      <c r="Q53" s="37"/>
      <c r="R53" s="11"/>
      <c r="S53" s="11"/>
      <c r="V53" s="11"/>
      <c r="Y53" s="21"/>
      <c r="AA53" s="2"/>
    </row>
    <row r="54" spans="1:27" s="5" customFormat="1" ht="11.4">
      <c r="B54" s="11" t="s">
        <v>577</v>
      </c>
      <c r="C54" s="230"/>
      <c r="D54" s="23">
        <v>95</v>
      </c>
      <c r="E54" s="37"/>
      <c r="F54" s="66"/>
      <c r="G54" s="23">
        <v>96</v>
      </c>
      <c r="H54" s="11"/>
      <c r="I54" s="66"/>
      <c r="J54" s="23">
        <v>97</v>
      </c>
      <c r="K54" s="11"/>
      <c r="L54" s="66"/>
      <c r="M54" s="23">
        <v>98</v>
      </c>
      <c r="N54" s="11"/>
      <c r="O54" s="230"/>
      <c r="P54" s="23">
        <v>99</v>
      </c>
      <c r="Q54" s="37"/>
      <c r="R54" s="66"/>
      <c r="S54" s="23">
        <v>95</v>
      </c>
      <c r="U54" s="67"/>
      <c r="V54" s="23">
        <v>191</v>
      </c>
      <c r="X54" s="67"/>
      <c r="Y54" s="39">
        <v>194</v>
      </c>
      <c r="AA54" s="2"/>
    </row>
    <row r="55" spans="1:27" s="5" customFormat="1" ht="12" thickBot="1">
      <c r="B55" s="11" t="s">
        <v>578</v>
      </c>
      <c r="C55" s="230" t="s">
        <v>108</v>
      </c>
      <c r="D55" s="543">
        <v>268</v>
      </c>
      <c r="E55" s="37"/>
      <c r="F55" s="66" t="s">
        <v>108</v>
      </c>
      <c r="G55" s="543">
        <v>266</v>
      </c>
      <c r="H55" s="11"/>
      <c r="I55" s="66" t="s">
        <v>108</v>
      </c>
      <c r="J55" s="543">
        <v>265</v>
      </c>
      <c r="K55" s="11"/>
      <c r="L55" s="66" t="s">
        <v>108</v>
      </c>
      <c r="M55" s="543">
        <v>265</v>
      </c>
      <c r="N55" s="11"/>
      <c r="O55" s="230" t="s">
        <v>108</v>
      </c>
      <c r="P55" s="543">
        <v>261</v>
      </c>
      <c r="Q55" s="37"/>
      <c r="R55" s="66" t="s">
        <v>108</v>
      </c>
      <c r="S55" s="543">
        <v>257</v>
      </c>
      <c r="U55" s="67" t="s">
        <v>108</v>
      </c>
      <c r="V55" s="543">
        <v>534</v>
      </c>
      <c r="X55" s="67" t="s">
        <v>108</v>
      </c>
      <c r="Y55" s="543">
        <v>518</v>
      </c>
      <c r="AA55" s="2"/>
    </row>
    <row r="56" spans="1:27" s="5" customFormat="1" ht="12" thickTop="1">
      <c r="B56" s="11"/>
      <c r="C56" s="230"/>
      <c r="D56" s="23"/>
      <c r="E56" s="37"/>
      <c r="F56" s="66"/>
      <c r="G56" s="23"/>
      <c r="H56" s="11"/>
      <c r="I56" s="66"/>
      <c r="J56" s="23"/>
      <c r="K56" s="11"/>
      <c r="L56" s="66"/>
      <c r="M56" s="23"/>
      <c r="N56" s="11"/>
      <c r="O56" s="230"/>
      <c r="P56" s="23"/>
      <c r="Q56" s="37"/>
      <c r="R56" s="66"/>
      <c r="S56" s="23"/>
      <c r="U56" s="67"/>
      <c r="V56" s="23"/>
      <c r="X56" s="67"/>
      <c r="Y56" s="21"/>
      <c r="AA56" s="2"/>
    </row>
    <row r="57" spans="1:27" s="5" customFormat="1" ht="13.8">
      <c r="A57" s="686" t="s">
        <v>579</v>
      </c>
      <c r="B57" s="11"/>
      <c r="C57" s="230"/>
      <c r="D57" s="23"/>
      <c r="E57" s="37"/>
      <c r="F57" s="66"/>
      <c r="G57" s="23"/>
      <c r="H57" s="11"/>
      <c r="I57" s="66"/>
      <c r="J57" s="23"/>
      <c r="K57" s="11"/>
      <c r="L57" s="66"/>
      <c r="M57" s="23"/>
      <c r="N57" s="11"/>
      <c r="O57" s="230"/>
      <c r="P57" s="23"/>
      <c r="Q57" s="37"/>
      <c r="R57" s="66"/>
      <c r="S57" s="23"/>
      <c r="U57" s="67"/>
      <c r="V57" s="23"/>
      <c r="X57" s="67"/>
      <c r="Y57" s="21"/>
      <c r="AA57" s="2"/>
    </row>
    <row r="58" spans="1:27" s="5" customFormat="1" ht="11.4">
      <c r="A58" s="685" t="s">
        <v>552</v>
      </c>
      <c r="B58" s="11"/>
      <c r="C58" s="36"/>
      <c r="D58" s="11"/>
      <c r="E58" s="37"/>
      <c r="F58" s="11"/>
      <c r="G58" s="11"/>
      <c r="H58" s="11"/>
      <c r="I58" s="11"/>
      <c r="J58" s="11"/>
      <c r="K58" s="11"/>
      <c r="L58" s="11"/>
      <c r="M58" s="11"/>
      <c r="N58" s="11"/>
      <c r="O58" s="36"/>
      <c r="P58" s="11"/>
      <c r="Q58" s="37"/>
      <c r="R58" s="11"/>
      <c r="S58" s="11"/>
      <c r="V58" s="11"/>
      <c r="Y58" s="21"/>
      <c r="AA58" s="2"/>
    </row>
    <row r="59" spans="1:27" s="5" customFormat="1" ht="11.4">
      <c r="A59" s="684" t="s">
        <v>580</v>
      </c>
      <c r="B59" s="11"/>
      <c r="C59" s="230" t="s">
        <v>108</v>
      </c>
      <c r="D59" s="23">
        <v>-326</v>
      </c>
      <c r="E59" s="37"/>
      <c r="F59" s="66" t="s">
        <v>108</v>
      </c>
      <c r="G59" s="23">
        <v>-305</v>
      </c>
      <c r="H59" s="11"/>
      <c r="I59" s="66" t="s">
        <v>108</v>
      </c>
      <c r="J59" s="23">
        <v>-294</v>
      </c>
      <c r="K59" s="11"/>
      <c r="L59" s="66" t="s">
        <v>108</v>
      </c>
      <c r="M59" s="23">
        <v>-320</v>
      </c>
      <c r="N59" s="11"/>
      <c r="O59" s="230" t="s">
        <v>108</v>
      </c>
      <c r="P59" s="23">
        <v>-287</v>
      </c>
      <c r="Q59" s="37"/>
      <c r="R59" s="66" t="s">
        <v>108</v>
      </c>
      <c r="S59" s="23">
        <v>-319</v>
      </c>
      <c r="U59" s="67" t="s">
        <v>108</v>
      </c>
      <c r="V59" s="23">
        <v>-631</v>
      </c>
      <c r="X59" s="67" t="s">
        <v>108</v>
      </c>
      <c r="Y59" s="21">
        <v>-606</v>
      </c>
      <c r="AA59" s="2"/>
    </row>
    <row r="60" spans="1:27" s="5" customFormat="1" ht="11.4">
      <c r="A60" s="684" t="s">
        <v>557</v>
      </c>
      <c r="B60" s="11"/>
      <c r="C60" s="36"/>
      <c r="D60" s="11"/>
      <c r="E60" s="37"/>
      <c r="F60" s="11"/>
      <c r="G60" s="11"/>
      <c r="H60" s="11"/>
      <c r="I60" s="11"/>
      <c r="J60" s="11"/>
      <c r="K60" s="11"/>
      <c r="L60" s="11"/>
      <c r="M60" s="11"/>
      <c r="N60" s="11"/>
      <c r="O60" s="36"/>
      <c r="P60" s="11"/>
      <c r="Q60" s="37"/>
      <c r="R60" s="11"/>
      <c r="S60" s="11"/>
      <c r="V60" s="11"/>
      <c r="Y60" s="21"/>
      <c r="AA60" s="2"/>
    </row>
    <row r="61" spans="1:27" s="5" customFormat="1" ht="11.4">
      <c r="A61" s="684" t="s">
        <v>581</v>
      </c>
      <c r="B61" s="11"/>
      <c r="C61" s="230"/>
      <c r="D61" s="23">
        <v>-136</v>
      </c>
      <c r="E61" s="37"/>
      <c r="F61" s="66"/>
      <c r="G61" s="23">
        <v>-134</v>
      </c>
      <c r="H61" s="11"/>
      <c r="I61" s="66"/>
      <c r="J61" s="23">
        <v>-136</v>
      </c>
      <c r="K61" s="11"/>
      <c r="L61" s="66"/>
      <c r="M61" s="23">
        <v>-135</v>
      </c>
      <c r="N61" s="11"/>
      <c r="O61" s="230"/>
      <c r="P61" s="23">
        <v>-135</v>
      </c>
      <c r="Q61" s="37"/>
      <c r="R61" s="66"/>
      <c r="S61" s="23">
        <v>-135</v>
      </c>
      <c r="U61" s="67"/>
      <c r="V61" s="23">
        <v>-270</v>
      </c>
      <c r="X61" s="67"/>
      <c r="Y61" s="39">
        <v>-270</v>
      </c>
      <c r="AA61" s="2"/>
    </row>
    <row r="62" spans="1:27" s="5" customFormat="1" ht="12" thickBot="1">
      <c r="B62" s="11" t="s">
        <v>582</v>
      </c>
      <c r="C62" s="230" t="s">
        <v>108</v>
      </c>
      <c r="D62" s="543">
        <v>-462</v>
      </c>
      <c r="E62" s="37"/>
      <c r="F62" s="66" t="s">
        <v>108</v>
      </c>
      <c r="G62" s="543">
        <v>-439</v>
      </c>
      <c r="H62" s="11"/>
      <c r="I62" s="66" t="s">
        <v>108</v>
      </c>
      <c r="J62" s="543">
        <v>-430</v>
      </c>
      <c r="K62" s="11"/>
      <c r="L62" s="66" t="s">
        <v>108</v>
      </c>
      <c r="M62" s="543">
        <v>-455</v>
      </c>
      <c r="N62" s="11"/>
      <c r="O62" s="230" t="s">
        <v>108</v>
      </c>
      <c r="P62" s="543">
        <v>-422</v>
      </c>
      <c r="Q62" s="37"/>
      <c r="R62" s="66" t="s">
        <v>108</v>
      </c>
      <c r="S62" s="543">
        <v>-454</v>
      </c>
      <c r="U62" s="67" t="s">
        <v>108</v>
      </c>
      <c r="V62" s="543">
        <v>-901</v>
      </c>
      <c r="X62" s="67" t="s">
        <v>108</v>
      </c>
      <c r="Y62" s="543">
        <v>-876</v>
      </c>
      <c r="AA62" s="2"/>
    </row>
    <row r="63" spans="1:27" s="5" customFormat="1" ht="12.6" thickTop="1" thickBot="1">
      <c r="B63" s="11"/>
      <c r="C63" s="236"/>
      <c r="D63" s="237"/>
      <c r="E63" s="238"/>
      <c r="F63" s="11"/>
      <c r="G63" s="11"/>
      <c r="H63" s="11"/>
      <c r="I63" s="11"/>
      <c r="J63" s="11"/>
      <c r="K63" s="11"/>
      <c r="L63" s="11"/>
      <c r="M63" s="11"/>
      <c r="N63" s="11"/>
      <c r="O63" s="236"/>
      <c r="P63" s="237"/>
      <c r="Q63" s="238"/>
      <c r="R63" s="11"/>
      <c r="S63" s="11"/>
      <c r="AA63" s="2"/>
    </row>
    <row r="64" spans="1:27" s="5" customFormat="1" ht="11.4">
      <c r="B64" s="11"/>
      <c r="C64" s="66"/>
      <c r="D64" s="66"/>
      <c r="E64" s="66"/>
      <c r="F64" s="66"/>
      <c r="G64" s="66"/>
      <c r="H64" s="66"/>
      <c r="I64" s="66"/>
      <c r="J64" s="66"/>
      <c r="K64" s="66"/>
      <c r="L64" s="66"/>
      <c r="M64" s="66"/>
      <c r="N64" s="11"/>
      <c r="O64" s="11"/>
      <c r="P64" s="11"/>
      <c r="Q64" s="11"/>
      <c r="R64" s="11"/>
      <c r="S64" s="11"/>
      <c r="AA64" s="2"/>
    </row>
    <row r="70" spans="32:32">
      <c r="AF70" s="2" t="s">
        <v>298</v>
      </c>
    </row>
  </sheetData>
  <mergeCells count="5">
    <mergeCell ref="A1:Y1"/>
    <mergeCell ref="A2:Y2"/>
    <mergeCell ref="A3:Y3"/>
    <mergeCell ref="C5:S5"/>
    <mergeCell ref="V5:Y5"/>
  </mergeCells>
  <phoneticPr fontId="24" type="noConversion"/>
  <printOptions horizontalCentered="1"/>
  <pageMargins left="0.25" right="0.25" top="0.5" bottom="0.5" header="0.3" footer="0.3"/>
  <pageSetup scale="70" orientation="landscape" r:id="rId1"/>
  <headerFooter alignWithMargins="0">
    <oddFooter>&amp;R&amp;A</oddFooter>
  </headerFooter>
</worksheet>
</file>

<file path=xl/worksheets/sheet37.xml><?xml version="1.0" encoding="utf-8"?>
<worksheet xmlns="http://schemas.openxmlformats.org/spreadsheetml/2006/main" xmlns:r="http://schemas.openxmlformats.org/officeDocument/2006/relationships">
  <dimension ref="A1:O31"/>
  <sheetViews>
    <sheetView zoomScale="75" zoomScaleNormal="75" workbookViewId="0">
      <selection activeCell="E24" sqref="E24"/>
    </sheetView>
  </sheetViews>
  <sheetFormatPr defaultColWidth="9.109375" defaultRowHeight="11.4"/>
  <cols>
    <col min="1" max="1" width="3.5546875" style="388" customWidth="1"/>
    <col min="2" max="2" width="28" style="388" customWidth="1"/>
    <col min="3" max="3" width="16.88671875" style="388" customWidth="1"/>
    <col min="4" max="4" width="2.44140625" style="388" customWidth="1"/>
    <col min="5" max="5" width="18" style="388" customWidth="1"/>
    <col min="6" max="6" width="2.44140625" style="388" customWidth="1"/>
    <col min="7" max="7" width="16.88671875" style="388" customWidth="1"/>
    <col min="8" max="8" width="2.44140625" style="393" customWidth="1"/>
    <col min="9" max="9" width="2.44140625" style="388" customWidth="1"/>
    <col min="10" max="10" width="16.88671875" style="388" customWidth="1"/>
    <col min="11" max="11" width="2.44140625" style="388" customWidth="1"/>
    <col min="12" max="12" width="18" style="388" customWidth="1"/>
    <col min="13" max="13" width="2.44140625" style="388" customWidth="1"/>
    <col min="14" max="14" width="16.88671875" style="388" customWidth="1"/>
    <col min="15" max="15" width="2.44140625" style="388" customWidth="1"/>
    <col min="16" max="16384" width="9.109375" style="388"/>
  </cols>
  <sheetData>
    <row r="1" spans="1:15" s="756" customFormat="1" ht="13.2">
      <c r="A1" s="1006" t="s">
        <v>96</v>
      </c>
      <c r="B1" s="1006"/>
      <c r="C1" s="1006"/>
      <c r="D1" s="1006"/>
      <c r="E1" s="1006"/>
      <c r="F1" s="1006"/>
      <c r="G1" s="1006"/>
      <c r="H1" s="1006"/>
      <c r="I1" s="1006"/>
      <c r="J1" s="1006"/>
      <c r="K1" s="1006"/>
      <c r="L1" s="1006"/>
      <c r="M1" s="1006"/>
      <c r="N1" s="1006"/>
      <c r="O1" s="1006"/>
    </row>
    <row r="2" spans="1:15" s="756" customFormat="1" ht="13.2">
      <c r="A2" s="1007" t="s">
        <v>583</v>
      </c>
      <c r="B2" s="1007"/>
      <c r="C2" s="1007"/>
      <c r="D2" s="1007"/>
      <c r="E2" s="1007"/>
      <c r="F2" s="1007"/>
      <c r="G2" s="1007"/>
      <c r="H2" s="1007"/>
      <c r="I2" s="1007"/>
      <c r="J2" s="1007"/>
      <c r="K2" s="1007"/>
      <c r="L2" s="1007"/>
      <c r="M2" s="1007"/>
      <c r="N2" s="1007"/>
      <c r="O2" s="1007"/>
    </row>
    <row r="3" spans="1:15" ht="12">
      <c r="A3" s="1042"/>
      <c r="B3" s="1042"/>
    </row>
    <row r="4" spans="1:15" ht="15" customHeight="1">
      <c r="A4" s="387"/>
      <c r="B4" s="387"/>
      <c r="C4" s="1005"/>
      <c r="D4" s="1005"/>
      <c r="E4" s="1005"/>
      <c r="F4" s="1005"/>
      <c r="G4" s="1005"/>
      <c r="H4" s="389"/>
      <c r="J4" s="1005"/>
      <c r="K4" s="1005"/>
      <c r="L4" s="1005"/>
      <c r="M4" s="1005"/>
      <c r="N4" s="1005"/>
      <c r="O4" s="755"/>
    </row>
    <row r="5" spans="1:15" ht="15" customHeight="1">
      <c r="A5" s="387"/>
      <c r="B5" s="387"/>
      <c r="C5" s="1003" t="s">
        <v>1144</v>
      </c>
      <c r="D5" s="1043"/>
      <c r="E5" s="1043"/>
      <c r="F5" s="1043"/>
      <c r="G5" s="1043"/>
      <c r="H5" s="391"/>
      <c r="J5" s="1003" t="s">
        <v>1148</v>
      </c>
      <c r="K5" s="1043"/>
      <c r="L5" s="1043"/>
      <c r="M5" s="1043"/>
      <c r="N5" s="1043"/>
      <c r="O5" s="390"/>
    </row>
    <row r="6" spans="1:15" ht="15" customHeight="1">
      <c r="A6" s="387"/>
      <c r="B6" s="387"/>
      <c r="C6" s="392"/>
      <c r="D6" s="391"/>
      <c r="E6" s="391"/>
      <c r="F6" s="391"/>
      <c r="G6" s="391"/>
      <c r="H6" s="391"/>
      <c r="J6" s="392"/>
      <c r="K6" s="391"/>
      <c r="L6" s="391"/>
      <c r="M6" s="391"/>
      <c r="N6" s="391"/>
      <c r="O6" s="391"/>
    </row>
    <row r="7" spans="1:15" ht="15" customHeight="1">
      <c r="C7" s="391" t="s">
        <v>584</v>
      </c>
      <c r="D7" s="393"/>
      <c r="E7" s="391" t="s">
        <v>584</v>
      </c>
      <c r="F7" s="391"/>
      <c r="G7" s="391" t="s">
        <v>584</v>
      </c>
      <c r="H7" s="394"/>
      <c r="J7" s="391" t="s">
        <v>584</v>
      </c>
      <c r="K7" s="393"/>
      <c r="L7" s="391" t="s">
        <v>584</v>
      </c>
      <c r="M7" s="391"/>
      <c r="N7" s="391" t="s">
        <v>584</v>
      </c>
      <c r="O7" s="394"/>
    </row>
    <row r="8" spans="1:15" ht="15" customHeight="1">
      <c r="C8" s="395" t="s">
        <v>585</v>
      </c>
      <c r="D8" s="393"/>
      <c r="E8" s="395" t="s">
        <v>586</v>
      </c>
      <c r="F8" s="391"/>
      <c r="G8" s="395" t="s">
        <v>587</v>
      </c>
      <c r="H8" s="391"/>
      <c r="J8" s="395" t="s">
        <v>585</v>
      </c>
      <c r="K8" s="393"/>
      <c r="L8" s="395" t="s">
        <v>586</v>
      </c>
      <c r="M8" s="391"/>
      <c r="N8" s="395" t="s">
        <v>587</v>
      </c>
      <c r="O8" s="391"/>
    </row>
    <row r="9" spans="1:15" ht="15" customHeight="1">
      <c r="A9" s="396"/>
      <c r="C9" s="393"/>
      <c r="D9" s="393"/>
      <c r="E9" s="393"/>
      <c r="F9" s="393"/>
      <c r="G9" s="393"/>
      <c r="J9" s="393"/>
      <c r="K9" s="393"/>
      <c r="L9" s="393"/>
      <c r="M9" s="397"/>
      <c r="N9" s="397"/>
      <c r="O9" s="397"/>
    </row>
    <row r="10" spans="1:15" ht="15" customHeight="1">
      <c r="A10" s="388" t="s">
        <v>535</v>
      </c>
      <c r="C10" s="402">
        <v>5.3</v>
      </c>
      <c r="D10" s="393" t="s">
        <v>893</v>
      </c>
      <c r="E10" s="402">
        <v>4</v>
      </c>
      <c r="F10" s="393" t="s">
        <v>893</v>
      </c>
      <c r="G10" s="402">
        <v>1.2999999999999998</v>
      </c>
      <c r="H10" s="393" t="s">
        <v>893</v>
      </c>
      <c r="J10" s="402">
        <v>5.5</v>
      </c>
      <c r="K10" s="393" t="s">
        <v>893</v>
      </c>
      <c r="L10" s="402">
        <v>4.2</v>
      </c>
      <c r="M10" s="393" t="s">
        <v>893</v>
      </c>
      <c r="N10" s="402">
        <v>1.2999999999999998</v>
      </c>
      <c r="O10" s="393" t="s">
        <v>893</v>
      </c>
    </row>
    <row r="11" spans="1:15" ht="15" customHeight="1">
      <c r="A11" s="388" t="s">
        <v>588</v>
      </c>
      <c r="C11" s="393"/>
      <c r="D11" s="393"/>
      <c r="E11" s="393"/>
      <c r="F11" s="393"/>
      <c r="G11" s="393"/>
      <c r="H11" s="388"/>
      <c r="J11" s="393"/>
      <c r="K11" s="393"/>
      <c r="L11" s="393"/>
      <c r="M11" s="393"/>
      <c r="N11" s="393"/>
    </row>
    <row r="12" spans="1:15" ht="15" customHeight="1">
      <c r="A12" s="388" t="s">
        <v>589</v>
      </c>
      <c r="C12" s="402">
        <v>4.5999999999999996</v>
      </c>
      <c r="D12" s="398"/>
      <c r="E12" s="402">
        <v>3.2</v>
      </c>
      <c r="F12" s="402"/>
      <c r="G12" s="402">
        <v>1.3999999999999995</v>
      </c>
      <c r="H12" s="402"/>
      <c r="J12" s="402">
        <v>4.5999999999999996</v>
      </c>
      <c r="K12" s="398"/>
      <c r="L12" s="402">
        <v>3.3</v>
      </c>
      <c r="M12" s="402"/>
      <c r="N12" s="402">
        <v>1.2999999999999998</v>
      </c>
      <c r="O12" s="402"/>
    </row>
    <row r="13" spans="1:15" ht="15" customHeight="1">
      <c r="A13" s="388" t="s">
        <v>590</v>
      </c>
      <c r="C13" s="402"/>
      <c r="D13" s="398"/>
      <c r="E13" s="402"/>
      <c r="F13" s="402"/>
      <c r="G13" s="402"/>
      <c r="H13" s="402"/>
      <c r="J13" s="402"/>
      <c r="K13" s="398"/>
      <c r="L13" s="402"/>
      <c r="M13" s="402"/>
      <c r="N13" s="402"/>
      <c r="O13" s="402"/>
    </row>
    <row r="14" spans="1:15" ht="15" customHeight="1">
      <c r="A14" s="388" t="s">
        <v>591</v>
      </c>
      <c r="B14" s="393"/>
      <c r="C14" s="402">
        <v>6.9</v>
      </c>
      <c r="D14" s="399"/>
      <c r="E14" s="402">
        <v>6.2</v>
      </c>
      <c r="F14" s="402"/>
      <c r="G14" s="402">
        <v>0.70000000000000018</v>
      </c>
      <c r="H14" s="402"/>
      <c r="J14" s="402">
        <v>6.4</v>
      </c>
      <c r="K14" s="399"/>
      <c r="L14" s="402">
        <v>6.3</v>
      </c>
      <c r="M14" s="402"/>
      <c r="N14" s="402">
        <v>0.10000000000000053</v>
      </c>
      <c r="O14" s="402"/>
    </row>
    <row r="15" spans="1:15" ht="15" customHeight="1">
      <c r="A15" s="388" t="s">
        <v>592</v>
      </c>
      <c r="B15" s="393"/>
      <c r="C15" s="402"/>
      <c r="D15" s="398"/>
      <c r="E15" s="402"/>
      <c r="F15" s="402"/>
      <c r="G15" s="402"/>
      <c r="H15" s="402"/>
      <c r="J15" s="402"/>
      <c r="K15" s="398"/>
      <c r="L15" s="402"/>
      <c r="M15" s="402"/>
      <c r="N15" s="402"/>
      <c r="O15" s="402"/>
    </row>
    <row r="16" spans="1:15" ht="15" customHeight="1">
      <c r="A16" s="388" t="s">
        <v>593</v>
      </c>
      <c r="B16" s="393"/>
      <c r="C16" s="402">
        <v>3.9</v>
      </c>
      <c r="D16" s="398"/>
      <c r="E16" s="757" t="s">
        <v>429</v>
      </c>
      <c r="F16" s="402"/>
      <c r="G16" s="757" t="s">
        <v>429</v>
      </c>
      <c r="H16" s="402"/>
      <c r="J16" s="402">
        <v>3.8</v>
      </c>
      <c r="K16" s="398"/>
      <c r="L16" s="757" t="s">
        <v>429</v>
      </c>
      <c r="M16" s="402"/>
      <c r="N16" s="757" t="s">
        <v>429</v>
      </c>
      <c r="O16" s="402"/>
    </row>
    <row r="17" spans="1:15" ht="15" customHeight="1">
      <c r="C17" s="398"/>
      <c r="D17" s="393"/>
      <c r="E17" s="402"/>
      <c r="F17" s="403"/>
      <c r="G17" s="402"/>
      <c r="H17" s="402"/>
      <c r="I17" s="393"/>
      <c r="J17" s="398"/>
      <c r="K17" s="393"/>
      <c r="L17" s="402"/>
      <c r="M17" s="403"/>
      <c r="N17" s="402"/>
      <c r="O17" s="402"/>
    </row>
    <row r="18" spans="1:15" ht="15" customHeight="1">
      <c r="C18" s="398"/>
      <c r="D18" s="393"/>
      <c r="E18" s="402"/>
      <c r="F18" s="403"/>
      <c r="G18" s="402"/>
      <c r="H18" s="402"/>
      <c r="I18" s="393"/>
      <c r="J18" s="398"/>
      <c r="K18" s="393"/>
      <c r="L18" s="402"/>
      <c r="M18" s="403"/>
      <c r="N18" s="402"/>
      <c r="O18" s="402"/>
    </row>
    <row r="19" spans="1:15" ht="15" customHeight="1">
      <c r="A19" s="387"/>
      <c r="B19" s="387"/>
      <c r="C19" s="1041" t="s">
        <v>1145</v>
      </c>
      <c r="D19" s="1041"/>
      <c r="E19" s="1041"/>
      <c r="F19" s="1041"/>
      <c r="G19" s="1041"/>
      <c r="H19" s="391"/>
      <c r="J19" s="1041" t="s">
        <v>1149</v>
      </c>
      <c r="K19" s="1041"/>
      <c r="L19" s="1041"/>
      <c r="M19" s="1041"/>
      <c r="N19" s="1041"/>
      <c r="O19" s="390"/>
    </row>
    <row r="20" spans="1:15" ht="15" customHeight="1">
      <c r="A20" s="387"/>
      <c r="B20" s="387"/>
      <c r="C20" s="392"/>
      <c r="D20" s="391"/>
      <c r="E20" s="391"/>
      <c r="F20" s="391"/>
      <c r="G20" s="391"/>
      <c r="H20" s="391"/>
      <c r="J20" s="392"/>
      <c r="K20" s="391"/>
      <c r="L20" s="391"/>
      <c r="M20" s="391"/>
      <c r="N20" s="391"/>
      <c r="O20" s="391"/>
    </row>
    <row r="21" spans="1:15" ht="15" customHeight="1">
      <c r="C21" s="391" t="s">
        <v>584</v>
      </c>
      <c r="D21" s="393"/>
      <c r="E21" s="391" t="s">
        <v>584</v>
      </c>
      <c r="F21" s="391"/>
      <c r="G21" s="391" t="s">
        <v>584</v>
      </c>
      <c r="H21" s="394"/>
      <c r="J21" s="391" t="s">
        <v>584</v>
      </c>
      <c r="K21" s="393"/>
      <c r="L21" s="391" t="s">
        <v>584</v>
      </c>
      <c r="M21" s="391"/>
      <c r="N21" s="391" t="s">
        <v>584</v>
      </c>
      <c r="O21" s="394"/>
    </row>
    <row r="22" spans="1:15" ht="15" customHeight="1">
      <c r="C22" s="395" t="s">
        <v>585</v>
      </c>
      <c r="D22" s="393"/>
      <c r="E22" s="395" t="s">
        <v>586</v>
      </c>
      <c r="F22" s="391"/>
      <c r="G22" s="395" t="s">
        <v>587</v>
      </c>
      <c r="H22" s="391"/>
      <c r="J22" s="395" t="s">
        <v>585</v>
      </c>
      <c r="K22" s="393"/>
      <c r="L22" s="395" t="s">
        <v>586</v>
      </c>
      <c r="M22" s="391"/>
      <c r="N22" s="395" t="s">
        <v>587</v>
      </c>
      <c r="O22" s="391"/>
    </row>
    <row r="23" spans="1:15" ht="15" customHeight="1">
      <c r="A23" s="396"/>
      <c r="C23" s="393"/>
      <c r="D23" s="393"/>
      <c r="E23" s="393"/>
      <c r="F23" s="397"/>
      <c r="G23" s="397"/>
      <c r="H23" s="397"/>
      <c r="J23" s="393"/>
      <c r="K23" s="393"/>
      <c r="L23" s="393"/>
      <c r="M23" s="397"/>
      <c r="N23" s="397"/>
      <c r="O23" s="397"/>
    </row>
    <row r="24" spans="1:15" ht="15" customHeight="1">
      <c r="A24" s="388" t="s">
        <v>535</v>
      </c>
      <c r="C24" s="402">
        <v>5.4</v>
      </c>
      <c r="D24" s="393" t="s">
        <v>893</v>
      </c>
      <c r="E24" s="402">
        <v>4.0999999999999996</v>
      </c>
      <c r="F24" s="393" t="s">
        <v>893</v>
      </c>
      <c r="G24" s="402">
        <v>1.3000000000000007</v>
      </c>
      <c r="H24" s="393" t="s">
        <v>893</v>
      </c>
      <c r="J24" s="402">
        <v>5.5</v>
      </c>
      <c r="K24" s="386" t="s">
        <v>893</v>
      </c>
      <c r="L24" s="402">
        <v>4.2</v>
      </c>
      <c r="M24" s="386" t="s">
        <v>893</v>
      </c>
      <c r="N24" s="402">
        <v>1.2999999999999998</v>
      </c>
      <c r="O24" s="393" t="s">
        <v>893</v>
      </c>
    </row>
    <row r="25" spans="1:15" ht="15" customHeight="1">
      <c r="A25" s="388" t="s">
        <v>588</v>
      </c>
      <c r="C25" s="393"/>
      <c r="D25" s="393"/>
      <c r="E25" s="393"/>
      <c r="F25" s="393"/>
      <c r="G25" s="393"/>
      <c r="H25" s="388"/>
      <c r="J25" s="386"/>
      <c r="K25" s="386"/>
      <c r="L25" s="393"/>
      <c r="M25" s="386"/>
      <c r="N25" s="393"/>
      <c r="O25" s="402"/>
    </row>
    <row r="26" spans="1:15" ht="15" customHeight="1">
      <c r="A26" s="388" t="s">
        <v>589</v>
      </c>
      <c r="C26" s="402">
        <v>4.5999999999999996</v>
      </c>
      <c r="D26" s="398"/>
      <c r="E26" s="402">
        <v>3.2</v>
      </c>
      <c r="F26" s="402"/>
      <c r="G26" s="402">
        <v>1.3999999999999995</v>
      </c>
      <c r="H26" s="402"/>
      <c r="J26" s="402">
        <v>4.5999999999999996</v>
      </c>
      <c r="K26" s="406"/>
      <c r="L26" s="402">
        <v>3.3</v>
      </c>
      <c r="M26" s="407"/>
      <c r="N26" s="402">
        <v>1.2999999999999998</v>
      </c>
      <c r="O26" s="402"/>
    </row>
    <row r="27" spans="1:15" ht="15" customHeight="1">
      <c r="A27" s="388" t="s">
        <v>590</v>
      </c>
      <c r="C27" s="402"/>
      <c r="D27" s="398"/>
      <c r="E27" s="402"/>
      <c r="F27" s="402"/>
      <c r="G27" s="402"/>
      <c r="H27" s="402"/>
      <c r="J27" s="407"/>
      <c r="K27" s="406"/>
      <c r="L27" s="402"/>
      <c r="M27" s="407"/>
      <c r="N27" s="402"/>
      <c r="O27" s="402"/>
    </row>
    <row r="28" spans="1:15" ht="15" customHeight="1">
      <c r="A28" s="388" t="s">
        <v>591</v>
      </c>
      <c r="B28" s="393"/>
      <c r="C28" s="402">
        <v>7.3</v>
      </c>
      <c r="D28" s="399"/>
      <c r="E28" s="402">
        <v>6.1</v>
      </c>
      <c r="F28" s="402"/>
      <c r="G28" s="402">
        <v>1.2000000000000002</v>
      </c>
      <c r="H28" s="402"/>
      <c r="J28" s="402">
        <v>6.3</v>
      </c>
      <c r="K28" s="920"/>
      <c r="L28" s="402">
        <v>6.3</v>
      </c>
      <c r="M28" s="407"/>
      <c r="N28" s="402">
        <v>0</v>
      </c>
      <c r="O28" s="403"/>
    </row>
    <row r="29" spans="1:15" ht="15" customHeight="1">
      <c r="A29" s="388" t="s">
        <v>592</v>
      </c>
      <c r="B29" s="393"/>
      <c r="C29" s="402"/>
      <c r="D29" s="398"/>
      <c r="E29" s="402"/>
      <c r="F29" s="402"/>
      <c r="G29" s="402"/>
      <c r="H29" s="402"/>
      <c r="J29" s="407"/>
      <c r="K29" s="406"/>
      <c r="L29" s="402"/>
      <c r="M29" s="407"/>
      <c r="N29" s="402"/>
      <c r="O29" s="403"/>
    </row>
    <row r="30" spans="1:15" ht="15" customHeight="1">
      <c r="A30" s="388" t="s">
        <v>593</v>
      </c>
      <c r="B30" s="393"/>
      <c r="C30" s="402">
        <v>3.9</v>
      </c>
      <c r="D30" s="398"/>
      <c r="E30" s="757" t="s">
        <v>429</v>
      </c>
      <c r="F30" s="402"/>
      <c r="G30" s="757" t="s">
        <v>429</v>
      </c>
      <c r="H30" s="402"/>
      <c r="J30" s="402">
        <v>3.7</v>
      </c>
      <c r="K30" s="406"/>
      <c r="L30" s="757" t="s">
        <v>429</v>
      </c>
      <c r="M30" s="407"/>
      <c r="N30" s="757" t="s">
        <v>429</v>
      </c>
      <c r="O30" s="402"/>
    </row>
    <row r="31" spans="1:15" ht="15" customHeight="1">
      <c r="C31" s="398"/>
      <c r="D31" s="393"/>
      <c r="E31" s="402"/>
      <c r="F31" s="403"/>
      <c r="G31" s="402"/>
      <c r="H31" s="402"/>
      <c r="I31" s="393"/>
      <c r="J31" s="398"/>
      <c r="K31" s="393"/>
      <c r="L31" s="402"/>
      <c r="M31" s="403"/>
      <c r="N31" s="402"/>
      <c r="O31" s="402"/>
    </row>
  </sheetData>
  <mergeCells count="9">
    <mergeCell ref="C19:G19"/>
    <mergeCell ref="J19:N19"/>
    <mergeCell ref="A1:O1"/>
    <mergeCell ref="A2:O2"/>
    <mergeCell ref="A3:B3"/>
    <mergeCell ref="C4:G4"/>
    <mergeCell ref="J4:N4"/>
    <mergeCell ref="C5:G5"/>
    <mergeCell ref="J5:N5"/>
  </mergeCells>
  <phoneticPr fontId="24" type="noConversion"/>
  <printOptions horizontalCentered="1"/>
  <pageMargins left="0.25" right="0.25" top="0.5" bottom="0.25" header="0.3" footer="0.25"/>
  <pageSetup scale="81" orientation="landscape" r:id="rId1"/>
  <headerFooter alignWithMargins="0">
    <oddFooter>&amp;R&amp;A</oddFooter>
  </headerFooter>
</worksheet>
</file>

<file path=xl/worksheets/sheet38.xml><?xml version="1.0" encoding="utf-8"?>
<worksheet xmlns="http://schemas.openxmlformats.org/spreadsheetml/2006/main" xmlns:r="http://schemas.openxmlformats.org/officeDocument/2006/relationships">
  <sheetPr>
    <pageSetUpPr fitToPage="1"/>
  </sheetPr>
  <dimension ref="A1:S49"/>
  <sheetViews>
    <sheetView zoomScale="75" zoomScaleNormal="75" workbookViewId="0">
      <selection sqref="A1:R1"/>
    </sheetView>
  </sheetViews>
  <sheetFormatPr defaultRowHeight="14.4"/>
  <cols>
    <col min="1" max="1" width="3" customWidth="1"/>
    <col min="2" max="3" width="2.6640625" customWidth="1"/>
    <col min="4" max="4" width="42" customWidth="1"/>
    <col min="5" max="5" width="2.44140625" customWidth="1"/>
    <col min="6" max="6" width="17.44140625" customWidth="1"/>
    <col min="7" max="7" width="4.6640625" customWidth="1"/>
    <col min="8" max="8" width="18.88671875" customWidth="1"/>
    <col min="9" max="9" width="2.44140625" customWidth="1"/>
    <col min="10" max="10" width="18.33203125" customWidth="1"/>
    <col min="11" max="11" width="2.44140625" customWidth="1"/>
    <col min="12" max="12" width="13.6640625" customWidth="1"/>
    <col min="13" max="13" width="2.44140625" customWidth="1"/>
    <col min="14" max="14" width="7.44140625" customWidth="1"/>
    <col min="15" max="15" width="3" customWidth="1"/>
    <col min="16" max="16" width="7.44140625" customWidth="1"/>
    <col min="17" max="17" width="3.44140625" customWidth="1"/>
    <col min="18" max="18" width="8.109375" customWidth="1"/>
    <col min="19" max="19" width="3.33203125" customWidth="1"/>
  </cols>
  <sheetData>
    <row r="1" spans="1:19">
      <c r="A1" s="1045" t="s">
        <v>96</v>
      </c>
      <c r="B1" s="1045"/>
      <c r="C1" s="1045"/>
      <c r="D1" s="1045"/>
      <c r="E1" s="1045"/>
      <c r="F1" s="1045"/>
      <c r="G1" s="1045"/>
      <c r="H1" s="1045"/>
      <c r="I1" s="1045"/>
      <c r="J1" s="1045"/>
      <c r="K1" s="1045"/>
      <c r="L1" s="1045"/>
      <c r="M1" s="1045"/>
      <c r="N1" s="1045"/>
      <c r="O1" s="1045"/>
      <c r="P1" s="1045"/>
      <c r="Q1" s="1045"/>
      <c r="R1" s="1045"/>
    </row>
    <row r="2" spans="1:19">
      <c r="A2" s="1045" t="s">
        <v>594</v>
      </c>
      <c r="B2" s="1045"/>
      <c r="C2" s="1045"/>
      <c r="D2" s="1045"/>
      <c r="E2" s="1045"/>
      <c r="F2" s="1045"/>
      <c r="G2" s="1045"/>
      <c r="H2" s="1045"/>
      <c r="I2" s="1045"/>
      <c r="J2" s="1045"/>
      <c r="K2" s="1045"/>
      <c r="L2" s="1045"/>
      <c r="M2" s="1045"/>
      <c r="N2" s="1045"/>
      <c r="O2" s="1045"/>
      <c r="P2" s="1045"/>
      <c r="Q2" s="1045"/>
      <c r="R2" s="1045"/>
    </row>
    <row r="3" spans="1:19">
      <c r="A3" s="1045" t="s">
        <v>800</v>
      </c>
      <c r="B3" s="1045"/>
      <c r="C3" s="1045"/>
      <c r="D3" s="1045"/>
      <c r="E3" s="1045"/>
      <c r="F3" s="1045"/>
      <c r="G3" s="1045"/>
      <c r="H3" s="1045"/>
      <c r="I3" s="1045"/>
      <c r="J3" s="1045"/>
      <c r="K3" s="1045"/>
      <c r="L3" s="1045"/>
      <c r="M3" s="1045"/>
      <c r="N3" s="1045"/>
      <c r="O3" s="1045"/>
      <c r="P3" s="1045"/>
      <c r="Q3" s="1045"/>
      <c r="R3" s="1045"/>
    </row>
    <row r="4" spans="1:19">
      <c r="A4" s="929"/>
      <c r="B4" s="929"/>
      <c r="C4" s="929"/>
      <c r="D4" s="929"/>
      <c r="E4" s="929"/>
      <c r="F4" s="929"/>
      <c r="G4" s="929"/>
      <c r="H4" s="929"/>
      <c r="I4" s="929"/>
      <c r="J4" s="929"/>
      <c r="K4" s="929"/>
      <c r="L4" s="929"/>
      <c r="M4" s="929"/>
      <c r="N4" s="929"/>
    </row>
    <row r="5" spans="1:19" ht="36.75" customHeight="1">
      <c r="A5" s="929"/>
      <c r="B5" s="929"/>
      <c r="C5" s="929"/>
      <c r="D5" s="929"/>
      <c r="E5" s="929"/>
      <c r="F5" s="1046" t="s">
        <v>1146</v>
      </c>
      <c r="G5" s="1046"/>
      <c r="H5" s="1046"/>
      <c r="I5" s="930"/>
      <c r="J5" s="931" t="s">
        <v>1147</v>
      </c>
      <c r="K5" s="929"/>
      <c r="L5" s="929"/>
      <c r="N5" s="1047" t="s">
        <v>101</v>
      </c>
      <c r="O5" s="1047"/>
      <c r="P5" s="1047"/>
      <c r="Q5" s="1047"/>
      <c r="R5" s="1047"/>
    </row>
    <row r="6" spans="1:19">
      <c r="A6" s="929"/>
      <c r="B6" s="929"/>
      <c r="C6" s="929"/>
      <c r="D6" s="929"/>
      <c r="E6" s="929"/>
      <c r="F6" s="932"/>
      <c r="G6" s="932"/>
      <c r="H6" s="932"/>
      <c r="I6" s="930"/>
      <c r="J6" s="933"/>
      <c r="K6" s="929"/>
      <c r="L6" s="929"/>
      <c r="N6" s="933" t="s">
        <v>712</v>
      </c>
      <c r="O6" s="933"/>
      <c r="P6" s="933" t="s">
        <v>713</v>
      </c>
      <c r="Q6" s="933"/>
      <c r="R6" s="933" t="s">
        <v>714</v>
      </c>
    </row>
    <row r="7" spans="1:19">
      <c r="A7" s="934"/>
      <c r="B7" s="934"/>
      <c r="C7" s="934"/>
      <c r="D7" s="934"/>
      <c r="E7" s="934"/>
      <c r="F7" s="930"/>
      <c r="G7" s="930"/>
      <c r="H7" s="930" t="s">
        <v>958</v>
      </c>
      <c r="I7" s="930"/>
      <c r="J7" s="930"/>
      <c r="K7" s="929"/>
      <c r="L7" s="929"/>
      <c r="N7" s="935">
        <v>2012</v>
      </c>
      <c r="O7" s="936"/>
      <c r="P7" s="935">
        <v>2012</v>
      </c>
      <c r="Q7" s="937"/>
      <c r="R7" s="935">
        <v>2011</v>
      </c>
    </row>
    <row r="8" spans="1:19">
      <c r="A8" s="934"/>
      <c r="B8" s="934"/>
      <c r="C8" s="934"/>
      <c r="D8" s="934"/>
      <c r="E8" s="934"/>
      <c r="F8" s="930" t="s">
        <v>959</v>
      </c>
      <c r="G8" s="930"/>
      <c r="H8" s="930" t="s">
        <v>960</v>
      </c>
      <c r="I8" s="930"/>
      <c r="J8" s="930" t="s">
        <v>961</v>
      </c>
      <c r="K8" s="929"/>
      <c r="L8" s="929"/>
      <c r="N8" s="1044" t="s">
        <v>962</v>
      </c>
      <c r="O8" s="1044"/>
      <c r="P8" s="1044"/>
      <c r="Q8" s="1044"/>
      <c r="R8" s="1044"/>
    </row>
    <row r="9" spans="1:19">
      <c r="A9" s="934"/>
      <c r="B9" s="934"/>
      <c r="C9" s="934"/>
      <c r="D9" s="934"/>
      <c r="E9" s="934"/>
      <c r="F9" s="935" t="s">
        <v>824</v>
      </c>
      <c r="G9" s="930"/>
      <c r="H9" s="935" t="s">
        <v>715</v>
      </c>
      <c r="I9" s="930"/>
      <c r="J9" s="935" t="s">
        <v>716</v>
      </c>
      <c r="K9" s="929"/>
      <c r="L9" s="929"/>
      <c r="N9" s="1046" t="s">
        <v>717</v>
      </c>
      <c r="O9" s="1046"/>
      <c r="P9" s="1046"/>
      <c r="Q9" s="1046"/>
      <c r="R9" s="1046"/>
    </row>
    <row r="10" spans="1:19">
      <c r="A10" s="627" t="s">
        <v>718</v>
      </c>
      <c r="B10" s="934"/>
      <c r="C10" s="934"/>
      <c r="D10" s="934"/>
      <c r="E10" s="934"/>
      <c r="F10" s="934"/>
      <c r="G10" s="934"/>
      <c r="H10" s="934"/>
      <c r="I10" s="934"/>
      <c r="J10" s="934"/>
      <c r="K10" s="929"/>
      <c r="L10" s="929"/>
      <c r="N10" s="934"/>
      <c r="O10" s="249"/>
      <c r="P10" s="249"/>
      <c r="Q10" s="249"/>
    </row>
    <row r="11" spans="1:19">
      <c r="B11" s="934" t="s">
        <v>596</v>
      </c>
      <c r="C11" s="249"/>
      <c r="D11" s="934"/>
      <c r="E11" s="934" t="s">
        <v>108</v>
      </c>
      <c r="F11" s="938">
        <v>14176</v>
      </c>
      <c r="G11" s="939" t="s">
        <v>108</v>
      </c>
      <c r="H11" s="938">
        <v>2501</v>
      </c>
      <c r="I11" s="939" t="s">
        <v>108</v>
      </c>
      <c r="J11" s="938">
        <v>257</v>
      </c>
      <c r="K11" s="939"/>
      <c r="L11" s="962"/>
      <c r="N11" s="940">
        <v>10.8</v>
      </c>
      <c r="O11" s="687" t="s">
        <v>893</v>
      </c>
      <c r="P11" s="941">
        <v>11.3</v>
      </c>
      <c r="Q11" s="687" t="s">
        <v>893</v>
      </c>
      <c r="R11" s="941">
        <v>11.2</v>
      </c>
      <c r="S11" s="687" t="s">
        <v>893</v>
      </c>
    </row>
    <row r="12" spans="1:19">
      <c r="B12" s="934" t="s">
        <v>597</v>
      </c>
      <c r="C12" s="249"/>
      <c r="D12" s="934"/>
      <c r="E12" s="934"/>
      <c r="F12" s="942">
        <v>1937</v>
      </c>
      <c r="G12" s="939"/>
      <c r="H12" s="942">
        <v>613</v>
      </c>
      <c r="I12" s="939"/>
      <c r="J12" s="942">
        <v>96</v>
      </c>
      <c r="K12" s="939"/>
      <c r="L12" s="964"/>
      <c r="N12" s="950">
        <v>16.3</v>
      </c>
      <c r="O12" s="687"/>
      <c r="P12" s="952">
        <v>15.9</v>
      </c>
      <c r="Q12" s="687"/>
      <c r="R12" s="952">
        <v>16.2</v>
      </c>
    </row>
    <row r="13" spans="1:19">
      <c r="A13" s="934"/>
      <c r="B13" s="934"/>
      <c r="C13" s="934" t="s">
        <v>279</v>
      </c>
      <c r="D13" s="934"/>
      <c r="E13" s="934"/>
      <c r="F13" s="939">
        <v>16113</v>
      </c>
      <c r="G13" s="939"/>
      <c r="H13" s="939">
        <v>3114</v>
      </c>
      <c r="I13" s="939"/>
      <c r="J13" s="939">
        <v>353</v>
      </c>
      <c r="K13" s="939"/>
      <c r="L13" s="963"/>
      <c r="N13" s="941">
        <v>11.89</v>
      </c>
      <c r="O13" s="687"/>
      <c r="P13" s="941">
        <v>12.2</v>
      </c>
      <c r="Q13" s="687"/>
      <c r="R13" s="941">
        <v>4.9000000000000004</v>
      </c>
    </row>
    <row r="14" spans="1:19">
      <c r="A14" s="1049" t="s">
        <v>0</v>
      </c>
      <c r="B14" s="1049"/>
      <c r="C14" s="1049"/>
      <c r="D14" s="1049"/>
      <c r="E14" s="934"/>
      <c r="F14" s="939"/>
      <c r="G14" s="939"/>
      <c r="H14" s="939"/>
      <c r="I14" s="939"/>
      <c r="J14" s="943"/>
      <c r="K14" s="939"/>
      <c r="N14" s="940"/>
      <c r="O14" s="687"/>
      <c r="P14" s="941"/>
      <c r="Q14" s="687"/>
      <c r="R14" s="941"/>
    </row>
    <row r="15" spans="1:19">
      <c r="A15" s="934"/>
      <c r="B15" s="934" t="s">
        <v>598</v>
      </c>
      <c r="C15" s="249"/>
      <c r="D15" s="934"/>
      <c r="E15" s="934"/>
      <c r="F15" s="938">
        <v>24072</v>
      </c>
      <c r="G15" s="939"/>
      <c r="H15" s="938">
        <v>1978</v>
      </c>
      <c r="I15" s="938"/>
      <c r="J15" s="938">
        <v>183</v>
      </c>
      <c r="K15" s="939"/>
      <c r="N15" s="940">
        <v>9.1999999999999993</v>
      </c>
      <c r="O15" s="687"/>
      <c r="P15" s="941">
        <v>9.1999999999999993</v>
      </c>
      <c r="Q15" s="687"/>
      <c r="R15" s="941">
        <v>9.1999999999999993</v>
      </c>
    </row>
    <row r="16" spans="1:19">
      <c r="A16" s="934"/>
      <c r="B16" s="934" t="s">
        <v>963</v>
      </c>
      <c r="C16" s="249"/>
      <c r="D16" s="934"/>
      <c r="E16" s="934"/>
      <c r="F16" s="938"/>
      <c r="G16" s="939"/>
      <c r="H16" s="938"/>
      <c r="I16" s="938"/>
      <c r="J16" s="938"/>
      <c r="K16" s="939"/>
      <c r="N16" s="941"/>
      <c r="O16" s="687"/>
      <c r="P16" s="941"/>
      <c r="Q16" s="687"/>
      <c r="R16" s="941"/>
    </row>
    <row r="17" spans="1:18">
      <c r="A17" s="934"/>
      <c r="B17" s="934"/>
      <c r="C17" s="934" t="s">
        <v>964</v>
      </c>
      <c r="D17" s="249"/>
      <c r="E17" s="934"/>
      <c r="F17" s="938"/>
      <c r="G17" s="939"/>
      <c r="H17" s="938"/>
      <c r="I17" s="938"/>
      <c r="J17" s="938"/>
      <c r="K17" s="939"/>
      <c r="N17" s="941"/>
      <c r="O17" s="687"/>
      <c r="P17" s="941"/>
      <c r="Q17" s="687"/>
      <c r="R17" s="941"/>
    </row>
    <row r="18" spans="1:18">
      <c r="A18" s="934"/>
      <c r="B18" s="934"/>
      <c r="C18" s="944" t="s">
        <v>719</v>
      </c>
      <c r="D18" s="249"/>
      <c r="E18" s="934"/>
      <c r="F18" s="938">
        <v>5178</v>
      </c>
      <c r="G18" s="939"/>
      <c r="H18" s="938">
        <v>901</v>
      </c>
      <c r="I18" s="938"/>
      <c r="J18" s="938">
        <v>-6</v>
      </c>
      <c r="K18" s="939"/>
      <c r="N18" s="940">
        <v>-0.7</v>
      </c>
      <c r="O18" s="687"/>
      <c r="P18" s="941">
        <v>-1</v>
      </c>
      <c r="Q18" s="687"/>
      <c r="R18" s="941">
        <v>-2.9</v>
      </c>
    </row>
    <row r="19" spans="1:18">
      <c r="A19" s="934"/>
      <c r="B19" s="934"/>
      <c r="C19" s="934" t="s">
        <v>720</v>
      </c>
      <c r="D19" s="249"/>
      <c r="E19" s="934"/>
      <c r="F19" s="942">
        <v>8232</v>
      </c>
      <c r="G19" s="939"/>
      <c r="H19" s="942">
        <v>448</v>
      </c>
      <c r="I19" s="938"/>
      <c r="J19" s="942">
        <v>19</v>
      </c>
      <c r="K19" s="939"/>
      <c r="N19" s="950">
        <v>5.3</v>
      </c>
      <c r="O19" s="687"/>
      <c r="P19" s="952">
        <v>5.7</v>
      </c>
      <c r="Q19" s="687"/>
      <c r="R19" s="952">
        <v>-0.3</v>
      </c>
    </row>
    <row r="20" spans="1:18">
      <c r="A20" s="934"/>
      <c r="B20" s="934"/>
      <c r="C20" s="934" t="s">
        <v>279</v>
      </c>
      <c r="D20" s="249"/>
      <c r="E20" s="934"/>
      <c r="F20" s="938">
        <v>13410</v>
      </c>
      <c r="G20" s="939"/>
      <c r="H20" s="938">
        <v>1349</v>
      </c>
      <c r="I20" s="938"/>
      <c r="J20" s="938">
        <v>13</v>
      </c>
      <c r="K20" s="939"/>
      <c r="N20" s="940">
        <v>1.1000000000000001</v>
      </c>
      <c r="O20" s="687"/>
      <c r="P20" s="941">
        <v>0.9</v>
      </c>
      <c r="Q20" s="687"/>
      <c r="R20" s="941">
        <v>-2.2000000000000002</v>
      </c>
    </row>
    <row r="21" spans="1:18">
      <c r="A21" s="249"/>
      <c r="B21" s="934" t="s">
        <v>965</v>
      </c>
      <c r="C21" s="249"/>
      <c r="D21" s="249"/>
      <c r="E21" s="934"/>
      <c r="F21" s="938">
        <v>1877</v>
      </c>
      <c r="G21" s="939"/>
      <c r="H21" s="938">
        <v>56</v>
      </c>
      <c r="I21" s="938"/>
      <c r="J21" s="938">
        <v>-4</v>
      </c>
      <c r="K21" s="939"/>
      <c r="N21" s="940">
        <v>-5.2</v>
      </c>
      <c r="O21" s="687"/>
      <c r="P21" s="941">
        <v>-7.3</v>
      </c>
      <c r="Q21" s="687"/>
      <c r="R21" s="941">
        <v>-6.8</v>
      </c>
    </row>
    <row r="22" spans="1:18">
      <c r="A22" s="249"/>
      <c r="B22" s="934" t="s">
        <v>697</v>
      </c>
      <c r="C22" s="249"/>
      <c r="D22" s="934"/>
      <c r="E22" s="934"/>
      <c r="F22" s="942">
        <v>0</v>
      </c>
      <c r="G22" s="939"/>
      <c r="H22" s="942">
        <v>0</v>
      </c>
      <c r="I22" s="938"/>
      <c r="J22" s="942">
        <v>2</v>
      </c>
      <c r="K22" s="939"/>
      <c r="N22" s="945" t="s">
        <v>1103</v>
      </c>
      <c r="O22" s="687"/>
      <c r="P22" s="945" t="s">
        <v>1103</v>
      </c>
      <c r="Q22" s="687"/>
      <c r="R22" s="965">
        <v>7.4</v>
      </c>
    </row>
    <row r="23" spans="1:18">
      <c r="A23" s="934"/>
      <c r="B23" s="934"/>
      <c r="C23" s="934" t="s">
        <v>279</v>
      </c>
      <c r="D23" s="934"/>
      <c r="E23" s="934"/>
      <c r="F23" s="946">
        <v>39359</v>
      </c>
      <c r="G23" s="939"/>
      <c r="H23" s="946">
        <v>3383</v>
      </c>
      <c r="I23" s="939"/>
      <c r="J23" s="946">
        <v>194</v>
      </c>
      <c r="K23" s="939"/>
      <c r="N23" s="950">
        <v>5.9</v>
      </c>
      <c r="O23" s="687"/>
      <c r="P23" s="952">
        <v>5.9</v>
      </c>
      <c r="Q23" s="687"/>
      <c r="R23" s="952">
        <v>4.9000000000000004</v>
      </c>
    </row>
    <row r="24" spans="1:18" ht="15" thickBot="1">
      <c r="A24" s="947" t="s">
        <v>966</v>
      </c>
      <c r="B24" s="947"/>
      <c r="C24" s="948"/>
      <c r="D24" s="947"/>
      <c r="E24" s="934" t="s">
        <v>108</v>
      </c>
      <c r="F24" s="949">
        <v>55472</v>
      </c>
      <c r="G24" s="939" t="s">
        <v>108</v>
      </c>
      <c r="H24" s="949">
        <v>6497</v>
      </c>
      <c r="I24" s="939" t="s">
        <v>108</v>
      </c>
      <c r="J24" s="949">
        <v>547</v>
      </c>
      <c r="K24" s="939"/>
      <c r="N24" s="950">
        <v>8.6999999999999993</v>
      </c>
      <c r="O24" s="687"/>
      <c r="P24" s="941">
        <v>8.8000000000000007</v>
      </c>
      <c r="Q24" s="687"/>
      <c r="R24" s="941">
        <v>8.3000000000000007</v>
      </c>
    </row>
    <row r="25" spans="1:18" ht="15" thickTop="1">
      <c r="A25" s="934"/>
      <c r="B25" s="934"/>
      <c r="C25" s="934"/>
      <c r="D25" s="934"/>
      <c r="E25" s="934"/>
      <c r="F25" s="946"/>
      <c r="G25" s="939"/>
      <c r="H25" s="951"/>
      <c r="I25" s="939"/>
      <c r="J25" s="951"/>
      <c r="K25" s="939"/>
      <c r="L25" s="952"/>
      <c r="M25" s="687"/>
      <c r="N25" s="249"/>
      <c r="O25" s="249"/>
      <c r="R25" s="249"/>
    </row>
    <row r="26" spans="1:18">
      <c r="A26" s="934"/>
      <c r="B26" s="934"/>
      <c r="C26" s="934"/>
      <c r="D26" s="934"/>
      <c r="E26" s="934"/>
      <c r="F26" s="946"/>
      <c r="G26" s="939"/>
      <c r="H26" s="951"/>
      <c r="I26" s="939"/>
      <c r="J26" s="951"/>
      <c r="K26" s="939"/>
      <c r="L26" s="952"/>
      <c r="M26" s="687"/>
      <c r="N26" s="249"/>
      <c r="O26" s="249"/>
    </row>
    <row r="27" spans="1:18">
      <c r="A27" s="934"/>
      <c r="B27" s="934"/>
      <c r="C27" s="934"/>
      <c r="D27" s="934"/>
      <c r="E27" s="934"/>
      <c r="F27" s="1050" t="s">
        <v>1145</v>
      </c>
      <c r="G27" s="1050"/>
      <c r="H27" s="1050"/>
      <c r="I27" s="1050"/>
      <c r="J27" s="1050"/>
      <c r="K27" s="1050"/>
      <c r="L27" s="1050"/>
      <c r="M27" s="687"/>
      <c r="N27" s="249"/>
      <c r="O27" s="249"/>
    </row>
    <row r="28" spans="1:18">
      <c r="A28" s="934"/>
      <c r="B28" s="934"/>
      <c r="C28" s="934"/>
      <c r="D28" s="934"/>
      <c r="E28" s="934"/>
      <c r="F28" s="953" t="s">
        <v>967</v>
      </c>
      <c r="G28" s="939"/>
      <c r="H28" s="953" t="s">
        <v>968</v>
      </c>
      <c r="I28" s="939"/>
      <c r="J28" s="954" t="s">
        <v>1110</v>
      </c>
      <c r="K28" s="939"/>
      <c r="L28" s="953" t="s">
        <v>969</v>
      </c>
      <c r="M28" s="687"/>
      <c r="N28" s="249"/>
      <c r="O28" s="249"/>
    </row>
    <row r="29" spans="1:18">
      <c r="A29" s="934"/>
      <c r="B29" s="934"/>
      <c r="C29" s="934"/>
      <c r="D29" s="934"/>
      <c r="E29" s="934"/>
      <c r="F29" s="955" t="s">
        <v>970</v>
      </c>
      <c r="G29" s="939"/>
      <c r="H29" s="955" t="s">
        <v>971</v>
      </c>
      <c r="I29" s="939"/>
      <c r="J29" s="955" t="s">
        <v>1108</v>
      </c>
      <c r="K29" s="939"/>
      <c r="L29" s="955" t="s">
        <v>972</v>
      </c>
      <c r="M29" s="687"/>
      <c r="N29" s="249"/>
      <c r="O29" s="249"/>
    </row>
    <row r="30" spans="1:18">
      <c r="A30" s="934"/>
      <c r="B30" s="934"/>
      <c r="C30" s="934"/>
      <c r="D30" s="934"/>
      <c r="E30" s="934"/>
      <c r="F30" s="946"/>
      <c r="G30" s="939"/>
      <c r="H30" s="951"/>
      <c r="I30" s="939"/>
      <c r="J30" s="951"/>
      <c r="K30" s="939"/>
      <c r="L30" s="952"/>
      <c r="M30" s="687"/>
      <c r="N30" s="249"/>
      <c r="O30" s="249"/>
    </row>
    <row r="31" spans="1:18">
      <c r="A31" s="956" t="s">
        <v>296</v>
      </c>
      <c r="B31" s="957"/>
      <c r="C31" s="934"/>
      <c r="D31" s="934"/>
      <c r="E31" s="934" t="s">
        <v>108</v>
      </c>
      <c r="F31" s="958">
        <v>130</v>
      </c>
      <c r="G31" s="938" t="s">
        <v>108</v>
      </c>
      <c r="H31" s="958">
        <v>38</v>
      </c>
      <c r="I31" s="938" t="s">
        <v>108</v>
      </c>
      <c r="J31" s="958">
        <v>120</v>
      </c>
      <c r="K31" s="940" t="s">
        <v>108</v>
      </c>
      <c r="L31" s="958">
        <v>288</v>
      </c>
      <c r="M31" s="687"/>
      <c r="N31" s="249"/>
      <c r="O31" s="249"/>
    </row>
    <row r="32" spans="1:18">
      <c r="A32" s="957"/>
      <c r="B32" s="788" t="s">
        <v>297</v>
      </c>
      <c r="C32" s="934"/>
      <c r="D32" s="934"/>
      <c r="E32" s="934"/>
      <c r="F32" s="958">
        <v>-6</v>
      </c>
      <c r="G32" s="938"/>
      <c r="H32" s="958">
        <v>1</v>
      </c>
      <c r="I32" s="938"/>
      <c r="J32" s="958">
        <v>-4</v>
      </c>
      <c r="K32" s="940"/>
      <c r="L32" s="958">
        <v>-9</v>
      </c>
      <c r="M32" s="687"/>
      <c r="N32" s="249"/>
      <c r="O32" s="249"/>
    </row>
    <row r="33" spans="1:18">
      <c r="A33" s="957"/>
      <c r="B33" s="789" t="s">
        <v>494</v>
      </c>
      <c r="C33" s="934"/>
      <c r="D33" s="934"/>
      <c r="E33" s="934"/>
      <c r="F33" s="958"/>
      <c r="G33" s="938"/>
      <c r="H33" s="958"/>
      <c r="I33" s="938"/>
      <c r="J33" s="958"/>
      <c r="K33" s="940"/>
      <c r="L33" s="958"/>
      <c r="M33" s="687"/>
      <c r="N33" s="249"/>
      <c r="O33" s="249"/>
    </row>
    <row r="34" spans="1:18">
      <c r="A34" s="957"/>
      <c r="B34" s="789" t="s">
        <v>495</v>
      </c>
      <c r="C34" s="934"/>
      <c r="D34" s="934"/>
      <c r="E34" s="934"/>
      <c r="F34" s="958">
        <v>0</v>
      </c>
      <c r="G34" s="938"/>
      <c r="H34" s="958">
        <v>0</v>
      </c>
      <c r="I34" s="938"/>
      <c r="J34" s="958">
        <v>-9</v>
      </c>
      <c r="K34" s="940"/>
      <c r="L34" s="958">
        <v>-9</v>
      </c>
      <c r="M34" s="687"/>
      <c r="N34" s="249"/>
      <c r="O34" s="249"/>
    </row>
    <row r="35" spans="1:18">
      <c r="A35" s="957"/>
      <c r="B35" s="758" t="s">
        <v>783</v>
      </c>
      <c r="C35" s="934"/>
      <c r="D35" s="934"/>
      <c r="E35" s="934"/>
      <c r="F35" s="958"/>
      <c r="G35" s="938"/>
      <c r="H35" s="958"/>
      <c r="I35" s="938"/>
      <c r="J35" s="958"/>
      <c r="K35" s="940"/>
      <c r="L35" s="958"/>
      <c r="M35" s="687"/>
      <c r="N35" s="249"/>
      <c r="O35" s="249"/>
    </row>
    <row r="36" spans="1:18">
      <c r="A36" s="957"/>
      <c r="B36" s="758" t="s">
        <v>496</v>
      </c>
      <c r="C36" s="934"/>
      <c r="D36" s="934"/>
      <c r="E36" s="934"/>
      <c r="F36" s="958"/>
      <c r="G36" s="938"/>
      <c r="H36" s="958"/>
      <c r="I36" s="938"/>
      <c r="J36" s="958"/>
      <c r="K36" s="940"/>
      <c r="L36" s="958"/>
      <c r="M36" s="687"/>
      <c r="N36" s="249"/>
    </row>
    <row r="37" spans="1:18">
      <c r="A37" s="957"/>
      <c r="B37" s="758" t="s">
        <v>497</v>
      </c>
      <c r="C37" s="934"/>
      <c r="D37" s="934"/>
      <c r="E37" s="934"/>
      <c r="F37" s="958">
        <v>-2</v>
      </c>
      <c r="G37" s="938"/>
      <c r="H37" s="958">
        <v>0</v>
      </c>
      <c r="I37" s="938"/>
      <c r="J37" s="958">
        <v>-8</v>
      </c>
      <c r="K37" s="940"/>
      <c r="L37" s="958">
        <v>-10</v>
      </c>
      <c r="M37" s="687"/>
      <c r="N37" s="249"/>
    </row>
    <row r="38" spans="1:18">
      <c r="A38" s="957"/>
      <c r="B38" s="758" t="s">
        <v>498</v>
      </c>
      <c r="C38" s="934"/>
      <c r="D38" s="934"/>
      <c r="E38" s="934"/>
      <c r="F38" s="958"/>
      <c r="G38" s="938"/>
      <c r="H38" s="958"/>
      <c r="I38" s="938"/>
      <c r="J38" s="958"/>
      <c r="K38" s="940"/>
      <c r="L38" s="958"/>
      <c r="M38" s="687"/>
      <c r="N38" s="249"/>
    </row>
    <row r="39" spans="1:18">
      <c r="A39" s="957"/>
      <c r="B39" s="758" t="s">
        <v>499</v>
      </c>
      <c r="C39" s="934"/>
      <c r="D39" s="934"/>
      <c r="E39" s="934"/>
      <c r="F39" s="958">
        <v>0</v>
      </c>
      <c r="G39" s="938"/>
      <c r="H39" s="958">
        <v>0</v>
      </c>
      <c r="I39" s="938"/>
      <c r="J39" s="958">
        <v>0</v>
      </c>
      <c r="K39" s="940"/>
      <c r="L39" s="958">
        <v>0</v>
      </c>
      <c r="M39" s="687"/>
      <c r="N39" s="249"/>
    </row>
    <row r="40" spans="1:18">
      <c r="A40" s="957"/>
      <c r="B40" s="789" t="s">
        <v>500</v>
      </c>
      <c r="C40" s="934"/>
      <c r="D40" s="934"/>
      <c r="E40" s="934"/>
      <c r="F40" s="958"/>
      <c r="G40" s="938"/>
      <c r="H40" s="958"/>
      <c r="I40" s="938"/>
      <c r="J40" s="958"/>
      <c r="K40" s="940"/>
      <c r="L40" s="958"/>
      <c r="M40" s="687"/>
      <c r="N40" s="249"/>
    </row>
    <row r="41" spans="1:18">
      <c r="A41" s="957"/>
      <c r="B41" s="789" t="s">
        <v>501</v>
      </c>
      <c r="C41" s="934"/>
      <c r="D41" s="934"/>
      <c r="E41" s="934"/>
      <c r="F41" s="958">
        <v>1</v>
      </c>
      <c r="G41" s="938"/>
      <c r="H41" s="958">
        <v>0</v>
      </c>
      <c r="I41" s="938"/>
      <c r="J41" s="958">
        <v>-21</v>
      </c>
      <c r="K41" s="940"/>
      <c r="L41" s="958">
        <v>-20</v>
      </c>
      <c r="M41" s="687"/>
      <c r="N41" s="249"/>
    </row>
    <row r="42" spans="1:18">
      <c r="A42" s="957"/>
      <c r="B42" s="789" t="s">
        <v>728</v>
      </c>
      <c r="C42" s="934"/>
      <c r="D42" s="934"/>
      <c r="E42" s="934"/>
      <c r="F42" s="942">
        <v>0</v>
      </c>
      <c r="G42" s="938"/>
      <c r="H42" s="942">
        <v>0</v>
      </c>
      <c r="I42" s="938"/>
      <c r="J42" s="942">
        <v>4</v>
      </c>
      <c r="K42" s="940"/>
      <c r="L42" s="958">
        <v>4</v>
      </c>
      <c r="M42" s="687"/>
      <c r="N42" s="249"/>
    </row>
    <row r="43" spans="1:18" ht="15" thickBot="1">
      <c r="A43" s="959" t="s">
        <v>947</v>
      </c>
      <c r="B43" s="790"/>
      <c r="C43" s="934"/>
      <c r="D43" s="934"/>
      <c r="E43" s="934" t="s">
        <v>108</v>
      </c>
      <c r="F43" s="960">
        <v>123</v>
      </c>
      <c r="G43" s="938" t="s">
        <v>108</v>
      </c>
      <c r="H43" s="960">
        <v>39</v>
      </c>
      <c r="I43" s="938" t="s">
        <v>108</v>
      </c>
      <c r="J43" s="960">
        <v>82</v>
      </c>
      <c r="K43" s="940" t="s">
        <v>108</v>
      </c>
      <c r="L43" s="960">
        <v>244</v>
      </c>
      <c r="M43" s="687"/>
      <c r="N43" s="249"/>
    </row>
    <row r="44" spans="1:18" ht="15" thickTop="1">
      <c r="A44" s="934"/>
      <c r="B44" s="934"/>
      <c r="C44" s="934"/>
      <c r="D44" s="934"/>
      <c r="E44" s="934"/>
      <c r="F44" s="934"/>
      <c r="G44" s="934"/>
      <c r="H44" s="934"/>
      <c r="I44" s="934"/>
      <c r="J44" s="934"/>
      <c r="K44" s="934"/>
      <c r="L44" s="934"/>
      <c r="M44" s="249"/>
      <c r="N44" s="249"/>
    </row>
    <row r="45" spans="1:18" ht="24" customHeight="1">
      <c r="A45" s="961" t="s">
        <v>770</v>
      </c>
      <c r="B45" s="1048" t="s">
        <v>599</v>
      </c>
      <c r="C45" s="1048"/>
      <c r="D45" s="1048"/>
      <c r="E45" s="1048"/>
      <c r="F45" s="1048"/>
      <c r="G45" s="1048"/>
      <c r="H45" s="1048"/>
      <c r="I45" s="1048"/>
      <c r="J45" s="1048"/>
      <c r="K45" s="1048"/>
      <c r="L45" s="1048"/>
      <c r="M45" s="1048"/>
      <c r="N45" s="1048"/>
      <c r="O45" s="1048"/>
      <c r="P45" s="1048"/>
      <c r="Q45" s="1048"/>
      <c r="R45" s="1048"/>
    </row>
    <row r="46" spans="1:18" ht="14.25" customHeight="1">
      <c r="A46" s="961" t="s">
        <v>772</v>
      </c>
      <c r="B46" s="1048" t="s">
        <v>973</v>
      </c>
      <c r="C46" s="1048"/>
      <c r="D46" s="1048"/>
      <c r="E46" s="1048"/>
      <c r="F46" s="1048"/>
      <c r="G46" s="1048"/>
      <c r="H46" s="1048"/>
      <c r="I46" s="1048"/>
      <c r="J46" s="1048"/>
      <c r="K46" s="1048"/>
      <c r="L46" s="1048"/>
      <c r="M46" s="1048"/>
      <c r="N46" s="1048"/>
      <c r="O46" s="1048"/>
      <c r="P46" s="1048"/>
      <c r="Q46" s="1048"/>
      <c r="R46" s="1048"/>
    </row>
    <row r="47" spans="1:18" ht="24" customHeight="1">
      <c r="A47" s="961" t="s">
        <v>798</v>
      </c>
      <c r="B47" s="1048" t="s">
        <v>741</v>
      </c>
      <c r="C47" s="1048"/>
      <c r="D47" s="1048"/>
      <c r="E47" s="1048"/>
      <c r="F47" s="1048"/>
      <c r="G47" s="1048"/>
      <c r="H47" s="1048"/>
      <c r="I47" s="1048"/>
      <c r="J47" s="1048"/>
      <c r="K47" s="1048"/>
      <c r="L47" s="1048"/>
      <c r="M47" s="1048"/>
      <c r="N47" s="1048"/>
      <c r="O47" s="1048"/>
      <c r="P47" s="1048"/>
      <c r="Q47" s="1048"/>
      <c r="R47" s="1048"/>
    </row>
    <row r="48" spans="1:18" ht="45.75" customHeight="1">
      <c r="A48" s="961" t="s">
        <v>432</v>
      </c>
      <c r="B48" s="1048" t="s">
        <v>698</v>
      </c>
      <c r="C48" s="1048"/>
      <c r="D48" s="1048"/>
      <c r="E48" s="1048"/>
      <c r="F48" s="1048"/>
      <c r="G48" s="1048"/>
      <c r="H48" s="1048"/>
      <c r="I48" s="1048"/>
      <c r="J48" s="1048"/>
      <c r="K48" s="1048"/>
      <c r="L48" s="1048"/>
      <c r="M48" s="1048"/>
      <c r="N48" s="1048"/>
      <c r="O48" s="1048"/>
      <c r="P48" s="1048"/>
      <c r="Q48" s="1048"/>
      <c r="R48" s="1048"/>
    </row>
    <row r="49" spans="1:18" ht="15" customHeight="1">
      <c r="A49" s="961" t="s">
        <v>434</v>
      </c>
      <c r="B49" s="1048" t="s">
        <v>1104</v>
      </c>
      <c r="C49" s="1048"/>
      <c r="D49" s="1048"/>
      <c r="E49" s="1048"/>
      <c r="F49" s="1048"/>
      <c r="G49" s="1048"/>
      <c r="H49" s="1048"/>
      <c r="I49" s="1048"/>
      <c r="J49" s="1048"/>
      <c r="K49" s="1048"/>
      <c r="L49" s="1048"/>
      <c r="M49" s="1048"/>
      <c r="N49" s="1048"/>
      <c r="O49" s="1048"/>
      <c r="P49" s="1048"/>
      <c r="Q49" s="1048"/>
      <c r="R49" s="1048"/>
    </row>
  </sheetData>
  <mergeCells count="14">
    <mergeCell ref="B48:R48"/>
    <mergeCell ref="B49:R49"/>
    <mergeCell ref="N9:R9"/>
    <mergeCell ref="A14:D14"/>
    <mergeCell ref="F27:L27"/>
    <mergeCell ref="B45:R45"/>
    <mergeCell ref="B46:R46"/>
    <mergeCell ref="B47:R47"/>
    <mergeCell ref="N8:R8"/>
    <mergeCell ref="A1:R1"/>
    <mergeCell ref="A2:R2"/>
    <mergeCell ref="A3:R3"/>
    <mergeCell ref="F5:H5"/>
    <mergeCell ref="N5:R5"/>
  </mergeCells>
  <phoneticPr fontId="24" type="noConversion"/>
  <printOptions horizontalCentered="1"/>
  <pageMargins left="0.25" right="0.25" top="0.5" bottom="0.25" header="0.3" footer="0.25"/>
  <pageSetup scale="71" orientation="landscape" r:id="rId1"/>
  <headerFooter alignWithMargins="0">
    <oddFooter>&amp;R&amp;A</oddFooter>
  </headerFooter>
  <ignoredErrors>
    <ignoredError sqref="A45:A49" numberStoredAsText="1"/>
  </ignoredErrors>
</worksheet>
</file>

<file path=xl/worksheets/sheet39.xml><?xml version="1.0" encoding="utf-8"?>
<worksheet xmlns="http://schemas.openxmlformats.org/spreadsheetml/2006/main" xmlns:r="http://schemas.openxmlformats.org/officeDocument/2006/relationships">
  <dimension ref="A1:Y42"/>
  <sheetViews>
    <sheetView zoomScale="75" zoomScaleNormal="75" workbookViewId="0">
      <selection sqref="A1:Y1"/>
    </sheetView>
  </sheetViews>
  <sheetFormatPr defaultColWidth="8.44140625" defaultRowHeight="10.199999999999999"/>
  <cols>
    <col min="1" max="1" width="3" style="202" customWidth="1"/>
    <col min="2" max="2" width="32.5546875" style="242" customWidth="1"/>
    <col min="3" max="3" width="2.44140625" style="202" customWidth="1"/>
    <col min="4" max="4" width="8.44140625" style="202" customWidth="1"/>
    <col min="5" max="6" width="2.44140625" style="202" customWidth="1"/>
    <col min="7" max="7" width="8.44140625" style="202" customWidth="1"/>
    <col min="8" max="9" width="2.44140625" style="202" customWidth="1"/>
    <col min="10" max="10" width="8.44140625" style="202" customWidth="1"/>
    <col min="11" max="12" width="2.44140625" style="202" customWidth="1"/>
    <col min="13" max="13" width="8.44140625" style="2" customWidth="1"/>
    <col min="14" max="15" width="2.44140625" style="202" customWidth="1"/>
    <col min="16" max="16" width="8.44140625" style="202" customWidth="1"/>
    <col min="17" max="18" width="2.44140625" style="202" customWidth="1"/>
    <col min="19" max="19" width="8.44140625" style="2" customWidth="1"/>
    <col min="20" max="21" width="2.44140625" style="202" customWidth="1"/>
    <col min="22" max="22" width="8.44140625" style="202" customWidth="1"/>
    <col min="23" max="24" width="2.44140625" style="202" customWidth="1"/>
    <col min="25" max="26" width="8.44140625" style="202" customWidth="1"/>
    <col min="27" max="16384" width="8.44140625" style="202"/>
  </cols>
  <sheetData>
    <row r="1" spans="1:25" s="200" customFormat="1" ht="13.2">
      <c r="A1" s="1009" t="s">
        <v>96</v>
      </c>
      <c r="B1" s="1009"/>
      <c r="C1" s="1009"/>
      <c r="D1" s="1009"/>
      <c r="E1" s="1009"/>
      <c r="F1" s="1009"/>
      <c r="G1" s="1009"/>
      <c r="H1" s="1009"/>
      <c r="I1" s="1009"/>
      <c r="J1" s="1009"/>
      <c r="K1" s="1009"/>
      <c r="L1" s="1009"/>
      <c r="M1" s="1009"/>
      <c r="N1" s="1009"/>
      <c r="O1" s="1009"/>
      <c r="P1" s="1009"/>
      <c r="Q1" s="1009"/>
      <c r="R1" s="1009"/>
      <c r="S1" s="1009"/>
      <c r="T1" s="1009"/>
      <c r="U1" s="1009"/>
      <c r="V1" s="1009"/>
      <c r="W1" s="1009"/>
      <c r="X1" s="1009"/>
      <c r="Y1" s="1009"/>
    </row>
    <row r="2" spans="1:25" s="200" customFormat="1" ht="13.2">
      <c r="A2" s="1009" t="s">
        <v>600</v>
      </c>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Y2" s="1009"/>
    </row>
    <row r="3" spans="1:25" ht="12">
      <c r="A3" s="1051" t="s">
        <v>800</v>
      </c>
      <c r="B3" s="1051"/>
      <c r="C3" s="1051"/>
      <c r="D3" s="1051"/>
      <c r="E3" s="1051"/>
      <c r="F3" s="1051"/>
      <c r="G3" s="1051"/>
      <c r="H3" s="1051"/>
      <c r="I3" s="1051"/>
      <c r="J3" s="1051"/>
      <c r="K3" s="1051"/>
      <c r="L3" s="1051"/>
      <c r="M3" s="1051"/>
      <c r="N3" s="1051"/>
      <c r="O3" s="1051"/>
      <c r="P3" s="1051"/>
      <c r="Q3" s="1051"/>
      <c r="R3" s="1051"/>
      <c r="S3" s="1051"/>
      <c r="T3" s="1051"/>
      <c r="U3" s="1051"/>
      <c r="V3" s="1051"/>
      <c r="W3" s="1051"/>
      <c r="X3" s="1051"/>
      <c r="Y3" s="1051"/>
    </row>
    <row r="4" spans="1:25" s="204" customFormat="1" ht="13.2">
      <c r="A4" s="200"/>
      <c r="B4" s="203"/>
      <c r="C4" s="200"/>
      <c r="D4" s="200"/>
      <c r="E4" s="200"/>
      <c r="M4" s="5"/>
      <c r="S4" s="5"/>
    </row>
    <row r="5" spans="1:25" s="204" customFormat="1" ht="11.4">
      <c r="B5" s="206"/>
      <c r="C5" s="990" t="s">
        <v>99</v>
      </c>
      <c r="D5" s="990"/>
      <c r="E5" s="990"/>
      <c r="F5" s="990"/>
      <c r="G5" s="990"/>
      <c r="H5" s="990"/>
      <c r="I5" s="990"/>
      <c r="J5" s="990"/>
      <c r="K5" s="990"/>
      <c r="L5" s="990"/>
      <c r="M5" s="990"/>
      <c r="N5" s="990"/>
      <c r="O5" s="990"/>
      <c r="P5" s="990"/>
      <c r="Q5" s="990"/>
      <c r="R5" s="990"/>
      <c r="S5" s="990"/>
      <c r="V5" s="990" t="s">
        <v>100</v>
      </c>
      <c r="W5" s="990"/>
      <c r="X5" s="990"/>
      <c r="Y5" s="990"/>
    </row>
    <row r="6" spans="1:25" s="204" customFormat="1" ht="12" thickBot="1">
      <c r="B6" s="206"/>
      <c r="L6" s="206"/>
      <c r="M6" s="5"/>
      <c r="R6" s="206"/>
      <c r="S6" s="5"/>
    </row>
    <row r="7" spans="1:25" s="204" customFormat="1" ht="11.4">
      <c r="B7" s="206"/>
      <c r="C7" s="588"/>
      <c r="D7" s="8" t="s">
        <v>104</v>
      </c>
      <c r="E7" s="688"/>
      <c r="F7" s="206"/>
      <c r="G7" s="208" t="s">
        <v>105</v>
      </c>
      <c r="H7" s="208"/>
      <c r="I7" s="206"/>
      <c r="J7" s="208" t="s">
        <v>102</v>
      </c>
      <c r="K7" s="208"/>
      <c r="L7" s="206"/>
      <c r="M7" s="208" t="s">
        <v>103</v>
      </c>
      <c r="N7" s="208"/>
      <c r="O7" s="588"/>
      <c r="P7" s="8" t="s">
        <v>104</v>
      </c>
      <c r="Q7" s="688"/>
      <c r="R7" s="206"/>
      <c r="S7" s="208" t="s">
        <v>105</v>
      </c>
      <c r="T7" s="206"/>
      <c r="U7" s="206"/>
      <c r="V7" s="208" t="s">
        <v>104</v>
      </c>
      <c r="W7" s="208"/>
      <c r="X7" s="206"/>
      <c r="Y7" s="208" t="s">
        <v>104</v>
      </c>
    </row>
    <row r="8" spans="1:25" s="204" customFormat="1" ht="13.2">
      <c r="B8" s="206"/>
      <c r="C8" s="590"/>
      <c r="D8" s="13">
        <v>2012</v>
      </c>
      <c r="E8" s="689"/>
      <c r="F8" s="206"/>
      <c r="G8" s="13">
        <v>2012</v>
      </c>
      <c r="H8" s="206"/>
      <c r="I8" s="206"/>
      <c r="J8" s="13">
        <v>2011</v>
      </c>
      <c r="K8" s="206"/>
      <c r="L8" s="206"/>
      <c r="M8" s="13">
        <v>2011</v>
      </c>
      <c r="N8" s="206"/>
      <c r="O8" s="590"/>
      <c r="P8" s="13">
        <v>2011</v>
      </c>
      <c r="Q8" s="689"/>
      <c r="R8" s="206"/>
      <c r="S8" s="13">
        <v>2011</v>
      </c>
      <c r="T8" s="206"/>
      <c r="U8" s="206"/>
      <c r="V8" s="13">
        <v>2012</v>
      </c>
      <c r="W8" s="208"/>
      <c r="X8" s="206"/>
      <c r="Y8" s="13">
        <v>2011</v>
      </c>
    </row>
    <row r="9" spans="1:25" s="204" customFormat="1" ht="13.2">
      <c r="B9" s="206"/>
      <c r="C9" s="690"/>
      <c r="D9" s="6"/>
      <c r="E9" s="689"/>
      <c r="F9" s="206"/>
      <c r="G9" s="6"/>
      <c r="H9" s="691"/>
      <c r="I9" s="206"/>
      <c r="J9" s="6"/>
      <c r="K9" s="691"/>
      <c r="L9" s="206"/>
      <c r="M9" s="6"/>
      <c r="N9" s="691"/>
      <c r="O9" s="690"/>
      <c r="P9" s="6"/>
      <c r="Q9" s="689"/>
      <c r="R9" s="206"/>
      <c r="S9" s="6"/>
      <c r="T9" s="206"/>
      <c r="U9" s="206"/>
      <c r="V9" s="6"/>
      <c r="W9" s="381"/>
      <c r="X9" s="206"/>
      <c r="Y9" s="6"/>
    </row>
    <row r="10" spans="1:25" s="204" customFormat="1" ht="11.4">
      <c r="A10" s="204" t="s">
        <v>307</v>
      </c>
      <c r="B10" s="206"/>
      <c r="C10" s="133" t="s">
        <v>108</v>
      </c>
      <c r="D10" s="121">
        <v>11</v>
      </c>
      <c r="E10" s="134"/>
      <c r="F10" s="121" t="s">
        <v>108</v>
      </c>
      <c r="G10" s="121">
        <v>11</v>
      </c>
      <c r="H10" s="121"/>
      <c r="I10" s="121" t="s">
        <v>108</v>
      </c>
      <c r="J10" s="121">
        <v>10</v>
      </c>
      <c r="K10" s="121"/>
      <c r="L10" s="121" t="s">
        <v>108</v>
      </c>
      <c r="M10" s="121">
        <v>14</v>
      </c>
      <c r="N10" s="121"/>
      <c r="O10" s="133" t="s">
        <v>108</v>
      </c>
      <c r="P10" s="121">
        <v>16</v>
      </c>
      <c r="Q10" s="134"/>
      <c r="R10" s="121" t="s">
        <v>108</v>
      </c>
      <c r="S10" s="121">
        <v>14</v>
      </c>
      <c r="T10" s="121"/>
      <c r="U10" s="121" t="s">
        <v>108</v>
      </c>
      <c r="V10" s="23">
        <v>22</v>
      </c>
      <c r="W10" s="117"/>
      <c r="X10" s="121" t="s">
        <v>108</v>
      </c>
      <c r="Y10" s="121">
        <v>30</v>
      </c>
    </row>
    <row r="11" spans="1:25" s="204" customFormat="1" ht="11.4">
      <c r="A11" s="204" t="s">
        <v>755</v>
      </c>
      <c r="B11" s="206"/>
      <c r="C11" s="133"/>
      <c r="D11" s="121">
        <v>-107</v>
      </c>
      <c r="E11" s="134"/>
      <c r="F11" s="121"/>
      <c r="G11" s="121">
        <v>-86</v>
      </c>
      <c r="H11" s="121"/>
      <c r="I11" s="121"/>
      <c r="J11" s="121">
        <v>-88</v>
      </c>
      <c r="K11" s="121"/>
      <c r="L11" s="121"/>
      <c r="M11" s="121">
        <v>-116</v>
      </c>
      <c r="N11" s="121"/>
      <c r="O11" s="133"/>
      <c r="P11" s="121">
        <v>-98</v>
      </c>
      <c r="Q11" s="134"/>
      <c r="R11" s="121"/>
      <c r="S11" s="121">
        <v>-91</v>
      </c>
      <c r="T11" s="121"/>
      <c r="U11" s="121"/>
      <c r="V11" s="23">
        <v>-193</v>
      </c>
      <c r="W11" s="117"/>
      <c r="X11" s="121"/>
      <c r="Y11" s="121">
        <v>-189</v>
      </c>
    </row>
    <row r="12" spans="1:25" s="204" customFormat="1" ht="11.4">
      <c r="A12" s="204" t="s">
        <v>601</v>
      </c>
      <c r="B12" s="206"/>
      <c r="C12" s="133"/>
      <c r="D12" s="141">
        <v>33</v>
      </c>
      <c r="E12" s="134"/>
      <c r="F12" s="121"/>
      <c r="G12" s="141">
        <v>34</v>
      </c>
      <c r="H12" s="121"/>
      <c r="I12" s="121"/>
      <c r="J12" s="141">
        <v>29</v>
      </c>
      <c r="K12" s="121"/>
      <c r="L12" s="121"/>
      <c r="M12" s="141">
        <v>31</v>
      </c>
      <c r="N12" s="121"/>
      <c r="O12" s="133"/>
      <c r="P12" s="141">
        <v>32</v>
      </c>
      <c r="Q12" s="134"/>
      <c r="R12" s="121"/>
      <c r="S12" s="141">
        <v>31</v>
      </c>
      <c r="T12" s="121"/>
      <c r="U12" s="121"/>
      <c r="V12" s="39">
        <v>67</v>
      </c>
      <c r="W12" s="121"/>
      <c r="X12" s="121"/>
      <c r="Y12" s="141">
        <v>63</v>
      </c>
    </row>
    <row r="13" spans="1:25" s="204" customFormat="1" ht="11.4">
      <c r="B13" s="206"/>
      <c r="C13" s="133"/>
      <c r="D13" s="121"/>
      <c r="E13" s="134"/>
      <c r="F13" s="121"/>
      <c r="G13" s="121"/>
      <c r="H13" s="121"/>
      <c r="I13" s="121"/>
      <c r="J13" s="121"/>
      <c r="K13" s="121"/>
      <c r="L13" s="121"/>
      <c r="M13" s="121"/>
      <c r="N13" s="121"/>
      <c r="O13" s="133"/>
      <c r="P13" s="121"/>
      <c r="Q13" s="134"/>
      <c r="R13" s="121"/>
      <c r="S13" s="121"/>
      <c r="T13" s="121"/>
      <c r="U13" s="121"/>
      <c r="V13" s="121"/>
      <c r="W13" s="117"/>
      <c r="X13" s="121"/>
      <c r="Y13" s="121"/>
    </row>
    <row r="14" spans="1:25" s="204" customFormat="1" ht="11.4">
      <c r="A14" s="204" t="s">
        <v>602</v>
      </c>
      <c r="B14" s="206"/>
      <c r="C14" s="133"/>
      <c r="D14" s="121">
        <v>-63</v>
      </c>
      <c r="E14" s="134"/>
      <c r="F14" s="121"/>
      <c r="G14" s="121">
        <v>-41</v>
      </c>
      <c r="H14" s="121"/>
      <c r="I14" s="121"/>
      <c r="J14" s="121">
        <v>-49</v>
      </c>
      <c r="K14" s="121"/>
      <c r="L14" s="121"/>
      <c r="M14" s="121">
        <v>-71</v>
      </c>
      <c r="N14" s="121"/>
      <c r="O14" s="133"/>
      <c r="P14" s="121">
        <v>-50</v>
      </c>
      <c r="Q14" s="134"/>
      <c r="R14" s="121"/>
      <c r="S14" s="121">
        <v>-46</v>
      </c>
      <c r="T14" s="121"/>
      <c r="U14" s="121"/>
      <c r="V14" s="121">
        <v>-104</v>
      </c>
      <c r="W14" s="117"/>
      <c r="X14" s="121"/>
      <c r="Y14" s="121">
        <v>-96</v>
      </c>
    </row>
    <row r="15" spans="1:25" s="204" customFormat="1" ht="11.4">
      <c r="B15" s="206"/>
      <c r="C15" s="133"/>
      <c r="D15" s="121"/>
      <c r="E15" s="134"/>
      <c r="F15" s="121"/>
      <c r="G15" s="121"/>
      <c r="H15" s="121"/>
      <c r="I15" s="121"/>
      <c r="J15" s="121"/>
      <c r="K15" s="121"/>
      <c r="L15" s="121"/>
      <c r="M15" s="121"/>
      <c r="N15" s="121"/>
      <c r="O15" s="133"/>
      <c r="P15" s="121"/>
      <c r="Q15" s="134"/>
      <c r="R15" s="121"/>
      <c r="S15" s="121"/>
      <c r="T15" s="121"/>
      <c r="U15" s="121"/>
      <c r="V15" s="121"/>
      <c r="W15" s="117"/>
      <c r="X15" s="121"/>
      <c r="Y15" s="121"/>
    </row>
    <row r="16" spans="1:25" s="204" customFormat="1" ht="11.4">
      <c r="B16" s="23"/>
      <c r="C16" s="133"/>
      <c r="D16" s="23"/>
      <c r="E16" s="134"/>
      <c r="F16" s="121"/>
      <c r="G16" s="23"/>
      <c r="H16" s="121"/>
      <c r="I16" s="121"/>
      <c r="J16" s="23"/>
      <c r="K16" s="121"/>
      <c r="L16" s="121"/>
      <c r="M16" s="23"/>
      <c r="N16" s="121"/>
      <c r="O16" s="133"/>
      <c r="P16" s="23"/>
      <c r="Q16" s="134"/>
      <c r="R16" s="121"/>
      <c r="S16" s="23"/>
      <c r="T16" s="121"/>
      <c r="U16" s="121"/>
      <c r="V16" s="121"/>
      <c r="W16" s="121"/>
      <c r="X16" s="121"/>
      <c r="Y16" s="121"/>
    </row>
    <row r="17" spans="1:25" s="204" customFormat="1" ht="11.4">
      <c r="A17" s="5" t="s">
        <v>49</v>
      </c>
      <c r="B17" s="69"/>
      <c r="C17" s="133"/>
      <c r="D17" s="23">
        <v>0</v>
      </c>
      <c r="E17" s="134"/>
      <c r="F17" s="121"/>
      <c r="G17" s="23">
        <v>0</v>
      </c>
      <c r="H17" s="121"/>
      <c r="I17" s="121"/>
      <c r="J17" s="23">
        <v>-10</v>
      </c>
      <c r="K17" s="121"/>
      <c r="L17" s="121"/>
      <c r="M17" s="23">
        <v>0</v>
      </c>
      <c r="N17" s="121"/>
      <c r="O17" s="133"/>
      <c r="P17" s="23">
        <v>0</v>
      </c>
      <c r="Q17" s="134"/>
      <c r="R17" s="121"/>
      <c r="S17" s="23">
        <v>0</v>
      </c>
      <c r="T17" s="121"/>
      <c r="U17" s="121"/>
      <c r="V17" s="23">
        <v>0</v>
      </c>
      <c r="W17" s="121"/>
      <c r="X17" s="121"/>
      <c r="Y17" s="23">
        <v>0</v>
      </c>
    </row>
    <row r="18" spans="1:25" s="204" customFormat="1" ht="11.4">
      <c r="A18" s="5" t="s">
        <v>297</v>
      </c>
      <c r="B18" s="11"/>
      <c r="C18" s="133"/>
      <c r="D18" s="23">
        <v>0</v>
      </c>
      <c r="E18" s="134"/>
      <c r="F18" s="121"/>
      <c r="G18" s="23">
        <v>0</v>
      </c>
      <c r="H18" s="121"/>
      <c r="I18" s="121"/>
      <c r="J18" s="23">
        <v>5</v>
      </c>
      <c r="K18" s="121"/>
      <c r="L18" s="121"/>
      <c r="M18" s="23">
        <v>13</v>
      </c>
      <c r="N18" s="121"/>
      <c r="O18" s="133"/>
      <c r="P18" s="23">
        <v>2</v>
      </c>
      <c r="Q18" s="134"/>
      <c r="R18" s="121"/>
      <c r="S18" s="23">
        <v>0</v>
      </c>
      <c r="T18" s="121"/>
      <c r="U18" s="121"/>
      <c r="V18" s="23">
        <v>0</v>
      </c>
      <c r="W18" s="121"/>
      <c r="X18" s="121"/>
      <c r="Y18" s="121">
        <v>2</v>
      </c>
    </row>
    <row r="19" spans="1:25" s="204" customFormat="1" ht="12" thickBot="1">
      <c r="A19" s="5" t="s">
        <v>603</v>
      </c>
      <c r="B19" s="11"/>
      <c r="C19" s="133" t="s">
        <v>108</v>
      </c>
      <c r="D19" s="692">
        <v>-63</v>
      </c>
      <c r="E19" s="134"/>
      <c r="F19" s="121" t="s">
        <v>108</v>
      </c>
      <c r="G19" s="692">
        <v>-41</v>
      </c>
      <c r="H19" s="121"/>
      <c r="I19" s="121" t="s">
        <v>108</v>
      </c>
      <c r="J19" s="692">
        <v>-54</v>
      </c>
      <c r="K19" s="121"/>
      <c r="L19" s="121" t="s">
        <v>108</v>
      </c>
      <c r="M19" s="692">
        <v>-58</v>
      </c>
      <c r="N19" s="121"/>
      <c r="O19" s="133" t="s">
        <v>108</v>
      </c>
      <c r="P19" s="692">
        <v>-48</v>
      </c>
      <c r="Q19" s="134"/>
      <c r="R19" s="121" t="s">
        <v>108</v>
      </c>
      <c r="S19" s="692">
        <v>-46</v>
      </c>
      <c r="T19" s="121"/>
      <c r="U19" s="121" t="s">
        <v>108</v>
      </c>
      <c r="V19" s="692">
        <v>-104</v>
      </c>
      <c r="W19" s="121"/>
      <c r="X19" s="121" t="s">
        <v>108</v>
      </c>
      <c r="Y19" s="692">
        <v>-94</v>
      </c>
    </row>
    <row r="20" spans="1:25" s="204" customFormat="1" ht="12.6" thickTop="1" thickBot="1">
      <c r="A20" s="48"/>
      <c r="B20" s="48"/>
      <c r="C20" s="144"/>
      <c r="D20" s="145"/>
      <c r="E20" s="146"/>
      <c r="F20" s="121"/>
      <c r="G20" s="121"/>
      <c r="H20" s="121"/>
      <c r="I20" s="121"/>
      <c r="J20" s="121"/>
      <c r="K20" s="121"/>
      <c r="L20" s="121"/>
      <c r="M20" s="121"/>
      <c r="N20" s="121"/>
      <c r="O20" s="144"/>
      <c r="P20" s="145"/>
      <c r="Q20" s="146"/>
      <c r="R20" s="121"/>
      <c r="S20" s="121"/>
      <c r="T20" s="121"/>
      <c r="U20" s="121"/>
      <c r="V20" s="117"/>
      <c r="W20" s="117"/>
      <c r="X20" s="121"/>
      <c r="Y20" s="117"/>
    </row>
    <row r="21" spans="1:25" s="204" customFormat="1" ht="11.4">
      <c r="A21" s="48"/>
      <c r="B21" s="48"/>
      <c r="C21" s="121"/>
      <c r="D21" s="121"/>
      <c r="E21" s="121"/>
      <c r="F21" s="121"/>
      <c r="G21" s="121"/>
      <c r="H21" s="121"/>
      <c r="I21" s="121"/>
      <c r="J21" s="121"/>
      <c r="K21" s="121"/>
      <c r="L21" s="121"/>
      <c r="M21" s="121"/>
      <c r="N21" s="121"/>
      <c r="O21" s="121"/>
      <c r="P21" s="121"/>
      <c r="Q21" s="121"/>
      <c r="R21" s="121"/>
      <c r="S21" s="121"/>
      <c r="T21" s="121"/>
      <c r="U21" s="121"/>
      <c r="V21" s="117"/>
      <c r="W21" s="117"/>
      <c r="X21" s="121"/>
      <c r="Y21" s="117"/>
    </row>
    <row r="22" spans="1:25" s="204" customFormat="1" ht="11.4">
      <c r="A22" s="202"/>
      <c r="B22" s="242"/>
      <c r="C22" s="202"/>
      <c r="D22" s="202"/>
      <c r="E22" s="202"/>
      <c r="F22" s="206"/>
      <c r="G22" s="556"/>
      <c r="H22" s="556"/>
      <c r="I22" s="206"/>
      <c r="J22" s="556"/>
      <c r="K22" s="556"/>
      <c r="L22" s="555"/>
      <c r="M22" s="117"/>
      <c r="N22" s="555"/>
      <c r="O22" s="555"/>
      <c r="P22" s="555"/>
      <c r="Q22" s="555"/>
      <c r="R22" s="555"/>
      <c r="S22" s="117"/>
      <c r="T22" s="555"/>
      <c r="U22" s="555"/>
      <c r="V22" s="555"/>
      <c r="W22" s="555"/>
      <c r="X22" s="555"/>
      <c r="Y22" s="555"/>
    </row>
    <row r="23" spans="1:25" s="204" customFormat="1" ht="11.4">
      <c r="A23" s="202"/>
      <c r="B23" s="242"/>
      <c r="C23" s="202"/>
      <c r="D23" s="202"/>
      <c r="E23" s="202"/>
      <c r="F23" s="206"/>
      <c r="G23" s="556"/>
      <c r="H23" s="556"/>
      <c r="I23" s="206"/>
      <c r="J23" s="556"/>
      <c r="K23" s="556"/>
      <c r="L23" s="555"/>
      <c r="M23" s="117"/>
      <c r="N23" s="555"/>
      <c r="O23" s="555"/>
      <c r="P23" s="555"/>
      <c r="Q23" s="555"/>
      <c r="R23" s="555"/>
      <c r="S23" s="117"/>
      <c r="T23" s="555"/>
      <c r="U23" s="555"/>
      <c r="V23" s="555"/>
      <c r="W23" s="555"/>
      <c r="X23" s="555"/>
      <c r="Y23" s="555"/>
    </row>
    <row r="24" spans="1:25" s="204" customFormat="1" ht="11.4">
      <c r="A24" s="202"/>
      <c r="B24" s="242"/>
      <c r="C24" s="202"/>
      <c r="D24" s="202"/>
      <c r="E24" s="202"/>
      <c r="F24" s="206"/>
      <c r="G24" s="556"/>
      <c r="H24" s="556"/>
      <c r="I24" s="206"/>
      <c r="J24" s="556"/>
      <c r="K24" s="556"/>
      <c r="L24" s="555"/>
      <c r="M24" s="117"/>
      <c r="N24" s="555"/>
      <c r="O24" s="555"/>
      <c r="P24" s="555"/>
      <c r="Q24" s="555"/>
      <c r="R24" s="555"/>
      <c r="S24" s="117"/>
      <c r="T24" s="555"/>
      <c r="U24" s="555"/>
      <c r="V24" s="555"/>
      <c r="W24" s="555"/>
      <c r="X24" s="555"/>
      <c r="Y24" s="555"/>
    </row>
    <row r="25" spans="1:25" s="204" customFormat="1" ht="11.4">
      <c r="A25" s="202"/>
      <c r="B25" s="242"/>
      <c r="C25" s="202"/>
      <c r="D25" s="202"/>
      <c r="E25" s="202"/>
      <c r="F25" s="206"/>
      <c r="G25" s="556"/>
      <c r="H25" s="556"/>
      <c r="I25" s="206"/>
      <c r="J25" s="556"/>
      <c r="K25" s="556"/>
      <c r="L25" s="555"/>
      <c r="M25" s="117"/>
      <c r="N25" s="555"/>
      <c r="O25" s="555"/>
      <c r="P25" s="555"/>
      <c r="Q25" s="555"/>
      <c r="R25" s="555"/>
      <c r="S25" s="117"/>
      <c r="T25" s="555"/>
      <c r="U25" s="555"/>
      <c r="V25" s="555"/>
      <c r="W25" s="555"/>
      <c r="X25" s="555"/>
      <c r="Y25" s="555"/>
    </row>
    <row r="26" spans="1:25" s="204" customFormat="1" ht="11.4">
      <c r="A26" s="202"/>
      <c r="B26" s="242"/>
      <c r="C26" s="202"/>
      <c r="D26" s="202"/>
      <c r="E26" s="202"/>
      <c r="F26" s="206"/>
      <c r="G26" s="556"/>
      <c r="H26" s="556"/>
      <c r="I26" s="206"/>
      <c r="J26" s="556"/>
      <c r="K26" s="556"/>
      <c r="L26" s="555"/>
      <c r="M26" s="117"/>
      <c r="N26" s="555"/>
      <c r="O26" s="555"/>
      <c r="P26" s="555"/>
      <c r="Q26" s="555"/>
      <c r="R26" s="555"/>
      <c r="S26" s="117"/>
      <c r="T26" s="555"/>
      <c r="U26" s="555"/>
      <c r="V26" s="555"/>
      <c r="W26" s="555"/>
      <c r="X26" s="555"/>
      <c r="Y26" s="555"/>
    </row>
    <row r="27" spans="1:25" s="204" customFormat="1" ht="11.4">
      <c r="A27" s="202"/>
      <c r="B27" s="242"/>
      <c r="C27" s="202"/>
      <c r="D27" s="202"/>
      <c r="E27" s="202"/>
      <c r="F27" s="206"/>
      <c r="G27" s="556"/>
      <c r="H27" s="556"/>
      <c r="I27" s="206"/>
      <c r="J27" s="556"/>
      <c r="K27" s="556"/>
      <c r="L27" s="555"/>
      <c r="M27" s="117"/>
      <c r="N27" s="555"/>
      <c r="O27" s="555"/>
      <c r="P27" s="555"/>
      <c r="Q27" s="555"/>
      <c r="R27" s="555"/>
      <c r="S27" s="117"/>
      <c r="T27" s="555"/>
      <c r="U27" s="555"/>
      <c r="V27" s="555"/>
      <c r="W27" s="555"/>
      <c r="X27" s="555"/>
      <c r="Y27" s="555"/>
    </row>
    <row r="28" spans="1:25">
      <c r="F28" s="242"/>
      <c r="G28" s="693"/>
      <c r="H28" s="693"/>
      <c r="I28" s="242"/>
      <c r="J28" s="693"/>
      <c r="K28" s="693"/>
      <c r="L28" s="694"/>
      <c r="M28" s="695"/>
      <c r="N28" s="694"/>
      <c r="O28" s="694"/>
      <c r="P28" s="694"/>
      <c r="Q28" s="694"/>
      <c r="R28" s="694"/>
      <c r="S28" s="695"/>
      <c r="T28" s="694"/>
      <c r="U28" s="694"/>
      <c r="V28" s="694"/>
      <c r="W28" s="694"/>
      <c r="X28" s="694"/>
      <c r="Y28" s="694"/>
    </row>
    <row r="29" spans="1:25">
      <c r="F29" s="242"/>
      <c r="G29" s="693"/>
      <c r="H29" s="693"/>
      <c r="I29" s="242"/>
      <c r="J29" s="693"/>
      <c r="K29" s="693"/>
      <c r="L29" s="694"/>
      <c r="M29" s="695"/>
      <c r="N29" s="694"/>
      <c r="O29" s="694"/>
      <c r="P29" s="694"/>
      <c r="Q29" s="694"/>
      <c r="R29" s="694"/>
      <c r="S29" s="695"/>
      <c r="T29" s="694"/>
      <c r="U29" s="694"/>
      <c r="V29" s="694"/>
      <c r="W29" s="694"/>
      <c r="X29" s="694"/>
      <c r="Y29" s="694"/>
    </row>
    <row r="30" spans="1:25">
      <c r="F30" s="242"/>
      <c r="G30" s="693"/>
      <c r="H30" s="693"/>
      <c r="I30" s="242"/>
      <c r="J30" s="693"/>
      <c r="K30" s="693"/>
      <c r="L30" s="694"/>
      <c r="M30" s="695"/>
      <c r="N30" s="694"/>
      <c r="O30" s="694"/>
      <c r="P30" s="694"/>
      <c r="Q30" s="694"/>
      <c r="R30" s="694"/>
      <c r="S30" s="695"/>
      <c r="T30" s="694"/>
      <c r="U30" s="694"/>
      <c r="V30" s="694"/>
      <c r="W30" s="694"/>
      <c r="X30" s="694"/>
      <c r="Y30" s="694"/>
    </row>
    <row r="31" spans="1:25">
      <c r="F31" s="242"/>
      <c r="G31" s="693"/>
      <c r="H31" s="693"/>
      <c r="I31" s="242"/>
      <c r="J31" s="693"/>
      <c r="K31" s="693"/>
      <c r="L31" s="694"/>
      <c r="M31" s="695"/>
      <c r="N31" s="694"/>
      <c r="O31" s="694"/>
      <c r="P31" s="694"/>
      <c r="Q31" s="694"/>
      <c r="R31" s="694"/>
      <c r="S31" s="695"/>
      <c r="T31" s="694"/>
      <c r="U31" s="694"/>
      <c r="V31" s="694"/>
      <c r="W31" s="694"/>
      <c r="X31" s="694"/>
      <c r="Y31" s="694"/>
    </row>
    <row r="32" spans="1:25">
      <c r="F32" s="242"/>
      <c r="G32" s="693"/>
      <c r="H32" s="693"/>
      <c r="I32" s="242"/>
      <c r="J32" s="693"/>
      <c r="K32" s="693"/>
      <c r="L32" s="694"/>
      <c r="M32" s="695"/>
      <c r="N32" s="694"/>
      <c r="O32" s="694"/>
      <c r="P32" s="694"/>
      <c r="Q32" s="694"/>
      <c r="R32" s="694"/>
      <c r="S32" s="695"/>
      <c r="T32" s="694"/>
      <c r="U32" s="694"/>
      <c r="V32" s="694"/>
      <c r="W32" s="694"/>
      <c r="X32" s="694"/>
      <c r="Y32" s="694"/>
    </row>
    <row r="33" spans="6:25">
      <c r="F33" s="242"/>
      <c r="G33" s="693"/>
      <c r="H33" s="693"/>
      <c r="I33" s="242"/>
      <c r="J33" s="693"/>
      <c r="K33" s="693"/>
      <c r="L33" s="694"/>
      <c r="M33" s="695"/>
      <c r="N33" s="694"/>
      <c r="O33" s="694"/>
      <c r="P33" s="694"/>
      <c r="Q33" s="694"/>
      <c r="R33" s="694"/>
      <c r="S33" s="695"/>
      <c r="T33" s="694"/>
      <c r="U33" s="694"/>
      <c r="V33" s="694"/>
      <c r="W33" s="694"/>
      <c r="X33" s="694"/>
      <c r="Y33" s="694"/>
    </row>
    <row r="34" spans="6:25">
      <c r="F34" s="242"/>
      <c r="G34" s="693"/>
      <c r="H34" s="693"/>
      <c r="I34" s="242"/>
      <c r="J34" s="693"/>
      <c r="K34" s="693"/>
      <c r="L34" s="694"/>
      <c r="M34" s="695"/>
      <c r="N34" s="694"/>
      <c r="O34" s="694"/>
      <c r="P34" s="694"/>
      <c r="Q34" s="694"/>
      <c r="R34" s="694"/>
      <c r="S34" s="695"/>
      <c r="T34" s="694"/>
      <c r="U34" s="694"/>
      <c r="V34" s="694"/>
      <c r="W34" s="694"/>
      <c r="X34" s="694"/>
      <c r="Y34" s="694"/>
    </row>
    <row r="35" spans="6:25">
      <c r="F35" s="242"/>
      <c r="G35" s="693"/>
      <c r="H35" s="693"/>
      <c r="I35" s="242"/>
      <c r="J35" s="693"/>
      <c r="K35" s="693"/>
      <c r="L35" s="694"/>
      <c r="M35" s="695"/>
      <c r="N35" s="694"/>
      <c r="O35" s="694"/>
      <c r="P35" s="694"/>
      <c r="Q35" s="694"/>
      <c r="R35" s="694"/>
      <c r="S35" s="695"/>
      <c r="T35" s="694"/>
      <c r="U35" s="694"/>
      <c r="V35" s="694"/>
      <c r="W35" s="694"/>
      <c r="X35" s="694"/>
      <c r="Y35" s="694"/>
    </row>
    <row r="36" spans="6:25">
      <c r="F36" s="242"/>
      <c r="G36" s="242"/>
      <c r="H36" s="242"/>
      <c r="I36" s="242"/>
      <c r="J36" s="242"/>
      <c r="K36" s="242"/>
    </row>
    <row r="37" spans="6:25">
      <c r="F37" s="242"/>
      <c r="G37" s="242"/>
      <c r="H37" s="242"/>
      <c r="I37" s="242"/>
      <c r="J37" s="242"/>
      <c r="K37" s="242"/>
    </row>
    <row r="38" spans="6:25">
      <c r="F38" s="242"/>
      <c r="G38" s="242"/>
      <c r="H38" s="242"/>
      <c r="I38" s="242"/>
      <c r="J38" s="242"/>
      <c r="K38" s="242"/>
    </row>
    <row r="39" spans="6:25">
      <c r="F39" s="242"/>
      <c r="G39" s="242"/>
      <c r="H39" s="242"/>
      <c r="I39" s="242"/>
      <c r="J39" s="242"/>
      <c r="K39" s="242"/>
    </row>
    <row r="40" spans="6:25">
      <c r="F40" s="242"/>
      <c r="G40" s="242"/>
      <c r="H40" s="242"/>
      <c r="I40" s="242"/>
      <c r="J40" s="242"/>
      <c r="K40" s="242"/>
    </row>
    <row r="41" spans="6:25">
      <c r="F41" s="242"/>
      <c r="G41" s="242"/>
      <c r="H41" s="242"/>
      <c r="I41" s="242"/>
      <c r="J41" s="242"/>
      <c r="K41" s="242"/>
    </row>
    <row r="42" spans="6:25">
      <c r="F42" s="242"/>
      <c r="G42" s="242"/>
      <c r="H42" s="242"/>
      <c r="I42" s="242"/>
      <c r="J42" s="242"/>
      <c r="K42" s="242"/>
    </row>
  </sheetData>
  <mergeCells count="5">
    <mergeCell ref="A1:Y1"/>
    <mergeCell ref="A2:Y2"/>
    <mergeCell ref="A3:Y3"/>
    <mergeCell ref="C5:S5"/>
    <mergeCell ref="V5:Y5"/>
  </mergeCells>
  <phoneticPr fontId="24" type="noConversion"/>
  <printOptions horizontalCentered="1"/>
  <pageMargins left="0.25" right="0.25" top="0.5" bottom="0.25" header="0.3" footer="0.25"/>
  <pageSetup scale="81" orientation="landscape" r:id="rId1"/>
  <headerFooter alignWithMargins="0">
    <oddFooter>&amp;R&amp;A</oddFooter>
  </headerFooter>
</worksheet>
</file>

<file path=xl/worksheets/sheet40.xml><?xml version="1.0" encoding="utf-8"?>
<worksheet xmlns="http://schemas.openxmlformats.org/spreadsheetml/2006/main" xmlns:r="http://schemas.openxmlformats.org/officeDocument/2006/relationships">
  <sheetPr>
    <pageSetUpPr fitToPage="1"/>
  </sheetPr>
  <dimension ref="A1:AV68"/>
  <sheetViews>
    <sheetView zoomScale="75" zoomScaleNormal="75" workbookViewId="0">
      <selection sqref="A1:AH1"/>
    </sheetView>
  </sheetViews>
  <sheetFormatPr defaultColWidth="9.109375" defaultRowHeight="13.2"/>
  <cols>
    <col min="1" max="1" width="4" style="171" customWidth="1"/>
    <col min="2" max="2" width="3.33203125" style="171" customWidth="1"/>
    <col min="3" max="3" width="27.5546875" style="171" customWidth="1"/>
    <col min="4" max="4" width="2.44140625" style="171" customWidth="1"/>
    <col min="5" max="5" width="8.44140625" style="171" customWidth="1"/>
    <col min="6" max="7" width="2.44140625" style="171" customWidth="1"/>
    <col min="8" max="8" width="8.44140625" style="171" customWidth="1"/>
    <col min="9" max="10" width="2.44140625" style="171" customWidth="1"/>
    <col min="11" max="11" width="8.44140625" style="171" customWidth="1"/>
    <col min="12" max="13" width="2.44140625" style="171" customWidth="1"/>
    <col min="14" max="14" width="8.44140625" style="171" customWidth="1"/>
    <col min="15" max="16" width="2.44140625" style="171" customWidth="1"/>
    <col min="17" max="17" width="8.44140625" style="171" customWidth="1"/>
    <col min="18" max="20" width="2.44140625" style="171" customWidth="1"/>
    <col min="21" max="21" width="8.44140625" style="171" customWidth="1"/>
    <col min="22" max="23" width="2.44140625" style="171" customWidth="1"/>
    <col min="24" max="24" width="8.44140625" style="171" customWidth="1"/>
    <col min="25" max="26" width="2.44140625" style="171" customWidth="1"/>
    <col min="27" max="27" width="8.44140625" style="171" customWidth="1"/>
    <col min="28" max="29" width="2.44140625" style="171" customWidth="1"/>
    <col min="30" max="30" width="8.44140625" style="171" customWidth="1"/>
    <col min="31" max="32" width="2.44140625" style="171" customWidth="1"/>
    <col min="33" max="33" width="8.44140625" style="171" customWidth="1"/>
    <col min="34" max="34" width="2.44140625" style="171" customWidth="1"/>
    <col min="35" max="16384" width="9.109375" style="171"/>
  </cols>
  <sheetData>
    <row r="1" spans="1:37">
      <c r="A1" s="978" t="s">
        <v>96</v>
      </c>
      <c r="B1" s="978"/>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row>
    <row r="2" spans="1:37">
      <c r="A2" s="978" t="s">
        <v>604</v>
      </c>
      <c r="B2" s="978"/>
      <c r="C2" s="978"/>
      <c r="D2" s="978"/>
      <c r="E2" s="978"/>
      <c r="F2" s="978"/>
      <c r="G2" s="978"/>
      <c r="H2" s="978"/>
      <c r="I2" s="978"/>
      <c r="J2" s="978"/>
      <c r="K2" s="978"/>
      <c r="L2" s="978"/>
      <c r="M2" s="978"/>
      <c r="N2" s="978"/>
      <c r="O2" s="978"/>
      <c r="P2" s="978"/>
      <c r="Q2" s="978"/>
      <c r="R2" s="978"/>
      <c r="S2" s="978"/>
      <c r="T2" s="978"/>
      <c r="U2" s="978"/>
      <c r="V2" s="978"/>
      <c r="W2" s="978"/>
      <c r="X2" s="978"/>
      <c r="Y2" s="978"/>
      <c r="Z2" s="978"/>
      <c r="AA2" s="978"/>
      <c r="AB2" s="978"/>
      <c r="AC2" s="978"/>
      <c r="AD2" s="978"/>
      <c r="AE2" s="978"/>
      <c r="AF2" s="978"/>
      <c r="AG2" s="978"/>
      <c r="AH2" s="978"/>
    </row>
    <row r="3" spans="1:37">
      <c r="A3" s="979" t="s">
        <v>800</v>
      </c>
      <c r="B3" s="979"/>
      <c r="C3" s="979"/>
      <c r="D3" s="979"/>
      <c r="E3" s="979"/>
      <c r="F3" s="979"/>
      <c r="G3" s="979"/>
      <c r="H3" s="979"/>
      <c r="I3" s="979"/>
      <c r="J3" s="979"/>
      <c r="K3" s="979"/>
      <c r="L3" s="979"/>
      <c r="M3" s="979"/>
      <c r="N3" s="979"/>
      <c r="O3" s="979"/>
      <c r="P3" s="979"/>
      <c r="Q3" s="979"/>
      <c r="R3" s="979"/>
      <c r="S3" s="979"/>
      <c r="T3" s="979"/>
      <c r="U3" s="979"/>
      <c r="V3" s="979"/>
      <c r="W3" s="979"/>
      <c r="X3" s="979"/>
      <c r="Y3" s="979"/>
      <c r="Z3" s="979"/>
      <c r="AA3" s="979"/>
      <c r="AB3" s="979"/>
      <c r="AC3" s="979"/>
      <c r="AD3" s="979"/>
      <c r="AE3" s="979"/>
      <c r="AF3" s="979"/>
      <c r="AG3" s="979"/>
      <c r="AH3" s="979"/>
    </row>
    <row r="5" spans="1:37">
      <c r="A5" s="117"/>
      <c r="B5" s="117"/>
      <c r="C5" s="117"/>
      <c r="D5" s="982" t="s">
        <v>412</v>
      </c>
      <c r="E5" s="982"/>
      <c r="F5" s="982"/>
      <c r="G5" s="982"/>
      <c r="H5" s="982"/>
      <c r="I5" s="982"/>
      <c r="J5" s="982"/>
      <c r="K5" s="982"/>
      <c r="L5" s="982"/>
      <c r="M5" s="982"/>
      <c r="N5" s="982"/>
      <c r="O5" s="982"/>
      <c r="P5" s="982"/>
      <c r="Q5" s="982"/>
      <c r="R5" s="188"/>
      <c r="S5" s="181"/>
      <c r="T5" s="982" t="s">
        <v>503</v>
      </c>
      <c r="U5" s="982"/>
      <c r="V5" s="982"/>
      <c r="W5" s="982"/>
      <c r="X5" s="982"/>
      <c r="Y5" s="982"/>
      <c r="Z5" s="982"/>
      <c r="AA5" s="982"/>
      <c r="AB5" s="982"/>
      <c r="AC5" s="982"/>
      <c r="AD5" s="982"/>
      <c r="AE5" s="982"/>
      <c r="AF5" s="982"/>
      <c r="AG5" s="982"/>
      <c r="AH5" s="188"/>
    </row>
    <row r="6" spans="1:37" ht="13.8" thickBot="1">
      <c r="A6" s="117"/>
      <c r="B6" s="117"/>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7">
      <c r="A7" s="117"/>
      <c r="B7" s="117"/>
      <c r="C7" s="117"/>
      <c r="D7" s="118"/>
      <c r="E7" s="696" t="s">
        <v>104</v>
      </c>
      <c r="F7" s="174"/>
      <c r="G7" s="121"/>
      <c r="H7" s="121" t="s">
        <v>105</v>
      </c>
      <c r="I7" s="121"/>
      <c r="J7" s="121"/>
      <c r="K7" s="121" t="s">
        <v>102</v>
      </c>
      <c r="L7" s="121"/>
      <c r="M7" s="121"/>
      <c r="N7" s="697" t="s">
        <v>103</v>
      </c>
      <c r="O7" s="121"/>
      <c r="P7" s="121"/>
      <c r="Q7" s="121" t="s">
        <v>104</v>
      </c>
      <c r="R7" s="121"/>
      <c r="S7" s="121"/>
      <c r="T7" s="118"/>
      <c r="U7" s="696" t="s">
        <v>104</v>
      </c>
      <c r="V7" s="174"/>
      <c r="W7" s="121"/>
      <c r="X7" s="121" t="s">
        <v>105</v>
      </c>
      <c r="Y7" s="121"/>
      <c r="Z7" s="121"/>
      <c r="AA7" s="121" t="s">
        <v>102</v>
      </c>
      <c r="AB7" s="121"/>
      <c r="AC7" s="121"/>
      <c r="AD7" s="697" t="s">
        <v>103</v>
      </c>
      <c r="AE7" s="121"/>
      <c r="AF7" s="121"/>
      <c r="AG7" s="121" t="s">
        <v>104</v>
      </c>
      <c r="AH7" s="121"/>
    </row>
    <row r="8" spans="1:37" s="699" customFormat="1">
      <c r="A8" s="124"/>
      <c r="B8" s="124"/>
      <c r="C8" s="124"/>
      <c r="D8" s="125"/>
      <c r="E8" s="126">
        <v>2012</v>
      </c>
      <c r="F8" s="127"/>
      <c r="G8" s="128"/>
      <c r="H8" s="126">
        <v>2012</v>
      </c>
      <c r="I8" s="128"/>
      <c r="J8" s="128"/>
      <c r="K8" s="126">
        <v>2011</v>
      </c>
      <c r="L8" s="128"/>
      <c r="M8" s="128"/>
      <c r="N8" s="126">
        <v>2011</v>
      </c>
      <c r="O8" s="128"/>
      <c r="P8" s="128"/>
      <c r="Q8" s="126">
        <v>2011</v>
      </c>
      <c r="R8" s="128"/>
      <c r="S8" s="698"/>
      <c r="T8" s="125"/>
      <c r="U8" s="126">
        <v>2012</v>
      </c>
      <c r="V8" s="127"/>
      <c r="W8" s="128"/>
      <c r="X8" s="126">
        <v>2012</v>
      </c>
      <c r="Y8" s="128"/>
      <c r="Z8" s="128"/>
      <c r="AA8" s="126">
        <v>2011</v>
      </c>
      <c r="AB8" s="128"/>
      <c r="AC8" s="128"/>
      <c r="AD8" s="126">
        <v>2011</v>
      </c>
      <c r="AE8" s="128"/>
      <c r="AF8" s="128"/>
      <c r="AG8" s="126">
        <v>2011</v>
      </c>
      <c r="AH8" s="128"/>
      <c r="AK8" s="27"/>
    </row>
    <row r="9" spans="1:37">
      <c r="A9" s="117"/>
      <c r="B9" s="117"/>
      <c r="C9" s="117"/>
      <c r="D9" s="133"/>
      <c r="E9" s="122"/>
      <c r="F9" s="134"/>
      <c r="G9" s="121"/>
      <c r="H9" s="122"/>
      <c r="I9" s="121"/>
      <c r="J9" s="121"/>
      <c r="K9" s="122"/>
      <c r="L9" s="121"/>
      <c r="M9" s="121"/>
      <c r="N9" s="122"/>
      <c r="O9" s="121"/>
      <c r="P9" s="121"/>
      <c r="Q9" s="122"/>
      <c r="R9" s="121"/>
      <c r="S9" s="122"/>
      <c r="T9" s="133"/>
      <c r="U9" s="122"/>
      <c r="V9" s="134"/>
      <c r="W9" s="121"/>
      <c r="X9" s="122"/>
      <c r="Y9" s="121"/>
      <c r="Z9" s="121"/>
      <c r="AA9" s="122"/>
      <c r="AB9" s="121"/>
      <c r="AC9" s="121"/>
      <c r="AD9" s="122"/>
      <c r="AE9" s="121"/>
      <c r="AF9" s="121"/>
      <c r="AG9" s="122"/>
      <c r="AH9" s="121"/>
      <c r="AK9" s="27"/>
    </row>
    <row r="10" spans="1:37">
      <c r="A10" s="137" t="s">
        <v>605</v>
      </c>
      <c r="B10" s="117"/>
      <c r="C10" s="117"/>
      <c r="D10" s="133"/>
      <c r="E10" s="121"/>
      <c r="F10" s="134"/>
      <c r="G10" s="121"/>
      <c r="H10" s="121"/>
      <c r="I10" s="121"/>
      <c r="J10" s="121"/>
      <c r="K10" s="121"/>
      <c r="L10" s="121"/>
      <c r="M10" s="121"/>
      <c r="N10" s="121"/>
      <c r="O10" s="121"/>
      <c r="P10" s="121"/>
      <c r="Q10" s="121"/>
      <c r="R10" s="121"/>
      <c r="S10" s="121"/>
      <c r="T10" s="133"/>
      <c r="U10" s="121"/>
      <c r="V10" s="134"/>
      <c r="W10" s="121"/>
      <c r="X10" s="121"/>
      <c r="Y10" s="121"/>
      <c r="Z10" s="121"/>
      <c r="AA10" s="121"/>
      <c r="AB10" s="121"/>
      <c r="AC10" s="121"/>
      <c r="AD10" s="121"/>
      <c r="AE10" s="121"/>
      <c r="AF10" s="121"/>
      <c r="AG10" s="121"/>
      <c r="AH10" s="121"/>
      <c r="AK10" s="27"/>
    </row>
    <row r="11" spans="1:37">
      <c r="A11" s="137" t="s">
        <v>606</v>
      </c>
      <c r="B11" s="117"/>
      <c r="C11" s="117"/>
      <c r="D11" s="133" t="s">
        <v>108</v>
      </c>
      <c r="E11" s="27">
        <v>7915</v>
      </c>
      <c r="F11" s="134"/>
      <c r="G11" s="121" t="s">
        <v>108</v>
      </c>
      <c r="H11" s="121">
        <v>7634</v>
      </c>
      <c r="I11" s="121"/>
      <c r="J11" s="121" t="s">
        <v>108</v>
      </c>
      <c r="K11" s="121">
        <v>8239</v>
      </c>
      <c r="L11" s="121"/>
      <c r="M11" s="121" t="s">
        <v>108</v>
      </c>
      <c r="N11" s="27">
        <v>8799</v>
      </c>
      <c r="O11" s="121"/>
      <c r="P11" s="121" t="s">
        <v>108</v>
      </c>
      <c r="Q11" s="27">
        <v>8778</v>
      </c>
      <c r="R11" s="121"/>
      <c r="S11" s="121"/>
      <c r="T11" s="133" t="s">
        <v>108</v>
      </c>
      <c r="U11" s="27">
        <v>29</v>
      </c>
      <c r="V11" s="134"/>
      <c r="W11" s="121" t="s">
        <v>108</v>
      </c>
      <c r="X11" s="121">
        <v>37</v>
      </c>
      <c r="Y11" s="121"/>
      <c r="Z11" s="121" t="s">
        <v>108</v>
      </c>
      <c r="AA11" s="121">
        <v>38</v>
      </c>
      <c r="AB11" s="121"/>
      <c r="AC11" s="121" t="s">
        <v>108</v>
      </c>
      <c r="AD11" s="27">
        <v>38</v>
      </c>
      <c r="AE11" s="121"/>
      <c r="AF11" s="121" t="s">
        <v>108</v>
      </c>
      <c r="AG11" s="27">
        <v>40</v>
      </c>
      <c r="AH11" s="121"/>
      <c r="AK11" s="27"/>
    </row>
    <row r="12" spans="1:37" ht="13.8">
      <c r="A12" s="137" t="s">
        <v>607</v>
      </c>
      <c r="B12" s="117"/>
      <c r="C12" s="117"/>
      <c r="D12" s="133"/>
      <c r="E12" s="27">
        <v>21578</v>
      </c>
      <c r="F12" s="134"/>
      <c r="G12" s="121"/>
      <c r="H12" s="121">
        <v>21272</v>
      </c>
      <c r="I12" s="121"/>
      <c r="J12" s="121"/>
      <c r="K12" s="121">
        <v>19562</v>
      </c>
      <c r="L12" s="121"/>
      <c r="M12" s="121"/>
      <c r="N12" s="27">
        <v>18203</v>
      </c>
      <c r="O12" s="121"/>
      <c r="P12" s="121"/>
      <c r="Q12" s="27">
        <v>18726</v>
      </c>
      <c r="R12" s="121"/>
      <c r="S12" s="121"/>
      <c r="T12" s="133"/>
      <c r="U12" s="27">
        <v>46390</v>
      </c>
      <c r="V12" s="134"/>
      <c r="W12" s="121"/>
      <c r="X12" s="121">
        <v>46232</v>
      </c>
      <c r="Y12" s="121"/>
      <c r="Z12" s="121"/>
      <c r="AA12" s="121">
        <v>46252</v>
      </c>
      <c r="AB12" s="121"/>
      <c r="AC12" s="121"/>
      <c r="AD12" s="27">
        <v>46829</v>
      </c>
      <c r="AE12" s="121"/>
      <c r="AF12" s="121"/>
      <c r="AG12" s="27">
        <v>47821</v>
      </c>
      <c r="AH12" s="121"/>
      <c r="AK12" s="27"/>
    </row>
    <row r="13" spans="1:37">
      <c r="A13" s="137" t="s">
        <v>608</v>
      </c>
      <c r="B13" s="117"/>
      <c r="C13" s="117"/>
      <c r="D13" s="133"/>
      <c r="E13" s="27">
        <v>3470</v>
      </c>
      <c r="F13" s="134"/>
      <c r="G13" s="121"/>
      <c r="H13" s="121">
        <v>3636</v>
      </c>
      <c r="I13" s="121"/>
      <c r="J13" s="121"/>
      <c r="K13" s="121">
        <v>4165</v>
      </c>
      <c r="L13" s="121"/>
      <c r="M13" s="121"/>
      <c r="N13" s="27">
        <v>3977</v>
      </c>
      <c r="O13" s="121"/>
      <c r="P13" s="121"/>
      <c r="Q13" s="27">
        <v>4748</v>
      </c>
      <c r="R13" s="121"/>
      <c r="S13" s="121"/>
      <c r="T13" s="133"/>
      <c r="U13" s="27">
        <v>211</v>
      </c>
      <c r="V13" s="134"/>
      <c r="W13" s="121"/>
      <c r="X13" s="121">
        <v>211</v>
      </c>
      <c r="Y13" s="121"/>
      <c r="Z13" s="121"/>
      <c r="AA13" s="121">
        <v>198</v>
      </c>
      <c r="AB13" s="121"/>
      <c r="AC13" s="121"/>
      <c r="AD13" s="27">
        <v>180</v>
      </c>
      <c r="AE13" s="121"/>
      <c r="AF13" s="121"/>
      <c r="AG13" s="27">
        <v>206</v>
      </c>
      <c r="AH13" s="121"/>
      <c r="AK13" s="27"/>
    </row>
    <row r="14" spans="1:37">
      <c r="A14" s="137" t="s">
        <v>829</v>
      </c>
      <c r="B14" s="117"/>
      <c r="C14" s="117"/>
      <c r="D14" s="133"/>
      <c r="E14" s="27">
        <v>494</v>
      </c>
      <c r="F14" s="134"/>
      <c r="G14" s="121"/>
      <c r="H14" s="121">
        <v>494</v>
      </c>
      <c r="I14" s="121"/>
      <c r="J14" s="121"/>
      <c r="K14" s="121">
        <v>474</v>
      </c>
      <c r="L14" s="121"/>
      <c r="M14" s="121"/>
      <c r="N14" s="27">
        <v>377</v>
      </c>
      <c r="O14" s="121"/>
      <c r="P14" s="121"/>
      <c r="Q14" s="27">
        <v>132</v>
      </c>
      <c r="R14" s="121"/>
      <c r="S14" s="121"/>
      <c r="T14" s="133"/>
      <c r="U14" s="27">
        <v>6434</v>
      </c>
      <c r="V14" s="134"/>
      <c r="W14" s="121"/>
      <c r="X14" s="121">
        <v>6673</v>
      </c>
      <c r="Y14" s="121"/>
      <c r="Z14" s="121"/>
      <c r="AA14" s="121">
        <v>6665</v>
      </c>
      <c r="AB14" s="121"/>
      <c r="AC14" s="121"/>
      <c r="AD14" s="27">
        <v>6579</v>
      </c>
      <c r="AE14" s="121"/>
      <c r="AF14" s="121"/>
      <c r="AG14" s="27">
        <v>6695</v>
      </c>
      <c r="AH14" s="121"/>
      <c r="AK14" s="27"/>
    </row>
    <row r="15" spans="1:37">
      <c r="A15" s="137" t="s">
        <v>609</v>
      </c>
      <c r="B15" s="117"/>
      <c r="C15" s="117"/>
      <c r="D15" s="133"/>
      <c r="E15" s="27">
        <v>2877</v>
      </c>
      <c r="F15" s="134"/>
      <c r="G15" s="121"/>
      <c r="H15" s="121">
        <v>2889</v>
      </c>
      <c r="I15" s="121"/>
      <c r="J15" s="121"/>
      <c r="K15" s="121">
        <v>3055</v>
      </c>
      <c r="L15" s="121"/>
      <c r="M15" s="121"/>
      <c r="N15" s="27">
        <v>2863</v>
      </c>
      <c r="O15" s="121"/>
      <c r="P15" s="121"/>
      <c r="Q15" s="27">
        <v>2913</v>
      </c>
      <c r="R15" s="121"/>
      <c r="S15" s="121"/>
      <c r="T15" s="133"/>
      <c r="U15" s="27">
        <v>1806</v>
      </c>
      <c r="V15" s="134"/>
      <c r="W15" s="121"/>
      <c r="X15" s="121">
        <v>1729</v>
      </c>
      <c r="Y15" s="121"/>
      <c r="Z15" s="121"/>
      <c r="AA15" s="121">
        <v>1612</v>
      </c>
      <c r="AB15" s="121"/>
      <c r="AC15" s="121"/>
      <c r="AD15" s="27">
        <v>1508</v>
      </c>
      <c r="AE15" s="121"/>
      <c r="AF15" s="121"/>
      <c r="AG15" s="27">
        <v>1449</v>
      </c>
      <c r="AH15" s="121"/>
    </row>
    <row r="16" spans="1:37">
      <c r="A16" s="137" t="s">
        <v>610</v>
      </c>
      <c r="B16" s="117"/>
      <c r="C16" s="117"/>
      <c r="D16" s="133"/>
      <c r="E16" s="27">
        <v>699</v>
      </c>
      <c r="F16" s="134"/>
      <c r="G16" s="121"/>
      <c r="H16" s="121">
        <v>608</v>
      </c>
      <c r="I16" s="121"/>
      <c r="J16" s="121"/>
      <c r="K16" s="121">
        <v>451</v>
      </c>
      <c r="L16" s="121"/>
      <c r="M16" s="121"/>
      <c r="N16" s="27">
        <v>719</v>
      </c>
      <c r="O16" s="121"/>
      <c r="P16" s="121"/>
      <c r="Q16" s="27">
        <v>770</v>
      </c>
      <c r="R16" s="121"/>
      <c r="S16" s="121"/>
      <c r="T16" s="133"/>
      <c r="U16" s="27">
        <v>893</v>
      </c>
      <c r="V16" s="134"/>
      <c r="W16" s="121"/>
      <c r="X16" s="121">
        <v>681</v>
      </c>
      <c r="Y16" s="121"/>
      <c r="Z16" s="121"/>
      <c r="AA16" s="121">
        <v>645</v>
      </c>
      <c r="AB16" s="121"/>
      <c r="AC16" s="121"/>
      <c r="AD16" s="27">
        <v>1908</v>
      </c>
      <c r="AE16" s="121"/>
      <c r="AF16" s="121"/>
      <c r="AG16" s="27">
        <v>1342</v>
      </c>
      <c r="AH16" s="121"/>
    </row>
    <row r="17" spans="1:48" ht="13.8">
      <c r="A17" s="137" t="s">
        <v>836</v>
      </c>
      <c r="B17" s="117"/>
      <c r="C17" s="117"/>
      <c r="D17" s="133"/>
      <c r="E17" s="27">
        <v>253</v>
      </c>
      <c r="F17" s="134"/>
      <c r="G17" s="121"/>
      <c r="H17" s="121">
        <v>192</v>
      </c>
      <c r="I17" s="121"/>
      <c r="J17" s="121"/>
      <c r="K17" s="121">
        <v>52</v>
      </c>
      <c r="L17" s="121"/>
      <c r="M17" s="121"/>
      <c r="N17" s="27">
        <v>68</v>
      </c>
      <c r="O17" s="121"/>
      <c r="P17" s="121"/>
      <c r="Q17" s="27">
        <v>52</v>
      </c>
      <c r="R17" s="121"/>
      <c r="S17" s="121"/>
      <c r="T17" s="133"/>
      <c r="U17" s="27">
        <v>1971</v>
      </c>
      <c r="V17" s="134"/>
      <c r="W17" s="121"/>
      <c r="X17" s="121">
        <v>2057</v>
      </c>
      <c r="Y17" s="121"/>
      <c r="Z17" s="121"/>
      <c r="AA17" s="121">
        <v>1963</v>
      </c>
      <c r="AB17" s="121"/>
      <c r="AC17" s="121"/>
      <c r="AD17" s="27">
        <v>2026</v>
      </c>
      <c r="AE17" s="121"/>
      <c r="AF17" s="121"/>
      <c r="AG17" s="27">
        <v>2106</v>
      </c>
      <c r="AH17" s="121"/>
    </row>
    <row r="18" spans="1:48" ht="13.8" thickBot="1">
      <c r="A18" s="700" t="s">
        <v>611</v>
      </c>
      <c r="B18" s="117"/>
      <c r="C18" s="117"/>
      <c r="D18" s="133" t="s">
        <v>108</v>
      </c>
      <c r="E18" s="179">
        <v>37286</v>
      </c>
      <c r="F18" s="134"/>
      <c r="G18" s="121" t="s">
        <v>108</v>
      </c>
      <c r="H18" s="692">
        <v>36725</v>
      </c>
      <c r="I18" s="121"/>
      <c r="J18" s="121" t="s">
        <v>108</v>
      </c>
      <c r="K18" s="692">
        <v>35998</v>
      </c>
      <c r="L18" s="121"/>
      <c r="M18" s="121" t="s">
        <v>108</v>
      </c>
      <c r="N18" s="179">
        <v>35006</v>
      </c>
      <c r="O18" s="121"/>
      <c r="P18" s="121" t="s">
        <v>108</v>
      </c>
      <c r="Q18" s="179">
        <v>36119</v>
      </c>
      <c r="R18" s="121"/>
      <c r="S18" s="121"/>
      <c r="T18" s="133" t="s">
        <v>108</v>
      </c>
      <c r="U18" s="179">
        <v>57734</v>
      </c>
      <c r="V18" s="134"/>
      <c r="W18" s="121" t="s">
        <v>108</v>
      </c>
      <c r="X18" s="692">
        <v>57620</v>
      </c>
      <c r="Y18" s="121"/>
      <c r="Z18" s="121" t="s">
        <v>108</v>
      </c>
      <c r="AA18" s="692">
        <v>57373</v>
      </c>
      <c r="AB18" s="121"/>
      <c r="AC18" s="121" t="s">
        <v>108</v>
      </c>
      <c r="AD18" s="179">
        <v>59068</v>
      </c>
      <c r="AE18" s="121"/>
      <c r="AF18" s="121" t="s">
        <v>108</v>
      </c>
      <c r="AG18" s="179">
        <v>59659</v>
      </c>
      <c r="AH18" s="121"/>
    </row>
    <row r="19" spans="1:48" ht="13.8" thickTop="1">
      <c r="A19" s="117"/>
      <c r="B19" s="117"/>
      <c r="C19" s="117"/>
      <c r="D19" s="133"/>
      <c r="E19" s="27"/>
      <c r="F19" s="134"/>
      <c r="G19" s="121"/>
      <c r="H19" s="121"/>
      <c r="I19" s="121"/>
      <c r="J19" s="121"/>
      <c r="K19" s="121"/>
      <c r="L19" s="121"/>
      <c r="M19" s="121"/>
      <c r="N19" s="27"/>
      <c r="O19" s="121"/>
      <c r="P19" s="121"/>
      <c r="Q19" s="27"/>
      <c r="R19" s="121"/>
      <c r="S19" s="121"/>
      <c r="T19" s="133"/>
      <c r="U19" s="27"/>
      <c r="V19" s="134"/>
      <c r="W19" s="121"/>
      <c r="X19" s="121"/>
      <c r="Y19" s="121"/>
      <c r="Z19" s="121"/>
      <c r="AA19" s="121"/>
      <c r="AB19" s="121"/>
      <c r="AC19" s="121"/>
      <c r="AD19" s="27"/>
      <c r="AE19" s="121"/>
      <c r="AF19" s="121"/>
      <c r="AG19" s="27"/>
      <c r="AH19" s="121"/>
    </row>
    <row r="20" spans="1:48">
      <c r="A20" s="137" t="s">
        <v>612</v>
      </c>
      <c r="B20" s="117"/>
      <c r="C20" s="117"/>
      <c r="D20" s="133"/>
      <c r="E20" s="27"/>
      <c r="F20" s="134"/>
      <c r="G20" s="121"/>
      <c r="H20" s="121"/>
      <c r="I20" s="121"/>
      <c r="J20" s="121"/>
      <c r="K20" s="121"/>
      <c r="L20" s="121"/>
      <c r="M20" s="121"/>
      <c r="N20" s="27"/>
      <c r="O20" s="121"/>
      <c r="P20" s="121"/>
      <c r="Q20" s="27"/>
      <c r="R20" s="121"/>
      <c r="S20" s="121"/>
      <c r="T20" s="133"/>
      <c r="U20" s="27"/>
      <c r="V20" s="134"/>
      <c r="W20" s="121"/>
      <c r="X20" s="121"/>
      <c r="Y20" s="121"/>
      <c r="Z20" s="121"/>
      <c r="AA20" s="121"/>
      <c r="AB20" s="121"/>
      <c r="AC20" s="121"/>
      <c r="AD20" s="27"/>
      <c r="AE20" s="121"/>
      <c r="AF20" s="121"/>
      <c r="AG20" s="27"/>
      <c r="AH20" s="121"/>
    </row>
    <row r="21" spans="1:48">
      <c r="A21" s="137" t="s">
        <v>606</v>
      </c>
      <c r="B21" s="117"/>
      <c r="C21" s="117"/>
      <c r="D21" s="133" t="s">
        <v>108</v>
      </c>
      <c r="E21" s="27">
        <v>7592</v>
      </c>
      <c r="F21" s="134"/>
      <c r="G21" s="121" t="s">
        <v>108</v>
      </c>
      <c r="H21" s="121">
        <v>7350</v>
      </c>
      <c r="I21" s="121"/>
      <c r="J21" s="121" t="s">
        <v>108</v>
      </c>
      <c r="K21" s="121">
        <v>7935</v>
      </c>
      <c r="L21" s="121"/>
      <c r="M21" s="121" t="s">
        <v>108</v>
      </c>
      <c r="N21" s="27">
        <v>8568</v>
      </c>
      <c r="O21" s="121"/>
      <c r="P21" s="121" t="s">
        <v>108</v>
      </c>
      <c r="Q21" s="27">
        <v>8650</v>
      </c>
      <c r="R21" s="121"/>
      <c r="S21" s="121"/>
      <c r="T21" s="133" t="s">
        <v>108</v>
      </c>
      <c r="U21" s="27">
        <v>29</v>
      </c>
      <c r="V21" s="134"/>
      <c r="W21" s="121" t="s">
        <v>108</v>
      </c>
      <c r="X21" s="121">
        <v>36</v>
      </c>
      <c r="Y21" s="121"/>
      <c r="Z21" s="121" t="s">
        <v>108</v>
      </c>
      <c r="AA21" s="121">
        <v>37</v>
      </c>
      <c r="AB21" s="121"/>
      <c r="AC21" s="121" t="s">
        <v>108</v>
      </c>
      <c r="AD21" s="27">
        <v>37</v>
      </c>
      <c r="AE21" s="121"/>
      <c r="AF21" s="121" t="s">
        <v>108</v>
      </c>
      <c r="AG21" s="27">
        <v>39</v>
      </c>
      <c r="AH21" s="121"/>
      <c r="AJ21" s="27"/>
    </row>
    <row r="22" spans="1:48" ht="13.8">
      <c r="A22" s="137" t="s">
        <v>607</v>
      </c>
      <c r="B22" s="117"/>
      <c r="C22" s="117"/>
      <c r="D22" s="133"/>
      <c r="E22" s="27">
        <v>20878</v>
      </c>
      <c r="F22" s="134"/>
      <c r="G22" s="121"/>
      <c r="H22" s="121">
        <v>20742</v>
      </c>
      <c r="I22" s="121"/>
      <c r="J22" s="121"/>
      <c r="K22" s="121">
        <v>19188</v>
      </c>
      <c r="L22" s="121"/>
      <c r="M22" s="121"/>
      <c r="N22" s="27">
        <v>17942</v>
      </c>
      <c r="O22" s="121"/>
      <c r="P22" s="121"/>
      <c r="Q22" s="27">
        <v>18456</v>
      </c>
      <c r="R22" s="121"/>
      <c r="S22" s="121"/>
      <c r="T22" s="133"/>
      <c r="U22" s="27">
        <v>43464</v>
      </c>
      <c r="V22" s="134"/>
      <c r="W22" s="121"/>
      <c r="X22" s="121">
        <v>43936</v>
      </c>
      <c r="Y22" s="121"/>
      <c r="Z22" s="121"/>
      <c r="AA22" s="121">
        <v>44259</v>
      </c>
      <c r="AB22" s="121"/>
      <c r="AC22" s="121"/>
      <c r="AD22" s="27">
        <v>44931</v>
      </c>
      <c r="AE22" s="121"/>
      <c r="AF22" s="121"/>
      <c r="AG22" s="27">
        <v>46380</v>
      </c>
      <c r="AH22" s="121"/>
      <c r="AJ22" s="27"/>
    </row>
    <row r="23" spans="1:48">
      <c r="A23" s="137" t="s">
        <v>613</v>
      </c>
      <c r="B23" s="117"/>
      <c r="C23" s="117"/>
      <c r="D23" s="133"/>
      <c r="E23" s="509">
        <v>1.0359325605900949</v>
      </c>
      <c r="F23" s="134"/>
      <c r="G23" s="121"/>
      <c r="H23" s="509">
        <v>1.0289762209881816</v>
      </c>
      <c r="I23" s="121"/>
      <c r="J23" s="121"/>
      <c r="K23" s="509">
        <v>1.0249972348191601</v>
      </c>
      <c r="L23" s="121"/>
      <c r="M23" s="121"/>
      <c r="N23" s="509">
        <v>1.0185590343266693</v>
      </c>
      <c r="O23" s="121"/>
      <c r="P23" s="121"/>
      <c r="Q23" s="509">
        <v>1.0146830959935069</v>
      </c>
      <c r="R23" s="121"/>
      <c r="S23" s="509"/>
      <c r="T23" s="133"/>
      <c r="U23" s="509">
        <v>1.0672751937093325</v>
      </c>
      <c r="V23" s="134"/>
      <c r="W23" s="121"/>
      <c r="X23" s="509">
        <v>1.0522377876830711</v>
      </c>
      <c r="Y23" s="121"/>
      <c r="Z23" s="121"/>
      <c r="AA23" s="509">
        <v>1.0450153512732527</v>
      </c>
      <c r="AB23" s="121"/>
      <c r="AC23" s="121"/>
      <c r="AD23" s="509">
        <v>1.0422300302437288</v>
      </c>
      <c r="AE23" s="121"/>
      <c r="AF23" s="121"/>
      <c r="AG23" s="509">
        <v>1.0310648656800017</v>
      </c>
      <c r="AH23" s="121"/>
      <c r="AI23" s="923"/>
      <c r="AJ23" s="509"/>
      <c r="AL23" s="923"/>
      <c r="AO23" s="923"/>
      <c r="AR23" s="923"/>
      <c r="AU23" s="923"/>
      <c r="AV23" s="923"/>
    </row>
    <row r="24" spans="1:48" ht="13.8">
      <c r="A24" s="137" t="s">
        <v>614</v>
      </c>
      <c r="B24" s="117"/>
      <c r="C24" s="117"/>
      <c r="D24" s="133" t="s">
        <v>108</v>
      </c>
      <c r="E24" s="27">
        <v>3270</v>
      </c>
      <c r="F24" s="134"/>
      <c r="G24" s="121" t="s">
        <v>108</v>
      </c>
      <c r="H24" s="121">
        <v>3270</v>
      </c>
      <c r="I24" s="121"/>
      <c r="J24" s="121" t="s">
        <v>108</v>
      </c>
      <c r="K24" s="121">
        <v>4044</v>
      </c>
      <c r="L24" s="121"/>
      <c r="M24" s="121" t="s">
        <v>108</v>
      </c>
      <c r="N24" s="27">
        <v>4094</v>
      </c>
      <c r="O24" s="121"/>
      <c r="P24" s="121" t="s">
        <v>108</v>
      </c>
      <c r="Q24" s="27">
        <v>4170</v>
      </c>
      <c r="R24" s="121"/>
      <c r="S24" s="121"/>
      <c r="T24" s="133" t="s">
        <v>108</v>
      </c>
      <c r="U24" s="27">
        <v>160</v>
      </c>
      <c r="V24" s="134"/>
      <c r="W24" s="121" t="s">
        <v>108</v>
      </c>
      <c r="X24" s="121">
        <v>160</v>
      </c>
      <c r="Y24" s="121"/>
      <c r="Z24" s="121" t="s">
        <v>108</v>
      </c>
      <c r="AA24" s="121">
        <v>159</v>
      </c>
      <c r="AB24" s="121"/>
      <c r="AC24" s="121" t="s">
        <v>108</v>
      </c>
      <c r="AD24" s="27">
        <v>158</v>
      </c>
      <c r="AE24" s="121"/>
      <c r="AF24" s="121" t="s">
        <v>108</v>
      </c>
      <c r="AG24" s="27">
        <v>159</v>
      </c>
      <c r="AH24" s="121"/>
      <c r="AJ24" s="27"/>
    </row>
    <row r="25" spans="1:48">
      <c r="A25" s="137" t="s">
        <v>615</v>
      </c>
      <c r="B25" s="117"/>
      <c r="C25" s="117"/>
      <c r="D25" s="133"/>
      <c r="E25" s="27">
        <v>699</v>
      </c>
      <c r="F25" s="134"/>
      <c r="G25" s="121"/>
      <c r="H25" s="121">
        <v>608</v>
      </c>
      <c r="I25" s="121"/>
      <c r="J25" s="121"/>
      <c r="K25" s="121">
        <v>451</v>
      </c>
      <c r="L25" s="121"/>
      <c r="M25" s="121"/>
      <c r="N25" s="27">
        <v>719</v>
      </c>
      <c r="O25" s="121"/>
      <c r="P25" s="121"/>
      <c r="Q25" s="27">
        <v>770</v>
      </c>
      <c r="R25" s="121"/>
      <c r="S25" s="121"/>
      <c r="T25" s="133"/>
      <c r="U25" s="27">
        <v>893</v>
      </c>
      <c r="V25" s="134"/>
      <c r="W25" s="121"/>
      <c r="X25" s="121">
        <v>681</v>
      </c>
      <c r="Y25" s="121"/>
      <c r="Z25" s="121"/>
      <c r="AA25" s="121">
        <v>645</v>
      </c>
      <c r="AB25" s="121"/>
      <c r="AC25" s="121"/>
      <c r="AD25" s="27">
        <v>1908</v>
      </c>
      <c r="AE25" s="121"/>
      <c r="AF25" s="121"/>
      <c r="AG25" s="27">
        <v>1342</v>
      </c>
      <c r="AH25" s="121"/>
      <c r="AJ25" s="27"/>
    </row>
    <row r="26" spans="1:48" ht="13.8" thickBot="1">
      <c r="A26" s="117"/>
      <c r="B26" s="117"/>
      <c r="C26" s="117"/>
      <c r="D26" s="144"/>
      <c r="E26" s="145"/>
      <c r="F26" s="146"/>
      <c r="G26" s="121"/>
      <c r="H26" s="121"/>
      <c r="I26" s="121"/>
      <c r="J26" s="121"/>
      <c r="K26" s="121"/>
      <c r="L26" s="121"/>
      <c r="M26" s="121"/>
      <c r="N26" s="121"/>
      <c r="O26" s="121"/>
      <c r="P26" s="121"/>
      <c r="Q26" s="121"/>
      <c r="R26" s="121"/>
      <c r="S26" s="121"/>
      <c r="T26" s="144"/>
      <c r="U26" s="145"/>
      <c r="V26" s="146"/>
      <c r="W26" s="121"/>
      <c r="X26" s="121"/>
      <c r="Y26" s="121"/>
      <c r="Z26" s="121"/>
      <c r="AA26" s="121"/>
      <c r="AB26" s="121"/>
      <c r="AC26" s="121"/>
      <c r="AD26" s="121"/>
      <c r="AE26" s="121"/>
      <c r="AF26" s="121"/>
      <c r="AG26" s="121"/>
      <c r="AH26" s="121"/>
    </row>
    <row r="27" spans="1:48">
      <c r="A27" s="117"/>
      <c r="B27" s="117"/>
      <c r="C27" s="117"/>
      <c r="D27" s="1052" t="s">
        <v>616</v>
      </c>
      <c r="E27" s="1052"/>
      <c r="F27" s="1052"/>
      <c r="G27" s="1052"/>
      <c r="H27" s="1052"/>
      <c r="I27" s="1052"/>
      <c r="J27" s="1052"/>
      <c r="K27" s="1052"/>
      <c r="L27" s="1052"/>
      <c r="M27" s="1052"/>
      <c r="N27" s="1052"/>
      <c r="O27" s="1052"/>
      <c r="P27" s="1052"/>
      <c r="Q27" s="1052"/>
      <c r="R27" s="701"/>
      <c r="S27" s="702"/>
      <c r="T27" s="982" t="s">
        <v>617</v>
      </c>
      <c r="U27" s="982"/>
      <c r="V27" s="982"/>
      <c r="W27" s="982"/>
      <c r="X27" s="982"/>
      <c r="Y27" s="982"/>
      <c r="Z27" s="982"/>
      <c r="AA27" s="982"/>
      <c r="AB27" s="982"/>
      <c r="AC27" s="982"/>
      <c r="AD27" s="982"/>
      <c r="AE27" s="982"/>
      <c r="AF27" s="982"/>
      <c r="AG27" s="982"/>
      <c r="AH27" s="188"/>
    </row>
    <row r="28" spans="1:48" ht="13.8" thickBot="1">
      <c r="A28" s="117"/>
      <c r="B28" s="117"/>
      <c r="C28" s="117"/>
      <c r="D28" s="121"/>
      <c r="E28" s="117"/>
      <c r="F28" s="117"/>
      <c r="G28" s="121"/>
      <c r="H28" s="117"/>
      <c r="I28" s="117"/>
      <c r="J28" s="121"/>
      <c r="K28" s="117"/>
      <c r="L28" s="117"/>
      <c r="M28" s="121"/>
      <c r="N28" s="117"/>
      <c r="O28" s="117"/>
      <c r="P28" s="121"/>
      <c r="Q28" s="117"/>
      <c r="R28" s="117"/>
      <c r="S28" s="117"/>
      <c r="T28" s="117"/>
      <c r="U28" s="117"/>
      <c r="V28" s="117"/>
      <c r="W28" s="117"/>
      <c r="X28" s="117"/>
      <c r="Y28" s="117"/>
      <c r="Z28" s="117"/>
      <c r="AA28" s="117"/>
      <c r="AB28" s="117"/>
      <c r="AC28" s="117"/>
      <c r="AD28" s="117"/>
      <c r="AE28" s="117"/>
      <c r="AF28" s="117"/>
      <c r="AG28" s="117"/>
      <c r="AH28" s="117"/>
    </row>
    <row r="29" spans="1:48">
      <c r="A29" s="117"/>
      <c r="B29" s="117"/>
      <c r="C29" s="117"/>
      <c r="D29" s="118"/>
      <c r="E29" s="696" t="s">
        <v>104</v>
      </c>
      <c r="F29" s="174"/>
      <c r="G29" s="121"/>
      <c r="H29" s="121" t="s">
        <v>105</v>
      </c>
      <c r="I29" s="121"/>
      <c r="J29" s="121"/>
      <c r="K29" s="121" t="s">
        <v>102</v>
      </c>
      <c r="L29" s="121"/>
      <c r="M29" s="121"/>
      <c r="N29" s="121" t="s">
        <v>103</v>
      </c>
      <c r="O29" s="121"/>
      <c r="P29" s="121"/>
      <c r="Q29" s="121" t="s">
        <v>104</v>
      </c>
      <c r="R29" s="121"/>
      <c r="S29" s="121"/>
      <c r="T29" s="118"/>
      <c r="U29" s="696" t="s">
        <v>104</v>
      </c>
      <c r="V29" s="174"/>
      <c r="W29" s="121"/>
      <c r="X29" s="121" t="s">
        <v>105</v>
      </c>
      <c r="Y29" s="121"/>
      <c r="Z29" s="121"/>
      <c r="AA29" s="121" t="s">
        <v>102</v>
      </c>
      <c r="AB29" s="121"/>
      <c r="AC29" s="121"/>
      <c r="AD29" s="697" t="s">
        <v>618</v>
      </c>
      <c r="AE29" s="121"/>
      <c r="AF29" s="121"/>
      <c r="AG29" s="121" t="s">
        <v>104</v>
      </c>
      <c r="AH29" s="121"/>
    </row>
    <row r="30" spans="1:48">
      <c r="A30" s="124"/>
      <c r="B30" s="124"/>
      <c r="C30" s="124"/>
      <c r="D30" s="125"/>
      <c r="E30" s="126">
        <v>2012</v>
      </c>
      <c r="F30" s="127"/>
      <c r="G30" s="128"/>
      <c r="H30" s="126">
        <v>2012</v>
      </c>
      <c r="I30" s="128"/>
      <c r="J30" s="128"/>
      <c r="K30" s="126">
        <v>2011</v>
      </c>
      <c r="L30" s="128"/>
      <c r="M30" s="128"/>
      <c r="N30" s="126">
        <v>2011</v>
      </c>
      <c r="O30" s="128"/>
      <c r="P30" s="128"/>
      <c r="Q30" s="126">
        <v>2011</v>
      </c>
      <c r="R30" s="128"/>
      <c r="S30" s="698"/>
      <c r="T30" s="125"/>
      <c r="U30" s="126">
        <v>2012</v>
      </c>
      <c r="V30" s="127"/>
      <c r="W30" s="128"/>
      <c r="X30" s="126">
        <v>2012</v>
      </c>
      <c r="Y30" s="128"/>
      <c r="Z30" s="128"/>
      <c r="AA30" s="126">
        <v>2011</v>
      </c>
      <c r="AB30" s="128"/>
      <c r="AC30" s="128"/>
      <c r="AD30" s="126">
        <v>2011</v>
      </c>
      <c r="AE30" s="128"/>
      <c r="AF30" s="128"/>
      <c r="AG30" s="126">
        <v>2011</v>
      </c>
      <c r="AH30" s="128"/>
    </row>
    <row r="31" spans="1:48">
      <c r="A31" s="117"/>
      <c r="B31" s="117"/>
      <c r="C31" s="117"/>
      <c r="D31" s="133"/>
      <c r="E31" s="122"/>
      <c r="F31" s="134"/>
      <c r="G31" s="121"/>
      <c r="H31" s="122"/>
      <c r="I31" s="121"/>
      <c r="J31" s="121"/>
      <c r="K31" s="122"/>
      <c r="L31" s="121"/>
      <c r="M31" s="121"/>
      <c r="N31" s="122"/>
      <c r="O31" s="121"/>
      <c r="P31" s="121"/>
      <c r="Q31" s="122"/>
      <c r="R31" s="121"/>
      <c r="S31" s="122"/>
      <c r="T31" s="133"/>
      <c r="U31" s="122"/>
      <c r="V31" s="134"/>
      <c r="W31" s="121"/>
      <c r="X31" s="122"/>
      <c r="Y31" s="121"/>
      <c r="Z31" s="121"/>
      <c r="AA31" s="122"/>
      <c r="AB31" s="121"/>
      <c r="AC31" s="121"/>
      <c r="AD31" s="122"/>
      <c r="AE31" s="121"/>
      <c r="AF31" s="121"/>
      <c r="AG31" s="122"/>
      <c r="AH31" s="121"/>
    </row>
    <row r="32" spans="1:48">
      <c r="A32" s="137" t="s">
        <v>605</v>
      </c>
      <c r="B32" s="117"/>
      <c r="C32" s="117"/>
      <c r="D32" s="133"/>
      <c r="E32" s="121"/>
      <c r="F32" s="134"/>
      <c r="G32" s="121"/>
      <c r="H32" s="121"/>
      <c r="I32" s="121"/>
      <c r="J32" s="121"/>
      <c r="K32" s="121"/>
      <c r="L32" s="121"/>
      <c r="M32" s="121"/>
      <c r="N32" s="121"/>
      <c r="O32" s="121"/>
      <c r="P32" s="121"/>
      <c r="Q32" s="121"/>
      <c r="R32" s="121"/>
      <c r="S32" s="121"/>
      <c r="T32" s="133"/>
      <c r="U32" s="121"/>
      <c r="V32" s="134"/>
      <c r="W32" s="121"/>
      <c r="X32" s="121"/>
      <c r="Y32" s="121"/>
      <c r="Z32" s="121"/>
      <c r="AA32" s="121"/>
      <c r="AB32" s="121"/>
      <c r="AC32" s="121"/>
      <c r="AD32" s="121"/>
      <c r="AE32" s="121"/>
      <c r="AF32" s="121"/>
      <c r="AG32" s="121"/>
      <c r="AH32" s="121"/>
    </row>
    <row r="33" spans="1:47">
      <c r="A33" s="137" t="s">
        <v>606</v>
      </c>
      <c r="B33" s="117"/>
      <c r="C33" s="117"/>
      <c r="D33" s="133" t="s">
        <v>108</v>
      </c>
      <c r="E33" s="27">
        <v>775</v>
      </c>
      <c r="F33" s="134"/>
      <c r="G33" s="121" t="s">
        <v>108</v>
      </c>
      <c r="H33" s="121">
        <v>748</v>
      </c>
      <c r="I33" s="121"/>
      <c r="J33" s="121" t="s">
        <v>108</v>
      </c>
      <c r="K33" s="121">
        <v>728</v>
      </c>
      <c r="L33" s="121"/>
      <c r="M33" s="121" t="s">
        <v>108</v>
      </c>
      <c r="N33" s="27">
        <v>732</v>
      </c>
      <c r="O33" s="121"/>
      <c r="P33" s="121" t="s">
        <v>108</v>
      </c>
      <c r="Q33" s="27">
        <v>698</v>
      </c>
      <c r="R33" s="121"/>
      <c r="S33" s="121"/>
      <c r="T33" s="133" t="s">
        <v>108</v>
      </c>
      <c r="U33" s="27">
        <v>8719</v>
      </c>
      <c r="V33" s="134"/>
      <c r="W33" s="121" t="s">
        <v>108</v>
      </c>
      <c r="X33" s="121">
        <v>8419</v>
      </c>
      <c r="Y33" s="121"/>
      <c r="Z33" s="121" t="s">
        <v>108</v>
      </c>
      <c r="AA33" s="121">
        <v>9005</v>
      </c>
      <c r="AB33" s="121"/>
      <c r="AC33" s="121" t="s">
        <v>108</v>
      </c>
      <c r="AD33" s="121">
        <v>9569</v>
      </c>
      <c r="AE33" s="121"/>
      <c r="AF33" s="121" t="s">
        <v>108</v>
      </c>
      <c r="AG33" s="121">
        <v>9516</v>
      </c>
      <c r="AH33" s="121"/>
    </row>
    <row r="34" spans="1:47" ht="13.8">
      <c r="A34" s="137" t="s">
        <v>607</v>
      </c>
      <c r="B34" s="117"/>
      <c r="C34" s="117"/>
      <c r="D34" s="133"/>
      <c r="E34" s="27">
        <v>1239</v>
      </c>
      <c r="F34" s="134"/>
      <c r="G34" s="121"/>
      <c r="H34" s="121">
        <v>1300</v>
      </c>
      <c r="I34" s="121"/>
      <c r="J34" s="121"/>
      <c r="K34" s="121">
        <v>1294</v>
      </c>
      <c r="L34" s="121"/>
      <c r="M34" s="121"/>
      <c r="N34" s="27">
        <v>1793</v>
      </c>
      <c r="O34" s="121"/>
      <c r="P34" s="121"/>
      <c r="Q34" s="27">
        <v>2351</v>
      </c>
      <c r="R34" s="121"/>
      <c r="S34" s="121"/>
      <c r="T34" s="133"/>
      <c r="U34" s="27">
        <v>69207</v>
      </c>
      <c r="V34" s="134"/>
      <c r="W34" s="121"/>
      <c r="X34" s="121">
        <v>68804</v>
      </c>
      <c r="Y34" s="121"/>
      <c r="Z34" s="121"/>
      <c r="AA34" s="121">
        <v>67108</v>
      </c>
      <c r="AB34" s="121"/>
      <c r="AC34" s="121"/>
      <c r="AD34" s="121">
        <v>66825</v>
      </c>
      <c r="AE34" s="121"/>
      <c r="AF34" s="121"/>
      <c r="AG34" s="121">
        <v>68898</v>
      </c>
      <c r="AH34" s="121"/>
    </row>
    <row r="35" spans="1:47">
      <c r="A35" s="137" t="s">
        <v>608</v>
      </c>
      <c r="B35" s="117"/>
      <c r="C35" s="117"/>
      <c r="D35" s="133"/>
      <c r="E35" s="27">
        <v>0</v>
      </c>
      <c r="F35" s="134"/>
      <c r="G35" s="121"/>
      <c r="H35" s="27">
        <v>0</v>
      </c>
      <c r="I35" s="121"/>
      <c r="J35" s="121"/>
      <c r="K35" s="27">
        <v>0</v>
      </c>
      <c r="L35" s="121"/>
      <c r="M35" s="121"/>
      <c r="N35" s="27">
        <v>0</v>
      </c>
      <c r="O35" s="121"/>
      <c r="P35" s="121"/>
      <c r="Q35" s="27">
        <v>0</v>
      </c>
      <c r="R35" s="121"/>
      <c r="S35" s="121"/>
      <c r="T35" s="133"/>
      <c r="U35" s="27">
        <v>3681</v>
      </c>
      <c r="V35" s="134"/>
      <c r="W35" s="121"/>
      <c r="X35" s="121">
        <v>3847</v>
      </c>
      <c r="Y35" s="121"/>
      <c r="Z35" s="121"/>
      <c r="AA35" s="121">
        <v>4363</v>
      </c>
      <c r="AB35" s="121"/>
      <c r="AC35" s="121"/>
      <c r="AD35" s="121">
        <v>4157</v>
      </c>
      <c r="AE35" s="121"/>
      <c r="AF35" s="121"/>
      <c r="AG35" s="121">
        <v>4954</v>
      </c>
      <c r="AH35" s="121"/>
    </row>
    <row r="36" spans="1:47">
      <c r="A36" s="137" t="s">
        <v>829</v>
      </c>
      <c r="B36" s="117"/>
      <c r="C36" s="117"/>
      <c r="D36" s="133"/>
      <c r="E36" s="27">
        <v>0</v>
      </c>
      <c r="F36" s="134"/>
      <c r="G36" s="121"/>
      <c r="H36" s="27">
        <v>0</v>
      </c>
      <c r="I36" s="121"/>
      <c r="J36" s="121"/>
      <c r="K36" s="27">
        <v>0</v>
      </c>
      <c r="L36" s="121"/>
      <c r="M36" s="121"/>
      <c r="N36" s="27">
        <v>0</v>
      </c>
      <c r="O36" s="121"/>
      <c r="P36" s="121"/>
      <c r="Q36" s="27">
        <v>0</v>
      </c>
      <c r="R36" s="121"/>
      <c r="S36" s="27"/>
      <c r="T36" s="133"/>
      <c r="U36" s="27">
        <v>6928</v>
      </c>
      <c r="V36" s="134"/>
      <c r="W36" s="121"/>
      <c r="X36" s="121">
        <v>7167</v>
      </c>
      <c r="Y36" s="121"/>
      <c r="Z36" s="121"/>
      <c r="AA36" s="121">
        <v>7139</v>
      </c>
      <c r="AB36" s="121"/>
      <c r="AC36" s="121"/>
      <c r="AD36" s="121">
        <v>6956</v>
      </c>
      <c r="AE36" s="121"/>
      <c r="AF36" s="121"/>
      <c r="AG36" s="121">
        <v>6827</v>
      </c>
      <c r="AH36" s="121"/>
    </row>
    <row r="37" spans="1:47" ht="13.8">
      <c r="A37" s="137" t="s">
        <v>831</v>
      </c>
      <c r="B37" s="117"/>
      <c r="C37" s="117"/>
      <c r="D37" s="133"/>
      <c r="E37" s="27">
        <v>11</v>
      </c>
      <c r="F37" s="134"/>
      <c r="G37" s="121"/>
      <c r="H37" s="121">
        <v>19</v>
      </c>
      <c r="I37" s="121"/>
      <c r="J37" s="121"/>
      <c r="K37" s="121">
        <v>30</v>
      </c>
      <c r="L37" s="121"/>
      <c r="M37" s="121"/>
      <c r="N37" s="27">
        <v>36</v>
      </c>
      <c r="O37" s="121"/>
      <c r="P37" s="121"/>
      <c r="Q37" s="27">
        <v>38</v>
      </c>
      <c r="R37" s="121"/>
      <c r="S37" s="27"/>
      <c r="T37" s="133"/>
      <c r="U37" s="27">
        <v>4694</v>
      </c>
      <c r="V37" s="134"/>
      <c r="W37" s="121"/>
      <c r="X37" s="121">
        <v>4637</v>
      </c>
      <c r="Y37" s="121"/>
      <c r="Z37" s="121"/>
      <c r="AA37" s="121">
        <v>4697</v>
      </c>
      <c r="AB37" s="121"/>
      <c r="AC37" s="121"/>
      <c r="AD37" s="121">
        <v>4407</v>
      </c>
      <c r="AE37" s="121"/>
      <c r="AF37" s="121"/>
      <c r="AG37" s="121">
        <v>4400</v>
      </c>
      <c r="AH37" s="121"/>
    </row>
    <row r="38" spans="1:47">
      <c r="A38" s="137" t="s">
        <v>610</v>
      </c>
      <c r="B38" s="117"/>
      <c r="C38" s="117"/>
      <c r="D38" s="133"/>
      <c r="E38" s="27">
        <v>275</v>
      </c>
      <c r="F38" s="134"/>
      <c r="G38" s="121"/>
      <c r="H38" s="121">
        <v>597</v>
      </c>
      <c r="I38" s="121"/>
      <c r="J38" s="121"/>
      <c r="K38" s="121">
        <v>195</v>
      </c>
      <c r="L38" s="121"/>
      <c r="M38" s="121"/>
      <c r="N38" s="27">
        <v>890</v>
      </c>
      <c r="O38" s="121"/>
      <c r="P38" s="121"/>
      <c r="Q38" s="27">
        <v>424</v>
      </c>
      <c r="R38" s="121"/>
      <c r="S38" s="121"/>
      <c r="T38" s="133"/>
      <c r="U38" s="27">
        <v>1867</v>
      </c>
      <c r="V38" s="134"/>
      <c r="W38" s="121"/>
      <c r="X38" s="121">
        <v>1886</v>
      </c>
      <c r="Y38" s="121"/>
      <c r="Z38" s="121"/>
      <c r="AA38" s="121">
        <v>1291</v>
      </c>
      <c r="AB38" s="121"/>
      <c r="AC38" s="121"/>
      <c r="AD38" s="121">
        <v>3517</v>
      </c>
      <c r="AE38" s="121"/>
      <c r="AF38" s="121"/>
      <c r="AG38" s="121">
        <v>2536</v>
      </c>
      <c r="AH38" s="121"/>
    </row>
    <row r="39" spans="1:47" ht="13.8">
      <c r="A39" s="137" t="s">
        <v>836</v>
      </c>
      <c r="B39" s="117"/>
      <c r="C39" s="117"/>
      <c r="D39" s="133"/>
      <c r="E39" s="27">
        <v>0</v>
      </c>
      <c r="F39" s="134"/>
      <c r="G39" s="121"/>
      <c r="H39" s="27">
        <v>0</v>
      </c>
      <c r="I39" s="121"/>
      <c r="J39" s="121"/>
      <c r="K39" s="27">
        <v>0</v>
      </c>
      <c r="L39" s="121"/>
      <c r="M39" s="121"/>
      <c r="N39" s="27">
        <v>0</v>
      </c>
      <c r="O39" s="121"/>
      <c r="P39" s="121"/>
      <c r="Q39" s="27">
        <v>0</v>
      </c>
      <c r="R39" s="121"/>
      <c r="S39" s="27"/>
      <c r="T39" s="133"/>
      <c r="U39" s="27">
        <v>2224</v>
      </c>
      <c r="V39" s="134"/>
      <c r="W39" s="121"/>
      <c r="X39" s="121">
        <v>2249</v>
      </c>
      <c r="Y39" s="121"/>
      <c r="Z39" s="121"/>
      <c r="AA39" s="121">
        <v>2015</v>
      </c>
      <c r="AB39" s="121"/>
      <c r="AC39" s="121"/>
      <c r="AD39" s="121">
        <v>2094</v>
      </c>
      <c r="AE39" s="121"/>
      <c r="AF39" s="121"/>
      <c r="AG39" s="121">
        <v>2158</v>
      </c>
      <c r="AH39" s="121"/>
    </row>
    <row r="40" spans="1:47" ht="13.8" thickBot="1">
      <c r="A40" s="700" t="s">
        <v>611</v>
      </c>
      <c r="B40" s="117"/>
      <c r="C40" s="117"/>
      <c r="D40" s="133" t="s">
        <v>108</v>
      </c>
      <c r="E40" s="179">
        <v>2300</v>
      </c>
      <c r="F40" s="134"/>
      <c r="G40" s="121" t="s">
        <v>108</v>
      </c>
      <c r="H40" s="692">
        <v>2664</v>
      </c>
      <c r="I40" s="121"/>
      <c r="J40" s="121" t="s">
        <v>108</v>
      </c>
      <c r="K40" s="692">
        <v>2247</v>
      </c>
      <c r="L40" s="121"/>
      <c r="M40" s="121" t="s">
        <v>108</v>
      </c>
      <c r="N40" s="179">
        <v>3451</v>
      </c>
      <c r="O40" s="121"/>
      <c r="P40" s="121" t="s">
        <v>108</v>
      </c>
      <c r="Q40" s="179">
        <v>3511</v>
      </c>
      <c r="R40" s="121"/>
      <c r="S40" s="121"/>
      <c r="T40" s="133" t="s">
        <v>108</v>
      </c>
      <c r="U40" s="179">
        <v>97320</v>
      </c>
      <c r="V40" s="134"/>
      <c r="W40" s="121" t="s">
        <v>108</v>
      </c>
      <c r="X40" s="692">
        <v>97009</v>
      </c>
      <c r="Y40" s="121"/>
      <c r="Z40" s="121" t="s">
        <v>108</v>
      </c>
      <c r="AA40" s="692">
        <v>95618</v>
      </c>
      <c r="AB40" s="121"/>
      <c r="AC40" s="121" t="s">
        <v>108</v>
      </c>
      <c r="AD40" s="692">
        <v>97525</v>
      </c>
      <c r="AE40" s="121"/>
      <c r="AF40" s="121" t="s">
        <v>108</v>
      </c>
      <c r="AG40" s="692">
        <v>99289</v>
      </c>
      <c r="AH40" s="121"/>
    </row>
    <row r="41" spans="1:47" ht="13.8" thickTop="1">
      <c r="A41" s="117"/>
      <c r="B41" s="117"/>
      <c r="C41" s="117"/>
      <c r="D41" s="133"/>
      <c r="E41" s="27"/>
      <c r="F41" s="134"/>
      <c r="G41" s="121"/>
      <c r="H41" s="121"/>
      <c r="I41" s="121"/>
      <c r="J41" s="121"/>
      <c r="K41" s="121"/>
      <c r="L41" s="121"/>
      <c r="M41" s="121"/>
      <c r="N41" s="27"/>
      <c r="O41" s="121"/>
      <c r="P41" s="121"/>
      <c r="Q41" s="27"/>
      <c r="R41" s="121"/>
      <c r="S41" s="121"/>
      <c r="T41" s="133"/>
      <c r="U41" s="27"/>
      <c r="V41" s="134"/>
      <c r="W41" s="121"/>
      <c r="X41" s="121"/>
      <c r="Y41" s="121"/>
      <c r="Z41" s="121"/>
      <c r="AA41" s="121"/>
      <c r="AB41" s="121"/>
      <c r="AC41" s="121"/>
      <c r="AD41" s="121"/>
      <c r="AE41" s="121"/>
      <c r="AF41" s="121"/>
      <c r="AG41" s="121"/>
      <c r="AH41" s="121"/>
    </row>
    <row r="42" spans="1:47">
      <c r="A42" s="137" t="s">
        <v>612</v>
      </c>
      <c r="B42" s="117"/>
      <c r="C42" s="117"/>
      <c r="D42" s="133"/>
      <c r="E42" s="27"/>
      <c r="F42" s="134"/>
      <c r="G42" s="121"/>
      <c r="H42" s="121"/>
      <c r="I42" s="121"/>
      <c r="J42" s="121"/>
      <c r="K42" s="121"/>
      <c r="L42" s="121"/>
      <c r="M42" s="121"/>
      <c r="N42" s="27"/>
      <c r="O42" s="121"/>
      <c r="P42" s="121"/>
      <c r="Q42" s="27"/>
      <c r="R42" s="121"/>
      <c r="S42" s="121"/>
      <c r="T42" s="133"/>
      <c r="U42" s="27"/>
      <c r="V42" s="134"/>
      <c r="W42" s="121"/>
      <c r="X42" s="121"/>
      <c r="Y42" s="121"/>
      <c r="Z42" s="121"/>
      <c r="AA42" s="121"/>
      <c r="AB42" s="121"/>
      <c r="AC42" s="121"/>
      <c r="AD42" s="121"/>
      <c r="AE42" s="121"/>
      <c r="AF42" s="121"/>
      <c r="AG42" s="121"/>
      <c r="AH42" s="121"/>
    </row>
    <row r="43" spans="1:47">
      <c r="A43" s="137" t="s">
        <v>606</v>
      </c>
      <c r="B43" s="117"/>
      <c r="C43" s="117"/>
      <c r="D43" s="133" t="s">
        <v>108</v>
      </c>
      <c r="E43" s="27">
        <v>739</v>
      </c>
      <c r="F43" s="134"/>
      <c r="G43" s="121" t="s">
        <v>108</v>
      </c>
      <c r="H43" s="121">
        <v>714</v>
      </c>
      <c r="I43" s="121"/>
      <c r="J43" s="121" t="s">
        <v>108</v>
      </c>
      <c r="K43" s="121">
        <v>689</v>
      </c>
      <c r="L43" s="121"/>
      <c r="M43" s="121" t="s">
        <v>108</v>
      </c>
      <c r="N43" s="27">
        <v>698</v>
      </c>
      <c r="O43" s="121"/>
      <c r="P43" s="121" t="s">
        <v>108</v>
      </c>
      <c r="Q43" s="27">
        <v>670</v>
      </c>
      <c r="R43" s="121"/>
      <c r="S43" s="121"/>
      <c r="T43" s="133" t="s">
        <v>108</v>
      </c>
      <c r="U43" s="27">
        <v>8360</v>
      </c>
      <c r="V43" s="134"/>
      <c r="W43" s="121" t="s">
        <v>108</v>
      </c>
      <c r="X43" s="121">
        <v>8100</v>
      </c>
      <c r="Y43" s="121"/>
      <c r="Z43" s="121" t="s">
        <v>108</v>
      </c>
      <c r="AA43" s="121">
        <v>8661</v>
      </c>
      <c r="AB43" s="121"/>
      <c r="AC43" s="121" t="s">
        <v>108</v>
      </c>
      <c r="AD43" s="121">
        <v>9303</v>
      </c>
      <c r="AE43" s="121"/>
      <c r="AF43" s="121" t="s">
        <v>108</v>
      </c>
      <c r="AG43" s="121">
        <v>9359</v>
      </c>
      <c r="AH43" s="121"/>
    </row>
    <row r="44" spans="1:47" ht="13.8">
      <c r="A44" s="137" t="s">
        <v>607</v>
      </c>
      <c r="B44" s="117"/>
      <c r="C44" s="117"/>
      <c r="D44" s="133"/>
      <c r="E44" s="27">
        <v>1223</v>
      </c>
      <c r="F44" s="134"/>
      <c r="G44" s="121"/>
      <c r="H44" s="121">
        <v>1282</v>
      </c>
      <c r="I44" s="121"/>
      <c r="J44" s="121"/>
      <c r="K44" s="121">
        <v>1271</v>
      </c>
      <c r="L44" s="121"/>
      <c r="M44" s="121"/>
      <c r="N44" s="27">
        <v>1759</v>
      </c>
      <c r="O44" s="121"/>
      <c r="P44" s="121"/>
      <c r="Q44" s="27">
        <v>2307</v>
      </c>
      <c r="R44" s="121"/>
      <c r="S44" s="121"/>
      <c r="T44" s="133"/>
      <c r="U44" s="27">
        <v>65565</v>
      </c>
      <c r="V44" s="134"/>
      <c r="W44" s="121"/>
      <c r="X44" s="121">
        <v>65960</v>
      </c>
      <c r="Y44" s="121"/>
      <c r="Z44" s="121"/>
      <c r="AA44" s="121">
        <v>64718</v>
      </c>
      <c r="AB44" s="121"/>
      <c r="AC44" s="121"/>
      <c r="AD44" s="121">
        <v>64632</v>
      </c>
      <c r="AE44" s="121"/>
      <c r="AF44" s="121"/>
      <c r="AG44" s="121">
        <v>67143</v>
      </c>
      <c r="AH44" s="121"/>
    </row>
    <row r="45" spans="1:47">
      <c r="A45" s="137" t="s">
        <v>613</v>
      </c>
      <c r="B45" s="117"/>
      <c r="C45" s="117"/>
      <c r="D45" s="133"/>
      <c r="E45" s="509">
        <v>1.0265035677879715</v>
      </c>
      <c r="F45" s="134"/>
      <c r="G45" s="121"/>
      <c r="H45" s="509">
        <v>1.0260521042084167</v>
      </c>
      <c r="I45" s="121"/>
      <c r="J45" s="121"/>
      <c r="K45" s="509">
        <v>1.0316326530612245</v>
      </c>
      <c r="L45" s="121"/>
      <c r="M45" s="121"/>
      <c r="N45" s="509">
        <v>1.0276760276760277</v>
      </c>
      <c r="O45" s="121"/>
      <c r="P45" s="121"/>
      <c r="Q45" s="509">
        <v>1.0241854215653343</v>
      </c>
      <c r="R45" s="121"/>
      <c r="S45" s="509"/>
      <c r="T45" s="133"/>
      <c r="U45" s="509">
        <v>1.0541224213730132</v>
      </c>
      <c r="V45" s="134"/>
      <c r="W45" s="121"/>
      <c r="X45" s="509">
        <v>1.042708614636781</v>
      </c>
      <c r="Y45" s="121"/>
      <c r="Z45" s="121"/>
      <c r="AA45" s="509">
        <v>1.0372586162253505</v>
      </c>
      <c r="AB45" s="121"/>
      <c r="AC45" s="121"/>
      <c r="AD45" s="509">
        <v>1.0332589436667343</v>
      </c>
      <c r="AE45" s="121"/>
      <c r="AF45" s="121"/>
      <c r="AG45" s="509">
        <v>1.0249928106454733</v>
      </c>
      <c r="AH45" s="121"/>
      <c r="AI45" s="923"/>
      <c r="AJ45" s="923"/>
      <c r="AL45" s="923"/>
      <c r="AO45" s="923"/>
      <c r="AR45" s="923"/>
      <c r="AU45" s="923"/>
    </row>
    <row r="46" spans="1:47" ht="13.8">
      <c r="A46" s="137" t="s">
        <v>614</v>
      </c>
      <c r="B46" s="117"/>
      <c r="C46" s="117"/>
      <c r="D46" s="133" t="s">
        <v>108</v>
      </c>
      <c r="E46" s="27">
        <v>0</v>
      </c>
      <c r="F46" s="134"/>
      <c r="G46" s="121" t="s">
        <v>108</v>
      </c>
      <c r="H46" s="675">
        <v>0</v>
      </c>
      <c r="I46" s="121"/>
      <c r="J46" s="121" t="s">
        <v>108</v>
      </c>
      <c r="K46" s="27">
        <v>0</v>
      </c>
      <c r="L46" s="121"/>
      <c r="M46" s="121" t="s">
        <v>108</v>
      </c>
      <c r="N46" s="27">
        <v>0</v>
      </c>
      <c r="O46" s="121"/>
      <c r="P46" s="121" t="s">
        <v>108</v>
      </c>
      <c r="Q46" s="27">
        <v>0</v>
      </c>
      <c r="R46" s="121"/>
      <c r="S46" s="121"/>
      <c r="T46" s="133" t="s">
        <v>108</v>
      </c>
      <c r="U46" s="27">
        <v>3430</v>
      </c>
      <c r="V46" s="134"/>
      <c r="W46" s="121" t="s">
        <v>108</v>
      </c>
      <c r="X46" s="121">
        <v>3430</v>
      </c>
      <c r="Y46" s="121"/>
      <c r="Z46" s="121" t="s">
        <v>108</v>
      </c>
      <c r="AA46" s="121">
        <v>4203</v>
      </c>
      <c r="AB46" s="121"/>
      <c r="AC46" s="121" t="s">
        <v>108</v>
      </c>
      <c r="AD46" s="121">
        <v>4252</v>
      </c>
      <c r="AE46" s="121"/>
      <c r="AF46" s="121" t="s">
        <v>108</v>
      </c>
      <c r="AG46" s="121">
        <v>4329</v>
      </c>
      <c r="AH46" s="121"/>
    </row>
    <row r="47" spans="1:47">
      <c r="A47" s="137" t="s">
        <v>615</v>
      </c>
      <c r="B47" s="117"/>
      <c r="C47" s="117"/>
      <c r="D47" s="133"/>
      <c r="E47" s="27">
        <v>275</v>
      </c>
      <c r="F47" s="134"/>
      <c r="G47" s="121"/>
      <c r="H47" s="121">
        <v>597</v>
      </c>
      <c r="I47" s="121"/>
      <c r="J47" s="121"/>
      <c r="K47" s="121">
        <v>195</v>
      </c>
      <c r="L47" s="121"/>
      <c r="M47" s="121"/>
      <c r="N47" s="27">
        <v>890</v>
      </c>
      <c r="O47" s="121"/>
      <c r="P47" s="121"/>
      <c r="Q47" s="27">
        <v>424</v>
      </c>
      <c r="R47" s="121"/>
      <c r="S47" s="121"/>
      <c r="T47" s="133"/>
      <c r="U47" s="27">
        <v>1867</v>
      </c>
      <c r="V47" s="134"/>
      <c r="W47" s="121"/>
      <c r="X47" s="121">
        <v>1886</v>
      </c>
      <c r="Y47" s="121"/>
      <c r="Z47" s="121"/>
      <c r="AA47" s="121">
        <v>1291</v>
      </c>
      <c r="AB47" s="121"/>
      <c r="AC47" s="121"/>
      <c r="AD47" s="121">
        <v>3517</v>
      </c>
      <c r="AE47" s="121"/>
      <c r="AF47" s="121"/>
      <c r="AG47" s="121">
        <v>2536</v>
      </c>
      <c r="AH47" s="121"/>
    </row>
    <row r="48" spans="1:47" ht="13.8" thickBot="1">
      <c r="D48" s="144"/>
      <c r="E48" s="145"/>
      <c r="F48" s="146"/>
      <c r="G48" s="121"/>
      <c r="H48" s="121"/>
      <c r="I48" s="121"/>
      <c r="J48" s="121"/>
      <c r="K48" s="703"/>
      <c r="L48" s="703"/>
      <c r="M48" s="703"/>
      <c r="N48" s="703"/>
      <c r="O48" s="703"/>
      <c r="P48" s="703"/>
      <c r="Q48" s="703"/>
      <c r="R48" s="703"/>
      <c r="S48" s="703"/>
      <c r="T48" s="144"/>
      <c r="U48" s="145"/>
      <c r="V48" s="146"/>
      <c r="W48" s="121"/>
      <c r="X48" s="121"/>
      <c r="Y48" s="121"/>
      <c r="Z48" s="703"/>
      <c r="AA48" s="703"/>
      <c r="AB48" s="703"/>
      <c r="AC48" s="703"/>
      <c r="AD48" s="703"/>
      <c r="AE48" s="703"/>
      <c r="AF48" s="703"/>
      <c r="AG48" s="703"/>
      <c r="AH48" s="703"/>
    </row>
    <row r="49" spans="1:35" s="117" customFormat="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71"/>
    </row>
    <row r="50" spans="1:35" s="117" customFormat="1" ht="13.8">
      <c r="A50" s="704"/>
      <c r="T50" s="121"/>
      <c r="W50" s="121"/>
      <c r="Z50" s="121"/>
      <c r="AI50" s="171"/>
    </row>
    <row r="51" spans="1:35">
      <c r="D51" s="703"/>
      <c r="E51" s="703"/>
      <c r="F51" s="703"/>
      <c r="G51" s="703"/>
      <c r="H51" s="703"/>
      <c r="I51" s="703"/>
      <c r="J51" s="703"/>
      <c r="K51" s="703"/>
      <c r="L51" s="703"/>
      <c r="M51" s="703"/>
      <c r="N51" s="703"/>
      <c r="O51" s="703"/>
      <c r="P51" s="703"/>
      <c r="Q51" s="703"/>
      <c r="T51" s="703"/>
      <c r="U51" s="703"/>
      <c r="V51" s="703"/>
      <c r="W51" s="703"/>
      <c r="X51" s="703"/>
      <c r="Y51" s="703"/>
      <c r="Z51" s="703"/>
      <c r="AA51" s="703"/>
      <c r="AB51" s="703"/>
      <c r="AC51" s="703"/>
      <c r="AD51" s="703"/>
      <c r="AE51" s="703"/>
      <c r="AF51" s="703"/>
      <c r="AG51" s="703"/>
    </row>
    <row r="52" spans="1:35">
      <c r="D52" s="703"/>
      <c r="E52" s="703"/>
      <c r="F52" s="703"/>
      <c r="G52" s="703"/>
      <c r="H52" s="703"/>
      <c r="I52" s="703"/>
      <c r="J52" s="703"/>
      <c r="K52" s="703"/>
      <c r="L52" s="703"/>
      <c r="M52" s="703"/>
      <c r="N52" s="703"/>
      <c r="O52" s="703"/>
      <c r="P52" s="703"/>
      <c r="Q52" s="703"/>
      <c r="T52" s="703"/>
      <c r="U52" s="703"/>
      <c r="V52" s="703"/>
      <c r="W52" s="703"/>
      <c r="X52" s="703"/>
      <c r="Y52" s="703"/>
      <c r="Z52" s="703"/>
      <c r="AA52" s="703"/>
      <c r="AB52" s="703"/>
      <c r="AC52" s="703"/>
      <c r="AD52" s="703"/>
      <c r="AE52" s="703"/>
      <c r="AF52" s="703"/>
      <c r="AG52" s="703"/>
    </row>
    <row r="53" spans="1:35">
      <c r="D53" s="703"/>
      <c r="E53" s="703"/>
      <c r="F53" s="703"/>
      <c r="G53" s="703"/>
      <c r="H53" s="703"/>
      <c r="I53" s="703"/>
      <c r="J53" s="703"/>
      <c r="K53" s="703"/>
      <c r="L53" s="703"/>
      <c r="M53" s="703"/>
      <c r="N53" s="703"/>
      <c r="O53" s="703"/>
      <c r="P53" s="703"/>
      <c r="Q53" s="703"/>
      <c r="T53" s="703"/>
      <c r="U53" s="703"/>
      <c r="V53" s="703"/>
      <c r="W53" s="703"/>
      <c r="X53" s="703"/>
      <c r="Y53" s="703"/>
      <c r="Z53" s="703"/>
      <c r="AA53" s="703"/>
      <c r="AB53" s="703"/>
      <c r="AC53" s="703"/>
      <c r="AD53" s="703"/>
      <c r="AE53" s="703"/>
      <c r="AF53" s="703"/>
      <c r="AG53" s="703"/>
    </row>
    <row r="54" spans="1:35">
      <c r="D54" s="703"/>
      <c r="E54" s="703"/>
      <c r="F54" s="703"/>
      <c r="G54" s="703"/>
      <c r="H54" s="703"/>
      <c r="I54" s="703"/>
      <c r="J54" s="703"/>
      <c r="K54" s="703"/>
      <c r="L54" s="703"/>
      <c r="M54" s="703"/>
      <c r="N54" s="703"/>
      <c r="O54" s="703"/>
      <c r="P54" s="703"/>
      <c r="Q54" s="703"/>
      <c r="T54" s="703"/>
      <c r="U54" s="703"/>
      <c r="V54" s="703"/>
      <c r="W54" s="703"/>
      <c r="X54" s="703"/>
      <c r="Y54" s="703"/>
      <c r="Z54" s="703"/>
      <c r="AA54" s="703"/>
      <c r="AB54" s="703"/>
      <c r="AC54" s="703"/>
      <c r="AD54" s="703"/>
      <c r="AE54" s="703"/>
      <c r="AF54" s="703"/>
      <c r="AG54" s="703"/>
    </row>
    <row r="55" spans="1:35">
      <c r="D55" s="703"/>
      <c r="E55" s="703"/>
      <c r="F55" s="703"/>
      <c r="G55" s="703"/>
      <c r="H55" s="703"/>
      <c r="I55" s="703"/>
      <c r="J55" s="703"/>
      <c r="K55" s="703"/>
      <c r="L55" s="703"/>
      <c r="M55" s="703"/>
      <c r="N55" s="703"/>
      <c r="O55" s="703"/>
      <c r="P55" s="703"/>
      <c r="Q55" s="703"/>
    </row>
    <row r="56" spans="1:35">
      <c r="D56" s="703"/>
      <c r="E56" s="703"/>
      <c r="F56" s="703"/>
      <c r="G56" s="703"/>
      <c r="H56" s="703"/>
      <c r="I56" s="703"/>
      <c r="J56" s="703"/>
      <c r="K56" s="703"/>
      <c r="L56" s="703"/>
      <c r="M56" s="703"/>
      <c r="N56" s="703"/>
      <c r="O56" s="703"/>
      <c r="P56" s="703"/>
      <c r="Q56" s="703"/>
    </row>
    <row r="57" spans="1:35">
      <c r="D57" s="703"/>
      <c r="E57" s="703"/>
      <c r="F57" s="703"/>
      <c r="G57" s="703"/>
      <c r="H57" s="703"/>
      <c r="I57" s="703"/>
      <c r="J57" s="703"/>
      <c r="K57" s="703"/>
      <c r="L57" s="703"/>
      <c r="M57" s="703"/>
      <c r="N57" s="703"/>
      <c r="O57" s="703"/>
      <c r="P57" s="703"/>
      <c r="Q57" s="703"/>
    </row>
    <row r="58" spans="1:35" ht="12" customHeight="1">
      <c r="D58" s="703"/>
      <c r="E58" s="703"/>
      <c r="F58" s="703"/>
      <c r="G58" s="703"/>
      <c r="H58" s="703"/>
      <c r="I58" s="703"/>
      <c r="J58" s="703"/>
      <c r="K58" s="703"/>
      <c r="L58" s="703"/>
      <c r="M58" s="703"/>
      <c r="N58" s="703"/>
      <c r="O58" s="703"/>
      <c r="P58" s="703"/>
      <c r="Q58" s="703"/>
    </row>
    <row r="59" spans="1:35">
      <c r="D59" s="703"/>
      <c r="E59" s="703"/>
      <c r="F59" s="703"/>
      <c r="G59" s="703"/>
      <c r="H59" s="703"/>
      <c r="I59" s="703"/>
      <c r="J59" s="703"/>
      <c r="K59" s="703"/>
      <c r="L59" s="703"/>
      <c r="M59" s="703"/>
      <c r="N59" s="703"/>
      <c r="O59" s="703"/>
      <c r="P59" s="703"/>
      <c r="Q59" s="703"/>
    </row>
    <row r="60" spans="1:35">
      <c r="D60" s="703"/>
      <c r="E60" s="703"/>
      <c r="F60" s="703"/>
      <c r="G60" s="703"/>
      <c r="H60" s="703"/>
      <c r="I60" s="703"/>
      <c r="J60" s="703"/>
      <c r="K60" s="703"/>
      <c r="L60" s="703"/>
      <c r="M60" s="703"/>
      <c r="N60" s="703"/>
      <c r="O60" s="703"/>
      <c r="P60" s="703"/>
      <c r="Q60" s="703"/>
    </row>
    <row r="61" spans="1:35">
      <c r="D61" s="703"/>
      <c r="E61" s="703"/>
      <c r="F61" s="703"/>
      <c r="G61" s="703"/>
      <c r="H61" s="703"/>
      <c r="I61" s="703"/>
      <c r="J61" s="703"/>
      <c r="K61" s="703"/>
      <c r="L61" s="703"/>
      <c r="M61" s="703"/>
      <c r="N61" s="703"/>
      <c r="O61" s="703"/>
      <c r="P61" s="703"/>
      <c r="Q61" s="703"/>
    </row>
    <row r="62" spans="1:35">
      <c r="D62" s="703"/>
      <c r="E62" s="703"/>
      <c r="F62" s="703"/>
      <c r="G62" s="703"/>
      <c r="H62" s="703"/>
      <c r="I62" s="703"/>
      <c r="J62" s="703"/>
      <c r="K62" s="703"/>
      <c r="L62" s="703"/>
      <c r="M62" s="703"/>
      <c r="N62" s="703"/>
      <c r="O62" s="703"/>
      <c r="P62" s="703"/>
      <c r="Q62" s="703"/>
    </row>
    <row r="63" spans="1:35">
      <c r="D63" s="703"/>
      <c r="E63" s="703"/>
      <c r="F63" s="703"/>
      <c r="G63" s="703"/>
      <c r="H63" s="703"/>
      <c r="I63" s="703"/>
      <c r="J63" s="703"/>
      <c r="K63" s="703"/>
      <c r="L63" s="703"/>
      <c r="M63" s="703"/>
      <c r="N63" s="703"/>
      <c r="O63" s="703"/>
      <c r="P63" s="703"/>
      <c r="Q63" s="703"/>
    </row>
    <row r="64" spans="1:35">
      <c r="D64" s="703"/>
      <c r="E64" s="703"/>
      <c r="F64" s="703"/>
      <c r="G64" s="703"/>
      <c r="H64" s="703"/>
      <c r="I64" s="703"/>
      <c r="J64" s="703"/>
      <c r="K64" s="703"/>
      <c r="L64" s="703"/>
      <c r="M64" s="703"/>
      <c r="N64" s="703"/>
      <c r="O64" s="703"/>
      <c r="P64" s="703"/>
      <c r="Q64" s="703"/>
    </row>
    <row r="65" spans="4:17">
      <c r="D65" s="703"/>
      <c r="E65" s="703"/>
      <c r="F65" s="703"/>
      <c r="G65" s="703"/>
      <c r="H65" s="703"/>
      <c r="I65" s="703"/>
      <c r="J65" s="703"/>
      <c r="K65" s="703"/>
      <c r="L65" s="703"/>
      <c r="M65" s="703"/>
      <c r="N65" s="703"/>
      <c r="O65" s="703"/>
      <c r="P65" s="703"/>
      <c r="Q65" s="703"/>
    </row>
    <row r="66" spans="4:17">
      <c r="D66" s="703"/>
      <c r="E66" s="703"/>
      <c r="F66" s="703"/>
      <c r="G66" s="703"/>
      <c r="H66" s="703"/>
      <c r="I66" s="703"/>
      <c r="J66" s="703"/>
      <c r="K66" s="703"/>
      <c r="L66" s="703"/>
      <c r="M66" s="703"/>
      <c r="N66" s="703"/>
      <c r="O66" s="703"/>
      <c r="P66" s="703"/>
      <c r="Q66" s="703"/>
    </row>
    <row r="67" spans="4:17">
      <c r="D67" s="703"/>
      <c r="E67" s="703"/>
      <c r="F67" s="703"/>
      <c r="G67" s="703"/>
      <c r="H67" s="703"/>
      <c r="I67" s="703"/>
      <c r="J67" s="703"/>
      <c r="K67" s="703"/>
      <c r="L67" s="703"/>
      <c r="M67" s="703"/>
      <c r="N67" s="703"/>
      <c r="O67" s="703"/>
      <c r="P67" s="703"/>
      <c r="Q67" s="703"/>
    </row>
    <row r="68" spans="4:17">
      <c r="D68" s="703"/>
      <c r="E68" s="703"/>
      <c r="F68" s="703"/>
      <c r="G68" s="703"/>
      <c r="H68" s="703"/>
      <c r="I68" s="703"/>
      <c r="J68" s="703"/>
      <c r="K68" s="703"/>
      <c r="L68" s="703"/>
      <c r="M68" s="703"/>
      <c r="N68" s="703"/>
      <c r="O68" s="703"/>
      <c r="P68" s="703"/>
      <c r="Q68" s="703"/>
    </row>
  </sheetData>
  <mergeCells count="7">
    <mergeCell ref="D27:Q27"/>
    <mergeCell ref="T27:AG27"/>
    <mergeCell ref="A1:AH1"/>
    <mergeCell ref="A2:AH2"/>
    <mergeCell ref="A3:AH3"/>
    <mergeCell ref="D5:Q5"/>
    <mergeCell ref="T5:AG5"/>
  </mergeCells>
  <phoneticPr fontId="24" type="noConversion"/>
  <printOptions horizontalCentered="1"/>
  <pageMargins left="0.25" right="0.25" top="0.5" bottom="0.25" header="0.3" footer="0.25"/>
  <pageSetup scale="77" orientation="landscape" r:id="rId1"/>
  <headerFooter alignWithMargins="0">
    <oddFooter>&amp;R&amp;A</oddFooter>
  </headerFooter>
</worksheet>
</file>

<file path=xl/worksheets/sheet41.xml><?xml version="1.0" encoding="utf-8"?>
<worksheet xmlns="http://schemas.openxmlformats.org/spreadsheetml/2006/main" xmlns:r="http://schemas.openxmlformats.org/officeDocument/2006/relationships">
  <sheetPr>
    <pageSetUpPr fitToPage="1"/>
  </sheetPr>
  <dimension ref="A1:V473"/>
  <sheetViews>
    <sheetView zoomScale="75" zoomScaleNormal="75" workbookViewId="0">
      <selection sqref="A1:V1"/>
    </sheetView>
  </sheetViews>
  <sheetFormatPr defaultColWidth="9.109375" defaultRowHeight="10.199999999999999"/>
  <cols>
    <col min="1" max="1" width="3.33203125" style="202" customWidth="1"/>
    <col min="2" max="2" width="41" style="202" customWidth="1"/>
    <col min="3" max="3" width="1.88671875" style="202" customWidth="1"/>
    <col min="4" max="4" width="11.5546875" style="202" customWidth="1"/>
    <col min="5" max="5" width="2.44140625" style="202" customWidth="1"/>
    <col min="6" max="6" width="11.5546875" style="202" customWidth="1"/>
    <col min="7" max="7" width="2.44140625" style="202" customWidth="1"/>
    <col min="8" max="8" width="11.5546875" style="202" customWidth="1"/>
    <col min="9" max="9" width="2.44140625" style="2" customWidth="1"/>
    <col min="10" max="10" width="1.88671875" style="2" customWidth="1"/>
    <col min="11" max="11" width="11.5546875" style="2" customWidth="1"/>
    <col min="12" max="12" width="2.44140625" style="202" customWidth="1"/>
    <col min="13" max="13" width="11.5546875" style="202" customWidth="1"/>
    <col min="14" max="14" width="2.44140625" style="202" customWidth="1"/>
    <col min="15" max="15" width="11.5546875" style="202" customWidth="1"/>
    <col min="16" max="16" width="2.5546875" style="202" customWidth="1"/>
    <col min="17" max="17" width="1.88671875" style="202" customWidth="1"/>
    <col min="18" max="18" width="11.5546875" style="202" customWidth="1"/>
    <col min="19" max="19" width="2.44140625" style="202" customWidth="1"/>
    <col min="20" max="20" width="11.5546875" style="202" customWidth="1"/>
    <col min="21" max="21" width="2.44140625" style="202" customWidth="1"/>
    <col min="22" max="22" width="11.5546875" style="202" customWidth="1"/>
    <col min="23" max="16384" width="9.109375" style="242"/>
  </cols>
  <sheetData>
    <row r="1" spans="1:22" ht="13.2">
      <c r="A1" s="1009" t="s">
        <v>96</v>
      </c>
      <c r="B1" s="1009"/>
      <c r="C1" s="1009"/>
      <c r="D1" s="1009"/>
      <c r="E1" s="1009"/>
      <c r="F1" s="1009"/>
      <c r="G1" s="1009"/>
      <c r="H1" s="1009"/>
      <c r="I1" s="1009"/>
      <c r="J1" s="1009"/>
      <c r="K1" s="1009"/>
      <c r="L1" s="1009"/>
      <c r="M1" s="1009"/>
      <c r="N1" s="1009"/>
      <c r="O1" s="1009"/>
      <c r="P1" s="1009"/>
      <c r="Q1" s="1009"/>
      <c r="R1" s="1009"/>
      <c r="S1" s="1009"/>
      <c r="T1" s="1009"/>
      <c r="U1" s="1009"/>
      <c r="V1" s="1009"/>
    </row>
    <row r="2" spans="1:22" ht="13.2">
      <c r="A2" s="1010" t="s">
        <v>619</v>
      </c>
      <c r="B2" s="1010"/>
      <c r="C2" s="1010"/>
      <c r="D2" s="1010"/>
      <c r="E2" s="1010"/>
      <c r="F2" s="1010"/>
      <c r="G2" s="1010"/>
      <c r="H2" s="1010"/>
      <c r="I2" s="1010"/>
      <c r="J2" s="1010"/>
      <c r="K2" s="1010"/>
      <c r="L2" s="1010"/>
      <c r="M2" s="1010"/>
      <c r="N2" s="1010"/>
      <c r="O2" s="1010"/>
      <c r="P2" s="1010"/>
      <c r="Q2" s="1010"/>
      <c r="R2" s="1010"/>
      <c r="S2" s="1010"/>
      <c r="T2" s="1010"/>
      <c r="U2" s="1010"/>
      <c r="V2" s="1010"/>
    </row>
    <row r="3" spans="1:22" ht="13.2">
      <c r="A3" s="1010" t="s">
        <v>800</v>
      </c>
      <c r="B3" s="1010"/>
      <c r="C3" s="1010"/>
      <c r="D3" s="1010"/>
      <c r="E3" s="1010"/>
      <c r="F3" s="1010"/>
      <c r="G3" s="1010"/>
      <c r="H3" s="1010"/>
      <c r="I3" s="1010"/>
      <c r="J3" s="1010"/>
      <c r="K3" s="1010"/>
      <c r="L3" s="1010"/>
      <c r="M3" s="1010"/>
      <c r="N3" s="1010"/>
      <c r="O3" s="1010"/>
      <c r="P3" s="1010"/>
      <c r="Q3" s="1010"/>
      <c r="R3" s="1010"/>
      <c r="S3" s="1010"/>
      <c r="T3" s="1010"/>
      <c r="U3" s="1010"/>
      <c r="V3" s="1010"/>
    </row>
    <row r="4" spans="1:22" s="206" customFormat="1" ht="12">
      <c r="A4" s="705"/>
      <c r="B4" s="705"/>
      <c r="C4" s="705"/>
      <c r="D4" s="705"/>
      <c r="E4" s="705"/>
      <c r="F4" s="705"/>
      <c r="G4" s="705"/>
      <c r="H4" s="705"/>
      <c r="I4" s="706"/>
      <c r="J4" s="706"/>
      <c r="K4" s="706"/>
      <c r="L4" s="705"/>
      <c r="M4" s="705"/>
      <c r="N4" s="705"/>
      <c r="O4" s="705"/>
      <c r="P4" s="705"/>
      <c r="Q4" s="705"/>
      <c r="R4" s="705"/>
      <c r="S4" s="705"/>
      <c r="T4" s="705"/>
      <c r="U4" s="705"/>
      <c r="V4" s="705"/>
    </row>
    <row r="5" spans="1:22" s="206" customFormat="1" ht="11.4">
      <c r="A5" s="221"/>
      <c r="B5" s="368"/>
      <c r="C5" s="368"/>
      <c r="D5" s="1058" t="s">
        <v>1142</v>
      </c>
      <c r="E5" s="1058"/>
      <c r="F5" s="1058"/>
      <c r="G5" s="1058"/>
      <c r="H5" s="1058"/>
      <c r="I5" s="492"/>
      <c r="J5" s="492"/>
      <c r="K5" s="1058" t="s">
        <v>5</v>
      </c>
      <c r="L5" s="1058"/>
      <c r="M5" s="1058"/>
      <c r="N5" s="1058"/>
      <c r="O5" s="1058"/>
      <c r="P5" s="370"/>
      <c r="Q5" s="370"/>
      <c r="R5" s="1058" t="s">
        <v>397</v>
      </c>
      <c r="S5" s="1058"/>
      <c r="T5" s="1058"/>
      <c r="U5" s="1058"/>
      <c r="V5" s="1058"/>
    </row>
    <row r="6" spans="1:22" s="206" customFormat="1" ht="11.4">
      <c r="B6" s="371"/>
      <c r="C6" s="371"/>
      <c r="D6" s="371"/>
      <c r="E6" s="372"/>
      <c r="F6" s="1054"/>
      <c r="G6" s="1054"/>
      <c r="H6" s="1054"/>
      <c r="I6" s="374"/>
      <c r="J6" s="374"/>
      <c r="K6" s="371"/>
      <c r="L6" s="372"/>
      <c r="M6" s="1054"/>
      <c r="N6" s="1054"/>
      <c r="O6" s="1054"/>
      <c r="P6" s="372"/>
      <c r="Q6" s="372"/>
      <c r="R6" s="371"/>
      <c r="S6" s="372"/>
      <c r="T6" s="1054"/>
      <c r="U6" s="1054"/>
      <c r="V6" s="1054"/>
    </row>
    <row r="7" spans="1:22" s="206" customFormat="1" ht="11.4">
      <c r="B7" s="371"/>
      <c r="C7" s="372"/>
      <c r="D7" s="277" t="s">
        <v>620</v>
      </c>
      <c r="E7" s="372"/>
      <c r="F7" s="372"/>
      <c r="H7" s="381" t="s">
        <v>621</v>
      </c>
      <c r="I7" s="10"/>
      <c r="J7" s="372"/>
      <c r="K7" s="277" t="s">
        <v>620</v>
      </c>
      <c r="L7" s="372"/>
      <c r="M7" s="372"/>
      <c r="O7" s="381" t="s">
        <v>621</v>
      </c>
      <c r="P7" s="381"/>
      <c r="Q7" s="372"/>
      <c r="R7" s="277" t="s">
        <v>620</v>
      </c>
      <c r="S7" s="372"/>
      <c r="T7" s="372"/>
      <c r="V7" s="381" t="s">
        <v>621</v>
      </c>
    </row>
    <row r="8" spans="1:22" s="206" customFormat="1" ht="11.4">
      <c r="B8" s="371"/>
      <c r="C8" s="372"/>
      <c r="D8" s="277" t="s">
        <v>266</v>
      </c>
      <c r="E8" s="372"/>
      <c r="F8" s="208" t="s">
        <v>622</v>
      </c>
      <c r="H8" s="381" t="s">
        <v>623</v>
      </c>
      <c r="I8" s="10"/>
      <c r="J8" s="372"/>
      <c r="K8" s="277" t="s">
        <v>266</v>
      </c>
      <c r="L8" s="372"/>
      <c r="M8" s="208" t="s">
        <v>622</v>
      </c>
      <c r="O8" s="381" t="s">
        <v>623</v>
      </c>
      <c r="P8" s="381"/>
      <c r="Q8" s="372"/>
      <c r="R8" s="277" t="s">
        <v>266</v>
      </c>
      <c r="S8" s="372"/>
      <c r="T8" s="208" t="s">
        <v>622</v>
      </c>
      <c r="V8" s="381" t="s">
        <v>623</v>
      </c>
    </row>
    <row r="9" spans="1:22" s="206" customFormat="1" ht="13.2">
      <c r="B9" s="371"/>
      <c r="C9" s="372"/>
      <c r="D9" s="205" t="s">
        <v>272</v>
      </c>
      <c r="E9" s="372"/>
      <c r="F9" s="205" t="s">
        <v>624</v>
      </c>
      <c r="H9" s="205" t="s">
        <v>625</v>
      </c>
      <c r="I9" s="6"/>
      <c r="J9" s="372"/>
      <c r="K9" s="205" t="s">
        <v>272</v>
      </c>
      <c r="L9" s="372"/>
      <c r="M9" s="205" t="s">
        <v>624</v>
      </c>
      <c r="O9" s="205" t="s">
        <v>625</v>
      </c>
      <c r="P9" s="208"/>
      <c r="Q9" s="372"/>
      <c r="R9" s="205" t="s">
        <v>272</v>
      </c>
      <c r="S9" s="372"/>
      <c r="T9" s="205" t="s">
        <v>624</v>
      </c>
      <c r="V9" s="205" t="s">
        <v>625</v>
      </c>
    </row>
    <row r="10" spans="1:22" s="206" customFormat="1" ht="11.4">
      <c r="A10" s="377" t="s">
        <v>626</v>
      </c>
      <c r="B10" s="344"/>
      <c r="C10" s="11"/>
      <c r="D10" s="11"/>
      <c r="E10" s="11"/>
      <c r="F10" s="11"/>
      <c r="G10" s="11"/>
      <c r="H10" s="11"/>
      <c r="I10" s="11"/>
      <c r="K10" s="11"/>
      <c r="L10" s="11"/>
      <c r="M10" s="11"/>
      <c r="N10" s="11"/>
      <c r="O10" s="11"/>
      <c r="P10" s="11"/>
      <c r="R10" s="11"/>
      <c r="S10" s="11"/>
      <c r="T10" s="11"/>
      <c r="U10" s="11"/>
      <c r="V10" s="11"/>
    </row>
    <row r="11" spans="1:22" s="206" customFormat="1" ht="11.4">
      <c r="A11" s="376"/>
      <c r="B11" s="306" t="s">
        <v>627</v>
      </c>
      <c r="C11" s="256" t="s">
        <v>108</v>
      </c>
      <c r="D11" s="176">
        <v>374</v>
      </c>
      <c r="E11" s="256" t="s">
        <v>108</v>
      </c>
      <c r="F11" s="176">
        <v>5246</v>
      </c>
      <c r="G11" s="11"/>
      <c r="H11" s="707">
        <v>107.67651888341544</v>
      </c>
      <c r="I11" s="707"/>
      <c r="J11" s="256" t="s">
        <v>108</v>
      </c>
      <c r="K11" s="176">
        <v>282</v>
      </c>
      <c r="L11" s="256" t="s">
        <v>108</v>
      </c>
      <c r="M11" s="176">
        <v>5541</v>
      </c>
      <c r="N11" s="11"/>
      <c r="O11" s="707">
        <v>105.36223616657159</v>
      </c>
      <c r="P11" s="707"/>
      <c r="Q11" s="378" t="s">
        <v>108</v>
      </c>
      <c r="R11" s="176">
        <v>349</v>
      </c>
      <c r="S11" s="256" t="s">
        <v>108</v>
      </c>
      <c r="T11" s="176">
        <v>6315</v>
      </c>
      <c r="U11" s="11"/>
      <c r="V11" s="707">
        <v>105.84981562185719</v>
      </c>
    </row>
    <row r="12" spans="1:22" s="206" customFormat="1" ht="11.4">
      <c r="A12" s="376"/>
      <c r="B12" s="306" t="s">
        <v>628</v>
      </c>
      <c r="C12" s="11"/>
      <c r="D12" s="176">
        <v>805</v>
      </c>
      <c r="E12" s="11"/>
      <c r="F12" s="176">
        <v>13892</v>
      </c>
      <c r="G12" s="11"/>
      <c r="H12" s="707">
        <v>106.15114235500879</v>
      </c>
      <c r="I12" s="707"/>
      <c r="J12" s="11"/>
      <c r="K12" s="176">
        <v>644</v>
      </c>
      <c r="L12" s="11"/>
      <c r="M12" s="176">
        <v>13614</v>
      </c>
      <c r="N12" s="11"/>
      <c r="O12" s="707">
        <v>104.96530454895914</v>
      </c>
      <c r="P12" s="707"/>
      <c r="R12" s="176">
        <v>607</v>
      </c>
      <c r="S12" s="11"/>
      <c r="T12" s="176">
        <v>14241</v>
      </c>
      <c r="U12" s="11"/>
      <c r="V12" s="707">
        <v>104.45210503153879</v>
      </c>
    </row>
    <row r="13" spans="1:22" s="206" customFormat="1" ht="11.4">
      <c r="A13" s="376"/>
      <c r="B13" s="306" t="s">
        <v>629</v>
      </c>
      <c r="C13" s="11"/>
      <c r="D13" s="176">
        <v>3025</v>
      </c>
      <c r="E13" s="11"/>
      <c r="F13" s="176">
        <v>47254</v>
      </c>
      <c r="G13" s="11"/>
      <c r="H13" s="707">
        <v>106.83940401094304</v>
      </c>
      <c r="I13" s="707"/>
      <c r="J13" s="11"/>
      <c r="K13" s="176">
        <v>2512</v>
      </c>
      <c r="L13" s="11"/>
      <c r="M13" s="176">
        <v>46331</v>
      </c>
      <c r="N13" s="11"/>
      <c r="O13" s="707">
        <v>105.73267304137474</v>
      </c>
      <c r="P13" s="707"/>
      <c r="R13" s="176">
        <v>2364</v>
      </c>
      <c r="S13" s="11"/>
      <c r="T13" s="176">
        <v>43581</v>
      </c>
      <c r="U13" s="11"/>
      <c r="V13" s="707">
        <v>105.73549748890021</v>
      </c>
    </row>
    <row r="14" spans="1:22" s="206" customFormat="1" ht="11.4">
      <c r="A14" s="376"/>
      <c r="B14" s="306" t="s">
        <v>630</v>
      </c>
      <c r="C14" s="11"/>
      <c r="D14" s="176">
        <v>227</v>
      </c>
      <c r="E14" s="11"/>
      <c r="F14" s="176">
        <v>2169</v>
      </c>
      <c r="G14" s="11"/>
      <c r="H14" s="707">
        <v>111.68898043254377</v>
      </c>
      <c r="I14" s="707"/>
      <c r="J14" s="11"/>
      <c r="K14" s="176">
        <v>195</v>
      </c>
      <c r="L14" s="11"/>
      <c r="M14" s="176">
        <v>1989</v>
      </c>
      <c r="N14" s="11"/>
      <c r="O14" s="707">
        <v>110.86956521739131</v>
      </c>
      <c r="P14" s="707"/>
      <c r="R14" s="176">
        <v>215</v>
      </c>
      <c r="S14" s="11"/>
      <c r="T14" s="176">
        <v>2081</v>
      </c>
      <c r="U14" s="11"/>
      <c r="V14" s="707">
        <v>111.52197213290461</v>
      </c>
    </row>
    <row r="15" spans="1:22" s="206" customFormat="1" ht="11.4">
      <c r="A15" s="376"/>
      <c r="B15" s="306" t="s">
        <v>631</v>
      </c>
      <c r="C15" s="11"/>
      <c r="D15" s="176">
        <v>-212</v>
      </c>
      <c r="E15" s="11"/>
      <c r="F15" s="176">
        <v>3675</v>
      </c>
      <c r="G15" s="11"/>
      <c r="H15" s="707">
        <v>94.545922305119632</v>
      </c>
      <c r="I15" s="707"/>
      <c r="J15" s="11"/>
      <c r="K15" s="176">
        <v>-231</v>
      </c>
      <c r="L15" s="11"/>
      <c r="M15" s="176">
        <v>3728</v>
      </c>
      <c r="N15" s="11"/>
      <c r="O15" s="707">
        <v>94.165193230613795</v>
      </c>
      <c r="P15" s="707"/>
      <c r="R15" s="176">
        <v>-411</v>
      </c>
      <c r="S15" s="11"/>
      <c r="T15" s="176">
        <v>4121</v>
      </c>
      <c r="U15" s="11"/>
      <c r="V15" s="707">
        <v>90.931156222418352</v>
      </c>
    </row>
    <row r="16" spans="1:22" s="206" customFormat="1" ht="11.4">
      <c r="A16" s="376"/>
      <c r="B16" s="306" t="s">
        <v>632</v>
      </c>
      <c r="C16" s="11"/>
      <c r="D16" s="176">
        <v>-115</v>
      </c>
      <c r="E16" s="11"/>
      <c r="F16" s="176">
        <v>1716</v>
      </c>
      <c r="G16" s="11"/>
      <c r="H16" s="707">
        <v>93.719279082468603</v>
      </c>
      <c r="I16" s="707"/>
      <c r="J16" s="11"/>
      <c r="K16" s="176">
        <v>-111</v>
      </c>
      <c r="L16" s="11"/>
      <c r="M16" s="176">
        <v>1753</v>
      </c>
      <c r="N16" s="11"/>
      <c r="O16" s="707">
        <v>94.045064377682408</v>
      </c>
      <c r="P16" s="707"/>
      <c r="R16" s="176">
        <v>-178</v>
      </c>
      <c r="S16" s="11"/>
      <c r="T16" s="176">
        <v>1784</v>
      </c>
      <c r="U16" s="11"/>
      <c r="V16" s="707">
        <v>90.927624872579003</v>
      </c>
    </row>
    <row r="17" spans="1:22" s="206" customFormat="1" ht="11.4">
      <c r="A17" s="376"/>
      <c r="B17" s="306" t="s">
        <v>633</v>
      </c>
      <c r="C17" s="11"/>
      <c r="D17" s="176">
        <v>-105</v>
      </c>
      <c r="E17" s="11"/>
      <c r="F17" s="176">
        <v>3949</v>
      </c>
      <c r="G17" s="11"/>
      <c r="H17" s="707">
        <v>97.409965466206216</v>
      </c>
      <c r="I17" s="707"/>
      <c r="J17" s="11"/>
      <c r="K17" s="176">
        <v>-130</v>
      </c>
      <c r="L17" s="11"/>
      <c r="M17" s="176">
        <v>4242</v>
      </c>
      <c r="N17" s="11"/>
      <c r="O17" s="707">
        <v>97.026532479414456</v>
      </c>
      <c r="P17" s="707"/>
      <c r="R17" s="176">
        <v>-214</v>
      </c>
      <c r="S17" s="11"/>
      <c r="T17" s="176">
        <v>3966</v>
      </c>
      <c r="U17" s="11"/>
      <c r="V17" s="707">
        <v>94.880382775119614</v>
      </c>
    </row>
    <row r="18" spans="1:22" s="206" customFormat="1" ht="12">
      <c r="A18" s="375"/>
      <c r="B18" s="348" t="s">
        <v>634</v>
      </c>
      <c r="C18" s="11"/>
      <c r="D18" s="113">
        <v>2</v>
      </c>
      <c r="E18" s="11"/>
      <c r="F18" s="113">
        <v>25</v>
      </c>
      <c r="G18" s="11"/>
      <c r="H18" s="707">
        <v>108.69565217391305</v>
      </c>
      <c r="I18" s="707"/>
      <c r="J18" s="11"/>
      <c r="K18" s="113">
        <v>2</v>
      </c>
      <c r="L18" s="11"/>
      <c r="M18" s="113">
        <v>25</v>
      </c>
      <c r="N18" s="11"/>
      <c r="O18" s="707">
        <v>108.69565217391305</v>
      </c>
      <c r="P18" s="707"/>
      <c r="R18" s="113">
        <v>2</v>
      </c>
      <c r="S18" s="11"/>
      <c r="T18" s="113">
        <v>24</v>
      </c>
      <c r="U18" s="11"/>
      <c r="V18" s="707">
        <v>109.09090909090909</v>
      </c>
    </row>
    <row r="19" spans="1:22" s="206" customFormat="1" ht="11.4">
      <c r="A19" s="376"/>
      <c r="B19" s="306" t="s">
        <v>635</v>
      </c>
      <c r="C19" s="11"/>
      <c r="D19" s="176">
        <v>4001</v>
      </c>
      <c r="E19" s="11"/>
      <c r="F19" s="176">
        <v>77926</v>
      </c>
      <c r="G19" s="11"/>
      <c r="H19" s="707">
        <v>105.41224213730132</v>
      </c>
      <c r="I19" s="707"/>
      <c r="J19" s="11"/>
      <c r="K19" s="176">
        <v>3163</v>
      </c>
      <c r="L19" s="11"/>
      <c r="M19" s="176">
        <v>77223</v>
      </c>
      <c r="N19" s="11"/>
      <c r="O19" s="707">
        <v>104.2708614636781</v>
      </c>
      <c r="P19" s="707"/>
      <c r="R19" s="176">
        <v>2734</v>
      </c>
      <c r="S19" s="11"/>
      <c r="T19" s="176">
        <v>76113</v>
      </c>
      <c r="U19" s="11"/>
      <c r="V19" s="707">
        <v>103.72586162253506</v>
      </c>
    </row>
    <row r="20" spans="1:22" s="206" customFormat="1" ht="11.4">
      <c r="A20" s="376"/>
      <c r="B20" s="306"/>
      <c r="C20" s="11"/>
      <c r="D20" s="176"/>
      <c r="E20" s="11"/>
      <c r="F20" s="176"/>
      <c r="G20" s="11"/>
      <c r="H20" s="707"/>
      <c r="I20" s="707"/>
      <c r="J20" s="11"/>
      <c r="K20" s="176"/>
      <c r="L20" s="11"/>
      <c r="M20" s="176"/>
      <c r="N20" s="11"/>
      <c r="O20" s="707"/>
      <c r="P20" s="707"/>
      <c r="Q20" s="11"/>
      <c r="R20" s="176"/>
      <c r="S20" s="11"/>
      <c r="T20" s="176"/>
      <c r="U20" s="11"/>
      <c r="V20" s="707"/>
    </row>
    <row r="21" spans="1:22" s="206" customFormat="1" ht="11.4">
      <c r="A21" s="376" t="s">
        <v>636</v>
      </c>
      <c r="B21" s="306"/>
      <c r="C21" s="176"/>
      <c r="D21" s="176">
        <v>251</v>
      </c>
      <c r="E21" s="176"/>
      <c r="F21" s="176">
        <v>3681</v>
      </c>
      <c r="G21" s="11"/>
      <c r="H21" s="707">
        <v>107.31778425655976</v>
      </c>
      <c r="I21" s="707"/>
      <c r="J21" s="176"/>
      <c r="K21" s="176">
        <v>417</v>
      </c>
      <c r="L21" s="176"/>
      <c r="M21" s="176">
        <v>3847</v>
      </c>
      <c r="N21" s="11"/>
      <c r="O21" s="707">
        <v>112.15743440233236</v>
      </c>
      <c r="P21" s="707"/>
      <c r="Q21" s="176"/>
      <c r="R21" s="176">
        <v>160</v>
      </c>
      <c r="S21" s="176"/>
      <c r="T21" s="176">
        <v>4363</v>
      </c>
      <c r="U21" s="11"/>
      <c r="V21" s="707">
        <v>103.80680466333571</v>
      </c>
    </row>
    <row r="22" spans="1:22" s="206" customFormat="1" ht="11.4">
      <c r="A22" s="376" t="s">
        <v>637</v>
      </c>
      <c r="B22" s="306"/>
      <c r="C22" s="176"/>
      <c r="D22" s="176">
        <v>0</v>
      </c>
      <c r="E22" s="176"/>
      <c r="F22" s="176">
        <v>1867</v>
      </c>
      <c r="G22" s="11"/>
      <c r="H22" s="707">
        <v>100</v>
      </c>
      <c r="I22" s="707"/>
      <c r="J22" s="176"/>
      <c r="K22" s="176">
        <v>0</v>
      </c>
      <c r="L22" s="176"/>
      <c r="M22" s="176">
        <v>1886</v>
      </c>
      <c r="N22" s="11"/>
      <c r="O22" s="707">
        <v>100</v>
      </c>
      <c r="P22" s="707"/>
      <c r="Q22" s="176"/>
      <c r="R22" s="176">
        <v>0</v>
      </c>
      <c r="S22" s="176"/>
      <c r="T22" s="176">
        <v>1291</v>
      </c>
      <c r="U22" s="11"/>
      <c r="V22" s="707">
        <v>100</v>
      </c>
    </row>
    <row r="23" spans="1:22" s="206" customFormat="1" ht="11.4">
      <c r="A23" s="376" t="s">
        <v>638</v>
      </c>
      <c r="B23" s="306"/>
      <c r="C23" s="11"/>
      <c r="D23" s="176">
        <v>-16</v>
      </c>
      <c r="E23" s="11"/>
      <c r="F23" s="176">
        <v>187</v>
      </c>
      <c r="G23" s="11"/>
      <c r="H23" s="707">
        <v>92.118226600985224</v>
      </c>
      <c r="I23" s="707"/>
      <c r="J23" s="11"/>
      <c r="K23" s="176">
        <v>-21</v>
      </c>
      <c r="L23" s="11"/>
      <c r="M23" s="176">
        <v>273</v>
      </c>
      <c r="N23" s="11"/>
      <c r="O23" s="707">
        <v>92.857142857142861</v>
      </c>
      <c r="P23" s="707"/>
      <c r="Q23" s="11"/>
      <c r="R23" s="176">
        <v>-17</v>
      </c>
      <c r="S23" s="11"/>
      <c r="T23" s="176">
        <v>168</v>
      </c>
      <c r="U23" s="11"/>
      <c r="V23" s="707">
        <v>90.810810810810807</v>
      </c>
    </row>
    <row r="24" spans="1:22" s="206" customFormat="1" ht="13.2">
      <c r="A24" s="376" t="s">
        <v>639</v>
      </c>
      <c r="B24" s="306"/>
      <c r="C24" s="176"/>
      <c r="D24" s="176">
        <v>4</v>
      </c>
      <c r="E24" s="176"/>
      <c r="F24" s="708" t="s">
        <v>429</v>
      </c>
      <c r="G24" s="11"/>
      <c r="H24" s="708" t="s">
        <v>429</v>
      </c>
      <c r="I24" s="707"/>
      <c r="J24" s="176"/>
      <c r="K24" s="176">
        <v>1</v>
      </c>
      <c r="L24" s="176"/>
      <c r="M24" s="708" t="s">
        <v>429</v>
      </c>
      <c r="N24" s="11"/>
      <c r="O24" s="708" t="s">
        <v>429</v>
      </c>
      <c r="P24" s="707"/>
      <c r="Q24" s="176"/>
      <c r="R24" s="176">
        <v>2</v>
      </c>
      <c r="S24" s="176"/>
      <c r="T24" s="708" t="s">
        <v>429</v>
      </c>
      <c r="U24" s="11"/>
      <c r="V24" s="708" t="s">
        <v>429</v>
      </c>
    </row>
    <row r="25" spans="1:22" s="206" customFormat="1" ht="12" thickBot="1">
      <c r="A25" s="709" t="s">
        <v>640</v>
      </c>
      <c r="B25" s="306"/>
      <c r="C25" s="256" t="s">
        <v>108</v>
      </c>
      <c r="D25" s="245">
        <v>4240</v>
      </c>
      <c r="E25" s="256" t="s">
        <v>108</v>
      </c>
      <c r="F25" s="196">
        <v>83661</v>
      </c>
      <c r="G25" s="11"/>
      <c r="H25" s="707">
        <v>105.33863839538661</v>
      </c>
      <c r="I25" s="707"/>
      <c r="J25" s="256" t="s">
        <v>108</v>
      </c>
      <c r="K25" s="245">
        <v>3560</v>
      </c>
      <c r="L25" s="256" t="s">
        <v>108</v>
      </c>
      <c r="M25" s="196">
        <v>83229</v>
      </c>
      <c r="N25" s="11"/>
      <c r="O25" s="707">
        <v>104.46848837063349</v>
      </c>
      <c r="P25" s="707"/>
      <c r="Q25" s="256" t="s">
        <v>108</v>
      </c>
      <c r="R25" s="245">
        <v>2879</v>
      </c>
      <c r="S25" s="256" t="s">
        <v>108</v>
      </c>
      <c r="T25" s="196">
        <v>81935</v>
      </c>
      <c r="U25" s="11"/>
      <c r="V25" s="707">
        <v>103.64172232341632</v>
      </c>
    </row>
    <row r="26" spans="1:22" s="206" customFormat="1" ht="6" customHeight="1" thickTop="1">
      <c r="A26" s="376"/>
      <c r="B26" s="306"/>
      <c r="C26" s="306"/>
      <c r="D26" s="306"/>
      <c r="E26" s="256"/>
      <c r="F26" s="176"/>
      <c r="G26" s="11"/>
      <c r="H26" s="707"/>
      <c r="I26" s="707"/>
      <c r="J26" s="707"/>
      <c r="K26" s="306"/>
      <c r="L26" s="256"/>
      <c r="M26" s="176"/>
      <c r="N26" s="11"/>
      <c r="O26" s="707"/>
      <c r="P26" s="707"/>
      <c r="Q26" s="707"/>
      <c r="R26" s="306"/>
      <c r="S26" s="256"/>
      <c r="T26" s="176"/>
      <c r="U26" s="11"/>
      <c r="V26" s="707"/>
    </row>
    <row r="27" spans="1:22" s="206" customFormat="1" ht="11.4">
      <c r="A27" s="709" t="s">
        <v>641</v>
      </c>
      <c r="B27" s="306"/>
      <c r="C27" s="306"/>
      <c r="D27" s="306"/>
      <c r="E27" s="256"/>
      <c r="F27" s="176"/>
      <c r="G27" s="11"/>
      <c r="H27" s="707"/>
      <c r="I27" s="707"/>
      <c r="J27" s="707"/>
      <c r="K27" s="306"/>
      <c r="L27" s="256"/>
      <c r="M27" s="176"/>
      <c r="N27" s="11"/>
      <c r="O27" s="707"/>
      <c r="P27" s="707"/>
      <c r="Q27" s="707"/>
      <c r="R27" s="306"/>
      <c r="S27" s="256"/>
      <c r="T27" s="176"/>
      <c r="U27" s="11"/>
      <c r="V27" s="707"/>
    </row>
    <row r="28" spans="1:22" s="206" customFormat="1" ht="13.2">
      <c r="A28" s="709" t="s">
        <v>642</v>
      </c>
      <c r="B28" s="306"/>
      <c r="C28" s="306"/>
      <c r="D28" s="80">
        <v>-700</v>
      </c>
      <c r="E28" s="710"/>
      <c r="F28" s="176"/>
      <c r="G28" s="23"/>
      <c r="H28" s="711"/>
      <c r="I28" s="711"/>
      <c r="J28" s="711"/>
      <c r="K28" s="80">
        <v>-443</v>
      </c>
      <c r="L28" s="710"/>
      <c r="M28" s="176"/>
      <c r="N28" s="23"/>
      <c r="O28" s="711"/>
      <c r="P28" s="711"/>
      <c r="Q28" s="711"/>
      <c r="R28" s="80">
        <v>-594</v>
      </c>
      <c r="S28" s="710"/>
      <c r="T28" s="176"/>
      <c r="U28" s="23"/>
      <c r="V28" s="711"/>
    </row>
    <row r="29" spans="1:22" s="206" customFormat="1" ht="13.2">
      <c r="A29" s="709" t="s">
        <v>643</v>
      </c>
      <c r="B29" s="306"/>
      <c r="C29" s="306"/>
      <c r="D29" s="712">
        <v>-352</v>
      </c>
      <c r="E29" s="710"/>
      <c r="F29" s="176"/>
      <c r="G29" s="23"/>
      <c r="H29" s="711"/>
      <c r="I29" s="711"/>
      <c r="J29" s="711"/>
      <c r="K29" s="712">
        <v>-230</v>
      </c>
      <c r="L29" s="710"/>
      <c r="M29" s="176"/>
      <c r="N29" s="23"/>
      <c r="O29" s="711"/>
      <c r="P29" s="711"/>
      <c r="Q29" s="711"/>
      <c r="R29" s="712">
        <v>-124</v>
      </c>
      <c r="S29" s="710"/>
      <c r="T29" s="176"/>
      <c r="U29" s="23"/>
      <c r="V29" s="711"/>
    </row>
    <row r="30" spans="1:22" s="206" customFormat="1" ht="11.4">
      <c r="A30" s="709" t="s">
        <v>644</v>
      </c>
      <c r="B30" s="306"/>
      <c r="C30" s="306"/>
      <c r="D30" s="80">
        <v>-1052</v>
      </c>
      <c r="E30" s="710"/>
      <c r="F30" s="176"/>
      <c r="G30" s="23"/>
      <c r="H30" s="711"/>
      <c r="I30" s="711"/>
      <c r="J30" s="711"/>
      <c r="K30" s="80">
        <v>-673</v>
      </c>
      <c r="L30" s="710"/>
      <c r="M30" s="176"/>
      <c r="N30" s="23"/>
      <c r="O30" s="711"/>
      <c r="P30" s="711"/>
      <c r="Q30" s="711"/>
      <c r="R30" s="80">
        <v>-718</v>
      </c>
      <c r="S30" s="710"/>
      <c r="T30" s="176"/>
      <c r="U30" s="23"/>
      <c r="V30" s="711"/>
    </row>
    <row r="31" spans="1:22" s="206" customFormat="1" ht="11.4">
      <c r="A31" s="709" t="s">
        <v>645</v>
      </c>
      <c r="B31" s="306"/>
      <c r="C31" s="306"/>
      <c r="D31" s="712">
        <v>-1118</v>
      </c>
      <c r="E31" s="710"/>
      <c r="F31" s="176"/>
      <c r="G31" s="23"/>
      <c r="H31" s="711"/>
      <c r="I31" s="711"/>
      <c r="J31" s="711"/>
      <c r="K31" s="712">
        <v>-1013</v>
      </c>
      <c r="L31" s="710"/>
      <c r="M31" s="176"/>
      <c r="N31" s="23"/>
      <c r="O31" s="711"/>
      <c r="P31" s="711"/>
      <c r="Q31" s="711"/>
      <c r="R31" s="712">
        <v>-761</v>
      </c>
      <c r="S31" s="710"/>
      <c r="T31" s="176"/>
      <c r="U31" s="23"/>
      <c r="V31" s="711"/>
    </row>
    <row r="32" spans="1:22" s="206" customFormat="1" ht="12" thickBot="1">
      <c r="A32" s="709" t="s">
        <v>646</v>
      </c>
      <c r="B32" s="306"/>
      <c r="C32" s="256" t="s">
        <v>108</v>
      </c>
      <c r="D32" s="713">
        <v>2070</v>
      </c>
      <c r="E32" s="710"/>
      <c r="F32" s="176"/>
      <c r="G32" s="23"/>
      <c r="H32" s="711"/>
      <c r="I32" s="711"/>
      <c r="J32" s="256" t="s">
        <v>108</v>
      </c>
      <c r="K32" s="713">
        <v>1874</v>
      </c>
      <c r="L32" s="710"/>
      <c r="M32" s="176"/>
      <c r="N32" s="23"/>
      <c r="O32" s="711"/>
      <c r="P32" s="711"/>
      <c r="Q32" s="256" t="s">
        <v>108</v>
      </c>
      <c r="R32" s="713">
        <v>1400</v>
      </c>
      <c r="S32" s="710"/>
      <c r="T32" s="176"/>
      <c r="U32" s="23"/>
      <c r="V32" s="711"/>
    </row>
    <row r="33" spans="1:22" s="206" customFormat="1" ht="12" thickTop="1">
      <c r="A33" s="709"/>
      <c r="B33" s="306"/>
      <c r="C33" s="256"/>
      <c r="D33" s="80"/>
      <c r="E33" s="710"/>
      <c r="F33" s="176"/>
      <c r="G33" s="23"/>
      <c r="H33" s="711"/>
      <c r="I33" s="711"/>
      <c r="J33" s="256"/>
      <c r="K33" s="80"/>
      <c r="L33" s="710"/>
      <c r="M33" s="176"/>
      <c r="N33" s="23"/>
      <c r="O33" s="711"/>
      <c r="P33" s="711"/>
      <c r="Q33" s="256"/>
      <c r="R33" s="80"/>
      <c r="S33" s="714"/>
      <c r="T33" s="176"/>
      <c r="U33" s="23"/>
      <c r="V33" s="711"/>
    </row>
    <row r="34" spans="1:22" s="206" customFormat="1" ht="11.4">
      <c r="A34" s="204"/>
      <c r="D34" s="1058" t="s">
        <v>398</v>
      </c>
      <c r="E34" s="1058"/>
      <c r="F34" s="1058"/>
      <c r="G34" s="1058"/>
      <c r="H34" s="1058"/>
      <c r="I34" s="492"/>
      <c r="J34" s="492"/>
      <c r="K34" s="1058" t="s">
        <v>267</v>
      </c>
      <c r="L34" s="1058"/>
      <c r="M34" s="1058"/>
      <c r="N34" s="1058"/>
      <c r="O34" s="1058"/>
      <c r="P34" s="370"/>
      <c r="Q34" s="370"/>
      <c r="R34" s="1058" t="s">
        <v>399</v>
      </c>
      <c r="S34" s="1058"/>
      <c r="T34" s="1058"/>
      <c r="U34" s="1058"/>
      <c r="V34" s="1058"/>
    </row>
    <row r="35" spans="1:22" s="206" customFormat="1" ht="11.4">
      <c r="A35" s="204"/>
      <c r="D35" s="371"/>
      <c r="E35" s="372"/>
      <c r="F35" s="1054"/>
      <c r="G35" s="1054"/>
      <c r="H35" s="1054"/>
      <c r="I35" s="374"/>
      <c r="J35" s="374"/>
      <c r="K35" s="371"/>
      <c r="L35" s="372"/>
      <c r="M35" s="1055"/>
      <c r="N35" s="1055"/>
      <c r="O35" s="1055"/>
      <c r="P35" s="372"/>
      <c r="Q35" s="372"/>
      <c r="R35" s="371"/>
      <c r="S35" s="372"/>
      <c r="T35" s="1054"/>
      <c r="U35" s="1054"/>
      <c r="V35" s="1054"/>
    </row>
    <row r="36" spans="1:22" s="206" customFormat="1" ht="11.4">
      <c r="A36" s="204"/>
      <c r="C36" s="372"/>
      <c r="D36" s="277" t="s">
        <v>620</v>
      </c>
      <c r="E36" s="372"/>
      <c r="F36" s="372"/>
      <c r="H36" s="381" t="s">
        <v>621</v>
      </c>
      <c r="I36" s="10"/>
      <c r="J36" s="372"/>
      <c r="K36" s="277" t="s">
        <v>620</v>
      </c>
      <c r="L36" s="372"/>
      <c r="M36" s="372"/>
      <c r="O36" s="381" t="s">
        <v>621</v>
      </c>
      <c r="P36" s="381"/>
      <c r="Q36" s="372"/>
      <c r="R36" s="277" t="s">
        <v>620</v>
      </c>
      <c r="S36" s="372"/>
      <c r="T36" s="372"/>
      <c r="V36" s="381" t="s">
        <v>621</v>
      </c>
    </row>
    <row r="37" spans="1:22" s="206" customFormat="1" ht="11.4">
      <c r="A37" s="204"/>
      <c r="C37" s="372"/>
      <c r="D37" s="277" t="s">
        <v>266</v>
      </c>
      <c r="E37" s="372"/>
      <c r="F37" s="208" t="s">
        <v>622</v>
      </c>
      <c r="H37" s="381" t="s">
        <v>623</v>
      </c>
      <c r="I37" s="10"/>
      <c r="J37" s="372"/>
      <c r="K37" s="277" t="s">
        <v>266</v>
      </c>
      <c r="L37" s="372"/>
      <c r="M37" s="208" t="s">
        <v>622</v>
      </c>
      <c r="O37" s="381" t="s">
        <v>623</v>
      </c>
      <c r="P37" s="381"/>
      <c r="Q37" s="372"/>
      <c r="R37" s="277" t="s">
        <v>266</v>
      </c>
      <c r="S37" s="372"/>
      <c r="T37" s="208" t="s">
        <v>622</v>
      </c>
      <c r="V37" s="381" t="s">
        <v>623</v>
      </c>
    </row>
    <row r="38" spans="1:22" s="206" customFormat="1" ht="13.2">
      <c r="A38" s="204"/>
      <c r="C38" s="372"/>
      <c r="D38" s="205" t="s">
        <v>272</v>
      </c>
      <c r="E38" s="372"/>
      <c r="F38" s="205" t="s">
        <v>624</v>
      </c>
      <c r="H38" s="205" t="s">
        <v>625</v>
      </c>
      <c r="I38" s="6"/>
      <c r="J38" s="372"/>
      <c r="K38" s="205" t="s">
        <v>272</v>
      </c>
      <c r="L38" s="372"/>
      <c r="M38" s="205" t="s">
        <v>624</v>
      </c>
      <c r="O38" s="205" t="s">
        <v>625</v>
      </c>
      <c r="P38" s="208"/>
      <c r="Q38" s="372"/>
      <c r="R38" s="205" t="s">
        <v>272</v>
      </c>
      <c r="S38" s="372"/>
      <c r="T38" s="205" t="s">
        <v>624</v>
      </c>
      <c r="V38" s="205" t="s">
        <v>625</v>
      </c>
    </row>
    <row r="39" spans="1:22" s="206" customFormat="1" ht="11.4">
      <c r="A39" s="377" t="s">
        <v>626</v>
      </c>
      <c r="B39" s="376"/>
      <c r="D39" s="11"/>
      <c r="E39" s="11"/>
      <c r="F39" s="11"/>
      <c r="G39" s="11"/>
      <c r="H39" s="11"/>
      <c r="I39" s="11"/>
      <c r="K39" s="11"/>
      <c r="L39" s="11"/>
      <c r="M39" s="11"/>
      <c r="N39" s="11"/>
      <c r="O39" s="11"/>
      <c r="R39" s="11"/>
      <c r="S39" s="11"/>
      <c r="T39" s="11"/>
      <c r="U39" s="11"/>
      <c r="V39" s="11"/>
    </row>
    <row r="40" spans="1:22" s="206" customFormat="1" ht="11.4">
      <c r="A40" s="376"/>
      <c r="B40" s="377" t="s">
        <v>627</v>
      </c>
      <c r="C40" s="378" t="s">
        <v>108</v>
      </c>
      <c r="D40" s="176">
        <v>337</v>
      </c>
      <c r="E40" s="256" t="s">
        <v>108</v>
      </c>
      <c r="F40" s="176">
        <v>4346</v>
      </c>
      <c r="G40" s="11"/>
      <c r="H40" s="707">
        <v>108.40608630581193</v>
      </c>
      <c r="I40" s="707"/>
      <c r="J40" s="378" t="s">
        <v>108</v>
      </c>
      <c r="K40" s="176">
        <v>315</v>
      </c>
      <c r="L40" s="256" t="s">
        <v>108</v>
      </c>
      <c r="M40" s="176">
        <v>6187</v>
      </c>
      <c r="N40" s="11"/>
      <c r="O40" s="707">
        <v>105.36444141689373</v>
      </c>
      <c r="P40" s="707"/>
      <c r="Q40" s="378" t="s">
        <v>108</v>
      </c>
      <c r="R40" s="176">
        <v>257</v>
      </c>
      <c r="S40" s="256" t="s">
        <v>108</v>
      </c>
      <c r="T40" s="176">
        <v>6766</v>
      </c>
      <c r="U40" s="11"/>
      <c r="V40" s="707">
        <v>103.94837916730681</v>
      </c>
    </row>
    <row r="41" spans="1:22" s="206" customFormat="1" ht="11.4">
      <c r="A41" s="376"/>
      <c r="B41" s="377" t="s">
        <v>628</v>
      </c>
      <c r="D41" s="176">
        <v>554</v>
      </c>
      <c r="E41" s="11"/>
      <c r="F41" s="176">
        <v>14999</v>
      </c>
      <c r="G41" s="11"/>
      <c r="H41" s="707">
        <v>103.83523710626514</v>
      </c>
      <c r="I41" s="707"/>
      <c r="K41" s="176">
        <v>116</v>
      </c>
      <c r="L41" s="11"/>
      <c r="M41" s="176">
        <v>14673</v>
      </c>
      <c r="N41" s="11"/>
      <c r="O41" s="707">
        <v>100.79686748643265</v>
      </c>
      <c r="P41" s="707"/>
      <c r="R41" s="176">
        <v>-254</v>
      </c>
      <c r="S41" s="11"/>
      <c r="T41" s="176">
        <v>15246</v>
      </c>
      <c r="U41" s="11"/>
      <c r="V41" s="707">
        <v>98.361290322580643</v>
      </c>
    </row>
    <row r="42" spans="1:22" s="206" customFormat="1" ht="11.4">
      <c r="A42" s="376"/>
      <c r="B42" s="377" t="s">
        <v>629</v>
      </c>
      <c r="D42" s="176">
        <v>2194</v>
      </c>
      <c r="E42" s="11"/>
      <c r="F42" s="176">
        <v>44529</v>
      </c>
      <c r="G42" s="11"/>
      <c r="H42" s="707">
        <v>105.18247313097909</v>
      </c>
      <c r="I42" s="707"/>
      <c r="K42" s="176">
        <v>1759</v>
      </c>
      <c r="L42" s="11"/>
      <c r="M42" s="176">
        <v>42369</v>
      </c>
      <c r="N42" s="11"/>
      <c r="O42" s="707">
        <v>104.33144545678404</v>
      </c>
      <c r="P42" s="707"/>
      <c r="R42" s="176">
        <v>1300</v>
      </c>
      <c r="S42" s="11"/>
      <c r="T42" s="176">
        <v>42395</v>
      </c>
      <c r="U42" s="11"/>
      <c r="V42" s="707">
        <v>103.16340187370726</v>
      </c>
    </row>
    <row r="43" spans="1:22" s="206" customFormat="1" ht="11.4">
      <c r="A43" s="376"/>
      <c r="B43" s="377" t="s">
        <v>630</v>
      </c>
      <c r="D43" s="176">
        <v>192</v>
      </c>
      <c r="E43" s="11"/>
      <c r="F43" s="176">
        <v>2133</v>
      </c>
      <c r="G43" s="11"/>
      <c r="H43" s="707">
        <v>109.8918083462133</v>
      </c>
      <c r="I43" s="707"/>
      <c r="K43" s="176">
        <v>323</v>
      </c>
      <c r="L43" s="11"/>
      <c r="M43" s="176">
        <v>3043</v>
      </c>
      <c r="N43" s="11"/>
      <c r="O43" s="707">
        <v>111.875</v>
      </c>
      <c r="P43" s="707"/>
      <c r="R43" s="176">
        <v>295</v>
      </c>
      <c r="S43" s="11"/>
      <c r="T43" s="176">
        <v>3117</v>
      </c>
      <c r="U43" s="11"/>
      <c r="V43" s="707">
        <v>110.45357902197023</v>
      </c>
    </row>
    <row r="44" spans="1:22" s="206" customFormat="1" ht="11.4">
      <c r="A44" s="376"/>
      <c r="B44" s="377" t="s">
        <v>647</v>
      </c>
      <c r="D44" s="176">
        <v>-395</v>
      </c>
      <c r="E44" s="11"/>
      <c r="F44" s="176">
        <v>4632</v>
      </c>
      <c r="G44" s="11"/>
      <c r="H44" s="707">
        <v>92.142430873284269</v>
      </c>
      <c r="I44" s="707"/>
      <c r="K44" s="176">
        <v>-366</v>
      </c>
      <c r="L44" s="11"/>
      <c r="M44" s="176">
        <v>5990</v>
      </c>
      <c r="N44" s="11"/>
      <c r="O44" s="707">
        <v>94.241661422278156</v>
      </c>
      <c r="P44" s="707"/>
      <c r="R44" s="176">
        <v>-377</v>
      </c>
      <c r="S44" s="11"/>
      <c r="T44" s="176">
        <v>6530</v>
      </c>
      <c r="U44" s="11"/>
      <c r="V44" s="707">
        <v>94.541769219632258</v>
      </c>
    </row>
    <row r="45" spans="1:22" s="206" customFormat="1" ht="11.4">
      <c r="A45" s="376"/>
      <c r="B45" s="377" t="s">
        <v>648</v>
      </c>
      <c r="D45" s="176">
        <v>-221</v>
      </c>
      <c r="E45" s="11"/>
      <c r="F45" s="176">
        <v>1824</v>
      </c>
      <c r="G45" s="11"/>
      <c r="H45" s="707">
        <v>89.193154034229821</v>
      </c>
      <c r="I45" s="707"/>
      <c r="K45" s="176">
        <v>-97</v>
      </c>
      <c r="L45" s="11"/>
      <c r="M45" s="176">
        <v>1986</v>
      </c>
      <c r="N45" s="11"/>
      <c r="O45" s="707">
        <v>95.343254920787331</v>
      </c>
      <c r="P45" s="707"/>
      <c r="R45" s="176">
        <v>-103</v>
      </c>
      <c r="S45" s="11"/>
      <c r="T45" s="176">
        <v>2053</v>
      </c>
      <c r="U45" s="11"/>
      <c r="V45" s="707">
        <v>95.22263450834879</v>
      </c>
    </row>
    <row r="46" spans="1:22" s="206" customFormat="1" ht="11.4">
      <c r="A46" s="376"/>
      <c r="B46" s="306" t="s">
        <v>649</v>
      </c>
      <c r="D46" s="176">
        <v>-204</v>
      </c>
      <c r="E46" s="11"/>
      <c r="F46" s="176">
        <v>3906</v>
      </c>
      <c r="G46" s="11"/>
      <c r="H46" s="707">
        <v>95.036496350364956</v>
      </c>
      <c r="I46" s="707"/>
      <c r="K46" s="176">
        <v>-139</v>
      </c>
      <c r="L46" s="11"/>
      <c r="M46" s="176">
        <v>4142</v>
      </c>
      <c r="N46" s="11"/>
      <c r="O46" s="707">
        <v>96.753095071245042</v>
      </c>
      <c r="P46" s="707"/>
      <c r="R46" s="176">
        <v>-169</v>
      </c>
      <c r="S46" s="11"/>
      <c r="T46" s="176">
        <v>4111</v>
      </c>
      <c r="U46" s="11"/>
      <c r="V46" s="707">
        <v>96.05140186915888</v>
      </c>
    </row>
    <row r="47" spans="1:22" s="206" customFormat="1" ht="12">
      <c r="A47" s="375"/>
      <c r="B47" s="379" t="s">
        <v>634</v>
      </c>
      <c r="D47" s="113">
        <v>2</v>
      </c>
      <c r="E47" s="11"/>
      <c r="F47" s="113">
        <v>25</v>
      </c>
      <c r="G47" s="11"/>
      <c r="H47" s="707">
        <v>108.69565217391305</v>
      </c>
      <c r="I47" s="707"/>
      <c r="K47" s="113">
        <v>1</v>
      </c>
      <c r="L47" s="11"/>
      <c r="M47" s="113">
        <v>24</v>
      </c>
      <c r="N47" s="11"/>
      <c r="O47" s="707">
        <v>104.34782608695652</v>
      </c>
      <c r="P47" s="707"/>
      <c r="R47" s="113">
        <v>1</v>
      </c>
      <c r="S47" s="11"/>
      <c r="T47" s="113">
        <v>24</v>
      </c>
      <c r="U47" s="11"/>
      <c r="V47" s="707">
        <v>104.34782608695652</v>
      </c>
    </row>
    <row r="48" spans="1:22" s="206" customFormat="1" ht="11.4">
      <c r="A48" s="376"/>
      <c r="B48" s="377" t="s">
        <v>635</v>
      </c>
      <c r="D48" s="176">
        <v>2459</v>
      </c>
      <c r="E48" s="11"/>
      <c r="F48" s="176">
        <v>76394</v>
      </c>
      <c r="G48" s="11"/>
      <c r="H48" s="707">
        <v>103.32589436667342</v>
      </c>
      <c r="I48" s="707"/>
      <c r="K48" s="176">
        <v>1912</v>
      </c>
      <c r="L48" s="11"/>
      <c r="M48" s="176">
        <v>78414</v>
      </c>
      <c r="N48" s="11"/>
      <c r="O48" s="707">
        <v>102.49928106454733</v>
      </c>
      <c r="P48" s="707"/>
      <c r="R48" s="176">
        <v>950</v>
      </c>
      <c r="S48" s="11"/>
      <c r="T48" s="176">
        <v>80242</v>
      </c>
      <c r="U48" s="11"/>
      <c r="V48" s="707">
        <v>101.19810321343894</v>
      </c>
    </row>
    <row r="49" spans="1:22" s="206" customFormat="1" ht="11.4">
      <c r="A49" s="376"/>
      <c r="B49" s="377"/>
      <c r="C49" s="11"/>
      <c r="D49" s="176"/>
      <c r="E49" s="11"/>
      <c r="F49" s="176"/>
      <c r="G49" s="11"/>
      <c r="H49" s="707"/>
      <c r="I49" s="707"/>
      <c r="K49" s="176"/>
      <c r="L49" s="11"/>
      <c r="M49" s="176"/>
      <c r="N49" s="11"/>
      <c r="O49" s="707"/>
      <c r="P49" s="707"/>
      <c r="R49" s="176"/>
      <c r="S49" s="11"/>
      <c r="T49" s="176"/>
      <c r="U49" s="11"/>
      <c r="V49" s="707"/>
    </row>
    <row r="50" spans="1:22" s="206" customFormat="1" ht="11.4">
      <c r="A50" s="376" t="s">
        <v>636</v>
      </c>
      <c r="B50" s="377"/>
      <c r="C50" s="176"/>
      <c r="D50" s="176">
        <v>-95</v>
      </c>
      <c r="E50" s="176"/>
      <c r="F50" s="176">
        <v>4157</v>
      </c>
      <c r="G50" s="11"/>
      <c r="H50" s="707">
        <v>97.765757290686736</v>
      </c>
      <c r="I50" s="707"/>
      <c r="J50" s="380"/>
      <c r="K50" s="176">
        <v>625</v>
      </c>
      <c r="L50" s="176"/>
      <c r="M50" s="176">
        <v>4954</v>
      </c>
      <c r="N50" s="11"/>
      <c r="O50" s="707">
        <v>114.43751443751444</v>
      </c>
      <c r="P50" s="707"/>
      <c r="Q50" s="380"/>
      <c r="R50" s="176">
        <v>645</v>
      </c>
      <c r="S50" s="176"/>
      <c r="T50" s="176">
        <v>4437</v>
      </c>
      <c r="U50" s="11"/>
      <c r="V50" s="707">
        <v>117.00949367088607</v>
      </c>
    </row>
    <row r="51" spans="1:22" s="206" customFormat="1" ht="11.4">
      <c r="A51" s="376" t="s">
        <v>637</v>
      </c>
      <c r="B51" s="377"/>
      <c r="C51" s="176"/>
      <c r="D51" s="176">
        <v>0</v>
      </c>
      <c r="E51" s="176"/>
      <c r="F51" s="176">
        <v>3517</v>
      </c>
      <c r="G51" s="11"/>
      <c r="H51" s="707">
        <v>100</v>
      </c>
      <c r="I51" s="707"/>
      <c r="J51" s="380"/>
      <c r="K51" s="176">
        <v>0</v>
      </c>
      <c r="L51" s="176"/>
      <c r="M51" s="176">
        <v>2536</v>
      </c>
      <c r="N51" s="11"/>
      <c r="O51" s="707">
        <v>100</v>
      </c>
      <c r="P51" s="707"/>
      <c r="Q51" s="176"/>
      <c r="R51" s="176">
        <v>0</v>
      </c>
      <c r="S51" s="176"/>
      <c r="T51" s="176">
        <v>1986</v>
      </c>
      <c r="U51" s="11"/>
      <c r="V51" s="707">
        <v>100</v>
      </c>
    </row>
    <row r="52" spans="1:22" s="206" customFormat="1" ht="11.4">
      <c r="A52" s="376" t="s">
        <v>638</v>
      </c>
      <c r="B52" s="377"/>
      <c r="C52" s="11"/>
      <c r="D52" s="176">
        <v>-15</v>
      </c>
      <c r="E52" s="11"/>
      <c r="F52" s="176">
        <v>244</v>
      </c>
      <c r="G52" s="11"/>
      <c r="H52" s="707">
        <v>94.208494208494216</v>
      </c>
      <c r="I52" s="707"/>
      <c r="K52" s="176">
        <v>-36</v>
      </c>
      <c r="L52" s="11"/>
      <c r="M52" s="176">
        <v>348</v>
      </c>
      <c r="N52" s="11"/>
      <c r="O52" s="707">
        <v>90.625</v>
      </c>
      <c r="P52" s="707"/>
      <c r="R52" s="176">
        <v>-30</v>
      </c>
      <c r="S52" s="11"/>
      <c r="T52" s="176">
        <v>512</v>
      </c>
      <c r="U52" s="11"/>
      <c r="V52" s="707">
        <v>94.464944649446494</v>
      </c>
    </row>
    <row r="53" spans="1:22" s="206" customFormat="1" ht="13.2">
      <c r="A53" s="376" t="s">
        <v>639</v>
      </c>
      <c r="B53" s="377"/>
      <c r="C53" s="11"/>
      <c r="D53" s="176">
        <v>7</v>
      </c>
      <c r="E53" s="176"/>
      <c r="F53" s="708" t="s">
        <v>429</v>
      </c>
      <c r="G53" s="11"/>
      <c r="H53" s="708" t="s">
        <v>429</v>
      </c>
      <c r="I53" s="707"/>
      <c r="K53" s="176">
        <v>7</v>
      </c>
      <c r="L53" s="176"/>
      <c r="M53" s="708" t="s">
        <v>429</v>
      </c>
      <c r="N53" s="11"/>
      <c r="O53" s="708" t="s">
        <v>429</v>
      </c>
      <c r="P53" s="707"/>
      <c r="R53" s="176">
        <v>7</v>
      </c>
      <c r="S53" s="11"/>
      <c r="T53" s="708" t="s">
        <v>429</v>
      </c>
      <c r="U53" s="11"/>
      <c r="V53" s="708" t="s">
        <v>429</v>
      </c>
    </row>
    <row r="54" spans="1:22" s="206" customFormat="1" ht="12" thickBot="1">
      <c r="A54" s="709" t="s">
        <v>640</v>
      </c>
      <c r="C54" s="256" t="s">
        <v>108</v>
      </c>
      <c r="D54" s="245">
        <v>2356</v>
      </c>
      <c r="E54" s="256" t="s">
        <v>108</v>
      </c>
      <c r="F54" s="196">
        <v>84312</v>
      </c>
      <c r="G54" s="11"/>
      <c r="H54" s="707">
        <v>102.87471326077407</v>
      </c>
      <c r="I54" s="707"/>
      <c r="J54" s="378" t="s">
        <v>108</v>
      </c>
      <c r="K54" s="245">
        <v>2508</v>
      </c>
      <c r="L54" s="256" t="s">
        <v>108</v>
      </c>
      <c r="M54" s="196">
        <v>86252</v>
      </c>
      <c r="N54" s="11"/>
      <c r="O54" s="707">
        <v>102.99484142147497</v>
      </c>
      <c r="P54" s="707"/>
      <c r="Q54" s="378" t="s">
        <v>108</v>
      </c>
      <c r="R54" s="245">
        <v>1572</v>
      </c>
      <c r="S54" s="256" t="s">
        <v>108</v>
      </c>
      <c r="T54" s="196">
        <v>87177</v>
      </c>
      <c r="U54" s="11"/>
      <c r="V54" s="707">
        <v>101.83634133520238</v>
      </c>
    </row>
    <row r="55" spans="1:22" s="206" customFormat="1" ht="6" customHeight="1" thickTop="1">
      <c r="A55" s="204"/>
      <c r="D55" s="306"/>
      <c r="E55" s="256"/>
      <c r="F55" s="176"/>
      <c r="G55" s="11"/>
      <c r="H55" s="707"/>
      <c r="I55" s="707"/>
      <c r="J55" s="707"/>
      <c r="K55" s="306"/>
      <c r="L55" s="256"/>
      <c r="M55" s="176"/>
      <c r="N55" s="11"/>
      <c r="O55" s="707"/>
      <c r="P55" s="707"/>
      <c r="Q55" s="707"/>
      <c r="U55" s="11"/>
    </row>
    <row r="56" spans="1:22" s="206" customFormat="1" ht="11.4">
      <c r="A56" s="709" t="s">
        <v>641</v>
      </c>
      <c r="B56" s="306"/>
      <c r="D56" s="306"/>
      <c r="E56" s="256"/>
      <c r="F56" s="176"/>
      <c r="G56" s="11"/>
      <c r="H56" s="707"/>
      <c r="I56" s="711"/>
      <c r="J56" s="711"/>
      <c r="K56" s="306"/>
      <c r="L56" s="256"/>
      <c r="M56" s="176"/>
      <c r="N56" s="11"/>
      <c r="O56" s="707"/>
      <c r="P56" s="711"/>
      <c r="Q56" s="711"/>
      <c r="R56" s="306"/>
      <c r="S56" s="256"/>
      <c r="T56" s="176"/>
      <c r="U56" s="11"/>
      <c r="V56" s="707"/>
    </row>
    <row r="57" spans="1:22" s="206" customFormat="1" ht="13.2">
      <c r="A57" s="709" t="s">
        <v>642</v>
      </c>
      <c r="B57" s="306"/>
      <c r="D57" s="80">
        <v>-603</v>
      </c>
      <c r="E57" s="710"/>
      <c r="F57" s="176"/>
      <c r="G57" s="23"/>
      <c r="H57" s="711"/>
      <c r="I57" s="711"/>
      <c r="J57" s="711"/>
      <c r="K57" s="80">
        <v>-181</v>
      </c>
      <c r="L57" s="710"/>
      <c r="M57" s="176"/>
      <c r="N57" s="23"/>
      <c r="O57" s="711"/>
      <c r="P57" s="711"/>
      <c r="Q57" s="711"/>
      <c r="R57" s="80">
        <v>-1</v>
      </c>
      <c r="S57" s="256"/>
      <c r="T57" s="176"/>
      <c r="U57" s="11"/>
      <c r="V57" s="707"/>
    </row>
    <row r="58" spans="1:22" s="206" customFormat="1" ht="13.2">
      <c r="A58" s="709" t="s">
        <v>643</v>
      </c>
      <c r="B58" s="306"/>
      <c r="D58" s="712">
        <v>-109</v>
      </c>
      <c r="E58" s="710"/>
      <c r="F58" s="176"/>
      <c r="G58" s="23"/>
      <c r="H58" s="711"/>
      <c r="I58" s="711"/>
      <c r="J58" s="711"/>
      <c r="K58" s="712">
        <v>-53</v>
      </c>
      <c r="L58" s="710"/>
      <c r="M58" s="176"/>
      <c r="N58" s="23"/>
      <c r="O58" s="711"/>
      <c r="P58" s="711"/>
      <c r="Q58" s="711"/>
      <c r="R58" s="712">
        <v>83</v>
      </c>
      <c r="S58" s="714"/>
      <c r="T58" s="176"/>
      <c r="U58" s="23"/>
      <c r="V58" s="711"/>
    </row>
    <row r="59" spans="1:22" s="206" customFormat="1" ht="11.4">
      <c r="A59" s="709" t="s">
        <v>644</v>
      </c>
      <c r="B59" s="306"/>
      <c r="D59" s="80">
        <v>-712</v>
      </c>
      <c r="E59" s="710"/>
      <c r="F59" s="176"/>
      <c r="G59" s="23"/>
      <c r="H59" s="711"/>
      <c r="I59" s="711"/>
      <c r="J59" s="711"/>
      <c r="K59" s="80">
        <v>-234</v>
      </c>
      <c r="L59" s="710"/>
      <c r="M59" s="176"/>
      <c r="N59" s="23"/>
      <c r="O59" s="711"/>
      <c r="P59" s="711"/>
      <c r="Q59" s="711"/>
      <c r="R59" s="80">
        <v>82</v>
      </c>
      <c r="S59" s="714"/>
      <c r="T59" s="176"/>
      <c r="U59" s="23"/>
      <c r="V59" s="711"/>
    </row>
    <row r="60" spans="1:22" s="206" customFormat="1" ht="11.4">
      <c r="A60" s="709" t="s">
        <v>645</v>
      </c>
      <c r="D60" s="712">
        <v>-579</v>
      </c>
      <c r="E60" s="710"/>
      <c r="F60" s="176"/>
      <c r="G60" s="23"/>
      <c r="H60" s="711"/>
      <c r="I60" s="711"/>
      <c r="J60" s="711"/>
      <c r="K60" s="712">
        <v>-799</v>
      </c>
      <c r="L60" s="710"/>
      <c r="M60" s="176"/>
      <c r="N60" s="23"/>
      <c r="O60" s="711"/>
      <c r="P60" s="711"/>
      <c r="Q60" s="711"/>
      <c r="R60" s="712">
        <v>-582</v>
      </c>
      <c r="S60" s="714"/>
      <c r="T60" s="176"/>
      <c r="U60" s="23"/>
      <c r="V60" s="711"/>
    </row>
    <row r="61" spans="1:22" s="206" customFormat="1" ht="12" thickBot="1">
      <c r="A61" s="709" t="s">
        <v>646</v>
      </c>
      <c r="C61" s="256" t="s">
        <v>108</v>
      </c>
      <c r="D61" s="713">
        <v>1065</v>
      </c>
      <c r="E61" s="710"/>
      <c r="F61" s="176"/>
      <c r="G61" s="23"/>
      <c r="H61" s="711"/>
      <c r="I61" s="711"/>
      <c r="J61" s="256" t="s">
        <v>108</v>
      </c>
      <c r="K61" s="713">
        <v>1475</v>
      </c>
      <c r="L61" s="710"/>
      <c r="M61" s="176"/>
      <c r="N61" s="23"/>
      <c r="O61" s="711"/>
      <c r="P61" s="711"/>
      <c r="Q61" s="256" t="s">
        <v>108</v>
      </c>
      <c r="R61" s="713">
        <v>1072</v>
      </c>
      <c r="S61" s="714"/>
      <c r="T61" s="176"/>
      <c r="U61" s="23"/>
      <c r="V61" s="711"/>
    </row>
    <row r="62" spans="1:22" s="206" customFormat="1" ht="12" thickTop="1">
      <c r="A62" s="709"/>
      <c r="E62" s="714"/>
      <c r="F62" s="176"/>
      <c r="G62" s="23"/>
      <c r="H62" s="711"/>
      <c r="I62" s="707"/>
      <c r="J62" s="707"/>
      <c r="K62" s="707"/>
      <c r="L62" s="378"/>
      <c r="M62" s="176"/>
      <c r="N62" s="11"/>
      <c r="O62" s="707"/>
      <c r="P62" s="707"/>
      <c r="Q62" s="707"/>
      <c r="R62" s="707"/>
      <c r="S62" s="378"/>
      <c r="T62" s="176"/>
      <c r="U62" s="11"/>
      <c r="V62" s="707"/>
    </row>
    <row r="63" spans="1:22" s="206" customFormat="1" ht="13.2">
      <c r="A63" s="715" t="s">
        <v>770</v>
      </c>
      <c r="B63" s="1056" t="s">
        <v>650</v>
      </c>
      <c r="C63" s="1056"/>
      <c r="D63" s="1056"/>
      <c r="E63" s="1056"/>
      <c r="F63" s="1056"/>
      <c r="G63" s="1056"/>
      <c r="H63" s="1056"/>
      <c r="I63" s="1056"/>
      <c r="J63" s="1056"/>
      <c r="K63" s="1056"/>
      <c r="L63" s="1056"/>
      <c r="M63" s="1056"/>
      <c r="N63" s="1056"/>
      <c r="O63" s="1056"/>
      <c r="P63" s="1056"/>
      <c r="Q63" s="1056"/>
      <c r="R63" s="1056"/>
      <c r="S63" s="1056"/>
      <c r="T63" s="1056"/>
      <c r="U63" s="1056"/>
      <c r="V63" s="1056"/>
    </row>
    <row r="64" spans="1:22" s="206" customFormat="1" ht="25.5" customHeight="1">
      <c r="A64" s="715" t="s">
        <v>772</v>
      </c>
      <c r="B64" s="1057" t="s">
        <v>651</v>
      </c>
      <c r="C64" s="1057"/>
      <c r="D64" s="1057"/>
      <c r="E64" s="1057"/>
      <c r="F64" s="1057"/>
      <c r="G64" s="1057"/>
      <c r="H64" s="1057"/>
      <c r="I64" s="1057"/>
      <c r="J64" s="1057"/>
      <c r="K64" s="1057"/>
      <c r="L64" s="1057"/>
      <c r="M64" s="1057"/>
      <c r="N64" s="1057"/>
      <c r="O64" s="1057"/>
      <c r="P64" s="1057"/>
      <c r="Q64" s="1057"/>
      <c r="R64" s="1057"/>
      <c r="S64" s="1057"/>
      <c r="T64" s="1057"/>
      <c r="U64" s="1057"/>
      <c r="V64" s="1057"/>
    </row>
    <row r="65" spans="1:22" s="206" customFormat="1" ht="38.25" customHeight="1">
      <c r="A65" s="716" t="s">
        <v>798</v>
      </c>
      <c r="B65" s="1057" t="s">
        <v>652</v>
      </c>
      <c r="C65" s="1057"/>
      <c r="D65" s="1057"/>
      <c r="E65" s="1057"/>
      <c r="F65" s="1057"/>
      <c r="G65" s="1057"/>
      <c r="H65" s="1057"/>
      <c r="I65" s="1057"/>
      <c r="J65" s="1057"/>
      <c r="K65" s="1057"/>
      <c r="L65" s="1057"/>
      <c r="M65" s="1057"/>
      <c r="N65" s="1057"/>
      <c r="O65" s="1057"/>
      <c r="P65" s="1057"/>
      <c r="Q65" s="1057"/>
      <c r="R65" s="1057"/>
      <c r="S65" s="1057"/>
      <c r="T65" s="1057"/>
      <c r="U65" s="1057"/>
      <c r="V65" s="1057"/>
    </row>
    <row r="66" spans="1:22" s="206" customFormat="1" ht="13.5" customHeight="1">
      <c r="A66" s="716" t="s">
        <v>432</v>
      </c>
      <c r="B66" s="995" t="s">
        <v>653</v>
      </c>
      <c r="C66" s="995"/>
      <c r="D66" s="995"/>
      <c r="E66" s="995"/>
      <c r="F66" s="995"/>
      <c r="G66" s="995"/>
      <c r="H66" s="995"/>
      <c r="I66" s="995"/>
      <c r="J66" s="995"/>
      <c r="K66" s="995"/>
      <c r="L66" s="995"/>
      <c r="M66" s="995"/>
      <c r="N66" s="995"/>
      <c r="O66" s="995"/>
      <c r="P66" s="995"/>
      <c r="Q66" s="995"/>
      <c r="R66" s="995"/>
      <c r="S66" s="995"/>
      <c r="T66" s="995"/>
      <c r="U66" s="995"/>
      <c r="V66" s="995"/>
    </row>
    <row r="67" spans="1:22" s="206" customFormat="1" ht="39" hidden="1" customHeight="1">
      <c r="A67" s="204"/>
      <c r="B67" s="1053"/>
      <c r="C67" s="1053"/>
      <c r="D67" s="1053"/>
      <c r="E67" s="1053"/>
      <c r="F67" s="1053"/>
      <c r="G67" s="1053"/>
      <c r="H67" s="1053"/>
      <c r="I67" s="1053"/>
      <c r="J67" s="1053"/>
      <c r="K67" s="1053"/>
      <c r="L67" s="1053"/>
      <c r="M67" s="1053"/>
      <c r="N67" s="1053"/>
      <c r="O67" s="1053"/>
      <c r="P67" s="1053"/>
      <c r="Q67" s="1053"/>
      <c r="R67" s="1053"/>
      <c r="S67" s="1053"/>
      <c r="T67" s="1053"/>
      <c r="U67" s="1053"/>
      <c r="V67" s="1053"/>
    </row>
    <row r="68" spans="1:22" s="206" customFormat="1" ht="11.4">
      <c r="A68" s="204"/>
      <c r="I68" s="11"/>
      <c r="J68" s="11"/>
      <c r="K68" s="11"/>
    </row>
    <row r="69" spans="1:22" s="206" customFormat="1" ht="11.4">
      <c r="A69" s="204"/>
      <c r="I69" s="11"/>
      <c r="J69" s="11"/>
      <c r="K69" s="11"/>
    </row>
    <row r="70" spans="1:22" s="206" customFormat="1" ht="11.4">
      <c r="A70" s="204"/>
      <c r="I70" s="11"/>
      <c r="J70" s="11"/>
      <c r="K70" s="11"/>
    </row>
    <row r="71" spans="1:22" s="206" customFormat="1" ht="11.4">
      <c r="A71" s="204"/>
      <c r="I71" s="11"/>
      <c r="J71" s="11"/>
      <c r="K71" s="11"/>
    </row>
    <row r="72" spans="1:22" s="206" customFormat="1" ht="11.4">
      <c r="A72" s="204"/>
      <c r="I72" s="11"/>
      <c r="J72" s="11"/>
      <c r="K72" s="11"/>
    </row>
    <row r="73" spans="1:22" s="206" customFormat="1" ht="11.4">
      <c r="A73" s="204"/>
      <c r="I73" s="11"/>
      <c r="J73" s="11"/>
      <c r="K73" s="11"/>
    </row>
    <row r="74" spans="1:22" s="206" customFormat="1" ht="11.4">
      <c r="A74" s="204"/>
      <c r="I74" s="11"/>
      <c r="J74" s="11"/>
      <c r="K74" s="11"/>
    </row>
    <row r="75" spans="1:22" s="206" customFormat="1" ht="11.4">
      <c r="A75" s="204"/>
      <c r="I75" s="11"/>
      <c r="J75" s="11"/>
      <c r="K75" s="11"/>
    </row>
    <row r="76" spans="1:22" s="206" customFormat="1" ht="11.4">
      <c r="A76" s="204"/>
      <c r="I76" s="11"/>
      <c r="J76" s="11"/>
      <c r="K76" s="11"/>
    </row>
    <row r="77" spans="1:22" s="206" customFormat="1" ht="11.4">
      <c r="A77" s="204"/>
      <c r="I77" s="11"/>
      <c r="J77" s="11"/>
      <c r="K77" s="11"/>
    </row>
    <row r="78" spans="1:22" s="206" customFormat="1" ht="11.4">
      <c r="A78" s="204"/>
      <c r="I78" s="11"/>
      <c r="J78" s="11"/>
      <c r="K78" s="11"/>
    </row>
    <row r="79" spans="1:22" s="206" customFormat="1" ht="11.4">
      <c r="A79" s="204"/>
      <c r="I79" s="11"/>
      <c r="J79" s="11"/>
      <c r="K79" s="11"/>
    </row>
    <row r="80" spans="1:22" s="206" customFormat="1" ht="11.4">
      <c r="A80" s="204"/>
      <c r="I80" s="11"/>
      <c r="J80" s="11"/>
      <c r="K80" s="11"/>
    </row>
    <row r="81" spans="1:11" s="206" customFormat="1" ht="11.4">
      <c r="A81" s="204"/>
      <c r="I81" s="11"/>
      <c r="J81" s="11"/>
      <c r="K81" s="11"/>
    </row>
    <row r="82" spans="1:11" s="206" customFormat="1" ht="11.4">
      <c r="A82" s="204"/>
      <c r="I82" s="11"/>
      <c r="J82" s="11"/>
      <c r="K82" s="11"/>
    </row>
    <row r="83" spans="1:11" s="206" customFormat="1" ht="11.4">
      <c r="A83" s="204"/>
      <c r="I83" s="11"/>
      <c r="J83" s="11"/>
      <c r="K83" s="11"/>
    </row>
    <row r="84" spans="1:11" s="206" customFormat="1" ht="11.4">
      <c r="A84" s="204"/>
      <c r="I84" s="11"/>
      <c r="J84" s="11"/>
      <c r="K84" s="11"/>
    </row>
    <row r="85" spans="1:11" s="206" customFormat="1" ht="11.4">
      <c r="A85" s="204"/>
      <c r="I85" s="11"/>
      <c r="J85" s="11"/>
      <c r="K85" s="11"/>
    </row>
    <row r="86" spans="1:11" s="206" customFormat="1" ht="11.4">
      <c r="A86" s="204"/>
      <c r="I86" s="11"/>
      <c r="J86" s="11"/>
      <c r="K86" s="11"/>
    </row>
    <row r="87" spans="1:11" s="206" customFormat="1" ht="11.4">
      <c r="A87" s="204"/>
      <c r="I87" s="11"/>
      <c r="J87" s="11"/>
      <c r="K87" s="11"/>
    </row>
    <row r="88" spans="1:11" s="206" customFormat="1" ht="11.4">
      <c r="A88" s="204"/>
      <c r="I88" s="11"/>
      <c r="J88" s="11"/>
      <c r="K88" s="11"/>
    </row>
    <row r="89" spans="1:11" s="206" customFormat="1" ht="11.4">
      <c r="A89" s="204"/>
      <c r="I89" s="11"/>
      <c r="J89" s="11"/>
      <c r="K89" s="11"/>
    </row>
    <row r="90" spans="1:11" s="206" customFormat="1" ht="11.4">
      <c r="A90" s="204"/>
      <c r="I90" s="11"/>
      <c r="J90" s="11"/>
      <c r="K90" s="11"/>
    </row>
    <row r="91" spans="1:11" s="206" customFormat="1" ht="11.4">
      <c r="A91" s="204"/>
      <c r="I91" s="11"/>
      <c r="J91" s="11"/>
      <c r="K91" s="11"/>
    </row>
    <row r="92" spans="1:11" s="206" customFormat="1" ht="11.4">
      <c r="A92" s="204"/>
      <c r="I92" s="11"/>
      <c r="J92" s="11"/>
      <c r="K92" s="11"/>
    </row>
    <row r="93" spans="1:11" s="206" customFormat="1" ht="11.4">
      <c r="A93" s="204"/>
      <c r="I93" s="11"/>
      <c r="J93" s="11"/>
      <c r="K93" s="11"/>
    </row>
    <row r="94" spans="1:11" s="206" customFormat="1" ht="11.4">
      <c r="A94" s="204"/>
      <c r="I94" s="11"/>
      <c r="J94" s="11"/>
      <c r="K94" s="11"/>
    </row>
    <row r="95" spans="1:11" s="206" customFormat="1" ht="11.4">
      <c r="A95" s="204"/>
      <c r="I95" s="11"/>
      <c r="J95" s="11"/>
      <c r="K95" s="11"/>
    </row>
    <row r="96" spans="1:11" s="206" customFormat="1" ht="11.4">
      <c r="A96" s="204"/>
      <c r="I96" s="11"/>
      <c r="J96" s="11"/>
      <c r="K96" s="11"/>
    </row>
    <row r="97" spans="1:22" s="206" customFormat="1" ht="11.4">
      <c r="A97" s="204"/>
      <c r="I97" s="11"/>
      <c r="J97" s="11"/>
      <c r="K97" s="11"/>
    </row>
    <row r="98" spans="1:22" s="206" customFormat="1" ht="11.4">
      <c r="A98" s="204"/>
      <c r="I98" s="11"/>
      <c r="J98" s="11"/>
      <c r="K98" s="11"/>
    </row>
    <row r="99" spans="1:22" s="206" customFormat="1" ht="11.4">
      <c r="A99" s="204"/>
      <c r="I99" s="11"/>
      <c r="J99" s="11"/>
      <c r="K99" s="11"/>
    </row>
    <row r="100" spans="1:22" s="206" customFormat="1" ht="11.4">
      <c r="A100" s="204"/>
      <c r="I100" s="11"/>
      <c r="J100" s="11"/>
      <c r="K100" s="11"/>
    </row>
    <row r="101" spans="1:22">
      <c r="B101" s="242"/>
      <c r="C101" s="242"/>
      <c r="D101" s="242"/>
      <c r="E101" s="242"/>
      <c r="F101" s="242"/>
      <c r="G101" s="242"/>
      <c r="H101" s="242"/>
      <c r="I101" s="35"/>
      <c r="J101" s="35"/>
      <c r="K101" s="35"/>
      <c r="L101" s="242"/>
      <c r="M101" s="242"/>
      <c r="N101" s="242"/>
      <c r="O101" s="242"/>
      <c r="P101" s="242"/>
      <c r="Q101" s="242"/>
      <c r="R101" s="242"/>
      <c r="S101" s="242"/>
      <c r="T101" s="242"/>
      <c r="U101" s="242"/>
      <c r="V101" s="242"/>
    </row>
    <row r="102" spans="1:22">
      <c r="B102" s="242"/>
      <c r="C102" s="242"/>
      <c r="D102" s="242"/>
      <c r="E102" s="242"/>
      <c r="F102" s="242"/>
      <c r="G102" s="242"/>
      <c r="H102" s="242"/>
      <c r="I102" s="35"/>
      <c r="J102" s="35"/>
      <c r="K102" s="35"/>
      <c r="L102" s="242"/>
      <c r="M102" s="242"/>
      <c r="N102" s="242"/>
      <c r="O102" s="242"/>
      <c r="P102" s="242"/>
      <c r="Q102" s="242"/>
      <c r="R102" s="242"/>
      <c r="S102" s="242"/>
      <c r="T102" s="242"/>
      <c r="U102" s="242"/>
      <c r="V102" s="242"/>
    </row>
    <row r="103" spans="1:22">
      <c r="B103" s="242"/>
      <c r="C103" s="242"/>
      <c r="D103" s="242"/>
      <c r="E103" s="242"/>
      <c r="F103" s="242"/>
      <c r="G103" s="242"/>
      <c r="H103" s="242"/>
      <c r="I103" s="35"/>
      <c r="J103" s="35"/>
      <c r="K103" s="35"/>
      <c r="L103" s="242"/>
      <c r="M103" s="242"/>
      <c r="N103" s="242"/>
      <c r="O103" s="242"/>
      <c r="P103" s="242"/>
      <c r="Q103" s="242"/>
      <c r="R103" s="242"/>
      <c r="S103" s="242"/>
      <c r="T103" s="242"/>
      <c r="U103" s="242"/>
      <c r="V103" s="242"/>
    </row>
    <row r="104" spans="1:22">
      <c r="B104" s="242"/>
      <c r="C104" s="242"/>
      <c r="D104" s="242"/>
      <c r="E104" s="242"/>
      <c r="F104" s="242"/>
      <c r="G104" s="242"/>
      <c r="H104" s="242"/>
      <c r="I104" s="35"/>
      <c r="J104" s="35"/>
      <c r="K104" s="35"/>
      <c r="L104" s="242"/>
      <c r="M104" s="242"/>
      <c r="N104" s="242"/>
      <c r="O104" s="242"/>
      <c r="P104" s="242"/>
      <c r="Q104" s="242"/>
      <c r="R104" s="242"/>
      <c r="S104" s="242"/>
      <c r="T104" s="242"/>
      <c r="U104" s="242"/>
      <c r="V104" s="242"/>
    </row>
    <row r="105" spans="1:22">
      <c r="B105" s="242"/>
      <c r="C105" s="242"/>
      <c r="D105" s="242"/>
      <c r="E105" s="242"/>
      <c r="F105" s="242"/>
      <c r="G105" s="242"/>
      <c r="H105" s="242"/>
      <c r="I105" s="35"/>
      <c r="J105" s="35"/>
      <c r="K105" s="35"/>
      <c r="L105" s="242"/>
      <c r="M105" s="242"/>
      <c r="N105" s="242"/>
      <c r="O105" s="242"/>
      <c r="P105" s="242"/>
      <c r="Q105" s="242"/>
      <c r="R105" s="242"/>
      <c r="S105" s="242"/>
      <c r="T105" s="242"/>
      <c r="U105" s="242"/>
      <c r="V105" s="242"/>
    </row>
    <row r="106" spans="1:22">
      <c r="B106" s="242"/>
      <c r="C106" s="242"/>
      <c r="D106" s="242"/>
      <c r="E106" s="242"/>
      <c r="F106" s="242"/>
      <c r="G106" s="242"/>
      <c r="H106" s="242"/>
      <c r="I106" s="35"/>
      <c r="J106" s="35"/>
      <c r="K106" s="35"/>
      <c r="L106" s="242"/>
      <c r="M106" s="242"/>
      <c r="N106" s="242"/>
      <c r="O106" s="242"/>
      <c r="P106" s="242"/>
      <c r="Q106" s="242"/>
      <c r="R106" s="242"/>
      <c r="S106" s="242"/>
      <c r="T106" s="242"/>
      <c r="U106" s="242"/>
      <c r="V106" s="242"/>
    </row>
    <row r="107" spans="1:22">
      <c r="B107" s="242"/>
      <c r="C107" s="242"/>
      <c r="D107" s="242"/>
      <c r="E107" s="242"/>
      <c r="F107" s="242"/>
      <c r="G107" s="242"/>
      <c r="H107" s="242"/>
      <c r="I107" s="35"/>
      <c r="J107" s="35"/>
      <c r="K107" s="35"/>
      <c r="L107" s="242"/>
      <c r="M107" s="242"/>
      <c r="N107" s="242"/>
      <c r="O107" s="242"/>
      <c r="P107" s="242"/>
      <c r="Q107" s="242"/>
      <c r="R107" s="242"/>
      <c r="S107" s="242"/>
      <c r="T107" s="242"/>
      <c r="U107" s="242"/>
      <c r="V107" s="242"/>
    </row>
    <row r="108" spans="1:22">
      <c r="B108" s="242"/>
      <c r="C108" s="242"/>
      <c r="D108" s="242"/>
      <c r="E108" s="242"/>
      <c r="F108" s="242"/>
      <c r="G108" s="242"/>
      <c r="H108" s="242"/>
      <c r="I108" s="35"/>
      <c r="J108" s="35"/>
      <c r="K108" s="35"/>
      <c r="L108" s="242"/>
      <c r="M108" s="242"/>
      <c r="N108" s="242"/>
      <c r="O108" s="242"/>
      <c r="P108" s="242"/>
      <c r="Q108" s="242"/>
      <c r="R108" s="242"/>
      <c r="S108" s="242"/>
      <c r="T108" s="242"/>
      <c r="U108" s="242"/>
      <c r="V108" s="242"/>
    </row>
    <row r="109" spans="1:22">
      <c r="B109" s="242"/>
      <c r="C109" s="242"/>
      <c r="D109" s="242"/>
      <c r="E109" s="242"/>
      <c r="F109" s="242"/>
      <c r="G109" s="242"/>
      <c r="H109" s="242"/>
      <c r="I109" s="35"/>
      <c r="J109" s="35"/>
      <c r="K109" s="35"/>
      <c r="L109" s="242"/>
      <c r="M109" s="242"/>
      <c r="N109" s="242"/>
      <c r="O109" s="242"/>
      <c r="P109" s="242"/>
      <c r="Q109" s="242"/>
      <c r="R109" s="242"/>
      <c r="S109" s="242"/>
      <c r="T109" s="242"/>
      <c r="U109" s="242"/>
      <c r="V109" s="242"/>
    </row>
    <row r="110" spans="1:22">
      <c r="B110" s="242"/>
      <c r="C110" s="242"/>
      <c r="D110" s="242"/>
      <c r="E110" s="242"/>
      <c r="F110" s="242"/>
      <c r="G110" s="242"/>
      <c r="H110" s="242"/>
      <c r="I110" s="35"/>
      <c r="J110" s="35"/>
      <c r="K110" s="35"/>
      <c r="L110" s="242"/>
      <c r="M110" s="242"/>
      <c r="N110" s="242"/>
      <c r="O110" s="242"/>
      <c r="P110" s="242"/>
      <c r="Q110" s="242"/>
      <c r="R110" s="242"/>
      <c r="S110" s="242"/>
      <c r="T110" s="242"/>
      <c r="U110" s="242"/>
      <c r="V110" s="242"/>
    </row>
    <row r="111" spans="1:22">
      <c r="B111" s="242"/>
      <c r="C111" s="242"/>
      <c r="D111" s="242"/>
      <c r="E111" s="242"/>
      <c r="F111" s="242"/>
      <c r="G111" s="242"/>
      <c r="H111" s="242"/>
      <c r="I111" s="35"/>
      <c r="J111" s="35"/>
      <c r="K111" s="35"/>
      <c r="L111" s="242"/>
      <c r="M111" s="242"/>
      <c r="N111" s="242"/>
      <c r="O111" s="242"/>
      <c r="P111" s="242"/>
      <c r="Q111" s="242"/>
      <c r="R111" s="242"/>
      <c r="S111" s="242"/>
      <c r="T111" s="242"/>
      <c r="U111" s="242"/>
      <c r="V111" s="242"/>
    </row>
    <row r="112" spans="1:22">
      <c r="B112" s="242"/>
      <c r="C112" s="242"/>
      <c r="D112" s="242"/>
      <c r="E112" s="242"/>
      <c r="F112" s="242"/>
      <c r="G112" s="242"/>
      <c r="H112" s="242"/>
      <c r="I112" s="35"/>
      <c r="J112" s="35"/>
      <c r="K112" s="35"/>
      <c r="L112" s="242"/>
      <c r="M112" s="242"/>
      <c r="N112" s="242"/>
      <c r="O112" s="242"/>
      <c r="P112" s="242"/>
      <c r="Q112" s="242"/>
      <c r="R112" s="242"/>
      <c r="S112" s="242"/>
      <c r="T112" s="242"/>
      <c r="U112" s="242"/>
      <c r="V112" s="242"/>
    </row>
    <row r="113" spans="2:22">
      <c r="B113" s="242"/>
      <c r="C113" s="242"/>
      <c r="D113" s="242"/>
      <c r="E113" s="242"/>
      <c r="F113" s="242"/>
      <c r="G113" s="242"/>
      <c r="H113" s="242"/>
      <c r="I113" s="35"/>
      <c r="J113" s="35"/>
      <c r="K113" s="35"/>
      <c r="L113" s="242"/>
      <c r="M113" s="242"/>
      <c r="N113" s="242"/>
      <c r="O113" s="242"/>
      <c r="P113" s="242"/>
      <c r="Q113" s="242"/>
      <c r="R113" s="242"/>
      <c r="S113" s="242"/>
      <c r="T113" s="242"/>
      <c r="U113" s="242"/>
      <c r="V113" s="242"/>
    </row>
    <row r="114" spans="2:22">
      <c r="B114" s="242"/>
      <c r="C114" s="242"/>
      <c r="D114" s="242"/>
      <c r="E114" s="242"/>
      <c r="F114" s="242"/>
      <c r="G114" s="242"/>
      <c r="H114" s="242"/>
      <c r="I114" s="35"/>
      <c r="J114" s="35"/>
      <c r="K114" s="35"/>
      <c r="L114" s="242"/>
      <c r="M114" s="242"/>
      <c r="N114" s="242"/>
      <c r="O114" s="242"/>
      <c r="P114" s="242"/>
      <c r="Q114" s="242"/>
      <c r="R114" s="242"/>
      <c r="S114" s="242"/>
      <c r="T114" s="242"/>
      <c r="U114" s="242"/>
      <c r="V114" s="242"/>
    </row>
    <row r="115" spans="2:22">
      <c r="B115" s="242"/>
      <c r="C115" s="242"/>
      <c r="D115" s="242"/>
      <c r="E115" s="242"/>
      <c r="F115" s="242"/>
      <c r="G115" s="242"/>
      <c r="H115" s="242"/>
      <c r="I115" s="35"/>
      <c r="J115" s="35"/>
      <c r="K115" s="35"/>
      <c r="L115" s="242"/>
      <c r="M115" s="242"/>
      <c r="N115" s="242"/>
      <c r="O115" s="242"/>
      <c r="P115" s="242"/>
      <c r="Q115" s="242"/>
      <c r="R115" s="242"/>
      <c r="S115" s="242"/>
      <c r="T115" s="242"/>
      <c r="U115" s="242"/>
      <c r="V115" s="242"/>
    </row>
    <row r="116" spans="2:22">
      <c r="B116" s="242"/>
      <c r="C116" s="242"/>
      <c r="D116" s="242"/>
      <c r="E116" s="242"/>
      <c r="F116" s="242"/>
      <c r="G116" s="242"/>
      <c r="H116" s="242"/>
      <c r="I116" s="35"/>
      <c r="J116" s="35"/>
      <c r="K116" s="35"/>
      <c r="L116" s="242"/>
      <c r="M116" s="242"/>
      <c r="N116" s="242"/>
      <c r="O116" s="242"/>
      <c r="P116" s="242"/>
      <c r="Q116" s="242"/>
      <c r="R116" s="242"/>
      <c r="S116" s="242"/>
      <c r="T116" s="242"/>
      <c r="U116" s="242"/>
      <c r="V116" s="242"/>
    </row>
    <row r="117" spans="2:22">
      <c r="B117" s="242"/>
      <c r="C117" s="242"/>
      <c r="D117" s="242"/>
      <c r="E117" s="242"/>
      <c r="F117" s="242"/>
      <c r="G117" s="242"/>
      <c r="H117" s="242"/>
      <c r="I117" s="35"/>
      <c r="J117" s="35"/>
      <c r="K117" s="35"/>
      <c r="L117" s="242"/>
      <c r="M117" s="242"/>
      <c r="N117" s="242"/>
      <c r="O117" s="242"/>
      <c r="P117" s="242"/>
      <c r="Q117" s="242"/>
      <c r="R117" s="242"/>
      <c r="S117" s="242"/>
      <c r="T117" s="242"/>
      <c r="U117" s="242"/>
      <c r="V117" s="242"/>
    </row>
    <row r="118" spans="2:22">
      <c r="B118" s="242"/>
      <c r="C118" s="242"/>
      <c r="D118" s="242"/>
      <c r="E118" s="242"/>
      <c r="F118" s="242"/>
      <c r="G118" s="242"/>
      <c r="H118" s="242"/>
      <c r="I118" s="35"/>
      <c r="J118" s="35"/>
      <c r="K118" s="35"/>
      <c r="L118" s="242"/>
      <c r="M118" s="242"/>
      <c r="N118" s="242"/>
      <c r="O118" s="242"/>
      <c r="P118" s="242"/>
      <c r="Q118" s="242"/>
      <c r="R118" s="242"/>
      <c r="S118" s="242"/>
      <c r="T118" s="242"/>
      <c r="U118" s="242"/>
      <c r="V118" s="242"/>
    </row>
    <row r="119" spans="2:22">
      <c r="B119" s="242"/>
      <c r="C119" s="242"/>
      <c r="D119" s="242"/>
      <c r="E119" s="242"/>
      <c r="F119" s="242"/>
      <c r="G119" s="242"/>
      <c r="H119" s="242"/>
      <c r="I119" s="35"/>
      <c r="J119" s="35"/>
      <c r="K119" s="35"/>
      <c r="L119" s="242"/>
      <c r="M119" s="242"/>
      <c r="N119" s="242"/>
      <c r="O119" s="242"/>
      <c r="P119" s="242"/>
      <c r="Q119" s="242"/>
      <c r="R119" s="242"/>
      <c r="S119" s="242"/>
      <c r="T119" s="242"/>
      <c r="U119" s="242"/>
      <c r="V119" s="242"/>
    </row>
    <row r="120" spans="2:22">
      <c r="B120" s="242"/>
      <c r="C120" s="242"/>
      <c r="D120" s="242"/>
      <c r="E120" s="242"/>
      <c r="F120" s="242"/>
      <c r="G120" s="242"/>
      <c r="H120" s="242"/>
      <c r="I120" s="35"/>
      <c r="J120" s="35"/>
      <c r="K120" s="35"/>
      <c r="L120" s="242"/>
      <c r="M120" s="242"/>
      <c r="N120" s="242"/>
      <c r="O120" s="242"/>
      <c r="P120" s="242"/>
      <c r="Q120" s="242"/>
      <c r="R120" s="242"/>
      <c r="S120" s="242"/>
      <c r="T120" s="242"/>
      <c r="U120" s="242"/>
      <c r="V120" s="242"/>
    </row>
    <row r="121" spans="2:22">
      <c r="B121" s="242"/>
      <c r="C121" s="242"/>
      <c r="D121" s="242"/>
      <c r="E121" s="242"/>
      <c r="F121" s="242"/>
      <c r="G121" s="242"/>
      <c r="H121" s="242"/>
      <c r="I121" s="35"/>
      <c r="J121" s="35"/>
      <c r="K121" s="35"/>
      <c r="L121" s="242"/>
      <c r="M121" s="242"/>
      <c r="N121" s="242"/>
      <c r="O121" s="242"/>
      <c r="P121" s="242"/>
      <c r="Q121" s="242"/>
      <c r="R121" s="242"/>
      <c r="S121" s="242"/>
      <c r="T121" s="242"/>
      <c r="U121" s="242"/>
      <c r="V121" s="242"/>
    </row>
    <row r="122" spans="2:22">
      <c r="B122" s="242"/>
      <c r="C122" s="242"/>
      <c r="D122" s="242"/>
      <c r="E122" s="242"/>
      <c r="F122" s="242"/>
      <c r="G122" s="242"/>
      <c r="H122" s="242"/>
      <c r="I122" s="35"/>
      <c r="J122" s="35"/>
      <c r="K122" s="35"/>
      <c r="L122" s="242"/>
      <c r="M122" s="242"/>
      <c r="N122" s="242"/>
      <c r="O122" s="242"/>
      <c r="P122" s="242"/>
      <c r="Q122" s="242"/>
      <c r="R122" s="242"/>
      <c r="S122" s="242"/>
      <c r="T122" s="242"/>
      <c r="U122" s="242"/>
      <c r="V122" s="242"/>
    </row>
    <row r="123" spans="2:22">
      <c r="B123" s="242"/>
      <c r="C123" s="242"/>
      <c r="D123" s="242"/>
      <c r="E123" s="242"/>
      <c r="F123" s="242"/>
      <c r="G123" s="242"/>
      <c r="H123" s="242"/>
      <c r="I123" s="35"/>
      <c r="J123" s="35"/>
      <c r="K123" s="35"/>
      <c r="L123" s="242"/>
      <c r="M123" s="242"/>
      <c r="N123" s="242"/>
      <c r="O123" s="242"/>
      <c r="P123" s="242"/>
      <c r="Q123" s="242"/>
      <c r="R123" s="242"/>
      <c r="S123" s="242"/>
      <c r="T123" s="242"/>
      <c r="U123" s="242"/>
      <c r="V123" s="242"/>
    </row>
    <row r="124" spans="2:22">
      <c r="B124" s="242"/>
      <c r="C124" s="242"/>
      <c r="D124" s="242"/>
      <c r="E124" s="242"/>
      <c r="F124" s="242"/>
      <c r="G124" s="242"/>
      <c r="H124" s="242"/>
      <c r="I124" s="35"/>
      <c r="J124" s="35"/>
      <c r="K124" s="35"/>
      <c r="L124" s="242"/>
      <c r="M124" s="242"/>
      <c r="N124" s="242"/>
      <c r="O124" s="242"/>
      <c r="P124" s="242"/>
      <c r="Q124" s="242"/>
      <c r="R124" s="242"/>
      <c r="S124" s="242"/>
      <c r="T124" s="242"/>
      <c r="U124" s="242"/>
      <c r="V124" s="242"/>
    </row>
    <row r="125" spans="2:22">
      <c r="B125" s="242"/>
      <c r="C125" s="242"/>
      <c r="D125" s="242"/>
      <c r="E125" s="242"/>
      <c r="F125" s="242"/>
      <c r="G125" s="242"/>
      <c r="H125" s="242"/>
      <c r="I125" s="35"/>
      <c r="J125" s="35"/>
      <c r="K125" s="35"/>
      <c r="L125" s="242"/>
      <c r="M125" s="242"/>
      <c r="N125" s="242"/>
      <c r="O125" s="242"/>
      <c r="P125" s="242"/>
      <c r="Q125" s="242"/>
      <c r="R125" s="242"/>
      <c r="S125" s="242"/>
      <c r="T125" s="242"/>
      <c r="U125" s="242"/>
      <c r="V125" s="242"/>
    </row>
    <row r="126" spans="2:22">
      <c r="B126" s="242"/>
      <c r="C126" s="242"/>
      <c r="D126" s="242"/>
      <c r="E126" s="242"/>
      <c r="F126" s="242"/>
      <c r="G126" s="242"/>
      <c r="H126" s="242"/>
      <c r="I126" s="35"/>
      <c r="J126" s="35"/>
      <c r="K126" s="35"/>
      <c r="L126" s="242"/>
      <c r="M126" s="242"/>
      <c r="N126" s="242"/>
      <c r="O126" s="242"/>
      <c r="P126" s="242"/>
      <c r="Q126" s="242"/>
      <c r="R126" s="242"/>
      <c r="S126" s="242"/>
      <c r="T126" s="242"/>
      <c r="U126" s="242"/>
      <c r="V126" s="242"/>
    </row>
    <row r="127" spans="2:22">
      <c r="B127" s="242"/>
      <c r="C127" s="242"/>
      <c r="D127" s="242"/>
      <c r="E127" s="242"/>
      <c r="F127" s="242"/>
      <c r="G127" s="242"/>
      <c r="H127" s="242"/>
      <c r="I127" s="35"/>
      <c r="J127" s="35"/>
      <c r="K127" s="35"/>
      <c r="L127" s="242"/>
      <c r="M127" s="242"/>
      <c r="N127" s="242"/>
      <c r="O127" s="242"/>
      <c r="P127" s="242"/>
      <c r="Q127" s="242"/>
      <c r="R127" s="242"/>
      <c r="S127" s="242"/>
      <c r="T127" s="242"/>
      <c r="U127" s="242"/>
      <c r="V127" s="242"/>
    </row>
    <row r="128" spans="2:22">
      <c r="B128" s="242"/>
      <c r="C128" s="242"/>
      <c r="D128" s="242"/>
      <c r="E128" s="242"/>
      <c r="F128" s="242"/>
      <c r="G128" s="242"/>
      <c r="H128" s="242"/>
      <c r="I128" s="35"/>
      <c r="J128" s="35"/>
      <c r="K128" s="35"/>
      <c r="L128" s="242"/>
      <c r="M128" s="242"/>
      <c r="N128" s="242"/>
      <c r="O128" s="242"/>
      <c r="P128" s="242"/>
      <c r="Q128" s="242"/>
      <c r="R128" s="242"/>
      <c r="S128" s="242"/>
      <c r="T128" s="242"/>
      <c r="U128" s="242"/>
      <c r="V128" s="242"/>
    </row>
    <row r="129" spans="2:22">
      <c r="B129" s="242"/>
      <c r="C129" s="242"/>
      <c r="D129" s="242"/>
      <c r="E129" s="242"/>
      <c r="F129" s="242"/>
      <c r="G129" s="242"/>
      <c r="H129" s="242"/>
      <c r="I129" s="35"/>
      <c r="J129" s="35"/>
      <c r="K129" s="35"/>
      <c r="L129" s="242"/>
      <c r="M129" s="242"/>
      <c r="N129" s="242"/>
      <c r="O129" s="242"/>
      <c r="P129" s="242"/>
      <c r="Q129" s="242"/>
      <c r="R129" s="242"/>
      <c r="S129" s="242"/>
      <c r="T129" s="242"/>
      <c r="U129" s="242"/>
      <c r="V129" s="242"/>
    </row>
    <row r="130" spans="2:22">
      <c r="B130" s="242"/>
      <c r="C130" s="242"/>
      <c r="D130" s="242"/>
      <c r="E130" s="242"/>
      <c r="F130" s="242"/>
      <c r="G130" s="242"/>
      <c r="H130" s="242"/>
      <c r="I130" s="35"/>
      <c r="J130" s="35"/>
      <c r="K130" s="35"/>
      <c r="L130" s="242"/>
      <c r="M130" s="242"/>
      <c r="N130" s="242"/>
      <c r="O130" s="242"/>
      <c r="P130" s="242"/>
      <c r="Q130" s="242"/>
      <c r="R130" s="242"/>
      <c r="S130" s="242"/>
      <c r="T130" s="242"/>
      <c r="U130" s="242"/>
      <c r="V130" s="242"/>
    </row>
    <row r="131" spans="2:22">
      <c r="B131" s="242"/>
      <c r="C131" s="242"/>
      <c r="D131" s="242"/>
      <c r="E131" s="242"/>
      <c r="F131" s="242"/>
      <c r="G131" s="242"/>
      <c r="H131" s="242"/>
      <c r="I131" s="35"/>
      <c r="J131" s="35"/>
      <c r="K131" s="35"/>
      <c r="L131" s="242"/>
      <c r="M131" s="242"/>
      <c r="N131" s="242"/>
      <c r="O131" s="242"/>
      <c r="P131" s="242"/>
      <c r="Q131" s="242"/>
      <c r="R131" s="242"/>
      <c r="S131" s="242"/>
      <c r="T131" s="242"/>
      <c r="U131" s="242"/>
      <c r="V131" s="242"/>
    </row>
    <row r="132" spans="2:22">
      <c r="B132" s="242"/>
      <c r="C132" s="242"/>
      <c r="D132" s="242"/>
      <c r="E132" s="242"/>
      <c r="F132" s="242"/>
      <c r="G132" s="242"/>
      <c r="H132" s="242"/>
      <c r="I132" s="35"/>
      <c r="J132" s="35"/>
      <c r="K132" s="35"/>
      <c r="L132" s="242"/>
      <c r="M132" s="242"/>
      <c r="N132" s="242"/>
      <c r="O132" s="242"/>
      <c r="P132" s="242"/>
      <c r="Q132" s="242"/>
      <c r="R132" s="242"/>
      <c r="S132" s="242"/>
      <c r="T132" s="242"/>
      <c r="U132" s="242"/>
      <c r="V132" s="242"/>
    </row>
    <row r="133" spans="2:22">
      <c r="B133" s="242"/>
      <c r="C133" s="242"/>
      <c r="D133" s="242"/>
      <c r="E133" s="242"/>
      <c r="F133" s="242"/>
      <c r="G133" s="242"/>
      <c r="H133" s="242"/>
      <c r="I133" s="35"/>
      <c r="J133" s="35"/>
      <c r="K133" s="35"/>
      <c r="L133" s="242"/>
      <c r="M133" s="242"/>
      <c r="N133" s="242"/>
      <c r="O133" s="242"/>
      <c r="P133" s="242"/>
      <c r="Q133" s="242"/>
      <c r="R133" s="242"/>
      <c r="S133" s="242"/>
      <c r="T133" s="242"/>
      <c r="U133" s="242"/>
      <c r="V133" s="242"/>
    </row>
    <row r="134" spans="2:22">
      <c r="B134" s="242"/>
      <c r="C134" s="242"/>
      <c r="D134" s="242"/>
      <c r="E134" s="242"/>
      <c r="F134" s="242"/>
      <c r="G134" s="242"/>
      <c r="H134" s="242"/>
      <c r="I134" s="35"/>
      <c r="J134" s="35"/>
      <c r="K134" s="35"/>
      <c r="L134" s="242"/>
      <c r="M134" s="242"/>
      <c r="N134" s="242"/>
      <c r="O134" s="242"/>
      <c r="P134" s="242"/>
      <c r="Q134" s="242"/>
      <c r="R134" s="242"/>
      <c r="S134" s="242"/>
      <c r="T134" s="242"/>
      <c r="U134" s="242"/>
      <c r="V134" s="242"/>
    </row>
    <row r="135" spans="2:22">
      <c r="B135" s="242"/>
      <c r="C135" s="242"/>
      <c r="D135" s="242"/>
      <c r="E135" s="242"/>
      <c r="F135" s="242"/>
      <c r="G135" s="242"/>
      <c r="H135" s="242"/>
      <c r="I135" s="35"/>
      <c r="J135" s="35"/>
      <c r="K135" s="35"/>
      <c r="L135" s="242"/>
      <c r="M135" s="242"/>
      <c r="N135" s="242"/>
      <c r="O135" s="242"/>
      <c r="P135" s="242"/>
      <c r="Q135" s="242"/>
      <c r="R135" s="242"/>
      <c r="S135" s="242"/>
      <c r="T135" s="242"/>
      <c r="U135" s="242"/>
      <c r="V135" s="242"/>
    </row>
    <row r="136" spans="2:22">
      <c r="B136" s="242"/>
      <c r="C136" s="242"/>
      <c r="D136" s="242"/>
      <c r="E136" s="242"/>
      <c r="F136" s="242"/>
      <c r="G136" s="242"/>
      <c r="H136" s="242"/>
      <c r="I136" s="35"/>
      <c r="J136" s="35"/>
      <c r="K136" s="35"/>
      <c r="L136" s="242"/>
      <c r="M136" s="242"/>
      <c r="N136" s="242"/>
      <c r="O136" s="242"/>
      <c r="P136" s="242"/>
      <c r="Q136" s="242"/>
      <c r="R136" s="242"/>
      <c r="S136" s="242"/>
      <c r="T136" s="242"/>
      <c r="U136" s="242"/>
      <c r="V136" s="242"/>
    </row>
    <row r="137" spans="2:22">
      <c r="B137" s="242"/>
      <c r="C137" s="242"/>
      <c r="D137" s="242"/>
      <c r="E137" s="242"/>
      <c r="F137" s="242"/>
      <c r="G137" s="242"/>
      <c r="H137" s="242"/>
      <c r="I137" s="35"/>
      <c r="J137" s="35"/>
      <c r="K137" s="35"/>
      <c r="L137" s="242"/>
      <c r="M137" s="242"/>
      <c r="N137" s="242"/>
      <c r="O137" s="242"/>
      <c r="P137" s="242"/>
      <c r="Q137" s="242"/>
      <c r="R137" s="242"/>
      <c r="S137" s="242"/>
      <c r="T137" s="242"/>
      <c r="U137" s="242"/>
      <c r="V137" s="242"/>
    </row>
    <row r="138" spans="2:22">
      <c r="B138" s="242"/>
      <c r="C138" s="242"/>
      <c r="D138" s="242"/>
      <c r="E138" s="242"/>
      <c r="F138" s="242"/>
      <c r="G138" s="242"/>
      <c r="H138" s="242"/>
      <c r="I138" s="35"/>
      <c r="J138" s="35"/>
      <c r="K138" s="35"/>
      <c r="L138" s="242"/>
      <c r="M138" s="242"/>
      <c r="N138" s="242"/>
      <c r="O138" s="242"/>
      <c r="P138" s="242"/>
      <c r="Q138" s="242"/>
      <c r="R138" s="242"/>
      <c r="S138" s="242"/>
      <c r="T138" s="242"/>
      <c r="U138" s="242"/>
      <c r="V138" s="242"/>
    </row>
    <row r="139" spans="2:22">
      <c r="B139" s="242"/>
      <c r="C139" s="242"/>
      <c r="D139" s="242"/>
      <c r="E139" s="242"/>
      <c r="F139" s="242"/>
      <c r="G139" s="242"/>
      <c r="H139" s="242"/>
      <c r="I139" s="35"/>
      <c r="J139" s="35"/>
      <c r="K139" s="35"/>
      <c r="L139" s="242"/>
      <c r="M139" s="242"/>
      <c r="N139" s="242"/>
      <c r="O139" s="242"/>
      <c r="P139" s="242"/>
      <c r="Q139" s="242"/>
      <c r="R139" s="242"/>
      <c r="S139" s="242"/>
      <c r="T139" s="242"/>
      <c r="U139" s="242"/>
      <c r="V139" s="242"/>
    </row>
    <row r="140" spans="2:22">
      <c r="B140" s="242"/>
      <c r="C140" s="242"/>
      <c r="D140" s="242"/>
      <c r="E140" s="242"/>
      <c r="F140" s="242"/>
      <c r="G140" s="242"/>
      <c r="H140" s="242"/>
      <c r="I140" s="35"/>
      <c r="J140" s="35"/>
      <c r="K140" s="35"/>
      <c r="L140" s="242"/>
      <c r="M140" s="242"/>
      <c r="N140" s="242"/>
      <c r="O140" s="242"/>
      <c r="P140" s="242"/>
      <c r="Q140" s="242"/>
      <c r="R140" s="242"/>
      <c r="S140" s="242"/>
      <c r="T140" s="242"/>
      <c r="U140" s="242"/>
      <c r="V140" s="242"/>
    </row>
    <row r="141" spans="2:22">
      <c r="B141" s="242"/>
      <c r="C141" s="242"/>
      <c r="D141" s="242"/>
      <c r="E141" s="242"/>
      <c r="F141" s="242"/>
      <c r="G141" s="242"/>
      <c r="H141" s="242"/>
      <c r="I141" s="35"/>
      <c r="J141" s="35"/>
      <c r="K141" s="35"/>
      <c r="L141" s="242"/>
      <c r="M141" s="242"/>
      <c r="N141" s="242"/>
      <c r="O141" s="242"/>
      <c r="P141" s="242"/>
      <c r="Q141" s="242"/>
      <c r="R141" s="242"/>
      <c r="S141" s="242"/>
      <c r="T141" s="242"/>
      <c r="U141" s="242"/>
      <c r="V141" s="242"/>
    </row>
    <row r="142" spans="2:22">
      <c r="B142" s="242"/>
      <c r="C142" s="242"/>
      <c r="D142" s="242"/>
      <c r="E142" s="242"/>
      <c r="F142" s="242"/>
      <c r="G142" s="242"/>
      <c r="H142" s="242"/>
      <c r="I142" s="35"/>
      <c r="J142" s="35"/>
      <c r="K142" s="35"/>
      <c r="L142" s="242"/>
      <c r="M142" s="242"/>
      <c r="N142" s="242"/>
      <c r="O142" s="242"/>
      <c r="P142" s="242"/>
      <c r="Q142" s="242"/>
      <c r="R142" s="242"/>
      <c r="S142" s="242"/>
      <c r="T142" s="242"/>
      <c r="U142" s="242"/>
      <c r="V142" s="242"/>
    </row>
    <row r="143" spans="2:22">
      <c r="B143" s="242"/>
      <c r="C143" s="242"/>
      <c r="D143" s="242"/>
      <c r="E143" s="242"/>
      <c r="F143" s="242"/>
      <c r="G143" s="242"/>
      <c r="H143" s="242"/>
      <c r="I143" s="35"/>
      <c r="J143" s="35"/>
      <c r="K143" s="35"/>
      <c r="L143" s="242"/>
      <c r="M143" s="242"/>
      <c r="N143" s="242"/>
      <c r="O143" s="242"/>
      <c r="P143" s="242"/>
      <c r="Q143" s="242"/>
      <c r="R143" s="242"/>
      <c r="S143" s="242"/>
      <c r="T143" s="242"/>
      <c r="U143" s="242"/>
      <c r="V143" s="242"/>
    </row>
    <row r="144" spans="2:22">
      <c r="B144" s="242"/>
      <c r="C144" s="242"/>
      <c r="D144" s="242"/>
      <c r="E144" s="242"/>
      <c r="F144" s="242"/>
      <c r="G144" s="242"/>
      <c r="H144" s="242"/>
      <c r="I144" s="35"/>
      <c r="J144" s="35"/>
      <c r="K144" s="35"/>
      <c r="L144" s="242"/>
      <c r="M144" s="242"/>
      <c r="N144" s="242"/>
      <c r="O144" s="242"/>
      <c r="P144" s="242"/>
      <c r="Q144" s="242"/>
      <c r="R144" s="242"/>
      <c r="S144" s="242"/>
      <c r="T144" s="242"/>
      <c r="U144" s="242"/>
      <c r="V144" s="242"/>
    </row>
    <row r="145" spans="2:22">
      <c r="B145" s="242"/>
      <c r="C145" s="242"/>
      <c r="D145" s="242"/>
      <c r="E145" s="242"/>
      <c r="F145" s="242"/>
      <c r="G145" s="242"/>
      <c r="H145" s="242"/>
      <c r="I145" s="35"/>
      <c r="J145" s="35"/>
      <c r="K145" s="35"/>
      <c r="L145" s="242"/>
      <c r="M145" s="242"/>
      <c r="N145" s="242"/>
      <c r="O145" s="242"/>
      <c r="P145" s="242"/>
      <c r="Q145" s="242"/>
      <c r="R145" s="242"/>
      <c r="S145" s="242"/>
      <c r="T145" s="242"/>
      <c r="U145" s="242"/>
      <c r="V145" s="242"/>
    </row>
    <row r="146" spans="2:22">
      <c r="B146" s="242"/>
      <c r="C146" s="242"/>
      <c r="D146" s="242"/>
      <c r="E146" s="242"/>
      <c r="F146" s="242"/>
      <c r="G146" s="242"/>
      <c r="H146" s="242"/>
      <c r="I146" s="35"/>
      <c r="J146" s="35"/>
      <c r="K146" s="35"/>
      <c r="L146" s="242"/>
      <c r="M146" s="242"/>
      <c r="N146" s="242"/>
      <c r="O146" s="242"/>
      <c r="P146" s="242"/>
      <c r="Q146" s="242"/>
      <c r="R146" s="242"/>
      <c r="S146" s="242"/>
      <c r="T146" s="242"/>
      <c r="U146" s="242"/>
      <c r="V146" s="242"/>
    </row>
    <row r="147" spans="2:22">
      <c r="B147" s="242"/>
      <c r="C147" s="242"/>
      <c r="D147" s="242"/>
      <c r="E147" s="242"/>
      <c r="F147" s="242"/>
      <c r="G147" s="242"/>
      <c r="H147" s="242"/>
      <c r="I147" s="35"/>
      <c r="J147" s="35"/>
      <c r="K147" s="35"/>
      <c r="L147" s="242"/>
      <c r="M147" s="242"/>
      <c r="N147" s="242"/>
      <c r="O147" s="242"/>
      <c r="P147" s="242"/>
      <c r="Q147" s="242"/>
      <c r="R147" s="242"/>
      <c r="S147" s="242"/>
      <c r="T147" s="242"/>
      <c r="U147" s="242"/>
      <c r="V147" s="242"/>
    </row>
    <row r="148" spans="2:22">
      <c r="B148" s="242"/>
      <c r="C148" s="242"/>
      <c r="D148" s="242"/>
      <c r="E148" s="242"/>
      <c r="F148" s="242"/>
      <c r="G148" s="242"/>
      <c r="H148" s="242"/>
      <c r="I148" s="35"/>
      <c r="J148" s="35"/>
      <c r="K148" s="35"/>
      <c r="L148" s="242"/>
      <c r="M148" s="242"/>
      <c r="N148" s="242"/>
      <c r="O148" s="242"/>
      <c r="P148" s="242"/>
      <c r="Q148" s="242"/>
      <c r="R148" s="242"/>
      <c r="S148" s="242"/>
      <c r="T148" s="242"/>
      <c r="U148" s="242"/>
      <c r="V148" s="242"/>
    </row>
    <row r="149" spans="2:22">
      <c r="B149" s="242"/>
      <c r="C149" s="242"/>
      <c r="D149" s="242"/>
      <c r="E149" s="242"/>
      <c r="F149" s="242"/>
      <c r="G149" s="242"/>
      <c r="H149" s="242"/>
      <c r="I149" s="35"/>
      <c r="J149" s="35"/>
      <c r="K149" s="35"/>
      <c r="L149" s="242"/>
      <c r="M149" s="242"/>
      <c r="N149" s="242"/>
      <c r="O149" s="242"/>
      <c r="P149" s="242"/>
      <c r="Q149" s="242"/>
      <c r="R149" s="242"/>
      <c r="S149" s="242"/>
      <c r="T149" s="242"/>
      <c r="U149" s="242"/>
      <c r="V149" s="242"/>
    </row>
    <row r="150" spans="2:22">
      <c r="B150" s="242"/>
      <c r="C150" s="242"/>
      <c r="D150" s="242"/>
      <c r="E150" s="242"/>
      <c r="F150" s="242"/>
      <c r="G150" s="242"/>
      <c r="H150" s="242"/>
      <c r="I150" s="35"/>
      <c r="J150" s="35"/>
      <c r="K150" s="35"/>
      <c r="L150" s="242"/>
      <c r="M150" s="242"/>
      <c r="N150" s="242"/>
      <c r="O150" s="242"/>
      <c r="P150" s="242"/>
      <c r="Q150" s="242"/>
      <c r="R150" s="242"/>
      <c r="S150" s="242"/>
      <c r="T150" s="242"/>
      <c r="U150" s="242"/>
      <c r="V150" s="242"/>
    </row>
    <row r="151" spans="2:22">
      <c r="B151" s="242"/>
      <c r="C151" s="242"/>
      <c r="D151" s="242"/>
      <c r="E151" s="242"/>
      <c r="F151" s="242"/>
      <c r="G151" s="242"/>
      <c r="H151" s="242"/>
      <c r="I151" s="35"/>
      <c r="J151" s="35"/>
      <c r="K151" s="35"/>
      <c r="L151" s="242"/>
      <c r="M151" s="242"/>
      <c r="N151" s="242"/>
      <c r="O151" s="242"/>
      <c r="P151" s="242"/>
      <c r="Q151" s="242"/>
      <c r="R151" s="242"/>
      <c r="S151" s="242"/>
      <c r="T151" s="242"/>
      <c r="U151" s="242"/>
      <c r="V151" s="242"/>
    </row>
    <row r="152" spans="2:22">
      <c r="B152" s="242"/>
      <c r="C152" s="242"/>
      <c r="D152" s="242"/>
      <c r="E152" s="242"/>
      <c r="F152" s="242"/>
      <c r="G152" s="242"/>
      <c r="H152" s="242"/>
      <c r="I152" s="35"/>
      <c r="J152" s="35"/>
      <c r="K152" s="35"/>
      <c r="L152" s="242"/>
      <c r="M152" s="242"/>
      <c r="N152" s="242"/>
      <c r="O152" s="242"/>
      <c r="P152" s="242"/>
      <c r="Q152" s="242"/>
      <c r="R152" s="242"/>
      <c r="S152" s="242"/>
      <c r="T152" s="242"/>
      <c r="U152" s="242"/>
      <c r="V152" s="242"/>
    </row>
    <row r="153" spans="2:22">
      <c r="B153" s="242"/>
      <c r="C153" s="242"/>
      <c r="D153" s="242"/>
      <c r="E153" s="242"/>
      <c r="F153" s="242"/>
      <c r="G153" s="242"/>
      <c r="H153" s="242"/>
      <c r="I153" s="35"/>
      <c r="J153" s="35"/>
      <c r="K153" s="35"/>
      <c r="L153" s="242"/>
      <c r="M153" s="242"/>
      <c r="N153" s="242"/>
      <c r="O153" s="242"/>
      <c r="P153" s="242"/>
      <c r="Q153" s="242"/>
      <c r="R153" s="242"/>
      <c r="S153" s="242"/>
      <c r="T153" s="242"/>
      <c r="U153" s="242"/>
      <c r="V153" s="242"/>
    </row>
    <row r="154" spans="2:22">
      <c r="B154" s="242"/>
      <c r="C154" s="242"/>
      <c r="D154" s="242"/>
      <c r="E154" s="242"/>
      <c r="F154" s="242"/>
      <c r="G154" s="242"/>
      <c r="H154" s="242"/>
      <c r="I154" s="35"/>
      <c r="J154" s="35"/>
      <c r="K154" s="35"/>
      <c r="L154" s="242"/>
      <c r="M154" s="242"/>
      <c r="N154" s="242"/>
      <c r="O154" s="242"/>
      <c r="P154" s="242"/>
      <c r="Q154" s="242"/>
      <c r="R154" s="242"/>
      <c r="S154" s="242"/>
      <c r="T154" s="242"/>
      <c r="U154" s="242"/>
      <c r="V154" s="242"/>
    </row>
    <row r="155" spans="2:22">
      <c r="B155" s="242"/>
      <c r="C155" s="242"/>
      <c r="D155" s="242"/>
      <c r="E155" s="242"/>
      <c r="F155" s="242"/>
      <c r="G155" s="242"/>
      <c r="H155" s="242"/>
      <c r="I155" s="35"/>
      <c r="J155" s="35"/>
      <c r="K155" s="35"/>
      <c r="L155" s="242"/>
      <c r="M155" s="242"/>
      <c r="N155" s="242"/>
      <c r="O155" s="242"/>
      <c r="P155" s="242"/>
      <c r="Q155" s="242"/>
      <c r="R155" s="242"/>
      <c r="S155" s="242"/>
      <c r="T155" s="242"/>
      <c r="U155" s="242"/>
      <c r="V155" s="242"/>
    </row>
    <row r="156" spans="2:22">
      <c r="B156" s="242"/>
      <c r="C156" s="242"/>
      <c r="D156" s="242"/>
      <c r="E156" s="242"/>
      <c r="F156" s="242"/>
      <c r="G156" s="242"/>
      <c r="H156" s="242"/>
      <c r="I156" s="35"/>
      <c r="J156" s="35"/>
      <c r="K156" s="35"/>
      <c r="L156" s="242"/>
      <c r="M156" s="242"/>
      <c r="N156" s="242"/>
      <c r="O156" s="242"/>
      <c r="P156" s="242"/>
      <c r="Q156" s="242"/>
      <c r="R156" s="242"/>
      <c r="S156" s="242"/>
      <c r="T156" s="242"/>
      <c r="U156" s="242"/>
      <c r="V156" s="242"/>
    </row>
    <row r="157" spans="2:22">
      <c r="B157" s="242"/>
      <c r="C157" s="242"/>
      <c r="D157" s="242"/>
      <c r="E157" s="242"/>
      <c r="F157" s="242"/>
      <c r="G157" s="242"/>
      <c r="H157" s="242"/>
      <c r="I157" s="35"/>
      <c r="J157" s="35"/>
      <c r="K157" s="35"/>
      <c r="L157" s="242"/>
      <c r="M157" s="242"/>
      <c r="N157" s="242"/>
      <c r="O157" s="242"/>
      <c r="P157" s="242"/>
      <c r="Q157" s="242"/>
      <c r="R157" s="242"/>
      <c r="S157" s="242"/>
      <c r="T157" s="242"/>
      <c r="U157" s="242"/>
      <c r="V157" s="242"/>
    </row>
    <row r="158" spans="2:22">
      <c r="B158" s="242"/>
      <c r="C158" s="242"/>
      <c r="D158" s="242"/>
      <c r="E158" s="242"/>
      <c r="F158" s="242"/>
      <c r="G158" s="242"/>
      <c r="H158" s="242"/>
      <c r="I158" s="35"/>
      <c r="J158" s="35"/>
      <c r="K158" s="35"/>
      <c r="L158" s="242"/>
      <c r="M158" s="242"/>
      <c r="N158" s="242"/>
      <c r="O158" s="242"/>
      <c r="P158" s="242"/>
      <c r="Q158" s="242"/>
      <c r="R158" s="242"/>
      <c r="S158" s="242"/>
      <c r="T158" s="242"/>
      <c r="U158" s="242"/>
      <c r="V158" s="242"/>
    </row>
    <row r="159" spans="2:22">
      <c r="B159" s="242"/>
      <c r="C159" s="242"/>
      <c r="D159" s="242"/>
      <c r="E159" s="242"/>
      <c r="F159" s="242"/>
      <c r="G159" s="242"/>
      <c r="H159" s="242"/>
      <c r="I159" s="35"/>
      <c r="J159" s="35"/>
      <c r="K159" s="35"/>
      <c r="L159" s="242"/>
      <c r="M159" s="242"/>
      <c r="N159" s="242"/>
      <c r="O159" s="242"/>
      <c r="P159" s="242"/>
      <c r="Q159" s="242"/>
      <c r="R159" s="242"/>
      <c r="S159" s="242"/>
      <c r="T159" s="242"/>
      <c r="U159" s="242"/>
      <c r="V159" s="242"/>
    </row>
    <row r="160" spans="2:22">
      <c r="B160" s="242"/>
      <c r="C160" s="242"/>
      <c r="D160" s="242"/>
      <c r="E160" s="242"/>
      <c r="F160" s="242"/>
      <c r="G160" s="242"/>
      <c r="H160" s="242"/>
      <c r="I160" s="35"/>
      <c r="J160" s="35"/>
      <c r="K160" s="35"/>
      <c r="L160" s="242"/>
      <c r="M160" s="242"/>
      <c r="N160" s="242"/>
      <c r="O160" s="242"/>
      <c r="P160" s="242"/>
      <c r="Q160" s="242"/>
      <c r="R160" s="242"/>
      <c r="S160" s="242"/>
      <c r="T160" s="242"/>
      <c r="U160" s="242"/>
      <c r="V160" s="242"/>
    </row>
    <row r="161" spans="2:22">
      <c r="B161" s="242"/>
      <c r="C161" s="242"/>
      <c r="D161" s="242"/>
      <c r="E161" s="242"/>
      <c r="F161" s="242"/>
      <c r="G161" s="242"/>
      <c r="H161" s="242"/>
      <c r="I161" s="35"/>
      <c r="J161" s="35"/>
      <c r="K161" s="35"/>
      <c r="L161" s="242"/>
      <c r="M161" s="242"/>
      <c r="N161" s="242"/>
      <c r="O161" s="242"/>
      <c r="P161" s="242"/>
      <c r="Q161" s="242"/>
      <c r="R161" s="242"/>
      <c r="S161" s="242"/>
      <c r="T161" s="242"/>
      <c r="U161" s="242"/>
      <c r="V161" s="242"/>
    </row>
    <row r="162" spans="2:22">
      <c r="B162" s="242"/>
      <c r="C162" s="242"/>
      <c r="D162" s="242"/>
      <c r="E162" s="242"/>
      <c r="F162" s="242"/>
      <c r="G162" s="242"/>
      <c r="H162" s="242"/>
      <c r="I162" s="35"/>
      <c r="J162" s="35"/>
      <c r="K162" s="35"/>
      <c r="L162" s="242"/>
      <c r="M162" s="242"/>
      <c r="N162" s="242"/>
      <c r="O162" s="242"/>
      <c r="P162" s="242"/>
      <c r="Q162" s="242"/>
      <c r="R162" s="242"/>
      <c r="S162" s="242"/>
      <c r="T162" s="242"/>
      <c r="U162" s="242"/>
      <c r="V162" s="242"/>
    </row>
    <row r="163" spans="2:22">
      <c r="B163" s="242"/>
      <c r="C163" s="242"/>
      <c r="D163" s="242"/>
      <c r="E163" s="242"/>
      <c r="F163" s="242"/>
      <c r="G163" s="242"/>
      <c r="H163" s="242"/>
      <c r="I163" s="35"/>
      <c r="J163" s="35"/>
      <c r="K163" s="35"/>
      <c r="L163" s="242"/>
      <c r="M163" s="242"/>
      <c r="N163" s="242"/>
      <c r="O163" s="242"/>
      <c r="P163" s="242"/>
      <c r="Q163" s="242"/>
      <c r="R163" s="242"/>
      <c r="S163" s="242"/>
      <c r="T163" s="242"/>
      <c r="U163" s="242"/>
      <c r="V163" s="242"/>
    </row>
    <row r="164" spans="2:22">
      <c r="B164" s="242"/>
      <c r="C164" s="242"/>
      <c r="D164" s="242"/>
      <c r="E164" s="242"/>
      <c r="F164" s="242"/>
      <c r="G164" s="242"/>
      <c r="H164" s="242"/>
      <c r="I164" s="35"/>
      <c r="J164" s="35"/>
      <c r="K164" s="35"/>
      <c r="L164" s="242"/>
      <c r="M164" s="242"/>
      <c r="N164" s="242"/>
      <c r="O164" s="242"/>
      <c r="P164" s="242"/>
      <c r="Q164" s="242"/>
      <c r="R164" s="242"/>
      <c r="S164" s="242"/>
      <c r="T164" s="242"/>
      <c r="U164" s="242"/>
      <c r="V164" s="242"/>
    </row>
    <row r="165" spans="2:22">
      <c r="B165" s="242"/>
      <c r="C165" s="242"/>
      <c r="D165" s="242"/>
      <c r="E165" s="242"/>
      <c r="F165" s="242"/>
      <c r="G165" s="242"/>
      <c r="H165" s="242"/>
      <c r="I165" s="35"/>
      <c r="J165" s="35"/>
      <c r="K165" s="35"/>
      <c r="L165" s="242"/>
      <c r="M165" s="242"/>
      <c r="N165" s="242"/>
      <c r="O165" s="242"/>
      <c r="P165" s="242"/>
      <c r="Q165" s="242"/>
      <c r="R165" s="242"/>
      <c r="S165" s="242"/>
      <c r="T165" s="242"/>
      <c r="U165" s="242"/>
      <c r="V165" s="242"/>
    </row>
    <row r="166" spans="2:22">
      <c r="B166" s="242"/>
      <c r="C166" s="242"/>
      <c r="D166" s="242"/>
      <c r="E166" s="242"/>
      <c r="F166" s="242"/>
      <c r="G166" s="242"/>
      <c r="H166" s="242"/>
      <c r="I166" s="35"/>
      <c r="J166" s="35"/>
      <c r="K166" s="35"/>
      <c r="L166" s="242"/>
      <c r="M166" s="242"/>
      <c r="N166" s="242"/>
      <c r="O166" s="242"/>
      <c r="P166" s="242"/>
      <c r="Q166" s="242"/>
      <c r="R166" s="242"/>
      <c r="S166" s="242"/>
      <c r="T166" s="242"/>
      <c r="U166" s="242"/>
      <c r="V166" s="242"/>
    </row>
    <row r="167" spans="2:22">
      <c r="B167" s="242"/>
      <c r="C167" s="242"/>
      <c r="D167" s="242"/>
      <c r="E167" s="242"/>
      <c r="F167" s="242"/>
      <c r="G167" s="242"/>
      <c r="H167" s="242"/>
      <c r="I167" s="35"/>
      <c r="J167" s="35"/>
      <c r="K167" s="35"/>
      <c r="L167" s="242"/>
      <c r="M167" s="242"/>
      <c r="N167" s="242"/>
      <c r="O167" s="242"/>
      <c r="P167" s="242"/>
      <c r="Q167" s="242"/>
      <c r="R167" s="242"/>
      <c r="S167" s="242"/>
      <c r="T167" s="242"/>
      <c r="U167" s="242"/>
      <c r="V167" s="242"/>
    </row>
    <row r="168" spans="2:22">
      <c r="B168" s="242"/>
      <c r="C168" s="242"/>
      <c r="D168" s="242"/>
      <c r="E168" s="242"/>
      <c r="F168" s="242"/>
      <c r="G168" s="242"/>
      <c r="H168" s="242"/>
      <c r="I168" s="35"/>
      <c r="J168" s="35"/>
      <c r="K168" s="35"/>
      <c r="L168" s="242"/>
      <c r="M168" s="242"/>
      <c r="N168" s="242"/>
      <c r="O168" s="242"/>
      <c r="P168" s="242"/>
      <c r="Q168" s="242"/>
      <c r="R168" s="242"/>
      <c r="S168" s="242"/>
      <c r="T168" s="242"/>
      <c r="U168" s="242"/>
      <c r="V168" s="242"/>
    </row>
    <row r="169" spans="2:22">
      <c r="B169" s="242"/>
      <c r="C169" s="242"/>
      <c r="D169" s="242"/>
      <c r="E169" s="242"/>
      <c r="F169" s="242"/>
      <c r="G169" s="242"/>
      <c r="H169" s="242"/>
      <c r="I169" s="35"/>
      <c r="J169" s="35"/>
      <c r="K169" s="35"/>
      <c r="L169" s="242"/>
      <c r="M169" s="242"/>
      <c r="N169" s="242"/>
      <c r="O169" s="242"/>
      <c r="P169" s="242"/>
      <c r="Q169" s="242"/>
      <c r="R169" s="242"/>
      <c r="S169" s="242"/>
      <c r="T169" s="242"/>
      <c r="U169" s="242"/>
      <c r="V169" s="242"/>
    </row>
    <row r="170" spans="2:22">
      <c r="B170" s="242"/>
      <c r="C170" s="242"/>
      <c r="D170" s="242"/>
      <c r="E170" s="242"/>
      <c r="F170" s="242"/>
      <c r="G170" s="242"/>
      <c r="H170" s="242"/>
      <c r="I170" s="35"/>
      <c r="J170" s="35"/>
      <c r="K170" s="35"/>
      <c r="L170" s="242"/>
      <c r="M170" s="242"/>
      <c r="N170" s="242"/>
      <c r="O170" s="242"/>
      <c r="P170" s="242"/>
      <c r="Q170" s="242"/>
      <c r="R170" s="242"/>
      <c r="S170" s="242"/>
      <c r="T170" s="242"/>
      <c r="U170" s="242"/>
      <c r="V170" s="242"/>
    </row>
    <row r="171" spans="2:22">
      <c r="B171" s="242"/>
      <c r="C171" s="242"/>
      <c r="D171" s="242"/>
      <c r="E171" s="242"/>
      <c r="F171" s="242"/>
      <c r="G171" s="242"/>
      <c r="H171" s="242"/>
      <c r="I171" s="35"/>
      <c r="J171" s="35"/>
      <c r="K171" s="35"/>
      <c r="L171" s="242"/>
      <c r="M171" s="242"/>
      <c r="N171" s="242"/>
      <c r="O171" s="242"/>
      <c r="P171" s="242"/>
      <c r="Q171" s="242"/>
      <c r="R171" s="242"/>
      <c r="S171" s="242"/>
      <c r="T171" s="242"/>
      <c r="U171" s="242"/>
      <c r="V171" s="242"/>
    </row>
    <row r="172" spans="2:22">
      <c r="B172" s="242"/>
      <c r="C172" s="242"/>
      <c r="D172" s="242"/>
      <c r="E172" s="242"/>
      <c r="F172" s="242"/>
      <c r="G172" s="242"/>
      <c r="H172" s="242"/>
      <c r="I172" s="35"/>
      <c r="J172" s="35"/>
      <c r="K172" s="35"/>
      <c r="L172" s="242"/>
      <c r="M172" s="242"/>
      <c r="N172" s="242"/>
      <c r="O172" s="242"/>
      <c r="P172" s="242"/>
      <c r="Q172" s="242"/>
      <c r="R172" s="242"/>
      <c r="S172" s="242"/>
      <c r="T172" s="242"/>
      <c r="U172" s="242"/>
      <c r="V172" s="242"/>
    </row>
    <row r="173" spans="2:22">
      <c r="B173" s="242"/>
      <c r="C173" s="242"/>
      <c r="D173" s="242"/>
      <c r="E173" s="242"/>
      <c r="F173" s="242"/>
      <c r="G173" s="242"/>
      <c r="H173" s="242"/>
      <c r="I173" s="35"/>
      <c r="J173" s="35"/>
      <c r="K173" s="35"/>
      <c r="L173" s="242"/>
      <c r="M173" s="242"/>
      <c r="N173" s="242"/>
      <c r="O173" s="242"/>
      <c r="P173" s="242"/>
      <c r="Q173" s="242"/>
      <c r="R173" s="242"/>
      <c r="S173" s="242"/>
      <c r="T173" s="242"/>
      <c r="U173" s="242"/>
      <c r="V173" s="242"/>
    </row>
    <row r="174" spans="2:22">
      <c r="B174" s="242"/>
      <c r="C174" s="242"/>
      <c r="D174" s="242"/>
      <c r="E174" s="242"/>
      <c r="F174" s="242"/>
      <c r="G174" s="242"/>
      <c r="H174" s="242"/>
      <c r="I174" s="35"/>
      <c r="J174" s="35"/>
      <c r="K174" s="35"/>
      <c r="L174" s="242"/>
      <c r="M174" s="242"/>
      <c r="N174" s="242"/>
      <c r="O174" s="242"/>
      <c r="P174" s="242"/>
      <c r="Q174" s="242"/>
      <c r="R174" s="242"/>
      <c r="S174" s="242"/>
      <c r="T174" s="242"/>
      <c r="U174" s="242"/>
      <c r="V174" s="242"/>
    </row>
    <row r="175" spans="2:22">
      <c r="B175" s="242"/>
      <c r="C175" s="242"/>
      <c r="D175" s="242"/>
      <c r="E175" s="242"/>
      <c r="F175" s="242"/>
      <c r="G175" s="242"/>
      <c r="H175" s="242"/>
      <c r="I175" s="35"/>
      <c r="J175" s="35"/>
      <c r="K175" s="35"/>
      <c r="L175" s="242"/>
      <c r="M175" s="242"/>
      <c r="N175" s="242"/>
      <c r="O175" s="242"/>
      <c r="P175" s="242"/>
      <c r="Q175" s="242"/>
      <c r="R175" s="242"/>
      <c r="S175" s="242"/>
      <c r="T175" s="242"/>
      <c r="U175" s="242"/>
      <c r="V175" s="242"/>
    </row>
    <row r="176" spans="2:22">
      <c r="B176" s="242"/>
      <c r="C176" s="242"/>
      <c r="D176" s="242"/>
      <c r="E176" s="242"/>
      <c r="F176" s="242"/>
      <c r="G176" s="242"/>
      <c r="H176" s="242"/>
      <c r="I176" s="35"/>
      <c r="J176" s="35"/>
      <c r="K176" s="35"/>
      <c r="L176" s="242"/>
      <c r="M176" s="242"/>
      <c r="N176" s="242"/>
      <c r="O176" s="242"/>
      <c r="P176" s="242"/>
      <c r="Q176" s="242"/>
      <c r="R176" s="242"/>
      <c r="S176" s="242"/>
      <c r="T176" s="242"/>
      <c r="U176" s="242"/>
      <c r="V176" s="242"/>
    </row>
    <row r="177" spans="2:22">
      <c r="B177" s="242"/>
      <c r="C177" s="242"/>
      <c r="D177" s="242"/>
      <c r="E177" s="242"/>
      <c r="F177" s="242"/>
      <c r="G177" s="242"/>
      <c r="H177" s="242"/>
      <c r="I177" s="35"/>
      <c r="J177" s="35"/>
      <c r="K177" s="35"/>
      <c r="L177" s="242"/>
      <c r="M177" s="242"/>
      <c r="N177" s="242"/>
      <c r="O177" s="242"/>
      <c r="P177" s="242"/>
      <c r="Q177" s="242"/>
      <c r="R177" s="242"/>
      <c r="S177" s="242"/>
      <c r="T177" s="242"/>
      <c r="U177" s="242"/>
      <c r="V177" s="242"/>
    </row>
    <row r="178" spans="2:22">
      <c r="B178" s="242"/>
      <c r="C178" s="242"/>
      <c r="D178" s="242"/>
      <c r="E178" s="242"/>
      <c r="F178" s="242"/>
      <c r="G178" s="242"/>
      <c r="H178" s="242"/>
      <c r="I178" s="35"/>
      <c r="J178" s="35"/>
      <c r="K178" s="35"/>
      <c r="L178" s="242"/>
      <c r="M178" s="242"/>
      <c r="N178" s="242"/>
      <c r="O178" s="242"/>
      <c r="P178" s="242"/>
      <c r="Q178" s="242"/>
      <c r="R178" s="242"/>
      <c r="S178" s="242"/>
      <c r="T178" s="242"/>
      <c r="U178" s="242"/>
      <c r="V178" s="242"/>
    </row>
    <row r="179" spans="2:22">
      <c r="B179" s="242"/>
      <c r="C179" s="242"/>
      <c r="D179" s="242"/>
      <c r="E179" s="242"/>
      <c r="F179" s="242"/>
      <c r="G179" s="242"/>
      <c r="H179" s="242"/>
      <c r="I179" s="35"/>
      <c r="J179" s="35"/>
      <c r="K179" s="35"/>
      <c r="L179" s="242"/>
      <c r="M179" s="242"/>
      <c r="N179" s="242"/>
      <c r="O179" s="242"/>
      <c r="P179" s="242"/>
      <c r="Q179" s="242"/>
      <c r="R179" s="242"/>
      <c r="S179" s="242"/>
      <c r="T179" s="242"/>
      <c r="U179" s="242"/>
      <c r="V179" s="242"/>
    </row>
    <row r="180" spans="2:22">
      <c r="B180" s="242"/>
      <c r="C180" s="242"/>
      <c r="D180" s="242"/>
      <c r="E180" s="242"/>
      <c r="F180" s="242"/>
      <c r="G180" s="242"/>
      <c r="H180" s="242"/>
      <c r="I180" s="35"/>
      <c r="J180" s="35"/>
      <c r="K180" s="35"/>
      <c r="L180" s="242"/>
      <c r="M180" s="242"/>
      <c r="N180" s="242"/>
      <c r="O180" s="242"/>
      <c r="P180" s="242"/>
      <c r="Q180" s="242"/>
      <c r="R180" s="242"/>
      <c r="S180" s="242"/>
      <c r="T180" s="242"/>
      <c r="U180" s="242"/>
      <c r="V180" s="242"/>
    </row>
    <row r="181" spans="2:22">
      <c r="B181" s="242"/>
      <c r="C181" s="242"/>
      <c r="D181" s="242"/>
      <c r="E181" s="242"/>
      <c r="F181" s="242"/>
      <c r="G181" s="242"/>
      <c r="H181" s="242"/>
      <c r="I181" s="35"/>
      <c r="J181" s="35"/>
      <c r="K181" s="35"/>
      <c r="L181" s="242"/>
      <c r="M181" s="242"/>
      <c r="N181" s="242"/>
      <c r="O181" s="242"/>
      <c r="P181" s="242"/>
      <c r="Q181" s="242"/>
      <c r="R181" s="242"/>
      <c r="S181" s="242"/>
      <c r="T181" s="242"/>
      <c r="U181" s="242"/>
      <c r="V181" s="242"/>
    </row>
    <row r="182" spans="2:22">
      <c r="B182" s="242"/>
      <c r="C182" s="242"/>
      <c r="D182" s="242"/>
      <c r="E182" s="242"/>
      <c r="F182" s="242"/>
      <c r="G182" s="242"/>
      <c r="H182" s="242"/>
      <c r="I182" s="35"/>
      <c r="J182" s="35"/>
      <c r="K182" s="35"/>
      <c r="L182" s="242"/>
      <c r="M182" s="242"/>
      <c r="N182" s="242"/>
      <c r="O182" s="242"/>
      <c r="P182" s="242"/>
      <c r="Q182" s="242"/>
      <c r="R182" s="242"/>
      <c r="S182" s="242"/>
      <c r="T182" s="242"/>
      <c r="U182" s="242"/>
      <c r="V182" s="242"/>
    </row>
    <row r="183" spans="2:22">
      <c r="B183" s="242"/>
      <c r="C183" s="242"/>
      <c r="D183" s="242"/>
      <c r="E183" s="242"/>
      <c r="F183" s="242"/>
      <c r="G183" s="242"/>
      <c r="H183" s="242"/>
      <c r="I183" s="35"/>
      <c r="J183" s="35"/>
      <c r="K183" s="35"/>
      <c r="L183" s="242"/>
      <c r="M183" s="242"/>
      <c r="N183" s="242"/>
      <c r="O183" s="242"/>
      <c r="P183" s="242"/>
      <c r="Q183" s="242"/>
      <c r="R183" s="242"/>
      <c r="S183" s="242"/>
      <c r="T183" s="242"/>
      <c r="U183" s="242"/>
      <c r="V183" s="242"/>
    </row>
    <row r="184" spans="2:22">
      <c r="B184" s="242"/>
      <c r="C184" s="242"/>
      <c r="D184" s="242"/>
      <c r="E184" s="242"/>
      <c r="F184" s="242"/>
      <c r="G184" s="242"/>
      <c r="H184" s="242"/>
      <c r="I184" s="35"/>
      <c r="J184" s="35"/>
      <c r="K184" s="35"/>
      <c r="L184" s="242"/>
      <c r="M184" s="242"/>
      <c r="N184" s="242"/>
      <c r="O184" s="242"/>
      <c r="P184" s="242"/>
      <c r="Q184" s="242"/>
      <c r="R184" s="242"/>
      <c r="S184" s="242"/>
      <c r="T184" s="242"/>
      <c r="U184" s="242"/>
      <c r="V184" s="242"/>
    </row>
    <row r="185" spans="2:22">
      <c r="B185" s="242"/>
      <c r="C185" s="242"/>
      <c r="D185" s="242"/>
      <c r="E185" s="242"/>
      <c r="F185" s="242"/>
      <c r="G185" s="242"/>
      <c r="H185" s="242"/>
      <c r="I185" s="35"/>
      <c r="J185" s="35"/>
      <c r="K185" s="35"/>
      <c r="L185" s="242"/>
      <c r="M185" s="242"/>
      <c r="N185" s="242"/>
      <c r="O185" s="242"/>
      <c r="P185" s="242"/>
      <c r="Q185" s="242"/>
      <c r="R185" s="242"/>
      <c r="S185" s="242"/>
      <c r="T185" s="242"/>
      <c r="U185" s="242"/>
      <c r="V185" s="242"/>
    </row>
    <row r="186" spans="2:22">
      <c r="B186" s="242"/>
      <c r="C186" s="242"/>
      <c r="D186" s="242"/>
      <c r="E186" s="242"/>
      <c r="F186" s="242"/>
      <c r="G186" s="242"/>
      <c r="H186" s="242"/>
      <c r="I186" s="35"/>
      <c r="J186" s="35"/>
      <c r="K186" s="35"/>
      <c r="L186" s="242"/>
      <c r="M186" s="242"/>
      <c r="N186" s="242"/>
      <c r="O186" s="242"/>
      <c r="P186" s="242"/>
      <c r="Q186" s="242"/>
      <c r="R186" s="242"/>
      <c r="S186" s="242"/>
      <c r="T186" s="242"/>
      <c r="U186" s="242"/>
      <c r="V186" s="242"/>
    </row>
    <row r="187" spans="2:22">
      <c r="B187" s="242"/>
      <c r="C187" s="242"/>
      <c r="D187" s="242"/>
      <c r="E187" s="242"/>
      <c r="F187" s="242"/>
      <c r="G187" s="242"/>
      <c r="H187" s="242"/>
      <c r="I187" s="35"/>
      <c r="J187" s="35"/>
      <c r="K187" s="35"/>
      <c r="L187" s="242"/>
      <c r="M187" s="242"/>
      <c r="N187" s="242"/>
      <c r="O187" s="242"/>
      <c r="P187" s="242"/>
      <c r="Q187" s="242"/>
      <c r="R187" s="242"/>
      <c r="S187" s="242"/>
      <c r="T187" s="242"/>
      <c r="U187" s="242"/>
      <c r="V187" s="242"/>
    </row>
    <row r="188" spans="2:22">
      <c r="B188" s="242"/>
      <c r="C188" s="242"/>
      <c r="D188" s="242"/>
      <c r="E188" s="242"/>
      <c r="F188" s="242"/>
      <c r="G188" s="242"/>
      <c r="H188" s="242"/>
      <c r="I188" s="35"/>
      <c r="J188" s="35"/>
      <c r="K188" s="35"/>
      <c r="L188" s="242"/>
      <c r="M188" s="242"/>
      <c r="N188" s="242"/>
      <c r="O188" s="242"/>
      <c r="P188" s="242"/>
      <c r="Q188" s="242"/>
      <c r="R188" s="242"/>
      <c r="S188" s="242"/>
      <c r="T188" s="242"/>
      <c r="U188" s="242"/>
      <c r="V188" s="242"/>
    </row>
    <row r="189" spans="2:22">
      <c r="B189" s="242"/>
      <c r="C189" s="242"/>
      <c r="D189" s="242"/>
      <c r="E189" s="242"/>
      <c r="F189" s="242"/>
      <c r="G189" s="242"/>
      <c r="H189" s="242"/>
      <c r="I189" s="35"/>
      <c r="J189" s="35"/>
      <c r="K189" s="35"/>
      <c r="L189" s="242"/>
      <c r="M189" s="242"/>
      <c r="N189" s="242"/>
      <c r="O189" s="242"/>
      <c r="P189" s="242"/>
      <c r="Q189" s="242"/>
      <c r="R189" s="242"/>
      <c r="S189" s="242"/>
      <c r="T189" s="242"/>
      <c r="U189" s="242"/>
      <c r="V189" s="242"/>
    </row>
    <row r="190" spans="2:22">
      <c r="B190" s="242"/>
      <c r="C190" s="242"/>
      <c r="D190" s="242"/>
      <c r="E190" s="242"/>
      <c r="F190" s="242"/>
      <c r="G190" s="242"/>
      <c r="H190" s="242"/>
      <c r="I190" s="35"/>
      <c r="J190" s="35"/>
      <c r="K190" s="35"/>
      <c r="L190" s="242"/>
      <c r="M190" s="242"/>
      <c r="N190" s="242"/>
      <c r="O190" s="242"/>
      <c r="P190" s="242"/>
      <c r="Q190" s="242"/>
      <c r="R190" s="242"/>
      <c r="S190" s="242"/>
      <c r="T190" s="242"/>
      <c r="U190" s="242"/>
      <c r="V190" s="242"/>
    </row>
    <row r="191" spans="2:22">
      <c r="B191" s="242"/>
      <c r="C191" s="242"/>
      <c r="D191" s="242"/>
      <c r="E191" s="242"/>
      <c r="F191" s="242"/>
      <c r="G191" s="242"/>
      <c r="H191" s="242"/>
      <c r="I191" s="35"/>
      <c r="J191" s="35"/>
      <c r="K191" s="35"/>
      <c r="L191" s="242"/>
      <c r="M191" s="242"/>
      <c r="N191" s="242"/>
      <c r="O191" s="242"/>
      <c r="P191" s="242"/>
      <c r="Q191" s="242"/>
      <c r="R191" s="242"/>
      <c r="S191" s="242"/>
      <c r="T191" s="242"/>
      <c r="U191" s="242"/>
      <c r="V191" s="242"/>
    </row>
    <row r="192" spans="2:22">
      <c r="B192" s="242"/>
      <c r="C192" s="242"/>
      <c r="D192" s="242"/>
      <c r="E192" s="242"/>
      <c r="F192" s="242"/>
      <c r="G192" s="242"/>
      <c r="H192" s="242"/>
      <c r="I192" s="35"/>
      <c r="J192" s="35"/>
      <c r="K192" s="35"/>
      <c r="L192" s="242"/>
      <c r="M192" s="242"/>
      <c r="N192" s="242"/>
      <c r="O192" s="242"/>
      <c r="P192" s="242"/>
      <c r="Q192" s="242"/>
      <c r="R192" s="242"/>
      <c r="S192" s="242"/>
      <c r="T192" s="242"/>
      <c r="U192" s="242"/>
      <c r="V192" s="242"/>
    </row>
    <row r="193" spans="2:22">
      <c r="B193" s="242"/>
      <c r="C193" s="242"/>
      <c r="D193" s="242"/>
      <c r="E193" s="242"/>
      <c r="F193" s="242"/>
      <c r="G193" s="242"/>
      <c r="H193" s="242"/>
      <c r="I193" s="35"/>
      <c r="J193" s="35"/>
      <c r="K193" s="35"/>
      <c r="L193" s="242"/>
      <c r="M193" s="242"/>
      <c r="N193" s="242"/>
      <c r="O193" s="242"/>
      <c r="P193" s="242"/>
      <c r="Q193" s="242"/>
      <c r="R193" s="242"/>
      <c r="S193" s="242"/>
      <c r="T193" s="242"/>
      <c r="U193" s="242"/>
      <c r="V193" s="242"/>
    </row>
    <row r="194" spans="2:22">
      <c r="B194" s="242"/>
      <c r="C194" s="242"/>
      <c r="D194" s="242"/>
      <c r="E194" s="242"/>
      <c r="F194" s="242"/>
      <c r="G194" s="242"/>
      <c r="H194" s="242"/>
      <c r="I194" s="35"/>
      <c r="J194" s="35"/>
      <c r="K194" s="35"/>
      <c r="L194" s="242"/>
      <c r="M194" s="242"/>
      <c r="N194" s="242"/>
      <c r="O194" s="242"/>
      <c r="P194" s="242"/>
      <c r="Q194" s="242"/>
      <c r="R194" s="242"/>
      <c r="S194" s="242"/>
      <c r="T194" s="242"/>
      <c r="U194" s="242"/>
      <c r="V194" s="242"/>
    </row>
    <row r="195" spans="2:22">
      <c r="B195" s="242"/>
      <c r="C195" s="242"/>
      <c r="D195" s="242"/>
      <c r="E195" s="242"/>
      <c r="F195" s="242"/>
      <c r="G195" s="242"/>
      <c r="H195" s="242"/>
      <c r="I195" s="35"/>
      <c r="J195" s="35"/>
      <c r="K195" s="35"/>
      <c r="L195" s="242"/>
      <c r="M195" s="242"/>
      <c r="N195" s="242"/>
      <c r="O195" s="242"/>
      <c r="P195" s="242"/>
      <c r="Q195" s="242"/>
      <c r="R195" s="242"/>
      <c r="S195" s="242"/>
      <c r="T195" s="242"/>
      <c r="U195" s="242"/>
      <c r="V195" s="242"/>
    </row>
    <row r="196" spans="2:22">
      <c r="B196" s="242"/>
      <c r="C196" s="242"/>
      <c r="D196" s="242"/>
      <c r="E196" s="242"/>
      <c r="F196" s="242"/>
      <c r="G196" s="242"/>
      <c r="H196" s="242"/>
      <c r="I196" s="35"/>
      <c r="J196" s="35"/>
      <c r="K196" s="35"/>
      <c r="L196" s="242"/>
      <c r="M196" s="242"/>
      <c r="N196" s="242"/>
      <c r="O196" s="242"/>
      <c r="P196" s="242"/>
      <c r="Q196" s="242"/>
      <c r="R196" s="242"/>
      <c r="S196" s="242"/>
      <c r="T196" s="242"/>
      <c r="U196" s="242"/>
      <c r="V196" s="242"/>
    </row>
    <row r="197" spans="2:22">
      <c r="B197" s="242"/>
      <c r="C197" s="242"/>
      <c r="D197" s="242"/>
      <c r="E197" s="242"/>
      <c r="F197" s="242"/>
      <c r="G197" s="242"/>
      <c r="H197" s="242"/>
      <c r="I197" s="35"/>
      <c r="J197" s="35"/>
      <c r="K197" s="35"/>
      <c r="L197" s="242"/>
      <c r="M197" s="242"/>
      <c r="N197" s="242"/>
      <c r="O197" s="242"/>
      <c r="P197" s="242"/>
      <c r="Q197" s="242"/>
      <c r="R197" s="242"/>
      <c r="S197" s="242"/>
      <c r="T197" s="242"/>
      <c r="U197" s="242"/>
      <c r="V197" s="242"/>
    </row>
    <row r="198" spans="2:22">
      <c r="B198" s="242"/>
      <c r="C198" s="242"/>
      <c r="D198" s="242"/>
      <c r="E198" s="242"/>
      <c r="F198" s="242"/>
      <c r="G198" s="242"/>
      <c r="H198" s="242"/>
      <c r="I198" s="35"/>
      <c r="J198" s="35"/>
      <c r="K198" s="35"/>
      <c r="L198" s="242"/>
      <c r="M198" s="242"/>
      <c r="N198" s="242"/>
      <c r="O198" s="242"/>
      <c r="P198" s="242"/>
      <c r="Q198" s="242"/>
      <c r="R198" s="242"/>
      <c r="S198" s="242"/>
      <c r="T198" s="242"/>
      <c r="U198" s="242"/>
      <c r="V198" s="242"/>
    </row>
    <row r="199" spans="2:22">
      <c r="B199" s="242"/>
      <c r="C199" s="242"/>
      <c r="D199" s="242"/>
      <c r="E199" s="242"/>
      <c r="F199" s="242"/>
      <c r="G199" s="242"/>
      <c r="H199" s="242"/>
      <c r="I199" s="35"/>
      <c r="J199" s="35"/>
      <c r="K199" s="35"/>
      <c r="L199" s="242"/>
      <c r="M199" s="242"/>
      <c r="N199" s="242"/>
      <c r="O199" s="242"/>
      <c r="P199" s="242"/>
      <c r="Q199" s="242"/>
      <c r="R199" s="242"/>
      <c r="S199" s="242"/>
      <c r="T199" s="242"/>
      <c r="U199" s="242"/>
      <c r="V199" s="242"/>
    </row>
    <row r="200" spans="2:22">
      <c r="B200" s="242"/>
      <c r="C200" s="242"/>
      <c r="D200" s="242"/>
      <c r="E200" s="242"/>
      <c r="F200" s="242"/>
      <c r="G200" s="242"/>
      <c r="H200" s="242"/>
      <c r="I200" s="35"/>
      <c r="J200" s="35"/>
      <c r="K200" s="35"/>
      <c r="L200" s="242"/>
      <c r="M200" s="242"/>
      <c r="N200" s="242"/>
      <c r="O200" s="242"/>
      <c r="P200" s="242"/>
      <c r="Q200" s="242"/>
      <c r="R200" s="242"/>
      <c r="S200" s="242"/>
      <c r="T200" s="242"/>
      <c r="U200" s="242"/>
      <c r="V200" s="242"/>
    </row>
    <row r="201" spans="2:22">
      <c r="B201" s="242"/>
      <c r="C201" s="242"/>
      <c r="D201" s="242"/>
      <c r="E201" s="242"/>
      <c r="F201" s="242"/>
      <c r="G201" s="242"/>
      <c r="H201" s="242"/>
      <c r="I201" s="35"/>
      <c r="J201" s="35"/>
      <c r="K201" s="35"/>
      <c r="L201" s="242"/>
      <c r="M201" s="242"/>
      <c r="N201" s="242"/>
      <c r="O201" s="242"/>
      <c r="P201" s="242"/>
      <c r="Q201" s="242"/>
      <c r="R201" s="242"/>
      <c r="S201" s="242"/>
      <c r="T201" s="242"/>
      <c r="U201" s="242"/>
      <c r="V201" s="242"/>
    </row>
    <row r="202" spans="2:22">
      <c r="B202" s="242"/>
      <c r="C202" s="242"/>
      <c r="D202" s="242"/>
      <c r="E202" s="242"/>
      <c r="F202" s="242"/>
      <c r="G202" s="242"/>
      <c r="H202" s="242"/>
      <c r="I202" s="35"/>
      <c r="J202" s="35"/>
      <c r="K202" s="35"/>
      <c r="L202" s="242"/>
      <c r="M202" s="242"/>
      <c r="N202" s="242"/>
      <c r="O202" s="242"/>
      <c r="P202" s="242"/>
      <c r="Q202" s="242"/>
      <c r="R202" s="242"/>
      <c r="S202" s="242"/>
      <c r="T202" s="242"/>
      <c r="U202" s="242"/>
      <c r="V202" s="242"/>
    </row>
    <row r="203" spans="2:22">
      <c r="B203" s="242"/>
      <c r="C203" s="242"/>
      <c r="D203" s="242"/>
      <c r="E203" s="242"/>
      <c r="F203" s="242"/>
      <c r="G203" s="242"/>
      <c r="H203" s="242"/>
      <c r="I203" s="35"/>
      <c r="J203" s="35"/>
      <c r="K203" s="35"/>
      <c r="L203" s="242"/>
      <c r="M203" s="242"/>
      <c r="N203" s="242"/>
      <c r="O203" s="242"/>
      <c r="P203" s="242"/>
      <c r="Q203" s="242"/>
      <c r="R203" s="242"/>
      <c r="S203" s="242"/>
      <c r="T203" s="242"/>
      <c r="U203" s="242"/>
      <c r="V203" s="242"/>
    </row>
    <row r="204" spans="2:22">
      <c r="B204" s="242"/>
      <c r="C204" s="242"/>
      <c r="D204" s="242"/>
      <c r="E204" s="242"/>
      <c r="F204" s="242"/>
      <c r="G204" s="242"/>
      <c r="H204" s="242"/>
      <c r="I204" s="35"/>
      <c r="J204" s="35"/>
      <c r="K204" s="35"/>
      <c r="L204" s="242"/>
      <c r="M204" s="242"/>
      <c r="N204" s="242"/>
      <c r="O204" s="242"/>
      <c r="P204" s="242"/>
      <c r="Q204" s="242"/>
      <c r="R204" s="242"/>
      <c r="S204" s="242"/>
      <c r="T204" s="242"/>
      <c r="U204" s="242"/>
      <c r="V204" s="242"/>
    </row>
    <row r="205" spans="2:22">
      <c r="B205" s="242"/>
      <c r="C205" s="242"/>
      <c r="D205" s="242"/>
      <c r="E205" s="242"/>
      <c r="F205" s="242"/>
      <c r="G205" s="242"/>
      <c r="H205" s="242"/>
      <c r="I205" s="35"/>
      <c r="J205" s="35"/>
      <c r="K205" s="35"/>
      <c r="L205" s="242"/>
      <c r="M205" s="242"/>
      <c r="N205" s="242"/>
      <c r="O205" s="242"/>
      <c r="P205" s="242"/>
      <c r="Q205" s="242"/>
      <c r="R205" s="242"/>
      <c r="S205" s="242"/>
      <c r="T205" s="242"/>
      <c r="U205" s="242"/>
      <c r="V205" s="242"/>
    </row>
    <row r="206" spans="2:22">
      <c r="B206" s="242"/>
      <c r="C206" s="242"/>
      <c r="D206" s="242"/>
      <c r="E206" s="242"/>
      <c r="F206" s="242"/>
      <c r="G206" s="242"/>
      <c r="H206" s="242"/>
      <c r="I206" s="35"/>
      <c r="J206" s="35"/>
      <c r="K206" s="35"/>
      <c r="L206" s="242"/>
      <c r="M206" s="242"/>
      <c r="N206" s="242"/>
      <c r="O206" s="242"/>
      <c r="P206" s="242"/>
      <c r="Q206" s="242"/>
      <c r="R206" s="242"/>
      <c r="S206" s="242"/>
      <c r="T206" s="242"/>
      <c r="U206" s="242"/>
      <c r="V206" s="242"/>
    </row>
    <row r="207" spans="2:22">
      <c r="B207" s="242"/>
      <c r="C207" s="242"/>
      <c r="D207" s="242"/>
      <c r="E207" s="242"/>
      <c r="F207" s="242"/>
      <c r="G207" s="242"/>
      <c r="H207" s="242"/>
      <c r="I207" s="35"/>
      <c r="J207" s="35"/>
      <c r="K207" s="35"/>
      <c r="L207" s="242"/>
      <c r="M207" s="242"/>
      <c r="N207" s="242"/>
      <c r="O207" s="242"/>
      <c r="P207" s="242"/>
      <c r="Q207" s="242"/>
      <c r="R207" s="242"/>
      <c r="S207" s="242"/>
      <c r="T207" s="242"/>
      <c r="U207" s="242"/>
      <c r="V207" s="242"/>
    </row>
    <row r="208" spans="2:22">
      <c r="B208" s="242"/>
      <c r="C208" s="242"/>
      <c r="D208" s="242"/>
      <c r="E208" s="242"/>
      <c r="F208" s="242"/>
      <c r="G208" s="242"/>
      <c r="H208" s="242"/>
      <c r="I208" s="35"/>
      <c r="J208" s="35"/>
      <c r="K208" s="35"/>
      <c r="L208" s="242"/>
      <c r="M208" s="242"/>
      <c r="N208" s="242"/>
      <c r="O208" s="242"/>
      <c r="P208" s="242"/>
      <c r="Q208" s="242"/>
      <c r="R208" s="242"/>
      <c r="S208" s="242"/>
      <c r="T208" s="242"/>
      <c r="U208" s="242"/>
      <c r="V208" s="242"/>
    </row>
    <row r="209" spans="2:22">
      <c r="B209" s="242"/>
      <c r="C209" s="242"/>
      <c r="D209" s="242"/>
      <c r="E209" s="242"/>
      <c r="F209" s="242"/>
      <c r="G209" s="242"/>
      <c r="H209" s="242"/>
      <c r="I209" s="35"/>
      <c r="J209" s="35"/>
      <c r="K209" s="35"/>
      <c r="L209" s="242"/>
      <c r="M209" s="242"/>
      <c r="N209" s="242"/>
      <c r="O209" s="242"/>
      <c r="P209" s="242"/>
      <c r="Q209" s="242"/>
      <c r="R209" s="242"/>
      <c r="S209" s="242"/>
      <c r="T209" s="242"/>
      <c r="U209" s="242"/>
      <c r="V209" s="242"/>
    </row>
    <row r="210" spans="2:22">
      <c r="B210" s="242"/>
      <c r="C210" s="242"/>
      <c r="D210" s="242"/>
      <c r="E210" s="242"/>
      <c r="F210" s="242"/>
      <c r="G210" s="242"/>
      <c r="H210" s="242"/>
      <c r="I210" s="35"/>
      <c r="J210" s="35"/>
      <c r="K210" s="35"/>
      <c r="L210" s="242"/>
      <c r="M210" s="242"/>
      <c r="N210" s="242"/>
      <c r="O210" s="242"/>
      <c r="P210" s="242"/>
      <c r="Q210" s="242"/>
      <c r="R210" s="242"/>
      <c r="S210" s="242"/>
      <c r="T210" s="242"/>
      <c r="U210" s="242"/>
      <c r="V210" s="242"/>
    </row>
    <row r="211" spans="2:22">
      <c r="B211" s="242"/>
      <c r="C211" s="242"/>
      <c r="D211" s="242"/>
      <c r="E211" s="242"/>
      <c r="F211" s="242"/>
      <c r="G211" s="242"/>
      <c r="H211" s="242"/>
      <c r="I211" s="35"/>
      <c r="J211" s="35"/>
      <c r="K211" s="35"/>
      <c r="L211" s="242"/>
      <c r="M211" s="242"/>
      <c r="N211" s="242"/>
      <c r="O211" s="242"/>
      <c r="P211" s="242"/>
      <c r="Q211" s="242"/>
      <c r="R211" s="242"/>
      <c r="S211" s="242"/>
      <c r="T211" s="242"/>
      <c r="U211" s="242"/>
      <c r="V211" s="242"/>
    </row>
    <row r="212" spans="2:22">
      <c r="B212" s="242"/>
      <c r="C212" s="242"/>
      <c r="D212" s="242"/>
      <c r="E212" s="242"/>
      <c r="F212" s="242"/>
      <c r="G212" s="242"/>
      <c r="H212" s="242"/>
      <c r="I212" s="35"/>
      <c r="J212" s="35"/>
      <c r="K212" s="35"/>
      <c r="L212" s="242"/>
      <c r="M212" s="242"/>
      <c r="N212" s="242"/>
      <c r="O212" s="242"/>
      <c r="P212" s="242"/>
      <c r="Q212" s="242"/>
      <c r="R212" s="242"/>
      <c r="S212" s="242"/>
      <c r="T212" s="242"/>
      <c r="U212" s="242"/>
      <c r="V212" s="242"/>
    </row>
    <row r="213" spans="2:22">
      <c r="B213" s="242"/>
      <c r="C213" s="242"/>
      <c r="D213" s="242"/>
      <c r="E213" s="242"/>
      <c r="F213" s="242"/>
      <c r="G213" s="242"/>
      <c r="H213" s="242"/>
      <c r="I213" s="35"/>
      <c r="J213" s="35"/>
      <c r="K213" s="35"/>
      <c r="L213" s="242"/>
      <c r="M213" s="242"/>
      <c r="N213" s="242"/>
      <c r="O213" s="242"/>
      <c r="P213" s="242"/>
      <c r="Q213" s="242"/>
      <c r="R213" s="242"/>
      <c r="S213" s="242"/>
      <c r="T213" s="242"/>
      <c r="U213" s="242"/>
      <c r="V213" s="242"/>
    </row>
    <row r="214" spans="2:22">
      <c r="B214" s="242"/>
      <c r="C214" s="242"/>
      <c r="D214" s="242"/>
      <c r="E214" s="242"/>
      <c r="F214" s="242"/>
      <c r="G214" s="242"/>
      <c r="H214" s="242"/>
      <c r="I214" s="35"/>
      <c r="J214" s="35"/>
      <c r="K214" s="35"/>
      <c r="L214" s="242"/>
      <c r="M214" s="242"/>
      <c r="N214" s="242"/>
      <c r="O214" s="242"/>
      <c r="P214" s="242"/>
      <c r="Q214" s="242"/>
      <c r="R214" s="242"/>
      <c r="S214" s="242"/>
      <c r="T214" s="242"/>
      <c r="U214" s="242"/>
      <c r="V214" s="242"/>
    </row>
    <row r="215" spans="2:22">
      <c r="B215" s="242"/>
      <c r="C215" s="242"/>
      <c r="D215" s="242"/>
      <c r="E215" s="242"/>
      <c r="F215" s="242"/>
      <c r="G215" s="242"/>
      <c r="H215" s="242"/>
      <c r="I215" s="35"/>
      <c r="J215" s="35"/>
      <c r="K215" s="35"/>
      <c r="L215" s="242"/>
      <c r="M215" s="242"/>
      <c r="N215" s="242"/>
      <c r="O215" s="242"/>
      <c r="P215" s="242"/>
      <c r="Q215" s="242"/>
      <c r="R215" s="242"/>
      <c r="S215" s="242"/>
      <c r="T215" s="242"/>
      <c r="U215" s="242"/>
      <c r="V215" s="242"/>
    </row>
    <row r="216" spans="2:22">
      <c r="B216" s="242"/>
      <c r="C216" s="242"/>
      <c r="D216" s="242"/>
      <c r="E216" s="242"/>
      <c r="F216" s="242"/>
      <c r="G216" s="242"/>
      <c r="H216" s="242"/>
      <c r="I216" s="35"/>
      <c r="J216" s="35"/>
      <c r="K216" s="35"/>
      <c r="L216" s="242"/>
      <c r="M216" s="242"/>
      <c r="N216" s="242"/>
      <c r="O216" s="242"/>
      <c r="P216" s="242"/>
      <c r="Q216" s="242"/>
      <c r="R216" s="242"/>
      <c r="S216" s="242"/>
      <c r="T216" s="242"/>
      <c r="U216" s="242"/>
      <c r="V216" s="242"/>
    </row>
    <row r="217" spans="2:22">
      <c r="B217" s="242"/>
      <c r="C217" s="242"/>
      <c r="D217" s="242"/>
      <c r="E217" s="242"/>
      <c r="F217" s="242"/>
      <c r="G217" s="242"/>
      <c r="H217" s="242"/>
      <c r="I217" s="35"/>
      <c r="J217" s="35"/>
      <c r="K217" s="35"/>
      <c r="L217" s="242"/>
      <c r="M217" s="242"/>
      <c r="N217" s="242"/>
      <c r="O217" s="242"/>
      <c r="P217" s="242"/>
      <c r="Q217" s="242"/>
      <c r="R217" s="242"/>
      <c r="S217" s="242"/>
      <c r="T217" s="242"/>
      <c r="U217" s="242"/>
      <c r="V217" s="242"/>
    </row>
    <row r="218" spans="2:22">
      <c r="B218" s="242"/>
      <c r="C218" s="242"/>
      <c r="D218" s="242"/>
      <c r="E218" s="242"/>
      <c r="F218" s="242"/>
      <c r="G218" s="242"/>
      <c r="H218" s="242"/>
      <c r="I218" s="35"/>
      <c r="J218" s="35"/>
      <c r="K218" s="35"/>
      <c r="L218" s="242"/>
      <c r="M218" s="242"/>
      <c r="N218" s="242"/>
      <c r="O218" s="242"/>
      <c r="P218" s="242"/>
      <c r="Q218" s="242"/>
      <c r="R218" s="242"/>
      <c r="S218" s="242"/>
      <c r="T218" s="242"/>
      <c r="U218" s="242"/>
      <c r="V218" s="242"/>
    </row>
    <row r="219" spans="2:22">
      <c r="B219" s="242"/>
      <c r="C219" s="242"/>
      <c r="D219" s="242"/>
      <c r="E219" s="242"/>
      <c r="F219" s="242"/>
      <c r="G219" s="242"/>
      <c r="H219" s="242"/>
      <c r="I219" s="35"/>
      <c r="J219" s="35"/>
      <c r="K219" s="35"/>
      <c r="L219" s="242"/>
      <c r="M219" s="242"/>
      <c r="N219" s="242"/>
      <c r="O219" s="242"/>
      <c r="P219" s="242"/>
      <c r="Q219" s="242"/>
      <c r="R219" s="242"/>
      <c r="S219" s="242"/>
      <c r="T219" s="242"/>
      <c r="U219" s="242"/>
      <c r="V219" s="242"/>
    </row>
    <row r="220" spans="2:22">
      <c r="B220" s="242"/>
      <c r="C220" s="242"/>
      <c r="D220" s="242"/>
      <c r="E220" s="242"/>
      <c r="F220" s="242"/>
      <c r="G220" s="242"/>
      <c r="H220" s="242"/>
      <c r="I220" s="35"/>
      <c r="J220" s="35"/>
      <c r="K220" s="35"/>
      <c r="L220" s="242"/>
      <c r="M220" s="242"/>
      <c r="N220" s="242"/>
      <c r="O220" s="242"/>
      <c r="P220" s="242"/>
      <c r="Q220" s="242"/>
      <c r="R220" s="242"/>
      <c r="S220" s="242"/>
      <c r="T220" s="242"/>
      <c r="U220" s="242"/>
      <c r="V220" s="242"/>
    </row>
    <row r="221" spans="2:22">
      <c r="B221" s="242"/>
      <c r="C221" s="242"/>
      <c r="D221" s="242"/>
      <c r="E221" s="242"/>
      <c r="F221" s="242"/>
      <c r="G221" s="242"/>
      <c r="H221" s="242"/>
      <c r="I221" s="35"/>
      <c r="J221" s="35"/>
      <c r="K221" s="35"/>
      <c r="L221" s="242"/>
      <c r="M221" s="242"/>
      <c r="N221" s="242"/>
      <c r="O221" s="242"/>
      <c r="P221" s="242"/>
      <c r="Q221" s="242"/>
      <c r="R221" s="242"/>
      <c r="S221" s="242"/>
      <c r="T221" s="242"/>
      <c r="U221" s="242"/>
      <c r="V221" s="242"/>
    </row>
    <row r="222" spans="2:22">
      <c r="B222" s="242"/>
      <c r="C222" s="242"/>
      <c r="D222" s="242"/>
      <c r="E222" s="242"/>
      <c r="F222" s="242"/>
      <c r="G222" s="242"/>
      <c r="H222" s="242"/>
      <c r="I222" s="35"/>
      <c r="J222" s="35"/>
      <c r="K222" s="35"/>
      <c r="L222" s="242"/>
      <c r="M222" s="242"/>
      <c r="N222" s="242"/>
      <c r="O222" s="242"/>
      <c r="P222" s="242"/>
      <c r="Q222" s="242"/>
      <c r="R222" s="242"/>
      <c r="S222" s="242"/>
      <c r="T222" s="242"/>
      <c r="U222" s="242"/>
      <c r="V222" s="242"/>
    </row>
    <row r="223" spans="2:22">
      <c r="B223" s="242"/>
      <c r="C223" s="242"/>
      <c r="D223" s="242"/>
      <c r="E223" s="242"/>
      <c r="F223" s="242"/>
      <c r="G223" s="242"/>
      <c r="H223" s="242"/>
      <c r="I223" s="35"/>
      <c r="J223" s="35"/>
      <c r="K223" s="35"/>
      <c r="L223" s="242"/>
      <c r="M223" s="242"/>
      <c r="N223" s="242"/>
      <c r="O223" s="242"/>
      <c r="P223" s="242"/>
      <c r="Q223" s="242"/>
      <c r="R223" s="242"/>
      <c r="S223" s="242"/>
      <c r="T223" s="242"/>
      <c r="U223" s="242"/>
      <c r="V223" s="242"/>
    </row>
    <row r="224" spans="2:22">
      <c r="B224" s="242"/>
      <c r="C224" s="242"/>
      <c r="D224" s="242"/>
      <c r="E224" s="242"/>
      <c r="F224" s="242"/>
      <c r="G224" s="242"/>
      <c r="H224" s="242"/>
      <c r="I224" s="35"/>
      <c r="J224" s="35"/>
      <c r="K224" s="35"/>
      <c r="L224" s="242"/>
      <c r="M224" s="242"/>
      <c r="N224" s="242"/>
      <c r="O224" s="242"/>
      <c r="P224" s="242"/>
      <c r="Q224" s="242"/>
      <c r="R224" s="242"/>
      <c r="S224" s="242"/>
      <c r="T224" s="242"/>
      <c r="U224" s="242"/>
      <c r="V224" s="242"/>
    </row>
    <row r="225" spans="2:22">
      <c r="B225" s="242"/>
      <c r="C225" s="242"/>
      <c r="D225" s="242"/>
      <c r="E225" s="242"/>
      <c r="F225" s="242"/>
      <c r="G225" s="242"/>
      <c r="H225" s="242"/>
      <c r="I225" s="35"/>
      <c r="J225" s="35"/>
      <c r="K225" s="35"/>
      <c r="L225" s="242"/>
      <c r="M225" s="242"/>
      <c r="N225" s="242"/>
      <c r="O225" s="242"/>
      <c r="P225" s="242"/>
      <c r="Q225" s="242"/>
      <c r="R225" s="242"/>
      <c r="S225" s="242"/>
      <c r="T225" s="242"/>
      <c r="U225" s="242"/>
      <c r="V225" s="242"/>
    </row>
    <row r="226" spans="2:22">
      <c r="B226" s="242"/>
      <c r="C226" s="242"/>
      <c r="D226" s="242"/>
      <c r="E226" s="242"/>
      <c r="F226" s="242"/>
      <c r="G226" s="242"/>
      <c r="H226" s="242"/>
      <c r="I226" s="35"/>
      <c r="J226" s="35"/>
      <c r="K226" s="35"/>
      <c r="L226" s="242"/>
      <c r="M226" s="242"/>
      <c r="N226" s="242"/>
      <c r="O226" s="242"/>
      <c r="P226" s="242"/>
      <c r="Q226" s="242"/>
      <c r="R226" s="242"/>
      <c r="S226" s="242"/>
      <c r="T226" s="242"/>
      <c r="U226" s="242"/>
      <c r="V226" s="242"/>
    </row>
    <row r="227" spans="2:22">
      <c r="B227" s="242"/>
      <c r="C227" s="242"/>
      <c r="D227" s="242"/>
      <c r="E227" s="242"/>
      <c r="F227" s="242"/>
      <c r="G227" s="242"/>
      <c r="H227" s="242"/>
      <c r="I227" s="35"/>
      <c r="J227" s="35"/>
      <c r="K227" s="35"/>
      <c r="L227" s="242"/>
      <c r="M227" s="242"/>
      <c r="N227" s="242"/>
      <c r="O227" s="242"/>
      <c r="P227" s="242"/>
      <c r="Q227" s="242"/>
      <c r="R227" s="242"/>
      <c r="S227" s="242"/>
      <c r="T227" s="242"/>
      <c r="U227" s="242"/>
      <c r="V227" s="242"/>
    </row>
    <row r="228" spans="2:22">
      <c r="B228" s="242"/>
      <c r="C228" s="242"/>
      <c r="D228" s="242"/>
      <c r="E228" s="242"/>
      <c r="F228" s="242"/>
      <c r="G228" s="242"/>
      <c r="H228" s="242"/>
      <c r="I228" s="35"/>
      <c r="J228" s="35"/>
      <c r="K228" s="35"/>
      <c r="L228" s="242"/>
      <c r="M228" s="242"/>
      <c r="N228" s="242"/>
      <c r="O228" s="242"/>
      <c r="P228" s="242"/>
      <c r="Q228" s="242"/>
      <c r="R228" s="242"/>
      <c r="S228" s="242"/>
      <c r="T228" s="242"/>
      <c r="U228" s="242"/>
      <c r="V228" s="242"/>
    </row>
    <row r="229" spans="2:22">
      <c r="B229" s="242"/>
      <c r="C229" s="242"/>
      <c r="D229" s="242"/>
      <c r="E229" s="242"/>
      <c r="F229" s="242"/>
      <c r="G229" s="242"/>
      <c r="H229" s="242"/>
      <c r="I229" s="35"/>
      <c r="J229" s="35"/>
      <c r="K229" s="35"/>
      <c r="L229" s="242"/>
      <c r="M229" s="242"/>
      <c r="N229" s="242"/>
      <c r="O229" s="242"/>
      <c r="P229" s="242"/>
      <c r="Q229" s="242"/>
      <c r="R229" s="242"/>
      <c r="S229" s="242"/>
      <c r="T229" s="242"/>
      <c r="U229" s="242"/>
      <c r="V229" s="242"/>
    </row>
    <row r="230" spans="2:22">
      <c r="B230" s="242"/>
      <c r="C230" s="242"/>
      <c r="D230" s="242"/>
      <c r="E230" s="242"/>
      <c r="F230" s="242"/>
      <c r="G230" s="242"/>
      <c r="H230" s="242"/>
      <c r="I230" s="35"/>
      <c r="J230" s="35"/>
      <c r="K230" s="35"/>
      <c r="L230" s="242"/>
      <c r="M230" s="242"/>
      <c r="N230" s="242"/>
      <c r="O230" s="242"/>
      <c r="P230" s="242"/>
      <c r="Q230" s="242"/>
      <c r="R230" s="242"/>
      <c r="S230" s="242"/>
      <c r="T230" s="242"/>
      <c r="U230" s="242"/>
      <c r="V230" s="242"/>
    </row>
    <row r="231" spans="2:22">
      <c r="B231" s="242"/>
      <c r="C231" s="242"/>
      <c r="D231" s="242"/>
      <c r="E231" s="242"/>
      <c r="F231" s="242"/>
      <c r="G231" s="242"/>
      <c r="H231" s="242"/>
      <c r="I231" s="35"/>
      <c r="J231" s="35"/>
      <c r="K231" s="35"/>
      <c r="L231" s="242"/>
      <c r="M231" s="242"/>
      <c r="N231" s="242"/>
      <c r="O231" s="242"/>
      <c r="P231" s="242"/>
      <c r="Q231" s="242"/>
      <c r="R231" s="242"/>
      <c r="S231" s="242"/>
      <c r="T231" s="242"/>
      <c r="U231" s="242"/>
      <c r="V231" s="242"/>
    </row>
    <row r="232" spans="2:22">
      <c r="B232" s="242"/>
      <c r="C232" s="242"/>
      <c r="D232" s="242"/>
      <c r="E232" s="242"/>
      <c r="F232" s="242"/>
      <c r="G232" s="242"/>
      <c r="H232" s="242"/>
      <c r="I232" s="35"/>
      <c r="J232" s="35"/>
      <c r="K232" s="35"/>
      <c r="L232" s="242"/>
      <c r="M232" s="242"/>
      <c r="N232" s="242"/>
      <c r="O232" s="242"/>
      <c r="P232" s="242"/>
      <c r="Q232" s="242"/>
      <c r="R232" s="242"/>
      <c r="S232" s="242"/>
      <c r="T232" s="242"/>
      <c r="U232" s="242"/>
      <c r="V232" s="242"/>
    </row>
    <row r="233" spans="2:22">
      <c r="B233" s="242"/>
      <c r="C233" s="242"/>
      <c r="D233" s="242"/>
      <c r="E233" s="242"/>
      <c r="F233" s="242"/>
      <c r="G233" s="242"/>
      <c r="H233" s="242"/>
      <c r="I233" s="35"/>
      <c r="J233" s="35"/>
      <c r="K233" s="35"/>
      <c r="L233" s="242"/>
      <c r="M233" s="242"/>
      <c r="N233" s="242"/>
      <c r="O233" s="242"/>
      <c r="P233" s="242"/>
      <c r="Q233" s="242"/>
      <c r="R233" s="242"/>
      <c r="S233" s="242"/>
      <c r="T233" s="242"/>
      <c r="U233" s="242"/>
      <c r="V233" s="242"/>
    </row>
    <row r="234" spans="2:22">
      <c r="B234" s="242"/>
      <c r="C234" s="242"/>
      <c r="D234" s="242"/>
      <c r="E234" s="242"/>
      <c r="F234" s="242"/>
      <c r="G234" s="242"/>
      <c r="H234" s="242"/>
      <c r="I234" s="35"/>
      <c r="J234" s="35"/>
      <c r="K234" s="35"/>
      <c r="L234" s="242"/>
      <c r="M234" s="242"/>
      <c r="N234" s="242"/>
      <c r="O234" s="242"/>
      <c r="P234" s="242"/>
      <c r="Q234" s="242"/>
      <c r="R234" s="242"/>
      <c r="S234" s="242"/>
      <c r="T234" s="242"/>
      <c r="U234" s="242"/>
      <c r="V234" s="242"/>
    </row>
    <row r="235" spans="2:22">
      <c r="B235" s="242"/>
      <c r="C235" s="242"/>
      <c r="D235" s="242"/>
      <c r="E235" s="242"/>
      <c r="F235" s="242"/>
      <c r="G235" s="242"/>
      <c r="H235" s="242"/>
      <c r="I235" s="35"/>
      <c r="J235" s="35"/>
      <c r="K235" s="35"/>
      <c r="L235" s="242"/>
      <c r="M235" s="242"/>
      <c r="N235" s="242"/>
      <c r="O235" s="242"/>
      <c r="P235" s="242"/>
      <c r="Q235" s="242"/>
      <c r="R235" s="242"/>
      <c r="S235" s="242"/>
      <c r="T235" s="242"/>
      <c r="U235" s="242"/>
      <c r="V235" s="242"/>
    </row>
    <row r="236" spans="2:22">
      <c r="B236" s="242"/>
      <c r="C236" s="242"/>
      <c r="D236" s="242"/>
      <c r="E236" s="242"/>
      <c r="F236" s="242"/>
      <c r="G236" s="242"/>
      <c r="H236" s="242"/>
      <c r="I236" s="35"/>
      <c r="J236" s="35"/>
      <c r="K236" s="35"/>
      <c r="L236" s="242"/>
      <c r="M236" s="242"/>
      <c r="N236" s="242"/>
      <c r="O236" s="242"/>
      <c r="P236" s="242"/>
      <c r="Q236" s="242"/>
      <c r="R236" s="242"/>
      <c r="S236" s="242"/>
      <c r="T236" s="242"/>
      <c r="U236" s="242"/>
      <c r="V236" s="242"/>
    </row>
    <row r="237" spans="2:22">
      <c r="B237" s="242"/>
      <c r="C237" s="242"/>
      <c r="D237" s="242"/>
      <c r="E237" s="242"/>
      <c r="F237" s="242"/>
      <c r="G237" s="242"/>
      <c r="H237" s="242"/>
      <c r="I237" s="35"/>
      <c r="J237" s="35"/>
      <c r="K237" s="35"/>
      <c r="L237" s="242"/>
      <c r="M237" s="242"/>
      <c r="N237" s="242"/>
      <c r="O237" s="242"/>
      <c r="P237" s="242"/>
      <c r="Q237" s="242"/>
      <c r="R237" s="242"/>
      <c r="S237" s="242"/>
      <c r="T237" s="242"/>
      <c r="U237" s="242"/>
      <c r="V237" s="242"/>
    </row>
    <row r="238" spans="2:22">
      <c r="B238" s="242"/>
      <c r="C238" s="242"/>
      <c r="D238" s="242"/>
      <c r="E238" s="242"/>
      <c r="F238" s="242"/>
      <c r="G238" s="242"/>
      <c r="H238" s="242"/>
      <c r="I238" s="35"/>
      <c r="J238" s="35"/>
      <c r="K238" s="35"/>
      <c r="L238" s="242"/>
      <c r="M238" s="242"/>
      <c r="N238" s="242"/>
      <c r="O238" s="242"/>
      <c r="P238" s="242"/>
      <c r="Q238" s="242"/>
      <c r="R238" s="242"/>
      <c r="S238" s="242"/>
      <c r="T238" s="242"/>
      <c r="U238" s="242"/>
      <c r="V238" s="242"/>
    </row>
    <row r="239" spans="2:22">
      <c r="B239" s="242"/>
      <c r="C239" s="242"/>
      <c r="D239" s="242"/>
      <c r="E239" s="242"/>
      <c r="F239" s="242"/>
      <c r="G239" s="242"/>
      <c r="H239" s="242"/>
      <c r="I239" s="35"/>
      <c r="J239" s="35"/>
      <c r="K239" s="35"/>
      <c r="L239" s="242"/>
      <c r="M239" s="242"/>
      <c r="N239" s="242"/>
      <c r="O239" s="242"/>
      <c r="P239" s="242"/>
      <c r="Q239" s="242"/>
      <c r="R239" s="242"/>
      <c r="S239" s="242"/>
      <c r="T239" s="242"/>
      <c r="U239" s="242"/>
      <c r="V239" s="242"/>
    </row>
    <row r="240" spans="2:22">
      <c r="B240" s="242"/>
      <c r="C240" s="242"/>
      <c r="D240" s="242"/>
      <c r="E240" s="242"/>
      <c r="F240" s="242"/>
      <c r="G240" s="242"/>
      <c r="H240" s="242"/>
      <c r="I240" s="35"/>
      <c r="J240" s="35"/>
      <c r="K240" s="35"/>
      <c r="L240" s="242"/>
      <c r="M240" s="242"/>
      <c r="N240" s="242"/>
      <c r="O240" s="242"/>
      <c r="P240" s="242"/>
      <c r="Q240" s="242"/>
      <c r="R240" s="242"/>
      <c r="S240" s="242"/>
      <c r="T240" s="242"/>
      <c r="U240" s="242"/>
      <c r="V240" s="242"/>
    </row>
    <row r="241" spans="2:22">
      <c r="B241" s="242"/>
      <c r="C241" s="242"/>
      <c r="D241" s="242"/>
      <c r="E241" s="242"/>
      <c r="F241" s="242"/>
      <c r="G241" s="242"/>
      <c r="H241" s="242"/>
      <c r="I241" s="35"/>
      <c r="J241" s="35"/>
      <c r="K241" s="35"/>
      <c r="L241" s="242"/>
      <c r="M241" s="242"/>
      <c r="N241" s="242"/>
      <c r="O241" s="242"/>
      <c r="P241" s="242"/>
      <c r="Q241" s="242"/>
      <c r="R241" s="242"/>
      <c r="S241" s="242"/>
      <c r="T241" s="242"/>
      <c r="U241" s="242"/>
      <c r="V241" s="242"/>
    </row>
    <row r="242" spans="2:22">
      <c r="B242" s="242"/>
      <c r="C242" s="242"/>
      <c r="D242" s="242"/>
      <c r="E242" s="242"/>
      <c r="F242" s="242"/>
      <c r="G242" s="242"/>
      <c r="H242" s="242"/>
      <c r="I242" s="35"/>
      <c r="J242" s="35"/>
      <c r="K242" s="35"/>
      <c r="L242" s="242"/>
      <c r="M242" s="242"/>
      <c r="N242" s="242"/>
      <c r="O242" s="242"/>
      <c r="P242" s="242"/>
      <c r="Q242" s="242"/>
      <c r="R242" s="242"/>
      <c r="S242" s="242"/>
      <c r="T242" s="242"/>
      <c r="U242" s="242"/>
      <c r="V242" s="242"/>
    </row>
    <row r="243" spans="2:22">
      <c r="B243" s="242"/>
      <c r="C243" s="242"/>
      <c r="D243" s="242"/>
      <c r="E243" s="242"/>
      <c r="F243" s="242"/>
      <c r="G243" s="242"/>
      <c r="H243" s="242"/>
      <c r="I243" s="35"/>
      <c r="J243" s="35"/>
      <c r="K243" s="35"/>
      <c r="L243" s="242"/>
      <c r="M243" s="242"/>
      <c r="N243" s="242"/>
      <c r="O243" s="242"/>
      <c r="P243" s="242"/>
      <c r="Q243" s="242"/>
      <c r="R243" s="242"/>
      <c r="S243" s="242"/>
      <c r="T243" s="242"/>
      <c r="U243" s="242"/>
      <c r="V243" s="242"/>
    </row>
    <row r="244" spans="2:22">
      <c r="B244" s="242"/>
      <c r="C244" s="242"/>
      <c r="D244" s="242"/>
      <c r="E244" s="242"/>
      <c r="F244" s="242"/>
      <c r="G244" s="242"/>
      <c r="H244" s="242"/>
      <c r="I244" s="35"/>
      <c r="J244" s="35"/>
      <c r="K244" s="35"/>
      <c r="L244" s="242"/>
      <c r="M244" s="242"/>
      <c r="N244" s="242"/>
      <c r="O244" s="242"/>
      <c r="P244" s="242"/>
      <c r="Q244" s="242"/>
      <c r="R244" s="242"/>
      <c r="S244" s="242"/>
      <c r="T244" s="242"/>
      <c r="U244" s="242"/>
      <c r="V244" s="242"/>
    </row>
    <row r="245" spans="2:22">
      <c r="B245" s="242"/>
      <c r="C245" s="242"/>
      <c r="D245" s="242"/>
      <c r="E245" s="242"/>
      <c r="F245" s="242"/>
      <c r="G245" s="242"/>
      <c r="H245" s="242"/>
      <c r="I245" s="35"/>
      <c r="J245" s="35"/>
      <c r="K245" s="35"/>
      <c r="L245" s="242"/>
      <c r="M245" s="242"/>
      <c r="N245" s="242"/>
      <c r="O245" s="242"/>
      <c r="P245" s="242"/>
      <c r="Q245" s="242"/>
      <c r="R245" s="242"/>
      <c r="S245" s="242"/>
      <c r="T245" s="242"/>
      <c r="U245" s="242"/>
      <c r="V245" s="242"/>
    </row>
    <row r="246" spans="2:22">
      <c r="B246" s="242"/>
      <c r="C246" s="242"/>
      <c r="D246" s="242"/>
      <c r="E246" s="242"/>
      <c r="F246" s="242"/>
      <c r="G246" s="242"/>
      <c r="H246" s="242"/>
      <c r="I246" s="35"/>
      <c r="J246" s="35"/>
      <c r="K246" s="35"/>
      <c r="L246" s="242"/>
      <c r="M246" s="242"/>
      <c r="N246" s="242"/>
      <c r="O246" s="242"/>
      <c r="P246" s="242"/>
      <c r="Q246" s="242"/>
      <c r="R246" s="242"/>
      <c r="S246" s="242"/>
      <c r="T246" s="242"/>
      <c r="U246" s="242"/>
      <c r="V246" s="242"/>
    </row>
    <row r="247" spans="2:22">
      <c r="B247" s="242"/>
      <c r="C247" s="242"/>
      <c r="D247" s="242"/>
      <c r="E247" s="242"/>
      <c r="F247" s="242"/>
      <c r="G247" s="242"/>
      <c r="H247" s="242"/>
      <c r="I247" s="35"/>
      <c r="J247" s="35"/>
      <c r="K247" s="35"/>
      <c r="L247" s="242"/>
      <c r="M247" s="242"/>
      <c r="N247" s="242"/>
      <c r="O247" s="242"/>
      <c r="P247" s="242"/>
      <c r="Q247" s="242"/>
      <c r="R247" s="242"/>
      <c r="S247" s="242"/>
      <c r="T247" s="242"/>
      <c r="U247" s="242"/>
      <c r="V247" s="242"/>
    </row>
    <row r="248" spans="2:22">
      <c r="B248" s="242"/>
      <c r="C248" s="242"/>
      <c r="D248" s="242"/>
      <c r="E248" s="242"/>
      <c r="F248" s="242"/>
      <c r="G248" s="242"/>
      <c r="H248" s="242"/>
      <c r="I248" s="35"/>
      <c r="J248" s="35"/>
      <c r="K248" s="35"/>
      <c r="L248" s="242"/>
      <c r="M248" s="242"/>
      <c r="N248" s="242"/>
      <c r="O248" s="242"/>
      <c r="P248" s="242"/>
      <c r="Q248" s="242"/>
      <c r="R248" s="242"/>
      <c r="S248" s="242"/>
      <c r="T248" s="242"/>
      <c r="U248" s="242"/>
      <c r="V248" s="242"/>
    </row>
    <row r="249" spans="2:22">
      <c r="B249" s="242"/>
      <c r="C249" s="242"/>
      <c r="D249" s="242"/>
      <c r="E249" s="242"/>
      <c r="F249" s="242"/>
      <c r="G249" s="242"/>
      <c r="H249" s="242"/>
      <c r="I249" s="35"/>
      <c r="J249" s="35"/>
      <c r="K249" s="35"/>
      <c r="L249" s="242"/>
      <c r="M249" s="242"/>
      <c r="N249" s="242"/>
      <c r="O249" s="242"/>
      <c r="P249" s="242"/>
      <c r="Q249" s="242"/>
      <c r="R249" s="242"/>
      <c r="S249" s="242"/>
      <c r="T249" s="242"/>
      <c r="U249" s="242"/>
      <c r="V249" s="242"/>
    </row>
    <row r="250" spans="2:22">
      <c r="B250" s="242"/>
      <c r="C250" s="242"/>
      <c r="D250" s="242"/>
      <c r="E250" s="242"/>
      <c r="F250" s="242"/>
      <c r="G250" s="242"/>
      <c r="H250" s="242"/>
      <c r="I250" s="35"/>
      <c r="J250" s="35"/>
      <c r="K250" s="35"/>
      <c r="L250" s="242"/>
      <c r="M250" s="242"/>
      <c r="N250" s="242"/>
      <c r="O250" s="242"/>
      <c r="P250" s="242"/>
      <c r="Q250" s="242"/>
      <c r="R250" s="242"/>
      <c r="S250" s="242"/>
      <c r="T250" s="242"/>
      <c r="U250" s="242"/>
      <c r="V250" s="242"/>
    </row>
    <row r="251" spans="2:22">
      <c r="B251" s="242"/>
      <c r="C251" s="242"/>
      <c r="D251" s="242"/>
      <c r="E251" s="242"/>
      <c r="F251" s="242"/>
      <c r="G251" s="242"/>
      <c r="H251" s="242"/>
      <c r="I251" s="35"/>
      <c r="J251" s="35"/>
      <c r="K251" s="35"/>
      <c r="L251" s="242"/>
      <c r="M251" s="242"/>
      <c r="N251" s="242"/>
      <c r="O251" s="242"/>
      <c r="P251" s="242"/>
      <c r="Q251" s="242"/>
      <c r="R251" s="242"/>
      <c r="S251" s="242"/>
      <c r="T251" s="242"/>
      <c r="U251" s="242"/>
      <c r="V251" s="242"/>
    </row>
    <row r="252" spans="2:22">
      <c r="B252" s="242"/>
      <c r="C252" s="242"/>
      <c r="D252" s="242"/>
      <c r="E252" s="242"/>
      <c r="F252" s="242"/>
      <c r="G252" s="242"/>
      <c r="H252" s="242"/>
      <c r="I252" s="35"/>
      <c r="J252" s="35"/>
      <c r="K252" s="35"/>
      <c r="L252" s="242"/>
      <c r="M252" s="242"/>
      <c r="N252" s="242"/>
      <c r="O252" s="242"/>
      <c r="P252" s="242"/>
      <c r="Q252" s="242"/>
      <c r="R252" s="242"/>
      <c r="S252" s="242"/>
      <c r="T252" s="242"/>
      <c r="U252" s="242"/>
      <c r="V252" s="242"/>
    </row>
    <row r="253" spans="2:22">
      <c r="B253" s="242"/>
      <c r="C253" s="242"/>
      <c r="D253" s="242"/>
      <c r="E253" s="242"/>
      <c r="F253" s="242"/>
      <c r="G253" s="242"/>
      <c r="H253" s="242"/>
      <c r="I253" s="35"/>
      <c r="J253" s="35"/>
      <c r="K253" s="35"/>
      <c r="L253" s="242"/>
      <c r="M253" s="242"/>
      <c r="N253" s="242"/>
      <c r="O253" s="242"/>
      <c r="P253" s="242"/>
      <c r="Q253" s="242"/>
      <c r="R253" s="242"/>
      <c r="S253" s="242"/>
      <c r="T253" s="242"/>
      <c r="U253" s="242"/>
      <c r="V253" s="242"/>
    </row>
    <row r="254" spans="2:22">
      <c r="B254" s="242"/>
      <c r="C254" s="242"/>
      <c r="D254" s="242"/>
      <c r="E254" s="242"/>
      <c r="F254" s="242"/>
      <c r="G254" s="242"/>
      <c r="H254" s="242"/>
      <c r="I254" s="35"/>
      <c r="J254" s="35"/>
      <c r="K254" s="35"/>
      <c r="L254" s="242"/>
      <c r="M254" s="242"/>
      <c r="N254" s="242"/>
      <c r="O254" s="242"/>
      <c r="P254" s="242"/>
      <c r="Q254" s="242"/>
      <c r="R254" s="242"/>
      <c r="S254" s="242"/>
      <c r="T254" s="242"/>
      <c r="U254" s="242"/>
      <c r="V254" s="242"/>
    </row>
    <row r="255" spans="2:22">
      <c r="B255" s="242"/>
      <c r="C255" s="242"/>
      <c r="D255" s="242"/>
      <c r="E255" s="242"/>
      <c r="F255" s="242"/>
      <c r="G255" s="242"/>
      <c r="H255" s="242"/>
      <c r="I255" s="35"/>
      <c r="J255" s="35"/>
      <c r="K255" s="35"/>
      <c r="L255" s="242"/>
      <c r="M255" s="242"/>
      <c r="N255" s="242"/>
      <c r="O255" s="242"/>
      <c r="P255" s="242"/>
      <c r="Q255" s="242"/>
      <c r="R255" s="242"/>
      <c r="S255" s="242"/>
      <c r="T255" s="242"/>
      <c r="U255" s="242"/>
      <c r="V255" s="242"/>
    </row>
    <row r="256" spans="2:22">
      <c r="B256" s="242"/>
      <c r="C256" s="242"/>
      <c r="D256" s="242"/>
      <c r="E256" s="242"/>
      <c r="F256" s="242"/>
      <c r="G256" s="242"/>
      <c r="H256" s="242"/>
      <c r="I256" s="35"/>
      <c r="J256" s="35"/>
      <c r="K256" s="35"/>
      <c r="L256" s="242"/>
      <c r="M256" s="242"/>
      <c r="N256" s="242"/>
      <c r="O256" s="242"/>
      <c r="P256" s="242"/>
      <c r="Q256" s="242"/>
      <c r="R256" s="242"/>
      <c r="S256" s="242"/>
      <c r="T256" s="242"/>
      <c r="U256" s="242"/>
      <c r="V256" s="242"/>
    </row>
    <row r="257" spans="2:22">
      <c r="B257" s="242"/>
      <c r="C257" s="242"/>
      <c r="D257" s="242"/>
      <c r="E257" s="242"/>
      <c r="F257" s="242"/>
      <c r="G257" s="242"/>
      <c r="H257" s="242"/>
      <c r="I257" s="35"/>
      <c r="J257" s="35"/>
      <c r="K257" s="35"/>
      <c r="L257" s="242"/>
      <c r="M257" s="242"/>
      <c r="N257" s="242"/>
      <c r="O257" s="242"/>
      <c r="P257" s="242"/>
      <c r="Q257" s="242"/>
      <c r="R257" s="242"/>
      <c r="S257" s="242"/>
      <c r="T257" s="242"/>
      <c r="U257" s="242"/>
      <c r="V257" s="242"/>
    </row>
    <row r="258" spans="2:22">
      <c r="B258" s="242"/>
      <c r="C258" s="242"/>
      <c r="D258" s="242"/>
      <c r="E258" s="242"/>
      <c r="F258" s="242"/>
      <c r="G258" s="242"/>
      <c r="H258" s="242"/>
      <c r="I258" s="35"/>
      <c r="J258" s="35"/>
      <c r="K258" s="35"/>
      <c r="L258" s="242"/>
      <c r="M258" s="242"/>
      <c r="N258" s="242"/>
      <c r="O258" s="242"/>
      <c r="P258" s="242"/>
      <c r="Q258" s="242"/>
      <c r="R258" s="242"/>
      <c r="S258" s="242"/>
      <c r="T258" s="242"/>
      <c r="U258" s="242"/>
      <c r="V258" s="242"/>
    </row>
    <row r="259" spans="2:22">
      <c r="B259" s="242"/>
      <c r="C259" s="242"/>
      <c r="D259" s="242"/>
      <c r="E259" s="242"/>
      <c r="F259" s="242"/>
      <c r="G259" s="242"/>
      <c r="H259" s="242"/>
      <c r="I259" s="35"/>
      <c r="J259" s="35"/>
      <c r="K259" s="35"/>
      <c r="L259" s="242"/>
      <c r="M259" s="242"/>
      <c r="N259" s="242"/>
      <c r="O259" s="242"/>
      <c r="P259" s="242"/>
      <c r="Q259" s="242"/>
      <c r="R259" s="242"/>
      <c r="S259" s="242"/>
      <c r="T259" s="242"/>
      <c r="U259" s="242"/>
      <c r="V259" s="242"/>
    </row>
    <row r="260" spans="2:22">
      <c r="B260" s="242"/>
      <c r="C260" s="242"/>
      <c r="D260" s="242"/>
      <c r="E260" s="242"/>
      <c r="F260" s="242"/>
      <c r="G260" s="242"/>
      <c r="H260" s="242"/>
      <c r="I260" s="35"/>
      <c r="J260" s="35"/>
      <c r="K260" s="35"/>
      <c r="L260" s="242"/>
      <c r="M260" s="242"/>
      <c r="N260" s="242"/>
      <c r="O260" s="242"/>
      <c r="P260" s="242"/>
      <c r="Q260" s="242"/>
      <c r="R260" s="242"/>
      <c r="S260" s="242"/>
      <c r="T260" s="242"/>
      <c r="U260" s="242"/>
      <c r="V260" s="242"/>
    </row>
    <row r="261" spans="2:22">
      <c r="B261" s="242"/>
      <c r="C261" s="242"/>
      <c r="D261" s="242"/>
      <c r="E261" s="242"/>
      <c r="F261" s="242"/>
      <c r="G261" s="242"/>
      <c r="H261" s="242"/>
      <c r="I261" s="35"/>
      <c r="J261" s="35"/>
      <c r="K261" s="35"/>
      <c r="L261" s="242"/>
      <c r="M261" s="242"/>
      <c r="N261" s="242"/>
      <c r="O261" s="242"/>
      <c r="P261" s="242"/>
      <c r="Q261" s="242"/>
      <c r="R261" s="242"/>
      <c r="S261" s="242"/>
      <c r="T261" s="242"/>
      <c r="U261" s="242"/>
      <c r="V261" s="242"/>
    </row>
    <row r="262" spans="2:22">
      <c r="B262" s="242"/>
      <c r="C262" s="242"/>
      <c r="D262" s="242"/>
      <c r="E262" s="242"/>
      <c r="F262" s="242"/>
      <c r="G262" s="242"/>
      <c r="H262" s="242"/>
      <c r="I262" s="35"/>
      <c r="J262" s="35"/>
      <c r="K262" s="35"/>
      <c r="L262" s="242"/>
      <c r="M262" s="242"/>
      <c r="N262" s="242"/>
      <c r="O262" s="242"/>
      <c r="P262" s="242"/>
      <c r="Q262" s="242"/>
      <c r="R262" s="242"/>
      <c r="S262" s="242"/>
      <c r="T262" s="242"/>
      <c r="U262" s="242"/>
      <c r="V262" s="242"/>
    </row>
    <row r="263" spans="2:22">
      <c r="B263" s="242"/>
      <c r="C263" s="242"/>
      <c r="D263" s="242"/>
      <c r="E263" s="242"/>
      <c r="F263" s="242"/>
      <c r="G263" s="242"/>
      <c r="H263" s="242"/>
      <c r="I263" s="35"/>
      <c r="J263" s="35"/>
      <c r="K263" s="35"/>
      <c r="L263" s="242"/>
      <c r="M263" s="242"/>
      <c r="N263" s="242"/>
      <c r="O263" s="242"/>
      <c r="P263" s="242"/>
      <c r="Q263" s="242"/>
      <c r="R263" s="242"/>
      <c r="S263" s="242"/>
      <c r="T263" s="242"/>
      <c r="U263" s="242"/>
      <c r="V263" s="242"/>
    </row>
    <row r="264" spans="2:22">
      <c r="B264" s="242"/>
      <c r="C264" s="242"/>
      <c r="D264" s="242"/>
      <c r="E264" s="242"/>
      <c r="F264" s="242"/>
      <c r="G264" s="242"/>
      <c r="H264" s="242"/>
      <c r="I264" s="35"/>
      <c r="J264" s="35"/>
      <c r="K264" s="35"/>
      <c r="L264" s="242"/>
      <c r="M264" s="242"/>
      <c r="N264" s="242"/>
      <c r="O264" s="242"/>
      <c r="P264" s="242"/>
      <c r="Q264" s="242"/>
      <c r="R264" s="242"/>
      <c r="S264" s="242"/>
      <c r="T264" s="242"/>
      <c r="U264" s="242"/>
      <c r="V264" s="242"/>
    </row>
    <row r="265" spans="2:22">
      <c r="B265" s="242"/>
      <c r="C265" s="242"/>
      <c r="D265" s="242"/>
      <c r="E265" s="242"/>
      <c r="F265" s="242"/>
      <c r="G265" s="242"/>
      <c r="H265" s="242"/>
      <c r="I265" s="35"/>
      <c r="J265" s="35"/>
      <c r="K265" s="35"/>
      <c r="L265" s="242"/>
      <c r="M265" s="242"/>
      <c r="N265" s="242"/>
      <c r="O265" s="242"/>
      <c r="P265" s="242"/>
      <c r="Q265" s="242"/>
      <c r="R265" s="242"/>
      <c r="S265" s="242"/>
      <c r="T265" s="242"/>
      <c r="U265" s="242"/>
      <c r="V265" s="242"/>
    </row>
    <row r="266" spans="2:22">
      <c r="B266" s="242"/>
      <c r="C266" s="242"/>
      <c r="D266" s="242"/>
      <c r="E266" s="242"/>
      <c r="F266" s="242"/>
      <c r="G266" s="242"/>
      <c r="H266" s="242"/>
      <c r="I266" s="35"/>
      <c r="J266" s="35"/>
      <c r="K266" s="35"/>
      <c r="L266" s="242"/>
      <c r="M266" s="242"/>
      <c r="N266" s="242"/>
      <c r="O266" s="242"/>
      <c r="P266" s="242"/>
      <c r="Q266" s="242"/>
      <c r="R266" s="242"/>
      <c r="S266" s="242"/>
      <c r="T266" s="242"/>
      <c r="U266" s="242"/>
      <c r="V266" s="242"/>
    </row>
    <row r="267" spans="2:22">
      <c r="B267" s="242"/>
      <c r="C267" s="242"/>
      <c r="D267" s="242"/>
      <c r="E267" s="242"/>
      <c r="F267" s="242"/>
      <c r="G267" s="242"/>
      <c r="H267" s="242"/>
      <c r="I267" s="35"/>
      <c r="J267" s="35"/>
      <c r="K267" s="35"/>
      <c r="L267" s="242"/>
      <c r="M267" s="242"/>
      <c r="N267" s="242"/>
      <c r="O267" s="242"/>
      <c r="P267" s="242"/>
      <c r="Q267" s="242"/>
      <c r="R267" s="242"/>
      <c r="S267" s="242"/>
      <c r="T267" s="242"/>
      <c r="U267" s="242"/>
      <c r="V267" s="242"/>
    </row>
    <row r="268" spans="2:22">
      <c r="B268" s="242"/>
      <c r="C268" s="242"/>
      <c r="D268" s="242"/>
      <c r="E268" s="242"/>
      <c r="F268" s="242"/>
      <c r="G268" s="242"/>
      <c r="H268" s="242"/>
      <c r="I268" s="35"/>
      <c r="J268" s="35"/>
      <c r="K268" s="35"/>
      <c r="L268" s="242"/>
      <c r="M268" s="242"/>
      <c r="N268" s="242"/>
      <c r="O268" s="242"/>
      <c r="P268" s="242"/>
      <c r="Q268" s="242"/>
      <c r="R268" s="242"/>
      <c r="S268" s="242"/>
      <c r="T268" s="242"/>
      <c r="U268" s="242"/>
      <c r="V268" s="242"/>
    </row>
    <row r="269" spans="2:22">
      <c r="B269" s="242"/>
      <c r="C269" s="242"/>
      <c r="D269" s="242"/>
      <c r="E269" s="242"/>
      <c r="F269" s="242"/>
      <c r="G269" s="242"/>
      <c r="H269" s="242"/>
      <c r="I269" s="35"/>
      <c r="J269" s="35"/>
      <c r="K269" s="35"/>
      <c r="L269" s="242"/>
      <c r="M269" s="242"/>
      <c r="N269" s="242"/>
      <c r="O269" s="242"/>
      <c r="P269" s="242"/>
      <c r="Q269" s="242"/>
      <c r="R269" s="242"/>
      <c r="S269" s="242"/>
      <c r="T269" s="242"/>
      <c r="U269" s="242"/>
      <c r="V269" s="242"/>
    </row>
    <row r="270" spans="2:22">
      <c r="B270" s="242"/>
      <c r="C270" s="242"/>
      <c r="D270" s="242"/>
      <c r="E270" s="242"/>
      <c r="F270" s="242"/>
      <c r="G270" s="242"/>
      <c r="H270" s="242"/>
      <c r="I270" s="35"/>
      <c r="J270" s="35"/>
      <c r="K270" s="35"/>
      <c r="L270" s="242"/>
      <c r="M270" s="242"/>
      <c r="N270" s="242"/>
      <c r="O270" s="242"/>
      <c r="P270" s="242"/>
      <c r="Q270" s="242"/>
      <c r="R270" s="242"/>
      <c r="S270" s="242"/>
      <c r="T270" s="242"/>
      <c r="U270" s="242"/>
      <c r="V270" s="242"/>
    </row>
    <row r="271" spans="2:22">
      <c r="B271" s="242"/>
      <c r="C271" s="242"/>
      <c r="D271" s="242"/>
      <c r="E271" s="242"/>
      <c r="F271" s="242"/>
      <c r="G271" s="242"/>
      <c r="H271" s="242"/>
      <c r="I271" s="35"/>
      <c r="J271" s="35"/>
      <c r="K271" s="35"/>
      <c r="L271" s="242"/>
      <c r="M271" s="242"/>
      <c r="N271" s="242"/>
      <c r="O271" s="242"/>
      <c r="P271" s="242"/>
      <c r="Q271" s="242"/>
      <c r="R271" s="242"/>
      <c r="S271" s="242"/>
      <c r="T271" s="242"/>
      <c r="U271" s="242"/>
      <c r="V271" s="242"/>
    </row>
    <row r="272" spans="2:22">
      <c r="B272" s="242"/>
      <c r="C272" s="242"/>
      <c r="D272" s="242"/>
      <c r="E272" s="242"/>
      <c r="F272" s="242"/>
      <c r="G272" s="242"/>
      <c r="H272" s="242"/>
      <c r="I272" s="35"/>
      <c r="J272" s="35"/>
      <c r="K272" s="35"/>
      <c r="L272" s="242"/>
      <c r="M272" s="242"/>
      <c r="N272" s="242"/>
      <c r="O272" s="242"/>
      <c r="P272" s="242"/>
      <c r="Q272" s="242"/>
      <c r="R272" s="242"/>
      <c r="S272" s="242"/>
      <c r="T272" s="242"/>
      <c r="U272" s="242"/>
      <c r="V272" s="242"/>
    </row>
    <row r="273" spans="2:22">
      <c r="B273" s="242"/>
      <c r="C273" s="242"/>
      <c r="D273" s="242"/>
      <c r="E273" s="242"/>
      <c r="F273" s="242"/>
      <c r="G273" s="242"/>
      <c r="H273" s="242"/>
      <c r="I273" s="35"/>
      <c r="J273" s="35"/>
      <c r="K273" s="35"/>
      <c r="L273" s="242"/>
      <c r="M273" s="242"/>
      <c r="N273" s="242"/>
      <c r="O273" s="242"/>
      <c r="P273" s="242"/>
      <c r="Q273" s="242"/>
      <c r="R273" s="242"/>
      <c r="S273" s="242"/>
      <c r="T273" s="242"/>
      <c r="U273" s="242"/>
      <c r="V273" s="242"/>
    </row>
    <row r="274" spans="2:22">
      <c r="B274" s="242"/>
      <c r="C274" s="242"/>
      <c r="D274" s="242"/>
      <c r="E274" s="242"/>
      <c r="F274" s="242"/>
      <c r="G274" s="242"/>
      <c r="H274" s="242"/>
      <c r="I274" s="35"/>
      <c r="J274" s="35"/>
      <c r="K274" s="35"/>
      <c r="L274" s="242"/>
      <c r="M274" s="242"/>
      <c r="N274" s="242"/>
      <c r="O274" s="242"/>
      <c r="P274" s="242"/>
      <c r="Q274" s="242"/>
      <c r="R274" s="242"/>
      <c r="S274" s="242"/>
      <c r="T274" s="242"/>
      <c r="U274" s="242"/>
      <c r="V274" s="242"/>
    </row>
    <row r="275" spans="2:22">
      <c r="B275" s="242"/>
      <c r="C275" s="242"/>
      <c r="D275" s="242"/>
      <c r="E275" s="242"/>
      <c r="F275" s="242"/>
      <c r="G275" s="242"/>
      <c r="H275" s="242"/>
      <c r="I275" s="35"/>
      <c r="J275" s="35"/>
      <c r="K275" s="35"/>
      <c r="L275" s="242"/>
      <c r="M275" s="242"/>
      <c r="N275" s="242"/>
      <c r="O275" s="242"/>
      <c r="P275" s="242"/>
      <c r="Q275" s="242"/>
      <c r="R275" s="242"/>
      <c r="S275" s="242"/>
      <c r="T275" s="242"/>
      <c r="U275" s="242"/>
      <c r="V275" s="242"/>
    </row>
    <row r="276" spans="2:22">
      <c r="B276" s="242"/>
      <c r="C276" s="242"/>
      <c r="D276" s="242"/>
      <c r="E276" s="242"/>
      <c r="F276" s="242"/>
      <c r="G276" s="242"/>
      <c r="H276" s="242"/>
      <c r="I276" s="35"/>
      <c r="J276" s="35"/>
      <c r="K276" s="35"/>
      <c r="L276" s="242"/>
      <c r="M276" s="242"/>
      <c r="N276" s="242"/>
      <c r="O276" s="242"/>
      <c r="P276" s="242"/>
      <c r="Q276" s="242"/>
      <c r="R276" s="242"/>
      <c r="S276" s="242"/>
      <c r="T276" s="242"/>
      <c r="U276" s="242"/>
      <c r="V276" s="242"/>
    </row>
    <row r="277" spans="2:22">
      <c r="B277" s="242"/>
      <c r="C277" s="242"/>
      <c r="D277" s="242"/>
      <c r="E277" s="242"/>
      <c r="F277" s="242"/>
      <c r="G277" s="242"/>
      <c r="H277" s="242"/>
      <c r="I277" s="35"/>
      <c r="J277" s="35"/>
      <c r="K277" s="35"/>
      <c r="L277" s="242"/>
      <c r="M277" s="242"/>
      <c r="N277" s="242"/>
      <c r="O277" s="242"/>
      <c r="P277" s="242"/>
      <c r="Q277" s="242"/>
      <c r="R277" s="242"/>
      <c r="S277" s="242"/>
      <c r="T277" s="242"/>
      <c r="U277" s="242"/>
      <c r="V277" s="242"/>
    </row>
    <row r="278" spans="2:22">
      <c r="B278" s="242"/>
      <c r="C278" s="242"/>
      <c r="D278" s="242"/>
      <c r="E278" s="242"/>
      <c r="F278" s="242"/>
      <c r="G278" s="242"/>
      <c r="H278" s="242"/>
      <c r="I278" s="35"/>
      <c r="J278" s="35"/>
      <c r="K278" s="35"/>
      <c r="L278" s="242"/>
      <c r="M278" s="242"/>
      <c r="N278" s="242"/>
      <c r="O278" s="242"/>
      <c r="P278" s="242"/>
      <c r="Q278" s="242"/>
      <c r="R278" s="242"/>
      <c r="S278" s="242"/>
      <c r="T278" s="242"/>
      <c r="U278" s="242"/>
      <c r="V278" s="242"/>
    </row>
    <row r="279" spans="2:22">
      <c r="B279" s="242"/>
      <c r="C279" s="242"/>
      <c r="D279" s="242"/>
      <c r="E279" s="242"/>
      <c r="F279" s="242"/>
      <c r="G279" s="242"/>
      <c r="H279" s="242"/>
      <c r="I279" s="35"/>
      <c r="J279" s="35"/>
      <c r="K279" s="35"/>
      <c r="L279" s="242"/>
      <c r="M279" s="242"/>
      <c r="N279" s="242"/>
      <c r="O279" s="242"/>
      <c r="P279" s="242"/>
      <c r="Q279" s="242"/>
      <c r="R279" s="242"/>
      <c r="S279" s="242"/>
      <c r="T279" s="242"/>
      <c r="U279" s="242"/>
      <c r="V279" s="242"/>
    </row>
    <row r="280" spans="2:22">
      <c r="B280" s="242"/>
      <c r="C280" s="242"/>
      <c r="D280" s="242"/>
      <c r="E280" s="242"/>
      <c r="F280" s="242"/>
      <c r="G280" s="242"/>
      <c r="H280" s="242"/>
      <c r="I280" s="35"/>
      <c r="J280" s="35"/>
      <c r="K280" s="35"/>
      <c r="L280" s="242"/>
      <c r="M280" s="242"/>
      <c r="N280" s="242"/>
      <c r="O280" s="242"/>
      <c r="P280" s="242"/>
      <c r="Q280" s="242"/>
      <c r="R280" s="242"/>
      <c r="S280" s="242"/>
      <c r="T280" s="242"/>
      <c r="U280" s="242"/>
      <c r="V280" s="242"/>
    </row>
    <row r="281" spans="2:22">
      <c r="B281" s="242"/>
      <c r="C281" s="242"/>
      <c r="D281" s="242"/>
      <c r="E281" s="242"/>
      <c r="F281" s="242"/>
      <c r="G281" s="242"/>
      <c r="H281" s="242"/>
      <c r="I281" s="35"/>
      <c r="J281" s="35"/>
      <c r="K281" s="35"/>
      <c r="L281" s="242"/>
      <c r="M281" s="242"/>
      <c r="N281" s="242"/>
      <c r="O281" s="242"/>
      <c r="P281" s="242"/>
      <c r="Q281" s="242"/>
      <c r="R281" s="242"/>
      <c r="S281" s="242"/>
      <c r="T281" s="242"/>
      <c r="U281" s="242"/>
      <c r="V281" s="242"/>
    </row>
    <row r="282" spans="2:22">
      <c r="B282" s="242"/>
      <c r="C282" s="242"/>
      <c r="D282" s="242"/>
      <c r="E282" s="242"/>
      <c r="F282" s="242"/>
      <c r="G282" s="242"/>
      <c r="H282" s="242"/>
      <c r="I282" s="35"/>
      <c r="J282" s="35"/>
      <c r="K282" s="35"/>
      <c r="L282" s="242"/>
      <c r="M282" s="242"/>
      <c r="N282" s="242"/>
      <c r="O282" s="242"/>
      <c r="P282" s="242"/>
      <c r="Q282" s="242"/>
      <c r="R282" s="242"/>
      <c r="S282" s="242"/>
      <c r="T282" s="242"/>
      <c r="U282" s="242"/>
      <c r="V282" s="242"/>
    </row>
    <row r="283" spans="2:22">
      <c r="B283" s="242"/>
      <c r="C283" s="242"/>
      <c r="D283" s="242"/>
      <c r="E283" s="242"/>
      <c r="F283" s="242"/>
      <c r="G283" s="242"/>
      <c r="H283" s="242"/>
      <c r="I283" s="35"/>
      <c r="J283" s="35"/>
      <c r="K283" s="35"/>
      <c r="L283" s="242"/>
      <c r="M283" s="242"/>
      <c r="N283" s="242"/>
      <c r="O283" s="242"/>
      <c r="P283" s="242"/>
      <c r="Q283" s="242"/>
      <c r="R283" s="242"/>
      <c r="S283" s="242"/>
      <c r="T283" s="242"/>
      <c r="U283" s="242"/>
      <c r="V283" s="242"/>
    </row>
    <row r="284" spans="2:22">
      <c r="B284" s="242"/>
      <c r="C284" s="242"/>
      <c r="D284" s="242"/>
      <c r="E284" s="242"/>
      <c r="F284" s="242"/>
      <c r="G284" s="242"/>
      <c r="H284" s="242"/>
      <c r="I284" s="35"/>
      <c r="J284" s="35"/>
      <c r="K284" s="35"/>
      <c r="L284" s="242"/>
      <c r="M284" s="242"/>
      <c r="N284" s="242"/>
      <c r="O284" s="242"/>
      <c r="P284" s="242"/>
      <c r="Q284" s="242"/>
      <c r="R284" s="242"/>
      <c r="S284" s="242"/>
      <c r="T284" s="242"/>
      <c r="U284" s="242"/>
      <c r="V284" s="242"/>
    </row>
    <row r="285" spans="2:22">
      <c r="B285" s="242"/>
      <c r="C285" s="242"/>
      <c r="D285" s="242"/>
      <c r="E285" s="242"/>
      <c r="F285" s="242"/>
      <c r="G285" s="242"/>
      <c r="H285" s="242"/>
      <c r="I285" s="35"/>
      <c r="J285" s="35"/>
      <c r="K285" s="35"/>
      <c r="L285" s="242"/>
      <c r="M285" s="242"/>
      <c r="N285" s="242"/>
      <c r="O285" s="242"/>
      <c r="P285" s="242"/>
      <c r="Q285" s="242"/>
      <c r="R285" s="242"/>
      <c r="S285" s="242"/>
      <c r="T285" s="242"/>
      <c r="U285" s="242"/>
      <c r="V285" s="242"/>
    </row>
    <row r="286" spans="2:22">
      <c r="B286" s="242"/>
      <c r="C286" s="242"/>
      <c r="D286" s="242"/>
      <c r="E286" s="242"/>
      <c r="F286" s="242"/>
      <c r="G286" s="242"/>
      <c r="H286" s="242"/>
      <c r="I286" s="35"/>
      <c r="J286" s="35"/>
      <c r="K286" s="35"/>
      <c r="L286" s="242"/>
      <c r="M286" s="242"/>
      <c r="N286" s="242"/>
      <c r="O286" s="242"/>
      <c r="P286" s="242"/>
      <c r="Q286" s="242"/>
      <c r="R286" s="242"/>
      <c r="S286" s="242"/>
      <c r="T286" s="242"/>
      <c r="U286" s="242"/>
      <c r="V286" s="242"/>
    </row>
    <row r="287" spans="2:22">
      <c r="B287" s="242"/>
      <c r="C287" s="242"/>
      <c r="D287" s="242"/>
      <c r="E287" s="242"/>
      <c r="F287" s="242"/>
      <c r="G287" s="242"/>
      <c r="H287" s="242"/>
      <c r="I287" s="35"/>
      <c r="J287" s="35"/>
      <c r="K287" s="35"/>
      <c r="L287" s="242"/>
      <c r="M287" s="242"/>
      <c r="N287" s="242"/>
      <c r="O287" s="242"/>
      <c r="P287" s="242"/>
      <c r="Q287" s="242"/>
      <c r="R287" s="242"/>
      <c r="S287" s="242"/>
      <c r="T287" s="242"/>
      <c r="U287" s="242"/>
      <c r="V287" s="242"/>
    </row>
    <row r="288" spans="2:22">
      <c r="B288" s="242"/>
      <c r="C288" s="242"/>
      <c r="D288" s="242"/>
      <c r="E288" s="242"/>
      <c r="F288" s="242"/>
      <c r="G288" s="242"/>
      <c r="H288" s="242"/>
      <c r="I288" s="35"/>
      <c r="J288" s="35"/>
      <c r="K288" s="35"/>
      <c r="L288" s="242"/>
      <c r="M288" s="242"/>
      <c r="N288" s="242"/>
      <c r="O288" s="242"/>
      <c r="P288" s="242"/>
      <c r="Q288" s="242"/>
      <c r="R288" s="242"/>
      <c r="S288" s="242"/>
      <c r="T288" s="242"/>
      <c r="U288" s="242"/>
      <c r="V288" s="242"/>
    </row>
    <row r="289" spans="2:22">
      <c r="B289" s="242"/>
      <c r="C289" s="242"/>
      <c r="D289" s="242"/>
      <c r="E289" s="242"/>
      <c r="F289" s="242"/>
      <c r="G289" s="242"/>
      <c r="H289" s="242"/>
      <c r="I289" s="35"/>
      <c r="J289" s="35"/>
      <c r="K289" s="35"/>
      <c r="L289" s="242"/>
      <c r="M289" s="242"/>
      <c r="N289" s="242"/>
      <c r="O289" s="242"/>
      <c r="P289" s="242"/>
      <c r="Q289" s="242"/>
      <c r="R289" s="242"/>
      <c r="S289" s="242"/>
      <c r="T289" s="242"/>
      <c r="U289" s="242"/>
      <c r="V289" s="242"/>
    </row>
    <row r="290" spans="2:22">
      <c r="B290" s="242"/>
      <c r="C290" s="242"/>
      <c r="D290" s="242"/>
      <c r="E290" s="242"/>
      <c r="F290" s="242"/>
      <c r="G290" s="242"/>
      <c r="H290" s="242"/>
      <c r="I290" s="35"/>
      <c r="J290" s="35"/>
      <c r="K290" s="35"/>
      <c r="L290" s="242"/>
      <c r="M290" s="242"/>
      <c r="N290" s="242"/>
      <c r="O290" s="242"/>
      <c r="P290" s="242"/>
      <c r="Q290" s="242"/>
      <c r="R290" s="242"/>
      <c r="S290" s="242"/>
      <c r="T290" s="242"/>
      <c r="U290" s="242"/>
      <c r="V290" s="242"/>
    </row>
    <row r="291" spans="2:22">
      <c r="B291" s="242"/>
      <c r="C291" s="242"/>
      <c r="D291" s="242"/>
      <c r="E291" s="242"/>
      <c r="F291" s="242"/>
      <c r="G291" s="242"/>
      <c r="H291" s="242"/>
      <c r="I291" s="35"/>
      <c r="J291" s="35"/>
      <c r="K291" s="35"/>
      <c r="L291" s="242"/>
      <c r="M291" s="242"/>
      <c r="N291" s="242"/>
      <c r="O291" s="242"/>
      <c r="P291" s="242"/>
      <c r="Q291" s="242"/>
      <c r="R291" s="242"/>
      <c r="S291" s="242"/>
      <c r="T291" s="242"/>
      <c r="U291" s="242"/>
      <c r="V291" s="242"/>
    </row>
    <row r="292" spans="2:22">
      <c r="B292" s="242"/>
      <c r="C292" s="242"/>
      <c r="D292" s="242"/>
      <c r="E292" s="242"/>
      <c r="F292" s="242"/>
      <c r="G292" s="242"/>
      <c r="H292" s="242"/>
      <c r="I292" s="35"/>
      <c r="J292" s="35"/>
      <c r="K292" s="35"/>
      <c r="L292" s="242"/>
      <c r="M292" s="242"/>
      <c r="N292" s="242"/>
      <c r="O292" s="242"/>
      <c r="P292" s="242"/>
      <c r="Q292" s="242"/>
      <c r="R292" s="242"/>
      <c r="S292" s="242"/>
      <c r="T292" s="242"/>
      <c r="U292" s="242"/>
      <c r="V292" s="242"/>
    </row>
    <row r="293" spans="2:22">
      <c r="B293" s="242"/>
      <c r="C293" s="242"/>
      <c r="D293" s="242"/>
      <c r="E293" s="242"/>
      <c r="F293" s="242"/>
      <c r="G293" s="242"/>
      <c r="H293" s="242"/>
      <c r="I293" s="35"/>
      <c r="J293" s="35"/>
      <c r="K293" s="35"/>
      <c r="L293" s="242"/>
      <c r="M293" s="242"/>
      <c r="N293" s="242"/>
      <c r="O293" s="242"/>
      <c r="P293" s="242"/>
      <c r="Q293" s="242"/>
      <c r="R293" s="242"/>
      <c r="S293" s="242"/>
      <c r="T293" s="242"/>
      <c r="U293" s="242"/>
      <c r="V293" s="242"/>
    </row>
    <row r="294" spans="2:22">
      <c r="B294" s="242"/>
      <c r="C294" s="242"/>
      <c r="D294" s="242"/>
      <c r="E294" s="242"/>
      <c r="F294" s="242"/>
      <c r="G294" s="242"/>
      <c r="H294" s="242"/>
      <c r="I294" s="35"/>
      <c r="J294" s="35"/>
      <c r="K294" s="35"/>
      <c r="L294" s="242"/>
      <c r="M294" s="242"/>
      <c r="N294" s="242"/>
      <c r="O294" s="242"/>
      <c r="P294" s="242"/>
      <c r="Q294" s="242"/>
      <c r="R294" s="242"/>
      <c r="S294" s="242"/>
      <c r="T294" s="242"/>
      <c r="U294" s="242"/>
      <c r="V294" s="242"/>
    </row>
    <row r="295" spans="2:22">
      <c r="B295" s="242"/>
      <c r="C295" s="242"/>
      <c r="D295" s="242"/>
      <c r="E295" s="242"/>
      <c r="F295" s="242"/>
      <c r="G295" s="242"/>
      <c r="H295" s="242"/>
      <c r="I295" s="35"/>
      <c r="J295" s="35"/>
      <c r="K295" s="35"/>
      <c r="L295" s="242"/>
      <c r="M295" s="242"/>
      <c r="N295" s="242"/>
      <c r="O295" s="242"/>
      <c r="P295" s="242"/>
      <c r="Q295" s="242"/>
      <c r="R295" s="242"/>
      <c r="S295" s="242"/>
      <c r="T295" s="242"/>
      <c r="U295" s="242"/>
      <c r="V295" s="242"/>
    </row>
    <row r="296" spans="2:22">
      <c r="B296" s="242"/>
      <c r="C296" s="242"/>
      <c r="D296" s="242"/>
      <c r="E296" s="242"/>
      <c r="F296" s="242"/>
      <c r="G296" s="242"/>
      <c r="H296" s="242"/>
      <c r="I296" s="35"/>
      <c r="J296" s="35"/>
      <c r="K296" s="35"/>
      <c r="L296" s="242"/>
      <c r="M296" s="242"/>
      <c r="N296" s="242"/>
      <c r="O296" s="242"/>
      <c r="P296" s="242"/>
      <c r="Q296" s="242"/>
      <c r="R296" s="242"/>
      <c r="S296" s="242"/>
      <c r="T296" s="242"/>
      <c r="U296" s="242"/>
      <c r="V296" s="242"/>
    </row>
    <row r="297" spans="2:22">
      <c r="B297" s="242"/>
      <c r="C297" s="242"/>
      <c r="D297" s="242"/>
      <c r="E297" s="242"/>
      <c r="F297" s="242"/>
      <c r="G297" s="242"/>
      <c r="H297" s="242"/>
      <c r="I297" s="35"/>
      <c r="J297" s="35"/>
      <c r="K297" s="35"/>
      <c r="L297" s="242"/>
      <c r="M297" s="242"/>
      <c r="N297" s="242"/>
      <c r="O297" s="242"/>
      <c r="P297" s="242"/>
      <c r="Q297" s="242"/>
      <c r="R297" s="242"/>
      <c r="S297" s="242"/>
      <c r="T297" s="242"/>
      <c r="U297" s="242"/>
      <c r="V297" s="242"/>
    </row>
    <row r="298" spans="2:22">
      <c r="B298" s="242"/>
      <c r="C298" s="242"/>
      <c r="D298" s="242"/>
      <c r="E298" s="242"/>
      <c r="F298" s="242"/>
      <c r="G298" s="242"/>
      <c r="H298" s="242"/>
      <c r="I298" s="35"/>
      <c r="J298" s="35"/>
      <c r="K298" s="35"/>
      <c r="L298" s="242"/>
      <c r="M298" s="242"/>
      <c r="N298" s="242"/>
      <c r="O298" s="242"/>
      <c r="P298" s="242"/>
      <c r="Q298" s="242"/>
      <c r="R298" s="242"/>
      <c r="S298" s="242"/>
      <c r="T298" s="242"/>
      <c r="U298" s="242"/>
      <c r="V298" s="242"/>
    </row>
    <row r="299" spans="2:22">
      <c r="B299" s="242"/>
      <c r="C299" s="242"/>
      <c r="D299" s="242"/>
      <c r="E299" s="242"/>
      <c r="F299" s="242"/>
      <c r="G299" s="242"/>
      <c r="H299" s="242"/>
      <c r="I299" s="35"/>
      <c r="J299" s="35"/>
      <c r="K299" s="35"/>
      <c r="L299" s="242"/>
      <c r="M299" s="242"/>
      <c r="N299" s="242"/>
      <c r="O299" s="242"/>
      <c r="P299" s="242"/>
      <c r="Q299" s="242"/>
      <c r="R299" s="242"/>
      <c r="S299" s="242"/>
      <c r="T299" s="242"/>
      <c r="U299" s="242"/>
      <c r="V299" s="242"/>
    </row>
    <row r="300" spans="2:22">
      <c r="B300" s="242"/>
      <c r="C300" s="242"/>
      <c r="D300" s="242"/>
      <c r="E300" s="242"/>
      <c r="F300" s="242"/>
      <c r="G300" s="242"/>
      <c r="H300" s="242"/>
      <c r="I300" s="35"/>
      <c r="J300" s="35"/>
      <c r="K300" s="35"/>
      <c r="L300" s="242"/>
      <c r="M300" s="242"/>
      <c r="N300" s="242"/>
      <c r="O300" s="242"/>
      <c r="P300" s="242"/>
      <c r="Q300" s="242"/>
      <c r="R300" s="242"/>
      <c r="S300" s="242"/>
      <c r="T300" s="242"/>
      <c r="U300" s="242"/>
      <c r="V300" s="242"/>
    </row>
    <row r="301" spans="2:22">
      <c r="B301" s="242"/>
      <c r="C301" s="242"/>
      <c r="D301" s="242"/>
      <c r="E301" s="242"/>
      <c r="F301" s="242"/>
      <c r="G301" s="242"/>
      <c r="H301" s="242"/>
      <c r="I301" s="35"/>
      <c r="J301" s="35"/>
      <c r="K301" s="35"/>
      <c r="L301" s="242"/>
      <c r="M301" s="242"/>
      <c r="N301" s="242"/>
      <c r="O301" s="242"/>
      <c r="P301" s="242"/>
      <c r="Q301" s="242"/>
      <c r="R301" s="242"/>
      <c r="S301" s="242"/>
      <c r="T301" s="242"/>
      <c r="U301" s="242"/>
      <c r="V301" s="242"/>
    </row>
    <row r="302" spans="2:22">
      <c r="B302" s="242"/>
      <c r="C302" s="242"/>
      <c r="D302" s="242"/>
      <c r="E302" s="242"/>
      <c r="F302" s="242"/>
      <c r="G302" s="242"/>
      <c r="H302" s="242"/>
      <c r="I302" s="35"/>
      <c r="J302" s="35"/>
      <c r="K302" s="35"/>
      <c r="L302" s="242"/>
      <c r="M302" s="242"/>
      <c r="N302" s="242"/>
      <c r="O302" s="242"/>
      <c r="P302" s="242"/>
      <c r="Q302" s="242"/>
      <c r="R302" s="242"/>
      <c r="S302" s="242"/>
      <c r="T302" s="242"/>
      <c r="U302" s="242"/>
      <c r="V302" s="242"/>
    </row>
    <row r="303" spans="2:22">
      <c r="B303" s="242"/>
      <c r="C303" s="242"/>
      <c r="D303" s="242"/>
      <c r="E303" s="242"/>
      <c r="F303" s="242"/>
      <c r="G303" s="242"/>
      <c r="H303" s="242"/>
      <c r="I303" s="35"/>
      <c r="J303" s="35"/>
      <c r="K303" s="35"/>
      <c r="L303" s="242"/>
      <c r="M303" s="242"/>
      <c r="N303" s="242"/>
      <c r="O303" s="242"/>
      <c r="P303" s="242"/>
      <c r="Q303" s="242"/>
      <c r="R303" s="242"/>
      <c r="S303" s="242"/>
      <c r="T303" s="242"/>
      <c r="U303" s="242"/>
      <c r="V303" s="242"/>
    </row>
    <row r="304" spans="2:22">
      <c r="B304" s="242"/>
      <c r="C304" s="242"/>
      <c r="D304" s="242"/>
      <c r="E304" s="242"/>
      <c r="F304" s="242"/>
      <c r="G304" s="242"/>
      <c r="H304" s="242"/>
      <c r="I304" s="35"/>
      <c r="J304" s="35"/>
      <c r="K304" s="35"/>
      <c r="L304" s="242"/>
      <c r="M304" s="242"/>
      <c r="N304" s="242"/>
      <c r="O304" s="242"/>
      <c r="P304" s="242"/>
      <c r="Q304" s="242"/>
      <c r="R304" s="242"/>
      <c r="S304" s="242"/>
      <c r="T304" s="242"/>
      <c r="U304" s="242"/>
      <c r="V304" s="242"/>
    </row>
    <row r="305" spans="2:22">
      <c r="B305" s="242"/>
      <c r="C305" s="242"/>
      <c r="D305" s="242"/>
      <c r="E305" s="242"/>
      <c r="F305" s="242"/>
      <c r="G305" s="242"/>
      <c r="H305" s="242"/>
      <c r="I305" s="35"/>
      <c r="J305" s="35"/>
      <c r="K305" s="35"/>
      <c r="L305" s="242"/>
      <c r="M305" s="242"/>
      <c r="N305" s="242"/>
      <c r="O305" s="242"/>
      <c r="P305" s="242"/>
      <c r="Q305" s="242"/>
      <c r="R305" s="242"/>
      <c r="S305" s="242"/>
      <c r="T305" s="242"/>
      <c r="U305" s="242"/>
      <c r="V305" s="242"/>
    </row>
    <row r="306" spans="2:22">
      <c r="B306" s="242"/>
      <c r="C306" s="242"/>
      <c r="D306" s="242"/>
      <c r="E306" s="242"/>
      <c r="F306" s="242"/>
      <c r="G306" s="242"/>
      <c r="H306" s="242"/>
      <c r="I306" s="35"/>
      <c r="J306" s="35"/>
      <c r="K306" s="35"/>
      <c r="L306" s="242"/>
      <c r="M306" s="242"/>
      <c r="N306" s="242"/>
      <c r="O306" s="242"/>
      <c r="P306" s="242"/>
      <c r="Q306" s="242"/>
      <c r="R306" s="242"/>
      <c r="S306" s="242"/>
      <c r="T306" s="242"/>
      <c r="U306" s="242"/>
      <c r="V306" s="242"/>
    </row>
    <row r="307" spans="2:22">
      <c r="B307" s="242"/>
      <c r="C307" s="242"/>
      <c r="D307" s="242"/>
      <c r="E307" s="242"/>
      <c r="F307" s="242"/>
      <c r="G307" s="242"/>
      <c r="H307" s="242"/>
      <c r="I307" s="35"/>
      <c r="J307" s="35"/>
      <c r="K307" s="35"/>
      <c r="L307" s="242"/>
      <c r="M307" s="242"/>
      <c r="N307" s="242"/>
      <c r="O307" s="242"/>
      <c r="P307" s="242"/>
      <c r="Q307" s="242"/>
      <c r="R307" s="242"/>
      <c r="S307" s="242"/>
      <c r="T307" s="242"/>
      <c r="U307" s="242"/>
      <c r="V307" s="242"/>
    </row>
    <row r="308" spans="2:22">
      <c r="B308" s="242"/>
      <c r="C308" s="242"/>
      <c r="D308" s="242"/>
      <c r="E308" s="242"/>
      <c r="F308" s="242"/>
      <c r="G308" s="242"/>
      <c r="H308" s="242"/>
      <c r="I308" s="35"/>
      <c r="J308" s="35"/>
      <c r="K308" s="35"/>
      <c r="L308" s="242"/>
      <c r="M308" s="242"/>
      <c r="N308" s="242"/>
      <c r="O308" s="242"/>
      <c r="P308" s="242"/>
      <c r="Q308" s="242"/>
      <c r="R308" s="242"/>
      <c r="S308" s="242"/>
      <c r="T308" s="242"/>
      <c r="U308" s="242"/>
      <c r="V308" s="242"/>
    </row>
    <row r="309" spans="2:22">
      <c r="B309" s="242"/>
      <c r="C309" s="242"/>
      <c r="D309" s="242"/>
      <c r="E309" s="242"/>
      <c r="F309" s="242"/>
      <c r="G309" s="242"/>
      <c r="H309" s="242"/>
      <c r="I309" s="35"/>
      <c r="J309" s="35"/>
      <c r="K309" s="35"/>
      <c r="L309" s="242"/>
      <c r="M309" s="242"/>
      <c r="N309" s="242"/>
      <c r="O309" s="242"/>
      <c r="P309" s="242"/>
      <c r="Q309" s="242"/>
      <c r="R309" s="242"/>
      <c r="S309" s="242"/>
      <c r="T309" s="242"/>
      <c r="U309" s="242"/>
      <c r="V309" s="242"/>
    </row>
    <row r="310" spans="2:22">
      <c r="B310" s="242"/>
      <c r="C310" s="242"/>
      <c r="D310" s="242"/>
      <c r="E310" s="242"/>
      <c r="F310" s="242"/>
      <c r="G310" s="242"/>
      <c r="H310" s="242"/>
      <c r="I310" s="35"/>
      <c r="J310" s="35"/>
      <c r="K310" s="35"/>
      <c r="L310" s="242"/>
      <c r="M310" s="242"/>
      <c r="N310" s="242"/>
      <c r="O310" s="242"/>
      <c r="P310" s="242"/>
      <c r="Q310" s="242"/>
      <c r="R310" s="242"/>
      <c r="S310" s="242"/>
      <c r="T310" s="242"/>
      <c r="U310" s="242"/>
      <c r="V310" s="242"/>
    </row>
    <row r="311" spans="2:22">
      <c r="B311" s="242"/>
      <c r="C311" s="242"/>
      <c r="D311" s="242"/>
      <c r="E311" s="242"/>
      <c r="F311" s="242"/>
      <c r="G311" s="242"/>
      <c r="H311" s="242"/>
      <c r="I311" s="35"/>
      <c r="J311" s="35"/>
      <c r="K311" s="35"/>
      <c r="L311" s="242"/>
      <c r="M311" s="242"/>
      <c r="N311" s="242"/>
      <c r="O311" s="242"/>
      <c r="P311" s="242"/>
      <c r="Q311" s="242"/>
      <c r="R311" s="242"/>
      <c r="S311" s="242"/>
      <c r="T311" s="242"/>
      <c r="U311" s="242"/>
      <c r="V311" s="242"/>
    </row>
    <row r="312" spans="2:22">
      <c r="B312" s="242"/>
      <c r="C312" s="242"/>
      <c r="D312" s="242"/>
      <c r="E312" s="242"/>
      <c r="F312" s="242"/>
      <c r="G312" s="242"/>
      <c r="H312" s="242"/>
      <c r="I312" s="35"/>
      <c r="J312" s="35"/>
      <c r="K312" s="35"/>
      <c r="L312" s="242"/>
      <c r="M312" s="242"/>
      <c r="N312" s="242"/>
      <c r="O312" s="242"/>
      <c r="P312" s="242"/>
      <c r="Q312" s="242"/>
      <c r="R312" s="242"/>
      <c r="S312" s="242"/>
      <c r="T312" s="242"/>
      <c r="U312" s="242"/>
      <c r="V312" s="242"/>
    </row>
    <row r="313" spans="2:22">
      <c r="B313" s="242"/>
      <c r="C313" s="242"/>
      <c r="D313" s="242"/>
      <c r="E313" s="242"/>
      <c r="F313" s="242"/>
      <c r="G313" s="242"/>
      <c r="H313" s="242"/>
      <c r="I313" s="35"/>
      <c r="J313" s="35"/>
      <c r="K313" s="35"/>
      <c r="L313" s="242"/>
      <c r="M313" s="242"/>
      <c r="N313" s="242"/>
      <c r="O313" s="242"/>
      <c r="P313" s="242"/>
      <c r="Q313" s="242"/>
      <c r="R313" s="242"/>
      <c r="S313" s="242"/>
      <c r="T313" s="242"/>
      <c r="U313" s="242"/>
      <c r="V313" s="242"/>
    </row>
    <row r="314" spans="2:22">
      <c r="B314" s="242"/>
      <c r="C314" s="242"/>
      <c r="D314" s="242"/>
      <c r="E314" s="242"/>
      <c r="F314" s="242"/>
      <c r="G314" s="242"/>
      <c r="H314" s="242"/>
      <c r="I314" s="35"/>
      <c r="J314" s="35"/>
      <c r="K314" s="35"/>
      <c r="L314" s="242"/>
      <c r="M314" s="242"/>
      <c r="N314" s="242"/>
      <c r="O314" s="242"/>
      <c r="P314" s="242"/>
      <c r="Q314" s="242"/>
      <c r="R314" s="242"/>
      <c r="S314" s="242"/>
      <c r="T314" s="242"/>
      <c r="U314" s="242"/>
      <c r="V314" s="242"/>
    </row>
    <row r="315" spans="2:22">
      <c r="B315" s="242"/>
      <c r="C315" s="242"/>
      <c r="D315" s="242"/>
      <c r="E315" s="242"/>
      <c r="F315" s="242"/>
      <c r="G315" s="242"/>
      <c r="H315" s="242"/>
      <c r="I315" s="35"/>
      <c r="J315" s="35"/>
      <c r="K315" s="35"/>
      <c r="L315" s="242"/>
      <c r="M315" s="242"/>
      <c r="N315" s="242"/>
      <c r="O315" s="242"/>
      <c r="P315" s="242"/>
      <c r="Q315" s="242"/>
      <c r="R315" s="242"/>
      <c r="S315" s="242"/>
      <c r="T315" s="242"/>
      <c r="U315" s="242"/>
      <c r="V315" s="242"/>
    </row>
    <row r="316" spans="2:22">
      <c r="B316" s="242"/>
      <c r="C316" s="242"/>
      <c r="D316" s="242"/>
      <c r="E316" s="242"/>
      <c r="F316" s="242"/>
      <c r="G316" s="242"/>
      <c r="H316" s="242"/>
      <c r="I316" s="35"/>
      <c r="J316" s="35"/>
      <c r="K316" s="35"/>
      <c r="L316" s="242"/>
      <c r="M316" s="242"/>
      <c r="N316" s="242"/>
      <c r="O316" s="242"/>
      <c r="P316" s="242"/>
      <c r="Q316" s="242"/>
      <c r="R316" s="242"/>
      <c r="S316" s="242"/>
      <c r="T316" s="242"/>
      <c r="U316" s="242"/>
      <c r="V316" s="242"/>
    </row>
    <row r="317" spans="2:22">
      <c r="B317" s="242"/>
      <c r="C317" s="242"/>
      <c r="D317" s="242"/>
      <c r="E317" s="242"/>
      <c r="F317" s="242"/>
      <c r="G317" s="242"/>
      <c r="H317" s="242"/>
      <c r="I317" s="35"/>
      <c r="J317" s="35"/>
      <c r="K317" s="35"/>
      <c r="L317" s="242"/>
      <c r="M317" s="242"/>
      <c r="N317" s="242"/>
      <c r="O317" s="242"/>
      <c r="P317" s="242"/>
      <c r="Q317" s="242"/>
      <c r="R317" s="242"/>
      <c r="S317" s="242"/>
      <c r="T317" s="242"/>
      <c r="U317" s="242"/>
      <c r="V317" s="242"/>
    </row>
    <row r="318" spans="2:22">
      <c r="B318" s="242"/>
      <c r="C318" s="242"/>
      <c r="D318" s="242"/>
      <c r="E318" s="242"/>
      <c r="F318" s="242"/>
      <c r="G318" s="242"/>
      <c r="H318" s="242"/>
      <c r="I318" s="35"/>
      <c r="J318" s="35"/>
      <c r="K318" s="35"/>
      <c r="L318" s="242"/>
      <c r="M318" s="242"/>
      <c r="N318" s="242"/>
      <c r="O318" s="242"/>
      <c r="P318" s="242"/>
      <c r="Q318" s="242"/>
      <c r="R318" s="242"/>
      <c r="S318" s="242"/>
      <c r="T318" s="242"/>
      <c r="U318" s="242"/>
      <c r="V318" s="242"/>
    </row>
    <row r="319" spans="2:22">
      <c r="B319" s="242"/>
      <c r="C319" s="242"/>
      <c r="D319" s="242"/>
      <c r="E319" s="242"/>
      <c r="F319" s="242"/>
      <c r="G319" s="242"/>
      <c r="H319" s="242"/>
      <c r="I319" s="35"/>
      <c r="J319" s="35"/>
      <c r="K319" s="35"/>
      <c r="L319" s="242"/>
      <c r="M319" s="242"/>
      <c r="N319" s="242"/>
      <c r="O319" s="242"/>
      <c r="P319" s="242"/>
      <c r="Q319" s="242"/>
      <c r="R319" s="242"/>
      <c r="S319" s="242"/>
      <c r="T319" s="242"/>
      <c r="U319" s="242"/>
      <c r="V319" s="242"/>
    </row>
    <row r="320" spans="2:22">
      <c r="B320" s="242"/>
      <c r="C320" s="242"/>
      <c r="D320" s="242"/>
      <c r="E320" s="242"/>
      <c r="F320" s="242"/>
      <c r="G320" s="242"/>
      <c r="H320" s="242"/>
      <c r="I320" s="35"/>
      <c r="J320" s="35"/>
      <c r="K320" s="35"/>
      <c r="L320" s="242"/>
      <c r="M320" s="242"/>
      <c r="N320" s="242"/>
      <c r="O320" s="242"/>
      <c r="P320" s="242"/>
      <c r="Q320" s="242"/>
      <c r="R320" s="242"/>
      <c r="S320" s="242"/>
      <c r="T320" s="242"/>
      <c r="U320" s="242"/>
      <c r="V320" s="242"/>
    </row>
    <row r="321" spans="2:22">
      <c r="B321" s="242"/>
      <c r="C321" s="242"/>
      <c r="D321" s="242"/>
      <c r="E321" s="242"/>
      <c r="F321" s="242"/>
      <c r="G321" s="242"/>
      <c r="H321" s="242"/>
      <c r="I321" s="35"/>
      <c r="J321" s="35"/>
      <c r="K321" s="35"/>
      <c r="L321" s="242"/>
      <c r="M321" s="242"/>
      <c r="N321" s="242"/>
      <c r="O321" s="242"/>
      <c r="P321" s="242"/>
      <c r="Q321" s="242"/>
      <c r="R321" s="242"/>
      <c r="S321" s="242"/>
      <c r="T321" s="242"/>
      <c r="U321" s="242"/>
      <c r="V321" s="242"/>
    </row>
    <row r="322" spans="2:22">
      <c r="B322" s="242"/>
      <c r="C322" s="242"/>
      <c r="D322" s="242"/>
      <c r="E322" s="242"/>
      <c r="F322" s="242"/>
      <c r="G322" s="242"/>
      <c r="H322" s="242"/>
      <c r="I322" s="35"/>
      <c r="J322" s="35"/>
      <c r="K322" s="35"/>
      <c r="L322" s="242"/>
      <c r="M322" s="242"/>
      <c r="N322" s="242"/>
      <c r="O322" s="242"/>
      <c r="P322" s="242"/>
      <c r="Q322" s="242"/>
      <c r="R322" s="242"/>
      <c r="S322" s="242"/>
      <c r="T322" s="242"/>
      <c r="U322" s="242"/>
      <c r="V322" s="242"/>
    </row>
    <row r="323" spans="2:22">
      <c r="B323" s="242"/>
      <c r="C323" s="242"/>
      <c r="D323" s="242"/>
      <c r="E323" s="242"/>
      <c r="F323" s="242"/>
      <c r="G323" s="242"/>
      <c r="H323" s="242"/>
      <c r="I323" s="35"/>
      <c r="J323" s="35"/>
      <c r="K323" s="35"/>
      <c r="L323" s="242"/>
      <c r="M323" s="242"/>
      <c r="N323" s="242"/>
      <c r="O323" s="242"/>
      <c r="P323" s="242"/>
      <c r="Q323" s="242"/>
      <c r="R323" s="242"/>
      <c r="S323" s="242"/>
      <c r="T323" s="242"/>
      <c r="U323" s="242"/>
      <c r="V323" s="242"/>
    </row>
    <row r="324" spans="2:22">
      <c r="B324" s="242"/>
      <c r="C324" s="242"/>
      <c r="D324" s="242"/>
      <c r="E324" s="242"/>
      <c r="F324" s="242"/>
      <c r="G324" s="242"/>
      <c r="H324" s="242"/>
      <c r="I324" s="35"/>
      <c r="J324" s="35"/>
      <c r="K324" s="35"/>
      <c r="L324" s="242"/>
      <c r="M324" s="242"/>
      <c r="N324" s="242"/>
      <c r="O324" s="242"/>
      <c r="P324" s="242"/>
      <c r="Q324" s="242"/>
      <c r="R324" s="242"/>
      <c r="S324" s="242"/>
      <c r="T324" s="242"/>
      <c r="U324" s="242"/>
      <c r="V324" s="242"/>
    </row>
    <row r="325" spans="2:22">
      <c r="B325" s="242"/>
      <c r="C325" s="242"/>
      <c r="D325" s="242"/>
      <c r="E325" s="242"/>
      <c r="F325" s="242"/>
      <c r="G325" s="242"/>
      <c r="H325" s="242"/>
      <c r="I325" s="35"/>
      <c r="J325" s="35"/>
      <c r="K325" s="35"/>
      <c r="L325" s="242"/>
      <c r="M325" s="242"/>
      <c r="N325" s="242"/>
      <c r="O325" s="242"/>
      <c r="P325" s="242"/>
      <c r="Q325" s="242"/>
      <c r="R325" s="242"/>
      <c r="S325" s="242"/>
      <c r="T325" s="242"/>
      <c r="U325" s="242"/>
      <c r="V325" s="242"/>
    </row>
    <row r="326" spans="2:22">
      <c r="B326" s="242"/>
      <c r="C326" s="242"/>
      <c r="D326" s="242"/>
      <c r="E326" s="242"/>
      <c r="F326" s="242"/>
      <c r="G326" s="242"/>
      <c r="H326" s="242"/>
      <c r="I326" s="35"/>
      <c r="J326" s="35"/>
      <c r="K326" s="35"/>
      <c r="L326" s="242"/>
      <c r="M326" s="242"/>
      <c r="N326" s="242"/>
      <c r="O326" s="242"/>
      <c r="P326" s="242"/>
      <c r="Q326" s="242"/>
      <c r="R326" s="242"/>
      <c r="S326" s="242"/>
      <c r="T326" s="242"/>
      <c r="U326" s="242"/>
      <c r="V326" s="242"/>
    </row>
    <row r="327" spans="2:22">
      <c r="B327" s="242"/>
      <c r="C327" s="242"/>
      <c r="D327" s="242"/>
      <c r="E327" s="242"/>
      <c r="F327" s="242"/>
      <c r="G327" s="242"/>
      <c r="H327" s="242"/>
      <c r="I327" s="35"/>
      <c r="J327" s="35"/>
      <c r="K327" s="35"/>
      <c r="L327" s="242"/>
      <c r="M327" s="242"/>
      <c r="N327" s="242"/>
      <c r="O327" s="242"/>
      <c r="P327" s="242"/>
      <c r="Q327" s="242"/>
      <c r="R327" s="242"/>
      <c r="S327" s="242"/>
      <c r="T327" s="242"/>
      <c r="U327" s="242"/>
      <c r="V327" s="242"/>
    </row>
    <row r="328" spans="2:22">
      <c r="B328" s="242"/>
      <c r="C328" s="242"/>
      <c r="D328" s="242"/>
      <c r="E328" s="242"/>
      <c r="F328" s="242"/>
      <c r="G328" s="242"/>
      <c r="H328" s="242"/>
      <c r="I328" s="35"/>
      <c r="J328" s="35"/>
      <c r="K328" s="35"/>
      <c r="L328" s="242"/>
      <c r="M328" s="242"/>
      <c r="N328" s="242"/>
      <c r="O328" s="242"/>
      <c r="P328" s="242"/>
      <c r="Q328" s="242"/>
      <c r="R328" s="242"/>
      <c r="S328" s="242"/>
      <c r="T328" s="242"/>
      <c r="U328" s="242"/>
      <c r="V328" s="242"/>
    </row>
    <row r="329" spans="2:22">
      <c r="B329" s="242"/>
      <c r="C329" s="242"/>
      <c r="D329" s="242"/>
      <c r="E329" s="242"/>
      <c r="F329" s="242"/>
      <c r="G329" s="242"/>
      <c r="H329" s="242"/>
      <c r="I329" s="35"/>
      <c r="J329" s="35"/>
      <c r="K329" s="35"/>
      <c r="L329" s="242"/>
      <c r="M329" s="242"/>
      <c r="N329" s="242"/>
      <c r="O329" s="242"/>
      <c r="P329" s="242"/>
      <c r="Q329" s="242"/>
      <c r="R329" s="242"/>
      <c r="S329" s="242"/>
      <c r="T329" s="242"/>
      <c r="U329" s="242"/>
      <c r="V329" s="242"/>
    </row>
    <row r="330" spans="2:22">
      <c r="B330" s="242"/>
      <c r="C330" s="242"/>
      <c r="D330" s="242"/>
      <c r="E330" s="242"/>
      <c r="F330" s="242"/>
      <c r="G330" s="242"/>
      <c r="H330" s="242"/>
      <c r="I330" s="35"/>
      <c r="J330" s="35"/>
      <c r="K330" s="35"/>
      <c r="L330" s="242"/>
      <c r="M330" s="242"/>
      <c r="N330" s="242"/>
      <c r="O330" s="242"/>
      <c r="P330" s="242"/>
      <c r="Q330" s="242"/>
      <c r="R330" s="242"/>
      <c r="S330" s="242"/>
      <c r="T330" s="242"/>
      <c r="U330" s="242"/>
      <c r="V330" s="242"/>
    </row>
    <row r="331" spans="2:22">
      <c r="B331" s="242"/>
      <c r="C331" s="242"/>
      <c r="D331" s="242"/>
      <c r="E331" s="242"/>
      <c r="F331" s="242"/>
      <c r="G331" s="242"/>
      <c r="H331" s="242"/>
      <c r="I331" s="35"/>
      <c r="J331" s="35"/>
      <c r="K331" s="35"/>
      <c r="L331" s="242"/>
      <c r="M331" s="242"/>
      <c r="N331" s="242"/>
      <c r="O331" s="242"/>
      <c r="P331" s="242"/>
      <c r="Q331" s="242"/>
      <c r="R331" s="242"/>
      <c r="S331" s="242"/>
      <c r="T331" s="242"/>
      <c r="U331" s="242"/>
      <c r="V331" s="242"/>
    </row>
    <row r="332" spans="2:22">
      <c r="B332" s="242"/>
      <c r="C332" s="242"/>
      <c r="D332" s="242"/>
      <c r="E332" s="242"/>
      <c r="F332" s="242"/>
      <c r="G332" s="242"/>
      <c r="H332" s="242"/>
      <c r="I332" s="35"/>
      <c r="J332" s="35"/>
      <c r="K332" s="35"/>
      <c r="L332" s="242"/>
      <c r="M332" s="242"/>
      <c r="N332" s="242"/>
      <c r="O332" s="242"/>
      <c r="P332" s="242"/>
      <c r="Q332" s="242"/>
      <c r="R332" s="242"/>
      <c r="S332" s="242"/>
      <c r="T332" s="242"/>
      <c r="U332" s="242"/>
      <c r="V332" s="242"/>
    </row>
    <row r="333" spans="2:22">
      <c r="B333" s="242"/>
      <c r="C333" s="242"/>
      <c r="D333" s="242"/>
      <c r="E333" s="242"/>
      <c r="F333" s="242"/>
      <c r="G333" s="242"/>
      <c r="H333" s="242"/>
      <c r="I333" s="35"/>
      <c r="J333" s="35"/>
      <c r="K333" s="35"/>
      <c r="L333" s="242"/>
      <c r="M333" s="242"/>
      <c r="N333" s="242"/>
      <c r="O333" s="242"/>
      <c r="P333" s="242"/>
      <c r="Q333" s="242"/>
      <c r="R333" s="242"/>
      <c r="S333" s="242"/>
      <c r="T333" s="242"/>
      <c r="U333" s="242"/>
      <c r="V333" s="242"/>
    </row>
    <row r="334" spans="2:22">
      <c r="B334" s="242"/>
      <c r="C334" s="242"/>
      <c r="D334" s="242"/>
      <c r="E334" s="242"/>
      <c r="F334" s="242"/>
      <c r="G334" s="242"/>
      <c r="H334" s="242"/>
      <c r="I334" s="35"/>
      <c r="J334" s="35"/>
      <c r="K334" s="35"/>
      <c r="L334" s="242"/>
      <c r="M334" s="242"/>
      <c r="N334" s="242"/>
      <c r="O334" s="242"/>
      <c r="P334" s="242"/>
      <c r="Q334" s="242"/>
      <c r="R334" s="242"/>
      <c r="S334" s="242"/>
      <c r="T334" s="242"/>
      <c r="U334" s="242"/>
      <c r="V334" s="242"/>
    </row>
    <row r="335" spans="2:22">
      <c r="B335" s="242"/>
      <c r="C335" s="242"/>
      <c r="D335" s="242"/>
      <c r="E335" s="242"/>
      <c r="F335" s="242"/>
      <c r="G335" s="242"/>
      <c r="H335" s="242"/>
      <c r="I335" s="35"/>
      <c r="J335" s="35"/>
      <c r="K335" s="35"/>
      <c r="L335" s="242"/>
      <c r="M335" s="242"/>
      <c r="N335" s="242"/>
      <c r="O335" s="242"/>
      <c r="P335" s="242"/>
      <c r="Q335" s="242"/>
      <c r="R335" s="242"/>
      <c r="S335" s="242"/>
      <c r="T335" s="242"/>
      <c r="U335" s="242"/>
      <c r="V335" s="242"/>
    </row>
    <row r="336" spans="2:22">
      <c r="B336" s="242"/>
      <c r="C336" s="242"/>
      <c r="D336" s="242"/>
      <c r="E336" s="242"/>
      <c r="F336" s="242"/>
      <c r="G336" s="242"/>
      <c r="H336" s="242"/>
      <c r="I336" s="35"/>
      <c r="J336" s="35"/>
      <c r="K336" s="35"/>
      <c r="L336" s="242"/>
      <c r="M336" s="242"/>
      <c r="N336" s="242"/>
      <c r="O336" s="242"/>
      <c r="P336" s="242"/>
      <c r="Q336" s="242"/>
      <c r="R336" s="242"/>
      <c r="S336" s="242"/>
      <c r="T336" s="242"/>
      <c r="U336" s="242"/>
      <c r="V336" s="242"/>
    </row>
    <row r="337" spans="2:22">
      <c r="B337" s="242"/>
      <c r="C337" s="242"/>
      <c r="D337" s="242"/>
      <c r="E337" s="242"/>
      <c r="F337" s="242"/>
      <c r="G337" s="242"/>
      <c r="H337" s="242"/>
      <c r="I337" s="35"/>
      <c r="J337" s="35"/>
      <c r="K337" s="35"/>
      <c r="L337" s="242"/>
      <c r="M337" s="242"/>
      <c r="N337" s="242"/>
      <c r="O337" s="242"/>
      <c r="P337" s="242"/>
      <c r="Q337" s="242"/>
      <c r="R337" s="242"/>
      <c r="S337" s="242"/>
      <c r="T337" s="242"/>
      <c r="U337" s="242"/>
      <c r="V337" s="242"/>
    </row>
    <row r="338" spans="2:22">
      <c r="B338" s="242"/>
      <c r="C338" s="242"/>
      <c r="D338" s="242"/>
      <c r="E338" s="242"/>
      <c r="F338" s="242"/>
      <c r="G338" s="242"/>
      <c r="H338" s="242"/>
      <c r="I338" s="35"/>
      <c r="J338" s="35"/>
      <c r="K338" s="35"/>
      <c r="L338" s="242"/>
      <c r="M338" s="242"/>
      <c r="N338" s="242"/>
      <c r="O338" s="242"/>
      <c r="P338" s="242"/>
      <c r="Q338" s="242"/>
      <c r="R338" s="242"/>
      <c r="S338" s="242"/>
      <c r="T338" s="242"/>
      <c r="U338" s="242"/>
      <c r="V338" s="242"/>
    </row>
    <row r="339" spans="2:22">
      <c r="B339" s="242"/>
      <c r="C339" s="242"/>
      <c r="D339" s="242"/>
      <c r="E339" s="242"/>
      <c r="F339" s="242"/>
      <c r="G339" s="242"/>
      <c r="H339" s="242"/>
      <c r="I339" s="35"/>
      <c r="J339" s="35"/>
      <c r="K339" s="35"/>
      <c r="L339" s="242"/>
      <c r="M339" s="242"/>
      <c r="N339" s="242"/>
      <c r="O339" s="242"/>
      <c r="P339" s="242"/>
      <c r="Q339" s="242"/>
      <c r="R339" s="242"/>
      <c r="S339" s="242"/>
      <c r="T339" s="242"/>
      <c r="U339" s="242"/>
      <c r="V339" s="242"/>
    </row>
    <row r="340" spans="2:22">
      <c r="B340" s="242"/>
      <c r="C340" s="242"/>
      <c r="D340" s="242"/>
      <c r="E340" s="242"/>
      <c r="F340" s="242"/>
      <c r="G340" s="242"/>
      <c r="H340" s="242"/>
      <c r="I340" s="35"/>
      <c r="J340" s="35"/>
      <c r="K340" s="35"/>
      <c r="L340" s="242"/>
      <c r="M340" s="242"/>
      <c r="N340" s="242"/>
      <c r="O340" s="242"/>
      <c r="P340" s="242"/>
      <c r="Q340" s="242"/>
      <c r="R340" s="242"/>
      <c r="S340" s="242"/>
      <c r="T340" s="242"/>
      <c r="U340" s="242"/>
      <c r="V340" s="242"/>
    </row>
    <row r="341" spans="2:22">
      <c r="B341" s="242"/>
      <c r="C341" s="242"/>
      <c r="D341" s="242"/>
      <c r="E341" s="242"/>
      <c r="F341" s="242"/>
      <c r="G341" s="242"/>
      <c r="H341" s="242"/>
      <c r="I341" s="35"/>
      <c r="J341" s="35"/>
      <c r="K341" s="35"/>
      <c r="L341" s="242"/>
      <c r="M341" s="242"/>
      <c r="N341" s="242"/>
      <c r="O341" s="242"/>
      <c r="P341" s="242"/>
      <c r="Q341" s="242"/>
      <c r="R341" s="242"/>
      <c r="S341" s="242"/>
      <c r="T341" s="242"/>
      <c r="U341" s="242"/>
      <c r="V341" s="242"/>
    </row>
    <row r="342" spans="2:22">
      <c r="B342" s="242"/>
      <c r="C342" s="242"/>
      <c r="D342" s="242"/>
      <c r="E342" s="242"/>
      <c r="F342" s="242"/>
      <c r="G342" s="242"/>
      <c r="H342" s="242"/>
      <c r="I342" s="35"/>
      <c r="J342" s="35"/>
      <c r="K342" s="35"/>
      <c r="L342" s="242"/>
      <c r="M342" s="242"/>
      <c r="N342" s="242"/>
      <c r="O342" s="242"/>
      <c r="P342" s="242"/>
      <c r="Q342" s="242"/>
      <c r="R342" s="242"/>
      <c r="S342" s="242"/>
      <c r="T342" s="242"/>
      <c r="U342" s="242"/>
      <c r="V342" s="242"/>
    </row>
    <row r="343" spans="2:22">
      <c r="B343" s="242"/>
      <c r="C343" s="242"/>
      <c r="D343" s="242"/>
      <c r="E343" s="242"/>
      <c r="F343" s="242"/>
      <c r="G343" s="242"/>
      <c r="H343" s="242"/>
      <c r="I343" s="35"/>
      <c r="J343" s="35"/>
      <c r="K343" s="35"/>
      <c r="L343" s="242"/>
      <c r="M343" s="242"/>
      <c r="N343" s="242"/>
      <c r="O343" s="242"/>
      <c r="P343" s="242"/>
      <c r="Q343" s="242"/>
      <c r="R343" s="242"/>
      <c r="S343" s="242"/>
      <c r="T343" s="242"/>
      <c r="U343" s="242"/>
      <c r="V343" s="242"/>
    </row>
    <row r="344" spans="2:22">
      <c r="B344" s="242"/>
      <c r="C344" s="242"/>
      <c r="D344" s="242"/>
      <c r="E344" s="242"/>
      <c r="F344" s="242"/>
      <c r="G344" s="242"/>
      <c r="H344" s="242"/>
      <c r="I344" s="35"/>
      <c r="J344" s="35"/>
      <c r="K344" s="35"/>
      <c r="L344" s="242"/>
      <c r="M344" s="242"/>
      <c r="N344" s="242"/>
      <c r="O344" s="242"/>
      <c r="P344" s="242"/>
      <c r="Q344" s="242"/>
      <c r="R344" s="242"/>
      <c r="S344" s="242"/>
      <c r="T344" s="242"/>
      <c r="U344" s="242"/>
      <c r="V344" s="242"/>
    </row>
    <row r="345" spans="2:22">
      <c r="B345" s="242"/>
      <c r="C345" s="242"/>
      <c r="D345" s="242"/>
      <c r="E345" s="242"/>
      <c r="F345" s="242"/>
      <c r="G345" s="242"/>
      <c r="H345" s="242"/>
      <c r="I345" s="35"/>
      <c r="J345" s="35"/>
      <c r="K345" s="35"/>
      <c r="L345" s="242"/>
      <c r="M345" s="242"/>
      <c r="N345" s="242"/>
      <c r="O345" s="242"/>
      <c r="P345" s="242"/>
      <c r="Q345" s="242"/>
      <c r="R345" s="242"/>
      <c r="S345" s="242"/>
      <c r="T345" s="242"/>
      <c r="U345" s="242"/>
      <c r="V345" s="242"/>
    </row>
    <row r="346" spans="2:22">
      <c r="B346" s="242"/>
      <c r="C346" s="242"/>
      <c r="D346" s="242"/>
      <c r="E346" s="242"/>
      <c r="F346" s="242"/>
      <c r="G346" s="242"/>
      <c r="H346" s="242"/>
      <c r="I346" s="35"/>
      <c r="J346" s="35"/>
      <c r="K346" s="35"/>
      <c r="L346" s="242"/>
      <c r="M346" s="242"/>
      <c r="N346" s="242"/>
      <c r="O346" s="242"/>
      <c r="P346" s="242"/>
      <c r="Q346" s="242"/>
      <c r="R346" s="242"/>
      <c r="S346" s="242"/>
      <c r="T346" s="242"/>
      <c r="U346" s="242"/>
      <c r="V346" s="242"/>
    </row>
    <row r="347" spans="2:22">
      <c r="B347" s="242"/>
      <c r="C347" s="242"/>
      <c r="D347" s="242"/>
      <c r="E347" s="242"/>
      <c r="F347" s="242"/>
      <c r="G347" s="242"/>
      <c r="H347" s="242"/>
      <c r="I347" s="35"/>
      <c r="J347" s="35"/>
      <c r="K347" s="35"/>
      <c r="L347" s="242"/>
      <c r="M347" s="242"/>
      <c r="N347" s="242"/>
      <c r="O347" s="242"/>
      <c r="P347" s="242"/>
      <c r="Q347" s="242"/>
      <c r="R347" s="242"/>
      <c r="S347" s="242"/>
      <c r="T347" s="242"/>
      <c r="U347" s="242"/>
      <c r="V347" s="242"/>
    </row>
    <row r="348" spans="2:22">
      <c r="B348" s="242"/>
      <c r="C348" s="242"/>
      <c r="D348" s="242"/>
      <c r="E348" s="242"/>
      <c r="F348" s="242"/>
      <c r="G348" s="242"/>
      <c r="H348" s="242"/>
      <c r="I348" s="35"/>
      <c r="J348" s="35"/>
      <c r="K348" s="35"/>
      <c r="L348" s="242"/>
      <c r="M348" s="242"/>
      <c r="N348" s="242"/>
      <c r="O348" s="242"/>
      <c r="P348" s="242"/>
      <c r="Q348" s="242"/>
      <c r="R348" s="242"/>
      <c r="S348" s="242"/>
      <c r="T348" s="242"/>
      <c r="U348" s="242"/>
      <c r="V348" s="242"/>
    </row>
    <row r="349" spans="2:22">
      <c r="B349" s="242"/>
      <c r="C349" s="242"/>
      <c r="D349" s="242"/>
      <c r="E349" s="242"/>
      <c r="F349" s="242"/>
      <c r="G349" s="242"/>
      <c r="H349" s="242"/>
      <c r="I349" s="35"/>
      <c r="J349" s="35"/>
      <c r="K349" s="35"/>
      <c r="L349" s="242"/>
      <c r="M349" s="242"/>
      <c r="N349" s="242"/>
      <c r="O349" s="242"/>
      <c r="P349" s="242"/>
      <c r="Q349" s="242"/>
      <c r="R349" s="242"/>
      <c r="S349" s="242"/>
      <c r="T349" s="242"/>
      <c r="U349" s="242"/>
      <c r="V349" s="242"/>
    </row>
    <row r="350" spans="2:22">
      <c r="B350" s="242"/>
      <c r="C350" s="242"/>
      <c r="D350" s="242"/>
      <c r="E350" s="242"/>
      <c r="F350" s="242"/>
      <c r="G350" s="242"/>
      <c r="H350" s="242"/>
      <c r="I350" s="35"/>
      <c r="J350" s="35"/>
      <c r="K350" s="35"/>
      <c r="L350" s="242"/>
      <c r="M350" s="242"/>
      <c r="N350" s="242"/>
      <c r="O350" s="242"/>
      <c r="P350" s="242"/>
      <c r="Q350" s="242"/>
      <c r="R350" s="242"/>
      <c r="S350" s="242"/>
      <c r="T350" s="242"/>
      <c r="U350" s="242"/>
      <c r="V350" s="242"/>
    </row>
    <row r="351" spans="2:22">
      <c r="B351" s="242"/>
      <c r="C351" s="242"/>
      <c r="D351" s="242"/>
      <c r="E351" s="242"/>
      <c r="F351" s="242"/>
      <c r="G351" s="242"/>
      <c r="H351" s="242"/>
      <c r="I351" s="35"/>
      <c r="J351" s="35"/>
      <c r="K351" s="35"/>
      <c r="L351" s="242"/>
      <c r="M351" s="242"/>
      <c r="N351" s="242"/>
      <c r="O351" s="242"/>
      <c r="P351" s="242"/>
      <c r="Q351" s="242"/>
      <c r="R351" s="242"/>
      <c r="S351" s="242"/>
      <c r="T351" s="242"/>
      <c r="U351" s="242"/>
      <c r="V351" s="242"/>
    </row>
    <row r="352" spans="2:22">
      <c r="B352" s="242"/>
      <c r="C352" s="242"/>
      <c r="D352" s="242"/>
      <c r="E352" s="242"/>
      <c r="F352" s="242"/>
      <c r="G352" s="242"/>
      <c r="H352" s="242"/>
      <c r="I352" s="35"/>
      <c r="J352" s="35"/>
      <c r="K352" s="35"/>
      <c r="L352" s="242"/>
      <c r="M352" s="242"/>
      <c r="N352" s="242"/>
      <c r="O352" s="242"/>
      <c r="P352" s="242"/>
      <c r="Q352" s="242"/>
      <c r="R352" s="242"/>
      <c r="S352" s="242"/>
      <c r="T352" s="242"/>
      <c r="U352" s="242"/>
      <c r="V352" s="242"/>
    </row>
    <row r="353" spans="2:22">
      <c r="B353" s="242"/>
      <c r="C353" s="242"/>
      <c r="D353" s="242"/>
      <c r="E353" s="242"/>
      <c r="F353" s="242"/>
      <c r="G353" s="242"/>
      <c r="H353" s="242"/>
      <c r="I353" s="35"/>
      <c r="J353" s="35"/>
      <c r="K353" s="35"/>
      <c r="L353" s="242"/>
      <c r="M353" s="242"/>
      <c r="N353" s="242"/>
      <c r="O353" s="242"/>
      <c r="P353" s="242"/>
      <c r="Q353" s="242"/>
      <c r="R353" s="242"/>
      <c r="S353" s="242"/>
      <c r="T353" s="242"/>
      <c r="U353" s="242"/>
      <c r="V353" s="242"/>
    </row>
    <row r="354" spans="2:22">
      <c r="B354" s="242"/>
      <c r="C354" s="242"/>
      <c r="D354" s="242"/>
      <c r="E354" s="242"/>
      <c r="F354" s="242"/>
      <c r="G354" s="242"/>
      <c r="H354" s="242"/>
      <c r="I354" s="35"/>
      <c r="J354" s="35"/>
      <c r="K354" s="35"/>
      <c r="L354" s="242"/>
      <c r="M354" s="242"/>
      <c r="N354" s="242"/>
      <c r="O354" s="242"/>
      <c r="P354" s="242"/>
      <c r="Q354" s="242"/>
      <c r="R354" s="242"/>
      <c r="S354" s="242"/>
      <c r="T354" s="242"/>
      <c r="U354" s="242"/>
      <c r="V354" s="242"/>
    </row>
    <row r="355" spans="2:22">
      <c r="B355" s="242"/>
      <c r="C355" s="242"/>
      <c r="D355" s="242"/>
      <c r="E355" s="242"/>
      <c r="F355" s="242"/>
      <c r="G355" s="242"/>
      <c r="H355" s="242"/>
      <c r="I355" s="35"/>
      <c r="J355" s="35"/>
      <c r="K355" s="35"/>
      <c r="L355" s="242"/>
      <c r="M355" s="242"/>
      <c r="N355" s="242"/>
      <c r="O355" s="242"/>
      <c r="P355" s="242"/>
      <c r="Q355" s="242"/>
      <c r="R355" s="242"/>
      <c r="S355" s="242"/>
      <c r="T355" s="242"/>
      <c r="U355" s="242"/>
      <c r="V355" s="242"/>
    </row>
    <row r="356" spans="2:22">
      <c r="B356" s="242"/>
      <c r="C356" s="242"/>
      <c r="D356" s="242"/>
      <c r="E356" s="242"/>
      <c r="F356" s="242"/>
      <c r="G356" s="242"/>
      <c r="H356" s="242"/>
      <c r="I356" s="35"/>
      <c r="J356" s="35"/>
      <c r="K356" s="35"/>
      <c r="L356" s="242"/>
      <c r="M356" s="242"/>
      <c r="N356" s="242"/>
      <c r="O356" s="242"/>
      <c r="P356" s="242"/>
      <c r="Q356" s="242"/>
      <c r="R356" s="242"/>
      <c r="S356" s="242"/>
      <c r="T356" s="242"/>
      <c r="U356" s="242"/>
      <c r="V356" s="242"/>
    </row>
    <row r="357" spans="2:22">
      <c r="B357" s="242"/>
      <c r="C357" s="242"/>
      <c r="D357" s="242"/>
      <c r="E357" s="242"/>
      <c r="F357" s="242"/>
      <c r="G357" s="242"/>
      <c r="H357" s="242"/>
      <c r="I357" s="35"/>
      <c r="J357" s="35"/>
      <c r="K357" s="35"/>
      <c r="L357" s="242"/>
      <c r="M357" s="242"/>
      <c r="N357" s="242"/>
      <c r="O357" s="242"/>
      <c r="P357" s="242"/>
      <c r="Q357" s="242"/>
      <c r="R357" s="242"/>
      <c r="S357" s="242"/>
      <c r="T357" s="242"/>
      <c r="U357" s="242"/>
      <c r="V357" s="242"/>
    </row>
    <row r="358" spans="2:22">
      <c r="B358" s="242"/>
      <c r="C358" s="242"/>
      <c r="D358" s="242"/>
      <c r="E358" s="242"/>
      <c r="F358" s="242"/>
      <c r="G358" s="242"/>
      <c r="H358" s="242"/>
      <c r="I358" s="35"/>
      <c r="J358" s="35"/>
      <c r="K358" s="35"/>
      <c r="L358" s="242"/>
      <c r="M358" s="242"/>
      <c r="N358" s="242"/>
      <c r="O358" s="242"/>
      <c r="P358" s="242"/>
      <c r="Q358" s="242"/>
      <c r="R358" s="242"/>
      <c r="S358" s="242"/>
      <c r="T358" s="242"/>
      <c r="U358" s="242"/>
      <c r="V358" s="242"/>
    </row>
    <row r="359" spans="2:22">
      <c r="B359" s="242"/>
      <c r="C359" s="242"/>
      <c r="D359" s="242"/>
      <c r="E359" s="242"/>
      <c r="F359" s="242"/>
      <c r="G359" s="242"/>
      <c r="H359" s="242"/>
      <c r="I359" s="35"/>
      <c r="J359" s="35"/>
      <c r="K359" s="35"/>
      <c r="L359" s="242"/>
      <c r="M359" s="242"/>
      <c r="N359" s="242"/>
      <c r="O359" s="242"/>
      <c r="P359" s="242"/>
      <c r="Q359" s="242"/>
      <c r="R359" s="242"/>
      <c r="S359" s="242"/>
      <c r="T359" s="242"/>
      <c r="U359" s="242"/>
      <c r="V359" s="242"/>
    </row>
    <row r="360" spans="2:22">
      <c r="B360" s="242"/>
      <c r="C360" s="242"/>
      <c r="D360" s="242"/>
      <c r="E360" s="242"/>
      <c r="F360" s="242"/>
      <c r="G360" s="242"/>
      <c r="H360" s="242"/>
      <c r="I360" s="35"/>
      <c r="J360" s="35"/>
      <c r="K360" s="35"/>
      <c r="L360" s="242"/>
      <c r="M360" s="242"/>
      <c r="N360" s="242"/>
      <c r="O360" s="242"/>
      <c r="P360" s="242"/>
      <c r="Q360" s="242"/>
      <c r="R360" s="242"/>
      <c r="S360" s="242"/>
      <c r="T360" s="242"/>
      <c r="U360" s="242"/>
      <c r="V360" s="242"/>
    </row>
    <row r="361" spans="2:22">
      <c r="B361" s="242"/>
      <c r="C361" s="242"/>
      <c r="D361" s="242"/>
      <c r="E361" s="242"/>
      <c r="F361" s="242"/>
      <c r="G361" s="242"/>
      <c r="H361" s="242"/>
      <c r="I361" s="35"/>
      <c r="J361" s="35"/>
      <c r="K361" s="35"/>
      <c r="L361" s="242"/>
      <c r="M361" s="242"/>
      <c r="N361" s="242"/>
      <c r="O361" s="242"/>
      <c r="P361" s="242"/>
      <c r="Q361" s="242"/>
      <c r="R361" s="242"/>
      <c r="S361" s="242"/>
      <c r="T361" s="242"/>
      <c r="U361" s="242"/>
      <c r="V361" s="242"/>
    </row>
    <row r="362" spans="2:22">
      <c r="B362" s="242"/>
      <c r="C362" s="242"/>
      <c r="D362" s="242"/>
      <c r="E362" s="242"/>
      <c r="F362" s="242"/>
      <c r="G362" s="242"/>
      <c r="H362" s="242"/>
      <c r="I362" s="35"/>
      <c r="J362" s="35"/>
      <c r="K362" s="35"/>
      <c r="L362" s="242"/>
      <c r="M362" s="242"/>
      <c r="N362" s="242"/>
      <c r="O362" s="242"/>
      <c r="P362" s="242"/>
      <c r="Q362" s="242"/>
      <c r="R362" s="242"/>
      <c r="S362" s="242"/>
      <c r="T362" s="242"/>
      <c r="U362" s="242"/>
      <c r="V362" s="242"/>
    </row>
    <row r="363" spans="2:22">
      <c r="B363" s="242"/>
      <c r="C363" s="242"/>
      <c r="D363" s="242"/>
      <c r="E363" s="242"/>
      <c r="F363" s="242"/>
      <c r="G363" s="242"/>
      <c r="H363" s="242"/>
      <c r="I363" s="35"/>
      <c r="J363" s="35"/>
      <c r="K363" s="35"/>
      <c r="L363" s="242"/>
      <c r="M363" s="242"/>
      <c r="N363" s="242"/>
      <c r="O363" s="242"/>
      <c r="P363" s="242"/>
      <c r="Q363" s="242"/>
      <c r="R363" s="242"/>
      <c r="S363" s="242"/>
      <c r="T363" s="242"/>
      <c r="U363" s="242"/>
      <c r="V363" s="242"/>
    </row>
    <row r="364" spans="2:22">
      <c r="B364" s="242"/>
      <c r="C364" s="242"/>
      <c r="D364" s="242"/>
      <c r="E364" s="242"/>
      <c r="F364" s="242"/>
      <c r="G364" s="242"/>
      <c r="H364" s="242"/>
      <c r="I364" s="35"/>
      <c r="J364" s="35"/>
      <c r="K364" s="35"/>
      <c r="L364" s="242"/>
      <c r="M364" s="242"/>
      <c r="N364" s="242"/>
      <c r="O364" s="242"/>
      <c r="P364" s="242"/>
      <c r="Q364" s="242"/>
      <c r="R364" s="242"/>
      <c r="S364" s="242"/>
      <c r="T364" s="242"/>
      <c r="U364" s="242"/>
      <c r="V364" s="242"/>
    </row>
    <row r="365" spans="2:22">
      <c r="B365" s="242"/>
      <c r="C365" s="242"/>
      <c r="D365" s="242"/>
      <c r="E365" s="242"/>
      <c r="F365" s="242"/>
      <c r="G365" s="242"/>
      <c r="H365" s="242"/>
      <c r="I365" s="35"/>
      <c r="J365" s="35"/>
      <c r="K365" s="35"/>
      <c r="L365" s="242"/>
      <c r="M365" s="242"/>
      <c r="N365" s="242"/>
      <c r="O365" s="242"/>
      <c r="P365" s="242"/>
      <c r="Q365" s="242"/>
      <c r="R365" s="242"/>
      <c r="S365" s="242"/>
      <c r="T365" s="242"/>
      <c r="U365" s="242"/>
      <c r="V365" s="242"/>
    </row>
    <row r="366" spans="2:22">
      <c r="B366" s="242"/>
      <c r="C366" s="242"/>
      <c r="D366" s="242"/>
      <c r="E366" s="242"/>
      <c r="F366" s="242"/>
      <c r="G366" s="242"/>
      <c r="H366" s="242"/>
      <c r="I366" s="35"/>
      <c r="J366" s="35"/>
      <c r="K366" s="35"/>
      <c r="L366" s="242"/>
      <c r="M366" s="242"/>
      <c r="N366" s="242"/>
      <c r="O366" s="242"/>
      <c r="P366" s="242"/>
      <c r="Q366" s="242"/>
      <c r="R366" s="242"/>
      <c r="S366" s="242"/>
      <c r="T366" s="242"/>
      <c r="U366" s="242"/>
      <c r="V366" s="242"/>
    </row>
    <row r="367" spans="2:22">
      <c r="B367" s="242"/>
      <c r="C367" s="242"/>
      <c r="D367" s="242"/>
      <c r="E367" s="242"/>
      <c r="F367" s="242"/>
      <c r="G367" s="242"/>
      <c r="H367" s="242"/>
      <c r="I367" s="35"/>
      <c r="J367" s="35"/>
      <c r="K367" s="35"/>
      <c r="L367" s="242"/>
      <c r="M367" s="242"/>
      <c r="N367" s="242"/>
      <c r="O367" s="242"/>
      <c r="P367" s="242"/>
      <c r="Q367" s="242"/>
      <c r="R367" s="242"/>
      <c r="S367" s="242"/>
      <c r="T367" s="242"/>
      <c r="U367" s="242"/>
      <c r="V367" s="242"/>
    </row>
    <row r="368" spans="2:22">
      <c r="B368" s="242"/>
      <c r="C368" s="242"/>
      <c r="D368" s="242"/>
      <c r="E368" s="242"/>
      <c r="F368" s="242"/>
      <c r="G368" s="242"/>
      <c r="H368" s="242"/>
      <c r="I368" s="35"/>
      <c r="J368" s="35"/>
      <c r="K368" s="35"/>
      <c r="L368" s="242"/>
      <c r="M368" s="242"/>
      <c r="N368" s="242"/>
      <c r="O368" s="242"/>
      <c r="P368" s="242"/>
      <c r="Q368" s="242"/>
      <c r="R368" s="242"/>
      <c r="S368" s="242"/>
      <c r="T368" s="242"/>
      <c r="U368" s="242"/>
      <c r="V368" s="242"/>
    </row>
    <row r="369" spans="2:22">
      <c r="B369" s="242"/>
      <c r="C369" s="242"/>
      <c r="D369" s="242"/>
      <c r="E369" s="242"/>
      <c r="F369" s="242"/>
      <c r="G369" s="242"/>
      <c r="H369" s="242"/>
      <c r="I369" s="35"/>
      <c r="J369" s="35"/>
      <c r="K369" s="35"/>
      <c r="L369" s="242"/>
      <c r="M369" s="242"/>
      <c r="N369" s="242"/>
      <c r="O369" s="242"/>
      <c r="P369" s="242"/>
      <c r="Q369" s="242"/>
      <c r="R369" s="242"/>
      <c r="S369" s="242"/>
      <c r="T369" s="242"/>
      <c r="U369" s="242"/>
      <c r="V369" s="242"/>
    </row>
    <row r="370" spans="2:22">
      <c r="B370" s="242"/>
      <c r="C370" s="242"/>
      <c r="D370" s="242"/>
      <c r="E370" s="242"/>
      <c r="F370" s="242"/>
      <c r="G370" s="242"/>
      <c r="H370" s="242"/>
      <c r="I370" s="35"/>
      <c r="J370" s="35"/>
      <c r="K370" s="35"/>
      <c r="L370" s="242"/>
      <c r="M370" s="242"/>
      <c r="N370" s="242"/>
      <c r="O370" s="242"/>
      <c r="P370" s="242"/>
      <c r="Q370" s="242"/>
      <c r="R370" s="242"/>
      <c r="S370" s="242"/>
      <c r="T370" s="242"/>
      <c r="U370" s="242"/>
      <c r="V370" s="242"/>
    </row>
    <row r="371" spans="2:22">
      <c r="B371" s="242"/>
      <c r="C371" s="242"/>
      <c r="D371" s="242"/>
      <c r="E371" s="242"/>
      <c r="F371" s="242"/>
      <c r="G371" s="242"/>
      <c r="H371" s="242"/>
      <c r="I371" s="35"/>
      <c r="J371" s="35"/>
      <c r="K371" s="35"/>
      <c r="L371" s="242"/>
      <c r="M371" s="242"/>
      <c r="N371" s="242"/>
      <c r="O371" s="242"/>
      <c r="P371" s="242"/>
      <c r="Q371" s="242"/>
      <c r="R371" s="242"/>
      <c r="S371" s="242"/>
      <c r="T371" s="242"/>
      <c r="U371" s="242"/>
      <c r="V371" s="242"/>
    </row>
    <row r="372" spans="2:22">
      <c r="B372" s="242"/>
      <c r="C372" s="242"/>
      <c r="D372" s="242"/>
      <c r="E372" s="242"/>
      <c r="F372" s="242"/>
      <c r="G372" s="242"/>
      <c r="H372" s="242"/>
      <c r="I372" s="35"/>
      <c r="J372" s="35"/>
      <c r="K372" s="35"/>
      <c r="L372" s="242"/>
      <c r="M372" s="242"/>
      <c r="N372" s="242"/>
      <c r="O372" s="242"/>
      <c r="P372" s="242"/>
      <c r="Q372" s="242"/>
      <c r="R372" s="242"/>
      <c r="S372" s="242"/>
      <c r="T372" s="242"/>
      <c r="U372" s="242"/>
      <c r="V372" s="242"/>
    </row>
    <row r="373" spans="2:22">
      <c r="B373" s="242"/>
      <c r="C373" s="242"/>
      <c r="D373" s="242"/>
      <c r="E373" s="242"/>
      <c r="F373" s="242"/>
      <c r="G373" s="242"/>
      <c r="H373" s="242"/>
      <c r="I373" s="35"/>
      <c r="J373" s="35"/>
      <c r="K373" s="35"/>
      <c r="L373" s="242"/>
      <c r="M373" s="242"/>
      <c r="N373" s="242"/>
      <c r="O373" s="242"/>
      <c r="P373" s="242"/>
      <c r="Q373" s="242"/>
      <c r="R373" s="242"/>
      <c r="S373" s="242"/>
      <c r="T373" s="242"/>
      <c r="U373" s="242"/>
      <c r="V373" s="242"/>
    </row>
    <row r="374" spans="2:22">
      <c r="B374" s="242"/>
      <c r="C374" s="242"/>
      <c r="D374" s="242"/>
      <c r="E374" s="242"/>
      <c r="F374" s="242"/>
      <c r="G374" s="242"/>
      <c r="H374" s="242"/>
      <c r="I374" s="35"/>
      <c r="J374" s="35"/>
      <c r="K374" s="35"/>
      <c r="L374" s="242"/>
      <c r="M374" s="242"/>
      <c r="N374" s="242"/>
      <c r="O374" s="242"/>
      <c r="P374" s="242"/>
      <c r="Q374" s="242"/>
      <c r="R374" s="242"/>
      <c r="S374" s="242"/>
      <c r="T374" s="242"/>
      <c r="U374" s="242"/>
      <c r="V374" s="242"/>
    </row>
    <row r="375" spans="2:22">
      <c r="B375" s="242"/>
      <c r="C375" s="242"/>
      <c r="D375" s="242"/>
      <c r="E375" s="242"/>
      <c r="F375" s="242"/>
      <c r="G375" s="242"/>
      <c r="H375" s="242"/>
      <c r="I375" s="35"/>
      <c r="J375" s="35"/>
      <c r="K375" s="35"/>
      <c r="L375" s="242"/>
      <c r="M375" s="242"/>
      <c r="N375" s="242"/>
      <c r="O375" s="242"/>
      <c r="P375" s="242"/>
      <c r="Q375" s="242"/>
      <c r="R375" s="242"/>
      <c r="S375" s="242"/>
      <c r="T375" s="242"/>
      <c r="U375" s="242"/>
      <c r="V375" s="242"/>
    </row>
    <row r="376" spans="2:22">
      <c r="B376" s="242"/>
      <c r="C376" s="242"/>
      <c r="D376" s="242"/>
      <c r="E376" s="242"/>
      <c r="F376" s="242"/>
      <c r="G376" s="242"/>
      <c r="H376" s="242"/>
      <c r="I376" s="35"/>
      <c r="J376" s="35"/>
      <c r="K376" s="35"/>
      <c r="L376" s="242"/>
      <c r="M376" s="242"/>
      <c r="N376" s="242"/>
      <c r="O376" s="242"/>
      <c r="P376" s="242"/>
      <c r="Q376" s="242"/>
      <c r="R376" s="242"/>
      <c r="S376" s="242"/>
      <c r="T376" s="242"/>
      <c r="U376" s="242"/>
      <c r="V376" s="242"/>
    </row>
    <row r="377" spans="2:22">
      <c r="B377" s="242"/>
      <c r="C377" s="242"/>
      <c r="D377" s="242"/>
      <c r="E377" s="242"/>
      <c r="F377" s="242"/>
      <c r="G377" s="242"/>
      <c r="H377" s="242"/>
      <c r="I377" s="35"/>
      <c r="J377" s="35"/>
      <c r="K377" s="35"/>
      <c r="L377" s="242"/>
      <c r="M377" s="242"/>
      <c r="N377" s="242"/>
      <c r="O377" s="242"/>
      <c r="P377" s="242"/>
      <c r="Q377" s="242"/>
      <c r="R377" s="242"/>
      <c r="S377" s="242"/>
      <c r="T377" s="242"/>
      <c r="U377" s="242"/>
      <c r="V377" s="242"/>
    </row>
    <row r="378" spans="2:22">
      <c r="B378" s="242"/>
      <c r="C378" s="242"/>
      <c r="D378" s="242"/>
      <c r="E378" s="242"/>
      <c r="F378" s="242"/>
      <c r="G378" s="242"/>
      <c r="H378" s="242"/>
      <c r="I378" s="35"/>
      <c r="J378" s="35"/>
      <c r="K378" s="35"/>
      <c r="L378" s="242"/>
      <c r="M378" s="242"/>
      <c r="N378" s="242"/>
      <c r="O378" s="242"/>
      <c r="P378" s="242"/>
      <c r="Q378" s="242"/>
      <c r="R378" s="242"/>
      <c r="S378" s="242"/>
      <c r="T378" s="242"/>
      <c r="U378" s="242"/>
      <c r="V378" s="242"/>
    </row>
    <row r="379" spans="2:22">
      <c r="B379" s="242"/>
      <c r="C379" s="242"/>
      <c r="D379" s="242"/>
      <c r="E379" s="242"/>
      <c r="F379" s="242"/>
      <c r="G379" s="242"/>
      <c r="H379" s="242"/>
      <c r="I379" s="35"/>
      <c r="J379" s="35"/>
      <c r="K379" s="35"/>
      <c r="L379" s="242"/>
      <c r="M379" s="242"/>
      <c r="N379" s="242"/>
      <c r="O379" s="242"/>
      <c r="P379" s="242"/>
      <c r="Q379" s="242"/>
      <c r="R379" s="242"/>
      <c r="S379" s="242"/>
      <c r="T379" s="242"/>
      <c r="U379" s="242"/>
      <c r="V379" s="242"/>
    </row>
    <row r="380" spans="2:22">
      <c r="B380" s="242"/>
      <c r="C380" s="242"/>
      <c r="D380" s="242"/>
      <c r="E380" s="242"/>
      <c r="F380" s="242"/>
      <c r="G380" s="242"/>
      <c r="H380" s="242"/>
      <c r="I380" s="35"/>
      <c r="J380" s="35"/>
      <c r="K380" s="35"/>
      <c r="L380" s="242"/>
      <c r="M380" s="242"/>
      <c r="N380" s="242"/>
      <c r="O380" s="242"/>
      <c r="P380" s="242"/>
      <c r="Q380" s="242"/>
      <c r="R380" s="242"/>
      <c r="S380" s="242"/>
      <c r="T380" s="242"/>
      <c r="U380" s="242"/>
      <c r="V380" s="242"/>
    </row>
    <row r="381" spans="2:22">
      <c r="B381" s="242"/>
      <c r="C381" s="242"/>
      <c r="D381" s="242"/>
      <c r="E381" s="242"/>
      <c r="F381" s="242"/>
      <c r="G381" s="242"/>
      <c r="H381" s="242"/>
      <c r="I381" s="35"/>
      <c r="J381" s="35"/>
      <c r="K381" s="35"/>
      <c r="L381" s="242"/>
      <c r="M381" s="242"/>
      <c r="N381" s="242"/>
      <c r="O381" s="242"/>
      <c r="P381" s="242"/>
      <c r="Q381" s="242"/>
      <c r="R381" s="242"/>
      <c r="S381" s="242"/>
      <c r="T381" s="242"/>
      <c r="U381" s="242"/>
      <c r="V381" s="242"/>
    </row>
    <row r="382" spans="2:22">
      <c r="B382" s="242"/>
      <c r="C382" s="242"/>
      <c r="D382" s="242"/>
      <c r="E382" s="242"/>
      <c r="F382" s="242"/>
      <c r="G382" s="242"/>
      <c r="H382" s="242"/>
      <c r="I382" s="35"/>
      <c r="J382" s="35"/>
      <c r="K382" s="35"/>
      <c r="L382" s="242"/>
      <c r="M382" s="242"/>
      <c r="N382" s="242"/>
      <c r="O382" s="242"/>
      <c r="P382" s="242"/>
      <c r="Q382" s="242"/>
      <c r="R382" s="242"/>
      <c r="S382" s="242"/>
      <c r="T382" s="242"/>
      <c r="U382" s="242"/>
      <c r="V382" s="242"/>
    </row>
    <row r="383" spans="2:22">
      <c r="B383" s="242"/>
      <c r="C383" s="242"/>
      <c r="D383" s="242"/>
      <c r="E383" s="242"/>
      <c r="F383" s="242"/>
      <c r="G383" s="242"/>
      <c r="H383" s="242"/>
      <c r="I383" s="35"/>
      <c r="J383" s="35"/>
      <c r="K383" s="35"/>
      <c r="L383" s="242"/>
      <c r="M383" s="242"/>
      <c r="N383" s="242"/>
      <c r="O383" s="242"/>
      <c r="P383" s="242"/>
      <c r="Q383" s="242"/>
      <c r="R383" s="242"/>
      <c r="S383" s="242"/>
      <c r="T383" s="242"/>
      <c r="U383" s="242"/>
      <c r="V383" s="242"/>
    </row>
    <row r="384" spans="2:22">
      <c r="B384" s="242"/>
      <c r="C384" s="242"/>
      <c r="D384" s="242"/>
      <c r="E384" s="242"/>
      <c r="F384" s="242"/>
      <c r="G384" s="242"/>
      <c r="H384" s="242"/>
      <c r="I384" s="35"/>
      <c r="J384" s="35"/>
      <c r="K384" s="35"/>
      <c r="L384" s="242"/>
      <c r="M384" s="242"/>
      <c r="N384" s="242"/>
      <c r="O384" s="242"/>
      <c r="P384" s="242"/>
      <c r="Q384" s="242"/>
      <c r="R384" s="242"/>
      <c r="S384" s="242"/>
      <c r="T384" s="242"/>
      <c r="U384" s="242"/>
      <c r="V384" s="242"/>
    </row>
    <row r="385" spans="2:22">
      <c r="B385" s="242"/>
      <c r="C385" s="242"/>
      <c r="D385" s="242"/>
      <c r="E385" s="242"/>
      <c r="F385" s="242"/>
      <c r="G385" s="242"/>
      <c r="H385" s="242"/>
      <c r="I385" s="35"/>
      <c r="J385" s="35"/>
      <c r="K385" s="35"/>
      <c r="L385" s="242"/>
      <c r="M385" s="242"/>
      <c r="N385" s="242"/>
      <c r="O385" s="242"/>
      <c r="P385" s="242"/>
      <c r="Q385" s="242"/>
      <c r="R385" s="242"/>
      <c r="S385" s="242"/>
      <c r="T385" s="242"/>
      <c r="U385" s="242"/>
      <c r="V385" s="242"/>
    </row>
    <row r="386" spans="2:22">
      <c r="B386" s="242"/>
      <c r="C386" s="242"/>
      <c r="D386" s="242"/>
      <c r="E386" s="242"/>
      <c r="F386" s="242"/>
      <c r="G386" s="242"/>
      <c r="H386" s="242"/>
      <c r="I386" s="35"/>
      <c r="J386" s="35"/>
      <c r="K386" s="35"/>
      <c r="L386" s="242"/>
      <c r="M386" s="242"/>
      <c r="N386" s="242"/>
      <c r="O386" s="242"/>
      <c r="P386" s="242"/>
      <c r="Q386" s="242"/>
      <c r="R386" s="242"/>
      <c r="S386" s="242"/>
      <c r="T386" s="242"/>
      <c r="U386" s="242"/>
      <c r="V386" s="242"/>
    </row>
    <row r="387" spans="2:22">
      <c r="B387" s="242"/>
      <c r="C387" s="242"/>
      <c r="D387" s="242"/>
      <c r="E387" s="242"/>
      <c r="F387" s="242"/>
      <c r="G387" s="242"/>
      <c r="H387" s="242"/>
      <c r="I387" s="35"/>
      <c r="J387" s="35"/>
      <c r="K387" s="35"/>
      <c r="L387" s="242"/>
      <c r="M387" s="242"/>
      <c r="N387" s="242"/>
      <c r="O387" s="242"/>
      <c r="P387" s="242"/>
      <c r="Q387" s="242"/>
      <c r="R387" s="242"/>
      <c r="S387" s="242"/>
      <c r="T387" s="242"/>
      <c r="U387" s="242"/>
      <c r="V387" s="242"/>
    </row>
    <row r="388" spans="2:22">
      <c r="B388" s="242"/>
      <c r="C388" s="242"/>
      <c r="D388" s="242"/>
      <c r="E388" s="242"/>
      <c r="F388" s="242"/>
      <c r="G388" s="242"/>
      <c r="H388" s="242"/>
      <c r="I388" s="35"/>
      <c r="J388" s="35"/>
      <c r="K388" s="35"/>
      <c r="L388" s="242"/>
      <c r="M388" s="242"/>
      <c r="N388" s="242"/>
      <c r="O388" s="242"/>
      <c r="P388" s="242"/>
      <c r="Q388" s="242"/>
      <c r="R388" s="242"/>
      <c r="S388" s="242"/>
      <c r="T388" s="242"/>
      <c r="U388" s="242"/>
      <c r="V388" s="242"/>
    </row>
    <row r="389" spans="2:22">
      <c r="B389" s="242"/>
      <c r="C389" s="242"/>
      <c r="D389" s="242"/>
      <c r="E389" s="242"/>
      <c r="F389" s="242"/>
      <c r="G389" s="242"/>
      <c r="H389" s="242"/>
      <c r="I389" s="35"/>
      <c r="J389" s="35"/>
      <c r="K389" s="35"/>
      <c r="L389" s="242"/>
      <c r="M389" s="242"/>
      <c r="N389" s="242"/>
      <c r="O389" s="242"/>
      <c r="P389" s="242"/>
      <c r="Q389" s="242"/>
      <c r="R389" s="242"/>
      <c r="S389" s="242"/>
      <c r="T389" s="242"/>
      <c r="U389" s="242"/>
      <c r="V389" s="242"/>
    </row>
    <row r="390" spans="2:22">
      <c r="B390" s="242"/>
      <c r="C390" s="242"/>
      <c r="D390" s="242"/>
      <c r="E390" s="242"/>
      <c r="F390" s="242"/>
      <c r="G390" s="242"/>
      <c r="H390" s="242"/>
      <c r="I390" s="35"/>
      <c r="J390" s="35"/>
      <c r="K390" s="35"/>
      <c r="L390" s="242"/>
      <c r="M390" s="242"/>
      <c r="N390" s="242"/>
      <c r="O390" s="242"/>
      <c r="P390" s="242"/>
      <c r="Q390" s="242"/>
      <c r="R390" s="242"/>
      <c r="S390" s="242"/>
      <c r="T390" s="242"/>
      <c r="U390" s="242"/>
      <c r="V390" s="242"/>
    </row>
    <row r="391" spans="2:22">
      <c r="B391" s="242"/>
      <c r="C391" s="242"/>
      <c r="D391" s="242"/>
      <c r="E391" s="242"/>
      <c r="F391" s="242"/>
      <c r="G391" s="242"/>
      <c r="H391" s="242"/>
      <c r="I391" s="35"/>
      <c r="J391" s="35"/>
      <c r="K391" s="35"/>
      <c r="L391" s="242"/>
      <c r="M391" s="242"/>
      <c r="N391" s="242"/>
      <c r="O391" s="242"/>
      <c r="P391" s="242"/>
      <c r="Q391" s="242"/>
      <c r="R391" s="242"/>
      <c r="S391" s="242"/>
      <c r="T391" s="242"/>
      <c r="U391" s="242"/>
      <c r="V391" s="242"/>
    </row>
    <row r="392" spans="2:22">
      <c r="B392" s="242"/>
      <c r="C392" s="242"/>
      <c r="D392" s="242"/>
      <c r="E392" s="242"/>
      <c r="F392" s="242"/>
      <c r="G392" s="242"/>
      <c r="H392" s="242"/>
      <c r="I392" s="35"/>
      <c r="J392" s="35"/>
      <c r="K392" s="35"/>
      <c r="L392" s="242"/>
      <c r="M392" s="242"/>
      <c r="N392" s="242"/>
      <c r="O392" s="242"/>
      <c r="P392" s="242"/>
      <c r="Q392" s="242"/>
      <c r="R392" s="242"/>
      <c r="S392" s="242"/>
      <c r="T392" s="242"/>
      <c r="U392" s="242"/>
      <c r="V392" s="242"/>
    </row>
    <row r="393" spans="2:22">
      <c r="B393" s="242"/>
      <c r="C393" s="242"/>
      <c r="D393" s="242"/>
      <c r="E393" s="242"/>
      <c r="F393" s="242"/>
      <c r="G393" s="242"/>
      <c r="H393" s="242"/>
      <c r="I393" s="35"/>
      <c r="J393" s="35"/>
      <c r="K393" s="35"/>
      <c r="L393" s="242"/>
      <c r="M393" s="242"/>
      <c r="N393" s="242"/>
      <c r="O393" s="242"/>
      <c r="P393" s="242"/>
      <c r="Q393" s="242"/>
      <c r="R393" s="242"/>
      <c r="S393" s="242"/>
      <c r="T393" s="242"/>
      <c r="U393" s="242"/>
      <c r="V393" s="242"/>
    </row>
    <row r="394" spans="2:22">
      <c r="B394" s="242"/>
      <c r="C394" s="242"/>
      <c r="D394" s="242"/>
      <c r="E394" s="242"/>
      <c r="F394" s="242"/>
      <c r="G394" s="242"/>
      <c r="H394" s="242"/>
      <c r="I394" s="35"/>
      <c r="J394" s="35"/>
      <c r="K394" s="35"/>
      <c r="L394" s="242"/>
      <c r="M394" s="242"/>
      <c r="N394" s="242"/>
      <c r="O394" s="242"/>
      <c r="P394" s="242"/>
      <c r="Q394" s="242"/>
      <c r="R394" s="242"/>
      <c r="S394" s="242"/>
      <c r="T394" s="242"/>
      <c r="U394" s="242"/>
      <c r="V394" s="242"/>
    </row>
    <row r="395" spans="2:22">
      <c r="B395" s="242"/>
      <c r="C395" s="242"/>
      <c r="D395" s="242"/>
      <c r="E395" s="242"/>
      <c r="F395" s="242"/>
      <c r="G395" s="242"/>
      <c r="H395" s="242"/>
      <c r="I395" s="35"/>
      <c r="J395" s="35"/>
      <c r="K395" s="35"/>
      <c r="L395" s="242"/>
      <c r="M395" s="242"/>
      <c r="N395" s="242"/>
      <c r="O395" s="242"/>
      <c r="P395" s="242"/>
      <c r="Q395" s="242"/>
      <c r="R395" s="242"/>
      <c r="S395" s="242"/>
      <c r="T395" s="242"/>
      <c r="U395" s="242"/>
      <c r="V395" s="242"/>
    </row>
    <row r="396" spans="2:22">
      <c r="B396" s="242"/>
      <c r="C396" s="242"/>
      <c r="D396" s="242"/>
      <c r="E396" s="242"/>
      <c r="F396" s="242"/>
      <c r="G396" s="242"/>
      <c r="H396" s="242"/>
      <c r="I396" s="35"/>
      <c r="J396" s="35"/>
      <c r="K396" s="35"/>
      <c r="L396" s="242"/>
      <c r="M396" s="242"/>
      <c r="N396" s="242"/>
      <c r="O396" s="242"/>
      <c r="P396" s="242"/>
      <c r="Q396" s="242"/>
      <c r="R396" s="242"/>
      <c r="S396" s="242"/>
      <c r="T396" s="242"/>
      <c r="U396" s="242"/>
      <c r="V396" s="242"/>
    </row>
    <row r="397" spans="2:22">
      <c r="B397" s="242"/>
      <c r="C397" s="242"/>
      <c r="D397" s="242"/>
      <c r="E397" s="242"/>
      <c r="F397" s="242"/>
      <c r="G397" s="242"/>
      <c r="H397" s="242"/>
      <c r="I397" s="35"/>
      <c r="J397" s="35"/>
      <c r="K397" s="35"/>
      <c r="L397" s="242"/>
      <c r="M397" s="242"/>
      <c r="N397" s="242"/>
      <c r="O397" s="242"/>
      <c r="P397" s="242"/>
      <c r="Q397" s="242"/>
      <c r="R397" s="242"/>
      <c r="S397" s="242"/>
      <c r="T397" s="242"/>
      <c r="U397" s="242"/>
      <c r="V397" s="242"/>
    </row>
    <row r="398" spans="2:22">
      <c r="B398" s="242"/>
      <c r="C398" s="242"/>
      <c r="D398" s="242"/>
      <c r="E398" s="242"/>
      <c r="F398" s="242"/>
      <c r="G398" s="242"/>
      <c r="H398" s="242"/>
      <c r="I398" s="35"/>
      <c r="J398" s="35"/>
      <c r="K398" s="35"/>
      <c r="L398" s="242"/>
      <c r="M398" s="242"/>
      <c r="N398" s="242"/>
      <c r="O398" s="242"/>
      <c r="P398" s="242"/>
      <c r="Q398" s="242"/>
      <c r="R398" s="242"/>
      <c r="S398" s="242"/>
      <c r="T398" s="242"/>
      <c r="U398" s="242"/>
      <c r="V398" s="242"/>
    </row>
    <row r="399" spans="2:22">
      <c r="B399" s="242"/>
      <c r="C399" s="242"/>
      <c r="D399" s="242"/>
      <c r="E399" s="242"/>
      <c r="F399" s="242"/>
      <c r="G399" s="242"/>
      <c r="H399" s="242"/>
      <c r="I399" s="35"/>
      <c r="J399" s="35"/>
      <c r="K399" s="35"/>
      <c r="L399" s="242"/>
      <c r="M399" s="242"/>
      <c r="N399" s="242"/>
      <c r="O399" s="242"/>
      <c r="P399" s="242"/>
      <c r="Q399" s="242"/>
      <c r="R399" s="242"/>
      <c r="S399" s="242"/>
      <c r="T399" s="242"/>
      <c r="U399" s="242"/>
      <c r="V399" s="242"/>
    </row>
    <row r="400" spans="2:22">
      <c r="B400" s="242"/>
      <c r="C400" s="242"/>
      <c r="D400" s="242"/>
      <c r="E400" s="242"/>
      <c r="F400" s="242"/>
      <c r="G400" s="242"/>
      <c r="H400" s="242"/>
      <c r="I400" s="35"/>
      <c r="J400" s="35"/>
      <c r="K400" s="35"/>
      <c r="L400" s="242"/>
      <c r="M400" s="242"/>
      <c r="N400" s="242"/>
      <c r="O400" s="242"/>
      <c r="P400" s="242"/>
      <c r="Q400" s="242"/>
      <c r="R400" s="242"/>
      <c r="S400" s="242"/>
      <c r="T400" s="242"/>
      <c r="U400" s="242"/>
      <c r="V400" s="242"/>
    </row>
    <row r="401" spans="2:22">
      <c r="B401" s="242"/>
      <c r="C401" s="242"/>
      <c r="D401" s="242"/>
      <c r="E401" s="242"/>
      <c r="F401" s="242"/>
      <c r="G401" s="242"/>
      <c r="H401" s="242"/>
      <c r="I401" s="35"/>
      <c r="J401" s="35"/>
      <c r="K401" s="35"/>
      <c r="L401" s="242"/>
      <c r="M401" s="242"/>
      <c r="N401" s="242"/>
      <c r="O401" s="242"/>
      <c r="P401" s="242"/>
      <c r="Q401" s="242"/>
      <c r="R401" s="242"/>
      <c r="S401" s="242"/>
      <c r="T401" s="242"/>
      <c r="U401" s="242"/>
      <c r="V401" s="242"/>
    </row>
    <row r="402" spans="2:22">
      <c r="B402" s="242"/>
      <c r="C402" s="242"/>
      <c r="D402" s="242"/>
      <c r="E402" s="242"/>
      <c r="F402" s="242"/>
      <c r="G402" s="242"/>
      <c r="H402" s="242"/>
      <c r="I402" s="35"/>
      <c r="J402" s="35"/>
      <c r="K402" s="35"/>
      <c r="L402" s="242"/>
      <c r="M402" s="242"/>
      <c r="N402" s="242"/>
      <c r="O402" s="242"/>
      <c r="P402" s="242"/>
      <c r="Q402" s="242"/>
      <c r="R402" s="242"/>
      <c r="S402" s="242"/>
      <c r="T402" s="242"/>
      <c r="U402" s="242"/>
      <c r="V402" s="242"/>
    </row>
    <row r="403" spans="2:22">
      <c r="B403" s="242"/>
      <c r="C403" s="242"/>
      <c r="D403" s="242"/>
      <c r="E403" s="242"/>
      <c r="F403" s="242"/>
      <c r="G403" s="242"/>
      <c r="H403" s="242"/>
      <c r="I403" s="35"/>
      <c r="J403" s="35"/>
      <c r="K403" s="35"/>
      <c r="L403" s="242"/>
      <c r="M403" s="242"/>
      <c r="N403" s="242"/>
      <c r="O403" s="242"/>
      <c r="P403" s="242"/>
      <c r="Q403" s="242"/>
      <c r="R403" s="242"/>
      <c r="S403" s="242"/>
      <c r="T403" s="242"/>
      <c r="U403" s="242"/>
      <c r="V403" s="242"/>
    </row>
    <row r="404" spans="2:22">
      <c r="B404" s="242"/>
      <c r="C404" s="242"/>
      <c r="D404" s="242"/>
      <c r="E404" s="242"/>
      <c r="F404" s="242"/>
      <c r="G404" s="242"/>
      <c r="H404" s="242"/>
      <c r="I404" s="35"/>
      <c r="J404" s="35"/>
      <c r="K404" s="35"/>
      <c r="L404" s="242"/>
      <c r="M404" s="242"/>
      <c r="N404" s="242"/>
      <c r="O404" s="242"/>
      <c r="P404" s="242"/>
      <c r="Q404" s="242"/>
      <c r="R404" s="242"/>
      <c r="S404" s="242"/>
      <c r="T404" s="242"/>
      <c r="U404" s="242"/>
      <c r="V404" s="242"/>
    </row>
    <row r="405" spans="2:22">
      <c r="B405" s="242"/>
      <c r="C405" s="242"/>
      <c r="D405" s="242"/>
      <c r="E405" s="242"/>
      <c r="F405" s="242"/>
      <c r="G405" s="242"/>
      <c r="H405" s="242"/>
      <c r="I405" s="35"/>
      <c r="J405" s="35"/>
      <c r="K405" s="35"/>
      <c r="L405" s="242"/>
      <c r="M405" s="242"/>
      <c r="N405" s="242"/>
      <c r="O405" s="242"/>
      <c r="P405" s="242"/>
      <c r="Q405" s="242"/>
      <c r="R405" s="242"/>
      <c r="S405" s="242"/>
      <c r="T405" s="242"/>
      <c r="U405" s="242"/>
      <c r="V405" s="242"/>
    </row>
    <row r="406" spans="2:22">
      <c r="B406" s="242"/>
      <c r="C406" s="242"/>
      <c r="D406" s="242"/>
      <c r="E406" s="242"/>
      <c r="F406" s="242"/>
      <c r="G406" s="242"/>
      <c r="H406" s="242"/>
      <c r="I406" s="35"/>
      <c r="J406" s="35"/>
      <c r="K406" s="35"/>
      <c r="L406" s="242"/>
      <c r="M406" s="242"/>
      <c r="N406" s="242"/>
      <c r="O406" s="242"/>
      <c r="P406" s="242"/>
      <c r="Q406" s="242"/>
      <c r="R406" s="242"/>
      <c r="S406" s="242"/>
      <c r="T406" s="242"/>
      <c r="U406" s="242"/>
      <c r="V406" s="242"/>
    </row>
    <row r="407" spans="2:22">
      <c r="B407" s="242"/>
      <c r="C407" s="242"/>
      <c r="D407" s="242"/>
      <c r="E407" s="242"/>
      <c r="F407" s="242"/>
      <c r="G407" s="242"/>
      <c r="H407" s="242"/>
      <c r="I407" s="35"/>
      <c r="J407" s="35"/>
      <c r="K407" s="35"/>
      <c r="L407" s="242"/>
      <c r="M407" s="242"/>
      <c r="N407" s="242"/>
      <c r="O407" s="242"/>
      <c r="P407" s="242"/>
      <c r="Q407" s="242"/>
      <c r="R407" s="242"/>
      <c r="S407" s="242"/>
      <c r="T407" s="242"/>
      <c r="U407" s="242"/>
      <c r="V407" s="242"/>
    </row>
    <row r="408" spans="2:22">
      <c r="B408" s="242"/>
      <c r="C408" s="242"/>
      <c r="D408" s="242"/>
      <c r="E408" s="242"/>
      <c r="F408" s="242"/>
      <c r="G408" s="242"/>
      <c r="H408" s="242"/>
      <c r="I408" s="35"/>
      <c r="J408" s="35"/>
      <c r="K408" s="35"/>
      <c r="L408" s="242"/>
      <c r="M408" s="242"/>
      <c r="N408" s="242"/>
      <c r="O408" s="242"/>
      <c r="P408" s="242"/>
      <c r="Q408" s="242"/>
      <c r="R408" s="242"/>
      <c r="S408" s="242"/>
      <c r="T408" s="242"/>
      <c r="U408" s="242"/>
      <c r="V408" s="242"/>
    </row>
    <row r="409" spans="2:22">
      <c r="B409" s="242"/>
      <c r="C409" s="242"/>
      <c r="D409" s="242"/>
      <c r="E409" s="242"/>
      <c r="F409" s="242"/>
      <c r="G409" s="242"/>
      <c r="H409" s="242"/>
      <c r="I409" s="35"/>
      <c r="J409" s="35"/>
      <c r="K409" s="35"/>
      <c r="L409" s="242"/>
      <c r="M409" s="242"/>
      <c r="N409" s="242"/>
      <c r="O409" s="242"/>
      <c r="P409" s="242"/>
      <c r="Q409" s="242"/>
      <c r="R409" s="242"/>
      <c r="S409" s="242"/>
      <c r="T409" s="242"/>
      <c r="U409" s="242"/>
      <c r="V409" s="242"/>
    </row>
    <row r="410" spans="2:22">
      <c r="B410" s="242"/>
      <c r="C410" s="242"/>
      <c r="D410" s="242"/>
      <c r="E410" s="242"/>
      <c r="F410" s="242"/>
      <c r="G410" s="242"/>
      <c r="H410" s="242"/>
      <c r="I410" s="35"/>
      <c r="J410" s="35"/>
      <c r="K410" s="35"/>
      <c r="L410" s="242"/>
      <c r="M410" s="242"/>
      <c r="N410" s="242"/>
      <c r="O410" s="242"/>
      <c r="P410" s="242"/>
      <c r="Q410" s="242"/>
      <c r="R410" s="242"/>
      <c r="S410" s="242"/>
      <c r="T410" s="242"/>
      <c r="U410" s="242"/>
      <c r="V410" s="242"/>
    </row>
    <row r="411" spans="2:22">
      <c r="B411" s="242"/>
      <c r="C411" s="242"/>
      <c r="D411" s="242"/>
      <c r="E411" s="242"/>
      <c r="F411" s="242"/>
      <c r="G411" s="242"/>
      <c r="H411" s="242"/>
      <c r="I411" s="35"/>
      <c r="J411" s="35"/>
      <c r="K411" s="35"/>
      <c r="L411" s="242"/>
      <c r="M411" s="242"/>
      <c r="N411" s="242"/>
      <c r="O411" s="242"/>
      <c r="P411" s="242"/>
      <c r="Q411" s="242"/>
      <c r="R411" s="242"/>
      <c r="S411" s="242"/>
      <c r="T411" s="242"/>
      <c r="U411" s="242"/>
      <c r="V411" s="242"/>
    </row>
    <row r="412" spans="2:22">
      <c r="B412" s="242"/>
      <c r="C412" s="242"/>
      <c r="D412" s="242"/>
      <c r="E412" s="242"/>
      <c r="F412" s="242"/>
      <c r="G412" s="242"/>
      <c r="H412" s="242"/>
      <c r="I412" s="35"/>
      <c r="J412" s="35"/>
      <c r="K412" s="35"/>
      <c r="L412" s="242"/>
      <c r="M412" s="242"/>
      <c r="N412" s="242"/>
      <c r="O412" s="242"/>
      <c r="P412" s="242"/>
      <c r="Q412" s="242"/>
      <c r="R412" s="242"/>
      <c r="S412" s="242"/>
      <c r="T412" s="242"/>
      <c r="U412" s="242"/>
      <c r="V412" s="242"/>
    </row>
    <row r="413" spans="2:22">
      <c r="B413" s="242"/>
      <c r="C413" s="242"/>
      <c r="D413" s="242"/>
      <c r="E413" s="242"/>
      <c r="F413" s="242"/>
      <c r="G413" s="242"/>
      <c r="H413" s="242"/>
      <c r="I413" s="35"/>
      <c r="J413" s="35"/>
      <c r="K413" s="35"/>
      <c r="L413" s="242"/>
      <c r="M413" s="242"/>
      <c r="N413" s="242"/>
      <c r="O413" s="242"/>
      <c r="P413" s="242"/>
      <c r="Q413" s="242"/>
      <c r="R413" s="242"/>
      <c r="S413" s="242"/>
      <c r="T413" s="242"/>
      <c r="U413" s="242"/>
      <c r="V413" s="242"/>
    </row>
    <row r="414" spans="2:22">
      <c r="B414" s="242"/>
      <c r="C414" s="242"/>
      <c r="D414" s="242"/>
      <c r="E414" s="242"/>
      <c r="F414" s="242"/>
      <c r="G414" s="242"/>
      <c r="H414" s="242"/>
      <c r="I414" s="35"/>
      <c r="J414" s="35"/>
      <c r="K414" s="35"/>
      <c r="L414" s="242"/>
      <c r="M414" s="242"/>
      <c r="N414" s="242"/>
      <c r="O414" s="242"/>
      <c r="P414" s="242"/>
      <c r="Q414" s="242"/>
      <c r="R414" s="242"/>
      <c r="S414" s="242"/>
      <c r="T414" s="242"/>
      <c r="U414" s="242"/>
      <c r="V414" s="242"/>
    </row>
    <row r="415" spans="2:22">
      <c r="B415" s="242"/>
      <c r="C415" s="242"/>
      <c r="D415" s="242"/>
      <c r="E415" s="242"/>
      <c r="F415" s="242"/>
      <c r="G415" s="242"/>
      <c r="H415" s="242"/>
      <c r="I415" s="35"/>
      <c r="J415" s="35"/>
      <c r="K415" s="35"/>
      <c r="L415" s="242"/>
      <c r="M415" s="242"/>
      <c r="N415" s="242"/>
      <c r="O415" s="242"/>
      <c r="P415" s="242"/>
      <c r="Q415" s="242"/>
      <c r="R415" s="242"/>
      <c r="S415" s="242"/>
      <c r="T415" s="242"/>
      <c r="U415" s="242"/>
      <c r="V415" s="242"/>
    </row>
    <row r="416" spans="2:22">
      <c r="B416" s="242"/>
      <c r="C416" s="242"/>
      <c r="D416" s="242"/>
      <c r="E416" s="242"/>
      <c r="F416" s="242"/>
      <c r="G416" s="242"/>
      <c r="H416" s="242"/>
      <c r="I416" s="35"/>
      <c r="J416" s="35"/>
      <c r="K416" s="35"/>
      <c r="L416" s="242"/>
      <c r="M416" s="242"/>
      <c r="N416" s="242"/>
      <c r="O416" s="242"/>
      <c r="P416" s="242"/>
      <c r="Q416" s="242"/>
      <c r="R416" s="242"/>
      <c r="S416" s="242"/>
      <c r="T416" s="242"/>
      <c r="U416" s="242"/>
      <c r="V416" s="242"/>
    </row>
    <row r="417" spans="2:22">
      <c r="B417" s="242"/>
      <c r="C417" s="242"/>
      <c r="D417" s="242"/>
      <c r="E417" s="242"/>
      <c r="F417" s="242"/>
      <c r="G417" s="242"/>
      <c r="H417" s="242"/>
      <c r="I417" s="35"/>
      <c r="J417" s="35"/>
      <c r="K417" s="35"/>
      <c r="L417" s="242"/>
      <c r="M417" s="242"/>
      <c r="N417" s="242"/>
      <c r="O417" s="242"/>
      <c r="P417" s="242"/>
      <c r="Q417" s="242"/>
      <c r="R417" s="242"/>
      <c r="S417" s="242"/>
      <c r="T417" s="242"/>
      <c r="U417" s="242"/>
      <c r="V417" s="242"/>
    </row>
    <row r="418" spans="2:22">
      <c r="B418" s="242"/>
      <c r="C418" s="242"/>
      <c r="D418" s="242"/>
      <c r="E418" s="242"/>
      <c r="F418" s="242"/>
      <c r="G418" s="242"/>
      <c r="H418" s="242"/>
      <c r="I418" s="35"/>
      <c r="J418" s="35"/>
      <c r="K418" s="35"/>
      <c r="L418" s="242"/>
      <c r="M418" s="242"/>
      <c r="N418" s="242"/>
      <c r="O418" s="242"/>
      <c r="P418" s="242"/>
      <c r="Q418" s="242"/>
      <c r="R418" s="242"/>
      <c r="S418" s="242"/>
      <c r="T418" s="242"/>
      <c r="U418" s="242"/>
      <c r="V418" s="242"/>
    </row>
    <row r="419" spans="2:22">
      <c r="B419" s="242"/>
      <c r="C419" s="242"/>
      <c r="D419" s="242"/>
      <c r="E419" s="242"/>
      <c r="F419" s="242"/>
      <c r="G419" s="242"/>
      <c r="H419" s="242"/>
      <c r="I419" s="35"/>
      <c r="J419" s="35"/>
      <c r="K419" s="35"/>
      <c r="L419" s="242"/>
      <c r="M419" s="242"/>
      <c r="N419" s="242"/>
      <c r="O419" s="242"/>
      <c r="P419" s="242"/>
      <c r="Q419" s="242"/>
      <c r="R419" s="242"/>
      <c r="S419" s="242"/>
      <c r="T419" s="242"/>
      <c r="U419" s="242"/>
      <c r="V419" s="242"/>
    </row>
    <row r="420" spans="2:22">
      <c r="B420" s="242"/>
      <c r="C420" s="242"/>
      <c r="D420" s="242"/>
      <c r="E420" s="242"/>
      <c r="F420" s="242"/>
      <c r="G420" s="242"/>
      <c r="H420" s="242"/>
      <c r="I420" s="35"/>
      <c r="J420" s="35"/>
      <c r="K420" s="35"/>
      <c r="L420" s="242"/>
      <c r="M420" s="242"/>
      <c r="N420" s="242"/>
      <c r="O420" s="242"/>
      <c r="P420" s="242"/>
      <c r="Q420" s="242"/>
      <c r="R420" s="242"/>
      <c r="S420" s="242"/>
      <c r="T420" s="242"/>
      <c r="U420" s="242"/>
      <c r="V420" s="242"/>
    </row>
    <row r="421" spans="2:22">
      <c r="B421" s="242"/>
      <c r="C421" s="242"/>
      <c r="D421" s="242"/>
      <c r="E421" s="242"/>
      <c r="F421" s="242"/>
      <c r="G421" s="242"/>
      <c r="H421" s="242"/>
      <c r="I421" s="35"/>
      <c r="J421" s="35"/>
      <c r="K421" s="35"/>
      <c r="L421" s="242"/>
      <c r="M421" s="242"/>
      <c r="N421" s="242"/>
      <c r="O421" s="242"/>
      <c r="P421" s="242"/>
      <c r="Q421" s="242"/>
      <c r="R421" s="242"/>
      <c r="S421" s="242"/>
      <c r="T421" s="242"/>
      <c r="U421" s="242"/>
      <c r="V421" s="242"/>
    </row>
    <row r="422" spans="2:22">
      <c r="B422" s="242"/>
      <c r="C422" s="242"/>
      <c r="D422" s="242"/>
      <c r="E422" s="242"/>
      <c r="F422" s="242"/>
      <c r="G422" s="242"/>
      <c r="H422" s="242"/>
      <c r="I422" s="35"/>
      <c r="J422" s="35"/>
      <c r="K422" s="35"/>
      <c r="L422" s="242"/>
      <c r="M422" s="242"/>
      <c r="N422" s="242"/>
      <c r="O422" s="242"/>
      <c r="P422" s="242"/>
      <c r="Q422" s="242"/>
      <c r="R422" s="242"/>
      <c r="S422" s="242"/>
      <c r="T422" s="242"/>
      <c r="U422" s="242"/>
      <c r="V422" s="242"/>
    </row>
    <row r="423" spans="2:22">
      <c r="B423" s="242"/>
      <c r="C423" s="242"/>
      <c r="D423" s="242"/>
      <c r="E423" s="242"/>
      <c r="F423" s="242"/>
      <c r="G423" s="242"/>
      <c r="H423" s="242"/>
      <c r="I423" s="35"/>
      <c r="J423" s="35"/>
      <c r="K423" s="35"/>
      <c r="L423" s="242"/>
      <c r="M423" s="242"/>
      <c r="N423" s="242"/>
      <c r="O423" s="242"/>
      <c r="P423" s="242"/>
      <c r="Q423" s="242"/>
      <c r="R423" s="242"/>
      <c r="S423" s="242"/>
      <c r="T423" s="242"/>
      <c r="U423" s="242"/>
      <c r="V423" s="242"/>
    </row>
    <row r="424" spans="2:22">
      <c r="B424" s="242"/>
      <c r="C424" s="242"/>
      <c r="D424" s="242"/>
      <c r="E424" s="242"/>
      <c r="F424" s="242"/>
      <c r="G424" s="242"/>
      <c r="H424" s="242"/>
      <c r="I424" s="35"/>
      <c r="J424" s="35"/>
      <c r="K424" s="35"/>
      <c r="L424" s="242"/>
      <c r="M424" s="242"/>
      <c r="N424" s="242"/>
      <c r="O424" s="242"/>
      <c r="P424" s="242"/>
      <c r="Q424" s="242"/>
      <c r="R424" s="242"/>
      <c r="S424" s="242"/>
      <c r="T424" s="242"/>
      <c r="U424" s="242"/>
      <c r="V424" s="242"/>
    </row>
    <row r="425" spans="2:22">
      <c r="B425" s="242"/>
      <c r="C425" s="242"/>
      <c r="D425" s="242"/>
      <c r="E425" s="242"/>
      <c r="F425" s="242"/>
      <c r="G425" s="242"/>
      <c r="H425" s="242"/>
      <c r="I425" s="35"/>
      <c r="J425" s="35"/>
      <c r="K425" s="35"/>
      <c r="L425" s="242"/>
      <c r="M425" s="242"/>
      <c r="N425" s="242"/>
      <c r="O425" s="242"/>
      <c r="P425" s="242"/>
      <c r="Q425" s="242"/>
      <c r="R425" s="242"/>
      <c r="S425" s="242"/>
      <c r="T425" s="242"/>
      <c r="U425" s="242"/>
      <c r="V425" s="242"/>
    </row>
    <row r="426" spans="2:22">
      <c r="B426" s="242"/>
      <c r="C426" s="242"/>
      <c r="D426" s="242"/>
      <c r="E426" s="242"/>
      <c r="F426" s="242"/>
      <c r="G426" s="242"/>
      <c r="H426" s="242"/>
      <c r="I426" s="35"/>
      <c r="J426" s="35"/>
      <c r="K426" s="35"/>
      <c r="L426" s="242"/>
      <c r="M426" s="242"/>
      <c r="N426" s="242"/>
      <c r="O426" s="242"/>
      <c r="P426" s="242"/>
      <c r="Q426" s="242"/>
      <c r="R426" s="242"/>
      <c r="S426" s="242"/>
      <c r="T426" s="242"/>
      <c r="U426" s="242"/>
      <c r="V426" s="242"/>
    </row>
    <row r="427" spans="2:22">
      <c r="B427" s="242"/>
      <c r="C427" s="242"/>
      <c r="D427" s="242"/>
      <c r="E427" s="242"/>
      <c r="F427" s="242"/>
      <c r="G427" s="242"/>
      <c r="H427" s="242"/>
      <c r="I427" s="35"/>
      <c r="J427" s="35"/>
      <c r="K427" s="35"/>
      <c r="L427" s="242"/>
      <c r="M427" s="242"/>
      <c r="N427" s="242"/>
      <c r="O427" s="242"/>
      <c r="P427" s="242"/>
      <c r="Q427" s="242"/>
      <c r="R427" s="242"/>
      <c r="S427" s="242"/>
      <c r="T427" s="242"/>
      <c r="U427" s="242"/>
      <c r="V427" s="242"/>
    </row>
    <row r="428" spans="2:22">
      <c r="B428" s="242"/>
      <c r="C428" s="242"/>
      <c r="D428" s="242"/>
      <c r="E428" s="242"/>
      <c r="F428" s="242"/>
      <c r="G428" s="242"/>
      <c r="H428" s="242"/>
      <c r="I428" s="35"/>
      <c r="J428" s="35"/>
      <c r="K428" s="35"/>
      <c r="L428" s="242"/>
      <c r="M428" s="242"/>
      <c r="N428" s="242"/>
      <c r="O428" s="242"/>
      <c r="P428" s="242"/>
      <c r="Q428" s="242"/>
      <c r="R428" s="242"/>
      <c r="S428" s="242"/>
      <c r="T428" s="242"/>
      <c r="U428" s="242"/>
      <c r="V428" s="242"/>
    </row>
    <row r="429" spans="2:22">
      <c r="B429" s="242"/>
      <c r="C429" s="242"/>
      <c r="D429" s="242"/>
      <c r="E429" s="242"/>
      <c r="F429" s="242"/>
      <c r="G429" s="242"/>
      <c r="H429" s="242"/>
      <c r="I429" s="35"/>
      <c r="J429" s="35"/>
      <c r="K429" s="35"/>
      <c r="L429" s="242"/>
      <c r="M429" s="242"/>
      <c r="N429" s="242"/>
      <c r="O429" s="242"/>
      <c r="P429" s="242"/>
      <c r="Q429" s="242"/>
      <c r="R429" s="242"/>
      <c r="S429" s="242"/>
      <c r="T429" s="242"/>
      <c r="U429" s="242"/>
      <c r="V429" s="242"/>
    </row>
    <row r="430" spans="2:22">
      <c r="B430" s="242"/>
      <c r="C430" s="242"/>
      <c r="D430" s="242"/>
      <c r="E430" s="242"/>
      <c r="F430" s="242"/>
      <c r="G430" s="242"/>
      <c r="H430" s="242"/>
      <c r="I430" s="35"/>
      <c r="J430" s="35"/>
      <c r="K430" s="35"/>
      <c r="L430" s="242"/>
      <c r="M430" s="242"/>
      <c r="N430" s="242"/>
      <c r="O430" s="242"/>
      <c r="P430" s="242"/>
      <c r="Q430" s="242"/>
      <c r="R430" s="242"/>
      <c r="S430" s="242"/>
      <c r="T430" s="242"/>
      <c r="U430" s="242"/>
      <c r="V430" s="242"/>
    </row>
    <row r="431" spans="2:22">
      <c r="B431" s="242"/>
      <c r="C431" s="242"/>
      <c r="D431" s="242"/>
      <c r="E431" s="242"/>
      <c r="F431" s="242"/>
      <c r="G431" s="242"/>
      <c r="H431" s="242"/>
      <c r="I431" s="35"/>
      <c r="J431" s="35"/>
      <c r="K431" s="35"/>
      <c r="L431" s="242"/>
      <c r="M431" s="242"/>
      <c r="N431" s="242"/>
      <c r="O431" s="242"/>
      <c r="P431" s="242"/>
      <c r="Q431" s="242"/>
      <c r="R431" s="242"/>
      <c r="S431" s="242"/>
      <c r="T431" s="242"/>
      <c r="U431" s="242"/>
      <c r="V431" s="242"/>
    </row>
    <row r="432" spans="2:22">
      <c r="B432" s="242"/>
      <c r="C432" s="242"/>
      <c r="D432" s="242"/>
      <c r="E432" s="242"/>
      <c r="F432" s="242"/>
      <c r="G432" s="242"/>
      <c r="H432" s="242"/>
      <c r="I432" s="35"/>
      <c r="J432" s="35"/>
      <c r="K432" s="35"/>
      <c r="L432" s="242"/>
      <c r="M432" s="242"/>
      <c r="N432" s="242"/>
      <c r="O432" s="242"/>
      <c r="P432" s="242"/>
      <c r="Q432" s="242"/>
      <c r="R432" s="242"/>
      <c r="S432" s="242"/>
      <c r="T432" s="242"/>
      <c r="U432" s="242"/>
      <c r="V432" s="242"/>
    </row>
    <row r="433" spans="2:22">
      <c r="B433" s="242"/>
      <c r="C433" s="242"/>
      <c r="D433" s="242"/>
      <c r="E433" s="242"/>
      <c r="F433" s="242"/>
      <c r="G433" s="242"/>
      <c r="H433" s="242"/>
      <c r="I433" s="35"/>
      <c r="J433" s="35"/>
      <c r="K433" s="35"/>
      <c r="L433" s="242"/>
      <c r="M433" s="242"/>
      <c r="N433" s="242"/>
      <c r="O433" s="242"/>
      <c r="P433" s="242"/>
      <c r="Q433" s="242"/>
      <c r="R433" s="242"/>
      <c r="S433" s="242"/>
      <c r="T433" s="242"/>
      <c r="U433" s="242"/>
      <c r="V433" s="242"/>
    </row>
    <row r="434" spans="2:22">
      <c r="B434" s="242"/>
      <c r="C434" s="242"/>
      <c r="D434" s="242"/>
      <c r="E434" s="242"/>
      <c r="F434" s="242"/>
      <c r="G434" s="242"/>
      <c r="H434" s="242"/>
      <c r="I434" s="35"/>
      <c r="J434" s="35"/>
      <c r="K434" s="35"/>
      <c r="L434" s="242"/>
      <c r="M434" s="242"/>
      <c r="N434" s="242"/>
      <c r="O434" s="242"/>
      <c r="P434" s="242"/>
      <c r="Q434" s="242"/>
      <c r="R434" s="242"/>
      <c r="S434" s="242"/>
      <c r="T434" s="242"/>
      <c r="U434" s="242"/>
      <c r="V434" s="242"/>
    </row>
    <row r="435" spans="2:22">
      <c r="B435" s="242"/>
      <c r="C435" s="242"/>
      <c r="D435" s="242"/>
      <c r="E435" s="242"/>
      <c r="F435" s="242"/>
      <c r="G435" s="242"/>
      <c r="H435" s="242"/>
      <c r="I435" s="35"/>
      <c r="J435" s="35"/>
      <c r="K435" s="35"/>
      <c r="L435" s="242"/>
      <c r="M435" s="242"/>
      <c r="N435" s="242"/>
      <c r="O435" s="242"/>
      <c r="P435" s="242"/>
      <c r="Q435" s="242"/>
      <c r="R435" s="242"/>
      <c r="S435" s="242"/>
      <c r="T435" s="242"/>
      <c r="U435" s="242"/>
      <c r="V435" s="242"/>
    </row>
    <row r="436" spans="2:22">
      <c r="B436" s="242"/>
      <c r="C436" s="242"/>
      <c r="D436" s="242"/>
      <c r="E436" s="242"/>
      <c r="F436" s="242"/>
      <c r="G436" s="242"/>
      <c r="H436" s="242"/>
      <c r="I436" s="35"/>
      <c r="J436" s="35"/>
      <c r="K436" s="35"/>
      <c r="L436" s="242"/>
      <c r="M436" s="242"/>
      <c r="N436" s="242"/>
      <c r="O436" s="242"/>
      <c r="P436" s="242"/>
      <c r="Q436" s="242"/>
      <c r="R436" s="242"/>
      <c r="S436" s="242"/>
      <c r="T436" s="242"/>
      <c r="U436" s="242"/>
      <c r="V436" s="242"/>
    </row>
    <row r="437" spans="2:22">
      <c r="B437" s="242"/>
      <c r="C437" s="242"/>
      <c r="D437" s="242"/>
      <c r="E437" s="242"/>
      <c r="F437" s="242"/>
      <c r="G437" s="242"/>
      <c r="H437" s="242"/>
      <c r="I437" s="35"/>
      <c r="J437" s="35"/>
      <c r="K437" s="35"/>
      <c r="L437" s="242"/>
      <c r="M437" s="242"/>
      <c r="N437" s="242"/>
      <c r="O437" s="242"/>
      <c r="P437" s="242"/>
      <c r="Q437" s="242"/>
      <c r="R437" s="242"/>
      <c r="S437" s="242"/>
      <c r="T437" s="242"/>
      <c r="U437" s="242"/>
      <c r="V437" s="242"/>
    </row>
    <row r="438" spans="2:22">
      <c r="B438" s="242"/>
      <c r="C438" s="242"/>
      <c r="D438" s="242"/>
      <c r="E438" s="242"/>
      <c r="F438" s="242"/>
      <c r="G438" s="242"/>
      <c r="H438" s="242"/>
      <c r="I438" s="35"/>
      <c r="J438" s="35"/>
      <c r="K438" s="35"/>
      <c r="L438" s="242"/>
      <c r="M438" s="242"/>
      <c r="N438" s="242"/>
      <c r="O438" s="242"/>
      <c r="P438" s="242"/>
      <c r="Q438" s="242"/>
      <c r="R438" s="242"/>
      <c r="S438" s="242"/>
      <c r="T438" s="242"/>
      <c r="U438" s="242"/>
      <c r="V438" s="242"/>
    </row>
    <row r="439" spans="2:22">
      <c r="B439" s="242"/>
      <c r="C439" s="242"/>
      <c r="D439" s="242"/>
      <c r="E439" s="242"/>
      <c r="F439" s="242"/>
      <c r="G439" s="242"/>
      <c r="H439" s="242"/>
      <c r="I439" s="35"/>
      <c r="J439" s="35"/>
      <c r="K439" s="35"/>
      <c r="L439" s="242"/>
      <c r="M439" s="242"/>
      <c r="N439" s="242"/>
      <c r="O439" s="242"/>
      <c r="P439" s="242"/>
      <c r="Q439" s="242"/>
      <c r="R439" s="242"/>
      <c r="S439" s="242"/>
      <c r="T439" s="242"/>
      <c r="U439" s="242"/>
      <c r="V439" s="242"/>
    </row>
    <row r="440" spans="2:22">
      <c r="B440" s="242"/>
      <c r="C440" s="242"/>
      <c r="D440" s="242"/>
      <c r="E440" s="242"/>
      <c r="F440" s="242"/>
      <c r="G440" s="242"/>
      <c r="H440" s="242"/>
      <c r="I440" s="35"/>
      <c r="J440" s="35"/>
      <c r="K440" s="35"/>
      <c r="L440" s="242"/>
      <c r="M440" s="242"/>
      <c r="N440" s="242"/>
      <c r="O440" s="242"/>
      <c r="P440" s="242"/>
      <c r="Q440" s="242"/>
      <c r="R440" s="242"/>
      <c r="S440" s="242"/>
      <c r="T440" s="242"/>
      <c r="U440" s="242"/>
      <c r="V440" s="242"/>
    </row>
    <row r="441" spans="2:22">
      <c r="B441" s="242"/>
      <c r="C441" s="242"/>
      <c r="D441" s="242"/>
      <c r="E441" s="242"/>
      <c r="F441" s="242"/>
      <c r="G441" s="242"/>
      <c r="H441" s="242"/>
      <c r="I441" s="35"/>
      <c r="J441" s="35"/>
      <c r="K441" s="35"/>
      <c r="L441" s="242"/>
      <c r="M441" s="242"/>
      <c r="N441" s="242"/>
      <c r="O441" s="242"/>
      <c r="P441" s="242"/>
      <c r="Q441" s="242"/>
      <c r="R441" s="242"/>
      <c r="S441" s="242"/>
      <c r="T441" s="242"/>
      <c r="U441" s="242"/>
      <c r="V441" s="242"/>
    </row>
    <row r="442" spans="2:22">
      <c r="B442" s="242"/>
      <c r="C442" s="242"/>
      <c r="D442" s="242"/>
      <c r="E442" s="242"/>
      <c r="F442" s="242"/>
      <c r="G442" s="242"/>
      <c r="H442" s="242"/>
      <c r="I442" s="35"/>
      <c r="J442" s="35"/>
      <c r="K442" s="35"/>
      <c r="L442" s="242"/>
      <c r="M442" s="242"/>
      <c r="N442" s="242"/>
      <c r="O442" s="242"/>
      <c r="P442" s="242"/>
      <c r="Q442" s="242"/>
      <c r="R442" s="242"/>
      <c r="S442" s="242"/>
      <c r="T442" s="242"/>
      <c r="U442" s="242"/>
      <c r="V442" s="242"/>
    </row>
    <row r="443" spans="2:22">
      <c r="B443" s="242"/>
      <c r="C443" s="242"/>
      <c r="D443" s="242"/>
      <c r="E443" s="242"/>
      <c r="F443" s="242"/>
      <c r="G443" s="242"/>
      <c r="H443" s="242"/>
      <c r="I443" s="35"/>
      <c r="J443" s="35"/>
      <c r="K443" s="35"/>
      <c r="L443" s="242"/>
      <c r="M443" s="242"/>
      <c r="N443" s="242"/>
      <c r="O443" s="242"/>
      <c r="P443" s="242"/>
      <c r="Q443" s="242"/>
      <c r="R443" s="242"/>
      <c r="S443" s="242"/>
      <c r="T443" s="242"/>
      <c r="U443" s="242"/>
      <c r="V443" s="242"/>
    </row>
    <row r="444" spans="2:22">
      <c r="B444" s="242"/>
      <c r="C444" s="242"/>
      <c r="D444" s="242"/>
      <c r="E444" s="242"/>
      <c r="F444" s="242"/>
      <c r="G444" s="242"/>
      <c r="H444" s="242"/>
      <c r="I444" s="35"/>
      <c r="J444" s="35"/>
      <c r="K444" s="35"/>
      <c r="L444" s="242"/>
      <c r="M444" s="242"/>
      <c r="N444" s="242"/>
      <c r="O444" s="242"/>
      <c r="P444" s="242"/>
      <c r="Q444" s="242"/>
      <c r="R444" s="242"/>
      <c r="S444" s="242"/>
      <c r="T444" s="242"/>
      <c r="U444" s="242"/>
      <c r="V444" s="242"/>
    </row>
    <row r="445" spans="2:22">
      <c r="B445" s="242"/>
      <c r="C445" s="242"/>
      <c r="D445" s="242"/>
      <c r="E445" s="242"/>
      <c r="F445" s="242"/>
      <c r="G445" s="242"/>
      <c r="H445" s="242"/>
      <c r="I445" s="35"/>
      <c r="J445" s="35"/>
      <c r="K445" s="35"/>
      <c r="L445" s="242"/>
      <c r="M445" s="242"/>
      <c r="N445" s="242"/>
      <c r="O445" s="242"/>
      <c r="P445" s="242"/>
      <c r="Q445" s="242"/>
      <c r="R445" s="242"/>
      <c r="S445" s="242"/>
      <c r="T445" s="242"/>
      <c r="U445" s="242"/>
      <c r="V445" s="242"/>
    </row>
    <row r="446" spans="2:22">
      <c r="B446" s="242"/>
      <c r="C446" s="242"/>
      <c r="D446" s="242"/>
      <c r="E446" s="242"/>
      <c r="F446" s="242"/>
      <c r="G446" s="242"/>
      <c r="H446" s="242"/>
      <c r="I446" s="35"/>
      <c r="J446" s="35"/>
      <c r="K446" s="35"/>
      <c r="L446" s="242"/>
      <c r="M446" s="242"/>
      <c r="N446" s="242"/>
      <c r="O446" s="242"/>
      <c r="P446" s="242"/>
      <c r="Q446" s="242"/>
      <c r="R446" s="242"/>
      <c r="S446" s="242"/>
      <c r="T446" s="242"/>
      <c r="U446" s="242"/>
      <c r="V446" s="242"/>
    </row>
    <row r="447" spans="2:22">
      <c r="B447" s="242"/>
      <c r="C447" s="242"/>
      <c r="D447" s="242"/>
      <c r="E447" s="242"/>
      <c r="F447" s="242"/>
      <c r="G447" s="242"/>
      <c r="H447" s="242"/>
      <c r="I447" s="35"/>
      <c r="J447" s="35"/>
      <c r="K447" s="35"/>
      <c r="L447" s="242"/>
      <c r="M447" s="242"/>
      <c r="N447" s="242"/>
      <c r="O447" s="242"/>
      <c r="P447" s="242"/>
      <c r="Q447" s="242"/>
      <c r="R447" s="242"/>
      <c r="S447" s="242"/>
      <c r="T447" s="242"/>
      <c r="U447" s="242"/>
      <c r="V447" s="242"/>
    </row>
    <row r="448" spans="2:22">
      <c r="B448" s="242"/>
      <c r="C448" s="242"/>
      <c r="D448" s="242"/>
      <c r="E448" s="242"/>
      <c r="F448" s="242"/>
      <c r="G448" s="242"/>
      <c r="H448" s="242"/>
      <c r="I448" s="35"/>
      <c r="J448" s="35"/>
      <c r="K448" s="35"/>
      <c r="L448" s="242"/>
      <c r="M448" s="242"/>
      <c r="N448" s="242"/>
      <c r="O448" s="242"/>
      <c r="P448" s="242"/>
      <c r="Q448" s="242"/>
      <c r="R448" s="242"/>
      <c r="S448" s="242"/>
      <c r="T448" s="242"/>
      <c r="U448" s="242"/>
      <c r="V448" s="242"/>
    </row>
    <row r="449" spans="2:22">
      <c r="B449" s="242"/>
      <c r="C449" s="242"/>
      <c r="D449" s="242"/>
      <c r="E449" s="242"/>
      <c r="F449" s="242"/>
      <c r="G449" s="242"/>
      <c r="H449" s="242"/>
      <c r="I449" s="35"/>
      <c r="J449" s="35"/>
      <c r="K449" s="35"/>
      <c r="L449" s="242"/>
      <c r="M449" s="242"/>
      <c r="N449" s="242"/>
      <c r="O449" s="242"/>
      <c r="P449" s="242"/>
      <c r="Q449" s="242"/>
      <c r="R449" s="242"/>
      <c r="S449" s="242"/>
      <c r="T449" s="242"/>
      <c r="U449" s="242"/>
      <c r="V449" s="242"/>
    </row>
    <row r="450" spans="2:22">
      <c r="B450" s="242"/>
      <c r="C450" s="242"/>
      <c r="D450" s="242"/>
      <c r="E450" s="242"/>
      <c r="F450" s="242"/>
      <c r="G450" s="242"/>
      <c r="H450" s="242"/>
      <c r="I450" s="35"/>
      <c r="J450" s="35"/>
      <c r="K450" s="35"/>
      <c r="L450" s="242"/>
      <c r="M450" s="242"/>
      <c r="N450" s="242"/>
      <c r="O450" s="242"/>
      <c r="P450" s="242"/>
      <c r="Q450" s="242"/>
      <c r="R450" s="242"/>
      <c r="S450" s="242"/>
      <c r="T450" s="242"/>
      <c r="U450" s="242"/>
      <c r="V450" s="242"/>
    </row>
    <row r="451" spans="2:22">
      <c r="B451" s="242"/>
      <c r="C451" s="242"/>
      <c r="D451" s="242"/>
      <c r="E451" s="242"/>
      <c r="F451" s="242"/>
      <c r="G451" s="242"/>
      <c r="H451" s="242"/>
      <c r="I451" s="35"/>
      <c r="J451" s="35"/>
      <c r="K451" s="35"/>
      <c r="L451" s="242"/>
      <c r="M451" s="242"/>
      <c r="N451" s="242"/>
      <c r="O451" s="242"/>
      <c r="P451" s="242"/>
      <c r="Q451" s="242"/>
      <c r="R451" s="242"/>
      <c r="S451" s="242"/>
      <c r="T451" s="242"/>
      <c r="U451" s="242"/>
      <c r="V451" s="242"/>
    </row>
    <row r="452" spans="2:22">
      <c r="B452" s="242"/>
      <c r="C452" s="242"/>
      <c r="D452" s="242"/>
      <c r="E452" s="242"/>
      <c r="F452" s="242"/>
      <c r="G452" s="242"/>
      <c r="H452" s="242"/>
      <c r="I452" s="35"/>
      <c r="J452" s="35"/>
      <c r="K452" s="35"/>
      <c r="L452" s="242"/>
      <c r="M452" s="242"/>
      <c r="N452" s="242"/>
      <c r="O452" s="242"/>
      <c r="P452" s="242"/>
      <c r="Q452" s="242"/>
      <c r="R452" s="242"/>
      <c r="S452" s="242"/>
      <c r="T452" s="242"/>
      <c r="U452" s="242"/>
      <c r="V452" s="242"/>
    </row>
    <row r="453" spans="2:22">
      <c r="B453" s="242"/>
      <c r="C453" s="242"/>
      <c r="D453" s="242"/>
      <c r="E453" s="242"/>
      <c r="F453" s="242"/>
      <c r="G453" s="242"/>
      <c r="H453" s="242"/>
      <c r="I453" s="35"/>
      <c r="J453" s="35"/>
      <c r="K453" s="35"/>
      <c r="L453" s="242"/>
      <c r="M453" s="242"/>
      <c r="N453" s="242"/>
      <c r="O453" s="242"/>
      <c r="P453" s="242"/>
      <c r="Q453" s="242"/>
      <c r="R453" s="242"/>
      <c r="S453" s="242"/>
      <c r="T453" s="242"/>
      <c r="U453" s="242"/>
      <c r="V453" s="242"/>
    </row>
    <row r="454" spans="2:22">
      <c r="B454" s="242"/>
      <c r="C454" s="242"/>
      <c r="D454" s="242"/>
      <c r="E454" s="242"/>
      <c r="F454" s="242"/>
      <c r="G454" s="242"/>
      <c r="H454" s="242"/>
      <c r="I454" s="35"/>
      <c r="J454" s="35"/>
      <c r="K454" s="35"/>
      <c r="L454" s="242"/>
      <c r="M454" s="242"/>
      <c r="N454" s="242"/>
      <c r="O454" s="242"/>
      <c r="P454" s="242"/>
      <c r="Q454" s="242"/>
      <c r="R454" s="242"/>
      <c r="S454" s="242"/>
      <c r="T454" s="242"/>
      <c r="U454" s="242"/>
      <c r="V454" s="242"/>
    </row>
    <row r="455" spans="2:22">
      <c r="B455" s="242"/>
      <c r="C455" s="242"/>
      <c r="D455" s="242"/>
      <c r="E455" s="242"/>
      <c r="F455" s="242"/>
      <c r="G455" s="242"/>
      <c r="H455" s="242"/>
      <c r="I455" s="35"/>
      <c r="J455" s="35"/>
      <c r="K455" s="35"/>
      <c r="L455" s="242"/>
      <c r="M455" s="242"/>
      <c r="N455" s="242"/>
      <c r="O455" s="242"/>
      <c r="P455" s="242"/>
      <c r="Q455" s="242"/>
      <c r="R455" s="242"/>
      <c r="S455" s="242"/>
      <c r="T455" s="242"/>
      <c r="U455" s="242"/>
      <c r="V455" s="242"/>
    </row>
    <row r="456" spans="2:22">
      <c r="B456" s="242"/>
      <c r="C456" s="242"/>
      <c r="D456" s="242"/>
      <c r="E456" s="242"/>
      <c r="F456" s="242"/>
      <c r="G456" s="242"/>
      <c r="H456" s="242"/>
      <c r="I456" s="35"/>
      <c r="J456" s="35"/>
      <c r="K456" s="35"/>
      <c r="L456" s="242"/>
      <c r="M456" s="242"/>
      <c r="N456" s="242"/>
      <c r="O456" s="242"/>
      <c r="P456" s="242"/>
      <c r="Q456" s="242"/>
      <c r="R456" s="242"/>
      <c r="S456" s="242"/>
      <c r="T456" s="242"/>
      <c r="U456" s="242"/>
      <c r="V456" s="242"/>
    </row>
    <row r="457" spans="2:22">
      <c r="B457" s="242"/>
      <c r="C457" s="242"/>
      <c r="D457" s="242"/>
      <c r="E457" s="242"/>
      <c r="F457" s="242"/>
      <c r="G457" s="242"/>
      <c r="H457" s="242"/>
      <c r="I457" s="35"/>
      <c r="J457" s="35"/>
      <c r="K457" s="35"/>
      <c r="L457" s="242"/>
      <c r="M457" s="242"/>
      <c r="N457" s="242"/>
      <c r="O457" s="242"/>
      <c r="P457" s="242"/>
      <c r="Q457" s="242"/>
      <c r="R457" s="242"/>
      <c r="S457" s="242"/>
      <c r="T457" s="242"/>
      <c r="U457" s="242"/>
      <c r="V457" s="242"/>
    </row>
    <row r="458" spans="2:22">
      <c r="B458" s="242"/>
      <c r="C458" s="242"/>
      <c r="D458" s="242"/>
      <c r="E458" s="242"/>
      <c r="F458" s="242"/>
      <c r="G458" s="242"/>
      <c r="H458" s="242"/>
      <c r="I458" s="35"/>
      <c r="J458" s="35"/>
      <c r="K458" s="35"/>
      <c r="L458" s="242"/>
      <c r="M458" s="242"/>
      <c r="N458" s="242"/>
      <c r="O458" s="242"/>
      <c r="P458" s="242"/>
      <c r="Q458" s="242"/>
      <c r="R458" s="242"/>
      <c r="S458" s="242"/>
      <c r="T458" s="242"/>
      <c r="U458" s="242"/>
      <c r="V458" s="242"/>
    </row>
    <row r="459" spans="2:22">
      <c r="B459" s="242"/>
      <c r="C459" s="242"/>
      <c r="D459" s="242"/>
      <c r="E459" s="242"/>
      <c r="F459" s="242"/>
      <c r="G459" s="242"/>
      <c r="H459" s="242"/>
      <c r="I459" s="35"/>
      <c r="J459" s="35"/>
      <c r="K459" s="35"/>
      <c r="L459" s="242"/>
      <c r="M459" s="242"/>
      <c r="N459" s="242"/>
      <c r="O459" s="242"/>
      <c r="P459" s="242"/>
      <c r="Q459" s="242"/>
      <c r="R459" s="242"/>
      <c r="S459" s="242"/>
      <c r="T459" s="242"/>
      <c r="U459" s="242"/>
      <c r="V459" s="242"/>
    </row>
    <row r="460" spans="2:22">
      <c r="B460" s="242"/>
      <c r="C460" s="242"/>
      <c r="D460" s="242"/>
      <c r="E460" s="242"/>
      <c r="F460" s="242"/>
      <c r="G460" s="242"/>
      <c r="H460" s="242"/>
      <c r="I460" s="35"/>
      <c r="J460" s="35"/>
      <c r="K460" s="35"/>
      <c r="L460" s="242"/>
      <c r="M460" s="242"/>
      <c r="N460" s="242"/>
      <c r="O460" s="242"/>
      <c r="P460" s="242"/>
      <c r="Q460" s="242"/>
      <c r="R460" s="242"/>
      <c r="S460" s="242"/>
      <c r="T460" s="242"/>
      <c r="U460" s="242"/>
      <c r="V460" s="242"/>
    </row>
    <row r="461" spans="2:22">
      <c r="B461" s="242"/>
      <c r="C461" s="242"/>
      <c r="D461" s="242"/>
      <c r="E461" s="242"/>
      <c r="F461" s="242"/>
      <c r="G461" s="242"/>
      <c r="H461" s="242"/>
      <c r="I461" s="35"/>
      <c r="J461" s="35"/>
      <c r="K461" s="35"/>
      <c r="L461" s="242"/>
      <c r="M461" s="242"/>
      <c r="N461" s="242"/>
      <c r="O461" s="242"/>
      <c r="P461" s="242"/>
      <c r="Q461" s="242"/>
      <c r="R461" s="242"/>
      <c r="S461" s="242"/>
      <c r="T461" s="242"/>
      <c r="U461" s="242"/>
      <c r="V461" s="242"/>
    </row>
    <row r="462" spans="2:22">
      <c r="B462" s="242"/>
      <c r="C462" s="242"/>
      <c r="D462" s="242"/>
      <c r="E462" s="242"/>
      <c r="F462" s="242"/>
      <c r="G462" s="242"/>
      <c r="H462" s="242"/>
      <c r="I462" s="35"/>
      <c r="J462" s="35"/>
      <c r="K462" s="35"/>
      <c r="L462" s="242"/>
      <c r="M462" s="242"/>
      <c r="N462" s="242"/>
      <c r="O462" s="242"/>
      <c r="P462" s="242"/>
      <c r="Q462" s="242"/>
      <c r="R462" s="242"/>
      <c r="S462" s="242"/>
      <c r="T462" s="242"/>
      <c r="U462" s="242"/>
      <c r="V462" s="242"/>
    </row>
    <row r="463" spans="2:22">
      <c r="B463" s="242"/>
      <c r="C463" s="242"/>
      <c r="D463" s="242"/>
      <c r="E463" s="242"/>
      <c r="F463" s="242"/>
      <c r="G463" s="242"/>
      <c r="H463" s="242"/>
      <c r="I463" s="35"/>
      <c r="J463" s="35"/>
      <c r="K463" s="35"/>
      <c r="L463" s="242"/>
      <c r="M463" s="242"/>
      <c r="N463" s="242"/>
      <c r="O463" s="242"/>
      <c r="P463" s="242"/>
      <c r="Q463" s="242"/>
      <c r="R463" s="242"/>
      <c r="S463" s="242"/>
      <c r="T463" s="242"/>
      <c r="U463" s="242"/>
      <c r="V463" s="242"/>
    </row>
    <row r="464" spans="2:22">
      <c r="B464" s="242"/>
      <c r="C464" s="242"/>
      <c r="D464" s="242"/>
      <c r="E464" s="242"/>
      <c r="F464" s="242"/>
      <c r="G464" s="242"/>
      <c r="H464" s="242"/>
      <c r="I464" s="35"/>
      <c r="J464" s="35"/>
      <c r="K464" s="35"/>
      <c r="L464" s="242"/>
      <c r="M464" s="242"/>
      <c r="N464" s="242"/>
      <c r="O464" s="242"/>
      <c r="P464" s="242"/>
      <c r="Q464" s="242"/>
      <c r="R464" s="242"/>
      <c r="S464" s="242"/>
      <c r="T464" s="242"/>
      <c r="U464" s="242"/>
      <c r="V464" s="242"/>
    </row>
    <row r="465" spans="2:22">
      <c r="B465" s="242"/>
      <c r="C465" s="242"/>
      <c r="D465" s="242"/>
      <c r="E465" s="242"/>
      <c r="F465" s="242"/>
      <c r="G465" s="242"/>
      <c r="H465" s="242"/>
      <c r="I465" s="35"/>
      <c r="J465" s="35"/>
      <c r="K465" s="35"/>
      <c r="L465" s="242"/>
      <c r="M465" s="242"/>
      <c r="N465" s="242"/>
      <c r="O465" s="242"/>
      <c r="P465" s="242"/>
      <c r="Q465" s="242"/>
      <c r="R465" s="242"/>
      <c r="S465" s="242"/>
      <c r="T465" s="242"/>
      <c r="U465" s="242"/>
      <c r="V465" s="242"/>
    </row>
    <row r="466" spans="2:22">
      <c r="B466" s="242"/>
      <c r="C466" s="242"/>
      <c r="D466" s="242"/>
      <c r="E466" s="242"/>
      <c r="F466" s="242"/>
      <c r="G466" s="242"/>
      <c r="H466" s="242"/>
      <c r="I466" s="35"/>
      <c r="J466" s="35"/>
      <c r="K466" s="35"/>
      <c r="L466" s="242"/>
      <c r="M466" s="242"/>
      <c r="N466" s="242"/>
      <c r="O466" s="242"/>
      <c r="P466" s="242"/>
      <c r="Q466" s="242"/>
      <c r="R466" s="242"/>
      <c r="S466" s="242"/>
      <c r="T466" s="242"/>
      <c r="U466" s="242"/>
      <c r="V466" s="242"/>
    </row>
    <row r="467" spans="2:22">
      <c r="B467" s="242"/>
      <c r="C467" s="242"/>
      <c r="D467" s="242"/>
      <c r="E467" s="242"/>
      <c r="F467" s="242"/>
      <c r="G467" s="242"/>
      <c r="H467" s="242"/>
      <c r="I467" s="35"/>
      <c r="J467" s="35"/>
      <c r="K467" s="35"/>
      <c r="L467" s="242"/>
      <c r="M467" s="242"/>
      <c r="N467" s="242"/>
      <c r="O467" s="242"/>
      <c r="P467" s="242"/>
      <c r="Q467" s="242"/>
      <c r="R467" s="242"/>
      <c r="S467" s="242"/>
      <c r="T467" s="242"/>
      <c r="U467" s="242"/>
      <c r="V467" s="242"/>
    </row>
    <row r="468" spans="2:22">
      <c r="B468" s="242"/>
      <c r="C468" s="242"/>
      <c r="D468" s="242"/>
      <c r="E468" s="242"/>
      <c r="F468" s="242"/>
      <c r="G468" s="242"/>
      <c r="H468" s="242"/>
      <c r="I468" s="35"/>
      <c r="J468" s="35"/>
      <c r="K468" s="35"/>
      <c r="L468" s="242"/>
      <c r="M468" s="242"/>
      <c r="N468" s="242"/>
      <c r="O468" s="242"/>
      <c r="P468" s="242"/>
      <c r="Q468" s="242"/>
      <c r="R468" s="242"/>
      <c r="S468" s="242"/>
      <c r="T468" s="242"/>
      <c r="U468" s="242"/>
      <c r="V468" s="242"/>
    </row>
    <row r="469" spans="2:22">
      <c r="B469" s="242"/>
      <c r="C469" s="242"/>
      <c r="D469" s="242"/>
      <c r="E469" s="242"/>
      <c r="F469" s="242"/>
      <c r="G469" s="242"/>
      <c r="H469" s="242"/>
      <c r="I469" s="35"/>
      <c r="J469" s="35"/>
      <c r="K469" s="35"/>
      <c r="L469" s="242"/>
      <c r="M469" s="242"/>
      <c r="N469" s="242"/>
      <c r="O469" s="242"/>
      <c r="P469" s="242"/>
      <c r="Q469" s="242"/>
      <c r="R469" s="242"/>
      <c r="S469" s="242"/>
      <c r="T469" s="242"/>
      <c r="U469" s="242"/>
      <c r="V469" s="242"/>
    </row>
    <row r="470" spans="2:22">
      <c r="B470" s="242"/>
      <c r="C470" s="242"/>
      <c r="D470" s="242"/>
      <c r="E470" s="242"/>
      <c r="F470" s="242"/>
      <c r="G470" s="242"/>
      <c r="H470" s="242"/>
      <c r="I470" s="35"/>
      <c r="J470" s="35"/>
      <c r="K470" s="35"/>
      <c r="L470" s="242"/>
      <c r="M470" s="242"/>
      <c r="N470" s="242"/>
      <c r="O470" s="242"/>
      <c r="P470" s="242"/>
      <c r="Q470" s="242"/>
      <c r="R470" s="242"/>
      <c r="S470" s="242"/>
      <c r="T470" s="242"/>
      <c r="U470" s="242"/>
      <c r="V470" s="242"/>
    </row>
    <row r="471" spans="2:22">
      <c r="B471" s="242"/>
      <c r="C471" s="242"/>
      <c r="D471" s="242"/>
      <c r="E471" s="242"/>
      <c r="F471" s="242"/>
      <c r="G471" s="242"/>
      <c r="H471" s="242"/>
      <c r="I471" s="35"/>
      <c r="J471" s="35"/>
      <c r="K471" s="35"/>
      <c r="L471" s="242"/>
      <c r="M471" s="242"/>
      <c r="N471" s="242"/>
      <c r="O471" s="242"/>
      <c r="P471" s="242"/>
      <c r="Q471" s="242"/>
      <c r="R471" s="242"/>
      <c r="S471" s="242"/>
      <c r="T471" s="242"/>
      <c r="U471" s="242"/>
      <c r="V471" s="242"/>
    </row>
    <row r="472" spans="2:22">
      <c r="B472" s="242"/>
      <c r="C472" s="242"/>
      <c r="D472" s="242"/>
      <c r="E472" s="242"/>
      <c r="F472" s="242"/>
      <c r="G472" s="242"/>
      <c r="H472" s="242"/>
      <c r="I472" s="35"/>
      <c r="J472" s="35"/>
      <c r="K472" s="35"/>
      <c r="L472" s="242"/>
      <c r="M472" s="242"/>
      <c r="N472" s="242"/>
      <c r="O472" s="242"/>
      <c r="P472" s="242"/>
      <c r="Q472" s="242"/>
      <c r="R472" s="242"/>
      <c r="S472" s="242"/>
      <c r="T472" s="242"/>
      <c r="U472" s="242"/>
      <c r="V472" s="242"/>
    </row>
    <row r="473" spans="2:22">
      <c r="B473" s="242"/>
      <c r="C473" s="242"/>
      <c r="D473" s="242"/>
      <c r="E473" s="242"/>
      <c r="F473" s="242"/>
      <c r="G473" s="242"/>
      <c r="H473" s="242"/>
      <c r="I473" s="35"/>
      <c r="J473" s="35"/>
      <c r="K473" s="35"/>
      <c r="L473" s="242"/>
      <c r="M473" s="242"/>
      <c r="N473" s="242"/>
      <c r="O473" s="242"/>
      <c r="P473" s="242"/>
      <c r="Q473" s="242"/>
      <c r="R473" s="242"/>
      <c r="S473" s="242"/>
      <c r="T473" s="242"/>
      <c r="U473" s="242"/>
      <c r="V473" s="242"/>
    </row>
  </sheetData>
  <mergeCells count="20">
    <mergeCell ref="A1:V1"/>
    <mergeCell ref="A2:V2"/>
    <mergeCell ref="A3:V3"/>
    <mergeCell ref="D5:H5"/>
    <mergeCell ref="K5:O5"/>
    <mergeCell ref="R5:V5"/>
    <mergeCell ref="F6:H6"/>
    <mergeCell ref="M6:O6"/>
    <mergeCell ref="T6:V6"/>
    <mergeCell ref="D34:H34"/>
    <mergeCell ref="K34:O34"/>
    <mergeCell ref="R34:V34"/>
    <mergeCell ref="B66:V66"/>
    <mergeCell ref="B67:V67"/>
    <mergeCell ref="F35:H35"/>
    <mergeCell ref="M35:O35"/>
    <mergeCell ref="T35:V35"/>
    <mergeCell ref="B63:V63"/>
    <mergeCell ref="B64:V64"/>
    <mergeCell ref="B65:V65"/>
  </mergeCells>
  <phoneticPr fontId="24" type="noConversion"/>
  <printOptions horizontalCentered="1"/>
  <pageMargins left="0.25" right="0.25" top="0.5" bottom="0.25" header="0.3" footer="0.25"/>
  <pageSetup scale="68" orientation="landscape" r:id="rId1"/>
  <headerFooter alignWithMargins="0">
    <oddFooter>&amp;R&amp;A</oddFooter>
  </headerFooter>
  <ignoredErrors>
    <ignoredError sqref="A63:A66" numberStoredAsText="1"/>
  </ignoredErrors>
</worksheet>
</file>

<file path=xl/worksheets/sheet42.xml><?xml version="1.0" encoding="utf-8"?>
<worksheet xmlns="http://schemas.openxmlformats.org/spreadsheetml/2006/main" xmlns:r="http://schemas.openxmlformats.org/officeDocument/2006/relationships">
  <dimension ref="A1:AD437"/>
  <sheetViews>
    <sheetView zoomScale="75" zoomScaleNormal="75" workbookViewId="0">
      <selection sqref="A1:W1"/>
    </sheetView>
  </sheetViews>
  <sheetFormatPr defaultColWidth="9.109375" defaultRowHeight="10.199999999999999"/>
  <cols>
    <col min="1" max="1" width="3.33203125" style="202" customWidth="1"/>
    <col min="2" max="2" width="35.109375" style="202" customWidth="1"/>
    <col min="3" max="4" width="2.44140625" style="202" customWidth="1"/>
    <col min="5" max="5" width="9.33203125" style="242" customWidth="1"/>
    <col min="6" max="7" width="2.44140625" style="242" customWidth="1"/>
    <col min="8" max="8" width="9.33203125" style="242" customWidth="1"/>
    <col min="9" max="10" width="2.44140625" style="242" customWidth="1"/>
    <col min="11" max="11" width="9.33203125" style="242" customWidth="1"/>
    <col min="12" max="13" width="2.44140625" style="242" customWidth="1"/>
    <col min="14" max="14" width="9.33203125" style="242" customWidth="1"/>
    <col min="15" max="16" width="2.44140625" style="242" customWidth="1"/>
    <col min="17" max="17" width="9.33203125" style="242" customWidth="1"/>
    <col min="18" max="19" width="2.44140625" style="242" customWidth="1"/>
    <col min="20" max="20" width="12.33203125" style="242" customWidth="1"/>
    <col min="21" max="22" width="2.44140625" style="242" customWidth="1"/>
    <col min="23" max="23" width="12.44140625" style="242" customWidth="1"/>
    <col min="24" max="24" width="2.44140625" style="242" customWidth="1"/>
    <col min="25" max="16384" width="9.109375" style="242"/>
  </cols>
  <sheetData>
    <row r="1" spans="1:30" ht="13.2">
      <c r="A1" s="1009" t="s">
        <v>96</v>
      </c>
      <c r="B1" s="1009"/>
      <c r="C1" s="1009"/>
      <c r="D1" s="1009"/>
      <c r="E1" s="1009"/>
      <c r="F1" s="1009"/>
      <c r="G1" s="1009"/>
      <c r="H1" s="1009"/>
      <c r="I1" s="1009"/>
      <c r="J1" s="1009"/>
      <c r="K1" s="1009"/>
      <c r="L1" s="1009"/>
      <c r="M1" s="1009"/>
      <c r="N1" s="1009"/>
      <c r="O1" s="1009"/>
      <c r="P1" s="1009"/>
      <c r="Q1" s="1009"/>
      <c r="R1" s="1009"/>
      <c r="S1" s="1009"/>
      <c r="T1" s="1009"/>
      <c r="U1" s="1009"/>
      <c r="V1" s="1009"/>
      <c r="W1" s="1009"/>
    </row>
    <row r="2" spans="1:30" ht="13.2">
      <c r="A2" s="1010" t="s">
        <v>654</v>
      </c>
      <c r="B2" s="1010"/>
      <c r="C2" s="1010"/>
      <c r="D2" s="1010"/>
      <c r="E2" s="1010"/>
      <c r="F2" s="1010"/>
      <c r="G2" s="1010"/>
      <c r="H2" s="1010"/>
      <c r="I2" s="1010"/>
      <c r="J2" s="1010"/>
      <c r="K2" s="1010"/>
      <c r="L2" s="1010"/>
      <c r="M2" s="1010"/>
      <c r="N2" s="1010"/>
      <c r="O2" s="1010"/>
      <c r="P2" s="1010"/>
      <c r="Q2" s="1010"/>
      <c r="R2" s="1010"/>
      <c r="S2" s="1010"/>
      <c r="T2" s="1010"/>
      <c r="U2" s="1010"/>
      <c r="V2" s="1010"/>
      <c r="W2" s="1010"/>
    </row>
    <row r="3" spans="1:30" ht="13.2">
      <c r="A3" s="1010" t="s">
        <v>800</v>
      </c>
      <c r="B3" s="1010"/>
      <c r="C3" s="1010"/>
      <c r="D3" s="1010"/>
      <c r="E3" s="1010"/>
      <c r="F3" s="1010"/>
      <c r="G3" s="1010"/>
      <c r="H3" s="1010"/>
      <c r="I3" s="1010"/>
      <c r="J3" s="1010"/>
      <c r="K3" s="1010"/>
      <c r="L3" s="1010"/>
      <c r="M3" s="1010"/>
      <c r="N3" s="1010"/>
      <c r="O3" s="1010"/>
      <c r="P3" s="1010"/>
      <c r="Q3" s="1010"/>
      <c r="R3" s="1010"/>
      <c r="S3" s="1010"/>
      <c r="T3" s="1010"/>
      <c r="U3" s="1010"/>
      <c r="V3" s="1010"/>
      <c r="W3" s="1010"/>
    </row>
    <row r="4" spans="1:30" s="206" customFormat="1" ht="12">
      <c r="A4" s="705"/>
      <c r="B4" s="705"/>
      <c r="C4" s="705"/>
      <c r="D4" s="705"/>
      <c r="E4" s="705"/>
      <c r="F4" s="705"/>
      <c r="G4" s="705"/>
      <c r="H4" s="705"/>
      <c r="I4" s="705"/>
      <c r="J4" s="705"/>
      <c r="K4" s="705"/>
      <c r="L4" s="705"/>
      <c r="M4" s="705"/>
      <c r="P4" s="705"/>
    </row>
    <row r="5" spans="1:30" s="206" customFormat="1" ht="11.4">
      <c r="A5" s="221"/>
      <c r="B5" s="368"/>
      <c r="C5" s="368"/>
      <c r="D5" s="368"/>
    </row>
    <row r="6" spans="1:30" s="206" customFormat="1" ht="11.4">
      <c r="A6" s="221"/>
      <c r="B6" s="368"/>
      <c r="C6" s="368"/>
      <c r="D6" s="368"/>
      <c r="E6" s="990" t="s">
        <v>1146</v>
      </c>
      <c r="F6" s="990"/>
      <c r="G6" s="990"/>
      <c r="H6" s="990"/>
      <c r="I6" s="990"/>
      <c r="J6" s="990"/>
      <c r="K6" s="990"/>
      <c r="L6" s="990"/>
      <c r="M6" s="990"/>
      <c r="N6" s="990"/>
      <c r="O6" s="990"/>
      <c r="P6" s="990"/>
      <c r="Q6" s="990"/>
      <c r="R6" s="990"/>
      <c r="S6" s="990"/>
      <c r="T6" s="990"/>
      <c r="U6" s="990"/>
      <c r="V6" s="990"/>
      <c r="W6" s="990"/>
    </row>
    <row r="7" spans="1:30" s="206" customFormat="1" ht="11.4">
      <c r="A7" s="221"/>
      <c r="B7" s="368"/>
      <c r="C7" s="368"/>
      <c r="D7" s="368"/>
    </row>
    <row r="8" spans="1:30" s="206" customFormat="1" ht="11.4">
      <c r="B8" s="371"/>
      <c r="C8" s="371"/>
      <c r="D8" s="371"/>
      <c r="E8" s="208"/>
      <c r="F8" s="208"/>
      <c r="G8" s="208"/>
      <c r="H8" s="208"/>
      <c r="I8" s="208"/>
      <c r="J8" s="208"/>
      <c r="K8" s="208"/>
      <c r="L8" s="208"/>
      <c r="M8" s="208"/>
      <c r="N8" s="208"/>
      <c r="O8" s="208"/>
      <c r="P8" s="208"/>
      <c r="Q8" s="208"/>
      <c r="R8" s="208"/>
      <c r="S8" s="208"/>
      <c r="T8" s="208" t="s">
        <v>655</v>
      </c>
      <c r="U8" s="208"/>
      <c r="V8" s="208"/>
      <c r="W8" s="208"/>
    </row>
    <row r="9" spans="1:30" s="206" customFormat="1" ht="11.4">
      <c r="B9" s="371"/>
      <c r="C9" s="371"/>
      <c r="D9" s="372"/>
      <c r="E9" s="208"/>
      <c r="F9" s="208"/>
      <c r="G9" s="208"/>
      <c r="H9" s="208"/>
      <c r="I9" s="208"/>
      <c r="J9" s="208"/>
      <c r="K9" s="208"/>
      <c r="L9" s="208"/>
      <c r="M9" s="208"/>
      <c r="N9" s="208"/>
      <c r="O9" s="208"/>
      <c r="P9" s="208"/>
      <c r="Q9" s="208"/>
      <c r="R9" s="208"/>
      <c r="S9" s="208"/>
      <c r="T9" s="208" t="s">
        <v>656</v>
      </c>
      <c r="U9" s="208"/>
      <c r="V9" s="208"/>
      <c r="W9" s="208" t="s">
        <v>621</v>
      </c>
    </row>
    <row r="10" spans="1:30" s="206" customFormat="1" ht="11.4">
      <c r="B10" s="371"/>
      <c r="C10" s="371"/>
      <c r="D10" s="372"/>
      <c r="E10" s="208" t="s">
        <v>657</v>
      </c>
      <c r="F10" s="208"/>
      <c r="G10" s="208"/>
      <c r="H10" s="208" t="s">
        <v>655</v>
      </c>
      <c r="I10" s="208"/>
      <c r="J10" s="208"/>
      <c r="K10" s="990" t="s">
        <v>658</v>
      </c>
      <c r="L10" s="990"/>
      <c r="M10" s="990"/>
      <c r="N10" s="990"/>
      <c r="O10" s="208"/>
      <c r="P10" s="208"/>
      <c r="Q10" s="208" t="s">
        <v>622</v>
      </c>
      <c r="R10" s="208"/>
      <c r="S10" s="208"/>
      <c r="T10" s="208" t="s">
        <v>659</v>
      </c>
      <c r="U10" s="208"/>
      <c r="V10" s="208"/>
      <c r="W10" s="208" t="s">
        <v>660</v>
      </c>
    </row>
    <row r="11" spans="1:30" s="206" customFormat="1" ht="13.2">
      <c r="B11" s="371"/>
      <c r="C11" s="371"/>
      <c r="D11" s="372"/>
      <c r="E11" s="205" t="s">
        <v>661</v>
      </c>
      <c r="F11" s="208"/>
      <c r="G11" s="208"/>
      <c r="H11" s="205" t="s">
        <v>662</v>
      </c>
      <c r="I11" s="208"/>
      <c r="J11" s="208"/>
      <c r="K11" s="205" t="s">
        <v>663</v>
      </c>
      <c r="L11" s="208"/>
      <c r="M11" s="208"/>
      <c r="N11" s="205" t="s">
        <v>664</v>
      </c>
      <c r="O11" s="208"/>
      <c r="P11" s="208"/>
      <c r="Q11" s="205" t="s">
        <v>624</v>
      </c>
      <c r="R11" s="208"/>
      <c r="S11" s="208"/>
      <c r="T11" s="205" t="s">
        <v>665</v>
      </c>
      <c r="U11" s="208"/>
      <c r="V11" s="208"/>
      <c r="W11" s="205" t="s">
        <v>666</v>
      </c>
    </row>
    <row r="12" spans="1:30" s="206" customFormat="1" ht="12">
      <c r="A12" s="548"/>
    </row>
    <row r="13" spans="1:30" s="206" customFormat="1" ht="14.25" customHeight="1">
      <c r="A13" s="377" t="s">
        <v>667</v>
      </c>
      <c r="B13" s="376"/>
      <c r="C13" s="376"/>
      <c r="E13" s="11"/>
      <c r="F13" s="11"/>
      <c r="G13" s="11"/>
      <c r="H13" s="11"/>
      <c r="I13" s="11"/>
      <c r="J13" s="11"/>
      <c r="K13" s="11"/>
      <c r="L13" s="11"/>
      <c r="M13" s="11"/>
      <c r="N13" s="11"/>
      <c r="O13" s="11"/>
      <c r="P13" s="11"/>
      <c r="Q13" s="11"/>
      <c r="R13" s="11"/>
      <c r="S13" s="11"/>
      <c r="T13" s="11"/>
      <c r="U13" s="11"/>
      <c r="V13" s="11"/>
      <c r="W13" s="11"/>
      <c r="X13" s="11"/>
    </row>
    <row r="14" spans="1:30" s="206" customFormat="1" ht="14.25" customHeight="1">
      <c r="A14" s="376"/>
      <c r="B14" s="377" t="s">
        <v>668</v>
      </c>
      <c r="C14" s="377"/>
      <c r="D14" s="256" t="s">
        <v>108</v>
      </c>
      <c r="E14" s="23">
        <v>3615</v>
      </c>
      <c r="F14" s="23"/>
      <c r="G14" s="256" t="s">
        <v>108</v>
      </c>
      <c r="H14" s="23">
        <v>3598</v>
      </c>
      <c r="I14" s="23"/>
      <c r="J14" s="256" t="s">
        <v>108</v>
      </c>
      <c r="K14" s="23">
        <v>147</v>
      </c>
      <c r="L14" s="23"/>
      <c r="M14" s="256" t="s">
        <v>108</v>
      </c>
      <c r="N14" s="23">
        <v>-94</v>
      </c>
      <c r="O14" s="23"/>
      <c r="P14" s="256" t="s">
        <v>108</v>
      </c>
      <c r="Q14" s="23">
        <v>3651</v>
      </c>
      <c r="R14" s="23"/>
      <c r="S14" s="11"/>
      <c r="T14" s="347">
        <v>99.529737206085755</v>
      </c>
      <c r="U14" s="11" t="s">
        <v>893</v>
      </c>
      <c r="V14" s="11"/>
      <c r="W14" s="347">
        <v>100.99585062240664</v>
      </c>
      <c r="X14" s="11" t="s">
        <v>893</v>
      </c>
      <c r="Z14" s="717"/>
      <c r="AC14" s="718"/>
      <c r="AD14" s="718"/>
    </row>
    <row r="15" spans="1:30" s="206" customFormat="1" ht="14.25" customHeight="1">
      <c r="A15" s="376"/>
      <c r="B15" s="377" t="s">
        <v>671</v>
      </c>
      <c r="C15" s="377"/>
      <c r="D15" s="11"/>
      <c r="E15" s="23">
        <v>7631</v>
      </c>
      <c r="F15" s="23"/>
      <c r="G15" s="11"/>
      <c r="H15" s="23">
        <v>7645</v>
      </c>
      <c r="I15" s="23"/>
      <c r="J15" s="11"/>
      <c r="K15" s="23">
        <v>773</v>
      </c>
      <c r="L15" s="23"/>
      <c r="M15" s="11"/>
      <c r="N15" s="23">
        <v>-28</v>
      </c>
      <c r="O15" s="23"/>
      <c r="P15" s="11"/>
      <c r="Q15" s="23">
        <v>8390</v>
      </c>
      <c r="R15" s="23"/>
      <c r="S15" s="11"/>
      <c r="T15" s="347">
        <v>100.18346219368365</v>
      </c>
      <c r="U15" s="11"/>
      <c r="V15" s="11"/>
      <c r="W15" s="347">
        <v>109.9462717861355</v>
      </c>
      <c r="X15" s="11"/>
      <c r="Z15" s="717"/>
      <c r="AC15" s="718"/>
      <c r="AD15" s="718"/>
    </row>
    <row r="16" spans="1:30" s="206" customFormat="1" ht="14.25" customHeight="1">
      <c r="B16" s="377" t="s">
        <v>670</v>
      </c>
      <c r="C16" s="377"/>
      <c r="D16" s="11"/>
      <c r="E16" s="23">
        <v>5261</v>
      </c>
      <c r="F16" s="23"/>
      <c r="G16" s="11"/>
      <c r="H16" s="23">
        <v>5298</v>
      </c>
      <c r="I16" s="23"/>
      <c r="J16" s="11"/>
      <c r="K16" s="23">
        <v>446</v>
      </c>
      <c r="L16" s="23"/>
      <c r="M16" s="11"/>
      <c r="N16" s="23">
        <v>-23</v>
      </c>
      <c r="O16" s="23"/>
      <c r="P16" s="11"/>
      <c r="Q16" s="23">
        <v>5721</v>
      </c>
      <c r="R16" s="23"/>
      <c r="S16" s="11"/>
      <c r="T16" s="347">
        <v>100.70328834822277</v>
      </c>
      <c r="U16" s="11"/>
      <c r="V16" s="11"/>
      <c r="W16" s="347">
        <v>108.74358486979661</v>
      </c>
      <c r="X16" s="11"/>
      <c r="Z16" s="717"/>
      <c r="AC16" s="718"/>
      <c r="AD16" s="718"/>
    </row>
    <row r="17" spans="1:30" s="206" customFormat="1" ht="14.25" customHeight="1">
      <c r="B17" s="377" t="s">
        <v>669</v>
      </c>
      <c r="C17" s="377"/>
      <c r="D17" s="11"/>
      <c r="E17" s="23">
        <v>3515</v>
      </c>
      <c r="F17" s="23"/>
      <c r="G17" s="11"/>
      <c r="H17" s="23">
        <v>3460</v>
      </c>
      <c r="I17" s="23"/>
      <c r="J17" s="11"/>
      <c r="K17" s="23">
        <v>209</v>
      </c>
      <c r="L17" s="23"/>
      <c r="M17" s="11"/>
      <c r="N17" s="23">
        <v>-22</v>
      </c>
      <c r="O17" s="23"/>
      <c r="P17" s="11"/>
      <c r="Q17" s="23">
        <v>3647</v>
      </c>
      <c r="R17" s="23"/>
      <c r="S17" s="11"/>
      <c r="T17" s="347">
        <v>98.435277382645808</v>
      </c>
      <c r="U17" s="11"/>
      <c r="V17" s="11"/>
      <c r="W17" s="347">
        <v>103.75533428165006</v>
      </c>
      <c r="X17" s="11"/>
      <c r="Y17" s="11"/>
      <c r="Z17" s="717"/>
      <c r="AC17" s="718"/>
      <c r="AD17" s="718"/>
    </row>
    <row r="18" spans="1:30" s="206" customFormat="1" ht="14.25" customHeight="1">
      <c r="A18" s="376"/>
      <c r="B18" s="377" t="s">
        <v>672</v>
      </c>
      <c r="C18" s="377"/>
      <c r="D18" s="256"/>
      <c r="E18" s="23">
        <v>8976</v>
      </c>
      <c r="F18" s="23"/>
      <c r="G18" s="256"/>
      <c r="H18" s="23">
        <v>9091</v>
      </c>
      <c r="I18" s="23"/>
      <c r="J18" s="256"/>
      <c r="K18" s="23">
        <v>641</v>
      </c>
      <c r="L18" s="23"/>
      <c r="M18" s="256"/>
      <c r="N18" s="23">
        <v>-14</v>
      </c>
      <c r="O18" s="23"/>
      <c r="P18" s="256"/>
      <c r="Q18" s="23">
        <v>9718</v>
      </c>
      <c r="R18" s="23"/>
      <c r="S18" s="11"/>
      <c r="T18" s="347">
        <v>101.28119429590016</v>
      </c>
      <c r="U18" s="11"/>
      <c r="V18" s="11"/>
      <c r="W18" s="347">
        <v>108.26648841354725</v>
      </c>
      <c r="X18" s="11"/>
      <c r="Z18" s="719"/>
      <c r="AC18" s="718"/>
      <c r="AD18" s="718"/>
    </row>
    <row r="19" spans="1:30" s="206" customFormat="1" ht="14.25" customHeight="1">
      <c r="B19" s="377" t="s">
        <v>675</v>
      </c>
      <c r="C19" s="377"/>
      <c r="D19" s="176"/>
      <c r="E19" s="23">
        <v>2789</v>
      </c>
      <c r="F19" s="23"/>
      <c r="G19" s="176"/>
      <c r="H19" s="23">
        <v>2808</v>
      </c>
      <c r="I19" s="23"/>
      <c r="J19" s="176"/>
      <c r="K19" s="23">
        <v>162</v>
      </c>
      <c r="L19" s="23"/>
      <c r="M19" s="176"/>
      <c r="N19" s="23">
        <v>-12</v>
      </c>
      <c r="O19" s="23"/>
      <c r="P19" s="176"/>
      <c r="Q19" s="23">
        <v>2958</v>
      </c>
      <c r="R19" s="23"/>
      <c r="S19" s="11"/>
      <c r="T19" s="347">
        <v>100.68124775905343</v>
      </c>
      <c r="U19" s="11"/>
      <c r="V19" s="11"/>
      <c r="W19" s="347">
        <v>106.05951954105414</v>
      </c>
      <c r="X19" s="11"/>
      <c r="Y19" s="11"/>
      <c r="Z19" s="717"/>
      <c r="AC19" s="718"/>
      <c r="AD19" s="718"/>
    </row>
    <row r="20" spans="1:30" s="206" customFormat="1" ht="14.25" customHeight="1">
      <c r="A20" s="376"/>
      <c r="B20" s="377" t="s">
        <v>673</v>
      </c>
      <c r="C20" s="377"/>
      <c r="D20" s="11"/>
      <c r="E20" s="23">
        <v>1913</v>
      </c>
      <c r="F20" s="23"/>
      <c r="G20" s="11"/>
      <c r="H20" s="23">
        <v>1917</v>
      </c>
      <c r="I20" s="23"/>
      <c r="J20" s="11"/>
      <c r="K20" s="23">
        <v>181</v>
      </c>
      <c r="L20" s="23"/>
      <c r="M20" s="11"/>
      <c r="N20" s="23">
        <v>-12</v>
      </c>
      <c r="O20" s="23"/>
      <c r="P20" s="11"/>
      <c r="Q20" s="23">
        <v>2086</v>
      </c>
      <c r="R20" s="23"/>
      <c r="S20" s="11"/>
      <c r="T20" s="347">
        <v>100.20909566126504</v>
      </c>
      <c r="U20" s="11"/>
      <c r="V20" s="11"/>
      <c r="W20" s="347">
        <v>109.04338734971249</v>
      </c>
      <c r="X20" s="11"/>
      <c r="Z20" s="717"/>
      <c r="AC20" s="718"/>
      <c r="AD20" s="718"/>
    </row>
    <row r="21" spans="1:30" s="206" customFormat="1" ht="14.25" customHeight="1">
      <c r="A21" s="376"/>
      <c r="B21" s="377" t="s">
        <v>674</v>
      </c>
      <c r="C21" s="377"/>
      <c r="D21" s="11"/>
      <c r="E21" s="23">
        <v>3055</v>
      </c>
      <c r="F21" s="23"/>
      <c r="G21" s="11"/>
      <c r="H21" s="23">
        <v>3060</v>
      </c>
      <c r="I21" s="23"/>
      <c r="J21" s="11"/>
      <c r="K21" s="23">
        <v>203</v>
      </c>
      <c r="L21" s="23"/>
      <c r="M21" s="11"/>
      <c r="N21" s="23">
        <v>-8</v>
      </c>
      <c r="O21" s="23"/>
      <c r="P21" s="11"/>
      <c r="Q21" s="23">
        <v>3255</v>
      </c>
      <c r="R21" s="23"/>
      <c r="S21" s="11"/>
      <c r="T21" s="347">
        <v>100.16366612111294</v>
      </c>
      <c r="U21" s="11"/>
      <c r="V21" s="11"/>
      <c r="W21" s="347">
        <v>106.54664484451719</v>
      </c>
      <c r="X21" s="11"/>
      <c r="Z21" s="717"/>
      <c r="AC21" s="718"/>
      <c r="AD21" s="718"/>
    </row>
    <row r="22" spans="1:30" s="206" customFormat="1" ht="14.25" customHeight="1">
      <c r="A22" s="376"/>
      <c r="B22" s="379" t="s">
        <v>676</v>
      </c>
      <c r="C22" s="377"/>
      <c r="D22" s="176"/>
      <c r="E22" s="23">
        <v>3992</v>
      </c>
      <c r="F22" s="23"/>
      <c r="G22" s="176"/>
      <c r="H22" s="23">
        <v>4041</v>
      </c>
      <c r="I22" s="23"/>
      <c r="J22" s="176"/>
      <c r="K22" s="23">
        <v>277</v>
      </c>
      <c r="L22" s="23"/>
      <c r="M22" s="176"/>
      <c r="N22" s="23">
        <v>-6</v>
      </c>
      <c r="O22" s="23"/>
      <c r="P22" s="176"/>
      <c r="Q22" s="23">
        <v>4312</v>
      </c>
      <c r="R22" s="23"/>
      <c r="S22" s="11"/>
      <c r="T22" s="347">
        <v>101.22745490981964</v>
      </c>
      <c r="U22" s="11"/>
      <c r="V22" s="11"/>
      <c r="W22" s="347">
        <v>108.01603206412827</v>
      </c>
      <c r="X22" s="11"/>
      <c r="Z22" s="717"/>
      <c r="AC22" s="718"/>
      <c r="AD22" s="718"/>
    </row>
    <row r="23" spans="1:30" s="206" customFormat="1" ht="14.25" customHeight="1">
      <c r="B23" s="206" t="s">
        <v>677</v>
      </c>
      <c r="C23" s="379"/>
      <c r="D23" s="11"/>
      <c r="E23" s="23">
        <v>2072</v>
      </c>
      <c r="F23" s="23"/>
      <c r="G23" s="11"/>
      <c r="H23" s="23">
        <v>2104</v>
      </c>
      <c r="I23" s="23"/>
      <c r="J23" s="11"/>
      <c r="K23" s="23">
        <v>134</v>
      </c>
      <c r="L23" s="23"/>
      <c r="M23" s="11"/>
      <c r="N23" s="23">
        <v>-1</v>
      </c>
      <c r="O23" s="23"/>
      <c r="P23" s="11"/>
      <c r="Q23" s="23">
        <v>2237</v>
      </c>
      <c r="R23" s="23"/>
      <c r="S23" s="11"/>
      <c r="T23" s="347">
        <v>101.54440154440154</v>
      </c>
      <c r="U23" s="11"/>
      <c r="V23" s="11"/>
      <c r="W23" s="347">
        <v>107.96332046332047</v>
      </c>
      <c r="X23" s="11"/>
      <c r="Z23" s="717"/>
      <c r="AC23" s="718"/>
      <c r="AD23" s="718"/>
    </row>
    <row r="24" spans="1:30" s="206" customFormat="1" ht="14.25" customHeight="1">
      <c r="A24" s="376"/>
      <c r="B24" s="306" t="s">
        <v>278</v>
      </c>
      <c r="C24" s="306"/>
      <c r="D24" s="11"/>
      <c r="E24" s="23">
        <v>1309</v>
      </c>
      <c r="F24" s="23"/>
      <c r="G24" s="11"/>
      <c r="H24" s="23">
        <v>1207</v>
      </c>
      <c r="I24" s="23"/>
      <c r="J24" s="11"/>
      <c r="K24" s="23">
        <v>78</v>
      </c>
      <c r="L24" s="23"/>
      <c r="M24" s="11"/>
      <c r="N24" s="23">
        <v>-6</v>
      </c>
      <c r="O24" s="23"/>
      <c r="P24" s="11"/>
      <c r="Q24" s="23">
        <v>1279</v>
      </c>
      <c r="R24" s="23"/>
      <c r="S24" s="11"/>
      <c r="T24" s="347">
        <v>92.20779220779221</v>
      </c>
      <c r="U24" s="11"/>
      <c r="V24" s="11"/>
      <c r="W24" s="347">
        <v>97.70817417876242</v>
      </c>
      <c r="X24" s="11"/>
      <c r="Z24" s="717"/>
      <c r="AC24" s="718"/>
      <c r="AD24" s="718"/>
    </row>
    <row r="25" spans="1:30" s="206" customFormat="1" ht="14.25" customHeight="1">
      <c r="A25" s="376" t="s">
        <v>678</v>
      </c>
      <c r="B25" s="377"/>
      <c r="C25" s="377"/>
      <c r="D25" s="11"/>
      <c r="E25" s="31">
        <v>44128</v>
      </c>
      <c r="F25" s="23"/>
      <c r="G25" s="11"/>
      <c r="H25" s="31">
        <v>44229</v>
      </c>
      <c r="I25" s="23"/>
      <c r="J25" s="11"/>
      <c r="K25" s="31">
        <v>3251</v>
      </c>
      <c r="L25" s="23"/>
      <c r="M25" s="11"/>
      <c r="N25" s="31">
        <v>-226</v>
      </c>
      <c r="O25" s="23"/>
      <c r="P25" s="11"/>
      <c r="Q25" s="31">
        <v>47254</v>
      </c>
      <c r="R25" s="23"/>
      <c r="S25" s="11"/>
      <c r="T25" s="347">
        <v>100.22887962291516</v>
      </c>
      <c r="U25" s="11"/>
      <c r="V25" s="11"/>
      <c r="W25" s="347">
        <v>107.08393763596808</v>
      </c>
      <c r="X25" s="11"/>
      <c r="Y25" s="11"/>
      <c r="AC25" s="718"/>
      <c r="AD25" s="718"/>
    </row>
    <row r="26" spans="1:30" s="206" customFormat="1" ht="14.25" customHeight="1">
      <c r="A26" s="709"/>
      <c r="B26" s="306"/>
      <c r="C26" s="306"/>
      <c r="E26" s="23"/>
      <c r="F26" s="23"/>
      <c r="G26" s="11"/>
      <c r="H26" s="23"/>
      <c r="I26" s="23"/>
      <c r="J26" s="11"/>
      <c r="K26" s="23"/>
      <c r="L26" s="23"/>
      <c r="M26" s="11"/>
      <c r="N26" s="23"/>
      <c r="O26" s="23"/>
      <c r="P26" s="11"/>
      <c r="Q26" s="23"/>
      <c r="R26" s="23"/>
      <c r="S26" s="11"/>
      <c r="T26" s="347"/>
      <c r="U26" s="11"/>
      <c r="V26" s="11"/>
      <c r="W26" s="347"/>
      <c r="X26" s="11"/>
    </row>
    <row r="27" spans="1:30" s="206" customFormat="1" ht="14.25" customHeight="1">
      <c r="A27" s="709" t="s">
        <v>627</v>
      </c>
      <c r="B27" s="306"/>
      <c r="C27" s="306"/>
      <c r="D27" s="306"/>
      <c r="E27" s="23">
        <v>5226</v>
      </c>
      <c r="F27" s="23"/>
      <c r="G27" s="306"/>
      <c r="H27" s="23">
        <v>4872</v>
      </c>
      <c r="I27" s="23"/>
      <c r="J27" s="306"/>
      <c r="K27" s="23">
        <v>374</v>
      </c>
      <c r="L27" s="23"/>
      <c r="M27" s="306"/>
      <c r="N27" s="23">
        <v>0</v>
      </c>
      <c r="O27" s="23"/>
      <c r="P27" s="306"/>
      <c r="Q27" s="23">
        <v>5246</v>
      </c>
      <c r="R27" s="23"/>
      <c r="S27" s="11"/>
      <c r="T27" s="347">
        <v>93.226176808266359</v>
      </c>
      <c r="U27" s="11"/>
      <c r="V27" s="11"/>
      <c r="W27" s="347">
        <v>100.38270187523919</v>
      </c>
      <c r="X27" s="11"/>
      <c r="AA27" s="718"/>
      <c r="AB27" s="718"/>
    </row>
    <row r="28" spans="1:30" s="206" customFormat="1" ht="14.25" customHeight="1">
      <c r="A28" s="709" t="s">
        <v>679</v>
      </c>
      <c r="B28" s="306"/>
      <c r="C28" s="306"/>
      <c r="D28" s="306"/>
      <c r="E28" s="23">
        <v>14676</v>
      </c>
      <c r="F28" s="23"/>
      <c r="G28" s="306"/>
      <c r="H28" s="23">
        <v>13087</v>
      </c>
      <c r="I28" s="23"/>
      <c r="J28" s="306"/>
      <c r="K28" s="23">
        <v>991</v>
      </c>
      <c r="L28" s="23"/>
      <c r="M28" s="306"/>
      <c r="N28" s="23">
        <v>-186</v>
      </c>
      <c r="O28" s="23"/>
      <c r="P28" s="306"/>
      <c r="Q28" s="23">
        <v>13892</v>
      </c>
      <c r="R28" s="23"/>
      <c r="S28" s="11"/>
      <c r="T28" s="347">
        <v>89.172799127827744</v>
      </c>
      <c r="U28" s="11"/>
      <c r="V28" s="11"/>
      <c r="W28" s="347">
        <v>94.657944944126456</v>
      </c>
      <c r="X28" s="11"/>
      <c r="AA28" s="718"/>
      <c r="AB28" s="718"/>
    </row>
    <row r="29" spans="1:30" s="206" customFormat="1" ht="14.25" customHeight="1">
      <c r="A29" s="709" t="s">
        <v>630</v>
      </c>
      <c r="B29" s="306"/>
      <c r="C29" s="306"/>
      <c r="D29" s="306"/>
      <c r="E29" s="23">
        <v>1999</v>
      </c>
      <c r="F29" s="23"/>
      <c r="G29" s="306"/>
      <c r="H29" s="23">
        <v>1942</v>
      </c>
      <c r="I29" s="23"/>
      <c r="J29" s="306"/>
      <c r="K29" s="23">
        <v>227</v>
      </c>
      <c r="L29" s="23"/>
      <c r="M29" s="306"/>
      <c r="N29" s="23">
        <v>0</v>
      </c>
      <c r="O29" s="23"/>
      <c r="P29" s="306"/>
      <c r="Q29" s="23">
        <v>2169</v>
      </c>
      <c r="R29" s="23"/>
      <c r="S29" s="11"/>
      <c r="T29" s="347">
        <v>97.148574287143575</v>
      </c>
      <c r="U29" s="11"/>
      <c r="V29" s="11"/>
      <c r="W29" s="347">
        <v>108.50425212606302</v>
      </c>
      <c r="X29" s="11"/>
      <c r="AA29" s="718"/>
      <c r="AB29" s="718"/>
    </row>
    <row r="30" spans="1:30" s="206" customFormat="1" ht="14.25" customHeight="1">
      <c r="A30" s="709" t="s">
        <v>680</v>
      </c>
      <c r="B30" s="306"/>
      <c r="C30" s="306"/>
      <c r="D30" s="306"/>
      <c r="E30" s="23">
        <v>4477</v>
      </c>
      <c r="F30" s="23"/>
      <c r="G30" s="306"/>
      <c r="H30" s="23">
        <v>3887</v>
      </c>
      <c r="I30" s="23"/>
      <c r="J30" s="306"/>
      <c r="K30" s="23">
        <v>118</v>
      </c>
      <c r="L30" s="23"/>
      <c r="M30" s="306"/>
      <c r="N30" s="23">
        <v>-330</v>
      </c>
      <c r="O30" s="23"/>
      <c r="P30" s="306"/>
      <c r="Q30" s="23">
        <v>3675</v>
      </c>
      <c r="R30" s="23"/>
      <c r="S30" s="11"/>
      <c r="T30" s="347">
        <v>86.821532276077733</v>
      </c>
      <c r="U30" s="11"/>
      <c r="V30" s="11"/>
      <c r="W30" s="347">
        <v>82.086218449854812</v>
      </c>
      <c r="X30" s="11"/>
      <c r="AA30" s="718"/>
      <c r="AB30" s="718"/>
    </row>
    <row r="31" spans="1:30" s="206" customFormat="1" ht="14.25" customHeight="1">
      <c r="A31" s="204" t="s">
        <v>681</v>
      </c>
      <c r="E31" s="23">
        <v>1905</v>
      </c>
      <c r="F31" s="23"/>
      <c r="G31" s="11"/>
      <c r="H31" s="23">
        <v>1831</v>
      </c>
      <c r="I31" s="23"/>
      <c r="J31" s="11"/>
      <c r="K31" s="23">
        <v>56</v>
      </c>
      <c r="L31" s="23"/>
      <c r="M31" s="11"/>
      <c r="N31" s="23">
        <v>-171</v>
      </c>
      <c r="O31" s="23"/>
      <c r="P31" s="11"/>
      <c r="Q31" s="23">
        <v>1716</v>
      </c>
      <c r="R31" s="23"/>
      <c r="S31" s="11"/>
      <c r="T31" s="347">
        <v>96.115485564304464</v>
      </c>
      <c r="U31" s="11"/>
      <c r="V31" s="11"/>
      <c r="W31" s="347">
        <v>90.078740157480325</v>
      </c>
      <c r="X31" s="11"/>
      <c r="AA31" s="718"/>
      <c r="AB31" s="718"/>
    </row>
    <row r="32" spans="1:30" s="206" customFormat="1" ht="11.4">
      <c r="A32" s="204" t="s">
        <v>144</v>
      </c>
      <c r="D32" s="372"/>
      <c r="E32" s="23">
        <v>4256</v>
      </c>
      <c r="F32" s="23"/>
      <c r="G32" s="374"/>
      <c r="H32" s="23">
        <v>4054</v>
      </c>
      <c r="I32" s="23"/>
      <c r="J32" s="374"/>
      <c r="K32" s="23">
        <v>110</v>
      </c>
      <c r="L32" s="23"/>
      <c r="M32" s="374"/>
      <c r="N32" s="23">
        <v>-215</v>
      </c>
      <c r="O32" s="23"/>
      <c r="P32" s="374"/>
      <c r="Q32" s="23">
        <v>3949</v>
      </c>
      <c r="R32" s="23"/>
      <c r="S32" s="11"/>
      <c r="T32" s="347">
        <v>95.253759398496243</v>
      </c>
      <c r="U32" s="11"/>
      <c r="V32" s="11"/>
      <c r="W32" s="347">
        <v>92.786654135338338</v>
      </c>
      <c r="X32" s="11"/>
      <c r="AA32" s="718"/>
      <c r="AB32" s="718"/>
    </row>
    <row r="33" spans="1:28" s="206" customFormat="1" ht="11.4">
      <c r="A33" s="204" t="s">
        <v>634</v>
      </c>
      <c r="E33" s="23">
        <v>23</v>
      </c>
      <c r="F33" s="23"/>
      <c r="G33" s="11"/>
      <c r="H33" s="23">
        <v>23</v>
      </c>
      <c r="I33" s="23"/>
      <c r="J33" s="11"/>
      <c r="K33" s="23">
        <v>2</v>
      </c>
      <c r="L33" s="23"/>
      <c r="M33" s="11"/>
      <c r="N33" s="23">
        <v>0</v>
      </c>
      <c r="O33" s="23"/>
      <c r="P33" s="11"/>
      <c r="Q33" s="23">
        <v>25</v>
      </c>
      <c r="R33" s="23"/>
      <c r="S33" s="11"/>
      <c r="T33" s="347">
        <v>100</v>
      </c>
      <c r="U33" s="11"/>
      <c r="V33" s="11"/>
      <c r="W33" s="347">
        <v>108.69565217391303</v>
      </c>
      <c r="X33" s="11"/>
      <c r="AA33" s="718"/>
      <c r="AB33" s="718"/>
    </row>
    <row r="34" spans="1:28" s="206" customFormat="1" ht="12" thickBot="1">
      <c r="A34" s="204" t="s">
        <v>145</v>
      </c>
      <c r="D34" s="256" t="s">
        <v>108</v>
      </c>
      <c r="E34" s="543">
        <v>76690</v>
      </c>
      <c r="F34" s="23"/>
      <c r="G34" s="256" t="s">
        <v>108</v>
      </c>
      <c r="H34" s="543">
        <v>73925</v>
      </c>
      <c r="I34" s="23"/>
      <c r="J34" s="256" t="s">
        <v>108</v>
      </c>
      <c r="K34" s="543">
        <v>5129</v>
      </c>
      <c r="L34" s="23"/>
      <c r="M34" s="256" t="s">
        <v>108</v>
      </c>
      <c r="N34" s="543">
        <v>-1128</v>
      </c>
      <c r="O34" s="23"/>
      <c r="P34" s="256" t="s">
        <v>108</v>
      </c>
      <c r="Q34" s="543">
        <v>77926</v>
      </c>
      <c r="R34" s="23"/>
      <c r="S34" s="11"/>
      <c r="T34" s="347">
        <v>96.394575563958796</v>
      </c>
      <c r="U34" s="11"/>
      <c r="V34" s="11"/>
      <c r="W34" s="347">
        <v>101.61168340070412</v>
      </c>
      <c r="X34" s="11"/>
      <c r="AA34" s="718"/>
      <c r="AB34" s="718"/>
    </row>
    <row r="35" spans="1:28" s="206" customFormat="1" ht="12" thickTop="1">
      <c r="A35" s="204"/>
      <c r="E35" s="23"/>
      <c r="F35" s="23"/>
      <c r="G35" s="23"/>
      <c r="H35" s="23"/>
      <c r="I35" s="23"/>
      <c r="J35" s="23"/>
      <c r="K35" s="23"/>
      <c r="L35" s="23"/>
      <c r="M35" s="23"/>
      <c r="N35" s="23"/>
      <c r="O35" s="23"/>
      <c r="P35" s="23"/>
      <c r="Q35" s="23"/>
      <c r="R35" s="23"/>
      <c r="S35" s="11"/>
      <c r="T35" s="11"/>
      <c r="U35" s="11"/>
      <c r="V35" s="11"/>
      <c r="W35" s="11"/>
    </row>
    <row r="36" spans="1:28" s="206" customFormat="1" ht="27.75" customHeight="1">
      <c r="A36" s="715" t="s">
        <v>770</v>
      </c>
      <c r="B36" s="973" t="s">
        <v>137</v>
      </c>
      <c r="C36" s="973"/>
      <c r="D36" s="973"/>
      <c r="E36" s="973"/>
      <c r="F36" s="973"/>
      <c r="G36" s="973"/>
      <c r="H36" s="973"/>
      <c r="I36" s="973"/>
      <c r="J36" s="973"/>
      <c r="K36" s="973"/>
      <c r="L36" s="973"/>
      <c r="M36" s="973"/>
      <c r="N36" s="973"/>
      <c r="O36" s="973"/>
      <c r="P36" s="973"/>
      <c r="Q36" s="973"/>
      <c r="R36" s="973"/>
      <c r="S36" s="973"/>
      <c r="T36" s="973"/>
      <c r="U36" s="973"/>
      <c r="V36" s="973"/>
      <c r="W36" s="973"/>
    </row>
    <row r="37" spans="1:28" s="206" customFormat="1" ht="40.5" customHeight="1">
      <c r="A37" s="715" t="s">
        <v>772</v>
      </c>
      <c r="B37" s="973" t="s">
        <v>136</v>
      </c>
      <c r="C37" s="973"/>
      <c r="D37" s="973"/>
      <c r="E37" s="973"/>
      <c r="F37" s="973"/>
      <c r="G37" s="973"/>
      <c r="H37" s="973"/>
      <c r="I37" s="973"/>
      <c r="J37" s="973"/>
      <c r="K37" s="973"/>
      <c r="L37" s="973"/>
      <c r="M37" s="973"/>
      <c r="N37" s="973"/>
      <c r="O37" s="973"/>
      <c r="P37" s="973"/>
      <c r="Q37" s="973"/>
      <c r="R37" s="973"/>
      <c r="S37" s="973"/>
      <c r="T37" s="973"/>
      <c r="U37" s="973"/>
      <c r="V37" s="973"/>
      <c r="W37" s="973"/>
    </row>
    <row r="38" spans="1:28" s="206" customFormat="1" ht="11.4">
      <c r="A38" s="204"/>
      <c r="E38" s="371"/>
      <c r="F38" s="371"/>
      <c r="G38" s="371"/>
      <c r="H38" s="371"/>
      <c r="I38" s="371"/>
      <c r="J38" s="371"/>
      <c r="K38" s="371"/>
      <c r="L38" s="371"/>
      <c r="M38" s="371"/>
      <c r="N38" s="371"/>
      <c r="O38" s="371"/>
      <c r="P38" s="371"/>
      <c r="Q38" s="371"/>
      <c r="R38" s="371"/>
    </row>
    <row r="39" spans="1:28" s="206" customFormat="1" ht="11.4">
      <c r="A39" s="204"/>
    </row>
    <row r="40" spans="1:28" s="206" customFormat="1" ht="11.4">
      <c r="A40" s="204"/>
    </row>
    <row r="41" spans="1:28" s="206" customFormat="1" ht="11.4">
      <c r="A41" s="204"/>
    </row>
    <row r="42" spans="1:28" s="206" customFormat="1" ht="11.4">
      <c r="A42" s="204"/>
    </row>
    <row r="43" spans="1:28" s="206" customFormat="1" ht="11.4">
      <c r="A43" s="204"/>
    </row>
    <row r="44" spans="1:28" s="206" customFormat="1" ht="11.4">
      <c r="A44" s="204"/>
    </row>
    <row r="45" spans="1:28" s="206" customFormat="1" ht="11.4">
      <c r="A45" s="204"/>
    </row>
    <row r="46" spans="1:28" s="206" customFormat="1" ht="11.4">
      <c r="A46" s="204"/>
    </row>
    <row r="47" spans="1:28" s="206" customFormat="1" ht="11.4">
      <c r="A47" s="204"/>
    </row>
    <row r="48" spans="1:28" s="206" customFormat="1" ht="11.4">
      <c r="A48" s="204"/>
    </row>
    <row r="49" spans="1:1" s="206" customFormat="1" ht="11.4">
      <c r="A49" s="204"/>
    </row>
    <row r="50" spans="1:1" s="206" customFormat="1" ht="11.4">
      <c r="A50" s="204"/>
    </row>
    <row r="51" spans="1:1" s="206" customFormat="1" ht="11.4">
      <c r="A51" s="204"/>
    </row>
    <row r="52" spans="1:1" s="206" customFormat="1" ht="11.4">
      <c r="A52" s="204"/>
    </row>
    <row r="53" spans="1:1" s="206" customFormat="1" ht="11.4">
      <c r="A53" s="204"/>
    </row>
    <row r="54" spans="1:1" s="206" customFormat="1" ht="11.4">
      <c r="A54" s="204"/>
    </row>
    <row r="55" spans="1:1" s="206" customFormat="1" ht="11.4">
      <c r="A55" s="204"/>
    </row>
    <row r="56" spans="1:1" s="206" customFormat="1" ht="11.4">
      <c r="A56" s="204"/>
    </row>
    <row r="57" spans="1:1" s="206" customFormat="1" ht="11.4">
      <c r="A57" s="204"/>
    </row>
    <row r="58" spans="1:1" s="206" customFormat="1" ht="11.4">
      <c r="A58" s="204"/>
    </row>
    <row r="59" spans="1:1" s="206" customFormat="1" ht="11.4">
      <c r="A59" s="204"/>
    </row>
    <row r="60" spans="1:1" s="206" customFormat="1" ht="11.4">
      <c r="A60" s="204"/>
    </row>
    <row r="61" spans="1:1" s="206" customFormat="1" ht="11.4">
      <c r="A61" s="204"/>
    </row>
    <row r="62" spans="1:1" s="206" customFormat="1" ht="11.4">
      <c r="A62" s="204"/>
    </row>
    <row r="63" spans="1:1" s="206" customFormat="1" ht="11.4">
      <c r="A63" s="204"/>
    </row>
    <row r="64" spans="1:1" s="206" customFormat="1" ht="11.4">
      <c r="A64" s="204"/>
    </row>
    <row r="65" spans="2:4">
      <c r="B65" s="242"/>
      <c r="C65" s="242"/>
      <c r="D65" s="242"/>
    </row>
    <row r="66" spans="2:4">
      <c r="B66" s="242"/>
      <c r="C66" s="242"/>
      <c r="D66" s="242"/>
    </row>
    <row r="67" spans="2:4">
      <c r="B67" s="242"/>
      <c r="C67" s="242"/>
      <c r="D67" s="242"/>
    </row>
    <row r="68" spans="2:4">
      <c r="B68" s="242"/>
      <c r="C68" s="242"/>
      <c r="D68" s="242"/>
    </row>
    <row r="69" spans="2:4">
      <c r="B69" s="242"/>
      <c r="C69" s="242"/>
      <c r="D69" s="242"/>
    </row>
    <row r="70" spans="2:4">
      <c r="B70" s="242"/>
      <c r="C70" s="242"/>
      <c r="D70" s="242"/>
    </row>
    <row r="71" spans="2:4">
      <c r="B71" s="242"/>
      <c r="C71" s="242"/>
      <c r="D71" s="242"/>
    </row>
    <row r="72" spans="2:4">
      <c r="B72" s="242"/>
      <c r="C72" s="242"/>
      <c r="D72" s="242"/>
    </row>
    <row r="73" spans="2:4">
      <c r="B73" s="242"/>
      <c r="C73" s="242"/>
      <c r="D73" s="242"/>
    </row>
    <row r="74" spans="2:4">
      <c r="B74" s="242"/>
      <c r="C74" s="242"/>
      <c r="D74" s="242"/>
    </row>
    <row r="75" spans="2:4">
      <c r="B75" s="242"/>
      <c r="C75" s="242"/>
      <c r="D75" s="242"/>
    </row>
    <row r="76" spans="2:4">
      <c r="B76" s="242"/>
      <c r="C76" s="242"/>
      <c r="D76" s="242"/>
    </row>
    <row r="77" spans="2:4">
      <c r="B77" s="242"/>
      <c r="C77" s="242"/>
      <c r="D77" s="242"/>
    </row>
    <row r="78" spans="2:4">
      <c r="B78" s="242"/>
      <c r="C78" s="242"/>
      <c r="D78" s="242"/>
    </row>
    <row r="79" spans="2:4">
      <c r="B79" s="242"/>
      <c r="C79" s="242"/>
      <c r="D79" s="242"/>
    </row>
    <row r="80" spans="2:4">
      <c r="B80" s="242"/>
      <c r="C80" s="242"/>
      <c r="D80" s="242"/>
    </row>
    <row r="81" spans="2:4">
      <c r="B81" s="242"/>
      <c r="C81" s="242"/>
      <c r="D81" s="242"/>
    </row>
    <row r="82" spans="2:4">
      <c r="B82" s="242"/>
      <c r="C82" s="242"/>
      <c r="D82" s="242"/>
    </row>
    <row r="83" spans="2:4">
      <c r="B83" s="242"/>
      <c r="C83" s="242"/>
      <c r="D83" s="242"/>
    </row>
    <row r="84" spans="2:4">
      <c r="B84" s="242"/>
      <c r="C84" s="242"/>
      <c r="D84" s="242"/>
    </row>
    <row r="85" spans="2:4">
      <c r="B85" s="242"/>
      <c r="C85" s="242"/>
      <c r="D85" s="242"/>
    </row>
    <row r="86" spans="2:4">
      <c r="B86" s="242"/>
      <c r="C86" s="242"/>
      <c r="D86" s="242"/>
    </row>
    <row r="87" spans="2:4">
      <c r="B87" s="242"/>
      <c r="C87" s="242"/>
      <c r="D87" s="242"/>
    </row>
    <row r="88" spans="2:4">
      <c r="B88" s="242"/>
      <c r="C88" s="242"/>
      <c r="D88" s="242"/>
    </row>
    <row r="89" spans="2:4">
      <c r="B89" s="242"/>
      <c r="C89" s="242"/>
      <c r="D89" s="242"/>
    </row>
    <row r="90" spans="2:4">
      <c r="B90" s="242"/>
      <c r="C90" s="242"/>
      <c r="D90" s="242"/>
    </row>
    <row r="91" spans="2:4">
      <c r="B91" s="242"/>
      <c r="C91" s="242"/>
      <c r="D91" s="242"/>
    </row>
    <row r="92" spans="2:4">
      <c r="B92" s="242"/>
      <c r="C92" s="242"/>
      <c r="D92" s="242"/>
    </row>
    <row r="93" spans="2:4">
      <c r="B93" s="242"/>
      <c r="C93" s="242"/>
      <c r="D93" s="242"/>
    </row>
    <row r="94" spans="2:4">
      <c r="B94" s="242"/>
      <c r="C94" s="242"/>
      <c r="D94" s="242"/>
    </row>
    <row r="95" spans="2:4">
      <c r="B95" s="242"/>
      <c r="C95" s="242"/>
      <c r="D95" s="242"/>
    </row>
    <row r="96" spans="2:4">
      <c r="B96" s="242"/>
      <c r="C96" s="242"/>
      <c r="D96" s="242"/>
    </row>
    <row r="97" spans="2:4">
      <c r="B97" s="242"/>
      <c r="C97" s="242"/>
      <c r="D97" s="242"/>
    </row>
    <row r="98" spans="2:4">
      <c r="B98" s="242"/>
      <c r="C98" s="242"/>
      <c r="D98" s="242"/>
    </row>
    <row r="99" spans="2:4">
      <c r="B99" s="242"/>
      <c r="C99" s="242"/>
      <c r="D99" s="242"/>
    </row>
    <row r="100" spans="2:4">
      <c r="B100" s="242"/>
      <c r="C100" s="242"/>
      <c r="D100" s="242"/>
    </row>
    <row r="101" spans="2:4">
      <c r="B101" s="242"/>
      <c r="C101" s="242"/>
      <c r="D101" s="242"/>
    </row>
    <row r="102" spans="2:4">
      <c r="B102" s="242"/>
      <c r="C102" s="242"/>
      <c r="D102" s="242"/>
    </row>
    <row r="103" spans="2:4">
      <c r="B103" s="242"/>
      <c r="C103" s="242"/>
      <c r="D103" s="242"/>
    </row>
    <row r="104" spans="2:4">
      <c r="B104" s="242"/>
      <c r="C104" s="242"/>
      <c r="D104" s="242"/>
    </row>
    <row r="105" spans="2:4">
      <c r="B105" s="242"/>
      <c r="C105" s="242"/>
      <c r="D105" s="242"/>
    </row>
    <row r="106" spans="2:4">
      <c r="B106" s="242"/>
      <c r="C106" s="242"/>
      <c r="D106" s="242"/>
    </row>
    <row r="107" spans="2:4">
      <c r="B107" s="242"/>
      <c r="C107" s="242"/>
      <c r="D107" s="242"/>
    </row>
    <row r="108" spans="2:4">
      <c r="B108" s="242"/>
      <c r="C108" s="242"/>
      <c r="D108" s="242"/>
    </row>
    <row r="109" spans="2:4">
      <c r="B109" s="242"/>
      <c r="C109" s="242"/>
      <c r="D109" s="242"/>
    </row>
    <row r="110" spans="2:4">
      <c r="B110" s="242"/>
      <c r="C110" s="242"/>
      <c r="D110" s="242"/>
    </row>
    <row r="111" spans="2:4">
      <c r="B111" s="242"/>
      <c r="C111" s="242"/>
      <c r="D111" s="242"/>
    </row>
    <row r="112" spans="2:4">
      <c r="B112" s="242"/>
      <c r="C112" s="242"/>
      <c r="D112" s="242"/>
    </row>
    <row r="113" spans="2:4">
      <c r="B113" s="242"/>
      <c r="C113" s="242"/>
      <c r="D113" s="242"/>
    </row>
    <row r="114" spans="2:4">
      <c r="B114" s="242"/>
      <c r="C114" s="242"/>
      <c r="D114" s="242"/>
    </row>
    <row r="115" spans="2:4">
      <c r="B115" s="242"/>
      <c r="C115" s="242"/>
      <c r="D115" s="242"/>
    </row>
    <row r="116" spans="2:4">
      <c r="B116" s="242"/>
      <c r="C116" s="242"/>
      <c r="D116" s="242"/>
    </row>
    <row r="117" spans="2:4">
      <c r="B117" s="242"/>
      <c r="C117" s="242"/>
      <c r="D117" s="242"/>
    </row>
    <row r="118" spans="2:4">
      <c r="B118" s="242"/>
      <c r="C118" s="242"/>
      <c r="D118" s="242"/>
    </row>
    <row r="119" spans="2:4">
      <c r="B119" s="242"/>
      <c r="C119" s="242"/>
      <c r="D119" s="242"/>
    </row>
    <row r="120" spans="2:4">
      <c r="B120" s="242"/>
      <c r="C120" s="242"/>
      <c r="D120" s="242"/>
    </row>
    <row r="121" spans="2:4">
      <c r="B121" s="242"/>
      <c r="C121" s="242"/>
      <c r="D121" s="242"/>
    </row>
    <row r="122" spans="2:4">
      <c r="B122" s="242"/>
      <c r="C122" s="242"/>
      <c r="D122" s="242"/>
    </row>
    <row r="123" spans="2:4">
      <c r="B123" s="242"/>
      <c r="C123" s="242"/>
      <c r="D123" s="242"/>
    </row>
    <row r="124" spans="2:4">
      <c r="B124" s="242"/>
      <c r="C124" s="242"/>
      <c r="D124" s="242"/>
    </row>
    <row r="125" spans="2:4">
      <c r="B125" s="242"/>
      <c r="C125" s="242"/>
      <c r="D125" s="242"/>
    </row>
    <row r="126" spans="2:4">
      <c r="B126" s="242"/>
      <c r="C126" s="242"/>
      <c r="D126" s="242"/>
    </row>
    <row r="127" spans="2:4">
      <c r="B127" s="242"/>
      <c r="C127" s="242"/>
      <c r="D127" s="242"/>
    </row>
    <row r="128" spans="2:4">
      <c r="B128" s="242"/>
      <c r="C128" s="242"/>
      <c r="D128" s="242"/>
    </row>
    <row r="129" spans="2:4">
      <c r="B129" s="242"/>
      <c r="C129" s="242"/>
      <c r="D129" s="242"/>
    </row>
    <row r="130" spans="2:4">
      <c r="B130" s="242"/>
      <c r="C130" s="242"/>
      <c r="D130" s="242"/>
    </row>
    <row r="131" spans="2:4">
      <c r="B131" s="242"/>
      <c r="C131" s="242"/>
      <c r="D131" s="242"/>
    </row>
    <row r="132" spans="2:4">
      <c r="B132" s="242"/>
      <c r="C132" s="242"/>
      <c r="D132" s="242"/>
    </row>
    <row r="133" spans="2:4">
      <c r="B133" s="242"/>
      <c r="C133" s="242"/>
      <c r="D133" s="242"/>
    </row>
    <row r="134" spans="2:4">
      <c r="B134" s="242"/>
      <c r="C134" s="242"/>
      <c r="D134" s="242"/>
    </row>
    <row r="135" spans="2:4">
      <c r="B135" s="242"/>
      <c r="C135" s="242"/>
      <c r="D135" s="242"/>
    </row>
    <row r="136" spans="2:4">
      <c r="B136" s="242"/>
      <c r="C136" s="242"/>
      <c r="D136" s="242"/>
    </row>
    <row r="137" spans="2:4">
      <c r="B137" s="242"/>
      <c r="C137" s="242"/>
      <c r="D137" s="242"/>
    </row>
    <row r="138" spans="2:4">
      <c r="B138" s="242"/>
      <c r="C138" s="242"/>
      <c r="D138" s="242"/>
    </row>
    <row r="139" spans="2:4">
      <c r="B139" s="242"/>
      <c r="C139" s="242"/>
      <c r="D139" s="242"/>
    </row>
    <row r="140" spans="2:4">
      <c r="B140" s="242"/>
      <c r="C140" s="242"/>
      <c r="D140" s="242"/>
    </row>
    <row r="141" spans="2:4">
      <c r="B141" s="242"/>
      <c r="C141" s="242"/>
      <c r="D141" s="242"/>
    </row>
    <row r="142" spans="2:4">
      <c r="B142" s="242"/>
      <c r="C142" s="242"/>
      <c r="D142" s="242"/>
    </row>
    <row r="143" spans="2:4">
      <c r="B143" s="242"/>
      <c r="C143" s="242"/>
      <c r="D143" s="242"/>
    </row>
    <row r="144" spans="2:4">
      <c r="B144" s="242"/>
      <c r="C144" s="242"/>
      <c r="D144" s="242"/>
    </row>
    <row r="145" spans="2:4">
      <c r="B145" s="242"/>
      <c r="C145" s="242"/>
      <c r="D145" s="242"/>
    </row>
    <row r="146" spans="2:4">
      <c r="B146" s="242"/>
      <c r="C146" s="242"/>
      <c r="D146" s="242"/>
    </row>
    <row r="147" spans="2:4">
      <c r="B147" s="242"/>
      <c r="C147" s="242"/>
      <c r="D147" s="242"/>
    </row>
    <row r="148" spans="2:4">
      <c r="B148" s="242"/>
      <c r="C148" s="242"/>
      <c r="D148" s="242"/>
    </row>
    <row r="149" spans="2:4">
      <c r="B149" s="242"/>
      <c r="C149" s="242"/>
      <c r="D149" s="242"/>
    </row>
    <row r="150" spans="2:4">
      <c r="B150" s="242"/>
      <c r="C150" s="242"/>
      <c r="D150" s="242"/>
    </row>
    <row r="151" spans="2:4">
      <c r="B151" s="242"/>
      <c r="C151" s="242"/>
      <c r="D151" s="242"/>
    </row>
    <row r="152" spans="2:4">
      <c r="B152" s="242"/>
      <c r="C152" s="242"/>
      <c r="D152" s="242"/>
    </row>
    <row r="153" spans="2:4">
      <c r="B153" s="242"/>
      <c r="C153" s="242"/>
      <c r="D153" s="242"/>
    </row>
    <row r="154" spans="2:4">
      <c r="B154" s="242"/>
      <c r="C154" s="242"/>
      <c r="D154" s="242"/>
    </row>
    <row r="155" spans="2:4">
      <c r="B155" s="242"/>
      <c r="C155" s="242"/>
      <c r="D155" s="242"/>
    </row>
    <row r="156" spans="2:4">
      <c r="B156" s="242"/>
      <c r="C156" s="242"/>
      <c r="D156" s="242"/>
    </row>
    <row r="157" spans="2:4">
      <c r="B157" s="242"/>
      <c r="C157" s="242"/>
      <c r="D157" s="242"/>
    </row>
    <row r="158" spans="2:4">
      <c r="B158" s="242"/>
      <c r="C158" s="242"/>
      <c r="D158" s="242"/>
    </row>
    <row r="159" spans="2:4">
      <c r="B159" s="242"/>
      <c r="C159" s="242"/>
      <c r="D159" s="242"/>
    </row>
    <row r="160" spans="2:4">
      <c r="B160" s="242"/>
      <c r="C160" s="242"/>
      <c r="D160" s="242"/>
    </row>
    <row r="161" spans="2:4">
      <c r="B161" s="242"/>
      <c r="C161" s="242"/>
      <c r="D161" s="242"/>
    </row>
    <row r="162" spans="2:4">
      <c r="B162" s="242"/>
      <c r="C162" s="242"/>
      <c r="D162" s="242"/>
    </row>
    <row r="163" spans="2:4">
      <c r="B163" s="242"/>
      <c r="C163" s="242"/>
      <c r="D163" s="242"/>
    </row>
    <row r="164" spans="2:4">
      <c r="B164" s="242"/>
      <c r="C164" s="242"/>
      <c r="D164" s="242"/>
    </row>
    <row r="165" spans="2:4">
      <c r="B165" s="242"/>
      <c r="C165" s="242"/>
      <c r="D165" s="242"/>
    </row>
    <row r="166" spans="2:4">
      <c r="B166" s="242"/>
      <c r="C166" s="242"/>
      <c r="D166" s="242"/>
    </row>
    <row r="167" spans="2:4">
      <c r="B167" s="242"/>
      <c r="C167" s="242"/>
      <c r="D167" s="242"/>
    </row>
    <row r="168" spans="2:4">
      <c r="B168" s="242"/>
      <c r="C168" s="242"/>
      <c r="D168" s="242"/>
    </row>
    <row r="169" spans="2:4">
      <c r="B169" s="242"/>
      <c r="C169" s="242"/>
      <c r="D169" s="242"/>
    </row>
    <row r="170" spans="2:4">
      <c r="B170" s="242"/>
      <c r="C170" s="242"/>
      <c r="D170" s="242"/>
    </row>
    <row r="171" spans="2:4">
      <c r="B171" s="242"/>
      <c r="C171" s="242"/>
      <c r="D171" s="242"/>
    </row>
    <row r="172" spans="2:4">
      <c r="B172" s="242"/>
      <c r="C172" s="242"/>
      <c r="D172" s="242"/>
    </row>
    <row r="173" spans="2:4">
      <c r="B173" s="242"/>
      <c r="C173" s="242"/>
      <c r="D173" s="242"/>
    </row>
    <row r="174" spans="2:4">
      <c r="B174" s="242"/>
      <c r="C174" s="242"/>
      <c r="D174" s="242"/>
    </row>
    <row r="175" spans="2:4">
      <c r="B175" s="242"/>
      <c r="C175" s="242"/>
      <c r="D175" s="242"/>
    </row>
    <row r="176" spans="2:4">
      <c r="B176" s="242"/>
      <c r="C176" s="242"/>
      <c r="D176" s="242"/>
    </row>
    <row r="177" spans="2:4">
      <c r="B177" s="242"/>
      <c r="C177" s="242"/>
      <c r="D177" s="242"/>
    </row>
    <row r="178" spans="2:4">
      <c r="B178" s="242"/>
      <c r="C178" s="242"/>
      <c r="D178" s="242"/>
    </row>
    <row r="179" spans="2:4">
      <c r="B179" s="242"/>
      <c r="C179" s="242"/>
      <c r="D179" s="242"/>
    </row>
    <row r="180" spans="2:4">
      <c r="B180" s="242"/>
      <c r="C180" s="242"/>
      <c r="D180" s="242"/>
    </row>
    <row r="181" spans="2:4">
      <c r="B181" s="242"/>
      <c r="C181" s="242"/>
      <c r="D181" s="242"/>
    </row>
    <row r="182" spans="2:4">
      <c r="B182" s="242"/>
      <c r="C182" s="242"/>
      <c r="D182" s="242"/>
    </row>
    <row r="183" spans="2:4">
      <c r="B183" s="242"/>
      <c r="C183" s="242"/>
      <c r="D183" s="242"/>
    </row>
    <row r="184" spans="2:4">
      <c r="B184" s="242"/>
      <c r="C184" s="242"/>
      <c r="D184" s="242"/>
    </row>
    <row r="185" spans="2:4">
      <c r="B185" s="242"/>
      <c r="C185" s="242"/>
      <c r="D185" s="242"/>
    </row>
    <row r="186" spans="2:4">
      <c r="B186" s="242"/>
      <c r="C186" s="242"/>
      <c r="D186" s="242"/>
    </row>
    <row r="187" spans="2:4">
      <c r="B187" s="242"/>
      <c r="C187" s="242"/>
      <c r="D187" s="242"/>
    </row>
    <row r="188" spans="2:4">
      <c r="B188" s="242"/>
      <c r="C188" s="242"/>
      <c r="D188" s="242"/>
    </row>
    <row r="189" spans="2:4">
      <c r="B189" s="242"/>
      <c r="C189" s="242"/>
      <c r="D189" s="242"/>
    </row>
    <row r="190" spans="2:4">
      <c r="B190" s="242"/>
      <c r="C190" s="242"/>
      <c r="D190" s="242"/>
    </row>
    <row r="191" spans="2:4">
      <c r="B191" s="242"/>
      <c r="C191" s="242"/>
      <c r="D191" s="242"/>
    </row>
    <row r="192" spans="2:4">
      <c r="B192" s="242"/>
      <c r="C192" s="242"/>
      <c r="D192" s="242"/>
    </row>
    <row r="193" spans="2:4">
      <c r="B193" s="242"/>
      <c r="C193" s="242"/>
      <c r="D193" s="242"/>
    </row>
    <row r="194" spans="2:4">
      <c r="B194" s="242"/>
      <c r="C194" s="242"/>
      <c r="D194" s="242"/>
    </row>
    <row r="195" spans="2:4">
      <c r="B195" s="242"/>
      <c r="C195" s="242"/>
      <c r="D195" s="242"/>
    </row>
    <row r="196" spans="2:4">
      <c r="B196" s="242"/>
      <c r="C196" s="242"/>
      <c r="D196" s="242"/>
    </row>
    <row r="197" spans="2:4">
      <c r="B197" s="242"/>
      <c r="C197" s="242"/>
      <c r="D197" s="242"/>
    </row>
    <row r="198" spans="2:4">
      <c r="B198" s="242"/>
      <c r="C198" s="242"/>
      <c r="D198" s="242"/>
    </row>
    <row r="199" spans="2:4">
      <c r="B199" s="242"/>
      <c r="C199" s="242"/>
      <c r="D199" s="242"/>
    </row>
    <row r="200" spans="2:4">
      <c r="B200" s="242"/>
      <c r="C200" s="242"/>
      <c r="D200" s="242"/>
    </row>
    <row r="201" spans="2:4">
      <c r="B201" s="242"/>
      <c r="C201" s="242"/>
      <c r="D201" s="242"/>
    </row>
    <row r="202" spans="2:4">
      <c r="B202" s="242"/>
      <c r="C202" s="242"/>
      <c r="D202" s="242"/>
    </row>
    <row r="203" spans="2:4">
      <c r="B203" s="242"/>
      <c r="C203" s="242"/>
      <c r="D203" s="242"/>
    </row>
    <row r="204" spans="2:4">
      <c r="B204" s="242"/>
      <c r="C204" s="242"/>
      <c r="D204" s="242"/>
    </row>
    <row r="205" spans="2:4">
      <c r="B205" s="242"/>
      <c r="C205" s="242"/>
      <c r="D205" s="242"/>
    </row>
    <row r="206" spans="2:4">
      <c r="B206" s="242"/>
      <c r="C206" s="242"/>
      <c r="D206" s="242"/>
    </row>
    <row r="207" spans="2:4">
      <c r="B207" s="242"/>
      <c r="C207" s="242"/>
      <c r="D207" s="242"/>
    </row>
    <row r="208" spans="2:4">
      <c r="B208" s="242"/>
      <c r="C208" s="242"/>
      <c r="D208" s="242"/>
    </row>
    <row r="209" spans="2:4">
      <c r="B209" s="242"/>
      <c r="C209" s="242"/>
      <c r="D209" s="242"/>
    </row>
    <row r="210" spans="2:4">
      <c r="B210" s="242"/>
      <c r="C210" s="242"/>
      <c r="D210" s="242"/>
    </row>
    <row r="211" spans="2:4">
      <c r="B211" s="242"/>
      <c r="C211" s="242"/>
      <c r="D211" s="242"/>
    </row>
    <row r="212" spans="2:4">
      <c r="B212" s="242"/>
      <c r="C212" s="242"/>
      <c r="D212" s="242"/>
    </row>
    <row r="213" spans="2:4">
      <c r="B213" s="242"/>
      <c r="C213" s="242"/>
      <c r="D213" s="242"/>
    </row>
    <row r="214" spans="2:4">
      <c r="B214" s="242"/>
      <c r="C214" s="242"/>
      <c r="D214" s="242"/>
    </row>
    <row r="215" spans="2:4">
      <c r="B215" s="242"/>
      <c r="C215" s="242"/>
      <c r="D215" s="242"/>
    </row>
    <row r="216" spans="2:4">
      <c r="B216" s="242"/>
      <c r="C216" s="242"/>
      <c r="D216" s="242"/>
    </row>
    <row r="217" spans="2:4">
      <c r="B217" s="242"/>
      <c r="C217" s="242"/>
      <c r="D217" s="242"/>
    </row>
    <row r="218" spans="2:4">
      <c r="B218" s="242"/>
      <c r="C218" s="242"/>
      <c r="D218" s="242"/>
    </row>
    <row r="219" spans="2:4">
      <c r="B219" s="242"/>
      <c r="C219" s="242"/>
      <c r="D219" s="242"/>
    </row>
    <row r="220" spans="2:4">
      <c r="B220" s="242"/>
      <c r="C220" s="242"/>
      <c r="D220" s="242"/>
    </row>
    <row r="221" spans="2:4">
      <c r="B221" s="242"/>
      <c r="C221" s="242"/>
      <c r="D221" s="242"/>
    </row>
    <row r="222" spans="2:4">
      <c r="B222" s="242"/>
      <c r="C222" s="242"/>
      <c r="D222" s="242"/>
    </row>
    <row r="223" spans="2:4">
      <c r="B223" s="242"/>
      <c r="C223" s="242"/>
      <c r="D223" s="242"/>
    </row>
    <row r="224" spans="2:4">
      <c r="B224" s="242"/>
      <c r="C224" s="242"/>
      <c r="D224" s="242"/>
    </row>
    <row r="225" spans="2:4">
      <c r="B225" s="242"/>
      <c r="C225" s="242"/>
      <c r="D225" s="242"/>
    </row>
    <row r="226" spans="2:4">
      <c r="B226" s="242"/>
      <c r="C226" s="242"/>
      <c r="D226" s="242"/>
    </row>
    <row r="227" spans="2:4">
      <c r="B227" s="242"/>
      <c r="C227" s="242"/>
      <c r="D227" s="242"/>
    </row>
    <row r="228" spans="2:4">
      <c r="B228" s="242"/>
      <c r="C228" s="242"/>
      <c r="D228" s="242"/>
    </row>
    <row r="229" spans="2:4">
      <c r="B229" s="242"/>
      <c r="C229" s="242"/>
      <c r="D229" s="242"/>
    </row>
    <row r="230" spans="2:4">
      <c r="B230" s="242"/>
      <c r="C230" s="242"/>
      <c r="D230" s="242"/>
    </row>
    <row r="231" spans="2:4">
      <c r="B231" s="242"/>
      <c r="C231" s="242"/>
      <c r="D231" s="242"/>
    </row>
    <row r="232" spans="2:4">
      <c r="B232" s="242"/>
      <c r="C232" s="242"/>
      <c r="D232" s="242"/>
    </row>
    <row r="233" spans="2:4">
      <c r="B233" s="242"/>
      <c r="C233" s="242"/>
      <c r="D233" s="242"/>
    </row>
    <row r="234" spans="2:4">
      <c r="B234" s="242"/>
      <c r="C234" s="242"/>
      <c r="D234" s="242"/>
    </row>
    <row r="235" spans="2:4">
      <c r="B235" s="242"/>
      <c r="C235" s="242"/>
      <c r="D235" s="242"/>
    </row>
    <row r="236" spans="2:4">
      <c r="B236" s="242"/>
      <c r="C236" s="242"/>
      <c r="D236" s="242"/>
    </row>
    <row r="237" spans="2:4">
      <c r="B237" s="242"/>
      <c r="C237" s="242"/>
      <c r="D237" s="242"/>
    </row>
    <row r="238" spans="2:4">
      <c r="B238" s="242"/>
      <c r="C238" s="242"/>
      <c r="D238" s="242"/>
    </row>
    <row r="239" spans="2:4">
      <c r="B239" s="242"/>
      <c r="C239" s="242"/>
      <c r="D239" s="242"/>
    </row>
    <row r="240" spans="2:4">
      <c r="B240" s="242"/>
      <c r="C240" s="242"/>
      <c r="D240" s="242"/>
    </row>
    <row r="241" spans="2:4">
      <c r="B241" s="242"/>
      <c r="C241" s="242"/>
      <c r="D241" s="242"/>
    </row>
    <row r="242" spans="2:4">
      <c r="B242" s="242"/>
      <c r="C242" s="242"/>
      <c r="D242" s="242"/>
    </row>
    <row r="243" spans="2:4">
      <c r="B243" s="242"/>
      <c r="C243" s="242"/>
      <c r="D243" s="242"/>
    </row>
    <row r="244" spans="2:4">
      <c r="B244" s="242"/>
      <c r="C244" s="242"/>
      <c r="D244" s="242"/>
    </row>
    <row r="245" spans="2:4">
      <c r="B245" s="242"/>
      <c r="C245" s="242"/>
      <c r="D245" s="242"/>
    </row>
    <row r="246" spans="2:4">
      <c r="B246" s="242"/>
      <c r="C246" s="242"/>
      <c r="D246" s="242"/>
    </row>
    <row r="247" spans="2:4">
      <c r="B247" s="242"/>
      <c r="C247" s="242"/>
      <c r="D247" s="242"/>
    </row>
    <row r="248" spans="2:4">
      <c r="B248" s="242"/>
      <c r="C248" s="242"/>
      <c r="D248" s="242"/>
    </row>
    <row r="249" spans="2:4">
      <c r="B249" s="242"/>
      <c r="C249" s="242"/>
      <c r="D249" s="242"/>
    </row>
    <row r="250" spans="2:4">
      <c r="B250" s="242"/>
      <c r="C250" s="242"/>
      <c r="D250" s="242"/>
    </row>
    <row r="251" spans="2:4">
      <c r="B251" s="242"/>
      <c r="C251" s="242"/>
      <c r="D251" s="242"/>
    </row>
    <row r="252" spans="2:4">
      <c r="B252" s="242"/>
      <c r="C252" s="242"/>
      <c r="D252" s="242"/>
    </row>
    <row r="253" spans="2:4">
      <c r="B253" s="242"/>
      <c r="C253" s="242"/>
      <c r="D253" s="242"/>
    </row>
    <row r="254" spans="2:4">
      <c r="B254" s="242"/>
      <c r="C254" s="242"/>
      <c r="D254" s="242"/>
    </row>
    <row r="255" spans="2:4">
      <c r="B255" s="242"/>
      <c r="C255" s="242"/>
      <c r="D255" s="242"/>
    </row>
    <row r="256" spans="2:4">
      <c r="B256" s="242"/>
      <c r="C256" s="242"/>
      <c r="D256" s="242"/>
    </row>
    <row r="257" spans="2:4">
      <c r="B257" s="242"/>
      <c r="C257" s="242"/>
      <c r="D257" s="242"/>
    </row>
    <row r="258" spans="2:4">
      <c r="B258" s="242"/>
      <c r="C258" s="242"/>
      <c r="D258" s="242"/>
    </row>
    <row r="259" spans="2:4">
      <c r="B259" s="242"/>
      <c r="C259" s="242"/>
      <c r="D259" s="242"/>
    </row>
    <row r="260" spans="2:4">
      <c r="B260" s="242"/>
      <c r="C260" s="242"/>
      <c r="D260" s="242"/>
    </row>
    <row r="261" spans="2:4">
      <c r="B261" s="242"/>
      <c r="C261" s="242"/>
      <c r="D261" s="242"/>
    </row>
    <row r="262" spans="2:4">
      <c r="B262" s="242"/>
      <c r="C262" s="242"/>
      <c r="D262" s="242"/>
    </row>
    <row r="263" spans="2:4">
      <c r="B263" s="242"/>
      <c r="C263" s="242"/>
      <c r="D263" s="242"/>
    </row>
    <row r="264" spans="2:4">
      <c r="B264" s="242"/>
      <c r="C264" s="242"/>
      <c r="D264" s="242"/>
    </row>
    <row r="265" spans="2:4">
      <c r="B265" s="242"/>
      <c r="C265" s="242"/>
      <c r="D265" s="242"/>
    </row>
    <row r="266" spans="2:4">
      <c r="B266" s="242"/>
      <c r="C266" s="242"/>
      <c r="D266" s="242"/>
    </row>
    <row r="267" spans="2:4">
      <c r="B267" s="242"/>
      <c r="C267" s="242"/>
      <c r="D267" s="242"/>
    </row>
    <row r="268" spans="2:4">
      <c r="B268" s="242"/>
      <c r="C268" s="242"/>
      <c r="D268" s="242"/>
    </row>
    <row r="269" spans="2:4">
      <c r="B269" s="242"/>
      <c r="C269" s="242"/>
      <c r="D269" s="242"/>
    </row>
    <row r="270" spans="2:4">
      <c r="B270" s="242"/>
      <c r="C270" s="242"/>
      <c r="D270" s="242"/>
    </row>
    <row r="271" spans="2:4">
      <c r="B271" s="242"/>
      <c r="C271" s="242"/>
      <c r="D271" s="242"/>
    </row>
    <row r="272" spans="2:4">
      <c r="B272" s="242"/>
      <c r="C272" s="242"/>
      <c r="D272" s="242"/>
    </row>
    <row r="273" spans="2:4">
      <c r="B273" s="242"/>
      <c r="C273" s="242"/>
      <c r="D273" s="242"/>
    </row>
    <row r="274" spans="2:4">
      <c r="B274" s="242"/>
      <c r="C274" s="242"/>
      <c r="D274" s="242"/>
    </row>
    <row r="275" spans="2:4">
      <c r="B275" s="242"/>
      <c r="C275" s="242"/>
      <c r="D275" s="242"/>
    </row>
    <row r="276" spans="2:4">
      <c r="B276" s="242"/>
      <c r="C276" s="242"/>
      <c r="D276" s="242"/>
    </row>
    <row r="277" spans="2:4">
      <c r="B277" s="242"/>
      <c r="C277" s="242"/>
      <c r="D277" s="242"/>
    </row>
    <row r="278" spans="2:4">
      <c r="B278" s="242"/>
      <c r="C278" s="242"/>
      <c r="D278" s="242"/>
    </row>
    <row r="279" spans="2:4">
      <c r="B279" s="242"/>
      <c r="C279" s="242"/>
      <c r="D279" s="242"/>
    </row>
    <row r="280" spans="2:4">
      <c r="B280" s="242"/>
      <c r="C280" s="242"/>
      <c r="D280" s="242"/>
    </row>
    <row r="281" spans="2:4">
      <c r="B281" s="242"/>
      <c r="C281" s="242"/>
      <c r="D281" s="242"/>
    </row>
    <row r="282" spans="2:4">
      <c r="B282" s="242"/>
      <c r="C282" s="242"/>
      <c r="D282" s="242"/>
    </row>
    <row r="283" spans="2:4">
      <c r="B283" s="242"/>
      <c r="C283" s="242"/>
      <c r="D283" s="242"/>
    </row>
    <row r="284" spans="2:4">
      <c r="B284" s="242"/>
      <c r="C284" s="242"/>
      <c r="D284" s="242"/>
    </row>
    <row r="285" spans="2:4">
      <c r="B285" s="242"/>
      <c r="C285" s="242"/>
      <c r="D285" s="242"/>
    </row>
    <row r="286" spans="2:4">
      <c r="B286" s="242"/>
      <c r="C286" s="242"/>
      <c r="D286" s="242"/>
    </row>
    <row r="287" spans="2:4">
      <c r="B287" s="242"/>
      <c r="C287" s="242"/>
      <c r="D287" s="242"/>
    </row>
    <row r="288" spans="2:4">
      <c r="B288" s="242"/>
      <c r="C288" s="242"/>
      <c r="D288" s="242"/>
    </row>
    <row r="289" spans="2:4">
      <c r="B289" s="242"/>
      <c r="C289" s="242"/>
      <c r="D289" s="242"/>
    </row>
    <row r="290" spans="2:4">
      <c r="B290" s="242"/>
      <c r="C290" s="242"/>
      <c r="D290" s="242"/>
    </row>
    <row r="291" spans="2:4">
      <c r="B291" s="242"/>
      <c r="C291" s="242"/>
      <c r="D291" s="242"/>
    </row>
    <row r="292" spans="2:4">
      <c r="B292" s="242"/>
      <c r="C292" s="242"/>
      <c r="D292" s="242"/>
    </row>
    <row r="293" spans="2:4">
      <c r="B293" s="242"/>
      <c r="C293" s="242"/>
      <c r="D293" s="242"/>
    </row>
    <row r="294" spans="2:4">
      <c r="B294" s="242"/>
      <c r="C294" s="242"/>
      <c r="D294" s="242"/>
    </row>
    <row r="295" spans="2:4">
      <c r="B295" s="242"/>
      <c r="C295" s="242"/>
      <c r="D295" s="242"/>
    </row>
    <row r="296" spans="2:4">
      <c r="B296" s="242"/>
      <c r="C296" s="242"/>
      <c r="D296" s="242"/>
    </row>
    <row r="297" spans="2:4">
      <c r="B297" s="242"/>
      <c r="C297" s="242"/>
      <c r="D297" s="242"/>
    </row>
    <row r="298" spans="2:4">
      <c r="B298" s="242"/>
      <c r="C298" s="242"/>
      <c r="D298" s="242"/>
    </row>
    <row r="299" spans="2:4">
      <c r="B299" s="242"/>
      <c r="C299" s="242"/>
      <c r="D299" s="242"/>
    </row>
    <row r="300" spans="2:4">
      <c r="B300" s="242"/>
      <c r="C300" s="242"/>
      <c r="D300" s="242"/>
    </row>
    <row r="301" spans="2:4">
      <c r="B301" s="242"/>
      <c r="C301" s="242"/>
      <c r="D301" s="242"/>
    </row>
    <row r="302" spans="2:4">
      <c r="B302" s="242"/>
      <c r="C302" s="242"/>
      <c r="D302" s="242"/>
    </row>
    <row r="303" spans="2:4">
      <c r="B303" s="242"/>
      <c r="C303" s="242"/>
      <c r="D303" s="242"/>
    </row>
    <row r="304" spans="2:4">
      <c r="B304" s="242"/>
      <c r="C304" s="242"/>
      <c r="D304" s="242"/>
    </row>
    <row r="305" spans="2:4">
      <c r="B305" s="242"/>
      <c r="C305" s="242"/>
      <c r="D305" s="242"/>
    </row>
    <row r="306" spans="2:4">
      <c r="B306" s="242"/>
      <c r="C306" s="242"/>
      <c r="D306" s="242"/>
    </row>
    <row r="307" spans="2:4">
      <c r="B307" s="242"/>
      <c r="C307" s="242"/>
      <c r="D307" s="242"/>
    </row>
    <row r="308" spans="2:4">
      <c r="B308" s="242"/>
      <c r="C308" s="242"/>
      <c r="D308" s="242"/>
    </row>
    <row r="309" spans="2:4">
      <c r="B309" s="242"/>
      <c r="C309" s="242"/>
      <c r="D309" s="242"/>
    </row>
    <row r="310" spans="2:4">
      <c r="B310" s="242"/>
      <c r="C310" s="242"/>
      <c r="D310" s="242"/>
    </row>
    <row r="311" spans="2:4">
      <c r="B311" s="242"/>
      <c r="C311" s="242"/>
      <c r="D311" s="242"/>
    </row>
    <row r="312" spans="2:4">
      <c r="B312" s="242"/>
      <c r="C312" s="242"/>
      <c r="D312" s="242"/>
    </row>
    <row r="313" spans="2:4">
      <c r="B313" s="242"/>
      <c r="C313" s="242"/>
      <c r="D313" s="242"/>
    </row>
    <row r="314" spans="2:4">
      <c r="B314" s="242"/>
      <c r="C314" s="242"/>
      <c r="D314" s="242"/>
    </row>
    <row r="315" spans="2:4">
      <c r="B315" s="242"/>
      <c r="C315" s="242"/>
      <c r="D315" s="242"/>
    </row>
    <row r="316" spans="2:4">
      <c r="B316" s="242"/>
      <c r="C316" s="242"/>
      <c r="D316" s="242"/>
    </row>
    <row r="317" spans="2:4">
      <c r="B317" s="242"/>
      <c r="C317" s="242"/>
      <c r="D317" s="242"/>
    </row>
    <row r="318" spans="2:4">
      <c r="B318" s="242"/>
      <c r="C318" s="242"/>
      <c r="D318" s="242"/>
    </row>
    <row r="319" spans="2:4">
      <c r="B319" s="242"/>
      <c r="C319" s="242"/>
      <c r="D319" s="242"/>
    </row>
    <row r="320" spans="2:4">
      <c r="B320" s="242"/>
      <c r="C320" s="242"/>
      <c r="D320" s="242"/>
    </row>
    <row r="321" spans="2:4">
      <c r="B321" s="242"/>
      <c r="C321" s="242"/>
      <c r="D321" s="242"/>
    </row>
    <row r="322" spans="2:4">
      <c r="B322" s="242"/>
      <c r="C322" s="242"/>
      <c r="D322" s="242"/>
    </row>
    <row r="323" spans="2:4">
      <c r="B323" s="242"/>
      <c r="C323" s="242"/>
      <c r="D323" s="242"/>
    </row>
    <row r="324" spans="2:4">
      <c r="B324" s="242"/>
      <c r="C324" s="242"/>
      <c r="D324" s="242"/>
    </row>
    <row r="325" spans="2:4">
      <c r="B325" s="242"/>
      <c r="C325" s="242"/>
      <c r="D325" s="242"/>
    </row>
    <row r="326" spans="2:4">
      <c r="B326" s="242"/>
      <c r="C326" s="242"/>
      <c r="D326" s="242"/>
    </row>
    <row r="327" spans="2:4">
      <c r="B327" s="242"/>
      <c r="C327" s="242"/>
      <c r="D327" s="242"/>
    </row>
    <row r="328" spans="2:4">
      <c r="B328" s="242"/>
      <c r="C328" s="242"/>
      <c r="D328" s="242"/>
    </row>
    <row r="329" spans="2:4">
      <c r="B329" s="242"/>
      <c r="C329" s="242"/>
      <c r="D329" s="242"/>
    </row>
    <row r="330" spans="2:4">
      <c r="B330" s="242"/>
      <c r="C330" s="242"/>
      <c r="D330" s="242"/>
    </row>
    <row r="331" spans="2:4">
      <c r="B331" s="242"/>
      <c r="C331" s="242"/>
      <c r="D331" s="242"/>
    </row>
    <row r="332" spans="2:4">
      <c r="B332" s="242"/>
      <c r="C332" s="242"/>
      <c r="D332" s="242"/>
    </row>
    <row r="333" spans="2:4">
      <c r="B333" s="242"/>
      <c r="C333" s="242"/>
      <c r="D333" s="242"/>
    </row>
    <row r="334" spans="2:4">
      <c r="B334" s="242"/>
      <c r="C334" s="242"/>
      <c r="D334" s="242"/>
    </row>
    <row r="335" spans="2:4">
      <c r="B335" s="242"/>
      <c r="C335" s="242"/>
      <c r="D335" s="242"/>
    </row>
    <row r="336" spans="2:4">
      <c r="B336" s="242"/>
      <c r="C336" s="242"/>
      <c r="D336" s="242"/>
    </row>
    <row r="337" spans="2:4">
      <c r="B337" s="242"/>
      <c r="C337" s="242"/>
      <c r="D337" s="242"/>
    </row>
    <row r="338" spans="2:4">
      <c r="B338" s="242"/>
      <c r="C338" s="242"/>
      <c r="D338" s="242"/>
    </row>
    <row r="339" spans="2:4">
      <c r="B339" s="242"/>
      <c r="C339" s="242"/>
      <c r="D339" s="242"/>
    </row>
    <row r="340" spans="2:4">
      <c r="B340" s="242"/>
      <c r="C340" s="242"/>
      <c r="D340" s="242"/>
    </row>
    <row r="341" spans="2:4">
      <c r="B341" s="242"/>
      <c r="C341" s="242"/>
      <c r="D341" s="242"/>
    </row>
    <row r="342" spans="2:4">
      <c r="B342" s="242"/>
      <c r="C342" s="242"/>
      <c r="D342" s="242"/>
    </row>
    <row r="343" spans="2:4">
      <c r="B343" s="242"/>
      <c r="C343" s="242"/>
      <c r="D343" s="242"/>
    </row>
    <row r="344" spans="2:4">
      <c r="B344" s="242"/>
      <c r="C344" s="242"/>
      <c r="D344" s="242"/>
    </row>
    <row r="345" spans="2:4">
      <c r="B345" s="242"/>
      <c r="C345" s="242"/>
      <c r="D345" s="242"/>
    </row>
    <row r="346" spans="2:4">
      <c r="B346" s="242"/>
      <c r="C346" s="242"/>
      <c r="D346" s="242"/>
    </row>
    <row r="347" spans="2:4">
      <c r="B347" s="242"/>
      <c r="C347" s="242"/>
      <c r="D347" s="242"/>
    </row>
    <row r="348" spans="2:4">
      <c r="B348" s="242"/>
      <c r="C348" s="242"/>
      <c r="D348" s="242"/>
    </row>
    <row r="349" spans="2:4">
      <c r="B349" s="242"/>
      <c r="C349" s="242"/>
      <c r="D349" s="242"/>
    </row>
    <row r="350" spans="2:4">
      <c r="B350" s="242"/>
      <c r="C350" s="242"/>
      <c r="D350" s="242"/>
    </row>
    <row r="351" spans="2:4">
      <c r="B351" s="242"/>
      <c r="C351" s="242"/>
      <c r="D351" s="242"/>
    </row>
    <row r="352" spans="2:4">
      <c r="B352" s="242"/>
      <c r="C352" s="242"/>
      <c r="D352" s="242"/>
    </row>
    <row r="353" spans="2:4">
      <c r="B353" s="242"/>
      <c r="C353" s="242"/>
      <c r="D353" s="242"/>
    </row>
    <row r="354" spans="2:4">
      <c r="B354" s="242"/>
      <c r="C354" s="242"/>
      <c r="D354" s="242"/>
    </row>
    <row r="355" spans="2:4">
      <c r="B355" s="242"/>
      <c r="C355" s="242"/>
      <c r="D355" s="242"/>
    </row>
    <row r="356" spans="2:4">
      <c r="B356" s="242"/>
      <c r="C356" s="242"/>
      <c r="D356" s="242"/>
    </row>
    <row r="357" spans="2:4">
      <c r="B357" s="242"/>
      <c r="C357" s="242"/>
      <c r="D357" s="242"/>
    </row>
    <row r="358" spans="2:4">
      <c r="B358" s="242"/>
      <c r="C358" s="242"/>
      <c r="D358" s="242"/>
    </row>
    <row r="359" spans="2:4">
      <c r="B359" s="242"/>
      <c r="C359" s="242"/>
      <c r="D359" s="242"/>
    </row>
    <row r="360" spans="2:4">
      <c r="B360" s="242"/>
      <c r="C360" s="242"/>
      <c r="D360" s="242"/>
    </row>
    <row r="361" spans="2:4">
      <c r="B361" s="242"/>
      <c r="C361" s="242"/>
      <c r="D361" s="242"/>
    </row>
    <row r="362" spans="2:4">
      <c r="B362" s="242"/>
      <c r="C362" s="242"/>
      <c r="D362" s="242"/>
    </row>
    <row r="363" spans="2:4">
      <c r="B363" s="242"/>
      <c r="C363" s="242"/>
      <c r="D363" s="242"/>
    </row>
    <row r="364" spans="2:4">
      <c r="B364" s="242"/>
      <c r="C364" s="242"/>
      <c r="D364" s="242"/>
    </row>
    <row r="365" spans="2:4">
      <c r="B365" s="242"/>
      <c r="C365" s="242"/>
      <c r="D365" s="242"/>
    </row>
    <row r="366" spans="2:4">
      <c r="B366" s="242"/>
      <c r="C366" s="242"/>
      <c r="D366" s="242"/>
    </row>
    <row r="367" spans="2:4">
      <c r="B367" s="242"/>
      <c r="C367" s="242"/>
      <c r="D367" s="242"/>
    </row>
    <row r="368" spans="2:4">
      <c r="B368" s="242"/>
      <c r="C368" s="242"/>
      <c r="D368" s="242"/>
    </row>
    <row r="369" spans="2:4">
      <c r="B369" s="242"/>
      <c r="C369" s="242"/>
      <c r="D369" s="242"/>
    </row>
    <row r="370" spans="2:4">
      <c r="B370" s="242"/>
      <c r="C370" s="242"/>
      <c r="D370" s="242"/>
    </row>
    <row r="371" spans="2:4">
      <c r="B371" s="242"/>
      <c r="C371" s="242"/>
      <c r="D371" s="242"/>
    </row>
    <row r="372" spans="2:4">
      <c r="B372" s="242"/>
      <c r="C372" s="242"/>
      <c r="D372" s="242"/>
    </row>
    <row r="373" spans="2:4">
      <c r="B373" s="242"/>
      <c r="C373" s="242"/>
      <c r="D373" s="242"/>
    </row>
    <row r="374" spans="2:4">
      <c r="B374" s="242"/>
      <c r="C374" s="242"/>
      <c r="D374" s="242"/>
    </row>
    <row r="375" spans="2:4">
      <c r="B375" s="242"/>
      <c r="C375" s="242"/>
      <c r="D375" s="242"/>
    </row>
    <row r="376" spans="2:4">
      <c r="B376" s="242"/>
      <c r="C376" s="242"/>
      <c r="D376" s="242"/>
    </row>
    <row r="377" spans="2:4">
      <c r="B377" s="242"/>
      <c r="C377" s="242"/>
      <c r="D377" s="242"/>
    </row>
    <row r="378" spans="2:4">
      <c r="B378" s="242"/>
      <c r="C378" s="242"/>
      <c r="D378" s="242"/>
    </row>
    <row r="379" spans="2:4">
      <c r="B379" s="242"/>
      <c r="C379" s="242"/>
      <c r="D379" s="242"/>
    </row>
    <row r="380" spans="2:4">
      <c r="B380" s="242"/>
      <c r="C380" s="242"/>
      <c r="D380" s="242"/>
    </row>
    <row r="381" spans="2:4">
      <c r="B381" s="242"/>
      <c r="C381" s="242"/>
      <c r="D381" s="242"/>
    </row>
    <row r="382" spans="2:4">
      <c r="B382" s="242"/>
      <c r="C382" s="242"/>
      <c r="D382" s="242"/>
    </row>
    <row r="383" spans="2:4">
      <c r="B383" s="242"/>
      <c r="C383" s="242"/>
      <c r="D383" s="242"/>
    </row>
    <row r="384" spans="2:4">
      <c r="B384" s="242"/>
      <c r="C384" s="242"/>
      <c r="D384" s="242"/>
    </row>
    <row r="385" spans="2:4">
      <c r="B385" s="242"/>
      <c r="C385" s="242"/>
      <c r="D385" s="242"/>
    </row>
    <row r="386" spans="2:4">
      <c r="B386" s="242"/>
      <c r="C386" s="242"/>
      <c r="D386" s="242"/>
    </row>
    <row r="387" spans="2:4">
      <c r="B387" s="242"/>
      <c r="C387" s="242"/>
      <c r="D387" s="242"/>
    </row>
    <row r="388" spans="2:4">
      <c r="B388" s="242"/>
      <c r="C388" s="242"/>
      <c r="D388" s="242"/>
    </row>
    <row r="389" spans="2:4">
      <c r="B389" s="242"/>
      <c r="C389" s="242"/>
      <c r="D389" s="242"/>
    </row>
    <row r="390" spans="2:4">
      <c r="B390" s="242"/>
      <c r="C390" s="242"/>
      <c r="D390" s="242"/>
    </row>
    <row r="391" spans="2:4">
      <c r="B391" s="242"/>
      <c r="C391" s="242"/>
      <c r="D391" s="242"/>
    </row>
    <row r="392" spans="2:4">
      <c r="B392" s="242"/>
      <c r="C392" s="242"/>
      <c r="D392" s="242"/>
    </row>
    <row r="393" spans="2:4">
      <c r="B393" s="242"/>
      <c r="C393" s="242"/>
      <c r="D393" s="242"/>
    </row>
    <row r="394" spans="2:4">
      <c r="B394" s="242"/>
      <c r="C394" s="242"/>
      <c r="D394" s="242"/>
    </row>
    <row r="395" spans="2:4">
      <c r="B395" s="242"/>
      <c r="C395" s="242"/>
      <c r="D395" s="242"/>
    </row>
    <row r="396" spans="2:4">
      <c r="B396" s="242"/>
      <c r="C396" s="242"/>
      <c r="D396" s="242"/>
    </row>
    <row r="397" spans="2:4">
      <c r="B397" s="242"/>
      <c r="C397" s="242"/>
      <c r="D397" s="242"/>
    </row>
    <row r="398" spans="2:4">
      <c r="B398" s="242"/>
      <c r="C398" s="242"/>
      <c r="D398" s="242"/>
    </row>
    <row r="399" spans="2:4">
      <c r="B399" s="242"/>
      <c r="C399" s="242"/>
      <c r="D399" s="242"/>
    </row>
    <row r="400" spans="2:4">
      <c r="B400" s="242"/>
      <c r="C400" s="242"/>
      <c r="D400" s="242"/>
    </row>
    <row r="401" spans="2:4">
      <c r="B401" s="242"/>
      <c r="C401" s="242"/>
      <c r="D401" s="242"/>
    </row>
    <row r="402" spans="2:4">
      <c r="B402" s="242"/>
      <c r="C402" s="242"/>
      <c r="D402" s="242"/>
    </row>
    <row r="403" spans="2:4">
      <c r="B403" s="242"/>
      <c r="C403" s="242"/>
      <c r="D403" s="242"/>
    </row>
    <row r="404" spans="2:4">
      <c r="B404" s="242"/>
      <c r="C404" s="242"/>
      <c r="D404" s="242"/>
    </row>
    <row r="405" spans="2:4">
      <c r="B405" s="242"/>
      <c r="C405" s="242"/>
      <c r="D405" s="242"/>
    </row>
    <row r="406" spans="2:4">
      <c r="B406" s="242"/>
      <c r="C406" s="242"/>
      <c r="D406" s="242"/>
    </row>
    <row r="407" spans="2:4">
      <c r="B407" s="242"/>
      <c r="C407" s="242"/>
      <c r="D407" s="242"/>
    </row>
    <row r="408" spans="2:4">
      <c r="B408" s="242"/>
      <c r="C408" s="242"/>
      <c r="D408" s="242"/>
    </row>
    <row r="409" spans="2:4">
      <c r="B409" s="242"/>
      <c r="C409" s="242"/>
      <c r="D409" s="242"/>
    </row>
    <row r="410" spans="2:4">
      <c r="B410" s="242"/>
      <c r="C410" s="242"/>
      <c r="D410" s="242"/>
    </row>
    <row r="411" spans="2:4">
      <c r="B411" s="242"/>
      <c r="C411" s="242"/>
      <c r="D411" s="242"/>
    </row>
    <row r="412" spans="2:4">
      <c r="B412" s="242"/>
      <c r="C412" s="242"/>
      <c r="D412" s="242"/>
    </row>
    <row r="413" spans="2:4">
      <c r="B413" s="242"/>
      <c r="C413" s="242"/>
      <c r="D413" s="242"/>
    </row>
    <row r="414" spans="2:4">
      <c r="B414" s="242"/>
      <c r="C414" s="242"/>
      <c r="D414" s="242"/>
    </row>
    <row r="415" spans="2:4">
      <c r="B415" s="242"/>
      <c r="C415" s="242"/>
      <c r="D415" s="242"/>
    </row>
    <row r="416" spans="2:4">
      <c r="B416" s="242"/>
      <c r="C416" s="242"/>
      <c r="D416" s="242"/>
    </row>
    <row r="417" spans="2:4">
      <c r="B417" s="242"/>
      <c r="C417" s="242"/>
      <c r="D417" s="242"/>
    </row>
    <row r="418" spans="2:4">
      <c r="B418" s="242"/>
      <c r="C418" s="242"/>
      <c r="D418" s="242"/>
    </row>
    <row r="419" spans="2:4">
      <c r="B419" s="242"/>
      <c r="C419" s="242"/>
      <c r="D419" s="242"/>
    </row>
    <row r="420" spans="2:4">
      <c r="B420" s="242"/>
      <c r="C420" s="242"/>
      <c r="D420" s="242"/>
    </row>
    <row r="421" spans="2:4">
      <c r="B421" s="242"/>
      <c r="C421" s="242"/>
      <c r="D421" s="242"/>
    </row>
    <row r="422" spans="2:4">
      <c r="B422" s="242"/>
      <c r="C422" s="242"/>
      <c r="D422" s="242"/>
    </row>
    <row r="423" spans="2:4">
      <c r="B423" s="242"/>
      <c r="C423" s="242"/>
      <c r="D423" s="242"/>
    </row>
    <row r="424" spans="2:4">
      <c r="B424" s="242"/>
      <c r="C424" s="242"/>
      <c r="D424" s="242"/>
    </row>
    <row r="425" spans="2:4">
      <c r="B425" s="242"/>
      <c r="C425" s="242"/>
      <c r="D425" s="242"/>
    </row>
    <row r="426" spans="2:4">
      <c r="B426" s="242"/>
      <c r="C426" s="242"/>
      <c r="D426" s="242"/>
    </row>
    <row r="427" spans="2:4">
      <c r="B427" s="242"/>
      <c r="C427" s="242"/>
      <c r="D427" s="242"/>
    </row>
    <row r="428" spans="2:4">
      <c r="B428" s="242"/>
      <c r="C428" s="242"/>
      <c r="D428" s="242"/>
    </row>
    <row r="429" spans="2:4">
      <c r="B429" s="242"/>
      <c r="C429" s="242"/>
      <c r="D429" s="242"/>
    </row>
    <row r="430" spans="2:4">
      <c r="B430" s="242"/>
      <c r="C430" s="242"/>
      <c r="D430" s="242"/>
    </row>
    <row r="431" spans="2:4">
      <c r="B431" s="242"/>
      <c r="C431" s="242"/>
      <c r="D431" s="242"/>
    </row>
    <row r="432" spans="2:4">
      <c r="B432" s="242"/>
      <c r="C432" s="242"/>
      <c r="D432" s="242"/>
    </row>
    <row r="433" spans="2:4">
      <c r="B433" s="242"/>
      <c r="C433" s="242"/>
      <c r="D433" s="242"/>
    </row>
    <row r="434" spans="2:4">
      <c r="B434" s="242"/>
      <c r="C434" s="242"/>
      <c r="D434" s="242"/>
    </row>
    <row r="435" spans="2:4">
      <c r="B435" s="242"/>
      <c r="C435" s="242"/>
      <c r="D435" s="242"/>
    </row>
    <row r="436" spans="2:4">
      <c r="B436" s="242"/>
      <c r="C436" s="242"/>
      <c r="D436" s="242"/>
    </row>
    <row r="437" spans="2:4">
      <c r="B437" s="242"/>
      <c r="C437" s="242"/>
      <c r="D437" s="242"/>
    </row>
  </sheetData>
  <mergeCells count="7">
    <mergeCell ref="B37:W37"/>
    <mergeCell ref="A1:W1"/>
    <mergeCell ref="A2:W2"/>
    <mergeCell ref="A3:W3"/>
    <mergeCell ref="E6:W6"/>
    <mergeCell ref="K10:N10"/>
    <mergeCell ref="B36:W36"/>
  </mergeCells>
  <phoneticPr fontId="24" type="noConversion"/>
  <printOptions horizontalCentered="1"/>
  <pageMargins left="0.25" right="0.25" top="0.5" bottom="0.25" header="0.3" footer="0.25"/>
  <pageSetup scale="81" orientation="landscape" r:id="rId1"/>
  <headerFooter alignWithMargins="0">
    <oddFooter>&amp;R&amp;A</oddFooter>
  </headerFooter>
  <ignoredErrors>
    <ignoredError sqref="A36:A37" numberStoredAsText="1"/>
  </ignoredErrors>
</worksheet>
</file>

<file path=xl/worksheets/sheet43.xml><?xml version="1.0" encoding="utf-8"?>
<worksheet xmlns="http://schemas.openxmlformats.org/spreadsheetml/2006/main" xmlns:r="http://schemas.openxmlformats.org/officeDocument/2006/relationships">
  <sheetPr>
    <pageSetUpPr fitToPage="1"/>
  </sheetPr>
  <dimension ref="A1:AR47"/>
  <sheetViews>
    <sheetView zoomScale="75" zoomScaleNormal="75" workbookViewId="0">
      <selection sqref="A1:AN1"/>
    </sheetView>
  </sheetViews>
  <sheetFormatPr defaultColWidth="8.44140625" defaultRowHeight="13.2"/>
  <cols>
    <col min="1" max="1" width="2.6640625" style="202" customWidth="1"/>
    <col min="2" max="2" width="37" style="202" customWidth="1"/>
    <col min="3" max="3" width="2.44140625" style="202" customWidth="1"/>
    <col min="4" max="4" width="7.88671875" style="202" customWidth="1"/>
    <col min="5" max="6" width="2.44140625" style="202" customWidth="1"/>
    <col min="7" max="7" width="7.88671875" style="202" customWidth="1"/>
    <col min="8" max="9" width="2.44140625" style="202" customWidth="1"/>
    <col min="10" max="10" width="7.88671875" style="202" customWidth="1"/>
    <col min="11" max="11" width="2.44140625" style="202" customWidth="1"/>
    <col min="12" max="12" width="2.44140625" style="239" customWidth="1"/>
    <col min="13" max="13" width="7.88671875" style="243" customWidth="1"/>
    <col min="14" max="14" width="2.44140625" style="243" customWidth="1"/>
    <col min="15" max="15" width="2.44140625" style="239" customWidth="1"/>
    <col min="16" max="16" width="7.88671875" style="243" customWidth="1"/>
    <col min="17" max="17" width="2.44140625" style="243" customWidth="1"/>
    <col min="18" max="18" width="2.44140625" style="240" customWidth="1"/>
    <col min="19" max="19" width="7.88671875" style="243" customWidth="1"/>
    <col min="20" max="21" width="2.44140625" style="202" customWidth="1"/>
    <col min="22" max="22" width="7.88671875" style="202" customWidth="1"/>
    <col min="23" max="23" width="2.44140625" style="202" customWidth="1"/>
    <col min="24" max="24" width="2.44140625" style="2" customWidth="1"/>
    <col min="25" max="25" width="7.88671875" style="2" customWidth="1"/>
    <col min="26" max="26" width="2.44140625" style="2" customWidth="1"/>
    <col min="27" max="27" width="2.44140625" style="202" customWidth="1"/>
    <col min="28" max="28" width="7.88671875" style="202" customWidth="1"/>
    <col min="29" max="30" width="2.44140625" style="202" customWidth="1"/>
    <col min="31" max="31" width="7.88671875" style="202" customWidth="1"/>
    <col min="32" max="33" width="2.44140625" style="202" customWidth="1"/>
    <col min="34" max="34" width="7.88671875" style="202" customWidth="1"/>
    <col min="35" max="35" width="2.6640625" style="202" customWidth="1"/>
    <col min="36" max="36" width="2.5546875" style="202" customWidth="1"/>
    <col min="37" max="37" width="7.88671875" style="202" customWidth="1"/>
    <col min="38" max="38" width="2.5546875" style="202" customWidth="1"/>
    <col min="39" max="39" width="2.44140625" style="202" customWidth="1"/>
    <col min="40" max="40" width="7.88671875" style="202" customWidth="1"/>
    <col min="41" max="16384" width="8.44140625" style="202"/>
  </cols>
  <sheetData>
    <row r="1" spans="1:41" s="200" customFormat="1">
      <c r="A1" s="1009" t="s">
        <v>96</v>
      </c>
      <c r="B1" s="1009"/>
      <c r="C1" s="1009"/>
      <c r="D1" s="1009"/>
      <c r="E1" s="1009"/>
      <c r="F1" s="1009"/>
      <c r="G1" s="1009"/>
      <c r="H1" s="1009"/>
      <c r="I1" s="1009"/>
      <c r="J1" s="1009"/>
      <c r="K1" s="1009"/>
      <c r="L1" s="1009"/>
      <c r="M1" s="1009"/>
      <c r="N1" s="1009"/>
      <c r="O1" s="1009"/>
      <c r="P1" s="1009"/>
      <c r="Q1" s="1009"/>
      <c r="R1" s="1009"/>
      <c r="S1" s="1009"/>
      <c r="T1" s="1009"/>
      <c r="U1" s="1009"/>
      <c r="V1" s="1009"/>
      <c r="W1" s="1009"/>
      <c r="X1" s="1009"/>
      <c r="Y1" s="1009"/>
      <c r="Z1" s="1009"/>
      <c r="AA1" s="1009"/>
      <c r="AB1" s="1009"/>
      <c r="AC1" s="1009"/>
      <c r="AD1" s="1009"/>
      <c r="AE1" s="1009"/>
      <c r="AF1" s="1009"/>
      <c r="AG1" s="1009"/>
      <c r="AH1" s="1009"/>
      <c r="AI1" s="1009"/>
      <c r="AJ1" s="1009"/>
      <c r="AK1" s="1009"/>
      <c r="AL1" s="1009"/>
      <c r="AM1" s="1009"/>
      <c r="AN1" s="1009"/>
    </row>
    <row r="2" spans="1:41" s="200" customFormat="1">
      <c r="A2" s="1009" t="s">
        <v>146</v>
      </c>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Y2" s="1009"/>
      <c r="Z2" s="1009"/>
      <c r="AA2" s="1009"/>
      <c r="AB2" s="1009"/>
      <c r="AC2" s="1009"/>
      <c r="AD2" s="1009"/>
      <c r="AE2" s="1009"/>
      <c r="AF2" s="1009"/>
      <c r="AG2" s="1009"/>
      <c r="AH2" s="1009"/>
      <c r="AI2" s="1009"/>
      <c r="AJ2" s="1009"/>
      <c r="AK2" s="1009"/>
      <c r="AL2" s="1009"/>
      <c r="AM2" s="1009"/>
      <c r="AN2" s="1009"/>
    </row>
    <row r="3" spans="1:41" ht="10.199999999999999">
      <c r="A3" s="1025" t="s">
        <v>800</v>
      </c>
      <c r="B3" s="1025"/>
      <c r="C3" s="1025"/>
      <c r="D3" s="1025"/>
      <c r="E3" s="1025"/>
      <c r="F3" s="1025"/>
      <c r="G3" s="1025"/>
      <c r="H3" s="1025"/>
      <c r="I3" s="1025"/>
      <c r="J3" s="1025"/>
      <c r="K3" s="1025"/>
      <c r="L3" s="1025"/>
      <c r="M3" s="1025"/>
      <c r="N3" s="1025"/>
      <c r="O3" s="1025"/>
      <c r="P3" s="1025"/>
      <c r="Q3" s="1025"/>
      <c r="R3" s="1025"/>
      <c r="S3" s="1025"/>
      <c r="T3" s="1025"/>
      <c r="U3" s="1025"/>
      <c r="V3" s="1025"/>
      <c r="W3" s="1025"/>
      <c r="X3" s="1025"/>
      <c r="Y3" s="1025"/>
      <c r="Z3" s="1025"/>
      <c r="AA3" s="1025"/>
      <c r="AB3" s="1025"/>
      <c r="AC3" s="1025"/>
      <c r="AD3" s="1025"/>
      <c r="AE3" s="1025"/>
      <c r="AF3" s="1025"/>
      <c r="AG3" s="1025"/>
      <c r="AH3" s="1025"/>
      <c r="AI3" s="1025"/>
      <c r="AJ3" s="1025"/>
      <c r="AK3" s="1025"/>
      <c r="AL3" s="1025"/>
      <c r="AM3" s="1025"/>
      <c r="AN3" s="1025"/>
    </row>
    <row r="4" spans="1:41" s="204" customFormat="1">
      <c r="B4" s="200"/>
      <c r="C4" s="200"/>
      <c r="D4" s="200"/>
      <c r="E4" s="200"/>
      <c r="F4" s="200"/>
      <c r="G4" s="200"/>
      <c r="H4" s="200"/>
      <c r="I4" s="200"/>
      <c r="J4" s="200"/>
      <c r="K4" s="200"/>
      <c r="L4" s="200"/>
      <c r="M4" s="200"/>
      <c r="N4" s="200"/>
      <c r="O4" s="200"/>
      <c r="P4" s="200"/>
      <c r="Q4" s="200"/>
      <c r="R4" s="203"/>
      <c r="S4" s="200"/>
      <c r="X4" s="5"/>
      <c r="Y4" s="5"/>
      <c r="Z4" s="5"/>
    </row>
    <row r="5" spans="1:41" s="204" customFormat="1">
      <c r="B5" s="200"/>
      <c r="C5" s="200"/>
      <c r="D5" s="990" t="s">
        <v>1146</v>
      </c>
      <c r="E5" s="990"/>
      <c r="F5" s="990"/>
      <c r="G5" s="990"/>
      <c r="H5" s="990"/>
      <c r="I5" s="990"/>
      <c r="J5" s="990"/>
      <c r="K5" s="990"/>
      <c r="L5" s="990"/>
      <c r="M5" s="990"/>
      <c r="N5" s="990"/>
      <c r="O5" s="990"/>
      <c r="P5" s="990"/>
      <c r="Q5" s="990"/>
      <c r="R5" s="990"/>
      <c r="S5" s="990"/>
      <c r="T5" s="990"/>
      <c r="U5" s="990"/>
      <c r="V5" s="990"/>
      <c r="W5" s="990"/>
      <c r="X5" s="990"/>
      <c r="Y5" s="990"/>
      <c r="Z5" s="990"/>
      <c r="AA5" s="990"/>
      <c r="AB5" s="990"/>
      <c r="AC5" s="990"/>
      <c r="AD5" s="990"/>
      <c r="AE5" s="990"/>
      <c r="AF5" s="990"/>
      <c r="AG5" s="990"/>
      <c r="AH5" s="990"/>
      <c r="AI5" s="990"/>
      <c r="AJ5" s="990"/>
      <c r="AK5" s="990"/>
      <c r="AL5" s="990"/>
      <c r="AM5" s="990"/>
      <c r="AN5" s="990"/>
    </row>
    <row r="6" spans="1:41" s="204" customFormat="1">
      <c r="B6" s="200"/>
      <c r="C6" s="200"/>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720"/>
      <c r="AD6" s="720"/>
      <c r="AE6" s="720"/>
      <c r="AF6" s="720"/>
      <c r="AG6" s="720"/>
      <c r="AH6" s="720"/>
      <c r="AI6" s="720"/>
      <c r="AJ6" s="720"/>
      <c r="AK6" s="720"/>
      <c r="AL6" s="720"/>
      <c r="AM6" s="720"/>
      <c r="AN6" s="720"/>
    </row>
    <row r="7" spans="1:41" s="204" customFormat="1">
      <c r="B7" s="203"/>
      <c r="C7" s="203"/>
      <c r="D7" s="1059" t="s">
        <v>147</v>
      </c>
      <c r="E7" s="1059"/>
      <c r="F7" s="1059"/>
      <c r="G7" s="1059"/>
      <c r="H7" s="203"/>
      <c r="I7" s="203"/>
      <c r="J7" s="1059" t="s">
        <v>148</v>
      </c>
      <c r="K7" s="1059"/>
      <c r="L7" s="1059"/>
      <c r="M7" s="1059"/>
      <c r="N7" s="208"/>
      <c r="O7" s="207"/>
      <c r="P7" s="1059" t="s">
        <v>149</v>
      </c>
      <c r="Q7" s="1059"/>
      <c r="R7" s="1059"/>
      <c r="S7" s="1059"/>
      <c r="T7" s="206"/>
      <c r="U7" s="206"/>
      <c r="V7" s="1059" t="s">
        <v>150</v>
      </c>
      <c r="W7" s="1059"/>
      <c r="X7" s="1059"/>
      <c r="Y7" s="1059"/>
      <c r="Z7" s="5"/>
      <c r="AB7" s="1059" t="s">
        <v>67</v>
      </c>
      <c r="AC7" s="1059"/>
      <c r="AD7" s="1059"/>
      <c r="AE7" s="1059"/>
      <c r="AH7" s="1059" t="s">
        <v>1044</v>
      </c>
      <c r="AI7" s="1059"/>
      <c r="AJ7" s="1059"/>
      <c r="AK7" s="1059"/>
      <c r="AL7" s="1059"/>
      <c r="AM7" s="1059"/>
      <c r="AN7" s="1059"/>
    </row>
    <row r="8" spans="1:41" s="204" customFormat="1">
      <c r="B8" s="200"/>
      <c r="C8" s="207"/>
      <c r="D8" s="6" t="s">
        <v>151</v>
      </c>
      <c r="E8" s="208"/>
      <c r="F8" s="208"/>
      <c r="G8" s="208" t="s">
        <v>152</v>
      </c>
      <c r="H8" s="208"/>
      <c r="I8" s="206"/>
      <c r="J8" s="6" t="s">
        <v>151</v>
      </c>
      <c r="K8" s="208"/>
      <c r="L8" s="208"/>
      <c r="M8" s="208" t="s">
        <v>152</v>
      </c>
      <c r="N8" s="208"/>
      <c r="O8" s="207"/>
      <c r="P8" s="6" t="s">
        <v>151</v>
      </c>
      <c r="Q8" s="208"/>
      <c r="R8" s="208"/>
      <c r="S8" s="208" t="s">
        <v>152</v>
      </c>
      <c r="T8" s="208"/>
      <c r="U8" s="206"/>
      <c r="V8" s="6" t="s">
        <v>151</v>
      </c>
      <c r="W8" s="208"/>
      <c r="X8" s="208"/>
      <c r="Y8" s="208" t="s">
        <v>152</v>
      </c>
      <c r="Z8" s="11"/>
      <c r="AB8" s="6" t="s">
        <v>151</v>
      </c>
      <c r="AC8" s="208"/>
      <c r="AD8" s="208"/>
      <c r="AE8" s="208" t="s">
        <v>152</v>
      </c>
      <c r="AF8" s="208"/>
      <c r="AG8" s="208"/>
      <c r="AH8" s="6" t="s">
        <v>657</v>
      </c>
      <c r="AI8" s="208"/>
      <c r="AK8" s="6" t="s">
        <v>151</v>
      </c>
      <c r="AL8" s="6"/>
      <c r="AM8" s="208"/>
      <c r="AN8" s="208" t="s">
        <v>152</v>
      </c>
    </row>
    <row r="9" spans="1:41" s="204" customFormat="1">
      <c r="B9" s="200"/>
      <c r="C9" s="720"/>
      <c r="D9" s="13" t="s">
        <v>624</v>
      </c>
      <c r="E9" s="208"/>
      <c r="F9" s="720"/>
      <c r="G9" s="13" t="s">
        <v>153</v>
      </c>
      <c r="H9" s="208"/>
      <c r="I9" s="206"/>
      <c r="J9" s="13" t="s">
        <v>624</v>
      </c>
      <c r="K9" s="208"/>
      <c r="L9" s="720"/>
      <c r="M9" s="13" t="s">
        <v>153</v>
      </c>
      <c r="N9" s="208"/>
      <c r="O9" s="720"/>
      <c r="P9" s="13" t="s">
        <v>624</v>
      </c>
      <c r="Q9" s="208"/>
      <c r="R9" s="720"/>
      <c r="S9" s="13" t="s">
        <v>153</v>
      </c>
      <c r="T9" s="208"/>
      <c r="U9" s="206"/>
      <c r="V9" s="13" t="s">
        <v>624</v>
      </c>
      <c r="W9" s="208"/>
      <c r="X9" s="720"/>
      <c r="Y9" s="13" t="s">
        <v>153</v>
      </c>
      <c r="Z9" s="11"/>
      <c r="AB9" s="13" t="s">
        <v>624</v>
      </c>
      <c r="AC9" s="208"/>
      <c r="AD9" s="720"/>
      <c r="AE9" s="13" t="s">
        <v>153</v>
      </c>
      <c r="AF9" s="208"/>
      <c r="AG9" s="208"/>
      <c r="AH9" s="13" t="s">
        <v>624</v>
      </c>
      <c r="AI9" s="208"/>
      <c r="AK9" s="13" t="s">
        <v>624</v>
      </c>
      <c r="AL9" s="6"/>
      <c r="AM9" s="720"/>
      <c r="AN9" s="13" t="s">
        <v>153</v>
      </c>
    </row>
    <row r="10" spans="1:41" s="204" customFormat="1">
      <c r="B10" s="200"/>
      <c r="C10" s="691"/>
      <c r="D10" s="18"/>
      <c r="E10" s="691"/>
      <c r="F10" s="721"/>
      <c r="G10" s="18"/>
      <c r="H10" s="691"/>
      <c r="I10" s="206"/>
      <c r="J10" s="18"/>
      <c r="K10" s="203"/>
      <c r="L10" s="691"/>
      <c r="M10" s="18"/>
      <c r="N10" s="691"/>
      <c r="O10" s="691"/>
      <c r="P10" s="18"/>
      <c r="Q10" s="691"/>
      <c r="R10" s="721"/>
      <c r="S10" s="18"/>
      <c r="T10" s="691"/>
      <c r="U10" s="206"/>
      <c r="V10" s="18"/>
      <c r="W10" s="206"/>
      <c r="X10" s="11"/>
      <c r="Y10" s="18"/>
      <c r="Z10" s="11"/>
      <c r="AB10" s="381"/>
      <c r="AC10" s="381"/>
      <c r="AE10" s="381"/>
      <c r="AG10" s="381"/>
      <c r="AH10" s="381"/>
      <c r="AI10" s="381"/>
      <c r="AK10" s="381"/>
      <c r="AL10" s="381"/>
      <c r="AN10" s="381"/>
      <c r="AO10" s="381"/>
    </row>
    <row r="11" spans="1:41" s="204" customFormat="1" ht="12">
      <c r="B11" s="557"/>
      <c r="C11" s="221"/>
      <c r="D11" s="66"/>
      <c r="E11" s="66"/>
      <c r="F11" s="66"/>
      <c r="G11" s="11"/>
      <c r="H11" s="11"/>
      <c r="I11" s="11"/>
      <c r="J11" s="11"/>
      <c r="K11" s="722"/>
      <c r="L11" s="66"/>
      <c r="M11" s="66"/>
      <c r="N11" s="66"/>
      <c r="O11" s="66"/>
      <c r="P11" s="66"/>
      <c r="Q11" s="66"/>
      <c r="R11" s="66"/>
      <c r="S11" s="11"/>
      <c r="T11" s="11"/>
      <c r="U11" s="11"/>
      <c r="V11" s="11"/>
      <c r="W11" s="11"/>
      <c r="X11" s="11"/>
      <c r="Y11" s="11"/>
      <c r="Z11" s="11"/>
      <c r="AA11" s="11"/>
      <c r="AB11" s="11"/>
      <c r="AC11" s="11"/>
      <c r="AD11" s="11"/>
      <c r="AE11" s="11"/>
      <c r="AF11" s="5"/>
      <c r="AG11" s="11"/>
      <c r="AH11" s="11"/>
      <c r="AI11" s="11"/>
      <c r="AJ11" s="11"/>
      <c r="AK11" s="11"/>
      <c r="AL11" s="11"/>
      <c r="AM11" s="11"/>
      <c r="AN11" s="11"/>
      <c r="AO11" s="381"/>
    </row>
    <row r="12" spans="1:41" s="204" customFormat="1" ht="11.4">
      <c r="A12" s="220" t="s">
        <v>154</v>
      </c>
      <c r="B12" s="5"/>
      <c r="C12" s="23" t="s">
        <v>108</v>
      </c>
      <c r="D12" s="176">
        <v>5246</v>
      </c>
      <c r="E12" s="176"/>
      <c r="F12" s="23" t="s">
        <v>108</v>
      </c>
      <c r="G12" s="176">
        <v>374</v>
      </c>
      <c r="H12" s="11"/>
      <c r="I12" s="23" t="s">
        <v>108</v>
      </c>
      <c r="J12" s="176">
        <v>0</v>
      </c>
      <c r="K12" s="15"/>
      <c r="L12" s="23" t="s">
        <v>108</v>
      </c>
      <c r="M12" s="176">
        <v>0</v>
      </c>
      <c r="N12" s="176"/>
      <c r="O12" s="23" t="s">
        <v>108</v>
      </c>
      <c r="P12" s="176">
        <v>0</v>
      </c>
      <c r="Q12" s="176"/>
      <c r="R12" s="23" t="s">
        <v>108</v>
      </c>
      <c r="S12" s="176">
        <v>0</v>
      </c>
      <c r="T12" s="11"/>
      <c r="U12" s="23" t="s">
        <v>108</v>
      </c>
      <c r="V12" s="176">
        <v>0</v>
      </c>
      <c r="W12" s="11"/>
      <c r="X12" s="23" t="s">
        <v>108</v>
      </c>
      <c r="Y12" s="176">
        <v>0</v>
      </c>
      <c r="Z12" s="11"/>
      <c r="AA12" s="23" t="s">
        <v>108</v>
      </c>
      <c r="AB12" s="176">
        <v>0</v>
      </c>
      <c r="AC12" s="176"/>
      <c r="AD12" s="23" t="s">
        <v>108</v>
      </c>
      <c r="AE12" s="176">
        <v>0</v>
      </c>
      <c r="AF12" s="11"/>
      <c r="AG12" s="23" t="s">
        <v>108</v>
      </c>
      <c r="AH12" s="176">
        <v>5226</v>
      </c>
      <c r="AI12" s="176"/>
      <c r="AJ12" s="23" t="s">
        <v>108</v>
      </c>
      <c r="AK12" s="176">
        <v>5246</v>
      </c>
      <c r="AL12" s="176"/>
      <c r="AM12" s="23" t="s">
        <v>108</v>
      </c>
      <c r="AN12" s="176">
        <v>374</v>
      </c>
      <c r="AO12" s="10"/>
    </row>
    <row r="13" spans="1:41" s="204" customFormat="1" ht="11.4">
      <c r="A13" s="220"/>
      <c r="B13" s="5"/>
      <c r="C13" s="23"/>
      <c r="D13" s="176"/>
      <c r="E13" s="176"/>
      <c r="F13" s="23"/>
      <c r="G13" s="176"/>
      <c r="H13" s="176"/>
      <c r="I13" s="23"/>
      <c r="J13" s="176"/>
      <c r="K13" s="176"/>
      <c r="L13" s="23"/>
      <c r="M13" s="176"/>
      <c r="N13" s="176"/>
      <c r="O13" s="23"/>
      <c r="P13" s="176"/>
      <c r="Q13" s="176"/>
      <c r="R13" s="23"/>
      <c r="S13" s="176"/>
      <c r="T13" s="176"/>
      <c r="U13" s="23"/>
      <c r="V13" s="176"/>
      <c r="W13" s="176"/>
      <c r="X13" s="23"/>
      <c r="Y13" s="176"/>
      <c r="Z13" s="176"/>
      <c r="AA13" s="23"/>
      <c r="AB13" s="176"/>
      <c r="AC13" s="176"/>
      <c r="AD13" s="23"/>
      <c r="AE13" s="176"/>
      <c r="AF13" s="176"/>
      <c r="AG13" s="23"/>
      <c r="AH13" s="176"/>
      <c r="AI13" s="176"/>
      <c r="AJ13" s="23"/>
      <c r="AK13" s="176"/>
      <c r="AL13" s="176"/>
      <c r="AM13" s="23"/>
      <c r="AN13" s="176"/>
      <c r="AO13" s="10"/>
    </row>
    <row r="14" spans="1:41" s="204" customFormat="1" ht="11.4">
      <c r="A14" s="220" t="s">
        <v>628</v>
      </c>
      <c r="B14" s="5"/>
      <c r="C14" s="23"/>
      <c r="D14" s="176"/>
      <c r="E14" s="176"/>
      <c r="F14" s="23"/>
      <c r="G14" s="176"/>
      <c r="H14" s="176"/>
      <c r="I14" s="23"/>
      <c r="J14" s="176"/>
      <c r="K14" s="176"/>
      <c r="L14" s="23"/>
      <c r="M14" s="176"/>
      <c r="N14" s="176"/>
      <c r="O14" s="23"/>
      <c r="P14" s="176"/>
      <c r="Q14" s="176"/>
      <c r="R14" s="23"/>
      <c r="S14" s="176"/>
      <c r="T14" s="176"/>
      <c r="U14" s="23"/>
      <c r="V14" s="176"/>
      <c r="W14" s="176"/>
      <c r="X14" s="23"/>
      <c r="Y14" s="176"/>
      <c r="Z14" s="176"/>
      <c r="AA14" s="23"/>
      <c r="AB14" s="176"/>
      <c r="AC14" s="176"/>
      <c r="AD14" s="23"/>
      <c r="AE14" s="176"/>
      <c r="AF14" s="176"/>
      <c r="AG14" s="23"/>
      <c r="AH14" s="176"/>
      <c r="AI14" s="176"/>
      <c r="AJ14" s="23"/>
      <c r="AK14" s="176"/>
      <c r="AL14" s="176"/>
      <c r="AM14" s="23"/>
      <c r="AN14" s="176"/>
      <c r="AO14" s="10"/>
    </row>
    <row r="15" spans="1:41" s="204" customFormat="1" ht="11.4">
      <c r="A15" s="215" t="s">
        <v>155</v>
      </c>
      <c r="B15" s="5"/>
      <c r="C15" s="23"/>
      <c r="D15" s="176">
        <v>1195</v>
      </c>
      <c r="E15" s="176"/>
      <c r="F15" s="23"/>
      <c r="G15" s="176">
        <v>48</v>
      </c>
      <c r="H15" s="176"/>
      <c r="I15" s="23"/>
      <c r="J15" s="176">
        <v>4316</v>
      </c>
      <c r="K15" s="176"/>
      <c r="L15" s="23"/>
      <c r="M15" s="176">
        <v>210</v>
      </c>
      <c r="N15" s="176"/>
      <c r="O15" s="23"/>
      <c r="P15" s="176">
        <v>1996</v>
      </c>
      <c r="Q15" s="176"/>
      <c r="R15" s="23"/>
      <c r="S15" s="176">
        <v>119</v>
      </c>
      <c r="T15" s="176"/>
      <c r="U15" s="23"/>
      <c r="V15" s="176">
        <v>813</v>
      </c>
      <c r="W15" s="176"/>
      <c r="X15" s="23"/>
      <c r="Y15" s="176">
        <v>25</v>
      </c>
      <c r="Z15" s="176"/>
      <c r="AA15" s="23"/>
      <c r="AB15" s="176">
        <v>399</v>
      </c>
      <c r="AC15" s="176"/>
      <c r="AD15" s="23"/>
      <c r="AE15" s="176">
        <v>-43</v>
      </c>
      <c r="AF15" s="176"/>
      <c r="AG15" s="23"/>
      <c r="AH15" s="176">
        <v>8399</v>
      </c>
      <c r="AI15" s="176"/>
      <c r="AJ15" s="23"/>
      <c r="AK15" s="176">
        <v>8719</v>
      </c>
      <c r="AL15" s="176"/>
      <c r="AM15" s="23"/>
      <c r="AN15" s="176">
        <v>359</v>
      </c>
      <c r="AO15" s="10"/>
    </row>
    <row r="16" spans="1:41" s="204" customFormat="1" ht="11.4">
      <c r="A16" s="215" t="s">
        <v>156</v>
      </c>
      <c r="B16" s="5"/>
      <c r="C16" s="23"/>
      <c r="D16" s="176">
        <v>233</v>
      </c>
      <c r="E16" s="23"/>
      <c r="F16" s="23"/>
      <c r="G16" s="176">
        <v>33</v>
      </c>
      <c r="H16" s="23"/>
      <c r="I16" s="23"/>
      <c r="J16" s="176">
        <v>2780</v>
      </c>
      <c r="K16" s="23"/>
      <c r="L16" s="23"/>
      <c r="M16" s="176">
        <v>402</v>
      </c>
      <c r="N16" s="23"/>
      <c r="O16" s="23"/>
      <c r="P16" s="176">
        <v>1057</v>
      </c>
      <c r="Q16" s="23"/>
      <c r="R16" s="23"/>
      <c r="S16" s="176">
        <v>116</v>
      </c>
      <c r="T16" s="23"/>
      <c r="U16" s="23"/>
      <c r="V16" s="176">
        <v>367</v>
      </c>
      <c r="W16" s="23"/>
      <c r="X16" s="23"/>
      <c r="Y16" s="176">
        <v>-13</v>
      </c>
      <c r="Z16" s="23"/>
      <c r="AA16" s="23"/>
      <c r="AB16" s="176">
        <v>103</v>
      </c>
      <c r="AC16" s="23"/>
      <c r="AD16" s="23"/>
      <c r="AE16" s="176">
        <v>-12</v>
      </c>
      <c r="AF16" s="23"/>
      <c r="AG16" s="23"/>
      <c r="AH16" s="176">
        <v>5564</v>
      </c>
      <c r="AI16" s="23"/>
      <c r="AJ16" s="23"/>
      <c r="AK16" s="176">
        <v>4540</v>
      </c>
      <c r="AL16" s="23"/>
      <c r="AM16" s="23"/>
      <c r="AN16" s="176">
        <v>526</v>
      </c>
      <c r="AO16" s="10"/>
    </row>
    <row r="17" spans="1:44" s="204" customFormat="1" ht="12" customHeight="1">
      <c r="A17" s="215" t="s">
        <v>157</v>
      </c>
      <c r="B17" s="5"/>
      <c r="C17" s="23"/>
      <c r="D17" s="113">
        <v>264</v>
      </c>
      <c r="E17" s="23"/>
      <c r="F17" s="23"/>
      <c r="G17" s="113">
        <v>-19</v>
      </c>
      <c r="H17" s="23"/>
      <c r="I17" s="23"/>
      <c r="J17" s="113">
        <v>203</v>
      </c>
      <c r="K17" s="23"/>
      <c r="L17" s="23"/>
      <c r="M17" s="113">
        <v>-31</v>
      </c>
      <c r="N17" s="23"/>
      <c r="O17" s="23"/>
      <c r="P17" s="113">
        <v>23</v>
      </c>
      <c r="Q17" s="23"/>
      <c r="R17" s="23"/>
      <c r="S17" s="113">
        <v>-3</v>
      </c>
      <c r="T17" s="23"/>
      <c r="U17" s="23"/>
      <c r="V17" s="113">
        <v>41</v>
      </c>
      <c r="W17" s="23"/>
      <c r="X17" s="23"/>
      <c r="Y17" s="113">
        <v>-7</v>
      </c>
      <c r="Z17" s="23"/>
      <c r="AA17" s="23"/>
      <c r="AB17" s="113">
        <v>102</v>
      </c>
      <c r="AC17" s="23"/>
      <c r="AD17" s="23"/>
      <c r="AE17" s="113">
        <v>-20</v>
      </c>
      <c r="AF17" s="23"/>
      <c r="AG17" s="23"/>
      <c r="AH17" s="113">
        <v>713</v>
      </c>
      <c r="AI17" s="23"/>
      <c r="AJ17" s="23"/>
      <c r="AK17" s="113">
        <v>633</v>
      </c>
      <c r="AL17" s="23"/>
      <c r="AM17" s="23"/>
      <c r="AN17" s="113">
        <v>-80</v>
      </c>
      <c r="AO17" s="10"/>
    </row>
    <row r="18" spans="1:44" s="204" customFormat="1" ht="12" customHeight="1">
      <c r="A18" s="215"/>
      <c r="B18" s="5" t="s">
        <v>279</v>
      </c>
      <c r="C18" s="23"/>
      <c r="D18" s="176">
        <v>1692</v>
      </c>
      <c r="E18" s="23"/>
      <c r="F18" s="23"/>
      <c r="G18" s="176">
        <v>62</v>
      </c>
      <c r="H18" s="23"/>
      <c r="I18" s="23"/>
      <c r="J18" s="176">
        <v>7299</v>
      </c>
      <c r="K18" s="23"/>
      <c r="L18" s="23"/>
      <c r="M18" s="176">
        <v>581</v>
      </c>
      <c r="N18" s="23"/>
      <c r="O18" s="23"/>
      <c r="P18" s="176">
        <v>3076</v>
      </c>
      <c r="Q18" s="23"/>
      <c r="R18" s="23"/>
      <c r="S18" s="176">
        <v>232</v>
      </c>
      <c r="T18" s="23"/>
      <c r="U18" s="23"/>
      <c r="V18" s="176">
        <v>1221</v>
      </c>
      <c r="W18" s="23"/>
      <c r="X18" s="23"/>
      <c r="Y18" s="176">
        <v>5</v>
      </c>
      <c r="Z18" s="23"/>
      <c r="AA18" s="23"/>
      <c r="AB18" s="176">
        <v>604</v>
      </c>
      <c r="AC18" s="23"/>
      <c r="AD18" s="23"/>
      <c r="AE18" s="176">
        <v>-75</v>
      </c>
      <c r="AF18" s="23"/>
      <c r="AG18" s="23"/>
      <c r="AH18" s="176">
        <v>14676</v>
      </c>
      <c r="AI18" s="23"/>
      <c r="AJ18" s="23"/>
      <c r="AK18" s="176">
        <v>13892</v>
      </c>
      <c r="AL18" s="23"/>
      <c r="AM18" s="23"/>
      <c r="AN18" s="176">
        <v>805</v>
      </c>
      <c r="AO18" s="10"/>
    </row>
    <row r="19" spans="1:44" s="204" customFormat="1" ht="12" customHeight="1">
      <c r="A19" s="215"/>
      <c r="B19" s="5"/>
      <c r="C19" s="23"/>
      <c r="D19" s="176"/>
      <c r="E19" s="23"/>
      <c r="F19" s="23"/>
      <c r="G19" s="176"/>
      <c r="H19" s="23"/>
      <c r="I19" s="23"/>
      <c r="J19" s="176"/>
      <c r="K19" s="23"/>
      <c r="L19" s="23"/>
      <c r="M19" s="176"/>
      <c r="N19" s="23"/>
      <c r="O19" s="23"/>
      <c r="P19" s="176"/>
      <c r="Q19" s="23"/>
      <c r="R19" s="23"/>
      <c r="S19" s="176"/>
      <c r="T19" s="23"/>
      <c r="U19" s="23"/>
      <c r="V19" s="176"/>
      <c r="W19" s="23"/>
      <c r="X19" s="23"/>
      <c r="Y19" s="176"/>
      <c r="Z19" s="23"/>
      <c r="AA19" s="23"/>
      <c r="AB19" s="176"/>
      <c r="AC19" s="23"/>
      <c r="AD19" s="23"/>
      <c r="AE19" s="176"/>
      <c r="AF19" s="23"/>
      <c r="AG19" s="23"/>
      <c r="AH19" s="176"/>
      <c r="AI19" s="23"/>
      <c r="AJ19" s="23"/>
      <c r="AK19" s="176"/>
      <c r="AL19" s="23"/>
      <c r="AM19" s="23"/>
      <c r="AN19" s="176"/>
      <c r="AO19" s="10"/>
    </row>
    <row r="20" spans="1:44" s="204" customFormat="1" ht="12" customHeight="1">
      <c r="A20" s="220" t="s">
        <v>629</v>
      </c>
      <c r="B20" s="5"/>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10"/>
    </row>
    <row r="21" spans="1:44" s="204" customFormat="1" ht="12" customHeight="1">
      <c r="A21" s="215" t="s">
        <v>158</v>
      </c>
      <c r="B21" s="5"/>
      <c r="C21" s="23"/>
      <c r="D21" s="176">
        <v>907</v>
      </c>
      <c r="E21" s="176"/>
      <c r="F21" s="23"/>
      <c r="G21" s="176">
        <v>70</v>
      </c>
      <c r="H21" s="176"/>
      <c r="I21" s="23"/>
      <c r="J21" s="176">
        <v>2525</v>
      </c>
      <c r="K21" s="176"/>
      <c r="L21" s="23"/>
      <c r="M21" s="176">
        <v>182</v>
      </c>
      <c r="N21" s="176"/>
      <c r="O21" s="23"/>
      <c r="P21" s="176">
        <v>12360</v>
      </c>
      <c r="Q21" s="176"/>
      <c r="R21" s="23"/>
      <c r="S21" s="176">
        <v>1017</v>
      </c>
      <c r="T21" s="176"/>
      <c r="U21" s="23"/>
      <c r="V21" s="176">
        <v>13215</v>
      </c>
      <c r="W21" s="176"/>
      <c r="X21" s="23"/>
      <c r="Y21" s="176">
        <v>874</v>
      </c>
      <c r="Z21" s="176"/>
      <c r="AA21" s="23"/>
      <c r="AB21" s="176">
        <v>3111</v>
      </c>
      <c r="AC21" s="176"/>
      <c r="AD21" s="23"/>
      <c r="AE21" s="176">
        <v>74</v>
      </c>
      <c r="AF21" s="176"/>
      <c r="AG21" s="23"/>
      <c r="AH21" s="176">
        <v>29640</v>
      </c>
      <c r="AI21" s="176"/>
      <c r="AJ21" s="23"/>
      <c r="AK21" s="176">
        <v>32118</v>
      </c>
      <c r="AL21" s="176"/>
      <c r="AM21" s="23"/>
      <c r="AN21" s="176">
        <v>2217</v>
      </c>
      <c r="AO21" s="10"/>
    </row>
    <row r="22" spans="1:44" s="204" customFormat="1" ht="12" customHeight="1">
      <c r="A22" s="215" t="s">
        <v>159</v>
      </c>
      <c r="B22" s="5"/>
      <c r="C22" s="23"/>
      <c r="D22" s="113">
        <v>1139</v>
      </c>
      <c r="E22" s="11"/>
      <c r="F22" s="23"/>
      <c r="G22" s="113">
        <v>66</v>
      </c>
      <c r="H22" s="11"/>
      <c r="I22" s="23"/>
      <c r="J22" s="113">
        <v>1453</v>
      </c>
      <c r="K22" s="11"/>
      <c r="L22" s="23"/>
      <c r="M22" s="113">
        <v>106</v>
      </c>
      <c r="N22" s="11"/>
      <c r="O22" s="23"/>
      <c r="P22" s="113">
        <v>4069</v>
      </c>
      <c r="Q22" s="11"/>
      <c r="R22" s="23"/>
      <c r="S22" s="113">
        <v>343</v>
      </c>
      <c r="T22" s="11"/>
      <c r="U22" s="23"/>
      <c r="V22" s="113">
        <v>6893</v>
      </c>
      <c r="W22" s="11"/>
      <c r="X22" s="23"/>
      <c r="Y22" s="113">
        <v>283</v>
      </c>
      <c r="Z22" s="11"/>
      <c r="AA22" s="23"/>
      <c r="AB22" s="113">
        <v>1582</v>
      </c>
      <c r="AC22" s="11"/>
      <c r="AD22" s="23"/>
      <c r="AE22" s="113">
        <v>10</v>
      </c>
      <c r="AF22" s="11"/>
      <c r="AG22" s="23"/>
      <c r="AH22" s="113">
        <v>14488</v>
      </c>
      <c r="AI22" s="11"/>
      <c r="AJ22" s="23"/>
      <c r="AK22" s="113">
        <v>15136</v>
      </c>
      <c r="AL22" s="11"/>
      <c r="AM22" s="23"/>
      <c r="AN22" s="113">
        <v>808</v>
      </c>
      <c r="AO22" s="10"/>
    </row>
    <row r="23" spans="1:44" s="204" customFormat="1" ht="12" customHeight="1">
      <c r="A23" s="215"/>
      <c r="B23" s="5" t="s">
        <v>279</v>
      </c>
      <c r="C23" s="23"/>
      <c r="D23" s="176">
        <v>2046</v>
      </c>
      <c r="E23" s="11"/>
      <c r="F23" s="23"/>
      <c r="G23" s="176">
        <v>136</v>
      </c>
      <c r="H23" s="11"/>
      <c r="I23" s="23"/>
      <c r="J23" s="176">
        <v>3978</v>
      </c>
      <c r="K23" s="11"/>
      <c r="L23" s="23"/>
      <c r="M23" s="176">
        <v>288</v>
      </c>
      <c r="N23" s="11"/>
      <c r="O23" s="23"/>
      <c r="P23" s="176">
        <v>16429</v>
      </c>
      <c r="Q23" s="11"/>
      <c r="R23" s="23"/>
      <c r="S23" s="176">
        <v>1360</v>
      </c>
      <c r="T23" s="11"/>
      <c r="U23" s="23"/>
      <c r="V23" s="176">
        <v>20108</v>
      </c>
      <c r="W23" s="11"/>
      <c r="X23" s="23"/>
      <c r="Y23" s="176">
        <v>1157</v>
      </c>
      <c r="Z23" s="11"/>
      <c r="AA23" s="23"/>
      <c r="AB23" s="176">
        <v>4693</v>
      </c>
      <c r="AC23" s="11"/>
      <c r="AD23" s="23"/>
      <c r="AE23" s="176">
        <v>84</v>
      </c>
      <c r="AF23" s="11"/>
      <c r="AG23" s="23"/>
      <c r="AH23" s="176">
        <v>44128</v>
      </c>
      <c r="AI23" s="11"/>
      <c r="AJ23" s="23"/>
      <c r="AK23" s="176">
        <v>47254</v>
      </c>
      <c r="AL23" s="11"/>
      <c r="AM23" s="23"/>
      <c r="AN23" s="176">
        <v>3025</v>
      </c>
      <c r="AO23" s="10"/>
    </row>
    <row r="24" spans="1:44" s="204" customFormat="1" ht="12" customHeight="1">
      <c r="B24" s="5"/>
      <c r="C24" s="23"/>
      <c r="D24" s="176"/>
      <c r="E24" s="176"/>
      <c r="F24" s="23"/>
      <c r="G24" s="176"/>
      <c r="H24" s="176"/>
      <c r="I24" s="23"/>
      <c r="J24" s="176"/>
      <c r="K24" s="176"/>
      <c r="L24" s="23"/>
      <c r="M24" s="176"/>
      <c r="N24" s="176"/>
      <c r="O24" s="23"/>
      <c r="P24" s="176"/>
      <c r="Q24" s="176"/>
      <c r="R24" s="23"/>
      <c r="S24" s="176"/>
      <c r="T24" s="176"/>
      <c r="U24" s="23"/>
      <c r="V24" s="176"/>
      <c r="W24" s="176"/>
      <c r="X24" s="23"/>
      <c r="Y24" s="176"/>
      <c r="Z24" s="176"/>
      <c r="AA24" s="23"/>
      <c r="AB24" s="176"/>
      <c r="AC24" s="176"/>
      <c r="AD24" s="23"/>
      <c r="AE24" s="176"/>
      <c r="AF24" s="176"/>
      <c r="AG24" s="23"/>
      <c r="AH24" s="176"/>
      <c r="AI24" s="176"/>
      <c r="AJ24" s="23"/>
      <c r="AK24" s="176"/>
      <c r="AL24" s="176"/>
      <c r="AM24" s="23"/>
      <c r="AN24" s="176"/>
      <c r="AO24" s="10"/>
    </row>
    <row r="25" spans="1:44" s="204" customFormat="1" ht="12" customHeight="1">
      <c r="A25" s="220" t="s">
        <v>630</v>
      </c>
      <c r="B25" s="5"/>
      <c r="C25" s="23"/>
      <c r="D25" s="176">
        <v>823</v>
      </c>
      <c r="E25" s="176"/>
      <c r="F25" s="23"/>
      <c r="G25" s="176">
        <v>125</v>
      </c>
      <c r="H25" s="176"/>
      <c r="I25" s="23"/>
      <c r="J25" s="176">
        <v>406</v>
      </c>
      <c r="K25" s="176"/>
      <c r="L25" s="23"/>
      <c r="M25" s="176">
        <v>27</v>
      </c>
      <c r="N25" s="176"/>
      <c r="O25" s="23"/>
      <c r="P25" s="176">
        <v>523</v>
      </c>
      <c r="Q25" s="176"/>
      <c r="R25" s="23"/>
      <c r="S25" s="176">
        <v>39</v>
      </c>
      <c r="T25" s="176"/>
      <c r="U25" s="23"/>
      <c r="V25" s="176">
        <v>417</v>
      </c>
      <c r="W25" s="176"/>
      <c r="X25" s="23"/>
      <c r="Y25" s="176">
        <v>36</v>
      </c>
      <c r="Z25" s="176"/>
      <c r="AA25" s="23"/>
      <c r="AB25" s="176">
        <v>0</v>
      </c>
      <c r="AC25" s="176"/>
      <c r="AD25" s="23"/>
      <c r="AE25" s="176">
        <v>0</v>
      </c>
      <c r="AF25" s="176"/>
      <c r="AG25" s="23"/>
      <c r="AH25" s="176">
        <v>1999</v>
      </c>
      <c r="AI25" s="176"/>
      <c r="AJ25" s="23"/>
      <c r="AK25" s="176">
        <v>2169</v>
      </c>
      <c r="AL25" s="176"/>
      <c r="AM25" s="23"/>
      <c r="AN25" s="176">
        <v>227</v>
      </c>
      <c r="AO25" s="10"/>
    </row>
    <row r="26" spans="1:44" s="204" customFormat="1" ht="12" customHeight="1">
      <c r="A26" s="215"/>
      <c r="B26" s="5"/>
      <c r="C26" s="23"/>
      <c r="D26" s="176"/>
      <c r="E26" s="176"/>
      <c r="F26" s="23"/>
      <c r="G26" s="176"/>
      <c r="H26" s="176"/>
      <c r="I26" s="23"/>
      <c r="J26" s="176"/>
      <c r="K26" s="176"/>
      <c r="L26" s="23"/>
      <c r="M26" s="176"/>
      <c r="N26" s="176"/>
      <c r="O26" s="23"/>
      <c r="P26" s="176"/>
      <c r="Q26" s="176"/>
      <c r="R26" s="23"/>
      <c r="S26" s="176"/>
      <c r="T26" s="176"/>
      <c r="U26" s="23"/>
      <c r="V26" s="176"/>
      <c r="W26" s="176"/>
      <c r="X26" s="23"/>
      <c r="Y26" s="176"/>
      <c r="Z26" s="176"/>
      <c r="AA26" s="23"/>
      <c r="AB26" s="176"/>
      <c r="AC26" s="176"/>
      <c r="AD26" s="23"/>
      <c r="AE26" s="176"/>
      <c r="AF26" s="176"/>
      <c r="AG26" s="23"/>
      <c r="AH26" s="176"/>
      <c r="AI26" s="176"/>
      <c r="AJ26" s="23"/>
      <c r="AK26" s="176"/>
      <c r="AL26" s="176"/>
      <c r="AM26" s="23"/>
      <c r="AN26" s="176"/>
      <c r="AO26" s="10"/>
    </row>
    <row r="27" spans="1:44" s="204" customFormat="1" ht="12" customHeight="1">
      <c r="A27" s="220" t="s">
        <v>647</v>
      </c>
      <c r="B27" s="5"/>
      <c r="C27" s="11"/>
      <c r="D27" s="176"/>
      <c r="E27" s="176"/>
      <c r="F27" s="11"/>
      <c r="G27" s="176"/>
      <c r="H27" s="176"/>
      <c r="I27" s="11"/>
      <c r="J27" s="176"/>
      <c r="K27" s="176"/>
      <c r="L27" s="11"/>
      <c r="M27" s="176"/>
      <c r="N27" s="176"/>
      <c r="O27" s="11"/>
      <c r="P27" s="176"/>
      <c r="Q27" s="176"/>
      <c r="R27" s="11"/>
      <c r="S27" s="176"/>
      <c r="T27" s="176"/>
      <c r="U27" s="11"/>
      <c r="V27" s="176"/>
      <c r="W27" s="176"/>
      <c r="X27" s="11"/>
      <c r="Y27" s="176"/>
      <c r="Z27" s="176"/>
      <c r="AA27" s="11"/>
      <c r="AB27" s="176"/>
      <c r="AC27" s="176"/>
      <c r="AD27" s="11"/>
      <c r="AE27" s="176"/>
      <c r="AF27" s="176"/>
      <c r="AG27" s="11"/>
      <c r="AH27" s="176"/>
      <c r="AI27" s="176"/>
      <c r="AJ27" s="11"/>
      <c r="AK27" s="176"/>
      <c r="AL27" s="176"/>
      <c r="AM27" s="11"/>
      <c r="AN27" s="176"/>
      <c r="AO27" s="10"/>
    </row>
    <row r="28" spans="1:44" s="204" customFormat="1" ht="12" customHeight="1">
      <c r="A28" s="215" t="s">
        <v>160</v>
      </c>
      <c r="B28" s="5"/>
      <c r="C28" s="11"/>
      <c r="D28" s="176">
        <v>1726</v>
      </c>
      <c r="E28" s="176"/>
      <c r="F28" s="11"/>
      <c r="G28" s="176">
        <v>68</v>
      </c>
      <c r="H28" s="176"/>
      <c r="I28" s="11"/>
      <c r="J28" s="176">
        <v>0</v>
      </c>
      <c r="K28" s="176"/>
      <c r="L28" s="11"/>
      <c r="M28" s="176">
        <v>0</v>
      </c>
      <c r="N28" s="176"/>
      <c r="O28" s="11"/>
      <c r="P28" s="176">
        <v>0</v>
      </c>
      <c r="Q28" s="176"/>
      <c r="R28" s="11"/>
      <c r="S28" s="176">
        <v>0</v>
      </c>
      <c r="T28" s="176"/>
      <c r="U28" s="11"/>
      <c r="V28" s="176">
        <v>0</v>
      </c>
      <c r="W28" s="176"/>
      <c r="X28" s="11"/>
      <c r="Y28" s="176">
        <v>0</v>
      </c>
      <c r="Z28" s="176"/>
      <c r="AA28" s="11"/>
      <c r="AB28" s="176">
        <v>0</v>
      </c>
      <c r="AC28" s="176"/>
      <c r="AD28" s="11"/>
      <c r="AE28" s="176">
        <v>0</v>
      </c>
      <c r="AF28" s="176"/>
      <c r="AG28" s="11"/>
      <c r="AH28" s="176">
        <v>1624</v>
      </c>
      <c r="AI28" s="176"/>
      <c r="AJ28" s="11"/>
      <c r="AK28" s="176">
        <v>1726</v>
      </c>
      <c r="AL28" s="176"/>
      <c r="AM28" s="11"/>
      <c r="AN28" s="176">
        <v>68</v>
      </c>
      <c r="AO28" s="10"/>
    </row>
    <row r="29" spans="1:44" ht="11.4">
      <c r="A29" s="204" t="s">
        <v>161</v>
      </c>
      <c r="B29" s="2"/>
      <c r="C29" s="5"/>
      <c r="D29" s="176">
        <v>143</v>
      </c>
      <c r="E29" s="176"/>
      <c r="F29" s="11"/>
      <c r="G29" s="176">
        <v>4</v>
      </c>
      <c r="H29" s="176"/>
      <c r="I29" s="11"/>
      <c r="J29" s="176">
        <v>27</v>
      </c>
      <c r="K29" s="176"/>
      <c r="L29" s="11"/>
      <c r="M29" s="176">
        <v>1</v>
      </c>
      <c r="N29" s="176"/>
      <c r="O29" s="11"/>
      <c r="P29" s="176">
        <v>159</v>
      </c>
      <c r="Q29" s="176"/>
      <c r="R29" s="11"/>
      <c r="S29" s="176">
        <v>2</v>
      </c>
      <c r="T29" s="176"/>
      <c r="U29" s="11"/>
      <c r="V29" s="176">
        <v>23</v>
      </c>
      <c r="W29" s="176"/>
      <c r="X29" s="11"/>
      <c r="Y29" s="176">
        <v>0</v>
      </c>
      <c r="Z29" s="176"/>
      <c r="AA29" s="11"/>
      <c r="AB29" s="176">
        <v>440</v>
      </c>
      <c r="AC29" s="176"/>
      <c r="AD29" s="11"/>
      <c r="AE29" s="176">
        <v>-4</v>
      </c>
      <c r="AF29" s="176"/>
      <c r="AG29" s="11"/>
      <c r="AH29" s="176">
        <v>867</v>
      </c>
      <c r="AI29" s="176"/>
      <c r="AJ29" s="11"/>
      <c r="AK29" s="176">
        <v>792</v>
      </c>
      <c r="AL29" s="176"/>
      <c r="AM29" s="11"/>
      <c r="AN29" s="176">
        <v>3</v>
      </c>
      <c r="AO29" s="10"/>
      <c r="AP29" s="204"/>
      <c r="AQ29" s="204"/>
      <c r="AR29" s="204"/>
    </row>
    <row r="30" spans="1:44" s="204" customFormat="1" ht="12" customHeight="1">
      <c r="A30" s="215" t="s">
        <v>162</v>
      </c>
      <c r="B30" s="5"/>
      <c r="C30" s="11"/>
      <c r="D30" s="176">
        <v>0</v>
      </c>
      <c r="E30" s="176"/>
      <c r="F30" s="213"/>
      <c r="G30" s="176">
        <v>0</v>
      </c>
      <c r="H30" s="176"/>
      <c r="I30" s="213"/>
      <c r="J30" s="176">
        <v>10</v>
      </c>
      <c r="K30" s="176"/>
      <c r="L30" s="213"/>
      <c r="M30" s="176">
        <v>0</v>
      </c>
      <c r="N30" s="176"/>
      <c r="O30" s="213"/>
      <c r="P30" s="176">
        <v>60</v>
      </c>
      <c r="Q30" s="176"/>
      <c r="R30" s="213"/>
      <c r="S30" s="176">
        <v>1</v>
      </c>
      <c r="T30" s="176"/>
      <c r="U30" s="213"/>
      <c r="V30" s="176">
        <v>45</v>
      </c>
      <c r="W30" s="176"/>
      <c r="X30" s="213"/>
      <c r="Y30" s="176">
        <v>0</v>
      </c>
      <c r="Z30" s="176"/>
      <c r="AA30" s="213"/>
      <c r="AB30" s="176">
        <v>388</v>
      </c>
      <c r="AC30" s="176"/>
      <c r="AD30" s="213"/>
      <c r="AE30" s="176">
        <v>-43</v>
      </c>
      <c r="AF30" s="176"/>
      <c r="AG30" s="213"/>
      <c r="AH30" s="176">
        <v>790</v>
      </c>
      <c r="AI30" s="176"/>
      <c r="AJ30" s="213"/>
      <c r="AK30" s="176">
        <v>503</v>
      </c>
      <c r="AL30" s="176"/>
      <c r="AM30" s="213"/>
      <c r="AN30" s="176">
        <v>-42</v>
      </c>
      <c r="AO30" s="10"/>
    </row>
    <row r="31" spans="1:44" s="204" customFormat="1" ht="12" customHeight="1">
      <c r="A31" s="204" t="s">
        <v>163</v>
      </c>
      <c r="B31" s="5"/>
      <c r="C31" s="213"/>
      <c r="D31" s="39">
        <v>0</v>
      </c>
      <c r="E31" s="5"/>
      <c r="F31" s="5"/>
      <c r="G31" s="39">
        <v>0</v>
      </c>
      <c r="H31" s="5"/>
      <c r="I31" s="5"/>
      <c r="J31" s="39">
        <v>27</v>
      </c>
      <c r="K31" s="5"/>
      <c r="L31" s="5"/>
      <c r="M31" s="39">
        <v>-4</v>
      </c>
      <c r="N31" s="5"/>
      <c r="O31" s="5"/>
      <c r="P31" s="39">
        <v>36</v>
      </c>
      <c r="Q31" s="5"/>
      <c r="R31" s="5"/>
      <c r="S31" s="39">
        <v>-8</v>
      </c>
      <c r="T31" s="5"/>
      <c r="U31" s="5"/>
      <c r="V31" s="39">
        <v>37</v>
      </c>
      <c r="W31" s="5"/>
      <c r="X31" s="5"/>
      <c r="Y31" s="39">
        <v>-11</v>
      </c>
      <c r="Z31" s="5"/>
      <c r="AA31" s="5"/>
      <c r="AB31" s="39">
        <v>554</v>
      </c>
      <c r="AC31" s="5"/>
      <c r="AD31" s="5"/>
      <c r="AE31" s="39">
        <v>-218</v>
      </c>
      <c r="AF31" s="5"/>
      <c r="AG31" s="5"/>
      <c r="AH31" s="39">
        <v>1196</v>
      </c>
      <c r="AI31" s="5"/>
      <c r="AJ31" s="5"/>
      <c r="AK31" s="113">
        <v>654</v>
      </c>
      <c r="AL31" s="5"/>
      <c r="AM31" s="5"/>
      <c r="AN31" s="113">
        <v>-241</v>
      </c>
      <c r="AO31" s="10"/>
    </row>
    <row r="32" spans="1:44" s="204" customFormat="1" ht="12" customHeight="1">
      <c r="B32" s="5" t="s">
        <v>279</v>
      </c>
      <c r="C32" s="213"/>
      <c r="D32" s="176">
        <v>1869</v>
      </c>
      <c r="E32" s="176"/>
      <c r="F32" s="213"/>
      <c r="G32" s="176">
        <v>72</v>
      </c>
      <c r="H32" s="176"/>
      <c r="I32" s="213"/>
      <c r="J32" s="176">
        <v>64</v>
      </c>
      <c r="K32" s="176"/>
      <c r="L32" s="213"/>
      <c r="M32" s="176">
        <v>-3</v>
      </c>
      <c r="N32" s="176"/>
      <c r="O32" s="213"/>
      <c r="P32" s="176">
        <v>255</v>
      </c>
      <c r="Q32" s="176"/>
      <c r="R32" s="213"/>
      <c r="S32" s="176">
        <v>-5</v>
      </c>
      <c r="T32" s="176"/>
      <c r="U32" s="213"/>
      <c r="V32" s="176">
        <v>105</v>
      </c>
      <c r="W32" s="176"/>
      <c r="X32" s="213"/>
      <c r="Y32" s="176">
        <v>-11</v>
      </c>
      <c r="Z32" s="176"/>
      <c r="AA32" s="213"/>
      <c r="AB32" s="176">
        <v>1382</v>
      </c>
      <c r="AC32" s="176"/>
      <c r="AD32" s="213"/>
      <c r="AE32" s="176">
        <v>-265</v>
      </c>
      <c r="AF32" s="176"/>
      <c r="AG32" s="213"/>
      <c r="AH32" s="176">
        <v>4477</v>
      </c>
      <c r="AI32" s="176"/>
      <c r="AJ32" s="213"/>
      <c r="AK32" s="176">
        <v>3675</v>
      </c>
      <c r="AL32" s="176"/>
      <c r="AM32" s="213"/>
      <c r="AN32" s="176">
        <v>-212</v>
      </c>
      <c r="AO32" s="10"/>
    </row>
    <row r="33" spans="1:41" s="204" customFormat="1" ht="11.4">
      <c r="B33" s="5"/>
      <c r="C33" s="213"/>
      <c r="D33" s="176"/>
      <c r="E33" s="176"/>
      <c r="F33" s="213"/>
      <c r="G33" s="176"/>
      <c r="H33" s="176"/>
      <c r="I33" s="213"/>
      <c r="J33" s="176"/>
      <c r="K33" s="176"/>
      <c r="L33" s="213"/>
      <c r="M33" s="176"/>
      <c r="N33" s="176"/>
      <c r="O33" s="213"/>
      <c r="P33" s="176"/>
      <c r="Q33" s="176"/>
      <c r="R33" s="213"/>
      <c r="S33" s="176"/>
      <c r="T33" s="176"/>
      <c r="U33" s="213"/>
      <c r="V33" s="176"/>
      <c r="W33" s="176"/>
      <c r="X33" s="213"/>
      <c r="Y33" s="176"/>
      <c r="Z33" s="176"/>
      <c r="AA33" s="213"/>
      <c r="AB33" s="176"/>
      <c r="AC33" s="176"/>
      <c r="AD33" s="213"/>
      <c r="AE33" s="176"/>
      <c r="AF33" s="176"/>
      <c r="AG33" s="213"/>
      <c r="AH33" s="176"/>
      <c r="AI33" s="176"/>
      <c r="AJ33" s="213"/>
      <c r="AK33" s="176"/>
      <c r="AL33" s="176"/>
      <c r="AM33" s="213"/>
      <c r="AN33" s="176"/>
      <c r="AO33" s="10"/>
    </row>
    <row r="34" spans="1:41" s="204" customFormat="1" ht="11.4">
      <c r="A34" s="220" t="s">
        <v>648</v>
      </c>
      <c r="B34" s="5"/>
      <c r="C34" s="213"/>
      <c r="D34" s="176">
        <v>869</v>
      </c>
      <c r="E34" s="176"/>
      <c r="F34" s="213"/>
      <c r="G34" s="176">
        <v>43</v>
      </c>
      <c r="H34" s="176"/>
      <c r="I34" s="213"/>
      <c r="J34" s="176">
        <v>170</v>
      </c>
      <c r="K34" s="176"/>
      <c r="L34" s="213"/>
      <c r="M34" s="176">
        <v>3</v>
      </c>
      <c r="N34" s="176"/>
      <c r="O34" s="213"/>
      <c r="P34" s="176">
        <v>193</v>
      </c>
      <c r="Q34" s="176"/>
      <c r="R34" s="213"/>
      <c r="S34" s="176">
        <v>-12</v>
      </c>
      <c r="T34" s="176"/>
      <c r="U34" s="213"/>
      <c r="V34" s="176">
        <v>237</v>
      </c>
      <c r="W34" s="176"/>
      <c r="X34" s="213"/>
      <c r="Y34" s="176">
        <v>-41</v>
      </c>
      <c r="Z34" s="176"/>
      <c r="AA34" s="213"/>
      <c r="AB34" s="176">
        <v>247</v>
      </c>
      <c r="AC34" s="176"/>
      <c r="AD34" s="213"/>
      <c r="AE34" s="176">
        <v>-108</v>
      </c>
      <c r="AF34" s="176"/>
      <c r="AG34" s="213"/>
      <c r="AH34" s="176">
        <v>1905</v>
      </c>
      <c r="AI34" s="176"/>
      <c r="AJ34" s="213"/>
      <c r="AK34" s="176">
        <v>1716</v>
      </c>
      <c r="AL34" s="176"/>
      <c r="AM34" s="213"/>
      <c r="AN34" s="176">
        <v>-115</v>
      </c>
      <c r="AO34" s="10"/>
    </row>
    <row r="35" spans="1:41" s="204" customFormat="1" ht="11.4">
      <c r="A35" s="220"/>
      <c r="B35" s="5"/>
      <c r="C35" s="213"/>
      <c r="D35" s="176"/>
      <c r="E35" s="176"/>
      <c r="F35" s="213"/>
      <c r="G35" s="176"/>
      <c r="H35" s="176"/>
      <c r="I35" s="213"/>
      <c r="J35" s="176"/>
      <c r="K35" s="176"/>
      <c r="L35" s="213"/>
      <c r="M35" s="176"/>
      <c r="N35" s="176"/>
      <c r="O35" s="213"/>
      <c r="P35" s="176"/>
      <c r="Q35" s="176"/>
      <c r="R35" s="213"/>
      <c r="S35" s="176"/>
      <c r="T35" s="176"/>
      <c r="U35" s="213"/>
      <c r="V35" s="176"/>
      <c r="W35" s="176"/>
      <c r="X35" s="213"/>
      <c r="Y35" s="176"/>
      <c r="Z35" s="176"/>
      <c r="AA35" s="213"/>
      <c r="AB35" s="176"/>
      <c r="AC35" s="176"/>
      <c r="AD35" s="213"/>
      <c r="AE35" s="176"/>
      <c r="AF35" s="176"/>
      <c r="AG35" s="213"/>
      <c r="AH35" s="176"/>
      <c r="AI35" s="176"/>
      <c r="AJ35" s="213"/>
      <c r="AK35" s="176"/>
      <c r="AL35" s="176"/>
      <c r="AM35" s="213"/>
      <c r="AN35" s="176"/>
      <c r="AO35" s="10"/>
    </row>
    <row r="36" spans="1:41" s="204" customFormat="1" ht="11.4">
      <c r="A36" s="220" t="s">
        <v>649</v>
      </c>
      <c r="B36" s="5"/>
      <c r="C36" s="213"/>
      <c r="D36" s="176"/>
      <c r="E36" s="176"/>
      <c r="F36" s="213"/>
      <c r="G36" s="176"/>
      <c r="H36" s="176"/>
      <c r="I36" s="213"/>
      <c r="J36" s="176"/>
      <c r="K36" s="176"/>
      <c r="L36" s="213"/>
      <c r="M36" s="176"/>
      <c r="N36" s="176"/>
      <c r="O36" s="213"/>
      <c r="P36" s="176"/>
      <c r="Q36" s="176"/>
      <c r="R36" s="213"/>
      <c r="S36" s="176"/>
      <c r="T36" s="176"/>
      <c r="U36" s="213"/>
      <c r="V36" s="176"/>
      <c r="W36" s="176"/>
      <c r="X36" s="213"/>
      <c r="Y36" s="176"/>
      <c r="Z36" s="176"/>
      <c r="AA36" s="213"/>
      <c r="AB36" s="176"/>
      <c r="AC36" s="176"/>
      <c r="AD36" s="213"/>
      <c r="AE36" s="176"/>
      <c r="AF36" s="176"/>
      <c r="AG36" s="213"/>
      <c r="AH36" s="176"/>
      <c r="AI36" s="176"/>
      <c r="AJ36" s="213"/>
      <c r="AK36" s="176"/>
      <c r="AL36" s="176"/>
      <c r="AM36" s="213"/>
      <c r="AN36" s="176"/>
      <c r="AO36" s="10"/>
    </row>
    <row r="37" spans="1:41" s="204" customFormat="1" ht="11.4">
      <c r="A37" s="215" t="s">
        <v>164</v>
      </c>
      <c r="B37" s="5"/>
      <c r="C37" s="213"/>
      <c r="D37" s="176">
        <v>140</v>
      </c>
      <c r="E37" s="176"/>
      <c r="F37" s="213"/>
      <c r="G37" s="176">
        <v>1</v>
      </c>
      <c r="H37" s="176"/>
      <c r="I37" s="213"/>
      <c r="J37" s="176">
        <v>697</v>
      </c>
      <c r="K37" s="176"/>
      <c r="L37" s="213"/>
      <c r="M37" s="176">
        <v>-15</v>
      </c>
      <c r="N37" s="176"/>
      <c r="O37" s="213"/>
      <c r="P37" s="176">
        <v>279</v>
      </c>
      <c r="Q37" s="176"/>
      <c r="R37" s="213"/>
      <c r="S37" s="176">
        <v>-54</v>
      </c>
      <c r="T37" s="176"/>
      <c r="U37" s="213"/>
      <c r="V37" s="176">
        <v>152</v>
      </c>
      <c r="W37" s="176"/>
      <c r="X37" s="213"/>
      <c r="Y37" s="176">
        <v>-44</v>
      </c>
      <c r="Z37" s="176"/>
      <c r="AA37" s="213"/>
      <c r="AB37" s="176">
        <v>274</v>
      </c>
      <c r="AC37" s="176"/>
      <c r="AD37" s="213"/>
      <c r="AE37" s="176">
        <v>-51</v>
      </c>
      <c r="AF37" s="176"/>
      <c r="AG37" s="213"/>
      <c r="AH37" s="176">
        <v>1876</v>
      </c>
      <c r="AI37" s="176"/>
      <c r="AJ37" s="213"/>
      <c r="AK37" s="176">
        <v>1542</v>
      </c>
      <c r="AL37" s="176"/>
      <c r="AM37" s="213"/>
      <c r="AN37" s="176">
        <v>-163</v>
      </c>
      <c r="AO37" s="10"/>
    </row>
    <row r="38" spans="1:41" s="204" customFormat="1" ht="11.4">
      <c r="A38" s="215" t="s">
        <v>165</v>
      </c>
      <c r="B38" s="5"/>
      <c r="C38" s="11"/>
      <c r="D38" s="113">
        <v>1235</v>
      </c>
      <c r="E38" s="176"/>
      <c r="F38" s="213"/>
      <c r="G38" s="113">
        <v>42</v>
      </c>
      <c r="H38" s="176"/>
      <c r="I38" s="213"/>
      <c r="J38" s="113">
        <v>373</v>
      </c>
      <c r="K38" s="176"/>
      <c r="L38" s="213"/>
      <c r="M38" s="113">
        <v>5</v>
      </c>
      <c r="N38" s="176"/>
      <c r="O38" s="213"/>
      <c r="P38" s="113">
        <v>487</v>
      </c>
      <c r="Q38" s="176"/>
      <c r="R38" s="213"/>
      <c r="S38" s="113">
        <v>8</v>
      </c>
      <c r="T38" s="176"/>
      <c r="U38" s="213"/>
      <c r="V38" s="113">
        <v>297</v>
      </c>
      <c r="W38" s="176"/>
      <c r="X38" s="213"/>
      <c r="Y38" s="113">
        <v>6</v>
      </c>
      <c r="Z38" s="176"/>
      <c r="AA38" s="213"/>
      <c r="AB38" s="113">
        <v>15</v>
      </c>
      <c r="AC38" s="176"/>
      <c r="AD38" s="213"/>
      <c r="AE38" s="113">
        <v>-3</v>
      </c>
      <c r="AF38" s="176"/>
      <c r="AG38" s="213"/>
      <c r="AH38" s="113">
        <v>2380</v>
      </c>
      <c r="AI38" s="176"/>
      <c r="AJ38" s="213"/>
      <c r="AK38" s="113">
        <v>2407</v>
      </c>
      <c r="AL38" s="176"/>
      <c r="AM38" s="213"/>
      <c r="AN38" s="113">
        <v>58</v>
      </c>
      <c r="AO38" s="10"/>
    </row>
    <row r="39" spans="1:41" s="204" customFormat="1" ht="11.4">
      <c r="A39" s="215"/>
      <c r="B39" s="5" t="s">
        <v>279</v>
      </c>
      <c r="C39" s="11"/>
      <c r="D39" s="176">
        <v>1375</v>
      </c>
      <c r="E39" s="176"/>
      <c r="F39" s="213"/>
      <c r="G39" s="176">
        <v>43</v>
      </c>
      <c r="H39" s="176"/>
      <c r="I39" s="213"/>
      <c r="J39" s="176">
        <v>1070</v>
      </c>
      <c r="K39" s="176"/>
      <c r="L39" s="213"/>
      <c r="M39" s="176">
        <v>-10</v>
      </c>
      <c r="N39" s="176"/>
      <c r="O39" s="213"/>
      <c r="P39" s="176">
        <v>766</v>
      </c>
      <c r="Q39" s="176"/>
      <c r="R39" s="213"/>
      <c r="S39" s="176">
        <v>-46</v>
      </c>
      <c r="T39" s="176"/>
      <c r="U39" s="213"/>
      <c r="V39" s="176">
        <v>449</v>
      </c>
      <c r="W39" s="176"/>
      <c r="X39" s="213"/>
      <c r="Y39" s="176">
        <v>-38</v>
      </c>
      <c r="Z39" s="176"/>
      <c r="AA39" s="213"/>
      <c r="AB39" s="176">
        <v>289</v>
      </c>
      <c r="AC39" s="176"/>
      <c r="AD39" s="213"/>
      <c r="AE39" s="176">
        <v>-54</v>
      </c>
      <c r="AF39" s="176"/>
      <c r="AG39" s="213"/>
      <c r="AH39" s="176">
        <v>4256</v>
      </c>
      <c r="AI39" s="176"/>
      <c r="AJ39" s="213"/>
      <c r="AK39" s="176">
        <v>3949</v>
      </c>
      <c r="AL39" s="176"/>
      <c r="AM39" s="213"/>
      <c r="AN39" s="176">
        <v>-105</v>
      </c>
      <c r="AO39" s="10"/>
    </row>
    <row r="40" spans="1:41" s="204" customFormat="1" ht="11.4">
      <c r="B40" s="5"/>
      <c r="C40" s="213"/>
      <c r="D40" s="176"/>
      <c r="E40" s="176"/>
      <c r="F40" s="213"/>
      <c r="G40" s="176"/>
      <c r="H40" s="176"/>
      <c r="I40" s="213"/>
      <c r="J40" s="176"/>
      <c r="K40" s="176"/>
      <c r="L40" s="213"/>
      <c r="M40" s="176"/>
      <c r="N40" s="176"/>
      <c r="O40" s="213"/>
      <c r="P40" s="176"/>
      <c r="Q40" s="176"/>
      <c r="R40" s="213"/>
      <c r="S40" s="176"/>
      <c r="T40" s="176"/>
      <c r="U40" s="213"/>
      <c r="V40" s="176"/>
      <c r="W40" s="176"/>
      <c r="X40" s="213"/>
      <c r="Y40" s="176"/>
      <c r="Z40" s="176"/>
      <c r="AA40" s="213"/>
      <c r="AB40" s="176"/>
      <c r="AC40" s="176"/>
      <c r="AD40" s="213"/>
      <c r="AE40" s="176"/>
      <c r="AF40" s="176"/>
      <c r="AG40" s="213"/>
      <c r="AH40" s="176"/>
      <c r="AI40" s="176"/>
      <c r="AJ40" s="213"/>
      <c r="AK40" s="176"/>
      <c r="AL40" s="176"/>
      <c r="AM40" s="213"/>
      <c r="AN40" s="176"/>
      <c r="AO40" s="10"/>
    </row>
    <row r="41" spans="1:41" s="204" customFormat="1" ht="11.4">
      <c r="A41" s="220" t="s">
        <v>634</v>
      </c>
      <c r="B41" s="5"/>
      <c r="C41" s="213"/>
      <c r="D41" s="176">
        <v>0</v>
      </c>
      <c r="E41" s="176"/>
      <c r="F41" s="213"/>
      <c r="G41" s="176">
        <v>0</v>
      </c>
      <c r="H41" s="176"/>
      <c r="I41" s="213"/>
      <c r="J41" s="176">
        <v>1</v>
      </c>
      <c r="K41" s="176"/>
      <c r="L41" s="213"/>
      <c r="M41" s="176">
        <v>0</v>
      </c>
      <c r="N41" s="176"/>
      <c r="O41" s="213"/>
      <c r="P41" s="176">
        <v>0</v>
      </c>
      <c r="Q41" s="176"/>
      <c r="R41" s="213"/>
      <c r="S41" s="176">
        <v>0</v>
      </c>
      <c r="T41" s="176"/>
      <c r="U41" s="213"/>
      <c r="V41" s="176">
        <v>24</v>
      </c>
      <c r="W41" s="176"/>
      <c r="X41" s="213"/>
      <c r="Y41" s="176">
        <v>2</v>
      </c>
      <c r="Z41" s="176"/>
      <c r="AA41" s="213"/>
      <c r="AB41" s="176">
        <v>0</v>
      </c>
      <c r="AC41" s="176"/>
      <c r="AD41" s="213"/>
      <c r="AE41" s="176">
        <v>0</v>
      </c>
      <c r="AF41" s="176"/>
      <c r="AG41" s="213"/>
      <c r="AH41" s="176">
        <v>23</v>
      </c>
      <c r="AI41" s="176"/>
      <c r="AJ41" s="213"/>
      <c r="AK41" s="176">
        <v>25</v>
      </c>
      <c r="AL41" s="176"/>
      <c r="AM41" s="213"/>
      <c r="AN41" s="176">
        <v>2</v>
      </c>
      <c r="AO41" s="10"/>
    </row>
    <row r="42" spans="1:41" s="204" customFormat="1" ht="12" thickBot="1">
      <c r="A42" s="220" t="s">
        <v>166</v>
      </c>
      <c r="B42" s="5"/>
      <c r="C42" s="213" t="s">
        <v>108</v>
      </c>
      <c r="D42" s="196">
        <v>13920</v>
      </c>
      <c r="E42" s="11"/>
      <c r="F42" s="213" t="s">
        <v>108</v>
      </c>
      <c r="G42" s="196">
        <v>855</v>
      </c>
      <c r="H42" s="11"/>
      <c r="I42" s="213" t="s">
        <v>108</v>
      </c>
      <c r="J42" s="196">
        <v>12988</v>
      </c>
      <c r="K42" s="15"/>
      <c r="L42" s="213" t="s">
        <v>108</v>
      </c>
      <c r="M42" s="196">
        <v>886</v>
      </c>
      <c r="N42" s="11"/>
      <c r="O42" s="213" t="s">
        <v>108</v>
      </c>
      <c r="P42" s="196">
        <v>21242</v>
      </c>
      <c r="Q42" s="11"/>
      <c r="R42" s="213" t="s">
        <v>108</v>
      </c>
      <c r="S42" s="196">
        <v>1568</v>
      </c>
      <c r="T42" s="11"/>
      <c r="U42" s="213" t="s">
        <v>108</v>
      </c>
      <c r="V42" s="196">
        <v>22561</v>
      </c>
      <c r="W42" s="11"/>
      <c r="X42" s="213" t="s">
        <v>108</v>
      </c>
      <c r="Y42" s="196">
        <v>1110</v>
      </c>
      <c r="Z42" s="11"/>
      <c r="AA42" s="213" t="s">
        <v>108</v>
      </c>
      <c r="AB42" s="196">
        <v>7215</v>
      </c>
      <c r="AC42" s="176"/>
      <c r="AD42" s="213" t="s">
        <v>108</v>
      </c>
      <c r="AE42" s="196">
        <v>-418</v>
      </c>
      <c r="AF42" s="11"/>
      <c r="AG42" s="213" t="s">
        <v>108</v>
      </c>
      <c r="AH42" s="196">
        <v>76690</v>
      </c>
      <c r="AI42" s="176"/>
      <c r="AJ42" s="213" t="s">
        <v>108</v>
      </c>
      <c r="AK42" s="196">
        <v>77926</v>
      </c>
      <c r="AL42" s="176"/>
      <c r="AM42" s="213" t="s">
        <v>108</v>
      </c>
      <c r="AN42" s="196">
        <v>4001</v>
      </c>
      <c r="AO42" s="10"/>
    </row>
    <row r="43" spans="1:41" s="204" customFormat="1" ht="12" thickTop="1">
      <c r="B43" s="5"/>
      <c r="C43" s="213"/>
      <c r="D43" s="23"/>
      <c r="E43" s="11"/>
      <c r="F43" s="11"/>
      <c r="G43" s="176"/>
      <c r="H43" s="11"/>
      <c r="I43" s="213"/>
      <c r="J43" s="176"/>
      <c r="K43" s="594"/>
      <c r="L43" s="213"/>
      <c r="M43" s="176"/>
      <c r="N43" s="11"/>
      <c r="O43" s="213"/>
      <c r="P43" s="23"/>
      <c r="Q43" s="11"/>
      <c r="R43" s="11"/>
      <c r="S43" s="176"/>
      <c r="T43" s="11"/>
      <c r="U43" s="213"/>
      <c r="V43" s="176"/>
      <c r="W43" s="11"/>
      <c r="X43" s="213"/>
      <c r="Y43" s="176"/>
      <c r="Z43" s="11"/>
      <c r="AA43" s="213"/>
      <c r="AB43" s="176"/>
      <c r="AC43" s="176"/>
      <c r="AD43" s="213"/>
      <c r="AE43" s="176"/>
      <c r="AF43" s="11"/>
      <c r="AG43" s="213"/>
      <c r="AH43" s="176"/>
      <c r="AI43" s="176"/>
      <c r="AJ43" s="176"/>
      <c r="AK43" s="176"/>
      <c r="AL43" s="176"/>
      <c r="AM43" s="213"/>
      <c r="AN43" s="176"/>
      <c r="AO43" s="10"/>
    </row>
    <row r="44" spans="1:41" ht="14.4">
      <c r="A44" s="723"/>
      <c r="B44" s="724"/>
      <c r="C44" s="724"/>
      <c r="D44" s="724"/>
      <c r="E44" s="724"/>
      <c r="F44" s="724"/>
      <c r="G44" s="724"/>
      <c r="H44" s="724"/>
      <c r="I44" s="724"/>
      <c r="J44" s="724"/>
      <c r="K44" s="724"/>
      <c r="L44" s="724"/>
      <c r="M44" s="724"/>
      <c r="N44" s="724"/>
      <c r="O44" s="724"/>
      <c r="P44" s="724"/>
      <c r="Q44" s="724"/>
      <c r="R44" s="724"/>
      <c r="S44" s="724"/>
      <c r="T44" s="724"/>
      <c r="U44" s="724"/>
      <c r="V44" s="724"/>
      <c r="W44" s="724"/>
      <c r="X44" s="724"/>
      <c r="Y44" s="724"/>
      <c r="Z44" s="724"/>
      <c r="AA44" s="724"/>
      <c r="AB44" s="724"/>
      <c r="AC44" s="724"/>
      <c r="AD44" s="724"/>
      <c r="AE44" s="724"/>
      <c r="AF44" s="724"/>
      <c r="AG44" s="724"/>
      <c r="AH44" s="724"/>
      <c r="AI44" s="724"/>
      <c r="AJ44" s="724"/>
      <c r="AK44" s="724"/>
      <c r="AL44" s="724"/>
      <c r="AM44" s="724"/>
      <c r="AN44" s="724"/>
    </row>
    <row r="45" spans="1:41" ht="14.4">
      <c r="A45" s="724"/>
      <c r="B45" s="724"/>
      <c r="C45" s="724"/>
      <c r="D45" s="724"/>
      <c r="E45" s="724"/>
      <c r="F45" s="724"/>
      <c r="G45" s="724"/>
      <c r="H45" s="724"/>
      <c r="I45" s="724"/>
      <c r="J45" s="724"/>
      <c r="K45" s="724"/>
      <c r="L45" s="724"/>
      <c r="M45" s="724"/>
      <c r="N45" s="724"/>
      <c r="O45" s="724"/>
      <c r="P45" s="724"/>
      <c r="Q45" s="724"/>
      <c r="R45" s="724"/>
      <c r="S45" s="724"/>
      <c r="T45" s="724"/>
      <c r="U45" s="724"/>
      <c r="V45" s="724"/>
      <c r="W45" s="724"/>
      <c r="X45" s="724"/>
      <c r="Y45" s="724"/>
      <c r="Z45" s="724"/>
      <c r="AA45" s="724"/>
      <c r="AB45" s="724"/>
      <c r="AC45" s="724"/>
      <c r="AD45" s="724"/>
      <c r="AE45" s="724"/>
      <c r="AF45" s="724"/>
      <c r="AG45" s="724"/>
      <c r="AH45" s="724"/>
      <c r="AI45" s="724"/>
      <c r="AJ45" s="724"/>
      <c r="AK45" s="724"/>
      <c r="AL45" s="724"/>
      <c r="AM45" s="724"/>
      <c r="AN45" s="724"/>
    </row>
    <row r="46" spans="1:41">
      <c r="S46" s="191"/>
      <c r="T46" s="2"/>
      <c r="U46" s="2"/>
    </row>
    <row r="47" spans="1:41">
      <c r="S47" s="191"/>
      <c r="T47" s="2"/>
      <c r="U47" s="2"/>
    </row>
  </sheetData>
  <mergeCells count="10">
    <mergeCell ref="A1:AN1"/>
    <mergeCell ref="A2:AN2"/>
    <mergeCell ref="A3:AN3"/>
    <mergeCell ref="D5:AN5"/>
    <mergeCell ref="AB7:AE7"/>
    <mergeCell ref="AH7:AN7"/>
    <mergeCell ref="D7:G7"/>
    <mergeCell ref="J7:M7"/>
    <mergeCell ref="P7:S7"/>
    <mergeCell ref="V7:Y7"/>
  </mergeCells>
  <phoneticPr fontId="24" type="noConversion"/>
  <printOptions horizontalCentered="1"/>
  <pageMargins left="0.25" right="0.25" top="0.5" bottom="0.25" header="0.3" footer="0.25"/>
  <pageSetup scale="65" orientation="landscape" r:id="rId1"/>
  <headerFooter alignWithMargins="0">
    <oddFooter>&amp;R&amp;A</oddFooter>
  </headerFooter>
</worksheet>
</file>

<file path=xl/worksheets/sheet44.xml><?xml version="1.0" encoding="utf-8"?>
<worksheet xmlns="http://schemas.openxmlformats.org/spreadsheetml/2006/main" xmlns:r="http://schemas.openxmlformats.org/officeDocument/2006/relationships">
  <dimension ref="A1:AF47"/>
  <sheetViews>
    <sheetView zoomScale="75" zoomScaleNormal="75" workbookViewId="0">
      <selection sqref="A1:Z1"/>
    </sheetView>
  </sheetViews>
  <sheetFormatPr defaultColWidth="9.109375" defaultRowHeight="11.4"/>
  <cols>
    <col min="1" max="2" width="3.33203125" style="117" customWidth="1"/>
    <col min="3" max="3" width="27.109375" style="121" customWidth="1"/>
    <col min="4" max="4" width="2.44140625" style="117" customWidth="1"/>
    <col min="5" max="5" width="8.88671875" style="117" customWidth="1"/>
    <col min="6" max="7" width="2.44140625" style="117" customWidth="1"/>
    <col min="8" max="8" width="8.88671875" style="117" customWidth="1"/>
    <col min="9" max="10" width="2.44140625" style="117" customWidth="1"/>
    <col min="11" max="11" width="8.88671875" style="117" customWidth="1"/>
    <col min="12" max="13" width="2.44140625" style="117" customWidth="1"/>
    <col min="14" max="14" width="8.88671875" style="117" customWidth="1"/>
    <col min="15" max="16" width="2.44140625" style="117" customWidth="1"/>
    <col min="17" max="17" width="8.88671875" style="117" customWidth="1"/>
    <col min="18" max="19" width="2.44140625" style="117" customWidth="1"/>
    <col min="20" max="20" width="8.88671875" style="117" customWidth="1"/>
    <col min="21" max="22" width="2.44140625" style="117" customWidth="1"/>
    <col min="23" max="23" width="8.88671875" style="117" customWidth="1"/>
    <col min="24" max="25" width="2.44140625" style="117" customWidth="1"/>
    <col min="26" max="26" width="8.88671875" style="117" customWidth="1"/>
    <col min="27" max="27" width="8.44140625" style="117" customWidth="1"/>
    <col min="28" max="52" width="9.6640625" style="117" customWidth="1"/>
    <col min="53" max="16384" width="9.109375" style="117"/>
  </cols>
  <sheetData>
    <row r="1" spans="1:26" ht="13.2">
      <c r="A1" s="978" t="s">
        <v>96</v>
      </c>
      <c r="B1" s="978"/>
      <c r="C1" s="978"/>
      <c r="D1" s="978"/>
      <c r="E1" s="978"/>
      <c r="F1" s="978"/>
      <c r="G1" s="978"/>
      <c r="H1" s="978"/>
      <c r="I1" s="978"/>
      <c r="J1" s="978"/>
      <c r="K1" s="978"/>
      <c r="L1" s="978"/>
      <c r="M1" s="978"/>
      <c r="N1" s="978"/>
      <c r="O1" s="978"/>
      <c r="P1" s="978"/>
      <c r="Q1" s="978"/>
      <c r="R1" s="978"/>
      <c r="S1" s="978"/>
      <c r="T1" s="978"/>
      <c r="U1" s="978"/>
      <c r="V1" s="978"/>
      <c r="W1" s="978"/>
      <c r="X1" s="978"/>
      <c r="Y1" s="978"/>
      <c r="Z1" s="978"/>
    </row>
    <row r="2" spans="1:26" ht="13.2">
      <c r="A2" s="978" t="s">
        <v>167</v>
      </c>
      <c r="B2" s="978"/>
      <c r="C2" s="978"/>
      <c r="D2" s="978"/>
      <c r="E2" s="978"/>
      <c r="F2" s="978"/>
      <c r="G2" s="978"/>
      <c r="H2" s="978"/>
      <c r="I2" s="978"/>
      <c r="J2" s="978"/>
      <c r="K2" s="978"/>
      <c r="L2" s="978"/>
      <c r="M2" s="978"/>
      <c r="N2" s="978"/>
      <c r="O2" s="978"/>
      <c r="P2" s="978"/>
      <c r="Q2" s="978"/>
      <c r="R2" s="978"/>
      <c r="S2" s="978"/>
      <c r="T2" s="978"/>
      <c r="U2" s="978"/>
      <c r="V2" s="978"/>
      <c r="W2" s="978"/>
      <c r="X2" s="978"/>
      <c r="Y2" s="978"/>
      <c r="Z2" s="978"/>
    </row>
    <row r="3" spans="1:26">
      <c r="A3" s="979" t="s">
        <v>800</v>
      </c>
      <c r="B3" s="979"/>
      <c r="C3" s="979"/>
      <c r="D3" s="979"/>
      <c r="E3" s="979"/>
      <c r="F3" s="979"/>
      <c r="G3" s="979"/>
      <c r="H3" s="979"/>
      <c r="I3" s="979"/>
      <c r="J3" s="979"/>
      <c r="K3" s="979"/>
      <c r="L3" s="979"/>
      <c r="M3" s="979"/>
      <c r="N3" s="979"/>
      <c r="O3" s="979"/>
      <c r="P3" s="979"/>
      <c r="Q3" s="979"/>
      <c r="R3" s="979"/>
      <c r="S3" s="979"/>
      <c r="T3" s="979"/>
      <c r="U3" s="979"/>
      <c r="V3" s="979"/>
      <c r="W3" s="979"/>
      <c r="X3" s="979"/>
      <c r="Y3" s="979"/>
      <c r="Z3" s="979"/>
    </row>
    <row r="5" spans="1:26">
      <c r="D5" s="975" t="s">
        <v>99</v>
      </c>
      <c r="E5" s="975"/>
      <c r="F5" s="975"/>
      <c r="G5" s="975"/>
      <c r="H5" s="975"/>
      <c r="I5" s="975"/>
      <c r="J5" s="975"/>
      <c r="K5" s="975"/>
      <c r="L5" s="975"/>
      <c r="M5" s="975"/>
      <c r="N5" s="975"/>
      <c r="O5" s="975"/>
      <c r="P5" s="975"/>
      <c r="Q5" s="975"/>
      <c r="R5" s="975"/>
      <c r="S5" s="975"/>
      <c r="T5" s="975"/>
      <c r="U5" s="6"/>
      <c r="W5" s="981" t="s">
        <v>100</v>
      </c>
      <c r="X5" s="981"/>
      <c r="Y5" s="981"/>
      <c r="Z5" s="981"/>
    </row>
    <row r="6" spans="1:26" ht="12" thickBot="1">
      <c r="H6" s="122"/>
      <c r="I6" s="122"/>
      <c r="K6" s="122"/>
      <c r="L6" s="122"/>
      <c r="M6" s="122"/>
      <c r="N6" s="122"/>
      <c r="O6" s="122"/>
      <c r="P6" s="122"/>
      <c r="Q6" s="122"/>
      <c r="R6" s="122"/>
      <c r="S6" s="122"/>
      <c r="T6" s="122"/>
    </row>
    <row r="7" spans="1:26">
      <c r="D7" s="118"/>
      <c r="E7" s="119" t="s">
        <v>104</v>
      </c>
      <c r="F7" s="725"/>
      <c r="G7" s="121"/>
      <c r="H7" s="122" t="s">
        <v>105</v>
      </c>
      <c r="I7" s="122"/>
      <c r="J7" s="121"/>
      <c r="K7" s="122" t="s">
        <v>102</v>
      </c>
      <c r="L7" s="122"/>
      <c r="M7" s="121"/>
      <c r="N7" s="122" t="s">
        <v>103</v>
      </c>
      <c r="O7" s="122"/>
      <c r="P7" s="118"/>
      <c r="Q7" s="119" t="s">
        <v>104</v>
      </c>
      <c r="R7" s="725"/>
      <c r="S7" s="121"/>
      <c r="T7" s="122" t="s">
        <v>105</v>
      </c>
      <c r="U7" s="121"/>
      <c r="V7" s="121"/>
      <c r="W7" s="122" t="s">
        <v>595</v>
      </c>
      <c r="X7" s="122"/>
      <c r="Y7" s="121"/>
      <c r="Z7" s="130" t="s">
        <v>595</v>
      </c>
    </row>
    <row r="8" spans="1:26">
      <c r="D8" s="125"/>
      <c r="E8" s="126">
        <v>2012</v>
      </c>
      <c r="F8" s="726"/>
      <c r="G8" s="128"/>
      <c r="H8" s="126">
        <v>2012</v>
      </c>
      <c r="I8" s="121"/>
      <c r="J8" s="128"/>
      <c r="K8" s="126">
        <v>2011</v>
      </c>
      <c r="L8" s="121"/>
      <c r="M8" s="128"/>
      <c r="N8" s="126">
        <v>2011</v>
      </c>
      <c r="O8" s="121"/>
      <c r="P8" s="125"/>
      <c r="Q8" s="126">
        <v>2011</v>
      </c>
      <c r="R8" s="726"/>
      <c r="S8" s="128"/>
      <c r="T8" s="126">
        <v>2011</v>
      </c>
      <c r="U8" s="128"/>
      <c r="V8" s="121"/>
      <c r="W8" s="126">
        <v>2012</v>
      </c>
      <c r="X8" s="698"/>
      <c r="Y8" s="128"/>
      <c r="Z8" s="126">
        <v>2011</v>
      </c>
    </row>
    <row r="9" spans="1:26">
      <c r="A9" s="135"/>
      <c r="B9" s="135"/>
      <c r="C9" s="601"/>
      <c r="D9" s="133"/>
      <c r="E9" s="121"/>
      <c r="F9" s="134"/>
      <c r="G9" s="121"/>
      <c r="H9" s="121"/>
      <c r="I9" s="121"/>
      <c r="J9" s="121"/>
      <c r="K9" s="121"/>
      <c r="L9" s="121"/>
      <c r="M9" s="121"/>
      <c r="N9" s="121"/>
      <c r="O9" s="121"/>
      <c r="P9" s="133"/>
      <c r="Q9" s="121"/>
      <c r="R9" s="134"/>
      <c r="S9" s="121"/>
      <c r="T9" s="121"/>
      <c r="U9" s="121"/>
      <c r="V9" s="121"/>
      <c r="W9" s="121"/>
      <c r="X9" s="121"/>
      <c r="Y9" s="121"/>
      <c r="Z9" s="121"/>
    </row>
    <row r="10" spans="1:26">
      <c r="A10" s="135"/>
      <c r="B10" s="135"/>
      <c r="C10" s="601"/>
      <c r="D10" s="133"/>
      <c r="E10" s="121"/>
      <c r="F10" s="134"/>
      <c r="G10" s="121"/>
      <c r="H10" s="121"/>
      <c r="I10" s="121"/>
      <c r="J10" s="121"/>
      <c r="K10" s="121"/>
      <c r="L10" s="121"/>
      <c r="M10" s="121"/>
      <c r="N10" s="121"/>
      <c r="O10" s="121"/>
      <c r="P10" s="133"/>
      <c r="Q10" s="121"/>
      <c r="R10" s="134"/>
      <c r="S10" s="121"/>
      <c r="T10" s="121"/>
      <c r="U10" s="121"/>
      <c r="V10" s="121"/>
      <c r="W10" s="121"/>
      <c r="X10" s="121"/>
      <c r="Y10" s="121"/>
      <c r="Z10" s="121"/>
    </row>
    <row r="11" spans="1:26" ht="13.2">
      <c r="A11" s="135" t="s">
        <v>168</v>
      </c>
      <c r="C11" s="601"/>
      <c r="D11" s="28" t="s">
        <v>108</v>
      </c>
      <c r="E11" s="27">
        <v>-49</v>
      </c>
      <c r="F11" s="26"/>
      <c r="G11" s="27" t="s">
        <v>108</v>
      </c>
      <c r="H11" s="27">
        <v>-39</v>
      </c>
      <c r="I11" s="27"/>
      <c r="J11" s="27" t="s">
        <v>108</v>
      </c>
      <c r="K11" s="27">
        <v>-122</v>
      </c>
      <c r="L11" s="27"/>
      <c r="M11" s="27" t="s">
        <v>108</v>
      </c>
      <c r="N11" s="27">
        <v>-190</v>
      </c>
      <c r="O11" s="27"/>
      <c r="P11" s="28" t="s">
        <v>108</v>
      </c>
      <c r="Q11" s="27">
        <v>-70</v>
      </c>
      <c r="R11" s="26"/>
      <c r="S11" s="27" t="s">
        <v>108</v>
      </c>
      <c r="T11" s="27">
        <v>-114</v>
      </c>
      <c r="U11" s="27"/>
      <c r="V11" s="27" t="s">
        <v>108</v>
      </c>
      <c r="W11" s="27">
        <v>-88</v>
      </c>
      <c r="X11" s="27"/>
      <c r="Y11" s="27" t="s">
        <v>108</v>
      </c>
      <c r="Z11" s="27">
        <v>-184</v>
      </c>
    </row>
    <row r="12" spans="1:26">
      <c r="A12" s="135" t="s">
        <v>169</v>
      </c>
      <c r="C12" s="601"/>
      <c r="D12" s="28"/>
      <c r="E12" s="30">
        <v>-1</v>
      </c>
      <c r="F12" s="26"/>
      <c r="G12" s="27"/>
      <c r="H12" s="30">
        <v>-44</v>
      </c>
      <c r="I12" s="27"/>
      <c r="J12" s="27"/>
      <c r="K12" s="30">
        <v>-2</v>
      </c>
      <c r="L12" s="27"/>
      <c r="M12" s="27"/>
      <c r="N12" s="30">
        <v>-13</v>
      </c>
      <c r="O12" s="27"/>
      <c r="P12" s="28"/>
      <c r="Q12" s="30">
        <v>-16</v>
      </c>
      <c r="R12" s="26"/>
      <c r="S12" s="27"/>
      <c r="T12" s="30">
        <v>-69</v>
      </c>
      <c r="U12" s="27"/>
      <c r="V12" s="27"/>
      <c r="W12" s="30">
        <v>-45</v>
      </c>
      <c r="X12" s="27"/>
      <c r="Y12" s="27"/>
      <c r="Z12" s="30">
        <v>-85</v>
      </c>
    </row>
    <row r="13" spans="1:26">
      <c r="A13" s="135" t="s">
        <v>170</v>
      </c>
      <c r="C13" s="601"/>
      <c r="D13" s="28"/>
      <c r="E13" s="27"/>
      <c r="F13" s="26"/>
      <c r="G13" s="27"/>
      <c r="H13" s="27"/>
      <c r="I13" s="27"/>
      <c r="J13" s="27"/>
      <c r="K13" s="27"/>
      <c r="L13" s="27"/>
      <c r="M13" s="27"/>
      <c r="N13" s="27"/>
      <c r="O13" s="27"/>
      <c r="P13" s="28"/>
      <c r="Q13" s="27"/>
      <c r="R13" s="26"/>
      <c r="S13" s="27"/>
      <c r="T13" s="27"/>
      <c r="U13" s="27"/>
      <c r="V13" s="27"/>
      <c r="W13" s="27"/>
      <c r="X13" s="27"/>
      <c r="Y13" s="27"/>
      <c r="Z13" s="25"/>
    </row>
    <row r="14" spans="1:26">
      <c r="A14" s="135"/>
      <c r="B14" s="601" t="s">
        <v>171</v>
      </c>
      <c r="C14" s="117"/>
      <c r="D14" s="28"/>
      <c r="E14" s="27">
        <v>-50</v>
      </c>
      <c r="F14" s="26"/>
      <c r="G14" s="27"/>
      <c r="H14" s="27">
        <v>-83</v>
      </c>
      <c r="I14" s="27"/>
      <c r="J14" s="27"/>
      <c r="K14" s="27">
        <v>-124</v>
      </c>
      <c r="L14" s="27"/>
      <c r="M14" s="27"/>
      <c r="N14" s="27">
        <v>-203</v>
      </c>
      <c r="O14" s="27"/>
      <c r="P14" s="28"/>
      <c r="Q14" s="27">
        <v>-86</v>
      </c>
      <c r="R14" s="26"/>
      <c r="S14" s="27"/>
      <c r="T14" s="27">
        <v>-183</v>
      </c>
      <c r="U14" s="27"/>
      <c r="V14" s="27"/>
      <c r="W14" s="27">
        <v>-133</v>
      </c>
      <c r="X14" s="27"/>
      <c r="Y14" s="27"/>
      <c r="Z14" s="27">
        <v>-269</v>
      </c>
    </row>
    <row r="15" spans="1:26" ht="13.2">
      <c r="A15" s="135" t="s">
        <v>172</v>
      </c>
      <c r="C15" s="601"/>
      <c r="D15" s="28"/>
      <c r="E15" s="27">
        <v>70</v>
      </c>
      <c r="F15" s="26"/>
      <c r="G15" s="27"/>
      <c r="H15" s="27">
        <v>229</v>
      </c>
      <c r="I15" s="27"/>
      <c r="J15" s="27"/>
      <c r="K15" s="27">
        <v>220</v>
      </c>
      <c r="L15" s="27"/>
      <c r="M15" s="27"/>
      <c r="N15" s="27">
        <v>692</v>
      </c>
      <c r="O15" s="27"/>
      <c r="P15" s="28"/>
      <c r="Q15" s="27">
        <v>141</v>
      </c>
      <c r="R15" s="26"/>
      <c r="S15" s="27"/>
      <c r="T15" s="27">
        <v>283</v>
      </c>
      <c r="U15" s="27"/>
      <c r="V15" s="25"/>
      <c r="W15" s="27">
        <v>299</v>
      </c>
      <c r="X15" s="27"/>
      <c r="Y15" s="25"/>
      <c r="Z15" s="27">
        <v>424</v>
      </c>
    </row>
    <row r="16" spans="1:26">
      <c r="A16" s="135" t="s">
        <v>173</v>
      </c>
      <c r="C16" s="601"/>
      <c r="D16" s="28"/>
      <c r="E16" s="27">
        <v>-10</v>
      </c>
      <c r="F16" s="26"/>
      <c r="G16" s="27"/>
      <c r="H16" s="27">
        <v>11</v>
      </c>
      <c r="I16" s="27"/>
      <c r="J16" s="27"/>
      <c r="K16" s="27">
        <v>-9</v>
      </c>
      <c r="L16" s="27"/>
      <c r="M16" s="27"/>
      <c r="N16" s="27">
        <v>-254</v>
      </c>
      <c r="O16" s="27"/>
      <c r="P16" s="28"/>
      <c r="Q16" s="27">
        <v>-50</v>
      </c>
      <c r="R16" s="26"/>
      <c r="S16" s="27"/>
      <c r="T16" s="27">
        <v>22</v>
      </c>
      <c r="U16" s="27"/>
      <c r="V16" s="27"/>
      <c r="W16" s="27">
        <v>1</v>
      </c>
      <c r="X16" s="27"/>
      <c r="Y16" s="27"/>
      <c r="Z16" s="27">
        <v>-28</v>
      </c>
    </row>
    <row r="17" spans="1:26">
      <c r="A17" s="135" t="s">
        <v>174</v>
      </c>
      <c r="C17" s="601"/>
      <c r="D17" s="28"/>
      <c r="E17" s="27">
        <v>17</v>
      </c>
      <c r="F17" s="26"/>
      <c r="G17" s="27"/>
      <c r="H17" s="27">
        <v>11</v>
      </c>
      <c r="I17" s="27"/>
      <c r="J17" s="27"/>
      <c r="K17" s="27">
        <v>-33</v>
      </c>
      <c r="L17" s="27"/>
      <c r="M17" s="27"/>
      <c r="N17" s="27">
        <v>20</v>
      </c>
      <c r="O17" s="27"/>
      <c r="P17" s="28"/>
      <c r="Q17" s="27">
        <v>-3</v>
      </c>
      <c r="R17" s="26"/>
      <c r="S17" s="27"/>
      <c r="T17" s="27">
        <v>-89</v>
      </c>
      <c r="U17" s="27"/>
      <c r="V17" s="27"/>
      <c r="W17" s="27">
        <v>28</v>
      </c>
      <c r="X17" s="27"/>
      <c r="Y17" s="27"/>
      <c r="Z17" s="27">
        <v>-92</v>
      </c>
    </row>
    <row r="18" spans="1:26" ht="13.2">
      <c r="A18" s="135" t="s">
        <v>45</v>
      </c>
      <c r="C18" s="601"/>
      <c r="D18" s="28"/>
      <c r="E18" s="30">
        <v>0</v>
      </c>
      <c r="F18" s="26"/>
      <c r="G18" s="27"/>
      <c r="H18" s="27">
        <v>0</v>
      </c>
      <c r="I18" s="27"/>
      <c r="J18" s="27"/>
      <c r="K18" s="27">
        <v>32</v>
      </c>
      <c r="L18" s="27"/>
      <c r="M18" s="27"/>
      <c r="N18" s="27">
        <v>9</v>
      </c>
      <c r="O18" s="27"/>
      <c r="P18" s="28"/>
      <c r="Q18" s="30">
        <v>55</v>
      </c>
      <c r="R18" s="26"/>
      <c r="S18" s="27"/>
      <c r="T18" s="27">
        <v>63</v>
      </c>
      <c r="U18" s="27"/>
      <c r="V18" s="27"/>
      <c r="W18" s="30">
        <v>0</v>
      </c>
      <c r="X18" s="27"/>
      <c r="Y18" s="27"/>
      <c r="Z18" s="30">
        <v>118</v>
      </c>
    </row>
    <row r="19" spans="1:26" ht="12" thickBot="1">
      <c r="A19" s="137" t="s">
        <v>611</v>
      </c>
      <c r="C19" s="601"/>
      <c r="D19" s="28" t="s">
        <v>108</v>
      </c>
      <c r="E19" s="46">
        <v>27</v>
      </c>
      <c r="F19" s="26"/>
      <c r="G19" s="27" t="s">
        <v>108</v>
      </c>
      <c r="H19" s="179">
        <v>168</v>
      </c>
      <c r="I19" s="27"/>
      <c r="J19" s="27" t="s">
        <v>108</v>
      </c>
      <c r="K19" s="179">
        <v>86</v>
      </c>
      <c r="L19" s="27"/>
      <c r="M19" s="27" t="s">
        <v>108</v>
      </c>
      <c r="N19" s="179">
        <v>264</v>
      </c>
      <c r="O19" s="27"/>
      <c r="P19" s="28" t="s">
        <v>108</v>
      </c>
      <c r="Q19" s="46">
        <v>57</v>
      </c>
      <c r="R19" s="26"/>
      <c r="S19" s="27" t="s">
        <v>108</v>
      </c>
      <c r="T19" s="179">
        <v>96</v>
      </c>
      <c r="U19" s="27"/>
      <c r="V19" s="27" t="s">
        <v>108</v>
      </c>
      <c r="W19" s="46">
        <v>195</v>
      </c>
      <c r="X19" s="27"/>
      <c r="Y19" s="27" t="s">
        <v>108</v>
      </c>
      <c r="Z19" s="179">
        <v>153</v>
      </c>
    </row>
    <row r="20" spans="1:26" ht="12.6" thickTop="1" thickBot="1">
      <c r="A20" s="135"/>
      <c r="B20" s="135"/>
      <c r="C20" s="601"/>
      <c r="D20" s="144"/>
      <c r="E20" s="145"/>
      <c r="F20" s="146"/>
      <c r="G20" s="121"/>
      <c r="H20" s="121"/>
      <c r="I20" s="121"/>
      <c r="J20" s="121"/>
      <c r="K20" s="121"/>
      <c r="L20" s="121"/>
      <c r="M20" s="121"/>
      <c r="N20" s="121"/>
      <c r="O20" s="121"/>
      <c r="P20" s="144"/>
      <c r="Q20" s="145"/>
      <c r="R20" s="146"/>
      <c r="S20" s="121"/>
      <c r="T20" s="121"/>
      <c r="U20" s="121"/>
      <c r="V20" s="121"/>
      <c r="W20" s="121"/>
      <c r="X20" s="121"/>
      <c r="Y20" s="121"/>
    </row>
    <row r="21" spans="1:26">
      <c r="A21" s="727"/>
      <c r="G21" s="121"/>
      <c r="H21" s="121"/>
      <c r="I21" s="121"/>
      <c r="J21" s="121"/>
      <c r="K21" s="121"/>
      <c r="L21" s="121"/>
      <c r="M21" s="121"/>
      <c r="N21" s="121"/>
      <c r="O21" s="121"/>
      <c r="P21" s="121"/>
      <c r="Q21" s="121"/>
      <c r="R21" s="121"/>
      <c r="S21" s="121"/>
      <c r="T21" s="121"/>
      <c r="U21" s="121"/>
      <c r="V21" s="121"/>
      <c r="Y21" s="121"/>
    </row>
    <row r="22" spans="1:26" ht="13.2">
      <c r="A22" s="870" t="s">
        <v>770</v>
      </c>
      <c r="B22" s="1060" t="s">
        <v>56</v>
      </c>
      <c r="C22" s="1060"/>
      <c r="D22" s="1060"/>
      <c r="E22" s="1060"/>
      <c r="F22" s="1060"/>
      <c r="G22" s="1060"/>
      <c r="H22" s="1060"/>
      <c r="I22" s="1060"/>
      <c r="J22" s="1060"/>
      <c r="K22" s="1060"/>
      <c r="L22" s="1060"/>
      <c r="M22" s="1060"/>
      <c r="N22" s="1060"/>
      <c r="O22" s="1060"/>
      <c r="P22" s="1060"/>
      <c r="Q22" s="1060"/>
      <c r="R22" s="1060"/>
      <c r="S22" s="1060"/>
      <c r="T22" s="1060"/>
      <c r="U22" s="1060"/>
      <c r="V22" s="1060"/>
      <c r="W22" s="1060"/>
      <c r="X22" s="1060"/>
      <c r="Y22" s="1060"/>
      <c r="Z22" s="1060"/>
    </row>
    <row r="23" spans="1:26">
      <c r="G23" s="121"/>
      <c r="H23" s="121"/>
      <c r="I23" s="121"/>
      <c r="J23" s="121"/>
      <c r="K23" s="121"/>
      <c r="L23" s="121"/>
    </row>
    <row r="24" spans="1:26">
      <c r="G24" s="121"/>
      <c r="H24" s="121"/>
      <c r="I24" s="121"/>
      <c r="J24" s="121"/>
      <c r="K24" s="121"/>
      <c r="L24" s="121"/>
    </row>
    <row r="25" spans="1:26">
      <c r="G25" s="121"/>
      <c r="H25" s="121"/>
      <c r="I25" s="121"/>
      <c r="J25" s="121"/>
      <c r="K25" s="121"/>
      <c r="L25" s="121"/>
    </row>
    <row r="26" spans="1:26">
      <c r="G26" s="121"/>
      <c r="H26" s="121"/>
      <c r="I26" s="121"/>
      <c r="J26" s="121"/>
      <c r="K26" s="121"/>
      <c r="L26" s="121"/>
    </row>
    <row r="27" spans="1:26">
      <c r="G27" s="121"/>
      <c r="H27" s="121"/>
      <c r="I27" s="121"/>
      <c r="J27" s="121"/>
      <c r="K27" s="121"/>
      <c r="L27" s="121"/>
    </row>
    <row r="28" spans="1:26">
      <c r="G28" s="121"/>
      <c r="H28" s="121"/>
      <c r="I28" s="121"/>
      <c r="J28" s="121"/>
      <c r="K28" s="121"/>
      <c r="L28" s="121"/>
    </row>
    <row r="29" spans="1:26">
      <c r="G29" s="121"/>
      <c r="H29" s="121"/>
      <c r="I29" s="121"/>
      <c r="J29" s="121"/>
      <c r="K29" s="121"/>
      <c r="L29" s="121"/>
    </row>
    <row r="30" spans="1:26">
      <c r="G30" s="121"/>
      <c r="H30" s="121"/>
      <c r="I30" s="121"/>
      <c r="J30" s="121"/>
      <c r="K30" s="121"/>
      <c r="L30" s="121"/>
    </row>
    <row r="31" spans="1:26">
      <c r="G31" s="121"/>
      <c r="H31" s="121"/>
      <c r="I31" s="121"/>
      <c r="J31" s="121"/>
      <c r="K31" s="121"/>
      <c r="L31" s="121"/>
    </row>
    <row r="32" spans="1:26">
      <c r="G32" s="121"/>
      <c r="H32" s="121"/>
      <c r="I32" s="121"/>
      <c r="J32" s="121"/>
      <c r="K32" s="121"/>
      <c r="L32" s="121"/>
    </row>
    <row r="33" spans="7:32">
      <c r="G33" s="121"/>
      <c r="H33" s="121"/>
      <c r="I33" s="121"/>
      <c r="J33" s="121"/>
      <c r="K33" s="121"/>
      <c r="L33" s="121"/>
    </row>
    <row r="34" spans="7:32">
      <c r="G34" s="121"/>
      <c r="H34" s="121"/>
      <c r="I34" s="121"/>
      <c r="J34" s="121"/>
      <c r="K34" s="121"/>
      <c r="L34" s="121"/>
    </row>
    <row r="35" spans="7:32">
      <c r="G35" s="121"/>
      <c r="H35" s="121"/>
      <c r="I35" s="121"/>
      <c r="J35" s="121"/>
      <c r="K35" s="121"/>
      <c r="L35" s="121"/>
    </row>
    <row r="36" spans="7:32">
      <c r="G36" s="121"/>
      <c r="H36" s="121"/>
      <c r="I36" s="121"/>
      <c r="J36" s="121"/>
      <c r="K36" s="121"/>
      <c r="L36" s="121"/>
    </row>
    <row r="37" spans="7:32">
      <c r="G37" s="121"/>
      <c r="H37" s="121"/>
      <c r="I37" s="121"/>
      <c r="J37" s="121"/>
      <c r="K37" s="121"/>
      <c r="L37" s="121"/>
    </row>
    <row r="38" spans="7:32">
      <c r="G38" s="121"/>
      <c r="H38" s="121"/>
      <c r="I38" s="121"/>
      <c r="J38" s="121"/>
      <c r="K38" s="121"/>
      <c r="L38" s="121"/>
    </row>
    <row r="39" spans="7:32">
      <c r="G39" s="121"/>
      <c r="H39" s="121"/>
      <c r="I39" s="121"/>
      <c r="J39" s="121"/>
      <c r="K39" s="121"/>
      <c r="L39" s="121"/>
    </row>
    <row r="40" spans="7:32">
      <c r="G40" s="121"/>
      <c r="H40" s="121"/>
      <c r="I40" s="121"/>
      <c r="J40" s="121"/>
      <c r="K40" s="121"/>
      <c r="L40" s="121"/>
    </row>
    <row r="41" spans="7:32">
      <c r="G41" s="121"/>
      <c r="H41" s="121"/>
      <c r="I41" s="121"/>
      <c r="J41" s="121"/>
      <c r="K41" s="121"/>
      <c r="L41" s="121"/>
    </row>
    <row r="42" spans="7:32">
      <c r="G42" s="121"/>
      <c r="H42" s="121"/>
      <c r="I42" s="121"/>
      <c r="J42" s="121"/>
      <c r="K42" s="121"/>
      <c r="L42" s="121"/>
    </row>
    <row r="43" spans="7:32">
      <c r="G43" s="121"/>
      <c r="H43" s="121"/>
      <c r="I43" s="121"/>
      <c r="J43" s="121"/>
      <c r="K43" s="121"/>
      <c r="L43" s="121"/>
    </row>
    <row r="44" spans="7:32">
      <c r="G44" s="121"/>
      <c r="H44" s="121"/>
      <c r="I44" s="121"/>
      <c r="J44" s="121"/>
      <c r="K44" s="121"/>
      <c r="L44" s="121"/>
    </row>
    <row r="45" spans="7:32">
      <c r="G45" s="121"/>
      <c r="H45" s="121"/>
      <c r="I45" s="121"/>
      <c r="J45" s="121"/>
      <c r="K45" s="121"/>
      <c r="L45" s="121"/>
    </row>
    <row r="46" spans="7:32">
      <c r="G46" s="121"/>
      <c r="H46" s="121"/>
      <c r="I46" s="121"/>
      <c r="J46" s="121"/>
      <c r="K46" s="121"/>
      <c r="L46" s="121"/>
    </row>
    <row r="47" spans="7:32">
      <c r="G47" s="121"/>
      <c r="H47" s="121"/>
      <c r="I47" s="121"/>
      <c r="J47" s="121"/>
      <c r="K47" s="121"/>
      <c r="L47" s="121"/>
      <c r="AF47" s="143"/>
    </row>
  </sheetData>
  <mergeCells count="6">
    <mergeCell ref="B22:Z22"/>
    <mergeCell ref="A1:Z1"/>
    <mergeCell ref="A2:Z2"/>
    <mergeCell ref="A3:Z3"/>
    <mergeCell ref="D5:T5"/>
    <mergeCell ref="W5:Z5"/>
  </mergeCells>
  <phoneticPr fontId="24" type="noConversion"/>
  <printOptions horizontalCentered="1"/>
  <pageMargins left="0.25" right="0.25" top="0.5" bottom="0.25" header="0.3" footer="0.25"/>
  <pageSetup scale="81" orientation="landscape" r:id="rId1"/>
  <headerFooter alignWithMargins="0">
    <oddFooter>&amp;R&amp;A</oddFooter>
  </headerFooter>
  <ignoredErrors>
    <ignoredError sqref="A22" numberStoredAsText="1"/>
  </ignoredErrors>
</worksheet>
</file>

<file path=xl/worksheets/sheet45.xml><?xml version="1.0" encoding="utf-8"?>
<worksheet xmlns="http://schemas.openxmlformats.org/spreadsheetml/2006/main" xmlns:r="http://schemas.openxmlformats.org/officeDocument/2006/relationships">
  <sheetPr>
    <pageSetUpPr fitToPage="1"/>
  </sheetPr>
  <dimension ref="A1:AA90"/>
  <sheetViews>
    <sheetView zoomScale="75" zoomScaleNormal="75" workbookViewId="0">
      <selection sqref="A1:Z1"/>
    </sheetView>
  </sheetViews>
  <sheetFormatPr defaultColWidth="9.109375" defaultRowHeight="11.4"/>
  <cols>
    <col min="1" max="2" width="3.33203125" style="117" customWidth="1"/>
    <col min="3" max="3" width="40.33203125" style="121" customWidth="1"/>
    <col min="4" max="4" width="2.44140625" style="117" customWidth="1"/>
    <col min="5" max="5" width="9" style="117" customWidth="1"/>
    <col min="6" max="6" width="3" style="117" customWidth="1"/>
    <col min="7" max="7" width="2.44140625" style="117" customWidth="1"/>
    <col min="8" max="8" width="9" style="117" customWidth="1"/>
    <col min="9" max="9" width="3.44140625" style="117" customWidth="1"/>
    <col min="10" max="10" width="2.44140625" style="117" customWidth="1"/>
    <col min="11" max="11" width="9" style="117" customWidth="1"/>
    <col min="12" max="12" width="3.44140625" style="117" customWidth="1"/>
    <col min="13" max="13" width="2.44140625" style="117" customWidth="1"/>
    <col min="14" max="14" width="9" style="117" customWidth="1"/>
    <col min="15" max="15" width="3.44140625" style="117" customWidth="1"/>
    <col min="16" max="16" width="2.44140625" style="117" customWidth="1"/>
    <col min="17" max="17" width="9" style="117" customWidth="1"/>
    <col min="18" max="18" width="3.44140625" style="117" customWidth="1"/>
    <col min="19" max="19" width="2.44140625" style="117" customWidth="1"/>
    <col min="20" max="20" width="9" style="117" customWidth="1"/>
    <col min="21" max="22" width="2.44140625" style="117" customWidth="1"/>
    <col min="23" max="23" width="9" style="117" customWidth="1"/>
    <col min="24" max="25" width="2.44140625" style="117" customWidth="1"/>
    <col min="26" max="26" width="9" style="117" customWidth="1"/>
    <col min="27" max="27" width="2.44140625" style="117" customWidth="1"/>
    <col min="28" max="29" width="8.44140625" style="117" customWidth="1"/>
    <col min="30" max="66" width="9.6640625" style="117" customWidth="1"/>
    <col min="67" max="16384" width="9.109375" style="117"/>
  </cols>
  <sheetData>
    <row r="1" spans="1:26" ht="14.4">
      <c r="A1" s="978" t="s">
        <v>96</v>
      </c>
      <c r="B1" s="978"/>
      <c r="C1" s="978"/>
      <c r="D1" s="978"/>
      <c r="E1" s="978"/>
      <c r="F1" s="978"/>
      <c r="G1" s="978"/>
      <c r="H1" s="978"/>
      <c r="I1" s="978"/>
      <c r="J1" s="978"/>
      <c r="K1" s="978"/>
      <c r="L1" s="978"/>
      <c r="M1" s="978"/>
      <c r="N1" s="978"/>
      <c r="O1" s="978"/>
      <c r="P1" s="978"/>
      <c r="Q1" s="978"/>
      <c r="R1" s="978"/>
      <c r="S1" s="978"/>
      <c r="T1" s="978"/>
      <c r="U1" s="978"/>
      <c r="V1" s="1062"/>
      <c r="W1" s="1062"/>
      <c r="X1" s="1062"/>
      <c r="Y1" s="1062"/>
      <c r="Z1" s="1062"/>
    </row>
    <row r="2" spans="1:26" ht="14.4">
      <c r="A2" s="978" t="s">
        <v>412</v>
      </c>
      <c r="B2" s="978"/>
      <c r="C2" s="978"/>
      <c r="D2" s="978"/>
      <c r="E2" s="978"/>
      <c r="F2" s="978"/>
      <c r="G2" s="978"/>
      <c r="H2" s="978"/>
      <c r="I2" s="978"/>
      <c r="J2" s="978"/>
      <c r="K2" s="978"/>
      <c r="L2" s="978"/>
      <c r="M2" s="978"/>
      <c r="N2" s="978"/>
      <c r="O2" s="978"/>
      <c r="P2" s="978"/>
      <c r="Q2" s="978"/>
      <c r="R2" s="978"/>
      <c r="S2" s="978"/>
      <c r="T2" s="978"/>
      <c r="U2" s="978"/>
      <c r="V2" s="1062"/>
      <c r="W2" s="1062"/>
      <c r="X2" s="1062"/>
      <c r="Y2" s="1062"/>
      <c r="Z2" s="1062"/>
    </row>
    <row r="3" spans="1:26" ht="14.4">
      <c r="A3" s="978" t="s">
        <v>175</v>
      </c>
      <c r="B3" s="978"/>
      <c r="C3" s="978"/>
      <c r="D3" s="978"/>
      <c r="E3" s="978"/>
      <c r="F3" s="978"/>
      <c r="G3" s="978"/>
      <c r="H3" s="978"/>
      <c r="I3" s="978"/>
      <c r="J3" s="978"/>
      <c r="K3" s="978"/>
      <c r="L3" s="978"/>
      <c r="M3" s="978"/>
      <c r="N3" s="978"/>
      <c r="O3" s="978"/>
      <c r="P3" s="978"/>
      <c r="Q3" s="978"/>
      <c r="R3" s="978"/>
      <c r="S3" s="978"/>
      <c r="T3" s="978"/>
      <c r="U3" s="978"/>
      <c r="V3" s="1062"/>
      <c r="W3" s="1062"/>
      <c r="X3" s="1062"/>
      <c r="Y3" s="1062"/>
      <c r="Z3" s="1062"/>
    </row>
    <row r="4" spans="1:26">
      <c r="A4" s="979" t="s">
        <v>800</v>
      </c>
      <c r="B4" s="979"/>
      <c r="C4" s="979"/>
      <c r="D4" s="979"/>
      <c r="E4" s="979"/>
      <c r="F4" s="979"/>
      <c r="G4" s="979"/>
      <c r="H4" s="979"/>
      <c r="I4" s="979"/>
      <c r="J4" s="979"/>
      <c r="K4" s="979"/>
      <c r="L4" s="979"/>
      <c r="M4" s="979"/>
      <c r="N4" s="979"/>
      <c r="O4" s="979"/>
      <c r="P4" s="979"/>
      <c r="Q4" s="979"/>
      <c r="R4" s="979"/>
      <c r="S4" s="979"/>
      <c r="T4" s="979"/>
      <c r="U4" s="979"/>
      <c r="V4" s="1063"/>
      <c r="W4" s="1063"/>
      <c r="X4" s="1063"/>
      <c r="Y4" s="1063"/>
      <c r="Z4" s="1063"/>
    </row>
    <row r="6" spans="1:26">
      <c r="D6" s="975" t="s">
        <v>99</v>
      </c>
      <c r="E6" s="975"/>
      <c r="F6" s="975"/>
      <c r="G6" s="975"/>
      <c r="H6" s="975"/>
      <c r="I6" s="975"/>
      <c r="J6" s="975"/>
      <c r="K6" s="975"/>
      <c r="L6" s="975"/>
      <c r="M6" s="975"/>
      <c r="N6" s="975"/>
      <c r="O6" s="975"/>
      <c r="P6" s="975"/>
      <c r="Q6" s="975"/>
      <c r="R6" s="975"/>
      <c r="S6" s="975"/>
      <c r="T6" s="975"/>
      <c r="W6" s="981" t="s">
        <v>100</v>
      </c>
      <c r="X6" s="981"/>
      <c r="Y6" s="981"/>
      <c r="Z6" s="981"/>
    </row>
    <row r="7" spans="1:26" ht="12" thickBot="1">
      <c r="H7" s="122"/>
      <c r="I7" s="122"/>
      <c r="K7" s="122"/>
      <c r="L7" s="122"/>
      <c r="M7" s="122"/>
      <c r="N7" s="122"/>
      <c r="O7" s="122"/>
      <c r="P7" s="122"/>
      <c r="Q7" s="122"/>
      <c r="R7" s="122"/>
      <c r="S7" s="122"/>
      <c r="T7" s="122"/>
    </row>
    <row r="8" spans="1:26">
      <c r="D8" s="118"/>
      <c r="E8" s="119" t="s">
        <v>104</v>
      </c>
      <c r="F8" s="725"/>
      <c r="G8" s="121"/>
      <c r="H8" s="122" t="s">
        <v>105</v>
      </c>
      <c r="I8" s="122"/>
      <c r="J8" s="121"/>
      <c r="K8" s="122" t="s">
        <v>102</v>
      </c>
      <c r="L8" s="122"/>
      <c r="M8" s="121"/>
      <c r="N8" s="122" t="s">
        <v>103</v>
      </c>
      <c r="O8" s="122"/>
      <c r="P8" s="118"/>
      <c r="Q8" s="119" t="s">
        <v>104</v>
      </c>
      <c r="R8" s="725"/>
      <c r="S8" s="121"/>
      <c r="T8" s="122" t="s">
        <v>105</v>
      </c>
      <c r="U8" s="121"/>
      <c r="V8" s="121"/>
      <c r="W8" s="122" t="s">
        <v>595</v>
      </c>
      <c r="X8" s="122"/>
      <c r="Y8" s="121"/>
      <c r="Z8" s="130" t="s">
        <v>595</v>
      </c>
    </row>
    <row r="9" spans="1:26">
      <c r="D9" s="125"/>
      <c r="E9" s="126">
        <v>2012</v>
      </c>
      <c r="F9" s="726"/>
      <c r="G9" s="128"/>
      <c r="H9" s="126">
        <v>2012</v>
      </c>
      <c r="I9" s="121"/>
      <c r="J9" s="128"/>
      <c r="K9" s="126">
        <v>2011</v>
      </c>
      <c r="L9" s="121"/>
      <c r="M9" s="128"/>
      <c r="N9" s="126">
        <v>2011</v>
      </c>
      <c r="O9" s="121"/>
      <c r="P9" s="125"/>
      <c r="Q9" s="126">
        <v>2011</v>
      </c>
      <c r="R9" s="726"/>
      <c r="S9" s="128"/>
      <c r="T9" s="126">
        <v>2011</v>
      </c>
      <c r="U9" s="128"/>
      <c r="V9" s="121"/>
      <c r="W9" s="126">
        <v>2012</v>
      </c>
      <c r="X9" s="698"/>
      <c r="Y9" s="128"/>
      <c r="Z9" s="126">
        <v>2011</v>
      </c>
    </row>
    <row r="10" spans="1:26" ht="12">
      <c r="A10" s="728" t="s">
        <v>176</v>
      </c>
      <c r="B10" s="135"/>
      <c r="C10" s="601"/>
      <c r="D10" s="133"/>
      <c r="E10" s="122"/>
      <c r="F10" s="134"/>
      <c r="G10" s="121"/>
      <c r="H10" s="122"/>
      <c r="I10" s="121"/>
      <c r="J10" s="121"/>
      <c r="K10" s="122"/>
      <c r="L10" s="121"/>
      <c r="M10" s="121"/>
      <c r="N10" s="122"/>
      <c r="O10" s="121"/>
      <c r="P10" s="133"/>
      <c r="Q10" s="122"/>
      <c r="R10" s="134"/>
      <c r="S10" s="121"/>
      <c r="T10" s="122"/>
      <c r="U10" s="121"/>
      <c r="V10" s="121"/>
      <c r="W10" s="122"/>
      <c r="X10" s="122"/>
      <c r="Y10" s="121"/>
      <c r="Z10" s="122"/>
    </row>
    <row r="11" spans="1:26">
      <c r="A11" s="135"/>
      <c r="B11" s="137" t="s">
        <v>177</v>
      </c>
      <c r="C11" s="601"/>
      <c r="D11" s="133"/>
      <c r="E11" s="121"/>
      <c r="F11" s="134"/>
      <c r="G11" s="121"/>
      <c r="H11" s="121"/>
      <c r="I11" s="121"/>
      <c r="J11" s="121"/>
      <c r="K11" s="121"/>
      <c r="L11" s="121"/>
      <c r="M11" s="121"/>
      <c r="N11" s="121"/>
      <c r="O11" s="121"/>
      <c r="P11" s="133"/>
      <c r="Q11" s="121"/>
      <c r="R11" s="134"/>
      <c r="S11" s="121"/>
      <c r="T11" s="121"/>
      <c r="U11" s="121"/>
      <c r="V11" s="121"/>
      <c r="W11" s="121"/>
      <c r="X11" s="121"/>
      <c r="Y11" s="121"/>
    </row>
    <row r="12" spans="1:26">
      <c r="A12" s="135"/>
      <c r="B12" s="137" t="s">
        <v>178</v>
      </c>
      <c r="C12" s="601"/>
      <c r="D12" s="133" t="s">
        <v>108</v>
      </c>
      <c r="E12" s="708">
        <v>82</v>
      </c>
      <c r="F12" s="134"/>
      <c r="G12" s="121" t="s">
        <v>108</v>
      </c>
      <c r="H12" s="121">
        <v>87</v>
      </c>
      <c r="I12" s="121"/>
      <c r="J12" s="121" t="s">
        <v>108</v>
      </c>
      <c r="K12" s="121">
        <v>96</v>
      </c>
      <c r="L12" s="121"/>
      <c r="M12" s="121" t="s">
        <v>108</v>
      </c>
      <c r="N12" s="121">
        <v>100</v>
      </c>
      <c r="O12" s="121"/>
      <c r="P12" s="133" t="s">
        <v>108</v>
      </c>
      <c r="Q12" s="708">
        <v>108</v>
      </c>
      <c r="R12" s="134"/>
      <c r="S12" s="121" t="s">
        <v>108</v>
      </c>
      <c r="T12" s="121">
        <v>111</v>
      </c>
      <c r="U12" s="121"/>
      <c r="V12" s="121" t="s">
        <v>108</v>
      </c>
      <c r="W12" s="27">
        <v>169</v>
      </c>
      <c r="X12" s="121"/>
      <c r="Y12" s="121" t="s">
        <v>108</v>
      </c>
      <c r="Z12" s="27">
        <v>219</v>
      </c>
    </row>
    <row r="13" spans="1:26" ht="13.2">
      <c r="A13" s="135"/>
      <c r="B13" s="137" t="s">
        <v>179</v>
      </c>
      <c r="C13" s="601"/>
      <c r="D13" s="133"/>
      <c r="E13" s="708">
        <v>192</v>
      </c>
      <c r="F13" s="134"/>
      <c r="G13" s="121"/>
      <c r="H13" s="121">
        <v>178</v>
      </c>
      <c r="I13" s="121"/>
      <c r="J13" s="121"/>
      <c r="K13" s="121">
        <v>170</v>
      </c>
      <c r="L13" s="121"/>
      <c r="M13" s="121"/>
      <c r="N13" s="121">
        <v>176</v>
      </c>
      <c r="O13" s="121"/>
      <c r="P13" s="133"/>
      <c r="Q13" s="708">
        <v>180</v>
      </c>
      <c r="R13" s="134"/>
      <c r="S13" s="121"/>
      <c r="T13" s="121">
        <v>169</v>
      </c>
      <c r="U13" s="121"/>
      <c r="V13" s="121"/>
      <c r="W13" s="27">
        <v>370</v>
      </c>
      <c r="X13" s="121"/>
      <c r="Y13" s="121"/>
      <c r="Z13" s="27">
        <v>349</v>
      </c>
    </row>
    <row r="14" spans="1:26" ht="13.2">
      <c r="A14" s="135"/>
      <c r="B14" s="137" t="s">
        <v>225</v>
      </c>
      <c r="C14" s="601"/>
      <c r="D14" s="133"/>
      <c r="E14" s="708">
        <v>22</v>
      </c>
      <c r="F14" s="134"/>
      <c r="G14" s="121"/>
      <c r="H14" s="121">
        <v>19</v>
      </c>
      <c r="I14" s="121"/>
      <c r="J14" s="121"/>
      <c r="K14" s="121">
        <v>44</v>
      </c>
      <c r="L14" s="121"/>
      <c r="M14" s="121"/>
      <c r="N14" s="121">
        <v>20</v>
      </c>
      <c r="O14" s="121"/>
      <c r="P14" s="133"/>
      <c r="Q14" s="708">
        <v>32</v>
      </c>
      <c r="R14" s="134"/>
      <c r="S14" s="121"/>
      <c r="T14" s="121">
        <v>18</v>
      </c>
      <c r="U14" s="121"/>
      <c r="V14" s="121"/>
      <c r="W14" s="27">
        <v>41</v>
      </c>
      <c r="X14" s="121"/>
      <c r="Y14" s="121"/>
      <c r="Z14" s="27">
        <v>50</v>
      </c>
    </row>
    <row r="15" spans="1:26">
      <c r="A15" s="135"/>
      <c r="B15" s="137" t="s">
        <v>829</v>
      </c>
      <c r="C15" s="601"/>
      <c r="D15" s="133"/>
      <c r="E15" s="708">
        <v>5</v>
      </c>
      <c r="F15" s="134"/>
      <c r="G15" s="121"/>
      <c r="H15" s="708">
        <v>6</v>
      </c>
      <c r="I15" s="121"/>
      <c r="J15" s="121"/>
      <c r="K15" s="708">
        <v>4</v>
      </c>
      <c r="L15" s="121"/>
      <c r="M15" s="121"/>
      <c r="N15" s="708">
        <v>3</v>
      </c>
      <c r="O15" s="121"/>
      <c r="P15" s="133"/>
      <c r="Q15" s="708">
        <v>1</v>
      </c>
      <c r="R15" s="134"/>
      <c r="S15" s="121"/>
      <c r="T15" s="708">
        <v>0</v>
      </c>
      <c r="U15" s="121"/>
      <c r="V15" s="121"/>
      <c r="W15" s="27">
        <v>11</v>
      </c>
      <c r="X15" s="121"/>
      <c r="Y15" s="121"/>
      <c r="Z15" s="27">
        <v>1</v>
      </c>
    </row>
    <row r="16" spans="1:26" ht="13.2">
      <c r="A16" s="135"/>
      <c r="B16" s="137" t="s">
        <v>58</v>
      </c>
      <c r="C16" s="601"/>
      <c r="D16" s="133"/>
      <c r="E16" s="708">
        <v>68</v>
      </c>
      <c r="F16" s="134"/>
      <c r="G16" s="121"/>
      <c r="H16" s="121">
        <v>41</v>
      </c>
      <c r="I16" s="121"/>
      <c r="J16" s="121"/>
      <c r="K16" s="121">
        <v>12</v>
      </c>
      <c r="L16" s="121"/>
      <c r="M16" s="121"/>
      <c r="N16" s="121">
        <v>15</v>
      </c>
      <c r="O16" s="121"/>
      <c r="P16" s="133"/>
      <c r="Q16" s="708">
        <v>7</v>
      </c>
      <c r="R16" s="134"/>
      <c r="S16" s="121"/>
      <c r="T16" s="121">
        <v>5</v>
      </c>
      <c r="U16" s="121"/>
      <c r="V16" s="121"/>
      <c r="W16" s="27">
        <v>109</v>
      </c>
      <c r="X16" s="121"/>
      <c r="Y16" s="121"/>
      <c r="Z16" s="27">
        <v>12</v>
      </c>
    </row>
    <row r="17" spans="1:27">
      <c r="A17" s="135"/>
      <c r="B17" s="137" t="s">
        <v>181</v>
      </c>
      <c r="C17" s="601"/>
      <c r="D17" s="133"/>
      <c r="E17" s="708">
        <v>1</v>
      </c>
      <c r="F17" s="134"/>
      <c r="G17" s="121"/>
      <c r="H17" s="508">
        <v>1</v>
      </c>
      <c r="I17" s="121"/>
      <c r="J17" s="121"/>
      <c r="K17" s="508">
        <v>1</v>
      </c>
      <c r="L17" s="121"/>
      <c r="M17" s="121"/>
      <c r="N17" s="508">
        <v>1</v>
      </c>
      <c r="O17" s="121"/>
      <c r="P17" s="133"/>
      <c r="Q17" s="708" t="s">
        <v>180</v>
      </c>
      <c r="R17" s="134"/>
      <c r="S17" s="121"/>
      <c r="T17" s="508">
        <v>1</v>
      </c>
      <c r="U17" s="121"/>
      <c r="V17" s="121"/>
      <c r="W17" s="27">
        <v>2</v>
      </c>
      <c r="X17" s="121"/>
      <c r="Y17" s="121"/>
      <c r="Z17" s="27">
        <v>1</v>
      </c>
    </row>
    <row r="18" spans="1:27" ht="13.2">
      <c r="A18" s="135"/>
      <c r="B18" s="137" t="s">
        <v>836</v>
      </c>
      <c r="C18" s="601"/>
      <c r="D18" s="133"/>
      <c r="E18" s="872">
        <v>3</v>
      </c>
      <c r="F18" s="134"/>
      <c r="G18" s="121"/>
      <c r="H18" s="30">
        <v>2</v>
      </c>
      <c r="I18" s="121"/>
      <c r="J18" s="121"/>
      <c r="K18" s="30">
        <v>1</v>
      </c>
      <c r="L18" s="121"/>
      <c r="M18" s="121"/>
      <c r="N18" s="30">
        <v>0</v>
      </c>
      <c r="O18" s="121"/>
      <c r="P18" s="133"/>
      <c r="Q18" s="872">
        <v>1</v>
      </c>
      <c r="R18" s="134"/>
      <c r="S18" s="121"/>
      <c r="T18" s="30">
        <v>1</v>
      </c>
      <c r="U18" s="729"/>
      <c r="V18" s="121"/>
      <c r="W18" s="30">
        <v>5</v>
      </c>
      <c r="X18" s="121"/>
      <c r="Y18" s="121"/>
      <c r="Z18" s="30">
        <v>2</v>
      </c>
    </row>
    <row r="19" spans="1:27">
      <c r="A19" s="135"/>
      <c r="B19" s="137" t="s">
        <v>182</v>
      </c>
      <c r="C19" s="601"/>
      <c r="D19" s="133"/>
      <c r="E19" s="708">
        <v>373</v>
      </c>
      <c r="F19" s="134"/>
      <c r="G19" s="121"/>
      <c r="H19" s="121">
        <v>334</v>
      </c>
      <c r="I19" s="121"/>
      <c r="J19" s="121"/>
      <c r="K19" s="121">
        <v>328</v>
      </c>
      <c r="L19" s="121"/>
      <c r="M19" s="121"/>
      <c r="N19" s="121">
        <v>315</v>
      </c>
      <c r="O19" s="121"/>
      <c r="P19" s="133"/>
      <c r="Q19" s="708">
        <v>329</v>
      </c>
      <c r="R19" s="134"/>
      <c r="S19" s="121"/>
      <c r="T19" s="121">
        <v>305</v>
      </c>
      <c r="U19" s="121"/>
      <c r="V19" s="121"/>
      <c r="W19" s="27">
        <v>707</v>
      </c>
      <c r="X19" s="121"/>
      <c r="Y19" s="121"/>
      <c r="Z19" s="121">
        <v>634</v>
      </c>
    </row>
    <row r="20" spans="1:27">
      <c r="A20" s="135"/>
      <c r="B20" s="137" t="s">
        <v>183</v>
      </c>
      <c r="C20" s="601"/>
      <c r="D20" s="133"/>
      <c r="E20" s="872">
        <v>-21</v>
      </c>
      <c r="F20" s="134"/>
      <c r="G20" s="121"/>
      <c r="H20" s="141">
        <v>-21</v>
      </c>
      <c r="I20" s="121"/>
      <c r="J20" s="121"/>
      <c r="K20" s="141">
        <v>-19</v>
      </c>
      <c r="L20" s="121"/>
      <c r="M20" s="121"/>
      <c r="N20" s="141">
        <v>-17</v>
      </c>
      <c r="O20" s="121"/>
      <c r="P20" s="133"/>
      <c r="Q20" s="872">
        <v>-19</v>
      </c>
      <c r="R20" s="134"/>
      <c r="S20" s="121"/>
      <c r="T20" s="141">
        <v>-21</v>
      </c>
      <c r="U20" s="121"/>
      <c r="V20" s="121"/>
      <c r="W20" s="30">
        <v>-42</v>
      </c>
      <c r="X20" s="121"/>
      <c r="Y20" s="121"/>
      <c r="Z20" s="141">
        <v>-40</v>
      </c>
    </row>
    <row r="21" spans="1:27" ht="13.8" thickBot="1">
      <c r="A21" s="135"/>
      <c r="B21" s="137" t="s">
        <v>184</v>
      </c>
      <c r="C21" s="601"/>
      <c r="D21" s="133" t="s">
        <v>108</v>
      </c>
      <c r="E21" s="591">
        <v>352</v>
      </c>
      <c r="F21" s="134"/>
      <c r="G21" s="121" t="s">
        <v>108</v>
      </c>
      <c r="H21" s="136">
        <v>313</v>
      </c>
      <c r="I21" s="121"/>
      <c r="J21" s="121" t="s">
        <v>108</v>
      </c>
      <c r="K21" s="136">
        <v>309</v>
      </c>
      <c r="L21" s="121"/>
      <c r="M21" s="121" t="s">
        <v>108</v>
      </c>
      <c r="N21" s="136">
        <v>298</v>
      </c>
      <c r="O21" s="121"/>
      <c r="P21" s="133" t="s">
        <v>108</v>
      </c>
      <c r="Q21" s="591">
        <v>310</v>
      </c>
      <c r="R21" s="134"/>
      <c r="S21" s="121" t="s">
        <v>108</v>
      </c>
      <c r="T21" s="136">
        <v>284</v>
      </c>
      <c r="U21" s="121"/>
      <c r="V21" s="121" t="s">
        <v>108</v>
      </c>
      <c r="W21" s="46">
        <v>665</v>
      </c>
      <c r="X21" s="121"/>
      <c r="Y21" s="121" t="s">
        <v>108</v>
      </c>
      <c r="Z21" s="136">
        <v>594</v>
      </c>
    </row>
    <row r="22" spans="1:27" ht="12.6" thickTop="1" thickBot="1">
      <c r="A22" s="135"/>
      <c r="B22" s="135" t="s">
        <v>185</v>
      </c>
      <c r="C22" s="601"/>
      <c r="D22" s="133" t="s">
        <v>108</v>
      </c>
      <c r="E22" s="591">
        <v>254</v>
      </c>
      <c r="F22" s="134"/>
      <c r="G22" s="121" t="s">
        <v>108</v>
      </c>
      <c r="H22" s="730">
        <v>232</v>
      </c>
      <c r="I22" s="121"/>
      <c r="J22" s="121" t="s">
        <v>108</v>
      </c>
      <c r="K22" s="730">
        <v>233</v>
      </c>
      <c r="L22" s="121"/>
      <c r="M22" s="121" t="s">
        <v>108</v>
      </c>
      <c r="N22" s="730">
        <v>225</v>
      </c>
      <c r="O22" s="121"/>
      <c r="P22" s="133" t="s">
        <v>108</v>
      </c>
      <c r="Q22" s="591">
        <v>236</v>
      </c>
      <c r="R22" s="134"/>
      <c r="S22" s="121" t="s">
        <v>108</v>
      </c>
      <c r="T22" s="730">
        <v>219</v>
      </c>
      <c r="U22" s="121"/>
      <c r="V22" s="121" t="s">
        <v>108</v>
      </c>
      <c r="W22" s="46">
        <v>486</v>
      </c>
      <c r="X22" s="121"/>
      <c r="Y22" s="121" t="s">
        <v>108</v>
      </c>
      <c r="Z22" s="136">
        <v>455</v>
      </c>
    </row>
    <row r="23" spans="1:27" ht="12" thickTop="1">
      <c r="A23" s="135"/>
      <c r="B23" s="135"/>
      <c r="C23" s="601"/>
      <c r="D23" s="133"/>
      <c r="E23" s="121"/>
      <c r="F23" s="134"/>
      <c r="G23" s="121"/>
      <c r="H23" s="121"/>
      <c r="I23" s="121"/>
      <c r="J23" s="121"/>
      <c r="K23" s="121"/>
      <c r="L23" s="121"/>
      <c r="M23" s="121"/>
      <c r="N23" s="121"/>
      <c r="O23" s="121"/>
      <c r="P23" s="133"/>
      <c r="Q23" s="121"/>
      <c r="R23" s="134"/>
      <c r="S23" s="121"/>
      <c r="T23" s="121"/>
      <c r="U23" s="121"/>
      <c r="V23" s="121"/>
      <c r="W23" s="121"/>
      <c r="X23" s="121"/>
      <c r="Y23" s="121"/>
      <c r="Z23" s="121"/>
    </row>
    <row r="24" spans="1:27" ht="13.8">
      <c r="A24" s="728" t="s">
        <v>48</v>
      </c>
      <c r="B24" s="135"/>
      <c r="C24" s="601"/>
      <c r="D24" s="133"/>
      <c r="E24" s="121"/>
      <c r="F24" s="134"/>
      <c r="G24" s="121"/>
      <c r="H24" s="121"/>
      <c r="I24" s="121"/>
      <c r="J24" s="121"/>
      <c r="K24" s="121"/>
      <c r="L24" s="121"/>
      <c r="M24" s="121"/>
      <c r="N24" s="121"/>
      <c r="O24" s="121"/>
      <c r="P24" s="133"/>
      <c r="Q24" s="121"/>
      <c r="R24" s="134"/>
      <c r="S24" s="121"/>
      <c r="T24" s="121"/>
      <c r="U24" s="121"/>
      <c r="V24" s="121"/>
      <c r="W24" s="121"/>
      <c r="X24" s="121"/>
      <c r="Y24" s="121"/>
      <c r="Z24" s="121"/>
    </row>
    <row r="25" spans="1:27">
      <c r="A25" s="135"/>
      <c r="B25" s="137" t="s">
        <v>177</v>
      </c>
      <c r="C25" s="601"/>
      <c r="D25" s="133"/>
      <c r="E25" s="121"/>
      <c r="F25" s="134"/>
      <c r="G25" s="121"/>
      <c r="H25" s="121"/>
      <c r="I25" s="121"/>
      <c r="J25" s="121"/>
      <c r="K25" s="121"/>
      <c r="L25" s="121"/>
      <c r="M25" s="121"/>
      <c r="N25" s="121"/>
      <c r="O25" s="121"/>
      <c r="P25" s="133"/>
      <c r="Q25" s="121"/>
      <c r="R25" s="134"/>
      <c r="S25" s="121"/>
      <c r="T25" s="121"/>
      <c r="U25" s="121"/>
      <c r="V25" s="121"/>
      <c r="W25" s="121"/>
      <c r="X25" s="121"/>
      <c r="Y25" s="121"/>
      <c r="Z25" s="121"/>
    </row>
    <row r="26" spans="1:27">
      <c r="A26" s="135"/>
      <c r="B26" s="137" t="s">
        <v>186</v>
      </c>
      <c r="C26" s="601"/>
      <c r="D26" s="133"/>
      <c r="E26" s="231">
        <v>4.4000000000000004</v>
      </c>
      <c r="F26" s="968" t="s">
        <v>893</v>
      </c>
      <c r="G26" s="142"/>
      <c r="H26" s="731">
        <v>4.5999999999999996</v>
      </c>
      <c r="I26" s="142" t="s">
        <v>893</v>
      </c>
      <c r="J26" s="142"/>
      <c r="K26" s="731">
        <v>4.5999999999999996</v>
      </c>
      <c r="L26" s="142" t="s">
        <v>893</v>
      </c>
      <c r="M26" s="142"/>
      <c r="N26" s="731">
        <v>4.5999999999999996</v>
      </c>
      <c r="O26" s="142" t="s">
        <v>893</v>
      </c>
      <c r="P26" s="133"/>
      <c r="Q26" s="231">
        <v>4.9000000000000004</v>
      </c>
      <c r="R26" s="896" t="s">
        <v>893</v>
      </c>
      <c r="S26" s="142"/>
      <c r="T26" s="731">
        <v>4.8</v>
      </c>
      <c r="U26" s="142" t="s">
        <v>893</v>
      </c>
      <c r="V26" s="142"/>
      <c r="W26" s="231">
        <v>4.4000000000000004</v>
      </c>
      <c r="X26" s="142" t="s">
        <v>893</v>
      </c>
      <c r="Y26" s="142"/>
      <c r="Z26" s="731">
        <v>4.9000000000000004</v>
      </c>
      <c r="AA26" s="117" t="s">
        <v>893</v>
      </c>
    </row>
    <row r="27" spans="1:27">
      <c r="A27" s="135"/>
      <c r="B27" s="137" t="s">
        <v>187</v>
      </c>
      <c r="C27" s="601"/>
      <c r="D27" s="133"/>
      <c r="E27" s="231">
        <v>6.4</v>
      </c>
      <c r="F27" s="168"/>
      <c r="G27" s="142"/>
      <c r="H27" s="731">
        <v>6.7</v>
      </c>
      <c r="I27" s="142"/>
      <c r="J27" s="142"/>
      <c r="K27" s="731">
        <v>6.7</v>
      </c>
      <c r="L27" s="142"/>
      <c r="M27" s="142"/>
      <c r="N27" s="731">
        <v>6.7</v>
      </c>
      <c r="O27" s="142"/>
      <c r="P27" s="133"/>
      <c r="Q27" s="231">
        <v>7.1</v>
      </c>
      <c r="R27" s="168"/>
      <c r="S27" s="142"/>
      <c r="T27" s="731">
        <v>7</v>
      </c>
      <c r="U27" s="142"/>
      <c r="V27" s="142"/>
      <c r="W27" s="231">
        <v>6.4</v>
      </c>
      <c r="X27" s="142"/>
      <c r="Y27" s="142"/>
      <c r="Z27" s="731">
        <v>7.1</v>
      </c>
    </row>
    <row r="28" spans="1:27" ht="13.2">
      <c r="A28" s="135"/>
      <c r="B28" s="137" t="s">
        <v>188</v>
      </c>
      <c r="C28" s="601"/>
      <c r="D28" s="133"/>
      <c r="E28" s="231">
        <v>3.7</v>
      </c>
      <c r="F28" s="168"/>
      <c r="G28" s="142"/>
      <c r="H28" s="731">
        <v>3.6</v>
      </c>
      <c r="I28" s="142"/>
      <c r="J28" s="142"/>
      <c r="K28" s="731">
        <v>3.7</v>
      </c>
      <c r="L28" s="142"/>
      <c r="M28" s="142"/>
      <c r="N28" s="731">
        <v>3.9</v>
      </c>
      <c r="O28" s="142"/>
      <c r="P28" s="133"/>
      <c r="Q28" s="231">
        <v>3.8</v>
      </c>
      <c r="R28" s="168"/>
      <c r="S28" s="142"/>
      <c r="T28" s="731">
        <v>3.6</v>
      </c>
      <c r="U28" s="142"/>
      <c r="V28" s="142"/>
      <c r="W28" s="231">
        <v>3.7</v>
      </c>
      <c r="X28" s="142"/>
      <c r="Y28" s="142"/>
      <c r="Z28" s="731">
        <v>3.8</v>
      </c>
    </row>
    <row r="29" spans="1:27" ht="13.2">
      <c r="A29" s="135"/>
      <c r="B29" s="137" t="s">
        <v>225</v>
      </c>
      <c r="C29" s="601"/>
      <c r="D29" s="133"/>
      <c r="E29" s="231">
        <v>2.7</v>
      </c>
      <c r="F29" s="168"/>
      <c r="G29" s="142"/>
      <c r="H29" s="731">
        <v>2.1</v>
      </c>
      <c r="I29" s="142"/>
      <c r="J29" s="142"/>
      <c r="K29" s="731">
        <v>4.3</v>
      </c>
      <c r="L29" s="142"/>
      <c r="M29" s="142"/>
      <c r="N29" s="731">
        <v>1.9</v>
      </c>
      <c r="O29" s="142"/>
      <c r="P29" s="133"/>
      <c r="Q29" s="231">
        <v>3.3</v>
      </c>
      <c r="R29" s="168"/>
      <c r="S29" s="142"/>
      <c r="T29" s="731">
        <v>1.9</v>
      </c>
      <c r="U29" s="142"/>
      <c r="V29" s="142"/>
      <c r="W29" s="231">
        <v>2.4</v>
      </c>
      <c r="X29" s="142"/>
      <c r="Y29" s="142"/>
      <c r="Z29" s="731">
        <v>2.6</v>
      </c>
    </row>
    <row r="30" spans="1:27">
      <c r="A30" s="135"/>
      <c r="B30" s="137" t="s">
        <v>829</v>
      </c>
      <c r="C30" s="601"/>
      <c r="D30" s="133"/>
      <c r="E30" s="231">
        <v>4.2</v>
      </c>
      <c r="F30" s="168"/>
      <c r="G30" s="142"/>
      <c r="H30" s="731">
        <v>4.5</v>
      </c>
      <c r="I30" s="142"/>
      <c r="J30" s="142"/>
      <c r="K30" s="731">
        <v>4.2</v>
      </c>
      <c r="L30" s="142"/>
      <c r="M30" s="142"/>
      <c r="N30" s="731">
        <v>4.5</v>
      </c>
      <c r="O30" s="142"/>
      <c r="P30" s="133"/>
      <c r="Q30" s="231">
        <v>3.2</v>
      </c>
      <c r="R30" s="168"/>
      <c r="S30" s="142"/>
      <c r="T30" s="731">
        <v>6.7</v>
      </c>
      <c r="U30" s="142"/>
      <c r="V30" s="142"/>
      <c r="W30" s="231">
        <v>4.4000000000000004</v>
      </c>
      <c r="X30" s="142"/>
      <c r="Y30" s="142"/>
      <c r="Z30" s="731">
        <v>3.2</v>
      </c>
    </row>
    <row r="31" spans="1:27">
      <c r="A31" s="135"/>
      <c r="B31" s="137" t="s">
        <v>609</v>
      </c>
      <c r="C31" s="601"/>
      <c r="D31" s="133"/>
      <c r="E31" s="231">
        <v>9.5</v>
      </c>
      <c r="F31" s="168"/>
      <c r="G31" s="142"/>
      <c r="H31" s="731">
        <v>5.5</v>
      </c>
      <c r="I31" s="142"/>
      <c r="J31" s="142"/>
      <c r="K31" s="731">
        <v>6.3</v>
      </c>
      <c r="L31" s="142"/>
      <c r="M31" s="142"/>
      <c r="N31" s="731">
        <v>8.8000000000000007</v>
      </c>
      <c r="O31" s="142"/>
      <c r="P31" s="133"/>
      <c r="Q31" s="231">
        <v>4.2</v>
      </c>
      <c r="R31" s="168"/>
      <c r="S31" s="142"/>
      <c r="T31" s="731">
        <v>2.9</v>
      </c>
      <c r="U31" s="142"/>
      <c r="V31" s="142"/>
      <c r="W31" s="231">
        <v>7.4</v>
      </c>
      <c r="X31" s="142"/>
      <c r="Y31" s="142"/>
      <c r="Z31" s="731">
        <v>3.6</v>
      </c>
    </row>
    <row r="32" spans="1:27">
      <c r="A32" s="135"/>
      <c r="B32" s="135" t="s">
        <v>139</v>
      </c>
      <c r="C32" s="601"/>
      <c r="D32" s="133"/>
      <c r="E32" s="231">
        <v>4.2</v>
      </c>
      <c r="F32" s="168"/>
      <c r="G32" s="142"/>
      <c r="H32" s="731">
        <v>3.8</v>
      </c>
      <c r="I32" s="142"/>
      <c r="J32" s="142"/>
      <c r="K32" s="731">
        <v>4</v>
      </c>
      <c r="L32" s="142"/>
      <c r="M32" s="142"/>
      <c r="N32" s="731">
        <v>3.9</v>
      </c>
      <c r="O32" s="142"/>
      <c r="P32" s="133"/>
      <c r="Q32" s="231">
        <v>4</v>
      </c>
      <c r="R32" s="168"/>
      <c r="S32" s="142"/>
      <c r="T32" s="731">
        <v>3.7</v>
      </c>
      <c r="U32" s="142"/>
      <c r="V32" s="142"/>
      <c r="W32" s="231">
        <v>4</v>
      </c>
      <c r="X32" s="142"/>
      <c r="Y32" s="142"/>
      <c r="Z32" s="731">
        <v>3.9</v>
      </c>
    </row>
    <row r="33" spans="1:26">
      <c r="A33" s="135"/>
      <c r="B33" s="135"/>
      <c r="C33" s="601"/>
      <c r="D33" s="133"/>
      <c r="E33" s="142"/>
      <c r="F33" s="168"/>
      <c r="G33" s="142"/>
      <c r="H33" s="142"/>
      <c r="I33" s="142"/>
      <c r="J33" s="142"/>
      <c r="K33" s="142"/>
      <c r="L33" s="142"/>
      <c r="M33" s="142"/>
      <c r="N33" s="142"/>
      <c r="O33" s="142"/>
      <c r="P33" s="133"/>
      <c r="Q33" s="142"/>
      <c r="R33" s="168"/>
      <c r="S33" s="142"/>
      <c r="T33" s="142"/>
      <c r="U33" s="142"/>
      <c r="V33" s="142"/>
      <c r="W33" s="142"/>
      <c r="X33" s="142"/>
      <c r="Y33" s="142"/>
      <c r="Z33" s="142"/>
    </row>
    <row r="34" spans="1:26" ht="12">
      <c r="A34" s="728" t="s">
        <v>189</v>
      </c>
      <c r="B34" s="135"/>
      <c r="C34" s="601"/>
      <c r="D34" s="133"/>
      <c r="E34" s="121"/>
      <c r="F34" s="134"/>
      <c r="G34" s="121"/>
      <c r="H34" s="121"/>
      <c r="I34" s="121"/>
      <c r="J34" s="121"/>
      <c r="K34" s="121"/>
      <c r="L34" s="121"/>
      <c r="M34" s="121"/>
      <c r="N34" s="121"/>
      <c r="O34" s="121"/>
      <c r="P34" s="133"/>
      <c r="Q34" s="121"/>
      <c r="R34" s="134"/>
      <c r="S34" s="121"/>
      <c r="T34" s="121"/>
      <c r="U34" s="121"/>
      <c r="V34" s="121"/>
      <c r="W34" s="121"/>
      <c r="X34" s="121"/>
      <c r="Y34" s="121"/>
      <c r="Z34" s="121"/>
    </row>
    <row r="35" spans="1:26" ht="12">
      <c r="A35" s="728" t="s">
        <v>190</v>
      </c>
      <c r="B35" s="135"/>
      <c r="C35" s="601"/>
      <c r="D35" s="133"/>
      <c r="E35" s="121"/>
      <c r="F35" s="134"/>
      <c r="G35" s="121"/>
      <c r="H35" s="121"/>
      <c r="I35" s="121"/>
      <c r="J35" s="121"/>
      <c r="K35" s="121"/>
      <c r="L35" s="121"/>
      <c r="M35" s="121"/>
      <c r="N35" s="121"/>
      <c r="O35" s="121"/>
      <c r="P35" s="133"/>
      <c r="Q35" s="121"/>
      <c r="R35" s="134"/>
      <c r="S35" s="121"/>
      <c r="T35" s="121"/>
      <c r="U35" s="121"/>
      <c r="V35" s="121"/>
      <c r="W35" s="121"/>
      <c r="X35" s="121"/>
      <c r="Y35" s="121"/>
      <c r="Z35" s="121"/>
    </row>
    <row r="36" spans="1:26">
      <c r="A36" s="135"/>
      <c r="B36" s="137" t="s">
        <v>177</v>
      </c>
      <c r="C36" s="601"/>
      <c r="D36" s="133"/>
      <c r="E36" s="121"/>
      <c r="F36" s="134"/>
      <c r="G36" s="121"/>
      <c r="H36" s="121"/>
      <c r="I36" s="121"/>
      <c r="J36" s="121"/>
      <c r="K36" s="121"/>
      <c r="L36" s="121"/>
      <c r="M36" s="121"/>
      <c r="N36" s="121"/>
      <c r="O36" s="121"/>
      <c r="P36" s="133"/>
      <c r="Q36" s="121"/>
      <c r="R36" s="134"/>
      <c r="S36" s="121"/>
      <c r="T36" s="121"/>
      <c r="U36" s="121"/>
      <c r="V36" s="121"/>
      <c r="W36" s="121"/>
      <c r="X36" s="121"/>
      <c r="Y36" s="121"/>
      <c r="Z36" s="121"/>
    </row>
    <row r="37" spans="1:26">
      <c r="A37" s="135"/>
      <c r="B37" s="137" t="s">
        <v>178</v>
      </c>
      <c r="C37" s="601"/>
      <c r="D37" s="133" t="s">
        <v>108</v>
      </c>
      <c r="E37" s="708">
        <v>-4</v>
      </c>
      <c r="F37" s="134"/>
      <c r="G37" s="121" t="s">
        <v>108</v>
      </c>
      <c r="H37" s="121">
        <v>25</v>
      </c>
      <c r="I37" s="121"/>
      <c r="J37" s="121" t="s">
        <v>108</v>
      </c>
      <c r="K37" s="121">
        <v>5</v>
      </c>
      <c r="L37" s="121"/>
      <c r="M37" s="121" t="s">
        <v>108</v>
      </c>
      <c r="N37" s="121">
        <v>30</v>
      </c>
      <c r="O37" s="121"/>
      <c r="P37" s="133" t="s">
        <v>108</v>
      </c>
      <c r="Q37" s="708">
        <v>-16</v>
      </c>
      <c r="R37" s="134"/>
      <c r="S37" s="121" t="s">
        <v>108</v>
      </c>
      <c r="T37" s="121">
        <v>-13</v>
      </c>
      <c r="U37" s="121"/>
      <c r="V37" s="121" t="s">
        <v>108</v>
      </c>
      <c r="W37" s="27">
        <v>21</v>
      </c>
      <c r="X37" s="121"/>
      <c r="Y37" s="121" t="s">
        <v>108</v>
      </c>
      <c r="Z37" s="27">
        <v>-29</v>
      </c>
    </row>
    <row r="38" spans="1:26" ht="13.2">
      <c r="A38" s="135"/>
      <c r="B38" s="137" t="s">
        <v>179</v>
      </c>
      <c r="C38" s="601"/>
      <c r="D38" s="133"/>
      <c r="E38" s="708">
        <v>15</v>
      </c>
      <c r="F38" s="134"/>
      <c r="G38" s="121"/>
      <c r="H38" s="121">
        <v>-5</v>
      </c>
      <c r="I38" s="121"/>
      <c r="J38" s="121"/>
      <c r="K38" s="121">
        <v>28</v>
      </c>
      <c r="L38" s="121"/>
      <c r="M38" s="121"/>
      <c r="N38" s="121">
        <v>119</v>
      </c>
      <c r="O38" s="121"/>
      <c r="P38" s="133"/>
      <c r="Q38" s="708">
        <v>9</v>
      </c>
      <c r="R38" s="134"/>
      <c r="S38" s="121"/>
      <c r="T38" s="121">
        <v>-29</v>
      </c>
      <c r="U38" s="121"/>
      <c r="V38" s="121"/>
      <c r="W38" s="27">
        <v>10</v>
      </c>
      <c r="X38" s="121"/>
      <c r="Y38" s="121"/>
      <c r="Z38" s="27">
        <v>-20</v>
      </c>
    </row>
    <row r="39" spans="1:26" ht="13.2">
      <c r="A39" s="135"/>
      <c r="B39" s="137" t="s">
        <v>225</v>
      </c>
      <c r="C39" s="601"/>
      <c r="D39" s="133"/>
      <c r="E39" s="708">
        <v>13</v>
      </c>
      <c r="F39" s="134"/>
      <c r="G39" s="121"/>
      <c r="H39" s="121">
        <v>159</v>
      </c>
      <c r="I39" s="121"/>
      <c r="J39" s="121"/>
      <c r="K39" s="121">
        <v>3</v>
      </c>
      <c r="L39" s="121"/>
      <c r="M39" s="121"/>
      <c r="N39" s="121">
        <v>-77</v>
      </c>
      <c r="O39" s="121"/>
      <c r="P39" s="133"/>
      <c r="Q39" s="708">
        <v>-2</v>
      </c>
      <c r="R39" s="134"/>
      <c r="S39" s="121"/>
      <c r="T39" s="121">
        <v>124</v>
      </c>
      <c r="U39" s="121"/>
      <c r="V39" s="121"/>
      <c r="W39" s="27">
        <v>172</v>
      </c>
      <c r="X39" s="121"/>
      <c r="Y39" s="121"/>
      <c r="Z39" s="27">
        <v>122</v>
      </c>
    </row>
    <row r="40" spans="1:26" ht="13.2">
      <c r="A40" s="135"/>
      <c r="B40" s="137" t="s">
        <v>46</v>
      </c>
      <c r="C40" s="601"/>
      <c r="D40" s="133"/>
      <c r="E40" s="708">
        <v>1</v>
      </c>
      <c r="F40" s="134"/>
      <c r="G40" s="121"/>
      <c r="H40" s="121">
        <v>11</v>
      </c>
      <c r="I40" s="121"/>
      <c r="J40" s="121"/>
      <c r="K40" s="121">
        <v>33</v>
      </c>
      <c r="L40" s="121"/>
      <c r="M40" s="121"/>
      <c r="N40" s="121">
        <v>-3</v>
      </c>
      <c r="O40" s="121"/>
      <c r="P40" s="133"/>
      <c r="Q40" s="708">
        <v>20</v>
      </c>
      <c r="R40" s="134"/>
      <c r="S40" s="121"/>
      <c r="T40" s="121">
        <v>46</v>
      </c>
      <c r="U40" s="121"/>
      <c r="V40" s="121"/>
      <c r="W40" s="27">
        <v>12</v>
      </c>
      <c r="X40" s="121"/>
      <c r="Y40" s="121"/>
      <c r="Z40" s="27">
        <v>66</v>
      </c>
    </row>
    <row r="41" spans="1:26" ht="13.2">
      <c r="A41" s="135"/>
      <c r="B41" s="137" t="s">
        <v>191</v>
      </c>
      <c r="C41" s="601"/>
      <c r="D41" s="133"/>
      <c r="E41" s="872">
        <v>-6</v>
      </c>
      <c r="F41" s="134"/>
      <c r="G41" s="121"/>
      <c r="H41" s="121">
        <v>-1</v>
      </c>
      <c r="I41" s="121"/>
      <c r="J41" s="121"/>
      <c r="K41" s="121">
        <v>-57</v>
      </c>
      <c r="L41" s="121"/>
      <c r="M41" s="121"/>
      <c r="N41" s="121">
        <v>-45</v>
      </c>
      <c r="O41" s="121"/>
      <c r="P41" s="133"/>
      <c r="Q41" s="872">
        <v>-19</v>
      </c>
      <c r="R41" s="134"/>
      <c r="S41" s="121"/>
      <c r="T41" s="121">
        <v>-71</v>
      </c>
      <c r="U41" s="121"/>
      <c r="V41" s="121"/>
      <c r="W41" s="30">
        <v>-7</v>
      </c>
      <c r="X41" s="121"/>
      <c r="Y41" s="121"/>
      <c r="Z41" s="30">
        <v>-90</v>
      </c>
    </row>
    <row r="42" spans="1:26" ht="12" thickBot="1">
      <c r="A42" s="135"/>
      <c r="B42" s="137" t="s">
        <v>611</v>
      </c>
      <c r="C42" s="601"/>
      <c r="D42" s="133" t="s">
        <v>108</v>
      </c>
      <c r="E42" s="591">
        <v>19</v>
      </c>
      <c r="F42" s="134"/>
      <c r="G42" s="121" t="s">
        <v>108</v>
      </c>
      <c r="H42" s="692">
        <v>189</v>
      </c>
      <c r="I42" s="121"/>
      <c r="J42" s="121" t="s">
        <v>108</v>
      </c>
      <c r="K42" s="692">
        <v>12</v>
      </c>
      <c r="L42" s="121"/>
      <c r="M42" s="121" t="s">
        <v>108</v>
      </c>
      <c r="N42" s="692">
        <v>24</v>
      </c>
      <c r="O42" s="121"/>
      <c r="P42" s="133" t="s">
        <v>108</v>
      </c>
      <c r="Q42" s="591">
        <v>-8</v>
      </c>
      <c r="R42" s="134"/>
      <c r="S42" s="121" t="s">
        <v>108</v>
      </c>
      <c r="T42" s="692">
        <v>57</v>
      </c>
      <c r="U42" s="121"/>
      <c r="V42" s="121" t="s">
        <v>108</v>
      </c>
      <c r="W42" s="46">
        <v>208</v>
      </c>
      <c r="X42" s="121"/>
      <c r="Y42" s="121" t="s">
        <v>108</v>
      </c>
      <c r="Z42" s="136">
        <v>49</v>
      </c>
    </row>
    <row r="43" spans="1:26" ht="12" thickTop="1">
      <c r="A43" s="135"/>
      <c r="B43" s="135"/>
      <c r="C43" s="601"/>
      <c r="D43" s="133"/>
      <c r="E43" s="121"/>
      <c r="F43" s="134"/>
      <c r="G43" s="121"/>
      <c r="H43" s="121"/>
      <c r="I43" s="121"/>
      <c r="J43" s="121"/>
      <c r="K43" s="121"/>
      <c r="L43" s="121"/>
      <c r="M43" s="121"/>
      <c r="N43" s="121"/>
      <c r="O43" s="121"/>
      <c r="P43" s="133"/>
      <c r="Q43" s="121"/>
      <c r="R43" s="134"/>
      <c r="S43" s="121"/>
      <c r="T43" s="121"/>
      <c r="U43" s="121"/>
      <c r="V43" s="121"/>
      <c r="W43" s="27"/>
      <c r="X43" s="121"/>
      <c r="Y43" s="121"/>
      <c r="Z43" s="121"/>
    </row>
    <row r="44" spans="1:26" ht="12">
      <c r="A44" s="728" t="s">
        <v>192</v>
      </c>
      <c r="B44" s="135"/>
      <c r="C44" s="601"/>
      <c r="D44" s="133"/>
      <c r="E44" s="121"/>
      <c r="F44" s="134"/>
      <c r="G44" s="121"/>
      <c r="H44" s="121"/>
      <c r="I44" s="121"/>
      <c r="J44" s="121"/>
      <c r="K44" s="121"/>
      <c r="L44" s="121"/>
      <c r="M44" s="121"/>
      <c r="N44" s="121"/>
      <c r="O44" s="121"/>
      <c r="P44" s="133"/>
      <c r="Q44" s="121"/>
      <c r="R44" s="134"/>
      <c r="S44" s="121"/>
      <c r="T44" s="121"/>
      <c r="U44" s="121"/>
      <c r="V44" s="121"/>
      <c r="W44" s="27"/>
      <c r="X44" s="121"/>
      <c r="Y44" s="121"/>
      <c r="Z44" s="121"/>
    </row>
    <row r="45" spans="1:26" ht="12">
      <c r="A45" s="728" t="s">
        <v>193</v>
      </c>
      <c r="B45" s="135"/>
      <c r="C45" s="601"/>
      <c r="D45" s="133"/>
      <c r="E45" s="121"/>
      <c r="F45" s="134"/>
      <c r="G45" s="121"/>
      <c r="H45" s="121"/>
      <c r="I45" s="121"/>
      <c r="J45" s="121"/>
      <c r="K45" s="121"/>
      <c r="L45" s="121"/>
      <c r="M45" s="121"/>
      <c r="N45" s="121"/>
      <c r="O45" s="121"/>
      <c r="P45" s="133"/>
      <c r="Q45" s="121"/>
      <c r="R45" s="134"/>
      <c r="S45" s="121"/>
      <c r="T45" s="121"/>
      <c r="U45" s="121"/>
      <c r="V45" s="121"/>
      <c r="W45" s="27"/>
      <c r="X45" s="121"/>
      <c r="Y45" s="121"/>
      <c r="Z45" s="121"/>
    </row>
    <row r="46" spans="1:26">
      <c r="A46" s="135"/>
      <c r="B46" s="135" t="s">
        <v>194</v>
      </c>
      <c r="C46" s="601"/>
      <c r="D46" s="133" t="s">
        <v>108</v>
      </c>
      <c r="E46" s="708">
        <v>-43</v>
      </c>
      <c r="F46" s="134"/>
      <c r="G46" s="121" t="s">
        <v>108</v>
      </c>
      <c r="H46" s="121">
        <v>-19</v>
      </c>
      <c r="I46" s="121"/>
      <c r="J46" s="121" t="s">
        <v>108</v>
      </c>
      <c r="K46" s="121">
        <v>-54</v>
      </c>
      <c r="L46" s="121"/>
      <c r="M46" s="121" t="s">
        <v>108</v>
      </c>
      <c r="N46" s="121">
        <v>-105</v>
      </c>
      <c r="O46" s="121"/>
      <c r="P46" s="133" t="s">
        <v>108</v>
      </c>
      <c r="Q46" s="708">
        <v>-27</v>
      </c>
      <c r="R46" s="134"/>
      <c r="S46" s="121" t="s">
        <v>108</v>
      </c>
      <c r="T46" s="121">
        <v>-64</v>
      </c>
      <c r="U46" s="121"/>
      <c r="V46" s="121" t="s">
        <v>108</v>
      </c>
      <c r="W46" s="27">
        <v>-62</v>
      </c>
      <c r="X46" s="121"/>
      <c r="Y46" s="121" t="s">
        <v>108</v>
      </c>
      <c r="Z46" s="27">
        <v>-91</v>
      </c>
    </row>
    <row r="47" spans="1:26" ht="13.2">
      <c r="A47" s="135"/>
      <c r="B47" s="135" t="s">
        <v>195</v>
      </c>
      <c r="C47" s="601"/>
      <c r="D47" s="133"/>
      <c r="E47" s="872">
        <v>-1</v>
      </c>
      <c r="F47" s="134"/>
      <c r="G47" s="121"/>
      <c r="H47" s="141">
        <v>-28</v>
      </c>
      <c r="I47" s="121"/>
      <c r="J47" s="121"/>
      <c r="K47" s="141">
        <v>-1</v>
      </c>
      <c r="L47" s="121"/>
      <c r="M47" s="121"/>
      <c r="N47" s="141">
        <v>-10</v>
      </c>
      <c r="O47" s="121"/>
      <c r="P47" s="133"/>
      <c r="Q47" s="872">
        <v>-11</v>
      </c>
      <c r="R47" s="134"/>
      <c r="S47" s="121"/>
      <c r="T47" s="141">
        <v>-27</v>
      </c>
      <c r="U47" s="121"/>
      <c r="V47" s="121"/>
      <c r="W47" s="30">
        <v>-29</v>
      </c>
      <c r="X47" s="121"/>
      <c r="Y47" s="121"/>
      <c r="Z47" s="30">
        <v>-38</v>
      </c>
    </row>
    <row r="48" spans="1:26">
      <c r="A48" s="135"/>
      <c r="B48" s="135" t="s">
        <v>170</v>
      </c>
      <c r="C48" s="601"/>
      <c r="D48" s="133"/>
      <c r="E48" s="708"/>
      <c r="F48" s="134"/>
      <c r="G48" s="121"/>
      <c r="H48" s="121"/>
      <c r="I48" s="121"/>
      <c r="J48" s="121"/>
      <c r="K48" s="121"/>
      <c r="L48" s="121"/>
      <c r="M48" s="121"/>
      <c r="N48" s="121"/>
      <c r="O48" s="121"/>
      <c r="P48" s="133"/>
      <c r="Q48" s="708"/>
      <c r="R48" s="134"/>
      <c r="S48" s="121"/>
      <c r="T48" s="121"/>
      <c r="U48" s="121"/>
      <c r="V48" s="121"/>
      <c r="W48" s="27"/>
      <c r="X48" s="121"/>
      <c r="Y48" s="121"/>
    </row>
    <row r="49" spans="1:26">
      <c r="A49" s="135"/>
      <c r="B49" s="135"/>
      <c r="C49" s="601" t="s">
        <v>171</v>
      </c>
      <c r="D49" s="133"/>
      <c r="E49" s="708">
        <v>-44</v>
      </c>
      <c r="F49" s="134"/>
      <c r="G49" s="121"/>
      <c r="H49" s="121">
        <v>-47</v>
      </c>
      <c r="I49" s="121"/>
      <c r="J49" s="121"/>
      <c r="K49" s="121">
        <v>-55</v>
      </c>
      <c r="L49" s="121"/>
      <c r="M49" s="121"/>
      <c r="N49" s="121">
        <v>-115</v>
      </c>
      <c r="O49" s="121"/>
      <c r="P49" s="133"/>
      <c r="Q49" s="708">
        <v>-38</v>
      </c>
      <c r="R49" s="134"/>
      <c r="S49" s="121"/>
      <c r="T49" s="121">
        <v>-91</v>
      </c>
      <c r="U49" s="121"/>
      <c r="V49" s="121"/>
      <c r="W49" s="27">
        <v>-91</v>
      </c>
      <c r="X49" s="121"/>
      <c r="Y49" s="121"/>
      <c r="Z49" s="121">
        <v>-129</v>
      </c>
    </row>
    <row r="50" spans="1:26">
      <c r="A50" s="135"/>
      <c r="B50" s="135" t="s">
        <v>196</v>
      </c>
      <c r="C50" s="601"/>
      <c r="D50" s="133"/>
      <c r="E50" s="708">
        <v>60</v>
      </c>
      <c r="F50" s="134"/>
      <c r="G50" s="121"/>
      <c r="H50" s="121">
        <v>237</v>
      </c>
      <c r="I50" s="121"/>
      <c r="J50" s="121"/>
      <c r="K50" s="121">
        <v>82</v>
      </c>
      <c r="L50" s="121"/>
      <c r="M50" s="121"/>
      <c r="N50" s="121">
        <v>186</v>
      </c>
      <c r="O50" s="121"/>
      <c r="P50" s="133"/>
      <c r="Q50" s="708">
        <v>29</v>
      </c>
      <c r="R50" s="134"/>
      <c r="S50" s="121"/>
      <c r="T50" s="121">
        <v>172</v>
      </c>
      <c r="U50" s="121"/>
      <c r="W50" s="27">
        <v>297</v>
      </c>
      <c r="X50" s="121"/>
      <c r="Z50" s="27">
        <v>201</v>
      </c>
    </row>
    <row r="51" spans="1:26">
      <c r="A51" s="135"/>
      <c r="B51" s="135" t="s">
        <v>173</v>
      </c>
      <c r="C51" s="601"/>
      <c r="D51" s="133"/>
      <c r="E51" s="708">
        <v>1</v>
      </c>
      <c r="F51" s="134"/>
      <c r="G51" s="121"/>
      <c r="H51" s="121">
        <v>3</v>
      </c>
      <c r="I51" s="121"/>
      <c r="J51" s="121"/>
      <c r="K51" s="121">
        <v>-12</v>
      </c>
      <c r="L51" s="121"/>
      <c r="M51" s="121"/>
      <c r="N51" s="121">
        <v>-56</v>
      </c>
      <c r="O51" s="121"/>
      <c r="P51" s="133"/>
      <c r="Q51" s="708">
        <v>-12</v>
      </c>
      <c r="R51" s="134"/>
      <c r="S51" s="121"/>
      <c r="T51" s="121">
        <v>26</v>
      </c>
      <c r="U51" s="121"/>
      <c r="V51" s="121"/>
      <c r="W51" s="27">
        <v>4</v>
      </c>
      <c r="X51" s="121"/>
      <c r="Y51" s="121"/>
      <c r="Z51" s="27">
        <v>14</v>
      </c>
    </row>
    <row r="52" spans="1:26">
      <c r="A52" s="135"/>
      <c r="B52" s="135" t="s">
        <v>174</v>
      </c>
      <c r="C52" s="601"/>
      <c r="D52" s="133"/>
      <c r="E52" s="708">
        <v>2</v>
      </c>
      <c r="F52" s="134"/>
      <c r="G52" s="121"/>
      <c r="H52" s="121">
        <v>-4</v>
      </c>
      <c r="I52" s="121"/>
      <c r="J52" s="121"/>
      <c r="K52" s="121">
        <v>-36</v>
      </c>
      <c r="L52" s="121"/>
      <c r="M52" s="121"/>
      <c r="N52" s="121">
        <v>11</v>
      </c>
      <c r="O52" s="121"/>
      <c r="P52" s="133"/>
      <c r="Q52" s="708">
        <v>-7</v>
      </c>
      <c r="R52" s="134"/>
      <c r="S52" s="121"/>
      <c r="T52" s="121">
        <v>-95</v>
      </c>
      <c r="U52" s="121"/>
      <c r="V52" s="121"/>
      <c r="W52" s="27">
        <v>-2</v>
      </c>
      <c r="X52" s="121"/>
      <c r="Y52" s="121"/>
      <c r="Z52" s="27">
        <v>-102</v>
      </c>
    </row>
    <row r="53" spans="1:26" ht="13.2">
      <c r="A53" s="135"/>
      <c r="B53" s="135" t="s">
        <v>47</v>
      </c>
      <c r="C53" s="601"/>
      <c r="D53" s="133"/>
      <c r="E53" s="872">
        <v>0</v>
      </c>
      <c r="F53" s="134"/>
      <c r="G53" s="121"/>
      <c r="H53" s="27">
        <v>0</v>
      </c>
      <c r="I53" s="121"/>
      <c r="J53" s="121"/>
      <c r="K53" s="121">
        <v>33</v>
      </c>
      <c r="L53" s="121"/>
      <c r="M53" s="121"/>
      <c r="N53" s="121">
        <v>-2</v>
      </c>
      <c r="O53" s="121"/>
      <c r="P53" s="133"/>
      <c r="Q53" s="872">
        <v>20</v>
      </c>
      <c r="R53" s="134"/>
      <c r="S53" s="121"/>
      <c r="T53" s="121">
        <v>45</v>
      </c>
      <c r="U53" s="121"/>
      <c r="V53" s="121"/>
      <c r="W53" s="30">
        <v>0</v>
      </c>
      <c r="X53" s="121"/>
      <c r="Y53" s="121"/>
      <c r="Z53" s="30">
        <v>65</v>
      </c>
    </row>
    <row r="54" spans="1:26" ht="12" thickBot="1">
      <c r="A54" s="135"/>
      <c r="B54" s="137" t="s">
        <v>611</v>
      </c>
      <c r="C54" s="601"/>
      <c r="D54" s="133" t="s">
        <v>108</v>
      </c>
      <c r="E54" s="591">
        <v>19</v>
      </c>
      <c r="F54" s="134"/>
      <c r="G54" s="121" t="s">
        <v>108</v>
      </c>
      <c r="H54" s="692">
        <v>189</v>
      </c>
      <c r="I54" s="121"/>
      <c r="J54" s="121" t="s">
        <v>108</v>
      </c>
      <c r="K54" s="692">
        <v>12</v>
      </c>
      <c r="L54" s="121"/>
      <c r="M54" s="121" t="s">
        <v>108</v>
      </c>
      <c r="N54" s="692">
        <v>24</v>
      </c>
      <c r="O54" s="121"/>
      <c r="P54" s="133" t="s">
        <v>108</v>
      </c>
      <c r="Q54" s="591">
        <v>-8</v>
      </c>
      <c r="R54" s="134"/>
      <c r="S54" s="121" t="s">
        <v>108</v>
      </c>
      <c r="T54" s="692">
        <v>57</v>
      </c>
      <c r="U54" s="121"/>
      <c r="V54" s="121" t="s">
        <v>108</v>
      </c>
      <c r="W54" s="46">
        <v>208</v>
      </c>
      <c r="X54" s="121"/>
      <c r="Y54" s="121" t="s">
        <v>108</v>
      </c>
      <c r="Z54" s="692">
        <v>49</v>
      </c>
    </row>
    <row r="55" spans="1:26" ht="12" thickTop="1">
      <c r="A55" s="135"/>
      <c r="B55" s="137"/>
      <c r="C55" s="601"/>
      <c r="D55" s="133"/>
      <c r="E55" s="708"/>
      <c r="F55" s="134"/>
      <c r="G55" s="121"/>
      <c r="H55" s="121"/>
      <c r="I55" s="121"/>
      <c r="J55" s="121"/>
      <c r="K55" s="121"/>
      <c r="L55" s="121"/>
      <c r="M55" s="121"/>
      <c r="N55" s="121"/>
      <c r="O55" s="121"/>
      <c r="P55" s="133"/>
      <c r="Q55" s="708"/>
      <c r="R55" s="134"/>
      <c r="S55" s="121"/>
      <c r="T55" s="121"/>
      <c r="U55" s="121"/>
      <c r="V55" s="121"/>
      <c r="W55" s="27"/>
      <c r="X55" s="121"/>
      <c r="Y55" s="121"/>
      <c r="Z55" s="121"/>
    </row>
    <row r="56" spans="1:26" ht="14.4" thickBot="1">
      <c r="A56" s="728" t="s">
        <v>141</v>
      </c>
      <c r="B56" s="137"/>
      <c r="C56" s="601"/>
      <c r="D56" s="732" t="s">
        <v>108</v>
      </c>
      <c r="E56" s="875">
        <v>35.799999999999997</v>
      </c>
      <c r="F56" s="168"/>
      <c r="G56" s="142" t="s">
        <v>108</v>
      </c>
      <c r="H56" s="138">
        <v>35.4</v>
      </c>
      <c r="I56" s="142"/>
      <c r="J56" s="142" t="s">
        <v>108</v>
      </c>
      <c r="K56" s="138">
        <v>34.9</v>
      </c>
      <c r="L56" s="142"/>
      <c r="M56" s="142" t="s">
        <v>108</v>
      </c>
      <c r="N56" s="138">
        <v>34.9</v>
      </c>
      <c r="O56" s="142"/>
      <c r="P56" s="732" t="s">
        <v>108</v>
      </c>
      <c r="Q56" s="875">
        <v>35</v>
      </c>
      <c r="R56" s="168"/>
      <c r="S56" s="142" t="s">
        <v>108</v>
      </c>
      <c r="T56" s="138">
        <v>34.700000000000003</v>
      </c>
      <c r="U56" s="142"/>
      <c r="V56" s="121" t="s">
        <v>108</v>
      </c>
      <c r="W56" s="966">
        <v>35.6</v>
      </c>
      <c r="X56" s="121"/>
      <c r="Y56" s="121" t="s">
        <v>108</v>
      </c>
      <c r="Z56" s="138">
        <v>34.799999999999997</v>
      </c>
    </row>
    <row r="57" spans="1:26" ht="12.6" thickTop="1" thickBot="1">
      <c r="A57" s="135"/>
      <c r="B57" s="135"/>
      <c r="C57" s="601"/>
      <c r="D57" s="144"/>
      <c r="E57" s="145"/>
      <c r="F57" s="146"/>
      <c r="G57" s="121"/>
      <c r="H57" s="121"/>
      <c r="I57" s="121"/>
      <c r="J57" s="121"/>
      <c r="K57" s="121"/>
      <c r="L57" s="121"/>
      <c r="M57" s="121"/>
      <c r="N57" s="121"/>
      <c r="O57" s="121"/>
      <c r="P57" s="144"/>
      <c r="Q57" s="145"/>
      <c r="R57" s="146"/>
      <c r="S57" s="121"/>
      <c r="T57" s="121"/>
      <c r="U57" s="121"/>
      <c r="V57" s="121"/>
      <c r="W57" s="121"/>
      <c r="X57" s="121"/>
      <c r="Y57" s="121"/>
    </row>
    <row r="58" spans="1:26">
      <c r="A58" s="727"/>
      <c r="G58" s="121"/>
      <c r="H58" s="121"/>
      <c r="I58" s="121"/>
      <c r="J58" s="121"/>
      <c r="K58" s="121"/>
      <c r="L58" s="121"/>
      <c r="M58" s="121"/>
      <c r="N58" s="121"/>
      <c r="O58" s="121"/>
      <c r="P58" s="121"/>
      <c r="Q58" s="121"/>
      <c r="R58" s="121"/>
      <c r="S58" s="121"/>
      <c r="T58" s="121"/>
      <c r="U58" s="121"/>
      <c r="V58" s="121"/>
      <c r="Y58" s="121"/>
    </row>
    <row r="59" spans="1:26" ht="15.6">
      <c r="A59" s="733" t="s">
        <v>770</v>
      </c>
      <c r="B59" s="980" t="s">
        <v>745</v>
      </c>
      <c r="C59" s="980"/>
      <c r="D59" s="980"/>
      <c r="E59" s="980"/>
      <c r="F59" s="980"/>
      <c r="G59" s="980"/>
      <c r="H59" s="980"/>
      <c r="I59" s="980"/>
      <c r="J59" s="980"/>
      <c r="K59" s="980"/>
      <c r="L59" s="980"/>
      <c r="M59" s="980"/>
      <c r="N59" s="980"/>
      <c r="O59" s="980"/>
      <c r="P59" s="980"/>
      <c r="Q59" s="980"/>
      <c r="R59" s="980"/>
      <c r="S59" s="980"/>
      <c r="T59" s="980"/>
      <c r="U59" s="980"/>
      <c r="V59" s="980"/>
      <c r="W59" s="980"/>
      <c r="X59" s="980"/>
      <c r="Y59" s="980"/>
      <c r="Z59" s="980"/>
    </row>
    <row r="60" spans="1:26" s="727" customFormat="1" ht="15.6">
      <c r="A60" s="733" t="s">
        <v>772</v>
      </c>
      <c r="B60" s="1061" t="s">
        <v>56</v>
      </c>
      <c r="C60" s="1061"/>
      <c r="D60" s="1061"/>
      <c r="E60" s="1061"/>
      <c r="F60" s="1061"/>
      <c r="G60" s="1061"/>
      <c r="H60" s="1061"/>
      <c r="I60" s="1061"/>
      <c r="J60" s="1061"/>
      <c r="K60" s="1061"/>
      <c r="L60" s="1061"/>
      <c r="M60" s="1061"/>
      <c r="N60" s="1061"/>
      <c r="O60" s="1061"/>
      <c r="P60" s="1061"/>
      <c r="Q60" s="1061"/>
      <c r="R60" s="1061"/>
      <c r="S60" s="1061"/>
      <c r="T60" s="1061"/>
      <c r="U60" s="1061"/>
      <c r="V60" s="1061"/>
      <c r="W60" s="1061"/>
      <c r="X60" s="1061"/>
      <c r="Y60" s="1061"/>
      <c r="Z60" s="1061"/>
    </row>
    <row r="61" spans="1:26" s="727" customFormat="1" ht="41.25" customHeight="1">
      <c r="A61" s="733" t="s">
        <v>798</v>
      </c>
      <c r="B61" s="980" t="s">
        <v>743</v>
      </c>
      <c r="C61" s="980"/>
      <c r="D61" s="980"/>
      <c r="E61" s="980"/>
      <c r="F61" s="980"/>
      <c r="G61" s="980"/>
      <c r="H61" s="980"/>
      <c r="I61" s="980"/>
      <c r="J61" s="980"/>
      <c r="K61" s="980"/>
      <c r="L61" s="980"/>
      <c r="M61" s="980"/>
      <c r="N61" s="980"/>
      <c r="O61" s="980"/>
      <c r="P61" s="980"/>
      <c r="Q61" s="980"/>
      <c r="R61" s="980"/>
      <c r="S61" s="980"/>
      <c r="T61" s="980"/>
      <c r="U61" s="980"/>
      <c r="V61" s="980"/>
      <c r="W61" s="980"/>
      <c r="X61" s="980"/>
      <c r="Y61" s="980"/>
      <c r="Z61" s="980"/>
    </row>
    <row r="62" spans="1:26" ht="42" customHeight="1">
      <c r="A62" s="716" t="s">
        <v>432</v>
      </c>
      <c r="B62" s="980" t="s">
        <v>197</v>
      </c>
      <c r="C62" s="980"/>
      <c r="D62" s="980"/>
      <c r="E62" s="980"/>
      <c r="F62" s="980"/>
      <c r="G62" s="980"/>
      <c r="H62" s="980"/>
      <c r="I62" s="980"/>
      <c r="J62" s="980"/>
      <c r="K62" s="980"/>
      <c r="L62" s="980"/>
      <c r="M62" s="980"/>
      <c r="N62" s="980"/>
      <c r="O62" s="980"/>
      <c r="P62" s="980"/>
      <c r="Q62" s="980"/>
      <c r="R62" s="980"/>
      <c r="S62" s="980"/>
      <c r="T62" s="980"/>
      <c r="U62" s="980"/>
      <c r="V62" s="980"/>
      <c r="W62" s="980"/>
      <c r="X62" s="980"/>
      <c r="Y62" s="980"/>
      <c r="Z62" s="980"/>
    </row>
    <row r="63" spans="1:26" ht="15.6">
      <c r="A63" s="733"/>
      <c r="B63" s="1060"/>
      <c r="C63" s="1060"/>
      <c r="D63" s="1060"/>
      <c r="E63" s="1060"/>
      <c r="F63" s="1060"/>
      <c r="G63" s="1060"/>
      <c r="H63" s="1060"/>
      <c r="I63" s="1060"/>
      <c r="J63" s="1060"/>
      <c r="K63" s="1060"/>
      <c r="L63" s="1060"/>
      <c r="M63" s="1060"/>
      <c r="N63" s="1060"/>
      <c r="O63" s="1060"/>
      <c r="P63" s="1060"/>
      <c r="Q63" s="1060"/>
      <c r="R63" s="1060"/>
      <c r="S63" s="1060"/>
      <c r="T63" s="1060"/>
      <c r="U63" s="1060"/>
      <c r="V63" s="1060"/>
      <c r="W63" s="1060"/>
      <c r="X63" s="1060"/>
      <c r="Y63" s="1060"/>
      <c r="Z63" s="1060"/>
    </row>
    <row r="64" spans="1:26">
      <c r="G64" s="121"/>
      <c r="H64" s="121"/>
      <c r="I64" s="121"/>
      <c r="J64" s="121"/>
      <c r="K64" s="121"/>
      <c r="L64" s="121"/>
    </row>
    <row r="65" spans="7:12">
      <c r="G65" s="121"/>
      <c r="H65" s="121"/>
      <c r="I65" s="121"/>
      <c r="J65" s="121"/>
      <c r="K65" s="121"/>
      <c r="L65" s="121"/>
    </row>
    <row r="66" spans="7:12">
      <c r="G66" s="121"/>
      <c r="H66" s="121"/>
      <c r="I66" s="121"/>
      <c r="J66" s="121"/>
      <c r="K66" s="121"/>
      <c r="L66" s="121"/>
    </row>
    <row r="67" spans="7:12">
      <c r="G67" s="121"/>
      <c r="H67" s="121"/>
      <c r="I67" s="121"/>
      <c r="J67" s="121"/>
      <c r="K67" s="121"/>
      <c r="L67" s="121"/>
    </row>
    <row r="68" spans="7:12">
      <c r="G68" s="121"/>
      <c r="H68" s="121"/>
      <c r="I68" s="121"/>
      <c r="J68" s="121"/>
      <c r="K68" s="121"/>
      <c r="L68" s="121"/>
    </row>
    <row r="69" spans="7:12">
      <c r="G69" s="121"/>
      <c r="H69" s="121"/>
      <c r="I69" s="121"/>
      <c r="J69" s="121"/>
      <c r="K69" s="121"/>
      <c r="L69" s="121"/>
    </row>
    <row r="70" spans="7:12">
      <c r="G70" s="121"/>
      <c r="H70" s="121"/>
      <c r="I70" s="121"/>
      <c r="J70" s="121"/>
      <c r="K70" s="121"/>
      <c r="L70" s="121"/>
    </row>
    <row r="71" spans="7:12">
      <c r="G71" s="121"/>
      <c r="H71" s="121"/>
      <c r="I71" s="121"/>
      <c r="J71" s="121"/>
      <c r="K71" s="121"/>
      <c r="L71" s="121"/>
    </row>
    <row r="72" spans="7:12">
      <c r="G72" s="121"/>
      <c r="H72" s="121"/>
      <c r="I72" s="121"/>
      <c r="J72" s="121"/>
      <c r="K72" s="121"/>
      <c r="L72" s="121"/>
    </row>
    <row r="73" spans="7:12">
      <c r="G73" s="121"/>
      <c r="H73" s="121"/>
      <c r="I73" s="121"/>
      <c r="J73" s="121"/>
      <c r="K73" s="121"/>
      <c r="L73" s="121"/>
    </row>
    <row r="74" spans="7:12">
      <c r="G74" s="121"/>
      <c r="H74" s="121"/>
      <c r="I74" s="121"/>
      <c r="J74" s="121"/>
      <c r="K74" s="121"/>
      <c r="L74" s="121"/>
    </row>
    <row r="75" spans="7:12">
      <c r="G75" s="121"/>
      <c r="H75" s="121"/>
      <c r="I75" s="121"/>
      <c r="J75" s="121"/>
      <c r="K75" s="121"/>
      <c r="L75" s="121"/>
    </row>
    <row r="76" spans="7:12">
      <c r="G76" s="121"/>
      <c r="H76" s="121"/>
      <c r="I76" s="121"/>
      <c r="J76" s="121"/>
      <c r="K76" s="121"/>
      <c r="L76" s="121"/>
    </row>
    <row r="77" spans="7:12">
      <c r="G77" s="121"/>
      <c r="H77" s="121"/>
      <c r="I77" s="121"/>
      <c r="J77" s="121"/>
      <c r="K77" s="121"/>
      <c r="L77" s="121"/>
    </row>
    <row r="78" spans="7:12">
      <c r="G78" s="121"/>
      <c r="H78" s="121"/>
      <c r="I78" s="121"/>
      <c r="J78" s="121"/>
      <c r="K78" s="121"/>
      <c r="L78" s="121"/>
    </row>
    <row r="79" spans="7:12">
      <c r="G79" s="121"/>
      <c r="H79" s="121"/>
      <c r="I79" s="121"/>
      <c r="J79" s="121"/>
      <c r="K79" s="121"/>
      <c r="L79" s="121"/>
    </row>
    <row r="80" spans="7:12">
      <c r="G80" s="121"/>
      <c r="H80" s="121"/>
      <c r="I80" s="121"/>
      <c r="J80" s="121"/>
      <c r="K80" s="121"/>
      <c r="L80" s="121"/>
    </row>
    <row r="81" spans="7:12">
      <c r="G81" s="121"/>
      <c r="H81" s="121"/>
      <c r="I81" s="121"/>
      <c r="J81" s="121"/>
      <c r="K81" s="121"/>
      <c r="L81" s="121"/>
    </row>
    <row r="82" spans="7:12">
      <c r="G82" s="121"/>
      <c r="H82" s="121"/>
      <c r="I82" s="121"/>
      <c r="J82" s="121"/>
      <c r="K82" s="121"/>
      <c r="L82" s="121"/>
    </row>
    <row r="83" spans="7:12">
      <c r="G83" s="121"/>
      <c r="H83" s="121"/>
      <c r="I83" s="121"/>
      <c r="J83" s="121"/>
      <c r="K83" s="121"/>
      <c r="L83" s="121"/>
    </row>
    <row r="84" spans="7:12">
      <c r="G84" s="121"/>
      <c r="H84" s="121"/>
      <c r="I84" s="121"/>
      <c r="J84" s="121"/>
      <c r="K84" s="121"/>
      <c r="L84" s="121"/>
    </row>
    <row r="85" spans="7:12">
      <c r="G85" s="121"/>
      <c r="H85" s="121"/>
      <c r="I85" s="121"/>
      <c r="J85" s="121"/>
      <c r="K85" s="121"/>
      <c r="L85" s="121"/>
    </row>
    <row r="86" spans="7:12">
      <c r="G86" s="121"/>
      <c r="H86" s="121"/>
      <c r="I86" s="121"/>
      <c r="J86" s="121"/>
      <c r="K86" s="121"/>
      <c r="L86" s="121"/>
    </row>
    <row r="87" spans="7:12">
      <c r="G87" s="121"/>
      <c r="H87" s="121"/>
      <c r="I87" s="121"/>
      <c r="J87" s="121"/>
      <c r="K87" s="121"/>
      <c r="L87" s="121"/>
    </row>
    <row r="88" spans="7:12">
      <c r="G88" s="121"/>
      <c r="H88" s="121"/>
      <c r="I88" s="121"/>
      <c r="J88" s="121"/>
      <c r="K88" s="121"/>
      <c r="L88" s="121"/>
    </row>
    <row r="89" spans="7:12">
      <c r="G89" s="121"/>
      <c r="H89" s="121"/>
      <c r="I89" s="121"/>
      <c r="J89" s="121"/>
      <c r="K89" s="121"/>
      <c r="L89" s="121"/>
    </row>
    <row r="90" spans="7:12">
      <c r="G90" s="121"/>
      <c r="H90" s="121"/>
      <c r="I90" s="121"/>
      <c r="J90" s="121"/>
      <c r="K90" s="121"/>
      <c r="L90" s="121"/>
    </row>
  </sheetData>
  <mergeCells count="11">
    <mergeCell ref="A1:Z1"/>
    <mergeCell ref="A2:Z2"/>
    <mergeCell ref="A3:Z3"/>
    <mergeCell ref="A4:Z4"/>
    <mergeCell ref="D6:T6"/>
    <mergeCell ref="W6:Z6"/>
    <mergeCell ref="B63:Z63"/>
    <mergeCell ref="B59:Z59"/>
    <mergeCell ref="B60:Z60"/>
    <mergeCell ref="B61:Z61"/>
    <mergeCell ref="B62:Z62"/>
  </mergeCells>
  <phoneticPr fontId="24" type="noConversion"/>
  <printOptions horizontalCentered="1"/>
  <pageMargins left="0.25" right="0.25" top="0.5" bottom="0.25" header="0.3" footer="0.25"/>
  <pageSetup scale="66" orientation="landscape" r:id="rId1"/>
  <headerFooter alignWithMargins="0">
    <oddFooter>&amp;R&amp;A</oddFooter>
  </headerFooter>
  <ignoredErrors>
    <ignoredError sqref="A59:A62" numberStoredAsText="1"/>
  </ignoredErrors>
</worksheet>
</file>

<file path=xl/worksheets/sheet46.xml><?xml version="1.0" encoding="utf-8"?>
<worksheet xmlns="http://schemas.openxmlformats.org/spreadsheetml/2006/main" xmlns:r="http://schemas.openxmlformats.org/officeDocument/2006/relationships">
  <sheetPr>
    <pageSetUpPr fitToPage="1"/>
  </sheetPr>
  <dimension ref="A1:BN57"/>
  <sheetViews>
    <sheetView zoomScale="80" zoomScaleNormal="80" workbookViewId="0">
      <selection sqref="A1:Z1"/>
    </sheetView>
  </sheetViews>
  <sheetFormatPr defaultColWidth="9.109375" defaultRowHeight="11.4"/>
  <cols>
    <col min="1" max="2" width="3.33203125" style="117" customWidth="1"/>
    <col min="3" max="3" width="39.6640625" style="121" customWidth="1"/>
    <col min="4" max="4" width="2.44140625" style="117" customWidth="1"/>
    <col min="5" max="5" width="8.88671875" style="117" customWidth="1"/>
    <col min="6" max="6" width="3" style="117" customWidth="1"/>
    <col min="7" max="7" width="2.44140625" style="117" customWidth="1"/>
    <col min="8" max="8" width="9.88671875" style="117" customWidth="1"/>
    <col min="9" max="9" width="3.33203125" style="117" customWidth="1"/>
    <col min="10" max="10" width="2.44140625" style="117" customWidth="1"/>
    <col min="11" max="11" width="9.88671875" style="117" customWidth="1"/>
    <col min="12" max="12" width="3.33203125" style="117" customWidth="1"/>
    <col min="13" max="13" width="2.44140625" style="117" customWidth="1"/>
    <col min="14" max="14" width="9.88671875" style="117" customWidth="1"/>
    <col min="15" max="15" width="3.33203125" style="117" customWidth="1"/>
    <col min="16" max="16" width="2.44140625" style="117" customWidth="1"/>
    <col min="17" max="17" width="9.88671875" style="117" customWidth="1"/>
    <col min="18" max="18" width="3.33203125" style="117" customWidth="1"/>
    <col min="19" max="19" width="2.44140625" style="117" customWidth="1"/>
    <col min="20" max="20" width="9.88671875" style="117" customWidth="1"/>
    <col min="21" max="22" width="2.44140625" style="117" customWidth="1"/>
    <col min="23" max="23" width="8.44140625" style="117" customWidth="1"/>
    <col min="24" max="25" width="2.44140625" style="117" customWidth="1"/>
    <col min="26" max="26" width="8.44140625" style="117" customWidth="1"/>
    <col min="27" max="27" width="2.44140625" style="117" customWidth="1"/>
    <col min="28" max="66" width="9.6640625" style="117" customWidth="1"/>
    <col min="67" max="16384" width="9.109375" style="117"/>
  </cols>
  <sheetData>
    <row r="1" spans="1:26" ht="14.4">
      <c r="A1" s="978" t="s">
        <v>96</v>
      </c>
      <c r="B1" s="978"/>
      <c r="C1" s="978"/>
      <c r="D1" s="978"/>
      <c r="E1" s="978"/>
      <c r="F1" s="978"/>
      <c r="G1" s="978"/>
      <c r="H1" s="978"/>
      <c r="I1" s="978"/>
      <c r="J1" s="978"/>
      <c r="K1" s="978"/>
      <c r="L1" s="978"/>
      <c r="M1" s="978"/>
      <c r="N1" s="978"/>
      <c r="O1" s="978"/>
      <c r="P1" s="978"/>
      <c r="Q1" s="978"/>
      <c r="R1" s="978"/>
      <c r="S1" s="978"/>
      <c r="T1" s="978"/>
      <c r="U1" s="978"/>
      <c r="V1" s="1062"/>
      <c r="W1" s="1062"/>
      <c r="X1" s="1062"/>
      <c r="Y1" s="1062"/>
      <c r="Z1" s="1062"/>
    </row>
    <row r="2" spans="1:26" ht="14.4">
      <c r="A2" s="978" t="s">
        <v>503</v>
      </c>
      <c r="B2" s="978"/>
      <c r="C2" s="978"/>
      <c r="D2" s="978"/>
      <c r="E2" s="978"/>
      <c r="F2" s="978"/>
      <c r="G2" s="978"/>
      <c r="H2" s="978"/>
      <c r="I2" s="978"/>
      <c r="J2" s="978"/>
      <c r="K2" s="978"/>
      <c r="L2" s="978"/>
      <c r="M2" s="978"/>
      <c r="N2" s="978"/>
      <c r="O2" s="978"/>
      <c r="P2" s="978"/>
      <c r="Q2" s="978"/>
      <c r="R2" s="978"/>
      <c r="S2" s="978"/>
      <c r="T2" s="978"/>
      <c r="U2" s="978"/>
      <c r="V2" s="1062"/>
      <c r="W2" s="1062"/>
      <c r="X2" s="1062"/>
      <c r="Y2" s="1062"/>
      <c r="Z2" s="1062"/>
    </row>
    <row r="3" spans="1:26" ht="14.4">
      <c r="A3" s="978" t="s">
        <v>175</v>
      </c>
      <c r="B3" s="978"/>
      <c r="C3" s="978"/>
      <c r="D3" s="978"/>
      <c r="E3" s="978"/>
      <c r="F3" s="978"/>
      <c r="G3" s="978"/>
      <c r="H3" s="978"/>
      <c r="I3" s="978"/>
      <c r="J3" s="978"/>
      <c r="K3" s="978"/>
      <c r="L3" s="978"/>
      <c r="M3" s="978"/>
      <c r="N3" s="978"/>
      <c r="O3" s="978"/>
      <c r="P3" s="978"/>
      <c r="Q3" s="978"/>
      <c r="R3" s="978"/>
      <c r="S3" s="978"/>
      <c r="T3" s="978"/>
      <c r="U3" s="978"/>
      <c r="V3" s="1062"/>
      <c r="W3" s="1062"/>
      <c r="X3" s="1062"/>
      <c r="Y3" s="1062"/>
      <c r="Z3" s="1062"/>
    </row>
    <row r="4" spans="1:26">
      <c r="A4" s="979" t="s">
        <v>800</v>
      </c>
      <c r="B4" s="979"/>
      <c r="C4" s="979"/>
      <c r="D4" s="979"/>
      <c r="E4" s="979"/>
      <c r="F4" s="979"/>
      <c r="G4" s="979"/>
      <c r="H4" s="979"/>
      <c r="I4" s="979"/>
      <c r="J4" s="979"/>
      <c r="K4" s="979"/>
      <c r="L4" s="979"/>
      <c r="M4" s="979"/>
      <c r="N4" s="979"/>
      <c r="O4" s="979"/>
      <c r="P4" s="979"/>
      <c r="Q4" s="979"/>
      <c r="R4" s="979"/>
      <c r="S4" s="979"/>
      <c r="T4" s="979"/>
      <c r="U4" s="979"/>
      <c r="V4" s="1063"/>
      <c r="W4" s="1063"/>
      <c r="X4" s="1063"/>
      <c r="Y4" s="1063"/>
      <c r="Z4" s="1063"/>
    </row>
    <row r="6" spans="1:26">
      <c r="D6" s="981" t="s">
        <v>99</v>
      </c>
      <c r="E6" s="981"/>
      <c r="F6" s="981"/>
      <c r="G6" s="981"/>
      <c r="H6" s="981"/>
      <c r="I6" s="981"/>
      <c r="J6" s="981"/>
      <c r="K6" s="981"/>
      <c r="L6" s="981"/>
      <c r="M6" s="981"/>
      <c r="N6" s="981"/>
      <c r="O6" s="981"/>
      <c r="P6" s="981"/>
      <c r="Q6" s="981"/>
      <c r="R6" s="981"/>
      <c r="S6" s="981"/>
      <c r="T6" s="981"/>
      <c r="W6" s="981" t="s">
        <v>100</v>
      </c>
      <c r="X6" s="981"/>
      <c r="Y6" s="981"/>
      <c r="Z6" s="981"/>
    </row>
    <row r="7" spans="1:26" ht="12" thickBot="1">
      <c r="G7" s="121"/>
      <c r="H7" s="122"/>
      <c r="I7" s="122"/>
      <c r="J7" s="828"/>
      <c r="K7" s="829"/>
      <c r="L7" s="829"/>
      <c r="M7" s="122"/>
      <c r="N7" s="122"/>
      <c r="O7" s="122"/>
      <c r="P7" s="122"/>
      <c r="Q7" s="122"/>
      <c r="R7" s="122"/>
      <c r="S7" s="122"/>
      <c r="T7" s="122"/>
    </row>
    <row r="8" spans="1:26">
      <c r="D8" s="118"/>
      <c r="E8" s="119" t="s">
        <v>104</v>
      </c>
      <c r="F8" s="725"/>
      <c r="G8" s="121"/>
      <c r="H8" s="122" t="s">
        <v>105</v>
      </c>
      <c r="I8" s="122"/>
      <c r="J8" s="121"/>
      <c r="K8" s="122" t="s">
        <v>102</v>
      </c>
      <c r="L8" s="122"/>
      <c r="M8" s="121"/>
      <c r="N8" s="122" t="s">
        <v>103</v>
      </c>
      <c r="P8" s="118"/>
      <c r="Q8" s="119" t="s">
        <v>104</v>
      </c>
      <c r="R8" s="725"/>
      <c r="S8" s="121"/>
      <c r="T8" s="122" t="s">
        <v>105</v>
      </c>
      <c r="V8" s="121"/>
      <c r="W8" s="122" t="s">
        <v>595</v>
      </c>
      <c r="X8" s="122"/>
      <c r="Z8" s="130" t="s">
        <v>595</v>
      </c>
    </row>
    <row r="9" spans="1:26">
      <c r="D9" s="125"/>
      <c r="E9" s="126">
        <v>2012</v>
      </c>
      <c r="F9" s="726"/>
      <c r="G9" s="121"/>
      <c r="H9" s="126">
        <v>2012</v>
      </c>
      <c r="I9" s="698"/>
      <c r="J9" s="121"/>
      <c r="K9" s="126">
        <v>2011</v>
      </c>
      <c r="L9" s="698"/>
      <c r="M9" s="128"/>
      <c r="N9" s="126">
        <v>2011</v>
      </c>
      <c r="O9" s="698"/>
      <c r="P9" s="125"/>
      <c r="Q9" s="126">
        <v>2011</v>
      </c>
      <c r="R9" s="726"/>
      <c r="S9" s="121"/>
      <c r="T9" s="126">
        <v>2011</v>
      </c>
      <c r="U9" s="128"/>
      <c r="V9" s="121"/>
      <c r="W9" s="126">
        <v>2012</v>
      </c>
      <c r="X9" s="698"/>
      <c r="Z9" s="126">
        <v>2011</v>
      </c>
    </row>
    <row r="10" spans="1:26" ht="12">
      <c r="A10" s="185"/>
      <c r="D10" s="133"/>
      <c r="E10" s="122"/>
      <c r="F10" s="134"/>
      <c r="G10" s="121"/>
      <c r="H10" s="122"/>
      <c r="I10" s="121"/>
      <c r="J10" s="121"/>
      <c r="K10" s="122"/>
      <c r="L10" s="121"/>
      <c r="M10" s="121"/>
      <c r="N10" s="122"/>
      <c r="O10" s="121"/>
      <c r="P10" s="133"/>
      <c r="Q10" s="122"/>
      <c r="R10" s="134"/>
      <c r="S10" s="121"/>
      <c r="T10" s="122"/>
      <c r="U10" s="121"/>
      <c r="V10" s="121"/>
      <c r="W10" s="122"/>
      <c r="X10" s="122"/>
      <c r="Z10" s="122"/>
    </row>
    <row r="11" spans="1:26" ht="12">
      <c r="A11" s="728" t="s">
        <v>198</v>
      </c>
      <c r="B11" s="135"/>
      <c r="C11" s="601"/>
      <c r="D11" s="133"/>
      <c r="E11" s="121"/>
      <c r="F11" s="134"/>
      <c r="G11" s="121"/>
      <c r="H11" s="122"/>
      <c r="I11" s="121"/>
      <c r="J11" s="121"/>
      <c r="K11" s="122"/>
      <c r="L11" s="121"/>
      <c r="M11" s="121"/>
      <c r="N11" s="121"/>
      <c r="O11" s="121"/>
      <c r="P11" s="133"/>
      <c r="Q11" s="121"/>
      <c r="R11" s="134"/>
      <c r="S11" s="121"/>
      <c r="T11" s="122"/>
      <c r="U11" s="121"/>
      <c r="V11" s="121"/>
      <c r="W11" s="122"/>
      <c r="X11" s="122"/>
      <c r="Z11" s="122"/>
    </row>
    <row r="12" spans="1:26">
      <c r="A12" s="135"/>
      <c r="B12" s="137" t="s">
        <v>626</v>
      </c>
      <c r="C12" s="601"/>
      <c r="D12" s="28" t="s">
        <v>108</v>
      </c>
      <c r="E12" s="27">
        <v>534</v>
      </c>
      <c r="F12" s="26"/>
      <c r="G12" s="27" t="s">
        <v>108</v>
      </c>
      <c r="H12" s="25">
        <v>531</v>
      </c>
      <c r="I12" s="27"/>
      <c r="J12" s="27" t="s">
        <v>108</v>
      </c>
      <c r="K12" s="25">
        <v>546</v>
      </c>
      <c r="L12" s="27"/>
      <c r="M12" s="27" t="s">
        <v>108</v>
      </c>
      <c r="N12" s="27">
        <v>572</v>
      </c>
      <c r="O12" s="27"/>
      <c r="P12" s="28" t="s">
        <v>108</v>
      </c>
      <c r="Q12" s="27">
        <v>596</v>
      </c>
      <c r="R12" s="26"/>
      <c r="S12" s="27" t="s">
        <v>108</v>
      </c>
      <c r="T12" s="25">
        <v>607</v>
      </c>
      <c r="U12" s="27"/>
      <c r="V12" s="27" t="s">
        <v>108</v>
      </c>
      <c r="W12" s="25">
        <v>1065</v>
      </c>
      <c r="X12" s="27"/>
      <c r="Y12" s="27" t="s">
        <v>108</v>
      </c>
      <c r="Z12" s="27">
        <v>1203</v>
      </c>
    </row>
    <row r="13" spans="1:26" ht="13.2">
      <c r="A13" s="135"/>
      <c r="B13" s="137" t="s">
        <v>225</v>
      </c>
      <c r="C13" s="601"/>
      <c r="D13" s="28"/>
      <c r="E13" s="27">
        <v>2</v>
      </c>
      <c r="F13" s="26"/>
      <c r="G13" s="27"/>
      <c r="H13" s="25">
        <v>2</v>
      </c>
      <c r="I13" s="27"/>
      <c r="J13" s="27"/>
      <c r="K13" s="25">
        <v>2</v>
      </c>
      <c r="L13" s="27"/>
      <c r="M13" s="27"/>
      <c r="N13" s="27">
        <v>3</v>
      </c>
      <c r="O13" s="27"/>
      <c r="P13" s="28"/>
      <c r="Q13" s="27">
        <v>2</v>
      </c>
      <c r="R13" s="26"/>
      <c r="S13" s="27"/>
      <c r="T13" s="25">
        <v>1</v>
      </c>
      <c r="U13" s="27"/>
      <c r="V13" s="27"/>
      <c r="W13" s="25">
        <v>4</v>
      </c>
      <c r="X13" s="27"/>
      <c r="Y13" s="27"/>
      <c r="Z13" s="27">
        <v>3</v>
      </c>
    </row>
    <row r="14" spans="1:26">
      <c r="A14" s="135"/>
      <c r="B14" s="137" t="s">
        <v>829</v>
      </c>
      <c r="C14" s="601"/>
      <c r="D14" s="28"/>
      <c r="E14" s="27">
        <v>87</v>
      </c>
      <c r="F14" s="26"/>
      <c r="G14" s="27"/>
      <c r="H14" s="25">
        <v>87</v>
      </c>
      <c r="I14" s="27"/>
      <c r="J14" s="27"/>
      <c r="K14" s="25">
        <v>88</v>
      </c>
      <c r="L14" s="27"/>
      <c r="M14" s="27"/>
      <c r="N14" s="27">
        <v>88</v>
      </c>
      <c r="O14" s="27"/>
      <c r="P14" s="28"/>
      <c r="Q14" s="27">
        <v>86</v>
      </c>
      <c r="R14" s="26"/>
      <c r="S14" s="27"/>
      <c r="T14" s="25">
        <v>89</v>
      </c>
      <c r="U14" s="27"/>
      <c r="V14" s="27"/>
      <c r="W14" s="25">
        <v>174</v>
      </c>
      <c r="X14" s="27"/>
      <c r="Y14" s="27"/>
      <c r="Z14" s="27">
        <v>175</v>
      </c>
    </row>
    <row r="15" spans="1:26" ht="13.2">
      <c r="A15" s="135"/>
      <c r="B15" s="137" t="s">
        <v>58</v>
      </c>
      <c r="C15" s="601"/>
      <c r="D15" s="28"/>
      <c r="E15" s="27">
        <v>39</v>
      </c>
      <c r="F15" s="26"/>
      <c r="G15" s="27"/>
      <c r="H15" s="25">
        <v>67</v>
      </c>
      <c r="I15" s="27"/>
      <c r="J15" s="27"/>
      <c r="K15" s="25">
        <v>15</v>
      </c>
      <c r="L15" s="27"/>
      <c r="M15" s="27"/>
      <c r="N15" s="27">
        <v>18</v>
      </c>
      <c r="O15" s="27"/>
      <c r="P15" s="28"/>
      <c r="Q15" s="27">
        <v>11</v>
      </c>
      <c r="R15" s="26"/>
      <c r="S15" s="27"/>
      <c r="T15" s="25">
        <v>5</v>
      </c>
      <c r="U15" s="27"/>
      <c r="V15" s="27"/>
      <c r="W15" s="25">
        <v>106</v>
      </c>
      <c r="X15" s="27"/>
      <c r="Y15" s="27"/>
      <c r="Z15" s="27">
        <v>16</v>
      </c>
    </row>
    <row r="16" spans="1:26">
      <c r="A16" s="135"/>
      <c r="B16" s="137" t="s">
        <v>199</v>
      </c>
      <c r="C16" s="601"/>
      <c r="D16" s="28"/>
      <c r="E16" s="27">
        <v>0</v>
      </c>
      <c r="F16" s="26"/>
      <c r="G16" s="27"/>
      <c r="H16" s="675">
        <v>0</v>
      </c>
      <c r="I16" s="27"/>
      <c r="J16" s="27"/>
      <c r="K16" s="675">
        <v>0</v>
      </c>
      <c r="L16" s="27"/>
      <c r="M16" s="27"/>
      <c r="N16" s="675">
        <v>1</v>
      </c>
      <c r="O16" s="27"/>
      <c r="P16" s="28"/>
      <c r="Q16" s="27">
        <v>0</v>
      </c>
      <c r="R16" s="26"/>
      <c r="S16" s="27"/>
      <c r="T16" s="675">
        <v>1</v>
      </c>
      <c r="U16" s="27"/>
      <c r="V16" s="27"/>
      <c r="W16" s="25">
        <v>0</v>
      </c>
      <c r="X16" s="27"/>
      <c r="Y16" s="27"/>
      <c r="Z16" s="27">
        <v>1</v>
      </c>
    </row>
    <row r="17" spans="1:27" ht="13.2">
      <c r="A17" s="135"/>
      <c r="B17" s="137" t="s">
        <v>836</v>
      </c>
      <c r="C17" s="601"/>
      <c r="D17" s="28"/>
      <c r="E17" s="734">
        <v>29</v>
      </c>
      <c r="F17" s="26"/>
      <c r="G17" s="27"/>
      <c r="H17" s="734">
        <v>27</v>
      </c>
      <c r="I17" s="27"/>
      <c r="J17" s="27"/>
      <c r="K17" s="734">
        <v>29</v>
      </c>
      <c r="L17" s="27"/>
      <c r="M17" s="27"/>
      <c r="N17" s="734">
        <v>26</v>
      </c>
      <c r="O17" s="27"/>
      <c r="P17" s="28"/>
      <c r="Q17" s="734">
        <v>24</v>
      </c>
      <c r="R17" s="26"/>
      <c r="S17" s="27"/>
      <c r="T17" s="734">
        <v>9</v>
      </c>
      <c r="U17" s="27"/>
      <c r="V17" s="27"/>
      <c r="W17" s="734">
        <v>56</v>
      </c>
      <c r="X17" s="27"/>
      <c r="Y17" s="27"/>
      <c r="Z17" s="30">
        <v>33</v>
      </c>
    </row>
    <row r="18" spans="1:27">
      <c r="A18" s="135"/>
      <c r="B18" s="137" t="s">
        <v>182</v>
      </c>
      <c r="C18" s="601"/>
      <c r="D18" s="28"/>
      <c r="E18" s="27">
        <v>691</v>
      </c>
      <c r="F18" s="26"/>
      <c r="G18" s="27"/>
      <c r="H18" s="25">
        <v>714</v>
      </c>
      <c r="I18" s="27"/>
      <c r="J18" s="27"/>
      <c r="K18" s="25">
        <v>680</v>
      </c>
      <c r="L18" s="27"/>
      <c r="M18" s="27"/>
      <c r="N18" s="27">
        <v>708</v>
      </c>
      <c r="O18" s="27"/>
      <c r="P18" s="28"/>
      <c r="Q18" s="27">
        <v>719</v>
      </c>
      <c r="R18" s="26"/>
      <c r="S18" s="27"/>
      <c r="T18" s="25">
        <v>712</v>
      </c>
      <c r="U18" s="27"/>
      <c r="V18" s="27"/>
      <c r="W18" s="25">
        <v>1405</v>
      </c>
      <c r="X18" s="27"/>
      <c r="Y18" s="27"/>
      <c r="Z18" s="27">
        <v>1431</v>
      </c>
    </row>
    <row r="19" spans="1:27">
      <c r="A19" s="135"/>
      <c r="B19" s="137" t="s">
        <v>183</v>
      </c>
      <c r="C19" s="601"/>
      <c r="D19" s="28"/>
      <c r="E19" s="30">
        <v>-28</v>
      </c>
      <c r="F19" s="26"/>
      <c r="G19" s="27"/>
      <c r="H19" s="30">
        <v>-27</v>
      </c>
      <c r="I19" s="27"/>
      <c r="J19" s="27"/>
      <c r="K19" s="30">
        <v>-24</v>
      </c>
      <c r="L19" s="27"/>
      <c r="M19" s="27"/>
      <c r="N19" s="30">
        <v>-26</v>
      </c>
      <c r="O19" s="27"/>
      <c r="P19" s="28"/>
      <c r="Q19" s="30">
        <v>-25</v>
      </c>
      <c r="R19" s="26"/>
      <c r="S19" s="27"/>
      <c r="T19" s="30">
        <v>-28</v>
      </c>
      <c r="U19" s="27"/>
      <c r="V19" s="27"/>
      <c r="W19" s="30">
        <v>-55</v>
      </c>
      <c r="X19" s="27"/>
      <c r="Y19" s="27"/>
      <c r="Z19" s="30">
        <v>-53</v>
      </c>
    </row>
    <row r="20" spans="1:27" ht="13.8" thickBot="1">
      <c r="A20" s="135"/>
      <c r="B20" s="137" t="s">
        <v>200</v>
      </c>
      <c r="C20" s="601"/>
      <c r="D20" s="28" t="s">
        <v>108</v>
      </c>
      <c r="E20" s="179">
        <v>663</v>
      </c>
      <c r="F20" s="26"/>
      <c r="G20" s="27" t="s">
        <v>108</v>
      </c>
      <c r="H20" s="179">
        <v>687</v>
      </c>
      <c r="I20" s="27"/>
      <c r="J20" s="27" t="s">
        <v>108</v>
      </c>
      <c r="K20" s="179">
        <v>656</v>
      </c>
      <c r="L20" s="27"/>
      <c r="M20" s="27" t="s">
        <v>108</v>
      </c>
      <c r="N20" s="179">
        <v>682</v>
      </c>
      <c r="O20" s="27"/>
      <c r="P20" s="28" t="s">
        <v>108</v>
      </c>
      <c r="Q20" s="179">
        <v>694</v>
      </c>
      <c r="R20" s="26"/>
      <c r="S20" s="27" t="s">
        <v>108</v>
      </c>
      <c r="T20" s="179">
        <v>684</v>
      </c>
      <c r="U20" s="27"/>
      <c r="V20" s="27" t="s">
        <v>108</v>
      </c>
      <c r="W20" s="179">
        <v>1350</v>
      </c>
      <c r="X20" s="27"/>
      <c r="Y20" s="27" t="s">
        <v>108</v>
      </c>
      <c r="Z20" s="179">
        <v>1378</v>
      </c>
    </row>
    <row r="21" spans="1:27" ht="12.6" thickTop="1" thickBot="1">
      <c r="A21" s="135"/>
      <c r="B21" s="135" t="s">
        <v>185</v>
      </c>
      <c r="C21" s="601"/>
      <c r="D21" s="28" t="s">
        <v>108</v>
      </c>
      <c r="E21" s="873">
        <v>437</v>
      </c>
      <c r="F21" s="26"/>
      <c r="G21" s="27" t="s">
        <v>108</v>
      </c>
      <c r="H21" s="873">
        <v>455</v>
      </c>
      <c r="I21" s="27"/>
      <c r="J21" s="27" t="s">
        <v>108</v>
      </c>
      <c r="K21" s="873">
        <v>431</v>
      </c>
      <c r="L21" s="27"/>
      <c r="M21" s="27" t="s">
        <v>108</v>
      </c>
      <c r="N21" s="46">
        <v>448</v>
      </c>
      <c r="O21" s="27"/>
      <c r="P21" s="28" t="s">
        <v>108</v>
      </c>
      <c r="Q21" s="873">
        <v>455</v>
      </c>
      <c r="R21" s="26"/>
      <c r="S21" s="27" t="s">
        <v>108</v>
      </c>
      <c r="T21" s="873">
        <v>449</v>
      </c>
      <c r="U21" s="27"/>
      <c r="V21" s="27" t="s">
        <v>108</v>
      </c>
      <c r="W21" s="873">
        <v>892</v>
      </c>
      <c r="X21" s="27"/>
      <c r="Y21" s="27" t="s">
        <v>108</v>
      </c>
      <c r="Z21" s="46">
        <v>904</v>
      </c>
      <c r="AA21" s="924"/>
    </row>
    <row r="22" spans="1:27" ht="12" thickTop="1">
      <c r="A22" s="135"/>
      <c r="B22" s="135"/>
      <c r="C22" s="601"/>
      <c r="D22" s="133"/>
      <c r="E22" s="27"/>
      <c r="F22" s="134"/>
      <c r="G22" s="121"/>
      <c r="H22" s="121"/>
      <c r="I22" s="121"/>
      <c r="J22" s="121"/>
      <c r="K22" s="121"/>
      <c r="L22" s="121"/>
      <c r="M22" s="121"/>
      <c r="N22" s="121"/>
      <c r="O22" s="121"/>
      <c r="P22" s="133"/>
      <c r="Q22" s="27"/>
      <c r="R22" s="134"/>
      <c r="S22" s="121"/>
      <c r="T22" s="121"/>
      <c r="U22" s="121"/>
      <c r="V22" s="121"/>
      <c r="W22" s="121"/>
      <c r="X22" s="121"/>
      <c r="Y22" s="121"/>
      <c r="Z22" s="121"/>
    </row>
    <row r="23" spans="1:27" ht="13.8">
      <c r="A23" s="728" t="s">
        <v>48</v>
      </c>
      <c r="B23" s="135"/>
      <c r="C23" s="601"/>
      <c r="D23" s="133"/>
      <c r="E23" s="27"/>
      <c r="F23" s="134"/>
      <c r="G23" s="121"/>
      <c r="I23" s="121"/>
      <c r="J23" s="121"/>
      <c r="L23" s="121"/>
      <c r="M23" s="121"/>
      <c r="N23" s="121"/>
      <c r="O23" s="121"/>
      <c r="P23" s="133"/>
      <c r="Q23" s="27"/>
      <c r="R23" s="134"/>
      <c r="S23" s="121"/>
      <c r="U23" s="121"/>
      <c r="V23" s="121"/>
      <c r="X23" s="121"/>
      <c r="Z23" s="121"/>
    </row>
    <row r="24" spans="1:27" ht="13.2">
      <c r="A24" s="135"/>
      <c r="B24" s="137" t="s">
        <v>201</v>
      </c>
      <c r="C24" s="601"/>
      <c r="D24" s="915"/>
      <c r="E24" s="231">
        <v>4.9000000000000004</v>
      </c>
      <c r="F24" s="916" t="s">
        <v>893</v>
      </c>
      <c r="G24" s="731"/>
      <c r="H24" s="914">
        <v>4.8</v>
      </c>
      <c r="I24" s="917" t="s">
        <v>893</v>
      </c>
      <c r="J24" s="731"/>
      <c r="K24" s="914">
        <v>4.9000000000000004</v>
      </c>
      <c r="L24" s="917" t="s">
        <v>893</v>
      </c>
      <c r="M24" s="731"/>
      <c r="N24" s="731">
        <v>5</v>
      </c>
      <c r="O24" s="917" t="s">
        <v>893</v>
      </c>
      <c r="P24" s="915"/>
      <c r="Q24" s="731">
        <v>5</v>
      </c>
      <c r="R24" s="916" t="s">
        <v>893</v>
      </c>
      <c r="S24" s="731"/>
      <c r="T24" s="914">
        <v>5</v>
      </c>
      <c r="U24" s="731" t="s">
        <v>893</v>
      </c>
      <c r="V24" s="731"/>
      <c r="W24" s="231">
        <v>4.9000000000000004</v>
      </c>
      <c r="X24" s="731" t="s">
        <v>893</v>
      </c>
      <c r="Y24" s="914"/>
      <c r="Z24" s="731">
        <v>5</v>
      </c>
      <c r="AA24" s="117" t="s">
        <v>893</v>
      </c>
    </row>
    <row r="25" spans="1:27" ht="13.2">
      <c r="A25" s="135"/>
      <c r="B25" s="137" t="s">
        <v>225</v>
      </c>
      <c r="C25" s="601"/>
      <c r="D25" s="915"/>
      <c r="E25" s="231">
        <v>5.2</v>
      </c>
      <c r="F25" s="918"/>
      <c r="G25" s="731"/>
      <c r="H25" s="914">
        <v>3.9</v>
      </c>
      <c r="I25" s="731"/>
      <c r="J25" s="731"/>
      <c r="K25" s="914">
        <v>4.5999999999999996</v>
      </c>
      <c r="L25" s="731"/>
      <c r="M25" s="731"/>
      <c r="N25" s="731">
        <v>8</v>
      </c>
      <c r="O25" s="731"/>
      <c r="P25" s="915"/>
      <c r="Q25" s="731">
        <v>2.9</v>
      </c>
      <c r="R25" s="918"/>
      <c r="S25" s="731"/>
      <c r="T25" s="914">
        <v>3.3</v>
      </c>
      <c r="U25" s="731"/>
      <c r="V25" s="731"/>
      <c r="W25" s="231">
        <v>4.5999999999999996</v>
      </c>
      <c r="X25" s="731"/>
      <c r="Y25" s="914"/>
      <c r="Z25" s="731">
        <v>3.1</v>
      </c>
    </row>
    <row r="26" spans="1:27">
      <c r="A26" s="135"/>
      <c r="B26" s="137" t="s">
        <v>829</v>
      </c>
      <c r="C26" s="601"/>
      <c r="D26" s="915"/>
      <c r="E26" s="231">
        <v>5.3</v>
      </c>
      <c r="F26" s="918"/>
      <c r="G26" s="731"/>
      <c r="H26" s="914">
        <v>5.2</v>
      </c>
      <c r="I26" s="731"/>
      <c r="J26" s="731"/>
      <c r="K26" s="914">
        <v>5.3</v>
      </c>
      <c r="L26" s="731"/>
      <c r="M26" s="731"/>
      <c r="N26" s="731">
        <v>5.3</v>
      </c>
      <c r="O26" s="731"/>
      <c r="P26" s="915"/>
      <c r="Q26" s="731">
        <v>5.2</v>
      </c>
      <c r="R26" s="918"/>
      <c r="S26" s="731"/>
      <c r="T26" s="914">
        <v>5.4</v>
      </c>
      <c r="U26" s="731"/>
      <c r="V26" s="731"/>
      <c r="W26" s="231">
        <v>5.3</v>
      </c>
      <c r="X26" s="731"/>
      <c r="Y26" s="914"/>
      <c r="Z26" s="731">
        <v>5.3</v>
      </c>
    </row>
    <row r="27" spans="1:27">
      <c r="A27" s="135"/>
      <c r="B27" s="137" t="s">
        <v>609</v>
      </c>
      <c r="C27" s="601"/>
      <c r="D27" s="915"/>
      <c r="E27" s="231">
        <v>8.8000000000000007</v>
      </c>
      <c r="F27" s="918"/>
      <c r="G27" s="731"/>
      <c r="H27" s="914">
        <v>16</v>
      </c>
      <c r="I27" s="731"/>
      <c r="J27" s="731"/>
      <c r="K27" s="914">
        <v>8.6</v>
      </c>
      <c r="L27" s="731"/>
      <c r="M27" s="731"/>
      <c r="N27" s="731">
        <v>10.199999999999999</v>
      </c>
      <c r="O27" s="731"/>
      <c r="P27" s="915"/>
      <c r="Q27" s="731">
        <v>6.3</v>
      </c>
      <c r="R27" s="918"/>
      <c r="S27" s="731"/>
      <c r="T27" s="914">
        <v>2.7</v>
      </c>
      <c r="U27" s="731"/>
      <c r="V27" s="731"/>
      <c r="W27" s="231">
        <v>12.3</v>
      </c>
      <c r="X27" s="731"/>
      <c r="Y27" s="914"/>
      <c r="Z27" s="731">
        <v>4.5</v>
      </c>
    </row>
    <row r="28" spans="1:27">
      <c r="A28" s="135"/>
      <c r="B28" s="135" t="s">
        <v>139</v>
      </c>
      <c r="C28" s="601"/>
      <c r="D28" s="915"/>
      <c r="E28" s="231">
        <v>5</v>
      </c>
      <c r="F28" s="918"/>
      <c r="G28" s="731"/>
      <c r="H28" s="914">
        <v>5.2</v>
      </c>
      <c r="I28" s="731"/>
      <c r="J28" s="731"/>
      <c r="K28" s="914">
        <v>4.9000000000000004</v>
      </c>
      <c r="L28" s="731"/>
      <c r="M28" s="731"/>
      <c r="N28" s="731">
        <v>5</v>
      </c>
      <c r="O28" s="731"/>
      <c r="P28" s="915"/>
      <c r="Q28" s="731">
        <v>4.9000000000000004</v>
      </c>
      <c r="R28" s="918"/>
      <c r="S28" s="731"/>
      <c r="T28" s="914">
        <v>4.8</v>
      </c>
      <c r="U28" s="731"/>
      <c r="V28" s="731"/>
      <c r="W28" s="231">
        <v>5.0999999999999996</v>
      </c>
      <c r="X28" s="731"/>
      <c r="Y28" s="914"/>
      <c r="Z28" s="731">
        <v>4.9000000000000004</v>
      </c>
    </row>
    <row r="29" spans="1:27">
      <c r="A29" s="135"/>
      <c r="B29" s="135"/>
      <c r="C29" s="601"/>
      <c r="D29" s="732"/>
      <c r="E29" s="231"/>
      <c r="F29" s="168"/>
      <c r="G29" s="121"/>
      <c r="H29" s="400"/>
      <c r="I29" s="121"/>
      <c r="J29" s="121"/>
      <c r="K29" s="400"/>
      <c r="L29" s="121"/>
      <c r="M29" s="121"/>
      <c r="N29" s="142"/>
      <c r="O29" s="142"/>
      <c r="P29" s="732"/>
      <c r="Q29" s="27"/>
      <c r="R29" s="168"/>
      <c r="S29" s="121"/>
      <c r="T29" s="400"/>
      <c r="U29" s="142"/>
      <c r="V29" s="142"/>
      <c r="W29" s="400"/>
      <c r="X29" s="142"/>
      <c r="Y29" s="400"/>
      <c r="Z29" s="142"/>
    </row>
    <row r="30" spans="1:27" ht="12">
      <c r="A30" s="728" t="s">
        <v>189</v>
      </c>
      <c r="B30" s="135"/>
      <c r="C30" s="601"/>
      <c r="D30" s="133"/>
      <c r="E30" s="231"/>
      <c r="F30" s="134"/>
      <c r="G30" s="121"/>
      <c r="I30" s="121"/>
      <c r="J30" s="121"/>
      <c r="L30" s="121"/>
      <c r="M30" s="121"/>
      <c r="N30" s="121"/>
      <c r="O30" s="121"/>
      <c r="P30" s="133"/>
      <c r="Q30" s="27"/>
      <c r="R30" s="134"/>
      <c r="S30" s="121"/>
      <c r="U30" s="121"/>
      <c r="V30" s="121"/>
      <c r="X30" s="121"/>
      <c r="Z30" s="121"/>
    </row>
    <row r="31" spans="1:27" ht="12">
      <c r="A31" s="728" t="s">
        <v>190</v>
      </c>
      <c r="B31" s="135"/>
      <c r="C31" s="601"/>
      <c r="D31" s="133"/>
      <c r="E31" s="27"/>
      <c r="F31" s="134"/>
      <c r="G31" s="121"/>
      <c r="I31" s="121"/>
      <c r="J31" s="121"/>
      <c r="L31" s="121"/>
      <c r="M31" s="121"/>
      <c r="N31" s="121"/>
      <c r="O31" s="121"/>
      <c r="P31" s="133"/>
      <c r="Q31" s="27"/>
      <c r="R31" s="134"/>
      <c r="S31" s="121"/>
      <c r="U31" s="121"/>
      <c r="V31" s="121"/>
      <c r="X31" s="121"/>
      <c r="Z31" s="121"/>
    </row>
    <row r="32" spans="1:27" ht="13.2">
      <c r="A32" s="135"/>
      <c r="B32" s="137" t="s">
        <v>201</v>
      </c>
      <c r="C32" s="601"/>
      <c r="D32" s="28" t="s">
        <v>108</v>
      </c>
      <c r="E32" s="27">
        <v>-5</v>
      </c>
      <c r="F32" s="26"/>
      <c r="G32" s="27" t="s">
        <v>108</v>
      </c>
      <c r="H32" s="25">
        <v>-49</v>
      </c>
      <c r="I32" s="27"/>
      <c r="J32" s="27" t="s">
        <v>108</v>
      </c>
      <c r="K32" s="25">
        <v>56</v>
      </c>
      <c r="L32" s="27"/>
      <c r="M32" s="27" t="s">
        <v>108</v>
      </c>
      <c r="N32" s="27">
        <v>433</v>
      </c>
      <c r="O32" s="27"/>
      <c r="P32" s="28" t="s">
        <v>108</v>
      </c>
      <c r="Q32" s="27">
        <v>46</v>
      </c>
      <c r="R32" s="26"/>
      <c r="S32" s="27" t="s">
        <v>108</v>
      </c>
      <c r="T32" s="25">
        <v>15</v>
      </c>
      <c r="U32" s="27"/>
      <c r="V32" s="27" t="s">
        <v>108</v>
      </c>
      <c r="W32" s="25">
        <v>-54</v>
      </c>
      <c r="X32" s="27"/>
      <c r="Y32" s="27" t="s">
        <v>108</v>
      </c>
      <c r="Z32" s="27">
        <v>61</v>
      </c>
    </row>
    <row r="33" spans="1:27" ht="13.2">
      <c r="A33" s="135"/>
      <c r="B33" s="137" t="s">
        <v>225</v>
      </c>
      <c r="C33" s="601"/>
      <c r="D33" s="28"/>
      <c r="E33" s="27">
        <v>0</v>
      </c>
      <c r="F33" s="26"/>
      <c r="G33" s="27"/>
      <c r="H33" s="25">
        <v>0</v>
      </c>
      <c r="I33" s="27"/>
      <c r="J33" s="27"/>
      <c r="K33" s="25">
        <v>0</v>
      </c>
      <c r="L33" s="27"/>
      <c r="M33" s="27"/>
      <c r="N33" s="675">
        <v>0</v>
      </c>
      <c r="O33" s="27"/>
      <c r="P33" s="28"/>
      <c r="Q33" s="27">
        <v>17</v>
      </c>
      <c r="R33" s="26"/>
      <c r="S33" s="27"/>
      <c r="T33" s="25">
        <v>-2</v>
      </c>
      <c r="U33" s="27"/>
      <c r="V33" s="27"/>
      <c r="W33" s="25">
        <v>0</v>
      </c>
      <c r="X33" s="27"/>
      <c r="Y33" s="27"/>
      <c r="Z33" s="27">
        <v>15</v>
      </c>
    </row>
    <row r="34" spans="1:27">
      <c r="A34" s="135"/>
      <c r="B34" s="137" t="s">
        <v>202</v>
      </c>
      <c r="C34" s="601"/>
      <c r="D34" s="28"/>
      <c r="E34" s="27">
        <v>9</v>
      </c>
      <c r="F34" s="26"/>
      <c r="G34" s="27"/>
      <c r="H34" s="25">
        <v>-1</v>
      </c>
      <c r="I34" s="27"/>
      <c r="J34" s="27"/>
      <c r="K34" s="25">
        <v>10</v>
      </c>
      <c r="L34" s="27"/>
      <c r="M34" s="27"/>
      <c r="N34" s="27">
        <v>-28</v>
      </c>
      <c r="O34" s="27"/>
      <c r="P34" s="28"/>
      <c r="Q34" s="27">
        <v>-3</v>
      </c>
      <c r="R34" s="26"/>
      <c r="S34" s="27"/>
      <c r="T34" s="25">
        <v>-4</v>
      </c>
      <c r="U34" s="27"/>
      <c r="V34" s="27"/>
      <c r="W34" s="25">
        <v>8</v>
      </c>
      <c r="X34" s="27"/>
      <c r="Y34" s="27"/>
      <c r="Z34" s="27">
        <v>-7</v>
      </c>
    </row>
    <row r="35" spans="1:27" ht="13.2">
      <c r="A35" s="135"/>
      <c r="B35" s="137" t="s">
        <v>46</v>
      </c>
      <c r="C35" s="601"/>
      <c r="D35" s="28"/>
      <c r="E35" s="27">
        <v>2</v>
      </c>
      <c r="F35" s="26"/>
      <c r="G35" s="27"/>
      <c r="H35" s="25">
        <v>-1</v>
      </c>
      <c r="I35" s="27"/>
      <c r="J35" s="27"/>
      <c r="K35" s="25">
        <v>-1</v>
      </c>
      <c r="L35" s="27"/>
      <c r="M35" s="27"/>
      <c r="N35" s="27">
        <v>11</v>
      </c>
      <c r="O35" s="27"/>
      <c r="P35" s="28"/>
      <c r="Q35" s="27">
        <v>30</v>
      </c>
      <c r="R35" s="26"/>
      <c r="S35" s="27"/>
      <c r="T35" s="25">
        <v>22</v>
      </c>
      <c r="U35" s="27"/>
      <c r="V35" s="27"/>
      <c r="W35" s="25">
        <v>1</v>
      </c>
      <c r="X35" s="27"/>
      <c r="Y35" s="27"/>
      <c r="Z35" s="27">
        <v>52</v>
      </c>
    </row>
    <row r="36" spans="1:27" ht="13.2">
      <c r="A36" s="135"/>
      <c r="B36" s="137" t="s">
        <v>191</v>
      </c>
      <c r="C36" s="601"/>
      <c r="D36" s="28"/>
      <c r="E36" s="30">
        <v>2</v>
      </c>
      <c r="F36" s="26"/>
      <c r="G36" s="27"/>
      <c r="H36" s="30">
        <v>30</v>
      </c>
      <c r="I36" s="27"/>
      <c r="J36" s="27"/>
      <c r="K36" s="30">
        <v>3</v>
      </c>
      <c r="L36" s="27"/>
      <c r="M36" s="27"/>
      <c r="N36" s="30">
        <v>-197</v>
      </c>
      <c r="O36" s="27"/>
      <c r="P36" s="28"/>
      <c r="Q36" s="30">
        <v>-28</v>
      </c>
      <c r="R36" s="26"/>
      <c r="S36" s="27"/>
      <c r="T36" s="30">
        <v>8</v>
      </c>
      <c r="U36" s="27"/>
      <c r="V36" s="27"/>
      <c r="W36" s="30">
        <v>32</v>
      </c>
      <c r="X36" s="27"/>
      <c r="Y36" s="27"/>
      <c r="Z36" s="30">
        <v>-20</v>
      </c>
    </row>
    <row r="37" spans="1:27" ht="12" thickBot="1">
      <c r="A37" s="135"/>
      <c r="B37" s="137" t="s">
        <v>611</v>
      </c>
      <c r="C37" s="601"/>
      <c r="D37" s="28" t="s">
        <v>108</v>
      </c>
      <c r="E37" s="179">
        <v>8</v>
      </c>
      <c r="F37" s="26"/>
      <c r="G37" s="27" t="s">
        <v>108</v>
      </c>
      <c r="H37" s="179">
        <v>-21</v>
      </c>
      <c r="I37" s="27"/>
      <c r="J37" s="27" t="s">
        <v>108</v>
      </c>
      <c r="K37" s="179">
        <v>68</v>
      </c>
      <c r="L37" s="27"/>
      <c r="M37" s="27" t="s">
        <v>108</v>
      </c>
      <c r="N37" s="46">
        <v>219</v>
      </c>
      <c r="O37" s="27"/>
      <c r="P37" s="28" t="s">
        <v>108</v>
      </c>
      <c r="Q37" s="179">
        <v>62</v>
      </c>
      <c r="R37" s="26"/>
      <c r="S37" s="27" t="s">
        <v>108</v>
      </c>
      <c r="T37" s="179">
        <v>39</v>
      </c>
      <c r="U37" s="27"/>
      <c r="V37" s="27" t="s">
        <v>108</v>
      </c>
      <c r="W37" s="179">
        <v>-13</v>
      </c>
      <c r="X37" s="27"/>
      <c r="Y37" s="27" t="s">
        <v>108</v>
      </c>
      <c r="Z37" s="46">
        <v>101</v>
      </c>
    </row>
    <row r="38" spans="1:27" ht="12" thickTop="1">
      <c r="A38" s="135"/>
      <c r="B38" s="135"/>
      <c r="C38" s="601"/>
      <c r="D38" s="28"/>
      <c r="E38" s="27"/>
      <c r="F38" s="26"/>
      <c r="G38" s="27"/>
      <c r="H38" s="25"/>
      <c r="I38" s="27"/>
      <c r="J38" s="27"/>
      <c r="K38" s="25"/>
      <c r="L38" s="27"/>
      <c r="M38" s="27"/>
      <c r="N38" s="27"/>
      <c r="O38" s="27"/>
      <c r="P38" s="28"/>
      <c r="Q38" s="27"/>
      <c r="R38" s="26"/>
      <c r="S38" s="27"/>
      <c r="T38" s="25"/>
      <c r="U38" s="27"/>
      <c r="V38" s="27"/>
      <c r="W38" s="25"/>
      <c r="X38" s="27"/>
      <c r="Y38" s="25"/>
      <c r="Z38" s="27"/>
    </row>
    <row r="39" spans="1:27" ht="12">
      <c r="A39" s="728" t="s">
        <v>192</v>
      </c>
      <c r="B39" s="135"/>
      <c r="C39" s="601"/>
      <c r="D39" s="28"/>
      <c r="E39" s="27"/>
      <c r="F39" s="26"/>
      <c r="G39" s="27"/>
      <c r="H39" s="27"/>
      <c r="I39" s="27"/>
      <c r="J39" s="27"/>
      <c r="K39" s="27"/>
      <c r="L39" s="27"/>
      <c r="M39" s="27"/>
      <c r="N39" s="27"/>
      <c r="O39" s="27"/>
      <c r="P39" s="28"/>
      <c r="Q39" s="27"/>
      <c r="R39" s="26"/>
      <c r="S39" s="27"/>
      <c r="T39" s="27"/>
      <c r="U39" s="27"/>
      <c r="V39" s="27"/>
      <c r="W39" s="27"/>
      <c r="X39" s="27"/>
      <c r="Y39" s="27"/>
      <c r="Z39" s="27"/>
    </row>
    <row r="40" spans="1:27" ht="12">
      <c r="A40" s="728" t="s">
        <v>193</v>
      </c>
      <c r="B40" s="135"/>
      <c r="C40" s="601"/>
      <c r="D40" s="28"/>
      <c r="E40" s="27"/>
      <c r="F40" s="26"/>
      <c r="G40" s="27"/>
      <c r="H40" s="27"/>
      <c r="I40" s="27"/>
      <c r="J40" s="27"/>
      <c r="K40" s="27"/>
      <c r="L40" s="27"/>
      <c r="M40" s="27"/>
      <c r="N40" s="27"/>
      <c r="O40" s="27"/>
      <c r="P40" s="28"/>
      <c r="Q40" s="27"/>
      <c r="R40" s="26"/>
      <c r="S40" s="27"/>
      <c r="T40" s="27"/>
      <c r="U40" s="27"/>
      <c r="V40" s="27"/>
      <c r="W40" s="27"/>
      <c r="X40" s="27"/>
      <c r="Y40" s="27"/>
      <c r="Z40" s="27"/>
    </row>
    <row r="41" spans="1:27">
      <c r="A41" s="135"/>
      <c r="B41" s="135" t="s">
        <v>203</v>
      </c>
      <c r="C41" s="601"/>
      <c r="D41" s="28" t="s">
        <v>108</v>
      </c>
      <c r="E41" s="27">
        <v>-6</v>
      </c>
      <c r="F41" s="26"/>
      <c r="G41" s="27" t="s">
        <v>108</v>
      </c>
      <c r="H41" s="27">
        <v>-20</v>
      </c>
      <c r="I41" s="27"/>
      <c r="J41" s="27" t="s">
        <v>108</v>
      </c>
      <c r="K41" s="27">
        <v>-68</v>
      </c>
      <c r="L41" s="27"/>
      <c r="M41" s="27" t="s">
        <v>108</v>
      </c>
      <c r="N41" s="27">
        <v>-85</v>
      </c>
      <c r="O41" s="27"/>
      <c r="P41" s="28" t="s">
        <v>108</v>
      </c>
      <c r="Q41" s="27">
        <v>-43</v>
      </c>
      <c r="R41" s="26"/>
      <c r="S41" s="27" t="s">
        <v>108</v>
      </c>
      <c r="T41" s="27">
        <v>-50</v>
      </c>
      <c r="U41" s="27"/>
      <c r="V41" s="27" t="s">
        <v>108</v>
      </c>
      <c r="W41" s="27">
        <v>-26</v>
      </c>
      <c r="X41" s="27"/>
      <c r="Y41" s="27" t="s">
        <v>108</v>
      </c>
      <c r="Z41" s="27">
        <v>-93</v>
      </c>
      <c r="AA41" s="121"/>
    </row>
    <row r="42" spans="1:27">
      <c r="A42" s="135"/>
      <c r="B42" s="135" t="s">
        <v>169</v>
      </c>
      <c r="C42" s="601"/>
      <c r="D42" s="28"/>
      <c r="E42" s="30">
        <v>0</v>
      </c>
      <c r="F42" s="26"/>
      <c r="G42" s="27"/>
      <c r="H42" s="30">
        <v>-16</v>
      </c>
      <c r="I42" s="27"/>
      <c r="J42" s="27"/>
      <c r="K42" s="30">
        <v>-1</v>
      </c>
      <c r="L42" s="27"/>
      <c r="M42" s="27"/>
      <c r="N42" s="30">
        <v>-3</v>
      </c>
      <c r="O42" s="27"/>
      <c r="P42" s="28"/>
      <c r="Q42" s="30">
        <v>-5</v>
      </c>
      <c r="R42" s="26"/>
      <c r="S42" s="27"/>
      <c r="T42" s="30">
        <v>-42</v>
      </c>
      <c r="U42" s="27"/>
      <c r="V42" s="27"/>
      <c r="W42" s="30">
        <v>-16</v>
      </c>
      <c r="X42" s="27"/>
      <c r="Y42" s="27"/>
      <c r="Z42" s="30">
        <v>-47</v>
      </c>
      <c r="AA42" s="121"/>
    </row>
    <row r="43" spans="1:27">
      <c r="A43" s="135"/>
      <c r="B43" s="135" t="s">
        <v>204</v>
      </c>
      <c r="C43" s="601"/>
      <c r="D43" s="28"/>
      <c r="E43" s="27"/>
      <c r="F43" s="26"/>
      <c r="G43" s="27"/>
      <c r="H43" s="27"/>
      <c r="I43" s="27"/>
      <c r="J43" s="27"/>
      <c r="K43" s="27"/>
      <c r="L43" s="27"/>
      <c r="M43" s="27"/>
      <c r="N43" s="27"/>
      <c r="O43" s="27"/>
      <c r="P43" s="28"/>
      <c r="Q43" s="27"/>
      <c r="R43" s="26"/>
      <c r="S43" s="27"/>
      <c r="T43" s="27"/>
      <c r="U43" s="27"/>
      <c r="V43" s="27"/>
      <c r="W43" s="27"/>
      <c r="X43" s="27"/>
      <c r="Y43" s="27"/>
      <c r="Z43" s="25"/>
      <c r="AA43" s="121"/>
    </row>
    <row r="44" spans="1:27">
      <c r="A44" s="135"/>
      <c r="B44" s="135"/>
      <c r="C44" s="601" t="s">
        <v>171</v>
      </c>
      <c r="D44" s="28"/>
      <c r="E44" s="27">
        <v>-6</v>
      </c>
      <c r="F44" s="26"/>
      <c r="G44" s="27"/>
      <c r="H44" s="27">
        <v>-36</v>
      </c>
      <c r="I44" s="27"/>
      <c r="J44" s="27"/>
      <c r="K44" s="27">
        <v>-69</v>
      </c>
      <c r="L44" s="27"/>
      <c r="M44" s="27"/>
      <c r="N44" s="27">
        <v>-88</v>
      </c>
      <c r="O44" s="27"/>
      <c r="P44" s="28"/>
      <c r="Q44" s="27">
        <v>-48</v>
      </c>
      <c r="R44" s="26"/>
      <c r="S44" s="27"/>
      <c r="T44" s="27">
        <v>-92</v>
      </c>
      <c r="U44" s="27"/>
      <c r="V44" s="27"/>
      <c r="W44" s="27">
        <v>-42</v>
      </c>
      <c r="X44" s="27"/>
      <c r="Y44" s="27"/>
      <c r="Z44" s="27">
        <v>-140</v>
      </c>
      <c r="AA44" s="121"/>
    </row>
    <row r="45" spans="1:27">
      <c r="A45" s="135"/>
      <c r="B45" s="135" t="s">
        <v>205</v>
      </c>
      <c r="C45" s="601"/>
      <c r="D45" s="28"/>
      <c r="E45" s="27">
        <v>10</v>
      </c>
      <c r="F45" s="26"/>
      <c r="G45" s="27"/>
      <c r="H45" s="27">
        <v>-8</v>
      </c>
      <c r="I45" s="27"/>
      <c r="J45" s="27"/>
      <c r="K45" s="27">
        <v>130</v>
      </c>
      <c r="L45" s="27"/>
      <c r="M45" s="27"/>
      <c r="N45" s="27">
        <v>485</v>
      </c>
      <c r="O45" s="27"/>
      <c r="P45" s="28"/>
      <c r="Q45" s="27">
        <v>112</v>
      </c>
      <c r="R45" s="26"/>
      <c r="S45" s="27"/>
      <c r="T45" s="27">
        <v>111</v>
      </c>
      <c r="U45" s="27"/>
      <c r="V45" s="27"/>
      <c r="W45" s="27">
        <v>2</v>
      </c>
      <c r="X45" s="27"/>
      <c r="Y45" s="27"/>
      <c r="Z45" s="27">
        <v>223</v>
      </c>
      <c r="AA45" s="121"/>
    </row>
    <row r="46" spans="1:27">
      <c r="A46" s="135"/>
      <c r="B46" s="135" t="s">
        <v>173</v>
      </c>
      <c r="C46" s="601"/>
      <c r="D46" s="28"/>
      <c r="E46" s="27">
        <v>-11</v>
      </c>
      <c r="F46" s="26"/>
      <c r="G46" s="27"/>
      <c r="H46" s="27">
        <v>8</v>
      </c>
      <c r="I46" s="27"/>
      <c r="J46" s="27"/>
      <c r="K46" s="27">
        <v>3</v>
      </c>
      <c r="L46" s="27"/>
      <c r="M46" s="27"/>
      <c r="N46" s="27">
        <v>-198</v>
      </c>
      <c r="O46" s="27"/>
      <c r="P46" s="28"/>
      <c r="Q46" s="27">
        <v>-38</v>
      </c>
      <c r="R46" s="26"/>
      <c r="S46" s="27"/>
      <c r="T46" s="27">
        <v>-4</v>
      </c>
      <c r="U46" s="27"/>
      <c r="V46" s="27"/>
      <c r="W46" s="27">
        <v>-3</v>
      </c>
      <c r="X46" s="27"/>
      <c r="Y46" s="27"/>
      <c r="Z46" s="27">
        <v>-42</v>
      </c>
      <c r="AA46" s="121"/>
    </row>
    <row r="47" spans="1:27">
      <c r="A47" s="135"/>
      <c r="B47" s="135" t="s">
        <v>206</v>
      </c>
      <c r="C47" s="601"/>
      <c r="D47" s="28"/>
      <c r="E47" s="27">
        <v>15</v>
      </c>
      <c r="F47" s="26"/>
      <c r="G47" s="27"/>
      <c r="H47" s="27">
        <v>15</v>
      </c>
      <c r="I47" s="27"/>
      <c r="J47" s="27"/>
      <c r="K47" s="27">
        <v>3</v>
      </c>
      <c r="L47" s="27"/>
      <c r="M47" s="27"/>
      <c r="N47" s="27">
        <v>9</v>
      </c>
      <c r="O47" s="27"/>
      <c r="P47" s="28"/>
      <c r="Q47" s="27">
        <v>4</v>
      </c>
      <c r="R47" s="26"/>
      <c r="S47" s="27"/>
      <c r="T47" s="27">
        <v>6</v>
      </c>
      <c r="U47" s="27"/>
      <c r="V47" s="27"/>
      <c r="W47" s="27">
        <v>30</v>
      </c>
      <c r="X47" s="27"/>
      <c r="Y47" s="27"/>
      <c r="Z47" s="27">
        <v>10</v>
      </c>
      <c r="AA47" s="121"/>
    </row>
    <row r="48" spans="1:27" ht="13.2">
      <c r="A48" s="135"/>
      <c r="B48" s="135" t="s">
        <v>47</v>
      </c>
      <c r="C48" s="601"/>
      <c r="D48" s="28"/>
      <c r="E48" s="27">
        <v>0</v>
      </c>
      <c r="F48" s="26"/>
      <c r="G48" s="27"/>
      <c r="H48" s="27">
        <v>0</v>
      </c>
      <c r="I48" s="27"/>
      <c r="J48" s="27"/>
      <c r="K48" s="27">
        <v>1</v>
      </c>
      <c r="L48" s="27"/>
      <c r="M48" s="27"/>
      <c r="N48" s="27">
        <v>11</v>
      </c>
      <c r="O48" s="27"/>
      <c r="P48" s="28"/>
      <c r="Q48" s="27">
        <v>32</v>
      </c>
      <c r="R48" s="26"/>
      <c r="S48" s="27"/>
      <c r="T48" s="27">
        <v>18</v>
      </c>
      <c r="U48" s="27"/>
      <c r="V48" s="27"/>
      <c r="W48" s="27">
        <v>0</v>
      </c>
      <c r="X48" s="27"/>
      <c r="Y48" s="27"/>
      <c r="Z48" s="30">
        <v>50</v>
      </c>
      <c r="AA48" s="121"/>
    </row>
    <row r="49" spans="1:66" ht="14.25" customHeight="1" thickBot="1">
      <c r="A49" s="135"/>
      <c r="B49" s="137" t="s">
        <v>611</v>
      </c>
      <c r="C49" s="601"/>
      <c r="D49" s="28" t="s">
        <v>108</v>
      </c>
      <c r="E49" s="179">
        <v>8</v>
      </c>
      <c r="F49" s="26"/>
      <c r="G49" s="27" t="s">
        <v>108</v>
      </c>
      <c r="H49" s="179">
        <v>-21</v>
      </c>
      <c r="I49" s="27"/>
      <c r="J49" s="27" t="s">
        <v>108</v>
      </c>
      <c r="K49" s="179">
        <v>68</v>
      </c>
      <c r="L49" s="27"/>
      <c r="M49" s="27" t="s">
        <v>108</v>
      </c>
      <c r="N49" s="179">
        <v>219</v>
      </c>
      <c r="O49" s="27"/>
      <c r="P49" s="28" t="s">
        <v>108</v>
      </c>
      <c r="Q49" s="179">
        <v>62</v>
      </c>
      <c r="R49" s="26"/>
      <c r="S49" s="27" t="s">
        <v>108</v>
      </c>
      <c r="T49" s="179">
        <v>39</v>
      </c>
      <c r="U49" s="27"/>
      <c r="V49" s="27" t="s">
        <v>108</v>
      </c>
      <c r="W49" s="179">
        <v>-13</v>
      </c>
      <c r="X49" s="27"/>
      <c r="Y49" s="27" t="s">
        <v>108</v>
      </c>
      <c r="Z49" s="179">
        <v>101</v>
      </c>
    </row>
    <row r="50" spans="1:66" ht="14.25" customHeight="1" thickTop="1">
      <c r="A50" s="135"/>
      <c r="B50" s="137"/>
      <c r="C50" s="601"/>
      <c r="D50" s="133"/>
      <c r="E50" s="27"/>
      <c r="F50" s="134"/>
      <c r="G50" s="121"/>
      <c r="H50" s="121"/>
      <c r="I50" s="121"/>
      <c r="J50" s="121"/>
      <c r="K50" s="121"/>
      <c r="L50" s="121"/>
      <c r="M50" s="121"/>
      <c r="N50" s="121"/>
      <c r="O50" s="121"/>
      <c r="P50" s="133"/>
      <c r="Q50" s="27"/>
      <c r="R50" s="134"/>
      <c r="S50" s="121"/>
      <c r="T50" s="121"/>
      <c r="U50" s="121"/>
      <c r="V50" s="121"/>
      <c r="W50" s="121"/>
      <c r="X50" s="121"/>
      <c r="Y50" s="121"/>
      <c r="Z50" s="121"/>
    </row>
    <row r="51" spans="1:66" ht="14.25" customHeight="1" thickBot="1">
      <c r="A51" s="728" t="s">
        <v>140</v>
      </c>
      <c r="B51" s="137"/>
      <c r="C51" s="601"/>
      <c r="D51" s="915" t="s">
        <v>108</v>
      </c>
      <c r="E51" s="919">
        <v>55</v>
      </c>
      <c r="F51" s="918"/>
      <c r="G51" s="731" t="s">
        <v>108</v>
      </c>
      <c r="H51" s="919">
        <v>55.3</v>
      </c>
      <c r="I51" s="731"/>
      <c r="J51" s="731" t="s">
        <v>108</v>
      </c>
      <c r="K51" s="919">
        <v>56.2</v>
      </c>
      <c r="L51" s="731"/>
      <c r="M51" s="731" t="s">
        <v>108</v>
      </c>
      <c r="N51" s="919">
        <v>57.7</v>
      </c>
      <c r="O51" s="731"/>
      <c r="P51" s="915" t="s">
        <v>108</v>
      </c>
      <c r="Q51" s="919">
        <v>58.8</v>
      </c>
      <c r="R51" s="918"/>
      <c r="S51" s="731" t="s">
        <v>108</v>
      </c>
      <c r="T51" s="919">
        <v>60.2</v>
      </c>
      <c r="U51" s="731"/>
      <c r="V51" s="731" t="s">
        <v>108</v>
      </c>
      <c r="W51" s="919">
        <v>55.1</v>
      </c>
      <c r="X51" s="731"/>
      <c r="Y51" s="731" t="s">
        <v>108</v>
      </c>
      <c r="Z51" s="919">
        <v>59.5</v>
      </c>
    </row>
    <row r="52" spans="1:66" ht="12.6" thickTop="1" thickBot="1">
      <c r="D52" s="144"/>
      <c r="E52" s="145"/>
      <c r="F52" s="146"/>
      <c r="G52" s="121"/>
      <c r="H52" s="121"/>
      <c r="I52" s="121"/>
      <c r="J52" s="121"/>
      <c r="K52" s="121"/>
      <c r="L52" s="121"/>
      <c r="M52" s="121"/>
      <c r="N52" s="121"/>
      <c r="O52" s="121"/>
      <c r="P52" s="144"/>
      <c r="Q52" s="145"/>
      <c r="R52" s="146"/>
      <c r="S52" s="121"/>
      <c r="T52" s="121"/>
      <c r="U52" s="121"/>
      <c r="V52" s="121"/>
      <c r="W52" s="121"/>
      <c r="X52" s="121"/>
    </row>
    <row r="53" spans="1:66">
      <c r="G53" s="121"/>
      <c r="H53" s="121"/>
      <c r="I53" s="121"/>
      <c r="J53" s="121"/>
      <c r="K53" s="121"/>
      <c r="L53" s="121"/>
      <c r="M53" s="121"/>
      <c r="N53" s="121"/>
      <c r="O53" s="121"/>
      <c r="P53" s="121"/>
      <c r="Q53" s="121"/>
      <c r="R53" s="121"/>
      <c r="S53" s="121"/>
      <c r="T53" s="121"/>
      <c r="U53" s="121"/>
    </row>
    <row r="54" spans="1:66" ht="13.2">
      <c r="A54" s="716" t="s">
        <v>770</v>
      </c>
      <c r="B54" s="980" t="s">
        <v>744</v>
      </c>
      <c r="C54" s="980"/>
      <c r="D54" s="980"/>
      <c r="E54" s="980"/>
      <c r="F54" s="980"/>
      <c r="G54" s="980"/>
      <c r="H54" s="980"/>
      <c r="I54" s="980"/>
      <c r="J54" s="980"/>
      <c r="K54" s="980"/>
      <c r="L54" s="980"/>
      <c r="M54" s="980"/>
      <c r="N54" s="980"/>
      <c r="O54" s="980"/>
      <c r="P54" s="980"/>
      <c r="Q54" s="980"/>
      <c r="R54" s="980"/>
      <c r="S54" s="980"/>
      <c r="T54" s="980"/>
      <c r="U54" s="980"/>
      <c r="V54" s="980"/>
      <c r="W54" s="980"/>
      <c r="X54" s="980"/>
      <c r="Y54" s="980"/>
      <c r="Z54" s="980"/>
    </row>
    <row r="55" spans="1:66" ht="15" customHeight="1">
      <c r="A55" s="733" t="s">
        <v>772</v>
      </c>
      <c r="B55" s="1064" t="s">
        <v>56</v>
      </c>
      <c r="C55" s="1064"/>
      <c r="D55" s="1064"/>
      <c r="E55" s="1064"/>
      <c r="F55" s="1064"/>
      <c r="G55" s="1064"/>
      <c r="H55" s="1064"/>
      <c r="I55" s="1064"/>
      <c r="J55" s="1064"/>
      <c r="K55" s="1064"/>
      <c r="L55" s="1064"/>
      <c r="M55" s="1064"/>
      <c r="N55" s="1064"/>
      <c r="O55" s="1064"/>
      <c r="P55" s="1064"/>
      <c r="Q55" s="1064"/>
      <c r="R55" s="1064"/>
      <c r="S55" s="1064"/>
      <c r="T55" s="1064"/>
      <c r="U55" s="1064"/>
      <c r="V55" s="1064"/>
      <c r="W55" s="1064"/>
      <c r="X55" s="1064"/>
      <c r="Y55" s="1064"/>
      <c r="Z55" s="1064"/>
      <c r="AA55" s="735"/>
      <c r="AB55" s="73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row>
    <row r="56" spans="1:66" ht="37.5" customHeight="1">
      <c r="A56" s="733" t="s">
        <v>798</v>
      </c>
      <c r="B56" s="980" t="s">
        <v>57</v>
      </c>
      <c r="C56" s="980"/>
      <c r="D56" s="980"/>
      <c r="E56" s="980"/>
      <c r="F56" s="980"/>
      <c r="G56" s="980"/>
      <c r="H56" s="980"/>
      <c r="I56" s="980"/>
      <c r="J56" s="980"/>
      <c r="K56" s="980"/>
      <c r="L56" s="980"/>
      <c r="M56" s="980"/>
      <c r="N56" s="980"/>
      <c r="O56" s="980"/>
      <c r="P56" s="980"/>
      <c r="Q56" s="980"/>
      <c r="R56" s="980"/>
      <c r="S56" s="980"/>
      <c r="T56" s="980"/>
      <c r="U56" s="980"/>
      <c r="V56" s="980"/>
      <c r="W56" s="980"/>
      <c r="X56" s="980"/>
      <c r="Y56" s="980"/>
      <c r="Z56" s="980"/>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row>
    <row r="57" spans="1:66" ht="39" customHeight="1">
      <c r="A57" s="733" t="s">
        <v>432</v>
      </c>
      <c r="B57" s="980" t="s">
        <v>197</v>
      </c>
      <c r="C57" s="980"/>
      <c r="D57" s="980"/>
      <c r="E57" s="980"/>
      <c r="F57" s="980"/>
      <c r="G57" s="980"/>
      <c r="H57" s="980"/>
      <c r="I57" s="980"/>
      <c r="J57" s="980"/>
      <c r="K57" s="980"/>
      <c r="L57" s="980"/>
      <c r="M57" s="980"/>
      <c r="N57" s="980"/>
      <c r="O57" s="980"/>
      <c r="P57" s="980"/>
      <c r="Q57" s="980"/>
      <c r="R57" s="980"/>
      <c r="S57" s="980"/>
      <c r="T57" s="980"/>
      <c r="U57" s="980"/>
      <c r="V57" s="980"/>
      <c r="W57" s="980"/>
      <c r="X57" s="980"/>
      <c r="Y57" s="980"/>
      <c r="Z57" s="980"/>
    </row>
  </sheetData>
  <mergeCells count="10">
    <mergeCell ref="B57:Z57"/>
    <mergeCell ref="D6:T6"/>
    <mergeCell ref="W6:Z6"/>
    <mergeCell ref="B54:Z54"/>
    <mergeCell ref="A1:Z1"/>
    <mergeCell ref="A2:Z2"/>
    <mergeCell ref="A3:Z3"/>
    <mergeCell ref="A4:Z4"/>
    <mergeCell ref="B55:Z55"/>
    <mergeCell ref="B56:Z56"/>
  </mergeCells>
  <phoneticPr fontId="24" type="noConversion"/>
  <printOptions horizontalCentered="1"/>
  <pageMargins left="0.25" right="0.25" top="0.5" bottom="0.25" header="0.3" footer="0.25"/>
  <pageSetup scale="73" orientation="landscape" r:id="rId1"/>
  <headerFooter alignWithMargins="0">
    <oddFooter>&amp;R&amp;A</oddFooter>
  </headerFooter>
  <ignoredErrors>
    <ignoredError sqref="A54:A57" numberStoredAsText="1"/>
  </ignoredErrors>
</worksheet>
</file>

<file path=xl/worksheets/sheet47.xml><?xml version="1.0" encoding="utf-8"?>
<worksheet xmlns="http://schemas.openxmlformats.org/spreadsheetml/2006/main" xmlns:r="http://schemas.openxmlformats.org/officeDocument/2006/relationships">
  <sheetPr>
    <pageSetUpPr fitToPage="1"/>
  </sheetPr>
  <dimension ref="A1:D92"/>
  <sheetViews>
    <sheetView zoomScale="75" zoomScaleNormal="75" workbookViewId="0">
      <selection sqref="A1:D1"/>
    </sheetView>
  </sheetViews>
  <sheetFormatPr defaultColWidth="9.109375" defaultRowHeight="13.2"/>
  <cols>
    <col min="1" max="2" width="86.44140625" style="736" customWidth="1"/>
    <col min="3" max="3" width="97.33203125" style="736" customWidth="1"/>
    <col min="4" max="4" width="2.44140625" style="736" customWidth="1"/>
    <col min="5" max="7" width="17.88671875" style="736" customWidth="1"/>
    <col min="8" max="8" width="22.6640625" style="736" customWidth="1"/>
    <col min="9" max="15" width="10.6640625" style="736" customWidth="1"/>
    <col min="16" max="16384" width="9.109375" style="736"/>
  </cols>
  <sheetData>
    <row r="1" spans="1:4">
      <c r="A1" s="1067" t="s">
        <v>207</v>
      </c>
      <c r="B1" s="1067"/>
      <c r="C1" s="1067"/>
      <c r="D1" s="1067"/>
    </row>
    <row r="3" spans="1:4">
      <c r="A3" s="1066" t="s">
        <v>208</v>
      </c>
      <c r="B3" s="1066"/>
      <c r="C3" s="1066"/>
      <c r="D3" s="1066"/>
    </row>
    <row r="5" spans="1:4">
      <c r="A5" s="1067" t="s">
        <v>209</v>
      </c>
      <c r="B5" s="1067"/>
      <c r="C5" s="1067"/>
      <c r="D5" s="1067"/>
    </row>
    <row r="6" spans="1:4">
      <c r="A6" s="1066" t="s">
        <v>210</v>
      </c>
      <c r="B6" s="1066"/>
      <c r="C6" s="1066"/>
      <c r="D6" s="1066"/>
    </row>
    <row r="7" spans="1:4">
      <c r="A7" s="779" t="s">
        <v>211</v>
      </c>
      <c r="B7" s="779"/>
      <c r="C7" s="779"/>
      <c r="D7" s="779"/>
    </row>
    <row r="8" spans="1:4">
      <c r="A8" s="1066" t="s">
        <v>699</v>
      </c>
      <c r="B8" s="1066"/>
      <c r="C8" s="1066"/>
      <c r="D8" s="1066"/>
    </row>
    <row r="9" spans="1:4">
      <c r="A9" s="779" t="s">
        <v>983</v>
      </c>
      <c r="B9" s="779"/>
      <c r="C9" s="779"/>
      <c r="D9" s="779"/>
    </row>
    <row r="10" spans="1:4">
      <c r="A10" s="1075" t="s">
        <v>700</v>
      </c>
      <c r="B10" s="1075"/>
      <c r="C10" s="1075"/>
      <c r="D10" s="1075"/>
    </row>
    <row r="11" spans="1:4">
      <c r="A11" s="1066" t="s">
        <v>701</v>
      </c>
      <c r="B11" s="1066"/>
      <c r="C11" s="1066"/>
      <c r="D11" s="1066"/>
    </row>
    <row r="13" spans="1:4">
      <c r="A13" s="1066" t="s">
        <v>702</v>
      </c>
      <c r="B13" s="1066"/>
      <c r="C13" s="1066"/>
      <c r="D13" s="1066"/>
    </row>
    <row r="14" spans="1:4">
      <c r="A14" s="1066" t="s">
        <v>1150</v>
      </c>
      <c r="B14" s="1066"/>
      <c r="C14" s="1066"/>
      <c r="D14" s="1066"/>
    </row>
    <row r="15" spans="1:4">
      <c r="A15" s="779" t="s">
        <v>703</v>
      </c>
      <c r="B15" s="779"/>
      <c r="C15" s="779"/>
      <c r="D15" s="779"/>
    </row>
    <row r="16" spans="1:4">
      <c r="A16" s="1066" t="s">
        <v>704</v>
      </c>
      <c r="B16" s="1066"/>
      <c r="C16" s="1066"/>
      <c r="D16" s="1066"/>
    </row>
    <row r="17" spans="1:4">
      <c r="A17" s="1074" t="s">
        <v>705</v>
      </c>
      <c r="B17" s="1074"/>
      <c r="C17" s="1074"/>
      <c r="D17" s="1074"/>
    </row>
    <row r="18" spans="1:4">
      <c r="A18" s="1066" t="s">
        <v>737</v>
      </c>
      <c r="B18" s="1066"/>
      <c r="C18" s="1066"/>
      <c r="D18" s="1066"/>
    </row>
    <row r="19" spans="1:4">
      <c r="A19" s="1074" t="s">
        <v>985</v>
      </c>
      <c r="B19" s="1074"/>
      <c r="C19" s="1074"/>
      <c r="D19" s="1074"/>
    </row>
    <row r="20" spans="1:4">
      <c r="A20" s="1074" t="s">
        <v>986</v>
      </c>
      <c r="B20" s="1074"/>
      <c r="C20" s="1074"/>
      <c r="D20" s="1074"/>
    </row>
    <row r="21" spans="1:4">
      <c r="A21" s="781" t="s">
        <v>987</v>
      </c>
      <c r="B21" s="781"/>
      <c r="C21" s="781"/>
      <c r="D21" s="781"/>
    </row>
    <row r="22" spans="1:4">
      <c r="A22" s="1074" t="s">
        <v>988</v>
      </c>
      <c r="B22" s="1074"/>
      <c r="C22" s="1074"/>
      <c r="D22" s="1074"/>
    </row>
    <row r="23" spans="1:4">
      <c r="A23" s="1074" t="s">
        <v>989</v>
      </c>
      <c r="B23" s="1074"/>
      <c r="C23" s="1074"/>
      <c r="D23" s="1074"/>
    </row>
    <row r="24" spans="1:4">
      <c r="A24" s="737" t="s">
        <v>990</v>
      </c>
    </row>
    <row r="25" spans="1:4">
      <c r="A25" s="737" t="s">
        <v>992</v>
      </c>
    </row>
    <row r="26" spans="1:4">
      <c r="A26" s="737" t="s">
        <v>991</v>
      </c>
    </row>
    <row r="27" spans="1:4">
      <c r="A27" s="737"/>
    </row>
    <row r="28" spans="1:4">
      <c r="A28" s="1068" t="s">
        <v>706</v>
      </c>
      <c r="B28" s="1068"/>
      <c r="C28" s="1068"/>
      <c r="D28" s="1068"/>
    </row>
    <row r="29" spans="1:4">
      <c r="A29" s="1069" t="s">
        <v>707</v>
      </c>
      <c r="B29" s="1069"/>
      <c r="C29" s="1069"/>
      <c r="D29" s="1069"/>
    </row>
    <row r="30" spans="1:4">
      <c r="A30" s="1069" t="s">
        <v>708</v>
      </c>
      <c r="B30" s="1069"/>
      <c r="C30" s="1069"/>
      <c r="D30" s="1069"/>
    </row>
    <row r="31" spans="1:4">
      <c r="A31" s="780" t="s">
        <v>709</v>
      </c>
      <c r="B31" s="780"/>
      <c r="C31" s="780"/>
      <c r="D31" s="780"/>
    </row>
    <row r="33" spans="1:4">
      <c r="A33" s="738" t="s">
        <v>710</v>
      </c>
      <c r="B33" s="739"/>
      <c r="C33" s="739"/>
      <c r="D33" s="739"/>
    </row>
    <row r="34" spans="1:4">
      <c r="A34" s="740" t="s">
        <v>711</v>
      </c>
      <c r="B34" s="740"/>
      <c r="C34" s="740"/>
      <c r="D34" s="740"/>
    </row>
    <row r="35" spans="1:4">
      <c r="A35" s="740" t="s">
        <v>444</v>
      </c>
      <c r="B35" s="740"/>
      <c r="C35" s="740"/>
      <c r="D35" s="740"/>
    </row>
    <row r="36" spans="1:4">
      <c r="A36" s="740" t="s">
        <v>445</v>
      </c>
      <c r="B36" s="740"/>
      <c r="C36" s="740"/>
      <c r="D36" s="740"/>
    </row>
    <row r="37" spans="1:4">
      <c r="A37" s="740"/>
    </row>
    <row r="38" spans="1:4">
      <c r="A38" s="1070" t="s">
        <v>993</v>
      </c>
      <c r="B38" s="1071"/>
      <c r="C38" s="1071"/>
      <c r="D38" s="1071"/>
    </row>
    <row r="39" spans="1:4">
      <c r="A39" s="1072" t="s">
        <v>994</v>
      </c>
      <c r="B39" s="1071"/>
      <c r="C39" s="1071"/>
      <c r="D39" s="1071"/>
    </row>
    <row r="40" spans="1:4">
      <c r="A40" s="1072" t="s">
        <v>1151</v>
      </c>
      <c r="B40" s="1071"/>
      <c r="C40" s="1071"/>
      <c r="D40" s="1071"/>
    </row>
    <row r="41" spans="1:4">
      <c r="A41" s="1065" t="s">
        <v>995</v>
      </c>
      <c r="B41" s="1065"/>
      <c r="C41" s="1065"/>
      <c r="D41" s="782"/>
    </row>
    <row r="42" spans="1:4">
      <c r="A42" s="1072" t="s">
        <v>685</v>
      </c>
      <c r="B42" s="1071"/>
      <c r="C42" s="1071"/>
      <c r="D42" s="1071"/>
    </row>
    <row r="43" spans="1:4">
      <c r="A43" s="1072" t="s">
        <v>996</v>
      </c>
      <c r="B43" s="1071"/>
      <c r="C43" s="1071"/>
      <c r="D43" s="782"/>
    </row>
    <row r="44" spans="1:4">
      <c r="A44" s="1073" t="s">
        <v>682</v>
      </c>
      <c r="B44" s="1073"/>
      <c r="C44" s="1073"/>
      <c r="D44" s="782"/>
    </row>
    <row r="45" spans="1:4">
      <c r="A45" s="782"/>
      <c r="B45" s="782"/>
      <c r="C45" s="782"/>
      <c r="D45" s="782"/>
    </row>
    <row r="46" spans="1:4">
      <c r="A46" s="738" t="s">
        <v>446</v>
      </c>
      <c r="B46" s="741"/>
      <c r="C46" s="741"/>
      <c r="D46" s="741"/>
    </row>
    <row r="47" spans="1:4">
      <c r="A47" s="740" t="s">
        <v>447</v>
      </c>
      <c r="B47" s="742"/>
      <c r="C47" s="742"/>
      <c r="D47" s="742"/>
    </row>
    <row r="48" spans="1:4">
      <c r="A48" s="740" t="s">
        <v>448</v>
      </c>
      <c r="B48" s="740"/>
      <c r="C48" s="740"/>
      <c r="D48" s="740"/>
    </row>
    <row r="49" spans="1:4">
      <c r="A49" s="740" t="s">
        <v>449</v>
      </c>
      <c r="B49" s="740"/>
      <c r="C49" s="740"/>
      <c r="D49" s="740"/>
    </row>
    <row r="50" spans="1:4">
      <c r="A50" s="740" t="s">
        <v>450</v>
      </c>
      <c r="B50" s="740"/>
      <c r="C50" s="740"/>
      <c r="D50" s="740"/>
    </row>
    <row r="51" spans="1:4">
      <c r="A51" s="740" t="s">
        <v>451</v>
      </c>
      <c r="B51" s="740"/>
      <c r="C51" s="740"/>
      <c r="D51" s="740"/>
    </row>
    <row r="52" spans="1:4">
      <c r="A52" s="740" t="s">
        <v>452</v>
      </c>
      <c r="B52" s="740"/>
      <c r="C52" s="740"/>
      <c r="D52" s="740"/>
    </row>
    <row r="53" spans="1:4">
      <c r="A53" s="740" t="s">
        <v>453</v>
      </c>
      <c r="B53" s="740"/>
      <c r="C53" s="740"/>
      <c r="D53" s="740"/>
    </row>
    <row r="54" spans="1:4">
      <c r="A54" s="737" t="s">
        <v>454</v>
      </c>
    </row>
    <row r="55" spans="1:4">
      <c r="A55" s="737" t="s">
        <v>455</v>
      </c>
    </row>
    <row r="56" spans="1:4">
      <c r="A56" s="737"/>
    </row>
    <row r="57" spans="1:4">
      <c r="A57" s="738" t="s">
        <v>456</v>
      </c>
      <c r="B57" s="741"/>
      <c r="C57" s="741"/>
      <c r="D57" s="741"/>
    </row>
    <row r="58" spans="1:4">
      <c r="A58" s="192" t="s">
        <v>976</v>
      </c>
      <c r="B58" s="742"/>
      <c r="C58" s="742"/>
      <c r="D58" s="742"/>
    </row>
    <row r="59" spans="1:4">
      <c r="A59" s="192" t="s">
        <v>977</v>
      </c>
      <c r="B59" s="742"/>
      <c r="C59" s="742"/>
      <c r="D59" s="742"/>
    </row>
    <row r="60" spans="1:4">
      <c r="A60" s="740" t="s">
        <v>978</v>
      </c>
      <c r="B60" s="742"/>
      <c r="C60" s="742"/>
      <c r="D60" s="742"/>
    </row>
    <row r="61" spans="1:4">
      <c r="A61" s="740" t="s">
        <v>457</v>
      </c>
      <c r="B61" s="742"/>
      <c r="C61" s="742"/>
      <c r="D61" s="742"/>
    </row>
    <row r="62" spans="1:4">
      <c r="A62" s="742" t="s">
        <v>458</v>
      </c>
      <c r="B62" s="742"/>
      <c r="C62" s="742"/>
      <c r="D62" s="742"/>
    </row>
    <row r="63" spans="1:4">
      <c r="A63" s="742" t="s">
        <v>459</v>
      </c>
      <c r="B63" s="742"/>
      <c r="C63" s="742"/>
      <c r="D63" s="742"/>
    </row>
    <row r="64" spans="1:4">
      <c r="A64" s="779"/>
      <c r="B64" s="779"/>
      <c r="C64" s="779"/>
      <c r="D64" s="779"/>
    </row>
    <row r="65" spans="1:4">
      <c r="A65" s="743" t="s">
        <v>460</v>
      </c>
    </row>
    <row r="67" spans="1:4">
      <c r="A67" s="1066" t="s">
        <v>461</v>
      </c>
      <c r="B67" s="1066"/>
      <c r="C67" s="1066"/>
      <c r="D67" s="1066"/>
    </row>
    <row r="69" spans="1:4">
      <c r="A69" s="1067" t="s">
        <v>462</v>
      </c>
      <c r="B69" s="1067"/>
      <c r="C69" s="1067"/>
      <c r="D69" s="1067"/>
    </row>
    <row r="70" spans="1:4">
      <c r="A70" s="1066" t="s">
        <v>726</v>
      </c>
      <c r="B70" s="1066"/>
      <c r="C70" s="1066"/>
      <c r="D70" s="1066"/>
    </row>
    <row r="72" spans="1:4">
      <c r="A72" s="1068" t="s">
        <v>463</v>
      </c>
      <c r="B72" s="1068"/>
      <c r="C72" s="1068"/>
    </row>
    <row r="74" spans="1:4">
      <c r="A74" s="1066" t="s">
        <v>464</v>
      </c>
      <c r="B74" s="1066"/>
      <c r="C74" s="1066"/>
      <c r="D74" s="1066"/>
    </row>
    <row r="76" spans="1:4">
      <c r="A76" s="1067" t="s">
        <v>465</v>
      </c>
      <c r="B76" s="1067"/>
      <c r="C76" s="1067"/>
      <c r="D76" s="1067"/>
    </row>
    <row r="78" spans="1:4">
      <c r="A78" s="1067" t="s">
        <v>466</v>
      </c>
      <c r="B78" s="1067"/>
      <c r="C78" s="1067"/>
      <c r="D78" s="1067"/>
    </row>
    <row r="80" spans="1:4">
      <c r="A80" s="1067" t="s">
        <v>467</v>
      </c>
      <c r="B80" s="1066"/>
      <c r="C80" s="1066"/>
      <c r="D80" s="1066"/>
    </row>
    <row r="81" spans="1:4">
      <c r="A81" s="736" t="s">
        <v>468</v>
      </c>
    </row>
    <row r="83" spans="1:4">
      <c r="A83" s="1067" t="s">
        <v>686</v>
      </c>
      <c r="B83" s="1067"/>
      <c r="C83" s="1067"/>
      <c r="D83" s="1067"/>
    </row>
    <row r="84" spans="1:4">
      <c r="A84" s="1066" t="s">
        <v>469</v>
      </c>
      <c r="B84" s="1066"/>
      <c r="C84" s="1066"/>
      <c r="D84" s="1066"/>
    </row>
    <row r="86" spans="1:4">
      <c r="A86" s="1067" t="s">
        <v>470</v>
      </c>
      <c r="B86" s="1067"/>
      <c r="C86" s="1067"/>
      <c r="D86" s="1067"/>
    </row>
    <row r="87" spans="1:4">
      <c r="A87" s="778"/>
      <c r="B87" s="778"/>
      <c r="C87" s="778"/>
      <c r="D87" s="778"/>
    </row>
    <row r="88" spans="1:4">
      <c r="A88" s="778" t="s">
        <v>471</v>
      </c>
      <c r="B88" s="778"/>
      <c r="C88" s="778"/>
      <c r="D88" s="778"/>
    </row>
    <row r="90" spans="1:4">
      <c r="A90" s="738" t="s">
        <v>472</v>
      </c>
    </row>
    <row r="92" spans="1:4">
      <c r="A92" s="736" t="s">
        <v>984</v>
      </c>
    </row>
  </sheetData>
  <mergeCells count="37">
    <mergeCell ref="A1:D1"/>
    <mergeCell ref="A3:D3"/>
    <mergeCell ref="A5:D5"/>
    <mergeCell ref="A6:D6"/>
    <mergeCell ref="A8:D8"/>
    <mergeCell ref="A10:D10"/>
    <mergeCell ref="A29:D29"/>
    <mergeCell ref="A11:D11"/>
    <mergeCell ref="A13:D13"/>
    <mergeCell ref="A14:D14"/>
    <mergeCell ref="A23:D23"/>
    <mergeCell ref="A28:D28"/>
    <mergeCell ref="A18:D18"/>
    <mergeCell ref="A16:D16"/>
    <mergeCell ref="A69:D69"/>
    <mergeCell ref="A44:C44"/>
    <mergeCell ref="A67:D67"/>
    <mergeCell ref="A19:D19"/>
    <mergeCell ref="A17:D17"/>
    <mergeCell ref="A22:D22"/>
    <mergeCell ref="A20:D20"/>
    <mergeCell ref="A30:D30"/>
    <mergeCell ref="A38:D38"/>
    <mergeCell ref="A39:D39"/>
    <mergeCell ref="A40:D40"/>
    <mergeCell ref="A42:D42"/>
    <mergeCell ref="A43:C43"/>
    <mergeCell ref="A41:C41"/>
    <mergeCell ref="A84:D84"/>
    <mergeCell ref="A86:D86"/>
    <mergeCell ref="A72:C72"/>
    <mergeCell ref="A74:D74"/>
    <mergeCell ref="A76:D76"/>
    <mergeCell ref="A78:D78"/>
    <mergeCell ref="A80:D80"/>
    <mergeCell ref="A83:D83"/>
    <mergeCell ref="A70:D70"/>
  </mergeCells>
  <phoneticPr fontId="24" type="noConversion"/>
  <printOptions horizontalCentered="1"/>
  <pageMargins left="0.25" right="0.25" top="0.25" bottom="0.25" header="0.25" footer="0.25"/>
  <pageSetup scale="47" orientation="landscape" r:id="rId1"/>
  <headerFooter alignWithMargins="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9</vt:i4>
      </vt:variant>
    </vt:vector>
  </HeadingPairs>
  <TitlesOfParts>
    <vt:vector size="56" baseType="lpstr">
      <vt:lpstr>Cover Page</vt:lpstr>
      <vt:lpstr>Table of 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 </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'1'!Print_Area</vt:lpstr>
      <vt:lpstr>'14'!Print_Area</vt:lpstr>
      <vt:lpstr>'15'!Print_Area</vt:lpstr>
      <vt:lpstr>'16'!Print_Area</vt:lpstr>
      <vt:lpstr>'19'!Print_Area</vt:lpstr>
      <vt:lpstr>'2'!Print_Area</vt:lpstr>
      <vt:lpstr>'24'!Print_Area</vt:lpstr>
      <vt:lpstr>'28'!Print_Area</vt:lpstr>
      <vt:lpstr>'34'!Print_Area</vt:lpstr>
    </vt:vector>
  </TitlesOfParts>
  <Company>ALLSTATE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Brigitte Lenz</dc:creator>
  <cp:lastModifiedBy>eburgraf</cp:lastModifiedBy>
  <cp:lastPrinted>2012-07-31T17:30:04Z</cp:lastPrinted>
  <dcterms:created xsi:type="dcterms:W3CDTF">2012-01-25T13:17:02Z</dcterms:created>
  <dcterms:modified xsi:type="dcterms:W3CDTF">2012-07-31T17:31:11Z</dcterms:modified>
</cp:coreProperties>
</file>