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1. Start Here" sheetId="3" r:id="rId1"/>
    <sheet name="2A. Bluetooth Probe" sheetId="5" r:id="rId2"/>
    <sheet name="2B. Private Sector" sheetId="8" r:id="rId3"/>
    <sheet name="2C. Toll Tags" sheetId="9" r:id="rId4"/>
    <sheet name="2D. Radar" sheetId="10" r:id="rId5"/>
    <sheet name="2E. Dual Loops" sheetId="12" r:id="rId6"/>
    <sheet name="2F. Magnetometer" sheetId="13" r:id="rId7"/>
    <sheet name="2G. Video" sheetId="14" r:id="rId8"/>
    <sheet name="3. Summary" sheetId="15" r:id="rId9"/>
    <sheet name="4. References" sheetId="7" r:id="rId10"/>
  </sheets>
  <definedNames>
    <definedName name="_xlnm.Print_Area" localSheetId="1">'2A. Bluetooth Probe'!$A$1:$S$114</definedName>
    <definedName name="_xlnm.Print_Area" localSheetId="4">'2D. Radar'!$A$1:$AA$119</definedName>
    <definedName name="_xlnm.Print_Area" localSheetId="5">'2E. Dual Loops'!$A$1:$R$137</definedName>
    <definedName name="_xlnm.Print_Area" localSheetId="8">'3. Summary'!$A$1:$AB$68</definedName>
  </definedNames>
  <calcPr calcId="125725"/>
</workbook>
</file>

<file path=xl/calcChain.xml><?xml version="1.0" encoding="utf-8"?>
<calcChain xmlns="http://schemas.openxmlformats.org/spreadsheetml/2006/main">
  <c r="B136" i="12"/>
  <c r="B101" i="10"/>
  <c r="B70" i="9"/>
  <c r="B67"/>
  <c r="B77"/>
  <c r="B71"/>
  <c r="B31" i="8"/>
  <c r="B45"/>
  <c r="B103" i="5"/>
  <c r="B99"/>
  <c r="B96"/>
  <c r="B95"/>
  <c r="B88"/>
  <c r="B92"/>
  <c r="B86"/>
  <c r="B85"/>
  <c r="B83"/>
  <c r="B82"/>
  <c r="B77"/>
  <c r="B74"/>
  <c r="B69"/>
  <c r="B68"/>
  <c r="B61"/>
  <c r="B59"/>
  <c r="B58"/>
  <c r="B56"/>
  <c r="B55"/>
  <c r="B35"/>
  <c r="B34"/>
  <c r="B32"/>
  <c r="B31"/>
  <c r="B29"/>
  <c r="B28"/>
  <c r="B11"/>
  <c r="B44" i="8"/>
  <c r="B34"/>
  <c r="B37"/>
  <c r="B30"/>
  <c r="B27"/>
  <c r="B28"/>
  <c r="E6" i="15"/>
  <c r="E5"/>
  <c r="K5"/>
  <c r="K6"/>
  <c r="J5"/>
  <c r="J6"/>
  <c r="I5"/>
  <c r="I6"/>
  <c r="H5"/>
  <c r="H6"/>
  <c r="G5"/>
  <c r="G6"/>
  <c r="K3" l="1"/>
  <c r="J3"/>
  <c r="I3"/>
  <c r="H3"/>
  <c r="G3"/>
  <c r="F3"/>
  <c r="E3"/>
  <c r="B51" i="9"/>
  <c r="B33"/>
  <c r="B32"/>
  <c r="B52"/>
  <c r="B12"/>
  <c r="G10" i="15" s="1"/>
  <c r="B11" i="9"/>
  <c r="G9" i="15" s="1"/>
  <c r="B81" i="13"/>
  <c r="B65"/>
  <c r="B64"/>
  <c r="B37"/>
  <c r="B38"/>
  <c r="B13"/>
  <c r="B80" s="1"/>
  <c r="B12"/>
  <c r="J9" i="15" s="1"/>
  <c r="B82" i="14"/>
  <c r="B85" s="1"/>
  <c r="B81"/>
  <c r="B84" s="1"/>
  <c r="B69"/>
  <c r="B68"/>
  <c r="B30"/>
  <c r="B42" s="1"/>
  <c r="B96" s="1"/>
  <c r="B29"/>
  <c r="B41" s="1"/>
  <c r="B13"/>
  <c r="K10" i="15" s="1"/>
  <c r="B12" i="14"/>
  <c r="K9" i="15" s="1"/>
  <c r="B67" i="12"/>
  <c r="B81"/>
  <c r="B86" s="1"/>
  <c r="B66"/>
  <c r="B13"/>
  <c r="B103" s="1"/>
  <c r="B111" s="1"/>
  <c r="B12"/>
  <c r="B102" s="1"/>
  <c r="B110" s="1"/>
  <c r="B83" i="10"/>
  <c r="B84"/>
  <c r="B68"/>
  <c r="B67"/>
  <c r="B29"/>
  <c r="B41" s="1"/>
  <c r="B28"/>
  <c r="B40" s="1"/>
  <c r="B94" s="1"/>
  <c r="B12"/>
  <c r="H10" i="15" s="1"/>
  <c r="B11" i="10"/>
  <c r="H9" i="15" s="1"/>
  <c r="B72" i="5"/>
  <c r="B71"/>
  <c r="E9" i="15"/>
  <c r="B12" i="5"/>
  <c r="E10" i="15" s="1"/>
  <c r="F10" l="1"/>
  <c r="F9"/>
  <c r="B87" i="13"/>
  <c r="B84" s="1"/>
  <c r="J10" i="15"/>
  <c r="B90" i="10"/>
  <c r="B87" s="1"/>
  <c r="B38" i="8"/>
  <c r="F15" i="15"/>
  <c r="B92" i="13"/>
  <c r="B91"/>
  <c r="B95" i="14"/>
  <c r="B86" i="13"/>
  <c r="B83" s="1"/>
  <c r="B44"/>
  <c r="B41" s="1"/>
  <c r="B71"/>
  <c r="B68" s="1"/>
  <c r="I10" i="15"/>
  <c r="I9"/>
  <c r="B70" i="10"/>
  <c r="B73" s="1"/>
  <c r="B89"/>
  <c r="B86" s="1"/>
  <c r="B42" i="8"/>
  <c r="F28" i="15" s="1"/>
  <c r="F31"/>
  <c r="F19"/>
  <c r="F18"/>
  <c r="F16"/>
  <c r="B47" i="14"/>
  <c r="B63" i="9"/>
  <c r="B60" s="1"/>
  <c r="B62"/>
  <c r="B59" s="1"/>
  <c r="B39"/>
  <c r="B38"/>
  <c r="B43" i="13"/>
  <c r="B70"/>
  <c r="B67" s="1"/>
  <c r="B75" i="14"/>
  <c r="B72" s="1"/>
  <c r="B91"/>
  <c r="B88" s="1"/>
  <c r="B74"/>
  <c r="B71" s="1"/>
  <c r="B90"/>
  <c r="B87" s="1"/>
  <c r="B48"/>
  <c r="B95" i="10"/>
  <c r="B71"/>
  <c r="B74" s="1"/>
  <c r="B122" i="12"/>
  <c r="B130" s="1"/>
  <c r="B121"/>
  <c r="B129" s="1"/>
  <c r="B69"/>
  <c r="B72" s="1"/>
  <c r="B70"/>
  <c r="B73" s="1"/>
  <c r="B87"/>
  <c r="B43" i="10"/>
  <c r="B44"/>
  <c r="B75" i="5"/>
  <c r="B78" s="1"/>
  <c r="B62"/>
  <c r="B27" i="12"/>
  <c r="B31" s="1"/>
  <c r="F20" i="15" l="1"/>
  <c r="F17"/>
  <c r="B95" i="13"/>
  <c r="J16" i="15" s="1"/>
  <c r="B112" i="13"/>
  <c r="B105"/>
  <c r="J25" i="15" s="1"/>
  <c r="B98" i="13"/>
  <c r="J19" i="15" s="1"/>
  <c r="B111" i="13"/>
  <c r="B104"/>
  <c r="B97"/>
  <c r="J18" i="15" s="1"/>
  <c r="B109" i="13"/>
  <c r="J28" i="15" s="1"/>
  <c r="J31"/>
  <c r="F21"/>
  <c r="F24"/>
  <c r="B35" i="8"/>
  <c r="F22" i="15" s="1"/>
  <c r="F25"/>
  <c r="B41" i="8"/>
  <c r="F27" i="15" s="1"/>
  <c r="F29" s="1"/>
  <c r="F30"/>
  <c r="F32" s="1"/>
  <c r="B36" i="9"/>
  <c r="B78"/>
  <c r="B85"/>
  <c r="B35"/>
  <c r="B84"/>
  <c r="B40" i="13"/>
  <c r="B94" s="1"/>
  <c r="J15" i="15" s="1"/>
  <c r="J17" s="1"/>
  <c r="B45" i="14"/>
  <c r="B99" s="1"/>
  <c r="K16" i="15" s="1"/>
  <c r="B116" i="14"/>
  <c r="B109"/>
  <c r="B102"/>
  <c r="K19" i="15" s="1"/>
  <c r="B44" i="14"/>
  <c r="B98" s="1"/>
  <c r="K15" i="15" s="1"/>
  <c r="K17" s="1"/>
  <c r="B115" i="14"/>
  <c r="B108"/>
  <c r="B101"/>
  <c r="K18" i="15" s="1"/>
  <c r="K20" s="1"/>
  <c r="E16"/>
  <c r="B89" i="5"/>
  <c r="E19" i="15" s="1"/>
  <c r="E15"/>
  <c r="E17" s="1"/>
  <c r="B98" i="10"/>
  <c r="H16" i="15" s="1"/>
  <c r="B97" i="10"/>
  <c r="H15" i="15" s="1"/>
  <c r="B43" i="12"/>
  <c r="B47" i="10"/>
  <c r="B46"/>
  <c r="B32" i="12"/>
  <c r="B44" s="1"/>
  <c r="H17" i="15" l="1"/>
  <c r="J20"/>
  <c r="F26"/>
  <c r="F23"/>
  <c r="B102" i="13"/>
  <c r="J22" i="15" s="1"/>
  <c r="B108" i="13"/>
  <c r="J27" i="15" s="1"/>
  <c r="J29" s="1"/>
  <c r="J30"/>
  <c r="J32" s="1"/>
  <c r="B101" i="13"/>
  <c r="J21" i="15" s="1"/>
  <c r="J23" s="1"/>
  <c r="J24"/>
  <c r="J26" s="1"/>
  <c r="B115" i="10"/>
  <c r="B108"/>
  <c r="H19" i="15"/>
  <c r="B114" i="10"/>
  <c r="B107"/>
  <c r="B100"/>
  <c r="H18" i="15" s="1"/>
  <c r="B93" i="5"/>
  <c r="E22" i="15" s="1"/>
  <c r="E25"/>
  <c r="B100" i="5"/>
  <c r="E28" i="15" s="1"/>
  <c r="E31"/>
  <c r="B102" i="5"/>
  <c r="B112" i="14"/>
  <c r="K27" i="15" s="1"/>
  <c r="K30"/>
  <c r="B105" i="14"/>
  <c r="K21" i="15" s="1"/>
  <c r="K24"/>
  <c r="B113" i="14"/>
  <c r="K28" i="15" s="1"/>
  <c r="K31"/>
  <c r="B106" i="14"/>
  <c r="K22" i="15" s="1"/>
  <c r="K25"/>
  <c r="B81" i="9"/>
  <c r="G27" i="15" s="1"/>
  <c r="G30"/>
  <c r="B75" i="9"/>
  <c r="G22" i="15" s="1"/>
  <c r="G25"/>
  <c r="B74" i="9"/>
  <c r="G21" i="15" s="1"/>
  <c r="G23" s="1"/>
  <c r="G24"/>
  <c r="G26" s="1"/>
  <c r="B68" i="9"/>
  <c r="G16" i="15" s="1"/>
  <c r="G19"/>
  <c r="G15"/>
  <c r="G17" s="1"/>
  <c r="G18"/>
  <c r="G20" s="1"/>
  <c r="B82" i="9"/>
  <c r="G28" i="15" s="1"/>
  <c r="G31"/>
  <c r="E18"/>
  <c r="E20" s="1"/>
  <c r="B46" i="12"/>
  <c r="B94" s="1"/>
  <c r="I15" i="15" s="1"/>
  <c r="B91" i="12"/>
  <c r="B47"/>
  <c r="B92"/>
  <c r="H20" i="15" l="1"/>
  <c r="G32"/>
  <c r="K26"/>
  <c r="K32"/>
  <c r="G29"/>
  <c r="K23"/>
  <c r="K29"/>
  <c r="H30"/>
  <c r="B111" i="10"/>
  <c r="H27" i="15" s="1"/>
  <c r="H24"/>
  <c r="B104" i="10"/>
  <c r="H21" i="15" s="1"/>
  <c r="H31"/>
  <c r="B112" i="10"/>
  <c r="H28" i="15" s="1"/>
  <c r="H25"/>
  <c r="B105" i="10"/>
  <c r="H22" i="15" s="1"/>
  <c r="E24"/>
  <c r="E26" s="1"/>
  <c r="E21"/>
  <c r="E23" s="1"/>
  <c r="E30"/>
  <c r="E32" s="1"/>
  <c r="E27"/>
  <c r="E29" s="1"/>
  <c r="B49" i="12"/>
  <c r="B95"/>
  <c r="I16" i="15" s="1"/>
  <c r="I17" s="1"/>
  <c r="B50" i="12"/>
  <c r="H23" i="15" l="1"/>
  <c r="H29"/>
  <c r="H26"/>
  <c r="H32"/>
  <c r="B117" i="12"/>
  <c r="B135"/>
  <c r="B116"/>
  <c r="B98"/>
  <c r="I19" i="15" s="1"/>
  <c r="B97" i="12"/>
  <c r="I18" i="15" s="1"/>
  <c r="I20" l="1"/>
  <c r="B133" i="12"/>
  <c r="I28" i="15" s="1"/>
  <c r="I31"/>
  <c r="B132" i="12"/>
  <c r="I27" i="15" s="1"/>
  <c r="I29" s="1"/>
  <c r="I30"/>
  <c r="I32" s="1"/>
  <c r="B114" i="12"/>
  <c r="I22" i="15" s="1"/>
  <c r="I25"/>
  <c r="B113" i="12"/>
  <c r="I21" i="15" s="1"/>
  <c r="I24"/>
  <c r="I26" s="1"/>
  <c r="I23" l="1"/>
</calcChain>
</file>

<file path=xl/sharedStrings.xml><?xml version="1.0" encoding="utf-8"?>
<sst xmlns="http://schemas.openxmlformats.org/spreadsheetml/2006/main" count="991" uniqueCount="295">
  <si>
    <t>Point Detectors</t>
  </si>
  <si>
    <t>Bluetooth</t>
  </si>
  <si>
    <t>Segment Length (miles)</t>
  </si>
  <si>
    <t>Value=</t>
  </si>
  <si>
    <t>Detector Spacing (miles)</t>
  </si>
  <si>
    <t>Required number of detectors</t>
  </si>
  <si>
    <t>Low=</t>
  </si>
  <si>
    <t>High=</t>
  </si>
  <si>
    <t>High (per unit) =</t>
  </si>
  <si>
    <t>Low (per unit) =</t>
  </si>
  <si>
    <t>Low (per mile) =</t>
  </si>
  <si>
    <t>High (per mile) =</t>
  </si>
  <si>
    <t>Bill Eisele</t>
  </si>
  <si>
    <t>979-845-8550</t>
  </si>
  <si>
    <t xml:space="preserve">bill-eisele@tamu.edu </t>
  </si>
  <si>
    <t>Enter the roadway segment length</t>
  </si>
  <si>
    <t>Bluetooth Cost Estimates</t>
  </si>
  <si>
    <t xml:space="preserve">This is the cost of taking the incoming data stream and working with a systems integrator to create a real-time map. </t>
  </si>
  <si>
    <t>Enter the lower estimate of the detector spacing</t>
  </si>
  <si>
    <t>Toll Tags</t>
  </si>
  <si>
    <t>Radar</t>
  </si>
  <si>
    <t>Dual Loops</t>
  </si>
  <si>
    <t>Video</t>
  </si>
  <si>
    <t>Probes</t>
  </si>
  <si>
    <t>Total Cost (No Systems Integration for Real-time Map)</t>
  </si>
  <si>
    <t xml:space="preserve">Cost for private sector to set up TMCs for roadways of interest. </t>
  </si>
  <si>
    <t xml:space="preserve">Cost per mile to obtain data feed. </t>
  </si>
  <si>
    <t xml:space="preserve">-Will require some verification/monitoring with another technology (e.g., Bluetooth). </t>
  </si>
  <si>
    <t>Toll Tag Detector Cost Estimates</t>
  </si>
  <si>
    <t>Radar Cost Estimates</t>
  </si>
  <si>
    <t>Cost for 12 Loops (6 Lanes)</t>
  </si>
  <si>
    <t>24 feet x $10.00/foot</t>
  </si>
  <si>
    <t>160 feet x $15.00/foot</t>
  </si>
  <si>
    <t>$800 each x 4</t>
  </si>
  <si>
    <t>160 feet x 2 sides of the road x $10.00/foot</t>
  </si>
  <si>
    <t xml:space="preserve">160 feet x 12 loops x $0.15/foot </t>
  </si>
  <si>
    <t>15 feet x 12 loops x $0.15/foot</t>
  </si>
  <si>
    <t>$200/lane</t>
  </si>
  <si>
    <t xml:space="preserve">Traffic control = </t>
  </si>
  <si>
    <t>Electronics in the cabinet =</t>
  </si>
  <si>
    <t>Wire (pull-box to the cabinet) =</t>
  </si>
  <si>
    <t xml:space="preserve">Saw cut = </t>
  </si>
  <si>
    <t>Conduit from lead-in to pull-box =</t>
  </si>
  <si>
    <t>Road bore (from pull-box to cabinet) =</t>
  </si>
  <si>
    <t>4 Pull boxes--2 on each side of the road =</t>
  </si>
  <si>
    <t>Conduit from pull-box to pull-box =</t>
  </si>
  <si>
    <t>Wire (2 conductor shielded) from pull-box to pull-box =</t>
  </si>
  <si>
    <t xml:space="preserve">Assumed 10% margin of error in capital cost estimates. </t>
  </si>
  <si>
    <t xml:space="preserve">Total Capital and Installation Cost = </t>
  </si>
  <si>
    <t xml:space="preserve">Margin of error in capital and installation cost = </t>
  </si>
  <si>
    <t>= (Total Capital and Installation Cost) - margin of error</t>
  </si>
  <si>
    <t>= (Total Capital and Installation Cost) + margin of error</t>
  </si>
  <si>
    <t>-Capture up to 10 lanes from side-fire</t>
  </si>
  <si>
    <t>$1000/lane x 6 lanes</t>
  </si>
  <si>
    <t>$1,000/lane x 6 lanes</t>
  </si>
  <si>
    <t>(Assumed 6-Lane Facility)</t>
  </si>
  <si>
    <t xml:space="preserve">Review prior worksheets for each detector technology for more information/assumptions. </t>
  </si>
  <si>
    <t>Cost Elements</t>
  </si>
  <si>
    <t>Detector and Corridor Characteristics</t>
  </si>
  <si>
    <t>Computed low estimate of the number of detectors for the segment</t>
  </si>
  <si>
    <t>High (for given segment length) =</t>
  </si>
  <si>
    <t xml:space="preserve">Low (for given segment length) = </t>
  </si>
  <si>
    <t>Bluetooth probes ("2A. Bluetooth Probe")</t>
  </si>
  <si>
    <t>Toll tags ("2C. Toll Tags")</t>
  </si>
  <si>
    <t>Radar point detectors ("2D. Radar")</t>
  </si>
  <si>
    <t>Dual loop point detectors ("2E. Dual Loops")</t>
  </si>
  <si>
    <t>Video point detectors ("2G. Video")</t>
  </si>
  <si>
    <t>= yellow cells for all user-entered values</t>
  </si>
  <si>
    <t xml:space="preserve">The worksheet "4. References" provides a listing of the references (literature and persons) consulted for this detector cost-estimating tool. </t>
  </si>
  <si>
    <t>Texas Transportation Institute</t>
  </si>
  <si>
    <t>= blue cells for all computed values</t>
  </si>
  <si>
    <r>
      <rPr>
        <i/>
        <sz val="11"/>
        <color theme="1"/>
        <rFont val="Calibri"/>
        <family val="2"/>
        <scheme val="minor"/>
      </rPr>
      <t>ITS Benefits, Costs and Lessons Learned Database</t>
    </r>
    <r>
      <rPr>
        <sz val="11"/>
        <color theme="1"/>
        <rFont val="Calibri"/>
        <family val="2"/>
        <scheme val="minor"/>
      </rPr>
      <t>, US DOT, Available: http://www.benefitcost.its.dot.gov/</t>
    </r>
  </si>
  <si>
    <t xml:space="preserve">Dan Middleton, Texas Transportation Institute, College Station, Texas </t>
  </si>
  <si>
    <t xml:space="preserve">Mike Vickich, Texas Transportation Institute, Houston, Texas </t>
  </si>
  <si>
    <t xml:space="preserve">Darrell Borchardt, Texas Transportation Institute, Houston, Texas </t>
  </si>
  <si>
    <t>Additional resources:</t>
  </si>
  <si>
    <r>
      <t>Efforts to Address Highway Congestion through Real-time Traffic Information Systems are Expanding but Face Implementation Challenges</t>
    </r>
    <r>
      <rPr>
        <sz val="11"/>
        <color theme="1"/>
        <rFont val="Calibri"/>
        <family val="2"/>
        <scheme val="minor"/>
      </rPr>
      <t>, US GAO, GAO-10-121R, November 2009.</t>
    </r>
  </si>
  <si>
    <r>
      <rPr>
        <sz val="11"/>
        <color theme="1"/>
        <rFont val="Calibri"/>
        <family val="2"/>
        <scheme val="minor"/>
      </rPr>
      <t xml:space="preserve">Young, Stan, </t>
    </r>
    <r>
      <rPr>
        <i/>
        <sz val="11"/>
        <color theme="1"/>
        <rFont val="Calibri"/>
        <family val="2"/>
        <scheme val="minor"/>
      </rPr>
      <t xml:space="preserve">Bluetooth Traffic Monitoring, </t>
    </r>
    <r>
      <rPr>
        <sz val="11"/>
        <color theme="1"/>
        <rFont val="Calibri"/>
        <family val="2"/>
        <scheme val="minor"/>
      </rPr>
      <t xml:space="preserve">presented at Bluetooth Summit, Houston, Texas, February 18, 2010. </t>
    </r>
  </si>
  <si>
    <r>
      <t xml:space="preserve">Guide to Benchmarking Operations Performance Measures, Draft Final Report, </t>
    </r>
    <r>
      <rPr>
        <sz val="11"/>
        <color theme="1"/>
        <rFont val="Calibri"/>
        <family val="2"/>
        <scheme val="minor"/>
      </rPr>
      <t xml:space="preserve">National Cooperative Highway Research Program, Washington, D.C., January 2008. </t>
    </r>
  </si>
  <si>
    <r>
      <t xml:space="preserve">I-95 Vehicle Probe Project, </t>
    </r>
    <r>
      <rPr>
        <sz val="11"/>
        <color theme="1"/>
        <rFont val="Calibri"/>
        <family val="2"/>
        <scheme val="minor"/>
      </rPr>
      <t>I-95 Corridor Coalition, Available: http://www.i95coalition.org/i95/Projects/ProjectDatabase/tabid/120/agentType/View/PropertyID/107/Default.aspx#INFO</t>
    </r>
  </si>
  <si>
    <r>
      <rPr>
        <i/>
        <sz val="11"/>
        <color theme="1"/>
        <rFont val="Calibri"/>
        <family val="2"/>
        <scheme val="minor"/>
      </rPr>
      <t xml:space="preserve">Post Oak Traffic Systems, Inc. </t>
    </r>
    <r>
      <rPr>
        <sz val="11"/>
        <color theme="1"/>
        <rFont val="Calibri"/>
        <family val="2"/>
        <scheme val="minor"/>
      </rPr>
      <t>http://www.postoaktraffic.com/default.aspx</t>
    </r>
  </si>
  <si>
    <t>Navteq and Inrix sites provide a free basic traveler information map (http:www.navteq.com and http://www.inrix.com/publicsector.asp)</t>
  </si>
  <si>
    <r>
      <rPr>
        <sz val="11"/>
        <color theme="1"/>
        <rFont val="Calibri"/>
        <family val="2"/>
        <scheme val="minor"/>
      </rPr>
      <t xml:space="preserve">Haghani, Ali, M. Hamedi, K. F. Sadabadi, S. Young, and P. Tarnoff. "Data Collection of Freeway Travel Time Ground Truth with Bluetooth Sensors." </t>
    </r>
    <r>
      <rPr>
        <i/>
        <sz val="11"/>
        <color theme="1"/>
        <rFont val="Calibri"/>
        <family val="2"/>
        <scheme val="minor"/>
      </rPr>
      <t>Transportation Research Record 2160,</t>
    </r>
    <r>
      <rPr>
        <sz val="11"/>
        <color theme="1"/>
        <rFont val="Calibri"/>
        <family val="2"/>
        <scheme val="minor"/>
      </rPr>
      <t xml:space="preserve">Washington, D.C., 2010. </t>
    </r>
  </si>
  <si>
    <t xml:space="preserve">A number of resources and/or persons provided information used to develop this spreadsheet.  They are listed here. </t>
  </si>
  <si>
    <r>
      <rPr>
        <sz val="11"/>
        <color theme="1"/>
        <rFont val="Calibri"/>
        <family val="2"/>
        <scheme val="minor"/>
      </rPr>
      <t xml:space="preserve">Carlson, T. and J. A. Crawford, </t>
    </r>
    <r>
      <rPr>
        <i/>
        <sz val="11"/>
        <color theme="1"/>
        <rFont val="Calibri"/>
        <family val="2"/>
        <scheme val="minor"/>
      </rPr>
      <t xml:space="preserve">Traffic Data Request Guide: Highway Pavement and Geometric Design, </t>
    </r>
    <r>
      <rPr>
        <sz val="11"/>
        <color theme="1"/>
        <rFont val="Calibri"/>
        <family val="2"/>
        <scheme val="minor"/>
      </rPr>
      <t xml:space="preserve">Sponsored by Texas DOT, Texas Transportation Institute Product 5-1801-01-P1, May 2004. </t>
    </r>
  </si>
  <si>
    <r>
      <rPr>
        <sz val="11"/>
        <color theme="1"/>
        <rFont val="Calibri"/>
        <family val="2"/>
        <scheme val="minor"/>
      </rPr>
      <t xml:space="preserve">Middleton, D., D. Jasek, and R. Parker, </t>
    </r>
    <r>
      <rPr>
        <i/>
        <sz val="11"/>
        <color theme="1"/>
        <rFont val="Calibri"/>
        <family val="2"/>
        <scheme val="minor"/>
      </rPr>
      <t xml:space="preserve">Evaluation of Some Existing Technologies for Vehicle Detection, </t>
    </r>
    <r>
      <rPr>
        <sz val="11"/>
        <color theme="1"/>
        <rFont val="Calibri"/>
        <family val="2"/>
        <scheme val="minor"/>
      </rPr>
      <t xml:space="preserve">Sponsored by Texas DOT, Texas Transportation Institute Report 1715-S, September 1999. </t>
    </r>
  </si>
  <si>
    <t xml:space="preserve">Darrell Puckett, Texas Transportation Institute, Houston, Texas </t>
  </si>
  <si>
    <t>Stan Young, University of Maryland, Center for Advanced Transportation Technology, College Park, Maryland</t>
  </si>
  <si>
    <t>[($400 each x 2 per lane) x 6 lanes ] + [1 Access Point (AP) communication device that "listens" to detectors ($3,000)] + [$1,000 for data store]</t>
  </si>
  <si>
    <t>Installation Cost Per Unit (One-time cost)</t>
  </si>
  <si>
    <t>Communication Cost Per Unit Per Year</t>
  </si>
  <si>
    <t>Power Cost Per Unit Per Year</t>
  </si>
  <si>
    <t>Integration to Real-Time Map (One-time cost)</t>
  </si>
  <si>
    <t>Real-Time Map Maintenance Per Year</t>
  </si>
  <si>
    <t>Per-mile Cost to Provide the Data Per Year</t>
  </si>
  <si>
    <t>Installation Cost Per Unit (One-time Cost)</t>
  </si>
  <si>
    <t>Capital and Installation Cost for One Station (One-time Cost)</t>
  </si>
  <si>
    <t>Installation Cost (Labor) for 12-Loop Station (One-time Cost)</t>
  </si>
  <si>
    <t>Communication Cost for 12-Loop Station Per Year</t>
  </si>
  <si>
    <t>Power Cost for 12-Loop Station Per Year</t>
  </si>
  <si>
    <t>Traffic Control Per Unit for Installation (One-time Cost)</t>
  </si>
  <si>
    <t>Maintenance Cost Per Unit Per Year</t>
  </si>
  <si>
    <t>Traffic Control Cost for Installation (One-time Cost)</t>
  </si>
  <si>
    <t>50 feet x 12 loops x $7.00/foot (includes wire for loop and to the first pull-box, includes loop sealant)</t>
  </si>
  <si>
    <t>Required number of detector stations (includes 12 loops)</t>
  </si>
  <si>
    <t>Pole Installation and Foundation (One-time Cost)</t>
  </si>
  <si>
    <t>Initial Capital Cost Per Unit (One-time cost)</t>
  </si>
  <si>
    <t>One-time Initial Costs</t>
  </si>
  <si>
    <t>Initial Cost Subtotal</t>
  </si>
  <si>
    <t xml:space="preserve">Description/notes/assumptions on values: </t>
  </si>
  <si>
    <t>Yearly On-going Operations and Maintenance Costs</t>
  </si>
  <si>
    <t xml:space="preserve">Assumed negligible.  Tie into existing power (lighting, signal cabinet or ITS infrastructure).  Else solar cost is approximately $800. </t>
  </si>
  <si>
    <t xml:space="preserve">Cellular at about $40/month per unit.  Could tie into existing fiber/WiMAX for no cost. </t>
  </si>
  <si>
    <t xml:space="preserve">Assumed life of the detector.  </t>
  </si>
  <si>
    <t>Life of the Detector (in Years)</t>
  </si>
  <si>
    <t>Yearly O&amp;M Cost Subtotal</t>
  </si>
  <si>
    <t xml:space="preserve">On-call systems integrator. Perhaps $20,000 on low end. </t>
  </si>
  <si>
    <t xml:space="preserve">On-call systems integrator. Perhaps $40,000 on high end. </t>
  </si>
  <si>
    <t>Miles=</t>
  </si>
  <si>
    <t xml:space="preserve">Replacement/Repair Costs </t>
  </si>
  <si>
    <t>Replacement Cost Per Unit</t>
  </si>
  <si>
    <t xml:space="preserve">Value assumes all detectors are replaced at the life expiration. Unlikely, but similar assumption made for all technologies except loops. </t>
  </si>
  <si>
    <t>Year 1 Costs</t>
  </si>
  <si>
    <t>Estimated Total Costs</t>
  </si>
  <si>
    <t>5-Year Estimated Cost</t>
  </si>
  <si>
    <t>10-Year Estimated Cost</t>
  </si>
  <si>
    <t xml:space="preserve">Includes initial costs and 1st year O&amp;M. </t>
  </si>
  <si>
    <t>Additional Notes and Considerations</t>
  </si>
  <si>
    <t>Enter the higher estimate of the detector spacing</t>
  </si>
  <si>
    <t>Initial Capital Cost Per Unit (One-time Cost)</t>
  </si>
  <si>
    <t>Cabinet (One-time Cost)</t>
  </si>
  <si>
    <t xml:space="preserve">Assume one is present.  Else cost could range from $5,000 to $6,000 to install. </t>
  </si>
  <si>
    <t xml:space="preserve">Wire/coaxial cable (power and communications) @ $7.50/foot. Conduit/trenching at $10/foot for 150'. Assume 200' for pole height to cabinet for wire/cable. Note: any necessary boring would cost $15-$20/foot and none included here. </t>
  </si>
  <si>
    <t xml:space="preserve">Wire/coaxial cable (power and communications) @ $7.50/foot. Conduit/trenching at $10/foot for 250'. Assume 300' for pole height to cabinet for wire/cable. Note: any necessary boring would cost $15-$20/foot and none included here. </t>
  </si>
  <si>
    <t xml:space="preserve">Cost incurred to replace/repair the detector after the life expires.  Includes processor/batteries/installation time, etc.   </t>
  </si>
  <si>
    <t xml:space="preserve">Side-fire hardware that captures both directions of travel. </t>
  </si>
  <si>
    <t xml:space="preserve">Roadside reader (modem, antenna) and software, and traffic data calculation software; assumes available pole for mounting, else have installation cost. Captures both directions of travel. </t>
  </si>
  <si>
    <t>Conduit/Cable/Trenching (One-time Cost)</t>
  </si>
  <si>
    <t>Integration to Real-Time Map (One-time Cost)</t>
  </si>
  <si>
    <t xml:space="preserve">Cellular at about $50/month per unit.  Could tie into existing fiber/WiMAX for no cost. </t>
  </si>
  <si>
    <t xml:space="preserve">Assumed negligible.  Tie into existing power (lighting, signal cabinet or ITS infrastructure).  Else solar cost is approximately $2,000 to $3,000. </t>
  </si>
  <si>
    <t>Tie into existing fiber/landline. Else cellular is about $40/month per unit (assumed in default here).</t>
  </si>
  <si>
    <t xml:space="preserve">Tie into existing fiber/landline. Else cellular is about $50/month per unit (assumed in default here). </t>
  </si>
  <si>
    <t xml:space="preserve">Yearly O&amp;M Cost Subtotal </t>
  </si>
  <si>
    <t xml:space="preserve">Cost incurred to replace/repair the detector after the life expires and installation time. </t>
  </si>
  <si>
    <t xml:space="preserve">Includes initial costs, 5 years of O&amp;M costs, and 1 replacement of all detectors. </t>
  </si>
  <si>
    <t xml:space="preserve">Includes initial costs, 10 years of O&amp;M costs, and 1 replacement of all detectors. </t>
  </si>
  <si>
    <t xml:space="preserve">Includes initial costs, 10 years of O&amp;M costs, and 2 replacements of all detectors. </t>
  </si>
  <si>
    <t xml:space="preserve">Description/notes/assumptions on default values: </t>
  </si>
  <si>
    <t>Replacement/Repair Costs</t>
  </si>
  <si>
    <t>Repair/installation cost for 1 loop</t>
  </si>
  <si>
    <t>50 feet x 1 loop x $7.00/foot (includes wire for loop and to the first pull-box, includes loop sealant)</t>
  </si>
  <si>
    <t>$1000/lane x 2 lanes</t>
  </si>
  <si>
    <t xml:space="preserve">Total Repair Cost = </t>
  </si>
  <si>
    <t xml:space="preserve">Assumes no loop failures in the first year. </t>
  </si>
  <si>
    <t>Assumed loop failure rate over 5 years</t>
  </si>
  <si>
    <t xml:space="preserve">Includes initial costs, 5 years of O&amp;M costs, and replacement of detectors based on "low" failure rate for 5 years. </t>
  </si>
  <si>
    <t>Total Number of Individual Loops</t>
  </si>
  <si>
    <t xml:space="preserve">12 x number of detector stations in B12. </t>
  </si>
  <si>
    <t xml:space="preserve">12 x number of detector stations in B13. </t>
  </si>
  <si>
    <t xml:space="preserve">Includes initial costs, 5 years of O&amp;M costs, and replacement of detectors based on "high" failure rate for 5 years. </t>
  </si>
  <si>
    <t>Range in Repair/Installation cost for 1 loop</t>
  </si>
  <si>
    <t>Low (per station) =</t>
  </si>
  <si>
    <t>High (per station) =</t>
  </si>
  <si>
    <t>Labor =</t>
  </si>
  <si>
    <t>Saw cut =</t>
  </si>
  <si>
    <t>Traffic control =</t>
  </si>
  <si>
    <t xml:space="preserve">Assumed margin of error in capital cost estimates (default=20%). </t>
  </si>
  <si>
    <t>Number of loop detectors requiring replacement over 5 years</t>
  </si>
  <si>
    <t>Percent of loop detectors failing (requiring replacement) over 5-year period. Default=20%.</t>
  </si>
  <si>
    <t>Percent of loop detectors failing (requiring replacement) over 5-year period. Default=50%.</t>
  </si>
  <si>
    <t xml:space="preserve">Based on user-input 5-year failure rate. </t>
  </si>
  <si>
    <t>Percent of loop detectors failing (requiring replacement) over 10-year period. Default=70%.</t>
  </si>
  <si>
    <t>Percent of loop detectors failing (requiring replacement) over 10-year period. Default=90%.</t>
  </si>
  <si>
    <t>Assumed loop failure rate over 10 years</t>
  </si>
  <si>
    <t>Number of loop detectors requiring replacement over 10 years</t>
  </si>
  <si>
    <t xml:space="preserve">Based on user-input 10-year failure rate. </t>
  </si>
  <si>
    <t xml:space="preserve">Includes initial costs, 10 years of O&amp;M costs, and replacement of detectors based on "low" failure rate for 10 years. </t>
  </si>
  <si>
    <t xml:space="preserve">Includes initial costs, 10 years of O&amp;M costs, and replacement of detectors based on "high" failure rate for 10 years. </t>
  </si>
  <si>
    <t>From above.</t>
  </si>
  <si>
    <t>Initial Capital Cost Per Station (One-time Cost)</t>
  </si>
  <si>
    <t xml:space="preserve">$7,500 x 2 cameras (need a camera for each direction); Cost is for a "station" defined as having a camera for both directions. </t>
  </si>
  <si>
    <t xml:space="preserve">$8,000 x 2 cameras (need a camera for each direction); Cost is for a "station" defined as having a camera for both directions. </t>
  </si>
  <si>
    <t>Installation Cost Per Station (One-time Cost)</t>
  </si>
  <si>
    <t>Conduit/Cable/Trenching Per Station (One-time Cost)</t>
  </si>
  <si>
    <t xml:space="preserve">Wire/coaxial cable (power and communications) @ $7.50/foot. Conduit/trenching at $10/foot for 150'. Assume 200' for pole height to cabinet for wire/cable. Note: any necessary boring would cost $15-$20/foot and none included here. Note: need this on both sides of the road so it is doubled.  </t>
  </si>
  <si>
    <t xml:space="preserve">Note: "station" terminology used because 2 cameras are used--one for each side of the road. </t>
  </si>
  <si>
    <t>Required number of stations (points with camera each dir)</t>
  </si>
  <si>
    <t>Computed low estimate of the number of stations for the segment</t>
  </si>
  <si>
    <t>Computed high estimate of the number of stations for the segment</t>
  </si>
  <si>
    <t xml:space="preserve">Tie into existing fiber/landline (assumed here to give better video image). </t>
  </si>
  <si>
    <t xml:space="preserve">Cost incurred to replace/repair the detector after the life expires and installation time. Assumes both cameras replaced on each side of the road. </t>
  </si>
  <si>
    <t>Computed high estimate of the number of detectors for the segment</t>
  </si>
  <si>
    <t>[($500 each x 2 per lane) x 6 lanes ] + [1 Access Point (AP) communication device that "listens" to detectors ($3,000)] + [$1,000 for data store]</t>
  </si>
  <si>
    <t>Required number of detector stations</t>
  </si>
  <si>
    <t>Communication Cost Per Station Per Year</t>
  </si>
  <si>
    <t xml:space="preserve">2 times/year check wireless sensor communication to ensure working properly.  1 hours x 1 people x $40/hour x 2 sides of the road. </t>
  </si>
  <si>
    <t xml:space="preserve">2 times/year check wireless sensor communication to ensure working properly.  3 hours x 1 people x $40/hour x 2 sides of the road. </t>
  </si>
  <si>
    <t>Power Cost Per Station Per Year</t>
  </si>
  <si>
    <t>Maintenance Cost Per Station Per Year</t>
  </si>
  <si>
    <t xml:space="preserve">Includes initial costs and 5 years of O&amp;M costs. </t>
  </si>
  <si>
    <t xml:space="preserve">Includes antenna and field hardware at a station (includes equipment for both directions). </t>
  </si>
  <si>
    <t xml:space="preserve">$1,000 per lane. Assume 2 lanes closed x 2 directions. </t>
  </si>
  <si>
    <t xml:space="preserve">Note: Station includes an antenna/equipment for each direction. </t>
  </si>
  <si>
    <t xml:space="preserve">Tie into existing fiber/landline assumed here. </t>
  </si>
  <si>
    <t xml:space="preserve">Assumed negligible.  Tie into existing power (lighting, signal cabinet or ITS infrastructure).  </t>
  </si>
  <si>
    <t>Maintenance Cost for Entire Corridor Length</t>
  </si>
  <si>
    <t xml:space="preserve">Includes initial costs and 10 years of O&amp;M costs. </t>
  </si>
  <si>
    <t>Assume contract with private company. $200/directional mile assumed as default for "low". (Rates could be higher for a relatively short corridor like the default here.)</t>
  </si>
  <si>
    <t>Assume contract with private company. $500/directional mile assumed as default for "low". (Rates could be higher for a relatively short corridor like the default here.)</t>
  </si>
  <si>
    <t>Magnetometer Detector Cost Estimates</t>
  </si>
  <si>
    <t xml:space="preserve">Includes Year 1 cost plus 4 additional years of the data feed. </t>
  </si>
  <si>
    <t xml:space="preserve">Includes Year 1 cost plus 9 additional years of the data feed. </t>
  </si>
  <si>
    <t>Per-mile Cost for Initial Set-up (Year 1 cost only)</t>
  </si>
  <si>
    <t>Private Sector</t>
  </si>
  <si>
    <t>Magnetometer</t>
  </si>
  <si>
    <t>Segment Length=</t>
  </si>
  <si>
    <t xml:space="preserve">Notes: Only includes cost to get the data.  It does not include data integration to a map. </t>
  </si>
  <si>
    <t>Cost Time-frame</t>
  </si>
  <si>
    <t>High or Low Value and Units</t>
  </si>
  <si>
    <t>Summary of Life-cycle Costs</t>
  </si>
  <si>
    <t>Greg Krueger, MDOT: 517-373-9479, Statewide ITE Program, Program Manager (and TRB 2011 PPT)</t>
  </si>
  <si>
    <t xml:space="preserve">1. Provide an overview of the key issues/considerations and cost elements one needs to consider for a given detector technology to obtain a real-time data feed, </t>
  </si>
  <si>
    <t>Private-sector GPS fleets ("2B. Private Sector")</t>
  </si>
  <si>
    <t>Magnetometer point detectors ("2F. Magnetometer")</t>
  </si>
  <si>
    <t xml:space="preserve">The spreadsheet then estimates costs per unit (or detector station), costs per mile, and total costs for the segment length entered by the user.  </t>
  </si>
  <si>
    <t xml:space="preserve">These costs are broken out as Year 1 costs, 5-year costs, and 10-year costs. </t>
  </si>
  <si>
    <t xml:space="preserve">The worksheet "3. Summary" provides a table comparison and charts of the results.  </t>
  </si>
  <si>
    <t xml:space="preserve">2. Provide a range of costs for each cost element, as well as overall costs (including Year 1, 5-year life cycle, 10-year life cycle) per mile and for a given segment length. </t>
  </si>
  <si>
    <t xml:space="preserve">Development of such a tool requires a myriad of assumptions, clarifications, and user-inputs.  These are highlighted throughout the spreadsheet tabs. </t>
  </si>
  <si>
    <t>2 times / year get a bucket truck with 2 people and clean the lens.  2 hours x 2 people x $40/hour--assume public agency has bucket truck and commercial license driver so no cost</t>
  </si>
  <si>
    <t>2 times / year get a bucket truck with 2 people and clean the lens.  4 hours x 2 people x $40/hour--assume public agency has bucket truck and commercial license driver so no cost</t>
  </si>
  <si>
    <t>Video Detectors Cost Estimates</t>
  </si>
  <si>
    <t>Dual Loop Detectors Cost Estimates</t>
  </si>
  <si>
    <t>Private-Sector Data Cost Estimates</t>
  </si>
  <si>
    <t>-Assumes detector technology "stands alone" and, in actuality, one could implement some technologies together (e.g., video with BT to get lane-by-lane volume info and speed info)</t>
  </si>
  <si>
    <t xml:space="preserve">-Data you have with BT:  Individual Bluetooth address records, travel time and speed samples, aggregated data, XML based data for map; BT data are not lane-by-lane. </t>
  </si>
  <si>
    <t xml:space="preserve">-Data you have with private sector:  15-minute period average speeds (averaged across 365 days) by traffic message channel (TMC), and sample size; data are not lane-by-lane. </t>
  </si>
  <si>
    <t xml:space="preserve">-Note: can currently get a basic traveler information map (red-yellow-green) free from Navteq or Inrix [see "4. References" worksheet for websites]. </t>
  </si>
  <si>
    <t>Additional Notes, Assumptions, and Considerations</t>
  </si>
  <si>
    <t xml:space="preserve">-Data you have with toll tags:  raw reads, and travel time information; data are not lane-by-lane. </t>
  </si>
  <si>
    <t xml:space="preserve">-Toll tag equipment lasts over 10 years so replacement is not included here. </t>
  </si>
  <si>
    <t xml:space="preserve">-Data you have with radar:  speed, volume, occupancy, classification by lane.  </t>
  </si>
  <si>
    <t>-Calculations assume any solar batteries do not require replacing, except when entire unit is replaced.</t>
  </si>
  <si>
    <t xml:space="preserve">-Data you have with dual loops:  speed, volume, occupancy, classification by lane.  </t>
  </si>
  <si>
    <t xml:space="preserve">-Data you have with magnetometer: speed, volume, occupancy, classification by lane.  </t>
  </si>
  <si>
    <t>-Camera placed side-fire, not above lanes. Above lanes requires closing lanes, and must ensure camera doesn't vibrate if above (e.g., on overpass)</t>
  </si>
  <si>
    <t xml:space="preserve">-Data you have with video: speed, volume, occupancy, classification by lane.  </t>
  </si>
  <si>
    <t xml:space="preserve">Graphic of estimated costs for user-input segment length for year 1, 5-year life cycle, and 10-year life cycle. </t>
  </si>
  <si>
    <t xml:space="preserve">Graphic of estimated costs per mile for year 1, 5-year life cycle, and 10-year life cycle. </t>
  </si>
  <si>
    <t xml:space="preserve">In these individual "detector worksheets," users can enter key inputs associated with segment length, number of detectors, and specific costs. </t>
  </si>
  <si>
    <t xml:space="preserve">Computed low estimate of the number of detector stations for the segment. Each "station" includes 12 magnetometers. </t>
  </si>
  <si>
    <t xml:space="preserve">Computed high estimate of the number of detector stations for the segment. Each "station" includes 12 magnetometers. </t>
  </si>
  <si>
    <t xml:space="preserve">Note: Each "station" includes 12 magnetometers. </t>
  </si>
  <si>
    <t>Life of the Magnetometer (in Years)</t>
  </si>
  <si>
    <t xml:space="preserve">Replacing 12 magnetometers ($400 each), traffic control, and installation. </t>
  </si>
  <si>
    <t xml:space="preserve">Replacing 12 magnetometers ($500 each), traffic control, and installation. </t>
  </si>
  <si>
    <t>Terri Johnson, Navteq, 214-634-8141, costs for point sensors and Navteq</t>
  </si>
  <si>
    <t xml:space="preserve">Tie into existing fiber/landline. Else cellular is about $40/month per unit (assumed in default here). </t>
  </si>
  <si>
    <t xml:space="preserve">This cost-estimating detector tool has two primary objectives: </t>
  </si>
  <si>
    <t>The following detector technologies/methods are included in this spreadsheet (names in parentheses refer to worksheet name):</t>
  </si>
  <si>
    <t xml:space="preserve">Required Number of Detectors for Total Segment Length Above: </t>
  </si>
  <si>
    <t xml:space="preserve">Detector Spacing (miles): </t>
  </si>
  <si>
    <t xml:space="preserve">Average (per mile) = </t>
  </si>
  <si>
    <t>Average (for given segment length) =</t>
  </si>
  <si>
    <t>Tony Voigt, Texas Transportation Institute, Houston, Texas</t>
  </si>
  <si>
    <t xml:space="preserve">-For private sector, spacing is based on average urban area Traffic Message Channel (TMC) length. </t>
  </si>
  <si>
    <t>May 2011</t>
  </si>
  <si>
    <t>If no adequate pole present.  Default assumes pole is present so cost is negligible.  Else, costs could range from $3,000-$6,000 for 25'-30' pole.</t>
  </si>
  <si>
    <t>2 hours @ $100/hour.</t>
  </si>
  <si>
    <t>4 hours @ $100/hour.</t>
  </si>
  <si>
    <t xml:space="preserve">Default is that this is not included. Low estimate = 450 hours @ $150/hour = $67,500. </t>
  </si>
  <si>
    <t>Default is that this is not included. High estimate = 500 hours @ $200/hour (including profit) = $100,000.</t>
  </si>
  <si>
    <t xml:space="preserve">Includes trouble-shooting power outages. Assumed negligible; else perhaps 2-3 hours/year to check the unit @ $100/hour. </t>
  </si>
  <si>
    <t xml:space="preserve">Includes trouble-shooting power outages. Assumed negligible; else perhaps 4-6 hours/year to check the unit @ $100/hour. </t>
  </si>
  <si>
    <t xml:space="preserve">2 persons x 2 directions x 4 hours @ $100/hour. Assume public agency has a bucket truck and commercial license driver so no cost.  </t>
  </si>
  <si>
    <t xml:space="preserve">2 persons x 2 directions x 8 hours @ $100/hour. Assume public agency has a bucket truck and commercial license driver so no cost. </t>
  </si>
  <si>
    <t xml:space="preserve">2 people (for safety with bucket truck) for 2 hours @ $100/hour. Assume public agency has a bucket truck and commercial license driver so no cost.  </t>
  </si>
  <si>
    <t xml:space="preserve">2 people (for safety with bucket truck) for 4 hours @ $100/hour. Assume public agency has a bucket truck and commercial license driver so no cost. </t>
  </si>
  <si>
    <t xml:space="preserve">2 people for 4 hours @ $100/hour.  Assumes cabinet is present and does not require installation. </t>
  </si>
  <si>
    <t xml:space="preserve">2 people for 8 hours @ $100/hour. Assumes cabinet is present and does not require installation. </t>
  </si>
  <si>
    <t>Labor for 2 people x 4 hours x $100/hour</t>
  </si>
  <si>
    <t xml:space="preserve">2 persons x 3 hours @ $100/hour. Core, place, epoxy ($100) in place.  </t>
  </si>
  <si>
    <t xml:space="preserve">2 persons x 6 hours @ $100/hour. Core, place, epoxy ($100) in place.  </t>
  </si>
  <si>
    <t xml:space="preserve">2 people (for safety with bucket truck) for 2 hours @ $100/hour. Assume public agency has a bucket truck--no cost.  </t>
  </si>
  <si>
    <t xml:space="preserve">2 people (for safety with bucket truck) for 4 hours @ $100/hour. Assume public agency has a bucket truck--no cost.  </t>
  </si>
  <si>
    <t xml:space="preserve">-Costs are for a corridor on a "per unit" basis. Contracted prices (including design/permits/code issues/licensing) could be higher/lower depending upon specific needs and project scope. </t>
  </si>
  <si>
    <t xml:space="preserve">-Maintenance contracts could also be established and are not included here.  </t>
  </si>
  <si>
    <t xml:space="preserve">-Maintenance contracts is assumed here. </t>
  </si>
  <si>
    <t xml:space="preserve">-For BT installation (most detector installations), typical procedure is to identify power source first to locate detector in the field. </t>
  </si>
  <si>
    <t xml:space="preserve">Others contacted: </t>
  </si>
  <si>
    <t>Project Sponsor:  Mobility Measures in Urban Transportation FHWA Pooled Fund Study</t>
  </si>
  <si>
    <t xml:space="preserve">Pooled Fund Study sponsors include 12 state departments of transportation (California, Colorado, Florida, Kentucky, Maryland, Minnesota, New York, Ohio, Oregon, Texas, </t>
  </si>
  <si>
    <t xml:space="preserve">Virginia, Washington) and 2 metropolitan planning organizations (Houston-Galveston Area Council, Maricopa Association of Governments). </t>
  </si>
  <si>
    <t>This spreadsheet is available at http://mobility.tamu.edu/resources (under "Data Collection and Management")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</si>
</sst>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&quot;$&quot;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</font>
    <font>
      <sz val="11"/>
      <color rgb="FF454545"/>
      <name val="Arial"/>
      <family val="2"/>
    </font>
    <font>
      <b/>
      <sz val="13.2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4CFD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0" fillId="0" borderId="0" xfId="0" applyNumberFormat="1"/>
    <xf numFmtId="0" fontId="0" fillId="0" borderId="0" xfId="0" quotePrefix="1" applyAlignment="1">
      <alignment horizontal="right"/>
    </xf>
    <xf numFmtId="4" fontId="0" fillId="0" borderId="0" xfId="0" applyNumberFormat="1" applyFill="1"/>
    <xf numFmtId="3" fontId="0" fillId="0" borderId="0" xfId="0" applyNumberFormat="1" applyFill="1"/>
    <xf numFmtId="0" fontId="2" fillId="0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65" fontId="0" fillId="0" borderId="0" xfId="0" applyNumberFormat="1" applyFill="1"/>
    <xf numFmtId="165" fontId="0" fillId="0" borderId="0" xfId="0" applyNumberFormat="1"/>
    <xf numFmtId="0" fontId="0" fillId="0" borderId="0" xfId="0" quotePrefix="1" applyFont="1" applyAlignment="1">
      <alignment horizontal="right"/>
    </xf>
    <xf numFmtId="0" fontId="2" fillId="0" borderId="0" xfId="0" applyFont="1" applyFill="1"/>
    <xf numFmtId="0" fontId="5" fillId="0" borderId="0" xfId="1" applyFont="1" applyAlignment="1" applyProtection="1"/>
    <xf numFmtId="0" fontId="2" fillId="0" borderId="0" xfId="0" quotePrefix="1" applyFont="1"/>
    <xf numFmtId="0" fontId="2" fillId="2" borderId="0" xfId="0" applyFont="1" applyFill="1"/>
    <xf numFmtId="3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3" fontId="0" fillId="3" borderId="0" xfId="0" applyNumberFormat="1" applyFill="1"/>
    <xf numFmtId="165" fontId="0" fillId="3" borderId="0" xfId="0" applyNumberFormat="1" applyFill="1"/>
    <xf numFmtId="9" fontId="0" fillId="2" borderId="0" xfId="0" applyNumberFormat="1" applyFill="1"/>
    <xf numFmtId="0" fontId="2" fillId="3" borderId="0" xfId="0" applyFont="1" applyFill="1"/>
    <xf numFmtId="0" fontId="1" fillId="0" borderId="0" xfId="0" applyFont="1" applyFill="1"/>
    <xf numFmtId="0" fontId="0" fillId="2" borderId="0" xfId="0" applyNumberFormat="1" applyFill="1"/>
    <xf numFmtId="0" fontId="2" fillId="0" borderId="0" xfId="0" applyFont="1" applyFill="1" applyAlignment="1">
      <alignment horizontal="right"/>
    </xf>
    <xf numFmtId="0" fontId="0" fillId="0" borderId="0" xfId="0" quotePrefix="1" applyFill="1" applyAlignment="1">
      <alignment horizontal="right"/>
    </xf>
    <xf numFmtId="0" fontId="0" fillId="0" borderId="0" xfId="0" applyFill="1" applyAlignment="1">
      <alignment horizontal="right"/>
    </xf>
    <xf numFmtId="9" fontId="0" fillId="0" borderId="0" xfId="0" applyNumberFormat="1" applyFill="1"/>
    <xf numFmtId="1" fontId="0" fillId="3" borderId="0" xfId="0" applyNumberFormat="1" applyFill="1"/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5" fontId="0" fillId="3" borderId="1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7" fontId="2" fillId="0" borderId="0" xfId="0" quotePrefix="1" applyNumberFormat="1" applyFont="1"/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quotePrefix="1" applyFill="1" applyAlignment="1">
      <alignment horizontal="left"/>
    </xf>
    <xf numFmtId="0" fontId="4" fillId="0" borderId="0" xfId="0" applyFont="1" applyFill="1"/>
    <xf numFmtId="0" fontId="0" fillId="0" borderId="0" xfId="0" quotePrefix="1" applyFill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2" fillId="0" borderId="0" xfId="0" quotePrefix="1" applyFont="1" applyAlignment="1">
      <alignment horizontal="left"/>
    </xf>
    <xf numFmtId="0" fontId="0" fillId="3" borderId="0" xfId="0" applyNumberFormat="1" applyFill="1"/>
    <xf numFmtId="0" fontId="2" fillId="0" borderId="12" xfId="0" applyFont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 vertical="center"/>
    </xf>
    <xf numFmtId="165" fontId="0" fillId="0" borderId="6" xfId="0" applyNumberFormat="1" applyFill="1" applyBorder="1" applyAlignment="1">
      <alignment horizontal="center" vertical="center"/>
    </xf>
    <xf numFmtId="165" fontId="0" fillId="0" borderId="8" xfId="0" applyNumberForma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vertical="top" wrapText="1" indent="1"/>
    </xf>
    <xf numFmtId="0" fontId="6" fillId="0" borderId="0" xfId="0" applyFont="1" applyFill="1" applyBorder="1" applyAlignment="1">
      <alignment vertical="top" wrapText="1" indent="1"/>
    </xf>
    <xf numFmtId="0" fontId="7" fillId="0" borderId="0" xfId="0" applyFont="1" applyFill="1" applyBorder="1" applyAlignment="1">
      <alignment vertical="top" wrapText="1" indent="1"/>
    </xf>
    <xf numFmtId="3" fontId="6" fillId="0" borderId="0" xfId="0" applyNumberFormat="1" applyFont="1" applyFill="1" applyBorder="1" applyAlignment="1">
      <alignment vertical="top" wrapText="1" indent="1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  <color rgb="FFC4CFD6"/>
      <color rgb="FFCCC0DA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90098998039771"/>
          <c:y val="2.6016449174081708E-2"/>
          <c:w val="0.85551346037252252"/>
          <c:h val="0.89787138646333564"/>
        </c:manualLayout>
      </c:layout>
      <c:barChart>
        <c:barDir val="col"/>
        <c:grouping val="clustered"/>
        <c:ser>
          <c:idx val="0"/>
          <c:order val="0"/>
          <c:tx>
            <c:v>Low Year 1 Cost (per mile)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Summary'!$E$15:$K$15</c:f>
              <c:numCache>
                <c:formatCode>"$"#,##0</c:formatCode>
                <c:ptCount val="7"/>
                <c:pt idx="0">
                  <c:v>2000</c:v>
                </c:pt>
                <c:pt idx="1">
                  <c:v>900</c:v>
                </c:pt>
                <c:pt idx="2">
                  <c:v>29000</c:v>
                </c:pt>
                <c:pt idx="3">
                  <c:v>5000</c:v>
                </c:pt>
                <c:pt idx="4">
                  <c:v>21000</c:v>
                </c:pt>
                <c:pt idx="5">
                  <c:v>17000</c:v>
                </c:pt>
                <c:pt idx="6">
                  <c:v>12000</c:v>
                </c:pt>
              </c:numCache>
            </c:numRef>
          </c:val>
        </c:ser>
        <c:ser>
          <c:idx val="1"/>
          <c:order val="1"/>
          <c:tx>
            <c:v>High Year 1 Cost (per mile)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Summary'!$E$16:$K$16</c:f>
              <c:numCache>
                <c:formatCode>"$"#,##0</c:formatCode>
                <c:ptCount val="7"/>
                <c:pt idx="0">
                  <c:v>6000</c:v>
                </c:pt>
                <c:pt idx="1">
                  <c:v>1000</c:v>
                </c:pt>
                <c:pt idx="2">
                  <c:v>49000</c:v>
                </c:pt>
                <c:pt idx="3">
                  <c:v>15000</c:v>
                </c:pt>
                <c:pt idx="4">
                  <c:v>51000</c:v>
                </c:pt>
                <c:pt idx="5">
                  <c:v>38000</c:v>
                </c:pt>
                <c:pt idx="6">
                  <c:v>28000</c:v>
                </c:pt>
              </c:numCache>
            </c:numRef>
          </c:val>
        </c:ser>
        <c:ser>
          <c:idx val="2"/>
          <c:order val="2"/>
          <c:tx>
            <c:v>Low 5-Year Cost (per mile)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Summary'!$E$21:$K$21</c:f>
              <c:numCache>
                <c:formatCode>"$"#,##0</c:formatCode>
                <c:ptCount val="7"/>
                <c:pt idx="0">
                  <c:v>5000</c:v>
                </c:pt>
                <c:pt idx="1">
                  <c:v>3700</c:v>
                </c:pt>
                <c:pt idx="2">
                  <c:v>31000</c:v>
                </c:pt>
                <c:pt idx="3">
                  <c:v>9000</c:v>
                </c:pt>
                <c:pt idx="4">
                  <c:v>29000</c:v>
                </c:pt>
                <c:pt idx="5">
                  <c:v>20000</c:v>
                </c:pt>
                <c:pt idx="6">
                  <c:v>29000</c:v>
                </c:pt>
              </c:numCache>
            </c:numRef>
          </c:val>
        </c:ser>
        <c:ser>
          <c:idx val="3"/>
          <c:order val="3"/>
          <c:tx>
            <c:v>High 5-year Cost (per mile)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Summary'!$E$22:$K$22</c:f>
              <c:numCache>
                <c:formatCode>"$"#,##0</c:formatCode>
                <c:ptCount val="7"/>
                <c:pt idx="0">
                  <c:v>14000</c:v>
                </c:pt>
                <c:pt idx="1">
                  <c:v>4200</c:v>
                </c:pt>
                <c:pt idx="2">
                  <c:v>53000</c:v>
                </c:pt>
                <c:pt idx="3">
                  <c:v>26000</c:v>
                </c:pt>
                <c:pt idx="4">
                  <c:v>103000</c:v>
                </c:pt>
                <c:pt idx="5">
                  <c:v>47000</c:v>
                </c:pt>
                <c:pt idx="6">
                  <c:v>65000</c:v>
                </c:pt>
              </c:numCache>
            </c:numRef>
          </c:val>
        </c:ser>
        <c:ser>
          <c:idx val="4"/>
          <c:order val="4"/>
          <c:tx>
            <c:v>Low 10-Year Cost (per mile)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Summary'!$E$27:$K$27</c:f>
              <c:numCache>
                <c:formatCode>"$"#,##0</c:formatCode>
                <c:ptCount val="7"/>
                <c:pt idx="0">
                  <c:v>9000</c:v>
                </c:pt>
                <c:pt idx="1">
                  <c:v>7200</c:v>
                </c:pt>
                <c:pt idx="2">
                  <c:v>33000</c:v>
                </c:pt>
                <c:pt idx="3">
                  <c:v>13000</c:v>
                </c:pt>
                <c:pt idx="4">
                  <c:v>48000</c:v>
                </c:pt>
                <c:pt idx="5">
                  <c:v>36000</c:v>
                </c:pt>
                <c:pt idx="6">
                  <c:v>47000</c:v>
                </c:pt>
              </c:numCache>
            </c:numRef>
          </c:val>
        </c:ser>
        <c:ser>
          <c:idx val="5"/>
          <c:order val="5"/>
          <c:tx>
            <c:v>High 10-Year Cost (per mile)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Summary'!$E$28:$K$28</c:f>
              <c:numCache>
                <c:formatCode>"$"#,##0</c:formatCode>
                <c:ptCount val="7"/>
                <c:pt idx="0">
                  <c:v>22000</c:v>
                </c:pt>
                <c:pt idx="1">
                  <c:v>8200</c:v>
                </c:pt>
                <c:pt idx="2">
                  <c:v>58000</c:v>
                </c:pt>
                <c:pt idx="3">
                  <c:v>38000</c:v>
                </c:pt>
                <c:pt idx="4">
                  <c:v>146000</c:v>
                </c:pt>
                <c:pt idx="5">
                  <c:v>84000</c:v>
                </c:pt>
                <c:pt idx="6">
                  <c:v>102000</c:v>
                </c:pt>
              </c:numCache>
            </c:numRef>
          </c:val>
        </c:ser>
        <c:axId val="81180160"/>
        <c:axId val="81181696"/>
      </c:barChart>
      <c:catAx>
        <c:axId val="81180160"/>
        <c:scaling>
          <c:orientation val="minMax"/>
        </c:scaling>
        <c:axPos val="b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81181696"/>
        <c:crosses val="autoZero"/>
        <c:auto val="1"/>
        <c:lblAlgn val="ctr"/>
        <c:lblOffset val="100"/>
      </c:catAx>
      <c:valAx>
        <c:axId val="811816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Estimated Cost (Current Dollars)</a:t>
                </a:r>
              </a:p>
            </c:rich>
          </c:tx>
          <c:layout>
            <c:manualLayout>
              <c:xMode val="edge"/>
              <c:yMode val="edge"/>
              <c:x val="9.5573986825019698E-3"/>
              <c:y val="0.32764364758459247"/>
            </c:manualLayout>
          </c:layout>
        </c:title>
        <c:numFmt formatCode="&quot;$&quot;#,##0" sourceLinked="1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81180160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5"/>
        <c:txPr>
          <a:bodyPr/>
          <a:lstStyle/>
          <a:p>
            <a:pPr>
              <a:defRPr sz="1200"/>
            </a:pPr>
            <a:endParaRPr lang="en-US"/>
          </a:p>
        </c:txPr>
      </c:legendEntry>
      <c:layout>
        <c:manualLayout>
          <c:xMode val="edge"/>
          <c:yMode val="edge"/>
          <c:x val="0.12868058504562047"/>
          <c:y val="4.7161617978772073E-2"/>
          <c:w val="0.47307000774536634"/>
          <c:h val="0.30579374414753513"/>
        </c:manualLayout>
      </c:layout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123610979930459"/>
          <c:y val="4.0973385915293474E-2"/>
          <c:w val="0.87114539380188039"/>
          <c:h val="0.88910079942297249"/>
        </c:manualLayout>
      </c:layout>
      <c:barChart>
        <c:barDir val="col"/>
        <c:grouping val="clustered"/>
        <c:ser>
          <c:idx val="0"/>
          <c:order val="0"/>
          <c:tx>
            <c:v>Low Year 1 Cost (for segment length)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Summary'!$E$18:$K$18</c:f>
              <c:numCache>
                <c:formatCode>"$"#,##0</c:formatCode>
                <c:ptCount val="7"/>
                <c:pt idx="0">
                  <c:v>46000</c:v>
                </c:pt>
                <c:pt idx="1">
                  <c:v>17000</c:v>
                </c:pt>
                <c:pt idx="2">
                  <c:v>588000</c:v>
                </c:pt>
                <c:pt idx="3">
                  <c:v>98000</c:v>
                </c:pt>
                <c:pt idx="4">
                  <c:v>419000</c:v>
                </c:pt>
                <c:pt idx="5">
                  <c:v>342000</c:v>
                </c:pt>
                <c:pt idx="6">
                  <c:v>239000</c:v>
                </c:pt>
              </c:numCache>
            </c:numRef>
          </c:val>
        </c:ser>
        <c:ser>
          <c:idx val="1"/>
          <c:order val="1"/>
          <c:tx>
            <c:v>High Year 1 Cost (for  segment length)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Summary'!$E$19:$K$19</c:f>
              <c:numCache>
                <c:formatCode>"$"#,##0</c:formatCode>
                <c:ptCount val="7"/>
                <c:pt idx="0">
                  <c:v>126000</c:v>
                </c:pt>
                <c:pt idx="1">
                  <c:v>20000</c:v>
                </c:pt>
                <c:pt idx="2">
                  <c:v>979000</c:v>
                </c:pt>
                <c:pt idx="3">
                  <c:v>297000</c:v>
                </c:pt>
                <c:pt idx="4">
                  <c:v>1026000</c:v>
                </c:pt>
                <c:pt idx="5">
                  <c:v>754000</c:v>
                </c:pt>
                <c:pt idx="6">
                  <c:v>566000</c:v>
                </c:pt>
              </c:numCache>
            </c:numRef>
          </c:val>
        </c:ser>
        <c:ser>
          <c:idx val="2"/>
          <c:order val="2"/>
          <c:tx>
            <c:v>Low 5-Year Cost (for segment length)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Summary'!$E$24:$K$24</c:f>
              <c:numCache>
                <c:formatCode>"$"#,##0</c:formatCode>
                <c:ptCount val="7"/>
                <c:pt idx="0">
                  <c:v>106000</c:v>
                </c:pt>
                <c:pt idx="1">
                  <c:v>73000</c:v>
                </c:pt>
                <c:pt idx="2">
                  <c:v>620000</c:v>
                </c:pt>
                <c:pt idx="3">
                  <c:v>179000</c:v>
                </c:pt>
                <c:pt idx="4">
                  <c:v>586000</c:v>
                </c:pt>
                <c:pt idx="5">
                  <c:v>410000</c:v>
                </c:pt>
                <c:pt idx="6">
                  <c:v>583000</c:v>
                </c:pt>
              </c:numCache>
            </c:numRef>
          </c:val>
        </c:ser>
        <c:ser>
          <c:idx val="3"/>
          <c:order val="3"/>
          <c:tx>
            <c:v>High 5-Year Cost (for segment length)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Summary'!$E$25:$K$25</c:f>
              <c:numCache>
                <c:formatCode>"$"#,##0</c:formatCode>
                <c:ptCount val="7"/>
                <c:pt idx="0">
                  <c:v>281000</c:v>
                </c:pt>
                <c:pt idx="1">
                  <c:v>84000</c:v>
                </c:pt>
                <c:pt idx="2">
                  <c:v>1059000</c:v>
                </c:pt>
                <c:pt idx="3">
                  <c:v>526000</c:v>
                </c:pt>
                <c:pt idx="4">
                  <c:v>2055000</c:v>
                </c:pt>
                <c:pt idx="5">
                  <c:v>931000</c:v>
                </c:pt>
                <c:pt idx="6">
                  <c:v>1292000</c:v>
                </c:pt>
              </c:numCache>
            </c:numRef>
          </c:val>
        </c:ser>
        <c:ser>
          <c:idx val="4"/>
          <c:order val="4"/>
          <c:tx>
            <c:v>Low 10-Year Cost (for segment length)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Summary'!$E$30:$K$30</c:f>
              <c:numCache>
                <c:formatCode>"$"#,##0</c:formatCode>
                <c:ptCount val="7"/>
                <c:pt idx="0">
                  <c:v>171000</c:v>
                </c:pt>
                <c:pt idx="1">
                  <c:v>143000</c:v>
                </c:pt>
                <c:pt idx="2">
                  <c:v>660000</c:v>
                </c:pt>
                <c:pt idx="3">
                  <c:v>266000</c:v>
                </c:pt>
                <c:pt idx="4">
                  <c:v>954000</c:v>
                </c:pt>
                <c:pt idx="5">
                  <c:v>729000</c:v>
                </c:pt>
                <c:pt idx="6">
                  <c:v>931000</c:v>
                </c:pt>
              </c:numCache>
            </c:numRef>
          </c:val>
        </c:ser>
        <c:ser>
          <c:idx val="5"/>
          <c:order val="5"/>
          <c:tx>
            <c:v>High 10-Year Cost (for segment length)</c:v>
          </c:tx>
          <c:cat>
            <c:strRef>
              <c:f>'3. Summary'!$E$2:$K$2</c:f>
              <c:strCache>
                <c:ptCount val="7"/>
                <c:pt idx="0">
                  <c:v>Bluetooth</c:v>
                </c:pt>
                <c:pt idx="1">
                  <c:v>Private Sector</c:v>
                </c:pt>
                <c:pt idx="2">
                  <c:v>Toll Tags</c:v>
                </c:pt>
                <c:pt idx="3">
                  <c:v>Radar</c:v>
                </c:pt>
                <c:pt idx="4">
                  <c:v>Dual Loops</c:v>
                </c:pt>
                <c:pt idx="5">
                  <c:v>Magnetometer</c:v>
                </c:pt>
                <c:pt idx="6">
                  <c:v>Video</c:v>
                </c:pt>
              </c:strCache>
            </c:strRef>
          </c:cat>
          <c:val>
            <c:numRef>
              <c:f>'3. Summary'!$E$31:$K$31</c:f>
              <c:numCache>
                <c:formatCode>"$"#,##0</c:formatCode>
                <c:ptCount val="7"/>
                <c:pt idx="0">
                  <c:v>449000</c:v>
                </c:pt>
                <c:pt idx="1">
                  <c:v>164000</c:v>
                </c:pt>
                <c:pt idx="2">
                  <c:v>1159000</c:v>
                </c:pt>
                <c:pt idx="3">
                  <c:v>768000</c:v>
                </c:pt>
                <c:pt idx="4">
                  <c:v>2921000</c:v>
                </c:pt>
                <c:pt idx="5">
                  <c:v>1677000</c:v>
                </c:pt>
                <c:pt idx="6">
                  <c:v>2031000</c:v>
                </c:pt>
              </c:numCache>
            </c:numRef>
          </c:val>
        </c:ser>
        <c:axId val="80856576"/>
        <c:axId val="80858112"/>
      </c:barChart>
      <c:catAx>
        <c:axId val="80856576"/>
        <c:scaling>
          <c:orientation val="minMax"/>
        </c:scaling>
        <c:axPos val="b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80858112"/>
        <c:crosses val="autoZero"/>
        <c:auto val="1"/>
        <c:lblAlgn val="ctr"/>
        <c:lblOffset val="100"/>
      </c:catAx>
      <c:valAx>
        <c:axId val="808581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Estimated</a:t>
                </a:r>
                <a:r>
                  <a:rPr lang="en-US" sz="1400" baseline="0"/>
                  <a:t> C</a:t>
                </a:r>
                <a:r>
                  <a:rPr lang="en-US" sz="1400"/>
                  <a:t>ost (Current Dollars)</a:t>
                </a:r>
              </a:p>
            </c:rich>
          </c:tx>
          <c:layout>
            <c:manualLayout>
              <c:xMode val="edge"/>
              <c:yMode val="edge"/>
              <c:x val="5.2909611283049381E-3"/>
              <c:y val="0.32497280167129289"/>
            </c:manualLayout>
          </c:layout>
        </c:title>
        <c:numFmt formatCode="&quot;$&quot;#,##0" sourceLinked="1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80856576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5"/>
        <c:txPr>
          <a:bodyPr/>
          <a:lstStyle/>
          <a:p>
            <a:pPr>
              <a:defRPr sz="1200"/>
            </a:pPr>
            <a:endParaRPr lang="en-US"/>
          </a:p>
        </c:txPr>
      </c:legendEntry>
      <c:layout>
        <c:manualLayout>
          <c:xMode val="edge"/>
          <c:yMode val="edge"/>
          <c:x val="0.10909048975656063"/>
          <c:y val="3.8507522141519826E-2"/>
          <c:w val="0.60666180505066269"/>
          <c:h val="0.24395161397405427"/>
        </c:manualLayout>
      </c:layout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37</xdr:row>
      <xdr:rowOff>66676</xdr:rowOff>
    </xdr:from>
    <xdr:to>
      <xdr:col>11</xdr:col>
      <xdr:colOff>409575</xdr:colOff>
      <xdr:row>66</xdr:row>
      <xdr:rowOff>180976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37</xdr:row>
      <xdr:rowOff>66675</xdr:rowOff>
    </xdr:from>
    <xdr:to>
      <xdr:col>27</xdr:col>
      <xdr:colOff>28575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ll-eisele@tamu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zoomScaleNormal="100" workbookViewId="0"/>
  </sheetViews>
  <sheetFormatPr defaultRowHeight="15"/>
  <sheetData>
    <row r="1" spans="1:6">
      <c r="A1" s="3" t="s">
        <v>259</v>
      </c>
    </row>
    <row r="2" spans="1:6">
      <c r="A2" s="3" t="s">
        <v>222</v>
      </c>
    </row>
    <row r="3" spans="1:6">
      <c r="A3" s="3" t="s">
        <v>228</v>
      </c>
    </row>
    <row r="4" spans="1:6">
      <c r="A4" s="3"/>
    </row>
    <row r="5" spans="1:6">
      <c r="A5" s="3" t="s">
        <v>229</v>
      </c>
    </row>
    <row r="6" spans="1:6">
      <c r="A6" s="3"/>
    </row>
    <row r="7" spans="1:6">
      <c r="A7" s="20" t="s">
        <v>260</v>
      </c>
    </row>
    <row r="8" spans="1:6">
      <c r="A8" s="20" t="s">
        <v>62</v>
      </c>
    </row>
    <row r="9" spans="1:6">
      <c r="A9" s="20" t="s">
        <v>223</v>
      </c>
    </row>
    <row r="10" spans="1:6">
      <c r="A10" s="20" t="s">
        <v>63</v>
      </c>
    </row>
    <row r="11" spans="1:6">
      <c r="A11" s="20" t="s">
        <v>64</v>
      </c>
    </row>
    <row r="12" spans="1:6">
      <c r="A12" s="20" t="s">
        <v>65</v>
      </c>
    </row>
    <row r="13" spans="1:6">
      <c r="A13" s="20" t="s">
        <v>224</v>
      </c>
    </row>
    <row r="14" spans="1:6">
      <c r="A14" s="20" t="s">
        <v>66</v>
      </c>
    </row>
    <row r="15" spans="1:6">
      <c r="A15" s="20"/>
      <c r="B15" s="3"/>
      <c r="C15" s="3"/>
      <c r="D15" s="3"/>
      <c r="E15" s="3"/>
      <c r="F15" s="3"/>
    </row>
    <row r="16" spans="1:6">
      <c r="A16" s="20" t="s">
        <v>250</v>
      </c>
      <c r="B16" s="3"/>
      <c r="C16" s="3"/>
      <c r="D16" s="3"/>
      <c r="E16" s="3"/>
      <c r="F16" s="3"/>
    </row>
    <row r="17" spans="1:6">
      <c r="A17" s="20" t="s">
        <v>225</v>
      </c>
      <c r="B17" s="3"/>
      <c r="C17" s="3"/>
      <c r="D17" s="3"/>
      <c r="E17" s="3"/>
      <c r="F17" s="3"/>
    </row>
    <row r="18" spans="1:6">
      <c r="A18" s="20" t="s">
        <v>226</v>
      </c>
      <c r="B18" s="3"/>
      <c r="C18" s="3"/>
      <c r="D18" s="3"/>
      <c r="E18" s="3"/>
      <c r="F18" s="3"/>
    </row>
    <row r="19" spans="1:6">
      <c r="A19" s="23"/>
      <c r="B19" s="22" t="s">
        <v>67</v>
      </c>
      <c r="C19" s="3"/>
      <c r="D19" s="3"/>
      <c r="E19" s="3"/>
      <c r="F19" s="3"/>
    </row>
    <row r="20" spans="1:6">
      <c r="A20" s="30"/>
      <c r="B20" s="22" t="s">
        <v>70</v>
      </c>
      <c r="C20" s="3"/>
      <c r="D20" s="3"/>
      <c r="E20" s="3"/>
      <c r="F20" s="3"/>
    </row>
    <row r="21" spans="1:6">
      <c r="A21" s="20"/>
    </row>
    <row r="22" spans="1:6">
      <c r="A22" s="20" t="s">
        <v>227</v>
      </c>
    </row>
    <row r="23" spans="1:6">
      <c r="A23" s="20" t="s">
        <v>68</v>
      </c>
    </row>
    <row r="24" spans="1:6">
      <c r="A24" s="20"/>
    </row>
    <row r="25" spans="1:6">
      <c r="A25" s="3" t="s">
        <v>12</v>
      </c>
    </row>
    <row r="26" spans="1:6">
      <c r="A26" s="3" t="s">
        <v>69</v>
      </c>
    </row>
    <row r="27" spans="1:6">
      <c r="A27" s="3" t="s">
        <v>13</v>
      </c>
    </row>
    <row r="28" spans="1:6">
      <c r="A28" s="21" t="s">
        <v>14</v>
      </c>
    </row>
    <row r="29" spans="1:6">
      <c r="A29" s="56" t="s">
        <v>267</v>
      </c>
    </row>
    <row r="31" spans="1:6">
      <c r="A31" s="3" t="s">
        <v>291</v>
      </c>
    </row>
    <row r="32" spans="1:6">
      <c r="A32" s="3" t="s">
        <v>292</v>
      </c>
    </row>
    <row r="33" spans="1:1">
      <c r="A33" s="3" t="s">
        <v>293</v>
      </c>
    </row>
    <row r="34" spans="1:1">
      <c r="A34" s="3" t="s">
        <v>294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2"/>
  <sheetViews>
    <sheetView zoomScale="85" zoomScaleNormal="85" workbookViewId="0"/>
  </sheetViews>
  <sheetFormatPr defaultRowHeight="15"/>
  <cols>
    <col min="1" max="1" width="49.85546875" bestFit="1" customWidth="1"/>
    <col min="2" max="2" width="9" customWidth="1"/>
  </cols>
  <sheetData>
    <row r="1" spans="1:4">
      <c r="A1" s="1" t="s">
        <v>16</v>
      </c>
    </row>
    <row r="2" spans="1:4">
      <c r="A2" s="1"/>
    </row>
    <row r="3" spans="1:4">
      <c r="A3" s="14" t="s">
        <v>58</v>
      </c>
      <c r="D3" s="14" t="s">
        <v>109</v>
      </c>
    </row>
    <row r="4" spans="1:4">
      <c r="A4" s="8" t="s">
        <v>2</v>
      </c>
      <c r="B4" s="9"/>
    </row>
    <row r="5" spans="1:4">
      <c r="A5" s="6" t="s">
        <v>118</v>
      </c>
      <c r="B5" s="24">
        <v>20</v>
      </c>
      <c r="D5" t="s">
        <v>15</v>
      </c>
    </row>
    <row r="6" spans="1:4">
      <c r="A6" s="8" t="s">
        <v>4</v>
      </c>
      <c r="B6" s="9"/>
    </row>
    <row r="7" spans="1:4">
      <c r="A7" s="6" t="s">
        <v>6</v>
      </c>
      <c r="B7" s="25">
        <v>1</v>
      </c>
      <c r="D7" t="s">
        <v>18</v>
      </c>
    </row>
    <row r="8" spans="1:4">
      <c r="A8" s="10" t="s">
        <v>7</v>
      </c>
      <c r="B8" s="25">
        <v>2</v>
      </c>
      <c r="D8" t="s">
        <v>128</v>
      </c>
    </row>
    <row r="9" spans="1:4">
      <c r="A9" s="6"/>
      <c r="B9" s="12"/>
    </row>
    <row r="10" spans="1:4">
      <c r="A10" s="8" t="s">
        <v>5</v>
      </c>
      <c r="B10" s="12"/>
    </row>
    <row r="11" spans="1:4">
      <c r="A11" s="6" t="s">
        <v>6</v>
      </c>
      <c r="B11" s="27">
        <f>(B5/B8)+1</f>
        <v>11</v>
      </c>
      <c r="D11" t="s">
        <v>59</v>
      </c>
    </row>
    <row r="12" spans="1:4">
      <c r="A12" s="6" t="s">
        <v>7</v>
      </c>
      <c r="B12" s="27">
        <f>(B5/B7)+1</f>
        <v>21</v>
      </c>
      <c r="D12" t="s">
        <v>192</v>
      </c>
    </row>
    <row r="13" spans="1:4">
      <c r="A13" s="14" t="s">
        <v>57</v>
      </c>
      <c r="B13" s="9"/>
      <c r="D13" s="3"/>
    </row>
    <row r="14" spans="1:4">
      <c r="A14" s="14" t="s">
        <v>107</v>
      </c>
      <c r="B14" s="9"/>
      <c r="D14" s="3"/>
    </row>
    <row r="15" spans="1:4">
      <c r="A15" s="3" t="s">
        <v>106</v>
      </c>
      <c r="B15" s="9"/>
      <c r="D15" s="14"/>
    </row>
    <row r="16" spans="1:4">
      <c r="A16" s="6" t="s">
        <v>6</v>
      </c>
      <c r="B16" s="26">
        <v>3500</v>
      </c>
      <c r="D16" t="s">
        <v>136</v>
      </c>
    </row>
    <row r="17" spans="1:4">
      <c r="A17" s="10" t="s">
        <v>7</v>
      </c>
      <c r="B17" s="26">
        <v>5000</v>
      </c>
      <c r="D17" t="s">
        <v>136</v>
      </c>
    </row>
    <row r="18" spans="1:4">
      <c r="A18" s="10"/>
      <c r="B18" s="17"/>
    </row>
    <row r="19" spans="1:4">
      <c r="A19" s="8" t="s">
        <v>89</v>
      </c>
      <c r="B19" s="17"/>
    </row>
    <row r="20" spans="1:4">
      <c r="A20" s="6" t="s">
        <v>6</v>
      </c>
      <c r="B20" s="26">
        <v>200</v>
      </c>
      <c r="D20" t="s">
        <v>269</v>
      </c>
    </row>
    <row r="21" spans="1:4">
      <c r="A21" s="10" t="s">
        <v>7</v>
      </c>
      <c r="B21" s="26">
        <v>400</v>
      </c>
      <c r="D21" t="s">
        <v>270</v>
      </c>
    </row>
    <row r="22" spans="1:4">
      <c r="A22" s="10"/>
      <c r="B22" s="17"/>
    </row>
    <row r="23" spans="1:4">
      <c r="A23" s="8" t="s">
        <v>92</v>
      </c>
      <c r="B23" s="18"/>
      <c r="D23" s="3" t="s">
        <v>17</v>
      </c>
    </row>
    <row r="24" spans="1:4">
      <c r="A24" s="6" t="s">
        <v>6</v>
      </c>
      <c r="B24" s="26">
        <v>0</v>
      </c>
      <c r="D24" t="s">
        <v>271</v>
      </c>
    </row>
    <row r="25" spans="1:4">
      <c r="A25" s="10" t="s">
        <v>7</v>
      </c>
      <c r="B25" s="26">
        <v>0</v>
      </c>
      <c r="D25" t="s">
        <v>272</v>
      </c>
    </row>
    <row r="26" spans="1:4">
      <c r="A26" s="10"/>
      <c r="B26" s="17"/>
    </row>
    <row r="27" spans="1:4">
      <c r="A27" s="15" t="s">
        <v>108</v>
      </c>
      <c r="B27" s="17"/>
    </row>
    <row r="28" spans="1:4">
      <c r="A28" s="7" t="s">
        <v>9</v>
      </c>
      <c r="B28" s="28">
        <f>B16+B20+B24</f>
        <v>3700</v>
      </c>
      <c r="D28" s="2"/>
    </row>
    <row r="29" spans="1:4">
      <c r="A29" s="7" t="s">
        <v>8</v>
      </c>
      <c r="B29" s="28">
        <f>B17+B21+B25</f>
        <v>5400</v>
      </c>
      <c r="D29" s="2"/>
    </row>
    <row r="30" spans="1:4">
      <c r="A30" s="10"/>
      <c r="B30" s="17"/>
    </row>
    <row r="31" spans="1:4">
      <c r="A31" s="7" t="s">
        <v>10</v>
      </c>
      <c r="B31" s="28">
        <f>(B28*B11)/B5</f>
        <v>2035</v>
      </c>
    </row>
    <row r="32" spans="1:4">
      <c r="A32" s="7" t="s">
        <v>11</v>
      </c>
      <c r="B32" s="28">
        <f>(B29*B12)/B5</f>
        <v>5670</v>
      </c>
    </row>
    <row r="33" spans="1:4">
      <c r="A33" s="6"/>
      <c r="B33" s="17"/>
    </row>
    <row r="34" spans="1:4">
      <c r="A34" s="7" t="s">
        <v>61</v>
      </c>
      <c r="B34" s="28">
        <f>B31*B5</f>
        <v>40700</v>
      </c>
    </row>
    <row r="35" spans="1:4">
      <c r="A35" s="7" t="s">
        <v>60</v>
      </c>
      <c r="B35" s="28">
        <f>B32*B5</f>
        <v>113400</v>
      </c>
    </row>
    <row r="36" spans="1:4">
      <c r="A36" s="10"/>
      <c r="B36" s="17"/>
    </row>
    <row r="37" spans="1:4">
      <c r="A37" s="15" t="s">
        <v>110</v>
      </c>
      <c r="B37" s="17"/>
    </row>
    <row r="38" spans="1:4">
      <c r="A38" s="13" t="s">
        <v>90</v>
      </c>
      <c r="B38" s="17"/>
    </row>
    <row r="39" spans="1:4">
      <c r="A39" s="6" t="s">
        <v>6</v>
      </c>
      <c r="B39" s="26">
        <v>480</v>
      </c>
      <c r="D39" t="s">
        <v>112</v>
      </c>
    </row>
    <row r="40" spans="1:4">
      <c r="A40" s="10" t="s">
        <v>7</v>
      </c>
      <c r="B40" s="26">
        <v>600</v>
      </c>
      <c r="D40" t="s">
        <v>139</v>
      </c>
    </row>
    <row r="41" spans="1:4">
      <c r="A41" s="10"/>
      <c r="B41" s="17"/>
    </row>
    <row r="42" spans="1:4">
      <c r="A42" s="13" t="s">
        <v>91</v>
      </c>
      <c r="B42" s="17"/>
    </row>
    <row r="43" spans="1:4">
      <c r="A43" s="6" t="s">
        <v>6</v>
      </c>
      <c r="B43" s="26">
        <v>0</v>
      </c>
      <c r="D43" t="s">
        <v>111</v>
      </c>
    </row>
    <row r="44" spans="1:4">
      <c r="A44" s="10" t="s">
        <v>7</v>
      </c>
      <c r="B44" s="26">
        <v>0</v>
      </c>
      <c r="D44" t="s">
        <v>111</v>
      </c>
    </row>
    <row r="45" spans="1:4">
      <c r="A45" s="10"/>
      <c r="B45" s="17"/>
    </row>
    <row r="46" spans="1:4">
      <c r="A46" s="20" t="s">
        <v>101</v>
      </c>
      <c r="B46" s="18"/>
    </row>
    <row r="47" spans="1:4">
      <c r="A47" s="6" t="s">
        <v>6</v>
      </c>
      <c r="B47" s="26">
        <v>0</v>
      </c>
      <c r="D47" t="s">
        <v>273</v>
      </c>
    </row>
    <row r="48" spans="1:4">
      <c r="A48" s="10" t="s">
        <v>7</v>
      </c>
      <c r="B48" s="26">
        <v>0</v>
      </c>
      <c r="D48" t="s">
        <v>274</v>
      </c>
    </row>
    <row r="49" spans="1:4">
      <c r="A49" s="10"/>
      <c r="B49" s="17"/>
    </row>
    <row r="50" spans="1:4">
      <c r="A50" s="13" t="s">
        <v>93</v>
      </c>
      <c r="B50" s="17"/>
    </row>
    <row r="51" spans="1:4">
      <c r="A51" s="6" t="s">
        <v>6</v>
      </c>
      <c r="B51" s="26">
        <v>0</v>
      </c>
      <c r="D51" t="s">
        <v>116</v>
      </c>
    </row>
    <row r="52" spans="1:4">
      <c r="A52" s="10" t="s">
        <v>7</v>
      </c>
      <c r="B52" s="26">
        <v>0</v>
      </c>
      <c r="D52" t="s">
        <v>117</v>
      </c>
    </row>
    <row r="53" spans="1:4">
      <c r="A53" s="10"/>
      <c r="B53" s="17"/>
    </row>
    <row r="54" spans="1:4">
      <c r="A54" s="15" t="s">
        <v>115</v>
      </c>
      <c r="B54" s="17"/>
    </row>
    <row r="55" spans="1:4">
      <c r="A55" s="7" t="s">
        <v>9</v>
      </c>
      <c r="B55" s="28">
        <f>B39+B43+B47+B51</f>
        <v>480</v>
      </c>
    </row>
    <row r="56" spans="1:4">
      <c r="A56" s="7" t="s">
        <v>8</v>
      </c>
      <c r="B56" s="28">
        <f>B40+B44+B48+B52</f>
        <v>600</v>
      </c>
    </row>
    <row r="57" spans="1:4">
      <c r="A57" s="10"/>
      <c r="B57" s="17"/>
    </row>
    <row r="58" spans="1:4">
      <c r="A58" s="7" t="s">
        <v>10</v>
      </c>
      <c r="B58" s="28">
        <f>(B55*B11)/B5</f>
        <v>264</v>
      </c>
    </row>
    <row r="59" spans="1:4">
      <c r="A59" s="7" t="s">
        <v>11</v>
      </c>
      <c r="B59" s="28">
        <f>(B56*B12)/B5</f>
        <v>630</v>
      </c>
    </row>
    <row r="60" spans="1:4">
      <c r="A60" s="6"/>
      <c r="B60" s="17"/>
    </row>
    <row r="61" spans="1:4">
      <c r="A61" s="7" t="s">
        <v>61</v>
      </c>
      <c r="B61" s="28">
        <f>B58*B5</f>
        <v>5280</v>
      </c>
    </row>
    <row r="62" spans="1:4">
      <c r="A62" s="7" t="s">
        <v>60</v>
      </c>
      <c r="B62" s="28">
        <f>B59*B5</f>
        <v>12600</v>
      </c>
    </row>
    <row r="63" spans="1:4">
      <c r="A63" s="10"/>
      <c r="B63" s="17"/>
    </row>
    <row r="64" spans="1:4">
      <c r="A64" s="15" t="s">
        <v>119</v>
      </c>
      <c r="B64" s="17"/>
    </row>
    <row r="65" spans="1:4">
      <c r="A65" s="8" t="s">
        <v>114</v>
      </c>
      <c r="B65" s="17"/>
    </row>
    <row r="66" spans="1:4">
      <c r="A66" s="15"/>
      <c r="B66" s="70">
        <v>5</v>
      </c>
      <c r="D66" t="s">
        <v>113</v>
      </c>
    </row>
    <row r="67" spans="1:4">
      <c r="A67" s="8" t="s">
        <v>120</v>
      </c>
      <c r="B67" s="17"/>
    </row>
    <row r="68" spans="1:4">
      <c r="A68" s="6" t="s">
        <v>6</v>
      </c>
      <c r="B68" s="26">
        <f>B16</f>
        <v>3500</v>
      </c>
      <c r="D68" t="s">
        <v>134</v>
      </c>
    </row>
    <row r="69" spans="1:4">
      <c r="A69" s="10" t="s">
        <v>7</v>
      </c>
      <c r="B69" s="26">
        <f>B17</f>
        <v>5000</v>
      </c>
      <c r="D69" t="s">
        <v>134</v>
      </c>
    </row>
    <row r="70" spans="1:4">
      <c r="A70" s="10"/>
      <c r="B70" s="17"/>
    </row>
    <row r="71" spans="1:4">
      <c r="A71" s="7" t="s">
        <v>9</v>
      </c>
      <c r="B71" s="28">
        <f>B68</f>
        <v>3500</v>
      </c>
      <c r="D71" t="s">
        <v>121</v>
      </c>
    </row>
    <row r="72" spans="1:4">
      <c r="A72" s="7" t="s">
        <v>8</v>
      </c>
      <c r="B72" s="28">
        <f>B69</f>
        <v>5000</v>
      </c>
      <c r="D72" t="s">
        <v>121</v>
      </c>
    </row>
    <row r="73" spans="1:4">
      <c r="A73" s="10"/>
      <c r="B73" s="17"/>
    </row>
    <row r="74" spans="1:4">
      <c r="A74" s="7" t="s">
        <v>10</v>
      </c>
      <c r="B74" s="28">
        <f>(B71*B11)/B5</f>
        <v>1925</v>
      </c>
      <c r="D74" t="s">
        <v>121</v>
      </c>
    </row>
    <row r="75" spans="1:4">
      <c r="A75" s="7" t="s">
        <v>11</v>
      </c>
      <c r="B75" s="28">
        <f>(B72*B12)/B5</f>
        <v>5250</v>
      </c>
      <c r="D75" t="s">
        <v>121</v>
      </c>
    </row>
    <row r="76" spans="1:4">
      <c r="A76" s="6"/>
      <c r="B76" s="17"/>
    </row>
    <row r="77" spans="1:4">
      <c r="A77" s="7" t="s">
        <v>61</v>
      </c>
      <c r="B77" s="28">
        <f>B74*B5</f>
        <v>38500</v>
      </c>
      <c r="D77" t="s">
        <v>121</v>
      </c>
    </row>
    <row r="78" spans="1:4">
      <c r="A78" s="7" t="s">
        <v>60</v>
      </c>
      <c r="B78" s="28">
        <f>B75*B5</f>
        <v>105000</v>
      </c>
      <c r="D78" t="s">
        <v>121</v>
      </c>
    </row>
    <row r="79" spans="1:4">
      <c r="A79" s="7"/>
      <c r="B79" s="17"/>
    </row>
    <row r="80" spans="1:4">
      <c r="A80" s="15" t="s">
        <v>123</v>
      </c>
      <c r="B80" s="17"/>
    </row>
    <row r="81" spans="1:4">
      <c r="A81" s="62" t="s">
        <v>122</v>
      </c>
      <c r="B81" s="17"/>
    </row>
    <row r="82" spans="1:4">
      <c r="A82" s="33" t="s">
        <v>9</v>
      </c>
      <c r="B82" s="28">
        <f>B28+B55</f>
        <v>4180</v>
      </c>
      <c r="D82" t="s">
        <v>126</v>
      </c>
    </row>
    <row r="83" spans="1:4">
      <c r="A83" s="33" t="s">
        <v>8</v>
      </c>
      <c r="B83" s="28">
        <f>B29+B56</f>
        <v>6000</v>
      </c>
      <c r="D83" t="s">
        <v>126</v>
      </c>
    </row>
    <row r="84" spans="1:4">
      <c r="A84" s="10"/>
      <c r="B84" s="17"/>
      <c r="D84" s="2"/>
    </row>
    <row r="85" spans="1:4">
      <c r="A85" s="64" t="s">
        <v>10</v>
      </c>
      <c r="B85" s="28">
        <f>B31+B58</f>
        <v>2299</v>
      </c>
      <c r="D85" t="s">
        <v>126</v>
      </c>
    </row>
    <row r="86" spans="1:4">
      <c r="A86" s="64" t="s">
        <v>11</v>
      </c>
      <c r="B86" s="28">
        <f>B32+B59</f>
        <v>6300</v>
      </c>
      <c r="D86" t="s">
        <v>126</v>
      </c>
    </row>
    <row r="87" spans="1:4">
      <c r="A87" s="6"/>
      <c r="B87" s="17"/>
    </row>
    <row r="88" spans="1:4">
      <c r="A88" s="64" t="s">
        <v>61</v>
      </c>
      <c r="B88" s="28">
        <f>B34+B61</f>
        <v>45980</v>
      </c>
      <c r="D88" t="s">
        <v>126</v>
      </c>
    </row>
    <row r="89" spans="1:4">
      <c r="A89" s="64" t="s">
        <v>60</v>
      </c>
      <c r="B89" s="28">
        <f>B35+B62</f>
        <v>126000</v>
      </c>
      <c r="D89" t="s">
        <v>126</v>
      </c>
    </row>
    <row r="90" spans="1:4">
      <c r="A90" s="10"/>
      <c r="B90" s="17"/>
    </row>
    <row r="91" spans="1:4">
      <c r="A91" s="62" t="s">
        <v>124</v>
      </c>
      <c r="B91" s="17"/>
    </row>
    <row r="92" spans="1:4">
      <c r="A92" s="64" t="s">
        <v>10</v>
      </c>
      <c r="B92" s="28">
        <f>B95/B5</f>
        <v>5280</v>
      </c>
      <c r="D92" t="s">
        <v>145</v>
      </c>
    </row>
    <row r="93" spans="1:4">
      <c r="A93" s="64" t="s">
        <v>11</v>
      </c>
      <c r="B93" s="28">
        <f>B96/B5</f>
        <v>14070</v>
      </c>
      <c r="D93" t="s">
        <v>145</v>
      </c>
    </row>
    <row r="94" spans="1:4">
      <c r="A94" s="6"/>
      <c r="B94" s="17"/>
    </row>
    <row r="95" spans="1:4">
      <c r="A95" s="64" t="s">
        <v>61</v>
      </c>
      <c r="B95" s="28">
        <f>B34+(5*B61)+B77</f>
        <v>105600</v>
      </c>
      <c r="D95" t="s">
        <v>145</v>
      </c>
    </row>
    <row r="96" spans="1:4">
      <c r="A96" s="64" t="s">
        <v>60</v>
      </c>
      <c r="B96" s="28">
        <f>B35+(5*B62)+B78</f>
        <v>281400</v>
      </c>
      <c r="D96" t="s">
        <v>145</v>
      </c>
    </row>
    <row r="97" spans="1:4">
      <c r="A97" s="7"/>
      <c r="B97" s="17"/>
    </row>
    <row r="98" spans="1:4">
      <c r="A98" s="62" t="s">
        <v>125</v>
      </c>
      <c r="B98" s="17"/>
    </row>
    <row r="99" spans="1:4">
      <c r="A99" s="64" t="s">
        <v>10</v>
      </c>
      <c r="B99" s="28">
        <f>B102/B5</f>
        <v>8525</v>
      </c>
      <c r="D99" t="s">
        <v>147</v>
      </c>
    </row>
    <row r="100" spans="1:4">
      <c r="A100" s="64" t="s">
        <v>11</v>
      </c>
      <c r="B100" s="28">
        <f>B103/B5</f>
        <v>22470</v>
      </c>
      <c r="D100" t="s">
        <v>147</v>
      </c>
    </row>
    <row r="101" spans="1:4">
      <c r="A101" s="6"/>
      <c r="B101" s="17"/>
    </row>
    <row r="102" spans="1:4">
      <c r="A102" s="64" t="s">
        <v>61</v>
      </c>
      <c r="B102" s="28">
        <f>B34+(10*B61)+(2*B77)</f>
        <v>170500</v>
      </c>
      <c r="D102" t="s">
        <v>147</v>
      </c>
    </row>
    <row r="103" spans="1:4">
      <c r="A103" s="64" t="s">
        <v>60</v>
      </c>
      <c r="B103" s="28">
        <f>B35+(10*B62)+(2*B78)</f>
        <v>449400</v>
      </c>
      <c r="D103" t="s">
        <v>147</v>
      </c>
    </row>
    <row r="104" spans="1:4">
      <c r="A104" s="6"/>
      <c r="B104" s="17"/>
    </row>
    <row r="105" spans="1:4">
      <c r="A105" s="60" t="s">
        <v>239</v>
      </c>
      <c r="B105" s="17"/>
    </row>
    <row r="106" spans="1:4">
      <c r="A106" s="61" t="s">
        <v>236</v>
      </c>
      <c r="B106" s="17"/>
    </row>
    <row r="107" spans="1:4">
      <c r="A107" s="61" t="s">
        <v>289</v>
      </c>
      <c r="B107" s="17"/>
      <c r="D107" s="3"/>
    </row>
    <row r="108" spans="1:4">
      <c r="A108" s="61" t="s">
        <v>286</v>
      </c>
      <c r="B108" s="17"/>
      <c r="D108" s="2"/>
    </row>
    <row r="109" spans="1:4">
      <c r="A109" s="61" t="s">
        <v>287</v>
      </c>
      <c r="B109" s="17"/>
      <c r="D109" s="2"/>
    </row>
    <row r="110" spans="1:4">
      <c r="A110" s="59" t="s">
        <v>243</v>
      </c>
    </row>
    <row r="111" spans="1:4">
      <c r="A111" s="59" t="s">
        <v>235</v>
      </c>
      <c r="B111" s="17"/>
      <c r="C111" s="5"/>
      <c r="D111" s="2"/>
    </row>
    <row r="112" spans="1:4">
      <c r="A112" s="59"/>
      <c r="B112" s="17"/>
      <c r="C112" s="5"/>
      <c r="D112" s="2"/>
    </row>
    <row r="113" spans="1:19">
      <c r="A113" s="34"/>
      <c r="B113" s="17"/>
      <c r="C113" s="5"/>
      <c r="D113" s="2"/>
    </row>
    <row r="114" spans="1:19">
      <c r="A114" s="33"/>
      <c r="B114" s="17"/>
      <c r="C114" s="5"/>
      <c r="D114" s="2"/>
    </row>
    <row r="115" spans="1:19">
      <c r="A115" s="33"/>
      <c r="B115" s="17"/>
      <c r="C115" s="5"/>
    </row>
    <row r="116" spans="1:19">
      <c r="A116" s="35"/>
      <c r="B116" s="17"/>
      <c r="C116" s="5"/>
      <c r="D116" s="2"/>
    </row>
    <row r="117" spans="1:19">
      <c r="A117" s="33"/>
      <c r="B117" s="17"/>
      <c r="C117" s="5"/>
    </row>
    <row r="118" spans="1:19">
      <c r="A118" s="33"/>
      <c r="B118" s="17"/>
      <c r="C118" s="5"/>
    </row>
    <row r="119" spans="1:19">
      <c r="A119" s="35"/>
      <c r="B119" s="12"/>
      <c r="C119" s="5"/>
    </row>
    <row r="120" spans="1:19" s="5" customFormat="1">
      <c r="B120" s="12"/>
    </row>
    <row r="121" spans="1:19" s="5" customFormat="1"/>
    <row r="122" spans="1:19"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</sheetData>
  <printOptions headings="1" gridLines="1"/>
  <pageMargins left="0.2" right="0.2" top="0.25" bottom="0.25" header="0.3" footer="0.3"/>
  <pageSetup scale="60" pageOrder="overThenDown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zoomScale="85" zoomScaleNormal="85" workbookViewId="0"/>
  </sheetViews>
  <sheetFormatPr defaultRowHeight="15"/>
  <cols>
    <col min="1" max="1" width="49.85546875" bestFit="1" customWidth="1"/>
    <col min="2" max="2" width="8.7109375" customWidth="1"/>
  </cols>
  <sheetData>
    <row r="1" spans="1:4">
      <c r="A1" s="1" t="s">
        <v>234</v>
      </c>
    </row>
    <row r="2" spans="1:4">
      <c r="A2" s="1"/>
      <c r="B2" s="9"/>
      <c r="D2" s="3"/>
    </row>
    <row r="3" spans="1:4">
      <c r="A3" s="14" t="s">
        <v>58</v>
      </c>
      <c r="D3" s="14" t="s">
        <v>109</v>
      </c>
    </row>
    <row r="4" spans="1:4">
      <c r="A4" s="8" t="s">
        <v>2</v>
      </c>
      <c r="B4" s="9"/>
    </row>
    <row r="5" spans="1:4">
      <c r="A5" s="6" t="s">
        <v>3</v>
      </c>
      <c r="B5" s="24">
        <v>20</v>
      </c>
      <c r="D5" t="s">
        <v>15</v>
      </c>
    </row>
    <row r="6" spans="1:4">
      <c r="A6" s="6"/>
      <c r="B6" s="12"/>
    </row>
    <row r="7" spans="1:4">
      <c r="A7" s="14" t="s">
        <v>57</v>
      </c>
      <c r="B7" s="9"/>
      <c r="D7" s="3"/>
    </row>
    <row r="8" spans="1:4">
      <c r="A8" s="14" t="s">
        <v>107</v>
      </c>
      <c r="B8" s="9"/>
      <c r="D8" s="3"/>
    </row>
    <row r="9" spans="1:4">
      <c r="A9" s="20" t="s">
        <v>213</v>
      </c>
      <c r="B9" s="17"/>
    </row>
    <row r="10" spans="1:4">
      <c r="A10" s="6" t="s">
        <v>6</v>
      </c>
      <c r="B10" s="26">
        <v>150</v>
      </c>
      <c r="D10" t="s">
        <v>25</v>
      </c>
    </row>
    <row r="11" spans="1:4">
      <c r="A11" s="10" t="s">
        <v>7</v>
      </c>
      <c r="B11" s="26">
        <v>200</v>
      </c>
      <c r="D11" t="s">
        <v>25</v>
      </c>
    </row>
    <row r="12" spans="1:4">
      <c r="A12" s="14"/>
      <c r="B12" s="9"/>
      <c r="D12" s="3"/>
    </row>
    <row r="13" spans="1:4">
      <c r="A13" s="20" t="s">
        <v>94</v>
      </c>
      <c r="B13" s="9"/>
      <c r="D13" s="14"/>
    </row>
    <row r="14" spans="1:4">
      <c r="A14" s="6" t="s">
        <v>6</v>
      </c>
      <c r="B14" s="26">
        <v>700</v>
      </c>
      <c r="D14" t="s">
        <v>26</v>
      </c>
    </row>
    <row r="15" spans="1:4">
      <c r="A15" s="10" t="s">
        <v>7</v>
      </c>
      <c r="B15" s="26">
        <v>800</v>
      </c>
      <c r="D15" t="s">
        <v>26</v>
      </c>
    </row>
    <row r="16" spans="1:4">
      <c r="A16" s="10"/>
      <c r="B16" s="17"/>
    </row>
    <row r="17" spans="1:4">
      <c r="A17" s="8" t="s">
        <v>138</v>
      </c>
      <c r="B17" s="18"/>
      <c r="D17" s="3" t="s">
        <v>17</v>
      </c>
    </row>
    <row r="18" spans="1:4">
      <c r="A18" s="6" t="s">
        <v>6</v>
      </c>
      <c r="B18" s="26">
        <v>0</v>
      </c>
      <c r="D18" t="s">
        <v>271</v>
      </c>
    </row>
    <row r="19" spans="1:4">
      <c r="A19" s="10" t="s">
        <v>7</v>
      </c>
      <c r="B19" s="26">
        <v>0</v>
      </c>
      <c r="D19" t="s">
        <v>272</v>
      </c>
    </row>
    <row r="20" spans="1:4">
      <c r="A20" s="10"/>
      <c r="B20" s="17"/>
    </row>
    <row r="21" spans="1:4">
      <c r="A21" s="13" t="s">
        <v>93</v>
      </c>
      <c r="B21" s="17"/>
    </row>
    <row r="22" spans="1:4">
      <c r="A22" s="6" t="s">
        <v>6</v>
      </c>
      <c r="B22" s="26">
        <v>0</v>
      </c>
      <c r="D22" t="s">
        <v>116</v>
      </c>
    </row>
    <row r="23" spans="1:4">
      <c r="A23" s="10" t="s">
        <v>7</v>
      </c>
      <c r="B23" s="26">
        <v>0</v>
      </c>
      <c r="D23" t="s">
        <v>117</v>
      </c>
    </row>
    <row r="24" spans="1:4">
      <c r="A24" s="10"/>
      <c r="B24" s="17"/>
    </row>
    <row r="25" spans="1:4">
      <c r="A25" s="15" t="s">
        <v>123</v>
      </c>
      <c r="B25" s="17"/>
    </row>
    <row r="26" spans="1:4">
      <c r="A26" s="62" t="s">
        <v>122</v>
      </c>
      <c r="B26" s="17"/>
    </row>
    <row r="27" spans="1:4">
      <c r="A27" s="64" t="s">
        <v>10</v>
      </c>
      <c r="B27" s="28">
        <f>B30/B5</f>
        <v>850</v>
      </c>
      <c r="D27" t="s">
        <v>126</v>
      </c>
    </row>
    <row r="28" spans="1:4">
      <c r="A28" s="64" t="s">
        <v>11</v>
      </c>
      <c r="B28" s="28">
        <f>B31/B5</f>
        <v>1000</v>
      </c>
      <c r="D28" t="s">
        <v>126</v>
      </c>
    </row>
    <row r="29" spans="1:4">
      <c r="A29" s="6"/>
      <c r="B29" s="17"/>
    </row>
    <row r="30" spans="1:4">
      <c r="A30" s="64" t="s">
        <v>61</v>
      </c>
      <c r="B30" s="28">
        <f>((B10+B14)*B5)+B18+B22</f>
        <v>17000</v>
      </c>
      <c r="D30" t="s">
        <v>126</v>
      </c>
    </row>
    <row r="31" spans="1:4">
      <c r="A31" s="64" t="s">
        <v>60</v>
      </c>
      <c r="B31" s="28">
        <f>((B11+B15)*B5)+B19+B23</f>
        <v>20000</v>
      </c>
      <c r="D31" t="s">
        <v>126</v>
      </c>
    </row>
    <row r="32" spans="1:4">
      <c r="A32" s="10"/>
      <c r="B32" s="17"/>
    </row>
    <row r="33" spans="1:4">
      <c r="A33" s="62" t="s">
        <v>124</v>
      </c>
      <c r="B33" s="17"/>
    </row>
    <row r="34" spans="1:4">
      <c r="A34" s="64" t="s">
        <v>10</v>
      </c>
      <c r="B34" s="28">
        <f>B37/B5</f>
        <v>3650</v>
      </c>
      <c r="D34" t="s">
        <v>211</v>
      </c>
    </row>
    <row r="35" spans="1:4">
      <c r="A35" s="64" t="s">
        <v>11</v>
      </c>
      <c r="B35" s="28">
        <f>B38/B5</f>
        <v>4200</v>
      </c>
      <c r="D35" t="s">
        <v>211</v>
      </c>
    </row>
    <row r="36" spans="1:4">
      <c r="A36" s="6"/>
      <c r="B36" s="17"/>
    </row>
    <row r="37" spans="1:4">
      <c r="A37" s="64" t="s">
        <v>61</v>
      </c>
      <c r="B37" s="28">
        <f>B30+(4*B14*B5)</f>
        <v>73000</v>
      </c>
      <c r="D37" t="s">
        <v>211</v>
      </c>
    </row>
    <row r="38" spans="1:4">
      <c r="A38" s="64" t="s">
        <v>60</v>
      </c>
      <c r="B38" s="28">
        <f>B31+(4*B15*B5)</f>
        <v>84000</v>
      </c>
      <c r="D38" t="s">
        <v>211</v>
      </c>
    </row>
    <row r="39" spans="1:4">
      <c r="A39" s="7"/>
      <c r="B39" s="17"/>
    </row>
    <row r="40" spans="1:4">
      <c r="A40" s="62" t="s">
        <v>125</v>
      </c>
      <c r="B40" s="17"/>
    </row>
    <row r="41" spans="1:4">
      <c r="A41" s="64" t="s">
        <v>10</v>
      </c>
      <c r="B41" s="28">
        <f>B44/B5</f>
        <v>7150</v>
      </c>
      <c r="D41" t="s">
        <v>212</v>
      </c>
    </row>
    <row r="42" spans="1:4">
      <c r="A42" s="64" t="s">
        <v>11</v>
      </c>
      <c r="B42" s="28">
        <f>B45/B5</f>
        <v>8200</v>
      </c>
      <c r="D42" t="s">
        <v>212</v>
      </c>
    </row>
    <row r="43" spans="1:4">
      <c r="A43" s="6"/>
      <c r="B43" s="17"/>
    </row>
    <row r="44" spans="1:4">
      <c r="A44" s="64" t="s">
        <v>61</v>
      </c>
      <c r="B44" s="28">
        <f>B30+(9*B14*B5)</f>
        <v>143000</v>
      </c>
      <c r="D44" t="s">
        <v>212</v>
      </c>
    </row>
    <row r="45" spans="1:4">
      <c r="A45" s="64" t="s">
        <v>60</v>
      </c>
      <c r="B45" s="28">
        <f>B31+(9*B15*B5)</f>
        <v>164000</v>
      </c>
      <c r="D45" t="s">
        <v>212</v>
      </c>
    </row>
    <row r="46" spans="1:4">
      <c r="A46" s="10"/>
      <c r="B46" s="17"/>
    </row>
    <row r="47" spans="1:4">
      <c r="A47" s="60" t="s">
        <v>239</v>
      </c>
    </row>
    <row r="48" spans="1:4">
      <c r="A48" s="61" t="s">
        <v>237</v>
      </c>
    </row>
    <row r="49" spans="1:1">
      <c r="A49" s="61" t="s">
        <v>27</v>
      </c>
    </row>
    <row r="50" spans="1:1">
      <c r="A50" s="61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1"/>
  <sheetViews>
    <sheetView zoomScale="85" zoomScaleNormal="85" workbookViewId="0"/>
  </sheetViews>
  <sheetFormatPr defaultRowHeight="15"/>
  <cols>
    <col min="1" max="1" width="49.85546875" bestFit="1" customWidth="1"/>
    <col min="2" max="2" width="10.28515625" bestFit="1" customWidth="1"/>
  </cols>
  <sheetData>
    <row r="1" spans="1:4">
      <c r="A1" s="1" t="s">
        <v>28</v>
      </c>
    </row>
    <row r="2" spans="1:4">
      <c r="A2" s="1"/>
      <c r="B2" s="9"/>
      <c r="D2" s="3"/>
    </row>
    <row r="3" spans="1:4">
      <c r="A3" s="14" t="s">
        <v>58</v>
      </c>
      <c r="D3" s="14" t="s">
        <v>109</v>
      </c>
    </row>
    <row r="4" spans="1:4">
      <c r="A4" s="8" t="s">
        <v>2</v>
      </c>
      <c r="B4" s="9"/>
    </row>
    <row r="5" spans="1:4">
      <c r="A5" s="6" t="s">
        <v>3</v>
      </c>
      <c r="B5" s="24">
        <v>20</v>
      </c>
      <c r="D5" t="s">
        <v>15</v>
      </c>
    </row>
    <row r="6" spans="1:4">
      <c r="A6" s="8" t="s">
        <v>4</v>
      </c>
      <c r="B6" s="9"/>
    </row>
    <row r="7" spans="1:4">
      <c r="A7" s="6" t="s">
        <v>6</v>
      </c>
      <c r="B7" s="25">
        <v>2</v>
      </c>
      <c r="D7" t="s">
        <v>18</v>
      </c>
    </row>
    <row r="8" spans="1:4">
      <c r="A8" s="10" t="s">
        <v>7</v>
      </c>
      <c r="B8" s="25">
        <v>3</v>
      </c>
      <c r="D8" t="s">
        <v>128</v>
      </c>
    </row>
    <row r="9" spans="1:4">
      <c r="A9" s="6"/>
      <c r="B9" s="12"/>
    </row>
    <row r="10" spans="1:4">
      <c r="A10" s="8" t="s">
        <v>5</v>
      </c>
      <c r="B10" s="12"/>
    </row>
    <row r="11" spans="1:4">
      <c r="A11" s="6" t="s">
        <v>6</v>
      </c>
      <c r="B11" s="27">
        <f>(B5/B8)+1</f>
        <v>7.666666666666667</v>
      </c>
      <c r="D11" t="s">
        <v>59</v>
      </c>
    </row>
    <row r="12" spans="1:4">
      <c r="A12" s="6" t="s">
        <v>7</v>
      </c>
      <c r="B12" s="27">
        <f>(B5/B7)+1</f>
        <v>11</v>
      </c>
      <c r="D12" t="s">
        <v>192</v>
      </c>
    </row>
    <row r="13" spans="1:4">
      <c r="A13" s="14" t="s">
        <v>57</v>
      </c>
      <c r="B13" s="9"/>
      <c r="D13" s="3"/>
    </row>
    <row r="14" spans="1:4">
      <c r="A14" s="14" t="s">
        <v>107</v>
      </c>
      <c r="B14" s="9"/>
      <c r="D14" s="3"/>
    </row>
    <row r="15" spans="1:4">
      <c r="A15" s="3" t="s">
        <v>180</v>
      </c>
      <c r="B15" s="9"/>
      <c r="D15" s="14"/>
    </row>
    <row r="16" spans="1:4">
      <c r="A16" s="6" t="s">
        <v>6</v>
      </c>
      <c r="B16" s="26">
        <v>70000</v>
      </c>
      <c r="D16" t="s">
        <v>201</v>
      </c>
    </row>
    <row r="17" spans="1:4">
      <c r="A17" s="10" t="s">
        <v>7</v>
      </c>
      <c r="B17" s="26">
        <v>80000</v>
      </c>
      <c r="D17" t="s">
        <v>201</v>
      </c>
    </row>
    <row r="18" spans="1:4">
      <c r="A18" s="10"/>
      <c r="B18" s="17"/>
    </row>
    <row r="19" spans="1:4">
      <c r="A19" s="8" t="s">
        <v>183</v>
      </c>
      <c r="B19" s="17"/>
    </row>
    <row r="20" spans="1:4">
      <c r="A20" s="6" t="s">
        <v>6</v>
      </c>
      <c r="B20" s="26">
        <v>1600</v>
      </c>
      <c r="D20" t="s">
        <v>275</v>
      </c>
    </row>
    <row r="21" spans="1:4">
      <c r="A21" s="10" t="s">
        <v>7</v>
      </c>
      <c r="B21" s="26">
        <v>3200</v>
      </c>
      <c r="D21" t="s">
        <v>276</v>
      </c>
    </row>
    <row r="22" spans="1:4">
      <c r="A22" s="10"/>
      <c r="B22" s="17"/>
    </row>
    <row r="23" spans="1:4">
      <c r="A23" s="8" t="s">
        <v>102</v>
      </c>
      <c r="B23" s="17"/>
    </row>
    <row r="24" spans="1:4">
      <c r="A24" s="6" t="s">
        <v>6</v>
      </c>
      <c r="B24" s="26">
        <v>4000</v>
      </c>
      <c r="D24" t="s">
        <v>202</v>
      </c>
    </row>
    <row r="25" spans="1:4">
      <c r="A25" s="10" t="s">
        <v>7</v>
      </c>
      <c r="B25" s="26">
        <v>4000</v>
      </c>
      <c r="D25" t="s">
        <v>202</v>
      </c>
    </row>
    <row r="26" spans="1:4">
      <c r="A26" s="10"/>
      <c r="B26" s="17"/>
    </row>
    <row r="27" spans="1:4">
      <c r="A27" s="8" t="s">
        <v>138</v>
      </c>
      <c r="B27" s="18"/>
      <c r="D27" s="3" t="s">
        <v>17</v>
      </c>
    </row>
    <row r="28" spans="1:4">
      <c r="A28" s="6" t="s">
        <v>6</v>
      </c>
      <c r="B28" s="26">
        <v>0</v>
      </c>
      <c r="D28" t="s">
        <v>271</v>
      </c>
    </row>
    <row r="29" spans="1:4">
      <c r="A29" s="10" t="s">
        <v>7</v>
      </c>
      <c r="B29" s="26">
        <v>0</v>
      </c>
      <c r="D29" t="s">
        <v>272</v>
      </c>
    </row>
    <row r="30" spans="1:4">
      <c r="A30" s="10"/>
      <c r="B30" s="17"/>
    </row>
    <row r="31" spans="1:4">
      <c r="A31" s="15" t="s">
        <v>108</v>
      </c>
      <c r="B31" s="17"/>
    </row>
    <row r="32" spans="1:4">
      <c r="A32" s="7" t="s">
        <v>162</v>
      </c>
      <c r="B32" s="28">
        <f>B16+B20+B24+B28</f>
        <v>75600</v>
      </c>
      <c r="D32" t="s">
        <v>203</v>
      </c>
    </row>
    <row r="33" spans="1:4">
      <c r="A33" s="7" t="s">
        <v>163</v>
      </c>
      <c r="B33" s="28">
        <f>B17+B21+B25+B29</f>
        <v>87200</v>
      </c>
      <c r="D33" t="s">
        <v>203</v>
      </c>
    </row>
    <row r="34" spans="1:4">
      <c r="A34" s="10"/>
      <c r="B34" s="17"/>
    </row>
    <row r="35" spans="1:4">
      <c r="A35" s="7" t="s">
        <v>10</v>
      </c>
      <c r="B35" s="28">
        <f>B38/B5</f>
        <v>28980</v>
      </c>
    </row>
    <row r="36" spans="1:4">
      <c r="A36" s="7" t="s">
        <v>11</v>
      </c>
      <c r="B36" s="28">
        <f>B39/B5</f>
        <v>47960</v>
      </c>
    </row>
    <row r="37" spans="1:4">
      <c r="A37" s="6"/>
      <c r="B37" s="17"/>
    </row>
    <row r="38" spans="1:4">
      <c r="A38" s="7" t="s">
        <v>61</v>
      </c>
      <c r="B38" s="28">
        <f>B32*B11</f>
        <v>579600</v>
      </c>
    </row>
    <row r="39" spans="1:4">
      <c r="A39" s="7" t="s">
        <v>60</v>
      </c>
      <c r="B39" s="28">
        <f>B33*B12</f>
        <v>959200</v>
      </c>
    </row>
    <row r="40" spans="1:4">
      <c r="A40" s="10"/>
      <c r="B40" s="17"/>
    </row>
    <row r="41" spans="1:4">
      <c r="A41" s="15" t="s">
        <v>110</v>
      </c>
      <c r="B41" s="17"/>
    </row>
    <row r="42" spans="1:4">
      <c r="A42" s="13" t="s">
        <v>195</v>
      </c>
      <c r="B42" s="17"/>
    </row>
    <row r="43" spans="1:4">
      <c r="A43" s="6" t="s">
        <v>6</v>
      </c>
      <c r="B43" s="26">
        <v>0</v>
      </c>
      <c r="D43" t="s">
        <v>204</v>
      </c>
    </row>
    <row r="44" spans="1:4">
      <c r="A44" s="10" t="s">
        <v>7</v>
      </c>
      <c r="B44" s="26">
        <v>0</v>
      </c>
      <c r="D44" t="s">
        <v>204</v>
      </c>
    </row>
    <row r="45" spans="1:4">
      <c r="A45" s="10"/>
      <c r="B45" s="17"/>
    </row>
    <row r="46" spans="1:4">
      <c r="A46" s="13" t="s">
        <v>198</v>
      </c>
      <c r="B46" s="17"/>
    </row>
    <row r="47" spans="1:4">
      <c r="A47" s="6" t="s">
        <v>6</v>
      </c>
      <c r="B47" s="26">
        <v>0</v>
      </c>
      <c r="D47" t="s">
        <v>205</v>
      </c>
    </row>
    <row r="48" spans="1:4">
      <c r="A48" s="10" t="s">
        <v>7</v>
      </c>
      <c r="B48" s="26">
        <v>0</v>
      </c>
      <c r="D48" t="s">
        <v>205</v>
      </c>
    </row>
    <row r="49" spans="1:4">
      <c r="A49" s="10"/>
      <c r="B49" s="17"/>
    </row>
    <row r="50" spans="1:4">
      <c r="A50" s="20" t="s">
        <v>206</v>
      </c>
      <c r="B50" s="18"/>
    </row>
    <row r="51" spans="1:4">
      <c r="A51" s="6" t="s">
        <v>6</v>
      </c>
      <c r="B51" s="26">
        <f>200*2*B5</f>
        <v>8000</v>
      </c>
      <c r="D51" t="s">
        <v>208</v>
      </c>
    </row>
    <row r="52" spans="1:4">
      <c r="A52" s="10" t="s">
        <v>7</v>
      </c>
      <c r="B52" s="26">
        <f>500*2*B5</f>
        <v>20000</v>
      </c>
      <c r="D52" t="s">
        <v>209</v>
      </c>
    </row>
    <row r="53" spans="1:4">
      <c r="A53" s="10"/>
      <c r="B53" s="17"/>
    </row>
    <row r="54" spans="1:4">
      <c r="A54" s="13" t="s">
        <v>93</v>
      </c>
      <c r="B54" s="17"/>
    </row>
    <row r="55" spans="1:4">
      <c r="A55" s="6" t="s">
        <v>6</v>
      </c>
      <c r="B55" s="26">
        <v>0</v>
      </c>
      <c r="D55" t="s">
        <v>116</v>
      </c>
    </row>
    <row r="56" spans="1:4">
      <c r="A56" s="10" t="s">
        <v>7</v>
      </c>
      <c r="B56" s="26">
        <v>0</v>
      </c>
      <c r="D56" t="s">
        <v>117</v>
      </c>
    </row>
    <row r="57" spans="1:4">
      <c r="A57" s="10"/>
      <c r="B57" s="17"/>
    </row>
    <row r="58" spans="1:4">
      <c r="A58" s="15" t="s">
        <v>143</v>
      </c>
      <c r="B58" s="17"/>
    </row>
    <row r="59" spans="1:4">
      <c r="A59" s="7" t="s">
        <v>10</v>
      </c>
      <c r="B59" s="28">
        <f>B62/B5</f>
        <v>400</v>
      </c>
    </row>
    <row r="60" spans="1:4">
      <c r="A60" s="7" t="s">
        <v>11</v>
      </c>
      <c r="B60" s="28">
        <f>B63/B5</f>
        <v>1000</v>
      </c>
    </row>
    <row r="61" spans="1:4">
      <c r="A61" s="6"/>
      <c r="B61" s="17"/>
    </row>
    <row r="62" spans="1:4">
      <c r="A62" s="7" t="s">
        <v>61</v>
      </c>
      <c r="B62" s="28">
        <f>((B43+B47)*B11)+B51+B55</f>
        <v>8000</v>
      </c>
    </row>
    <row r="63" spans="1:4">
      <c r="A63" s="7" t="s">
        <v>60</v>
      </c>
      <c r="B63" s="28">
        <f>((B44+B48)*B12)+B52+B56</f>
        <v>20000</v>
      </c>
    </row>
    <row r="64" spans="1:4">
      <c r="A64" s="10"/>
      <c r="B64" s="17"/>
    </row>
    <row r="65" spans="1:4">
      <c r="A65" s="15" t="s">
        <v>123</v>
      </c>
      <c r="B65" s="17"/>
    </row>
    <row r="66" spans="1:4">
      <c r="A66" s="62" t="s">
        <v>122</v>
      </c>
      <c r="B66" s="17"/>
    </row>
    <row r="67" spans="1:4">
      <c r="A67" s="64" t="s">
        <v>10</v>
      </c>
      <c r="B67" s="28">
        <f>B70/B5</f>
        <v>29380</v>
      </c>
      <c r="D67" t="s">
        <v>126</v>
      </c>
    </row>
    <row r="68" spans="1:4">
      <c r="A68" s="64" t="s">
        <v>11</v>
      </c>
      <c r="B68" s="28">
        <f>B71/B5</f>
        <v>48960</v>
      </c>
      <c r="D68" t="s">
        <v>126</v>
      </c>
    </row>
    <row r="69" spans="1:4">
      <c r="A69" s="6"/>
      <c r="B69" s="17"/>
    </row>
    <row r="70" spans="1:4">
      <c r="A70" s="64" t="s">
        <v>61</v>
      </c>
      <c r="B70" s="28">
        <f>B38+B62</f>
        <v>587600</v>
      </c>
      <c r="D70" t="s">
        <v>126</v>
      </c>
    </row>
    <row r="71" spans="1:4">
      <c r="A71" s="64" t="s">
        <v>60</v>
      </c>
      <c r="B71" s="28">
        <f>B39+B63</f>
        <v>979200</v>
      </c>
      <c r="D71" t="s">
        <v>126</v>
      </c>
    </row>
    <row r="72" spans="1:4">
      <c r="A72" s="10"/>
      <c r="B72" s="17"/>
    </row>
    <row r="73" spans="1:4">
      <c r="A73" s="62" t="s">
        <v>124</v>
      </c>
      <c r="B73" s="17"/>
    </row>
    <row r="74" spans="1:4">
      <c r="A74" s="64" t="s">
        <v>10</v>
      </c>
      <c r="B74" s="28">
        <f>B77/B5</f>
        <v>30980</v>
      </c>
      <c r="D74" t="s">
        <v>200</v>
      </c>
    </row>
    <row r="75" spans="1:4">
      <c r="A75" s="64" t="s">
        <v>11</v>
      </c>
      <c r="B75" s="28">
        <f>B78/B5</f>
        <v>52960</v>
      </c>
      <c r="D75" t="s">
        <v>200</v>
      </c>
    </row>
    <row r="76" spans="1:4">
      <c r="A76" s="6"/>
      <c r="B76" s="17"/>
    </row>
    <row r="77" spans="1:4">
      <c r="A77" s="64" t="s">
        <v>61</v>
      </c>
      <c r="B77" s="28">
        <f>B38+(B62*5)</f>
        <v>619600</v>
      </c>
      <c r="D77" t="s">
        <v>200</v>
      </c>
    </row>
    <row r="78" spans="1:4">
      <c r="A78" s="64" t="s">
        <v>60</v>
      </c>
      <c r="B78" s="28">
        <f>B39+(B63*5)</f>
        <v>1059200</v>
      </c>
      <c r="D78" t="s">
        <v>200</v>
      </c>
    </row>
    <row r="79" spans="1:4">
      <c r="A79" s="7"/>
      <c r="B79" s="17"/>
    </row>
    <row r="80" spans="1:4">
      <c r="A80" s="62" t="s">
        <v>125</v>
      </c>
      <c r="B80" s="17"/>
    </row>
    <row r="81" spans="1:4">
      <c r="A81" s="64" t="s">
        <v>10</v>
      </c>
      <c r="B81" s="28">
        <f>B84/B5</f>
        <v>32980</v>
      </c>
      <c r="D81" t="s">
        <v>207</v>
      </c>
    </row>
    <row r="82" spans="1:4">
      <c r="A82" s="64" t="s">
        <v>11</v>
      </c>
      <c r="B82" s="28">
        <f>B85/B5</f>
        <v>57960</v>
      </c>
      <c r="D82" t="s">
        <v>207</v>
      </c>
    </row>
    <row r="83" spans="1:4">
      <c r="A83" s="6"/>
      <c r="B83" s="17"/>
    </row>
    <row r="84" spans="1:4">
      <c r="A84" s="64" t="s">
        <v>61</v>
      </c>
      <c r="B84" s="28">
        <f>B38+(10*B62)</f>
        <v>659600</v>
      </c>
      <c r="D84" t="s">
        <v>207</v>
      </c>
    </row>
    <row r="85" spans="1:4">
      <c r="A85" s="64" t="s">
        <v>60</v>
      </c>
      <c r="B85" s="28">
        <f>B39+(10*B63)</f>
        <v>1159200</v>
      </c>
      <c r="D85" t="s">
        <v>207</v>
      </c>
    </row>
    <row r="86" spans="1:4">
      <c r="A86" s="10"/>
      <c r="B86" s="17"/>
    </row>
    <row r="87" spans="1:4">
      <c r="A87" s="60" t="s">
        <v>239</v>
      </c>
    </row>
    <row r="88" spans="1:4">
      <c r="A88" s="61" t="s">
        <v>240</v>
      </c>
    </row>
    <row r="89" spans="1:4">
      <c r="A89" s="2" t="s">
        <v>241</v>
      </c>
    </row>
    <row r="90" spans="1:4">
      <c r="A90" s="61" t="s">
        <v>286</v>
      </c>
    </row>
    <row r="91" spans="1:4">
      <c r="A91" s="61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4"/>
  <sheetViews>
    <sheetView zoomScale="85" zoomScaleNormal="85" workbookViewId="0"/>
  </sheetViews>
  <sheetFormatPr defaultRowHeight="15"/>
  <cols>
    <col min="1" max="1" width="49.85546875" bestFit="1" customWidth="1"/>
    <col min="2" max="2" width="8.7109375" customWidth="1"/>
  </cols>
  <sheetData>
    <row r="1" spans="1:4">
      <c r="A1" s="1" t="s">
        <v>29</v>
      </c>
    </row>
    <row r="2" spans="1:4">
      <c r="A2" s="1"/>
      <c r="B2" s="9"/>
      <c r="D2" s="3"/>
    </row>
    <row r="3" spans="1:4">
      <c r="A3" s="14" t="s">
        <v>58</v>
      </c>
      <c r="D3" s="14" t="s">
        <v>109</v>
      </c>
    </row>
    <row r="4" spans="1:4">
      <c r="A4" s="8" t="s">
        <v>2</v>
      </c>
      <c r="B4" s="9"/>
    </row>
    <row r="5" spans="1:4">
      <c r="A5" s="6" t="s">
        <v>3</v>
      </c>
      <c r="B5" s="24">
        <v>20</v>
      </c>
      <c r="D5" t="s">
        <v>15</v>
      </c>
    </row>
    <row r="6" spans="1:4">
      <c r="A6" s="8" t="s">
        <v>4</v>
      </c>
      <c r="B6" s="9"/>
    </row>
    <row r="7" spans="1:4">
      <c r="A7" s="6" t="s">
        <v>6</v>
      </c>
      <c r="B7" s="25">
        <v>1</v>
      </c>
      <c r="D7" t="s">
        <v>18</v>
      </c>
    </row>
    <row r="8" spans="1:4">
      <c r="A8" s="10" t="s">
        <v>7</v>
      </c>
      <c r="B8" s="25">
        <v>2</v>
      </c>
      <c r="D8" t="s">
        <v>128</v>
      </c>
    </row>
    <row r="9" spans="1:4">
      <c r="A9" s="6"/>
      <c r="B9" s="12"/>
    </row>
    <row r="10" spans="1:4">
      <c r="A10" s="8" t="s">
        <v>5</v>
      </c>
      <c r="B10" s="12"/>
    </row>
    <row r="11" spans="1:4">
      <c r="A11" s="6" t="s">
        <v>6</v>
      </c>
      <c r="B11" s="27">
        <f>(B5/B8)+1</f>
        <v>11</v>
      </c>
      <c r="D11" t="s">
        <v>59</v>
      </c>
    </row>
    <row r="12" spans="1:4">
      <c r="A12" s="6" t="s">
        <v>7</v>
      </c>
      <c r="B12" s="27">
        <f>(B5/B7)+1</f>
        <v>21</v>
      </c>
      <c r="D12" t="s">
        <v>192</v>
      </c>
    </row>
    <row r="13" spans="1:4">
      <c r="A13" s="14" t="s">
        <v>57</v>
      </c>
      <c r="B13" s="9"/>
      <c r="D13" s="3"/>
    </row>
    <row r="14" spans="1:4">
      <c r="A14" s="14" t="s">
        <v>107</v>
      </c>
      <c r="B14" s="9"/>
      <c r="D14" s="3"/>
    </row>
    <row r="15" spans="1:4">
      <c r="A15" s="3" t="s">
        <v>129</v>
      </c>
      <c r="B15" s="9"/>
      <c r="D15" s="14"/>
    </row>
    <row r="16" spans="1:4">
      <c r="A16" s="6" t="s">
        <v>6</v>
      </c>
      <c r="B16" s="26">
        <v>5000</v>
      </c>
      <c r="D16" t="s">
        <v>135</v>
      </c>
    </row>
    <row r="17" spans="1:4">
      <c r="A17" s="10" t="s">
        <v>7</v>
      </c>
      <c r="B17" s="26">
        <v>8000</v>
      </c>
      <c r="D17" t="s">
        <v>135</v>
      </c>
    </row>
    <row r="18" spans="1:4">
      <c r="A18" s="10"/>
      <c r="B18" s="17"/>
    </row>
    <row r="19" spans="1:4">
      <c r="A19" s="8" t="s">
        <v>105</v>
      </c>
      <c r="B19" s="17"/>
    </row>
    <row r="20" spans="1:4">
      <c r="A20" s="6" t="s">
        <v>6</v>
      </c>
      <c r="B20" s="26">
        <v>0</v>
      </c>
      <c r="D20" t="s">
        <v>268</v>
      </c>
    </row>
    <row r="21" spans="1:4">
      <c r="A21" s="10" t="s">
        <v>7</v>
      </c>
      <c r="B21" s="26">
        <v>0</v>
      </c>
      <c r="D21" t="s">
        <v>268</v>
      </c>
    </row>
    <row r="22" spans="1:4">
      <c r="A22" s="10"/>
      <c r="B22" s="17"/>
    </row>
    <row r="23" spans="1:4">
      <c r="A23" s="8" t="s">
        <v>130</v>
      </c>
      <c r="B23" s="17"/>
    </row>
    <row r="24" spans="1:4">
      <c r="A24" s="6" t="s">
        <v>6</v>
      </c>
      <c r="B24" s="26">
        <v>0</v>
      </c>
      <c r="D24" t="s">
        <v>131</v>
      </c>
    </row>
    <row r="25" spans="1:4">
      <c r="A25" s="10" t="s">
        <v>7</v>
      </c>
      <c r="B25" s="26">
        <v>0</v>
      </c>
      <c r="D25" t="s">
        <v>131</v>
      </c>
    </row>
    <row r="26" spans="1:4">
      <c r="A26" s="10"/>
      <c r="B26" s="17"/>
    </row>
    <row r="27" spans="1:4">
      <c r="A27" s="8" t="s">
        <v>137</v>
      </c>
      <c r="B27" s="17"/>
    </row>
    <row r="28" spans="1:4">
      <c r="A28" s="6" t="s">
        <v>6</v>
      </c>
      <c r="B28" s="26">
        <f>(200*7.5)+(150*10)</f>
        <v>3000</v>
      </c>
      <c r="D28" t="s">
        <v>132</v>
      </c>
    </row>
    <row r="29" spans="1:4">
      <c r="A29" s="10" t="s">
        <v>7</v>
      </c>
      <c r="B29" s="26">
        <f>(7.5*300)+(10*250)</f>
        <v>4750</v>
      </c>
      <c r="D29" t="s">
        <v>133</v>
      </c>
    </row>
    <row r="30" spans="1:4">
      <c r="A30" s="10"/>
      <c r="B30" s="17"/>
    </row>
    <row r="31" spans="1:4">
      <c r="A31" s="8" t="s">
        <v>95</v>
      </c>
      <c r="B31" s="17"/>
    </row>
    <row r="32" spans="1:4">
      <c r="A32" s="6" t="s">
        <v>6</v>
      </c>
      <c r="B32" s="26">
        <v>400</v>
      </c>
      <c r="D32" t="s">
        <v>277</v>
      </c>
    </row>
    <row r="33" spans="1:4">
      <c r="A33" s="10" t="s">
        <v>7</v>
      </c>
      <c r="B33" s="26">
        <v>800</v>
      </c>
      <c r="D33" t="s">
        <v>278</v>
      </c>
    </row>
    <row r="34" spans="1:4">
      <c r="A34" s="10"/>
      <c r="B34" s="17"/>
    </row>
    <row r="35" spans="1:4">
      <c r="A35" s="8" t="s">
        <v>138</v>
      </c>
      <c r="B35" s="18"/>
      <c r="D35" s="3" t="s">
        <v>17</v>
      </c>
    </row>
    <row r="36" spans="1:4">
      <c r="A36" s="6" t="s">
        <v>6</v>
      </c>
      <c r="B36" s="26">
        <v>0</v>
      </c>
      <c r="D36" t="s">
        <v>271</v>
      </c>
    </row>
    <row r="37" spans="1:4">
      <c r="A37" s="10" t="s">
        <v>7</v>
      </c>
      <c r="B37" s="26">
        <v>0</v>
      </c>
      <c r="D37" t="s">
        <v>272</v>
      </c>
    </row>
    <row r="38" spans="1:4">
      <c r="A38" s="10"/>
      <c r="B38" s="17"/>
    </row>
    <row r="39" spans="1:4">
      <c r="A39" s="15" t="s">
        <v>108</v>
      </c>
      <c r="B39" s="17"/>
    </row>
    <row r="40" spans="1:4">
      <c r="A40" s="7" t="s">
        <v>9</v>
      </c>
      <c r="B40" s="28">
        <f>B16+B20+B24+B28+B32+B36</f>
        <v>8400</v>
      </c>
    </row>
    <row r="41" spans="1:4">
      <c r="A41" s="7" t="s">
        <v>8</v>
      </c>
      <c r="B41" s="28">
        <f>B17+B21+B25+B29+B33+B37</f>
        <v>13550</v>
      </c>
    </row>
    <row r="42" spans="1:4">
      <c r="A42" s="10"/>
      <c r="B42" s="17"/>
    </row>
    <row r="43" spans="1:4">
      <c r="A43" s="7" t="s">
        <v>10</v>
      </c>
      <c r="B43" s="28">
        <f>(B40*B11)/B5</f>
        <v>4620</v>
      </c>
    </row>
    <row r="44" spans="1:4">
      <c r="A44" s="7" t="s">
        <v>11</v>
      </c>
      <c r="B44" s="28">
        <f>(B41*B12)/B5</f>
        <v>14227.5</v>
      </c>
    </row>
    <row r="45" spans="1:4">
      <c r="A45" s="6"/>
      <c r="B45" s="17"/>
    </row>
    <row r="46" spans="1:4">
      <c r="A46" s="7" t="s">
        <v>61</v>
      </c>
      <c r="B46" s="28">
        <f>B43*B5</f>
        <v>92400</v>
      </c>
    </row>
    <row r="47" spans="1:4">
      <c r="A47" s="7" t="s">
        <v>60</v>
      </c>
      <c r="B47" s="28">
        <f>B44*B5</f>
        <v>284550</v>
      </c>
    </row>
    <row r="48" spans="1:4">
      <c r="A48" s="10"/>
      <c r="B48" s="17"/>
    </row>
    <row r="49" spans="1:5">
      <c r="A49" s="15" t="s">
        <v>110</v>
      </c>
      <c r="B49" s="17"/>
    </row>
    <row r="50" spans="1:5">
      <c r="A50" s="13" t="s">
        <v>90</v>
      </c>
      <c r="B50" s="17"/>
    </row>
    <row r="51" spans="1:5">
      <c r="A51" s="6" t="s">
        <v>6</v>
      </c>
      <c r="B51" s="26">
        <v>480</v>
      </c>
      <c r="D51" t="s">
        <v>141</v>
      </c>
    </row>
    <row r="52" spans="1:5">
      <c r="A52" s="10" t="s">
        <v>7</v>
      </c>
      <c r="B52" s="26">
        <v>600</v>
      </c>
      <c r="D52" t="s">
        <v>142</v>
      </c>
    </row>
    <row r="53" spans="1:5">
      <c r="A53" s="10"/>
      <c r="B53" s="17"/>
    </row>
    <row r="54" spans="1:5">
      <c r="A54" s="13" t="s">
        <v>91</v>
      </c>
      <c r="B54" s="17"/>
      <c r="E54" s="5"/>
    </row>
    <row r="55" spans="1:5">
      <c r="A55" s="6" t="s">
        <v>6</v>
      </c>
      <c r="B55" s="26">
        <v>0</v>
      </c>
      <c r="D55" t="s">
        <v>140</v>
      </c>
    </row>
    <row r="56" spans="1:5">
      <c r="A56" s="10" t="s">
        <v>7</v>
      </c>
      <c r="B56" s="26">
        <v>0</v>
      </c>
      <c r="D56" t="s">
        <v>140</v>
      </c>
    </row>
    <row r="57" spans="1:5">
      <c r="A57" s="10"/>
      <c r="B57" s="17"/>
    </row>
    <row r="58" spans="1:5">
      <c r="A58" s="20" t="s">
        <v>101</v>
      </c>
      <c r="B58" s="18"/>
    </row>
    <row r="59" spans="1:5">
      <c r="A59" s="6" t="s">
        <v>6</v>
      </c>
      <c r="B59" s="26">
        <v>0</v>
      </c>
      <c r="D59" t="s">
        <v>273</v>
      </c>
    </row>
    <row r="60" spans="1:5">
      <c r="A60" s="10" t="s">
        <v>7</v>
      </c>
      <c r="B60" s="26">
        <v>0</v>
      </c>
      <c r="D60" t="s">
        <v>274</v>
      </c>
    </row>
    <row r="61" spans="1:5">
      <c r="A61" s="10"/>
      <c r="B61" s="17"/>
    </row>
    <row r="62" spans="1:5">
      <c r="A62" s="13" t="s">
        <v>93</v>
      </c>
      <c r="B62" s="17"/>
    </row>
    <row r="63" spans="1:5">
      <c r="A63" s="6" t="s">
        <v>6</v>
      </c>
      <c r="B63" s="26">
        <v>0</v>
      </c>
      <c r="D63" t="s">
        <v>116</v>
      </c>
    </row>
    <row r="64" spans="1:5">
      <c r="A64" s="10" t="s">
        <v>7</v>
      </c>
      <c r="B64" s="26">
        <v>0</v>
      </c>
      <c r="D64" t="s">
        <v>117</v>
      </c>
    </row>
    <row r="65" spans="1:4">
      <c r="A65" s="10"/>
      <c r="B65" s="17"/>
    </row>
    <row r="66" spans="1:4">
      <c r="A66" s="15" t="s">
        <v>143</v>
      </c>
      <c r="B66" s="17"/>
    </row>
    <row r="67" spans="1:4">
      <c r="A67" s="7" t="s">
        <v>9</v>
      </c>
      <c r="B67" s="28">
        <f>B51+B55+B59+B63</f>
        <v>480</v>
      </c>
    </row>
    <row r="68" spans="1:4">
      <c r="A68" s="7" t="s">
        <v>8</v>
      </c>
      <c r="B68" s="28">
        <f>B52+B56+B60+B64</f>
        <v>600</v>
      </c>
    </row>
    <row r="69" spans="1:4">
      <c r="A69" s="10"/>
      <c r="B69" s="17"/>
    </row>
    <row r="70" spans="1:4">
      <c r="A70" s="7" t="s">
        <v>10</v>
      </c>
      <c r="B70" s="28">
        <f>(B67*B11)/B5</f>
        <v>264</v>
      </c>
    </row>
    <row r="71" spans="1:4">
      <c r="A71" s="7" t="s">
        <v>11</v>
      </c>
      <c r="B71" s="28">
        <f>(B68*B12)/B5</f>
        <v>630</v>
      </c>
    </row>
    <row r="72" spans="1:4">
      <c r="A72" s="6"/>
      <c r="B72" s="17"/>
    </row>
    <row r="73" spans="1:4">
      <c r="A73" s="7" t="s">
        <v>61</v>
      </c>
      <c r="B73" s="28">
        <f>B70*B5</f>
        <v>5280</v>
      </c>
    </row>
    <row r="74" spans="1:4">
      <c r="A74" s="7" t="s">
        <v>60</v>
      </c>
      <c r="B74" s="28">
        <f>B71*B5</f>
        <v>12600</v>
      </c>
    </row>
    <row r="75" spans="1:4">
      <c r="A75" s="10"/>
      <c r="B75" s="17"/>
    </row>
    <row r="76" spans="1:4">
      <c r="A76" s="15" t="s">
        <v>119</v>
      </c>
      <c r="B76" s="17"/>
    </row>
    <row r="77" spans="1:4">
      <c r="A77" s="8" t="s">
        <v>114</v>
      </c>
      <c r="B77" s="17"/>
    </row>
    <row r="78" spans="1:4">
      <c r="A78" s="15"/>
      <c r="B78" s="70">
        <v>5</v>
      </c>
      <c r="D78" t="s">
        <v>113</v>
      </c>
    </row>
    <row r="79" spans="1:4">
      <c r="A79" s="8"/>
      <c r="B79" s="17"/>
    </row>
    <row r="80" spans="1:4">
      <c r="A80" s="6" t="s">
        <v>6</v>
      </c>
      <c r="B80" s="26">
        <v>5500</v>
      </c>
      <c r="D80" t="s">
        <v>144</v>
      </c>
    </row>
    <row r="81" spans="1:4">
      <c r="A81" s="10" t="s">
        <v>7</v>
      </c>
      <c r="B81" s="26">
        <v>8500</v>
      </c>
      <c r="D81" t="s">
        <v>144</v>
      </c>
    </row>
    <row r="82" spans="1:4">
      <c r="A82" s="10"/>
      <c r="B82" s="17"/>
    </row>
    <row r="83" spans="1:4">
      <c r="A83" s="7" t="s">
        <v>9</v>
      </c>
      <c r="B83" s="28">
        <f>B80</f>
        <v>5500</v>
      </c>
      <c r="D83" t="s">
        <v>179</v>
      </c>
    </row>
    <row r="84" spans="1:4">
      <c r="A84" s="7" t="s">
        <v>8</v>
      </c>
      <c r="B84" s="28">
        <f>B81</f>
        <v>8500</v>
      </c>
      <c r="D84" t="s">
        <v>179</v>
      </c>
    </row>
    <row r="85" spans="1:4">
      <c r="A85" s="10"/>
      <c r="B85" s="17"/>
    </row>
    <row r="86" spans="1:4">
      <c r="A86" s="7" t="s">
        <v>10</v>
      </c>
      <c r="B86" s="28">
        <f>B89/B5</f>
        <v>3025</v>
      </c>
      <c r="D86" t="s">
        <v>121</v>
      </c>
    </row>
    <row r="87" spans="1:4">
      <c r="A87" s="7" t="s">
        <v>11</v>
      </c>
      <c r="B87" s="28">
        <f>B90/B5</f>
        <v>8925</v>
      </c>
      <c r="D87" t="s">
        <v>121</v>
      </c>
    </row>
    <row r="88" spans="1:4">
      <c r="A88" s="6"/>
      <c r="B88" s="17"/>
    </row>
    <row r="89" spans="1:4">
      <c r="A89" s="7" t="s">
        <v>61</v>
      </c>
      <c r="B89" s="28">
        <f>B83*B11</f>
        <v>60500</v>
      </c>
      <c r="D89" t="s">
        <v>121</v>
      </c>
    </row>
    <row r="90" spans="1:4">
      <c r="A90" s="7" t="s">
        <v>60</v>
      </c>
      <c r="B90" s="28">
        <f>B84*B12</f>
        <v>178500</v>
      </c>
      <c r="D90" t="s">
        <v>121</v>
      </c>
    </row>
    <row r="91" spans="1:4">
      <c r="A91" s="7"/>
      <c r="B91" s="17"/>
    </row>
    <row r="92" spans="1:4">
      <c r="A92" s="15" t="s">
        <v>123</v>
      </c>
      <c r="B92" s="17"/>
    </row>
    <row r="93" spans="1:4">
      <c r="A93" s="62" t="s">
        <v>122</v>
      </c>
      <c r="B93" s="17"/>
    </row>
    <row r="94" spans="1:4">
      <c r="A94" s="33" t="s">
        <v>9</v>
      </c>
      <c r="B94" s="28">
        <f>B40+B67</f>
        <v>8880</v>
      </c>
      <c r="D94" t="s">
        <v>126</v>
      </c>
    </row>
    <row r="95" spans="1:4">
      <c r="A95" s="33" t="s">
        <v>8</v>
      </c>
      <c r="B95" s="28">
        <f>B41+B68</f>
        <v>14150</v>
      </c>
      <c r="D95" t="s">
        <v>126</v>
      </c>
    </row>
    <row r="96" spans="1:4">
      <c r="A96" s="10"/>
      <c r="B96" s="17"/>
      <c r="D96" s="2"/>
    </row>
    <row r="97" spans="1:4">
      <c r="A97" s="64" t="s">
        <v>10</v>
      </c>
      <c r="B97" s="28">
        <f>B43+B70</f>
        <v>4884</v>
      </c>
      <c r="D97" t="s">
        <v>126</v>
      </c>
    </row>
    <row r="98" spans="1:4">
      <c r="A98" s="64" t="s">
        <v>11</v>
      </c>
      <c r="B98" s="28">
        <f t="shared" ref="B98" si="0">B44+B71</f>
        <v>14857.5</v>
      </c>
      <c r="D98" t="s">
        <v>126</v>
      </c>
    </row>
    <row r="99" spans="1:4">
      <c r="A99" s="6"/>
      <c r="B99" s="17"/>
    </row>
    <row r="100" spans="1:4">
      <c r="A100" s="64" t="s">
        <v>61</v>
      </c>
      <c r="B100" s="28">
        <f>B46+B73</f>
        <v>97680</v>
      </c>
      <c r="D100" t="s">
        <v>126</v>
      </c>
    </row>
    <row r="101" spans="1:4">
      <c r="A101" s="64" t="s">
        <v>60</v>
      </c>
      <c r="B101" s="28">
        <f>B47+B74</f>
        <v>297150</v>
      </c>
      <c r="D101" t="s">
        <v>126</v>
      </c>
    </row>
    <row r="102" spans="1:4">
      <c r="A102" s="10"/>
      <c r="B102" s="17"/>
    </row>
    <row r="103" spans="1:4">
      <c r="A103" s="62" t="s">
        <v>124</v>
      </c>
      <c r="B103" s="17"/>
    </row>
    <row r="104" spans="1:4">
      <c r="A104" s="64" t="s">
        <v>10</v>
      </c>
      <c r="B104" s="28">
        <f>B107/B5</f>
        <v>8965</v>
      </c>
      <c r="D104" t="s">
        <v>145</v>
      </c>
    </row>
    <row r="105" spans="1:4">
      <c r="A105" s="64" t="s">
        <v>11</v>
      </c>
      <c r="B105" s="28">
        <f>B108/B5</f>
        <v>26302.5</v>
      </c>
      <c r="D105" t="s">
        <v>145</v>
      </c>
    </row>
    <row r="106" spans="1:4">
      <c r="A106" s="6"/>
      <c r="B106" s="17"/>
    </row>
    <row r="107" spans="1:4">
      <c r="A107" s="64" t="s">
        <v>61</v>
      </c>
      <c r="B107" s="28">
        <f>B46+(5*B73)+B89</f>
        <v>179300</v>
      </c>
      <c r="D107" t="s">
        <v>145</v>
      </c>
    </row>
    <row r="108" spans="1:4">
      <c r="A108" s="64" t="s">
        <v>60</v>
      </c>
      <c r="B108" s="28">
        <f>B47+(5*B74)+B90</f>
        <v>526050</v>
      </c>
      <c r="D108" t="s">
        <v>145</v>
      </c>
    </row>
    <row r="109" spans="1:4">
      <c r="A109" s="7"/>
      <c r="B109" s="17"/>
    </row>
    <row r="110" spans="1:4">
      <c r="A110" s="62" t="s">
        <v>125</v>
      </c>
      <c r="B110" s="17"/>
    </row>
    <row r="111" spans="1:4">
      <c r="A111" s="64" t="s">
        <v>10</v>
      </c>
      <c r="B111" s="28">
        <f>B114/B5</f>
        <v>13310</v>
      </c>
      <c r="D111" t="s">
        <v>147</v>
      </c>
    </row>
    <row r="112" spans="1:4">
      <c r="A112" s="64" t="s">
        <v>11</v>
      </c>
      <c r="B112" s="28">
        <f>B115/B5</f>
        <v>38377.5</v>
      </c>
      <c r="D112" t="s">
        <v>147</v>
      </c>
    </row>
    <row r="113" spans="1:4">
      <c r="A113" s="6"/>
      <c r="B113" s="17"/>
    </row>
    <row r="114" spans="1:4">
      <c r="A114" s="64" t="s">
        <v>61</v>
      </c>
      <c r="B114" s="28">
        <f>B46+(10*B73)+(2*B89)</f>
        <v>266200</v>
      </c>
      <c r="D114" t="s">
        <v>147</v>
      </c>
    </row>
    <row r="115" spans="1:4">
      <c r="A115" s="64" t="s">
        <v>60</v>
      </c>
      <c r="B115" s="28">
        <f>B47+(10*B74)+(2*B90)</f>
        <v>767550</v>
      </c>
      <c r="D115" t="s">
        <v>147</v>
      </c>
    </row>
    <row r="116" spans="1:4">
      <c r="A116" s="6"/>
      <c r="B116" s="17"/>
    </row>
    <row r="117" spans="1:4">
      <c r="A117" s="60" t="s">
        <v>127</v>
      </c>
      <c r="B117" s="17"/>
    </row>
    <row r="118" spans="1:4">
      <c r="A118" s="61" t="s">
        <v>242</v>
      </c>
      <c r="B118" s="17"/>
    </row>
    <row r="119" spans="1:4">
      <c r="A119" s="61" t="s">
        <v>52</v>
      </c>
      <c r="B119" s="17"/>
    </row>
    <row r="120" spans="1:4">
      <c r="A120" s="61" t="s">
        <v>286</v>
      </c>
    </row>
    <row r="121" spans="1:4">
      <c r="A121" s="61" t="s">
        <v>287</v>
      </c>
    </row>
    <row r="122" spans="1:4">
      <c r="A122" s="59" t="s">
        <v>243</v>
      </c>
    </row>
    <row r="123" spans="1:4">
      <c r="A123" s="59" t="s">
        <v>235</v>
      </c>
    </row>
    <row r="124" spans="1:4">
      <c r="A124" s="61" t="s">
        <v>246</v>
      </c>
    </row>
  </sheetData>
  <printOptions headings="1" gridLines="1"/>
  <pageMargins left="0.2" right="0.25" top="0.25" bottom="0.25" header="0.3" footer="0.3"/>
  <pageSetup scale="55" pageOrder="overThenDown" orientation="landscape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42"/>
  <sheetViews>
    <sheetView zoomScale="85" zoomScaleNormal="85" workbookViewId="0"/>
  </sheetViews>
  <sheetFormatPr defaultRowHeight="15"/>
  <cols>
    <col min="1" max="1" width="52.7109375" customWidth="1"/>
    <col min="2" max="2" width="9.85546875" customWidth="1"/>
  </cols>
  <sheetData>
    <row r="1" spans="1:4">
      <c r="A1" s="1" t="s">
        <v>233</v>
      </c>
    </row>
    <row r="2" spans="1:4">
      <c r="A2" s="14" t="s">
        <v>30</v>
      </c>
    </row>
    <row r="3" spans="1:4">
      <c r="A3" s="4"/>
    </row>
    <row r="4" spans="1:4">
      <c r="A4" s="14" t="s">
        <v>58</v>
      </c>
      <c r="D4" s="14" t="s">
        <v>148</v>
      </c>
    </row>
    <row r="5" spans="1:4">
      <c r="A5" s="8" t="s">
        <v>2</v>
      </c>
      <c r="B5" s="9"/>
    </row>
    <row r="6" spans="1:4">
      <c r="A6" s="6" t="s">
        <v>3</v>
      </c>
      <c r="B6" s="24">
        <v>20</v>
      </c>
      <c r="D6" t="s">
        <v>15</v>
      </c>
    </row>
    <row r="7" spans="1:4">
      <c r="A7" s="8" t="s">
        <v>4</v>
      </c>
      <c r="B7" s="9"/>
    </row>
    <row r="8" spans="1:4">
      <c r="A8" s="6" t="s">
        <v>6</v>
      </c>
      <c r="B8" s="25">
        <v>0.5</v>
      </c>
      <c r="D8" t="s">
        <v>18</v>
      </c>
    </row>
    <row r="9" spans="1:4">
      <c r="A9" s="10" t="s">
        <v>7</v>
      </c>
      <c r="B9" s="25">
        <v>1</v>
      </c>
      <c r="D9" t="s">
        <v>128</v>
      </c>
    </row>
    <row r="10" spans="1:4">
      <c r="A10" s="6"/>
      <c r="B10" s="12"/>
    </row>
    <row r="11" spans="1:4">
      <c r="A11" s="8" t="s">
        <v>104</v>
      </c>
      <c r="B11" s="12"/>
    </row>
    <row r="12" spans="1:4">
      <c r="A12" s="6" t="s">
        <v>6</v>
      </c>
      <c r="B12" s="27">
        <f>(B6/B9)+1</f>
        <v>21</v>
      </c>
      <c r="D12" t="s">
        <v>59</v>
      </c>
    </row>
    <row r="13" spans="1:4">
      <c r="A13" s="6" t="s">
        <v>7</v>
      </c>
      <c r="B13" s="27">
        <f>(B6/B8)+1</f>
        <v>41</v>
      </c>
      <c r="D13" t="s">
        <v>192</v>
      </c>
    </row>
    <row r="14" spans="1:4">
      <c r="A14" s="14" t="s">
        <v>57</v>
      </c>
      <c r="B14" s="9"/>
      <c r="D14" s="3"/>
    </row>
    <row r="15" spans="1:4">
      <c r="A15" s="14" t="s">
        <v>107</v>
      </c>
      <c r="B15" s="9"/>
      <c r="D15" s="3"/>
    </row>
    <row r="16" spans="1:4">
      <c r="A16" s="3" t="s">
        <v>96</v>
      </c>
      <c r="D16" s="14"/>
    </row>
    <row r="17" spans="1:15">
      <c r="A17" s="6" t="s">
        <v>41</v>
      </c>
      <c r="B17" s="26">
        <v>4200</v>
      </c>
      <c r="D17" t="s">
        <v>103</v>
      </c>
      <c r="L17" s="5"/>
      <c r="M17" s="5"/>
      <c r="N17" s="5"/>
      <c r="O17" s="5"/>
    </row>
    <row r="18" spans="1:15">
      <c r="A18" s="6" t="s">
        <v>42</v>
      </c>
      <c r="B18" s="26">
        <v>240</v>
      </c>
      <c r="D18" t="s">
        <v>31</v>
      </c>
    </row>
    <row r="19" spans="1:15">
      <c r="A19" s="6" t="s">
        <v>43</v>
      </c>
      <c r="B19" s="26">
        <v>2400</v>
      </c>
      <c r="D19" t="s">
        <v>32</v>
      </c>
    </row>
    <row r="20" spans="1:15">
      <c r="A20" s="6" t="s">
        <v>44</v>
      </c>
      <c r="B20" s="26">
        <v>3200</v>
      </c>
      <c r="D20" t="s">
        <v>33</v>
      </c>
      <c r="J20" s="5"/>
      <c r="K20" s="5"/>
      <c r="L20" s="5"/>
      <c r="M20" s="5"/>
      <c r="N20" s="5"/>
    </row>
    <row r="21" spans="1:15">
      <c r="A21" s="6" t="s">
        <v>45</v>
      </c>
      <c r="B21" s="26">
        <v>3200</v>
      </c>
      <c r="D21" t="s">
        <v>34</v>
      </c>
      <c r="J21" s="5"/>
      <c r="K21" s="5"/>
      <c r="L21" s="5"/>
      <c r="M21" s="5"/>
      <c r="N21" s="5"/>
    </row>
    <row r="22" spans="1:15">
      <c r="A22" s="6" t="s">
        <v>46</v>
      </c>
      <c r="B22" s="26">
        <v>288</v>
      </c>
      <c r="D22" t="s">
        <v>35</v>
      </c>
      <c r="J22" s="5"/>
      <c r="K22" s="5"/>
      <c r="L22" s="5"/>
      <c r="M22" s="5"/>
      <c r="N22" s="5"/>
    </row>
    <row r="23" spans="1:15">
      <c r="A23" s="6" t="s">
        <v>40</v>
      </c>
      <c r="B23" s="26">
        <v>27</v>
      </c>
      <c r="D23" t="s">
        <v>36</v>
      </c>
      <c r="J23" s="5"/>
      <c r="K23" s="5"/>
      <c r="L23" s="5"/>
      <c r="M23" s="5"/>
      <c r="N23" s="5"/>
    </row>
    <row r="24" spans="1:15">
      <c r="A24" s="6" t="s">
        <v>39</v>
      </c>
      <c r="B24" s="26">
        <v>1200</v>
      </c>
      <c r="D24" t="s">
        <v>37</v>
      </c>
      <c r="J24" s="5"/>
      <c r="K24" s="5"/>
      <c r="L24" s="5"/>
      <c r="M24" s="5"/>
      <c r="N24" s="5"/>
    </row>
    <row r="25" spans="1:15">
      <c r="A25" s="6" t="s">
        <v>38</v>
      </c>
      <c r="B25" s="26">
        <v>6000</v>
      </c>
      <c r="D25" t="s">
        <v>53</v>
      </c>
      <c r="J25" s="5"/>
      <c r="K25" s="5"/>
      <c r="L25" s="5"/>
      <c r="M25" s="5"/>
      <c r="N25" s="5"/>
    </row>
    <row r="26" spans="1:15">
      <c r="A26" s="4"/>
      <c r="B26" s="18"/>
      <c r="J26" s="5"/>
      <c r="K26" s="5"/>
      <c r="L26" s="5"/>
      <c r="M26" s="5"/>
      <c r="N26" s="5"/>
    </row>
    <row r="27" spans="1:15">
      <c r="A27" s="6" t="s">
        <v>48</v>
      </c>
      <c r="B27" s="26">
        <f>SUM(B17:B25)</f>
        <v>20755</v>
      </c>
      <c r="J27" s="5"/>
      <c r="K27" s="5"/>
      <c r="L27" s="5"/>
      <c r="M27" s="5"/>
      <c r="N27" s="5"/>
    </row>
    <row r="28" spans="1:15">
      <c r="A28" s="4"/>
      <c r="B28" s="17"/>
    </row>
    <row r="29" spans="1:15">
      <c r="A29" s="6" t="s">
        <v>49</v>
      </c>
      <c r="B29" s="29">
        <v>0.1</v>
      </c>
      <c r="D29" t="s">
        <v>47</v>
      </c>
    </row>
    <row r="30" spans="1:15">
      <c r="A30" s="4"/>
      <c r="B30" s="17"/>
    </row>
    <row r="31" spans="1:15">
      <c r="A31" s="16" t="s">
        <v>6</v>
      </c>
      <c r="B31" s="28">
        <f>B27 - (B27*B29)</f>
        <v>18679.5</v>
      </c>
      <c r="D31" s="2" t="s">
        <v>50</v>
      </c>
    </row>
    <row r="32" spans="1:15">
      <c r="A32" s="19" t="s">
        <v>7</v>
      </c>
      <c r="B32" s="28">
        <f>B27+(B27*B29)</f>
        <v>22830.5</v>
      </c>
      <c r="D32" s="2" t="s">
        <v>51</v>
      </c>
    </row>
    <row r="33" spans="1:4">
      <c r="A33" s="19"/>
      <c r="B33" s="11"/>
    </row>
    <row r="34" spans="1:4">
      <c r="A34" s="8" t="s">
        <v>97</v>
      </c>
      <c r="B34" s="11"/>
    </row>
    <row r="35" spans="1:4">
      <c r="A35" s="16" t="s">
        <v>6</v>
      </c>
      <c r="B35" s="26">
        <v>800</v>
      </c>
      <c r="D35" t="s">
        <v>279</v>
      </c>
    </row>
    <row r="36" spans="1:4">
      <c r="A36" s="19" t="s">
        <v>7</v>
      </c>
      <c r="B36" s="26">
        <v>1600</v>
      </c>
      <c r="D36" t="s">
        <v>280</v>
      </c>
    </row>
    <row r="37" spans="1:4">
      <c r="A37" s="19"/>
      <c r="B37" s="17"/>
    </row>
    <row r="38" spans="1:4">
      <c r="A38" s="8" t="s">
        <v>138</v>
      </c>
      <c r="B38" s="18"/>
      <c r="D38" s="3" t="s">
        <v>17</v>
      </c>
    </row>
    <row r="39" spans="1:4">
      <c r="A39" s="6" t="s">
        <v>6</v>
      </c>
      <c r="B39" s="26">
        <v>0</v>
      </c>
      <c r="D39" t="s">
        <v>271</v>
      </c>
    </row>
    <row r="40" spans="1:4">
      <c r="A40" s="10" t="s">
        <v>7</v>
      </c>
      <c r="B40" s="26">
        <v>0</v>
      </c>
      <c r="D40" t="s">
        <v>272</v>
      </c>
    </row>
    <row r="41" spans="1:4">
      <c r="A41" s="19"/>
      <c r="B41" s="17"/>
    </row>
    <row r="42" spans="1:4">
      <c r="A42" s="15" t="s">
        <v>108</v>
      </c>
      <c r="B42" s="17"/>
    </row>
    <row r="43" spans="1:4">
      <c r="A43" s="7" t="s">
        <v>162</v>
      </c>
      <c r="B43" s="28">
        <f>B31+B35+B39</f>
        <v>19479.5</v>
      </c>
    </row>
    <row r="44" spans="1:4">
      <c r="A44" s="7" t="s">
        <v>163</v>
      </c>
      <c r="B44" s="28">
        <f>B32+B36+B40</f>
        <v>24430.5</v>
      </c>
    </row>
    <row r="45" spans="1:4">
      <c r="A45" s="10"/>
      <c r="B45" s="17"/>
    </row>
    <row r="46" spans="1:4">
      <c r="A46" s="7" t="s">
        <v>10</v>
      </c>
      <c r="B46" s="28">
        <f>(B43*B12)/B6</f>
        <v>20453.474999999999</v>
      </c>
    </row>
    <row r="47" spans="1:4">
      <c r="A47" s="7" t="s">
        <v>11</v>
      </c>
      <c r="B47" s="28">
        <f>(B44*B13)/B6</f>
        <v>50082.525000000001</v>
      </c>
    </row>
    <row r="48" spans="1:4">
      <c r="A48" s="6"/>
      <c r="B48" s="17"/>
    </row>
    <row r="49" spans="1:15">
      <c r="A49" s="7" t="s">
        <v>61</v>
      </c>
      <c r="B49" s="28">
        <f>B46*B6</f>
        <v>409069.5</v>
      </c>
    </row>
    <row r="50" spans="1:15">
      <c r="A50" s="7" t="s">
        <v>60</v>
      </c>
      <c r="B50" s="28">
        <f>B47*B6</f>
        <v>1001650.5</v>
      </c>
    </row>
    <row r="51" spans="1:15">
      <c r="A51" s="19"/>
      <c r="B51" s="17"/>
    </row>
    <row r="52" spans="1:15">
      <c r="A52" s="15" t="s">
        <v>110</v>
      </c>
      <c r="B52" s="17"/>
    </row>
    <row r="53" spans="1:15">
      <c r="A53" s="13" t="s">
        <v>98</v>
      </c>
      <c r="B53" s="17"/>
    </row>
    <row r="54" spans="1:15">
      <c r="A54" s="16" t="s">
        <v>6</v>
      </c>
      <c r="B54" s="26">
        <v>480</v>
      </c>
      <c r="D54" t="s">
        <v>141</v>
      </c>
      <c r="L54" s="5"/>
      <c r="M54" s="5"/>
      <c r="N54" s="5"/>
      <c r="O54" s="5"/>
    </row>
    <row r="55" spans="1:15">
      <c r="A55" s="19" t="s">
        <v>7</v>
      </c>
      <c r="B55" s="26">
        <v>600</v>
      </c>
      <c r="D55" t="s">
        <v>142</v>
      </c>
    </row>
    <row r="56" spans="1:15">
      <c r="A56" s="19"/>
      <c r="B56" s="17"/>
    </row>
    <row r="57" spans="1:15">
      <c r="A57" s="13" t="s">
        <v>99</v>
      </c>
      <c r="B57" s="17"/>
    </row>
    <row r="58" spans="1:15">
      <c r="A58" s="6" t="s">
        <v>6</v>
      </c>
      <c r="B58" s="26">
        <v>0</v>
      </c>
      <c r="D58" t="s">
        <v>140</v>
      </c>
    </row>
    <row r="59" spans="1:15">
      <c r="A59" s="10" t="s">
        <v>7</v>
      </c>
      <c r="B59" s="26">
        <v>0</v>
      </c>
      <c r="D59" t="s">
        <v>140</v>
      </c>
    </row>
    <row r="60" spans="1:15">
      <c r="A60" s="10"/>
      <c r="B60" s="17"/>
    </row>
    <row r="61" spans="1:15">
      <c r="A61" s="13" t="s">
        <v>93</v>
      </c>
      <c r="B61" s="17"/>
    </row>
    <row r="62" spans="1:15">
      <c r="A62" s="6" t="s">
        <v>6</v>
      </c>
      <c r="B62" s="26">
        <v>0</v>
      </c>
      <c r="D62" t="s">
        <v>116</v>
      </c>
    </row>
    <row r="63" spans="1:15">
      <c r="A63" s="10" t="s">
        <v>7</v>
      </c>
      <c r="B63" s="26">
        <v>0</v>
      </c>
      <c r="D63" t="s">
        <v>117</v>
      </c>
    </row>
    <row r="64" spans="1:15" s="5" customFormat="1">
      <c r="A64" s="13"/>
      <c r="B64" s="17"/>
    </row>
    <row r="65" spans="1:4">
      <c r="A65" s="15" t="s">
        <v>115</v>
      </c>
      <c r="B65" s="17"/>
      <c r="D65" s="3"/>
    </row>
    <row r="66" spans="1:4">
      <c r="A66" s="7" t="s">
        <v>162</v>
      </c>
      <c r="B66" s="28">
        <f>B54+B58+B62</f>
        <v>480</v>
      </c>
      <c r="D66" s="2"/>
    </row>
    <row r="67" spans="1:4">
      <c r="A67" s="7" t="s">
        <v>163</v>
      </c>
      <c r="B67" s="28">
        <f>B55+B59+B63</f>
        <v>600</v>
      </c>
      <c r="D67" s="2"/>
    </row>
    <row r="68" spans="1:4">
      <c r="A68" s="10"/>
      <c r="B68" s="17"/>
    </row>
    <row r="69" spans="1:4">
      <c r="A69" s="7" t="s">
        <v>10</v>
      </c>
      <c r="B69" s="28">
        <f>B66*B12/B6</f>
        <v>504</v>
      </c>
    </row>
    <row r="70" spans="1:4">
      <c r="A70" s="7" t="s">
        <v>11</v>
      </c>
      <c r="B70" s="28">
        <f>B67*B13/B6</f>
        <v>1230</v>
      </c>
    </row>
    <row r="71" spans="1:4">
      <c r="A71" s="6"/>
      <c r="B71" s="17"/>
    </row>
    <row r="72" spans="1:4">
      <c r="A72" s="7" t="s">
        <v>61</v>
      </c>
      <c r="B72" s="28">
        <f>B69*B6</f>
        <v>10080</v>
      </c>
    </row>
    <row r="73" spans="1:4">
      <c r="A73" s="7" t="s">
        <v>60</v>
      </c>
      <c r="B73" s="28">
        <f>B70*B6</f>
        <v>24600</v>
      </c>
    </row>
    <row r="74" spans="1:4">
      <c r="A74" s="6"/>
      <c r="B74" s="12"/>
    </row>
    <row r="75" spans="1:4">
      <c r="A75" s="15" t="s">
        <v>149</v>
      </c>
      <c r="B75" s="9"/>
    </row>
    <row r="76" spans="1:4">
      <c r="A76" s="3" t="s">
        <v>150</v>
      </c>
    </row>
    <row r="77" spans="1:4">
      <c r="A77" s="6" t="s">
        <v>165</v>
      </c>
      <c r="B77" s="26">
        <v>350</v>
      </c>
      <c r="D77" t="s">
        <v>151</v>
      </c>
    </row>
    <row r="78" spans="1:4">
      <c r="A78" s="6" t="s">
        <v>164</v>
      </c>
      <c r="B78" s="26">
        <v>800</v>
      </c>
      <c r="D78" t="s">
        <v>281</v>
      </c>
    </row>
    <row r="79" spans="1:4">
      <c r="A79" s="6" t="s">
        <v>166</v>
      </c>
      <c r="B79" s="26">
        <v>2000</v>
      </c>
      <c r="D79" t="s">
        <v>152</v>
      </c>
    </row>
    <row r="80" spans="1:4">
      <c r="A80" s="4"/>
      <c r="B80" s="18"/>
    </row>
    <row r="81" spans="1:4">
      <c r="A81" s="6" t="s">
        <v>153</v>
      </c>
      <c r="B81" s="26">
        <f>SUM(B77:B79)</f>
        <v>3150</v>
      </c>
    </row>
    <row r="82" spans="1:4">
      <c r="A82" s="4"/>
      <c r="B82" s="17"/>
    </row>
    <row r="83" spans="1:4">
      <c r="A83" s="6" t="s">
        <v>49</v>
      </c>
      <c r="B83" s="29">
        <v>0.2</v>
      </c>
      <c r="D83" t="s">
        <v>167</v>
      </c>
    </row>
    <row r="84" spans="1:4">
      <c r="A84" s="6"/>
      <c r="B84" s="36"/>
    </row>
    <row r="85" spans="1:4">
      <c r="A85" s="3" t="s">
        <v>161</v>
      </c>
      <c r="B85" s="17"/>
    </row>
    <row r="86" spans="1:4">
      <c r="A86" s="16" t="s">
        <v>6</v>
      </c>
      <c r="B86" s="28">
        <f>B81 - (B81*B83)</f>
        <v>2520</v>
      </c>
      <c r="D86" s="2" t="s">
        <v>50</v>
      </c>
    </row>
    <row r="87" spans="1:4">
      <c r="A87" s="19" t="s">
        <v>7</v>
      </c>
      <c r="B87" s="28">
        <f>B81+(B81*B83)</f>
        <v>3780</v>
      </c>
      <c r="D87" s="2" t="s">
        <v>51</v>
      </c>
    </row>
    <row r="89" spans="1:4">
      <c r="A89" s="14" t="s">
        <v>123</v>
      </c>
    </row>
    <row r="90" spans="1:4">
      <c r="A90" s="63" t="s">
        <v>122</v>
      </c>
    </row>
    <row r="91" spans="1:4">
      <c r="A91" s="33" t="s">
        <v>162</v>
      </c>
      <c r="B91" s="28">
        <f>B43+B66</f>
        <v>19959.5</v>
      </c>
      <c r="D91" t="s">
        <v>154</v>
      </c>
    </row>
    <row r="92" spans="1:4">
      <c r="A92" s="33" t="s">
        <v>163</v>
      </c>
      <c r="B92" s="28">
        <f>B44+B67</f>
        <v>25030.5</v>
      </c>
      <c r="D92" t="s">
        <v>154</v>
      </c>
    </row>
    <row r="93" spans="1:4">
      <c r="A93" s="10"/>
      <c r="B93" s="17"/>
    </row>
    <row r="94" spans="1:4">
      <c r="A94" s="64" t="s">
        <v>10</v>
      </c>
      <c r="B94" s="28">
        <f>B46+B69</f>
        <v>20957.474999999999</v>
      </c>
      <c r="D94" t="s">
        <v>154</v>
      </c>
    </row>
    <row r="95" spans="1:4">
      <c r="A95" s="64" t="s">
        <v>11</v>
      </c>
      <c r="B95" s="28">
        <f>B47+B70</f>
        <v>51312.525000000001</v>
      </c>
      <c r="D95" t="s">
        <v>154</v>
      </c>
    </row>
    <row r="96" spans="1:4">
      <c r="A96" s="6"/>
      <c r="B96" s="17"/>
    </row>
    <row r="97" spans="1:9">
      <c r="A97" s="64" t="s">
        <v>61</v>
      </c>
      <c r="B97" s="28">
        <f>B49+B72</f>
        <v>419149.5</v>
      </c>
      <c r="D97" t="s">
        <v>154</v>
      </c>
    </row>
    <row r="98" spans="1:9">
      <c r="A98" s="64" t="s">
        <v>60</v>
      </c>
      <c r="B98" s="28">
        <f>B50+B73</f>
        <v>1026250.5</v>
      </c>
      <c r="D98" t="s">
        <v>154</v>
      </c>
    </row>
    <row r="100" spans="1:9">
      <c r="A100" s="62" t="s">
        <v>124</v>
      </c>
    </row>
    <row r="101" spans="1:9">
      <c r="A101" s="8" t="s">
        <v>157</v>
      </c>
    </row>
    <row r="102" spans="1:9">
      <c r="A102" s="16" t="s">
        <v>6</v>
      </c>
      <c r="B102" s="38">
        <f>B12*12</f>
        <v>252</v>
      </c>
      <c r="D102" t="s">
        <v>158</v>
      </c>
    </row>
    <row r="103" spans="1:9">
      <c r="A103" s="19" t="s">
        <v>7</v>
      </c>
      <c r="B103" s="38">
        <f>B13*12</f>
        <v>492</v>
      </c>
      <c r="D103" t="s">
        <v>159</v>
      </c>
    </row>
    <row r="104" spans="1:9">
      <c r="A104" s="8"/>
    </row>
    <row r="105" spans="1:9">
      <c r="A105" s="8" t="s">
        <v>155</v>
      </c>
    </row>
    <row r="106" spans="1:9">
      <c r="A106" s="16" t="s">
        <v>6</v>
      </c>
      <c r="B106" s="29">
        <v>0.2</v>
      </c>
      <c r="D106" t="s">
        <v>169</v>
      </c>
    </row>
    <row r="107" spans="1:9">
      <c r="A107" s="19" t="s">
        <v>7</v>
      </c>
      <c r="B107" s="29">
        <v>0.5</v>
      </c>
      <c r="D107" t="s">
        <v>170</v>
      </c>
    </row>
    <row r="108" spans="1:9">
      <c r="A108" s="19"/>
      <c r="B108" s="36"/>
    </row>
    <row r="109" spans="1:9">
      <c r="A109" s="8" t="s">
        <v>168</v>
      </c>
      <c r="B109" s="36"/>
    </row>
    <row r="110" spans="1:9">
      <c r="A110" s="16" t="s">
        <v>6</v>
      </c>
      <c r="B110" s="37">
        <f>B106*B102</f>
        <v>50.400000000000006</v>
      </c>
      <c r="D110" s="5" t="s">
        <v>171</v>
      </c>
      <c r="E110" s="5"/>
      <c r="F110" s="5"/>
      <c r="G110" s="5"/>
      <c r="H110" s="5"/>
      <c r="I110" s="5"/>
    </row>
    <row r="111" spans="1:9">
      <c r="A111" s="19" t="s">
        <v>7</v>
      </c>
      <c r="B111" s="37">
        <f>B107*B103</f>
        <v>246</v>
      </c>
      <c r="D111" s="5" t="s">
        <v>171</v>
      </c>
      <c r="E111" s="5"/>
      <c r="F111" s="5"/>
      <c r="G111" s="5"/>
      <c r="H111" s="5"/>
      <c r="I111" s="5"/>
    </row>
    <row r="112" spans="1:9">
      <c r="A112" s="8"/>
    </row>
    <row r="113" spans="1:4">
      <c r="A113" s="64" t="s">
        <v>10</v>
      </c>
      <c r="B113" s="28">
        <f>B116/B6</f>
        <v>29323.875</v>
      </c>
      <c r="D113" t="s">
        <v>156</v>
      </c>
    </row>
    <row r="114" spans="1:4">
      <c r="A114" s="64" t="s">
        <v>11</v>
      </c>
      <c r="B114" s="28">
        <f>B117/B6</f>
        <v>102726.52499999999</v>
      </c>
      <c r="D114" t="s">
        <v>160</v>
      </c>
    </row>
    <row r="115" spans="1:4">
      <c r="A115" s="6"/>
      <c r="B115" s="17"/>
    </row>
    <row r="116" spans="1:4">
      <c r="A116" s="64" t="s">
        <v>61</v>
      </c>
      <c r="B116" s="28">
        <f>B49+(5*B72)+(B110*B86)</f>
        <v>586477.5</v>
      </c>
      <c r="D116" t="s">
        <v>156</v>
      </c>
    </row>
    <row r="117" spans="1:4">
      <c r="A117" s="64" t="s">
        <v>60</v>
      </c>
      <c r="B117" s="28">
        <f>B50+(5*B73)+(B111*B87)</f>
        <v>2054530.5</v>
      </c>
      <c r="D117" t="s">
        <v>160</v>
      </c>
    </row>
    <row r="118" spans="1:4">
      <c r="A118" s="7"/>
      <c r="B118" s="17"/>
    </row>
    <row r="119" spans="1:4">
      <c r="A119" s="62" t="s">
        <v>125</v>
      </c>
      <c r="B119" s="17"/>
    </row>
    <row r="120" spans="1:4">
      <c r="A120" s="8" t="s">
        <v>157</v>
      </c>
    </row>
    <row r="121" spans="1:4">
      <c r="A121" s="16" t="s">
        <v>6</v>
      </c>
      <c r="B121" s="38">
        <f>B12*12</f>
        <v>252</v>
      </c>
      <c r="D121" t="s">
        <v>158</v>
      </c>
    </row>
    <row r="122" spans="1:4">
      <c r="A122" s="19" t="s">
        <v>7</v>
      </c>
      <c r="B122" s="38">
        <f>B13*12</f>
        <v>492</v>
      </c>
      <c r="D122" t="s">
        <v>159</v>
      </c>
    </row>
    <row r="123" spans="1:4">
      <c r="A123" s="8"/>
    </row>
    <row r="124" spans="1:4">
      <c r="A124" s="8" t="s">
        <v>174</v>
      </c>
    </row>
    <row r="125" spans="1:4">
      <c r="A125" s="16" t="s">
        <v>6</v>
      </c>
      <c r="B125" s="29">
        <v>0.7</v>
      </c>
      <c r="D125" t="s">
        <v>172</v>
      </c>
    </row>
    <row r="126" spans="1:4">
      <c r="A126" s="19" t="s">
        <v>7</v>
      </c>
      <c r="B126" s="29">
        <v>0.9</v>
      </c>
      <c r="D126" t="s">
        <v>173</v>
      </c>
    </row>
    <row r="127" spans="1:4">
      <c r="A127" s="19"/>
      <c r="B127" s="36"/>
    </row>
    <row r="128" spans="1:4">
      <c r="A128" s="8" t="s">
        <v>175</v>
      </c>
      <c r="B128" s="36"/>
    </row>
    <row r="129" spans="1:4">
      <c r="A129" s="16" t="s">
        <v>6</v>
      </c>
      <c r="B129" s="37">
        <f>B125*B121</f>
        <v>176.39999999999998</v>
      </c>
      <c r="D129" s="5" t="s">
        <v>176</v>
      </c>
    </row>
    <row r="130" spans="1:4">
      <c r="A130" s="19" t="s">
        <v>7</v>
      </c>
      <c r="B130" s="37">
        <f>B126*B122</f>
        <v>442.8</v>
      </c>
      <c r="D130" s="5" t="s">
        <v>176</v>
      </c>
    </row>
    <row r="131" spans="1:4">
      <c r="A131" s="8"/>
    </row>
    <row r="132" spans="1:4">
      <c r="A132" s="64" t="s">
        <v>10</v>
      </c>
      <c r="B132" s="28">
        <f>B135/B6</f>
        <v>47719.875</v>
      </c>
      <c r="D132" t="s">
        <v>177</v>
      </c>
    </row>
    <row r="133" spans="1:4">
      <c r="A133" s="64" t="s">
        <v>11</v>
      </c>
      <c r="B133" s="28">
        <f>B136/B6</f>
        <v>146071.72500000001</v>
      </c>
      <c r="D133" t="s">
        <v>178</v>
      </c>
    </row>
    <row r="134" spans="1:4">
      <c r="A134" s="6"/>
      <c r="B134" s="17"/>
    </row>
    <row r="135" spans="1:4">
      <c r="A135" s="64" t="s">
        <v>61</v>
      </c>
      <c r="B135" s="28">
        <f>B49+(10*B72)+(B129*B86)</f>
        <v>954397.5</v>
      </c>
      <c r="D135" t="s">
        <v>177</v>
      </c>
    </row>
    <row r="136" spans="1:4">
      <c r="A136" s="64" t="s">
        <v>60</v>
      </c>
      <c r="B136" s="28">
        <f>B50+(10*B73)+(B130*B87)</f>
        <v>2921434.5</v>
      </c>
      <c r="D136" t="s">
        <v>178</v>
      </c>
    </row>
    <row r="137" spans="1:4">
      <c r="A137" s="8"/>
      <c r="B137" s="17"/>
    </row>
    <row r="138" spans="1:4">
      <c r="A138" s="60" t="s">
        <v>127</v>
      </c>
    </row>
    <row r="139" spans="1:4">
      <c r="A139" s="61" t="s">
        <v>244</v>
      </c>
    </row>
    <row r="140" spans="1:4">
      <c r="A140" s="61" t="s">
        <v>286</v>
      </c>
    </row>
    <row r="141" spans="1:4">
      <c r="A141" s="61" t="s">
        <v>287</v>
      </c>
    </row>
    <row r="142" spans="1:4">
      <c r="A142" s="59" t="s">
        <v>243</v>
      </c>
    </row>
  </sheetData>
  <printOptions headings="1" gridLines="1"/>
  <pageMargins left="0.2" right="0.2" top="0.25" bottom="0.25" header="0.3" footer="0.3"/>
  <pageSetup scale="50" pageOrder="overThenDown" orientation="landscape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18"/>
  <sheetViews>
    <sheetView zoomScale="85" zoomScaleNormal="85" workbookViewId="0"/>
  </sheetViews>
  <sheetFormatPr defaultRowHeight="15"/>
  <cols>
    <col min="1" max="1" width="49.85546875" bestFit="1" customWidth="1"/>
    <col min="2" max="2" width="10.28515625" bestFit="1" customWidth="1"/>
  </cols>
  <sheetData>
    <row r="1" spans="1:4">
      <c r="A1" s="1" t="s">
        <v>210</v>
      </c>
    </row>
    <row r="2" spans="1:4">
      <c r="A2" s="1" t="s">
        <v>55</v>
      </c>
    </row>
    <row r="3" spans="1:4">
      <c r="A3" s="1"/>
      <c r="B3" s="9"/>
      <c r="D3" s="3"/>
    </row>
    <row r="4" spans="1:4">
      <c r="A4" s="14" t="s">
        <v>58</v>
      </c>
      <c r="D4" s="14" t="s">
        <v>109</v>
      </c>
    </row>
    <row r="5" spans="1:4">
      <c r="A5" s="8" t="s">
        <v>2</v>
      </c>
      <c r="B5" s="9"/>
    </row>
    <row r="6" spans="1:4">
      <c r="A6" s="6" t="s">
        <v>3</v>
      </c>
      <c r="B6" s="24">
        <v>20</v>
      </c>
      <c r="D6" t="s">
        <v>15</v>
      </c>
    </row>
    <row r="7" spans="1:4">
      <c r="A7" s="8" t="s">
        <v>4</v>
      </c>
      <c r="B7" s="9"/>
    </row>
    <row r="8" spans="1:4">
      <c r="A8" s="6" t="s">
        <v>6</v>
      </c>
      <c r="B8" s="25">
        <v>0.5</v>
      </c>
      <c r="D8" t="s">
        <v>18</v>
      </c>
    </row>
    <row r="9" spans="1:4">
      <c r="A9" s="10" t="s">
        <v>7</v>
      </c>
      <c r="B9" s="25">
        <v>1</v>
      </c>
      <c r="D9" t="s">
        <v>128</v>
      </c>
    </row>
    <row r="10" spans="1:4">
      <c r="A10" s="6"/>
      <c r="B10" s="12"/>
    </row>
    <row r="11" spans="1:4">
      <c r="A11" s="8" t="s">
        <v>194</v>
      </c>
      <c r="B11" s="12"/>
    </row>
    <row r="12" spans="1:4">
      <c r="A12" s="6" t="s">
        <v>6</v>
      </c>
      <c r="B12" s="27">
        <f>(B6/B9)+1</f>
        <v>21</v>
      </c>
      <c r="D12" t="s">
        <v>251</v>
      </c>
    </row>
    <row r="13" spans="1:4">
      <c r="A13" s="6" t="s">
        <v>7</v>
      </c>
      <c r="B13" s="27">
        <f>(B6/B8)+1</f>
        <v>41</v>
      </c>
      <c r="D13" t="s">
        <v>252</v>
      </c>
    </row>
    <row r="14" spans="1:4">
      <c r="A14" s="14" t="s">
        <v>57</v>
      </c>
      <c r="B14" s="9"/>
      <c r="D14" s="3"/>
    </row>
    <row r="15" spans="1:4">
      <c r="A15" s="14" t="s">
        <v>107</v>
      </c>
      <c r="B15" s="9"/>
      <c r="D15" s="3"/>
    </row>
    <row r="16" spans="1:4">
      <c r="A16" s="3" t="s">
        <v>129</v>
      </c>
      <c r="B16" s="9"/>
      <c r="D16" s="14"/>
    </row>
    <row r="17" spans="1:4">
      <c r="A17" s="6" t="s">
        <v>6</v>
      </c>
      <c r="B17" s="26">
        <v>8800</v>
      </c>
      <c r="D17" t="s">
        <v>88</v>
      </c>
    </row>
    <row r="18" spans="1:4">
      <c r="A18" s="10" t="s">
        <v>7</v>
      </c>
      <c r="B18" s="26">
        <v>10000</v>
      </c>
      <c r="D18" t="s">
        <v>193</v>
      </c>
    </row>
    <row r="19" spans="1:4">
      <c r="A19" s="10"/>
      <c r="B19" s="17"/>
    </row>
    <row r="20" spans="1:4">
      <c r="A20" s="8" t="s">
        <v>130</v>
      </c>
      <c r="B20" s="17"/>
    </row>
    <row r="21" spans="1:4">
      <c r="A21" s="6" t="s">
        <v>6</v>
      </c>
      <c r="B21" s="26">
        <v>0</v>
      </c>
      <c r="D21" t="s">
        <v>131</v>
      </c>
    </row>
    <row r="22" spans="1:4">
      <c r="A22" s="10" t="s">
        <v>7</v>
      </c>
      <c r="B22" s="26">
        <v>0</v>
      </c>
      <c r="D22" t="s">
        <v>131</v>
      </c>
    </row>
    <row r="23" spans="1:4">
      <c r="A23" s="10"/>
      <c r="B23" s="17"/>
    </row>
    <row r="24" spans="1:4">
      <c r="A24" s="8" t="s">
        <v>95</v>
      </c>
      <c r="B24" s="17"/>
    </row>
    <row r="25" spans="1:4">
      <c r="A25" s="6" t="s">
        <v>6</v>
      </c>
      <c r="B25" s="26">
        <v>700</v>
      </c>
      <c r="D25" t="s">
        <v>282</v>
      </c>
    </row>
    <row r="26" spans="1:4">
      <c r="A26" s="10" t="s">
        <v>7</v>
      </c>
      <c r="B26" s="26">
        <v>1300</v>
      </c>
      <c r="D26" t="s">
        <v>283</v>
      </c>
    </row>
    <row r="27" spans="1:4">
      <c r="A27" s="10"/>
      <c r="B27" s="17"/>
    </row>
    <row r="28" spans="1:4">
      <c r="A28" s="8" t="s">
        <v>100</v>
      </c>
      <c r="B28" s="17"/>
    </row>
    <row r="29" spans="1:4">
      <c r="A29" s="6" t="s">
        <v>6</v>
      </c>
      <c r="B29" s="26">
        <v>6000</v>
      </c>
      <c r="D29" t="s">
        <v>54</v>
      </c>
    </row>
    <row r="30" spans="1:4">
      <c r="A30" s="6" t="s">
        <v>7</v>
      </c>
      <c r="B30" s="26">
        <v>6000</v>
      </c>
      <c r="D30" t="s">
        <v>54</v>
      </c>
    </row>
    <row r="31" spans="1:4">
      <c r="A31" s="6"/>
      <c r="B31" s="17"/>
    </row>
    <row r="32" spans="1:4">
      <c r="A32" s="8" t="s">
        <v>138</v>
      </c>
      <c r="B32" s="18"/>
      <c r="D32" s="3" t="s">
        <v>17</v>
      </c>
    </row>
    <row r="33" spans="1:4">
      <c r="A33" s="6" t="s">
        <v>6</v>
      </c>
      <c r="B33" s="26">
        <v>0</v>
      </c>
      <c r="D33" t="s">
        <v>271</v>
      </c>
    </row>
    <row r="34" spans="1:4">
      <c r="A34" s="10" t="s">
        <v>7</v>
      </c>
      <c r="B34" s="26">
        <v>0</v>
      </c>
      <c r="D34" t="s">
        <v>272</v>
      </c>
    </row>
    <row r="35" spans="1:4">
      <c r="A35" s="6"/>
      <c r="B35" s="17"/>
    </row>
    <row r="36" spans="1:4">
      <c r="A36" s="15" t="s">
        <v>108</v>
      </c>
      <c r="B36" s="17"/>
    </row>
    <row r="37" spans="1:4">
      <c r="A37" s="7" t="s">
        <v>162</v>
      </c>
      <c r="B37" s="28">
        <f>B17+B21+B25+B29+B33</f>
        <v>15500</v>
      </c>
      <c r="D37" t="s">
        <v>253</v>
      </c>
    </row>
    <row r="38" spans="1:4">
      <c r="A38" s="7" t="s">
        <v>163</v>
      </c>
      <c r="B38" s="28">
        <f>B18+B22+B26+B30+B34</f>
        <v>17300</v>
      </c>
      <c r="D38" t="s">
        <v>253</v>
      </c>
    </row>
    <row r="39" spans="1:4">
      <c r="A39" s="10"/>
      <c r="B39" s="17"/>
    </row>
    <row r="40" spans="1:4">
      <c r="A40" s="7" t="s">
        <v>10</v>
      </c>
      <c r="B40" s="28">
        <f>B43/B6</f>
        <v>16275</v>
      </c>
    </row>
    <row r="41" spans="1:4">
      <c r="A41" s="7" t="s">
        <v>11</v>
      </c>
      <c r="B41" s="28">
        <f>B44/B6</f>
        <v>35465</v>
      </c>
    </row>
    <row r="42" spans="1:4">
      <c r="A42" s="6"/>
      <c r="B42" s="17"/>
    </row>
    <row r="43" spans="1:4">
      <c r="A43" s="7" t="s">
        <v>61</v>
      </c>
      <c r="B43" s="28">
        <f>B37*B12</f>
        <v>325500</v>
      </c>
    </row>
    <row r="44" spans="1:4">
      <c r="A44" s="7" t="s">
        <v>60</v>
      </c>
      <c r="B44" s="28">
        <f>B38*B13</f>
        <v>709300</v>
      </c>
    </row>
    <row r="45" spans="1:4">
      <c r="A45" s="6"/>
      <c r="B45" s="17"/>
    </row>
    <row r="46" spans="1:4">
      <c r="A46" s="15" t="s">
        <v>110</v>
      </c>
      <c r="B46" s="17"/>
    </row>
    <row r="47" spans="1:4">
      <c r="A47" s="13" t="s">
        <v>195</v>
      </c>
      <c r="B47" s="17"/>
    </row>
    <row r="48" spans="1:4">
      <c r="A48" s="6" t="s">
        <v>6</v>
      </c>
      <c r="B48" s="26">
        <v>480</v>
      </c>
      <c r="D48" t="s">
        <v>258</v>
      </c>
    </row>
    <row r="49" spans="1:15">
      <c r="A49" s="10" t="s">
        <v>7</v>
      </c>
      <c r="B49" s="26">
        <v>600</v>
      </c>
      <c r="D49" t="s">
        <v>142</v>
      </c>
    </row>
    <row r="50" spans="1:15">
      <c r="A50" s="10"/>
      <c r="B50" s="17"/>
    </row>
    <row r="51" spans="1:15">
      <c r="A51" s="13" t="s">
        <v>198</v>
      </c>
      <c r="B51" s="17"/>
      <c r="E51" s="5"/>
    </row>
    <row r="52" spans="1:15">
      <c r="A52" s="6" t="s">
        <v>6</v>
      </c>
      <c r="B52" s="26">
        <v>0</v>
      </c>
      <c r="D52" t="s">
        <v>140</v>
      </c>
    </row>
    <row r="53" spans="1:15">
      <c r="A53" s="10" t="s">
        <v>7</v>
      </c>
      <c r="B53" s="26">
        <v>0</v>
      </c>
      <c r="D53" t="s">
        <v>140</v>
      </c>
    </row>
    <row r="54" spans="1:15">
      <c r="A54" s="10"/>
      <c r="B54" s="17"/>
    </row>
    <row r="55" spans="1:15">
      <c r="A55" s="20" t="s">
        <v>199</v>
      </c>
      <c r="B55" s="18"/>
    </row>
    <row r="56" spans="1:15">
      <c r="A56" s="6" t="s">
        <v>6</v>
      </c>
      <c r="B56" s="26">
        <v>320</v>
      </c>
      <c r="D56" s="5" t="s">
        <v>196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A57" s="10" t="s">
        <v>7</v>
      </c>
      <c r="B57" s="26">
        <v>480</v>
      </c>
      <c r="D57" s="5" t="s">
        <v>197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10"/>
      <c r="B58" s="17"/>
    </row>
    <row r="59" spans="1:15">
      <c r="A59" s="13" t="s">
        <v>93</v>
      </c>
      <c r="B59" s="17"/>
    </row>
    <row r="60" spans="1:15">
      <c r="A60" s="6" t="s">
        <v>6</v>
      </c>
      <c r="B60" s="26">
        <v>0</v>
      </c>
      <c r="D60" t="s">
        <v>116</v>
      </c>
    </row>
    <row r="61" spans="1:15">
      <c r="A61" s="10" t="s">
        <v>7</v>
      </c>
      <c r="B61" s="26">
        <v>0</v>
      </c>
      <c r="D61" t="s">
        <v>117</v>
      </c>
    </row>
    <row r="62" spans="1:15">
      <c r="A62" s="6"/>
      <c r="B62" s="17"/>
    </row>
    <row r="63" spans="1:15">
      <c r="A63" s="15" t="s">
        <v>143</v>
      </c>
      <c r="B63" s="17"/>
    </row>
    <row r="64" spans="1:15">
      <c r="A64" s="7" t="s">
        <v>162</v>
      </c>
      <c r="B64" s="28">
        <f>B48+B52+B56+B60</f>
        <v>800</v>
      </c>
      <c r="D64" t="s">
        <v>253</v>
      </c>
    </row>
    <row r="65" spans="1:4">
      <c r="A65" s="7" t="s">
        <v>163</v>
      </c>
      <c r="B65" s="28">
        <f>B49+B53+B57+B61</f>
        <v>1080</v>
      </c>
      <c r="D65" t="s">
        <v>253</v>
      </c>
    </row>
    <row r="66" spans="1:4">
      <c r="A66" s="10"/>
      <c r="B66" s="17"/>
    </row>
    <row r="67" spans="1:4">
      <c r="A67" s="7" t="s">
        <v>10</v>
      </c>
      <c r="B67" s="28">
        <f>B70/B6</f>
        <v>840</v>
      </c>
    </row>
    <row r="68" spans="1:4">
      <c r="A68" s="7" t="s">
        <v>11</v>
      </c>
      <c r="B68" s="28">
        <f>B71/B6</f>
        <v>2214</v>
      </c>
    </row>
    <row r="69" spans="1:4">
      <c r="A69" s="6"/>
      <c r="B69" s="17"/>
    </row>
    <row r="70" spans="1:4">
      <c r="A70" s="7" t="s">
        <v>61</v>
      </c>
      <c r="B70" s="28">
        <f>B64*B12</f>
        <v>16800</v>
      </c>
    </row>
    <row r="71" spans="1:4">
      <c r="A71" s="7" t="s">
        <v>60</v>
      </c>
      <c r="B71" s="28">
        <f>B65*B13</f>
        <v>44280</v>
      </c>
    </row>
    <row r="72" spans="1:4">
      <c r="A72" s="6"/>
      <c r="B72" s="17"/>
    </row>
    <row r="73" spans="1:4">
      <c r="A73" s="15" t="s">
        <v>119</v>
      </c>
      <c r="B73" s="17"/>
    </row>
    <row r="74" spans="1:4">
      <c r="A74" s="8" t="s">
        <v>254</v>
      </c>
      <c r="B74" s="17"/>
    </row>
    <row r="75" spans="1:4">
      <c r="A75" s="15"/>
      <c r="B75" s="70">
        <v>10</v>
      </c>
      <c r="D75" t="s">
        <v>113</v>
      </c>
    </row>
    <row r="76" spans="1:4">
      <c r="A76" s="8"/>
      <c r="B76" s="17"/>
    </row>
    <row r="77" spans="1:4">
      <c r="A77" s="6" t="s">
        <v>6</v>
      </c>
      <c r="B77" s="26">
        <v>11200</v>
      </c>
      <c r="D77" t="s">
        <v>255</v>
      </c>
    </row>
    <row r="78" spans="1:4">
      <c r="A78" s="10" t="s">
        <v>7</v>
      </c>
      <c r="B78" s="26">
        <v>12800</v>
      </c>
      <c r="D78" t="s">
        <v>256</v>
      </c>
    </row>
    <row r="79" spans="1:4">
      <c r="A79" s="10"/>
      <c r="B79" s="17"/>
    </row>
    <row r="80" spans="1:4">
      <c r="A80" s="7" t="s">
        <v>162</v>
      </c>
      <c r="B80" s="28">
        <f>B77</f>
        <v>11200</v>
      </c>
      <c r="D80" t="s">
        <v>179</v>
      </c>
    </row>
    <row r="81" spans="1:4">
      <c r="A81" s="7" t="s">
        <v>163</v>
      </c>
      <c r="B81" s="28">
        <f>B78</f>
        <v>12800</v>
      </c>
      <c r="D81" t="s">
        <v>179</v>
      </c>
    </row>
    <row r="82" spans="1:4">
      <c r="A82" s="10"/>
      <c r="B82" s="17"/>
    </row>
    <row r="83" spans="1:4">
      <c r="A83" s="7" t="s">
        <v>10</v>
      </c>
      <c r="B83" s="28">
        <f>B86/B6</f>
        <v>11760</v>
      </c>
      <c r="D83" t="s">
        <v>121</v>
      </c>
    </row>
    <row r="84" spans="1:4">
      <c r="A84" s="7" t="s">
        <v>11</v>
      </c>
      <c r="B84" s="28">
        <f>B87/B6</f>
        <v>26240</v>
      </c>
      <c r="D84" t="s">
        <v>121</v>
      </c>
    </row>
    <row r="85" spans="1:4">
      <c r="A85" s="6"/>
      <c r="B85" s="17"/>
    </row>
    <row r="86" spans="1:4">
      <c r="A86" s="7" t="s">
        <v>61</v>
      </c>
      <c r="B86" s="28">
        <f>B77*B12</f>
        <v>235200</v>
      </c>
      <c r="D86" t="s">
        <v>121</v>
      </c>
    </row>
    <row r="87" spans="1:4">
      <c r="A87" s="7" t="s">
        <v>60</v>
      </c>
      <c r="B87" s="28">
        <f>B78*B13</f>
        <v>524800</v>
      </c>
      <c r="D87" t="s">
        <v>121</v>
      </c>
    </row>
    <row r="88" spans="1:4">
      <c r="A88" s="10"/>
      <c r="B88" s="17"/>
    </row>
    <row r="89" spans="1:4">
      <c r="A89" s="15" t="s">
        <v>123</v>
      </c>
      <c r="B89" s="17"/>
    </row>
    <row r="90" spans="1:4">
      <c r="A90" s="62" t="s">
        <v>122</v>
      </c>
      <c r="B90" s="17"/>
    </row>
    <row r="91" spans="1:4">
      <c r="A91" s="33" t="s">
        <v>162</v>
      </c>
      <c r="B91" s="28">
        <f>B37+B64</f>
        <v>16300</v>
      </c>
      <c r="D91" t="s">
        <v>126</v>
      </c>
    </row>
    <row r="92" spans="1:4">
      <c r="A92" s="33" t="s">
        <v>163</v>
      </c>
      <c r="B92" s="28">
        <f t="shared" ref="B92:B98" si="0">B38+B65</f>
        <v>18380</v>
      </c>
      <c r="D92" t="s">
        <v>126</v>
      </c>
    </row>
    <row r="93" spans="1:4">
      <c r="A93" s="10"/>
      <c r="B93" s="17"/>
      <c r="D93" s="2"/>
    </row>
    <row r="94" spans="1:4">
      <c r="A94" s="64" t="s">
        <v>10</v>
      </c>
      <c r="B94" s="28">
        <f t="shared" si="0"/>
        <v>17115</v>
      </c>
      <c r="D94" t="s">
        <v>126</v>
      </c>
    </row>
    <row r="95" spans="1:4">
      <c r="A95" s="64" t="s">
        <v>11</v>
      </c>
      <c r="B95" s="28">
        <f t="shared" si="0"/>
        <v>37679</v>
      </c>
      <c r="D95" t="s">
        <v>126</v>
      </c>
    </row>
    <row r="96" spans="1:4">
      <c r="A96" s="6"/>
      <c r="B96" s="17"/>
    </row>
    <row r="97" spans="1:4">
      <c r="A97" s="64" t="s">
        <v>61</v>
      </c>
      <c r="B97" s="28">
        <f>B43+B70</f>
        <v>342300</v>
      </c>
      <c r="D97" t="s">
        <v>126</v>
      </c>
    </row>
    <row r="98" spans="1:4">
      <c r="A98" s="64" t="s">
        <v>60</v>
      </c>
      <c r="B98" s="28">
        <f t="shared" si="0"/>
        <v>753580</v>
      </c>
      <c r="D98" t="s">
        <v>126</v>
      </c>
    </row>
    <row r="99" spans="1:4">
      <c r="A99" s="10"/>
      <c r="B99" s="17"/>
    </row>
    <row r="100" spans="1:4">
      <c r="A100" s="62" t="s">
        <v>124</v>
      </c>
      <c r="B100" s="17"/>
    </row>
    <row r="101" spans="1:4">
      <c r="A101" s="64" t="s">
        <v>10</v>
      </c>
      <c r="B101" s="28">
        <f>B104/B6</f>
        <v>20475</v>
      </c>
      <c r="D101" t="s">
        <v>200</v>
      </c>
    </row>
    <row r="102" spans="1:4">
      <c r="A102" s="64" t="s">
        <v>11</v>
      </c>
      <c r="B102" s="28">
        <f>B105/B6</f>
        <v>46535</v>
      </c>
      <c r="D102" t="s">
        <v>200</v>
      </c>
    </row>
    <row r="103" spans="1:4">
      <c r="A103" s="6"/>
      <c r="B103" s="17"/>
    </row>
    <row r="104" spans="1:4">
      <c r="A104" s="64" t="s">
        <v>61</v>
      </c>
      <c r="B104" s="28">
        <f>B43+(5*B70)</f>
        <v>409500</v>
      </c>
      <c r="D104" t="s">
        <v>200</v>
      </c>
    </row>
    <row r="105" spans="1:4">
      <c r="A105" s="64" t="s">
        <v>60</v>
      </c>
      <c r="B105" s="28">
        <f>B44+(5*B71)</f>
        <v>930700</v>
      </c>
      <c r="D105" t="s">
        <v>200</v>
      </c>
    </row>
    <row r="106" spans="1:4">
      <c r="A106" s="7"/>
      <c r="B106" s="17"/>
    </row>
    <row r="107" spans="1:4">
      <c r="A107" s="62" t="s">
        <v>125</v>
      </c>
      <c r="B107" s="17"/>
    </row>
    <row r="108" spans="1:4">
      <c r="A108" s="64" t="s">
        <v>10</v>
      </c>
      <c r="B108" s="28">
        <f>B111/B6</f>
        <v>36435</v>
      </c>
      <c r="D108" t="s">
        <v>146</v>
      </c>
    </row>
    <row r="109" spans="1:4">
      <c r="A109" s="64" t="s">
        <v>11</v>
      </c>
      <c r="B109" s="28">
        <f>B112/B6</f>
        <v>83845</v>
      </c>
      <c r="D109" t="s">
        <v>146</v>
      </c>
    </row>
    <row r="110" spans="1:4">
      <c r="A110" s="6"/>
      <c r="B110" s="17"/>
    </row>
    <row r="111" spans="1:4">
      <c r="A111" s="64" t="s">
        <v>61</v>
      </c>
      <c r="B111" s="28">
        <f>B43+(10*B70)+B86</f>
        <v>728700</v>
      </c>
      <c r="D111" t="s">
        <v>146</v>
      </c>
    </row>
    <row r="112" spans="1:4">
      <c r="A112" s="64" t="s">
        <v>60</v>
      </c>
      <c r="B112" s="28">
        <f>B44+(10*B71)+B87</f>
        <v>1676900</v>
      </c>
      <c r="D112" t="s">
        <v>146</v>
      </c>
    </row>
    <row r="114" spans="1:1" s="5" customFormat="1">
      <c r="A114" s="60" t="s">
        <v>127</v>
      </c>
    </row>
    <row r="115" spans="1:1" s="5" customFormat="1">
      <c r="A115" s="61" t="s">
        <v>245</v>
      </c>
    </row>
    <row r="116" spans="1:1">
      <c r="A116" s="61" t="s">
        <v>286</v>
      </c>
    </row>
    <row r="117" spans="1:1">
      <c r="A117" s="61" t="s">
        <v>287</v>
      </c>
    </row>
    <row r="118" spans="1:1">
      <c r="A118" s="59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2"/>
  <sheetViews>
    <sheetView zoomScale="85" zoomScaleNormal="85" workbookViewId="0"/>
  </sheetViews>
  <sheetFormatPr defaultRowHeight="15"/>
  <cols>
    <col min="1" max="1" width="49.85546875" bestFit="1" customWidth="1"/>
    <col min="2" max="2" width="10.28515625" bestFit="1" customWidth="1"/>
  </cols>
  <sheetData>
    <row r="1" spans="1:10">
      <c r="A1" s="1" t="s">
        <v>232</v>
      </c>
    </row>
    <row r="2" spans="1:10">
      <c r="A2" s="1" t="s">
        <v>55</v>
      </c>
    </row>
    <row r="3" spans="1:10">
      <c r="A3" s="1"/>
      <c r="B3" s="9"/>
      <c r="D3" s="3"/>
    </row>
    <row r="4" spans="1:10">
      <c r="A4" s="14" t="s">
        <v>58</v>
      </c>
      <c r="D4" s="14" t="s">
        <v>109</v>
      </c>
    </row>
    <row r="5" spans="1:10">
      <c r="A5" s="8" t="s">
        <v>2</v>
      </c>
      <c r="B5" s="9"/>
    </row>
    <row r="6" spans="1:10">
      <c r="A6" s="6" t="s">
        <v>3</v>
      </c>
      <c r="B6" s="24">
        <v>20</v>
      </c>
      <c r="D6" t="s">
        <v>15</v>
      </c>
    </row>
    <row r="7" spans="1:10">
      <c r="A7" s="8" t="s">
        <v>4</v>
      </c>
      <c r="B7" s="9"/>
    </row>
    <row r="8" spans="1:10">
      <c r="A8" s="6" t="s">
        <v>6</v>
      </c>
      <c r="B8" s="25">
        <v>1</v>
      </c>
      <c r="D8" t="s">
        <v>18</v>
      </c>
    </row>
    <row r="9" spans="1:10">
      <c r="A9" s="10" t="s">
        <v>7</v>
      </c>
      <c r="B9" s="25">
        <v>2</v>
      </c>
      <c r="D9" t="s">
        <v>128</v>
      </c>
    </row>
    <row r="10" spans="1:10">
      <c r="A10" s="6"/>
      <c r="B10" s="12"/>
    </row>
    <row r="11" spans="1:10">
      <c r="A11" s="8" t="s">
        <v>187</v>
      </c>
      <c r="B11" s="12"/>
    </row>
    <row r="12" spans="1:10">
      <c r="A12" s="6" t="s">
        <v>6</v>
      </c>
      <c r="B12" s="27">
        <f>(B6/B9)+1</f>
        <v>11</v>
      </c>
      <c r="D12" s="5" t="s">
        <v>188</v>
      </c>
      <c r="E12" s="5"/>
      <c r="F12" s="5"/>
      <c r="G12" s="5"/>
      <c r="H12" s="5"/>
      <c r="I12" s="5"/>
      <c r="J12" s="5"/>
    </row>
    <row r="13" spans="1:10">
      <c r="A13" s="6" t="s">
        <v>7</v>
      </c>
      <c r="B13" s="27">
        <f>(B6/B8)+1</f>
        <v>21</v>
      </c>
      <c r="D13" s="5" t="s">
        <v>189</v>
      </c>
      <c r="E13" s="5"/>
      <c r="F13" s="5"/>
      <c r="G13" s="5"/>
      <c r="H13" s="5"/>
      <c r="I13" s="5"/>
      <c r="J13" s="5"/>
    </row>
    <row r="14" spans="1:10">
      <c r="A14" s="14" t="s">
        <v>57</v>
      </c>
      <c r="B14" s="9"/>
      <c r="D14" s="3"/>
    </row>
    <row r="15" spans="1:10">
      <c r="A15" s="14" t="s">
        <v>107</v>
      </c>
      <c r="B15" s="9"/>
      <c r="D15" s="3"/>
    </row>
    <row r="16" spans="1:10">
      <c r="A16" s="3" t="s">
        <v>180</v>
      </c>
      <c r="B16" s="9"/>
      <c r="C16" s="5"/>
      <c r="D16" s="14"/>
    </row>
    <row r="17" spans="1:4">
      <c r="A17" s="6" t="s">
        <v>6</v>
      </c>
      <c r="B17" s="26">
        <v>15000</v>
      </c>
      <c r="D17" t="s">
        <v>181</v>
      </c>
    </row>
    <row r="18" spans="1:4">
      <c r="A18" s="10" t="s">
        <v>7</v>
      </c>
      <c r="B18" s="26">
        <v>16000</v>
      </c>
      <c r="D18" t="s">
        <v>182</v>
      </c>
    </row>
    <row r="19" spans="1:4">
      <c r="A19" s="10"/>
      <c r="B19" s="17"/>
    </row>
    <row r="20" spans="1:4">
      <c r="A20" s="8" t="s">
        <v>105</v>
      </c>
      <c r="B20" s="17"/>
    </row>
    <row r="21" spans="1:4">
      <c r="A21" s="6" t="s">
        <v>6</v>
      </c>
      <c r="B21" s="26">
        <v>0</v>
      </c>
      <c r="D21" t="s">
        <v>268</v>
      </c>
    </row>
    <row r="22" spans="1:4">
      <c r="A22" s="10" t="s">
        <v>7</v>
      </c>
      <c r="B22" s="26">
        <v>0</v>
      </c>
      <c r="D22" t="s">
        <v>268</v>
      </c>
    </row>
    <row r="23" spans="1:4">
      <c r="A23" s="10"/>
      <c r="B23" s="17"/>
    </row>
    <row r="24" spans="1:4">
      <c r="A24" s="8" t="s">
        <v>130</v>
      </c>
      <c r="B24" s="17"/>
    </row>
    <row r="25" spans="1:4">
      <c r="A25" s="6" t="s">
        <v>6</v>
      </c>
      <c r="B25" s="26">
        <v>0</v>
      </c>
      <c r="D25" t="s">
        <v>131</v>
      </c>
    </row>
    <row r="26" spans="1:4">
      <c r="A26" s="10" t="s">
        <v>7</v>
      </c>
      <c r="B26" s="26">
        <v>0</v>
      </c>
      <c r="D26" t="s">
        <v>131</v>
      </c>
    </row>
    <row r="27" spans="1:4">
      <c r="A27" s="10"/>
      <c r="B27" s="17"/>
    </row>
    <row r="28" spans="1:4">
      <c r="A28" s="8" t="s">
        <v>184</v>
      </c>
      <c r="B28" s="17"/>
    </row>
    <row r="29" spans="1:4">
      <c r="A29" s="6" t="s">
        <v>6</v>
      </c>
      <c r="B29" s="26">
        <f>2*((200*7.5)+(150*10))</f>
        <v>6000</v>
      </c>
      <c r="D29" t="s">
        <v>185</v>
      </c>
    </row>
    <row r="30" spans="1:4">
      <c r="A30" s="10" t="s">
        <v>7</v>
      </c>
      <c r="B30" s="26">
        <f>2*((7.5*300)+(10*250))</f>
        <v>9500</v>
      </c>
      <c r="D30" t="s">
        <v>185</v>
      </c>
    </row>
    <row r="31" spans="1:4">
      <c r="A31" s="10"/>
      <c r="B31" s="17"/>
    </row>
    <row r="32" spans="1:4">
      <c r="A32" s="8" t="s">
        <v>95</v>
      </c>
      <c r="B32" s="17"/>
    </row>
    <row r="33" spans="1:4">
      <c r="A33" s="6" t="s">
        <v>6</v>
      </c>
      <c r="B33" s="26">
        <v>400</v>
      </c>
      <c r="D33" t="s">
        <v>284</v>
      </c>
    </row>
    <row r="34" spans="1:4">
      <c r="A34" s="10" t="s">
        <v>7</v>
      </c>
      <c r="B34" s="26">
        <v>800</v>
      </c>
      <c r="D34" t="s">
        <v>285</v>
      </c>
    </row>
    <row r="35" spans="1:4">
      <c r="A35" s="10"/>
      <c r="B35" s="17"/>
    </row>
    <row r="36" spans="1:4">
      <c r="A36" s="8" t="s">
        <v>138</v>
      </c>
      <c r="B36" s="18"/>
      <c r="D36" s="3" t="s">
        <v>17</v>
      </c>
    </row>
    <row r="37" spans="1:4">
      <c r="A37" s="6" t="s">
        <v>6</v>
      </c>
      <c r="B37" s="26">
        <v>0</v>
      </c>
      <c r="D37" t="s">
        <v>271</v>
      </c>
    </row>
    <row r="38" spans="1:4">
      <c r="A38" s="10" t="s">
        <v>7</v>
      </c>
      <c r="B38" s="26">
        <v>0</v>
      </c>
      <c r="D38" t="s">
        <v>272</v>
      </c>
    </row>
    <row r="39" spans="1:4">
      <c r="A39" s="10"/>
      <c r="B39" s="17"/>
    </row>
    <row r="40" spans="1:4">
      <c r="A40" s="15" t="s">
        <v>108</v>
      </c>
      <c r="B40" s="17"/>
    </row>
    <row r="41" spans="1:4">
      <c r="A41" s="7" t="s">
        <v>162</v>
      </c>
      <c r="B41" s="28">
        <f>B17+B21+B25+B29+B33+B37</f>
        <v>21400</v>
      </c>
      <c r="D41" t="s">
        <v>186</v>
      </c>
    </row>
    <row r="42" spans="1:4">
      <c r="A42" s="7" t="s">
        <v>163</v>
      </c>
      <c r="B42" s="28">
        <f>B18+B22+B26+B30+B34+B38</f>
        <v>26300</v>
      </c>
      <c r="D42" t="s">
        <v>186</v>
      </c>
    </row>
    <row r="43" spans="1:4">
      <c r="A43" s="10"/>
      <c r="B43" s="17"/>
    </row>
    <row r="44" spans="1:4">
      <c r="A44" s="7" t="s">
        <v>10</v>
      </c>
      <c r="B44" s="28">
        <f>B47/B6</f>
        <v>11770</v>
      </c>
    </row>
    <row r="45" spans="1:4">
      <c r="A45" s="7" t="s">
        <v>11</v>
      </c>
      <c r="B45" s="28">
        <f>B48/B6</f>
        <v>27615</v>
      </c>
    </row>
    <row r="46" spans="1:4">
      <c r="A46" s="6"/>
      <c r="B46" s="17"/>
    </row>
    <row r="47" spans="1:4">
      <c r="A47" s="7" t="s">
        <v>61</v>
      </c>
      <c r="B47" s="28">
        <f>B41*B12</f>
        <v>235400</v>
      </c>
    </row>
    <row r="48" spans="1:4">
      <c r="A48" s="7" t="s">
        <v>60</v>
      </c>
      <c r="B48" s="28">
        <f>B42*B13</f>
        <v>552300</v>
      </c>
    </row>
    <row r="49" spans="1:5">
      <c r="A49" s="10"/>
      <c r="B49" s="17"/>
    </row>
    <row r="50" spans="1:5">
      <c r="A50" s="15" t="s">
        <v>110</v>
      </c>
      <c r="B50" s="17"/>
    </row>
    <row r="51" spans="1:5">
      <c r="A51" s="13" t="s">
        <v>90</v>
      </c>
      <c r="B51" s="17"/>
    </row>
    <row r="52" spans="1:5">
      <c r="A52" s="6" t="s">
        <v>6</v>
      </c>
      <c r="B52" s="26">
        <v>0</v>
      </c>
      <c r="D52" t="s">
        <v>190</v>
      </c>
    </row>
    <row r="53" spans="1:5">
      <c r="A53" s="10" t="s">
        <v>7</v>
      </c>
      <c r="B53" s="26">
        <v>0</v>
      </c>
      <c r="D53" t="s">
        <v>190</v>
      </c>
    </row>
    <row r="54" spans="1:5">
      <c r="A54" s="10"/>
      <c r="B54" s="17"/>
    </row>
    <row r="55" spans="1:5">
      <c r="A55" s="13" t="s">
        <v>91</v>
      </c>
      <c r="B55" s="17"/>
      <c r="E55" s="5"/>
    </row>
    <row r="56" spans="1:5">
      <c r="A56" s="6" t="s">
        <v>6</v>
      </c>
      <c r="B56" s="26">
        <v>0</v>
      </c>
      <c r="D56" t="s">
        <v>140</v>
      </c>
    </row>
    <row r="57" spans="1:5">
      <c r="A57" s="10" t="s">
        <v>7</v>
      </c>
      <c r="B57" s="26">
        <v>0</v>
      </c>
      <c r="D57" t="s">
        <v>140</v>
      </c>
    </row>
    <row r="58" spans="1:5">
      <c r="A58" s="10"/>
      <c r="B58" s="17"/>
    </row>
    <row r="59" spans="1:5">
      <c r="A59" s="20" t="s">
        <v>101</v>
      </c>
      <c r="B59" s="18"/>
    </row>
    <row r="60" spans="1:5">
      <c r="A60" s="6" t="s">
        <v>6</v>
      </c>
      <c r="B60" s="26">
        <v>320</v>
      </c>
      <c r="D60" t="s">
        <v>230</v>
      </c>
    </row>
    <row r="61" spans="1:5">
      <c r="A61" s="10" t="s">
        <v>7</v>
      </c>
      <c r="B61" s="26">
        <v>640</v>
      </c>
      <c r="D61" t="s">
        <v>231</v>
      </c>
    </row>
    <row r="62" spans="1:5">
      <c r="A62" s="10"/>
      <c r="B62" s="17"/>
    </row>
    <row r="63" spans="1:5">
      <c r="A63" s="13" t="s">
        <v>93</v>
      </c>
      <c r="B63" s="17"/>
    </row>
    <row r="64" spans="1:5">
      <c r="A64" s="6" t="s">
        <v>6</v>
      </c>
      <c r="B64" s="26">
        <v>0</v>
      </c>
      <c r="D64" t="s">
        <v>116</v>
      </c>
    </row>
    <row r="65" spans="1:4">
      <c r="A65" s="10" t="s">
        <v>7</v>
      </c>
      <c r="B65" s="26">
        <v>0</v>
      </c>
      <c r="D65" t="s">
        <v>117</v>
      </c>
    </row>
    <row r="66" spans="1:4">
      <c r="A66" s="10"/>
      <c r="B66" s="17"/>
    </row>
    <row r="67" spans="1:4">
      <c r="A67" s="15" t="s">
        <v>143</v>
      </c>
      <c r="B67" s="17"/>
    </row>
    <row r="68" spans="1:4">
      <c r="A68" s="7" t="s">
        <v>162</v>
      </c>
      <c r="B68" s="28">
        <f>B52+B56+B60+B64</f>
        <v>320</v>
      </c>
    </row>
    <row r="69" spans="1:4">
      <c r="A69" s="7" t="s">
        <v>163</v>
      </c>
      <c r="B69" s="28">
        <f>B53+B57+B61+B65</f>
        <v>640</v>
      </c>
    </row>
    <row r="70" spans="1:4">
      <c r="A70" s="10"/>
      <c r="B70" s="17"/>
    </row>
    <row r="71" spans="1:4">
      <c r="A71" s="7" t="s">
        <v>10</v>
      </c>
      <c r="B71" s="28">
        <f>B74/B6</f>
        <v>176</v>
      </c>
    </row>
    <row r="72" spans="1:4">
      <c r="A72" s="7" t="s">
        <v>11</v>
      </c>
      <c r="B72" s="28">
        <f>B75/B6</f>
        <v>672</v>
      </c>
    </row>
    <row r="73" spans="1:4">
      <c r="A73" s="6"/>
      <c r="B73" s="17"/>
    </row>
    <row r="74" spans="1:4">
      <c r="A74" s="7" t="s">
        <v>61</v>
      </c>
      <c r="B74" s="28">
        <f>B68*B12</f>
        <v>3520</v>
      </c>
    </row>
    <row r="75" spans="1:4">
      <c r="A75" s="7" t="s">
        <v>60</v>
      </c>
      <c r="B75" s="28">
        <f>B69*B13</f>
        <v>13440</v>
      </c>
    </row>
    <row r="76" spans="1:4">
      <c r="A76" s="10"/>
      <c r="B76" s="17"/>
    </row>
    <row r="77" spans="1:4">
      <c r="A77" s="15" t="s">
        <v>119</v>
      </c>
      <c r="B77" s="17"/>
    </row>
    <row r="78" spans="1:4">
      <c r="A78" s="8" t="s">
        <v>114</v>
      </c>
      <c r="B78" s="17"/>
    </row>
    <row r="79" spans="1:4">
      <c r="A79" s="15"/>
      <c r="B79" s="32">
        <v>5</v>
      </c>
      <c r="D79" t="s">
        <v>113</v>
      </c>
    </row>
    <row r="80" spans="1:4">
      <c r="A80" s="8"/>
      <c r="B80" s="17"/>
    </row>
    <row r="81" spans="1:4">
      <c r="A81" s="6" t="s">
        <v>6</v>
      </c>
      <c r="B81" s="26">
        <f>B17</f>
        <v>15000</v>
      </c>
      <c r="D81" t="s">
        <v>191</v>
      </c>
    </row>
    <row r="82" spans="1:4">
      <c r="A82" s="10" t="s">
        <v>7</v>
      </c>
      <c r="B82" s="26">
        <f>B18</f>
        <v>16000</v>
      </c>
      <c r="D82" t="s">
        <v>191</v>
      </c>
    </row>
    <row r="83" spans="1:4">
      <c r="A83" s="10"/>
      <c r="B83" s="17"/>
    </row>
    <row r="84" spans="1:4">
      <c r="A84" s="7" t="s">
        <v>9</v>
      </c>
      <c r="B84" s="28">
        <f>B81</f>
        <v>15000</v>
      </c>
      <c r="D84" t="s">
        <v>179</v>
      </c>
    </row>
    <row r="85" spans="1:4">
      <c r="A85" s="7" t="s">
        <v>8</v>
      </c>
      <c r="B85" s="28">
        <f>B82</f>
        <v>16000</v>
      </c>
      <c r="D85" t="s">
        <v>179</v>
      </c>
    </row>
    <row r="86" spans="1:4">
      <c r="A86" s="10"/>
      <c r="B86" s="17"/>
    </row>
    <row r="87" spans="1:4">
      <c r="A87" s="7" t="s">
        <v>10</v>
      </c>
      <c r="B87" s="28">
        <f>B90/B6</f>
        <v>16500</v>
      </c>
      <c r="D87" t="s">
        <v>121</v>
      </c>
    </row>
    <row r="88" spans="1:4">
      <c r="A88" s="7" t="s">
        <v>11</v>
      </c>
      <c r="B88" s="28">
        <f>B91/B6</f>
        <v>33600</v>
      </c>
      <c r="D88" t="s">
        <v>121</v>
      </c>
    </row>
    <row r="89" spans="1:4">
      <c r="A89" s="6"/>
      <c r="B89" s="17"/>
    </row>
    <row r="90" spans="1:4">
      <c r="A90" s="7" t="s">
        <v>61</v>
      </c>
      <c r="B90" s="28">
        <f>B84*B12*2</f>
        <v>330000</v>
      </c>
      <c r="D90" t="s">
        <v>121</v>
      </c>
    </row>
    <row r="91" spans="1:4">
      <c r="A91" s="7" t="s">
        <v>60</v>
      </c>
      <c r="B91" s="28">
        <f>B85*B13*2</f>
        <v>672000</v>
      </c>
      <c r="D91" t="s">
        <v>121</v>
      </c>
    </row>
    <row r="92" spans="1:4">
      <c r="A92" s="10"/>
      <c r="B92" s="17"/>
    </row>
    <row r="93" spans="1:4">
      <c r="A93" s="15" t="s">
        <v>123</v>
      </c>
      <c r="B93" s="17"/>
    </row>
    <row r="94" spans="1:4">
      <c r="A94" s="62" t="s">
        <v>122</v>
      </c>
      <c r="B94" s="17"/>
    </row>
    <row r="95" spans="1:4">
      <c r="A95" s="33" t="s">
        <v>9</v>
      </c>
      <c r="B95" s="28">
        <f>B41+B68</f>
        <v>21720</v>
      </c>
      <c r="D95" t="s">
        <v>126</v>
      </c>
    </row>
    <row r="96" spans="1:4">
      <c r="A96" s="33" t="s">
        <v>8</v>
      </c>
      <c r="B96" s="28">
        <f t="shared" ref="B96:B102" si="0">B42+B69</f>
        <v>26940</v>
      </c>
      <c r="D96" t="s">
        <v>126</v>
      </c>
    </row>
    <row r="97" spans="1:4">
      <c r="A97" s="10"/>
      <c r="B97" s="17"/>
      <c r="D97" s="2"/>
    </row>
    <row r="98" spans="1:4">
      <c r="A98" s="64" t="s">
        <v>10</v>
      </c>
      <c r="B98" s="28">
        <f t="shared" si="0"/>
        <v>11946</v>
      </c>
      <c r="D98" t="s">
        <v>126</v>
      </c>
    </row>
    <row r="99" spans="1:4">
      <c r="A99" s="64" t="s">
        <v>11</v>
      </c>
      <c r="B99" s="28">
        <f t="shared" si="0"/>
        <v>28287</v>
      </c>
      <c r="D99" t="s">
        <v>126</v>
      </c>
    </row>
    <row r="100" spans="1:4">
      <c r="A100" s="6"/>
      <c r="B100" s="17"/>
    </row>
    <row r="101" spans="1:4">
      <c r="A101" s="64" t="s">
        <v>61</v>
      </c>
      <c r="B101" s="28">
        <f t="shared" si="0"/>
        <v>238920</v>
      </c>
      <c r="D101" t="s">
        <v>126</v>
      </c>
    </row>
    <row r="102" spans="1:4">
      <c r="A102" s="64" t="s">
        <v>60</v>
      </c>
      <c r="B102" s="28">
        <f t="shared" si="0"/>
        <v>565740</v>
      </c>
      <c r="D102" t="s">
        <v>126</v>
      </c>
    </row>
    <row r="103" spans="1:4">
      <c r="A103" s="10"/>
      <c r="B103" s="17"/>
    </row>
    <row r="104" spans="1:4">
      <c r="A104" s="62" t="s">
        <v>124</v>
      </c>
      <c r="B104" s="17"/>
    </row>
    <row r="105" spans="1:4">
      <c r="A105" s="64" t="s">
        <v>10</v>
      </c>
      <c r="B105" s="28">
        <f>B108/B6</f>
        <v>29150</v>
      </c>
      <c r="D105" t="s">
        <v>145</v>
      </c>
    </row>
    <row r="106" spans="1:4">
      <c r="A106" s="64" t="s">
        <v>11</v>
      </c>
      <c r="B106" s="28">
        <f>B109/B6</f>
        <v>64575</v>
      </c>
      <c r="D106" t="s">
        <v>145</v>
      </c>
    </row>
    <row r="107" spans="1:4">
      <c r="A107" s="6"/>
      <c r="B107" s="17"/>
    </row>
    <row r="108" spans="1:4">
      <c r="A108" s="64" t="s">
        <v>61</v>
      </c>
      <c r="B108" s="28">
        <f>B47+(5*B74)+B90</f>
        <v>583000</v>
      </c>
      <c r="D108" t="s">
        <v>145</v>
      </c>
    </row>
    <row r="109" spans="1:4">
      <c r="A109" s="64" t="s">
        <v>60</v>
      </c>
      <c r="B109" s="28">
        <f>B48+(5*B75)+B91</f>
        <v>1291500</v>
      </c>
      <c r="D109" t="s">
        <v>145</v>
      </c>
    </row>
    <row r="110" spans="1:4">
      <c r="A110" s="7"/>
      <c r="B110" s="17"/>
    </row>
    <row r="111" spans="1:4">
      <c r="A111" s="62" t="s">
        <v>125</v>
      </c>
      <c r="B111" s="17"/>
    </row>
    <row r="112" spans="1:4">
      <c r="A112" s="64" t="s">
        <v>10</v>
      </c>
      <c r="B112" s="28">
        <f>B115/B6</f>
        <v>46530</v>
      </c>
      <c r="D112" t="s">
        <v>147</v>
      </c>
    </row>
    <row r="113" spans="1:4">
      <c r="A113" s="64" t="s">
        <v>11</v>
      </c>
      <c r="B113" s="28">
        <f>B116/B6</f>
        <v>101535</v>
      </c>
      <c r="D113" t="s">
        <v>147</v>
      </c>
    </row>
    <row r="114" spans="1:4">
      <c r="A114" s="6"/>
      <c r="B114" s="17"/>
    </row>
    <row r="115" spans="1:4">
      <c r="A115" s="64" t="s">
        <v>61</v>
      </c>
      <c r="B115" s="28">
        <f>B47+(10*B74)+(2*B90)</f>
        <v>930600</v>
      </c>
      <c r="D115" t="s">
        <v>147</v>
      </c>
    </row>
    <row r="116" spans="1:4">
      <c r="A116" s="64" t="s">
        <v>60</v>
      </c>
      <c r="B116" s="28">
        <f>B48+(10*B75)+(2*B91)</f>
        <v>2030700</v>
      </c>
      <c r="D116" t="s">
        <v>147</v>
      </c>
    </row>
    <row r="118" spans="1:4">
      <c r="A118" s="60" t="s">
        <v>127</v>
      </c>
    </row>
    <row r="119" spans="1:4">
      <c r="A119" s="61" t="s">
        <v>247</v>
      </c>
    </row>
    <row r="120" spans="1:4">
      <c r="A120" s="61" t="s">
        <v>286</v>
      </c>
    </row>
    <row r="121" spans="1:4">
      <c r="A121" s="61" t="s">
        <v>287</v>
      </c>
    </row>
    <row r="122" spans="1:4">
      <c r="A122" s="59" t="s">
        <v>243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7"/>
  <sheetViews>
    <sheetView topLeftCell="A31" zoomScale="85" zoomScaleNormal="85" workbookViewId="0"/>
  </sheetViews>
  <sheetFormatPr defaultRowHeight="15"/>
  <cols>
    <col min="3" max="3" width="11.85546875" customWidth="1"/>
    <col min="4" max="4" width="32.140625" customWidth="1"/>
    <col min="5" max="5" width="10.140625" bestFit="1" customWidth="1"/>
    <col min="6" max="6" width="13.5703125" bestFit="1" customWidth="1"/>
    <col min="7" max="8" width="10.140625" bestFit="1" customWidth="1"/>
    <col min="9" max="9" width="10.7109375" bestFit="1" customWidth="1"/>
    <col min="10" max="10" width="14.5703125" bestFit="1" customWidth="1"/>
    <col min="11" max="11" width="10.140625" bestFit="1" customWidth="1"/>
    <col min="13" max="13" width="11.5703125" customWidth="1"/>
  </cols>
  <sheetData>
    <row r="1" spans="1:19">
      <c r="A1" s="1" t="s">
        <v>220</v>
      </c>
    </row>
    <row r="2" spans="1:19">
      <c r="E2" s="53" t="s">
        <v>1</v>
      </c>
      <c r="F2" s="53" t="s">
        <v>214</v>
      </c>
      <c r="G2" s="53" t="s">
        <v>19</v>
      </c>
      <c r="H2" s="53" t="s">
        <v>20</v>
      </c>
      <c r="I2" s="53" t="s">
        <v>21</v>
      </c>
      <c r="J2" s="53" t="s">
        <v>215</v>
      </c>
      <c r="K2" s="53" t="s">
        <v>22</v>
      </c>
    </row>
    <row r="3" spans="1:19">
      <c r="D3" s="7" t="s">
        <v>216</v>
      </c>
      <c r="E3" s="54">
        <f>'2A. Bluetooth Probe'!B5</f>
        <v>20</v>
      </c>
      <c r="F3" s="54">
        <f>'2B. Private Sector'!B5</f>
        <v>20</v>
      </c>
      <c r="G3" s="54">
        <f>'2C. Toll Tags'!B5</f>
        <v>20</v>
      </c>
      <c r="H3" s="54">
        <f>'2D. Radar'!B5</f>
        <v>20</v>
      </c>
      <c r="I3" s="54">
        <f>'2E. Dual Loops'!B6</f>
        <v>20</v>
      </c>
      <c r="J3" s="54">
        <f>'2F. Magnetometer'!B6</f>
        <v>20</v>
      </c>
      <c r="K3" s="54">
        <f>'2G. Video'!B6</f>
        <v>20</v>
      </c>
    </row>
    <row r="4" spans="1:19">
      <c r="D4" s="7"/>
      <c r="E4" s="67"/>
      <c r="F4" s="67"/>
      <c r="G4" s="67"/>
      <c r="H4" s="67"/>
      <c r="I4" s="67"/>
      <c r="J4" s="67"/>
      <c r="K4" s="67"/>
    </row>
    <row r="5" spans="1:19">
      <c r="D5" s="7" t="s">
        <v>262</v>
      </c>
      <c r="E5" s="68">
        <f>'2A. Bluetooth Probe'!B7</f>
        <v>1</v>
      </c>
      <c r="F5" s="68">
        <v>0.5</v>
      </c>
      <c r="G5" s="68">
        <f>'2C. Toll Tags'!B7</f>
        <v>2</v>
      </c>
      <c r="H5" s="68">
        <f>'2D. Radar'!B7</f>
        <v>1</v>
      </c>
      <c r="I5" s="68">
        <f>'2E. Dual Loops'!B8</f>
        <v>0.5</v>
      </c>
      <c r="J5" s="68">
        <f>'2F. Magnetometer'!B8</f>
        <v>0.5</v>
      </c>
      <c r="K5" s="68">
        <f>'2G. Video'!B8</f>
        <v>1</v>
      </c>
    </row>
    <row r="6" spans="1:19">
      <c r="D6" s="7"/>
      <c r="E6" s="68">
        <f>'2A. Bluetooth Probe'!B8</f>
        <v>2</v>
      </c>
      <c r="F6" s="68">
        <v>1</v>
      </c>
      <c r="G6" s="68">
        <f>'2C. Toll Tags'!B8</f>
        <v>3</v>
      </c>
      <c r="H6" s="68">
        <f>'2D. Radar'!B8</f>
        <v>2</v>
      </c>
      <c r="I6" s="68">
        <f>'2E. Dual Loops'!B9</f>
        <v>1</v>
      </c>
      <c r="J6" s="68">
        <f>'2F. Magnetometer'!B9</f>
        <v>1</v>
      </c>
      <c r="K6" s="68">
        <f>'2G. Video'!B9</f>
        <v>2</v>
      </c>
    </row>
    <row r="7" spans="1:19">
      <c r="D7" s="6"/>
      <c r="E7" s="52"/>
      <c r="F7" s="69" t="s">
        <v>266</v>
      </c>
      <c r="G7" s="52"/>
      <c r="H7" s="52"/>
      <c r="I7" s="52"/>
      <c r="J7" s="52"/>
      <c r="K7" s="52"/>
    </row>
    <row r="8" spans="1:19">
      <c r="D8" s="7" t="s">
        <v>261</v>
      </c>
      <c r="E8" s="51"/>
      <c r="F8" s="52"/>
      <c r="G8" s="52"/>
      <c r="H8" s="52"/>
      <c r="I8" s="52"/>
      <c r="J8" s="52"/>
      <c r="K8" s="52"/>
    </row>
    <row r="9" spans="1:19">
      <c r="D9" s="7" t="s">
        <v>6</v>
      </c>
      <c r="E9" s="54">
        <f>'2A. Bluetooth Probe'!B11</f>
        <v>11</v>
      </c>
      <c r="F9" s="55">
        <f>(F3/F6)+1</f>
        <v>21</v>
      </c>
      <c r="G9" s="54">
        <f>'2C. Toll Tags'!B11</f>
        <v>7.666666666666667</v>
      </c>
      <c r="H9" s="54">
        <f>'2D. Radar'!B11</f>
        <v>11</v>
      </c>
      <c r="I9" s="54">
        <f>'2E. Dual Loops'!B12</f>
        <v>21</v>
      </c>
      <c r="J9" s="54">
        <f>'2F. Magnetometer'!B12</f>
        <v>21</v>
      </c>
      <c r="K9" s="54">
        <f>'2G. Video'!B12</f>
        <v>11</v>
      </c>
      <c r="M9" s="5"/>
      <c r="N9" s="5"/>
      <c r="O9" s="5"/>
      <c r="P9" s="5"/>
      <c r="Q9" s="5"/>
      <c r="R9" s="5"/>
      <c r="S9" s="5"/>
    </row>
    <row r="10" spans="1:19">
      <c r="D10" s="7" t="s">
        <v>7</v>
      </c>
      <c r="E10" s="54">
        <f>'2A. Bluetooth Probe'!B12</f>
        <v>21</v>
      </c>
      <c r="F10" s="55">
        <f>(F3/F5)+1</f>
        <v>41</v>
      </c>
      <c r="G10" s="54">
        <f>'2C. Toll Tags'!B12</f>
        <v>11</v>
      </c>
      <c r="H10" s="54">
        <f>'2D. Radar'!B12</f>
        <v>21</v>
      </c>
      <c r="I10" s="54">
        <f>'2E. Dual Loops'!B13</f>
        <v>41</v>
      </c>
      <c r="J10" s="54">
        <f>'2F. Magnetometer'!B13</f>
        <v>41</v>
      </c>
      <c r="K10" s="54">
        <f>'2G. Video'!B13</f>
        <v>21</v>
      </c>
      <c r="M10" s="5"/>
      <c r="N10" s="5"/>
      <c r="O10" s="5"/>
      <c r="P10" s="5"/>
      <c r="Q10" s="5"/>
      <c r="R10" s="5"/>
      <c r="S10" s="5"/>
    </row>
    <row r="11" spans="1:19" ht="15.75" thickBot="1">
      <c r="D11" s="6"/>
      <c r="M11" s="5"/>
      <c r="N11" s="5"/>
      <c r="O11" s="5"/>
      <c r="P11" s="5"/>
      <c r="Q11" s="5"/>
      <c r="R11" s="5"/>
      <c r="S11" s="5"/>
    </row>
    <row r="12" spans="1:19" ht="18" thickTop="1">
      <c r="B12" s="94" t="s">
        <v>218</v>
      </c>
      <c r="C12" s="90"/>
      <c r="D12" s="90" t="s">
        <v>219</v>
      </c>
      <c r="E12" s="90" t="s">
        <v>24</v>
      </c>
      <c r="F12" s="90"/>
      <c r="G12" s="90"/>
      <c r="H12" s="90"/>
      <c r="I12" s="90"/>
      <c r="J12" s="90"/>
      <c r="K12" s="91"/>
      <c r="M12" s="78"/>
      <c r="N12" s="78"/>
      <c r="O12" s="78"/>
      <c r="P12" s="78"/>
      <c r="Q12" s="78"/>
      <c r="R12" s="5"/>
      <c r="S12" s="5"/>
    </row>
    <row r="13" spans="1:19">
      <c r="B13" s="95"/>
      <c r="C13" s="92"/>
      <c r="D13" s="92"/>
      <c r="E13" s="92" t="s">
        <v>23</v>
      </c>
      <c r="F13" s="92"/>
      <c r="G13" s="92"/>
      <c r="H13" s="92" t="s">
        <v>0</v>
      </c>
      <c r="I13" s="92"/>
      <c r="J13" s="92"/>
      <c r="K13" s="97"/>
      <c r="M13" s="76"/>
      <c r="N13" s="79"/>
      <c r="O13" s="77"/>
      <c r="P13" s="77"/>
      <c r="Q13" s="77"/>
      <c r="R13" s="5"/>
      <c r="S13" s="5"/>
    </row>
    <row r="14" spans="1:19" ht="15.75" thickBot="1">
      <c r="B14" s="96"/>
      <c r="C14" s="93"/>
      <c r="D14" s="93"/>
      <c r="E14" s="57" t="s">
        <v>1</v>
      </c>
      <c r="F14" s="57" t="s">
        <v>214</v>
      </c>
      <c r="G14" s="57" t="s">
        <v>19</v>
      </c>
      <c r="H14" s="57" t="s">
        <v>20</v>
      </c>
      <c r="I14" s="57" t="s">
        <v>21</v>
      </c>
      <c r="J14" s="57" t="s">
        <v>215</v>
      </c>
      <c r="K14" s="58" t="s">
        <v>22</v>
      </c>
      <c r="M14" s="76"/>
      <c r="N14" s="79"/>
      <c r="O14" s="77"/>
      <c r="P14" s="77"/>
      <c r="Q14" s="77"/>
      <c r="R14" s="5"/>
      <c r="S14" s="5"/>
    </row>
    <row r="15" spans="1:19" ht="15.75" thickTop="1">
      <c r="B15" s="80" t="s">
        <v>122</v>
      </c>
      <c r="C15" s="81"/>
      <c r="D15" s="42" t="s">
        <v>10</v>
      </c>
      <c r="E15" s="43">
        <f>ROUND('2A. Bluetooth Probe'!B85, -3)</f>
        <v>2000</v>
      </c>
      <c r="F15" s="43">
        <f>ROUND('2B. Private Sector'!B27,-2)</f>
        <v>900</v>
      </c>
      <c r="G15" s="43">
        <f>ROUND('2C. Toll Tags'!B67,-3)</f>
        <v>29000</v>
      </c>
      <c r="H15" s="43">
        <f>ROUND('2D. Radar'!B97,-3)</f>
        <v>5000</v>
      </c>
      <c r="I15" s="43">
        <f>ROUND('2E. Dual Loops'!B94,-3)</f>
        <v>21000</v>
      </c>
      <c r="J15" s="43">
        <f>ROUND('2F. Magnetometer'!B94,-3)</f>
        <v>17000</v>
      </c>
      <c r="K15" s="44">
        <f>ROUND('2G. Video'!B98,-3)</f>
        <v>12000</v>
      </c>
      <c r="M15" s="76"/>
      <c r="N15" s="79"/>
      <c r="O15" s="77"/>
      <c r="P15" s="77"/>
      <c r="Q15" s="77"/>
      <c r="R15" s="5"/>
      <c r="S15" s="5"/>
    </row>
    <row r="16" spans="1:19">
      <c r="B16" s="82"/>
      <c r="C16" s="83"/>
      <c r="D16" s="45" t="s">
        <v>11</v>
      </c>
      <c r="E16" s="46">
        <f>ROUND('2A. Bluetooth Probe'!B86,-3)</f>
        <v>6000</v>
      </c>
      <c r="F16" s="46">
        <f>ROUND('2B. Private Sector'!B28,-2)</f>
        <v>1000</v>
      </c>
      <c r="G16" s="46">
        <f>ROUND('2C. Toll Tags'!B68,-3)</f>
        <v>49000</v>
      </c>
      <c r="H16" s="46">
        <f>ROUND('2D. Radar'!B98,-3)</f>
        <v>15000</v>
      </c>
      <c r="I16" s="46">
        <f>ROUND('2E. Dual Loops'!B95,-3)</f>
        <v>51000</v>
      </c>
      <c r="J16" s="46">
        <f>ROUND('2F. Magnetometer'!B95,-3)</f>
        <v>38000</v>
      </c>
      <c r="K16" s="47">
        <f>ROUND('2G. Video'!B99,-3)</f>
        <v>28000</v>
      </c>
      <c r="M16" s="76"/>
      <c r="N16" s="79"/>
      <c r="O16" s="77"/>
      <c r="P16" s="77"/>
      <c r="Q16" s="77"/>
      <c r="R16" s="5"/>
      <c r="S16" s="5"/>
    </row>
    <row r="17" spans="2:19">
      <c r="B17" s="82"/>
      <c r="C17" s="83"/>
      <c r="D17" s="45" t="s">
        <v>263</v>
      </c>
      <c r="E17" s="46">
        <f>AVERAGE(E15:E16)</f>
        <v>4000</v>
      </c>
      <c r="F17" s="46">
        <f t="shared" ref="F17:K17" si="0">AVERAGE(F15:F16)</f>
        <v>950</v>
      </c>
      <c r="G17" s="46">
        <f t="shared" si="0"/>
        <v>39000</v>
      </c>
      <c r="H17" s="46">
        <f t="shared" si="0"/>
        <v>10000</v>
      </c>
      <c r="I17" s="46">
        <f t="shared" si="0"/>
        <v>36000</v>
      </c>
      <c r="J17" s="46">
        <f t="shared" si="0"/>
        <v>27500</v>
      </c>
      <c r="K17" s="47">
        <f t="shared" si="0"/>
        <v>20000</v>
      </c>
      <c r="M17" s="76"/>
      <c r="N17" s="79"/>
      <c r="O17" s="77"/>
      <c r="P17" s="77"/>
      <c r="Q17" s="77"/>
      <c r="R17" s="5"/>
      <c r="S17" s="5"/>
    </row>
    <row r="18" spans="2:19">
      <c r="B18" s="82"/>
      <c r="C18" s="83"/>
      <c r="D18" s="39" t="s">
        <v>61</v>
      </c>
      <c r="E18" s="40">
        <f>ROUND('2A. Bluetooth Probe'!B88,-3)</f>
        <v>46000</v>
      </c>
      <c r="F18" s="40">
        <f>ROUND('2B. Private Sector'!B30,-2)</f>
        <v>17000</v>
      </c>
      <c r="G18" s="40">
        <f>ROUND('2C. Toll Tags'!B70,-3)</f>
        <v>588000</v>
      </c>
      <c r="H18" s="40">
        <f>ROUND('2D. Radar'!B100,-3)</f>
        <v>98000</v>
      </c>
      <c r="I18" s="40">
        <f>ROUND('2E. Dual Loops'!B97,-3)</f>
        <v>419000</v>
      </c>
      <c r="J18" s="40">
        <f>ROUND('2F. Magnetometer'!B97,-3)</f>
        <v>342000</v>
      </c>
      <c r="K18" s="41">
        <f>ROUND('2G. Video'!B101,-3)</f>
        <v>239000</v>
      </c>
      <c r="M18" s="76"/>
      <c r="N18" s="5"/>
      <c r="O18" s="77"/>
      <c r="P18" s="77"/>
      <c r="Q18" s="77"/>
      <c r="R18" s="5"/>
      <c r="S18" s="5"/>
    </row>
    <row r="19" spans="2:19">
      <c r="B19" s="82"/>
      <c r="C19" s="83"/>
      <c r="D19" s="65" t="s">
        <v>60</v>
      </c>
      <c r="E19" s="40">
        <f>ROUND('2A. Bluetooth Probe'!B89,-3)</f>
        <v>126000</v>
      </c>
      <c r="F19" s="40">
        <f>ROUND('2B. Private Sector'!B31,-2)</f>
        <v>20000</v>
      </c>
      <c r="G19" s="40">
        <f>ROUND('2C. Toll Tags'!B71,-3)</f>
        <v>979000</v>
      </c>
      <c r="H19" s="40">
        <f>ROUND('2D. Radar'!B101,-3)</f>
        <v>297000</v>
      </c>
      <c r="I19" s="40">
        <f>ROUND('2E. Dual Loops'!B98,-3)</f>
        <v>1026000</v>
      </c>
      <c r="J19" s="40">
        <f>ROUND('2F. Magnetometer'!B98,-3)</f>
        <v>754000</v>
      </c>
      <c r="K19" s="41">
        <f>ROUND('2G. Video'!B102,-3)</f>
        <v>566000</v>
      </c>
      <c r="M19" s="5"/>
      <c r="N19" s="5"/>
      <c r="O19" s="77"/>
      <c r="P19" s="77"/>
      <c r="Q19" s="77"/>
      <c r="R19" s="5"/>
      <c r="S19" s="5"/>
    </row>
    <row r="20" spans="2:19" ht="15.75" thickBot="1">
      <c r="B20" s="84"/>
      <c r="C20" s="85"/>
      <c r="D20" s="71" t="s">
        <v>264</v>
      </c>
      <c r="E20" s="72">
        <f>AVERAGE(E18:E19)</f>
        <v>86000</v>
      </c>
      <c r="F20" s="72">
        <f t="shared" ref="F20:K20" si="1">AVERAGE(F18:F19)</f>
        <v>18500</v>
      </c>
      <c r="G20" s="72">
        <f t="shared" si="1"/>
        <v>783500</v>
      </c>
      <c r="H20" s="72">
        <f t="shared" si="1"/>
        <v>197500</v>
      </c>
      <c r="I20" s="72">
        <f t="shared" si="1"/>
        <v>722500</v>
      </c>
      <c r="J20" s="72">
        <f t="shared" si="1"/>
        <v>548000</v>
      </c>
      <c r="K20" s="74">
        <f t="shared" si="1"/>
        <v>402500</v>
      </c>
      <c r="M20" s="5"/>
      <c r="N20" s="5"/>
      <c r="O20" s="77"/>
      <c r="P20" s="77"/>
      <c r="Q20" s="77"/>
      <c r="R20" s="5"/>
      <c r="S20" s="5"/>
    </row>
    <row r="21" spans="2:19" ht="16.5" thickTop="1" thickBot="1">
      <c r="B21" s="86" t="s">
        <v>124</v>
      </c>
      <c r="C21" s="87"/>
      <c r="D21" s="42" t="s">
        <v>10</v>
      </c>
      <c r="E21" s="43">
        <f>ROUND('2A. Bluetooth Probe'!B92,-3)</f>
        <v>5000</v>
      </c>
      <c r="F21" s="43">
        <f>ROUND('2B. Private Sector'!B34,-2)</f>
        <v>3700</v>
      </c>
      <c r="G21" s="43">
        <f>ROUND('2C. Toll Tags'!B74,-3)</f>
        <v>31000</v>
      </c>
      <c r="H21" s="43">
        <f>ROUND('2D. Radar'!B104,-3)</f>
        <v>9000</v>
      </c>
      <c r="I21" s="43">
        <f>ROUND('2E. Dual Loops'!B113,-3)</f>
        <v>29000</v>
      </c>
      <c r="J21" s="43">
        <f>ROUND('2F. Magnetometer'!B101,-3)</f>
        <v>20000</v>
      </c>
      <c r="K21" s="44">
        <f>ROUND('2G. Video'!B105,-3)</f>
        <v>29000</v>
      </c>
      <c r="M21" s="5"/>
      <c r="N21" s="5"/>
      <c r="O21" s="77"/>
      <c r="P21" s="77"/>
      <c r="Q21" s="77"/>
      <c r="R21" s="5"/>
      <c r="S21" s="5"/>
    </row>
    <row r="22" spans="2:19" ht="16.5" thickTop="1" thickBot="1">
      <c r="B22" s="86"/>
      <c r="C22" s="87"/>
      <c r="D22" s="45" t="s">
        <v>11</v>
      </c>
      <c r="E22" s="46">
        <f>ROUND('2A. Bluetooth Probe'!B93,-3)</f>
        <v>14000</v>
      </c>
      <c r="F22" s="46">
        <f>ROUND('2B. Private Sector'!B35,-2)</f>
        <v>4200</v>
      </c>
      <c r="G22" s="46">
        <f>ROUND('2C. Toll Tags'!B75,-3)</f>
        <v>53000</v>
      </c>
      <c r="H22" s="46">
        <f>ROUND('2D. Radar'!B105,-3)</f>
        <v>26000</v>
      </c>
      <c r="I22" s="46">
        <f>ROUND('2E. Dual Loops'!B114,-3)</f>
        <v>103000</v>
      </c>
      <c r="J22" s="46">
        <f>ROUND('2F. Magnetometer'!B102,-3)</f>
        <v>47000</v>
      </c>
      <c r="K22" s="47">
        <f>ROUND('2G. Video'!B106,-3)</f>
        <v>65000</v>
      </c>
      <c r="M22" s="5"/>
      <c r="N22" s="5"/>
      <c r="O22" s="77"/>
      <c r="P22" s="77"/>
      <c r="Q22" s="77"/>
      <c r="R22" s="5"/>
      <c r="S22" s="5"/>
    </row>
    <row r="23" spans="2:19" ht="16.5" thickTop="1" thickBot="1">
      <c r="B23" s="86"/>
      <c r="C23" s="87"/>
      <c r="D23" s="45" t="s">
        <v>263</v>
      </c>
      <c r="E23" s="46">
        <f>AVERAGE(E21:E22)</f>
        <v>9500</v>
      </c>
      <c r="F23" s="46">
        <f t="shared" ref="F23:K23" si="2">AVERAGE(F21:F22)</f>
        <v>3950</v>
      </c>
      <c r="G23" s="46">
        <f t="shared" si="2"/>
        <v>42000</v>
      </c>
      <c r="H23" s="46">
        <f t="shared" si="2"/>
        <v>17500</v>
      </c>
      <c r="I23" s="46">
        <f t="shared" si="2"/>
        <v>66000</v>
      </c>
      <c r="J23" s="46">
        <f t="shared" si="2"/>
        <v>33500</v>
      </c>
      <c r="K23" s="47">
        <f t="shared" si="2"/>
        <v>47000</v>
      </c>
    </row>
    <row r="24" spans="2:19" ht="16.5" thickTop="1" thickBot="1">
      <c r="B24" s="86"/>
      <c r="C24" s="87"/>
      <c r="D24" s="39" t="s">
        <v>61</v>
      </c>
      <c r="E24" s="40">
        <f>ROUND('2A. Bluetooth Probe'!B95,-3)</f>
        <v>106000</v>
      </c>
      <c r="F24" s="40">
        <f>ROUND('2B. Private Sector'!B37,-2)</f>
        <v>73000</v>
      </c>
      <c r="G24" s="40">
        <f>ROUND('2C. Toll Tags'!B77,-3)</f>
        <v>620000</v>
      </c>
      <c r="H24" s="40">
        <f>ROUND('2D. Radar'!B107,-3)</f>
        <v>179000</v>
      </c>
      <c r="I24" s="40">
        <f>ROUND('2E. Dual Loops'!B116,-3)</f>
        <v>586000</v>
      </c>
      <c r="J24" s="40">
        <f>ROUND('2F. Magnetometer'!B104,-3)</f>
        <v>410000</v>
      </c>
      <c r="K24" s="41">
        <f>ROUND('2G. Video'!B108,-3)</f>
        <v>583000</v>
      </c>
    </row>
    <row r="25" spans="2:19" ht="16.5" thickTop="1" thickBot="1">
      <c r="B25" s="86"/>
      <c r="C25" s="87"/>
      <c r="D25" s="65" t="s">
        <v>60</v>
      </c>
      <c r="E25" s="40">
        <f>ROUND('2A. Bluetooth Probe'!B96,-3)</f>
        <v>281000</v>
      </c>
      <c r="F25" s="40">
        <f>ROUND('2B. Private Sector'!B38,-2)</f>
        <v>84000</v>
      </c>
      <c r="G25" s="40">
        <f>ROUND('2C. Toll Tags'!B78,-3)</f>
        <v>1059000</v>
      </c>
      <c r="H25" s="40">
        <f>ROUND('2D. Radar'!B108,-3)</f>
        <v>526000</v>
      </c>
      <c r="I25" s="40">
        <f>ROUND('2E. Dual Loops'!B117,-3)</f>
        <v>2055000</v>
      </c>
      <c r="J25" s="40">
        <f>ROUND('2F. Magnetometer'!B105,-3)</f>
        <v>931000</v>
      </c>
      <c r="K25" s="41">
        <f>ROUND('2G. Video'!B109,-3)</f>
        <v>1292000</v>
      </c>
    </row>
    <row r="26" spans="2:19" ht="16.5" thickTop="1" thickBot="1">
      <c r="B26" s="88"/>
      <c r="C26" s="89"/>
      <c r="D26" s="66" t="s">
        <v>264</v>
      </c>
      <c r="E26" s="73">
        <f>AVERAGE(E24:E25)</f>
        <v>193500</v>
      </c>
      <c r="F26" s="73">
        <f t="shared" ref="F26:K26" si="3">AVERAGE(F24:F25)</f>
        <v>78500</v>
      </c>
      <c r="G26" s="73">
        <f t="shared" si="3"/>
        <v>839500</v>
      </c>
      <c r="H26" s="73">
        <f t="shared" si="3"/>
        <v>352500</v>
      </c>
      <c r="I26" s="73">
        <f t="shared" si="3"/>
        <v>1320500</v>
      </c>
      <c r="J26" s="73">
        <f t="shared" si="3"/>
        <v>670500</v>
      </c>
      <c r="K26" s="75">
        <f t="shared" si="3"/>
        <v>937500</v>
      </c>
    </row>
    <row r="27" spans="2:19" ht="16.5" thickTop="1" thickBot="1">
      <c r="B27" s="86" t="s">
        <v>125</v>
      </c>
      <c r="C27" s="87"/>
      <c r="D27" s="48" t="s">
        <v>10</v>
      </c>
      <c r="E27" s="49">
        <f>ROUND('2A. Bluetooth Probe'!B99,-3)</f>
        <v>9000</v>
      </c>
      <c r="F27" s="49">
        <f>ROUND('2B. Private Sector'!B41,-2)</f>
        <v>7200</v>
      </c>
      <c r="G27" s="49">
        <f>ROUND('2C. Toll Tags'!B81,-3)</f>
        <v>33000</v>
      </c>
      <c r="H27" s="49">
        <f>ROUND('2D. Radar'!B111,-3)</f>
        <v>13000</v>
      </c>
      <c r="I27" s="49">
        <f>ROUND('2E. Dual Loops'!B132,-3)</f>
        <v>48000</v>
      </c>
      <c r="J27" s="49">
        <f>ROUND('2F. Magnetometer'!B108,-3)</f>
        <v>36000</v>
      </c>
      <c r="K27" s="50">
        <f>ROUND('2G. Video'!B112,-3)</f>
        <v>47000</v>
      </c>
    </row>
    <row r="28" spans="2:19" ht="16.5" thickTop="1" thickBot="1">
      <c r="B28" s="86"/>
      <c r="C28" s="87"/>
      <c r="D28" s="45" t="s">
        <v>11</v>
      </c>
      <c r="E28" s="46">
        <f>ROUND('2A. Bluetooth Probe'!B100,-3)</f>
        <v>22000</v>
      </c>
      <c r="F28" s="46">
        <f>ROUND('2B. Private Sector'!B42,-2)</f>
        <v>8200</v>
      </c>
      <c r="G28" s="46">
        <f>ROUND('2C. Toll Tags'!B82,-3)</f>
        <v>58000</v>
      </c>
      <c r="H28" s="46">
        <f>ROUND('2D. Radar'!B112,-3)</f>
        <v>38000</v>
      </c>
      <c r="I28" s="46">
        <f>ROUND('2E. Dual Loops'!B133,-3)</f>
        <v>146000</v>
      </c>
      <c r="J28" s="46">
        <f>ROUND('2F. Magnetometer'!B109,-3)</f>
        <v>84000</v>
      </c>
      <c r="K28" s="47">
        <f>ROUND('2G. Video'!B113,-3)</f>
        <v>102000</v>
      </c>
    </row>
    <row r="29" spans="2:19" ht="16.5" thickTop="1" thickBot="1">
      <c r="B29" s="86"/>
      <c r="C29" s="87"/>
      <c r="D29" s="45" t="s">
        <v>263</v>
      </c>
      <c r="E29" s="46">
        <f>AVERAGE(E27:E28)</f>
        <v>15500</v>
      </c>
      <c r="F29" s="46">
        <f t="shared" ref="F29:K29" si="4">AVERAGE(F27:F28)</f>
        <v>7700</v>
      </c>
      <c r="G29" s="46">
        <f t="shared" si="4"/>
        <v>45500</v>
      </c>
      <c r="H29" s="46">
        <f t="shared" si="4"/>
        <v>25500</v>
      </c>
      <c r="I29" s="46">
        <f t="shared" si="4"/>
        <v>97000</v>
      </c>
      <c r="J29" s="46">
        <f t="shared" si="4"/>
        <v>60000</v>
      </c>
      <c r="K29" s="47">
        <f t="shared" si="4"/>
        <v>74500</v>
      </c>
    </row>
    <row r="30" spans="2:19" ht="16.5" thickTop="1" thickBot="1">
      <c r="B30" s="86"/>
      <c r="C30" s="87"/>
      <c r="D30" s="65" t="s">
        <v>61</v>
      </c>
      <c r="E30" s="40">
        <f>ROUND('2A. Bluetooth Probe'!B102,-3)</f>
        <v>171000</v>
      </c>
      <c r="F30" s="40">
        <f>ROUND('2B. Private Sector'!B44,-2)</f>
        <v>143000</v>
      </c>
      <c r="G30" s="40">
        <f>ROUND('2C. Toll Tags'!B84,-3)</f>
        <v>660000</v>
      </c>
      <c r="H30" s="40">
        <f>ROUND('2D. Radar'!B114,-3)</f>
        <v>266000</v>
      </c>
      <c r="I30" s="40">
        <f>ROUND('2E. Dual Loops'!B135,-3)</f>
        <v>954000</v>
      </c>
      <c r="J30" s="40">
        <f>ROUND('2F. Magnetometer'!B111,-3)</f>
        <v>729000</v>
      </c>
      <c r="K30" s="41">
        <f>ROUND('2G. Video'!B115,-3)</f>
        <v>931000</v>
      </c>
    </row>
    <row r="31" spans="2:19" ht="16.5" thickTop="1" thickBot="1">
      <c r="B31" s="86"/>
      <c r="C31" s="87"/>
      <c r="D31" s="65" t="s">
        <v>60</v>
      </c>
      <c r="E31" s="40">
        <f>ROUND('2A. Bluetooth Probe'!B103,-3)</f>
        <v>449000</v>
      </c>
      <c r="F31" s="40">
        <f>ROUND('2B. Private Sector'!B45,-2)</f>
        <v>164000</v>
      </c>
      <c r="G31" s="40">
        <f>ROUND('2C. Toll Tags'!B85,-3)</f>
        <v>1159000</v>
      </c>
      <c r="H31" s="40">
        <f>ROUND('2D. Radar'!B115,-3)</f>
        <v>768000</v>
      </c>
      <c r="I31" s="40">
        <f>ROUND('2E. Dual Loops'!B136,-3)</f>
        <v>2921000</v>
      </c>
      <c r="J31" s="40">
        <f>ROUND('2F. Magnetometer'!B112,-3)</f>
        <v>1677000</v>
      </c>
      <c r="K31" s="41">
        <f>ROUND('2G. Video'!B116,-3)</f>
        <v>2031000</v>
      </c>
    </row>
    <row r="32" spans="2:19" ht="16.5" thickTop="1" thickBot="1">
      <c r="B32" s="88"/>
      <c r="C32" s="89"/>
      <c r="D32" s="66" t="s">
        <v>264</v>
      </c>
      <c r="E32" s="73">
        <f>AVERAGE(E30:E31)</f>
        <v>310000</v>
      </c>
      <c r="F32" s="73">
        <f t="shared" ref="F32:K32" si="5">AVERAGE(F30:F31)</f>
        <v>153500</v>
      </c>
      <c r="G32" s="73">
        <f t="shared" si="5"/>
        <v>909500</v>
      </c>
      <c r="H32" s="73">
        <f t="shared" si="5"/>
        <v>517000</v>
      </c>
      <c r="I32" s="73">
        <f t="shared" si="5"/>
        <v>1937500</v>
      </c>
      <c r="J32" s="73">
        <f t="shared" si="5"/>
        <v>1203000</v>
      </c>
      <c r="K32" s="75">
        <f t="shared" si="5"/>
        <v>1481000</v>
      </c>
    </row>
    <row r="33" spans="2:13" ht="15.75" thickTop="1">
      <c r="B33" s="3" t="s">
        <v>217</v>
      </c>
    </row>
    <row r="34" spans="2:13">
      <c r="B34" s="3" t="s">
        <v>56</v>
      </c>
    </row>
    <row r="37" spans="2:13">
      <c r="B37" s="1" t="s">
        <v>249</v>
      </c>
      <c r="M37" s="1" t="s">
        <v>248</v>
      </c>
    </row>
  </sheetData>
  <mergeCells count="8">
    <mergeCell ref="B15:C20"/>
    <mergeCell ref="B21:C26"/>
    <mergeCell ref="B27:C32"/>
    <mergeCell ref="E12:K12"/>
    <mergeCell ref="D12:D14"/>
    <mergeCell ref="B12:C14"/>
    <mergeCell ref="E13:G13"/>
    <mergeCell ref="H13:K13"/>
  </mergeCells>
  <pageMargins left="0.2" right="0.2" top="0.25" bottom="0.25" header="0.3" footer="0.3"/>
  <pageSetup scale="46" pageOrder="overThenDown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4"/>
  <sheetViews>
    <sheetView zoomScaleNormal="100" workbookViewId="0"/>
  </sheetViews>
  <sheetFormatPr defaultRowHeight="15"/>
  <sheetData>
    <row r="1" spans="1:13" s="5" customFormat="1">
      <c r="A1" s="31" t="s">
        <v>83</v>
      </c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t="s">
        <v>72</v>
      </c>
    </row>
    <row r="4" spans="1:13">
      <c r="A4" t="s">
        <v>73</v>
      </c>
    </row>
    <row r="5" spans="1:13">
      <c r="A5" t="s">
        <v>74</v>
      </c>
    </row>
    <row r="6" spans="1:13">
      <c r="A6" t="s">
        <v>86</v>
      </c>
    </row>
    <row r="7" spans="1:13">
      <c r="A7" t="s">
        <v>265</v>
      </c>
    </row>
    <row r="8" spans="1:13">
      <c r="A8" t="s">
        <v>87</v>
      </c>
    </row>
    <row r="10" spans="1:13">
      <c r="A10" s="1" t="s">
        <v>75</v>
      </c>
    </row>
    <row r="11" spans="1:13">
      <c r="A11" t="s">
        <v>71</v>
      </c>
    </row>
    <row r="12" spans="1:13">
      <c r="A12" s="3" t="s">
        <v>76</v>
      </c>
    </row>
    <row r="13" spans="1:13">
      <c r="A13" s="3" t="s">
        <v>77</v>
      </c>
    </row>
    <row r="14" spans="1:13">
      <c r="A14" s="3" t="s">
        <v>78</v>
      </c>
    </row>
    <row r="15" spans="1:13">
      <c r="A15" s="3" t="s">
        <v>79</v>
      </c>
    </row>
    <row r="16" spans="1:13" s="4" customFormat="1">
      <c r="A16" t="s">
        <v>80</v>
      </c>
    </row>
    <row r="17" spans="1:1" s="4" customFormat="1">
      <c r="A17" t="s">
        <v>81</v>
      </c>
    </row>
    <row r="18" spans="1:1" s="4" customFormat="1">
      <c r="A18" s="3" t="s">
        <v>82</v>
      </c>
    </row>
    <row r="19" spans="1:1" s="4" customFormat="1">
      <c r="A19" s="3" t="s">
        <v>84</v>
      </c>
    </row>
    <row r="20" spans="1:1" s="4" customFormat="1">
      <c r="A20" s="3" t="s">
        <v>85</v>
      </c>
    </row>
    <row r="21" spans="1:1" s="4" customFormat="1"/>
    <row r="22" spans="1:1" s="4" customFormat="1">
      <c r="A22" s="1" t="s">
        <v>290</v>
      </c>
    </row>
    <row r="23" spans="1:1">
      <c r="A23" t="s">
        <v>221</v>
      </c>
    </row>
    <row r="24" spans="1:1">
      <c r="A24" t="s">
        <v>257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1. Start Here</vt:lpstr>
      <vt:lpstr>2A. Bluetooth Probe</vt:lpstr>
      <vt:lpstr>2B. Private Sector</vt:lpstr>
      <vt:lpstr>2C. Toll Tags</vt:lpstr>
      <vt:lpstr>2D. Radar</vt:lpstr>
      <vt:lpstr>2E. Dual Loops</vt:lpstr>
      <vt:lpstr>2F. Magnetometer</vt:lpstr>
      <vt:lpstr>2G. Video</vt:lpstr>
      <vt:lpstr>3. Summary</vt:lpstr>
      <vt:lpstr>4. References</vt:lpstr>
      <vt:lpstr>'2A. Bluetooth Probe'!Print_Area</vt:lpstr>
      <vt:lpstr>'2D. Radar'!Print_Area</vt:lpstr>
      <vt:lpstr>'2E. Dual Loops'!Print_Area</vt:lpstr>
      <vt:lpstr>'3. Summary'!Print_Area</vt:lpstr>
    </vt:vector>
  </TitlesOfParts>
  <Company>Texas Transportation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b-eisele</dc:creator>
  <cp:lastModifiedBy>b-eisele</cp:lastModifiedBy>
  <cp:lastPrinted>2011-02-17T20:09:01Z</cp:lastPrinted>
  <dcterms:created xsi:type="dcterms:W3CDTF">2011-01-04T16:17:15Z</dcterms:created>
  <dcterms:modified xsi:type="dcterms:W3CDTF">2011-05-11T13:28:56Z</dcterms:modified>
</cp:coreProperties>
</file>