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8" windowWidth="11412" windowHeight="6852"/>
  </bookViews>
  <sheets>
    <sheet name="Sheet1" sheetId="1" r:id="rId1"/>
    <sheet name="Sheet2" sheetId="2" r:id="rId2"/>
    <sheet name="Sheet3" sheetId="3" r:id="rId3"/>
  </sheets>
  <definedNames>
    <definedName name="dt">Sheet1!$E$1</definedName>
    <definedName name="sigma">Sheet1!$C$1</definedName>
    <definedName name="solver_adj" localSheetId="0" hidden="1">Sheet1!$C$6:$G$6,Sheet1!$C$1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Sheet1!$B$58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trike">Sheet1!$B$36</definedName>
    <definedName name="theta">Sheet1!$C$6:$H$6</definedName>
  </definedNames>
  <calcPr calcId="125725"/>
</workbook>
</file>

<file path=xl/calcChain.xml><?xml version="1.0" encoding="utf-8"?>
<calcChain xmlns="http://schemas.openxmlformats.org/spreadsheetml/2006/main">
  <c r="H46" i="1"/>
  <c r="H45"/>
  <c r="H44"/>
  <c r="H43"/>
  <c r="H42"/>
  <c r="H41"/>
  <c r="H40"/>
  <c r="F35"/>
  <c r="G35"/>
  <c r="H35"/>
  <c r="F36"/>
  <c r="G36"/>
  <c r="H36"/>
  <c r="H31"/>
  <c r="G31"/>
  <c r="F31"/>
  <c r="E31"/>
  <c r="D31"/>
  <c r="C31"/>
  <c r="B27"/>
  <c r="C19"/>
  <c r="C18"/>
  <c r="C9"/>
  <c r="B36" l="1"/>
  <c r="B37"/>
  <c r="D18"/>
  <c r="C27"/>
  <c r="C29" s="1"/>
  <c r="C33" s="1"/>
  <c r="C10"/>
  <c r="D9"/>
  <c r="D20" l="1"/>
  <c r="D19"/>
  <c r="E9"/>
  <c r="D10"/>
  <c r="E18"/>
  <c r="D11" l="1"/>
  <c r="D27"/>
  <c r="D29" s="1"/>
  <c r="D33" s="1"/>
  <c r="E19"/>
  <c r="F18"/>
  <c r="F9"/>
  <c r="E10"/>
  <c r="E21" l="1"/>
  <c r="E20"/>
  <c r="E11"/>
  <c r="G18"/>
  <c r="F19"/>
  <c r="G9"/>
  <c r="G40" s="1"/>
  <c r="F10"/>
  <c r="E27" l="1"/>
  <c r="E29" s="1"/>
  <c r="E33" s="1"/>
  <c r="F20"/>
  <c r="F11"/>
  <c r="E12"/>
  <c r="H9"/>
  <c r="H10" s="1"/>
  <c r="H11" s="1"/>
  <c r="H12" s="1"/>
  <c r="H13" s="1"/>
  <c r="H14" s="1"/>
  <c r="H15" s="1"/>
  <c r="G10"/>
  <c r="G41" s="1"/>
  <c r="H18"/>
  <c r="G19"/>
  <c r="G20" l="1"/>
  <c r="F40"/>
  <c r="G11"/>
  <c r="G42" s="1"/>
  <c r="F22"/>
  <c r="F21"/>
  <c r="F12"/>
  <c r="H20"/>
  <c r="H19"/>
  <c r="F41" l="1"/>
  <c r="F13"/>
  <c r="G22" s="1"/>
  <c r="F27"/>
  <c r="F29" s="1"/>
  <c r="F33" s="1"/>
  <c r="G21"/>
  <c r="G12"/>
  <c r="G43" s="1"/>
  <c r="F42" l="1"/>
  <c r="G13"/>
  <c r="G44" s="1"/>
  <c r="F43" s="1"/>
  <c r="H21"/>
  <c r="G23"/>
  <c r="G27" s="1"/>
  <c r="G29" s="1"/>
  <c r="G33" s="1"/>
  <c r="E40"/>
  <c r="E50" s="1"/>
  <c r="H50" s="1"/>
  <c r="H22" l="1"/>
  <c r="G14"/>
  <c r="G45" s="1"/>
  <c r="F44" s="1"/>
  <c r="H24" l="1"/>
  <c r="E43"/>
  <c r="E53" s="1"/>
  <c r="H53" s="1"/>
  <c r="H23"/>
  <c r="H27" s="1"/>
  <c r="H29" s="1"/>
  <c r="H33" s="1"/>
  <c r="B57" s="1"/>
  <c r="E42"/>
  <c r="E41"/>
  <c r="E51" s="1"/>
  <c r="H51" s="1"/>
  <c r="D42" l="1"/>
  <c r="E52"/>
  <c r="D50"/>
  <c r="D41"/>
  <c r="D40"/>
  <c r="C41" l="1"/>
  <c r="D52"/>
  <c r="H52"/>
  <c r="H54" s="1"/>
  <c r="C40"/>
  <c r="D51"/>
  <c r="C50" s="1"/>
  <c r="B40" l="1"/>
  <c r="C51"/>
  <c r="B50" s="1"/>
  <c r="B55" s="1"/>
  <c r="B58" s="1"/>
</calcChain>
</file>

<file path=xl/sharedStrings.xml><?xml version="1.0" encoding="utf-8"?>
<sst xmlns="http://schemas.openxmlformats.org/spreadsheetml/2006/main" count="16" uniqueCount="16">
  <si>
    <t>time</t>
  </si>
  <si>
    <t>market yields</t>
  </si>
  <si>
    <t>theta</t>
  </si>
  <si>
    <t>Interest Rate Tree</t>
  </si>
  <si>
    <t>sigma</t>
  </si>
  <si>
    <t>dt</t>
  </si>
  <si>
    <t>Arrow-Debreu Tree</t>
  </si>
  <si>
    <t>Bond Prices</t>
  </si>
  <si>
    <t>Bond Yields</t>
  </si>
  <si>
    <t>Squared Errors</t>
  </si>
  <si>
    <t>Market Yields</t>
  </si>
  <si>
    <t>Strike</t>
  </si>
  <si>
    <t>Coupon Bearing Bond Tree</t>
  </si>
  <si>
    <t>Call Option on Coupon Bearing Bond Tree</t>
  </si>
  <si>
    <t>yield error</t>
  </si>
  <si>
    <t>totla error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</si>
</sst>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10" fontId="0" fillId="0" borderId="0" xfId="1" applyNumberFormat="1" applyFont="1"/>
    <xf numFmtId="0" fontId="2" fillId="0" borderId="0" xfId="0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Sheet1!$B$4</c:f>
              <c:strCache>
                <c:ptCount val="1"/>
                <c:pt idx="0">
                  <c:v>market yields</c:v>
                </c:pt>
              </c:strCache>
            </c:strRef>
          </c:tx>
          <c:xVal>
            <c:numRef>
              <c:f>Sheet1!$C$3:$H$3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Sheet1!$C$4:$H$4</c:f>
              <c:numCache>
                <c:formatCode>0.00%</c:formatCode>
                <c:ptCount val="6"/>
                <c:pt idx="0">
                  <c:v>0.02</c:v>
                </c:pt>
                <c:pt idx="1">
                  <c:v>2.5000000000000001E-2</c:v>
                </c:pt>
                <c:pt idx="2">
                  <c:v>2.7E-2</c:v>
                </c:pt>
                <c:pt idx="3">
                  <c:v>2.8000000000000001E-2</c:v>
                </c:pt>
                <c:pt idx="4">
                  <c:v>2.8500000000000001E-2</c:v>
                </c:pt>
                <c:pt idx="5">
                  <c:v>2.87E-2</c:v>
                </c:pt>
              </c:numCache>
            </c:numRef>
          </c:yVal>
          <c:smooth val="1"/>
        </c:ser>
        <c:axId val="65026688"/>
        <c:axId val="65033344"/>
      </c:scatterChart>
      <c:valAx>
        <c:axId val="65026688"/>
        <c:scaling>
          <c:orientation val="minMax"/>
        </c:scaling>
        <c:axPos val="b"/>
        <c:numFmt formatCode="General" sourceLinked="1"/>
        <c:tickLblPos val="nextTo"/>
        <c:crossAx val="65033344"/>
        <c:crosses val="autoZero"/>
        <c:crossBetween val="midCat"/>
      </c:valAx>
      <c:valAx>
        <c:axId val="65033344"/>
        <c:scaling>
          <c:orientation val="minMax"/>
        </c:scaling>
        <c:axPos val="l"/>
        <c:majorGridlines/>
        <c:numFmt formatCode="0.00%" sourceLinked="1"/>
        <c:tickLblPos val="nextTo"/>
        <c:crossAx val="65026688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0</xdr:rowOff>
    </xdr:from>
    <xdr:to>
      <xdr:col>12</xdr:col>
      <xdr:colOff>0</xdr:colOff>
      <xdr:row>9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>
      <selection activeCell="C2" sqref="C2"/>
    </sheetView>
  </sheetViews>
  <sheetFormatPr defaultRowHeight="14.4"/>
  <sheetData>
    <row r="1" spans="2:8">
      <c r="B1" t="s">
        <v>4</v>
      </c>
      <c r="C1" s="2">
        <v>5.5678788823342699E-2</v>
      </c>
      <c r="D1" t="s">
        <v>5</v>
      </c>
      <c r="E1">
        <v>0.5</v>
      </c>
    </row>
    <row r="3" spans="2:8">
      <c r="B3" t="s">
        <v>0</v>
      </c>
      <c r="C3">
        <v>0.5</v>
      </c>
      <c r="D3">
        <v>1</v>
      </c>
      <c r="E3">
        <v>1.5</v>
      </c>
      <c r="F3">
        <v>2</v>
      </c>
      <c r="G3">
        <v>2.5</v>
      </c>
      <c r="H3">
        <v>3</v>
      </c>
    </row>
    <row r="4" spans="2:8">
      <c r="B4" s="1" t="s">
        <v>1</v>
      </c>
      <c r="C4" s="2">
        <v>0.02</v>
      </c>
      <c r="D4" s="2">
        <v>2.5000000000000001E-2</v>
      </c>
      <c r="E4" s="2">
        <v>2.7E-2</v>
      </c>
      <c r="F4" s="2">
        <v>2.8000000000000001E-2</v>
      </c>
      <c r="G4" s="2">
        <v>2.8500000000000001E-2</v>
      </c>
      <c r="H4" s="2">
        <v>2.87E-2</v>
      </c>
    </row>
    <row r="6" spans="2:8">
      <c r="B6" t="s">
        <v>2</v>
      </c>
      <c r="C6">
        <v>0.89036397480517027</v>
      </c>
      <c r="D6">
        <v>0.14078153727589526</v>
      </c>
      <c r="E6">
        <v>6.3278529849787671E-2</v>
      </c>
      <c r="F6">
        <v>2.9610304769354803E-2</v>
      </c>
      <c r="G6">
        <v>9.96789715655454E-3</v>
      </c>
      <c r="H6">
        <v>0</v>
      </c>
    </row>
    <row r="8" spans="2:8">
      <c r="B8" s="3" t="s">
        <v>3</v>
      </c>
    </row>
    <row r="9" spans="2:8">
      <c r="B9" s="2">
        <v>1.9999521762126014E-2</v>
      </c>
      <c r="C9" s="2">
        <f t="shared" ref="C9:H9" si="0">B9*EXP(1/2*sigma^2*SQRT(dt)+theta*dt)</f>
        <v>3.1248969804239014E-2</v>
      </c>
      <c r="D9" s="2">
        <f t="shared" si="0"/>
        <v>3.3564643582527205E-2</v>
      </c>
      <c r="E9" s="2">
        <f t="shared" si="0"/>
        <v>3.4681574931567712E-2</v>
      </c>
      <c r="F9" s="2">
        <f t="shared" si="0"/>
        <v>3.523746196730506E-2</v>
      </c>
      <c r="G9" s="2">
        <f t="shared" si="0"/>
        <v>3.5452358684411461E-2</v>
      </c>
      <c r="H9" s="2">
        <f t="shared" si="0"/>
        <v>3.5491237920967485E-2</v>
      </c>
    </row>
    <row r="10" spans="2:8">
      <c r="B10" s="2"/>
      <c r="C10" s="2">
        <f t="shared" ref="C10:H10" si="1">C9*EXP(-2*sigma*SQRT(dt))</f>
        <v>2.8882755198496791E-2</v>
      </c>
      <c r="D10" s="2">
        <f t="shared" si="1"/>
        <v>3.1023083000560944E-2</v>
      </c>
      <c r="E10" s="2">
        <f t="shared" si="1"/>
        <v>3.2055438784766271E-2</v>
      </c>
      <c r="F10" s="2">
        <f t="shared" si="1"/>
        <v>3.2569233296130991E-2</v>
      </c>
      <c r="G10" s="2">
        <f t="shared" si="1"/>
        <v>3.2767857740777576E-2</v>
      </c>
      <c r="H10" s="2">
        <f t="shared" si="1"/>
        <v>3.2803792988524517E-2</v>
      </c>
    </row>
    <row r="11" spans="2:8">
      <c r="B11" s="2"/>
      <c r="C11" s="2"/>
      <c r="D11" s="2">
        <f>D10*EXP(-2*sigma*SQRT(dt))</f>
        <v>2.8673972851620204E-2</v>
      </c>
      <c r="E11" s="2">
        <f>E10*EXP(-2*sigma*SQRT(dt))</f>
        <v>2.9628157248089808E-2</v>
      </c>
      <c r="F11" s="2">
        <f>F10*EXP(-2*sigma*SQRT(dt))</f>
        <v>3.0103046538426201E-2</v>
      </c>
      <c r="G11" s="2">
        <f>G10*EXP(-2*sigma*SQRT(dt))</f>
        <v>3.0286630869273055E-2</v>
      </c>
      <c r="H11" s="2">
        <f>H10*EXP(-2*sigma*SQRT(dt))</f>
        <v>3.0319845051058062E-2</v>
      </c>
    </row>
    <row r="12" spans="2:8">
      <c r="B12" s="2"/>
      <c r="C12" s="2"/>
      <c r="D12" s="2"/>
      <c r="E12" s="2">
        <f>E11*EXP(-2*sigma*SQRT(dt))</f>
        <v>2.7384672779294704E-2</v>
      </c>
      <c r="F12" s="2">
        <f>F11*EXP(-2*sigma*SQRT(dt))</f>
        <v>2.7823602804991528E-2</v>
      </c>
      <c r="G12" s="2">
        <f>G11*EXP(-2*sigma*SQRT(dt))</f>
        <v>2.7993285879964778E-2</v>
      </c>
      <c r="H12" s="2">
        <f>H11*EXP(-2*sigma*SQRT(dt))</f>
        <v>2.8023985038613031E-2</v>
      </c>
    </row>
    <row r="13" spans="2:8">
      <c r="B13" s="2"/>
      <c r="C13" s="2"/>
      <c r="D13" s="2"/>
      <c r="E13" s="2"/>
      <c r="F13" s="2">
        <f>F12*EXP(-2*sigma*SQRT(dt))</f>
        <v>2.5716761659380055E-2</v>
      </c>
      <c r="G13" s="2">
        <f>G12*EXP(-2*sigma*SQRT(dt))</f>
        <v>2.587359610053068E-2</v>
      </c>
      <c r="H13" s="2">
        <f>H12*EXP(-2*sigma*SQRT(dt))</f>
        <v>2.5901970677023663E-2</v>
      </c>
    </row>
    <row r="14" spans="2:8">
      <c r="B14" s="2"/>
      <c r="C14" s="2"/>
      <c r="D14" s="2"/>
      <c r="E14" s="2"/>
      <c r="F14" s="2"/>
      <c r="G14" s="2">
        <f>G13*EXP(-2*sigma*SQRT(dt))</f>
        <v>2.3914412121676897E-2</v>
      </c>
      <c r="H14" s="2">
        <f>H13*EXP(-2*sigma*SQRT(dt))</f>
        <v>2.3940638136545286E-2</v>
      </c>
    </row>
    <row r="15" spans="2:8">
      <c r="B15" s="2"/>
      <c r="C15" s="2"/>
      <c r="D15" s="2"/>
      <c r="E15" s="2"/>
      <c r="F15" s="2"/>
      <c r="G15" s="2"/>
      <c r="H15" s="2">
        <f>H14*EXP(-2*sigma*SQRT(dt))</f>
        <v>2.2127820370572145E-2</v>
      </c>
    </row>
    <row r="17" spans="2:8">
      <c r="B17" s="3" t="s">
        <v>6</v>
      </c>
    </row>
    <row r="18" spans="2:8">
      <c r="B18">
        <v>1</v>
      </c>
      <c r="C18">
        <f t="shared" ref="C18:H18" si="2">0.5*EXP(-B9*dt)*B18</f>
        <v>0.49502503524443009</v>
      </c>
      <c r="D18">
        <f t="shared" si="2"/>
        <v>0.24367531722991617</v>
      </c>
      <c r="E18">
        <f t="shared" si="2"/>
        <v>0.11981000180626124</v>
      </c>
      <c r="F18">
        <f t="shared" si="2"/>
        <v>5.8875155981603026E-2</v>
      </c>
      <c r="G18">
        <f t="shared" si="2"/>
        <v>2.8923467509602202E-2</v>
      </c>
      <c r="H18">
        <f t="shared" si="2"/>
        <v>1.42076411673766E-2</v>
      </c>
    </row>
    <row r="19" spans="2:8">
      <c r="C19">
        <f>0.5*EXP(-B9*dt)*B18</f>
        <v>0.49502503524443009</v>
      </c>
      <c r="D19">
        <f>0.5*C18*EXP(-C9*dt)+0.5*C19*EXP(-C10*dt)</f>
        <v>0.48763909911584902</v>
      </c>
      <c r="E19">
        <f>0.5*D18*EXP(-D9*dt)+0.5*D19*EXP(-D10*dt)</f>
        <v>0.35987671568237978</v>
      </c>
      <c r="F19">
        <f>0.5*E18*EXP(-E9*dt)+0.5*E19*EXP(-E10*dt)</f>
        <v>0.23595250131455406</v>
      </c>
      <c r="G19">
        <f>0.5*F18*EXP(-F9*dt)+0.5*F19*EXP(-F10*dt)</f>
        <v>0.14499407856916918</v>
      </c>
      <c r="H19">
        <f>0.5*G18*EXP(-G9*dt)+0.5*G19*EXP(-G10*dt)</f>
        <v>8.5526571497171675E-2</v>
      </c>
    </row>
    <row r="20" spans="2:8">
      <c r="D20">
        <f>0.5*EXP(-C10*dt)*C19</f>
        <v>0.24396378188593287</v>
      </c>
      <c r="E20">
        <f>0.5*D19*EXP(-D10*dt)+0.5*D20*EXP(-D11*dt)</f>
        <v>0.36031222904484317</v>
      </c>
      <c r="F20">
        <f>0.5*E19*EXP(-E10*dt)+0.5*E20*EXP(-E11*dt)</f>
        <v>0.35458428400803571</v>
      </c>
      <c r="G20">
        <f>0.5*F19*EXP(-F10*dt)+0.5*F20*EXP(-F11*dt)</f>
        <v>0.29071421850411133</v>
      </c>
      <c r="H20">
        <f>0.5*G19*EXP(-G10*dt)+0.5*G20*EXP(-G11*dt)</f>
        <v>0.21449143386020775</v>
      </c>
    </row>
    <row r="21" spans="2:8">
      <c r="E21">
        <f>0.5*EXP(-D11*dt)*D20</f>
        <v>0.12024551516872464</v>
      </c>
      <c r="F21">
        <f>0.5*E20*EXP(-E11*dt)+0.5*E21*EXP(-E12*dt)</f>
        <v>0.23681208551239141</v>
      </c>
      <c r="G21">
        <f>0.5*F20*EXP(-F11*dt)+0.5*F21*EXP(-F12*dt)</f>
        <v>0.29141381394659222</v>
      </c>
      <c r="H21">
        <f>0.5*G20*EXP(-G11*dt)+0.5*G21*EXP(-G12*dt)</f>
        <v>0.28685420902621639</v>
      </c>
    </row>
    <row r="22" spans="2:8">
      <c r="F22">
        <f>0.5*EXP(-E12*dt)*E21</f>
        <v>5.9305146837306734E-2</v>
      </c>
      <c r="G22">
        <f>0.5*F21*EXP(-F12*dt)+0.5*F22*EXP(-F13*dt)</f>
        <v>0.14604393671396643</v>
      </c>
      <c r="H22">
        <f>0.5*G21*EXP(-G12*dt)+0.5*G22*EXP(-G13*dt)</f>
        <v>0.21576508763526495</v>
      </c>
    </row>
    <row r="23" spans="2:8">
      <c r="G23">
        <f>0.5*EXP(-F13*dt)*F22</f>
        <v>2.9273730211918564E-2</v>
      </c>
      <c r="H23">
        <f>0.5*G22*EXP(-G13*dt)+0.5*G23*EXP(-G14*dt)</f>
        <v>8.6546273426482384E-2</v>
      </c>
    </row>
    <row r="24" spans="2:8">
      <c r="H24">
        <f>0.5*EXP(-G14*dt)*G23</f>
        <v>1.4462891287021136E-2</v>
      </c>
    </row>
    <row r="26" spans="2:8">
      <c r="B26" s="3" t="s">
        <v>7</v>
      </c>
    </row>
    <row r="27" spans="2:8">
      <c r="B27">
        <f t="shared" ref="B27:H27" si="3">SUM(B18:B24)</f>
        <v>1</v>
      </c>
      <c r="C27">
        <f t="shared" si="3"/>
        <v>0.99005007048886018</v>
      </c>
      <c r="D27">
        <f t="shared" si="3"/>
        <v>0.97527819823169803</v>
      </c>
      <c r="E27">
        <f t="shared" si="3"/>
        <v>0.96024446170220878</v>
      </c>
      <c r="F27">
        <f t="shared" si="3"/>
        <v>0.94552917365389089</v>
      </c>
      <c r="G27">
        <f t="shared" si="3"/>
        <v>0.93136324545535987</v>
      </c>
      <c r="H27">
        <f t="shared" si="3"/>
        <v>0.91785410789974087</v>
      </c>
    </row>
    <row r="28" spans="2:8">
      <c r="B28" s="3" t="s">
        <v>8</v>
      </c>
    </row>
    <row r="29" spans="2:8">
      <c r="C29" s="2">
        <f t="shared" ref="C29:H29" si="4">-LN(C27)/C3</f>
        <v>1.9999521762126004E-2</v>
      </c>
      <c r="D29" s="2">
        <f t="shared" si="4"/>
        <v>2.503251716389597E-2</v>
      </c>
      <c r="E29" s="2">
        <f t="shared" si="4"/>
        <v>2.7044919553990798E-2</v>
      </c>
      <c r="F29" s="2">
        <f t="shared" si="4"/>
        <v>2.8005268046878685E-2</v>
      </c>
      <c r="G29" s="2">
        <f t="shared" si="4"/>
        <v>2.8442364329462483E-2</v>
      </c>
      <c r="H29" s="2">
        <f t="shared" si="4"/>
        <v>2.8572274949290741E-2</v>
      </c>
    </row>
    <row r="30" spans="2:8">
      <c r="B30" s="3" t="s">
        <v>10</v>
      </c>
    </row>
    <row r="31" spans="2:8">
      <c r="C31" s="4">
        <f t="shared" ref="C31:H31" si="5">C4</f>
        <v>0.02</v>
      </c>
      <c r="D31" s="4">
        <f t="shared" si="5"/>
        <v>2.5000000000000001E-2</v>
      </c>
      <c r="E31" s="4">
        <f t="shared" si="5"/>
        <v>2.7E-2</v>
      </c>
      <c r="F31" s="4">
        <f t="shared" si="5"/>
        <v>2.8000000000000001E-2</v>
      </c>
      <c r="G31" s="4">
        <f t="shared" si="5"/>
        <v>2.8500000000000001E-2</v>
      </c>
      <c r="H31" s="4">
        <f t="shared" si="5"/>
        <v>2.87E-2</v>
      </c>
    </row>
    <row r="32" spans="2:8">
      <c r="B32" s="3" t="s">
        <v>9</v>
      </c>
    </row>
    <row r="33" spans="2:8">
      <c r="C33">
        <f t="shared" ref="C33:H33" si="6">(C29-C4)^2</f>
        <v>2.2871146412467191E-13</v>
      </c>
      <c r="D33">
        <f t="shared" si="6"/>
        <v>1.0573659478373086E-9</v>
      </c>
      <c r="E33">
        <f t="shared" si="6"/>
        <v>2.0177663307322688E-9</v>
      </c>
      <c r="F33">
        <f t="shared" si="6"/>
        <v>2.7752317916014418E-11</v>
      </c>
      <c r="G33">
        <f t="shared" si="6"/>
        <v>3.321870518309343E-9</v>
      </c>
      <c r="H33">
        <f t="shared" si="6"/>
        <v>1.6313688578682626E-8</v>
      </c>
    </row>
    <row r="35" spans="2:8">
      <c r="B35" s="3" t="s">
        <v>11</v>
      </c>
      <c r="F35">
        <f>0.025*10^6</f>
        <v>25000</v>
      </c>
      <c r="G35">
        <f>0.025*10^6</f>
        <v>25000</v>
      </c>
      <c r="H35">
        <f>1.025*10^6</f>
        <v>1024999.9999999999</v>
      </c>
    </row>
    <row r="36" spans="2:8">
      <c r="B36">
        <f>SUM(F36:H36)*EXP(E4*E3)</f>
        <v>1028168.0937493558</v>
      </c>
      <c r="F36">
        <f>F35*EXP(-F4*F3)</f>
        <v>23638.478397259907</v>
      </c>
      <c r="G36">
        <f>G35*EXP(-G4*G3)</f>
        <v>23280.726394007968</v>
      </c>
      <c r="H36">
        <f>H35*EXP(-H4*H3)</f>
        <v>940440.03829446819</v>
      </c>
    </row>
    <row r="37" spans="2:8">
      <c r="B37">
        <f>SUM(F36:H36)</f>
        <v>987359.24308573606</v>
      </c>
    </row>
    <row r="39" spans="2:8">
      <c r="B39" s="3" t="s">
        <v>12</v>
      </c>
    </row>
    <row r="40" spans="2:8">
      <c r="B40">
        <f>EXP(-B9*dt)*(1/2*C40+1/2*C41)</f>
        <v>987722.7710749656</v>
      </c>
      <c r="C40">
        <f>EXP(-C9*dt)*(1/2*D40+1/2*D41)</f>
        <v>994718.27979742724</v>
      </c>
      <c r="D40">
        <f>EXP(-D9*dt)*(1/2*E40+1/2*E41)</f>
        <v>1007918.0729251361</v>
      </c>
      <c r="E40" s="3">
        <f>EXP(-E9*dt)*(1/2*F40+1/2*F41)</f>
        <v>1023054.6259601419</v>
      </c>
      <c r="F40" s="3">
        <f t="shared" ref="F40:G44" si="7">EXP(-F9*dt)*(1/2*G40+1/2*G41)+0.025*10^6</f>
        <v>1039632.086339343</v>
      </c>
      <c r="G40" s="3">
        <f t="shared" si="7"/>
        <v>1031990.7552907582</v>
      </c>
      <c r="H40" s="3">
        <f>1.025*10^6</f>
        <v>1024999.9999999999</v>
      </c>
    </row>
    <row r="41" spans="2:8">
      <c r="C41">
        <f>EXP(-C10*dt)*(1/2*D41+1/2*D42)</f>
        <v>1000580.3430030432</v>
      </c>
      <c r="D41">
        <f>EXP(-D10*dt)*(1/2*E41+1/2*E42)</f>
        <v>1012846.5129700934</v>
      </c>
      <c r="E41" s="3">
        <f>EXP(-E10*dt)*(1/2*F41+1/2*F42)</f>
        <v>1026897.4019093968</v>
      </c>
      <c r="F41" s="3">
        <f t="shared" si="7"/>
        <v>1042267.7327029906</v>
      </c>
      <c r="G41" s="3">
        <f t="shared" si="7"/>
        <v>1033343.2966287213</v>
      </c>
      <c r="H41" s="3">
        <f t="shared" ref="H41:H46" si="8">1.025*10^6</f>
        <v>1024999.9999999999</v>
      </c>
    </row>
    <row r="42" spans="2:8">
      <c r="D42">
        <f>EXP(-D11*dt)*(1/2*E42+1/2*E43)</f>
        <v>1017423.3727113495</v>
      </c>
      <c r="E42" s="3">
        <f>EXP(-E11*dt)*(1/2*F42+1/2*F43)</f>
        <v>1030462.2093119828</v>
      </c>
      <c r="F42" s="3">
        <f t="shared" si="7"/>
        <v>1044709.9303462326</v>
      </c>
      <c r="G42" s="3">
        <f t="shared" si="7"/>
        <v>1034595.0371728899</v>
      </c>
      <c r="H42" s="3">
        <f t="shared" si="8"/>
        <v>1024999.9999999999</v>
      </c>
    </row>
    <row r="43" spans="2:8">
      <c r="E43" s="3">
        <f>EXP(-E12*dt)*(1/2*F43+1/2*F44)</f>
        <v>1033768.2398446058</v>
      </c>
      <c r="F43" s="3">
        <f t="shared" si="7"/>
        <v>1046972.447565168</v>
      </c>
      <c r="G43" s="3">
        <f t="shared" si="7"/>
        <v>1035753.376023484</v>
      </c>
      <c r="H43" s="3">
        <f t="shared" si="8"/>
        <v>1024999.9999999999</v>
      </c>
    </row>
    <row r="44" spans="2:8">
      <c r="E44" s="3"/>
      <c r="F44" s="3">
        <f t="shared" si="7"/>
        <v>1049068.1356609724</v>
      </c>
      <c r="G44" s="3">
        <f t="shared" si="7"/>
        <v>1036825.1856995031</v>
      </c>
      <c r="H44" s="3">
        <f t="shared" si="8"/>
        <v>1024999.9999999999</v>
      </c>
    </row>
    <row r="45" spans="2:8">
      <c r="E45" s="3"/>
      <c r="F45" s="3"/>
      <c r="G45" s="3">
        <f>EXP(-G14*dt)*(1/2*H45+1/2*H46)+0.025*10^6</f>
        <v>1037816.8471786354</v>
      </c>
      <c r="H45" s="3">
        <f t="shared" si="8"/>
        <v>1024999.9999999999</v>
      </c>
    </row>
    <row r="46" spans="2:8">
      <c r="E46" s="3"/>
      <c r="F46" s="3"/>
      <c r="G46" s="3"/>
      <c r="H46" s="3">
        <f t="shared" si="8"/>
        <v>1024999.9999999999</v>
      </c>
    </row>
    <row r="48" spans="2:8">
      <c r="B48" s="3" t="s">
        <v>13</v>
      </c>
    </row>
    <row r="50" spans="1:8">
      <c r="A50">
        <v>1500</v>
      </c>
      <c r="B50">
        <f>EXP(-B9*dt)*(1/2*C50+1/2*C51)</f>
        <v>1499.9903443000944</v>
      </c>
      <c r="C50">
        <f>EXP(-C9*dt)*(1/2*D50+1/2*D51)</f>
        <v>555.94662138267529</v>
      </c>
      <c r="D50">
        <f>EXP(-D9*dt)*(1/2*E50+1/2*E51)</f>
        <v>0</v>
      </c>
      <c r="E50">
        <f>MAX(E40-strike,0)</f>
        <v>0</v>
      </c>
      <c r="H50">
        <f>E50*E18</f>
        <v>0</v>
      </c>
    </row>
    <row r="51" spans="1:8">
      <c r="C51">
        <f>EXP(-C10*dt)*(1/2*D51+1/2*D52)</f>
        <v>2474.1836498256066</v>
      </c>
      <c r="D51">
        <f>EXP(-D10*dt)*(1/2*E51+1/2*E52)</f>
        <v>1129.4024317789756</v>
      </c>
      <c r="E51">
        <f>MAX(E41-strike,0)</f>
        <v>0</v>
      </c>
      <c r="H51">
        <f>E51*E19</f>
        <v>0</v>
      </c>
    </row>
    <row r="52" spans="1:8">
      <c r="D52">
        <f>EXP(-D11*dt)*(1/2*E52+1/2*E53)</f>
        <v>3890.9446008341283</v>
      </c>
      <c r="E52">
        <f>MAX(E42-strike,0)</f>
        <v>2294.115562627092</v>
      </c>
      <c r="H52">
        <f>E52*E20</f>
        <v>826.59789205663208</v>
      </c>
    </row>
    <row r="53" spans="1:8">
      <c r="E53">
        <f>MAX(E43-strike,0)</f>
        <v>5600.1460952500347</v>
      </c>
      <c r="H53">
        <f>E53*E21</f>
        <v>673.39245224346212</v>
      </c>
    </row>
    <row r="54" spans="1:8">
      <c r="H54">
        <f>SUM(H50:H53)</f>
        <v>1499.9903443000942</v>
      </c>
    </row>
    <row r="55" spans="1:8">
      <c r="B55">
        <f>(B50-A50)^2/100000</f>
        <v>9.3232540666602957E-10</v>
      </c>
    </row>
    <row r="57" spans="1:8">
      <c r="A57" t="s">
        <v>14</v>
      </c>
      <c r="B57">
        <f>1000*SUM(C33:H33)</f>
        <v>2.2738672404941688E-5</v>
      </c>
    </row>
    <row r="58" spans="1:8">
      <c r="A58" t="s">
        <v>15</v>
      </c>
      <c r="B58">
        <f>B57+B55</f>
        <v>2.2739604730348354E-5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dt</vt:lpstr>
      <vt:lpstr>sigma</vt:lpstr>
      <vt:lpstr>strike</vt:lpstr>
      <vt:lpstr>theta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</cp:lastModifiedBy>
  <dcterms:created xsi:type="dcterms:W3CDTF">2009-10-07T16:13:25Z</dcterms:created>
  <dcterms:modified xsi:type="dcterms:W3CDTF">2009-10-11T07:03:52Z</dcterms:modified>
</cp:coreProperties>
</file>