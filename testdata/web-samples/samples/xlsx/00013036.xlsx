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8" windowWidth="21312" windowHeight="9468"/>
  </bookViews>
  <sheets>
    <sheet name="männlich" sheetId="1" r:id="rId1"/>
    <sheet name="weiblich" sheetId="5" r:id="rId2"/>
    <sheet name="Übersicht_Starter" sheetId="6" r:id="rId3"/>
    <sheet name="Riegen_männlich" sheetId="7" r:id="rId4"/>
    <sheet name="Riegen_weiblich" sheetId="8" r:id="rId5"/>
    <sheet name="Liste_AT1" sheetId="2" r:id="rId6"/>
    <sheet name="Liste_AT2" sheetId="3" r:id="rId7"/>
    <sheet name="Liste_AT3" sheetId="4" r:id="rId8"/>
  </sheets>
  <definedNames>
    <definedName name="_xlnm.Print_Titles" localSheetId="0">männlich!$1:$3</definedName>
    <definedName name="_xlnm.Print_Titles" localSheetId="1">weiblich!$1:$3</definedName>
  </definedNames>
  <calcPr calcId="145621"/>
</workbook>
</file>

<file path=xl/calcChain.xml><?xml version="1.0" encoding="utf-8"?>
<calcChain xmlns="http://schemas.openxmlformats.org/spreadsheetml/2006/main">
  <c r="A45" i="7" l="1"/>
  <c r="B45" i="7"/>
  <c r="C45" i="7"/>
  <c r="A46" i="7"/>
  <c r="B46" i="7"/>
  <c r="C46" i="7"/>
  <c r="A47" i="7"/>
  <c r="B47" i="7"/>
  <c r="C47" i="7"/>
  <c r="C44" i="7"/>
  <c r="A26" i="7"/>
  <c r="B26" i="7"/>
  <c r="C26" i="7"/>
  <c r="A27" i="7"/>
  <c r="B27" i="7"/>
  <c r="C27" i="7"/>
  <c r="A28" i="7"/>
  <c r="B28" i="7"/>
  <c r="C28" i="7"/>
  <c r="A64" i="8"/>
  <c r="B64" i="8"/>
  <c r="C64" i="8"/>
  <c r="A65" i="8"/>
  <c r="B65" i="8"/>
  <c r="C65" i="8"/>
  <c r="A66" i="8"/>
  <c r="B66" i="8"/>
  <c r="C66" i="8"/>
  <c r="C63" i="8"/>
  <c r="B63" i="8"/>
  <c r="A63" i="8"/>
  <c r="A45" i="8"/>
  <c r="B45" i="8"/>
  <c r="C45" i="8"/>
  <c r="A46" i="8"/>
  <c r="B46" i="8"/>
  <c r="C46" i="8"/>
  <c r="C44" i="8"/>
  <c r="B44" i="8"/>
  <c r="A44" i="8"/>
  <c r="G15" i="6"/>
  <c r="G12" i="6"/>
  <c r="A26" i="8"/>
  <c r="B26" i="8"/>
  <c r="C26" i="8"/>
  <c r="A27" i="8"/>
  <c r="B27" i="8"/>
  <c r="C27" i="8"/>
  <c r="C25" i="8"/>
  <c r="B25" i="8"/>
  <c r="A25" i="8"/>
  <c r="A64" i="7"/>
  <c r="B64" i="7"/>
  <c r="C64" i="7"/>
  <c r="A65" i="7"/>
  <c r="B65" i="7"/>
  <c r="C65" i="7"/>
  <c r="A66" i="7"/>
  <c r="B66" i="7"/>
  <c r="C66" i="7"/>
  <c r="C63" i="7"/>
  <c r="B63" i="7"/>
  <c r="A63" i="7"/>
  <c r="B44" i="7"/>
  <c r="A44" i="7"/>
  <c r="C25" i="7"/>
  <c r="B25" i="7"/>
  <c r="A25" i="7"/>
  <c r="A10" i="7"/>
  <c r="B10" i="7"/>
  <c r="C10" i="7"/>
  <c r="A27" i="6"/>
  <c r="G27" i="6"/>
  <c r="AH5" i="5" l="1"/>
  <c r="AH7" i="5"/>
  <c r="AH6" i="5"/>
  <c r="AH8" i="5"/>
  <c r="AH14" i="5"/>
  <c r="AH11" i="5"/>
  <c r="AH10" i="5"/>
  <c r="AH15" i="5"/>
  <c r="AH13" i="5"/>
  <c r="AH9" i="5"/>
  <c r="AH12" i="5"/>
  <c r="AH16" i="5"/>
  <c r="AH4" i="5"/>
  <c r="AH5" i="1"/>
  <c r="AH7" i="1"/>
  <c r="AH8" i="1"/>
  <c r="AH9" i="1"/>
  <c r="AH19" i="1"/>
  <c r="AH15" i="1"/>
  <c r="AH11" i="1"/>
  <c r="AH14" i="1"/>
  <c r="AH12" i="1"/>
  <c r="AH13" i="1"/>
  <c r="AH18" i="1"/>
  <c r="AH16" i="1"/>
  <c r="AH17" i="1"/>
  <c r="AH10" i="1"/>
  <c r="AH6" i="1"/>
  <c r="AU3" i="3"/>
  <c r="AH4" i="1" s="1"/>
  <c r="H9" i="5" l="1"/>
  <c r="J9" i="5"/>
  <c r="L9" i="5"/>
  <c r="N9" i="5"/>
  <c r="P9" i="5"/>
  <c r="R9" i="5"/>
  <c r="T9" i="5"/>
  <c r="V9" i="5"/>
  <c r="X9" i="5"/>
  <c r="Z9" i="5"/>
  <c r="AB9" i="5"/>
  <c r="AD9" i="5"/>
  <c r="AF9" i="5"/>
  <c r="AJ9" i="5"/>
  <c r="AL9" i="5"/>
  <c r="AN9" i="5"/>
  <c r="AP9" i="5"/>
  <c r="AR9" i="5"/>
  <c r="AT9" i="5"/>
  <c r="AV9" i="5"/>
  <c r="AX9" i="5"/>
  <c r="AZ9" i="5"/>
  <c r="BB9" i="5"/>
  <c r="BD9" i="5"/>
  <c r="BF9" i="5"/>
  <c r="BH9" i="5"/>
  <c r="BJ9" i="5"/>
  <c r="BL9" i="5"/>
  <c r="BN9" i="5"/>
  <c r="BP9" i="5"/>
  <c r="BR9" i="5"/>
  <c r="BT9" i="5"/>
  <c r="BV9" i="5"/>
  <c r="BX9" i="5"/>
  <c r="BZ9" i="5"/>
  <c r="CB9" i="5"/>
  <c r="H12" i="5"/>
  <c r="J12" i="5"/>
  <c r="L12" i="5"/>
  <c r="N12" i="5"/>
  <c r="P12" i="5"/>
  <c r="R12" i="5"/>
  <c r="T12" i="5"/>
  <c r="V12" i="5"/>
  <c r="X12" i="5"/>
  <c r="Z12" i="5"/>
  <c r="AB12" i="5"/>
  <c r="AD12" i="5"/>
  <c r="AF12" i="5"/>
  <c r="AJ12" i="5"/>
  <c r="AL12" i="5"/>
  <c r="AN12" i="5"/>
  <c r="AP12" i="5"/>
  <c r="AR12" i="5"/>
  <c r="AT12" i="5"/>
  <c r="AV12" i="5"/>
  <c r="AX12" i="5"/>
  <c r="AZ12" i="5"/>
  <c r="BB12" i="5"/>
  <c r="BD12" i="5"/>
  <c r="BF12" i="5"/>
  <c r="BH12" i="5"/>
  <c r="BJ12" i="5"/>
  <c r="BL12" i="5"/>
  <c r="BN12" i="5"/>
  <c r="BP12" i="5"/>
  <c r="BR12" i="5"/>
  <c r="BT12" i="5"/>
  <c r="BV12" i="5"/>
  <c r="BX12" i="5"/>
  <c r="BZ12" i="5"/>
  <c r="CB12" i="5"/>
  <c r="H16" i="5"/>
  <c r="J16" i="5"/>
  <c r="L16" i="5"/>
  <c r="N16" i="5"/>
  <c r="P16" i="5"/>
  <c r="R16" i="5"/>
  <c r="T16" i="5"/>
  <c r="V16" i="5"/>
  <c r="X16" i="5"/>
  <c r="Z16" i="5"/>
  <c r="AB16" i="5"/>
  <c r="AD16" i="5"/>
  <c r="AF16" i="5"/>
  <c r="AJ16" i="5"/>
  <c r="AL16" i="5"/>
  <c r="AN16" i="5"/>
  <c r="AP16" i="5"/>
  <c r="AR16" i="5"/>
  <c r="AT16" i="5"/>
  <c r="AV16" i="5"/>
  <c r="AX16" i="5"/>
  <c r="AZ16" i="5"/>
  <c r="BB16" i="5"/>
  <c r="BD16" i="5"/>
  <c r="BF16" i="5"/>
  <c r="BH16" i="5"/>
  <c r="BJ16" i="5"/>
  <c r="BL16" i="5"/>
  <c r="BN16" i="5"/>
  <c r="BP16" i="5"/>
  <c r="BR16" i="5"/>
  <c r="BT16" i="5"/>
  <c r="BV16" i="5"/>
  <c r="BX16" i="5"/>
  <c r="BZ16" i="5"/>
  <c r="CB16" i="5"/>
  <c r="H4" i="1"/>
  <c r="H6" i="1"/>
  <c r="H5" i="1"/>
  <c r="H7" i="1"/>
  <c r="H8" i="1"/>
  <c r="H9" i="1"/>
  <c r="H19" i="1"/>
  <c r="J4" i="1"/>
  <c r="J6" i="1"/>
  <c r="J5" i="1"/>
  <c r="J7" i="1"/>
  <c r="J8" i="1"/>
  <c r="J9" i="1"/>
  <c r="J19" i="1"/>
  <c r="CE12" i="5" l="1"/>
  <c r="CE16" i="5"/>
  <c r="CE9" i="5"/>
  <c r="CI16" i="5"/>
  <c r="CJ16" i="5" s="1"/>
  <c r="CI9" i="5"/>
  <c r="CI12" i="5"/>
  <c r="CC12" i="5"/>
  <c r="CK12" i="5"/>
  <c r="CC16" i="5"/>
  <c r="CC9" i="5"/>
  <c r="CK16" i="5"/>
  <c r="CK9" i="5"/>
  <c r="CG12" i="5"/>
  <c r="CG16" i="5"/>
  <c r="CG9" i="5"/>
  <c r="AJ8" i="1"/>
  <c r="AJ19" i="1"/>
  <c r="AJ10" i="1"/>
  <c r="AJ14" i="1"/>
  <c r="AJ15" i="1"/>
  <c r="AJ13" i="1"/>
  <c r="AJ18" i="1"/>
  <c r="AJ6" i="1"/>
  <c r="I65" i="3"/>
  <c r="I64" i="3" s="1"/>
  <c r="I63" i="3" s="1"/>
  <c r="I62" i="3" s="1"/>
  <c r="I61" i="3" s="1"/>
  <c r="I60" i="3" s="1"/>
  <c r="I59" i="3" s="1"/>
  <c r="I58" i="3" s="1"/>
  <c r="I57" i="3" s="1"/>
  <c r="I56" i="3" s="1"/>
  <c r="I55" i="3" s="1"/>
  <c r="I54" i="3" s="1"/>
  <c r="I53" i="3" s="1"/>
  <c r="I52" i="3" s="1"/>
  <c r="I51" i="3" s="1"/>
  <c r="I50" i="3" s="1"/>
  <c r="I49" i="3" s="1"/>
  <c r="I48" i="3" s="1"/>
  <c r="I47" i="3" s="1"/>
  <c r="I46" i="3" s="1"/>
  <c r="I45" i="3" s="1"/>
  <c r="I44" i="3" s="1"/>
  <c r="I43" i="3" s="1"/>
  <c r="I42" i="3" s="1"/>
  <c r="I41" i="3" s="1"/>
  <c r="I40" i="3" s="1"/>
  <c r="I39" i="3" s="1"/>
  <c r="I38" i="3" s="1"/>
  <c r="I37" i="3" s="1"/>
  <c r="I36" i="3" s="1"/>
  <c r="I35" i="3" s="1"/>
  <c r="I34" i="3" s="1"/>
  <c r="CM9" i="5" l="1"/>
  <c r="CM16" i="5"/>
  <c r="CM12" i="5"/>
  <c r="I33" i="3"/>
  <c r="I32" i="3" s="1"/>
  <c r="I31" i="3" s="1"/>
  <c r="I30" i="3" s="1"/>
  <c r="I29" i="3" s="1"/>
  <c r="I28" i="3" s="1"/>
  <c r="I27" i="3" s="1"/>
  <c r="I26" i="3" s="1"/>
  <c r="I25" i="3" s="1"/>
  <c r="I24" i="3" s="1"/>
  <c r="I23" i="3" s="1"/>
  <c r="I22" i="3" s="1"/>
  <c r="I21" i="3" s="1"/>
  <c r="I20" i="3" s="1"/>
  <c r="I19" i="3" s="1"/>
  <c r="I18" i="3" s="1"/>
  <c r="I17" i="3" s="1"/>
  <c r="I16" i="3" s="1"/>
  <c r="I15" i="3" s="1"/>
  <c r="I14" i="3" s="1"/>
  <c r="I13" i="3" s="1"/>
  <c r="I12" i="3" s="1"/>
  <c r="I11" i="3" s="1"/>
  <c r="I10" i="3" s="1"/>
  <c r="I9" i="3" s="1"/>
  <c r="I8" i="3" s="1"/>
  <c r="I7" i="3" s="1"/>
  <c r="I6" i="3" s="1"/>
  <c r="I5" i="3" s="1"/>
  <c r="I4" i="3" s="1"/>
  <c r="I3" i="3" s="1"/>
  <c r="AJ12" i="1"/>
  <c r="AJ4" i="1"/>
  <c r="AJ7" i="1"/>
  <c r="AJ17" i="1"/>
  <c r="AJ9" i="1"/>
  <c r="AJ11" i="1"/>
  <c r="AJ16" i="1"/>
  <c r="AJ5" i="1" l="1"/>
  <c r="G6" i="6"/>
  <c r="G7" i="6" s="1"/>
  <c r="G8" i="6" s="1"/>
  <c r="G9" i="6" s="1"/>
  <c r="G10" i="6" s="1"/>
  <c r="G11" i="6" s="1"/>
  <c r="G13" i="6" s="1"/>
  <c r="G14" i="6" s="1"/>
  <c r="G16" i="6" s="1"/>
  <c r="G17" i="6" s="1"/>
  <c r="G18" i="6" s="1"/>
  <c r="B2" i="5" l="1"/>
  <c r="A7" i="8"/>
  <c r="B7" i="8"/>
  <c r="C7" i="8"/>
  <c r="A8" i="8"/>
  <c r="B8" i="8"/>
  <c r="C8" i="8"/>
  <c r="A9" i="8"/>
  <c r="B9" i="8"/>
  <c r="C9" i="8"/>
  <c r="B6" i="8"/>
  <c r="C6" i="8"/>
  <c r="A6" i="8"/>
  <c r="A7" i="7"/>
  <c r="B7" i="7"/>
  <c r="C7" i="7"/>
  <c r="A8" i="7"/>
  <c r="B8" i="7"/>
  <c r="C8" i="7"/>
  <c r="A9" i="7"/>
  <c r="B9" i="7"/>
  <c r="C9" i="7"/>
  <c r="B6" i="7"/>
  <c r="C6" i="7"/>
  <c r="A6" i="7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T7" i="5"/>
  <c r="AT4" i="5"/>
  <c r="AT5" i="5"/>
  <c r="AT6" i="5"/>
  <c r="AT10" i="5"/>
  <c r="AT8" i="5"/>
  <c r="AT15" i="5"/>
  <c r="AT13" i="5"/>
  <c r="AT11" i="5"/>
  <c r="AT14" i="5"/>
  <c r="AR7" i="5"/>
  <c r="AR4" i="5"/>
  <c r="AR5" i="5"/>
  <c r="AR6" i="5"/>
  <c r="AR10" i="5"/>
  <c r="AR8" i="5"/>
  <c r="AR15" i="5"/>
  <c r="AR13" i="5"/>
  <c r="AR11" i="5"/>
  <c r="AR14" i="5"/>
  <c r="AP7" i="5"/>
  <c r="AP4" i="5"/>
  <c r="AP5" i="5"/>
  <c r="AP6" i="5"/>
  <c r="AP10" i="5"/>
  <c r="AP8" i="5"/>
  <c r="AP15" i="5"/>
  <c r="AP13" i="5"/>
  <c r="AP11" i="5"/>
  <c r="AP14" i="5"/>
  <c r="AJ13" i="5"/>
  <c r="AJ11" i="5"/>
  <c r="AJ7" i="5"/>
  <c r="AJ4" i="5"/>
  <c r="AF4" i="5"/>
  <c r="AF5" i="5"/>
  <c r="AF6" i="5"/>
  <c r="AF10" i="5"/>
  <c r="AF8" i="5"/>
  <c r="AF15" i="5"/>
  <c r="AF13" i="5"/>
  <c r="AF11" i="5"/>
  <c r="AF7" i="5"/>
  <c r="AF14" i="5"/>
  <c r="CB11" i="5"/>
  <c r="BZ11" i="5"/>
  <c r="BX11" i="5"/>
  <c r="BV11" i="5"/>
  <c r="BT11" i="5"/>
  <c r="BR11" i="5"/>
  <c r="BP11" i="5"/>
  <c r="BN11" i="5"/>
  <c r="BL11" i="5"/>
  <c r="BJ11" i="5"/>
  <c r="BH11" i="5"/>
  <c r="BF11" i="5"/>
  <c r="BD11" i="5"/>
  <c r="BB11" i="5"/>
  <c r="AZ11" i="5"/>
  <c r="AX11" i="5"/>
  <c r="AV11" i="5"/>
  <c r="AN11" i="5"/>
  <c r="AL11" i="5"/>
  <c r="AD11" i="5"/>
  <c r="AB11" i="5"/>
  <c r="Z11" i="5"/>
  <c r="X11" i="5"/>
  <c r="V11" i="5"/>
  <c r="T11" i="5"/>
  <c r="R11" i="5"/>
  <c r="P11" i="5"/>
  <c r="N11" i="5"/>
  <c r="L11" i="5"/>
  <c r="J11" i="5"/>
  <c r="H11" i="5"/>
  <c r="CB13" i="5"/>
  <c r="BZ13" i="5"/>
  <c r="BX13" i="5"/>
  <c r="BV13" i="5"/>
  <c r="BT13" i="5"/>
  <c r="BR13" i="5"/>
  <c r="BP13" i="5"/>
  <c r="BN13" i="5"/>
  <c r="BL13" i="5"/>
  <c r="BJ13" i="5"/>
  <c r="BH13" i="5"/>
  <c r="BF13" i="5"/>
  <c r="BD13" i="5"/>
  <c r="BB13" i="5"/>
  <c r="AZ13" i="5"/>
  <c r="AX13" i="5"/>
  <c r="AV13" i="5"/>
  <c r="AN13" i="5"/>
  <c r="AL13" i="5"/>
  <c r="AD13" i="5"/>
  <c r="AB13" i="5"/>
  <c r="Z13" i="5"/>
  <c r="X13" i="5"/>
  <c r="V13" i="5"/>
  <c r="T13" i="5"/>
  <c r="R13" i="5"/>
  <c r="P13" i="5"/>
  <c r="N13" i="5"/>
  <c r="L13" i="5"/>
  <c r="J13" i="5"/>
  <c r="H13" i="5"/>
  <c r="CB15" i="5"/>
  <c r="BZ15" i="5"/>
  <c r="BX15" i="5"/>
  <c r="BV15" i="5"/>
  <c r="BT15" i="5"/>
  <c r="BR15" i="5"/>
  <c r="BP15" i="5"/>
  <c r="BN15" i="5"/>
  <c r="BL15" i="5"/>
  <c r="BJ15" i="5"/>
  <c r="BH15" i="5"/>
  <c r="BF15" i="5"/>
  <c r="BD15" i="5"/>
  <c r="BB15" i="5"/>
  <c r="AZ15" i="5"/>
  <c r="AX15" i="5"/>
  <c r="AV15" i="5"/>
  <c r="AN15" i="5"/>
  <c r="AL15" i="5"/>
  <c r="AD15" i="5"/>
  <c r="AB15" i="5"/>
  <c r="Z15" i="5"/>
  <c r="X15" i="5"/>
  <c r="V15" i="5"/>
  <c r="T15" i="5"/>
  <c r="R15" i="5"/>
  <c r="P15" i="5"/>
  <c r="N15" i="5"/>
  <c r="L15" i="5"/>
  <c r="J15" i="5"/>
  <c r="H15" i="5"/>
  <c r="CB8" i="5"/>
  <c r="BZ8" i="5"/>
  <c r="BX8" i="5"/>
  <c r="BV8" i="5"/>
  <c r="BT8" i="5"/>
  <c r="BR8" i="5"/>
  <c r="BP8" i="5"/>
  <c r="BN8" i="5"/>
  <c r="BL8" i="5"/>
  <c r="BJ8" i="5"/>
  <c r="BH8" i="5"/>
  <c r="BF8" i="5"/>
  <c r="BD8" i="5"/>
  <c r="BB8" i="5"/>
  <c r="AZ8" i="5"/>
  <c r="AX8" i="5"/>
  <c r="AV8" i="5"/>
  <c r="AN8" i="5"/>
  <c r="AL8" i="5"/>
  <c r="AD8" i="5"/>
  <c r="AB8" i="5"/>
  <c r="Z8" i="5"/>
  <c r="X8" i="5"/>
  <c r="V8" i="5"/>
  <c r="T8" i="5"/>
  <c r="R8" i="5"/>
  <c r="P8" i="5"/>
  <c r="N8" i="5"/>
  <c r="L8" i="5"/>
  <c r="J8" i="5"/>
  <c r="H8" i="5"/>
  <c r="CB10" i="5"/>
  <c r="BZ10" i="5"/>
  <c r="BX10" i="5"/>
  <c r="BV10" i="5"/>
  <c r="BT10" i="5"/>
  <c r="BR10" i="5"/>
  <c r="BP10" i="5"/>
  <c r="BN10" i="5"/>
  <c r="BL10" i="5"/>
  <c r="BJ10" i="5"/>
  <c r="BH10" i="5"/>
  <c r="BF10" i="5"/>
  <c r="BD10" i="5"/>
  <c r="BB10" i="5"/>
  <c r="AZ10" i="5"/>
  <c r="AX10" i="5"/>
  <c r="AV10" i="5"/>
  <c r="AN10" i="5"/>
  <c r="AL10" i="5"/>
  <c r="AD10" i="5"/>
  <c r="AB10" i="5"/>
  <c r="Z10" i="5"/>
  <c r="X10" i="5"/>
  <c r="V10" i="5"/>
  <c r="T10" i="5"/>
  <c r="R10" i="5"/>
  <c r="P10" i="5"/>
  <c r="N10" i="5"/>
  <c r="L10" i="5"/>
  <c r="J10" i="5"/>
  <c r="H10" i="5"/>
  <c r="CB6" i="5"/>
  <c r="BZ6" i="5"/>
  <c r="BX6" i="5"/>
  <c r="BV6" i="5"/>
  <c r="BT6" i="5"/>
  <c r="BR6" i="5"/>
  <c r="BP6" i="5"/>
  <c r="BN6" i="5"/>
  <c r="BL6" i="5"/>
  <c r="BJ6" i="5"/>
  <c r="BH6" i="5"/>
  <c r="BF6" i="5"/>
  <c r="BD6" i="5"/>
  <c r="BB6" i="5"/>
  <c r="AZ6" i="5"/>
  <c r="AX6" i="5"/>
  <c r="AV6" i="5"/>
  <c r="AN6" i="5"/>
  <c r="AL6" i="5"/>
  <c r="AD6" i="5"/>
  <c r="AB6" i="5"/>
  <c r="Z6" i="5"/>
  <c r="X6" i="5"/>
  <c r="V6" i="5"/>
  <c r="T6" i="5"/>
  <c r="R6" i="5"/>
  <c r="P6" i="5"/>
  <c r="N6" i="5"/>
  <c r="L6" i="5"/>
  <c r="J6" i="5"/>
  <c r="H6" i="5"/>
  <c r="CB5" i="5"/>
  <c r="BZ5" i="5"/>
  <c r="BX5" i="5"/>
  <c r="BV5" i="5"/>
  <c r="BT5" i="5"/>
  <c r="BR5" i="5"/>
  <c r="BP5" i="5"/>
  <c r="BN5" i="5"/>
  <c r="BL5" i="5"/>
  <c r="BJ5" i="5"/>
  <c r="BH5" i="5"/>
  <c r="BF5" i="5"/>
  <c r="BD5" i="5"/>
  <c r="BB5" i="5"/>
  <c r="AZ5" i="5"/>
  <c r="AX5" i="5"/>
  <c r="AV5" i="5"/>
  <c r="AN5" i="5"/>
  <c r="AL5" i="5"/>
  <c r="AD5" i="5"/>
  <c r="AB5" i="5"/>
  <c r="Z5" i="5"/>
  <c r="X5" i="5"/>
  <c r="V5" i="5"/>
  <c r="T5" i="5"/>
  <c r="R5" i="5"/>
  <c r="P5" i="5"/>
  <c r="N5" i="5"/>
  <c r="L5" i="5"/>
  <c r="J5" i="5"/>
  <c r="H5" i="5"/>
  <c r="CB4" i="5"/>
  <c r="BZ4" i="5"/>
  <c r="BX4" i="5"/>
  <c r="BV4" i="5"/>
  <c r="BT4" i="5"/>
  <c r="BR4" i="5"/>
  <c r="BP4" i="5"/>
  <c r="BN4" i="5"/>
  <c r="BL4" i="5"/>
  <c r="BJ4" i="5"/>
  <c r="BH4" i="5"/>
  <c r="BF4" i="5"/>
  <c r="BD4" i="5"/>
  <c r="BB4" i="5"/>
  <c r="AZ4" i="5"/>
  <c r="AX4" i="5"/>
  <c r="AV4" i="5"/>
  <c r="AN4" i="5"/>
  <c r="AL4" i="5"/>
  <c r="AD4" i="5"/>
  <c r="AB4" i="5"/>
  <c r="Z4" i="5"/>
  <c r="X4" i="5"/>
  <c r="V4" i="5"/>
  <c r="T4" i="5"/>
  <c r="R4" i="5"/>
  <c r="P4" i="5"/>
  <c r="N4" i="5"/>
  <c r="L4" i="5"/>
  <c r="J4" i="5"/>
  <c r="H4" i="5"/>
  <c r="CB7" i="5"/>
  <c r="BZ7" i="5"/>
  <c r="BX7" i="5"/>
  <c r="BV7" i="5"/>
  <c r="BT7" i="5"/>
  <c r="BR7" i="5"/>
  <c r="BP7" i="5"/>
  <c r="BN7" i="5"/>
  <c r="BL7" i="5"/>
  <c r="BJ7" i="5"/>
  <c r="BH7" i="5"/>
  <c r="BF7" i="5"/>
  <c r="BD7" i="5"/>
  <c r="BB7" i="5"/>
  <c r="AZ7" i="5"/>
  <c r="AX7" i="5"/>
  <c r="AV7" i="5"/>
  <c r="AN7" i="5"/>
  <c r="AL7" i="5"/>
  <c r="AD7" i="5"/>
  <c r="AB7" i="5"/>
  <c r="Z7" i="5"/>
  <c r="X7" i="5"/>
  <c r="V7" i="5"/>
  <c r="T7" i="5"/>
  <c r="R7" i="5"/>
  <c r="P7" i="5"/>
  <c r="N7" i="5"/>
  <c r="L7" i="5"/>
  <c r="J7" i="5"/>
  <c r="H7" i="5"/>
  <c r="CB14" i="5"/>
  <c r="BZ14" i="5"/>
  <c r="BX14" i="5"/>
  <c r="BV14" i="5"/>
  <c r="BT14" i="5"/>
  <c r="BR14" i="5"/>
  <c r="BP14" i="5"/>
  <c r="BN14" i="5"/>
  <c r="BL14" i="5"/>
  <c r="BJ14" i="5"/>
  <c r="BH14" i="5"/>
  <c r="BF14" i="5"/>
  <c r="BD14" i="5"/>
  <c r="BB14" i="5"/>
  <c r="AZ14" i="5"/>
  <c r="AX14" i="5"/>
  <c r="AV14" i="5"/>
  <c r="AN14" i="5"/>
  <c r="AL14" i="5"/>
  <c r="AD14" i="5"/>
  <c r="AB14" i="5"/>
  <c r="Z14" i="5"/>
  <c r="X14" i="5"/>
  <c r="V14" i="5"/>
  <c r="T14" i="5"/>
  <c r="R14" i="5"/>
  <c r="P14" i="5"/>
  <c r="N14" i="5"/>
  <c r="L14" i="5"/>
  <c r="J14" i="5"/>
  <c r="H14" i="5"/>
  <c r="CE4" i="5" l="1"/>
  <c r="CE7" i="5"/>
  <c r="CE11" i="5"/>
  <c r="CE13" i="5"/>
  <c r="CK11" i="5"/>
  <c r="CG8" i="5"/>
  <c r="CG11" i="5"/>
  <c r="CG13" i="5"/>
  <c r="CG15" i="5"/>
  <c r="CG10" i="5"/>
  <c r="CG4" i="5"/>
  <c r="CG6" i="5"/>
  <c r="CG5" i="5"/>
  <c r="CG7" i="5"/>
  <c r="CG14" i="5"/>
  <c r="CI11" i="5"/>
  <c r="CK4" i="5"/>
  <c r="CK5" i="5"/>
  <c r="CK6" i="5"/>
  <c r="CK10" i="5"/>
  <c r="CI8" i="5"/>
  <c r="CI15" i="5"/>
  <c r="CK15" i="5"/>
  <c r="CC13" i="5"/>
  <c r="CI13" i="5"/>
  <c r="CJ13" i="5" s="1"/>
  <c r="CK13" i="5"/>
  <c r="CC11" i="5"/>
  <c r="CI14" i="5"/>
  <c r="CK7" i="5"/>
  <c r="CK14" i="5"/>
  <c r="CK8" i="5"/>
  <c r="CI7" i="5"/>
  <c r="CI4" i="5"/>
  <c r="CI5" i="5"/>
  <c r="CI6" i="5"/>
  <c r="CI10" i="5"/>
  <c r="CC14" i="5"/>
  <c r="CC7" i="5"/>
  <c r="CC4" i="5"/>
  <c r="CC5" i="5"/>
  <c r="CC6" i="5"/>
  <c r="CC10" i="5"/>
  <c r="CC8" i="5"/>
  <c r="CC15" i="5"/>
  <c r="CB6" i="1"/>
  <c r="CB5" i="1"/>
  <c r="CB10" i="1"/>
  <c r="CB8" i="1"/>
  <c r="CB19" i="1"/>
  <c r="CB12" i="1"/>
  <c r="CB4" i="1"/>
  <c r="CB14" i="1"/>
  <c r="CB9" i="1"/>
  <c r="CB17" i="1"/>
  <c r="CB11" i="1"/>
  <c r="CB15" i="1"/>
  <c r="CB13" i="1"/>
  <c r="CB16" i="1"/>
  <c r="CB18" i="1"/>
  <c r="CB7" i="1"/>
  <c r="BZ6" i="1"/>
  <c r="BZ5" i="1"/>
  <c r="BZ10" i="1"/>
  <c r="BZ8" i="1"/>
  <c r="BZ19" i="1"/>
  <c r="BZ12" i="1"/>
  <c r="BZ4" i="1"/>
  <c r="BZ14" i="1"/>
  <c r="BZ9" i="1"/>
  <c r="BZ17" i="1"/>
  <c r="BZ11" i="1"/>
  <c r="BZ15" i="1"/>
  <c r="BZ13" i="1"/>
  <c r="BZ16" i="1"/>
  <c r="BZ18" i="1"/>
  <c r="BZ7" i="1"/>
  <c r="BX6" i="1"/>
  <c r="BX5" i="1"/>
  <c r="BX10" i="1"/>
  <c r="BX8" i="1"/>
  <c r="BX19" i="1"/>
  <c r="BX12" i="1"/>
  <c r="BX4" i="1"/>
  <c r="BX14" i="1"/>
  <c r="BX9" i="1"/>
  <c r="BX17" i="1"/>
  <c r="BX11" i="1"/>
  <c r="BX15" i="1"/>
  <c r="BX13" i="1"/>
  <c r="BX16" i="1"/>
  <c r="BX18" i="1"/>
  <c r="BX7" i="1"/>
  <c r="BV6" i="1"/>
  <c r="BV5" i="1"/>
  <c r="BV10" i="1"/>
  <c r="BV8" i="1"/>
  <c r="BV19" i="1"/>
  <c r="BV12" i="1"/>
  <c r="BV4" i="1"/>
  <c r="BV14" i="1"/>
  <c r="BV9" i="1"/>
  <c r="BV17" i="1"/>
  <c r="BV11" i="1"/>
  <c r="BV15" i="1"/>
  <c r="BV13" i="1"/>
  <c r="BV16" i="1"/>
  <c r="BV18" i="1"/>
  <c r="BV7" i="1"/>
  <c r="BT5" i="1"/>
  <c r="BT10" i="1"/>
  <c r="BT8" i="1"/>
  <c r="BT19" i="1"/>
  <c r="BT12" i="1"/>
  <c r="BT4" i="1"/>
  <c r="BT14" i="1"/>
  <c r="BT9" i="1"/>
  <c r="BT17" i="1"/>
  <c r="BT11" i="1"/>
  <c r="BT15" i="1"/>
  <c r="BT6" i="1"/>
  <c r="BT13" i="1"/>
  <c r="BT16" i="1"/>
  <c r="BT18" i="1"/>
  <c r="BT7" i="1"/>
  <c r="BR6" i="1"/>
  <c r="BR5" i="1"/>
  <c r="BR10" i="1"/>
  <c r="BR8" i="1"/>
  <c r="BR19" i="1"/>
  <c r="BR12" i="1"/>
  <c r="BR4" i="1"/>
  <c r="BR14" i="1"/>
  <c r="BR9" i="1"/>
  <c r="BR17" i="1"/>
  <c r="BR11" i="1"/>
  <c r="BR15" i="1"/>
  <c r="BR13" i="1"/>
  <c r="BR16" i="1"/>
  <c r="BR18" i="1"/>
  <c r="BR7" i="1"/>
  <c r="BP6" i="1"/>
  <c r="BP5" i="1"/>
  <c r="BP10" i="1"/>
  <c r="BP8" i="1"/>
  <c r="BP19" i="1"/>
  <c r="BP12" i="1"/>
  <c r="BP4" i="1"/>
  <c r="BP14" i="1"/>
  <c r="BP9" i="1"/>
  <c r="BP17" i="1"/>
  <c r="BP11" i="1"/>
  <c r="BP15" i="1"/>
  <c r="BP13" i="1"/>
  <c r="BP16" i="1"/>
  <c r="BP18" i="1"/>
  <c r="BP7" i="1"/>
  <c r="BN6" i="1"/>
  <c r="BN5" i="1"/>
  <c r="BN10" i="1"/>
  <c r="BN8" i="1"/>
  <c r="BN19" i="1"/>
  <c r="BN12" i="1"/>
  <c r="BN4" i="1"/>
  <c r="BN14" i="1"/>
  <c r="BN9" i="1"/>
  <c r="BN17" i="1"/>
  <c r="BN11" i="1"/>
  <c r="BN15" i="1"/>
  <c r="BN13" i="1"/>
  <c r="BN16" i="1"/>
  <c r="BN18" i="1"/>
  <c r="BN7" i="1"/>
  <c r="BL6" i="1"/>
  <c r="BL5" i="1"/>
  <c r="BL10" i="1"/>
  <c r="BL8" i="1"/>
  <c r="BL19" i="1"/>
  <c r="BL12" i="1"/>
  <c r="BL4" i="1"/>
  <c r="BL14" i="1"/>
  <c r="BL9" i="1"/>
  <c r="BL17" i="1"/>
  <c r="BL11" i="1"/>
  <c r="BL15" i="1"/>
  <c r="BL13" i="1"/>
  <c r="BL16" i="1"/>
  <c r="BL18" i="1"/>
  <c r="BL7" i="1"/>
  <c r="BJ6" i="1"/>
  <c r="BJ5" i="1"/>
  <c r="BJ10" i="1"/>
  <c r="BJ8" i="1"/>
  <c r="BJ19" i="1"/>
  <c r="BJ12" i="1"/>
  <c r="BJ4" i="1"/>
  <c r="BJ14" i="1"/>
  <c r="BJ9" i="1"/>
  <c r="BJ17" i="1"/>
  <c r="BJ11" i="1"/>
  <c r="BJ15" i="1"/>
  <c r="BJ13" i="1"/>
  <c r="BJ16" i="1"/>
  <c r="BJ18" i="1"/>
  <c r="BJ7" i="1"/>
  <c r="BH6" i="1"/>
  <c r="BH5" i="1"/>
  <c r="BH10" i="1"/>
  <c r="BH8" i="1"/>
  <c r="BH19" i="1"/>
  <c r="BH12" i="1"/>
  <c r="BH4" i="1"/>
  <c r="BH14" i="1"/>
  <c r="BH9" i="1"/>
  <c r="BH17" i="1"/>
  <c r="BH11" i="1"/>
  <c r="BH15" i="1"/>
  <c r="BH13" i="1"/>
  <c r="BH16" i="1"/>
  <c r="BH18" i="1"/>
  <c r="BH7" i="1"/>
  <c r="BF6" i="1"/>
  <c r="BF5" i="1"/>
  <c r="BF10" i="1"/>
  <c r="BF8" i="1"/>
  <c r="BF19" i="1"/>
  <c r="BF12" i="1"/>
  <c r="BF4" i="1"/>
  <c r="BF14" i="1"/>
  <c r="BF9" i="1"/>
  <c r="BF17" i="1"/>
  <c r="BF11" i="1"/>
  <c r="BF15" i="1"/>
  <c r="BF13" i="1"/>
  <c r="BF16" i="1"/>
  <c r="BF18" i="1"/>
  <c r="BF7" i="1"/>
  <c r="BD6" i="1"/>
  <c r="BD5" i="1"/>
  <c r="BD10" i="1"/>
  <c r="BD8" i="1"/>
  <c r="BD19" i="1"/>
  <c r="BD12" i="1"/>
  <c r="BD4" i="1"/>
  <c r="BD14" i="1"/>
  <c r="BD9" i="1"/>
  <c r="BD17" i="1"/>
  <c r="BD11" i="1"/>
  <c r="BD15" i="1"/>
  <c r="BD13" i="1"/>
  <c r="BD16" i="1"/>
  <c r="BD18" i="1"/>
  <c r="BD7" i="1"/>
  <c r="BB6" i="1"/>
  <c r="BB5" i="1"/>
  <c r="BB10" i="1"/>
  <c r="BB8" i="1"/>
  <c r="BB19" i="1"/>
  <c r="BB12" i="1"/>
  <c r="BB4" i="1"/>
  <c r="BB14" i="1"/>
  <c r="BB9" i="1"/>
  <c r="BB17" i="1"/>
  <c r="BB11" i="1"/>
  <c r="BB15" i="1"/>
  <c r="BB13" i="1"/>
  <c r="BB16" i="1"/>
  <c r="BB18" i="1"/>
  <c r="BB7" i="1"/>
  <c r="AZ6" i="1"/>
  <c r="AZ5" i="1"/>
  <c r="AZ10" i="1"/>
  <c r="AZ8" i="1"/>
  <c r="AZ19" i="1"/>
  <c r="AZ12" i="1"/>
  <c r="AZ4" i="1"/>
  <c r="AZ14" i="1"/>
  <c r="AZ9" i="1"/>
  <c r="AZ17" i="1"/>
  <c r="AZ11" i="1"/>
  <c r="AZ15" i="1"/>
  <c r="AZ13" i="1"/>
  <c r="AZ16" i="1"/>
  <c r="AZ18" i="1"/>
  <c r="AZ7" i="1"/>
  <c r="AX6" i="1"/>
  <c r="AX5" i="1"/>
  <c r="AX10" i="1"/>
  <c r="AX8" i="1"/>
  <c r="AX19" i="1"/>
  <c r="AX12" i="1"/>
  <c r="AX4" i="1"/>
  <c r="AX14" i="1"/>
  <c r="AX9" i="1"/>
  <c r="AX17" i="1"/>
  <c r="AX11" i="1"/>
  <c r="AX15" i="1"/>
  <c r="AX13" i="1"/>
  <c r="AX16" i="1"/>
  <c r="AX18" i="1"/>
  <c r="AX7" i="1"/>
  <c r="AV6" i="1"/>
  <c r="AV5" i="1"/>
  <c r="AV10" i="1"/>
  <c r="AV8" i="1"/>
  <c r="AV19" i="1"/>
  <c r="AV12" i="1"/>
  <c r="AV4" i="1"/>
  <c r="AV14" i="1"/>
  <c r="AV9" i="1"/>
  <c r="AV17" i="1"/>
  <c r="AV11" i="1"/>
  <c r="AV15" i="1"/>
  <c r="AV13" i="1"/>
  <c r="AV16" i="1"/>
  <c r="AV18" i="1"/>
  <c r="AV7" i="1"/>
  <c r="AT6" i="1"/>
  <c r="AT5" i="1"/>
  <c r="AT10" i="1"/>
  <c r="AT8" i="1"/>
  <c r="AT19" i="1"/>
  <c r="AT12" i="1"/>
  <c r="AT4" i="1"/>
  <c r="AT14" i="1"/>
  <c r="AT9" i="1"/>
  <c r="AT17" i="1"/>
  <c r="AT11" i="1"/>
  <c r="AT15" i="1"/>
  <c r="AT13" i="1"/>
  <c r="AT16" i="1"/>
  <c r="AT18" i="1"/>
  <c r="AT7" i="1"/>
  <c r="AR6" i="1"/>
  <c r="AR5" i="1"/>
  <c r="AR10" i="1"/>
  <c r="AR8" i="1"/>
  <c r="AR19" i="1"/>
  <c r="AR12" i="1"/>
  <c r="AR4" i="1"/>
  <c r="AR14" i="1"/>
  <c r="AR9" i="1"/>
  <c r="AR17" i="1"/>
  <c r="AR11" i="1"/>
  <c r="AR15" i="1"/>
  <c r="AR13" i="1"/>
  <c r="AR16" i="1"/>
  <c r="AR18" i="1"/>
  <c r="AR7" i="1"/>
  <c r="AP6" i="1"/>
  <c r="AP5" i="1"/>
  <c r="AP10" i="1"/>
  <c r="AP8" i="1"/>
  <c r="AP19" i="1"/>
  <c r="AP12" i="1"/>
  <c r="AP4" i="1"/>
  <c r="AP14" i="1"/>
  <c r="AP9" i="1"/>
  <c r="AP17" i="1"/>
  <c r="AP11" i="1"/>
  <c r="AP15" i="1"/>
  <c r="AP13" i="1"/>
  <c r="AP16" i="1"/>
  <c r="AP18" i="1"/>
  <c r="AP7" i="1"/>
  <c r="CL16" i="5" l="1"/>
  <c r="CL12" i="5"/>
  <c r="CL9" i="5"/>
  <c r="CL10" i="5"/>
  <c r="CL13" i="5"/>
  <c r="CL8" i="5"/>
  <c r="CL15" i="5"/>
  <c r="CL11" i="5"/>
  <c r="CH11" i="5"/>
  <c r="CH12" i="5"/>
  <c r="CL6" i="5"/>
  <c r="CL7" i="5"/>
  <c r="CL5" i="5"/>
  <c r="CL4" i="5"/>
  <c r="CH16" i="5"/>
  <c r="CH9" i="5"/>
  <c r="CJ15" i="5"/>
  <c r="CJ10" i="5"/>
  <c r="CJ9" i="5"/>
  <c r="CJ12" i="5"/>
  <c r="CJ6" i="5"/>
  <c r="CJ7" i="5"/>
  <c r="CJ4" i="5"/>
  <c r="CJ11" i="5"/>
  <c r="CJ5" i="5"/>
  <c r="CJ14" i="5"/>
  <c r="CJ8" i="5"/>
  <c r="CD13" i="5"/>
  <c r="CH13" i="5"/>
  <c r="CD16" i="5"/>
  <c r="CD12" i="5"/>
  <c r="CD9" i="5"/>
  <c r="CD15" i="5"/>
  <c r="CD14" i="5"/>
  <c r="CD11" i="5"/>
  <c r="CD10" i="5"/>
  <c r="CH10" i="5"/>
  <c r="CH15" i="5"/>
  <c r="CH6" i="5"/>
  <c r="CH14" i="5"/>
  <c r="CH8" i="5"/>
  <c r="CH5" i="5"/>
  <c r="CD5" i="5"/>
  <c r="CD8" i="5"/>
  <c r="CD6" i="5"/>
  <c r="CD7" i="5"/>
  <c r="CH7" i="5"/>
  <c r="CH4" i="5"/>
  <c r="CD4" i="5"/>
  <c r="CL14" i="5"/>
  <c r="CK6" i="1"/>
  <c r="CM11" i="5"/>
  <c r="CM4" i="5"/>
  <c r="CM7" i="5"/>
  <c r="CM13" i="5"/>
  <c r="AN6" i="1"/>
  <c r="AN5" i="1"/>
  <c r="AN10" i="1"/>
  <c r="AN8" i="1"/>
  <c r="AN19" i="1"/>
  <c r="AN12" i="1"/>
  <c r="AN4" i="1"/>
  <c r="AN14" i="1"/>
  <c r="AN9" i="1"/>
  <c r="AN17" i="1"/>
  <c r="AN11" i="1"/>
  <c r="AN15" i="1"/>
  <c r="AN13" i="1"/>
  <c r="AN16" i="1"/>
  <c r="AN18" i="1"/>
  <c r="AN7" i="1"/>
  <c r="AL6" i="1"/>
  <c r="AL5" i="1"/>
  <c r="AL10" i="1"/>
  <c r="AL8" i="1"/>
  <c r="AL19" i="1"/>
  <c r="AL12" i="1"/>
  <c r="AL4" i="1"/>
  <c r="AL14" i="1"/>
  <c r="AL9" i="1"/>
  <c r="AL17" i="1"/>
  <c r="AL11" i="1"/>
  <c r="AL15" i="1"/>
  <c r="AL13" i="1"/>
  <c r="AL16" i="1"/>
  <c r="AL18" i="1"/>
  <c r="AL7" i="1"/>
  <c r="AF6" i="1"/>
  <c r="AF5" i="1"/>
  <c r="AF10" i="1"/>
  <c r="AF8" i="1"/>
  <c r="AF19" i="1"/>
  <c r="AF12" i="1"/>
  <c r="AF4" i="1"/>
  <c r="AF14" i="1"/>
  <c r="AF9" i="1"/>
  <c r="AF17" i="1"/>
  <c r="AF11" i="1"/>
  <c r="AF15" i="1"/>
  <c r="AF13" i="1"/>
  <c r="AF16" i="1"/>
  <c r="AF18" i="1"/>
  <c r="AF7" i="1"/>
  <c r="AD6" i="1"/>
  <c r="AD5" i="1"/>
  <c r="AD10" i="1"/>
  <c r="AD8" i="1"/>
  <c r="AD19" i="1"/>
  <c r="AD12" i="1"/>
  <c r="AD4" i="1"/>
  <c r="AD14" i="1"/>
  <c r="AD9" i="1"/>
  <c r="AD17" i="1"/>
  <c r="AD11" i="1"/>
  <c r="AD15" i="1"/>
  <c r="AD13" i="1"/>
  <c r="AD16" i="1"/>
  <c r="AD18" i="1"/>
  <c r="AD7" i="1"/>
  <c r="AB6" i="1"/>
  <c r="AB5" i="1"/>
  <c r="AB10" i="1"/>
  <c r="AB8" i="1"/>
  <c r="AB19" i="1"/>
  <c r="AB12" i="1"/>
  <c r="AB4" i="1"/>
  <c r="AB14" i="1"/>
  <c r="AB9" i="1"/>
  <c r="AB17" i="1"/>
  <c r="AB11" i="1"/>
  <c r="AB15" i="1"/>
  <c r="AB13" i="1"/>
  <c r="AB16" i="1"/>
  <c r="AB18" i="1"/>
  <c r="AB7" i="1"/>
  <c r="AB25" i="3"/>
  <c r="AB24" i="3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Z6" i="1"/>
  <c r="Z5" i="1"/>
  <c r="Z10" i="1"/>
  <c r="Z8" i="1"/>
  <c r="Z19" i="1"/>
  <c r="Z12" i="1"/>
  <c r="Z4" i="1"/>
  <c r="Z14" i="1"/>
  <c r="Z9" i="1"/>
  <c r="Z17" i="1"/>
  <c r="Z11" i="1"/>
  <c r="Z15" i="1"/>
  <c r="Z13" i="1"/>
  <c r="Z16" i="1"/>
  <c r="Z18" i="1"/>
  <c r="Z7" i="1"/>
  <c r="X6" i="1"/>
  <c r="X5" i="1"/>
  <c r="X10" i="1"/>
  <c r="X8" i="1"/>
  <c r="X19" i="1"/>
  <c r="X12" i="1"/>
  <c r="X4" i="1"/>
  <c r="X14" i="1"/>
  <c r="X9" i="1"/>
  <c r="X17" i="1"/>
  <c r="X11" i="1"/>
  <c r="X15" i="1"/>
  <c r="X13" i="1"/>
  <c r="X16" i="1"/>
  <c r="X18" i="1"/>
  <c r="X7" i="1"/>
  <c r="V6" i="1"/>
  <c r="V5" i="1"/>
  <c r="V10" i="1"/>
  <c r="V8" i="1"/>
  <c r="V19" i="1"/>
  <c r="V12" i="1"/>
  <c r="V4" i="1"/>
  <c r="V14" i="1"/>
  <c r="V9" i="1"/>
  <c r="V17" i="1"/>
  <c r="V11" i="1"/>
  <c r="V15" i="1"/>
  <c r="V13" i="1"/>
  <c r="V16" i="1"/>
  <c r="V18" i="1"/>
  <c r="V7" i="1"/>
  <c r="CE16" i="1" l="1"/>
  <c r="CE12" i="1"/>
  <c r="CE13" i="1"/>
  <c r="CE6" i="1"/>
  <c r="CE7" i="1"/>
  <c r="CE14" i="1"/>
  <c r="CE15" i="1"/>
  <c r="CE19" i="1"/>
  <c r="CE11" i="1"/>
  <c r="CE8" i="1"/>
  <c r="CE17" i="1"/>
  <c r="CE10" i="1"/>
  <c r="CE9" i="1"/>
  <c r="CE5" i="1"/>
  <c r="CE18" i="1"/>
  <c r="CE4" i="1"/>
  <c r="H35" i="3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AJ5" i="5"/>
  <c r="AJ6" i="5"/>
  <c r="AJ10" i="5"/>
  <c r="AJ15" i="5"/>
  <c r="AJ8" i="5"/>
  <c r="T6" i="1"/>
  <c r="T5" i="1"/>
  <c r="T10" i="1"/>
  <c r="T8" i="1"/>
  <c r="T19" i="1"/>
  <c r="T12" i="1"/>
  <c r="T4" i="1"/>
  <c r="T14" i="1"/>
  <c r="T9" i="1"/>
  <c r="T17" i="1"/>
  <c r="T11" i="1"/>
  <c r="T15" i="1"/>
  <c r="T13" i="1"/>
  <c r="T16" i="1"/>
  <c r="T18" i="1"/>
  <c r="T7" i="1"/>
  <c r="R6" i="1"/>
  <c r="R5" i="1"/>
  <c r="R10" i="1"/>
  <c r="R8" i="1"/>
  <c r="R19" i="1"/>
  <c r="R12" i="1"/>
  <c r="R4" i="1"/>
  <c r="R14" i="1"/>
  <c r="R9" i="1"/>
  <c r="R17" i="1"/>
  <c r="R11" i="1"/>
  <c r="R15" i="1"/>
  <c r="R13" i="1"/>
  <c r="R16" i="1"/>
  <c r="R18" i="1"/>
  <c r="R7" i="1"/>
  <c r="P6" i="1"/>
  <c r="P5" i="1"/>
  <c r="P10" i="1"/>
  <c r="P8" i="1"/>
  <c r="P19" i="1"/>
  <c r="P12" i="1"/>
  <c r="P4" i="1"/>
  <c r="P14" i="1"/>
  <c r="P9" i="1"/>
  <c r="P17" i="1"/>
  <c r="P11" i="1"/>
  <c r="P15" i="1"/>
  <c r="P13" i="1"/>
  <c r="P16" i="1"/>
  <c r="P18" i="1"/>
  <c r="P7" i="1"/>
  <c r="N6" i="1"/>
  <c r="N5" i="1"/>
  <c r="N10" i="1"/>
  <c r="N8" i="1"/>
  <c r="N19" i="1"/>
  <c r="N12" i="1"/>
  <c r="N4" i="1"/>
  <c r="N14" i="1"/>
  <c r="N9" i="1"/>
  <c r="N17" i="1"/>
  <c r="N11" i="1"/>
  <c r="N15" i="1"/>
  <c r="N13" i="1"/>
  <c r="N16" i="1"/>
  <c r="N18" i="1"/>
  <c r="N7" i="1"/>
  <c r="L6" i="1"/>
  <c r="L5" i="1"/>
  <c r="L10" i="1"/>
  <c r="L8" i="1"/>
  <c r="L19" i="1"/>
  <c r="L12" i="1"/>
  <c r="L4" i="1"/>
  <c r="L14" i="1"/>
  <c r="L9" i="1"/>
  <c r="L17" i="1"/>
  <c r="L11" i="1"/>
  <c r="L15" i="1"/>
  <c r="L13" i="1"/>
  <c r="L16" i="1"/>
  <c r="L18" i="1"/>
  <c r="L7" i="1"/>
  <c r="J10" i="1"/>
  <c r="J12" i="1"/>
  <c r="J14" i="1"/>
  <c r="J17" i="1"/>
  <c r="J11" i="1"/>
  <c r="J15" i="1"/>
  <c r="J13" i="1"/>
  <c r="J16" i="1"/>
  <c r="J18" i="1"/>
  <c r="H10" i="1"/>
  <c r="H12" i="1"/>
  <c r="H14" i="1"/>
  <c r="H17" i="1"/>
  <c r="H11" i="1"/>
  <c r="H15" i="1"/>
  <c r="H13" i="1"/>
  <c r="H16" i="1"/>
  <c r="H18" i="1"/>
  <c r="CE8" i="5" l="1"/>
  <c r="CE15" i="5"/>
  <c r="CE10" i="5"/>
  <c r="CE6" i="5"/>
  <c r="CM6" i="5" s="1"/>
  <c r="CE5" i="5"/>
  <c r="AJ14" i="5"/>
  <c r="CK5" i="1"/>
  <c r="CK10" i="1"/>
  <c r="CK8" i="1"/>
  <c r="CK19" i="1"/>
  <c r="CK12" i="1"/>
  <c r="CK4" i="1"/>
  <c r="CK14" i="1"/>
  <c r="CK9" i="1"/>
  <c r="CK17" i="1"/>
  <c r="CK11" i="1"/>
  <c r="CK15" i="1"/>
  <c r="CK13" i="1"/>
  <c r="CK16" i="1"/>
  <c r="CK18" i="1"/>
  <c r="CI6" i="1"/>
  <c r="CI5" i="1"/>
  <c r="CI10" i="1"/>
  <c r="CI8" i="1"/>
  <c r="CI19" i="1"/>
  <c r="CI12" i="1"/>
  <c r="CI4" i="1"/>
  <c r="CI14" i="1"/>
  <c r="CI9" i="1"/>
  <c r="CI17" i="1"/>
  <c r="CI11" i="1"/>
  <c r="CI15" i="1"/>
  <c r="CI13" i="1"/>
  <c r="CI16" i="1"/>
  <c r="CI18" i="1"/>
  <c r="CG6" i="1"/>
  <c r="CG5" i="1"/>
  <c r="CG10" i="1"/>
  <c r="CG8" i="1"/>
  <c r="CG19" i="1"/>
  <c r="CG12" i="1"/>
  <c r="CG4" i="1"/>
  <c r="CG14" i="1"/>
  <c r="CG9" i="1"/>
  <c r="CG17" i="1"/>
  <c r="CG11" i="1"/>
  <c r="CG15" i="1"/>
  <c r="CG13" i="1"/>
  <c r="CG16" i="1"/>
  <c r="CG18" i="1"/>
  <c r="CC6" i="1"/>
  <c r="CC5" i="1"/>
  <c r="CC10" i="1"/>
  <c r="CC8" i="1"/>
  <c r="CC19" i="1"/>
  <c r="CC12" i="1"/>
  <c r="CC4" i="1"/>
  <c r="CC14" i="1"/>
  <c r="CC9" i="1"/>
  <c r="CC17" i="1"/>
  <c r="CC11" i="1"/>
  <c r="CC15" i="1"/>
  <c r="CC13" i="1"/>
  <c r="CC16" i="1"/>
  <c r="CC18" i="1"/>
  <c r="CK7" i="1"/>
  <c r="CI7" i="1"/>
  <c r="CG7" i="1"/>
  <c r="CM5" i="5" l="1"/>
  <c r="CM15" i="5"/>
  <c r="CM10" i="5"/>
  <c r="CM8" i="5"/>
  <c r="CE14" i="5"/>
  <c r="CF14" i="5" s="1"/>
  <c r="CJ18" i="1"/>
  <c r="CL7" i="1"/>
  <c r="CH18" i="1"/>
  <c r="CJ14" i="1"/>
  <c r="CH11" i="1"/>
  <c r="CH13" i="1"/>
  <c r="CH16" i="1"/>
  <c r="CH15" i="1"/>
  <c r="CH17" i="1"/>
  <c r="CJ16" i="1"/>
  <c r="CJ13" i="1"/>
  <c r="CJ15" i="1"/>
  <c r="CJ11" i="1"/>
  <c r="CJ17" i="1"/>
  <c r="CJ9" i="1"/>
  <c r="CL18" i="1"/>
  <c r="CL16" i="1"/>
  <c r="CL13" i="1"/>
  <c r="CL15" i="1"/>
  <c r="CL11" i="1"/>
  <c r="CL17" i="1"/>
  <c r="CL9" i="1"/>
  <c r="CL12" i="1"/>
  <c r="CL4" i="1"/>
  <c r="CJ4" i="1"/>
  <c r="CH9" i="1"/>
  <c r="CL14" i="1"/>
  <c r="CL19" i="1"/>
  <c r="CL8" i="1"/>
  <c r="CL10" i="1"/>
  <c r="CJ12" i="1"/>
  <c r="CJ6" i="1"/>
  <c r="CJ19" i="1"/>
  <c r="CJ10" i="1"/>
  <c r="CJ7" i="1"/>
  <c r="CJ8" i="1"/>
  <c r="CJ5" i="1"/>
  <c r="CH14" i="1"/>
  <c r="CH6" i="1"/>
  <c r="CH5" i="1"/>
  <c r="CH4" i="1"/>
  <c r="CH8" i="1"/>
  <c r="CH12" i="1"/>
  <c r="CH19" i="1"/>
  <c r="CH10" i="1"/>
  <c r="CF7" i="1"/>
  <c r="CF19" i="1"/>
  <c r="CM18" i="1"/>
  <c r="CM13" i="1"/>
  <c r="CM11" i="1"/>
  <c r="CM9" i="1"/>
  <c r="CM4" i="1"/>
  <c r="CM8" i="1"/>
  <c r="CM5" i="1"/>
  <c r="CF16" i="1"/>
  <c r="CF15" i="1"/>
  <c r="CF17" i="1"/>
  <c r="CF14" i="1"/>
  <c r="CF12" i="1"/>
  <c r="CF10" i="1"/>
  <c r="CF18" i="1"/>
  <c r="CF13" i="1"/>
  <c r="CF11" i="1"/>
  <c r="CF9" i="1"/>
  <c r="CF4" i="1"/>
  <c r="CF8" i="1"/>
  <c r="CF5" i="1"/>
  <c r="CF6" i="1"/>
  <c r="CL5" i="1"/>
  <c r="CL6" i="1"/>
  <c r="CH7" i="1"/>
  <c r="CM16" i="1"/>
  <c r="CM15" i="1"/>
  <c r="CM17" i="1"/>
  <c r="CM14" i="1"/>
  <c r="CM12" i="1"/>
  <c r="CM19" i="1"/>
  <c r="CM10" i="1"/>
  <c r="CM6" i="1"/>
  <c r="CF15" i="5" l="1"/>
  <c r="CF11" i="5"/>
  <c r="CF9" i="5"/>
  <c r="CF13" i="5"/>
  <c r="CF12" i="5"/>
  <c r="CF10" i="5"/>
  <c r="CF16" i="5"/>
  <c r="CF4" i="5"/>
  <c r="CF5" i="5"/>
  <c r="CF7" i="5"/>
  <c r="CF6" i="5"/>
  <c r="CF8" i="5"/>
  <c r="CM14" i="5"/>
  <c r="CN4" i="5" s="1"/>
  <c r="CC7" i="1"/>
  <c r="CN6" i="5" l="1"/>
  <c r="CN10" i="5"/>
  <c r="CN8" i="5"/>
  <c r="CN7" i="5"/>
  <c r="CN15" i="5"/>
  <c r="CN16" i="5"/>
  <c r="CN9" i="5"/>
  <c r="CN11" i="5"/>
  <c r="CN14" i="5"/>
  <c r="CN13" i="5"/>
  <c r="CN5" i="5"/>
  <c r="CN12" i="5"/>
  <c r="CD13" i="1"/>
  <c r="CD9" i="1"/>
  <c r="CD18" i="1"/>
  <c r="CD11" i="1"/>
  <c r="CD16" i="1"/>
  <c r="CD15" i="1"/>
  <c r="CD14" i="1"/>
  <c r="CD17" i="1"/>
  <c r="CD10" i="1"/>
  <c r="CD5" i="1"/>
  <c r="CD7" i="1"/>
  <c r="CD8" i="1"/>
  <c r="CD4" i="1"/>
  <c r="CD19" i="1"/>
  <c r="CD6" i="1"/>
  <c r="CD12" i="1"/>
  <c r="CM7" i="1"/>
  <c r="CN17" i="1" l="1"/>
  <c r="CN18" i="1"/>
  <c r="CN19" i="1"/>
  <c r="CN16" i="1"/>
  <c r="CN13" i="1"/>
  <c r="CN14" i="1"/>
  <c r="CN15" i="1"/>
  <c r="CN12" i="1"/>
  <c r="CN11" i="1"/>
  <c r="CN10" i="1"/>
  <c r="CN9" i="1"/>
  <c r="CN8" i="1"/>
  <c r="CN7" i="1"/>
  <c r="CN6" i="1"/>
  <c r="CN5" i="1"/>
  <c r="CN4" i="1"/>
</calcChain>
</file>

<file path=xl/comments1.xml><?xml version="1.0" encoding="utf-8"?>
<comments xmlns="http://schemas.openxmlformats.org/spreadsheetml/2006/main">
  <authors>
    <author>Heiko Sobolewski</author>
  </authors>
  <commentList>
    <comment ref="F2" authorId="0">
      <text>
        <r>
          <rPr>
            <b/>
            <sz val="9"/>
            <color indexed="81"/>
            <rFont val="Tahoma"/>
            <family val="2"/>
          </rPr>
          <t xml:space="preserve">Heiko Sobolewski:
</t>
        </r>
        <r>
          <rPr>
            <sz val="9"/>
            <color indexed="81"/>
            <rFont val="Tahoma"/>
            <family val="2"/>
          </rPr>
          <t xml:space="preserve">hier Wert für Normerfüllung
</t>
        </r>
      </text>
    </comment>
  </commentList>
</comments>
</file>

<file path=xl/comments2.xml><?xml version="1.0" encoding="utf-8"?>
<comments xmlns="http://schemas.openxmlformats.org/spreadsheetml/2006/main">
  <authors>
    <author>Heiko Sobolewski</author>
  </authors>
  <commentList>
    <comment ref="F2" authorId="0">
      <text>
        <r>
          <rPr>
            <b/>
            <sz val="9"/>
            <color indexed="81"/>
            <rFont val="Tahoma"/>
            <family val="2"/>
          </rPr>
          <t xml:space="preserve">Heiko Sobolewski:
</t>
        </r>
        <r>
          <rPr>
            <sz val="9"/>
            <color indexed="81"/>
            <rFont val="Tahoma"/>
            <family val="2"/>
          </rPr>
          <t xml:space="preserve">hier Wert für Normerfüllung
</t>
        </r>
      </text>
    </comment>
  </commentList>
</comments>
</file>

<file path=xl/sharedStrings.xml><?xml version="1.0" encoding="utf-8"?>
<sst xmlns="http://schemas.openxmlformats.org/spreadsheetml/2006/main" count="589" uniqueCount="149">
  <si>
    <t>KABU</t>
  </si>
  <si>
    <t>GEW 1</t>
  </si>
  <si>
    <t>GEW 2</t>
  </si>
  <si>
    <t>GEW 3</t>
  </si>
  <si>
    <t>VARI</t>
  </si>
  <si>
    <t>MINI</t>
  </si>
  <si>
    <t>SPR.BO</t>
  </si>
  <si>
    <t>SPR.SE</t>
  </si>
  <si>
    <t>BODT</t>
  </si>
  <si>
    <t>ZSTO</t>
  </si>
  <si>
    <t>30m</t>
  </si>
  <si>
    <t>60m</t>
  </si>
  <si>
    <t>800 m</t>
  </si>
  <si>
    <t>3000m</t>
  </si>
  <si>
    <t>JAP</t>
  </si>
  <si>
    <t>SKA</t>
  </si>
  <si>
    <t>LST</t>
  </si>
  <si>
    <t>KLZ</t>
  </si>
  <si>
    <t>RB</t>
  </si>
  <si>
    <t>ABK</t>
  </si>
  <si>
    <t>10 Wdh. in  3,7 sek</t>
  </si>
  <si>
    <t>MED vw</t>
  </si>
  <si>
    <t>MED rw</t>
  </si>
  <si>
    <t>KHK</t>
  </si>
  <si>
    <t>JANDA</t>
  </si>
  <si>
    <t>RAR</t>
  </si>
  <si>
    <t>RD</t>
  </si>
  <si>
    <t>HKR</t>
  </si>
  <si>
    <t>SWS</t>
  </si>
  <si>
    <t>SEIL</t>
  </si>
  <si>
    <t>100 Wdh in 28 sek</t>
  </si>
  <si>
    <t>HBK</t>
  </si>
  <si>
    <t>FSF</t>
  </si>
  <si>
    <t>STT</t>
  </si>
  <si>
    <t>FLG</t>
  </si>
  <si>
    <t>FSP</t>
  </si>
  <si>
    <t>Punkte  AT1 Gewandtheit</t>
  </si>
  <si>
    <t>Punkte  AT2 Ausdauer</t>
  </si>
  <si>
    <t>Punkte  AT2 Kraft</t>
  </si>
  <si>
    <t>Punkte  AT3</t>
  </si>
  <si>
    <t>Punkte  Technik</t>
  </si>
  <si>
    <t>Gesamtpunkte</t>
  </si>
  <si>
    <t>Platz</t>
  </si>
  <si>
    <t>Geburtsdat.</t>
  </si>
  <si>
    <t>Zeit</t>
  </si>
  <si>
    <t>Pkt.</t>
  </si>
  <si>
    <t>Note</t>
  </si>
  <si>
    <t>Seg.</t>
  </si>
  <si>
    <t>Pkt</t>
  </si>
  <si>
    <t>Anz.</t>
  </si>
  <si>
    <t>Weite</t>
  </si>
  <si>
    <t>cm</t>
  </si>
  <si>
    <t>grd</t>
  </si>
  <si>
    <t>Name</t>
  </si>
  <si>
    <t>Verein</t>
  </si>
  <si>
    <t>Gewicht</t>
  </si>
  <si>
    <t>Gsamtplatzierung</t>
  </si>
  <si>
    <t>Jugend B / männlich</t>
  </si>
  <si>
    <t>SPRUNG-BOCK</t>
  </si>
  <si>
    <t>SPRUNG-Seil</t>
  </si>
  <si>
    <t>BODTU</t>
  </si>
  <si>
    <t>ZS</t>
  </si>
  <si>
    <t>Wert</t>
  </si>
  <si>
    <t>Segment</t>
  </si>
  <si>
    <t>30m flieg.</t>
  </si>
  <si>
    <t>60m flieg.</t>
  </si>
  <si>
    <t>800m weibl.</t>
  </si>
  <si>
    <t>800m männl.</t>
  </si>
  <si>
    <t>3000m weibl</t>
  </si>
  <si>
    <t>3000m männl</t>
  </si>
  <si>
    <t>Japan- Test</t>
  </si>
  <si>
    <t>Rollbrett</t>
  </si>
  <si>
    <t>MED. vw</t>
  </si>
  <si>
    <t>MED. rw</t>
  </si>
  <si>
    <t>RAR (Janda)</t>
  </si>
  <si>
    <t>RAR vm</t>
  </si>
  <si>
    <t>Seil</t>
  </si>
  <si>
    <t>Anz.weibl.</t>
  </si>
  <si>
    <t>Anz. männl.</t>
  </si>
  <si>
    <t>Anz. weibl.</t>
  </si>
  <si>
    <t>Anzahl</t>
  </si>
  <si>
    <t xml:space="preserve"> </t>
  </si>
  <si>
    <t>Winkel</t>
  </si>
  <si>
    <t>Jugend B / weiblich</t>
  </si>
  <si>
    <t>Geburtsdatum</t>
  </si>
  <si>
    <t>Nr.</t>
  </si>
  <si>
    <t>Riege: 1</t>
  </si>
  <si>
    <t>Riege: 2</t>
  </si>
  <si>
    <t>Riege: 3</t>
  </si>
  <si>
    <t>Riege: 4</t>
  </si>
  <si>
    <t>Riege: 5</t>
  </si>
  <si>
    <t>Riege: 6</t>
  </si>
  <si>
    <t>Ergebnis I</t>
  </si>
  <si>
    <t>Ergebnis II</t>
  </si>
  <si>
    <t>Endergebnis</t>
  </si>
  <si>
    <t>Werner, Janine</t>
  </si>
  <si>
    <t>König, Laura</t>
  </si>
  <si>
    <t>Erfurt, Lisa</t>
  </si>
  <si>
    <t>RCI</t>
  </si>
  <si>
    <t>RTS</t>
  </si>
  <si>
    <t>RRC ZM</t>
  </si>
  <si>
    <t>SON</t>
  </si>
  <si>
    <t>MAN</t>
  </si>
  <si>
    <t>weiblich</t>
  </si>
  <si>
    <t>männlich</t>
  </si>
  <si>
    <t>Lakusta, Leon</t>
  </si>
  <si>
    <t>Gubitz, Paul</t>
  </si>
  <si>
    <t>Orlamünder, Hannes</t>
  </si>
  <si>
    <t>TSV ZM</t>
  </si>
  <si>
    <t>WAL</t>
  </si>
  <si>
    <t>Hoffmann, Lukas</t>
  </si>
  <si>
    <t>Größe</t>
  </si>
  <si>
    <t>Reihenf.</t>
  </si>
  <si>
    <t>Pabst, Melissa</t>
  </si>
  <si>
    <t>Kessler, Tobias</t>
  </si>
  <si>
    <t>Stubenrauch, Jennifer</t>
  </si>
  <si>
    <t>Schneider, Robin</t>
  </si>
  <si>
    <t>Witte, Philipp</t>
  </si>
  <si>
    <t>Juchheim, Leon</t>
  </si>
  <si>
    <t>Brendel, Fabian</t>
  </si>
  <si>
    <t>Riede, Adrian</t>
  </si>
  <si>
    <t>Dietsch, Pascal</t>
  </si>
  <si>
    <t>Langenhan, Max</t>
  </si>
  <si>
    <t>Kluczenski, Sascha</t>
  </si>
  <si>
    <t>Wiegand, Tanja</t>
  </si>
  <si>
    <t>Riemann, Celin</t>
  </si>
  <si>
    <t>Jaensch, Thomas</t>
  </si>
  <si>
    <t>Jannusch, Jonas</t>
  </si>
  <si>
    <t>Oestereicher, Svenja</t>
  </si>
  <si>
    <t>Werner, Paula</t>
  </si>
  <si>
    <t>Lohmann, Janine</t>
  </si>
  <si>
    <t>Müller, Anna</t>
  </si>
  <si>
    <t>Reiche, Serina</t>
  </si>
  <si>
    <t>Berkes, Michael</t>
  </si>
  <si>
    <t>Datum: 09.10.2011</t>
  </si>
  <si>
    <t>2000m</t>
  </si>
  <si>
    <t>2000m m</t>
  </si>
  <si>
    <t>2000m w</t>
  </si>
  <si>
    <t>Zeiten 2000 m</t>
  </si>
  <si>
    <t>nur zur Kontrolle</t>
  </si>
  <si>
    <t>Riege: 7</t>
  </si>
  <si>
    <t>FRO</t>
  </si>
  <si>
    <t>SMK</t>
  </si>
  <si>
    <t>Möller, Sarah</t>
  </si>
  <si>
    <t>Rommel, Tanja</t>
  </si>
  <si>
    <t>Heider, Paul-Lukas</t>
  </si>
  <si>
    <t>Riege: 8</t>
  </si>
  <si>
    <t>dis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</si>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</sst>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dd/mm/yy;@"/>
  </numFmts>
  <fonts count="1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210">
    <xf numFmtId="0" fontId="0" fillId="0" borderId="0" xfId="0"/>
    <xf numFmtId="165" fontId="4" fillId="0" borderId="0" xfId="0" applyNumberFormat="1" applyFont="1" applyBorder="1" applyAlignment="1" applyProtection="1">
      <alignment horizontal="center"/>
      <protection locked="0"/>
    </xf>
    <xf numFmtId="0" fontId="4" fillId="0" borderId="0" xfId="0" applyFont="1" applyBorder="1" applyAlignment="1">
      <alignment horizontal="center"/>
    </xf>
    <xf numFmtId="1" fontId="4" fillId="0" borderId="0" xfId="0" applyNumberFormat="1" applyFont="1" applyBorder="1" applyAlignment="1" applyProtection="1">
      <alignment horizontal="center"/>
      <protection locked="0"/>
    </xf>
    <xf numFmtId="164" fontId="4" fillId="0" borderId="0" xfId="0" applyNumberFormat="1" applyFont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alignment horizontal="center"/>
      <protection hidden="1"/>
    </xf>
    <xf numFmtId="1" fontId="4" fillId="0" borderId="0" xfId="0" applyNumberFormat="1" applyFont="1" applyFill="1" applyBorder="1" applyAlignment="1" applyProtection="1">
      <alignment horizontal="center"/>
      <protection hidden="1"/>
    </xf>
    <xf numFmtId="164" fontId="4" fillId="0" borderId="0" xfId="0" applyNumberFormat="1" applyFont="1" applyFill="1" applyBorder="1" applyAlignment="1" applyProtection="1">
      <alignment horizontal="center"/>
      <protection hidden="1"/>
    </xf>
    <xf numFmtId="0" fontId="4" fillId="0" borderId="0" xfId="0" applyFont="1" applyBorder="1" applyAlignment="1" applyProtection="1">
      <alignment horizontal="center"/>
      <protection locked="0"/>
    </xf>
    <xf numFmtId="2" fontId="4" fillId="0" borderId="0" xfId="0" applyNumberFormat="1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hidden="1"/>
    </xf>
    <xf numFmtId="1" fontId="4" fillId="0" borderId="0" xfId="0" applyNumberFormat="1" applyFont="1" applyBorder="1" applyAlignment="1">
      <alignment horizontal="center"/>
    </xf>
    <xf numFmtId="3" fontId="4" fillId="0" borderId="0" xfId="0" applyNumberFormat="1" applyFont="1" applyFill="1" applyBorder="1" applyAlignment="1" applyProtection="1">
      <alignment horizontal="center"/>
      <protection hidden="1"/>
    </xf>
    <xf numFmtId="1" fontId="4" fillId="0" borderId="0" xfId="0" applyNumberFormat="1" applyFont="1" applyBorder="1" applyAlignment="1" applyProtection="1">
      <alignment horizontal="center"/>
      <protection hidden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Continuous"/>
    </xf>
    <xf numFmtId="0" fontId="7" fillId="0" borderId="0" xfId="0" applyFont="1" applyAlignment="1" applyProtection="1">
      <alignment horizontal="centerContinuous"/>
    </xf>
    <xf numFmtId="0" fontId="7" fillId="0" borderId="0" xfId="0" applyFont="1" applyAlignment="1" applyProtection="1">
      <alignment horizontal="center"/>
    </xf>
    <xf numFmtId="164" fontId="7" fillId="0" borderId="0" xfId="0" applyNumberFormat="1" applyFont="1" applyAlignment="1" applyProtection="1">
      <alignment horizontal="center"/>
    </xf>
    <xf numFmtId="2" fontId="7" fillId="0" borderId="0" xfId="0" applyNumberFormat="1" applyFont="1" applyAlignment="1" applyProtection="1">
      <alignment horizontal="center"/>
    </xf>
    <xf numFmtId="164" fontId="1" fillId="0" borderId="0" xfId="0" applyNumberFormat="1" applyFont="1" applyAlignment="1" applyProtection="1">
      <alignment horizontal="centerContinuous"/>
    </xf>
    <xf numFmtId="2" fontId="4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center"/>
    </xf>
    <xf numFmtId="0" fontId="7" fillId="0" borderId="0" xfId="0" applyFont="1"/>
    <xf numFmtId="164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Continuous"/>
    </xf>
    <xf numFmtId="0" fontId="8" fillId="0" borderId="0" xfId="0" applyFont="1"/>
    <xf numFmtId="0" fontId="8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Continuous"/>
    </xf>
    <xf numFmtId="164" fontId="8" fillId="0" borderId="0" xfId="0" applyNumberFormat="1" applyFont="1" applyAlignment="1">
      <alignment horizontal="centerContinuous"/>
    </xf>
    <xf numFmtId="164" fontId="7" fillId="0" borderId="0" xfId="0" applyNumberFormat="1" applyFont="1"/>
    <xf numFmtId="2" fontId="8" fillId="0" borderId="0" xfId="0" applyNumberFormat="1" applyFont="1" applyAlignment="1">
      <alignment horizontal="centerContinuous"/>
    </xf>
    <xf numFmtId="2" fontId="8" fillId="0" borderId="0" xfId="0" applyNumberFormat="1" applyFont="1" applyAlignment="1">
      <alignment horizontal="center"/>
    </xf>
    <xf numFmtId="2" fontId="4" fillId="0" borderId="0" xfId="0" applyNumberFormat="1" applyFont="1" applyFill="1" applyBorder="1" applyAlignment="1" applyProtection="1">
      <alignment horizontal="center"/>
      <protection locked="0"/>
    </xf>
    <xf numFmtId="0" fontId="1" fillId="0" borderId="1" xfId="0" applyFont="1" applyFill="1" applyBorder="1" applyAlignment="1" applyProtection="1">
      <alignment horizontal="center" vertical="center"/>
      <protection hidden="1"/>
    </xf>
    <xf numFmtId="1" fontId="1" fillId="0" borderId="1" xfId="0" applyNumberFormat="1" applyFont="1" applyFill="1" applyBorder="1" applyAlignment="1" applyProtection="1">
      <alignment horizontal="center" vertical="center" textRotation="90"/>
      <protection hidden="1"/>
    </xf>
    <xf numFmtId="0" fontId="1" fillId="0" borderId="1" xfId="0" applyFont="1" applyFill="1" applyBorder="1" applyAlignment="1" applyProtection="1">
      <alignment horizontal="center" vertical="center" textRotation="90"/>
      <protection hidden="1"/>
    </xf>
    <xf numFmtId="0" fontId="1" fillId="0" borderId="1" xfId="0" applyFont="1" applyBorder="1" applyAlignment="1" applyProtection="1">
      <alignment horizontal="center" vertical="center" textRotation="90"/>
      <protection hidden="1"/>
    </xf>
    <xf numFmtId="1" fontId="1" fillId="0" borderId="1" xfId="0" applyNumberFormat="1" applyFont="1" applyBorder="1" applyAlignment="1" applyProtection="1">
      <alignment horizontal="center" vertical="center" textRotation="90"/>
      <protection hidden="1"/>
    </xf>
    <xf numFmtId="1" fontId="1" fillId="0" borderId="1" xfId="0" applyNumberFormat="1" applyFont="1" applyBorder="1" applyAlignment="1">
      <alignment horizontal="center" vertical="center" textRotation="9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hidden="1"/>
    </xf>
    <xf numFmtId="1" fontId="4" fillId="0" borderId="1" xfId="0" applyNumberFormat="1" applyFont="1" applyFill="1" applyBorder="1" applyAlignment="1" applyProtection="1">
      <alignment horizontal="center" vertical="center"/>
      <protection hidden="1"/>
    </xf>
    <xf numFmtId="1" fontId="4" fillId="3" borderId="1" xfId="0" applyNumberFormat="1" applyFont="1" applyFill="1" applyBorder="1" applyAlignment="1" applyProtection="1">
      <alignment horizontal="center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1" fontId="4" fillId="4" borderId="1" xfId="0" applyNumberFormat="1" applyFont="1" applyFill="1" applyBorder="1" applyAlignment="1" applyProtection="1">
      <alignment horizontal="center" vertical="center"/>
      <protection hidden="1"/>
    </xf>
    <xf numFmtId="1" fontId="4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1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Fill="1" applyBorder="1" applyAlignment="1" applyProtection="1">
      <alignment horizontal="center" vertical="center" textRotation="255" wrapText="1"/>
      <protection locked="0"/>
    </xf>
    <xf numFmtId="164" fontId="4" fillId="3" borderId="2" xfId="0" applyNumberFormat="1" applyFont="1" applyFill="1" applyBorder="1" applyAlignment="1" applyProtection="1">
      <alignment horizontal="center" vertical="center"/>
      <protection hidden="1"/>
    </xf>
    <xf numFmtId="164" fontId="2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3" xfId="0" applyNumberFormat="1" applyFont="1" applyFill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locked="0"/>
    </xf>
    <xf numFmtId="1" fontId="1" fillId="0" borderId="3" xfId="0" applyNumberFormat="1" applyFont="1" applyFill="1" applyBorder="1" applyAlignment="1" applyProtection="1">
      <alignment horizontal="center" vertical="center"/>
      <protection hidden="1"/>
    </xf>
    <xf numFmtId="164" fontId="1" fillId="0" borderId="4" xfId="0" applyNumberFormat="1" applyFont="1" applyFill="1" applyBorder="1" applyAlignment="1" applyProtection="1">
      <alignment horizontal="center" vertical="center"/>
      <protection hidden="1"/>
    </xf>
    <xf numFmtId="164" fontId="1" fillId="0" borderId="5" xfId="0" applyNumberFormat="1" applyFont="1" applyFill="1" applyBorder="1" applyAlignment="1" applyProtection="1">
      <alignment horizontal="center" vertical="center" textRotation="255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64" fontId="4" fillId="3" borderId="5" xfId="0" applyNumberFormat="1" applyFont="1" applyFill="1" applyBorder="1" applyAlignment="1" applyProtection="1">
      <alignment horizontal="center" vertical="center"/>
      <protection hidden="1"/>
    </xf>
    <xf numFmtId="0" fontId="1" fillId="0" borderId="4" xfId="0" applyFont="1" applyFill="1" applyBorder="1" applyAlignment="1" applyProtection="1">
      <alignment horizontal="center" vertical="center"/>
      <protection hidden="1"/>
    </xf>
    <xf numFmtId="164" fontId="2" fillId="0" borderId="5" xfId="0" applyNumberFormat="1" applyFont="1" applyBorder="1" applyAlignment="1" applyProtection="1">
      <alignment horizontal="center" vertical="center"/>
      <protection locked="0"/>
    </xf>
    <xf numFmtId="164" fontId="3" fillId="0" borderId="3" xfId="0" applyNumberFormat="1" applyFont="1" applyFill="1" applyBorder="1" applyAlignment="1" applyProtection="1">
      <alignment horizontal="center" vertical="center"/>
      <protection hidden="1"/>
    </xf>
    <xf numFmtId="0" fontId="1" fillId="0" borderId="3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Fill="1" applyBorder="1" applyAlignment="1" applyProtection="1">
      <alignment horizontal="center" vertical="center" textRotation="255" wrapText="1"/>
      <protection locked="0"/>
    </xf>
    <xf numFmtId="1" fontId="3" fillId="0" borderId="2" xfId="0" applyNumberFormat="1" applyFont="1" applyFill="1" applyBorder="1" applyAlignment="1" applyProtection="1">
      <alignment horizontal="center" vertical="center" textRotation="255" wrapText="1"/>
      <protection locked="0"/>
    </xf>
    <xf numFmtId="1" fontId="4" fillId="3" borderId="2" xfId="0" applyNumberFormat="1" applyFont="1" applyFill="1" applyBorder="1" applyAlignment="1" applyProtection="1">
      <alignment horizontal="center" vertical="center"/>
      <protection hidden="1"/>
    </xf>
    <xf numFmtId="1" fontId="2" fillId="0" borderId="2" xfId="0" applyNumberFormat="1" applyFont="1" applyBorder="1" applyAlignment="1" applyProtection="1">
      <alignment horizontal="center" vertical="center"/>
      <protection locked="0"/>
    </xf>
    <xf numFmtId="1" fontId="3" fillId="0" borderId="3" xfId="0" applyNumberFormat="1" applyFont="1" applyFill="1" applyBorder="1" applyAlignment="1" applyProtection="1">
      <alignment horizontal="center" vertical="center"/>
      <protection hidden="1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/>
      <protection hidden="1"/>
    </xf>
    <xf numFmtId="164" fontId="3" fillId="0" borderId="2" xfId="0" applyNumberFormat="1" applyFont="1" applyFill="1" applyBorder="1" applyAlignment="1" applyProtection="1">
      <alignment horizontal="center" vertical="center" textRotation="255" wrapText="1"/>
      <protection locked="0"/>
    </xf>
    <xf numFmtId="0" fontId="3" fillId="0" borderId="3" xfId="0" applyFont="1" applyFill="1" applyBorder="1" applyAlignment="1" applyProtection="1">
      <alignment horizontal="center" vertical="center"/>
      <protection hidden="1"/>
    </xf>
    <xf numFmtId="2" fontId="3" fillId="0" borderId="5" xfId="0" applyNumberFormat="1" applyFont="1" applyFill="1" applyBorder="1" applyAlignment="1" applyProtection="1">
      <alignment horizontal="center" vertical="center" textRotation="255" wrapText="1"/>
      <protection locked="0"/>
    </xf>
    <xf numFmtId="2" fontId="4" fillId="3" borderId="5" xfId="0" applyNumberFormat="1" applyFont="1" applyFill="1" applyBorder="1" applyAlignment="1" applyProtection="1">
      <alignment horizontal="center" vertical="center"/>
      <protection hidden="1"/>
    </xf>
    <xf numFmtId="2" fontId="2" fillId="0" borderId="5" xfId="0" applyNumberFormat="1" applyFont="1" applyBorder="1" applyAlignment="1" applyProtection="1">
      <alignment horizontal="center" vertical="center"/>
      <protection locked="0"/>
    </xf>
    <xf numFmtId="1" fontId="3" fillId="0" borderId="5" xfId="0" applyNumberFormat="1" applyFont="1" applyFill="1" applyBorder="1" applyAlignment="1" applyProtection="1">
      <alignment horizontal="center" vertical="center" textRotation="255" wrapText="1"/>
      <protection locked="0"/>
    </xf>
    <xf numFmtId="1" fontId="4" fillId="3" borderId="5" xfId="0" applyNumberFormat="1" applyFont="1" applyFill="1" applyBorder="1" applyAlignment="1" applyProtection="1">
      <alignment horizontal="center" vertical="center"/>
      <protection hidden="1"/>
    </xf>
    <xf numFmtId="1" fontId="2" fillId="0" borderId="5" xfId="0" applyNumberFormat="1" applyFont="1" applyBorder="1" applyAlignment="1" applyProtection="1">
      <alignment horizontal="center" vertical="center"/>
      <protection locked="0"/>
    </xf>
    <xf numFmtId="164" fontId="4" fillId="4" borderId="2" xfId="0" applyNumberFormat="1" applyFont="1" applyFill="1" applyBorder="1" applyAlignment="1" applyProtection="1">
      <alignment horizontal="center" vertical="center"/>
      <protection hidden="1"/>
    </xf>
    <xf numFmtId="164" fontId="4" fillId="4" borderId="5" xfId="0" applyNumberFormat="1" applyFont="1" applyFill="1" applyBorder="1" applyAlignment="1" applyProtection="1">
      <alignment horizontal="center" vertical="center"/>
      <protection hidden="1"/>
    </xf>
    <xf numFmtId="3" fontId="3" fillId="0" borderId="2" xfId="0" applyNumberFormat="1" applyFont="1" applyFill="1" applyBorder="1" applyAlignment="1" applyProtection="1">
      <alignment horizontal="center" vertical="center" textRotation="255" wrapText="1"/>
      <protection locked="0"/>
    </xf>
    <xf numFmtId="3" fontId="4" fillId="4" borderId="2" xfId="0" applyNumberFormat="1" applyFont="1" applyFill="1" applyBorder="1" applyAlignment="1" applyProtection="1">
      <alignment horizontal="center" vertical="center"/>
      <protection hidden="1"/>
    </xf>
    <xf numFmtId="3" fontId="2" fillId="0" borderId="2" xfId="0" applyNumberFormat="1" applyFont="1" applyBorder="1" applyAlignment="1" applyProtection="1">
      <alignment horizontal="center" vertical="center"/>
      <protection locked="0"/>
    </xf>
    <xf numFmtId="1" fontId="4" fillId="0" borderId="3" xfId="0" applyNumberFormat="1" applyFont="1" applyBorder="1" applyAlignment="1" applyProtection="1">
      <alignment horizontal="center" vertical="center"/>
      <protection locked="0"/>
    </xf>
    <xf numFmtId="3" fontId="3" fillId="0" borderId="5" xfId="0" applyNumberFormat="1" applyFont="1" applyFill="1" applyBorder="1" applyAlignment="1" applyProtection="1">
      <alignment horizontal="center" vertical="center" textRotation="255" wrapText="1"/>
      <protection locked="0"/>
    </xf>
    <xf numFmtId="3" fontId="4" fillId="4" borderId="5" xfId="0" applyNumberFormat="1" applyFont="1" applyFill="1" applyBorder="1" applyAlignment="1" applyProtection="1">
      <alignment horizontal="center" vertical="center"/>
      <protection hidden="1"/>
    </xf>
    <xf numFmtId="3" fontId="2" fillId="2" borderId="5" xfId="0" applyNumberFormat="1" applyFont="1" applyFill="1" applyBorder="1" applyAlignment="1" applyProtection="1">
      <alignment horizontal="center" vertical="center"/>
      <protection locked="0"/>
    </xf>
    <xf numFmtId="1" fontId="4" fillId="5" borderId="2" xfId="0" applyNumberFormat="1" applyFont="1" applyFill="1" applyBorder="1" applyAlignment="1" applyProtection="1">
      <alignment horizontal="center" vertical="center"/>
      <protection hidden="1"/>
    </xf>
    <xf numFmtId="1" fontId="4" fillId="5" borderId="5" xfId="0" applyNumberFormat="1" applyFont="1" applyFill="1" applyBorder="1" applyAlignment="1" applyProtection="1">
      <alignment horizontal="center" vertical="center"/>
      <protection hidden="1"/>
    </xf>
    <xf numFmtId="0" fontId="3" fillId="0" borderId="3" xfId="0" applyFont="1" applyFill="1" applyBorder="1" applyAlignment="1" applyProtection="1">
      <alignment horizontal="center" vertical="center" textRotation="90"/>
      <protection hidden="1"/>
    </xf>
    <xf numFmtId="164" fontId="4" fillId="5" borderId="5" xfId="0" applyNumberFormat="1" applyFont="1" applyFill="1" applyBorder="1" applyAlignment="1" applyProtection="1">
      <alignment horizontal="center" vertical="center"/>
      <protection hidden="1"/>
    </xf>
    <xf numFmtId="164" fontId="4" fillId="5" borderId="2" xfId="0" applyNumberFormat="1" applyFont="1" applyFill="1" applyBorder="1" applyAlignment="1" applyProtection="1">
      <alignment horizontal="center" vertical="center"/>
      <protection hidden="1"/>
    </xf>
    <xf numFmtId="164" fontId="3" fillId="0" borderId="4" xfId="0" applyNumberFormat="1" applyFont="1" applyFill="1" applyBorder="1" applyAlignment="1" applyProtection="1">
      <alignment horizontal="center" vertical="center"/>
      <protection hidden="1"/>
    </xf>
    <xf numFmtId="3" fontId="4" fillId="5" borderId="2" xfId="0" applyNumberFormat="1" applyFont="1" applyFill="1" applyBorder="1" applyAlignment="1" applyProtection="1">
      <alignment horizontal="center" vertical="center"/>
      <protection hidden="1"/>
    </xf>
    <xf numFmtId="3" fontId="4" fillId="5" borderId="5" xfId="0" applyNumberFormat="1" applyFont="1" applyFill="1" applyBorder="1" applyAlignment="1" applyProtection="1">
      <alignment horizontal="center" vertical="center"/>
      <protection hidden="1"/>
    </xf>
    <xf numFmtId="3" fontId="2" fillId="0" borderId="5" xfId="0" applyNumberFormat="1" applyFont="1" applyBorder="1" applyAlignment="1" applyProtection="1">
      <alignment horizontal="center" vertical="center"/>
      <protection locked="0"/>
    </xf>
    <xf numFmtId="164" fontId="4" fillId="0" borderId="3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2" fontId="4" fillId="5" borderId="5" xfId="0" applyNumberFormat="1" applyFont="1" applyFill="1" applyBorder="1" applyAlignment="1" applyProtection="1">
      <alignment horizontal="center" vertical="center"/>
      <protection hidden="1"/>
    </xf>
    <xf numFmtId="0" fontId="3" fillId="0" borderId="4" xfId="0" applyFont="1" applyFill="1" applyBorder="1" applyAlignment="1" applyProtection="1">
      <alignment horizontal="center" vertical="center" textRotation="90"/>
      <protection hidden="1"/>
    </xf>
    <xf numFmtId="2" fontId="4" fillId="0" borderId="4" xfId="0" applyNumberFormat="1" applyFont="1" applyBorder="1" applyAlignment="1" applyProtection="1">
      <alignment horizontal="center" vertical="center"/>
      <protection locked="0"/>
    </xf>
    <xf numFmtId="2" fontId="4" fillId="7" borderId="5" xfId="0" applyNumberFormat="1" applyFont="1" applyFill="1" applyBorder="1" applyAlignment="1" applyProtection="1">
      <alignment horizontal="center" vertical="center"/>
      <protection hidden="1"/>
    </xf>
    <xf numFmtId="2" fontId="1" fillId="0" borderId="2" xfId="0" applyNumberFormat="1" applyFont="1" applyFill="1" applyBorder="1" applyAlignment="1" applyProtection="1">
      <alignment horizontal="center" vertical="center" textRotation="255" wrapText="1"/>
      <protection locked="0"/>
    </xf>
    <xf numFmtId="2" fontId="4" fillId="7" borderId="2" xfId="0" applyNumberFormat="1" applyFont="1" applyFill="1" applyBorder="1" applyAlignment="1" applyProtection="1">
      <alignment horizontal="center" vertical="center"/>
      <protection locked="0"/>
    </xf>
    <xf numFmtId="2" fontId="2" fillId="2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hidden="1"/>
    </xf>
    <xf numFmtId="2" fontId="1" fillId="0" borderId="5" xfId="0" applyNumberFormat="1" applyFont="1" applyFill="1" applyBorder="1" applyAlignment="1" applyProtection="1">
      <alignment horizontal="center" vertical="center" textRotation="255" wrapText="1"/>
      <protection locked="0"/>
    </xf>
    <xf numFmtId="2" fontId="2" fillId="2" borderId="5" xfId="0" applyNumberFormat="1" applyFont="1" applyFill="1" applyBorder="1" applyAlignment="1" applyProtection="1">
      <alignment horizontal="center" vertical="center"/>
      <protection locked="0"/>
    </xf>
    <xf numFmtId="1" fontId="1" fillId="0" borderId="2" xfId="0" applyNumberFormat="1" applyFont="1" applyFill="1" applyBorder="1" applyAlignment="1" applyProtection="1">
      <alignment horizontal="center" vertical="center" textRotation="255" wrapText="1"/>
      <protection locked="0"/>
    </xf>
    <xf numFmtId="1" fontId="4" fillId="7" borderId="2" xfId="0" applyNumberFormat="1" applyFont="1" applyFill="1" applyBorder="1" applyAlignment="1" applyProtection="1">
      <alignment horizontal="center" vertical="center"/>
      <protection hidden="1"/>
    </xf>
    <xf numFmtId="1" fontId="1" fillId="0" borderId="5" xfId="0" applyNumberFormat="1" applyFont="1" applyFill="1" applyBorder="1" applyAlignment="1" applyProtection="1">
      <alignment horizontal="center" vertical="center" textRotation="255" wrapText="1"/>
      <protection locked="0"/>
    </xf>
    <xf numFmtId="0" fontId="4" fillId="0" borderId="4" xfId="0" applyFont="1" applyBorder="1" applyAlignment="1" applyProtection="1">
      <alignment horizontal="center" vertical="center"/>
      <protection hidden="1"/>
    </xf>
    <xf numFmtId="1" fontId="4" fillId="7" borderId="5" xfId="0" applyNumberFormat="1" applyFont="1" applyFill="1" applyBorder="1" applyAlignment="1" applyProtection="1">
      <alignment horizontal="center" vertical="center"/>
      <protection hidden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1" fillId="0" borderId="1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 applyProtection="1">
      <alignment horizontal="left" vertical="center"/>
      <protection locked="0"/>
    </xf>
    <xf numFmtId="164" fontId="4" fillId="0" borderId="0" xfId="0" applyNumberFormat="1" applyFont="1" applyBorder="1" applyAlignment="1" applyProtection="1">
      <alignment horizontal="left"/>
      <protection locked="0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Font="1"/>
    <xf numFmtId="0" fontId="14" fillId="0" borderId="0" xfId="0" applyFont="1" applyFill="1" applyAlignment="1">
      <alignment horizontal="left"/>
    </xf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14" fillId="0" borderId="0" xfId="0" applyFont="1" applyFill="1"/>
    <xf numFmtId="164" fontId="4" fillId="6" borderId="2" xfId="0" applyNumberFormat="1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Fill="1" applyBorder="1" applyAlignment="1" applyProtection="1">
      <alignment horizont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2" xfId="0" applyNumberFormat="1" applyFont="1" applyFill="1" applyBorder="1" applyAlignment="1" applyProtection="1">
      <alignment horizontal="center" vertical="center"/>
      <protection hidden="1"/>
    </xf>
    <xf numFmtId="164" fontId="4" fillId="0" borderId="5" xfId="0" applyNumberFormat="1" applyFont="1" applyFill="1" applyBorder="1" applyAlignment="1" applyProtection="1">
      <alignment horizontal="center" vertical="center"/>
      <protection hidden="1"/>
    </xf>
    <xf numFmtId="1" fontId="4" fillId="0" borderId="2" xfId="0" applyNumberFormat="1" applyFont="1" applyFill="1" applyBorder="1" applyAlignment="1" applyProtection="1">
      <alignment horizontal="center" vertical="center"/>
      <protection hidden="1"/>
    </xf>
    <xf numFmtId="2" fontId="4" fillId="0" borderId="5" xfId="0" applyNumberFormat="1" applyFont="1" applyFill="1" applyBorder="1" applyAlignment="1" applyProtection="1">
      <alignment horizontal="center" vertical="center"/>
      <protection hidden="1"/>
    </xf>
    <xf numFmtId="1" fontId="4" fillId="0" borderId="5" xfId="0" applyNumberFormat="1" applyFont="1" applyFill="1" applyBorder="1" applyAlignment="1" applyProtection="1">
      <alignment horizontal="center" vertical="center"/>
      <protection hidden="1"/>
    </xf>
    <xf numFmtId="3" fontId="4" fillId="0" borderId="2" xfId="0" applyNumberFormat="1" applyFont="1" applyFill="1" applyBorder="1" applyAlignment="1" applyProtection="1">
      <alignment horizontal="center" vertical="center"/>
      <protection hidden="1"/>
    </xf>
    <xf numFmtId="3" fontId="4" fillId="0" borderId="5" xfId="0" applyNumberFormat="1" applyFont="1" applyFill="1" applyBorder="1" applyAlignment="1" applyProtection="1">
      <alignment horizontal="center" vertical="center"/>
      <protection hidden="1"/>
    </xf>
    <xf numFmtId="164" fontId="4" fillId="0" borderId="2" xfId="0" applyNumberFormat="1" applyFont="1" applyFill="1" applyBorder="1" applyAlignment="1" applyProtection="1">
      <alignment horizontal="center" vertical="center"/>
      <protection locked="0"/>
    </xf>
    <xf numFmtId="2" fontId="4" fillId="0" borderId="2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Border="1" applyAlignment="1" applyProtection="1">
      <alignment horizontal="center" vertical="center"/>
      <protection hidden="1"/>
    </xf>
    <xf numFmtId="1" fontId="4" fillId="0" borderId="5" xfId="0" applyNumberFormat="1" applyFont="1" applyBorder="1" applyAlignment="1" applyProtection="1">
      <alignment horizontal="center" vertical="center"/>
      <protection hidden="1"/>
    </xf>
    <xf numFmtId="1" fontId="4" fillId="0" borderId="1" xfId="0" applyNumberFormat="1" applyFont="1" applyBorder="1" applyAlignment="1" applyProtection="1">
      <alignment horizontal="center" vertical="center"/>
      <protection hidden="1"/>
    </xf>
    <xf numFmtId="1" fontId="4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 applyProtection="1">
      <alignment horizontal="center" vertical="center"/>
      <protection locked="0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165" fontId="10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4" fillId="0" borderId="0" xfId="1" applyFont="1" applyFill="1" applyBorder="1" applyAlignment="1">
      <alignment horizontal="left"/>
    </xf>
    <xf numFmtId="0" fontId="0" fillId="0" borderId="0" xfId="0" applyFont="1" applyBorder="1"/>
    <xf numFmtId="165" fontId="0" fillId="0" borderId="0" xfId="0" applyNumberFormat="1" applyFont="1" applyBorder="1" applyAlignment="1">
      <alignment horizontal="center"/>
    </xf>
    <xf numFmtId="0" fontId="0" fillId="0" borderId="0" xfId="0" applyBorder="1"/>
    <xf numFmtId="0" fontId="0" fillId="8" borderId="0" xfId="0" applyFill="1" applyBorder="1" applyAlignment="1">
      <alignment horizontal="center"/>
    </xf>
    <xf numFmtId="0" fontId="0" fillId="0" borderId="0" xfId="0" applyFont="1" applyFill="1" applyBorder="1"/>
    <xf numFmtId="0" fontId="0" fillId="10" borderId="0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" fontId="11" fillId="0" borderId="0" xfId="0" applyNumberFormat="1" applyFont="1" applyBorder="1" applyAlignment="1">
      <alignment horizontal="center" vertical="center"/>
    </xf>
    <xf numFmtId="1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0" fillId="0" borderId="0" xfId="0" applyFill="1" applyBorder="1"/>
    <xf numFmtId="164" fontId="4" fillId="0" borderId="2" xfId="0" quotePrefix="1" applyNumberFormat="1" applyFont="1" applyFill="1" applyBorder="1" applyAlignment="1" applyProtection="1">
      <alignment horizontal="center" vertical="center"/>
      <protection hidden="1"/>
    </xf>
    <xf numFmtId="2" fontId="4" fillId="4" borderId="5" xfId="0" applyNumberFormat="1" applyFont="1" applyFill="1" applyBorder="1" applyAlignment="1" applyProtection="1">
      <alignment horizontal="center" vertical="center"/>
      <protection hidden="1"/>
    </xf>
    <xf numFmtId="164" fontId="4" fillId="0" borderId="2" xfId="0" quotePrefix="1" applyNumberFormat="1" applyFont="1" applyFill="1" applyBorder="1" applyAlignment="1" applyProtection="1">
      <alignment horizontal="center" vertical="center"/>
      <protection locked="0"/>
    </xf>
    <xf numFmtId="165" fontId="14" fillId="0" borderId="0" xfId="1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20" fontId="7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left"/>
    </xf>
    <xf numFmtId="0" fontId="0" fillId="9" borderId="0" xfId="0" applyFill="1" applyAlignment="1">
      <alignment horizontal="center"/>
    </xf>
    <xf numFmtId="164" fontId="4" fillId="6" borderId="5" xfId="0" applyNumberFormat="1" applyFont="1" applyFill="1" applyBorder="1" applyAlignment="1" applyProtection="1">
      <alignment horizontal="center" vertical="center"/>
      <protection hidden="1"/>
    </xf>
    <xf numFmtId="2" fontId="4" fillId="0" borderId="5" xfId="0" quotePrefix="1" applyNumberFormat="1" applyFont="1" applyFill="1" applyBorder="1" applyAlignment="1" applyProtection="1">
      <alignment horizontal="center" vertical="center"/>
      <protection hidden="1"/>
    </xf>
    <xf numFmtId="1" fontId="1" fillId="0" borderId="1" xfId="0" quotePrefix="1" applyNumberFormat="1" applyFont="1" applyBorder="1" applyAlignment="1">
      <alignment horizontal="left" vertical="center"/>
    </xf>
    <xf numFmtId="1" fontId="4" fillId="0" borderId="6" xfId="0" applyNumberFormat="1" applyFont="1" applyBorder="1" applyAlignment="1" applyProtection="1">
      <alignment horizontal="center" vertical="center" textRotation="90"/>
      <protection locked="0"/>
    </xf>
    <xf numFmtId="1" fontId="4" fillId="0" borderId="7" xfId="0" applyNumberFormat="1" applyFont="1" applyBorder="1" applyAlignment="1" applyProtection="1">
      <alignment horizontal="center" vertical="center" textRotation="90"/>
      <protection locked="0"/>
    </xf>
    <xf numFmtId="1" fontId="1" fillId="0" borderId="1" xfId="0" quotePrefix="1" applyNumberFormat="1" applyFont="1" applyFill="1" applyBorder="1" applyAlignment="1">
      <alignment horizontal="left" vertic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3" fontId="4" fillId="0" borderId="5" xfId="0" quotePrefix="1" applyNumberFormat="1" applyFont="1" applyFill="1" applyBorder="1" applyAlignment="1" applyProtection="1">
      <alignment horizontal="center" vertical="center"/>
      <protection hidden="1"/>
    </xf>
  </cellXfs>
  <cellStyles count="2">
    <cellStyle name="Standard" xfId="0" builtinId="0"/>
    <cellStyle name="Standard_Jungen II" xfId="1"/>
  </cellStyles>
  <dxfs count="8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N19"/>
  <sheetViews>
    <sheetView tabSelected="1" zoomScale="95" zoomScaleNormal="9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G18" sqref="AG18"/>
    </sheetView>
  </sheetViews>
  <sheetFormatPr baseColWidth="10" defaultColWidth="11.44140625" defaultRowHeight="13.2" x14ac:dyDescent="0.25"/>
  <cols>
    <col min="1" max="1" width="5.109375" style="3" customWidth="1"/>
    <col min="2" max="2" width="18.109375" style="136" bestFit="1" customWidth="1"/>
    <col min="3" max="3" width="8" style="5" bestFit="1" customWidth="1"/>
    <col min="4" max="4" width="8.44140625" style="4" bestFit="1" customWidth="1"/>
    <col min="5" max="5" width="7.109375" style="6" bestFit="1" customWidth="1"/>
    <col min="6" max="6" width="11.44140625" style="1"/>
    <col min="7" max="7" width="4.5546875" style="7" hidden="1" customWidth="1"/>
    <col min="8" max="8" width="4.5546875" style="8" hidden="1" customWidth="1"/>
    <col min="9" max="9" width="4.5546875" style="7" hidden="1" customWidth="1"/>
    <col min="10" max="10" width="4.5546875" style="8" hidden="1" customWidth="1"/>
    <col min="11" max="11" width="4.5546875" style="7" hidden="1" customWidth="1"/>
    <col min="12" max="12" width="4.5546875" style="8" hidden="1" customWidth="1"/>
    <col min="13" max="13" width="4.5546875" style="7" customWidth="1"/>
    <col min="14" max="14" width="4.5546875" style="8" customWidth="1"/>
    <col min="15" max="15" width="4" style="6" hidden="1" customWidth="1"/>
    <col min="16" max="16" width="4.44140625" style="8" hidden="1" customWidth="1"/>
    <col min="17" max="17" width="4.88671875" style="7" hidden="1" customWidth="1"/>
    <col min="18" max="18" width="4.44140625" style="9" hidden="1" customWidth="1"/>
    <col min="19" max="19" width="4.88671875" style="7" hidden="1" customWidth="1"/>
    <col min="20" max="20" width="4.44140625" style="8" hidden="1" customWidth="1"/>
    <col min="21" max="21" width="4.88671875" style="21" hidden="1" customWidth="1"/>
    <col min="22" max="22" width="4.44140625" style="8" hidden="1" customWidth="1"/>
    <col min="23" max="23" width="4.88671875" style="7" customWidth="1"/>
    <col min="24" max="24" width="4.44140625" style="8" customWidth="1"/>
    <col min="25" max="25" width="4.88671875" style="6" hidden="1" customWidth="1"/>
    <col min="26" max="26" width="4.44140625" style="8" hidden="1" customWidth="1"/>
    <col min="27" max="27" width="4" style="7" hidden="1" customWidth="1"/>
    <col min="28" max="28" width="4.44140625" style="8" hidden="1" customWidth="1"/>
    <col min="29" max="29" width="4.5546875" style="7" hidden="1" customWidth="1"/>
    <col min="30" max="30" width="4.44140625" style="8" hidden="1" customWidth="1"/>
    <col min="31" max="31" width="4" style="12" hidden="1" customWidth="1"/>
    <col min="32" max="32" width="4.44140625" style="8" hidden="1" customWidth="1"/>
    <col min="33" max="33" width="5.5546875" style="12" bestFit="1" customWidth="1"/>
    <col min="34" max="34" width="4" style="3" bestFit="1" customWidth="1"/>
    <col min="35" max="35" width="5.5546875" style="12" hidden="1" customWidth="1"/>
    <col min="36" max="36" width="4" style="3" hidden="1" customWidth="1"/>
    <col min="37" max="37" width="4.5546875" style="7" customWidth="1"/>
    <col min="38" max="38" width="4.44140625" style="8" customWidth="1"/>
    <col min="39" max="39" width="4.5546875" style="21" hidden="1" customWidth="1"/>
    <col min="40" max="40" width="4.44140625" style="3" hidden="1" customWidth="1"/>
    <col min="41" max="41" width="4.88671875" style="6" hidden="1" customWidth="1"/>
    <col min="42" max="42" width="4.44140625" style="8" hidden="1" customWidth="1"/>
    <col min="43" max="43" width="4.88671875" style="6" hidden="1" customWidth="1"/>
    <col min="44" max="44" width="4.44140625" style="8" hidden="1" customWidth="1"/>
    <col min="45" max="45" width="4.88671875" style="6" hidden="1" customWidth="1"/>
    <col min="46" max="46" width="4.44140625" style="8" hidden="1" customWidth="1"/>
    <col min="47" max="47" width="4" style="7" hidden="1" customWidth="1"/>
    <col min="48" max="48" width="4.44140625" style="3" hidden="1" customWidth="1"/>
    <col min="49" max="49" width="5.88671875" style="7" hidden="1" customWidth="1"/>
    <col min="50" max="50" width="4.5546875" style="8" hidden="1" customWidth="1"/>
    <col min="51" max="51" width="5.88671875" style="7" customWidth="1"/>
    <col min="52" max="52" width="4.5546875" style="8" customWidth="1"/>
    <col min="53" max="53" width="4" style="12" hidden="1" customWidth="1"/>
    <col min="54" max="54" width="4.44140625" style="8" hidden="1" customWidth="1"/>
    <col min="55" max="55" width="4.88671875" style="12" hidden="1" customWidth="1"/>
    <col min="56" max="56" width="4.44140625" style="8" hidden="1" customWidth="1"/>
    <col min="57" max="57" width="4.88671875" style="6" bestFit="1" customWidth="1"/>
    <col min="58" max="58" width="4.44140625" style="8" bestFit="1" customWidth="1"/>
    <col min="59" max="59" width="4.88671875" style="6" hidden="1" customWidth="1"/>
    <col min="60" max="60" width="4.44140625" style="8" hidden="1" customWidth="1"/>
    <col min="61" max="61" width="4" style="6" hidden="1" customWidth="1"/>
    <col min="62" max="62" width="4.44140625" style="4" hidden="1" customWidth="1"/>
    <col min="63" max="63" width="5.88671875" style="21" bestFit="1" customWidth="1"/>
    <col min="64" max="64" width="4.44140625" style="4" bestFit="1" customWidth="1"/>
    <col min="65" max="65" width="4.5546875" style="7" customWidth="1"/>
    <col min="66" max="66" width="4.44140625" style="9" customWidth="1"/>
    <col min="67" max="67" width="4.6640625" style="7" bestFit="1" customWidth="1"/>
    <col min="68" max="68" width="4.44140625" style="8" bestFit="1" customWidth="1"/>
    <col min="69" max="69" width="4.5546875" style="146" hidden="1" customWidth="1"/>
    <col min="70" max="70" width="4.44140625" style="8" hidden="1" customWidth="1"/>
    <col min="71" max="71" width="4.88671875" style="21" bestFit="1" customWidth="1"/>
    <col min="72" max="72" width="4.44140625" style="8" bestFit="1" customWidth="1"/>
    <col min="73" max="73" width="4.88671875" style="37" hidden="1" customWidth="1"/>
    <col min="74" max="74" width="4.44140625" style="8" hidden="1" customWidth="1"/>
    <col min="75" max="75" width="4.88671875" style="21" hidden="1" customWidth="1"/>
    <col min="76" max="76" width="4.44140625" style="10" hidden="1" customWidth="1"/>
    <col min="77" max="77" width="3.5546875" style="13" hidden="1" customWidth="1"/>
    <col min="78" max="78" width="4.44140625" style="10" hidden="1" customWidth="1"/>
    <col min="79" max="79" width="3.5546875" style="13" hidden="1" customWidth="1"/>
    <col min="80" max="80" width="4.44140625" style="10" hidden="1" customWidth="1"/>
    <col min="81" max="81" width="4.44140625" style="13" bestFit="1" customWidth="1"/>
    <col min="82" max="82" width="5.5546875" style="10" bestFit="1" customWidth="1"/>
    <col min="83" max="83" width="4.44140625" style="13" bestFit="1" customWidth="1"/>
    <col min="84" max="84" width="5.5546875" style="10" bestFit="1" customWidth="1"/>
    <col min="85" max="85" width="4.21875" style="13" bestFit="1" customWidth="1"/>
    <col min="86" max="86" width="5.5546875" style="10" bestFit="1" customWidth="1"/>
    <col min="87" max="87" width="4.44140625" style="11" bestFit="1" customWidth="1"/>
    <col min="88" max="88" width="5.5546875" style="2" bestFit="1" customWidth="1"/>
    <col min="89" max="89" width="4.44140625" style="11" bestFit="1" customWidth="1"/>
    <col min="90" max="90" width="5.5546875" style="2" bestFit="1" customWidth="1"/>
    <col min="91" max="91" width="4.44140625" style="2" bestFit="1" customWidth="1"/>
    <col min="92" max="92" width="5.5546875" style="2" customWidth="1"/>
    <col min="93" max="16384" width="11.44140625" style="2"/>
  </cols>
  <sheetData>
    <row r="1" spans="1:92" ht="126" x14ac:dyDescent="0.25">
      <c r="A1" s="200" t="s">
        <v>57</v>
      </c>
      <c r="B1" s="200"/>
      <c r="C1" s="200"/>
      <c r="D1" s="200"/>
      <c r="E1" s="200"/>
      <c r="F1" s="200"/>
      <c r="G1" s="64" t="s">
        <v>0</v>
      </c>
      <c r="H1" s="70">
        <v>11.1</v>
      </c>
      <c r="I1" s="71" t="s">
        <v>1</v>
      </c>
      <c r="J1" s="67">
        <v>10.6</v>
      </c>
      <c r="K1" s="64" t="s">
        <v>2</v>
      </c>
      <c r="L1" s="70">
        <v>15.7</v>
      </c>
      <c r="M1" s="78" t="s">
        <v>3</v>
      </c>
      <c r="N1" s="76">
        <v>15</v>
      </c>
      <c r="O1" s="79" t="s">
        <v>4</v>
      </c>
      <c r="P1" s="84">
        <v>40</v>
      </c>
      <c r="Q1" s="78" t="s">
        <v>5</v>
      </c>
      <c r="R1" s="82">
        <v>10</v>
      </c>
      <c r="S1" s="85" t="s">
        <v>6</v>
      </c>
      <c r="T1" s="84">
        <v>10</v>
      </c>
      <c r="U1" s="87" t="s">
        <v>7</v>
      </c>
      <c r="V1" s="86">
        <v>5</v>
      </c>
      <c r="W1" s="85" t="s">
        <v>8</v>
      </c>
      <c r="X1" s="84">
        <v>10</v>
      </c>
      <c r="Y1" s="90" t="s">
        <v>9</v>
      </c>
      <c r="Z1" s="86">
        <v>10</v>
      </c>
      <c r="AA1" s="85" t="s">
        <v>10</v>
      </c>
      <c r="AB1" s="84">
        <v>3.8</v>
      </c>
      <c r="AC1" s="78" t="s">
        <v>11</v>
      </c>
      <c r="AD1" s="86">
        <v>8.6</v>
      </c>
      <c r="AE1" s="95" t="s">
        <v>12</v>
      </c>
      <c r="AF1" s="84">
        <v>160</v>
      </c>
      <c r="AG1" s="99" t="s">
        <v>135</v>
      </c>
      <c r="AH1" s="86">
        <v>500</v>
      </c>
      <c r="AI1" s="99" t="s">
        <v>13</v>
      </c>
      <c r="AJ1" s="86">
        <v>790</v>
      </c>
      <c r="AK1" s="85" t="s">
        <v>14</v>
      </c>
      <c r="AL1" s="84">
        <v>15</v>
      </c>
      <c r="AM1" s="87" t="s">
        <v>15</v>
      </c>
      <c r="AN1" s="76">
        <v>4</v>
      </c>
      <c r="AO1" s="79" t="s">
        <v>16</v>
      </c>
      <c r="AP1" s="84">
        <v>33</v>
      </c>
      <c r="AQ1" s="90" t="s">
        <v>17</v>
      </c>
      <c r="AR1" s="86">
        <v>17</v>
      </c>
      <c r="AS1" s="79" t="s">
        <v>18</v>
      </c>
      <c r="AT1" s="84">
        <v>27</v>
      </c>
      <c r="AU1" s="78" t="s">
        <v>19</v>
      </c>
      <c r="AV1" s="104" t="s">
        <v>20</v>
      </c>
      <c r="AW1" s="85" t="s">
        <v>21</v>
      </c>
      <c r="AX1" s="107">
        <v>10.1</v>
      </c>
      <c r="AY1" s="78" t="s">
        <v>22</v>
      </c>
      <c r="AZ1" s="76">
        <v>11.9</v>
      </c>
      <c r="BA1" s="95" t="s">
        <v>23</v>
      </c>
      <c r="BB1" s="84">
        <v>45</v>
      </c>
      <c r="BC1" s="99" t="s">
        <v>24</v>
      </c>
      <c r="BD1" s="82">
        <v>26</v>
      </c>
      <c r="BE1" s="79" t="s">
        <v>25</v>
      </c>
      <c r="BF1" s="84">
        <v>35</v>
      </c>
      <c r="BG1" s="90" t="s">
        <v>26</v>
      </c>
      <c r="BH1" s="86">
        <v>36</v>
      </c>
      <c r="BI1" s="79" t="s">
        <v>27</v>
      </c>
      <c r="BJ1" s="84">
        <v>45</v>
      </c>
      <c r="BK1" s="87" t="s">
        <v>28</v>
      </c>
      <c r="BL1" s="86">
        <v>2.4</v>
      </c>
      <c r="BM1" s="85" t="s">
        <v>29</v>
      </c>
      <c r="BN1" s="114" t="s">
        <v>30</v>
      </c>
      <c r="BO1" s="78" t="s">
        <v>31</v>
      </c>
      <c r="BP1" s="86">
        <v>28</v>
      </c>
      <c r="BQ1" s="85" t="s">
        <v>32</v>
      </c>
      <c r="BR1" s="84">
        <v>5</v>
      </c>
      <c r="BS1" s="87" t="s">
        <v>33</v>
      </c>
      <c r="BT1" s="86">
        <v>1</v>
      </c>
      <c r="BU1" s="117" t="s">
        <v>34</v>
      </c>
      <c r="BV1" s="74">
        <v>1</v>
      </c>
      <c r="BW1" s="121" t="s">
        <v>34</v>
      </c>
      <c r="BX1" s="77">
        <v>1</v>
      </c>
      <c r="BY1" s="123" t="s">
        <v>35</v>
      </c>
      <c r="BZ1" s="74">
        <v>0</v>
      </c>
      <c r="CA1" s="125" t="s">
        <v>35</v>
      </c>
      <c r="CB1" s="77">
        <v>0</v>
      </c>
      <c r="CC1" s="39" t="s">
        <v>36</v>
      </c>
      <c r="CD1" s="38"/>
      <c r="CE1" s="39" t="s">
        <v>37</v>
      </c>
      <c r="CF1" s="40"/>
      <c r="CG1" s="39" t="s">
        <v>38</v>
      </c>
      <c r="CH1" s="40"/>
      <c r="CI1" s="39" t="s">
        <v>39</v>
      </c>
      <c r="CJ1" s="41"/>
      <c r="CK1" s="42" t="s">
        <v>40</v>
      </c>
      <c r="CL1" s="41"/>
      <c r="CM1" s="41" t="s">
        <v>41</v>
      </c>
      <c r="CN1" s="43" t="s">
        <v>56</v>
      </c>
    </row>
    <row r="2" spans="1:92" s="14" customFormat="1" ht="18" customHeight="1" x14ac:dyDescent="0.3">
      <c r="A2" s="201" t="s">
        <v>112</v>
      </c>
      <c r="B2" s="135" t="s">
        <v>134</v>
      </c>
      <c r="C2" s="46"/>
      <c r="D2" s="45"/>
      <c r="E2" s="47"/>
      <c r="F2" s="161">
        <v>20</v>
      </c>
      <c r="G2" s="65"/>
      <c r="H2" s="72"/>
      <c r="I2" s="73"/>
      <c r="J2" s="68"/>
      <c r="K2" s="65"/>
      <c r="L2" s="72"/>
      <c r="M2" s="73"/>
      <c r="N2" s="68"/>
      <c r="O2" s="80"/>
      <c r="P2" s="72"/>
      <c r="Q2" s="73"/>
      <c r="R2" s="83"/>
      <c r="S2" s="65"/>
      <c r="T2" s="72"/>
      <c r="U2" s="88"/>
      <c r="V2" s="68"/>
      <c r="W2" s="65"/>
      <c r="X2" s="72"/>
      <c r="Y2" s="91"/>
      <c r="Z2" s="68"/>
      <c r="AA2" s="93"/>
      <c r="AB2" s="72"/>
      <c r="AC2" s="94"/>
      <c r="AD2" s="68"/>
      <c r="AE2" s="96"/>
      <c r="AF2" s="72"/>
      <c r="AG2" s="100"/>
      <c r="AH2" s="98"/>
      <c r="AI2" s="100"/>
      <c r="AJ2" s="98"/>
      <c r="AK2" s="93"/>
      <c r="AL2" s="72"/>
      <c r="AM2" s="188"/>
      <c r="AN2" s="98"/>
      <c r="AO2" s="102"/>
      <c r="AP2" s="72"/>
      <c r="AQ2" s="103"/>
      <c r="AR2" s="68"/>
      <c r="AS2" s="102"/>
      <c r="AT2" s="72"/>
      <c r="AU2" s="105"/>
      <c r="AV2" s="98"/>
      <c r="AW2" s="106"/>
      <c r="AX2" s="72"/>
      <c r="AY2" s="105"/>
      <c r="AZ2" s="68"/>
      <c r="BA2" s="108"/>
      <c r="BB2" s="72"/>
      <c r="BC2" s="109"/>
      <c r="BD2" s="68"/>
      <c r="BE2" s="102"/>
      <c r="BF2" s="72"/>
      <c r="BG2" s="103"/>
      <c r="BH2" s="68"/>
      <c r="BI2" s="102"/>
      <c r="BJ2" s="112"/>
      <c r="BK2" s="113"/>
      <c r="BL2" s="111"/>
      <c r="BM2" s="106"/>
      <c r="BN2" s="115"/>
      <c r="BO2" s="198"/>
      <c r="BP2" s="68"/>
      <c r="BQ2" s="145"/>
      <c r="BR2" s="72"/>
      <c r="BS2" s="116"/>
      <c r="BT2" s="68"/>
      <c r="BU2" s="118"/>
      <c r="BV2" s="72"/>
      <c r="BW2" s="116"/>
      <c r="BX2" s="120"/>
      <c r="BY2" s="124"/>
      <c r="BZ2" s="126"/>
      <c r="CA2" s="127"/>
      <c r="CB2" s="120"/>
      <c r="CC2" s="48"/>
      <c r="CD2" s="50"/>
      <c r="CE2" s="51"/>
      <c r="CF2" s="50"/>
      <c r="CG2" s="49"/>
      <c r="CH2" s="50"/>
      <c r="CI2" s="52"/>
      <c r="CJ2" s="53"/>
      <c r="CK2" s="54"/>
      <c r="CL2" s="53"/>
      <c r="CM2" s="53"/>
      <c r="CN2" s="53"/>
    </row>
    <row r="3" spans="1:92" s="14" customFormat="1" ht="25.5" customHeight="1" x14ac:dyDescent="0.3">
      <c r="A3" s="202"/>
      <c r="B3" s="55" t="s">
        <v>53</v>
      </c>
      <c r="C3" s="56" t="s">
        <v>54</v>
      </c>
      <c r="D3" s="57" t="s">
        <v>55</v>
      </c>
      <c r="E3" s="58" t="s">
        <v>111</v>
      </c>
      <c r="F3" s="59" t="s">
        <v>43</v>
      </c>
      <c r="G3" s="66" t="s">
        <v>44</v>
      </c>
      <c r="H3" s="74" t="s">
        <v>45</v>
      </c>
      <c r="I3" s="75" t="s">
        <v>44</v>
      </c>
      <c r="J3" s="69" t="s">
        <v>45</v>
      </c>
      <c r="K3" s="66" t="s">
        <v>44</v>
      </c>
      <c r="L3" s="74" t="s">
        <v>45</v>
      </c>
      <c r="M3" s="75" t="s">
        <v>44</v>
      </c>
      <c r="N3" s="77" t="s">
        <v>45</v>
      </c>
      <c r="O3" s="81" t="s">
        <v>44</v>
      </c>
      <c r="P3" s="74" t="s">
        <v>45</v>
      </c>
      <c r="Q3" s="75" t="s">
        <v>46</v>
      </c>
      <c r="R3" s="77" t="s">
        <v>45</v>
      </c>
      <c r="S3" s="66" t="s">
        <v>46</v>
      </c>
      <c r="T3" s="74" t="s">
        <v>45</v>
      </c>
      <c r="U3" s="89" t="s">
        <v>46</v>
      </c>
      <c r="V3" s="77" t="s">
        <v>45</v>
      </c>
      <c r="W3" s="66" t="s">
        <v>46</v>
      </c>
      <c r="X3" s="74" t="s">
        <v>45</v>
      </c>
      <c r="Y3" s="92" t="s">
        <v>47</v>
      </c>
      <c r="Z3" s="77" t="s">
        <v>45</v>
      </c>
      <c r="AA3" s="66" t="s">
        <v>44</v>
      </c>
      <c r="AB3" s="74" t="s">
        <v>45</v>
      </c>
      <c r="AC3" s="75" t="s">
        <v>44</v>
      </c>
      <c r="AD3" s="77" t="s">
        <v>45</v>
      </c>
      <c r="AE3" s="97" t="s">
        <v>44</v>
      </c>
      <c r="AF3" s="74" t="s">
        <v>45</v>
      </c>
      <c r="AG3" s="97" t="s">
        <v>44</v>
      </c>
      <c r="AH3" s="74" t="s">
        <v>45</v>
      </c>
      <c r="AI3" s="101" t="s">
        <v>44</v>
      </c>
      <c r="AJ3" s="77" t="s">
        <v>48</v>
      </c>
      <c r="AK3" s="66" t="s">
        <v>44</v>
      </c>
      <c r="AL3" s="74" t="s">
        <v>45</v>
      </c>
      <c r="AM3" s="89" t="s">
        <v>44</v>
      </c>
      <c r="AN3" s="77" t="s">
        <v>45</v>
      </c>
      <c r="AO3" s="81" t="s">
        <v>49</v>
      </c>
      <c r="AP3" s="74" t="s">
        <v>45</v>
      </c>
      <c r="AQ3" s="92" t="s">
        <v>49</v>
      </c>
      <c r="AR3" s="77" t="s">
        <v>45</v>
      </c>
      <c r="AS3" s="81" t="s">
        <v>49</v>
      </c>
      <c r="AT3" s="74" t="s">
        <v>45</v>
      </c>
      <c r="AU3" s="75" t="s">
        <v>44</v>
      </c>
      <c r="AV3" s="77" t="s">
        <v>45</v>
      </c>
      <c r="AW3" s="66" t="s">
        <v>50</v>
      </c>
      <c r="AX3" s="74" t="s">
        <v>45</v>
      </c>
      <c r="AY3" s="75" t="s">
        <v>50</v>
      </c>
      <c r="AZ3" s="77" t="s">
        <v>45</v>
      </c>
      <c r="BA3" s="97" t="s">
        <v>44</v>
      </c>
      <c r="BB3" s="74" t="s">
        <v>45</v>
      </c>
      <c r="BC3" s="110" t="s">
        <v>49</v>
      </c>
      <c r="BD3" s="69" t="s">
        <v>45</v>
      </c>
      <c r="BE3" s="81" t="s">
        <v>49</v>
      </c>
      <c r="BF3" s="74" t="s">
        <v>45</v>
      </c>
      <c r="BG3" s="92" t="s">
        <v>49</v>
      </c>
      <c r="BH3" s="77" t="s">
        <v>45</v>
      </c>
      <c r="BI3" s="81" t="s">
        <v>44</v>
      </c>
      <c r="BJ3" s="74" t="s">
        <v>45</v>
      </c>
      <c r="BK3" s="89" t="s">
        <v>50</v>
      </c>
      <c r="BL3" s="77" t="s">
        <v>45</v>
      </c>
      <c r="BM3" s="66" t="s">
        <v>44</v>
      </c>
      <c r="BN3" s="74" t="s">
        <v>45</v>
      </c>
      <c r="BO3" s="75" t="s">
        <v>51</v>
      </c>
      <c r="BP3" s="77" t="s">
        <v>45</v>
      </c>
      <c r="BQ3" s="66" t="s">
        <v>52</v>
      </c>
      <c r="BR3" s="74" t="s">
        <v>45</v>
      </c>
      <c r="BS3" s="89" t="s">
        <v>46</v>
      </c>
      <c r="BT3" s="77" t="s">
        <v>45</v>
      </c>
      <c r="BU3" s="119" t="s">
        <v>46</v>
      </c>
      <c r="BV3" s="74" t="s">
        <v>45</v>
      </c>
      <c r="BW3" s="122" t="s">
        <v>46</v>
      </c>
      <c r="BX3" s="77" t="s">
        <v>45</v>
      </c>
      <c r="BY3" s="81" t="s">
        <v>51</v>
      </c>
      <c r="BZ3" s="74" t="s">
        <v>45</v>
      </c>
      <c r="CA3" s="92" t="s">
        <v>51</v>
      </c>
      <c r="CB3" s="77" t="s">
        <v>45</v>
      </c>
      <c r="CC3" s="60" t="s">
        <v>45</v>
      </c>
      <c r="CD3" s="61" t="s">
        <v>42</v>
      </c>
      <c r="CE3" s="60" t="s">
        <v>45</v>
      </c>
      <c r="CF3" s="61" t="s">
        <v>42</v>
      </c>
      <c r="CG3" s="60" t="s">
        <v>48</v>
      </c>
      <c r="CH3" s="61" t="s">
        <v>42</v>
      </c>
      <c r="CI3" s="60" t="s">
        <v>45</v>
      </c>
      <c r="CJ3" s="61" t="s">
        <v>42</v>
      </c>
      <c r="CK3" s="60" t="s">
        <v>45</v>
      </c>
      <c r="CL3" s="61" t="s">
        <v>42</v>
      </c>
      <c r="CM3" s="62" t="s">
        <v>45</v>
      </c>
      <c r="CN3" s="63" t="s">
        <v>42</v>
      </c>
    </row>
    <row r="4" spans="1:92" s="14" customFormat="1" ht="27" customHeight="1" x14ac:dyDescent="0.3">
      <c r="A4" s="44">
        <v>1</v>
      </c>
      <c r="B4" s="135" t="s">
        <v>145</v>
      </c>
      <c r="C4" s="46" t="s">
        <v>98</v>
      </c>
      <c r="D4" s="45">
        <v>60.7</v>
      </c>
      <c r="E4" s="47">
        <v>168</v>
      </c>
      <c r="F4" s="147">
        <v>35836</v>
      </c>
      <c r="G4" s="148"/>
      <c r="H4" s="72">
        <f>IF(G4="",0,IF(G4&lt;$H$1,50,IF(G4&gt;18.7,0,VLOOKUP(G4,Liste_AT1!$A$3:$B$79,2,0))))</f>
        <v>0</v>
      </c>
      <c r="I4" s="149"/>
      <c r="J4" s="68">
        <f>IF(I4="",0,IF(I4&lt;$J$1,50,IF(I4&gt;22.8,0,VLOOKUP(I4,Liste_AT1!$C$3:$D$125,2,0))))</f>
        <v>0</v>
      </c>
      <c r="K4" s="148"/>
      <c r="L4" s="72">
        <f>IF(K4="",0,IF(K4&lt;$L$1,50,IF(K4&gt;29.2,0,VLOOKUP(K4,Liste_AT1!$E$3:$F$138,2,0))))</f>
        <v>0</v>
      </c>
      <c r="M4" s="149">
        <v>23.2</v>
      </c>
      <c r="N4" s="68">
        <f>IF(M4="",0,IF(M4&lt;15,50,IF(M4&gt;39.5,0,VLOOKUP(M4,Liste_AT1!$G$3:$H$248,2,0))))</f>
        <v>33</v>
      </c>
      <c r="O4" s="150"/>
      <c r="P4" s="72">
        <f>IF(O4="",0,IF(O4&lt;40,50,IF(O4&gt;108,0,VLOOKUP(O4,Liste_AT1!$I$3:$J$71,2,0))))</f>
        <v>0</v>
      </c>
      <c r="Q4" s="149"/>
      <c r="R4" s="68">
        <f>IF(Q4&gt;10,50,IF(Q4&lt;1,0,IF(Q4="",0,VLOOKUP(Q4,Liste_AT1!$K$3:$L$21,2,0))))</f>
        <v>0</v>
      </c>
      <c r="S4" s="148"/>
      <c r="T4" s="72">
        <f>IF(S4&gt;10,50,IF(S4&lt;1,0,VLOOKUP(S4,Liste_AT1!$M$3:$N$21,2,0)))</f>
        <v>0</v>
      </c>
      <c r="U4" s="151"/>
      <c r="V4" s="68">
        <f>IF(U4&gt;5,35,IF(U4&lt;1,0,VLOOKUP(U4,Liste_AT1!$O$3:$P$19,2)))</f>
        <v>0</v>
      </c>
      <c r="W4" s="148">
        <v>9.6</v>
      </c>
      <c r="X4" s="72">
        <f>IF(W4&gt;10,50,IF(W4&lt;1,0,VLOOKUP(W4,Liste_AT1!$Q$3:$R$21,2)))</f>
        <v>48</v>
      </c>
      <c r="Y4" s="152"/>
      <c r="Z4" s="68">
        <f>IF(Y4&gt;10,50,IF(Y4&lt;1,0,VLOOKUP(Y4,Liste_AT1!$S$3:$T$12,2)))</f>
        <v>0</v>
      </c>
      <c r="AA4" s="148"/>
      <c r="AB4" s="72">
        <f>IF(AA4="",0,IF(AA4&lt;3.8,50,IF(AA4&gt;6.9,0,VLOOKUP(AA4,Liste_AT2!$A$3:$B$34,2))))</f>
        <v>0</v>
      </c>
      <c r="AC4" s="149"/>
      <c r="AD4" s="68">
        <f>IF(AC4="",0,IF(AC4&lt;8.6,50,IF(AC4&gt;12.1,0,VLOOKUP(AC4,Liste_AT2!$C$3:$D$38,2))))</f>
        <v>0</v>
      </c>
      <c r="AE4" s="153"/>
      <c r="AF4" s="72">
        <f>IF(AE4="",0,IF(AE4&lt;160,50,IF(AE4&gt;231,0,VLOOKUP(AE4,Liste_AT2!$F$3:$G$74,2))))</f>
        <v>0</v>
      </c>
      <c r="AG4" s="154">
        <v>488</v>
      </c>
      <c r="AH4" s="68">
        <f>IF(AG4="",0,IF(AG4&lt;500,50,IF(AG4&gt;626,0,VLOOKUP(AG4,Liste_AT2!$AU$3:$AW$66,3))))</f>
        <v>50</v>
      </c>
      <c r="AI4" s="154" t="s">
        <v>81</v>
      </c>
      <c r="AJ4" s="68">
        <f>IF(AI4="",0,IF(AI4&lt;822,50,IF(AI4&gt;948,0,VLOOKUP(AI4,Liste_AT2!$I$3:$J$66,2))))</f>
        <v>0</v>
      </c>
      <c r="AK4" s="148">
        <v>16.399999999999999</v>
      </c>
      <c r="AL4" s="72">
        <f>IF(AK4="",0,IF(AK4&lt;15,50,IF(AK4&gt;22.5,0,VLOOKUP(AK4,Liste_AT2!$K$3:$L$78,2))))</f>
        <v>36</v>
      </c>
      <c r="AM4" s="151"/>
      <c r="AN4" s="68">
        <f>IF(AM4="",0,IF(AM4&lt;4,50,IF(AM4&gt;9.4,0,VLOOKUP(AM4,Liste_AT2!$M$3:$N$57,2))))</f>
        <v>0</v>
      </c>
      <c r="AO4" s="150"/>
      <c r="AP4" s="72">
        <f>IF(AO4="",0,IF(AO4&gt;33,50,IF(AO4&lt;7,0,VLOOKUP(AO4,Liste_AT2!$Q$3:$R$29,2))))</f>
        <v>0</v>
      </c>
      <c r="AQ4" s="152"/>
      <c r="AR4" s="68">
        <f>IF(AQ4="",0,IF(AQ4&gt;17,50,IF(AQ4&lt;1,0,VLOOKUP(AQ4,Liste_AT2!$U$3:$V$19,2))))</f>
        <v>0</v>
      </c>
      <c r="AS4" s="150"/>
      <c r="AT4" s="72">
        <f>IF(AS4="",0,IF(AS4&gt;27,50,IF(AS4&lt;6,0,VLOOKUP(AS4,Liste_AT2!$W$3:$X$24,2))))</f>
        <v>0</v>
      </c>
      <c r="AU4" s="149"/>
      <c r="AV4" s="68">
        <f>IF(AU4="",0,IF(AU4&lt;3.7,50,IF(AU4&gt;8,0,VLOOKUP(AU4,Liste_AT2!$AA$3:$AB$46,2))))</f>
        <v>0</v>
      </c>
      <c r="AW4" s="148"/>
      <c r="AX4" s="72">
        <f>IF(AW4="",0,IF(AW4&lt;4,0,IF(AW4&gt;10.1,50,VLOOKUP(AW4,Liste_AT2!$AC$3:$AD$62,2))))</f>
        <v>0</v>
      </c>
      <c r="AY4" s="149">
        <v>11</v>
      </c>
      <c r="AZ4" s="68">
        <f>IF(AY4="",0,IF(AY4&gt;11.9,50,IF(AY4&lt;5,0,VLOOKUP(AY4,Liste_AT2!$AE$3:$AF$72,2))))</f>
        <v>47</v>
      </c>
      <c r="BA4" s="153"/>
      <c r="BB4" s="72">
        <f>IF(BA4="",0,IF(BA4&gt;45,50,IF(BA4&lt;2,0,VLOOKUP(BA4,Liste_AT2!$AG$3:$AH$61,2))))</f>
        <v>0</v>
      </c>
      <c r="BC4" s="154"/>
      <c r="BD4" s="68">
        <f>IF(BC4="",0,IF(BC4&gt;26,50,IF(BC4&lt;4,0,VLOOKUP(BC4,Liste_AT2!$AI$3:$AJ$25,2))))</f>
        <v>0</v>
      </c>
      <c r="BE4" s="150">
        <v>21</v>
      </c>
      <c r="BF4" s="72">
        <f>IF(BE4="",0,IF(BE4&gt;35,50,IF(BE4&lt;14,0,VLOOKUP(BE4,Liste_AT2!$AK$3:$AL$24,2))))</f>
        <v>14</v>
      </c>
      <c r="BG4" s="152"/>
      <c r="BH4" s="68">
        <f>IF(BG4="",0,IF(BG4&gt;36,50,IF(BG4&lt;7,0,VLOOKUP(BG4,Liste_AT2!$AM$3:$AN$32,2))))</f>
        <v>0</v>
      </c>
      <c r="BI4" s="150"/>
      <c r="BJ4" s="72">
        <f>IF(BI4="",0,IF(BI4&gt;45,50,IF(BI4&lt;6,0,VLOOKUP(BI4,Liste_AT2!$AO$3:$AP$52,2))))</f>
        <v>0</v>
      </c>
      <c r="BK4" s="151">
        <v>1.99</v>
      </c>
      <c r="BL4" s="68">
        <f>IF(BK4="",0,IF(BK4&gt;2.4,50,IF(BK4&lt;1.15,0,VLOOKUP(BK4,Liste_AT2!$AQ$3:$AR$52,2))))</f>
        <v>29</v>
      </c>
      <c r="BM4" s="148">
        <v>34.799999999999997</v>
      </c>
      <c r="BN4" s="72">
        <f>IF(BM4="",0,IF(BM4&lt;28,50,IF(BM4&gt;62,0,VLOOKUP(BM4,Liste_AT2!$AS$3:$AT$343,2,0))))</f>
        <v>43</v>
      </c>
      <c r="BO4" s="149">
        <v>17</v>
      </c>
      <c r="BP4" s="68">
        <f>IF(BO4="",0,IF(BO4&lt;1,0,IF(BO4&gt;28,50,VLOOKUP(BO4,Liste_AT3!$A$3:$B$30,2))))</f>
        <v>30</v>
      </c>
      <c r="BQ4" s="155"/>
      <c r="BR4" s="72">
        <f>IF(BQ4="",0,IF(BQ4&lt;5,50,IF(BQ4&gt;40,0,VLOOKUP(BQ4,Liste_AT3!$C$3:$D$38,2))))</f>
        <v>0</v>
      </c>
      <c r="BS4" s="151">
        <v>1.5</v>
      </c>
      <c r="BT4" s="68">
        <f>IF(BS4="",0,IF(BS4&lt;1,50,IF(BS4&gt;4.75,0,VLOOKUP(BS4,Liste_AT3!$E$3:$F$18,2))))</f>
        <v>42</v>
      </c>
      <c r="BU4" s="156"/>
      <c r="BV4" s="72">
        <f>IF(BU4="",0,IF(BU4&lt;1,50,IF(BU4&gt;4.75,0,VLOOKUP(BU4,Liste_AT3!$G$3:$H$18,2))))</f>
        <v>0</v>
      </c>
      <c r="BW4" s="151"/>
      <c r="BX4" s="68">
        <f>IF(BW4="",0,IF(BW4&lt;1,50,IF(BW4&gt;4.75,0,VLOOKUP(BW4,Liste_AT3!$G$3:$H$18,2))))</f>
        <v>0</v>
      </c>
      <c r="BY4" s="157"/>
      <c r="BZ4" s="72">
        <f>IF(BY4="",0,IF(BY4&gt;40,0,VLOOKUP(BY4,Liste_AT3!$I$3:$J$43,2,2)))</f>
        <v>0</v>
      </c>
      <c r="CA4" s="158"/>
      <c r="CB4" s="68">
        <f>IF(CA4="",0,IF(CA4&gt;40,0,VLOOKUP(CA4,Liste_AT3!$I$3:$J$43,2,2)))</f>
        <v>0</v>
      </c>
      <c r="CC4" s="159">
        <f>SUM(H4,J4,L4,N4,P4,R4,T4,V4,X4,Z4)</f>
        <v>81</v>
      </c>
      <c r="CD4" s="53">
        <f>IF(CC4=0,"",RANK(CC4,$CC$4:$CC$19))</f>
        <v>3</v>
      </c>
      <c r="CE4" s="159">
        <f>SUM(AB4,AD4,AF4,AJ4,AL4,AN4,AH4)</f>
        <v>86</v>
      </c>
      <c r="CF4" s="53">
        <f>IF(CE4=0,"",RANK(CE4,$CE$4:$CE$19))</f>
        <v>1</v>
      </c>
      <c r="CG4" s="159">
        <f>SUM(AP4,AR4,AT4,AV4,AX4,AZ4,BB4,BD4,BF4,BH4,BJ4,BL4,BN4)</f>
        <v>133</v>
      </c>
      <c r="CH4" s="53">
        <f>IF(CG4=0,"",RANK(CG4,$CG$4:$CG$19))</f>
        <v>1</v>
      </c>
      <c r="CI4" s="160">
        <f>SUM(BP4,BR4)</f>
        <v>30</v>
      </c>
      <c r="CJ4" s="53">
        <f>IF(CI4=0,"",RANK(CI4,$CI$4:$CI$19))</f>
        <v>2</v>
      </c>
      <c r="CK4" s="160">
        <f>SUM(BT4,BV4,BX4,BZ4,CB4)</f>
        <v>42</v>
      </c>
      <c r="CL4" s="53">
        <f>IF(CK4=0,"",RANK(CK4,$CK$4:$CK$19))</f>
        <v>1</v>
      </c>
      <c r="CM4" s="160">
        <f>SUM(CC4,CE4,CG4,CI4,CK4)</f>
        <v>372</v>
      </c>
      <c r="CN4" s="53">
        <f t="shared" ref="CN4:CN19" si="0">IF(CM4=0,"",RANK(CM4,$CM$4:$CM$19))</f>
        <v>1</v>
      </c>
    </row>
    <row r="5" spans="1:92" s="14" customFormat="1" ht="27" customHeight="1" x14ac:dyDescent="0.3">
      <c r="A5" s="44">
        <v>3</v>
      </c>
      <c r="B5" s="135" t="s">
        <v>127</v>
      </c>
      <c r="C5" s="46" t="s">
        <v>101</v>
      </c>
      <c r="D5" s="45">
        <v>65</v>
      </c>
      <c r="E5" s="47">
        <v>171</v>
      </c>
      <c r="F5" s="147">
        <v>35892</v>
      </c>
      <c r="G5" s="148"/>
      <c r="H5" s="72">
        <f>IF(G5="",0,IF(G5&lt;$H$1,50,IF(G5&gt;18.7,0,VLOOKUP(G5,Liste_AT1!$A$3:$B$79,2,0))))</f>
        <v>0</v>
      </c>
      <c r="I5" s="149"/>
      <c r="J5" s="68">
        <f>IF(I5="",0,IF(I5&lt;$J$1,50,IF(I5&gt;22.8,0,VLOOKUP(I5,Liste_AT1!$C$3:$D$125,2,0))))</f>
        <v>0</v>
      </c>
      <c r="K5" s="148"/>
      <c r="L5" s="72">
        <f>IF(K5="",0,IF(K5&lt;$L$1,50,IF(K5&gt;29.2,0,VLOOKUP(K5,Liste_AT1!$E$3:$F$138,2,0))))</f>
        <v>0</v>
      </c>
      <c r="M5" s="149">
        <v>22.7</v>
      </c>
      <c r="N5" s="68">
        <f>IF(M5="",0,IF(M5&lt;15,50,IF(M5&gt;39.5,0,VLOOKUP(M5,Liste_AT1!$G$3:$H$248,2,0))))</f>
        <v>34</v>
      </c>
      <c r="O5" s="150"/>
      <c r="P5" s="72">
        <f>IF(O5="",0,IF(O5&lt;40,50,IF(O5&gt;108,0,VLOOKUP(O5,Liste_AT1!$I$3:$J$71,2,0))))</f>
        <v>0</v>
      </c>
      <c r="Q5" s="149"/>
      <c r="R5" s="68">
        <f>IF(Q5&gt;10,50,IF(Q5&lt;1,0,IF(Q5="",0,VLOOKUP(Q5,Liste_AT1!$K$3:$L$21,2,0))))</f>
        <v>0</v>
      </c>
      <c r="S5" s="148"/>
      <c r="T5" s="72">
        <f>IF(S5&gt;10,50,IF(S5&lt;1,0,VLOOKUP(S5,Liste_AT1!$M$3:$N$21,2,0)))</f>
        <v>0</v>
      </c>
      <c r="U5" s="151"/>
      <c r="V5" s="68">
        <f>IF(U5&gt;5,35,IF(U5&lt;1,0,VLOOKUP(U5,Liste_AT1!$O$3:$P$19,2)))</f>
        <v>0</v>
      </c>
      <c r="W5" s="148">
        <v>9.3000000000000007</v>
      </c>
      <c r="X5" s="72">
        <f>IF(W5&gt;10,50,IF(W5&lt;1,0,VLOOKUP(W5,Liste_AT1!$Q$3:$R$21,2)))</f>
        <v>46</v>
      </c>
      <c r="Y5" s="152"/>
      <c r="Z5" s="68">
        <f>IF(Y5&gt;10,50,IF(Y5&lt;1,0,VLOOKUP(Y5,Liste_AT1!$S$3:$T$12,2)))</f>
        <v>0</v>
      </c>
      <c r="AA5" s="148"/>
      <c r="AB5" s="72">
        <f>IF(AA5="",0,IF(AA5&lt;3.8,50,IF(AA5&gt;6.9,0,VLOOKUP(AA5,Liste_AT2!$A$3:$B$34,2))))</f>
        <v>0</v>
      </c>
      <c r="AC5" s="149"/>
      <c r="AD5" s="68">
        <f>IF(AC5="",0,IF(AC5&lt;8.6,50,IF(AC5&gt;12.1,0,VLOOKUP(AC5,Liste_AT2!$C$3:$D$38,2))))</f>
        <v>0</v>
      </c>
      <c r="AE5" s="153"/>
      <c r="AF5" s="72">
        <f>IF(AE5="",0,IF(AE5&lt;160,50,IF(AE5&gt;231,0,VLOOKUP(AE5,Liste_AT2!$F$3:$G$74,2))))</f>
        <v>0</v>
      </c>
      <c r="AG5" s="154">
        <v>504</v>
      </c>
      <c r="AH5" s="68">
        <f>IF(AG5="",0,IF(AG5&lt;500,50,IF(AG5&gt;626,0,VLOOKUP(AG5,Liste_AT2!$AU$3:$AW$66,3))))</f>
        <v>48</v>
      </c>
      <c r="AI5" s="154"/>
      <c r="AJ5" s="68">
        <f>IF(AI5="",0,IF(AI5&lt;822,50,IF(AI5&gt;948,0,VLOOKUP(AI5,Liste_AT2!$I$3:$J$66,2))))</f>
        <v>0</v>
      </c>
      <c r="AK5" s="148">
        <v>16.399999999999999</v>
      </c>
      <c r="AL5" s="72">
        <f>IF(AK5="",0,IF(AK5&lt;15,50,IF(AK5&gt;22.5,0,VLOOKUP(AK5,Liste_AT2!$K$3:$L$78,2))))</f>
        <v>36</v>
      </c>
      <c r="AM5" s="151"/>
      <c r="AN5" s="68">
        <f>IF(AM5="",0,IF(AM5&lt;4,50,IF(AM5&gt;9.4,0,VLOOKUP(AM5,Liste_AT2!$M$3:$N$57,2))))</f>
        <v>0</v>
      </c>
      <c r="AO5" s="150"/>
      <c r="AP5" s="72">
        <f>IF(AO5="",0,IF(AO5&gt;33,50,IF(AO5&lt;7,0,VLOOKUP(AO5,Liste_AT2!$Q$3:$R$29,2))))</f>
        <v>0</v>
      </c>
      <c r="AQ5" s="152"/>
      <c r="AR5" s="68">
        <f>IF(AQ5="",0,IF(AQ5&gt;17,50,IF(AQ5&lt;1,0,VLOOKUP(AQ5,Liste_AT2!$U$3:$V$19,2))))</f>
        <v>0</v>
      </c>
      <c r="AS5" s="150"/>
      <c r="AT5" s="72">
        <f>IF(AS5="",0,IF(AS5&gt;27,50,IF(AS5&lt;6,0,VLOOKUP(AS5,Liste_AT2!$W$3:$X$24,2))))</f>
        <v>0</v>
      </c>
      <c r="AU5" s="149"/>
      <c r="AV5" s="68">
        <f>IF(AU5="",0,IF(AU5&lt;3.7,50,IF(AU5&gt;8,0,VLOOKUP(AU5,Liste_AT2!$AA$3:$AB$46,2))))</f>
        <v>0</v>
      </c>
      <c r="AW5" s="148"/>
      <c r="AX5" s="72">
        <f>IF(AW5="",0,IF(AW5&lt;4,0,IF(AW5&gt;10.1,50,VLOOKUP(AW5,Liste_AT2!$AC$3:$AD$62,2))))</f>
        <v>0</v>
      </c>
      <c r="AY5" s="149">
        <v>11.3</v>
      </c>
      <c r="AZ5" s="68">
        <f>IF(AY5="",0,IF(AY5&gt;11.9,50,IF(AY5&lt;5,0,VLOOKUP(AY5,Liste_AT2!$AE$3:$AF$72,2))))</f>
        <v>48</v>
      </c>
      <c r="BA5" s="153"/>
      <c r="BB5" s="72">
        <f>IF(BA5="",0,IF(BA5&gt;45,50,IF(BA5&lt;2,0,VLOOKUP(BA5,Liste_AT2!$AG$3:$AH$61,2))))</f>
        <v>0</v>
      </c>
      <c r="BC5" s="154"/>
      <c r="BD5" s="68">
        <f>IF(BC5="",0,IF(BC5&gt;26,50,IF(BC5&lt;4,0,VLOOKUP(BC5,Liste_AT2!$AI$3:$AJ$25,2))))</f>
        <v>0</v>
      </c>
      <c r="BE5" s="150">
        <v>16</v>
      </c>
      <c r="BF5" s="72">
        <f>IF(BE5="",0,IF(BE5&gt;35,50,IF(BE5&lt;14,0,VLOOKUP(BE5,Liste_AT2!$AK$3:$AL$24,2))))</f>
        <v>4</v>
      </c>
      <c r="BG5" s="152"/>
      <c r="BH5" s="68">
        <f>IF(BG5="",0,IF(BG5&gt;36,50,IF(BG5&lt;7,0,VLOOKUP(BG5,Liste_AT2!$AM$3:$AN$32,2))))</f>
        <v>0</v>
      </c>
      <c r="BI5" s="150"/>
      <c r="BJ5" s="72">
        <f>IF(BI5="",0,IF(BI5&gt;45,50,IF(BI5&lt;6,0,VLOOKUP(BI5,Liste_AT2!$AO$3:$AP$52,2))))</f>
        <v>0</v>
      </c>
      <c r="BK5" s="151">
        <v>2.15</v>
      </c>
      <c r="BL5" s="68">
        <f>IF(BK5="",0,IF(BK5&gt;2.4,50,IF(BK5&lt;1.15,0,VLOOKUP(BK5,Liste_AT2!$AQ$3:$AR$52,2))))</f>
        <v>37</v>
      </c>
      <c r="BM5" s="148">
        <v>44.4</v>
      </c>
      <c r="BN5" s="72">
        <f>IF(BM5="",0,IF(BM5&lt;28,50,IF(BM5&gt;62,0,VLOOKUP(BM5,Liste_AT2!$AS$3:$AT$343,2,0))))</f>
        <v>28</v>
      </c>
      <c r="BO5" s="149">
        <v>13.3</v>
      </c>
      <c r="BP5" s="68">
        <f>IF(BO5="",0,IF(BO5&lt;1,0,IF(BO5&gt;28,50,VLOOKUP(BO5,Liste_AT3!$A$3:$B$30,2))))</f>
        <v>22</v>
      </c>
      <c r="BQ5" s="155"/>
      <c r="BR5" s="72">
        <f>IF(BQ5="",0,IF(BQ5&lt;5,50,IF(BQ5&gt;40,0,VLOOKUP(BQ5,Liste_AT3!$C$3:$D$38,2))))</f>
        <v>0</v>
      </c>
      <c r="BS5" s="151">
        <v>2.25</v>
      </c>
      <c r="BT5" s="68">
        <f>IF(BS5="",0,IF(BS5&lt;1,50,IF(BS5&gt;4.75,0,VLOOKUP(BS5,Liste_AT3!$E$3:$F$18,2))))</f>
        <v>29</v>
      </c>
      <c r="BU5" s="156"/>
      <c r="BV5" s="72">
        <f>IF(BU5="",0,IF(BU5&lt;1,50,IF(BU5&gt;4.75,0,VLOOKUP(BU5,Liste_AT3!$G$3:$H$18,2))))</f>
        <v>0</v>
      </c>
      <c r="BW5" s="151"/>
      <c r="BX5" s="68">
        <f>IF(BW5="",0,IF(BW5&lt;1,50,IF(BW5&gt;4.75,0,VLOOKUP(BW5,Liste_AT3!$G$3:$H$18,2))))</f>
        <v>0</v>
      </c>
      <c r="BY5" s="157"/>
      <c r="BZ5" s="72">
        <f>IF(BY5="",0,IF(BY5&gt;40,0,VLOOKUP(BY5,Liste_AT3!$I$3:$J$43,2,2)))</f>
        <v>0</v>
      </c>
      <c r="CA5" s="158"/>
      <c r="CB5" s="68">
        <f>IF(CA5="",0,IF(CA5&gt;40,0,VLOOKUP(CA5,Liste_AT3!$I$3:$J$43,2,2)))</f>
        <v>0</v>
      </c>
      <c r="CC5" s="159">
        <f>SUM(H5,J5,L5,N5,P5,R5,T5,V5,X5,Z5)</f>
        <v>80</v>
      </c>
      <c r="CD5" s="53">
        <f>IF(CC5=0,"",RANK(CC5,$CC$4:$CC$19))</f>
        <v>5</v>
      </c>
      <c r="CE5" s="159">
        <f>SUM(AB5,AD5,AF5,AJ5,AL5,AN5,AH5)</f>
        <v>84</v>
      </c>
      <c r="CF5" s="53">
        <f>IF(CE5=0,"",RANK(CE5,$CE$4:$CE$19))</f>
        <v>2</v>
      </c>
      <c r="CG5" s="159">
        <f>SUM(AP5,AR5,AT5,AV5,AX5,AZ5,BB5,BD5,BF5,BH5,BJ5,BL5,BN5)</f>
        <v>117</v>
      </c>
      <c r="CH5" s="53">
        <f>IF(CG5=0,"",RANK(CG5,$CG$4:$CG$19))</f>
        <v>2</v>
      </c>
      <c r="CI5" s="160">
        <f>SUM(BP5,BR5)</f>
        <v>22</v>
      </c>
      <c r="CJ5" s="53">
        <f>IF(CI5=0,"",RANK(CI5,$CI$4:$CI$19))</f>
        <v>8</v>
      </c>
      <c r="CK5" s="160">
        <f>SUM(BT5,BV5,BX5,BZ5,CB5)</f>
        <v>29</v>
      </c>
      <c r="CL5" s="53">
        <f>IF(CK5=0,"",RANK(CK5,$CK$4:$CK$19))</f>
        <v>7</v>
      </c>
      <c r="CM5" s="160">
        <f>SUM(CC5,CE5,CG5,CI5,CK5)</f>
        <v>332</v>
      </c>
      <c r="CN5" s="53">
        <f t="shared" si="0"/>
        <v>2</v>
      </c>
    </row>
    <row r="6" spans="1:92" s="14" customFormat="1" ht="27" customHeight="1" x14ac:dyDescent="0.3">
      <c r="A6" s="44">
        <v>2</v>
      </c>
      <c r="B6" s="135" t="s">
        <v>122</v>
      </c>
      <c r="C6" s="46" t="s">
        <v>141</v>
      </c>
      <c r="D6" s="45">
        <v>48.7</v>
      </c>
      <c r="E6" s="47">
        <v>156</v>
      </c>
      <c r="F6" s="147">
        <v>36212</v>
      </c>
      <c r="G6" s="148"/>
      <c r="H6" s="72">
        <f>IF(G6="",0,IF(G6&lt;$H$1,50,IF(G6&gt;18.7,0,VLOOKUP(G6,Liste_AT1!$A$3:$B$79,2,0))))</f>
        <v>0</v>
      </c>
      <c r="I6" s="149"/>
      <c r="J6" s="68">
        <f>IF(I6="",0,IF(I6&lt;$J$1,50,IF(I6&gt;22.8,0,VLOOKUP(I6,Liste_AT1!$C$3:$D$125,2,0))))</f>
        <v>0</v>
      </c>
      <c r="K6" s="148"/>
      <c r="L6" s="72">
        <f>IF(K6="",0,IF(K6&lt;$L$1,50,IF(K6&gt;29.2,0,VLOOKUP(K6,Liste_AT1!$E$3:$F$138,2,0))))</f>
        <v>0</v>
      </c>
      <c r="M6" s="149">
        <v>21.5</v>
      </c>
      <c r="N6" s="68">
        <f>IF(M6="",0,IF(M6&lt;15,50,IF(M6&gt;39.5,0,VLOOKUP(M6,Liste_AT1!$G$3:$H$248,2,0))))</f>
        <v>37</v>
      </c>
      <c r="O6" s="150"/>
      <c r="P6" s="72">
        <f>IF(O6="",0,IF(O6&lt;40,50,IF(O6&gt;108,0,VLOOKUP(O6,Liste_AT1!$I$3:$J$71,2,0))))</f>
        <v>0</v>
      </c>
      <c r="Q6" s="149"/>
      <c r="R6" s="68">
        <f>IF(Q6&gt;10,50,IF(Q6&lt;1,0,IF(Q6="",0,VLOOKUP(Q6,Liste_AT1!$K$3:$L$21,2,0))))</f>
        <v>0</v>
      </c>
      <c r="S6" s="148"/>
      <c r="T6" s="72">
        <f>IF(S6&gt;10,50,IF(S6&lt;1,0,VLOOKUP(S6,Liste_AT1!$M$3:$N$21,2,0)))</f>
        <v>0</v>
      </c>
      <c r="U6" s="151"/>
      <c r="V6" s="68">
        <f>IF(U6&gt;5,35,IF(U6&lt;1,0,VLOOKUP(U6,Liste_AT1!$O$3:$P$19,2)))</f>
        <v>0</v>
      </c>
      <c r="W6" s="148">
        <v>9.5</v>
      </c>
      <c r="X6" s="72">
        <f>IF(W6&gt;10,50,IF(W6&lt;1,0,VLOOKUP(W6,Liste_AT1!$Q$3:$R$21,2)))</f>
        <v>48</v>
      </c>
      <c r="Y6" s="152"/>
      <c r="Z6" s="68">
        <f>IF(Y6&gt;10,50,IF(Y6&lt;1,0,VLOOKUP(Y6,Liste_AT1!$S$3:$T$12,2)))</f>
        <v>0</v>
      </c>
      <c r="AA6" s="148"/>
      <c r="AB6" s="72">
        <f>IF(AA6="",0,IF(AA6&lt;3.8,50,IF(AA6&gt;6.9,0,VLOOKUP(AA6,Liste_AT2!$A$3:$B$34,2))))</f>
        <v>0</v>
      </c>
      <c r="AC6" s="149"/>
      <c r="AD6" s="68">
        <f>IF(AC6="",0,IF(AC6&lt;8.6,50,IF(AC6&gt;12.1,0,VLOOKUP(AC6,Liste_AT2!$C$3:$D$38,2))))</f>
        <v>0</v>
      </c>
      <c r="AE6" s="153"/>
      <c r="AF6" s="72">
        <f>IF(AE6="",0,IF(AE6&lt;160,50,IF(AE6&gt;231,0,VLOOKUP(AE6,Liste_AT2!$F$3:$G$74,2))))</f>
        <v>0</v>
      </c>
      <c r="AG6" s="154">
        <v>548</v>
      </c>
      <c r="AH6" s="68">
        <f>IF(AG6="",0,IF(AG6&lt;500,50,IF(AG6&gt;626,0,VLOOKUP(AG6,Liste_AT2!$AU$3:$AW$66,3))))</f>
        <v>26</v>
      </c>
      <c r="AI6" s="154"/>
      <c r="AJ6" s="68">
        <f>IF(AI6="",0,IF(AI6&lt;822,50,IF(AI6&gt;948,0,VLOOKUP(AI6,Liste_AT2!$I$3:$J$66,2))))</f>
        <v>0</v>
      </c>
      <c r="AK6" s="148">
        <v>16.600000000000001</v>
      </c>
      <c r="AL6" s="72">
        <f>IF(AK6="",0,IF(AK6&lt;15,50,IF(AK6&gt;22.5,0,VLOOKUP(AK6,Liste_AT2!$K$3:$L$78,2))))</f>
        <v>34</v>
      </c>
      <c r="AM6" s="151"/>
      <c r="AN6" s="68">
        <f>IF(AM6="",0,IF(AM6&lt;4,50,IF(AM6&gt;9.4,0,VLOOKUP(AM6,Liste_AT2!$M$3:$N$57,2))))</f>
        <v>0</v>
      </c>
      <c r="AO6" s="150"/>
      <c r="AP6" s="72">
        <f>IF(AO6="",0,IF(AO6&gt;33,50,IF(AO6&lt;7,0,VLOOKUP(AO6,Liste_AT2!$Q$3:$R$29,2))))</f>
        <v>0</v>
      </c>
      <c r="AQ6" s="152"/>
      <c r="AR6" s="68">
        <f>IF(AQ6="",0,IF(AQ6&gt;17,50,IF(AQ6&lt;1,0,VLOOKUP(AQ6,Liste_AT2!$U$3:$V$19,2))))</f>
        <v>0</v>
      </c>
      <c r="AS6" s="150"/>
      <c r="AT6" s="72">
        <f>IF(AS6="",0,IF(AS6&gt;27,50,IF(AS6&lt;6,0,VLOOKUP(AS6,Liste_AT2!$W$3:$X$24,2))))</f>
        <v>0</v>
      </c>
      <c r="AU6" s="149"/>
      <c r="AV6" s="68">
        <f>IF(AU6="",0,IF(AU6&lt;3.7,50,IF(AU6&gt;8,0,VLOOKUP(AU6,Liste_AT2!$AA$3:$AB$46,2))))</f>
        <v>0</v>
      </c>
      <c r="AW6" s="148"/>
      <c r="AX6" s="72">
        <f>IF(AW6="",0,IF(AW6&lt;4,0,IF(AW6&gt;10.1,50,VLOOKUP(AW6,Liste_AT2!$AC$3:$AD$62,2))))</f>
        <v>0</v>
      </c>
      <c r="AY6" s="149">
        <v>8.8000000000000007</v>
      </c>
      <c r="AZ6" s="68">
        <f>IF(AY6="",0,IF(AY6&gt;11.9,50,IF(AY6&lt;5,0,VLOOKUP(AY6,Liste_AT2!$AE$3:$AF$72,2))))</f>
        <v>29</v>
      </c>
      <c r="BA6" s="153"/>
      <c r="BB6" s="72">
        <f>IF(BA6="",0,IF(BA6&gt;45,50,IF(BA6&lt;2,0,VLOOKUP(BA6,Liste_AT2!$AG$3:$AH$61,2))))</f>
        <v>0</v>
      </c>
      <c r="BC6" s="154"/>
      <c r="BD6" s="68">
        <f>IF(BC6="",0,IF(BC6&gt;26,50,IF(BC6&lt;4,0,VLOOKUP(BC6,Liste_AT2!$AI$3:$AJ$25,2))))</f>
        <v>0</v>
      </c>
      <c r="BE6" s="150">
        <v>20</v>
      </c>
      <c r="BF6" s="72">
        <f>IF(BE6="",0,IF(BE6&gt;35,50,IF(BE6&lt;14,0,VLOOKUP(BE6,Liste_AT2!$AK$3:$AL$24,2))))</f>
        <v>12</v>
      </c>
      <c r="BG6" s="152"/>
      <c r="BH6" s="68">
        <f>IF(BG6="",0,IF(BG6&gt;36,50,IF(BG6&lt;7,0,VLOOKUP(BG6,Liste_AT2!$AM$3:$AN$32,2))))</f>
        <v>0</v>
      </c>
      <c r="BI6" s="150"/>
      <c r="BJ6" s="72">
        <f>IF(BI6="",0,IF(BI6&gt;45,50,IF(BI6&lt;6,0,VLOOKUP(BI6,Liste_AT2!$AO$3:$AP$52,2))))</f>
        <v>0</v>
      </c>
      <c r="BK6" s="151">
        <v>1.95</v>
      </c>
      <c r="BL6" s="68">
        <f>IF(BK6="",0,IF(BK6&gt;2.4,50,IF(BK6&lt;1.15,0,VLOOKUP(BK6,Liste_AT2!$AQ$3:$AR$52,2))))</f>
        <v>27</v>
      </c>
      <c r="BM6" s="148">
        <v>38.4</v>
      </c>
      <c r="BN6" s="72">
        <f>IF(BM6="",0,IF(BM6&lt;28,50,IF(BM6&gt;62,0,VLOOKUP(BM6,Liste_AT2!$AS$3:$AT$343,2,0))))</f>
        <v>39</v>
      </c>
      <c r="BO6" s="149">
        <v>19.8</v>
      </c>
      <c r="BP6" s="68">
        <f>IF(BO6="",0,IF(BO6&lt;1,0,IF(BO6&gt;28,50,VLOOKUP(BO6,Liste_AT3!$A$3:$B$30,2))))</f>
        <v>34</v>
      </c>
      <c r="BQ6" s="155"/>
      <c r="BR6" s="72">
        <f>IF(BQ6="",0,IF(BQ6&lt;5,50,IF(BQ6&gt;40,0,VLOOKUP(BQ6,Liste_AT3!$C$3:$D$38,2))))</f>
        <v>0</v>
      </c>
      <c r="BS6" s="151">
        <v>2</v>
      </c>
      <c r="BT6" s="68">
        <f>IF(BS6="",0,IF(BS6&lt;1,50,IF(BS6&gt;4.75,0,VLOOKUP(BS6,Liste_AT3!$E$3:$F$18,2))))</f>
        <v>34</v>
      </c>
      <c r="BU6" s="156"/>
      <c r="BV6" s="72">
        <f>IF(BU6="",0,IF(BU6&lt;1,50,IF(BU6&gt;4.75,0,VLOOKUP(BU6,Liste_AT3!$G$3:$H$18,2))))</f>
        <v>0</v>
      </c>
      <c r="BW6" s="151"/>
      <c r="BX6" s="68">
        <f>IF(BW6="",0,IF(BW6&lt;1,50,IF(BW6&gt;4.75,0,VLOOKUP(BW6,Liste_AT3!$G$3:$H$18,2))))</f>
        <v>0</v>
      </c>
      <c r="BY6" s="157"/>
      <c r="BZ6" s="72">
        <f>IF(BY6="",0,IF(BY6&gt;40,0,VLOOKUP(BY6,Liste_AT3!$I$3:$J$43,2,2)))</f>
        <v>0</v>
      </c>
      <c r="CA6" s="158"/>
      <c r="CB6" s="68">
        <f>IF(CA6="",0,IF(CA6&gt;40,0,VLOOKUP(CA6,Liste_AT3!$I$3:$J$43,2,2)))</f>
        <v>0</v>
      </c>
      <c r="CC6" s="159">
        <f>SUM(H6,J6,L6,N6,P6,R6,T6,V6,X6,Z6)</f>
        <v>85</v>
      </c>
      <c r="CD6" s="53">
        <f>IF(CC6=0,"",RANK(CC6,$CC$4:$CC$19))</f>
        <v>2</v>
      </c>
      <c r="CE6" s="159">
        <f>SUM(AB6,AD6,AF6,AJ6,AL6,AN6,AH6)</f>
        <v>60</v>
      </c>
      <c r="CF6" s="53">
        <f>IF(CE6=0,"",RANK(CE6,$CE$4:$CE$19))</f>
        <v>4</v>
      </c>
      <c r="CG6" s="159">
        <f>SUM(AP6,AR6,AT6,AV6,AX6,AZ6,BB6,BD6,BF6,BH6,BJ6,BL6,BN6)</f>
        <v>107</v>
      </c>
      <c r="CH6" s="53">
        <f>IF(CG6=0,"",RANK(CG6,$CG$4:$CG$19))</f>
        <v>5</v>
      </c>
      <c r="CI6" s="160">
        <f>SUM(BP6,BR6)</f>
        <v>34</v>
      </c>
      <c r="CJ6" s="53">
        <f>IF(CI6=0,"",RANK(CI6,$CI$4:$CI$19))</f>
        <v>1</v>
      </c>
      <c r="CK6" s="160">
        <f>SUM(BT6,BV6,BX6,BZ6,CB6)</f>
        <v>34</v>
      </c>
      <c r="CL6" s="53">
        <f>IF(CK6=0,"",RANK(CK6,$CK$4:$CK$19))</f>
        <v>3</v>
      </c>
      <c r="CM6" s="160">
        <f>SUM(CC6,CE6,CG6,CI6,CK6)</f>
        <v>320</v>
      </c>
      <c r="CN6" s="53">
        <f t="shared" si="0"/>
        <v>3</v>
      </c>
    </row>
    <row r="7" spans="1:92" s="14" customFormat="1" ht="27" customHeight="1" x14ac:dyDescent="0.3">
      <c r="A7" s="44">
        <v>4</v>
      </c>
      <c r="B7" s="135" t="s">
        <v>110</v>
      </c>
      <c r="C7" s="46" t="s">
        <v>99</v>
      </c>
      <c r="D7" s="45">
        <v>59.7</v>
      </c>
      <c r="E7" s="47">
        <v>168</v>
      </c>
      <c r="F7" s="147">
        <v>36348</v>
      </c>
      <c r="G7" s="148"/>
      <c r="H7" s="72">
        <f>IF(G7="",0,IF(G7&lt;$H$1,50,IF(G7&gt;18.7,0,VLOOKUP(G7,Liste_AT1!$A$3:$B$79,2,0))))</f>
        <v>0</v>
      </c>
      <c r="I7" s="149"/>
      <c r="J7" s="68">
        <f>IF(I7="",0,IF(I7&lt;$J$1,50,IF(I7&gt;22.8,0,VLOOKUP(I7,Liste_AT1!$C$3:$D$125,2,0))))</f>
        <v>0</v>
      </c>
      <c r="K7" s="148"/>
      <c r="L7" s="72">
        <f>IF(K7="",0,IF(K7&lt;$L$1,50,IF(K7&gt;29.2,0,VLOOKUP(K7,Liste_AT1!$E$3:$F$138,2,0))))</f>
        <v>0</v>
      </c>
      <c r="M7" s="149">
        <v>19.2</v>
      </c>
      <c r="N7" s="68">
        <f>IF(M7="",0,IF(M7&lt;15,50,IF(M7&gt;39.5,0,VLOOKUP(M7,Liste_AT1!$G$3:$H$248,2,0))))</f>
        <v>41</v>
      </c>
      <c r="O7" s="150"/>
      <c r="P7" s="72">
        <f>IF(O7="",0,IF(O7&lt;40,50,IF(O7&gt;108,0,VLOOKUP(O7,Liste_AT1!$I$3:$J$71,2,0))))</f>
        <v>0</v>
      </c>
      <c r="Q7" s="149"/>
      <c r="R7" s="68">
        <f>IF(Q7&gt;10,50,IF(Q7&lt;1,0,IF(Q7="",0,VLOOKUP(Q7,Liste_AT1!$K$3:$L$21,2,0))))</f>
        <v>0</v>
      </c>
      <c r="S7" s="148"/>
      <c r="T7" s="72">
        <f>IF(S7&gt;10,50,IF(S7&lt;1,0,VLOOKUP(S7,Liste_AT1!$M$3:$N$21,2,0)))</f>
        <v>0</v>
      </c>
      <c r="U7" s="151"/>
      <c r="V7" s="68">
        <f>IF(U7&gt;5,35,IF(U7&lt;1,0,VLOOKUP(U7,Liste_AT1!$O$3:$P$19,2)))</f>
        <v>0</v>
      </c>
      <c r="W7" s="148">
        <v>9.1999999999999993</v>
      </c>
      <c r="X7" s="72">
        <f>IF(W7&gt;10,50,IF(W7&lt;1,0,VLOOKUP(W7,Liste_AT1!$Q$3:$R$21,2)))</f>
        <v>46</v>
      </c>
      <c r="Y7" s="152"/>
      <c r="Z7" s="68">
        <f>IF(Y7&gt;10,50,IF(Y7&lt;1,0,VLOOKUP(Y7,Liste_AT1!$S$3:$T$12,2)))</f>
        <v>0</v>
      </c>
      <c r="AA7" s="148"/>
      <c r="AB7" s="72">
        <f>IF(AA7="",0,IF(AA7&lt;3.8,50,IF(AA7&gt;6.9,0,VLOOKUP(AA7,Liste_AT2!$A$3:$B$34,2))))</f>
        <v>0</v>
      </c>
      <c r="AC7" s="149"/>
      <c r="AD7" s="68">
        <f>IF(AC7="",0,IF(AC7&lt;8.6,50,IF(AC7&gt;12.1,0,VLOOKUP(AC7,Liste_AT2!$C$3:$D$38,2))))</f>
        <v>0</v>
      </c>
      <c r="AE7" s="153"/>
      <c r="AF7" s="72">
        <f>IF(AE7="",0,IF(AE7&lt;160,50,IF(AE7&gt;231,0,VLOOKUP(AE7,Liste_AT2!$F$3:$G$74,2))))</f>
        <v>0</v>
      </c>
      <c r="AG7" s="154">
        <v>601</v>
      </c>
      <c r="AH7" s="68">
        <f>IF(AG7="",0,IF(AG7&lt;500,50,IF(AG7&gt;626,0,VLOOKUP(AG7,Liste_AT2!$AU$3:$AW$66,3))))</f>
        <v>7</v>
      </c>
      <c r="AI7" s="154"/>
      <c r="AJ7" s="68">
        <f>IF(AI7="",0,IF(AI7&lt;822,50,IF(AI7&gt;948,0,VLOOKUP(AI7,Liste_AT2!$I$3:$J$66,2))))</f>
        <v>0</v>
      </c>
      <c r="AK7" s="148">
        <v>16.899999999999999</v>
      </c>
      <c r="AL7" s="72">
        <f>IF(AK7="",0,IF(AK7&lt;15,50,IF(AK7&gt;22.5,0,VLOOKUP(AK7,Liste_AT2!$K$3:$L$78,2))))</f>
        <v>31</v>
      </c>
      <c r="AM7" s="151"/>
      <c r="AN7" s="68">
        <f>IF(AM7="",0,IF(AM7&lt;4,50,IF(AM7&gt;9.4,0,VLOOKUP(AM7,Liste_AT2!$M$3:$N$57,2))))</f>
        <v>0</v>
      </c>
      <c r="AO7" s="150"/>
      <c r="AP7" s="72">
        <f>IF(AO7="",0,IF(AO7&gt;33,50,IF(AO7&lt;7,0,VLOOKUP(AO7,Liste_AT2!$Q$3:$R$29,2))))</f>
        <v>0</v>
      </c>
      <c r="AQ7" s="152"/>
      <c r="AR7" s="68">
        <f>IF(AQ7="",0,IF(AQ7&gt;17,50,IF(AQ7&lt;1,0,VLOOKUP(AQ7,Liste_AT2!$U$3:$V$19,2))))</f>
        <v>0</v>
      </c>
      <c r="AS7" s="150"/>
      <c r="AT7" s="72">
        <f>IF(AS7="",0,IF(AS7&gt;27,50,IF(AS7&lt;6,0,VLOOKUP(AS7,Liste_AT2!$W$3:$X$24,2))))</f>
        <v>0</v>
      </c>
      <c r="AU7" s="149"/>
      <c r="AV7" s="68">
        <f>IF(AU7="",0,IF(AU7&lt;3.7,50,IF(AU7&gt;8,0,VLOOKUP(AU7,Liste_AT2!$AA$3:$AB$46,2))))</f>
        <v>0</v>
      </c>
      <c r="AW7" s="148"/>
      <c r="AX7" s="72">
        <f>IF(AW7="",0,IF(AW7&lt;4,0,IF(AW7&gt;10.1,50,VLOOKUP(AW7,Liste_AT2!$AC$3:$AD$62,2))))</f>
        <v>0</v>
      </c>
      <c r="AY7" s="149">
        <v>9.6</v>
      </c>
      <c r="AZ7" s="68">
        <f>IF(AY7="",0,IF(AY7&gt;11.9,50,IF(AY7&lt;5,0,VLOOKUP(AY7,Liste_AT2!$AE$3:$AF$72,2))))</f>
        <v>37</v>
      </c>
      <c r="BA7" s="153"/>
      <c r="BB7" s="72">
        <f>IF(BA7="",0,IF(BA7&gt;45,50,IF(BA7&lt;2,0,VLOOKUP(BA7,Liste_AT2!$AG$3:$AH$61,2))))</f>
        <v>0</v>
      </c>
      <c r="BC7" s="154"/>
      <c r="BD7" s="68">
        <f>IF(BC7="",0,IF(BC7&gt;26,50,IF(BC7&lt;4,0,VLOOKUP(BC7,Liste_AT2!$AI$3:$AJ$25,2))))</f>
        <v>0</v>
      </c>
      <c r="BE7" s="150">
        <v>18</v>
      </c>
      <c r="BF7" s="72">
        <f>IF(BE7="",0,IF(BE7&gt;35,50,IF(BE7&lt;14,0,VLOOKUP(BE7,Liste_AT2!$AK$3:$AL$24,2))))</f>
        <v>8</v>
      </c>
      <c r="BG7" s="152"/>
      <c r="BH7" s="68">
        <f>IF(BG7="",0,IF(BG7&gt;36,50,IF(BG7&lt;7,0,VLOOKUP(BG7,Liste_AT2!$AM$3:$AN$32,2))))</f>
        <v>0</v>
      </c>
      <c r="BI7" s="150"/>
      <c r="BJ7" s="72">
        <f>IF(BI7="",0,IF(BI7&gt;45,50,IF(BI7&lt;6,0,VLOOKUP(BI7,Liste_AT2!$AO$3:$AP$52,2))))</f>
        <v>0</v>
      </c>
      <c r="BK7" s="151">
        <v>1.84</v>
      </c>
      <c r="BL7" s="68">
        <f>IF(BK7="",0,IF(BK7&gt;2.4,50,IF(BK7&lt;1.15,0,VLOOKUP(BK7,Liste_AT2!$AQ$3:$AR$52,2))))</f>
        <v>22</v>
      </c>
      <c r="BM7" s="148">
        <v>33.6</v>
      </c>
      <c r="BN7" s="72">
        <f>IF(BM7="",0,IF(BM7&lt;28,50,IF(BM7&gt;62,0,VLOOKUP(BM7,Liste_AT2!$AS$3:$AT$343,2,0))))</f>
        <v>44</v>
      </c>
      <c r="BO7" s="149">
        <v>16.399999999999999</v>
      </c>
      <c r="BP7" s="68">
        <f>IF(BO7="",0,IF(BO7&lt;1,0,IF(BO7&gt;28,50,VLOOKUP(BO7,Liste_AT3!$A$3:$B$30,2))))</f>
        <v>28</v>
      </c>
      <c r="BQ7" s="155"/>
      <c r="BR7" s="72">
        <f>IF(BQ7="",0,IF(BQ7&lt;5,50,IF(BQ7&gt;40,0,VLOOKUP(BQ7,Liste_AT3!$C$3:$D$38,2))))</f>
        <v>0</v>
      </c>
      <c r="BS7" s="151">
        <v>2</v>
      </c>
      <c r="BT7" s="68">
        <f>IF(BS7="",0,IF(BS7&lt;1,50,IF(BS7&gt;4.75,0,VLOOKUP(BS7,Liste_AT3!$E$3:$F$18,2))))</f>
        <v>34</v>
      </c>
      <c r="BU7" s="156"/>
      <c r="BV7" s="72">
        <f>IF(BU7="",0,IF(BU7&lt;1,50,IF(BU7&gt;4.75,0,VLOOKUP(BU7,Liste_AT3!$G$3:$H$18,2))))</f>
        <v>0</v>
      </c>
      <c r="BW7" s="151"/>
      <c r="BX7" s="68">
        <f>IF(BW7="",0,IF(BW7&lt;1,50,IF(BW7&gt;4.75,0,VLOOKUP(BW7,Liste_AT3!$G$3:$H$18,2))))</f>
        <v>0</v>
      </c>
      <c r="BY7" s="157"/>
      <c r="BZ7" s="72">
        <f>IF(BY7="",0,IF(BY7&gt;40,0,VLOOKUP(BY7,Liste_AT3!$I$3:$J$43,2,2)))</f>
        <v>0</v>
      </c>
      <c r="CA7" s="158"/>
      <c r="CB7" s="68">
        <f>IF(CA7="",0,IF(CA7&gt;40,0,VLOOKUP(CA7,Liste_AT3!$I$3:$J$43,2,2)))</f>
        <v>0</v>
      </c>
      <c r="CC7" s="159">
        <f>SUM(H7,J7,L7,N7,P7,R7,T7,V7,X7,Z7)</f>
        <v>87</v>
      </c>
      <c r="CD7" s="53">
        <f>IF(CC7=0,"",RANK(CC7,$CC$4:$CC$19))</f>
        <v>1</v>
      </c>
      <c r="CE7" s="159">
        <f>SUM(AB7,AD7,AF7,AJ7,AL7,AN7,AH7)</f>
        <v>38</v>
      </c>
      <c r="CF7" s="53">
        <f>IF(CE7=0,"",RANK(CE7,$CE$4:$CE$19))</f>
        <v>7</v>
      </c>
      <c r="CG7" s="159">
        <f>SUM(AP7,AR7,AT7,AV7,AX7,AZ7,BB7,BD7,BF7,BH7,BJ7,BL7,BN7)</f>
        <v>111</v>
      </c>
      <c r="CH7" s="53">
        <f>IF(CG7=0,"",RANK(CG7,$CG$4:$CG$19))</f>
        <v>4</v>
      </c>
      <c r="CI7" s="160">
        <f>SUM(BP7,BR7)</f>
        <v>28</v>
      </c>
      <c r="CJ7" s="53">
        <f>IF(CI7=0,"",RANK(CI7,$CI$4:$CI$19))</f>
        <v>4</v>
      </c>
      <c r="CK7" s="160">
        <f>SUM(BT7,BV7,BX7,BZ7,CB7)</f>
        <v>34</v>
      </c>
      <c r="CL7" s="53">
        <f>IF(CK7=0,"",RANK(CK7,$CK$4:$CK$19))</f>
        <v>3</v>
      </c>
      <c r="CM7" s="160">
        <f>SUM(CC7,CE7,CG7,CI7,CK7)</f>
        <v>298</v>
      </c>
      <c r="CN7" s="53">
        <f t="shared" si="0"/>
        <v>4</v>
      </c>
    </row>
    <row r="8" spans="1:92" s="14" customFormat="1" ht="27" customHeight="1" x14ac:dyDescent="0.3">
      <c r="A8" s="44">
        <v>5</v>
      </c>
      <c r="B8" s="135" t="s">
        <v>106</v>
      </c>
      <c r="C8" s="46" t="s">
        <v>108</v>
      </c>
      <c r="D8" s="45">
        <v>54.5</v>
      </c>
      <c r="E8" s="47">
        <v>151</v>
      </c>
      <c r="F8" s="147">
        <v>36303</v>
      </c>
      <c r="G8" s="148"/>
      <c r="H8" s="72">
        <f>IF(G8="",0,IF(G8&lt;$H$1,50,IF(G8&gt;18.7,0,VLOOKUP(G8,Liste_AT1!$A$3:$B$79,2,0))))</f>
        <v>0</v>
      </c>
      <c r="I8" s="149"/>
      <c r="J8" s="68">
        <f>IF(I8="",0,IF(I8&lt;$J$1,50,IF(I8&gt;22.8,0,VLOOKUP(I8,Liste_AT1!$C$3:$D$125,2,0))))</f>
        <v>0</v>
      </c>
      <c r="K8" s="148"/>
      <c r="L8" s="72">
        <f>IF(K8="",0,IF(K8&lt;$L$1,50,IF(K8&gt;29.2,0,VLOOKUP(K8,Liste_AT1!$E$3:$F$138,2,0))))</f>
        <v>0</v>
      </c>
      <c r="M8" s="149">
        <v>23.9</v>
      </c>
      <c r="N8" s="68">
        <f>IF(M8="",0,IF(M8&lt;15,50,IF(M8&gt;39.5,0,VLOOKUP(M8,Liste_AT1!$G$3:$H$248,2,0))))</f>
        <v>32</v>
      </c>
      <c r="O8" s="150"/>
      <c r="P8" s="72">
        <f>IF(O8="",0,IF(O8&lt;40,50,IF(O8&gt;108,0,VLOOKUP(O8,Liste_AT1!$I$3:$J$71,2,0))))</f>
        <v>0</v>
      </c>
      <c r="Q8" s="149"/>
      <c r="R8" s="68">
        <f>IF(Q8&gt;10,50,IF(Q8&lt;1,0,IF(Q8="",0,VLOOKUP(Q8,Liste_AT1!$K$3:$L$21,2,0))))</f>
        <v>0</v>
      </c>
      <c r="S8" s="148"/>
      <c r="T8" s="72">
        <f>IF(S8&gt;10,50,IF(S8&lt;1,0,VLOOKUP(S8,Liste_AT1!$M$3:$N$21,2,0)))</f>
        <v>0</v>
      </c>
      <c r="U8" s="151"/>
      <c r="V8" s="68">
        <f>IF(U8&gt;5,35,IF(U8&lt;1,0,VLOOKUP(U8,Liste_AT1!$O$3:$P$19,2)))</f>
        <v>0</v>
      </c>
      <c r="W8" s="148">
        <v>9.3000000000000007</v>
      </c>
      <c r="X8" s="72">
        <f>IF(W8&gt;10,50,IF(W8&lt;1,0,VLOOKUP(W8,Liste_AT1!$Q$3:$R$21,2)))</f>
        <v>46</v>
      </c>
      <c r="Y8" s="152"/>
      <c r="Z8" s="68">
        <f>IF(Y8&gt;10,50,IF(Y8&lt;1,0,VLOOKUP(Y8,Liste_AT1!$S$3:$T$12,2)))</f>
        <v>0</v>
      </c>
      <c r="AA8" s="148"/>
      <c r="AB8" s="72">
        <f>IF(AA8="",0,IF(AA8&lt;3.8,50,IF(AA8&gt;6.9,0,VLOOKUP(AA8,Liste_AT2!$A$3:$B$34,2))))</f>
        <v>0</v>
      </c>
      <c r="AC8" s="149"/>
      <c r="AD8" s="68">
        <f>IF(AC8="",0,IF(AC8&lt;8.6,50,IF(AC8&gt;12.1,0,VLOOKUP(AC8,Liste_AT2!$C$3:$D$38,2))))</f>
        <v>0</v>
      </c>
      <c r="AE8" s="153"/>
      <c r="AF8" s="72">
        <f>IF(AE8="",0,IF(AE8&lt;160,50,IF(AE8&gt;231,0,VLOOKUP(AE8,Liste_AT2!$F$3:$G$74,2))))</f>
        <v>0</v>
      </c>
      <c r="AG8" s="154" t="s">
        <v>148</v>
      </c>
      <c r="AH8" s="68">
        <f>IF(AG8="",0,IF(AG8&lt;500,50,IF(AG8&gt;626,0,VLOOKUP(AG8,Liste_AT2!$AU$3:$AW$66,3))))</f>
        <v>0</v>
      </c>
      <c r="AI8" s="154"/>
      <c r="AJ8" s="68">
        <f>IF(AI8="",0,IF(AI8&lt;822,50,IF(AI8&gt;948,0,VLOOKUP(AI8,Liste_AT2!$I$3:$J$66,2))))</f>
        <v>0</v>
      </c>
      <c r="AK8" s="148">
        <v>16.899999999999999</v>
      </c>
      <c r="AL8" s="72">
        <f>IF(AK8="",0,IF(AK8&lt;15,50,IF(AK8&gt;22.5,0,VLOOKUP(AK8,Liste_AT2!$K$3:$L$78,2))))</f>
        <v>31</v>
      </c>
      <c r="AM8" s="151"/>
      <c r="AN8" s="68">
        <f>IF(AM8="",0,IF(AM8&lt;4,50,IF(AM8&gt;9.4,0,VLOOKUP(AM8,Liste_AT2!$M$3:$N$57,2))))</f>
        <v>0</v>
      </c>
      <c r="AO8" s="150"/>
      <c r="AP8" s="72">
        <f>IF(AO8="",0,IF(AO8&gt;33,50,IF(AO8&lt;7,0,VLOOKUP(AO8,Liste_AT2!$Q$3:$R$29,2))))</f>
        <v>0</v>
      </c>
      <c r="AQ8" s="152"/>
      <c r="AR8" s="68">
        <f>IF(AQ8="",0,IF(AQ8&gt;17,50,IF(AQ8&lt;1,0,VLOOKUP(AQ8,Liste_AT2!$U$3:$V$19,2))))</f>
        <v>0</v>
      </c>
      <c r="AS8" s="150"/>
      <c r="AT8" s="72">
        <f>IF(AS8="",0,IF(AS8&gt;27,50,IF(AS8&lt;6,0,VLOOKUP(AS8,Liste_AT2!$W$3:$X$24,2))))</f>
        <v>0</v>
      </c>
      <c r="AU8" s="149"/>
      <c r="AV8" s="68">
        <f>IF(AU8="",0,IF(AU8&lt;3.7,50,IF(AU8&gt;8,0,VLOOKUP(AU8,Liste_AT2!$AA$3:$AB$46,2))))</f>
        <v>0</v>
      </c>
      <c r="AW8" s="148"/>
      <c r="AX8" s="72">
        <f>IF(AW8="",0,IF(AW8&lt;4,0,IF(AW8&gt;10.1,50,VLOOKUP(AW8,Liste_AT2!$AC$3:$AD$62,2))))</f>
        <v>0</v>
      </c>
      <c r="AY8" s="149">
        <v>9.4</v>
      </c>
      <c r="AZ8" s="68">
        <f>IF(AY8="",0,IF(AY8&gt;11.9,50,IF(AY8&lt;5,0,VLOOKUP(AY8,Liste_AT2!$AE$3:$AF$72,2))))</f>
        <v>35</v>
      </c>
      <c r="BA8" s="153"/>
      <c r="BB8" s="72">
        <f>IF(BA8="",0,IF(BA8&gt;45,50,IF(BA8&lt;2,0,VLOOKUP(BA8,Liste_AT2!$AG$3:$AH$61,2))))</f>
        <v>0</v>
      </c>
      <c r="BC8" s="154"/>
      <c r="BD8" s="68">
        <f>IF(BC8="",0,IF(BC8&gt;26,50,IF(BC8&lt;4,0,VLOOKUP(BC8,Liste_AT2!$AI$3:$AJ$25,2))))</f>
        <v>0</v>
      </c>
      <c r="BE8" s="150">
        <v>22</v>
      </c>
      <c r="BF8" s="72">
        <f>IF(BE8="",0,IF(BE8&gt;35,50,IF(BE8&lt;14,0,VLOOKUP(BE8,Liste_AT2!$AK$3:$AL$24,2))))</f>
        <v>16</v>
      </c>
      <c r="BG8" s="152"/>
      <c r="BH8" s="68">
        <f>IF(BG8="",0,IF(BG8&gt;36,50,IF(BG8&lt;7,0,VLOOKUP(BG8,Liste_AT2!$AM$3:$AN$32,2))))</f>
        <v>0</v>
      </c>
      <c r="BI8" s="150"/>
      <c r="BJ8" s="72">
        <f>IF(BI8="",0,IF(BI8&gt;45,50,IF(BI8&lt;6,0,VLOOKUP(BI8,Liste_AT2!$AO$3:$AP$52,2))))</f>
        <v>0</v>
      </c>
      <c r="BK8" s="151">
        <v>1.77</v>
      </c>
      <c r="BL8" s="68">
        <f>IF(BK8="",0,IF(BK8&gt;2.4,50,IF(BK8&lt;1.15,0,VLOOKUP(BK8,Liste_AT2!$AQ$3:$AR$52,2))))</f>
        <v>18</v>
      </c>
      <c r="BM8" s="148">
        <v>32</v>
      </c>
      <c r="BN8" s="72">
        <f>IF(BM8="",0,IF(BM8&lt;28,50,IF(BM8&gt;62,0,VLOOKUP(BM8,Liste_AT2!$AS$3:$AT$343,2,0))))</f>
        <v>46</v>
      </c>
      <c r="BO8" s="149">
        <v>14.5</v>
      </c>
      <c r="BP8" s="68">
        <f>IF(BO8="",0,IF(BO8&lt;1,0,IF(BO8&gt;28,50,VLOOKUP(BO8,Liste_AT3!$A$3:$B$30,2))))</f>
        <v>24</v>
      </c>
      <c r="BQ8" s="155"/>
      <c r="BR8" s="72">
        <f>IF(BQ8="",0,IF(BQ8&lt;5,50,IF(BQ8&gt;40,0,VLOOKUP(BQ8,Liste_AT3!$C$3:$D$38,2))))</f>
        <v>0</v>
      </c>
      <c r="BS8" s="151">
        <v>2</v>
      </c>
      <c r="BT8" s="68">
        <f>IF(BS8="",0,IF(BS8&lt;1,50,IF(BS8&gt;4.75,0,VLOOKUP(BS8,Liste_AT3!$E$3:$F$18,2))))</f>
        <v>34</v>
      </c>
      <c r="BU8" s="156"/>
      <c r="BV8" s="72">
        <f>IF(BU8="",0,IF(BU8&lt;1,50,IF(BU8&gt;4.75,0,VLOOKUP(BU8,Liste_AT3!$G$3:$H$18,2))))</f>
        <v>0</v>
      </c>
      <c r="BW8" s="151"/>
      <c r="BX8" s="68">
        <f>IF(BW8="",0,IF(BW8&lt;1,50,IF(BW8&gt;4.75,0,VLOOKUP(BW8,Liste_AT3!$G$3:$H$18,2))))</f>
        <v>0</v>
      </c>
      <c r="BY8" s="157"/>
      <c r="BZ8" s="72">
        <f>IF(BY8="",0,IF(BY8&gt;40,0,VLOOKUP(BY8,Liste_AT3!$I$3:$J$43,2,2)))</f>
        <v>0</v>
      </c>
      <c r="CA8" s="158"/>
      <c r="CB8" s="68">
        <f>IF(CA8="",0,IF(CA8&gt;40,0,VLOOKUP(CA8,Liste_AT3!$I$3:$J$43,2,2)))</f>
        <v>0</v>
      </c>
      <c r="CC8" s="159">
        <f>SUM(H8,J8,L8,N8,P8,R8,T8,V8,X8,Z8)</f>
        <v>78</v>
      </c>
      <c r="CD8" s="53">
        <f>IF(CC8=0,"",RANK(CC8,$CC$4:$CC$19))</f>
        <v>6</v>
      </c>
      <c r="CE8" s="159">
        <f>SUM(AB8,AD8,AF8,AJ8,AL8,AN8,AH8)</f>
        <v>31</v>
      </c>
      <c r="CF8" s="53">
        <f>IF(CE8=0,"",RANK(CE8,$CE$4:$CE$19))</f>
        <v>8</v>
      </c>
      <c r="CG8" s="159">
        <f>SUM(AP8,AR8,AT8,AV8,AX8,AZ8,BB8,BD8,BF8,BH8,BJ8,BL8,BN8)</f>
        <v>115</v>
      </c>
      <c r="CH8" s="53">
        <f>IF(CG8=0,"",RANK(CG8,$CG$4:$CG$19))</f>
        <v>3</v>
      </c>
      <c r="CI8" s="160">
        <f>SUM(BP8,BR8)</f>
        <v>24</v>
      </c>
      <c r="CJ8" s="53">
        <f>IF(CI8=0,"",RANK(CI8,$CI$4:$CI$19))</f>
        <v>7</v>
      </c>
      <c r="CK8" s="160">
        <f>SUM(BT8,BV8,BX8,BZ8,CB8)</f>
        <v>34</v>
      </c>
      <c r="CL8" s="53">
        <f>IF(CK8=0,"",RANK(CK8,$CK$4:$CK$19))</f>
        <v>3</v>
      </c>
      <c r="CM8" s="160">
        <f>SUM(CC8,CE8,CG8,CI8,CK8)</f>
        <v>282</v>
      </c>
      <c r="CN8" s="53">
        <f t="shared" si="0"/>
        <v>5</v>
      </c>
    </row>
    <row r="9" spans="1:92" s="14" customFormat="1" ht="27" customHeight="1" x14ac:dyDescent="0.3">
      <c r="A9" s="44">
        <v>6</v>
      </c>
      <c r="B9" s="135" t="s">
        <v>116</v>
      </c>
      <c r="C9" s="46" t="s">
        <v>98</v>
      </c>
      <c r="D9" s="45">
        <v>39.799999999999997</v>
      </c>
      <c r="E9" s="47">
        <v>151</v>
      </c>
      <c r="F9" s="147">
        <v>36513</v>
      </c>
      <c r="G9" s="148"/>
      <c r="H9" s="72">
        <f>IF(G9="",0,IF(G9&lt;$H$1,50,IF(G9&gt;18.7,0,VLOOKUP(G9,Liste_AT1!$A$3:$B$79,2,0))))</f>
        <v>0</v>
      </c>
      <c r="I9" s="149"/>
      <c r="J9" s="68">
        <f>IF(I9="",0,IF(I9&lt;$J$1,50,IF(I9&gt;22.8,0,VLOOKUP(I9,Liste_AT1!$C$3:$D$125,2,0))))</f>
        <v>0</v>
      </c>
      <c r="K9" s="148"/>
      <c r="L9" s="72">
        <f>IF(K9="",0,IF(K9&lt;$L$1,50,IF(K9&gt;29.2,0,VLOOKUP(K9,Liste_AT1!$E$3:$F$138,2,0))))</f>
        <v>0</v>
      </c>
      <c r="M9" s="149">
        <v>28.2</v>
      </c>
      <c r="N9" s="68">
        <f>IF(M9="",0,IF(M9&lt;15,50,IF(M9&gt;39.5,0,VLOOKUP(M9,Liste_AT1!$G$3:$H$248,2,0))))</f>
        <v>23</v>
      </c>
      <c r="O9" s="150"/>
      <c r="P9" s="72">
        <f>IF(O9="",0,IF(O9&lt;40,50,IF(O9&gt;108,0,VLOOKUP(O9,Liste_AT1!$I$3:$J$71,2,0))))</f>
        <v>0</v>
      </c>
      <c r="Q9" s="149"/>
      <c r="R9" s="68">
        <f>IF(Q9&gt;10,50,IF(Q9&lt;1,0,IF(Q9="",0,VLOOKUP(Q9,Liste_AT1!$K$3:$L$21,2,0))))</f>
        <v>0</v>
      </c>
      <c r="S9" s="148"/>
      <c r="T9" s="72">
        <f>IF(S9&gt;10,50,IF(S9&lt;1,0,VLOOKUP(S9,Liste_AT1!$M$3:$N$21,2,0)))</f>
        <v>0</v>
      </c>
      <c r="U9" s="151"/>
      <c r="V9" s="68">
        <f>IF(U9&gt;5,35,IF(U9&lt;1,0,VLOOKUP(U9,Liste_AT1!$O$3:$P$19,2)))</f>
        <v>0</v>
      </c>
      <c r="W9" s="148">
        <v>9.3000000000000007</v>
      </c>
      <c r="X9" s="72">
        <f>IF(W9&gt;10,50,IF(W9&lt;1,0,VLOOKUP(W9,Liste_AT1!$Q$3:$R$21,2)))</f>
        <v>46</v>
      </c>
      <c r="Y9" s="152"/>
      <c r="Z9" s="68">
        <f>IF(Y9&gt;10,50,IF(Y9&lt;1,0,VLOOKUP(Y9,Liste_AT1!$S$3:$T$12,2)))</f>
        <v>0</v>
      </c>
      <c r="AA9" s="148"/>
      <c r="AB9" s="72">
        <f>IF(AA9="",0,IF(AA9&lt;3.8,50,IF(AA9&gt;6.9,0,VLOOKUP(AA9,Liste_AT2!$A$3:$B$34,2))))</f>
        <v>0</v>
      </c>
      <c r="AC9" s="149"/>
      <c r="AD9" s="68">
        <f>IF(AC9="",0,IF(AC9&lt;8.6,50,IF(AC9&gt;12.1,0,VLOOKUP(AC9,Liste_AT2!$C$3:$D$38,2))))</f>
        <v>0</v>
      </c>
      <c r="AE9" s="153"/>
      <c r="AF9" s="72">
        <f>IF(AE9="",0,IF(AE9&lt;160,50,IF(AE9&gt;231,0,VLOOKUP(AE9,Liste_AT2!$F$3:$G$74,2))))</f>
        <v>0</v>
      </c>
      <c r="AG9" s="154">
        <v>513</v>
      </c>
      <c r="AH9" s="68">
        <f>IF(AG9="",0,IF(AG9&lt;500,50,IF(AG9&gt;626,0,VLOOKUP(AG9,Liste_AT2!$AU$3:$AW$66,3))))</f>
        <v>44</v>
      </c>
      <c r="AI9" s="154"/>
      <c r="AJ9" s="68">
        <f>IF(AI9="",0,IF(AI9&lt;822,50,IF(AI9&gt;948,0,VLOOKUP(AI9,Liste_AT2!$I$3:$J$66,2))))</f>
        <v>0</v>
      </c>
      <c r="AK9" s="148">
        <v>17</v>
      </c>
      <c r="AL9" s="72">
        <f>IF(AK9="",0,IF(AK9&lt;15,50,IF(AK9&gt;22.5,0,VLOOKUP(AK9,Liste_AT2!$K$3:$L$78,2))))</f>
        <v>30</v>
      </c>
      <c r="AM9" s="151"/>
      <c r="AN9" s="68">
        <f>IF(AM9="",0,IF(AM9&lt;4,50,IF(AM9&gt;9.4,0,VLOOKUP(AM9,Liste_AT2!$M$3:$N$57,2))))</f>
        <v>0</v>
      </c>
      <c r="AO9" s="150"/>
      <c r="AP9" s="72">
        <f>IF(AO9="",0,IF(AO9&gt;33,50,IF(AO9&lt;7,0,VLOOKUP(AO9,Liste_AT2!$Q$3:$R$29,2))))</f>
        <v>0</v>
      </c>
      <c r="AQ9" s="152"/>
      <c r="AR9" s="68">
        <f>IF(AQ9="",0,IF(AQ9&gt;17,50,IF(AQ9&lt;1,0,VLOOKUP(AQ9,Liste_AT2!$U$3:$V$19,2))))</f>
        <v>0</v>
      </c>
      <c r="AS9" s="150"/>
      <c r="AT9" s="72">
        <f>IF(AS9="",0,IF(AS9&gt;27,50,IF(AS9&lt;6,0,VLOOKUP(AS9,Liste_AT2!$W$3:$X$24,2))))</f>
        <v>0</v>
      </c>
      <c r="AU9" s="149"/>
      <c r="AV9" s="68">
        <f>IF(AU9="",0,IF(AU9&lt;3.7,50,IF(AU9&gt;8,0,VLOOKUP(AU9,Liste_AT2!$AA$3:$AB$46,2))))</f>
        <v>0</v>
      </c>
      <c r="AW9" s="148"/>
      <c r="AX9" s="72">
        <f>IF(AW9="",0,IF(AW9&lt;4,0,IF(AW9&gt;10.1,50,VLOOKUP(AW9,Liste_AT2!$AC$3:$AD$62,2))))</f>
        <v>0</v>
      </c>
      <c r="AY9" s="149">
        <v>6.7</v>
      </c>
      <c r="AZ9" s="68">
        <f>IF(AY9="",0,IF(AY9&gt;11.9,50,IF(AY9&lt;5,0,VLOOKUP(AY9,Liste_AT2!$AE$3:$AF$72,2))))</f>
        <v>9</v>
      </c>
      <c r="BA9" s="153"/>
      <c r="BB9" s="72">
        <f>IF(BA9="",0,IF(BA9&gt;45,50,IF(BA9&lt;2,0,VLOOKUP(BA9,Liste_AT2!$AG$3:$AH$61,2))))</f>
        <v>0</v>
      </c>
      <c r="BC9" s="154"/>
      <c r="BD9" s="68">
        <f>IF(BC9="",0,IF(BC9&gt;26,50,IF(BC9&lt;4,0,VLOOKUP(BC9,Liste_AT2!$AI$3:$AJ$25,2))))</f>
        <v>0</v>
      </c>
      <c r="BE9" s="150">
        <v>19</v>
      </c>
      <c r="BF9" s="72">
        <f>IF(BE9="",0,IF(BE9&gt;35,50,IF(BE9&lt;14,0,VLOOKUP(BE9,Liste_AT2!$AK$3:$AL$24,2))))</f>
        <v>10</v>
      </c>
      <c r="BG9" s="152"/>
      <c r="BH9" s="68">
        <f>IF(BG9="",0,IF(BG9&gt;36,50,IF(BG9&lt;7,0,VLOOKUP(BG9,Liste_AT2!$AM$3:$AN$32,2))))</f>
        <v>0</v>
      </c>
      <c r="BI9" s="150"/>
      <c r="BJ9" s="72">
        <f>IF(BI9="",0,IF(BI9&gt;45,50,IF(BI9&lt;6,0,VLOOKUP(BI9,Liste_AT2!$AO$3:$AP$52,2))))</f>
        <v>0</v>
      </c>
      <c r="BK9" s="151">
        <v>1.72</v>
      </c>
      <c r="BL9" s="68">
        <f>IF(BK9="",0,IF(BK9&gt;2.4,50,IF(BK9&lt;1.15,0,VLOOKUP(BK9,Liste_AT2!$AQ$3:$AR$52,2))))</f>
        <v>16</v>
      </c>
      <c r="BM9" s="148">
        <v>39.299999999999997</v>
      </c>
      <c r="BN9" s="72">
        <f>IF(BM9="",0,IF(BM9&lt;28,50,IF(BM9&gt;62,0,VLOOKUP(BM9,Liste_AT2!$AS$3:$AT$343,2,0))))</f>
        <v>38</v>
      </c>
      <c r="BO9" s="149">
        <v>9</v>
      </c>
      <c r="BP9" s="68">
        <f>IF(BO9="",0,IF(BO9&lt;1,0,IF(BO9&gt;28,50,VLOOKUP(BO9,Liste_AT3!$A$3:$B$30,2))))</f>
        <v>14</v>
      </c>
      <c r="BQ9" s="155"/>
      <c r="BR9" s="72">
        <f>IF(BQ9="",0,IF(BQ9&lt;5,50,IF(BQ9&gt;40,0,VLOOKUP(BQ9,Liste_AT3!$C$3:$D$38,2))))</f>
        <v>0</v>
      </c>
      <c r="BS9" s="151">
        <v>2</v>
      </c>
      <c r="BT9" s="68">
        <f>IF(BS9="",0,IF(BS9&lt;1,50,IF(BS9&gt;4.75,0,VLOOKUP(BS9,Liste_AT3!$E$3:$F$18,2))))</f>
        <v>34</v>
      </c>
      <c r="BU9" s="156"/>
      <c r="BV9" s="72">
        <f>IF(BU9="",0,IF(BU9&lt;1,50,IF(BU9&gt;4.75,0,VLOOKUP(BU9,Liste_AT3!$G$3:$H$18,2))))</f>
        <v>0</v>
      </c>
      <c r="BW9" s="151"/>
      <c r="BX9" s="68">
        <f>IF(BW9="",0,IF(BW9&lt;1,50,IF(BW9&gt;4.75,0,VLOOKUP(BW9,Liste_AT3!$G$3:$H$18,2))))</f>
        <v>0</v>
      </c>
      <c r="BY9" s="157"/>
      <c r="BZ9" s="72">
        <f>IF(BY9="",0,IF(BY9&gt;40,0,VLOOKUP(BY9,Liste_AT3!$I$3:$J$43,2,2)))</f>
        <v>0</v>
      </c>
      <c r="CA9" s="158"/>
      <c r="CB9" s="68">
        <f>IF(CA9="",0,IF(CA9&gt;40,0,VLOOKUP(CA9,Liste_AT3!$I$3:$J$43,2,2)))</f>
        <v>0</v>
      </c>
      <c r="CC9" s="159">
        <f>SUM(H9,J9,L9,N9,P9,R9,T9,V9,X9,Z9)</f>
        <v>69</v>
      </c>
      <c r="CD9" s="53">
        <f>IF(CC9=0,"",RANK(CC9,$CC$4:$CC$19))</f>
        <v>9</v>
      </c>
      <c r="CE9" s="159">
        <f>SUM(AB9,AD9,AF9,AJ9,AL9,AN9,AH9)</f>
        <v>74</v>
      </c>
      <c r="CF9" s="53">
        <f>IF(CE9=0,"",RANK(CE9,$CE$4:$CE$19))</f>
        <v>3</v>
      </c>
      <c r="CG9" s="159">
        <f>SUM(AP9,AR9,AT9,AV9,AX9,AZ9,BB9,BD9,BF9,BH9,BJ9,BL9,BN9)</f>
        <v>73</v>
      </c>
      <c r="CH9" s="53">
        <f>IF(CG9=0,"",RANK(CG9,$CG$4:$CG$19))</f>
        <v>9</v>
      </c>
      <c r="CI9" s="160">
        <f>SUM(BP9,BR9)</f>
        <v>14</v>
      </c>
      <c r="CJ9" s="53">
        <f>IF(CI9=0,"",RANK(CI9,$CI$4:$CI$19))</f>
        <v>10</v>
      </c>
      <c r="CK9" s="160">
        <f>SUM(BT9,BV9,BX9,BZ9,CB9)</f>
        <v>34</v>
      </c>
      <c r="CL9" s="53">
        <f>IF(CK9=0,"",RANK(CK9,$CK$4:$CK$19))</f>
        <v>3</v>
      </c>
      <c r="CM9" s="160">
        <f>SUM(CC9,CE9,CG9,CI9,CK9)</f>
        <v>264</v>
      </c>
      <c r="CN9" s="53">
        <f t="shared" si="0"/>
        <v>6</v>
      </c>
    </row>
    <row r="10" spans="1:92" s="14" customFormat="1" ht="27" customHeight="1" x14ac:dyDescent="0.3">
      <c r="A10" s="44">
        <v>16</v>
      </c>
      <c r="B10" s="135" t="s">
        <v>126</v>
      </c>
      <c r="C10" s="46" t="s">
        <v>100</v>
      </c>
      <c r="D10" s="45">
        <v>46.2</v>
      </c>
      <c r="E10" s="47">
        <v>164</v>
      </c>
      <c r="F10" s="147">
        <v>36539</v>
      </c>
      <c r="G10" s="148"/>
      <c r="H10" s="72">
        <f>IF(G10="",0,IF(G10&lt;$H$1,50,IF(G10&gt;18.7,0,VLOOKUP(G10,Liste_AT1!$A$3:$B$79,2,0))))</f>
        <v>0</v>
      </c>
      <c r="I10" s="149"/>
      <c r="J10" s="68">
        <f>IF(I10="",0,IF(I10&lt;$J$1,50,IF(I10&gt;22.8,0,VLOOKUP(I10,Liste_AT1!$C$3:$D$125,2,0))))</f>
        <v>0</v>
      </c>
      <c r="K10" s="148"/>
      <c r="L10" s="72">
        <f>IF(K10="",0,IF(K10&lt;$L$1,50,IF(K10&gt;29.2,0,VLOOKUP(K10,Liste_AT1!$E$3:$F$138,2,0))))</f>
        <v>0</v>
      </c>
      <c r="M10" s="149">
        <v>28.9</v>
      </c>
      <c r="N10" s="68">
        <f>IF(M10="",0,IF(M10&lt;15,50,IF(M10&gt;39.5,0,VLOOKUP(M10,Liste_AT1!$G$3:$H$248,2,0))))</f>
        <v>22</v>
      </c>
      <c r="O10" s="150"/>
      <c r="P10" s="72">
        <f>IF(O10="",0,IF(O10&lt;40,50,IF(O10&gt;108,0,VLOOKUP(O10,Liste_AT1!$I$3:$J$71,2,0))))</f>
        <v>0</v>
      </c>
      <c r="Q10" s="149"/>
      <c r="R10" s="68">
        <f>IF(Q10&gt;10,50,IF(Q10&lt;1,0,IF(Q10="",0,VLOOKUP(Q10,Liste_AT1!$K$3:$L$21,2,0))))</f>
        <v>0</v>
      </c>
      <c r="S10" s="148"/>
      <c r="T10" s="72">
        <f>IF(S10&gt;10,50,IF(S10&lt;1,0,VLOOKUP(S10,Liste_AT1!$M$3:$N$21,2,0)))</f>
        <v>0</v>
      </c>
      <c r="U10" s="151"/>
      <c r="V10" s="68">
        <f>IF(U10&gt;5,35,IF(U10&lt;1,0,VLOOKUP(U10,Liste_AT1!$O$3:$P$19,2)))</f>
        <v>0</v>
      </c>
      <c r="W10" s="148">
        <v>9.1999999999999993</v>
      </c>
      <c r="X10" s="72">
        <f>IF(W10&gt;10,50,IF(W10&lt;1,0,VLOOKUP(W10,Liste_AT1!$Q$3:$R$21,2)))</f>
        <v>46</v>
      </c>
      <c r="Y10" s="152"/>
      <c r="Z10" s="68">
        <f>IF(Y10&gt;10,50,IF(Y10&lt;1,0,VLOOKUP(Y10,Liste_AT1!$S$3:$T$12,2)))</f>
        <v>0</v>
      </c>
      <c r="AA10" s="148"/>
      <c r="AB10" s="72">
        <f>IF(AA10="",0,IF(AA10&lt;3.8,50,IF(AA10&gt;6.9,0,VLOOKUP(AA10,Liste_AT2!$A$3:$B$34,2))))</f>
        <v>0</v>
      </c>
      <c r="AC10" s="149"/>
      <c r="AD10" s="68">
        <f>IF(AC10="",0,IF(AC10&lt;8.6,50,IF(AC10&gt;12.1,0,VLOOKUP(AC10,Liste_AT2!$C$3:$D$38,2))))</f>
        <v>0</v>
      </c>
      <c r="AE10" s="153"/>
      <c r="AF10" s="72">
        <f>IF(AE10="",0,IF(AE10&lt;160,50,IF(AE10&gt;231,0,VLOOKUP(AE10,Liste_AT2!$F$3:$G$74,2))))</f>
        <v>0</v>
      </c>
      <c r="AG10" s="154">
        <v>549</v>
      </c>
      <c r="AH10" s="68">
        <f>IF(AG10="",0,IF(AG10&lt;500,50,IF(AG10&gt;626,0,VLOOKUP(AG10,Liste_AT2!$AU$3:$AW$66,3))))</f>
        <v>26</v>
      </c>
      <c r="AI10" s="154"/>
      <c r="AJ10" s="68">
        <f>IF(AI10="",0,IF(AI10&lt;822,50,IF(AI10&gt;948,0,VLOOKUP(AI10,Liste_AT2!$I$3:$J$66,2))))</f>
        <v>0</v>
      </c>
      <c r="AK10" s="148">
        <v>18.3</v>
      </c>
      <c r="AL10" s="72">
        <f>IF(AK10="",0,IF(AK10&lt;15,50,IF(AK10&gt;22.5,0,VLOOKUP(AK10,Liste_AT2!$K$3:$L$78,2))))</f>
        <v>17</v>
      </c>
      <c r="AM10" s="151"/>
      <c r="AN10" s="68">
        <f>IF(AM10="",0,IF(AM10&lt;4,50,IF(AM10&gt;9.4,0,VLOOKUP(AM10,Liste_AT2!$M$3:$N$57,2))))</f>
        <v>0</v>
      </c>
      <c r="AO10" s="150"/>
      <c r="AP10" s="72">
        <f>IF(AO10="",0,IF(AO10&gt;33,50,IF(AO10&lt;7,0,VLOOKUP(AO10,Liste_AT2!$Q$3:$R$29,2))))</f>
        <v>0</v>
      </c>
      <c r="AQ10" s="152"/>
      <c r="AR10" s="68">
        <f>IF(AQ10="",0,IF(AQ10&gt;17,50,IF(AQ10&lt;1,0,VLOOKUP(AQ10,Liste_AT2!$U$3:$V$19,2))))</f>
        <v>0</v>
      </c>
      <c r="AS10" s="150"/>
      <c r="AT10" s="72">
        <f>IF(AS10="",0,IF(AS10&gt;27,50,IF(AS10&lt;6,0,VLOOKUP(AS10,Liste_AT2!$W$3:$X$24,2))))</f>
        <v>0</v>
      </c>
      <c r="AU10" s="149"/>
      <c r="AV10" s="68">
        <f>IF(AU10="",0,IF(AU10&lt;3.7,50,IF(AU10&gt;8,0,VLOOKUP(AU10,Liste_AT2!$AA$3:$AB$46,2))))</f>
        <v>0</v>
      </c>
      <c r="AW10" s="148"/>
      <c r="AX10" s="72">
        <f>IF(AW10="",0,IF(AW10&lt;4,0,IF(AW10&gt;10.1,50,VLOOKUP(AW10,Liste_AT2!$AC$3:$AD$62,2))))</f>
        <v>0</v>
      </c>
      <c r="AY10" s="149">
        <v>8</v>
      </c>
      <c r="AZ10" s="68">
        <f>IF(AY10="",0,IF(AY10&gt;11.9,50,IF(AY10&lt;5,0,VLOOKUP(AY10,Liste_AT2!$AE$3:$AF$72,2))))</f>
        <v>21</v>
      </c>
      <c r="BA10" s="153"/>
      <c r="BB10" s="72">
        <f>IF(BA10="",0,IF(BA10&gt;45,50,IF(BA10&lt;2,0,VLOOKUP(BA10,Liste_AT2!$AG$3:$AH$61,2))))</f>
        <v>0</v>
      </c>
      <c r="BC10" s="154"/>
      <c r="BD10" s="68">
        <f>IF(BC10="",0,IF(BC10&gt;26,50,IF(BC10&lt;4,0,VLOOKUP(BC10,Liste_AT2!$AI$3:$AJ$25,2))))</f>
        <v>0</v>
      </c>
      <c r="BE10" s="150">
        <v>17</v>
      </c>
      <c r="BF10" s="72">
        <f>IF(BE10="",0,IF(BE10&gt;35,50,IF(BE10&lt;14,0,VLOOKUP(BE10,Liste_AT2!$AK$3:$AL$24,2))))</f>
        <v>6</v>
      </c>
      <c r="BG10" s="152"/>
      <c r="BH10" s="68">
        <f>IF(BG10="",0,IF(BG10&gt;36,50,IF(BG10&lt;7,0,VLOOKUP(BG10,Liste_AT2!$AM$3:$AN$32,2))))</f>
        <v>0</v>
      </c>
      <c r="BI10" s="150"/>
      <c r="BJ10" s="72">
        <f>IF(BI10="",0,IF(BI10&gt;45,50,IF(BI10&lt;6,0,VLOOKUP(BI10,Liste_AT2!$AO$3:$AP$52,2))))</f>
        <v>0</v>
      </c>
      <c r="BK10" s="151">
        <v>1.63</v>
      </c>
      <c r="BL10" s="68">
        <f>IF(BK10="",0,IF(BK10&gt;2.4,50,IF(BK10&lt;1.15,0,VLOOKUP(BK10,Liste_AT2!$AQ$3:$AR$52,2))))</f>
        <v>11</v>
      </c>
      <c r="BM10" s="148">
        <v>39.9</v>
      </c>
      <c r="BN10" s="72">
        <f>IF(BM10="",0,IF(BM10&lt;28,50,IF(BM10&gt;62,0,VLOOKUP(BM10,Liste_AT2!$AS$3:$AT$343,2,0))))</f>
        <v>37</v>
      </c>
      <c r="BO10" s="149">
        <v>15</v>
      </c>
      <c r="BP10" s="68">
        <f>IF(BO10="",0,IF(BO10&lt;1,0,IF(BO10&gt;28,50,VLOOKUP(BO10,Liste_AT3!$A$3:$B$30,2))))</f>
        <v>26</v>
      </c>
      <c r="BQ10" s="155"/>
      <c r="BR10" s="72">
        <f>IF(BQ10="",0,IF(BQ10&lt;5,50,IF(BQ10&gt;40,0,VLOOKUP(BQ10,Liste_AT3!$C$3:$D$38,2))))</f>
        <v>0</v>
      </c>
      <c r="BS10" s="151">
        <v>1.75</v>
      </c>
      <c r="BT10" s="68">
        <f>IF(BS10="",0,IF(BS10&lt;1,50,IF(BS10&gt;4.75,0,VLOOKUP(BS10,Liste_AT3!$E$3:$F$18,2))))</f>
        <v>38</v>
      </c>
      <c r="BU10" s="156"/>
      <c r="BV10" s="72">
        <f>IF(BU10="",0,IF(BU10&lt;1,50,IF(BU10&gt;4.75,0,VLOOKUP(BU10,Liste_AT3!$G$3:$H$18,2))))</f>
        <v>0</v>
      </c>
      <c r="BW10" s="151"/>
      <c r="BX10" s="68">
        <f>IF(BW10="",0,IF(BW10&lt;1,50,IF(BW10&gt;4.75,0,VLOOKUP(BW10,Liste_AT3!$G$3:$H$18,2))))</f>
        <v>0</v>
      </c>
      <c r="BY10" s="157"/>
      <c r="BZ10" s="72">
        <f>IF(BY10="",0,IF(BY10&gt;40,0,VLOOKUP(BY10,Liste_AT3!$I$3:$J$43,2,2)))</f>
        <v>0</v>
      </c>
      <c r="CA10" s="158"/>
      <c r="CB10" s="68">
        <f>IF(CA10="",0,IF(CA10&gt;40,0,VLOOKUP(CA10,Liste_AT3!$I$3:$J$43,2,2)))</f>
        <v>0</v>
      </c>
      <c r="CC10" s="159">
        <f>SUM(H10,J10,L10,N10,P10,R10,T10,V10,X10,Z10)</f>
        <v>68</v>
      </c>
      <c r="CD10" s="53">
        <f>IF(CC10=0,"",RANK(CC10,$CC$4:$CC$19))</f>
        <v>10</v>
      </c>
      <c r="CE10" s="159">
        <f>SUM(AB10,AD10,AF10,AJ10,AL10,AN10,AH10)</f>
        <v>43</v>
      </c>
      <c r="CF10" s="53">
        <f>IF(CE10=0,"",RANK(CE10,$CE$4:$CE$19))</f>
        <v>6</v>
      </c>
      <c r="CG10" s="159">
        <f>SUM(AP10,AR10,AT10,AV10,AX10,AZ10,BB10,BD10,BF10,BH10,BJ10,BL10,BN10)</f>
        <v>75</v>
      </c>
      <c r="CH10" s="53">
        <f>IF(CG10=0,"",RANK(CG10,$CG$4:$CG$19))</f>
        <v>8</v>
      </c>
      <c r="CI10" s="160">
        <f>SUM(BP10,BR10)</f>
        <v>26</v>
      </c>
      <c r="CJ10" s="53">
        <f>IF(CI10=0,"",RANK(CI10,$CI$4:$CI$19))</f>
        <v>5</v>
      </c>
      <c r="CK10" s="160">
        <f>SUM(BT10,BV10,BX10,BZ10,CB10)</f>
        <v>38</v>
      </c>
      <c r="CL10" s="53">
        <f>IF(CK10=0,"",RANK(CK10,$CK$4:$CK$19))</f>
        <v>2</v>
      </c>
      <c r="CM10" s="160">
        <f>SUM(CC10,CE10,CG10,CI10,CK10)</f>
        <v>250</v>
      </c>
      <c r="CN10" s="53">
        <f t="shared" si="0"/>
        <v>7</v>
      </c>
    </row>
    <row r="11" spans="1:92" s="14" customFormat="1" ht="27" customHeight="1" x14ac:dyDescent="0.3">
      <c r="A11" s="44">
        <v>9</v>
      </c>
      <c r="B11" s="135" t="s">
        <v>107</v>
      </c>
      <c r="C11" s="46" t="s">
        <v>100</v>
      </c>
      <c r="D11" s="45">
        <v>51.7</v>
      </c>
      <c r="E11" s="47">
        <v>165</v>
      </c>
      <c r="F11" s="147">
        <v>36365</v>
      </c>
      <c r="G11" s="148"/>
      <c r="H11" s="72">
        <f>IF(G11="",0,IF(G11&lt;$H$1,50,IF(G11&gt;18.7,0,VLOOKUP(G11,Liste_AT1!$A$3:$B$79,2,0))))</f>
        <v>0</v>
      </c>
      <c r="I11" s="149"/>
      <c r="J11" s="68">
        <f>IF(I11="",0,IF(I11&lt;$J$1,50,IF(I11&gt;22.8,0,VLOOKUP(I11,Liste_AT1!$C$3:$D$125,2,0))))</f>
        <v>0</v>
      </c>
      <c r="K11" s="148"/>
      <c r="L11" s="72">
        <f>IF(K11="",0,IF(K11&lt;$L$1,50,IF(K11&gt;29.2,0,VLOOKUP(K11,Liste_AT1!$E$3:$F$138,2,0))))</f>
        <v>0</v>
      </c>
      <c r="M11" s="149">
        <v>31.9</v>
      </c>
      <c r="N11" s="68">
        <f>IF(M11="",0,IF(M11&lt;15,50,IF(M11&gt;39.5,0,VLOOKUP(M11,Liste_AT1!$G$3:$H$248,2,0))))</f>
        <v>16</v>
      </c>
      <c r="O11" s="150"/>
      <c r="P11" s="72">
        <f>IF(O11="",0,IF(O11&lt;40,50,IF(O11&gt;108,0,VLOOKUP(O11,Liste_AT1!$I$3:$J$71,2,0))))</f>
        <v>0</v>
      </c>
      <c r="Q11" s="149"/>
      <c r="R11" s="68">
        <f>IF(Q11&gt;10,50,IF(Q11&lt;1,0,IF(Q11="",0,VLOOKUP(Q11,Liste_AT1!$K$3:$L$21,2,0))))</f>
        <v>0</v>
      </c>
      <c r="S11" s="148"/>
      <c r="T11" s="72">
        <f>IF(S11&gt;10,50,IF(S11&lt;1,0,VLOOKUP(S11,Liste_AT1!$M$3:$N$21,2,0)))</f>
        <v>0</v>
      </c>
      <c r="U11" s="151"/>
      <c r="V11" s="68">
        <f>IF(U11&gt;5,35,IF(U11&lt;1,0,VLOOKUP(U11,Liste_AT1!$O$3:$P$19,2)))</f>
        <v>0</v>
      </c>
      <c r="W11" s="148">
        <v>9.3000000000000007</v>
      </c>
      <c r="X11" s="72">
        <f>IF(W11&gt;10,50,IF(W11&lt;1,0,VLOOKUP(W11,Liste_AT1!$Q$3:$R$21,2)))</f>
        <v>46</v>
      </c>
      <c r="Y11" s="152"/>
      <c r="Z11" s="68">
        <f>IF(Y11&gt;10,50,IF(Y11&lt;1,0,VLOOKUP(Y11,Liste_AT1!$S$3:$T$12,2)))</f>
        <v>0</v>
      </c>
      <c r="AA11" s="148"/>
      <c r="AB11" s="72">
        <f>IF(AA11="",0,IF(AA11&lt;3.8,50,IF(AA11&gt;6.9,0,VLOOKUP(AA11,Liste_AT2!$A$3:$B$34,2))))</f>
        <v>0</v>
      </c>
      <c r="AC11" s="149"/>
      <c r="AD11" s="68">
        <f>IF(AC11="",0,IF(AC11&lt;8.6,50,IF(AC11&gt;12.1,0,VLOOKUP(AC11,Liste_AT2!$C$3:$D$38,2))))</f>
        <v>0</v>
      </c>
      <c r="AE11" s="153"/>
      <c r="AF11" s="72">
        <f>IF(AE11="",0,IF(AE11&lt;160,50,IF(AE11&gt;231,0,VLOOKUP(AE11,Liste_AT2!$F$3:$G$74,2))))</f>
        <v>0</v>
      </c>
      <c r="AG11" s="154">
        <v>602</v>
      </c>
      <c r="AH11" s="68">
        <f>IF(AG11="",0,IF(AG11&lt;500,50,IF(AG11&gt;626,0,VLOOKUP(AG11,Liste_AT2!$AU$3:$AW$66,3))))</f>
        <v>7</v>
      </c>
      <c r="AI11" s="154"/>
      <c r="AJ11" s="68">
        <f>IF(AI11="",0,IF(AI11&lt;822,50,IF(AI11&gt;948,0,VLOOKUP(AI11,Liste_AT2!$I$3:$J$66,2))))</f>
        <v>0</v>
      </c>
      <c r="AK11" s="148">
        <v>17.899999999999999</v>
      </c>
      <c r="AL11" s="72">
        <f>IF(AK11="",0,IF(AK11&lt;15,50,IF(AK11&gt;22.5,0,VLOOKUP(AK11,Liste_AT2!$K$3:$L$78,2))))</f>
        <v>21</v>
      </c>
      <c r="AM11" s="151"/>
      <c r="AN11" s="68">
        <f>IF(AM11="",0,IF(AM11&lt;4,50,IF(AM11&gt;9.4,0,VLOOKUP(AM11,Liste_AT2!$M$3:$N$57,2))))</f>
        <v>0</v>
      </c>
      <c r="AO11" s="150"/>
      <c r="AP11" s="72">
        <f>IF(AO11="",0,IF(AO11&gt;33,50,IF(AO11&lt;7,0,VLOOKUP(AO11,Liste_AT2!$Q$3:$R$29,2))))</f>
        <v>0</v>
      </c>
      <c r="AQ11" s="152"/>
      <c r="AR11" s="68">
        <f>IF(AQ11="",0,IF(AQ11&gt;17,50,IF(AQ11&lt;1,0,VLOOKUP(AQ11,Liste_AT2!$U$3:$V$19,2))))</f>
        <v>0</v>
      </c>
      <c r="AS11" s="150"/>
      <c r="AT11" s="72">
        <f>IF(AS11="",0,IF(AS11&gt;27,50,IF(AS11&lt;6,0,VLOOKUP(AS11,Liste_AT2!$W$3:$X$24,2))))</f>
        <v>0</v>
      </c>
      <c r="AU11" s="149"/>
      <c r="AV11" s="68">
        <f>IF(AU11="",0,IF(AU11&lt;3.7,50,IF(AU11&gt;8,0,VLOOKUP(AU11,Liste_AT2!$AA$3:$AB$46,2))))</f>
        <v>0</v>
      </c>
      <c r="AW11" s="148"/>
      <c r="AX11" s="72">
        <f>IF(AW11="",0,IF(AW11&lt;4,0,IF(AW11&gt;10.1,50,VLOOKUP(AW11,Liste_AT2!$AC$3:$AD$62,2))))</f>
        <v>0</v>
      </c>
      <c r="AY11" s="149">
        <v>9.1</v>
      </c>
      <c r="AZ11" s="68">
        <f>IF(AY11="",0,IF(AY11&gt;11.9,50,IF(AY11&lt;5,0,VLOOKUP(AY11,Liste_AT2!$AE$3:$AF$72,2))))</f>
        <v>32</v>
      </c>
      <c r="BA11" s="153"/>
      <c r="BB11" s="72">
        <f>IF(BA11="",0,IF(BA11&gt;45,50,IF(BA11&lt;2,0,VLOOKUP(BA11,Liste_AT2!$AG$3:$AH$61,2))))</f>
        <v>0</v>
      </c>
      <c r="BC11" s="154"/>
      <c r="BD11" s="68">
        <f>IF(BC11="",0,IF(BC11&gt;26,50,IF(BC11&lt;4,0,VLOOKUP(BC11,Liste_AT2!$AI$3:$AJ$25,2))))</f>
        <v>0</v>
      </c>
      <c r="BE11" s="150">
        <v>13</v>
      </c>
      <c r="BF11" s="72">
        <f>IF(BE11="",0,IF(BE11&gt;35,50,IF(BE11&lt;14,0,VLOOKUP(BE11,Liste_AT2!$AK$3:$AL$24,2))))</f>
        <v>0</v>
      </c>
      <c r="BG11" s="152"/>
      <c r="BH11" s="68">
        <f>IF(BG11="",0,IF(BG11&gt;36,50,IF(BG11&lt;7,0,VLOOKUP(BG11,Liste_AT2!$AM$3:$AN$32,2))))</f>
        <v>0</v>
      </c>
      <c r="BI11" s="150"/>
      <c r="BJ11" s="72">
        <f>IF(BI11="",0,IF(BI11&gt;45,50,IF(BI11&lt;6,0,VLOOKUP(BI11,Liste_AT2!$AO$3:$AP$52,2))))</f>
        <v>0</v>
      </c>
      <c r="BK11" s="151">
        <v>1.91</v>
      </c>
      <c r="BL11" s="68">
        <f>IF(BK11="",0,IF(BK11&gt;2.4,50,IF(BK11&lt;1.15,0,VLOOKUP(BK11,Liste_AT2!$AQ$3:$AR$52,2))))</f>
        <v>25</v>
      </c>
      <c r="BM11" s="148">
        <v>41</v>
      </c>
      <c r="BN11" s="72">
        <f>IF(BM11="",0,IF(BM11&lt;28,50,IF(BM11&gt;62,0,VLOOKUP(BM11,Liste_AT2!$AS$3:$AT$343,2,0))))</f>
        <v>35</v>
      </c>
      <c r="BO11" s="149">
        <v>17.5</v>
      </c>
      <c r="BP11" s="68">
        <f>IF(BO11="",0,IF(BO11&lt;1,0,IF(BO11&gt;28,50,VLOOKUP(BO11,Liste_AT3!$A$3:$B$30,2))))</f>
        <v>30</v>
      </c>
      <c r="BQ11" s="155"/>
      <c r="BR11" s="72">
        <f>IF(BQ11="",0,IF(BQ11&lt;5,50,IF(BQ11&gt;40,0,VLOOKUP(BQ11,Liste_AT3!$C$3:$D$38,2))))</f>
        <v>0</v>
      </c>
      <c r="BS11" s="151">
        <v>2.25</v>
      </c>
      <c r="BT11" s="68">
        <f>IF(BS11="",0,IF(BS11&lt;1,50,IF(BS11&gt;4.75,0,VLOOKUP(BS11,Liste_AT3!$E$3:$F$18,2))))</f>
        <v>29</v>
      </c>
      <c r="BU11" s="156"/>
      <c r="BV11" s="72">
        <f>IF(BU11="",0,IF(BU11&lt;1,50,IF(BU11&gt;4.75,0,VLOOKUP(BU11,Liste_AT3!$G$3:$H$18,2))))</f>
        <v>0</v>
      </c>
      <c r="BW11" s="151"/>
      <c r="BX11" s="68">
        <f>IF(BW11="",0,IF(BW11&lt;1,50,IF(BW11&gt;4.75,0,VLOOKUP(BW11,Liste_AT3!$G$3:$H$18,2))))</f>
        <v>0</v>
      </c>
      <c r="BY11" s="157"/>
      <c r="BZ11" s="72">
        <f>IF(BY11="",0,IF(BY11&gt;40,0,VLOOKUP(BY11,Liste_AT3!$I$3:$J$43,2,2)))</f>
        <v>0</v>
      </c>
      <c r="CA11" s="158"/>
      <c r="CB11" s="68">
        <f>IF(CA11="",0,IF(CA11&gt;40,0,VLOOKUP(CA11,Liste_AT3!$I$3:$J$43,2,2)))</f>
        <v>0</v>
      </c>
      <c r="CC11" s="159">
        <f>SUM(H11,J11,L11,N11,P11,R11,T11,V11,X11,Z11)</f>
        <v>62</v>
      </c>
      <c r="CD11" s="53">
        <f>IF(CC11=0,"",RANK(CC11,$CC$4:$CC$19))</f>
        <v>12</v>
      </c>
      <c r="CE11" s="159">
        <f>SUM(AB11,AD11,AF11,AJ11,AL11,AN11,AH11)</f>
        <v>28</v>
      </c>
      <c r="CF11" s="53">
        <f>IF(CE11=0,"",RANK(CE11,$CE$4:$CE$19))</f>
        <v>10</v>
      </c>
      <c r="CG11" s="159">
        <f>SUM(AP11,AR11,AT11,AV11,AX11,AZ11,BB11,BD11,BF11,BH11,BJ11,BL11,BN11)</f>
        <v>92</v>
      </c>
      <c r="CH11" s="53">
        <f>IF(CG11=0,"",RANK(CG11,$CG$4:$CG$19))</f>
        <v>6</v>
      </c>
      <c r="CI11" s="160">
        <f>SUM(BP11,BR11)</f>
        <v>30</v>
      </c>
      <c r="CJ11" s="53">
        <f>IF(CI11=0,"",RANK(CI11,$CI$4:$CI$19))</f>
        <v>2</v>
      </c>
      <c r="CK11" s="160">
        <f>SUM(BT11,BV11,BX11,BZ11,CB11)</f>
        <v>29</v>
      </c>
      <c r="CL11" s="53">
        <f>IF(CK11=0,"",RANK(CK11,$CK$4:$CK$19))</f>
        <v>7</v>
      </c>
      <c r="CM11" s="160">
        <f>SUM(CC11,CE11,CG11,CI11,CK11)</f>
        <v>241</v>
      </c>
      <c r="CN11" s="53">
        <f t="shared" si="0"/>
        <v>8</v>
      </c>
    </row>
    <row r="12" spans="1:92" s="14" customFormat="1" ht="27" customHeight="1" x14ac:dyDescent="0.3">
      <c r="A12" s="44">
        <v>11</v>
      </c>
      <c r="B12" s="135" t="s">
        <v>118</v>
      </c>
      <c r="C12" s="46" t="s">
        <v>98</v>
      </c>
      <c r="D12" s="45">
        <v>39.4</v>
      </c>
      <c r="E12" s="47">
        <v>152</v>
      </c>
      <c r="F12" s="147">
        <v>36329</v>
      </c>
      <c r="G12" s="148"/>
      <c r="H12" s="72">
        <f>IF(G12="",0,IF(G12&lt;$H$1,50,IF(G12&gt;18.7,0,VLOOKUP(G12,Liste_AT1!$A$3:$B$79,2,0))))</f>
        <v>0</v>
      </c>
      <c r="I12" s="149"/>
      <c r="J12" s="68">
        <f>IF(I12="",0,IF(I12&lt;$J$1,50,IF(I12&gt;22.8,0,VLOOKUP(I12,Liste_AT1!$C$3:$D$125,2,0))))</f>
        <v>0</v>
      </c>
      <c r="K12" s="148"/>
      <c r="L12" s="72">
        <f>IF(K12="",0,IF(K12&lt;$L$1,50,IF(K12&gt;29.2,0,VLOOKUP(K12,Liste_AT1!$E$3:$F$138,2,0))))</f>
        <v>0</v>
      </c>
      <c r="M12" s="149">
        <v>22.2</v>
      </c>
      <c r="N12" s="68">
        <f>IF(M12="",0,IF(M12&lt;15,50,IF(M12&gt;39.5,0,VLOOKUP(M12,Liste_AT1!$G$3:$H$248,2,0))))</f>
        <v>35</v>
      </c>
      <c r="O12" s="150"/>
      <c r="P12" s="72">
        <f>IF(O12="",0,IF(O12&lt;40,50,IF(O12&gt;108,0,VLOOKUP(O12,Liste_AT1!$I$3:$J$71,2,0))))</f>
        <v>0</v>
      </c>
      <c r="Q12" s="149"/>
      <c r="R12" s="68">
        <f>IF(Q12&gt;10,50,IF(Q12&lt;1,0,IF(Q12="",0,VLOOKUP(Q12,Liste_AT1!$K$3:$L$21,2,0))))</f>
        <v>0</v>
      </c>
      <c r="S12" s="148"/>
      <c r="T12" s="72">
        <f>IF(S12&gt;10,50,IF(S12&lt;1,0,VLOOKUP(S12,Liste_AT1!$M$3:$N$21,2,0)))</f>
        <v>0</v>
      </c>
      <c r="U12" s="151"/>
      <c r="V12" s="68">
        <f>IF(U12&gt;5,35,IF(U12&lt;1,0,VLOOKUP(U12,Liste_AT1!$O$3:$P$19,2)))</f>
        <v>0</v>
      </c>
      <c r="W12" s="148">
        <v>9</v>
      </c>
      <c r="X12" s="72">
        <f>IF(W12&gt;10,50,IF(W12&lt;1,0,VLOOKUP(W12,Liste_AT1!$Q$3:$R$21,2)))</f>
        <v>46</v>
      </c>
      <c r="Y12" s="152"/>
      <c r="Z12" s="68">
        <f>IF(Y12&gt;10,50,IF(Y12&lt;1,0,VLOOKUP(Y12,Liste_AT1!$S$3:$T$12,2)))</f>
        <v>0</v>
      </c>
      <c r="AA12" s="148"/>
      <c r="AB12" s="72">
        <f>IF(AA12="",0,IF(AA12&lt;3.8,50,IF(AA12&gt;6.9,0,VLOOKUP(AA12,Liste_AT2!$A$3:$B$34,2))))</f>
        <v>0</v>
      </c>
      <c r="AC12" s="149"/>
      <c r="AD12" s="68">
        <f>IF(AC12="",0,IF(AC12&lt;8.6,50,IF(AC12&gt;12.1,0,VLOOKUP(AC12,Liste_AT2!$C$3:$D$38,2))))</f>
        <v>0</v>
      </c>
      <c r="AE12" s="153"/>
      <c r="AF12" s="72">
        <f>IF(AE12="",0,IF(AE12&lt;160,50,IF(AE12&gt;231,0,VLOOKUP(AE12,Liste_AT2!$F$3:$G$74,2))))</f>
        <v>0</v>
      </c>
      <c r="AG12" s="154">
        <v>544</v>
      </c>
      <c r="AH12" s="68">
        <f>IF(AG12="",0,IF(AG12&lt;500,50,IF(AG12&gt;626,0,VLOOKUP(AG12,Liste_AT2!$AU$3:$AW$66,3))))</f>
        <v>28</v>
      </c>
      <c r="AI12" s="154"/>
      <c r="AJ12" s="68">
        <f>IF(AI12="",0,IF(AI12&lt;822,50,IF(AI12&gt;948,0,VLOOKUP(AI12,Liste_AT2!$I$3:$J$66,2))))</f>
        <v>0</v>
      </c>
      <c r="AK12" s="148">
        <v>18.2</v>
      </c>
      <c r="AL12" s="72">
        <f>IF(AK12="",0,IF(AK12&lt;15,50,IF(AK12&gt;22.5,0,VLOOKUP(AK12,Liste_AT2!$K$3:$L$78,2))))</f>
        <v>18</v>
      </c>
      <c r="AM12" s="151"/>
      <c r="AN12" s="68">
        <f>IF(AM12="",0,IF(AM12&lt;4,50,IF(AM12&gt;9.4,0,VLOOKUP(AM12,Liste_AT2!$M$3:$N$57,2))))</f>
        <v>0</v>
      </c>
      <c r="AO12" s="150"/>
      <c r="AP12" s="72">
        <f>IF(AO12="",0,IF(AO12&gt;33,50,IF(AO12&lt;7,0,VLOOKUP(AO12,Liste_AT2!$Q$3:$R$29,2))))</f>
        <v>0</v>
      </c>
      <c r="AQ12" s="152"/>
      <c r="AR12" s="68">
        <f>IF(AQ12="",0,IF(AQ12&gt;17,50,IF(AQ12&lt;1,0,VLOOKUP(AQ12,Liste_AT2!$U$3:$V$19,2))))</f>
        <v>0</v>
      </c>
      <c r="AS12" s="150"/>
      <c r="AT12" s="72">
        <f>IF(AS12="",0,IF(AS12&gt;27,50,IF(AS12&lt;6,0,VLOOKUP(AS12,Liste_AT2!$W$3:$X$24,2))))</f>
        <v>0</v>
      </c>
      <c r="AU12" s="149"/>
      <c r="AV12" s="68">
        <f>IF(AU12="",0,IF(AU12&lt;3.7,50,IF(AU12&gt;8,0,VLOOKUP(AU12,Liste_AT2!$AA$3:$AB$46,2))))</f>
        <v>0</v>
      </c>
      <c r="AW12" s="148"/>
      <c r="AX12" s="72">
        <f>IF(AW12="",0,IF(AW12&lt;4,0,IF(AW12&gt;10.1,50,VLOOKUP(AW12,Liste_AT2!$AC$3:$AD$62,2))))</f>
        <v>0</v>
      </c>
      <c r="AY12" s="149">
        <v>4.8</v>
      </c>
      <c r="AZ12" s="68">
        <f>IF(AY12="",0,IF(AY12&gt;11.9,50,IF(AY12&lt;5,0,VLOOKUP(AY12,Liste_AT2!$AE$3:$AF$72,2))))</f>
        <v>0</v>
      </c>
      <c r="BA12" s="153"/>
      <c r="BB12" s="72">
        <f>IF(BA12="",0,IF(BA12&gt;45,50,IF(BA12&lt;2,0,VLOOKUP(BA12,Liste_AT2!$AG$3:$AH$61,2))))</f>
        <v>0</v>
      </c>
      <c r="BC12" s="154"/>
      <c r="BD12" s="68">
        <f>IF(BC12="",0,IF(BC12&gt;26,50,IF(BC12&lt;4,0,VLOOKUP(BC12,Liste_AT2!$AI$3:$AJ$25,2))))</f>
        <v>0</v>
      </c>
      <c r="BE12" s="150">
        <v>19</v>
      </c>
      <c r="BF12" s="72">
        <f>IF(BE12="",0,IF(BE12&gt;35,50,IF(BE12&lt;14,0,VLOOKUP(BE12,Liste_AT2!$AK$3:$AL$24,2))))</f>
        <v>10</v>
      </c>
      <c r="BG12" s="152"/>
      <c r="BH12" s="68">
        <f>IF(BG12="",0,IF(BG12&gt;36,50,IF(BG12&lt;7,0,VLOOKUP(BG12,Liste_AT2!$AM$3:$AN$32,2))))</f>
        <v>0</v>
      </c>
      <c r="BI12" s="150"/>
      <c r="BJ12" s="72">
        <f>IF(BI12="",0,IF(BI12&gt;45,50,IF(BI12&lt;6,0,VLOOKUP(BI12,Liste_AT2!$AO$3:$AP$52,2))))</f>
        <v>0</v>
      </c>
      <c r="BK12" s="151">
        <v>1.49</v>
      </c>
      <c r="BL12" s="68">
        <f>IF(BK12="",0,IF(BK12&gt;2.4,50,IF(BK12&lt;1.15,0,VLOOKUP(BK12,Liste_AT2!$AQ$3:$AR$52,2))))</f>
        <v>7</v>
      </c>
      <c r="BM12" s="148">
        <v>38.6</v>
      </c>
      <c r="BN12" s="72">
        <f>IF(BM12="",0,IF(BM12&lt;28,50,IF(BM12&gt;62,0,VLOOKUP(BM12,Liste_AT2!$AS$3:$AT$343,2,0))))</f>
        <v>39</v>
      </c>
      <c r="BO12" s="149">
        <v>8.6999999999999993</v>
      </c>
      <c r="BP12" s="68">
        <f>IF(BO12="",0,IF(BO12&lt;1,0,IF(BO12&gt;28,50,VLOOKUP(BO12,Liste_AT3!$A$3:$B$30,2))))</f>
        <v>12</v>
      </c>
      <c r="BQ12" s="155"/>
      <c r="BR12" s="72">
        <f>IF(BQ12="",0,IF(BQ12&lt;5,50,IF(BQ12&gt;40,0,VLOOKUP(BQ12,Liste_AT3!$C$3:$D$38,2))))</f>
        <v>0</v>
      </c>
      <c r="BS12" s="151">
        <v>2.5</v>
      </c>
      <c r="BT12" s="68">
        <f>IF(BS12="",0,IF(BS12&lt;1,50,IF(BS12&gt;4.75,0,VLOOKUP(BS12,Liste_AT3!$E$3:$F$18,2))))</f>
        <v>25</v>
      </c>
      <c r="BU12" s="156"/>
      <c r="BV12" s="72">
        <f>IF(BU12="",0,IF(BU12&lt;1,50,IF(BU12&gt;4.75,0,VLOOKUP(BU12,Liste_AT3!$G$3:$H$18,2))))</f>
        <v>0</v>
      </c>
      <c r="BW12" s="151"/>
      <c r="BX12" s="68">
        <f>IF(BW12="",0,IF(BW12&lt;1,50,IF(BW12&gt;4.75,0,VLOOKUP(BW12,Liste_AT3!$G$3:$H$18,2))))</f>
        <v>0</v>
      </c>
      <c r="BY12" s="157"/>
      <c r="BZ12" s="72">
        <f>IF(BY12="",0,IF(BY12&gt;40,0,VLOOKUP(BY12,Liste_AT3!$I$3:$J$43,2,2)))</f>
        <v>0</v>
      </c>
      <c r="CA12" s="158"/>
      <c r="CB12" s="68">
        <f>IF(CA12="",0,IF(CA12&gt;40,0,VLOOKUP(CA12,Liste_AT3!$I$3:$J$43,2,2)))</f>
        <v>0</v>
      </c>
      <c r="CC12" s="159">
        <f>SUM(H12,J12,L12,N12,P12,R12,T12,V12,X12,Z12)</f>
        <v>81</v>
      </c>
      <c r="CD12" s="53">
        <f>IF(CC12=0,"",RANK(CC12,$CC$4:$CC$19))</f>
        <v>3</v>
      </c>
      <c r="CE12" s="159">
        <f>SUM(AB12,AD12,AF12,AJ12,AL12,AN12,AH12)</f>
        <v>46</v>
      </c>
      <c r="CF12" s="53">
        <f>IF(CE12=0,"",RANK(CE12,$CE$4:$CE$19))</f>
        <v>5</v>
      </c>
      <c r="CG12" s="159">
        <f>SUM(AP12,AR12,AT12,AV12,AX12,AZ12,BB12,BD12,BF12,BH12,BJ12,BL12,BN12)</f>
        <v>56</v>
      </c>
      <c r="CH12" s="53">
        <f>IF(CG12=0,"",RANK(CG12,$CG$4:$CG$19))</f>
        <v>15</v>
      </c>
      <c r="CI12" s="160">
        <f>SUM(BP12,BR12)</f>
        <v>12</v>
      </c>
      <c r="CJ12" s="53">
        <f>IF(CI12=0,"",RANK(CI12,$CI$4:$CI$19))</f>
        <v>12</v>
      </c>
      <c r="CK12" s="160">
        <f>SUM(BT12,BV12,BX12,BZ12,CB12)</f>
        <v>25</v>
      </c>
      <c r="CL12" s="53">
        <f>IF(CK12=0,"",RANK(CK12,$CK$4:$CK$19))</f>
        <v>10</v>
      </c>
      <c r="CM12" s="160">
        <f>SUM(CC12,CE12,CG12,CI12,CK12)</f>
        <v>220</v>
      </c>
      <c r="CN12" s="53">
        <f t="shared" si="0"/>
        <v>9</v>
      </c>
    </row>
    <row r="13" spans="1:92" s="14" customFormat="1" ht="27" customHeight="1" x14ac:dyDescent="0.3">
      <c r="A13" s="44">
        <v>12</v>
      </c>
      <c r="B13" s="135" t="s">
        <v>123</v>
      </c>
      <c r="C13" s="46" t="s">
        <v>141</v>
      </c>
      <c r="D13" s="45">
        <v>46.7</v>
      </c>
      <c r="E13" s="47">
        <v>148</v>
      </c>
      <c r="F13" s="147">
        <v>36509</v>
      </c>
      <c r="G13" s="148"/>
      <c r="H13" s="72">
        <f>IF(G13="",0,IF(G13&lt;$H$1,50,IF(G13&gt;18.7,0,VLOOKUP(G13,Liste_AT1!$A$3:$B$79,2,0))))</f>
        <v>0</v>
      </c>
      <c r="I13" s="149"/>
      <c r="J13" s="68">
        <f>IF(I13="",0,IF(I13&lt;$J$1,50,IF(I13&gt;22.8,0,VLOOKUP(I13,Liste_AT1!$C$3:$D$125,2,0))))</f>
        <v>0</v>
      </c>
      <c r="K13" s="148"/>
      <c r="L13" s="72">
        <f>IF(K13="",0,IF(K13&lt;$L$1,50,IF(K13&gt;29.2,0,VLOOKUP(K13,Liste_AT1!$E$3:$F$138,2,0))))</f>
        <v>0</v>
      </c>
      <c r="M13" s="149">
        <v>23.2</v>
      </c>
      <c r="N13" s="68">
        <f>IF(M13="",0,IF(M13&lt;15,50,IF(M13&gt;39.5,0,VLOOKUP(M13,Liste_AT1!$G$3:$H$248,2,0))))</f>
        <v>33</v>
      </c>
      <c r="O13" s="150"/>
      <c r="P13" s="72">
        <f>IF(O13="",0,IF(O13&lt;40,50,IF(O13&gt;108,0,VLOOKUP(O13,Liste_AT1!$I$3:$J$71,2,0))))</f>
        <v>0</v>
      </c>
      <c r="Q13" s="149"/>
      <c r="R13" s="68">
        <f>IF(Q13&gt;10,50,IF(Q13&lt;1,0,IF(Q13="",0,VLOOKUP(Q13,Liste_AT1!$K$3:$L$21,2,0))))</f>
        <v>0</v>
      </c>
      <c r="S13" s="148"/>
      <c r="T13" s="72">
        <f>IF(S13&gt;10,50,IF(S13&lt;1,0,VLOOKUP(S13,Liste_AT1!$M$3:$N$21,2,0)))</f>
        <v>0</v>
      </c>
      <c r="U13" s="151"/>
      <c r="V13" s="68">
        <f>IF(U13&gt;5,35,IF(U13&lt;1,0,VLOOKUP(U13,Liste_AT1!$O$3:$P$19,2)))</f>
        <v>0</v>
      </c>
      <c r="W13" s="148">
        <v>8.9</v>
      </c>
      <c r="X13" s="72">
        <f>IF(W13&gt;10,50,IF(W13&lt;1,0,VLOOKUP(W13,Liste_AT1!$Q$3:$R$21,2)))</f>
        <v>43</v>
      </c>
      <c r="Y13" s="152"/>
      <c r="Z13" s="68">
        <f>IF(Y13&gt;10,50,IF(Y13&lt;1,0,VLOOKUP(Y13,Liste_AT1!$S$3:$T$12,2)))</f>
        <v>0</v>
      </c>
      <c r="AA13" s="148"/>
      <c r="AB13" s="72">
        <f>IF(AA13="",0,IF(AA13&lt;3.8,50,IF(AA13&gt;6.9,0,VLOOKUP(AA13,Liste_AT2!$A$3:$B$34,2))))</f>
        <v>0</v>
      </c>
      <c r="AC13" s="149"/>
      <c r="AD13" s="68">
        <f>IF(AC13="",0,IF(AC13&lt;8.6,50,IF(AC13&gt;12.1,0,VLOOKUP(AC13,Liste_AT2!$C$3:$D$38,2))))</f>
        <v>0</v>
      </c>
      <c r="AE13" s="153"/>
      <c r="AF13" s="72">
        <f>IF(AE13="",0,IF(AE13&lt;160,50,IF(AE13&gt;231,0,VLOOKUP(AE13,Liste_AT2!$F$3:$G$74,2))))</f>
        <v>0</v>
      </c>
      <c r="AG13" s="154">
        <v>603</v>
      </c>
      <c r="AH13" s="68">
        <f>IF(AG13="",0,IF(AG13&lt;500,50,IF(AG13&gt;626,0,VLOOKUP(AG13,Liste_AT2!$AU$3:$AW$66,3))))</f>
        <v>7</v>
      </c>
      <c r="AI13" s="154"/>
      <c r="AJ13" s="68">
        <f>IF(AI13="",0,IF(AI13&lt;822,50,IF(AI13&gt;948,0,VLOOKUP(AI13,Liste_AT2!$I$3:$J$66,2))))</f>
        <v>0</v>
      </c>
      <c r="AK13" s="148">
        <v>17.8</v>
      </c>
      <c r="AL13" s="72">
        <f>IF(AK13="",0,IF(AK13&lt;15,50,IF(AK13&gt;22.5,0,VLOOKUP(AK13,Liste_AT2!$K$3:$L$78,2))))</f>
        <v>22</v>
      </c>
      <c r="AM13" s="151"/>
      <c r="AN13" s="68">
        <f>IF(AM13="",0,IF(AM13&lt;4,50,IF(AM13&gt;9.4,0,VLOOKUP(AM13,Liste_AT2!$M$3:$N$57,2))))</f>
        <v>0</v>
      </c>
      <c r="AO13" s="150"/>
      <c r="AP13" s="72">
        <f>IF(AO13="",0,IF(AO13&gt;33,50,IF(AO13&lt;7,0,VLOOKUP(AO13,Liste_AT2!$Q$3:$R$29,2))))</f>
        <v>0</v>
      </c>
      <c r="AQ13" s="152"/>
      <c r="AR13" s="68">
        <f>IF(AQ13="",0,IF(AQ13&gt;17,50,IF(AQ13&lt;1,0,VLOOKUP(AQ13,Liste_AT2!$U$3:$V$19,2))))</f>
        <v>0</v>
      </c>
      <c r="AS13" s="150"/>
      <c r="AT13" s="72">
        <f>IF(AS13="",0,IF(AS13&gt;27,50,IF(AS13&lt;6,0,VLOOKUP(AS13,Liste_AT2!$W$3:$X$24,2))))</f>
        <v>0</v>
      </c>
      <c r="AU13" s="149"/>
      <c r="AV13" s="68">
        <f>IF(AU13="",0,IF(AU13&lt;3.7,50,IF(AU13&gt;8,0,VLOOKUP(AU13,Liste_AT2!$AA$3:$AB$46,2))))</f>
        <v>0</v>
      </c>
      <c r="AW13" s="148"/>
      <c r="AX13" s="72">
        <f>IF(AW13="",0,IF(AW13&lt;4,0,IF(AW13&gt;10.1,50,VLOOKUP(AW13,Liste_AT2!$AC$3:$AD$62,2))))</f>
        <v>0</v>
      </c>
      <c r="AY13" s="149">
        <v>6.1</v>
      </c>
      <c r="AZ13" s="68">
        <f>IF(AY13="",0,IF(AY13&gt;11.9,50,IF(AY13&lt;5,0,VLOOKUP(AY13,Liste_AT2!$AE$3:$AF$72,2))))</f>
        <v>6</v>
      </c>
      <c r="BA13" s="153"/>
      <c r="BB13" s="72">
        <f>IF(BA13="",0,IF(BA13&gt;45,50,IF(BA13&lt;2,0,VLOOKUP(BA13,Liste_AT2!$AG$3:$AH$61,2))))</f>
        <v>0</v>
      </c>
      <c r="BC13" s="154"/>
      <c r="BD13" s="68">
        <f>IF(BC13="",0,IF(BC13&gt;26,50,IF(BC13&lt;4,0,VLOOKUP(BC13,Liste_AT2!$AI$3:$AJ$25,2))))</f>
        <v>0</v>
      </c>
      <c r="BE13" s="150">
        <v>19</v>
      </c>
      <c r="BF13" s="72">
        <f>IF(BE13="",0,IF(BE13&gt;35,50,IF(BE13&lt;14,0,VLOOKUP(BE13,Liste_AT2!$AK$3:$AL$24,2))))</f>
        <v>10</v>
      </c>
      <c r="BG13" s="152"/>
      <c r="BH13" s="68">
        <f>IF(BG13="",0,IF(BG13&gt;36,50,IF(BG13&lt;7,0,VLOOKUP(BG13,Liste_AT2!$AM$3:$AN$32,2))))</f>
        <v>0</v>
      </c>
      <c r="BI13" s="150"/>
      <c r="BJ13" s="72">
        <f>IF(BI13="",0,IF(BI13&gt;45,50,IF(BI13&lt;6,0,VLOOKUP(BI13,Liste_AT2!$AO$3:$AP$52,2))))</f>
        <v>0</v>
      </c>
      <c r="BK13" s="151">
        <v>1.6</v>
      </c>
      <c r="BL13" s="68">
        <f>IF(BK13="",0,IF(BK13&gt;2.4,50,IF(BK13&lt;1.15,0,VLOOKUP(BK13,Liste_AT2!$AQ$3:$AR$52,2))))</f>
        <v>10</v>
      </c>
      <c r="BM13" s="148">
        <v>40.299999999999997</v>
      </c>
      <c r="BN13" s="72">
        <f>IF(BM13="",0,IF(BM13&lt;28,50,IF(BM13&gt;62,0,VLOOKUP(BM13,Liste_AT2!$AS$3:$AT$343,2,0))))</f>
        <v>36</v>
      </c>
      <c r="BO13" s="149">
        <v>15</v>
      </c>
      <c r="BP13" s="68">
        <f>IF(BO13="",0,IF(BO13&lt;1,0,IF(BO13&gt;28,50,VLOOKUP(BO13,Liste_AT3!$A$3:$B$30,2))))</f>
        <v>26</v>
      </c>
      <c r="BQ13" s="155"/>
      <c r="BR13" s="72">
        <f>IF(BQ13="",0,IF(BQ13&lt;5,50,IF(BQ13&gt;40,0,VLOOKUP(BQ13,Liste_AT3!$C$3:$D$38,2))))</f>
        <v>0</v>
      </c>
      <c r="BS13" s="151">
        <v>2.75</v>
      </c>
      <c r="BT13" s="68">
        <f>IF(BS13="",0,IF(BS13&lt;1,50,IF(BS13&gt;4.75,0,VLOOKUP(BS13,Liste_AT3!$E$3:$F$18,2))))</f>
        <v>22</v>
      </c>
      <c r="BU13" s="156"/>
      <c r="BV13" s="72">
        <f>IF(BU13="",0,IF(BU13&lt;1,50,IF(BU13&gt;4.75,0,VLOOKUP(BU13,Liste_AT3!$G$3:$H$18,2))))</f>
        <v>0</v>
      </c>
      <c r="BW13" s="151"/>
      <c r="BX13" s="68">
        <f>IF(BW13="",0,IF(BW13&lt;1,50,IF(BW13&gt;4.75,0,VLOOKUP(BW13,Liste_AT3!$G$3:$H$18,2))))</f>
        <v>0</v>
      </c>
      <c r="BY13" s="157"/>
      <c r="BZ13" s="72">
        <f>IF(BY13="",0,IF(BY13&gt;40,0,VLOOKUP(BY13,Liste_AT3!$I$3:$J$43,2,2)))</f>
        <v>0</v>
      </c>
      <c r="CA13" s="158"/>
      <c r="CB13" s="68">
        <f>IF(CA13="",0,IF(CA13&gt;40,0,VLOOKUP(CA13,Liste_AT3!$I$3:$J$43,2,2)))</f>
        <v>0</v>
      </c>
      <c r="CC13" s="159">
        <f>SUM(H13,J13,L13,N13,P13,R13,T13,V13,X13,Z13)</f>
        <v>76</v>
      </c>
      <c r="CD13" s="53">
        <f>IF(CC13=0,"",RANK(CC13,$CC$4:$CC$19))</f>
        <v>7</v>
      </c>
      <c r="CE13" s="159">
        <f>SUM(AB13,AD13,AF13,AJ13,AL13,AN13,AH13)</f>
        <v>29</v>
      </c>
      <c r="CF13" s="53">
        <f>IF(CE13=0,"",RANK(CE13,$CE$4:$CE$19))</f>
        <v>9</v>
      </c>
      <c r="CG13" s="159">
        <f>SUM(AP13,AR13,AT13,AV13,AX13,AZ13,BB13,BD13,BF13,BH13,BJ13,BL13,BN13)</f>
        <v>62</v>
      </c>
      <c r="CH13" s="53">
        <f>IF(CG13=0,"",RANK(CG13,$CG$4:$CG$19))</f>
        <v>11</v>
      </c>
      <c r="CI13" s="160">
        <f>SUM(BP13,BR13)</f>
        <v>26</v>
      </c>
      <c r="CJ13" s="53">
        <f>IF(CI13=0,"",RANK(CI13,$CI$4:$CI$19))</f>
        <v>5</v>
      </c>
      <c r="CK13" s="160">
        <f>SUM(BT13,BV13,BX13,BZ13,CB13)</f>
        <v>22</v>
      </c>
      <c r="CL13" s="53">
        <f>IF(CK13=0,"",RANK(CK13,$CK$4:$CK$19))</f>
        <v>14</v>
      </c>
      <c r="CM13" s="160">
        <f>SUM(CC13,CE13,CG13,CI13,CK13)</f>
        <v>215</v>
      </c>
      <c r="CN13" s="53">
        <f t="shared" si="0"/>
        <v>10</v>
      </c>
    </row>
    <row r="14" spans="1:92" s="14" customFormat="1" ht="27" customHeight="1" x14ac:dyDescent="0.3">
      <c r="A14" s="44">
        <v>10</v>
      </c>
      <c r="B14" s="135" t="s">
        <v>121</v>
      </c>
      <c r="C14" s="46" t="s">
        <v>109</v>
      </c>
      <c r="D14" s="45">
        <v>42.1</v>
      </c>
      <c r="E14" s="47">
        <v>151</v>
      </c>
      <c r="F14" s="147">
        <v>36347</v>
      </c>
      <c r="G14" s="148"/>
      <c r="H14" s="72">
        <f>IF(G14="",0,IF(G14&lt;$H$1,50,IF(G14&gt;18.7,0,VLOOKUP(G14,Liste_AT1!$A$3:$B$79,2,0))))</f>
        <v>0</v>
      </c>
      <c r="I14" s="149"/>
      <c r="J14" s="68">
        <f>IF(I14="",0,IF(I14&lt;$J$1,50,IF(I14&gt;22.8,0,VLOOKUP(I14,Liste_AT1!$C$3:$D$125,2,0))))</f>
        <v>0</v>
      </c>
      <c r="K14" s="148"/>
      <c r="L14" s="72">
        <f>IF(K14="",0,IF(K14&lt;$L$1,50,IF(K14&gt;29.2,0,VLOOKUP(K14,Liste_AT1!$E$3:$F$138,2,0))))</f>
        <v>0</v>
      </c>
      <c r="M14" s="149">
        <v>25.4</v>
      </c>
      <c r="N14" s="68">
        <f>IF(M14="",0,IF(M14&lt;15,50,IF(M14&gt;39.5,0,VLOOKUP(M14,Liste_AT1!$G$3:$H$248,2,0))))</f>
        <v>29</v>
      </c>
      <c r="O14" s="150"/>
      <c r="P14" s="72">
        <f>IF(O14="",0,IF(O14&lt;40,50,IF(O14&gt;108,0,VLOOKUP(O14,Liste_AT1!$I$3:$J$71,2,0))))</f>
        <v>0</v>
      </c>
      <c r="Q14" s="149"/>
      <c r="R14" s="68">
        <f>IF(Q14&gt;10,50,IF(Q14&lt;1,0,IF(Q14="",0,VLOOKUP(Q14,Liste_AT1!$K$3:$L$21,2,0))))</f>
        <v>0</v>
      </c>
      <c r="S14" s="148"/>
      <c r="T14" s="72">
        <f>IF(S14&gt;10,50,IF(S14&lt;1,0,VLOOKUP(S14,Liste_AT1!$M$3:$N$21,2,0)))</f>
        <v>0</v>
      </c>
      <c r="U14" s="151"/>
      <c r="V14" s="68">
        <f>IF(U14&gt;5,35,IF(U14&lt;1,0,VLOOKUP(U14,Liste_AT1!$O$3:$P$19,2)))</f>
        <v>0</v>
      </c>
      <c r="W14" s="148">
        <v>8.9</v>
      </c>
      <c r="X14" s="72">
        <f>IF(W14&gt;10,50,IF(W14&lt;1,0,VLOOKUP(W14,Liste_AT1!$Q$3:$R$21,2)))</f>
        <v>43</v>
      </c>
      <c r="Y14" s="152"/>
      <c r="Z14" s="68">
        <f>IF(Y14&gt;10,50,IF(Y14&lt;1,0,VLOOKUP(Y14,Liste_AT1!$S$3:$T$12,2)))</f>
        <v>0</v>
      </c>
      <c r="AA14" s="148"/>
      <c r="AB14" s="72">
        <f>IF(AA14="",0,IF(AA14&lt;3.8,50,IF(AA14&gt;6.9,0,VLOOKUP(AA14,Liste_AT2!$A$3:$B$34,2))))</f>
        <v>0</v>
      </c>
      <c r="AC14" s="149"/>
      <c r="AD14" s="68">
        <f>IF(AC14="",0,IF(AC14&lt;8.6,50,IF(AC14&gt;12.1,0,VLOOKUP(AC14,Liste_AT2!$C$3:$D$38,2))))</f>
        <v>0</v>
      </c>
      <c r="AE14" s="153"/>
      <c r="AF14" s="72">
        <f>IF(AE14="",0,IF(AE14&lt;160,50,IF(AE14&gt;231,0,VLOOKUP(AE14,Liste_AT2!$F$3:$G$74,2))))</f>
        <v>0</v>
      </c>
      <c r="AG14" s="154">
        <v>668</v>
      </c>
      <c r="AH14" s="68">
        <f>IF(AG14="",0,IF(AG14&lt;500,50,IF(AG14&gt;626,0,VLOOKUP(AG14,Liste_AT2!$AU$3:$AW$66,3))))</f>
        <v>0</v>
      </c>
      <c r="AI14" s="154"/>
      <c r="AJ14" s="68">
        <f>IF(AI14="",0,IF(AI14&lt;822,50,IF(AI14&gt;948,0,VLOOKUP(AI14,Liste_AT2!$I$3:$J$66,2))))</f>
        <v>0</v>
      </c>
      <c r="AK14" s="148">
        <v>18.399999999999999</v>
      </c>
      <c r="AL14" s="72">
        <f>IF(AK14="",0,IF(AK14&lt;15,50,IF(AK14&gt;22.5,0,VLOOKUP(AK14,Liste_AT2!$K$3:$L$78,2))))</f>
        <v>16</v>
      </c>
      <c r="AM14" s="151"/>
      <c r="AN14" s="68">
        <f>IF(AM14="",0,IF(AM14&lt;4,50,IF(AM14&gt;9.4,0,VLOOKUP(AM14,Liste_AT2!$M$3:$N$57,2))))</f>
        <v>0</v>
      </c>
      <c r="AO14" s="150"/>
      <c r="AP14" s="72">
        <f>IF(AO14="",0,IF(AO14&gt;33,50,IF(AO14&lt;7,0,VLOOKUP(AO14,Liste_AT2!$Q$3:$R$29,2))))</f>
        <v>0</v>
      </c>
      <c r="AQ14" s="152"/>
      <c r="AR14" s="68">
        <f>IF(AQ14="",0,IF(AQ14&gt;17,50,IF(AQ14&lt;1,0,VLOOKUP(AQ14,Liste_AT2!$U$3:$V$19,2))))</f>
        <v>0</v>
      </c>
      <c r="AS14" s="150"/>
      <c r="AT14" s="72">
        <f>IF(AS14="",0,IF(AS14&gt;27,50,IF(AS14&lt;6,0,VLOOKUP(AS14,Liste_AT2!$W$3:$X$24,2))))</f>
        <v>0</v>
      </c>
      <c r="AU14" s="149"/>
      <c r="AV14" s="68">
        <f>IF(AU14="",0,IF(AU14&lt;3.7,50,IF(AU14&gt;8,0,VLOOKUP(AU14,Liste_AT2!$AA$3:$AB$46,2))))</f>
        <v>0</v>
      </c>
      <c r="AW14" s="148"/>
      <c r="AX14" s="72">
        <f>IF(AW14="",0,IF(AW14&lt;4,0,IF(AW14&gt;10.1,50,VLOOKUP(AW14,Liste_AT2!$AC$3:$AD$62,2))))</f>
        <v>0</v>
      </c>
      <c r="AY14" s="149">
        <v>7.3</v>
      </c>
      <c r="AZ14" s="68">
        <f>IF(AY14="",0,IF(AY14&gt;11.9,50,IF(AY14&lt;5,0,VLOOKUP(AY14,Liste_AT2!$AE$3:$AF$72,2))))</f>
        <v>14</v>
      </c>
      <c r="BA14" s="153"/>
      <c r="BB14" s="72">
        <f>IF(BA14="",0,IF(BA14&gt;45,50,IF(BA14&lt;2,0,VLOOKUP(BA14,Liste_AT2!$AG$3:$AH$61,2))))</f>
        <v>0</v>
      </c>
      <c r="BC14" s="154"/>
      <c r="BD14" s="68">
        <f>IF(BC14="",0,IF(BC14&gt;26,50,IF(BC14&lt;4,0,VLOOKUP(BC14,Liste_AT2!$AI$3:$AJ$25,2))))</f>
        <v>0</v>
      </c>
      <c r="BE14" s="150">
        <v>19</v>
      </c>
      <c r="BF14" s="72">
        <f>IF(BE14="",0,IF(BE14&gt;35,50,IF(BE14&lt;14,0,VLOOKUP(BE14,Liste_AT2!$AK$3:$AL$24,2))))</f>
        <v>10</v>
      </c>
      <c r="BG14" s="152"/>
      <c r="BH14" s="68">
        <f>IF(BG14="",0,IF(BG14&gt;36,50,IF(BG14&lt;7,0,VLOOKUP(BG14,Liste_AT2!$AM$3:$AN$32,2))))</f>
        <v>0</v>
      </c>
      <c r="BI14" s="150"/>
      <c r="BJ14" s="72">
        <f>IF(BI14="",0,IF(BI14&gt;45,50,IF(BI14&lt;6,0,VLOOKUP(BI14,Liste_AT2!$AO$3:$AP$52,2))))</f>
        <v>0</v>
      </c>
      <c r="BK14" s="151">
        <v>1.61</v>
      </c>
      <c r="BL14" s="68">
        <f>IF(BK14="",0,IF(BK14&gt;2.4,50,IF(BK14&lt;1.15,0,VLOOKUP(BK14,Liste_AT2!$AQ$3:$AR$52,2))))</f>
        <v>10</v>
      </c>
      <c r="BM14" s="148">
        <v>34</v>
      </c>
      <c r="BN14" s="72">
        <f>IF(BM14="",0,IF(BM14&lt;28,50,IF(BM14&gt;62,0,VLOOKUP(BM14,Liste_AT2!$AS$3:$AT$343,2,0))))</f>
        <v>44</v>
      </c>
      <c r="BO14" s="149">
        <v>3.8</v>
      </c>
      <c r="BP14" s="68">
        <f>IF(BO14="",0,IF(BO14&lt;1,0,IF(BO14&gt;28,50,VLOOKUP(BO14,Liste_AT3!$A$3:$B$30,2))))</f>
        <v>2</v>
      </c>
      <c r="BQ14" s="155"/>
      <c r="BR14" s="72">
        <f>IF(BQ14="",0,IF(BQ14&lt;5,50,IF(BQ14&gt;40,0,VLOOKUP(BQ14,Liste_AT3!$C$3:$D$38,2))))</f>
        <v>0</v>
      </c>
      <c r="BS14" s="151">
        <v>2.25</v>
      </c>
      <c r="BT14" s="68">
        <f>IF(BS14="",0,IF(BS14&lt;1,50,IF(BS14&gt;4.75,0,VLOOKUP(BS14,Liste_AT3!$E$3:$F$18,2))))</f>
        <v>29</v>
      </c>
      <c r="BU14" s="156"/>
      <c r="BV14" s="72">
        <f>IF(BU14="",0,IF(BU14&lt;1,50,IF(BU14&gt;4.75,0,VLOOKUP(BU14,Liste_AT3!$G$3:$H$18,2))))</f>
        <v>0</v>
      </c>
      <c r="BW14" s="151"/>
      <c r="BX14" s="68">
        <f>IF(BW14="",0,IF(BW14&lt;1,50,IF(BW14&gt;4.75,0,VLOOKUP(BW14,Liste_AT3!$G$3:$H$18,2))))</f>
        <v>0</v>
      </c>
      <c r="BY14" s="157"/>
      <c r="BZ14" s="72">
        <f>IF(BY14="",0,IF(BY14&gt;40,0,VLOOKUP(BY14,Liste_AT3!$I$3:$J$43,2,2)))</f>
        <v>0</v>
      </c>
      <c r="CA14" s="158"/>
      <c r="CB14" s="68">
        <f>IF(CA14="",0,IF(CA14&gt;40,0,VLOOKUP(CA14,Liste_AT3!$I$3:$J$43,2,2)))</f>
        <v>0</v>
      </c>
      <c r="CC14" s="159">
        <f>SUM(H14,J14,L14,N14,P14,R14,T14,V14,X14,Z14)</f>
        <v>72</v>
      </c>
      <c r="CD14" s="53">
        <f>IF(CC14=0,"",RANK(CC14,$CC$4:$CC$19))</f>
        <v>8</v>
      </c>
      <c r="CE14" s="159">
        <f>SUM(AB14,AD14,AF14,AJ14,AL14,AN14,AH14)</f>
        <v>16</v>
      </c>
      <c r="CF14" s="53">
        <f>IF(CE14=0,"",RANK(CE14,$CE$4:$CE$19))</f>
        <v>11</v>
      </c>
      <c r="CG14" s="159">
        <f>SUM(AP14,AR14,AT14,AV14,AX14,AZ14,BB14,BD14,BF14,BH14,BJ14,BL14,BN14)</f>
        <v>78</v>
      </c>
      <c r="CH14" s="53">
        <f>IF(CG14=0,"",RANK(CG14,$CG$4:$CG$19))</f>
        <v>7</v>
      </c>
      <c r="CI14" s="160">
        <f>SUM(BP14,BR14)</f>
        <v>2</v>
      </c>
      <c r="CJ14" s="53">
        <f>IF(CI14=0,"",RANK(CI14,$CI$4:$CI$19))</f>
        <v>15</v>
      </c>
      <c r="CK14" s="160">
        <f>SUM(BT14,BV14,BX14,BZ14,CB14)</f>
        <v>29</v>
      </c>
      <c r="CL14" s="53">
        <f>IF(CK14=0,"",RANK(CK14,$CK$4:$CK$19))</f>
        <v>7</v>
      </c>
      <c r="CM14" s="160">
        <f>SUM(CC14,CE14,CG14,CI14,CK14)</f>
        <v>197</v>
      </c>
      <c r="CN14" s="53">
        <f t="shared" si="0"/>
        <v>11</v>
      </c>
    </row>
    <row r="15" spans="1:92" s="14" customFormat="1" ht="27" customHeight="1" x14ac:dyDescent="0.3">
      <c r="A15" s="44">
        <v>8</v>
      </c>
      <c r="B15" s="135" t="s">
        <v>133</v>
      </c>
      <c r="C15" s="46" t="s">
        <v>99</v>
      </c>
      <c r="D15" s="45">
        <v>59.1</v>
      </c>
      <c r="E15" s="47">
        <v>165</v>
      </c>
      <c r="F15" s="147">
        <v>36368</v>
      </c>
      <c r="G15" s="148"/>
      <c r="H15" s="72">
        <f>IF(G15="",0,IF(G15&lt;$H$1,50,IF(G15&gt;18.7,0,VLOOKUP(G15,Liste_AT1!$A$3:$B$79,2,0))))</f>
        <v>0</v>
      </c>
      <c r="I15" s="149"/>
      <c r="J15" s="68">
        <f>IF(I15="",0,IF(I15&lt;$J$1,50,IF(I15&gt;22.8,0,VLOOKUP(I15,Liste_AT1!$C$3:$D$125,2,0))))</f>
        <v>0</v>
      </c>
      <c r="K15" s="148"/>
      <c r="L15" s="72">
        <f>IF(K15="",0,IF(K15&lt;$L$1,50,IF(K15&gt;29.2,0,VLOOKUP(K15,Liste_AT1!$E$3:$F$138,2,0))))</f>
        <v>0</v>
      </c>
      <c r="M15" s="149">
        <v>25.8</v>
      </c>
      <c r="N15" s="68">
        <f>IF(M15="",0,IF(M15&lt;15,50,IF(M15&gt;39.5,0,VLOOKUP(M15,Liste_AT1!$G$3:$H$248,2,0))))</f>
        <v>28</v>
      </c>
      <c r="O15" s="150"/>
      <c r="P15" s="72">
        <f>IF(O15="",0,IF(O15&lt;40,50,IF(O15&gt;108,0,VLOOKUP(O15,Liste_AT1!$I$3:$J$71,2,0))))</f>
        <v>0</v>
      </c>
      <c r="Q15" s="149"/>
      <c r="R15" s="68">
        <f>IF(Q15&gt;10,50,IF(Q15&lt;1,0,IF(Q15="",0,VLOOKUP(Q15,Liste_AT1!$K$3:$L$21,2,0))))</f>
        <v>0</v>
      </c>
      <c r="S15" s="148"/>
      <c r="T15" s="72">
        <f>IF(S15&gt;10,50,IF(S15&lt;1,0,VLOOKUP(S15,Liste_AT1!$M$3:$N$21,2,0)))</f>
        <v>0</v>
      </c>
      <c r="U15" s="151"/>
      <c r="V15" s="68">
        <f>IF(U15&gt;5,35,IF(U15&lt;1,0,VLOOKUP(U15,Liste_AT1!$O$3:$P$19,2)))</f>
        <v>0</v>
      </c>
      <c r="W15" s="148">
        <v>7.1</v>
      </c>
      <c r="X15" s="72">
        <f>IF(W15&gt;10,50,IF(W15&lt;1,0,VLOOKUP(W15,Liste_AT1!$Q$3:$R$21,2)))</f>
        <v>34</v>
      </c>
      <c r="Y15" s="152"/>
      <c r="Z15" s="68">
        <f>IF(Y15&gt;10,50,IF(Y15&lt;1,0,VLOOKUP(Y15,Liste_AT1!$S$3:$T$12,2)))</f>
        <v>0</v>
      </c>
      <c r="AA15" s="148"/>
      <c r="AB15" s="72">
        <f>IF(AA15="",0,IF(AA15&lt;3.8,50,IF(AA15&gt;6.9,0,VLOOKUP(AA15,Liste_AT2!$A$3:$B$34,2))))</f>
        <v>0</v>
      </c>
      <c r="AC15" s="149"/>
      <c r="AD15" s="68">
        <f>IF(AC15="",0,IF(AC15&lt;8.6,50,IF(AC15&gt;12.1,0,VLOOKUP(AC15,Liste_AT2!$C$3:$D$38,2))))</f>
        <v>0</v>
      </c>
      <c r="AE15" s="153"/>
      <c r="AF15" s="72">
        <f>IF(AE15="",0,IF(AE15&lt;160,50,IF(AE15&gt;231,0,VLOOKUP(AE15,Liste_AT2!$F$3:$G$74,2))))</f>
        <v>0</v>
      </c>
      <c r="AG15" s="154">
        <v>726</v>
      </c>
      <c r="AH15" s="68">
        <f>IF(AG15="",0,IF(AG15&lt;500,50,IF(AG15&gt;626,0,VLOOKUP(AG15,Liste_AT2!$AU$3:$AW$66,3))))</f>
        <v>0</v>
      </c>
      <c r="AI15" s="154"/>
      <c r="AJ15" s="68">
        <f>IF(AI15="",0,IF(AI15&lt;822,50,IF(AI15&gt;948,0,VLOOKUP(AI15,Liste_AT2!$I$3:$J$66,2))))</f>
        <v>0</v>
      </c>
      <c r="AK15" s="148">
        <v>19.3</v>
      </c>
      <c r="AL15" s="72">
        <f>IF(AK15="",0,IF(AK15&lt;15,50,IF(AK15&gt;22.5,0,VLOOKUP(AK15,Liste_AT2!$K$3:$L$78,2))))</f>
        <v>11</v>
      </c>
      <c r="AM15" s="151"/>
      <c r="AN15" s="68">
        <f>IF(AM15="",0,IF(AM15&lt;4,50,IF(AM15&gt;9.4,0,VLOOKUP(AM15,Liste_AT2!$M$3:$N$57,2))))</f>
        <v>0</v>
      </c>
      <c r="AO15" s="150"/>
      <c r="AP15" s="72">
        <f>IF(AO15="",0,IF(AO15&gt;33,50,IF(AO15&lt;7,0,VLOOKUP(AO15,Liste_AT2!$Q$3:$R$29,2))))</f>
        <v>0</v>
      </c>
      <c r="AQ15" s="152"/>
      <c r="AR15" s="68">
        <f>IF(AQ15="",0,IF(AQ15&gt;17,50,IF(AQ15&lt;1,0,VLOOKUP(AQ15,Liste_AT2!$U$3:$V$19,2))))</f>
        <v>0</v>
      </c>
      <c r="AS15" s="150"/>
      <c r="AT15" s="72">
        <f>IF(AS15="",0,IF(AS15&gt;27,50,IF(AS15&lt;6,0,VLOOKUP(AS15,Liste_AT2!$W$3:$X$24,2))))</f>
        <v>0</v>
      </c>
      <c r="AU15" s="149"/>
      <c r="AV15" s="68">
        <f>IF(AU15="",0,IF(AU15&lt;3.7,50,IF(AU15&gt;8,0,VLOOKUP(AU15,Liste_AT2!$AA$3:$AB$46,2))))</f>
        <v>0</v>
      </c>
      <c r="AW15" s="148"/>
      <c r="AX15" s="72">
        <f>IF(AW15="",0,IF(AW15&lt;4,0,IF(AW15&gt;10.1,50,VLOOKUP(AW15,Liste_AT2!$AC$3:$AD$62,2))))</f>
        <v>0</v>
      </c>
      <c r="AY15" s="149">
        <v>7.8</v>
      </c>
      <c r="AZ15" s="68">
        <f>IF(AY15="",0,IF(AY15&gt;11.9,50,IF(AY15&lt;5,0,VLOOKUP(AY15,Liste_AT2!$AE$3:$AF$72,2))))</f>
        <v>19</v>
      </c>
      <c r="BA15" s="153"/>
      <c r="BB15" s="72">
        <f>IF(BA15="",0,IF(BA15&gt;45,50,IF(BA15&lt;2,0,VLOOKUP(BA15,Liste_AT2!$AG$3:$AH$61,2))))</f>
        <v>0</v>
      </c>
      <c r="BC15" s="154"/>
      <c r="BD15" s="68">
        <f>IF(BC15="",0,IF(BC15&gt;26,50,IF(BC15&lt;4,0,VLOOKUP(BC15,Liste_AT2!$AI$3:$AJ$25,2))))</f>
        <v>0</v>
      </c>
      <c r="BE15" s="150">
        <v>10</v>
      </c>
      <c r="BF15" s="72">
        <f>IF(BE15="",0,IF(BE15&gt;35,50,IF(BE15&lt;14,0,VLOOKUP(BE15,Liste_AT2!$AK$3:$AL$24,2))))</f>
        <v>0</v>
      </c>
      <c r="BG15" s="152"/>
      <c r="BH15" s="68">
        <f>IF(BG15="",0,IF(BG15&gt;36,50,IF(BG15&lt;7,0,VLOOKUP(BG15,Liste_AT2!$AM$3:$AN$32,2))))</f>
        <v>0</v>
      </c>
      <c r="BI15" s="150"/>
      <c r="BJ15" s="72">
        <f>IF(BI15="",0,IF(BI15&gt;45,50,IF(BI15&lt;6,0,VLOOKUP(BI15,Liste_AT2!$AO$3:$AP$52,2))))</f>
        <v>0</v>
      </c>
      <c r="BK15" s="151">
        <v>1.65</v>
      </c>
      <c r="BL15" s="68">
        <f>IF(BK15="",0,IF(BK15&gt;2.4,50,IF(BK15&lt;1.15,0,VLOOKUP(BK15,Liste_AT2!$AQ$3:$AR$52,2))))</f>
        <v>12</v>
      </c>
      <c r="BM15" s="148">
        <v>37</v>
      </c>
      <c r="BN15" s="72">
        <f>IF(BM15="",0,IF(BM15&lt;28,50,IF(BM15&gt;62,0,VLOOKUP(BM15,Liste_AT2!$AS$3:$AT$343,2,0))))</f>
        <v>41</v>
      </c>
      <c r="BO15" s="149">
        <v>7</v>
      </c>
      <c r="BP15" s="68">
        <f>IF(BO15="",0,IF(BO15&lt;1,0,IF(BO15&gt;28,50,VLOOKUP(BO15,Liste_AT3!$A$3:$B$30,2))))</f>
        <v>10</v>
      </c>
      <c r="BQ15" s="155"/>
      <c r="BR15" s="72">
        <f>IF(BQ15="",0,IF(BQ15&lt;5,50,IF(BQ15&gt;40,0,VLOOKUP(BQ15,Liste_AT3!$C$3:$D$38,2))))</f>
        <v>0</v>
      </c>
      <c r="BS15" s="151">
        <v>2.5</v>
      </c>
      <c r="BT15" s="68">
        <f>IF(BS15="",0,IF(BS15&lt;1,50,IF(BS15&gt;4.75,0,VLOOKUP(BS15,Liste_AT3!$E$3:$F$18,2))))</f>
        <v>25</v>
      </c>
      <c r="BU15" s="156"/>
      <c r="BV15" s="72">
        <f>IF(BU15="",0,IF(BU15&lt;1,50,IF(BU15&gt;4.75,0,VLOOKUP(BU15,Liste_AT3!$G$3:$H$18,2))))</f>
        <v>0</v>
      </c>
      <c r="BW15" s="151"/>
      <c r="BX15" s="68">
        <f>IF(BW15="",0,IF(BW15&lt;1,50,IF(BW15&gt;4.75,0,VLOOKUP(BW15,Liste_AT3!$G$3:$H$18,2))))</f>
        <v>0</v>
      </c>
      <c r="BY15" s="157"/>
      <c r="BZ15" s="72">
        <f>IF(BY15="",0,IF(BY15&gt;40,0,VLOOKUP(BY15,Liste_AT3!$I$3:$J$43,2,2)))</f>
        <v>0</v>
      </c>
      <c r="CA15" s="158"/>
      <c r="CB15" s="68">
        <f>IF(CA15="",0,IF(CA15&gt;40,0,VLOOKUP(CA15,Liste_AT3!$I$3:$J$43,2,2)))</f>
        <v>0</v>
      </c>
      <c r="CC15" s="159">
        <f>SUM(H15,J15,L15,N15,P15,R15,T15,V15,X15,Z15)</f>
        <v>62</v>
      </c>
      <c r="CD15" s="53">
        <f>IF(CC15=0,"",RANK(CC15,$CC$4:$CC$19))</f>
        <v>12</v>
      </c>
      <c r="CE15" s="159">
        <f>SUM(AB15,AD15,AF15,AJ15,AL15,AN15,AH15)</f>
        <v>11</v>
      </c>
      <c r="CF15" s="53">
        <f>IF(CE15=0,"",RANK(CE15,$CE$4:$CE$19))</f>
        <v>12</v>
      </c>
      <c r="CG15" s="159">
        <f>SUM(AP15,AR15,AT15,AV15,AX15,AZ15,BB15,BD15,BF15,BH15,BJ15,BL15,BN15)</f>
        <v>72</v>
      </c>
      <c r="CH15" s="53">
        <f>IF(CG15=0,"",RANK(CG15,$CG$4:$CG$19))</f>
        <v>10</v>
      </c>
      <c r="CI15" s="160">
        <f>SUM(BP15,BR15)</f>
        <v>10</v>
      </c>
      <c r="CJ15" s="53">
        <f>IF(CI15=0,"",RANK(CI15,$CI$4:$CI$19))</f>
        <v>13</v>
      </c>
      <c r="CK15" s="160">
        <f>SUM(BT15,BV15,BX15,BZ15,CB15)</f>
        <v>25</v>
      </c>
      <c r="CL15" s="53">
        <f>IF(CK15=0,"",RANK(CK15,$CK$4:$CK$19))</f>
        <v>10</v>
      </c>
      <c r="CM15" s="160">
        <f>SUM(CC15,CE15,CG15,CI15,CK15)</f>
        <v>180</v>
      </c>
      <c r="CN15" s="53">
        <f t="shared" si="0"/>
        <v>12</v>
      </c>
    </row>
    <row r="16" spans="1:92" s="14" customFormat="1" ht="27" customHeight="1" x14ac:dyDescent="0.3">
      <c r="A16" s="44">
        <v>14</v>
      </c>
      <c r="B16" s="135" t="s">
        <v>119</v>
      </c>
      <c r="C16" s="46" t="s">
        <v>98</v>
      </c>
      <c r="D16" s="45">
        <v>45</v>
      </c>
      <c r="E16" s="47">
        <v>152</v>
      </c>
      <c r="F16" s="147">
        <v>36492</v>
      </c>
      <c r="G16" s="148"/>
      <c r="H16" s="72">
        <f>IF(G16="",0,IF(G16&lt;$H$1,50,IF(G16&gt;18.7,0,VLOOKUP(G16,Liste_AT1!$A$3:$B$79,2,0))))</f>
        <v>0</v>
      </c>
      <c r="I16" s="149"/>
      <c r="J16" s="68">
        <f>IF(I16="",0,IF(I16&lt;$J$1,50,IF(I16&gt;22.8,0,VLOOKUP(I16,Liste_AT1!$C$3:$D$125,2,0))))</f>
        <v>0</v>
      </c>
      <c r="K16" s="148"/>
      <c r="L16" s="72">
        <f>IF(K16="",0,IF(K16&lt;$L$1,50,IF(K16&gt;29.2,0,VLOOKUP(K16,Liste_AT1!$E$3:$F$138,2,0))))</f>
        <v>0</v>
      </c>
      <c r="M16" s="149">
        <v>34.5</v>
      </c>
      <c r="N16" s="68">
        <f>IF(M16="",0,IF(M16&lt;15,50,IF(M16&gt;39.5,0,VLOOKUP(M16,Liste_AT1!$G$3:$H$248,2,0))))</f>
        <v>11</v>
      </c>
      <c r="O16" s="150"/>
      <c r="P16" s="72">
        <f>IF(O16="",0,IF(O16&lt;40,50,IF(O16&gt;108,0,VLOOKUP(O16,Liste_AT1!$I$3:$J$71,2,0))))</f>
        <v>0</v>
      </c>
      <c r="Q16" s="149"/>
      <c r="R16" s="68">
        <f>IF(Q16&gt;10,50,IF(Q16&lt;1,0,IF(Q16="",0,VLOOKUP(Q16,Liste_AT1!$K$3:$L$21,2,0))))</f>
        <v>0</v>
      </c>
      <c r="S16" s="148"/>
      <c r="T16" s="72">
        <f>IF(S16&gt;10,50,IF(S16&lt;1,0,VLOOKUP(S16,Liste_AT1!$M$3:$N$21,2,0)))</f>
        <v>0</v>
      </c>
      <c r="U16" s="151"/>
      <c r="V16" s="68">
        <f>IF(U16&gt;5,35,IF(U16&lt;1,0,VLOOKUP(U16,Liste_AT1!$O$3:$P$19,2)))</f>
        <v>0</v>
      </c>
      <c r="W16" s="148">
        <v>9.1</v>
      </c>
      <c r="X16" s="72">
        <f>IF(W16&gt;10,50,IF(W16&lt;1,0,VLOOKUP(W16,Liste_AT1!$Q$3:$R$21,2)))</f>
        <v>46</v>
      </c>
      <c r="Y16" s="152"/>
      <c r="Z16" s="68">
        <f>IF(Y16&gt;10,50,IF(Y16&lt;1,0,VLOOKUP(Y16,Liste_AT1!$S$3:$T$12,2)))</f>
        <v>0</v>
      </c>
      <c r="AA16" s="148"/>
      <c r="AB16" s="72">
        <f>IF(AA16="",0,IF(AA16&lt;3.8,50,IF(AA16&gt;6.9,0,VLOOKUP(AA16,Liste_AT2!$A$3:$B$34,2))))</f>
        <v>0</v>
      </c>
      <c r="AC16" s="149"/>
      <c r="AD16" s="68">
        <f>IF(AC16="",0,IF(AC16&lt;8.6,50,IF(AC16&gt;12.1,0,VLOOKUP(AC16,Liste_AT2!$C$3:$D$38,2))))</f>
        <v>0</v>
      </c>
      <c r="AE16" s="153"/>
      <c r="AF16" s="72">
        <f>IF(AE16="",0,IF(AE16&lt;160,50,IF(AE16&gt;231,0,VLOOKUP(AE16,Liste_AT2!$F$3:$G$74,2))))</f>
        <v>0</v>
      </c>
      <c r="AG16" s="154">
        <v>628</v>
      </c>
      <c r="AH16" s="68">
        <f>IF(AG16="",0,IF(AG16&lt;500,50,IF(AG16&gt;626,0,VLOOKUP(AG16,Liste_AT2!$AU$3:$AW$66,3))))</f>
        <v>0</v>
      </c>
      <c r="AI16" s="154"/>
      <c r="AJ16" s="68">
        <f>IF(AI16="",0,IF(AI16&lt;822,50,IF(AI16&gt;948,0,VLOOKUP(AI16,Liste_AT2!$I$3:$J$66,2))))</f>
        <v>0</v>
      </c>
      <c r="AK16" s="148">
        <v>19.3</v>
      </c>
      <c r="AL16" s="72">
        <f>IF(AK16="",0,IF(AK16&lt;15,50,IF(AK16&gt;22.5,0,VLOOKUP(AK16,Liste_AT2!$K$3:$L$78,2))))</f>
        <v>11</v>
      </c>
      <c r="AM16" s="151"/>
      <c r="AN16" s="68">
        <f>IF(AM16="",0,IF(AM16&lt;4,50,IF(AM16&gt;9.4,0,VLOOKUP(AM16,Liste_AT2!$M$3:$N$57,2))))</f>
        <v>0</v>
      </c>
      <c r="AO16" s="150"/>
      <c r="AP16" s="72">
        <f>IF(AO16="",0,IF(AO16&gt;33,50,IF(AO16&lt;7,0,VLOOKUP(AO16,Liste_AT2!$Q$3:$R$29,2))))</f>
        <v>0</v>
      </c>
      <c r="AQ16" s="152"/>
      <c r="AR16" s="68">
        <f>IF(AQ16="",0,IF(AQ16&gt;17,50,IF(AQ16&lt;1,0,VLOOKUP(AQ16,Liste_AT2!$U$3:$V$19,2))))</f>
        <v>0</v>
      </c>
      <c r="AS16" s="150"/>
      <c r="AT16" s="72">
        <f>IF(AS16="",0,IF(AS16&gt;27,50,IF(AS16&lt;6,0,VLOOKUP(AS16,Liste_AT2!$W$3:$X$24,2))))</f>
        <v>0</v>
      </c>
      <c r="AU16" s="149"/>
      <c r="AV16" s="68">
        <f>IF(AU16="",0,IF(AU16&lt;3.7,50,IF(AU16&gt;8,0,VLOOKUP(AU16,Liste_AT2!$AA$3:$AB$46,2))))</f>
        <v>0</v>
      </c>
      <c r="AW16" s="148"/>
      <c r="AX16" s="72">
        <f>IF(AW16="",0,IF(AW16&lt;4,0,IF(AW16&gt;10.1,50,VLOOKUP(AW16,Liste_AT2!$AC$3:$AD$62,2))))</f>
        <v>0</v>
      </c>
      <c r="AY16" s="149">
        <v>5.7</v>
      </c>
      <c r="AZ16" s="68">
        <f>IF(AY16="",0,IF(AY16&gt;11.9,50,IF(AY16&lt;5,0,VLOOKUP(AY16,Liste_AT2!$AE$3:$AF$72,2))))</f>
        <v>4</v>
      </c>
      <c r="BA16" s="153"/>
      <c r="BB16" s="72">
        <f>IF(BA16="",0,IF(BA16&gt;45,50,IF(BA16&lt;2,0,VLOOKUP(BA16,Liste_AT2!$AG$3:$AH$61,2))))</f>
        <v>0</v>
      </c>
      <c r="BC16" s="154"/>
      <c r="BD16" s="68">
        <f>IF(BC16="",0,IF(BC16&gt;26,50,IF(BC16&lt;4,0,VLOOKUP(BC16,Liste_AT2!$AI$3:$AJ$25,2))))</f>
        <v>0</v>
      </c>
      <c r="BE16" s="150">
        <v>17</v>
      </c>
      <c r="BF16" s="72">
        <f>IF(BE16="",0,IF(BE16&gt;35,50,IF(BE16&lt;14,0,VLOOKUP(BE16,Liste_AT2!$AK$3:$AL$24,2))))</f>
        <v>6</v>
      </c>
      <c r="BG16" s="152"/>
      <c r="BH16" s="68">
        <f>IF(BG16="",0,IF(BG16&gt;36,50,IF(BG16&lt;7,0,VLOOKUP(BG16,Liste_AT2!$AM$3:$AN$32,2))))</f>
        <v>0</v>
      </c>
      <c r="BI16" s="150"/>
      <c r="BJ16" s="72">
        <f>IF(BI16="",0,IF(BI16&gt;45,50,IF(BI16&lt;6,0,VLOOKUP(BI16,Liste_AT2!$AO$3:$AP$52,2))))</f>
        <v>0</v>
      </c>
      <c r="BK16" s="151">
        <v>1.64</v>
      </c>
      <c r="BL16" s="68">
        <f>IF(BK16="",0,IF(BK16&gt;2.4,50,IF(BK16&lt;1.15,0,VLOOKUP(BK16,Liste_AT2!$AQ$3:$AR$52,2))))</f>
        <v>12</v>
      </c>
      <c r="BM16" s="148">
        <v>39.299999999999997</v>
      </c>
      <c r="BN16" s="72">
        <f>IF(BM16="",0,IF(BM16&lt;28,50,IF(BM16&gt;62,0,VLOOKUP(BM16,Liste_AT2!$AS$3:$AT$343,2,0))))</f>
        <v>38</v>
      </c>
      <c r="BO16" s="149">
        <v>9.3000000000000007</v>
      </c>
      <c r="BP16" s="68">
        <f>IF(BO16="",0,IF(BO16&lt;1,0,IF(BO16&gt;28,50,VLOOKUP(BO16,Liste_AT3!$A$3:$B$30,2))))</f>
        <v>14</v>
      </c>
      <c r="BQ16" s="155"/>
      <c r="BR16" s="72">
        <f>IF(BQ16="",0,IF(BQ16&lt;5,50,IF(BQ16&gt;40,0,VLOOKUP(BQ16,Liste_AT3!$C$3:$D$38,2))))</f>
        <v>0</v>
      </c>
      <c r="BS16" s="151">
        <v>2.5</v>
      </c>
      <c r="BT16" s="68">
        <f>IF(BS16="",0,IF(BS16&lt;1,50,IF(BS16&gt;4.75,0,VLOOKUP(BS16,Liste_AT3!$E$3:$F$18,2))))</f>
        <v>25</v>
      </c>
      <c r="BU16" s="156"/>
      <c r="BV16" s="72">
        <f>IF(BU16="",0,IF(BU16&lt;1,50,IF(BU16&gt;4.75,0,VLOOKUP(BU16,Liste_AT3!$G$3:$H$18,2))))</f>
        <v>0</v>
      </c>
      <c r="BW16" s="151"/>
      <c r="BX16" s="68">
        <f>IF(BW16="",0,IF(BW16&lt;1,50,IF(BW16&gt;4.75,0,VLOOKUP(BW16,Liste_AT3!$G$3:$H$18,2))))</f>
        <v>0</v>
      </c>
      <c r="BY16" s="157"/>
      <c r="BZ16" s="72">
        <f>IF(BY16="",0,IF(BY16&gt;40,0,VLOOKUP(BY16,Liste_AT3!$I$3:$J$43,2,2)))</f>
        <v>0</v>
      </c>
      <c r="CA16" s="158"/>
      <c r="CB16" s="68">
        <f>IF(CA16="",0,IF(CA16&gt;40,0,VLOOKUP(CA16,Liste_AT3!$I$3:$J$43,2,2)))</f>
        <v>0</v>
      </c>
      <c r="CC16" s="159">
        <f>SUM(H16,J16,L16,N16,P16,R16,T16,V16,X16,Z16)</f>
        <v>57</v>
      </c>
      <c r="CD16" s="53">
        <f>IF(CC16=0,"",RANK(CC16,$CC$4:$CC$19))</f>
        <v>15</v>
      </c>
      <c r="CE16" s="159">
        <f>SUM(AB16,AD16,AF16,AJ16,AL16,AN16,AH16)</f>
        <v>11</v>
      </c>
      <c r="CF16" s="53">
        <f>IF(CE16=0,"",RANK(CE16,$CE$4:$CE$19))</f>
        <v>12</v>
      </c>
      <c r="CG16" s="159">
        <f>SUM(AP16,AR16,AT16,AV16,AX16,AZ16,BB16,BD16,BF16,BH16,BJ16,BL16,BN16)</f>
        <v>60</v>
      </c>
      <c r="CH16" s="53">
        <f>IF(CG16=0,"",RANK(CG16,$CG$4:$CG$19))</f>
        <v>13</v>
      </c>
      <c r="CI16" s="160">
        <f>SUM(BP16,BR16)</f>
        <v>14</v>
      </c>
      <c r="CJ16" s="53">
        <f>IF(CI16=0,"",RANK(CI16,$CI$4:$CI$19))</f>
        <v>10</v>
      </c>
      <c r="CK16" s="160">
        <f>SUM(BT16,BV16,BX16,BZ16,CB16)</f>
        <v>25</v>
      </c>
      <c r="CL16" s="53">
        <f>IF(CK16=0,"",RANK(CK16,$CK$4:$CK$19))</f>
        <v>10</v>
      </c>
      <c r="CM16" s="160">
        <f>SUM(CC16,CE16,CG16,CI16,CK16)</f>
        <v>167</v>
      </c>
      <c r="CN16" s="53">
        <f t="shared" si="0"/>
        <v>13</v>
      </c>
    </row>
    <row r="17" spans="1:92" s="14" customFormat="1" ht="27" customHeight="1" x14ac:dyDescent="0.3">
      <c r="A17" s="44">
        <v>15</v>
      </c>
      <c r="B17" s="135" t="s">
        <v>120</v>
      </c>
      <c r="C17" s="46" t="s">
        <v>109</v>
      </c>
      <c r="D17" s="45">
        <v>86.2</v>
      </c>
      <c r="E17" s="47">
        <v>163</v>
      </c>
      <c r="F17" s="147">
        <v>36281</v>
      </c>
      <c r="G17" s="148"/>
      <c r="H17" s="72">
        <f>IF(G17="",0,IF(G17&lt;$H$1,50,IF(G17&gt;18.7,0,VLOOKUP(G17,Liste_AT1!$A$3:$B$79,2,0))))</f>
        <v>0</v>
      </c>
      <c r="I17" s="149"/>
      <c r="J17" s="68">
        <f>IF(I17="",0,IF(I17&lt;$J$1,50,IF(I17&gt;22.8,0,VLOOKUP(I17,Liste_AT1!$C$3:$D$125,2,0))))</f>
        <v>0</v>
      </c>
      <c r="K17" s="148"/>
      <c r="L17" s="72">
        <f>IF(K17="",0,IF(K17&lt;$L$1,50,IF(K17&gt;29.2,0,VLOOKUP(K17,Liste_AT1!$E$3:$F$138,2,0))))</f>
        <v>0</v>
      </c>
      <c r="M17" s="149">
        <v>31.2</v>
      </c>
      <c r="N17" s="68">
        <f>IF(M17="",0,IF(M17&lt;15,50,IF(M17&gt;39.5,0,VLOOKUP(M17,Liste_AT1!$G$3:$H$248,2,0))))</f>
        <v>17</v>
      </c>
      <c r="O17" s="150"/>
      <c r="P17" s="72">
        <f>IF(O17="",0,IF(O17&lt;40,50,IF(O17&gt;108,0,VLOOKUP(O17,Liste_AT1!$I$3:$J$71,2,0))))</f>
        <v>0</v>
      </c>
      <c r="Q17" s="149"/>
      <c r="R17" s="68">
        <f>IF(Q17&gt;10,50,IF(Q17&lt;1,0,IF(Q17="",0,VLOOKUP(Q17,Liste_AT1!$K$3:$L$21,2,0))))</f>
        <v>0</v>
      </c>
      <c r="S17" s="148"/>
      <c r="T17" s="72">
        <f>IF(S17&gt;10,50,IF(S17&lt;1,0,VLOOKUP(S17,Liste_AT1!$M$3:$N$21,2,0)))</f>
        <v>0</v>
      </c>
      <c r="U17" s="151"/>
      <c r="V17" s="68">
        <f>IF(U17&gt;5,35,IF(U17&lt;1,0,VLOOKUP(U17,Liste_AT1!$O$3:$P$19,2)))</f>
        <v>0</v>
      </c>
      <c r="W17" s="148">
        <v>8.6999999999999993</v>
      </c>
      <c r="X17" s="72">
        <f>IF(W17&gt;10,50,IF(W17&lt;1,0,VLOOKUP(W17,Liste_AT1!$Q$3:$R$21,2)))</f>
        <v>43</v>
      </c>
      <c r="Y17" s="152"/>
      <c r="Z17" s="68">
        <f>IF(Y17&gt;10,50,IF(Y17&lt;1,0,VLOOKUP(Y17,Liste_AT1!$S$3:$T$12,2)))</f>
        <v>0</v>
      </c>
      <c r="AA17" s="148"/>
      <c r="AB17" s="72">
        <f>IF(AA17="",0,IF(AA17&lt;3.8,50,IF(AA17&gt;6.9,0,VLOOKUP(AA17,Liste_AT2!$A$3:$B$34,2))))</f>
        <v>0</v>
      </c>
      <c r="AC17" s="149"/>
      <c r="AD17" s="68">
        <f>IF(AC17="",0,IF(AC17&lt;8.6,50,IF(AC17&gt;12.1,0,VLOOKUP(AC17,Liste_AT2!$C$3:$D$38,2))))</f>
        <v>0</v>
      </c>
      <c r="AE17" s="153"/>
      <c r="AF17" s="72">
        <f>IF(AE17="",0,IF(AE17&lt;160,50,IF(AE17&gt;231,0,VLOOKUP(AE17,Liste_AT2!$F$3:$G$74,2))))</f>
        <v>0</v>
      </c>
      <c r="AG17" s="209" t="s">
        <v>148</v>
      </c>
      <c r="AH17" s="68">
        <f>IF(AG17="",0,IF(AG17&lt;500,50,IF(AG17&gt;626,0,VLOOKUP(AG17,Liste_AT2!$AU$3:$AW$66,3))))</f>
        <v>0</v>
      </c>
      <c r="AI17" s="154"/>
      <c r="AJ17" s="68">
        <f>IF(AI17="",0,IF(AI17&lt;822,50,IF(AI17&gt;948,0,VLOOKUP(AI17,Liste_AT2!$I$3:$J$66,2))))</f>
        <v>0</v>
      </c>
      <c r="AK17" s="148" t="s">
        <v>147</v>
      </c>
      <c r="AL17" s="72">
        <f>IF(AK17="",0,IF(AK17&lt;15,50,IF(AK17&gt;22.5,0,VLOOKUP(AK17,Liste_AT2!$K$3:$L$78,2))))</f>
        <v>0</v>
      </c>
      <c r="AM17" s="151"/>
      <c r="AN17" s="68">
        <f>IF(AM17="",0,IF(AM17&lt;4,50,IF(AM17&gt;9.4,0,VLOOKUP(AM17,Liste_AT2!$M$3:$N$57,2))))</f>
        <v>0</v>
      </c>
      <c r="AO17" s="150"/>
      <c r="AP17" s="72">
        <f>IF(AO17="",0,IF(AO17&gt;33,50,IF(AO17&lt;7,0,VLOOKUP(AO17,Liste_AT2!$Q$3:$R$29,2))))</f>
        <v>0</v>
      </c>
      <c r="AQ17" s="152"/>
      <c r="AR17" s="68">
        <f>IF(AQ17="",0,IF(AQ17&gt;17,50,IF(AQ17&lt;1,0,VLOOKUP(AQ17,Liste_AT2!$U$3:$V$19,2))))</f>
        <v>0</v>
      </c>
      <c r="AS17" s="150"/>
      <c r="AT17" s="72">
        <f>IF(AS17="",0,IF(AS17&gt;27,50,IF(AS17&lt;6,0,VLOOKUP(AS17,Liste_AT2!$W$3:$X$24,2))))</f>
        <v>0</v>
      </c>
      <c r="AU17" s="149"/>
      <c r="AV17" s="68">
        <f>IF(AU17="",0,IF(AU17&lt;3.7,50,IF(AU17&gt;8,0,VLOOKUP(AU17,Liste_AT2!$AA$3:$AB$46,2))))</f>
        <v>0</v>
      </c>
      <c r="AW17" s="148"/>
      <c r="AX17" s="72">
        <f>IF(AW17="",0,IF(AW17&lt;4,0,IF(AW17&gt;10.1,50,VLOOKUP(AW17,Liste_AT2!$AC$3:$AD$62,2))))</f>
        <v>0</v>
      </c>
      <c r="AY17" s="149">
        <v>11.3</v>
      </c>
      <c r="AZ17" s="68">
        <f>IF(AY17="",0,IF(AY17&gt;11.9,50,IF(AY17&lt;5,0,VLOOKUP(AY17,Liste_AT2!$AE$3:$AF$72,2))))</f>
        <v>48</v>
      </c>
      <c r="BA17" s="153"/>
      <c r="BB17" s="72">
        <f>IF(BA17="",0,IF(BA17&gt;45,50,IF(BA17&lt;2,0,VLOOKUP(BA17,Liste_AT2!$AG$3:$AH$61,2))))</f>
        <v>0</v>
      </c>
      <c r="BC17" s="154"/>
      <c r="BD17" s="68">
        <f>IF(BC17="",0,IF(BC17&gt;26,50,IF(BC17&lt;4,0,VLOOKUP(BC17,Liste_AT2!$AI$3:$AJ$25,2))))</f>
        <v>0</v>
      </c>
      <c r="BE17" s="150">
        <v>18</v>
      </c>
      <c r="BF17" s="72">
        <f>IF(BE17="",0,IF(BE17&gt;35,50,IF(BE17&lt;14,0,VLOOKUP(BE17,Liste_AT2!$AK$3:$AL$24,2))))</f>
        <v>8</v>
      </c>
      <c r="BG17" s="152"/>
      <c r="BH17" s="68">
        <f>IF(BG17="",0,IF(BG17&gt;36,50,IF(BG17&lt;7,0,VLOOKUP(BG17,Liste_AT2!$AM$3:$AN$32,2))))</f>
        <v>0</v>
      </c>
      <c r="BI17" s="150"/>
      <c r="BJ17" s="72">
        <f>IF(BI17="",0,IF(BI17&gt;45,50,IF(BI17&lt;6,0,VLOOKUP(BI17,Liste_AT2!$AO$3:$AP$52,2))))</f>
        <v>0</v>
      </c>
      <c r="BK17" s="199">
        <v>0</v>
      </c>
      <c r="BL17" s="68">
        <f>IF(BK17="",0,IF(BK17&gt;2.4,50,IF(BK17&lt;1.15,0,VLOOKUP(BK17,Liste_AT2!$AQ$3:$AR$52,2))))</f>
        <v>0</v>
      </c>
      <c r="BM17" s="148">
        <v>55.5</v>
      </c>
      <c r="BN17" s="72">
        <f>IF(BM17="",0,IF(BM17&lt;28,50,IF(BM17&gt;62,0,VLOOKUP(BM17,Liste_AT2!$AS$3:$AT$343,2,0))))</f>
        <v>6</v>
      </c>
      <c r="BO17" s="149">
        <v>12.4</v>
      </c>
      <c r="BP17" s="68">
        <f>IF(BO17="",0,IF(BO17&lt;1,0,IF(BO17&gt;28,50,VLOOKUP(BO17,Liste_AT3!$A$3:$B$30,2))))</f>
        <v>20</v>
      </c>
      <c r="BQ17" s="189"/>
      <c r="BR17" s="72">
        <f>IF(BQ17="",0,IF(BQ17&lt;5,50,IF(BQ17&gt;40,0,VLOOKUP(BQ17,Liste_AT3!$C$3:$D$38,2))))</f>
        <v>0</v>
      </c>
      <c r="BS17" s="151">
        <v>2.75</v>
      </c>
      <c r="BT17" s="68">
        <f>IF(BS17="",0,IF(BS17&lt;1,50,IF(BS17&gt;4.75,0,VLOOKUP(BS17,Liste_AT3!$E$3:$F$18,2))))</f>
        <v>22</v>
      </c>
      <c r="BU17" s="156"/>
      <c r="BV17" s="72">
        <f>IF(BU17="",0,IF(BU17&lt;1,50,IF(BU17&gt;4.75,0,VLOOKUP(BU17,Liste_AT3!$G$3:$H$18,2))))</f>
        <v>0</v>
      </c>
      <c r="BW17" s="151"/>
      <c r="BX17" s="68">
        <f>IF(BW17="",0,IF(BW17&lt;1,50,IF(BW17&gt;4.75,0,VLOOKUP(BW17,Liste_AT3!$G$3:$H$18,2))))</f>
        <v>0</v>
      </c>
      <c r="BY17" s="157"/>
      <c r="BZ17" s="72">
        <f>IF(BY17="",0,IF(BY17&gt;40,0,VLOOKUP(BY17,Liste_AT3!$I$3:$J$43,2,2)))</f>
        <v>0</v>
      </c>
      <c r="CA17" s="158"/>
      <c r="CB17" s="68">
        <f>IF(CA17="",0,IF(CA17&gt;40,0,VLOOKUP(CA17,Liste_AT3!$I$3:$J$43,2,2)))</f>
        <v>0</v>
      </c>
      <c r="CC17" s="159">
        <f>SUM(H17,J17,L17,N17,P17,R17,T17,V17,X17,Z17)</f>
        <v>60</v>
      </c>
      <c r="CD17" s="53">
        <f>IF(CC17=0,"",RANK(CC17,$CC$4:$CC$19))</f>
        <v>14</v>
      </c>
      <c r="CE17" s="159">
        <f>SUM(AB17,AD17,AF17,AJ17,AL17,AN17,AH17)</f>
        <v>0</v>
      </c>
      <c r="CF17" s="53" t="str">
        <f>IF(CE17=0,"",RANK(CE17,$CE$4:$CE$19))</f>
        <v/>
      </c>
      <c r="CG17" s="159">
        <f>SUM(AP17,AR17,AT17,AV17,AX17,AZ17,BB17,BD17,BF17,BH17,BJ17,BL17,BN17)</f>
        <v>62</v>
      </c>
      <c r="CH17" s="53">
        <f>IF(CG17=0,"",RANK(CG17,$CG$4:$CG$19))</f>
        <v>11</v>
      </c>
      <c r="CI17" s="160">
        <f>SUM(BP17,BR17)</f>
        <v>20</v>
      </c>
      <c r="CJ17" s="53">
        <f>IF(CI17=0,"",RANK(CI17,$CI$4:$CI$19))</f>
        <v>9</v>
      </c>
      <c r="CK17" s="160">
        <f>SUM(BT17,BV17,BX17,BZ17,CB17)</f>
        <v>22</v>
      </c>
      <c r="CL17" s="53">
        <f>IF(CK17=0,"",RANK(CK17,$CK$4:$CK$19))</f>
        <v>14</v>
      </c>
      <c r="CM17" s="160">
        <f>SUM(CC17,CE17,CG17,CI17,CK17)</f>
        <v>164</v>
      </c>
      <c r="CN17" s="53">
        <f t="shared" si="0"/>
        <v>14</v>
      </c>
    </row>
    <row r="18" spans="1:92" s="14" customFormat="1" ht="27" customHeight="1" x14ac:dyDescent="0.3">
      <c r="A18" s="44">
        <v>13</v>
      </c>
      <c r="B18" s="135" t="s">
        <v>117</v>
      </c>
      <c r="C18" s="46" t="s">
        <v>98</v>
      </c>
      <c r="D18" s="45">
        <v>40.799999999999997</v>
      </c>
      <c r="E18" s="47">
        <v>153</v>
      </c>
      <c r="F18" s="147">
        <v>36515</v>
      </c>
      <c r="G18" s="148"/>
      <c r="H18" s="72">
        <f>IF(G18="",0,IF(G18&lt;$H$1,50,IF(G18&gt;18.7,0,VLOOKUP(G18,Liste_AT1!$A$3:$B$79,2,0))))</f>
        <v>0</v>
      </c>
      <c r="I18" s="149"/>
      <c r="J18" s="68">
        <f>IF(I18="",0,IF(I18&lt;$J$1,50,IF(I18&gt;22.8,0,VLOOKUP(I18,Liste_AT1!$C$3:$D$125,2,0))))</f>
        <v>0</v>
      </c>
      <c r="K18" s="148"/>
      <c r="L18" s="72">
        <f>IF(K18="",0,IF(K18&lt;$L$1,50,IF(K18&gt;29.2,0,VLOOKUP(K18,Liste_AT1!$E$3:$F$138,2,0))))</f>
        <v>0</v>
      </c>
      <c r="M18" s="149">
        <v>36.700000000000003</v>
      </c>
      <c r="N18" s="68">
        <f>IF(M18="",0,IF(M18&lt;15,50,IF(M18&gt;39.5,0,VLOOKUP(M18,Liste_AT1!$G$3:$H$248,2,0))))</f>
        <v>6</v>
      </c>
      <c r="O18" s="150"/>
      <c r="P18" s="72">
        <f>IF(O18="",0,IF(O18&lt;40,50,IF(O18&gt;108,0,VLOOKUP(O18,Liste_AT1!$I$3:$J$71,2,0))))</f>
        <v>0</v>
      </c>
      <c r="Q18" s="149"/>
      <c r="R18" s="68">
        <f>IF(Q18&gt;10,50,IF(Q18&lt;1,0,IF(Q18="",0,VLOOKUP(Q18,Liste_AT1!$K$3:$L$21,2,0))))</f>
        <v>0</v>
      </c>
      <c r="S18" s="148"/>
      <c r="T18" s="72">
        <f>IF(S18&gt;10,50,IF(S18&lt;1,0,VLOOKUP(S18,Liste_AT1!$M$3:$N$21,2,0)))</f>
        <v>0</v>
      </c>
      <c r="U18" s="151"/>
      <c r="V18" s="68">
        <f>IF(U18&gt;5,35,IF(U18&lt;1,0,VLOOKUP(U18,Liste_AT1!$O$3:$P$19,2)))</f>
        <v>0</v>
      </c>
      <c r="W18" s="148">
        <v>9.1</v>
      </c>
      <c r="X18" s="72">
        <f>IF(W18&gt;10,50,IF(W18&lt;1,0,VLOOKUP(W18,Liste_AT1!$Q$3:$R$21,2)))</f>
        <v>46</v>
      </c>
      <c r="Y18" s="152"/>
      <c r="Z18" s="68">
        <f>IF(Y18&gt;10,50,IF(Y18&lt;1,0,VLOOKUP(Y18,Liste_AT1!$S$3:$T$12,2)))</f>
        <v>0</v>
      </c>
      <c r="AA18" s="148"/>
      <c r="AB18" s="72">
        <f>IF(AA18="",0,IF(AA18&lt;3.8,50,IF(AA18&gt;6.9,0,VLOOKUP(AA18,Liste_AT2!$A$3:$B$34,2))))</f>
        <v>0</v>
      </c>
      <c r="AC18" s="149"/>
      <c r="AD18" s="68">
        <f>IF(AC18="",0,IF(AC18&lt;8.6,50,IF(AC18&gt;12.1,0,VLOOKUP(AC18,Liste_AT2!$C$3:$D$38,2))))</f>
        <v>0</v>
      </c>
      <c r="AE18" s="153"/>
      <c r="AF18" s="72">
        <f>IF(AE18="",0,IF(AE18&lt;160,50,IF(AE18&gt;231,0,VLOOKUP(AE18,Liste_AT2!$F$3:$G$74,2))))</f>
        <v>0</v>
      </c>
      <c r="AG18" s="154">
        <v>644</v>
      </c>
      <c r="AH18" s="68">
        <f>IF(AG18="",0,IF(AG18&lt;500,50,IF(AG18&gt;626,0,VLOOKUP(AG18,Liste_AT2!$AU$3:$AW$66,3))))</f>
        <v>0</v>
      </c>
      <c r="AI18" s="154"/>
      <c r="AJ18" s="68">
        <f>IF(AI18="",0,IF(AI18&lt;822,50,IF(AI18&gt;948,0,VLOOKUP(AI18,Liste_AT2!$I$3:$J$66,2))))</f>
        <v>0</v>
      </c>
      <c r="AK18" s="148">
        <v>19.5</v>
      </c>
      <c r="AL18" s="72">
        <f>IF(AK18="",0,IF(AK18&lt;15,50,IF(AK18&gt;22.5,0,VLOOKUP(AK18,Liste_AT2!$K$3:$L$78,2))))</f>
        <v>10</v>
      </c>
      <c r="AM18" s="151"/>
      <c r="AN18" s="68">
        <f>IF(AM18="",0,IF(AM18&lt;4,50,IF(AM18&gt;9.4,0,VLOOKUP(AM18,Liste_AT2!$M$3:$N$57,2))))</f>
        <v>0</v>
      </c>
      <c r="AO18" s="150"/>
      <c r="AP18" s="72">
        <f>IF(AO18="",0,IF(AO18&gt;33,50,IF(AO18&lt;7,0,VLOOKUP(AO18,Liste_AT2!$Q$3:$R$29,2))))</f>
        <v>0</v>
      </c>
      <c r="AQ18" s="152"/>
      <c r="AR18" s="68">
        <f>IF(AQ18="",0,IF(AQ18&gt;17,50,IF(AQ18&lt;1,0,VLOOKUP(AQ18,Liste_AT2!$U$3:$V$19,2))))</f>
        <v>0</v>
      </c>
      <c r="AS18" s="150"/>
      <c r="AT18" s="72">
        <f>IF(AS18="",0,IF(AS18&gt;27,50,IF(AS18&lt;6,0,VLOOKUP(AS18,Liste_AT2!$W$3:$X$24,2))))</f>
        <v>0</v>
      </c>
      <c r="AU18" s="149"/>
      <c r="AV18" s="68">
        <f>IF(AU18="",0,IF(AU18&lt;3.7,50,IF(AU18&gt;8,0,VLOOKUP(AU18,Liste_AT2!$AA$3:$AB$46,2))))</f>
        <v>0</v>
      </c>
      <c r="AW18" s="148"/>
      <c r="AX18" s="72">
        <f>IF(AW18="",0,IF(AW18&lt;4,0,IF(AW18&gt;10.1,50,VLOOKUP(AW18,Liste_AT2!$AC$3:$AD$62,2))))</f>
        <v>0</v>
      </c>
      <c r="AY18" s="149">
        <v>5.7</v>
      </c>
      <c r="AZ18" s="68">
        <f>IF(AY18="",0,IF(AY18&gt;11.9,50,IF(AY18&lt;5,0,VLOOKUP(AY18,Liste_AT2!$AE$3:$AF$72,2))))</f>
        <v>4</v>
      </c>
      <c r="BA18" s="153"/>
      <c r="BB18" s="72">
        <f>IF(BA18="",0,IF(BA18&gt;45,50,IF(BA18&lt;2,0,VLOOKUP(BA18,Liste_AT2!$AG$3:$AH$61,2))))</f>
        <v>0</v>
      </c>
      <c r="BC18" s="154"/>
      <c r="BD18" s="68">
        <f>IF(BC18="",0,IF(BC18&gt;26,50,IF(BC18&lt;4,0,VLOOKUP(BC18,Liste_AT2!$AI$3:$AJ$25,2))))</f>
        <v>0</v>
      </c>
      <c r="BE18" s="150">
        <v>15</v>
      </c>
      <c r="BF18" s="72">
        <f>IF(BE18="",0,IF(BE18&gt;35,50,IF(BE18&lt;14,0,VLOOKUP(BE18,Liste_AT2!$AK$3:$AL$24,2))))</f>
        <v>2</v>
      </c>
      <c r="BG18" s="152"/>
      <c r="BH18" s="68">
        <f>IF(BG18="",0,IF(BG18&gt;36,50,IF(BG18&lt;7,0,VLOOKUP(BG18,Liste_AT2!$AM$3:$AN$32,2))))</f>
        <v>0</v>
      </c>
      <c r="BI18" s="150"/>
      <c r="BJ18" s="72">
        <f>IF(BI18="",0,IF(BI18&gt;45,50,IF(BI18&lt;6,0,VLOOKUP(BI18,Liste_AT2!$AO$3:$AP$52,2))))</f>
        <v>0</v>
      </c>
      <c r="BK18" s="151">
        <v>1.71</v>
      </c>
      <c r="BL18" s="68">
        <f>IF(BK18="",0,IF(BK18&gt;2.4,50,IF(BK18&lt;1.15,0,VLOOKUP(BK18,Liste_AT2!$AQ$3:$AR$52,2))))</f>
        <v>15</v>
      </c>
      <c r="BM18" s="148">
        <v>39</v>
      </c>
      <c r="BN18" s="72">
        <f>IF(BM18="",0,IF(BM18&lt;28,50,IF(BM18&gt;62,0,VLOOKUP(BM18,Liste_AT2!$AS$3:$AT$343,2,0))))</f>
        <v>39</v>
      </c>
      <c r="BO18" s="149">
        <v>0</v>
      </c>
      <c r="BP18" s="68">
        <f>IF(BO18="",0,IF(BO18&lt;1,0,IF(BO18&gt;28,50,VLOOKUP(BO18,Liste_AT3!$A$3:$B$30,2))))</f>
        <v>0</v>
      </c>
      <c r="BQ18" s="155"/>
      <c r="BR18" s="72">
        <f>IF(BQ18="",0,IF(BQ18&lt;5,50,IF(BQ18&gt;40,0,VLOOKUP(BQ18,Liste_AT3!$C$3:$D$38,2))))</f>
        <v>0</v>
      </c>
      <c r="BS18" s="151">
        <v>2.5</v>
      </c>
      <c r="BT18" s="68">
        <f>IF(BS18="",0,IF(BS18&lt;1,50,IF(BS18&gt;4.75,0,VLOOKUP(BS18,Liste_AT3!$E$3:$F$18,2))))</f>
        <v>25</v>
      </c>
      <c r="BU18" s="156"/>
      <c r="BV18" s="72">
        <f>IF(BU18="",0,IF(BU18&lt;1,50,IF(BU18&gt;4.75,0,VLOOKUP(BU18,Liste_AT3!$G$3:$H$18,2))))</f>
        <v>0</v>
      </c>
      <c r="BW18" s="151"/>
      <c r="BX18" s="68">
        <f>IF(BW18="",0,IF(BW18&lt;1,50,IF(BW18&gt;4.75,0,VLOOKUP(BW18,Liste_AT3!$G$3:$H$18,2))))</f>
        <v>0</v>
      </c>
      <c r="BY18" s="157"/>
      <c r="BZ18" s="72">
        <f>IF(BY18="",0,IF(BY18&gt;40,0,VLOOKUP(BY18,Liste_AT3!$I$3:$J$43,2,2)))</f>
        <v>0</v>
      </c>
      <c r="CA18" s="158"/>
      <c r="CB18" s="68">
        <f>IF(CA18="",0,IF(CA18&gt;40,0,VLOOKUP(CA18,Liste_AT3!$I$3:$J$43,2,2)))</f>
        <v>0</v>
      </c>
      <c r="CC18" s="159">
        <f>SUM(H18,J18,L18,N18,P18,R18,T18,V18,X18,Z18)</f>
        <v>52</v>
      </c>
      <c r="CD18" s="53">
        <f>IF(CC18=0,"",RANK(CC18,$CC$4:$CC$19))</f>
        <v>16</v>
      </c>
      <c r="CE18" s="159">
        <f>SUM(AB18,AD18,AF18,AJ18,AL18,AN18,AH18)</f>
        <v>10</v>
      </c>
      <c r="CF18" s="53">
        <f>IF(CE18=0,"",RANK(CE18,$CE$4:$CE$19))</f>
        <v>15</v>
      </c>
      <c r="CG18" s="159">
        <f>SUM(AP18,AR18,AT18,AV18,AX18,AZ18,BB18,BD18,BF18,BH18,BJ18,BL18,BN18)</f>
        <v>60</v>
      </c>
      <c r="CH18" s="53">
        <f>IF(CG18=0,"",RANK(CG18,$CG$4:$CG$19))</f>
        <v>13</v>
      </c>
      <c r="CI18" s="160">
        <f>SUM(BP18,BR18)</f>
        <v>0</v>
      </c>
      <c r="CJ18" s="53" t="str">
        <f>IF(CI18=0,"",RANK(CI18,$CI$4:$CI$19))</f>
        <v/>
      </c>
      <c r="CK18" s="160">
        <f>SUM(BT18,BV18,BX18,BZ18,CB18)</f>
        <v>25</v>
      </c>
      <c r="CL18" s="53">
        <f>IF(CK18=0,"",RANK(CK18,$CK$4:$CK$19))</f>
        <v>10</v>
      </c>
      <c r="CM18" s="160">
        <f>SUM(CC18,CE18,CG18,CI18,CK18)</f>
        <v>147</v>
      </c>
      <c r="CN18" s="53">
        <f t="shared" si="0"/>
        <v>15</v>
      </c>
    </row>
    <row r="19" spans="1:92" s="14" customFormat="1" ht="27" customHeight="1" x14ac:dyDescent="0.3">
      <c r="A19" s="44">
        <v>7</v>
      </c>
      <c r="B19" s="135" t="s">
        <v>105</v>
      </c>
      <c r="C19" s="46" t="s">
        <v>99</v>
      </c>
      <c r="D19" s="45">
        <v>60.9</v>
      </c>
      <c r="E19" s="47">
        <v>166</v>
      </c>
      <c r="F19" s="147">
        <v>35968</v>
      </c>
      <c r="G19" s="148"/>
      <c r="H19" s="72">
        <f>IF(G19="",0,IF(G19&lt;$H$1,50,IF(G19&gt;18.7,0,VLOOKUP(G19,Liste_AT1!$A$3:$B$79,2,0))))</f>
        <v>0</v>
      </c>
      <c r="I19" s="149"/>
      <c r="J19" s="68">
        <f>IF(I19="",0,IF(I19&lt;$J$1,50,IF(I19&gt;22.8,0,VLOOKUP(I19,Liste_AT1!$C$3:$D$125,2,0))))</f>
        <v>0</v>
      </c>
      <c r="K19" s="148"/>
      <c r="L19" s="72">
        <f>IF(K19="",0,IF(K19&lt;$L$1,50,IF(K19&gt;29.2,0,VLOOKUP(K19,Liste_AT1!$E$3:$F$138,2,0))))</f>
        <v>0</v>
      </c>
      <c r="M19" s="149">
        <v>23.8</v>
      </c>
      <c r="N19" s="68">
        <f>IF(M19="",0,IF(M19&lt;15,50,IF(M19&gt;39.5,0,VLOOKUP(M19,Liste_AT1!$G$3:$H$248,2,0))))</f>
        <v>32</v>
      </c>
      <c r="O19" s="150"/>
      <c r="P19" s="72">
        <f>IF(O19="",0,IF(O19&lt;40,50,IF(O19&gt;108,0,VLOOKUP(O19,Liste_AT1!$I$3:$J$71,2,0))))</f>
        <v>0</v>
      </c>
      <c r="Q19" s="149"/>
      <c r="R19" s="68">
        <f>IF(Q19&gt;10,50,IF(Q19&lt;1,0,IF(Q19="",0,VLOOKUP(Q19,Liste_AT1!$K$3:$L$21,2,0))))</f>
        <v>0</v>
      </c>
      <c r="S19" s="148"/>
      <c r="T19" s="72">
        <f>IF(S19&gt;10,50,IF(S19&lt;1,0,VLOOKUP(S19,Liste_AT1!$M$3:$N$21,2,0)))</f>
        <v>0</v>
      </c>
      <c r="U19" s="151"/>
      <c r="V19" s="68">
        <f>IF(U19&gt;5,35,IF(U19&lt;1,0,VLOOKUP(U19,Liste_AT1!$O$3:$P$19,2)))</f>
        <v>0</v>
      </c>
      <c r="W19" s="148">
        <v>7</v>
      </c>
      <c r="X19" s="72">
        <f>IF(W19&gt;10,50,IF(W19&lt;1,0,VLOOKUP(W19,Liste_AT1!$Q$3:$R$21,2)))</f>
        <v>34</v>
      </c>
      <c r="Y19" s="152"/>
      <c r="Z19" s="68">
        <f>IF(Y19&gt;10,50,IF(Y19&lt;1,0,VLOOKUP(Y19,Liste_AT1!$S$3:$T$12,2)))</f>
        <v>0</v>
      </c>
      <c r="AA19" s="148"/>
      <c r="AB19" s="72">
        <f>IF(AA19="",0,IF(AA19&lt;3.8,50,IF(AA19&gt;6.9,0,VLOOKUP(AA19,Liste_AT2!$A$3:$B$34,2))))</f>
        <v>0</v>
      </c>
      <c r="AC19" s="149"/>
      <c r="AD19" s="68">
        <f>IF(AC19="",0,IF(AC19&lt;8.6,50,IF(AC19&gt;12.1,0,VLOOKUP(AC19,Liste_AT2!$C$3:$D$38,2))))</f>
        <v>0</v>
      </c>
      <c r="AE19" s="153"/>
      <c r="AF19" s="72">
        <f>IF(AE19="",0,IF(AE19&lt;160,50,IF(AE19&gt;231,0,VLOOKUP(AE19,Liste_AT2!$F$3:$G$74,2))))</f>
        <v>0</v>
      </c>
      <c r="AG19" s="154">
        <v>705</v>
      </c>
      <c r="AH19" s="68">
        <f>IF(AG19="",0,IF(AG19&lt;500,50,IF(AG19&gt;626,0,VLOOKUP(AG19,Liste_AT2!$AU$3:$AW$66,3))))</f>
        <v>0</v>
      </c>
      <c r="AI19" s="154"/>
      <c r="AJ19" s="68">
        <f>IF(AI19="",0,IF(AI19&lt;822,50,IF(AI19&gt;948,0,VLOOKUP(AI19,Liste_AT2!$I$3:$J$66,2))))</f>
        <v>0</v>
      </c>
      <c r="AK19" s="148">
        <v>19.2</v>
      </c>
      <c r="AL19" s="72">
        <f>IF(AK19="",0,IF(AK19&lt;15,50,IF(AK19&gt;22.5,0,VLOOKUP(AK19,Liste_AT2!$K$3:$L$78,2))))</f>
        <v>11</v>
      </c>
      <c r="AM19" s="151"/>
      <c r="AN19" s="68">
        <f>IF(AM19="",0,IF(AM19&lt;4,50,IF(AM19&gt;9.4,0,VLOOKUP(AM19,Liste_AT2!$M$3:$N$57,2))))</f>
        <v>0</v>
      </c>
      <c r="AO19" s="150"/>
      <c r="AP19" s="72">
        <f>IF(AO19="",0,IF(AO19&gt;33,50,IF(AO19&lt;7,0,VLOOKUP(AO19,Liste_AT2!$Q$3:$R$29,2))))</f>
        <v>0</v>
      </c>
      <c r="AQ19" s="152"/>
      <c r="AR19" s="68">
        <f>IF(AQ19="",0,IF(AQ19&gt;17,50,IF(AQ19&lt;1,0,VLOOKUP(AQ19,Liste_AT2!$U$3:$V$19,2))))</f>
        <v>0</v>
      </c>
      <c r="AS19" s="150"/>
      <c r="AT19" s="72">
        <f>IF(AS19="",0,IF(AS19&gt;27,50,IF(AS19&lt;6,0,VLOOKUP(AS19,Liste_AT2!$W$3:$X$24,2))))</f>
        <v>0</v>
      </c>
      <c r="AU19" s="149"/>
      <c r="AV19" s="68">
        <f>IF(AU19="",0,IF(AU19&lt;3.7,50,IF(AU19&gt;8,0,VLOOKUP(AU19,Liste_AT2!$AA$3:$AB$46,2))))</f>
        <v>0</v>
      </c>
      <c r="AW19" s="148"/>
      <c r="AX19" s="72">
        <f>IF(AW19="",0,IF(AW19&lt;4,0,IF(AW19&gt;10.1,50,VLOOKUP(AW19,Liste_AT2!$AC$3:$AD$62,2))))</f>
        <v>0</v>
      </c>
      <c r="AY19" s="149">
        <v>8.1999999999999993</v>
      </c>
      <c r="AZ19" s="68">
        <f>IF(AY19="",0,IF(AY19&gt;11.9,50,IF(AY19&lt;5,0,VLOOKUP(AY19,Liste_AT2!$AE$3:$AF$72,2))))</f>
        <v>23</v>
      </c>
      <c r="BA19" s="153"/>
      <c r="BB19" s="72">
        <f>IF(BA19="",0,IF(BA19&gt;45,50,IF(BA19&lt;2,0,VLOOKUP(BA19,Liste_AT2!$AG$3:$AH$61,2))))</f>
        <v>0</v>
      </c>
      <c r="BC19" s="154"/>
      <c r="BD19" s="68">
        <f>IF(BC19="",0,IF(BC19&gt;26,50,IF(BC19&lt;4,0,VLOOKUP(BC19,Liste_AT2!$AI$3:$AJ$25,2))))</f>
        <v>0</v>
      </c>
      <c r="BE19" s="150">
        <v>16</v>
      </c>
      <c r="BF19" s="72">
        <f>IF(BE19="",0,IF(BE19&gt;35,50,IF(BE19&lt;14,0,VLOOKUP(BE19,Liste_AT2!$AK$3:$AL$24,2))))</f>
        <v>4</v>
      </c>
      <c r="BG19" s="152"/>
      <c r="BH19" s="68">
        <f>IF(BG19="",0,IF(BG19&gt;36,50,IF(BG19&lt;7,0,VLOOKUP(BG19,Liste_AT2!$AM$3:$AN$32,2))))</f>
        <v>0</v>
      </c>
      <c r="BI19" s="150"/>
      <c r="BJ19" s="72">
        <f>IF(BI19="",0,IF(BI19&gt;45,50,IF(BI19&lt;6,0,VLOOKUP(BI19,Liste_AT2!$AO$3:$AP$52,2))))</f>
        <v>0</v>
      </c>
      <c r="BK19" s="151">
        <v>1.6</v>
      </c>
      <c r="BL19" s="68">
        <f>IF(BK19="",0,IF(BK19&gt;2.4,50,IF(BK19&lt;1.15,0,VLOOKUP(BK19,Liste_AT2!$AQ$3:$AR$52,2))))</f>
        <v>10</v>
      </c>
      <c r="BM19" s="148">
        <v>61</v>
      </c>
      <c r="BN19" s="72">
        <f>IF(BM19="",0,IF(BM19&lt;28,50,IF(BM19&gt;62,0,VLOOKUP(BM19,Liste_AT2!$AS$3:$AT$343,2,0))))</f>
        <v>1</v>
      </c>
      <c r="BO19" s="149">
        <v>5.4</v>
      </c>
      <c r="BP19" s="68">
        <f>IF(BO19="",0,IF(BO19&lt;1,0,IF(BO19&gt;28,50,VLOOKUP(BO19,Liste_AT3!$A$3:$B$30,2))))</f>
        <v>6</v>
      </c>
      <c r="BQ19" s="155"/>
      <c r="BR19" s="72">
        <f>IF(BQ19="",0,IF(BQ19&lt;5,50,IF(BQ19&gt;40,0,VLOOKUP(BQ19,Liste_AT3!$C$3:$D$38,2))))</f>
        <v>0</v>
      </c>
      <c r="BS19" s="151">
        <v>3</v>
      </c>
      <c r="BT19" s="68">
        <f>IF(BS19="",0,IF(BS19&lt;1,50,IF(BS19&gt;4.75,0,VLOOKUP(BS19,Liste_AT3!$E$3:$F$18,2))))</f>
        <v>19</v>
      </c>
      <c r="BU19" s="156"/>
      <c r="BV19" s="72">
        <f>IF(BU19="",0,IF(BU19&lt;1,50,IF(BU19&gt;4.75,0,VLOOKUP(BU19,Liste_AT3!$G$3:$H$18,2))))</f>
        <v>0</v>
      </c>
      <c r="BW19" s="151"/>
      <c r="BX19" s="68">
        <f>IF(BW19="",0,IF(BW19&lt;1,50,IF(BW19&gt;4.75,0,VLOOKUP(BW19,Liste_AT3!$G$3:$H$18,2))))</f>
        <v>0</v>
      </c>
      <c r="BY19" s="157"/>
      <c r="BZ19" s="72">
        <f>IF(BY19="",0,IF(BY19&gt;40,0,VLOOKUP(BY19,Liste_AT3!$I$3:$J$43,2,2)))</f>
        <v>0</v>
      </c>
      <c r="CA19" s="158"/>
      <c r="CB19" s="68">
        <f>IF(CA19="",0,IF(CA19&gt;40,0,VLOOKUP(CA19,Liste_AT3!$I$3:$J$43,2,2)))</f>
        <v>0</v>
      </c>
      <c r="CC19" s="159">
        <f>SUM(H19,J19,L19,N19,P19,R19,T19,V19,X19,Z19)</f>
        <v>66</v>
      </c>
      <c r="CD19" s="53">
        <f>IF(CC19=0,"",RANK(CC19,$CC$4:$CC$19))</f>
        <v>11</v>
      </c>
      <c r="CE19" s="159">
        <f>SUM(AB19,AD19,AF19,AJ19,AL19,AN19,AH19)</f>
        <v>11</v>
      </c>
      <c r="CF19" s="53">
        <f>IF(CE19=0,"",RANK(CE19,$CE$4:$CE$19))</f>
        <v>12</v>
      </c>
      <c r="CG19" s="159">
        <f>SUM(AP19,AR19,AT19,AV19,AX19,AZ19,BB19,BD19,BF19,BH19,BJ19,BL19,BN19)</f>
        <v>38</v>
      </c>
      <c r="CH19" s="53">
        <f>IF(CG19=0,"",RANK(CG19,$CG$4:$CG$19))</f>
        <v>16</v>
      </c>
      <c r="CI19" s="160">
        <f>SUM(BP19,BR19)</f>
        <v>6</v>
      </c>
      <c r="CJ19" s="53">
        <f>IF(CI19=0,"",RANK(CI19,$CI$4:$CI$19))</f>
        <v>14</v>
      </c>
      <c r="CK19" s="160">
        <f>SUM(BT19,BV19,BX19,BZ19,CB19)</f>
        <v>19</v>
      </c>
      <c r="CL19" s="53">
        <f>IF(CK19=0,"",RANK(CK19,$CK$4:$CK$19))</f>
        <v>16</v>
      </c>
      <c r="CM19" s="160">
        <f>SUM(CC19,CE19,CG19,CI19,CK19)</f>
        <v>140</v>
      </c>
      <c r="CN19" s="53">
        <f t="shared" si="0"/>
        <v>16</v>
      </c>
    </row>
  </sheetData>
  <sortState ref="A5:CM19">
    <sortCondition descending="1" ref="CM4:CM19"/>
  </sortState>
  <mergeCells count="2">
    <mergeCell ref="A1:F1"/>
    <mergeCell ref="A2:A3"/>
  </mergeCells>
  <conditionalFormatting sqref="CN4:CN19">
    <cfRule type="cellIs" dxfId="85" priority="48" operator="lessThanOrEqual">
      <formula>3</formula>
    </cfRule>
  </conditionalFormatting>
  <conditionalFormatting sqref="CL4:CL19">
    <cfRule type="cellIs" dxfId="84" priority="47" operator="lessThanOrEqual">
      <formula>3</formula>
    </cfRule>
  </conditionalFormatting>
  <conditionalFormatting sqref="CJ4:CJ19">
    <cfRule type="cellIs" dxfId="83" priority="46" operator="lessThanOrEqual">
      <formula>3</formula>
    </cfRule>
  </conditionalFormatting>
  <conditionalFormatting sqref="CH4:CH19">
    <cfRule type="cellIs" dxfId="82" priority="45" operator="lessThanOrEqual">
      <formula>3</formula>
    </cfRule>
  </conditionalFormatting>
  <conditionalFormatting sqref="CF4:CF19">
    <cfRule type="cellIs" dxfId="81" priority="44" operator="lessThanOrEqual">
      <formula>3</formula>
    </cfRule>
  </conditionalFormatting>
  <conditionalFormatting sqref="CD4:CD19">
    <cfRule type="cellIs" dxfId="80" priority="43" operator="lessThanOrEqual">
      <formula>3</formula>
    </cfRule>
  </conditionalFormatting>
  <conditionalFormatting sqref="H4:H19">
    <cfRule type="cellIs" dxfId="79" priority="42" operator="greaterThanOrEqual">
      <formula>$F$2</formula>
    </cfRule>
  </conditionalFormatting>
  <conditionalFormatting sqref="J4:J19">
    <cfRule type="cellIs" dxfId="78" priority="40" operator="greaterThanOrEqual">
      <formula>$F$2</formula>
    </cfRule>
  </conditionalFormatting>
  <conditionalFormatting sqref="L4:L19">
    <cfRule type="cellIs" dxfId="77" priority="39" operator="greaterThanOrEqual">
      <formula>$F$2</formula>
    </cfRule>
  </conditionalFormatting>
  <conditionalFormatting sqref="N4:N19">
    <cfRule type="cellIs" dxfId="76" priority="38" operator="greaterThanOrEqual">
      <formula>$F$2</formula>
    </cfRule>
  </conditionalFormatting>
  <conditionalFormatting sqref="P4:P19">
    <cfRule type="cellIs" dxfId="75" priority="37" operator="greaterThanOrEqual">
      <formula>$F$2</formula>
    </cfRule>
  </conditionalFormatting>
  <conditionalFormatting sqref="R4:R19">
    <cfRule type="cellIs" dxfId="74" priority="36" operator="greaterThanOrEqual">
      <formula>$F$2</formula>
    </cfRule>
  </conditionalFormatting>
  <conditionalFormatting sqref="T4:T19">
    <cfRule type="cellIs" dxfId="73" priority="35" operator="greaterThanOrEqual">
      <formula>$F$2</formula>
    </cfRule>
  </conditionalFormatting>
  <conditionalFormatting sqref="V4:V19">
    <cfRule type="cellIs" dxfId="72" priority="34" operator="greaterThanOrEqual">
      <formula>$F$2</formula>
    </cfRule>
  </conditionalFormatting>
  <conditionalFormatting sqref="X4:X19">
    <cfRule type="cellIs" dxfId="71" priority="33" operator="greaterThanOrEqual">
      <formula>$F$2</formula>
    </cfRule>
  </conditionalFormatting>
  <conditionalFormatting sqref="Z4:Z19">
    <cfRule type="cellIs" dxfId="70" priority="32" operator="greaterThanOrEqual">
      <formula>$F$2</formula>
    </cfRule>
  </conditionalFormatting>
  <conditionalFormatting sqref="AD4:AD19">
    <cfRule type="cellIs" dxfId="69" priority="30" operator="greaterThanOrEqual">
      <formula>$F$2</formula>
    </cfRule>
  </conditionalFormatting>
  <conditionalFormatting sqref="AF4:AF19">
    <cfRule type="cellIs" dxfId="68" priority="29" operator="greaterThanOrEqual">
      <formula>$F$2</formula>
    </cfRule>
  </conditionalFormatting>
  <conditionalFormatting sqref="AJ4:AJ19">
    <cfRule type="cellIs" dxfId="67" priority="28" operator="greaterThanOrEqual">
      <formula>$F$2</formula>
    </cfRule>
  </conditionalFormatting>
  <conditionalFormatting sqref="AL4:AL19">
    <cfRule type="cellIs" dxfId="66" priority="27" operator="greaterThanOrEqual">
      <formula>$F$2</formula>
    </cfRule>
  </conditionalFormatting>
  <conditionalFormatting sqref="AN4:AN19">
    <cfRule type="cellIs" dxfId="65" priority="26" operator="greaterThanOrEqual">
      <formula>$F$2</formula>
    </cfRule>
  </conditionalFormatting>
  <conditionalFormatting sqref="AP4:AP19">
    <cfRule type="cellIs" dxfId="64" priority="25" operator="greaterThanOrEqual">
      <formula>$F$2</formula>
    </cfRule>
  </conditionalFormatting>
  <conditionalFormatting sqref="AR4:AR19">
    <cfRule type="cellIs" dxfId="63" priority="24" operator="greaterThanOrEqual">
      <formula>$F$2</formula>
    </cfRule>
  </conditionalFormatting>
  <conditionalFormatting sqref="AT4:AT19">
    <cfRule type="cellIs" dxfId="62" priority="23" operator="greaterThanOrEqual">
      <formula>$F$2</formula>
    </cfRule>
  </conditionalFormatting>
  <conditionalFormatting sqref="AV4:AV19">
    <cfRule type="cellIs" dxfId="61" priority="22" operator="greaterThanOrEqual">
      <formula>$F$2</formula>
    </cfRule>
  </conditionalFormatting>
  <conditionalFormatting sqref="AX4:AX19">
    <cfRule type="cellIs" dxfId="60" priority="21" operator="greaterThanOrEqual">
      <formula>$F$2</formula>
    </cfRule>
  </conditionalFormatting>
  <conditionalFormatting sqref="AZ4:AZ19">
    <cfRule type="cellIs" dxfId="59" priority="20" operator="greaterThanOrEqual">
      <formula>$F$2</formula>
    </cfRule>
  </conditionalFormatting>
  <conditionalFormatting sqref="BB4:BB19">
    <cfRule type="cellIs" dxfId="58" priority="19" operator="greaterThanOrEqual">
      <formula>$F$2</formula>
    </cfRule>
  </conditionalFormatting>
  <conditionalFormatting sqref="BD4:BD19">
    <cfRule type="cellIs" dxfId="57" priority="18" operator="greaterThanOrEqual">
      <formula>$F$2</formula>
    </cfRule>
  </conditionalFormatting>
  <conditionalFormatting sqref="BF4:BF19">
    <cfRule type="cellIs" dxfId="56" priority="17" operator="greaterThanOrEqual">
      <formula>$F$2</formula>
    </cfRule>
  </conditionalFormatting>
  <conditionalFormatting sqref="BH4:BH19">
    <cfRule type="cellIs" dxfId="55" priority="16" operator="greaterThanOrEqual">
      <formula>$F$2</formula>
    </cfRule>
  </conditionalFormatting>
  <conditionalFormatting sqref="BJ4:BJ19">
    <cfRule type="cellIs" dxfId="54" priority="15" operator="greaterThanOrEqual">
      <formula>$F$2</formula>
    </cfRule>
  </conditionalFormatting>
  <conditionalFormatting sqref="BL4:BL19">
    <cfRule type="cellIs" dxfId="53" priority="14" operator="greaterThanOrEqual">
      <formula>$F$2</formula>
    </cfRule>
  </conditionalFormatting>
  <conditionalFormatting sqref="BN4:BN19">
    <cfRule type="cellIs" dxfId="52" priority="13" operator="greaterThanOrEqual">
      <formula>$F$2</formula>
    </cfRule>
  </conditionalFormatting>
  <conditionalFormatting sqref="BP4:BP19">
    <cfRule type="cellIs" dxfId="51" priority="12" operator="greaterThanOrEqual">
      <formula>$F$2</formula>
    </cfRule>
  </conditionalFormatting>
  <conditionalFormatting sqref="BR4:BR19">
    <cfRule type="cellIs" dxfId="50" priority="11" operator="greaterThanOrEqual">
      <formula>$F$2</formula>
    </cfRule>
  </conditionalFormatting>
  <conditionalFormatting sqref="BT4:BT19">
    <cfRule type="cellIs" dxfId="49" priority="10" operator="greaterThanOrEqual">
      <formula>$F$2</formula>
    </cfRule>
  </conditionalFormatting>
  <conditionalFormatting sqref="BV4:BV19">
    <cfRule type="cellIs" dxfId="48" priority="9" operator="greaterThanOrEqual">
      <formula>$F$2</formula>
    </cfRule>
  </conditionalFormatting>
  <conditionalFormatting sqref="BZ4:BZ19">
    <cfRule type="cellIs" dxfId="47" priority="7" operator="greaterThanOrEqual">
      <formula>$F$2</formula>
    </cfRule>
  </conditionalFormatting>
  <conditionalFormatting sqref="AB4:AB19">
    <cfRule type="cellIs" dxfId="46" priority="5" operator="greaterThanOrEqual">
      <formula>$F$2</formula>
    </cfRule>
  </conditionalFormatting>
  <conditionalFormatting sqref="BX4:BX19">
    <cfRule type="cellIs" dxfId="45" priority="4" operator="greaterThanOrEqual">
      <formula>$F$2</formula>
    </cfRule>
  </conditionalFormatting>
  <conditionalFormatting sqref="CB4:CB19">
    <cfRule type="cellIs" dxfId="44" priority="3" operator="greaterThanOrEqual">
      <formula>$F$2</formula>
    </cfRule>
  </conditionalFormatting>
  <conditionalFormatting sqref="AH4:AH19">
    <cfRule type="cellIs" dxfId="43" priority="2" operator="greaterThanOrEqual">
      <formula>$F$2</formula>
    </cfRule>
  </conditionalFormatting>
  <pageMargins left="0.70866141732283472" right="0.70866141732283472" top="0.78740157480314965" bottom="0.78740157480314965" header="0.31496062992125984" footer="0.31496062992125984"/>
  <pageSetup paperSize="9" scale="61" fitToHeight="5" orientation="landscape" r:id="rId1"/>
  <headerFooter>
    <oddHeader>&amp;C&amp;"-,Fett"&amp;16Thüringer Athletiktest 2011 Jugend B männlich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N16"/>
  <sheetViews>
    <sheetView zoomScale="95" zoomScaleNormal="9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2:A3"/>
    </sheetView>
  </sheetViews>
  <sheetFormatPr baseColWidth="10" defaultColWidth="11.44140625" defaultRowHeight="13.2" x14ac:dyDescent="0.25"/>
  <cols>
    <col min="1" max="1" width="5.109375" style="3" customWidth="1"/>
    <col min="2" max="2" width="17.6640625" style="136" bestFit="1" customWidth="1"/>
    <col min="3" max="3" width="8" style="5" bestFit="1" customWidth="1"/>
    <col min="4" max="4" width="8.44140625" style="4" bestFit="1" customWidth="1"/>
    <col min="5" max="5" width="7.109375" style="6" bestFit="1" customWidth="1"/>
    <col min="6" max="6" width="11.44140625" style="1"/>
    <col min="7" max="7" width="4.5546875" style="7" hidden="1" customWidth="1"/>
    <col min="8" max="8" width="4.5546875" style="8" hidden="1" customWidth="1"/>
    <col min="9" max="9" width="4.5546875" style="7" hidden="1" customWidth="1"/>
    <col min="10" max="10" width="4.5546875" style="8" hidden="1" customWidth="1"/>
    <col min="11" max="11" width="4.5546875" style="7" hidden="1" customWidth="1"/>
    <col min="12" max="12" width="4.5546875" style="8" hidden="1" customWidth="1"/>
    <col min="13" max="13" width="4.5546875" style="7" customWidth="1"/>
    <col min="14" max="14" width="4.5546875" style="8" customWidth="1"/>
    <col min="15" max="15" width="4" style="6" hidden="1" customWidth="1"/>
    <col min="16" max="16" width="4.44140625" style="8" hidden="1" customWidth="1"/>
    <col min="17" max="17" width="4.88671875" style="7" hidden="1" customWidth="1"/>
    <col min="18" max="18" width="4.44140625" style="9" hidden="1" customWidth="1"/>
    <col min="19" max="19" width="4.88671875" style="7" hidden="1" customWidth="1"/>
    <col min="20" max="20" width="4.44140625" style="8" hidden="1" customWidth="1"/>
    <col min="21" max="21" width="4.88671875" style="21" hidden="1" customWidth="1"/>
    <col min="22" max="22" width="4.44140625" style="8" hidden="1" customWidth="1"/>
    <col min="23" max="23" width="4.88671875" style="7" customWidth="1"/>
    <col min="24" max="24" width="4.44140625" style="8" customWidth="1"/>
    <col min="25" max="25" width="4.88671875" style="6" hidden="1" customWidth="1"/>
    <col min="26" max="26" width="4.44140625" style="8" hidden="1" customWidth="1"/>
    <col min="27" max="27" width="4" style="7" hidden="1" customWidth="1"/>
    <col min="28" max="28" width="4.44140625" style="8" hidden="1" customWidth="1"/>
    <col min="29" max="29" width="4.5546875" style="7" hidden="1" customWidth="1"/>
    <col min="30" max="30" width="4.44140625" style="8" hidden="1" customWidth="1"/>
    <col min="31" max="31" width="4" style="12" hidden="1" customWidth="1"/>
    <col min="32" max="32" width="4.44140625" style="8" hidden="1" customWidth="1"/>
    <col min="33" max="33" width="5.5546875" style="12" bestFit="1" customWidth="1"/>
    <col min="34" max="34" width="4.44140625" style="3" bestFit="1" customWidth="1"/>
    <col min="35" max="35" width="5.5546875" style="12" hidden="1" customWidth="1"/>
    <col min="36" max="36" width="4" style="3" hidden="1" customWidth="1"/>
    <col min="37" max="37" width="4.5546875" style="7" customWidth="1"/>
    <col min="38" max="38" width="4.44140625" style="8" customWidth="1"/>
    <col min="39" max="39" width="4" style="7" hidden="1" customWidth="1"/>
    <col min="40" max="40" width="4.44140625" style="3" hidden="1" customWidth="1"/>
    <col min="41" max="41" width="4.88671875" style="6" hidden="1" customWidth="1"/>
    <col min="42" max="42" width="4.44140625" style="8" hidden="1" customWidth="1"/>
    <col min="43" max="43" width="4.88671875" style="6" hidden="1" customWidth="1"/>
    <col min="44" max="44" width="4.44140625" style="8" hidden="1" customWidth="1"/>
    <col min="45" max="45" width="4.88671875" style="6" hidden="1" customWidth="1"/>
    <col min="46" max="46" width="4.44140625" style="8" hidden="1" customWidth="1"/>
    <col min="47" max="47" width="4" style="7" hidden="1" customWidth="1"/>
    <col min="48" max="48" width="4.44140625" style="3" hidden="1" customWidth="1"/>
    <col min="49" max="49" width="5.88671875" style="7" hidden="1" customWidth="1"/>
    <col min="50" max="50" width="4.5546875" style="8" hidden="1" customWidth="1"/>
    <col min="51" max="51" width="5.88671875" style="7" customWidth="1"/>
    <col min="52" max="52" width="4.5546875" style="8" customWidth="1"/>
    <col min="53" max="53" width="4" style="12" hidden="1" customWidth="1"/>
    <col min="54" max="54" width="4.44140625" style="8" hidden="1" customWidth="1"/>
    <col min="55" max="55" width="4.88671875" style="12" hidden="1" customWidth="1"/>
    <col min="56" max="56" width="4.44140625" style="8" hidden="1" customWidth="1"/>
    <col min="57" max="57" width="4.88671875" style="6" bestFit="1" customWidth="1"/>
    <col min="58" max="58" width="4.44140625" style="8" bestFit="1" customWidth="1"/>
    <col min="59" max="59" width="4.88671875" style="6" hidden="1" customWidth="1"/>
    <col min="60" max="60" width="4.44140625" style="8" hidden="1" customWidth="1"/>
    <col min="61" max="61" width="4" style="6" hidden="1" customWidth="1"/>
    <col min="62" max="62" width="4.44140625" style="4" hidden="1" customWidth="1"/>
    <col min="63" max="63" width="5.88671875" style="21" bestFit="1" customWidth="1"/>
    <col min="64" max="64" width="4.44140625" style="4" bestFit="1" customWidth="1"/>
    <col min="65" max="65" width="4.5546875" style="7" customWidth="1"/>
    <col min="66" max="66" width="4.44140625" style="9" customWidth="1"/>
    <col min="67" max="67" width="4.6640625" style="7" bestFit="1" customWidth="1"/>
    <col min="68" max="68" width="4.44140625" style="8" bestFit="1" customWidth="1"/>
    <col min="69" max="69" width="4.5546875" style="146" hidden="1" customWidth="1"/>
    <col min="70" max="70" width="4.44140625" style="8" hidden="1" customWidth="1"/>
    <col min="71" max="71" width="4.88671875" style="21" bestFit="1" customWidth="1"/>
    <col min="72" max="72" width="4.44140625" style="8" bestFit="1" customWidth="1"/>
    <col min="73" max="73" width="4.88671875" style="37" hidden="1" customWidth="1"/>
    <col min="74" max="74" width="4.44140625" style="8" hidden="1" customWidth="1"/>
    <col min="75" max="75" width="4.88671875" style="21" hidden="1" customWidth="1"/>
    <col min="76" max="76" width="4.44140625" style="10" hidden="1" customWidth="1"/>
    <col min="77" max="77" width="3.5546875" style="13" hidden="1" customWidth="1"/>
    <col min="78" max="78" width="4.44140625" style="10" hidden="1" customWidth="1"/>
    <col min="79" max="79" width="3.5546875" style="13" hidden="1" customWidth="1"/>
    <col min="80" max="80" width="4.44140625" style="10" hidden="1" customWidth="1"/>
    <col min="81" max="81" width="4.44140625" style="13" bestFit="1" customWidth="1"/>
    <col min="82" max="82" width="5.5546875" style="10" bestFit="1" customWidth="1"/>
    <col min="83" max="83" width="4.44140625" style="13" bestFit="1" customWidth="1"/>
    <col min="84" max="84" width="5.5546875" style="10" bestFit="1" customWidth="1"/>
    <col min="85" max="85" width="4.21875" style="13" bestFit="1" customWidth="1"/>
    <col min="86" max="86" width="5.5546875" style="10" bestFit="1" customWidth="1"/>
    <col min="87" max="87" width="4.44140625" style="11" bestFit="1" customWidth="1"/>
    <col min="88" max="88" width="5.5546875" style="2" bestFit="1" customWidth="1"/>
    <col min="89" max="89" width="4.44140625" style="11" bestFit="1" customWidth="1"/>
    <col min="90" max="90" width="5.5546875" style="2" bestFit="1" customWidth="1"/>
    <col min="91" max="91" width="4.44140625" style="2" bestFit="1" customWidth="1"/>
    <col min="92" max="92" width="5.5546875" style="2" customWidth="1"/>
    <col min="93" max="16384" width="11.44140625" style="2"/>
  </cols>
  <sheetData>
    <row r="1" spans="1:92" ht="126" x14ac:dyDescent="0.25">
      <c r="A1" s="203" t="s">
        <v>83</v>
      </c>
      <c r="B1" s="203"/>
      <c r="C1" s="203"/>
      <c r="D1" s="203"/>
      <c r="E1" s="203"/>
      <c r="F1" s="203"/>
      <c r="G1" s="64" t="s">
        <v>0</v>
      </c>
      <c r="H1" s="70">
        <v>11.1</v>
      </c>
      <c r="I1" s="71" t="s">
        <v>1</v>
      </c>
      <c r="J1" s="67">
        <v>10.6</v>
      </c>
      <c r="K1" s="64" t="s">
        <v>2</v>
      </c>
      <c r="L1" s="70">
        <v>15.7</v>
      </c>
      <c r="M1" s="78" t="s">
        <v>3</v>
      </c>
      <c r="N1" s="76">
        <v>15</v>
      </c>
      <c r="O1" s="79" t="s">
        <v>4</v>
      </c>
      <c r="P1" s="84">
        <v>40</v>
      </c>
      <c r="Q1" s="78" t="s">
        <v>5</v>
      </c>
      <c r="R1" s="82">
        <v>10</v>
      </c>
      <c r="S1" s="85" t="s">
        <v>6</v>
      </c>
      <c r="T1" s="84">
        <v>10</v>
      </c>
      <c r="U1" s="87" t="s">
        <v>7</v>
      </c>
      <c r="V1" s="86">
        <v>5</v>
      </c>
      <c r="W1" s="85" t="s">
        <v>8</v>
      </c>
      <c r="X1" s="84">
        <v>10</v>
      </c>
      <c r="Y1" s="90" t="s">
        <v>9</v>
      </c>
      <c r="Z1" s="86">
        <v>10</v>
      </c>
      <c r="AA1" s="85" t="s">
        <v>10</v>
      </c>
      <c r="AB1" s="84">
        <v>3.8</v>
      </c>
      <c r="AC1" s="78" t="s">
        <v>11</v>
      </c>
      <c r="AD1" s="86">
        <v>8.6</v>
      </c>
      <c r="AE1" s="95" t="s">
        <v>12</v>
      </c>
      <c r="AF1" s="84">
        <v>170</v>
      </c>
      <c r="AG1" s="99" t="s">
        <v>135</v>
      </c>
      <c r="AH1" s="86">
        <v>520</v>
      </c>
      <c r="AI1" s="99" t="s">
        <v>13</v>
      </c>
      <c r="AJ1" s="86">
        <v>810</v>
      </c>
      <c r="AK1" s="85" t="s">
        <v>14</v>
      </c>
      <c r="AL1" s="84">
        <v>15</v>
      </c>
      <c r="AM1" s="78" t="s">
        <v>15</v>
      </c>
      <c r="AN1" s="76">
        <v>4</v>
      </c>
      <c r="AO1" s="79" t="s">
        <v>16</v>
      </c>
      <c r="AP1" s="84">
        <v>29</v>
      </c>
      <c r="AQ1" s="90" t="s">
        <v>17</v>
      </c>
      <c r="AR1" s="86">
        <v>10</v>
      </c>
      <c r="AS1" s="79" t="s">
        <v>18</v>
      </c>
      <c r="AT1" s="84">
        <v>23</v>
      </c>
      <c r="AU1" s="78" t="s">
        <v>19</v>
      </c>
      <c r="AV1" s="104" t="s">
        <v>20</v>
      </c>
      <c r="AW1" s="85" t="s">
        <v>21</v>
      </c>
      <c r="AX1" s="107">
        <v>10.1</v>
      </c>
      <c r="AY1" s="78" t="s">
        <v>22</v>
      </c>
      <c r="AZ1" s="76">
        <v>11.9</v>
      </c>
      <c r="BA1" s="95" t="s">
        <v>23</v>
      </c>
      <c r="BB1" s="84">
        <v>45</v>
      </c>
      <c r="BC1" s="99" t="s">
        <v>24</v>
      </c>
      <c r="BD1" s="82">
        <v>26</v>
      </c>
      <c r="BE1" s="79" t="s">
        <v>25</v>
      </c>
      <c r="BF1" s="84">
        <v>35</v>
      </c>
      <c r="BG1" s="90" t="s">
        <v>26</v>
      </c>
      <c r="BH1" s="86">
        <v>36</v>
      </c>
      <c r="BI1" s="79" t="s">
        <v>27</v>
      </c>
      <c r="BJ1" s="84">
        <v>45</v>
      </c>
      <c r="BK1" s="87" t="s">
        <v>28</v>
      </c>
      <c r="BL1" s="86">
        <v>2.4</v>
      </c>
      <c r="BM1" s="85" t="s">
        <v>29</v>
      </c>
      <c r="BN1" s="114" t="s">
        <v>30</v>
      </c>
      <c r="BO1" s="78" t="s">
        <v>31</v>
      </c>
      <c r="BP1" s="86">
        <v>28</v>
      </c>
      <c r="BQ1" s="85" t="s">
        <v>32</v>
      </c>
      <c r="BR1" s="84">
        <v>5</v>
      </c>
      <c r="BS1" s="87" t="s">
        <v>33</v>
      </c>
      <c r="BT1" s="86">
        <v>1</v>
      </c>
      <c r="BU1" s="117" t="s">
        <v>34</v>
      </c>
      <c r="BV1" s="74">
        <v>1</v>
      </c>
      <c r="BW1" s="121" t="s">
        <v>34</v>
      </c>
      <c r="BX1" s="77">
        <v>1</v>
      </c>
      <c r="BY1" s="123" t="s">
        <v>35</v>
      </c>
      <c r="BZ1" s="74">
        <v>0</v>
      </c>
      <c r="CA1" s="125" t="s">
        <v>35</v>
      </c>
      <c r="CB1" s="77">
        <v>0</v>
      </c>
      <c r="CC1" s="39" t="s">
        <v>36</v>
      </c>
      <c r="CD1" s="38"/>
      <c r="CE1" s="39" t="s">
        <v>37</v>
      </c>
      <c r="CF1" s="40"/>
      <c r="CG1" s="39" t="s">
        <v>38</v>
      </c>
      <c r="CH1" s="40"/>
      <c r="CI1" s="39" t="s">
        <v>39</v>
      </c>
      <c r="CJ1" s="41"/>
      <c r="CK1" s="42" t="s">
        <v>40</v>
      </c>
      <c r="CL1" s="41"/>
      <c r="CM1" s="41" t="s">
        <v>41</v>
      </c>
      <c r="CN1" s="43" t="s">
        <v>56</v>
      </c>
    </row>
    <row r="2" spans="1:92" s="14" customFormat="1" ht="18.75" customHeight="1" x14ac:dyDescent="0.3">
      <c r="A2" s="201" t="s">
        <v>112</v>
      </c>
      <c r="B2" s="135" t="str">
        <f>männlich!B2</f>
        <v>Datum: 09.10.2011</v>
      </c>
      <c r="C2" s="46"/>
      <c r="D2" s="45"/>
      <c r="E2" s="47"/>
      <c r="F2" s="161">
        <v>20</v>
      </c>
      <c r="G2" s="65"/>
      <c r="H2" s="72"/>
      <c r="I2" s="73"/>
      <c r="J2" s="68"/>
      <c r="K2" s="65"/>
      <c r="L2" s="72"/>
      <c r="M2" s="73"/>
      <c r="N2" s="68"/>
      <c r="O2" s="80"/>
      <c r="P2" s="72"/>
      <c r="Q2" s="73"/>
      <c r="R2" s="83"/>
      <c r="S2" s="65"/>
      <c r="T2" s="72"/>
      <c r="U2" s="88"/>
      <c r="V2" s="68"/>
      <c r="W2" s="65"/>
      <c r="X2" s="72"/>
      <c r="Y2" s="91"/>
      <c r="Z2" s="68"/>
      <c r="AA2" s="93"/>
      <c r="AB2" s="72"/>
      <c r="AC2" s="94"/>
      <c r="AD2" s="68"/>
      <c r="AE2" s="96"/>
      <c r="AF2" s="72"/>
      <c r="AG2" s="100"/>
      <c r="AH2" s="98"/>
      <c r="AI2" s="100"/>
      <c r="AJ2" s="98"/>
      <c r="AK2" s="93"/>
      <c r="AL2" s="72"/>
      <c r="AM2" s="94"/>
      <c r="AN2" s="98"/>
      <c r="AO2" s="102"/>
      <c r="AP2" s="72"/>
      <c r="AQ2" s="103"/>
      <c r="AR2" s="68"/>
      <c r="AS2" s="102"/>
      <c r="AT2" s="72"/>
      <c r="AU2" s="105"/>
      <c r="AV2" s="98"/>
      <c r="AW2" s="106"/>
      <c r="AX2" s="72"/>
      <c r="AY2" s="105"/>
      <c r="AZ2" s="68"/>
      <c r="BA2" s="108"/>
      <c r="BB2" s="72"/>
      <c r="BC2" s="109"/>
      <c r="BD2" s="68"/>
      <c r="BE2" s="102"/>
      <c r="BF2" s="72"/>
      <c r="BG2" s="103"/>
      <c r="BH2" s="68"/>
      <c r="BI2" s="102"/>
      <c r="BJ2" s="112"/>
      <c r="BK2" s="113"/>
      <c r="BL2" s="111"/>
      <c r="BM2" s="106"/>
      <c r="BN2" s="115"/>
      <c r="BO2" s="198"/>
      <c r="BP2" s="68"/>
      <c r="BQ2" s="145"/>
      <c r="BR2" s="72"/>
      <c r="BS2" s="116"/>
      <c r="BT2" s="68"/>
      <c r="BU2" s="118"/>
      <c r="BV2" s="72"/>
      <c r="BW2" s="116"/>
      <c r="BX2" s="120"/>
      <c r="BY2" s="124"/>
      <c r="BZ2" s="126"/>
      <c r="CA2" s="127"/>
      <c r="CB2" s="120"/>
      <c r="CC2" s="48"/>
      <c r="CD2" s="50"/>
      <c r="CE2" s="51"/>
      <c r="CF2" s="50"/>
      <c r="CG2" s="49"/>
      <c r="CH2" s="50"/>
      <c r="CI2" s="52"/>
      <c r="CJ2" s="53"/>
      <c r="CK2" s="54"/>
      <c r="CL2" s="53"/>
      <c r="CM2" s="53"/>
      <c r="CN2" s="53"/>
    </row>
    <row r="3" spans="1:92" s="14" customFormat="1" ht="24.75" customHeight="1" x14ac:dyDescent="0.3">
      <c r="A3" s="202"/>
      <c r="B3" s="55" t="s">
        <v>53</v>
      </c>
      <c r="C3" s="56" t="s">
        <v>54</v>
      </c>
      <c r="D3" s="57" t="s">
        <v>55</v>
      </c>
      <c r="E3" s="58" t="s">
        <v>111</v>
      </c>
      <c r="F3" s="59" t="s">
        <v>43</v>
      </c>
      <c r="G3" s="66" t="s">
        <v>44</v>
      </c>
      <c r="H3" s="74" t="s">
        <v>45</v>
      </c>
      <c r="I3" s="75" t="s">
        <v>44</v>
      </c>
      <c r="J3" s="69" t="s">
        <v>45</v>
      </c>
      <c r="K3" s="66" t="s">
        <v>44</v>
      </c>
      <c r="L3" s="74" t="s">
        <v>45</v>
      </c>
      <c r="M3" s="75" t="s">
        <v>44</v>
      </c>
      <c r="N3" s="77" t="s">
        <v>45</v>
      </c>
      <c r="O3" s="81" t="s">
        <v>44</v>
      </c>
      <c r="P3" s="74" t="s">
        <v>45</v>
      </c>
      <c r="Q3" s="75" t="s">
        <v>46</v>
      </c>
      <c r="R3" s="77" t="s">
        <v>45</v>
      </c>
      <c r="S3" s="66" t="s">
        <v>46</v>
      </c>
      <c r="T3" s="74" t="s">
        <v>45</v>
      </c>
      <c r="U3" s="89" t="s">
        <v>46</v>
      </c>
      <c r="V3" s="77" t="s">
        <v>45</v>
      </c>
      <c r="W3" s="66" t="s">
        <v>46</v>
      </c>
      <c r="X3" s="74" t="s">
        <v>45</v>
      </c>
      <c r="Y3" s="92" t="s">
        <v>47</v>
      </c>
      <c r="Z3" s="77" t="s">
        <v>45</v>
      </c>
      <c r="AA3" s="66" t="s">
        <v>44</v>
      </c>
      <c r="AB3" s="74" t="s">
        <v>45</v>
      </c>
      <c r="AC3" s="75" t="s">
        <v>44</v>
      </c>
      <c r="AD3" s="77" t="s">
        <v>45</v>
      </c>
      <c r="AE3" s="97" t="s">
        <v>44</v>
      </c>
      <c r="AF3" s="74" t="s">
        <v>45</v>
      </c>
      <c r="AG3" s="101" t="s">
        <v>44</v>
      </c>
      <c r="AH3" s="77" t="s">
        <v>48</v>
      </c>
      <c r="AI3" s="101" t="s">
        <v>44</v>
      </c>
      <c r="AJ3" s="77" t="s">
        <v>48</v>
      </c>
      <c r="AK3" s="66" t="s">
        <v>44</v>
      </c>
      <c r="AL3" s="74" t="s">
        <v>45</v>
      </c>
      <c r="AM3" s="75" t="s">
        <v>44</v>
      </c>
      <c r="AN3" s="77" t="s">
        <v>45</v>
      </c>
      <c r="AO3" s="81" t="s">
        <v>49</v>
      </c>
      <c r="AP3" s="74" t="s">
        <v>45</v>
      </c>
      <c r="AQ3" s="92" t="s">
        <v>49</v>
      </c>
      <c r="AR3" s="77" t="s">
        <v>45</v>
      </c>
      <c r="AS3" s="81" t="s">
        <v>49</v>
      </c>
      <c r="AT3" s="74" t="s">
        <v>45</v>
      </c>
      <c r="AU3" s="75" t="s">
        <v>44</v>
      </c>
      <c r="AV3" s="77" t="s">
        <v>45</v>
      </c>
      <c r="AW3" s="66" t="s">
        <v>50</v>
      </c>
      <c r="AX3" s="74" t="s">
        <v>45</v>
      </c>
      <c r="AY3" s="75" t="s">
        <v>50</v>
      </c>
      <c r="AZ3" s="77" t="s">
        <v>45</v>
      </c>
      <c r="BA3" s="97" t="s">
        <v>44</v>
      </c>
      <c r="BB3" s="74" t="s">
        <v>45</v>
      </c>
      <c r="BC3" s="110" t="s">
        <v>49</v>
      </c>
      <c r="BD3" s="69" t="s">
        <v>45</v>
      </c>
      <c r="BE3" s="81" t="s">
        <v>49</v>
      </c>
      <c r="BF3" s="74" t="s">
        <v>45</v>
      </c>
      <c r="BG3" s="92" t="s">
        <v>49</v>
      </c>
      <c r="BH3" s="77" t="s">
        <v>45</v>
      </c>
      <c r="BI3" s="81" t="s">
        <v>44</v>
      </c>
      <c r="BJ3" s="74" t="s">
        <v>45</v>
      </c>
      <c r="BK3" s="89" t="s">
        <v>50</v>
      </c>
      <c r="BL3" s="77" t="s">
        <v>45</v>
      </c>
      <c r="BM3" s="66" t="s">
        <v>44</v>
      </c>
      <c r="BN3" s="74" t="s">
        <v>45</v>
      </c>
      <c r="BO3" s="75" t="s">
        <v>51</v>
      </c>
      <c r="BP3" s="77" t="s">
        <v>45</v>
      </c>
      <c r="BQ3" s="66" t="s">
        <v>52</v>
      </c>
      <c r="BR3" s="74" t="s">
        <v>45</v>
      </c>
      <c r="BS3" s="89" t="s">
        <v>46</v>
      </c>
      <c r="BT3" s="77" t="s">
        <v>45</v>
      </c>
      <c r="BU3" s="119" t="s">
        <v>46</v>
      </c>
      <c r="BV3" s="74" t="s">
        <v>45</v>
      </c>
      <c r="BW3" s="122" t="s">
        <v>46</v>
      </c>
      <c r="BX3" s="77" t="s">
        <v>45</v>
      </c>
      <c r="BY3" s="81" t="s">
        <v>51</v>
      </c>
      <c r="BZ3" s="74" t="s">
        <v>45</v>
      </c>
      <c r="CA3" s="92" t="s">
        <v>51</v>
      </c>
      <c r="CB3" s="77" t="s">
        <v>45</v>
      </c>
      <c r="CC3" s="60" t="s">
        <v>45</v>
      </c>
      <c r="CD3" s="61" t="s">
        <v>42</v>
      </c>
      <c r="CE3" s="60" t="s">
        <v>45</v>
      </c>
      <c r="CF3" s="61" t="s">
        <v>42</v>
      </c>
      <c r="CG3" s="60" t="s">
        <v>48</v>
      </c>
      <c r="CH3" s="61" t="s">
        <v>42</v>
      </c>
      <c r="CI3" s="60" t="s">
        <v>45</v>
      </c>
      <c r="CJ3" s="61" t="s">
        <v>42</v>
      </c>
      <c r="CK3" s="60" t="s">
        <v>45</v>
      </c>
      <c r="CL3" s="61" t="s">
        <v>42</v>
      </c>
      <c r="CM3" s="62" t="s">
        <v>45</v>
      </c>
      <c r="CN3" s="63" t="s">
        <v>42</v>
      </c>
    </row>
    <row r="4" spans="1:92" s="14" customFormat="1" ht="27" customHeight="1" x14ac:dyDescent="0.3">
      <c r="A4" s="44">
        <v>1</v>
      </c>
      <c r="B4" s="135" t="s">
        <v>128</v>
      </c>
      <c r="C4" s="46" t="s">
        <v>101</v>
      </c>
      <c r="D4" s="45">
        <v>71.599999999999994</v>
      </c>
      <c r="E4" s="47">
        <v>172</v>
      </c>
      <c r="F4" s="147">
        <v>35891</v>
      </c>
      <c r="G4" s="148"/>
      <c r="H4" s="72">
        <f>IF(G4="",0,IF(G4&lt;$H$1,50,IF(G4&gt;18.7,0,VLOOKUP(G4,Liste_AT1!$A$3:$B$79,2,0))))</f>
        <v>0</v>
      </c>
      <c r="I4" s="149"/>
      <c r="J4" s="68">
        <f>IF(I4="",0,IF(I4&lt;$J$1,50,IF(I4&gt;22.8,0,VLOOKUP(I4,Liste_AT1!$C$3:$D$125,2,0))))</f>
        <v>0</v>
      </c>
      <c r="K4" s="148"/>
      <c r="L4" s="72">
        <f>IF(K4="",0,IF(K4&lt;$L$1,50,IF(K4&gt;29.2,0,VLOOKUP(K4,Liste_AT1!$E$3:$F$138,2,0))))</f>
        <v>0</v>
      </c>
      <c r="M4" s="149">
        <v>24.5</v>
      </c>
      <c r="N4" s="68">
        <f>IF(M4="",0,IF(M4&lt;15,50,IF(M4&gt;39.5,0,VLOOKUP(M4,Liste_AT1!$G$3:$H$248,2,0))))</f>
        <v>31</v>
      </c>
      <c r="O4" s="150"/>
      <c r="P4" s="72">
        <f>IF(O4="",0,IF(O4&lt;40,50,IF(O4&gt;108,0,VLOOKUP(O4,Liste_AT1!$I$3:$J$71,2,0))))</f>
        <v>0</v>
      </c>
      <c r="Q4" s="149"/>
      <c r="R4" s="68">
        <f>IF(Q4&gt;10,50,IF(Q4&lt;1,0,IF(Q4="",0,VLOOKUP(Q4,Liste_AT1!$K$3:$L$21,2,0))))</f>
        <v>0</v>
      </c>
      <c r="S4" s="148"/>
      <c r="T4" s="72">
        <f>IF(S4&gt;10,50,IF(S4&lt;1,0,VLOOKUP(S4,Liste_AT1!$M$3:$N$21,2,0)))</f>
        <v>0</v>
      </c>
      <c r="U4" s="151"/>
      <c r="V4" s="68">
        <f>IF(U4&gt;5,35,IF(U4&lt;1,0,VLOOKUP(U4,Liste_AT1!$O$3:$P$19,2)))</f>
        <v>0</v>
      </c>
      <c r="W4" s="148">
        <v>9.1999999999999993</v>
      </c>
      <c r="X4" s="72">
        <f>IF(W4&gt;10,50,IF(W4&lt;1,0,VLOOKUP(W4,Liste_AT1!$Q$3:$R$21,2)))</f>
        <v>46</v>
      </c>
      <c r="Y4" s="152"/>
      <c r="Z4" s="68">
        <f>IF(Y4&gt;10,50,IF(Y4&lt;1,0,VLOOKUP(Y4,Liste_AT1!$S$3:$T$12,2)))</f>
        <v>0</v>
      </c>
      <c r="AA4" s="148"/>
      <c r="AB4" s="72">
        <f>IF(AA4="",0,IF(AA4&lt;3.8,50,IF(AA4&gt;6.9,0,VLOOKUP(AA4,Liste_AT2!$A$3:$B$34,2))))</f>
        <v>0</v>
      </c>
      <c r="AC4" s="149"/>
      <c r="AD4" s="68">
        <f>IF(AC4="",0,IF(AC4&lt;8.6,50,IF(AC4&gt;12.1,0,VLOOKUP(AC4,Liste_AT2!$C$3:$D$38,2))))</f>
        <v>0</v>
      </c>
      <c r="AE4" s="153"/>
      <c r="AF4" s="72">
        <f>IF(AE4="",0,IF(AE4&lt;170,50,IF(AE4&gt;241,0,VLOOKUP(AE4,Liste_AT2!$E$3:$G$74,3))))</f>
        <v>0</v>
      </c>
      <c r="AG4" s="154">
        <v>565</v>
      </c>
      <c r="AH4" s="68">
        <f>IF(AG4="",0,IF(AG4&lt;520,50,IF(AG4&gt;646,0,VLOOKUP(AG4,Liste_AT2!$AV$3:$AW$66,2))))</f>
        <v>28</v>
      </c>
      <c r="AI4" s="154"/>
      <c r="AJ4" s="68">
        <f>IF(AI4="",0,IF(AI4&lt;810,50,IF(AI4&gt;936,0,VLOOKUP(AI4,Liste_AT2!$H$3:$J$66,3))))</f>
        <v>0</v>
      </c>
      <c r="AK4" s="148">
        <v>17.100000000000001</v>
      </c>
      <c r="AL4" s="72">
        <f>IF(AK4="",0,IF(AK4&lt;15,50,IF(AK4&gt;22.5,0,VLOOKUP(AK4,Liste_AT2!$K$3:$L$78,2))))</f>
        <v>29</v>
      </c>
      <c r="AM4" s="149"/>
      <c r="AN4" s="68">
        <f>IF(AM4="",0,IF(AM4&lt;4,50,IF(AM4&gt;9.4,0,VLOOKUP(AM4,Liste_AT2!$M$3:$N$57,2))))</f>
        <v>0</v>
      </c>
      <c r="AO4" s="150"/>
      <c r="AP4" s="72">
        <f>IF(AO4="",0,IF(AO4&gt;29,50,IF(AO4&lt;5,0,VLOOKUP(AO4,Liste_AT2!$O$3:$P$29,2))))</f>
        <v>0</v>
      </c>
      <c r="AQ4" s="152"/>
      <c r="AR4" s="68">
        <f>IF(AQ4="",0,IF(AQ4&gt;10,50,IF(AQ4&lt;1,0,VLOOKUP(AQ4,Liste_AT2!$S$3:$T$19,2))))</f>
        <v>0</v>
      </c>
      <c r="AS4" s="150"/>
      <c r="AT4" s="72">
        <f>IF(AS4="",0,IF(AS4&gt;23,50,IF(AS4&lt;2,0,VLOOKUP(AS4,Liste_AT2!$Y$3:$Z$24,2))))</f>
        <v>0</v>
      </c>
      <c r="AU4" s="149"/>
      <c r="AV4" s="68">
        <f>IF(AU4="",0,IF(AU4&lt;3.7,50,IF(AU4&gt;8,0,VLOOKUP(AU4,Liste_AT2!$AA$3:$AB$46,2))))</f>
        <v>0</v>
      </c>
      <c r="AW4" s="148"/>
      <c r="AX4" s="72">
        <f>IF(AW4="",0,IF(AW4&lt;4,0,IF(AW4&gt;10.1,50,VLOOKUP(AW4,Liste_AT2!$AC$3:$AD$62,2))))</f>
        <v>0</v>
      </c>
      <c r="AY4" s="149">
        <v>11.9</v>
      </c>
      <c r="AZ4" s="68">
        <f>IF(AY4="",0,IF(AY4&gt;11.9,50,IF(AY4&lt;5,0,VLOOKUP(AY4,Liste_AT2!$AE$3:$AF$72,2))))</f>
        <v>50</v>
      </c>
      <c r="BA4" s="153"/>
      <c r="BB4" s="72">
        <f>IF(BA4="",0,IF(BA4&gt;45,50,IF(BA4&lt;2,0,VLOOKUP(BA4,Liste_AT2!$AG$3:$AH$61,2))))</f>
        <v>0</v>
      </c>
      <c r="BC4" s="154"/>
      <c r="BD4" s="68">
        <f>IF(BC4="",0,IF(BC4&gt;26,50,IF(BC4&lt;4,0,VLOOKUP(BC4,Liste_AT2!$AI$3:$AJ$25,2))))</f>
        <v>0</v>
      </c>
      <c r="BE4" s="150">
        <v>20</v>
      </c>
      <c r="BF4" s="72">
        <f>IF(BE4="",0,IF(BE4&gt;35,50,IF(BE4&lt;14,0,VLOOKUP(BE4,Liste_AT2!$AK$3:$AL$24,2))))</f>
        <v>12</v>
      </c>
      <c r="BG4" s="152"/>
      <c r="BH4" s="68">
        <f>IF(BG4="",0,IF(BG4&gt;36,50,IF(BG4&lt;7,0,VLOOKUP(BG4,Liste_AT2!$AM$3:$AN$32,2))))</f>
        <v>0</v>
      </c>
      <c r="BI4" s="150"/>
      <c r="BJ4" s="72">
        <f>IF(BI4="",0,IF(BI4&gt;45,50,IF(BI4&lt;6,0,VLOOKUP(BI4,Liste_AT2!$AO$3:$AP$52,2))))</f>
        <v>0</v>
      </c>
      <c r="BK4" s="151">
        <v>2.1</v>
      </c>
      <c r="BL4" s="68">
        <f>IF(BK4="",0,IF(BK4&gt;2.4,50,IF(BK4&lt;1.15,0,VLOOKUP(BK4,Liste_AT2!$AQ$3:$AR$52,2))))</f>
        <v>35</v>
      </c>
      <c r="BM4" s="148">
        <v>38.299999999999997</v>
      </c>
      <c r="BN4" s="72">
        <f>IF(BM4="",0,IF(BM4&lt;28,50,IF(BM4&gt;62,0,VLOOKUP(BM4,Liste_AT2!$AS$3:$AT$343,2,0))))</f>
        <v>39</v>
      </c>
      <c r="BO4" s="149">
        <v>16.5</v>
      </c>
      <c r="BP4" s="68">
        <f>IF(BO4="",0,IF(BO4&lt;1,0,IF(BO4&gt;28,50,VLOOKUP(BO4,Liste_AT3!$A$3:$B$30,2))))</f>
        <v>28</v>
      </c>
      <c r="BQ4" s="155"/>
      <c r="BR4" s="72">
        <f>IF(BQ4="",0,IF(BQ4&lt;5,50,IF(BQ4&gt;40,0,VLOOKUP(BQ4,Liste_AT3!$C$3:$D$38,2))))</f>
        <v>0</v>
      </c>
      <c r="BS4" s="151">
        <v>1.5</v>
      </c>
      <c r="BT4" s="68">
        <f>IF(BS4="",0,IF(BS4&lt;1,50,IF(BS4&gt;4.75,0,VLOOKUP(BS4,Liste_AT3!$E$3:$F$18,2))))</f>
        <v>42</v>
      </c>
      <c r="BU4" s="156"/>
      <c r="BV4" s="72">
        <f>IF(BU4="",0,IF(BU4&lt;1,50,IF(BU4&gt;4.75,0,VLOOKUP(BU4,Liste_AT3!$G$3:$H$18,2))))</f>
        <v>0</v>
      </c>
      <c r="BW4" s="151"/>
      <c r="BX4" s="68">
        <f>IF(BW4="",0,IF(BW4&lt;1,50,IF(BW4&gt;4.75,0,VLOOKUP(BW4,Liste_AT3!$G$3:$H$18,2))))</f>
        <v>0</v>
      </c>
      <c r="BY4" s="157"/>
      <c r="BZ4" s="72">
        <f>IF(BY4="",0,IF(BY4&gt;40,0,VLOOKUP(BY4,Liste_AT3!$I$3:$J$43,2,2)))</f>
        <v>0</v>
      </c>
      <c r="CA4" s="158"/>
      <c r="CB4" s="68">
        <f>IF(CA4="",0,IF(CA4&gt;40,0,VLOOKUP(CA4,Liste_AT3!$I$3:$J$43,2,2)))</f>
        <v>0</v>
      </c>
      <c r="CC4" s="159">
        <f>SUM(H4,J4,L4,N4,P4,R4,T4,V4,X4,Z4)</f>
        <v>77</v>
      </c>
      <c r="CD4" s="53">
        <f>IF(CC4=0,"",RANK(CC4,$CC$4:$CC$16))</f>
        <v>3</v>
      </c>
      <c r="CE4" s="159">
        <f>SUM(AB4,AD4,AF4,AJ4,AL4,AN4,AH4)</f>
        <v>57</v>
      </c>
      <c r="CF4" s="53">
        <f>IF(CE4=0,"",RANK(CE4,$CE$4:$CE$16))</f>
        <v>1</v>
      </c>
      <c r="CG4" s="159">
        <f>SUM(AP4,AR4,AT4,AV4,AX4,AZ4,BB4,BD4,BF4,BH4,BJ4,BL4,BN4)</f>
        <v>136</v>
      </c>
      <c r="CH4" s="53">
        <f>IF(CG4=0,"",RANK(CG4,$CG$4:$CG$16))</f>
        <v>1</v>
      </c>
      <c r="CI4" s="160">
        <f>SUM(BP4,BR4)</f>
        <v>28</v>
      </c>
      <c r="CJ4" s="53">
        <f>IF(CI4=0,"",RANK(CI4,$CI$4:$CI$16))</f>
        <v>3</v>
      </c>
      <c r="CK4" s="160">
        <f>SUM(BT4,BV4,BX4,BZ4,CB4)</f>
        <v>42</v>
      </c>
      <c r="CL4" s="53">
        <f>IF(CK4=0,"",RANK(CK4,$CK$4:$CK$16))</f>
        <v>2</v>
      </c>
      <c r="CM4" s="160">
        <f>SUM(CC4,CE4,CG4,CI4,CK4)</f>
        <v>340</v>
      </c>
      <c r="CN4" s="53">
        <f t="shared" ref="CN4:CN16" si="0">IF(CM4=0,"",RANK(CM4,$CM$4:$CM$16))</f>
        <v>1</v>
      </c>
    </row>
    <row r="5" spans="1:92" s="14" customFormat="1" ht="27" customHeight="1" x14ac:dyDescent="0.3">
      <c r="A5" s="44">
        <v>2</v>
      </c>
      <c r="B5" s="135" t="s">
        <v>95</v>
      </c>
      <c r="C5" s="46" t="s">
        <v>99</v>
      </c>
      <c r="D5" s="45">
        <v>43.6</v>
      </c>
      <c r="E5" s="47">
        <v>162</v>
      </c>
      <c r="F5" s="147">
        <v>35892</v>
      </c>
      <c r="G5" s="148"/>
      <c r="H5" s="72">
        <f>IF(G5="",0,IF(G5&lt;$H$1,50,IF(G5&gt;18.7,0,VLOOKUP(G5,Liste_AT1!$A$3:$B$79,2,0))))</f>
        <v>0</v>
      </c>
      <c r="I5" s="149"/>
      <c r="J5" s="68">
        <f>IF(I5="",0,IF(I5&lt;$J$1,50,IF(I5&gt;22.8,0,VLOOKUP(I5,Liste_AT1!$C$3:$D$125,2,0))))</f>
        <v>0</v>
      </c>
      <c r="K5" s="148"/>
      <c r="L5" s="72">
        <f>IF(K5="",0,IF(K5&lt;$L$1,50,IF(K5&gt;29.2,0,VLOOKUP(K5,Liste_AT1!$E$3:$F$138,2,0))))</f>
        <v>0</v>
      </c>
      <c r="M5" s="149">
        <v>20.399999999999999</v>
      </c>
      <c r="N5" s="68">
        <f>IF(M5="",0,IF(M5&lt;15,50,IF(M5&gt;39.5,0,VLOOKUP(M5,Liste_AT1!$G$3:$H$248,2,0))))</f>
        <v>39</v>
      </c>
      <c r="O5" s="150"/>
      <c r="P5" s="72">
        <f>IF(O5="",0,IF(O5&lt;40,50,IF(O5&gt;108,0,VLOOKUP(O5,Liste_AT1!$I$3:$J$71,2,0))))</f>
        <v>0</v>
      </c>
      <c r="Q5" s="149"/>
      <c r="R5" s="68">
        <f>IF(Q5&gt;10,50,IF(Q5&lt;1,0,IF(Q5="",0,VLOOKUP(Q5,Liste_AT1!$K$3:$L$21,2,0))))</f>
        <v>0</v>
      </c>
      <c r="S5" s="148"/>
      <c r="T5" s="72">
        <f>IF(S5&gt;10,50,IF(S5&lt;1,0,VLOOKUP(S5,Liste_AT1!$M$3:$N$21,2,0)))</f>
        <v>0</v>
      </c>
      <c r="U5" s="151"/>
      <c r="V5" s="68">
        <f>IF(U5&gt;5,35,IF(U5&lt;1,0,VLOOKUP(U5,Liste_AT1!$O$3:$P$19,2)))</f>
        <v>0</v>
      </c>
      <c r="W5" s="148">
        <v>9.3000000000000007</v>
      </c>
      <c r="X5" s="72">
        <f>IF(W5&gt;10,50,IF(W5&lt;1,0,VLOOKUP(W5,Liste_AT1!$Q$3:$R$21,2)))</f>
        <v>46</v>
      </c>
      <c r="Y5" s="152"/>
      <c r="Z5" s="68">
        <f>IF(Y5&gt;10,50,IF(Y5&lt;1,0,VLOOKUP(Y5,Liste_AT1!$S$3:$T$12,2)))</f>
        <v>0</v>
      </c>
      <c r="AA5" s="148"/>
      <c r="AB5" s="72">
        <f>IF(AA5="",0,IF(AA5&lt;3.8,50,IF(AA5&gt;6.9,0,VLOOKUP(AA5,Liste_AT2!$A$3:$B$34,2))))</f>
        <v>0</v>
      </c>
      <c r="AC5" s="149"/>
      <c r="AD5" s="68">
        <f>IF(AC5="",0,IF(AC5&lt;8.6,50,IF(AC5&gt;12.1,0,VLOOKUP(AC5,Liste_AT2!$C$3:$D$38,2))))</f>
        <v>0</v>
      </c>
      <c r="AE5" s="153"/>
      <c r="AF5" s="72">
        <f>IF(AE5="",0,IF(AE5&lt;170,50,IF(AE5&gt;241,0,VLOOKUP(AE5,Liste_AT2!$E$3:$G$74,3))))</f>
        <v>0</v>
      </c>
      <c r="AG5" s="154">
        <v>551</v>
      </c>
      <c r="AH5" s="68">
        <f>IF(AG5="",0,IF(AG5&lt;520,50,IF(AG5&gt;646,0,VLOOKUP(AG5,Liste_AT2!$AV$3:$AW$66,2))))</f>
        <v>35</v>
      </c>
      <c r="AI5" s="154"/>
      <c r="AJ5" s="68">
        <f>IF(AI5="",0,IF(AI5&lt;810,50,IF(AI5&gt;936,0,VLOOKUP(AI5,Liste_AT2!$H$3:$J$66,3))))</f>
        <v>0</v>
      </c>
      <c r="AK5" s="148">
        <v>17.8</v>
      </c>
      <c r="AL5" s="72">
        <f>IF(AK5="",0,IF(AK5&lt;15,50,IF(AK5&gt;22.5,0,VLOOKUP(AK5,Liste_AT2!$K$3:$L$78,2))))</f>
        <v>22</v>
      </c>
      <c r="AM5" s="149"/>
      <c r="AN5" s="68">
        <f>IF(AM5="",0,IF(AM5&lt;4,50,IF(AM5&gt;9.4,0,VLOOKUP(AM5,Liste_AT2!$M$3:$N$57,2))))</f>
        <v>0</v>
      </c>
      <c r="AO5" s="150"/>
      <c r="AP5" s="72">
        <f>IF(AO5="",0,IF(AO5&gt;29,50,IF(AO5&lt;5,0,VLOOKUP(AO5,Liste_AT2!$O$3:$P$29,2))))</f>
        <v>0</v>
      </c>
      <c r="AQ5" s="152"/>
      <c r="AR5" s="68">
        <f>IF(AQ5="",0,IF(AQ5&gt;10,50,IF(AQ5&lt;1,0,VLOOKUP(AQ5,Liste_AT2!$S$3:$T$19,2))))</f>
        <v>0</v>
      </c>
      <c r="AS5" s="150"/>
      <c r="AT5" s="72">
        <f>IF(AS5="",0,IF(AS5&gt;23,50,IF(AS5&lt;2,0,VLOOKUP(AS5,Liste_AT2!$Y$3:$Z$24,2))))</f>
        <v>0</v>
      </c>
      <c r="AU5" s="149"/>
      <c r="AV5" s="68">
        <f>IF(AU5="",0,IF(AU5&lt;3.7,50,IF(AU5&gt;8,0,VLOOKUP(AU5,Liste_AT2!$AA$3:$AB$46,2))))</f>
        <v>0</v>
      </c>
      <c r="AW5" s="148"/>
      <c r="AX5" s="72">
        <f>IF(AW5="",0,IF(AW5&lt;4,0,IF(AW5&gt;10.1,50,VLOOKUP(AW5,Liste_AT2!$AC$3:$AD$62,2))))</f>
        <v>0</v>
      </c>
      <c r="AY5" s="149">
        <v>7.4</v>
      </c>
      <c r="AZ5" s="68">
        <f>IF(AY5="",0,IF(AY5&gt;11.9,50,IF(AY5&lt;5,0,VLOOKUP(AY5,Liste_AT2!$AE$3:$AF$72,2))))</f>
        <v>15</v>
      </c>
      <c r="BA5" s="153"/>
      <c r="BB5" s="72">
        <f>IF(BA5="",0,IF(BA5&gt;45,50,IF(BA5&lt;2,0,VLOOKUP(BA5,Liste_AT2!$AG$3:$AH$61,2))))</f>
        <v>0</v>
      </c>
      <c r="BC5" s="154"/>
      <c r="BD5" s="68">
        <f>IF(BC5="",0,IF(BC5&gt;26,50,IF(BC5&lt;4,0,VLOOKUP(BC5,Liste_AT2!$AI$3:$AJ$25,2))))</f>
        <v>0</v>
      </c>
      <c r="BE5" s="150">
        <v>20</v>
      </c>
      <c r="BF5" s="72">
        <f>IF(BE5="",0,IF(BE5&gt;35,50,IF(BE5&lt;14,0,VLOOKUP(BE5,Liste_AT2!$AK$3:$AL$24,2))))</f>
        <v>12</v>
      </c>
      <c r="BG5" s="152"/>
      <c r="BH5" s="68">
        <f>IF(BG5="",0,IF(BG5&gt;36,50,IF(BG5&lt;7,0,VLOOKUP(BG5,Liste_AT2!$AM$3:$AN$32,2))))</f>
        <v>0</v>
      </c>
      <c r="BI5" s="150"/>
      <c r="BJ5" s="72">
        <f>IF(BI5="",0,IF(BI5&gt;45,50,IF(BI5&lt;6,0,VLOOKUP(BI5,Liste_AT2!$AO$3:$AP$52,2))))</f>
        <v>0</v>
      </c>
      <c r="BK5" s="151">
        <v>1.85</v>
      </c>
      <c r="BL5" s="68">
        <f>IF(BK5="",0,IF(BK5&gt;2.4,50,IF(BK5&lt;1.15,0,VLOOKUP(BK5,Liste_AT2!$AQ$3:$AR$52,2))))</f>
        <v>22</v>
      </c>
      <c r="BM5" s="148">
        <v>30</v>
      </c>
      <c r="BN5" s="72">
        <f>IF(BM5="",0,IF(BM5&lt;28,50,IF(BM5&gt;62,0,VLOOKUP(BM5,Liste_AT2!$AS$3:$AT$343,2,0))))</f>
        <v>48</v>
      </c>
      <c r="BO5" s="149">
        <v>15</v>
      </c>
      <c r="BP5" s="68">
        <f>IF(BO5="",0,IF(BO5&lt;1,0,IF(BO5&gt;28,50,VLOOKUP(BO5,Liste_AT3!$A$3:$B$30,2))))</f>
        <v>26</v>
      </c>
      <c r="BQ5" s="155"/>
      <c r="BR5" s="72">
        <f>IF(BQ5="",0,IF(BQ5&lt;5,50,IF(BQ5&gt;40,0,VLOOKUP(BQ5,Liste_AT3!$C$3:$D$38,2))))</f>
        <v>0</v>
      </c>
      <c r="BS5" s="151">
        <v>1.5</v>
      </c>
      <c r="BT5" s="68">
        <f>IF(BS5="",0,IF(BS5&lt;1,50,IF(BS5&gt;4.75,0,VLOOKUP(BS5,Liste_AT3!$E$3:$F$18,2))))</f>
        <v>42</v>
      </c>
      <c r="BU5" s="156"/>
      <c r="BV5" s="72">
        <f>IF(BU5="",0,IF(BU5&lt;1,50,IF(BU5&gt;4.75,0,VLOOKUP(BU5,Liste_AT3!$G$3:$H$18,2))))</f>
        <v>0</v>
      </c>
      <c r="BW5" s="151"/>
      <c r="BX5" s="68">
        <f>IF(BW5="",0,IF(BW5&lt;1,50,IF(BW5&gt;4.75,0,VLOOKUP(BW5,Liste_AT3!$G$3:$H$18,2))))</f>
        <v>0</v>
      </c>
      <c r="BY5" s="157"/>
      <c r="BZ5" s="72">
        <f>IF(BY5="",0,IF(BY5&gt;40,0,VLOOKUP(BY5,Liste_AT3!$I$3:$J$43,2,2)))</f>
        <v>0</v>
      </c>
      <c r="CA5" s="158"/>
      <c r="CB5" s="68">
        <f>IF(CA5="",0,IF(CA5&gt;40,0,VLOOKUP(CA5,Liste_AT3!$I$3:$J$43,2,2)))</f>
        <v>0</v>
      </c>
      <c r="CC5" s="159">
        <f>SUM(H5,J5,L5,N5,P5,R5,T5,V5,X5,Z5)</f>
        <v>85</v>
      </c>
      <c r="CD5" s="53">
        <f>IF(CC5=0,"",RANK(CC5,$CC$4:$CC$16))</f>
        <v>2</v>
      </c>
      <c r="CE5" s="159">
        <f>SUM(AB5,AD5,AF5,AJ5,AL5,AN5,AH5)</f>
        <v>57</v>
      </c>
      <c r="CF5" s="53">
        <f>IF(CE5=0,"",RANK(CE5,$CE$4:$CE$16))</f>
        <v>1</v>
      </c>
      <c r="CG5" s="159">
        <f>SUM(AP5,AR5,AT5,AV5,AX5,AZ5,BB5,BD5,BF5,BH5,BJ5,BL5,BN5)</f>
        <v>97</v>
      </c>
      <c r="CH5" s="53">
        <f>IF(CG5=0,"",RANK(CG5,$CG$4:$CG$16))</f>
        <v>2</v>
      </c>
      <c r="CI5" s="160">
        <f>SUM(BP5,BR5)</f>
        <v>26</v>
      </c>
      <c r="CJ5" s="53">
        <f>IF(CI5=0,"",RANK(CI5,$CI$4:$CI$16))</f>
        <v>5</v>
      </c>
      <c r="CK5" s="160">
        <f>SUM(BT5,BV5,BX5,BZ5,CB5)</f>
        <v>42</v>
      </c>
      <c r="CL5" s="53">
        <f>IF(CK5=0,"",RANK(CK5,$CK$4:$CK$16))</f>
        <v>2</v>
      </c>
      <c r="CM5" s="160">
        <f>SUM(CC5,CE5,CG5,CI5,CK5)</f>
        <v>307</v>
      </c>
      <c r="CN5" s="53">
        <f t="shared" si="0"/>
        <v>2</v>
      </c>
    </row>
    <row r="6" spans="1:92" s="14" customFormat="1" ht="27" customHeight="1" x14ac:dyDescent="0.3">
      <c r="A6" s="44">
        <v>4</v>
      </c>
      <c r="B6" s="135" t="s">
        <v>96</v>
      </c>
      <c r="C6" s="46" t="s">
        <v>99</v>
      </c>
      <c r="D6" s="45">
        <v>54.4</v>
      </c>
      <c r="E6" s="47">
        <v>162</v>
      </c>
      <c r="F6" s="147">
        <v>36352</v>
      </c>
      <c r="G6" s="148"/>
      <c r="H6" s="72">
        <f>IF(G6="",0,IF(G6&lt;$H$1,50,IF(G6&gt;18.7,0,VLOOKUP(G6,Liste_AT1!$A$3:$B$79,2,0))))</f>
        <v>0</v>
      </c>
      <c r="I6" s="149"/>
      <c r="J6" s="68">
        <f>IF(I6="",0,IF(I6&lt;$J$1,50,IF(I6&gt;22.8,0,VLOOKUP(I6,Liste_AT1!$C$3:$D$125,2,0))))</f>
        <v>0</v>
      </c>
      <c r="K6" s="148"/>
      <c r="L6" s="72">
        <f>IF(K6="",0,IF(K6&lt;$L$1,50,IF(K6&gt;29.2,0,VLOOKUP(K6,Liste_AT1!$E$3:$F$138,2,0))))</f>
        <v>0</v>
      </c>
      <c r="M6" s="149">
        <v>20.2</v>
      </c>
      <c r="N6" s="68">
        <f>IF(M6="",0,IF(M6&lt;15,50,IF(M6&gt;39.5,0,VLOOKUP(M6,Liste_AT1!$G$3:$H$248,2,0))))</f>
        <v>39</v>
      </c>
      <c r="O6" s="150"/>
      <c r="P6" s="72">
        <f>IF(O6="",0,IF(O6&lt;40,50,IF(O6&gt;108,0,VLOOKUP(O6,Liste_AT1!$I$3:$J$71,2,0))))</f>
        <v>0</v>
      </c>
      <c r="Q6" s="149"/>
      <c r="R6" s="68">
        <f>IF(Q6&gt;10,50,IF(Q6&lt;1,0,IF(Q6="",0,VLOOKUP(Q6,Liste_AT1!$K$3:$L$21,2,0))))</f>
        <v>0</v>
      </c>
      <c r="S6" s="148"/>
      <c r="T6" s="72">
        <f>IF(S6&gt;10,50,IF(S6&lt;1,0,VLOOKUP(S6,Liste_AT1!$M$3:$N$21,2,0)))</f>
        <v>0</v>
      </c>
      <c r="U6" s="151"/>
      <c r="V6" s="68">
        <f>IF(U6&gt;5,35,IF(U6&lt;1,0,VLOOKUP(U6,Liste_AT1!$O$3:$P$19,2)))</f>
        <v>0</v>
      </c>
      <c r="W6" s="148">
        <v>9.5</v>
      </c>
      <c r="X6" s="72">
        <f>IF(W6&gt;10,50,IF(W6&lt;1,0,VLOOKUP(W6,Liste_AT1!$Q$3:$R$21,2)))</f>
        <v>48</v>
      </c>
      <c r="Y6" s="152"/>
      <c r="Z6" s="68">
        <f>IF(Y6&gt;10,50,IF(Y6&lt;1,0,VLOOKUP(Y6,Liste_AT1!$S$3:$T$12,2)))</f>
        <v>0</v>
      </c>
      <c r="AA6" s="148"/>
      <c r="AB6" s="72">
        <f>IF(AA6="",0,IF(AA6&lt;3.8,50,IF(AA6&gt;6.9,0,VLOOKUP(AA6,Liste_AT2!$A$3:$B$34,2))))</f>
        <v>0</v>
      </c>
      <c r="AC6" s="149"/>
      <c r="AD6" s="68">
        <f>IF(AC6="",0,IF(AC6&lt;8.6,50,IF(AC6&gt;12.1,0,VLOOKUP(AC6,Liste_AT2!$C$3:$D$38,2))))</f>
        <v>0</v>
      </c>
      <c r="AE6" s="153"/>
      <c r="AF6" s="72">
        <f>IF(AE6="",0,IF(AE6&lt;170,50,IF(AE6&gt;241,0,VLOOKUP(AE6,Liste_AT2!$E$3:$G$74,3))))</f>
        <v>0</v>
      </c>
      <c r="AG6" s="154">
        <v>571</v>
      </c>
      <c r="AH6" s="68">
        <f>IF(AG6="",0,IF(AG6&lt;520,50,IF(AG6&gt;646,0,VLOOKUP(AG6,Liste_AT2!$AV$3:$AW$66,2))))</f>
        <v>25</v>
      </c>
      <c r="AI6" s="154"/>
      <c r="AJ6" s="68">
        <f>IF(AI6="",0,IF(AI6&lt;810,50,IF(AI6&gt;936,0,VLOOKUP(AI6,Liste_AT2!$H$3:$J$66,3))))</f>
        <v>0</v>
      </c>
      <c r="AK6" s="148">
        <v>18.2</v>
      </c>
      <c r="AL6" s="72">
        <f>IF(AK6="",0,IF(AK6&lt;15,50,IF(AK6&gt;22.5,0,VLOOKUP(AK6,Liste_AT2!$K$3:$L$78,2))))</f>
        <v>18</v>
      </c>
      <c r="AM6" s="149"/>
      <c r="AN6" s="68">
        <f>IF(AM6="",0,IF(AM6&lt;4,50,IF(AM6&gt;9.4,0,VLOOKUP(AM6,Liste_AT2!$M$3:$N$57,2))))</f>
        <v>0</v>
      </c>
      <c r="AO6" s="150"/>
      <c r="AP6" s="72">
        <f>IF(AO6="",0,IF(AO6&gt;29,50,IF(AO6&lt;5,0,VLOOKUP(AO6,Liste_AT2!$O$3:$P$29,2))))</f>
        <v>0</v>
      </c>
      <c r="AQ6" s="152"/>
      <c r="AR6" s="68">
        <f>IF(AQ6="",0,IF(AQ6&gt;10,50,IF(AQ6&lt;1,0,VLOOKUP(AQ6,Liste_AT2!$S$3:$T$19,2))))</f>
        <v>0</v>
      </c>
      <c r="AS6" s="150"/>
      <c r="AT6" s="72">
        <f>IF(AS6="",0,IF(AS6&gt;23,50,IF(AS6&lt;2,0,VLOOKUP(AS6,Liste_AT2!$Y$3:$Z$24,2))))</f>
        <v>0</v>
      </c>
      <c r="AU6" s="149"/>
      <c r="AV6" s="68">
        <f>IF(AU6="",0,IF(AU6&lt;3.7,50,IF(AU6&gt;8,0,VLOOKUP(AU6,Liste_AT2!$AA$3:$AB$46,2))))</f>
        <v>0</v>
      </c>
      <c r="AW6" s="148"/>
      <c r="AX6" s="72">
        <f>IF(AW6="",0,IF(AW6&lt;4,0,IF(AW6&gt;10.1,50,VLOOKUP(AW6,Liste_AT2!$AC$3:$AD$62,2))))</f>
        <v>0</v>
      </c>
      <c r="AY6" s="149">
        <v>7.6</v>
      </c>
      <c r="AZ6" s="68">
        <f>IF(AY6="",0,IF(AY6&gt;11.9,50,IF(AY6&lt;5,0,VLOOKUP(AY6,Liste_AT2!$AE$3:$AF$72,2))))</f>
        <v>17</v>
      </c>
      <c r="BA6" s="153"/>
      <c r="BB6" s="72">
        <f>IF(BA6="",0,IF(BA6&gt;45,50,IF(BA6&lt;2,0,VLOOKUP(BA6,Liste_AT2!$AG$3:$AH$61,2))))</f>
        <v>0</v>
      </c>
      <c r="BC6" s="154"/>
      <c r="BD6" s="68">
        <f>IF(BC6="",0,IF(BC6&gt;26,50,IF(BC6&lt;4,0,VLOOKUP(BC6,Liste_AT2!$AI$3:$AJ$25,2))))</f>
        <v>0</v>
      </c>
      <c r="BE6" s="150">
        <v>23</v>
      </c>
      <c r="BF6" s="72">
        <f>IF(BE6="",0,IF(BE6&gt;35,50,IF(BE6&lt;14,0,VLOOKUP(BE6,Liste_AT2!$AK$3:$AL$24,2))))</f>
        <v>18</v>
      </c>
      <c r="BG6" s="152"/>
      <c r="BH6" s="68">
        <f>IF(BG6="",0,IF(BG6&gt;36,50,IF(BG6&lt;7,0,VLOOKUP(BG6,Liste_AT2!$AM$3:$AN$32,2))))</f>
        <v>0</v>
      </c>
      <c r="BI6" s="150"/>
      <c r="BJ6" s="72">
        <f>IF(BI6="",0,IF(BI6&gt;45,50,IF(BI6&lt;6,0,VLOOKUP(BI6,Liste_AT2!$AO$3:$AP$52,2))))</f>
        <v>0</v>
      </c>
      <c r="BK6" s="151">
        <v>1.71</v>
      </c>
      <c r="BL6" s="68">
        <f>IF(BK6="",0,IF(BK6&gt;2.4,50,IF(BK6&lt;1.15,0,VLOOKUP(BK6,Liste_AT2!$AQ$3:$AR$52,2))))</f>
        <v>15</v>
      </c>
      <c r="BM6" s="148">
        <v>34</v>
      </c>
      <c r="BN6" s="72">
        <f>IF(BM6="",0,IF(BM6&lt;28,50,IF(BM6&gt;62,0,VLOOKUP(BM6,Liste_AT2!$AS$3:$AT$343,2,0))))</f>
        <v>44</v>
      </c>
      <c r="BO6" s="149">
        <v>13</v>
      </c>
      <c r="BP6" s="68">
        <f>IF(BO6="",0,IF(BO6&lt;1,0,IF(BO6&gt;28,50,VLOOKUP(BO6,Liste_AT3!$A$3:$B$30,2))))</f>
        <v>22</v>
      </c>
      <c r="BQ6" s="155"/>
      <c r="BR6" s="72">
        <f>IF(BQ6="",0,IF(BQ6&lt;5,50,IF(BQ6&gt;40,0,VLOOKUP(BQ6,Liste_AT3!$C$3:$D$38,2))))</f>
        <v>0</v>
      </c>
      <c r="BS6" s="151">
        <v>1.25</v>
      </c>
      <c r="BT6" s="68">
        <f>IF(BS6="",0,IF(BS6&lt;1,50,IF(BS6&gt;4.75,0,VLOOKUP(BS6,Liste_AT3!$E$3:$F$18,2))))</f>
        <v>46</v>
      </c>
      <c r="BU6" s="156"/>
      <c r="BV6" s="72">
        <f>IF(BU6="",0,IF(BU6&lt;1,50,IF(BU6&gt;4.75,0,VLOOKUP(BU6,Liste_AT3!$G$3:$H$18,2))))</f>
        <v>0</v>
      </c>
      <c r="BW6" s="151"/>
      <c r="BX6" s="68">
        <f>IF(BW6="",0,IF(BW6&lt;1,50,IF(BW6&gt;4.75,0,VLOOKUP(BW6,Liste_AT3!$G$3:$H$18,2))))</f>
        <v>0</v>
      </c>
      <c r="BY6" s="157"/>
      <c r="BZ6" s="72">
        <f>IF(BY6="",0,IF(BY6&gt;40,0,VLOOKUP(BY6,Liste_AT3!$I$3:$J$43,2,2)))</f>
        <v>0</v>
      </c>
      <c r="CA6" s="158"/>
      <c r="CB6" s="68">
        <f>IF(CA6="",0,IF(CA6&gt;40,0,VLOOKUP(CA6,Liste_AT3!$I$3:$J$43,2,2)))</f>
        <v>0</v>
      </c>
      <c r="CC6" s="159">
        <f>SUM(H6,J6,L6,N6,P6,R6,T6,V6,X6,Z6)</f>
        <v>87</v>
      </c>
      <c r="CD6" s="53">
        <f>IF(CC6=0,"",RANK(CC6,$CC$4:$CC$16))</f>
        <v>1</v>
      </c>
      <c r="CE6" s="159">
        <f>SUM(AB6,AD6,AF6,AJ6,AL6,AN6,AH6)</f>
        <v>43</v>
      </c>
      <c r="CF6" s="53">
        <f>IF(CE6=0,"",RANK(CE6,$CE$4:$CE$16))</f>
        <v>5</v>
      </c>
      <c r="CG6" s="159">
        <f>SUM(AP6,AR6,AT6,AV6,AX6,AZ6,BB6,BD6,BF6,BH6,BJ6,BL6,BN6)</f>
        <v>94</v>
      </c>
      <c r="CH6" s="53">
        <f>IF(CG6=0,"",RANK(CG6,$CG$4:$CG$16))</f>
        <v>4</v>
      </c>
      <c r="CI6" s="160">
        <f>SUM(BP6,BR6)</f>
        <v>22</v>
      </c>
      <c r="CJ6" s="53">
        <f>IF(CI6=0,"",RANK(CI6,$CI$4:$CI$16))</f>
        <v>9</v>
      </c>
      <c r="CK6" s="160">
        <f>SUM(BT6,BV6,BX6,BZ6,CB6)</f>
        <v>46</v>
      </c>
      <c r="CL6" s="53">
        <f>IF(CK6=0,"",RANK(CK6,$CK$4:$CK$16))</f>
        <v>1</v>
      </c>
      <c r="CM6" s="160">
        <f>SUM(CC6,CE6,CG6,CI6,CK6)</f>
        <v>292</v>
      </c>
      <c r="CN6" s="53">
        <f t="shared" si="0"/>
        <v>3</v>
      </c>
    </row>
    <row r="7" spans="1:92" s="14" customFormat="1" ht="27" customHeight="1" x14ac:dyDescent="0.3">
      <c r="A7" s="44">
        <v>3</v>
      </c>
      <c r="B7" s="135" t="s">
        <v>97</v>
      </c>
      <c r="C7" s="46" t="s">
        <v>98</v>
      </c>
      <c r="D7" s="45">
        <v>56.5</v>
      </c>
      <c r="E7" s="47">
        <v>167</v>
      </c>
      <c r="F7" s="147">
        <v>35909</v>
      </c>
      <c r="G7" s="148"/>
      <c r="H7" s="72">
        <f>IF(G7="",0,IF(G7&lt;$H$1,50,IF(G7&gt;18.7,0,VLOOKUP(G7,Liste_AT1!$A$3:$B$79,2,0))))</f>
        <v>0</v>
      </c>
      <c r="I7" s="149"/>
      <c r="J7" s="68">
        <f>IF(I7="",0,IF(I7&lt;$J$1,50,IF(I7&gt;22.8,0,VLOOKUP(I7,Liste_AT1!$C$3:$D$125,2,0))))</f>
        <v>0</v>
      </c>
      <c r="K7" s="148"/>
      <c r="L7" s="72">
        <f>IF(K7="",0,IF(K7&lt;$L$1,50,IF(K7&gt;29.2,0,VLOOKUP(K7,Liste_AT1!$E$3:$F$138,2,0))))</f>
        <v>0</v>
      </c>
      <c r="M7" s="149">
        <v>24.8</v>
      </c>
      <c r="N7" s="68">
        <f>IF(M7="",0,IF(M7&lt;15,50,IF(M7&gt;39.5,0,VLOOKUP(M7,Liste_AT1!$G$3:$H$248,2,0))))</f>
        <v>30</v>
      </c>
      <c r="O7" s="150"/>
      <c r="P7" s="72">
        <f>IF(O7="",0,IF(O7&lt;40,50,IF(O7&gt;108,0,VLOOKUP(O7,Liste_AT1!$I$3:$J$71,2,0))))</f>
        <v>0</v>
      </c>
      <c r="Q7" s="149"/>
      <c r="R7" s="68">
        <f>IF(Q7&gt;10,50,IF(Q7&lt;1,0,IF(Q7="",0,VLOOKUP(Q7,Liste_AT1!$K$3:$L$21,2,0))))</f>
        <v>0</v>
      </c>
      <c r="S7" s="148"/>
      <c r="T7" s="72">
        <f>IF(S7&gt;10,50,IF(S7&lt;1,0,VLOOKUP(S7,Liste_AT1!$M$3:$N$21,2,0)))</f>
        <v>0</v>
      </c>
      <c r="U7" s="151"/>
      <c r="V7" s="68">
        <f>IF(U7&gt;5,35,IF(U7&lt;1,0,VLOOKUP(U7,Liste_AT1!$O$3:$P$19,2)))</f>
        <v>0</v>
      </c>
      <c r="W7" s="148">
        <v>9.1</v>
      </c>
      <c r="X7" s="72">
        <f>IF(W7&gt;10,50,IF(W7&lt;1,0,VLOOKUP(W7,Liste_AT1!$Q$3:$R$21,2)))</f>
        <v>46</v>
      </c>
      <c r="Y7" s="152"/>
      <c r="Z7" s="68">
        <f>IF(Y7&gt;10,50,IF(Y7&lt;1,0,VLOOKUP(Y7,Liste_AT1!$S$3:$T$12,2)))</f>
        <v>0</v>
      </c>
      <c r="AA7" s="148"/>
      <c r="AB7" s="72">
        <f>IF(AA7="",0,IF(AA7&lt;3.8,50,IF(AA7&gt;6.9,0,VLOOKUP(AA7,Liste_AT2!$A$3:$B$34,2))))</f>
        <v>0</v>
      </c>
      <c r="AC7" s="149"/>
      <c r="AD7" s="68">
        <f>IF(AC7="",0,IF(AC7&lt;8.6,50,IF(AC7&gt;12.1,0,VLOOKUP(AC7,Liste_AT2!$C$3:$D$38,2))))</f>
        <v>0</v>
      </c>
      <c r="AE7" s="153"/>
      <c r="AF7" s="72">
        <f>IF(AE7="",0,IF(AE7&lt;170,50,IF(AE7&gt;241,0,VLOOKUP(AE7,Liste_AT2!$E$3:$G$74,3))))</f>
        <v>0</v>
      </c>
      <c r="AG7" s="154">
        <v>801</v>
      </c>
      <c r="AH7" s="68">
        <f>IF(AG7="",0,IF(AG7&lt;520,50,IF(AG7&gt;646,0,VLOOKUP(AG7,Liste_AT2!$AV$3:$AW$66,2))))</f>
        <v>0</v>
      </c>
      <c r="AI7" s="154"/>
      <c r="AJ7" s="68">
        <f>IF(AI7="",0,IF(AI7&lt;810,50,IF(AI7&gt;936,0,VLOOKUP(AI7,Liste_AT2!$H$3:$J$66,3))))</f>
        <v>0</v>
      </c>
      <c r="AK7" s="148">
        <v>17.3</v>
      </c>
      <c r="AL7" s="72">
        <f>IF(AK7="",0,IF(AK7&lt;15,50,IF(AK7&gt;22.5,0,VLOOKUP(AK7,Liste_AT2!$K$3:$L$78,2))))</f>
        <v>27</v>
      </c>
      <c r="AM7" s="149"/>
      <c r="AN7" s="68">
        <f>IF(AM7="",0,IF(AM7&lt;4,50,IF(AM7&gt;9.4,0,VLOOKUP(AM7,Liste_AT2!$M$3:$N$57,2))))</f>
        <v>0</v>
      </c>
      <c r="AO7" s="150"/>
      <c r="AP7" s="72">
        <f>IF(AO7="",0,IF(AO7&gt;29,50,IF(AO7&lt;5,0,VLOOKUP(AO7,Liste_AT2!$O$3:$P$29,2))))</f>
        <v>0</v>
      </c>
      <c r="AQ7" s="152"/>
      <c r="AR7" s="68">
        <f>IF(AQ7="",0,IF(AQ7&gt;10,50,IF(AQ7&lt;1,0,VLOOKUP(AQ7,Liste_AT2!$S$3:$T$19,2))))</f>
        <v>0</v>
      </c>
      <c r="AS7" s="150"/>
      <c r="AT7" s="72">
        <f>IF(AS7="",0,IF(AS7&gt;23,50,IF(AS7&lt;2,0,VLOOKUP(AS7,Liste_AT2!$Y$3:$Z$24,2))))</f>
        <v>0</v>
      </c>
      <c r="AU7" s="149"/>
      <c r="AV7" s="68">
        <f>IF(AU7="",0,IF(AU7&lt;3.7,50,IF(AU7&gt;8,0,VLOOKUP(AU7,Liste_AT2!$AA$3:$AB$46,2))))</f>
        <v>0</v>
      </c>
      <c r="AW7" s="148"/>
      <c r="AX7" s="72">
        <f>IF(AW7="",0,IF(AW7&lt;4,0,IF(AW7&gt;10.1,50,VLOOKUP(AW7,Liste_AT2!$AC$3:$AD$62,2))))</f>
        <v>0</v>
      </c>
      <c r="AY7" s="149">
        <v>7.6</v>
      </c>
      <c r="AZ7" s="68">
        <f>IF(AY7="",0,IF(AY7&gt;11.9,50,IF(AY7&lt;5,0,VLOOKUP(AY7,Liste_AT2!$AE$3:$AF$72,2))))</f>
        <v>17</v>
      </c>
      <c r="BA7" s="153"/>
      <c r="BB7" s="72">
        <f>IF(BA7="",0,IF(BA7&gt;45,50,IF(BA7&lt;2,0,VLOOKUP(BA7,Liste_AT2!$AG$3:$AH$61,2))))</f>
        <v>0</v>
      </c>
      <c r="BC7" s="154"/>
      <c r="BD7" s="68">
        <f>IF(BC7="",0,IF(BC7&gt;26,50,IF(BC7&lt;4,0,VLOOKUP(BC7,Liste_AT2!$AI$3:$AJ$25,2))))</f>
        <v>0</v>
      </c>
      <c r="BE7" s="150">
        <v>22</v>
      </c>
      <c r="BF7" s="72">
        <f>IF(BE7="",0,IF(BE7&gt;35,50,IF(BE7&lt;14,0,VLOOKUP(BE7,Liste_AT2!$AK$3:$AL$24,2))))</f>
        <v>16</v>
      </c>
      <c r="BG7" s="152"/>
      <c r="BH7" s="68">
        <f>IF(BG7="",0,IF(BG7&gt;36,50,IF(BG7&lt;7,0,VLOOKUP(BG7,Liste_AT2!$AM$3:$AN$32,2))))</f>
        <v>0</v>
      </c>
      <c r="BI7" s="150"/>
      <c r="BJ7" s="72">
        <f>IF(BI7="",0,IF(BI7&gt;45,50,IF(BI7&lt;6,0,VLOOKUP(BI7,Liste_AT2!$AO$3:$AP$52,2))))</f>
        <v>0</v>
      </c>
      <c r="BK7" s="151">
        <v>1.86</v>
      </c>
      <c r="BL7" s="68">
        <f>IF(BK7="",0,IF(BK7&gt;2.4,50,IF(BK7&lt;1.15,0,VLOOKUP(BK7,Liste_AT2!$AQ$3:$AR$52,2))))</f>
        <v>23</v>
      </c>
      <c r="BM7" s="148">
        <v>36.200000000000003</v>
      </c>
      <c r="BN7" s="72">
        <f>IF(BM7="",0,IF(BM7&lt;28,50,IF(BM7&gt;62,0,VLOOKUP(BM7,Liste_AT2!$AS$3:$AT$343,2,0))))</f>
        <v>41</v>
      </c>
      <c r="BO7" s="149">
        <v>19.5</v>
      </c>
      <c r="BP7" s="68">
        <f>IF(BO7="",0,IF(BO7&lt;1,0,IF(BO7&gt;28,50,VLOOKUP(BO7,Liste_AT3!$A$3:$B$30,2))))</f>
        <v>34</v>
      </c>
      <c r="BQ7" s="155"/>
      <c r="BR7" s="72">
        <f>IF(BQ7="",0,IF(BQ7&lt;5,50,IF(BQ7&gt;40,0,VLOOKUP(BQ7,Liste_AT3!$C$3:$D$38,2))))</f>
        <v>0</v>
      </c>
      <c r="BS7" s="151">
        <v>1.5</v>
      </c>
      <c r="BT7" s="68">
        <f>IF(BS7="",0,IF(BS7&lt;1,50,IF(BS7&gt;4.75,0,VLOOKUP(BS7,Liste_AT3!$E$3:$F$18,2))))</f>
        <v>42</v>
      </c>
      <c r="BU7" s="156"/>
      <c r="BV7" s="72">
        <f>IF(BU7="",0,IF(BU7&lt;1,50,IF(BU7&gt;4.75,0,VLOOKUP(BU7,Liste_AT3!$G$3:$H$18,2))))</f>
        <v>0</v>
      </c>
      <c r="BW7" s="151"/>
      <c r="BX7" s="68">
        <f>IF(BW7="",0,IF(BW7&lt;1,50,IF(BW7&gt;4.75,0,VLOOKUP(BW7,Liste_AT3!$G$3:$H$18,2))))</f>
        <v>0</v>
      </c>
      <c r="BY7" s="157"/>
      <c r="BZ7" s="72">
        <f>IF(BY7="",0,IF(BY7&gt;40,0,VLOOKUP(BY7,Liste_AT3!$I$3:$J$43,2,2)))</f>
        <v>0</v>
      </c>
      <c r="CA7" s="158"/>
      <c r="CB7" s="68">
        <f>IF(CA7="",0,IF(CA7&gt;40,0,VLOOKUP(CA7,Liste_AT3!$I$3:$J$43,2,2)))</f>
        <v>0</v>
      </c>
      <c r="CC7" s="159">
        <f>SUM(H7,J7,L7,N7,P7,R7,T7,V7,X7,Z7)</f>
        <v>76</v>
      </c>
      <c r="CD7" s="53">
        <f>IF(CC7=0,"",RANK(CC7,$CC$4:$CC$16))</f>
        <v>4</v>
      </c>
      <c r="CE7" s="159">
        <f>SUM(AB7,AD7,AF7,AJ7,AL7,AN7,AH7)</f>
        <v>27</v>
      </c>
      <c r="CF7" s="53">
        <f>IF(CE7=0,"",RANK(CE7,$CE$4:$CE$16))</f>
        <v>8</v>
      </c>
      <c r="CG7" s="159">
        <f>SUM(AP7,AR7,AT7,AV7,AX7,AZ7,BB7,BD7,BF7,BH7,BJ7,BL7,BN7)</f>
        <v>97</v>
      </c>
      <c r="CH7" s="53">
        <f>IF(CG7=0,"",RANK(CG7,$CG$4:$CG$16))</f>
        <v>2</v>
      </c>
      <c r="CI7" s="160">
        <f>SUM(BP7,BR7)</f>
        <v>34</v>
      </c>
      <c r="CJ7" s="53">
        <f>IF(CI7=0,"",RANK(CI7,$CI$4:$CI$16))</f>
        <v>1</v>
      </c>
      <c r="CK7" s="160">
        <f>SUM(BT7,BV7,BX7,BZ7,CB7)</f>
        <v>42</v>
      </c>
      <c r="CL7" s="53">
        <f>IF(CK7=0,"",RANK(CK7,$CK$4:$CK$16))</f>
        <v>2</v>
      </c>
      <c r="CM7" s="160">
        <f>SUM(CC7,CE7,CG7,CI7,CK7)</f>
        <v>276</v>
      </c>
      <c r="CN7" s="53">
        <f t="shared" si="0"/>
        <v>4</v>
      </c>
    </row>
    <row r="8" spans="1:92" s="14" customFormat="1" ht="27" customHeight="1" x14ac:dyDescent="0.3">
      <c r="A8" s="44">
        <v>5</v>
      </c>
      <c r="B8" s="135" t="s">
        <v>124</v>
      </c>
      <c r="C8" s="46" t="s">
        <v>141</v>
      </c>
      <c r="D8" s="45">
        <v>42.1</v>
      </c>
      <c r="E8" s="47">
        <v>151</v>
      </c>
      <c r="F8" s="147">
        <v>36362</v>
      </c>
      <c r="G8" s="148"/>
      <c r="H8" s="72">
        <f>IF(G8="",0,IF(G8&lt;$H$1,50,IF(G8&gt;18.7,0,VLOOKUP(G8,Liste_AT1!$A$3:$B$79,2,0))))</f>
        <v>0</v>
      </c>
      <c r="I8" s="149"/>
      <c r="J8" s="68">
        <f>IF(I8="",0,IF(I8&lt;$J$1,50,IF(I8&gt;22.8,0,VLOOKUP(I8,Liste_AT1!$C$3:$D$125,2,0))))</f>
        <v>0</v>
      </c>
      <c r="K8" s="148"/>
      <c r="L8" s="72">
        <f>IF(K8="",0,IF(K8&lt;$L$1,50,IF(K8&gt;29.2,0,VLOOKUP(K8,Liste_AT1!$E$3:$F$138,2,0))))</f>
        <v>0</v>
      </c>
      <c r="M8" s="149">
        <v>33.700000000000003</v>
      </c>
      <c r="N8" s="68">
        <f>IF(M8="",0,IF(M8&lt;15,50,IF(M8&gt;39.5,0,VLOOKUP(M8,Liste_AT1!$G$3:$H$248,2,0))))</f>
        <v>12</v>
      </c>
      <c r="O8" s="150"/>
      <c r="P8" s="72">
        <f>IF(O8="",0,IF(O8&lt;40,50,IF(O8&gt;108,0,VLOOKUP(O8,Liste_AT1!$I$3:$J$71,2,0))))</f>
        <v>0</v>
      </c>
      <c r="Q8" s="149"/>
      <c r="R8" s="68">
        <f>IF(Q8&gt;10,50,IF(Q8&lt;1,0,IF(Q8="",0,VLOOKUP(Q8,Liste_AT1!$K$3:$L$21,2,0))))</f>
        <v>0</v>
      </c>
      <c r="S8" s="148"/>
      <c r="T8" s="72">
        <f>IF(S8&gt;10,50,IF(S8&lt;1,0,VLOOKUP(S8,Liste_AT1!$M$3:$N$21,2,0)))</f>
        <v>0</v>
      </c>
      <c r="U8" s="151"/>
      <c r="V8" s="68">
        <f>IF(U8&gt;5,35,IF(U8&lt;1,0,VLOOKUP(U8,Liste_AT1!$O$3:$P$19,2)))</f>
        <v>0</v>
      </c>
      <c r="W8" s="148">
        <v>9.1999999999999993</v>
      </c>
      <c r="X8" s="72">
        <f>IF(W8&gt;10,50,IF(W8&lt;1,0,VLOOKUP(W8,Liste_AT1!$Q$3:$R$21,2)))</f>
        <v>46</v>
      </c>
      <c r="Y8" s="152"/>
      <c r="Z8" s="68">
        <f>IF(Y8&gt;10,50,IF(Y8&lt;1,0,VLOOKUP(Y8,Liste_AT1!$S$3:$T$12,2)))</f>
        <v>0</v>
      </c>
      <c r="AA8" s="148"/>
      <c r="AB8" s="72">
        <f>IF(AA8="",0,IF(AA8&lt;3.8,50,IF(AA8&gt;6.9,0,VLOOKUP(AA8,Liste_AT2!$A$3:$B$34,2))))</f>
        <v>0</v>
      </c>
      <c r="AC8" s="149"/>
      <c r="AD8" s="68">
        <f>IF(AC8="",0,IF(AC8&lt;8.6,50,IF(AC8&gt;12.1,0,VLOOKUP(AC8,Liste_AT2!$C$3:$D$38,2))))</f>
        <v>0</v>
      </c>
      <c r="AE8" s="153"/>
      <c r="AF8" s="72">
        <f>IF(AE8="",0,IF(AE8&lt;170,50,IF(AE8&gt;241,0,VLOOKUP(AE8,Liste_AT2!$E$3:$G$74,3))))</f>
        <v>0</v>
      </c>
      <c r="AG8" s="154">
        <v>555</v>
      </c>
      <c r="AH8" s="68">
        <f>IF(AG8="",0,IF(AG8&lt;520,50,IF(AG8&gt;646,0,VLOOKUP(AG8,Liste_AT2!$AV$3:$AW$66,2))))</f>
        <v>33</v>
      </c>
      <c r="AI8" s="154"/>
      <c r="AJ8" s="68">
        <f>IF(AI8="",0,IF(AI8&lt;810,50,IF(AI8&gt;936,0,VLOOKUP(AI8,Liste_AT2!$H$3:$J$66,3))))</f>
        <v>0</v>
      </c>
      <c r="AK8" s="148">
        <v>17.7</v>
      </c>
      <c r="AL8" s="72">
        <f>IF(AK8="",0,IF(AK8&lt;15,50,IF(AK8&gt;22.5,0,VLOOKUP(AK8,Liste_AT2!$K$3:$L$78,2))))</f>
        <v>23</v>
      </c>
      <c r="AM8" s="149"/>
      <c r="AN8" s="68">
        <f>IF(AM8="",0,IF(AM8&lt;4,50,IF(AM8&gt;9.4,0,VLOOKUP(AM8,Liste_AT2!$M$3:$N$57,2))))</f>
        <v>0</v>
      </c>
      <c r="AO8" s="150"/>
      <c r="AP8" s="72">
        <f>IF(AO8="",0,IF(AO8&gt;29,50,IF(AO8&lt;5,0,VLOOKUP(AO8,Liste_AT2!$O$3:$P$29,2))))</f>
        <v>0</v>
      </c>
      <c r="AQ8" s="152"/>
      <c r="AR8" s="68">
        <f>IF(AQ8="",0,IF(AQ8&gt;10,50,IF(AQ8&lt;1,0,VLOOKUP(AQ8,Liste_AT2!$S$3:$T$19,2))))</f>
        <v>0</v>
      </c>
      <c r="AS8" s="150"/>
      <c r="AT8" s="72">
        <f>IF(AS8="",0,IF(AS8&gt;23,50,IF(AS8&lt;2,0,VLOOKUP(AS8,Liste_AT2!$Y$3:$Z$24,2))))</f>
        <v>0</v>
      </c>
      <c r="AU8" s="149"/>
      <c r="AV8" s="68">
        <f>IF(AU8="",0,IF(AU8&lt;3.7,50,IF(AU8&gt;8,0,VLOOKUP(AU8,Liste_AT2!$AA$3:$AB$46,2))))</f>
        <v>0</v>
      </c>
      <c r="AW8" s="148"/>
      <c r="AX8" s="72">
        <f>IF(AW8="",0,IF(AW8&lt;4,0,IF(AW8&gt;10.1,50,VLOOKUP(AW8,Liste_AT2!$AC$3:$AD$62,2))))</f>
        <v>0</v>
      </c>
      <c r="AY8" s="149">
        <v>7.1</v>
      </c>
      <c r="AZ8" s="68">
        <f>IF(AY8="",0,IF(AY8&gt;11.9,50,IF(AY8&lt;5,0,VLOOKUP(AY8,Liste_AT2!$AE$3:$AF$72,2))))</f>
        <v>12</v>
      </c>
      <c r="BA8" s="153"/>
      <c r="BB8" s="72">
        <f>IF(BA8="",0,IF(BA8&gt;45,50,IF(BA8&lt;2,0,VLOOKUP(BA8,Liste_AT2!$AG$3:$AH$61,2))))</f>
        <v>0</v>
      </c>
      <c r="BC8" s="154"/>
      <c r="BD8" s="68">
        <f>IF(BC8="",0,IF(BC8&gt;26,50,IF(BC8&lt;4,0,VLOOKUP(BC8,Liste_AT2!$AI$3:$AJ$25,2))))</f>
        <v>0</v>
      </c>
      <c r="BE8" s="150">
        <v>21</v>
      </c>
      <c r="BF8" s="72">
        <f>IF(BE8="",0,IF(BE8&gt;35,50,IF(BE8&lt;14,0,VLOOKUP(BE8,Liste_AT2!$AK$3:$AL$24,2))))</f>
        <v>14</v>
      </c>
      <c r="BG8" s="152"/>
      <c r="BH8" s="68">
        <f>IF(BG8="",0,IF(BG8&gt;36,50,IF(BG8&lt;7,0,VLOOKUP(BG8,Liste_AT2!$AM$3:$AN$32,2))))</f>
        <v>0</v>
      </c>
      <c r="BI8" s="150"/>
      <c r="BJ8" s="72">
        <f>IF(BI8="",0,IF(BI8&gt;45,50,IF(BI8&lt;6,0,VLOOKUP(BI8,Liste_AT2!$AO$3:$AP$52,2))))</f>
        <v>0</v>
      </c>
      <c r="BK8" s="151">
        <v>1.75</v>
      </c>
      <c r="BL8" s="68">
        <f>IF(BK8="",0,IF(BK8&gt;2.4,50,IF(BK8&lt;1.15,0,VLOOKUP(BK8,Liste_AT2!$AQ$3:$AR$52,2))))</f>
        <v>17</v>
      </c>
      <c r="BM8" s="148">
        <v>37.5</v>
      </c>
      <c r="BN8" s="72">
        <f>IF(BM8="",0,IF(BM8&lt;28,50,IF(BM8&gt;62,0,VLOOKUP(BM8,Liste_AT2!$AS$3:$AT$343,2,0))))</f>
        <v>40</v>
      </c>
      <c r="BO8" s="149">
        <v>14.5</v>
      </c>
      <c r="BP8" s="68">
        <f>IF(BO8="",0,IF(BO8&lt;1,0,IF(BO8&gt;28,50,VLOOKUP(BO8,Liste_AT3!$A$3:$B$30,2))))</f>
        <v>24</v>
      </c>
      <c r="BQ8" s="155"/>
      <c r="BR8" s="72">
        <f>IF(BQ8="",0,IF(BQ8&lt;5,50,IF(BQ8&gt;40,0,VLOOKUP(BQ8,Liste_AT3!$C$3:$D$38,2))))</f>
        <v>0</v>
      </c>
      <c r="BS8" s="151">
        <v>2.75</v>
      </c>
      <c r="BT8" s="68">
        <f>IF(BS8="",0,IF(BS8&lt;1,50,IF(BS8&gt;4.75,0,VLOOKUP(BS8,Liste_AT3!$E$3:$F$18,2))))</f>
        <v>22</v>
      </c>
      <c r="BU8" s="156"/>
      <c r="BV8" s="72">
        <f>IF(BU8="",0,IF(BU8&lt;1,50,IF(BU8&gt;4.75,0,VLOOKUP(BU8,Liste_AT3!$G$3:$H$18,2))))</f>
        <v>0</v>
      </c>
      <c r="BW8" s="151"/>
      <c r="BX8" s="68">
        <f>IF(BW8="",0,IF(BW8&lt;1,50,IF(BW8&gt;4.75,0,VLOOKUP(BW8,Liste_AT3!$G$3:$H$18,2))))</f>
        <v>0</v>
      </c>
      <c r="BY8" s="157"/>
      <c r="BZ8" s="72">
        <f>IF(BY8="",0,IF(BY8&gt;40,0,VLOOKUP(BY8,Liste_AT3!$I$3:$J$43,2,2)))</f>
        <v>0</v>
      </c>
      <c r="CA8" s="158"/>
      <c r="CB8" s="68">
        <f>IF(CA8="",0,IF(CA8&gt;40,0,VLOOKUP(CA8,Liste_AT3!$I$3:$J$43,2,2)))</f>
        <v>0</v>
      </c>
      <c r="CC8" s="159">
        <f>SUM(H8,J8,L8,N8,P8,R8,T8,V8,X8,Z8)</f>
        <v>58</v>
      </c>
      <c r="CD8" s="53">
        <f>IF(CC8=0,"",RANK(CC8,$CC$4:$CC$16))</f>
        <v>11</v>
      </c>
      <c r="CE8" s="159">
        <f>SUM(AB8,AD8,AF8,AJ8,AL8,AN8,AH8)</f>
        <v>56</v>
      </c>
      <c r="CF8" s="53">
        <f>IF(CE8=0,"",RANK(CE8,$CE$4:$CE$16))</f>
        <v>3</v>
      </c>
      <c r="CG8" s="159">
        <f>SUM(AP8,AR8,AT8,AV8,AX8,AZ8,BB8,BD8,BF8,BH8,BJ8,BL8,BN8)</f>
        <v>83</v>
      </c>
      <c r="CH8" s="53">
        <f>IF(CG8=0,"",RANK(CG8,$CG$4:$CG$16))</f>
        <v>5</v>
      </c>
      <c r="CI8" s="160">
        <f>SUM(BP8,BR8)</f>
        <v>24</v>
      </c>
      <c r="CJ8" s="53">
        <f>IF(CI8=0,"",RANK(CI8,$CI$4:$CI$16))</f>
        <v>7</v>
      </c>
      <c r="CK8" s="160">
        <f>SUM(BT8,BV8,BX8,BZ8,CB8)</f>
        <v>22</v>
      </c>
      <c r="CL8" s="53">
        <f>IF(CK8=0,"",RANK(CK8,$CK$4:$CK$16))</f>
        <v>6</v>
      </c>
      <c r="CM8" s="160">
        <f>SUM(CC8,CE8,CG8,CI8,CK8)</f>
        <v>243</v>
      </c>
      <c r="CN8" s="53">
        <f t="shared" si="0"/>
        <v>5</v>
      </c>
    </row>
    <row r="9" spans="1:92" s="14" customFormat="1" ht="27" customHeight="1" x14ac:dyDescent="0.3">
      <c r="A9" s="44">
        <v>11</v>
      </c>
      <c r="B9" s="135" t="s">
        <v>130</v>
      </c>
      <c r="C9" s="46" t="s">
        <v>101</v>
      </c>
      <c r="D9" s="45">
        <v>32.299999999999997</v>
      </c>
      <c r="E9" s="47">
        <v>143</v>
      </c>
      <c r="F9" s="147">
        <v>36302</v>
      </c>
      <c r="G9" s="148"/>
      <c r="H9" s="72">
        <f>IF(G9="",0,IF(G9&lt;$H$1,50,IF(G9&gt;18.7,0,VLOOKUP(G9,Liste_AT1!$A$3:$B$79,2,0))))</f>
        <v>0</v>
      </c>
      <c r="I9" s="149"/>
      <c r="J9" s="68">
        <f>IF(I9="",0,IF(I9&lt;$J$1,50,IF(I9&gt;22.8,0,VLOOKUP(I9,Liste_AT1!$C$3:$D$125,2,0))))</f>
        <v>0</v>
      </c>
      <c r="K9" s="148"/>
      <c r="L9" s="72">
        <f>IF(K9="",0,IF(K9&lt;$L$1,50,IF(K9&gt;29.2,0,VLOOKUP(K9,Liste_AT1!$E$3:$F$138,2,0))))</f>
        <v>0</v>
      </c>
      <c r="M9" s="149">
        <v>28.5</v>
      </c>
      <c r="N9" s="68">
        <f>IF(M9="",0,IF(M9&lt;15,50,IF(M9&gt;39.5,0,VLOOKUP(M9,Liste_AT1!$G$3:$H$248,2,0))))</f>
        <v>23</v>
      </c>
      <c r="O9" s="150"/>
      <c r="P9" s="72">
        <f>IF(O9="",0,IF(O9&lt;40,50,IF(O9&gt;108,0,VLOOKUP(O9,Liste_AT1!$I$3:$J$71,2,0))))</f>
        <v>0</v>
      </c>
      <c r="Q9" s="149"/>
      <c r="R9" s="68">
        <f>IF(Q9&gt;10,50,IF(Q9&lt;1,0,IF(Q9="",0,VLOOKUP(Q9,Liste_AT1!$K$3:$L$21,2,0))))</f>
        <v>0</v>
      </c>
      <c r="S9" s="148"/>
      <c r="T9" s="72">
        <f>IF(S9&gt;10,50,IF(S9&lt;1,0,VLOOKUP(S9,Liste_AT1!$M$3:$N$21,2,0)))</f>
        <v>0</v>
      </c>
      <c r="U9" s="151"/>
      <c r="V9" s="68">
        <f>IF(U9&gt;5,35,IF(U9&lt;1,0,VLOOKUP(U9,Liste_AT1!$O$3:$P$19,2)))</f>
        <v>0</v>
      </c>
      <c r="W9" s="148">
        <v>9.5</v>
      </c>
      <c r="X9" s="72">
        <f>IF(W9&gt;10,50,IF(W9&lt;1,0,VLOOKUP(W9,Liste_AT1!$Q$3:$R$21,2)))</f>
        <v>48</v>
      </c>
      <c r="Y9" s="152"/>
      <c r="Z9" s="68">
        <f>IF(Y9&gt;10,50,IF(Y9&lt;1,0,VLOOKUP(Y9,Liste_AT1!$S$3:$T$12,2)))</f>
        <v>0</v>
      </c>
      <c r="AA9" s="148"/>
      <c r="AB9" s="72">
        <f>IF(AA9="",0,IF(AA9&lt;3.8,50,IF(AA9&gt;6.9,0,VLOOKUP(AA9,Liste_AT2!$A$3:$B$34,2))))</f>
        <v>0</v>
      </c>
      <c r="AC9" s="149"/>
      <c r="AD9" s="68">
        <f>IF(AC9="",0,IF(AC9&lt;8.6,50,IF(AC9&gt;12.1,0,VLOOKUP(AC9,Liste_AT2!$C$3:$D$38,2))))</f>
        <v>0</v>
      </c>
      <c r="AE9" s="153"/>
      <c r="AF9" s="72">
        <f>IF(AE9="",0,IF(AE9&lt;170,50,IF(AE9&gt;241,0,VLOOKUP(AE9,Liste_AT2!$E$3:$G$74,3))))</f>
        <v>0</v>
      </c>
      <c r="AG9" s="154">
        <v>553</v>
      </c>
      <c r="AH9" s="68">
        <f>IF(AG9="",0,IF(AG9&lt;520,50,IF(AG9&gt;646,0,VLOOKUP(AG9,Liste_AT2!$AV$3:$AW$66,2))))</f>
        <v>34</v>
      </c>
      <c r="AI9" s="154"/>
      <c r="AJ9" s="68">
        <f>IF(AI9="",0,IF(AI9&lt;810,50,IF(AI9&gt;936,0,VLOOKUP(AI9,Liste_AT2!$H$3:$J$66,3))))</f>
        <v>0</v>
      </c>
      <c r="AK9" s="148">
        <v>18.600000000000001</v>
      </c>
      <c r="AL9" s="72">
        <f>IF(AK9="",0,IF(AK9&lt;15,50,IF(AK9&gt;22.5,0,VLOOKUP(AK9,Liste_AT2!$K$3:$L$78,2))))</f>
        <v>14</v>
      </c>
      <c r="AM9" s="149"/>
      <c r="AN9" s="68">
        <f>IF(AM9="",0,IF(AM9&lt;4,50,IF(AM9&gt;9.4,0,VLOOKUP(AM9,Liste_AT2!$M$3:$N$57,2))))</f>
        <v>0</v>
      </c>
      <c r="AO9" s="150"/>
      <c r="AP9" s="72">
        <f>IF(AO9="",0,IF(AO9&gt;29,50,IF(AO9&lt;5,0,VLOOKUP(AO9,Liste_AT2!$O$3:$P$29,2))))</f>
        <v>0</v>
      </c>
      <c r="AQ9" s="152"/>
      <c r="AR9" s="68">
        <f>IF(AQ9="",0,IF(AQ9&gt;10,50,IF(AQ9&lt;1,0,VLOOKUP(AQ9,Liste_AT2!$S$3:$T$19,2))))</f>
        <v>0</v>
      </c>
      <c r="AS9" s="150"/>
      <c r="AT9" s="72">
        <f>IF(AS9="",0,IF(AS9&gt;23,50,IF(AS9&lt;2,0,VLOOKUP(AS9,Liste_AT2!$Y$3:$Z$24,2))))</f>
        <v>0</v>
      </c>
      <c r="AU9" s="149"/>
      <c r="AV9" s="68">
        <f>IF(AU9="",0,IF(AU9&lt;3.7,50,IF(AU9&gt;8,0,VLOOKUP(AU9,Liste_AT2!$AA$3:$AB$46,2))))</f>
        <v>0</v>
      </c>
      <c r="AW9" s="148"/>
      <c r="AX9" s="72">
        <f>IF(AW9="",0,IF(AW9&lt;4,0,IF(AW9&gt;10.1,50,VLOOKUP(AW9,Liste_AT2!$AC$3:$AD$62,2))))</f>
        <v>0</v>
      </c>
      <c r="AY9" s="149">
        <v>5.6</v>
      </c>
      <c r="AZ9" s="68">
        <f>IF(AY9="",0,IF(AY9&gt;11.9,50,IF(AY9&lt;5,0,VLOOKUP(AY9,Liste_AT2!$AE$3:$AF$72,2))))</f>
        <v>4</v>
      </c>
      <c r="BA9" s="153"/>
      <c r="BB9" s="72">
        <f>IF(BA9="",0,IF(BA9&gt;45,50,IF(BA9&lt;2,0,VLOOKUP(BA9,Liste_AT2!$AG$3:$AH$61,2))))</f>
        <v>0</v>
      </c>
      <c r="BC9" s="154"/>
      <c r="BD9" s="68">
        <f>IF(BC9="",0,IF(BC9&gt;26,50,IF(BC9&lt;4,0,VLOOKUP(BC9,Liste_AT2!$AI$3:$AJ$25,2))))</f>
        <v>0</v>
      </c>
      <c r="BE9" s="150">
        <v>15</v>
      </c>
      <c r="BF9" s="72">
        <f>IF(BE9="",0,IF(BE9&gt;35,50,IF(BE9&lt;14,0,VLOOKUP(BE9,Liste_AT2!$AK$3:$AL$24,2))))</f>
        <v>2</v>
      </c>
      <c r="BG9" s="152"/>
      <c r="BH9" s="68">
        <f>IF(BG9="",0,IF(BG9&gt;36,50,IF(BG9&lt;7,0,VLOOKUP(BG9,Liste_AT2!$AM$3:$AN$32,2))))</f>
        <v>0</v>
      </c>
      <c r="BI9" s="150"/>
      <c r="BJ9" s="72">
        <f>IF(BI9="",0,IF(BI9&gt;45,50,IF(BI9&lt;6,0,VLOOKUP(BI9,Liste_AT2!$AO$3:$AP$52,2))))</f>
        <v>0</v>
      </c>
      <c r="BK9" s="151">
        <v>1.6</v>
      </c>
      <c r="BL9" s="68">
        <f>IF(BK9="",0,IF(BK9&gt;2.4,50,IF(BK9&lt;1.15,0,VLOOKUP(BK9,Liste_AT2!$AQ$3:$AR$52,2))))</f>
        <v>10</v>
      </c>
      <c r="BM9" s="148">
        <v>35</v>
      </c>
      <c r="BN9" s="72">
        <f>IF(BM9="",0,IF(BM9&lt;28,50,IF(BM9&gt;62,0,VLOOKUP(BM9,Liste_AT2!$AS$3:$AT$343,2,0))))</f>
        <v>43</v>
      </c>
      <c r="BO9" s="149">
        <v>19</v>
      </c>
      <c r="BP9" s="68">
        <f>IF(BO9="",0,IF(BO9&lt;1,0,IF(BO9&gt;28,50,VLOOKUP(BO9,Liste_AT3!$A$3:$B$30,2))))</f>
        <v>34</v>
      </c>
      <c r="BQ9" s="155"/>
      <c r="BR9" s="72">
        <f>IF(BQ9="",0,IF(BQ9&lt;5,50,IF(BQ9&gt;40,0,VLOOKUP(BQ9,Liste_AT3!$C$3:$D$38,2))))</f>
        <v>0</v>
      </c>
      <c r="BS9" s="151">
        <v>2.75</v>
      </c>
      <c r="BT9" s="68">
        <f>IF(BS9="",0,IF(BS9&lt;1,50,IF(BS9&gt;4.75,0,VLOOKUP(BS9,Liste_AT3!$E$3:$F$18,2))))</f>
        <v>22</v>
      </c>
      <c r="BU9" s="156"/>
      <c r="BV9" s="72">
        <f>IF(BU9="",0,IF(BU9&lt;1,50,IF(BU9&gt;4.75,0,VLOOKUP(BU9,Liste_AT3!$G$3:$H$18,2))))</f>
        <v>0</v>
      </c>
      <c r="BW9" s="151"/>
      <c r="BX9" s="68">
        <f>IF(BW9="",0,IF(BW9&lt;1,50,IF(BW9&gt;4.75,0,VLOOKUP(BW9,Liste_AT3!$G$3:$H$18,2))))</f>
        <v>0</v>
      </c>
      <c r="BY9" s="157"/>
      <c r="BZ9" s="72">
        <f>IF(BY9="",0,IF(BY9&gt;40,0,VLOOKUP(BY9,Liste_AT3!$I$3:$J$43,2,2)))</f>
        <v>0</v>
      </c>
      <c r="CA9" s="158"/>
      <c r="CB9" s="68">
        <f>IF(CA9="",0,IF(CA9&gt;40,0,VLOOKUP(CA9,Liste_AT3!$I$3:$J$43,2,2)))</f>
        <v>0</v>
      </c>
      <c r="CC9" s="159">
        <f>SUM(H9,J9,L9,N9,P9,R9,T9,V9,X9,Z9)</f>
        <v>71</v>
      </c>
      <c r="CD9" s="53">
        <f>IF(CC9=0,"",RANK(CC9,$CC$4:$CC$16))</f>
        <v>6</v>
      </c>
      <c r="CE9" s="159">
        <f>SUM(AB9,AD9,AF9,AJ9,AL9,AN9,AH9)</f>
        <v>48</v>
      </c>
      <c r="CF9" s="53">
        <f>IF(CE9=0,"",RANK(CE9,$CE$4:$CE$16))</f>
        <v>4</v>
      </c>
      <c r="CG9" s="159">
        <f>SUM(AP9,AR9,AT9,AV9,AX9,AZ9,BB9,BD9,BF9,BH9,BJ9,BL9,BN9)</f>
        <v>59</v>
      </c>
      <c r="CH9" s="53">
        <f>IF(CG9=0,"",RANK(CG9,$CG$4:$CG$16))</f>
        <v>8</v>
      </c>
      <c r="CI9" s="160">
        <f>SUM(BP9,BR9)</f>
        <v>34</v>
      </c>
      <c r="CJ9" s="53">
        <f>IF(CI9=0,"",RANK(CI9,$CI$4:$CI$16))</f>
        <v>1</v>
      </c>
      <c r="CK9" s="160">
        <f>SUM(BT9,BV9,BX9,BZ9,CB9)</f>
        <v>22</v>
      </c>
      <c r="CL9" s="53">
        <f>IF(CK9=0,"",RANK(CK9,$CK$4:$CK$16))</f>
        <v>6</v>
      </c>
      <c r="CM9" s="160">
        <f>SUM(CC9,CE9,CG9,CI9,CK9)</f>
        <v>234</v>
      </c>
      <c r="CN9" s="53">
        <f t="shared" si="0"/>
        <v>6</v>
      </c>
    </row>
    <row r="10" spans="1:92" s="14" customFormat="1" ht="27" customHeight="1" x14ac:dyDescent="0.3">
      <c r="A10" s="44">
        <v>8</v>
      </c>
      <c r="B10" s="135" t="s">
        <v>125</v>
      </c>
      <c r="C10" s="46" t="s">
        <v>141</v>
      </c>
      <c r="D10" s="45">
        <v>51.5</v>
      </c>
      <c r="E10" s="47">
        <v>165</v>
      </c>
      <c r="F10" s="147">
        <v>36204</v>
      </c>
      <c r="G10" s="148"/>
      <c r="H10" s="72">
        <f>IF(G10="",0,IF(G10&lt;$H$1,50,IF(G10&gt;18.7,0,VLOOKUP(G10,Liste_AT1!$A$3:$B$79,2,0))))</f>
        <v>0</v>
      </c>
      <c r="I10" s="149"/>
      <c r="J10" s="68">
        <f>IF(I10="",0,IF(I10&lt;$J$1,50,IF(I10&gt;22.8,0,VLOOKUP(I10,Liste_AT1!$C$3:$D$125,2,0))))</f>
        <v>0</v>
      </c>
      <c r="K10" s="148"/>
      <c r="L10" s="72">
        <f>IF(K10="",0,IF(K10&lt;$L$1,50,IF(K10&gt;29.2,0,VLOOKUP(K10,Liste_AT1!$E$3:$F$138,2,0))))</f>
        <v>0</v>
      </c>
      <c r="M10" s="149">
        <v>28.8</v>
      </c>
      <c r="N10" s="68">
        <f>IF(M10="",0,IF(M10&lt;15,50,IF(M10&gt;39.5,0,VLOOKUP(M10,Liste_AT1!$G$3:$H$248,2,0))))</f>
        <v>22</v>
      </c>
      <c r="O10" s="150"/>
      <c r="P10" s="72">
        <f>IF(O10="",0,IF(O10&lt;40,50,IF(O10&gt;108,0,VLOOKUP(O10,Liste_AT1!$I$3:$J$71,2,0))))</f>
        <v>0</v>
      </c>
      <c r="Q10" s="149"/>
      <c r="R10" s="68">
        <f>IF(Q10&gt;10,50,IF(Q10&lt;1,0,IF(Q10="",0,VLOOKUP(Q10,Liste_AT1!$K$3:$L$21,2,0))))</f>
        <v>0</v>
      </c>
      <c r="S10" s="148"/>
      <c r="T10" s="72">
        <f>IF(S10&gt;10,50,IF(S10&lt;1,0,VLOOKUP(S10,Liste_AT1!$M$3:$N$21,2,0)))</f>
        <v>0</v>
      </c>
      <c r="U10" s="151"/>
      <c r="V10" s="68">
        <f>IF(U10&gt;5,35,IF(U10&lt;1,0,VLOOKUP(U10,Liste_AT1!$O$3:$P$19,2)))</f>
        <v>0</v>
      </c>
      <c r="W10" s="148">
        <v>9.1999999999999993</v>
      </c>
      <c r="X10" s="72">
        <f>IF(W10&gt;10,50,IF(W10&lt;1,0,VLOOKUP(W10,Liste_AT1!$Q$3:$R$21,2)))</f>
        <v>46</v>
      </c>
      <c r="Y10" s="152"/>
      <c r="Z10" s="68">
        <f>IF(Y10&gt;10,50,IF(Y10&lt;1,0,VLOOKUP(Y10,Liste_AT1!$S$3:$T$12,2)))</f>
        <v>0</v>
      </c>
      <c r="AA10" s="148"/>
      <c r="AB10" s="72">
        <f>IF(AA10="",0,IF(AA10&lt;3.8,50,IF(AA10&gt;6.9,0,VLOOKUP(AA10,Liste_AT2!$A$3:$B$34,2))))</f>
        <v>0</v>
      </c>
      <c r="AC10" s="149"/>
      <c r="AD10" s="68">
        <f>IF(AC10="",0,IF(AC10&lt;8.6,50,IF(AC10&gt;12.1,0,VLOOKUP(AC10,Liste_AT2!$C$3:$D$38,2))))</f>
        <v>0</v>
      </c>
      <c r="AE10" s="153"/>
      <c r="AF10" s="72">
        <f>IF(AE10="",0,IF(AE10&lt;170,50,IF(AE10&gt;241,0,VLOOKUP(AE10,Liste_AT2!$E$3:$G$74,3))))</f>
        <v>0</v>
      </c>
      <c r="AG10" s="154">
        <v>581</v>
      </c>
      <c r="AH10" s="68">
        <f>IF(AG10="",0,IF(AG10&lt;520,50,IF(AG10&gt;646,0,VLOOKUP(AG10,Liste_AT2!$AV$3:$AW$66,2))))</f>
        <v>20</v>
      </c>
      <c r="AI10" s="154"/>
      <c r="AJ10" s="68">
        <f>IF(AI10="",0,IF(AI10&lt;810,50,IF(AI10&gt;936,0,VLOOKUP(AI10,Liste_AT2!$H$3:$J$66,3))))</f>
        <v>0</v>
      </c>
      <c r="AK10" s="148">
        <v>18</v>
      </c>
      <c r="AL10" s="72">
        <f>IF(AK10="",0,IF(AK10&lt;15,50,IF(AK10&gt;22.5,0,VLOOKUP(AK10,Liste_AT2!$K$3:$L$78,2))))</f>
        <v>20</v>
      </c>
      <c r="AM10" s="149"/>
      <c r="AN10" s="68">
        <f>IF(AM10="",0,IF(AM10&lt;4,50,IF(AM10&gt;9.4,0,VLOOKUP(AM10,Liste_AT2!$M$3:$N$57,2))))</f>
        <v>0</v>
      </c>
      <c r="AO10" s="150"/>
      <c r="AP10" s="72">
        <f>IF(AO10="",0,IF(AO10&gt;29,50,IF(AO10&lt;5,0,VLOOKUP(AO10,Liste_AT2!$O$3:$P$29,2))))</f>
        <v>0</v>
      </c>
      <c r="AQ10" s="152"/>
      <c r="AR10" s="68">
        <f>IF(AQ10="",0,IF(AQ10&gt;10,50,IF(AQ10&lt;1,0,VLOOKUP(AQ10,Liste_AT2!$S$3:$T$19,2))))</f>
        <v>0</v>
      </c>
      <c r="AS10" s="150"/>
      <c r="AT10" s="72">
        <f>IF(AS10="",0,IF(AS10&gt;23,50,IF(AS10&lt;2,0,VLOOKUP(AS10,Liste_AT2!$Y$3:$Z$24,2))))</f>
        <v>0</v>
      </c>
      <c r="AU10" s="149"/>
      <c r="AV10" s="68">
        <f>IF(AU10="",0,IF(AU10&lt;3.7,50,IF(AU10&gt;8,0,VLOOKUP(AU10,Liste_AT2!$AA$3:$AB$46,2))))</f>
        <v>0</v>
      </c>
      <c r="AW10" s="148"/>
      <c r="AX10" s="72">
        <f>IF(AW10="",0,IF(AW10&lt;4,0,IF(AW10&gt;10.1,50,VLOOKUP(AW10,Liste_AT2!$AC$3:$AD$62,2))))</f>
        <v>0</v>
      </c>
      <c r="AY10" s="149">
        <v>6.1</v>
      </c>
      <c r="AZ10" s="68">
        <f>IF(AY10="",0,IF(AY10&gt;11.9,50,IF(AY10&lt;5,0,VLOOKUP(AY10,Liste_AT2!$AE$3:$AF$72,2))))</f>
        <v>6</v>
      </c>
      <c r="BA10" s="153"/>
      <c r="BB10" s="72">
        <f>IF(BA10="",0,IF(BA10&gt;45,50,IF(BA10&lt;2,0,VLOOKUP(BA10,Liste_AT2!$AG$3:$AH$61,2))))</f>
        <v>0</v>
      </c>
      <c r="BC10" s="154"/>
      <c r="BD10" s="68">
        <f>IF(BC10="",0,IF(BC10&gt;26,50,IF(BC10&lt;4,0,VLOOKUP(BC10,Liste_AT2!$AI$3:$AJ$25,2))))</f>
        <v>0</v>
      </c>
      <c r="BE10" s="150">
        <v>15</v>
      </c>
      <c r="BF10" s="72">
        <f>IF(BE10="",0,IF(BE10&gt;35,50,IF(BE10&lt;14,0,VLOOKUP(BE10,Liste_AT2!$AK$3:$AL$24,2))))</f>
        <v>2</v>
      </c>
      <c r="BG10" s="152"/>
      <c r="BH10" s="68">
        <f>IF(BG10="",0,IF(BG10&gt;36,50,IF(BG10&lt;7,0,VLOOKUP(BG10,Liste_AT2!$AM$3:$AN$32,2))))</f>
        <v>0</v>
      </c>
      <c r="BI10" s="150"/>
      <c r="BJ10" s="72">
        <f>IF(BI10="",0,IF(BI10&gt;45,50,IF(BI10&lt;6,0,VLOOKUP(BI10,Liste_AT2!$AO$3:$AP$52,2))))</f>
        <v>0</v>
      </c>
      <c r="BK10" s="151">
        <v>1.7</v>
      </c>
      <c r="BL10" s="68">
        <f>IF(BK10="",0,IF(BK10&gt;2.4,50,IF(BK10&lt;1.15,0,VLOOKUP(BK10,Liste_AT2!$AQ$3:$AR$52,2))))</f>
        <v>15</v>
      </c>
      <c r="BM10" s="148">
        <v>34.5</v>
      </c>
      <c r="BN10" s="72">
        <f>IF(BM10="",0,IF(BM10&lt;28,50,IF(BM10&gt;62,0,VLOOKUP(BM10,Liste_AT2!$AS$3:$AT$343,2,0))))</f>
        <v>43</v>
      </c>
      <c r="BO10" s="149">
        <v>5</v>
      </c>
      <c r="BP10" s="68">
        <f>IF(BO10="",0,IF(BO10&lt;1,0,IF(BO10&gt;28,50,VLOOKUP(BO10,Liste_AT3!$A$3:$B$30,2))))</f>
        <v>6</v>
      </c>
      <c r="BQ10" s="155"/>
      <c r="BR10" s="72">
        <f>IF(BQ10="",0,IF(BQ10&lt;5,50,IF(BQ10&gt;40,0,VLOOKUP(BQ10,Liste_AT3!$C$3:$D$38,2))))</f>
        <v>0</v>
      </c>
      <c r="BS10" s="151">
        <v>2.5</v>
      </c>
      <c r="BT10" s="68">
        <f>IF(BS10="",0,IF(BS10&lt;1,50,IF(BS10&gt;4.75,0,VLOOKUP(BS10,Liste_AT3!$E$3:$F$18,2))))</f>
        <v>25</v>
      </c>
      <c r="BU10" s="156"/>
      <c r="BV10" s="72">
        <f>IF(BU10="",0,IF(BU10&lt;1,50,IF(BU10&gt;4.75,0,VLOOKUP(BU10,Liste_AT3!$G$3:$H$18,2))))</f>
        <v>0</v>
      </c>
      <c r="BW10" s="151"/>
      <c r="BX10" s="68">
        <f>IF(BW10="",0,IF(BW10&lt;1,50,IF(BW10&gt;4.75,0,VLOOKUP(BW10,Liste_AT3!$G$3:$H$18,2))))</f>
        <v>0</v>
      </c>
      <c r="BY10" s="157"/>
      <c r="BZ10" s="72">
        <f>IF(BY10="",0,IF(BY10&gt;40,0,VLOOKUP(BY10,Liste_AT3!$I$3:$J$43,2,2)))</f>
        <v>0</v>
      </c>
      <c r="CA10" s="158"/>
      <c r="CB10" s="68">
        <f>IF(CA10="",0,IF(CA10&gt;40,0,VLOOKUP(CA10,Liste_AT3!$I$3:$J$43,2,2)))</f>
        <v>0</v>
      </c>
      <c r="CC10" s="159">
        <f>SUM(H10,J10,L10,N10,P10,R10,T10,V10,X10,Z10)</f>
        <v>68</v>
      </c>
      <c r="CD10" s="53">
        <f>IF(CC10=0,"",RANK(CC10,$CC$4:$CC$16))</f>
        <v>7</v>
      </c>
      <c r="CE10" s="159">
        <f>SUM(AB10,AD10,AF10,AJ10,AL10,AN10,AH10)</f>
        <v>40</v>
      </c>
      <c r="CF10" s="53">
        <f>IF(CE10=0,"",RANK(CE10,$CE$4:$CE$16))</f>
        <v>6</v>
      </c>
      <c r="CG10" s="159">
        <f>SUM(AP10,AR10,AT10,AV10,AX10,AZ10,BB10,BD10,BF10,BH10,BJ10,BL10,BN10)</f>
        <v>66</v>
      </c>
      <c r="CH10" s="53">
        <f>IF(CG10=0,"",RANK(CG10,$CG$4:$CG$16))</f>
        <v>6</v>
      </c>
      <c r="CI10" s="160">
        <f>SUM(BP10,BR10)</f>
        <v>6</v>
      </c>
      <c r="CJ10" s="53">
        <f>IF(CI10=0,"",RANK(CI10,$CI$4:$CI$16))</f>
        <v>10</v>
      </c>
      <c r="CK10" s="160">
        <f>SUM(BT10,BV10,BX10,BZ10,CB10)</f>
        <v>25</v>
      </c>
      <c r="CL10" s="53">
        <f>IF(CK10=0,"",RANK(CK10,$CK$4:$CK$16))</f>
        <v>5</v>
      </c>
      <c r="CM10" s="160">
        <f>SUM(CC10,CE10,CG10,CI10,CK10)</f>
        <v>205</v>
      </c>
      <c r="CN10" s="53">
        <f t="shared" si="0"/>
        <v>7</v>
      </c>
    </row>
    <row r="11" spans="1:92" s="14" customFormat="1" ht="27" customHeight="1" x14ac:dyDescent="0.3">
      <c r="A11" s="44">
        <v>7</v>
      </c>
      <c r="B11" s="135" t="s">
        <v>143</v>
      </c>
      <c r="C11" s="46" t="s">
        <v>142</v>
      </c>
      <c r="D11" s="45">
        <v>45.2</v>
      </c>
      <c r="E11" s="47">
        <v>156</v>
      </c>
      <c r="F11" s="147">
        <v>36517</v>
      </c>
      <c r="G11" s="148"/>
      <c r="H11" s="72">
        <f>IF(G11="",0,IF(G11&lt;$H$1,50,IF(G11&gt;18.7,0,VLOOKUP(G11,Liste_AT1!$A$3:$B$79,2,0))))</f>
        <v>0</v>
      </c>
      <c r="I11" s="149"/>
      <c r="J11" s="68">
        <f>IF(I11="",0,IF(I11&lt;$J$1,50,IF(I11&gt;22.8,0,VLOOKUP(I11,Liste_AT1!$C$3:$D$125,2,0))))</f>
        <v>0</v>
      </c>
      <c r="K11" s="187"/>
      <c r="L11" s="72">
        <f>IF(K11="",0,IF(K11&lt;$L$1,50,IF(K11&gt;29.2,0,VLOOKUP(K11,Liste_AT1!$E$3:$F$138,2,0))))</f>
        <v>0</v>
      </c>
      <c r="M11" s="149">
        <v>32.200000000000003</v>
      </c>
      <c r="N11" s="68">
        <f>IF(M11="",0,IF(M11&lt;15,50,IF(M11&gt;39.5,0,VLOOKUP(M11,Liste_AT1!$G$3:$H$248,2,0))))</f>
        <v>15</v>
      </c>
      <c r="O11" s="150"/>
      <c r="P11" s="72">
        <f>IF(O11="",0,IF(O11&lt;40,50,IF(O11&gt;108,0,VLOOKUP(O11,Liste_AT1!$I$3:$J$71,2,0))))</f>
        <v>0</v>
      </c>
      <c r="Q11" s="149"/>
      <c r="R11" s="68">
        <f>IF(Q11&gt;10,50,IF(Q11&lt;1,0,IF(Q11="",0,VLOOKUP(Q11,Liste_AT1!$K$3:$L$21,2,0))))</f>
        <v>0</v>
      </c>
      <c r="S11" s="148"/>
      <c r="T11" s="72">
        <f>IF(S11&gt;10,50,IF(S11&lt;1,0,VLOOKUP(S11,Liste_AT1!$M$3:$N$21,2,0)))</f>
        <v>0</v>
      </c>
      <c r="U11" s="151"/>
      <c r="V11" s="68">
        <f>IF(U11&gt;5,35,IF(U11&lt;1,0,VLOOKUP(U11,Liste_AT1!$O$3:$P$19,2)))</f>
        <v>0</v>
      </c>
      <c r="W11" s="148">
        <v>9</v>
      </c>
      <c r="X11" s="72">
        <f>IF(W11&gt;10,50,IF(W11&lt;1,0,VLOOKUP(W11,Liste_AT1!$Q$3:$R$21,2)))</f>
        <v>46</v>
      </c>
      <c r="Y11" s="152"/>
      <c r="Z11" s="68">
        <f>IF(Y11&gt;10,50,IF(Y11&lt;1,0,VLOOKUP(Y11,Liste_AT1!$S$3:$T$12,2)))</f>
        <v>0</v>
      </c>
      <c r="AA11" s="148"/>
      <c r="AB11" s="72">
        <f>IF(AA11="",0,IF(AA11&lt;3.8,50,IF(AA11&gt;6.9,0,VLOOKUP(AA11,Liste_AT2!$A$3:$B$34,2))))</f>
        <v>0</v>
      </c>
      <c r="AC11" s="149"/>
      <c r="AD11" s="68">
        <f>IF(AC11="",0,IF(AC11&lt;8.6,50,IF(AC11&gt;12.1,0,VLOOKUP(AC11,Liste_AT2!$C$3:$D$38,2))))</f>
        <v>0</v>
      </c>
      <c r="AE11" s="153"/>
      <c r="AF11" s="72">
        <f>IF(AE11="",0,IF(AE11&lt;170,50,IF(AE11&gt;241,0,VLOOKUP(AE11,Liste_AT2!$E$3:$G$74,3))))</f>
        <v>0</v>
      </c>
      <c r="AG11" s="154">
        <v>681</v>
      </c>
      <c r="AH11" s="68">
        <f>IF(AG11="",0,IF(AG11&lt;520,50,IF(AG11&gt;646,0,VLOOKUP(AG11,Liste_AT2!$AV$3:$AW$66,2))))</f>
        <v>0</v>
      </c>
      <c r="AI11" s="154"/>
      <c r="AJ11" s="68">
        <f>IF(AI11="",0,IF(AI11&lt;810,50,IF(AI11&gt;936,0,VLOOKUP(AI11,Liste_AT2!$H$3:$J$66,3))))</f>
        <v>0</v>
      </c>
      <c r="AK11" s="148">
        <v>18.100000000000001</v>
      </c>
      <c r="AL11" s="72">
        <f>IF(AK11="",0,IF(AK11&lt;15,50,IF(AK11&gt;22.5,0,VLOOKUP(AK11,Liste_AT2!$K$3:$L$78,2))))</f>
        <v>19</v>
      </c>
      <c r="AM11" s="149"/>
      <c r="AN11" s="68">
        <f>IF(AM11="",0,IF(AM11&lt;4,50,IF(AM11&gt;9.4,0,VLOOKUP(AM11,Liste_AT2!$M$3:$N$57,2))))</f>
        <v>0</v>
      </c>
      <c r="AO11" s="150"/>
      <c r="AP11" s="72">
        <f>IF(AO11="",0,IF(AO11&gt;29,50,IF(AO11&lt;5,0,VLOOKUP(AO11,Liste_AT2!$O$3:$P$29,2))))</f>
        <v>0</v>
      </c>
      <c r="AQ11" s="152"/>
      <c r="AR11" s="68">
        <f>IF(AQ11="",0,IF(AQ11&gt;10,50,IF(AQ11&lt;1,0,VLOOKUP(AQ11,Liste_AT2!$S$3:$T$19,2))))</f>
        <v>0</v>
      </c>
      <c r="AS11" s="150"/>
      <c r="AT11" s="72">
        <f>IF(AS11="",0,IF(AS11&gt;23,50,IF(AS11&lt;2,0,VLOOKUP(AS11,Liste_AT2!$Y$3:$Z$24,2))))</f>
        <v>0</v>
      </c>
      <c r="AU11" s="149"/>
      <c r="AV11" s="68">
        <f>IF(AU11="",0,IF(AU11&lt;3.7,50,IF(AU11&gt;8,0,VLOOKUP(AU11,Liste_AT2!$AA$3:$AB$46,2))))</f>
        <v>0</v>
      </c>
      <c r="AW11" s="148"/>
      <c r="AX11" s="72">
        <f>IF(AW11="",0,IF(AW11&lt;4,0,IF(AW11&gt;10.1,50,VLOOKUP(AW11,Liste_AT2!$AC$3:$AD$62,2))))</f>
        <v>0</v>
      </c>
      <c r="AY11" s="149">
        <v>4</v>
      </c>
      <c r="AZ11" s="68">
        <f>IF(AY11="",0,IF(AY11&gt;11.9,50,IF(AY11&lt;5,0,VLOOKUP(AY11,Liste_AT2!$AE$3:$AF$72,2))))</f>
        <v>0</v>
      </c>
      <c r="BA11" s="153"/>
      <c r="BB11" s="72">
        <f>IF(BA11="",0,IF(BA11&gt;45,50,IF(BA11&lt;2,0,VLOOKUP(BA11,Liste_AT2!$AG$3:$AH$61,2))))</f>
        <v>0</v>
      </c>
      <c r="BC11" s="154"/>
      <c r="BD11" s="68">
        <f>IF(BC11="",0,IF(BC11&gt;26,50,IF(BC11&lt;4,0,VLOOKUP(BC11,Liste_AT2!$AI$3:$AJ$25,2))))</f>
        <v>0</v>
      </c>
      <c r="BE11" s="150">
        <v>18</v>
      </c>
      <c r="BF11" s="72">
        <f>IF(BE11="",0,IF(BE11&gt;35,50,IF(BE11&lt;14,0,VLOOKUP(BE11,Liste_AT2!$AK$3:$AL$24,2))))</f>
        <v>8</v>
      </c>
      <c r="BG11" s="152"/>
      <c r="BH11" s="68">
        <f>IF(BG11="",0,IF(BG11&gt;36,50,IF(BG11&lt;7,0,VLOOKUP(BG11,Liste_AT2!$AM$3:$AN$32,2))))</f>
        <v>0</v>
      </c>
      <c r="BI11" s="150"/>
      <c r="BJ11" s="72">
        <f>IF(BI11="",0,IF(BI11&gt;45,50,IF(BI11&lt;6,0,VLOOKUP(BI11,Liste_AT2!$AO$3:$AP$52,2))))</f>
        <v>0</v>
      </c>
      <c r="BK11" s="151">
        <v>1.58</v>
      </c>
      <c r="BL11" s="68">
        <f>IF(BK11="",0,IF(BK11&gt;2.4,50,IF(BK11&lt;1.15,0,VLOOKUP(BK11,Liste_AT2!$AQ$3:$AR$52,2))))</f>
        <v>9</v>
      </c>
      <c r="BM11" s="148">
        <v>37.1</v>
      </c>
      <c r="BN11" s="72">
        <f>IF(BM11="",0,IF(BM11&lt;28,50,IF(BM11&gt;62,0,VLOOKUP(BM11,Liste_AT2!$AS$3:$AT$343,2,0))))</f>
        <v>40</v>
      </c>
      <c r="BO11" s="149">
        <v>16.5</v>
      </c>
      <c r="BP11" s="68">
        <f>IF(BO11="",0,IF(BO11&lt;1,0,IF(BO11&gt;28,50,VLOOKUP(BO11,Liste_AT3!$A$3:$B$30,2))))</f>
        <v>28</v>
      </c>
      <c r="BQ11" s="155"/>
      <c r="BR11" s="72">
        <f>IF(BQ11="",0,IF(BQ11&lt;5,50,IF(BQ11&gt;40,0,VLOOKUP(BQ11,Liste_AT3!$C$3:$D$38,2))))</f>
        <v>0</v>
      </c>
      <c r="BS11" s="151">
        <v>3.25</v>
      </c>
      <c r="BT11" s="68">
        <f>IF(BS11="",0,IF(BS11&lt;1,50,IF(BS11&gt;4.75,0,VLOOKUP(BS11,Liste_AT3!$E$3:$F$18,2))))</f>
        <v>16</v>
      </c>
      <c r="BU11" s="156"/>
      <c r="BV11" s="72">
        <f>IF(BU11="",0,IF(BU11&lt;1,50,IF(BU11&gt;4.75,0,VLOOKUP(BU11,Liste_AT3!$G$3:$H$18,2))))</f>
        <v>0</v>
      </c>
      <c r="BW11" s="151"/>
      <c r="BX11" s="68">
        <f>IF(BW11="",0,IF(BW11&lt;1,50,IF(BW11&gt;4.75,0,VLOOKUP(BW11,Liste_AT3!$G$3:$H$18,2))))</f>
        <v>0</v>
      </c>
      <c r="BY11" s="157"/>
      <c r="BZ11" s="72">
        <f>IF(BY11="",0,IF(BY11&gt;40,0,VLOOKUP(BY11,Liste_AT3!$I$3:$J$43,2,2)))</f>
        <v>0</v>
      </c>
      <c r="CA11" s="158"/>
      <c r="CB11" s="68">
        <f>IF(CA11="",0,IF(CA11&gt;40,0,VLOOKUP(CA11,Liste_AT3!$I$3:$J$43,2,2)))</f>
        <v>0</v>
      </c>
      <c r="CC11" s="159">
        <f>SUM(H11,J11,L11,N11,P11,R11,T11,V11,X11,Z11)</f>
        <v>61</v>
      </c>
      <c r="CD11" s="53">
        <f>IF(CC11=0,"",RANK(CC11,$CC$4:$CC$16))</f>
        <v>9</v>
      </c>
      <c r="CE11" s="159">
        <f>SUM(AB11,AD11,AF11,AJ11,AL11,AN11,AH11)</f>
        <v>19</v>
      </c>
      <c r="CF11" s="53">
        <f>IF(CE11=0,"",RANK(CE11,$CE$4:$CE$16))</f>
        <v>11</v>
      </c>
      <c r="CG11" s="159">
        <f>SUM(AP11,AR11,AT11,AV11,AX11,AZ11,BB11,BD11,BF11,BH11,BJ11,BL11,BN11)</f>
        <v>57</v>
      </c>
      <c r="CH11" s="53">
        <f>IF(CG11=0,"",RANK(CG11,$CG$4:$CG$16))</f>
        <v>10</v>
      </c>
      <c r="CI11" s="160">
        <f>SUM(BP11,BR11)</f>
        <v>28</v>
      </c>
      <c r="CJ11" s="53">
        <f>IF(CI11=0,"",RANK(CI11,$CI$4:$CI$16))</f>
        <v>3</v>
      </c>
      <c r="CK11" s="160">
        <f>SUM(BT11,BV11,BX11,BZ11,CB11)</f>
        <v>16</v>
      </c>
      <c r="CL11" s="53">
        <f>IF(CK11=0,"",RANK(CK11,$CK$4:$CK$16))</f>
        <v>10</v>
      </c>
      <c r="CM11" s="160">
        <f>SUM(CC11,CE11,CG11,CI11,CK11)</f>
        <v>181</v>
      </c>
      <c r="CN11" s="53">
        <f t="shared" si="0"/>
        <v>8</v>
      </c>
    </row>
    <row r="12" spans="1:92" s="14" customFormat="1" ht="27" customHeight="1" x14ac:dyDescent="0.3">
      <c r="A12" s="44">
        <v>12</v>
      </c>
      <c r="B12" s="135" t="s">
        <v>132</v>
      </c>
      <c r="C12" s="46" t="s">
        <v>101</v>
      </c>
      <c r="D12" s="45">
        <v>43.1</v>
      </c>
      <c r="E12" s="47">
        <v>159</v>
      </c>
      <c r="F12" s="147">
        <v>36407</v>
      </c>
      <c r="G12" s="148"/>
      <c r="H12" s="72">
        <f>IF(G12="",0,IF(G12&lt;$H$1,50,IF(G12&gt;18.7,0,VLOOKUP(G12,Liste_AT1!$A$3:$B$79,2,0))))</f>
        <v>0</v>
      </c>
      <c r="I12" s="149"/>
      <c r="J12" s="68">
        <f>IF(I12="",0,IF(I12&lt;$J$1,50,IF(I12&gt;22.8,0,VLOOKUP(I12,Liste_AT1!$C$3:$D$125,2,0))))</f>
        <v>0</v>
      </c>
      <c r="K12" s="148"/>
      <c r="L12" s="72">
        <f>IF(K12="",0,IF(K12&lt;$L$1,50,IF(K12&gt;29.2,0,VLOOKUP(K12,Liste_AT1!$E$3:$F$138,2,0))))</f>
        <v>0</v>
      </c>
      <c r="M12" s="149">
        <v>27</v>
      </c>
      <c r="N12" s="68">
        <f>IF(M12="",0,IF(M12&lt;15,50,IF(M12&gt;39.5,0,VLOOKUP(M12,Liste_AT1!$G$3:$H$248,2,0))))</f>
        <v>26</v>
      </c>
      <c r="O12" s="150"/>
      <c r="P12" s="72">
        <f>IF(O12="",0,IF(O12&lt;40,50,IF(O12&gt;108,0,VLOOKUP(O12,Liste_AT1!$I$3:$J$71,2,0))))</f>
        <v>0</v>
      </c>
      <c r="Q12" s="149"/>
      <c r="R12" s="68">
        <f>IF(Q12&gt;10,50,IF(Q12&lt;1,0,IF(Q12="",0,VLOOKUP(Q12,Liste_AT1!$K$3:$L$21,2,0))))</f>
        <v>0</v>
      </c>
      <c r="S12" s="148"/>
      <c r="T12" s="72">
        <f>IF(S12&gt;10,50,IF(S12&lt;1,0,VLOOKUP(S12,Liste_AT1!$M$3:$N$21,2,0)))</f>
        <v>0</v>
      </c>
      <c r="U12" s="151"/>
      <c r="V12" s="68">
        <f>IF(U12&gt;5,35,IF(U12&lt;1,0,VLOOKUP(U12,Liste_AT1!$O$3:$P$19,2)))</f>
        <v>0</v>
      </c>
      <c r="W12" s="148">
        <v>9.3000000000000007</v>
      </c>
      <c r="X12" s="72">
        <f>IF(W12&gt;10,50,IF(W12&lt;1,0,VLOOKUP(W12,Liste_AT1!$Q$3:$R$21,2)))</f>
        <v>46</v>
      </c>
      <c r="Y12" s="152"/>
      <c r="Z12" s="68">
        <f>IF(Y12&gt;10,50,IF(Y12&lt;1,0,VLOOKUP(Y12,Liste_AT1!$S$3:$T$12,2)))</f>
        <v>0</v>
      </c>
      <c r="AA12" s="148"/>
      <c r="AB12" s="72">
        <f>IF(AA12="",0,IF(AA12&lt;3.8,50,IF(AA12&gt;6.9,0,VLOOKUP(AA12,Liste_AT2!$A$3:$B$34,2))))</f>
        <v>0</v>
      </c>
      <c r="AC12" s="149"/>
      <c r="AD12" s="68">
        <f>IF(AC12="",0,IF(AC12&lt;8.6,50,IF(AC12&gt;12.1,0,VLOOKUP(AC12,Liste_AT2!$C$3:$D$38,2))))</f>
        <v>0</v>
      </c>
      <c r="AE12" s="153"/>
      <c r="AF12" s="72">
        <f>IF(AE12="",0,IF(AE12&lt;170,50,IF(AE12&gt;241,0,VLOOKUP(AE12,Liste_AT2!$E$3:$G$74,3))))</f>
        <v>0</v>
      </c>
      <c r="AG12" s="154">
        <v>608</v>
      </c>
      <c r="AH12" s="68">
        <f>IF(AG12="",0,IF(AG12&lt;520,50,IF(AG12&gt;646,0,VLOOKUP(AG12,Liste_AT2!$AV$3:$AW$66,2))))</f>
        <v>10</v>
      </c>
      <c r="AI12" s="154"/>
      <c r="AJ12" s="68">
        <f>IF(AI12="",0,IF(AI12&lt;810,50,IF(AI12&gt;936,0,VLOOKUP(AI12,Liste_AT2!$H$3:$J$66,3))))</f>
        <v>0</v>
      </c>
      <c r="AK12" s="148">
        <v>18.600000000000001</v>
      </c>
      <c r="AL12" s="72">
        <f>IF(AK12="",0,IF(AK12&lt;15,50,IF(AK12&gt;22.5,0,VLOOKUP(AK12,Liste_AT2!$K$3:$L$78,2))))</f>
        <v>14</v>
      </c>
      <c r="AM12" s="149"/>
      <c r="AN12" s="68">
        <f>IF(AM12="",0,IF(AM12&lt;4,50,IF(AM12&gt;9.4,0,VLOOKUP(AM12,Liste_AT2!$M$3:$N$57,2))))</f>
        <v>0</v>
      </c>
      <c r="AO12" s="150"/>
      <c r="AP12" s="72">
        <f>IF(AO12="",0,IF(AO12&gt;29,50,IF(AO12&lt;5,0,VLOOKUP(AO12,Liste_AT2!$O$3:$P$29,2))))</f>
        <v>0</v>
      </c>
      <c r="AQ12" s="152"/>
      <c r="AR12" s="68">
        <f>IF(AQ12="",0,IF(AQ12&gt;10,50,IF(AQ12&lt;1,0,VLOOKUP(AQ12,Liste_AT2!$S$3:$T$19,2))))</f>
        <v>0</v>
      </c>
      <c r="AS12" s="150"/>
      <c r="AT12" s="72">
        <f>IF(AS12="",0,IF(AS12&gt;23,50,IF(AS12&lt;2,0,VLOOKUP(AS12,Liste_AT2!$Y$3:$Z$24,2))))</f>
        <v>0</v>
      </c>
      <c r="AU12" s="149"/>
      <c r="AV12" s="68">
        <f>IF(AU12="",0,IF(AU12&lt;3.7,50,IF(AU12&gt;8,0,VLOOKUP(AU12,Liste_AT2!$AA$3:$AB$46,2))))</f>
        <v>0</v>
      </c>
      <c r="AW12" s="148"/>
      <c r="AX12" s="72">
        <f>IF(AW12="",0,IF(AW12&lt;4,0,IF(AW12&gt;10.1,50,VLOOKUP(AW12,Liste_AT2!$AC$3:$AD$62,2))))</f>
        <v>0</v>
      </c>
      <c r="AY12" s="149">
        <v>4.8</v>
      </c>
      <c r="AZ12" s="68">
        <f>IF(AY12="",0,IF(AY12&gt;11.9,50,IF(AY12&lt;5,0,VLOOKUP(AY12,Liste_AT2!$AE$3:$AF$72,2))))</f>
        <v>0</v>
      </c>
      <c r="BA12" s="153"/>
      <c r="BB12" s="72">
        <f>IF(BA12="",0,IF(BA12&gt;45,50,IF(BA12&lt;2,0,VLOOKUP(BA12,Liste_AT2!$AG$3:$AH$61,2))))</f>
        <v>0</v>
      </c>
      <c r="BC12" s="154"/>
      <c r="BD12" s="68">
        <f>IF(BC12="",0,IF(BC12&gt;26,50,IF(BC12&lt;4,0,VLOOKUP(BC12,Liste_AT2!$AI$3:$AJ$25,2))))</f>
        <v>0</v>
      </c>
      <c r="BE12" s="150">
        <v>16</v>
      </c>
      <c r="BF12" s="72">
        <f>IF(BE12="",0,IF(BE12&gt;35,50,IF(BE12&lt;14,0,VLOOKUP(BE12,Liste_AT2!$AK$3:$AL$24,2))))</f>
        <v>4</v>
      </c>
      <c r="BG12" s="152"/>
      <c r="BH12" s="68">
        <f>IF(BG12="",0,IF(BG12&gt;36,50,IF(BG12&lt;7,0,VLOOKUP(BG12,Liste_AT2!$AM$3:$AN$32,2))))</f>
        <v>0</v>
      </c>
      <c r="BI12" s="150"/>
      <c r="BJ12" s="72">
        <f>IF(BI12="",0,IF(BI12&gt;45,50,IF(BI12&lt;6,0,VLOOKUP(BI12,Liste_AT2!$AO$3:$AP$52,2))))</f>
        <v>0</v>
      </c>
      <c r="BK12" s="151">
        <v>1.71</v>
      </c>
      <c r="BL12" s="68">
        <f>IF(BK12="",0,IF(BK12&gt;2.4,50,IF(BK12&lt;1.15,0,VLOOKUP(BK12,Liste_AT2!$AQ$3:$AR$52,2))))</f>
        <v>15</v>
      </c>
      <c r="BM12" s="148">
        <v>37.1</v>
      </c>
      <c r="BN12" s="72">
        <f>IF(BM12="",0,IF(BM12&lt;28,50,IF(BM12&gt;62,0,VLOOKUP(BM12,Liste_AT2!$AS$3:$AT$343,2,0))))</f>
        <v>40</v>
      </c>
      <c r="BO12" s="149">
        <v>5.2</v>
      </c>
      <c r="BP12" s="68">
        <f>IF(BO12="",0,IF(BO12&lt;1,0,IF(BO12&gt;28,50,VLOOKUP(BO12,Liste_AT3!$A$3:$B$30,2))))</f>
        <v>6</v>
      </c>
      <c r="BQ12" s="155"/>
      <c r="BR12" s="72">
        <f>IF(BQ12="",0,IF(BQ12&lt;5,50,IF(BQ12&gt;40,0,VLOOKUP(BQ12,Liste_AT3!$C$3:$D$38,2))))</f>
        <v>0</v>
      </c>
      <c r="BS12" s="151">
        <v>3.25</v>
      </c>
      <c r="BT12" s="68">
        <f>IF(BS12="",0,IF(BS12&lt;1,50,IF(BS12&gt;4.75,0,VLOOKUP(BS12,Liste_AT3!$E$3:$F$18,2))))</f>
        <v>16</v>
      </c>
      <c r="BU12" s="156"/>
      <c r="BV12" s="72">
        <f>IF(BU12="",0,IF(BU12&lt;1,50,IF(BU12&gt;4.75,0,VLOOKUP(BU12,Liste_AT3!$G$3:$H$18,2))))</f>
        <v>0</v>
      </c>
      <c r="BW12" s="151"/>
      <c r="BX12" s="68">
        <f>IF(BW12="",0,IF(BW12&lt;1,50,IF(BW12&gt;4.75,0,VLOOKUP(BW12,Liste_AT3!$G$3:$H$18,2))))</f>
        <v>0</v>
      </c>
      <c r="BY12" s="157"/>
      <c r="BZ12" s="72">
        <f>IF(BY12="",0,IF(BY12&gt;40,0,VLOOKUP(BY12,Liste_AT3!$I$3:$J$43,2,2)))</f>
        <v>0</v>
      </c>
      <c r="CA12" s="158"/>
      <c r="CB12" s="68">
        <f>IF(CA12="",0,IF(CA12&gt;40,0,VLOOKUP(CA12,Liste_AT3!$I$3:$J$43,2,2)))</f>
        <v>0</v>
      </c>
      <c r="CC12" s="159">
        <f>SUM(H12,J12,L12,N12,P12,R12,T12,V12,X12,Z12)</f>
        <v>72</v>
      </c>
      <c r="CD12" s="53">
        <f>IF(CC12=0,"",RANK(CC12,$CC$4:$CC$16))</f>
        <v>5</v>
      </c>
      <c r="CE12" s="159">
        <f>SUM(AB12,AD12,AF12,AJ12,AL12,AN12,AH12)</f>
        <v>24</v>
      </c>
      <c r="CF12" s="53">
        <f>IF(CE12=0,"",RANK(CE12,$CE$4:$CE$16))</f>
        <v>9</v>
      </c>
      <c r="CG12" s="159">
        <f>SUM(AP12,AR12,AT12,AV12,AX12,AZ12,BB12,BD12,BF12,BH12,BJ12,BL12,BN12)</f>
        <v>59</v>
      </c>
      <c r="CH12" s="53">
        <f>IF(CG12=0,"",RANK(CG12,$CG$4:$CG$16))</f>
        <v>8</v>
      </c>
      <c r="CI12" s="160">
        <f>SUM(BP12,BR12)</f>
        <v>6</v>
      </c>
      <c r="CJ12" s="53">
        <f>IF(CI12=0,"",RANK(CI12,$CI$4:$CI$16))</f>
        <v>10</v>
      </c>
      <c r="CK12" s="160">
        <f>SUM(BT12,BV12,BX12,BZ12,CB12)</f>
        <v>16</v>
      </c>
      <c r="CL12" s="53">
        <f>IF(CK12=0,"",RANK(CK12,$CK$4:$CK$16))</f>
        <v>10</v>
      </c>
      <c r="CM12" s="160">
        <f>SUM(CC12,CE12,CG12,CI12,CK12)</f>
        <v>177</v>
      </c>
      <c r="CN12" s="53">
        <f t="shared" si="0"/>
        <v>9</v>
      </c>
    </row>
    <row r="13" spans="1:92" s="14" customFormat="1" ht="27" customHeight="1" x14ac:dyDescent="0.3">
      <c r="A13" s="44">
        <v>10</v>
      </c>
      <c r="B13" s="135" t="s">
        <v>129</v>
      </c>
      <c r="C13" s="46" t="s">
        <v>101</v>
      </c>
      <c r="D13" s="45">
        <v>47.8</v>
      </c>
      <c r="E13" s="47">
        <v>153</v>
      </c>
      <c r="F13" s="147">
        <v>36246</v>
      </c>
      <c r="G13" s="148"/>
      <c r="H13" s="72">
        <f>IF(G13="",0,IF(G13&lt;$H$1,50,IF(G13&gt;18.7,0,VLOOKUP(G13,Liste_AT1!$A$3:$B$79,2,0))))</f>
        <v>0</v>
      </c>
      <c r="I13" s="149"/>
      <c r="J13" s="68">
        <f>IF(I13="",0,IF(I13&lt;$J$1,50,IF(I13&gt;22.8,0,VLOOKUP(I13,Liste_AT1!$C$3:$D$125,2,0))))</f>
        <v>0</v>
      </c>
      <c r="K13" s="148"/>
      <c r="L13" s="72">
        <f>IF(K13="",0,IF(K13&lt;$L$1,50,IF(K13&gt;29.2,0,VLOOKUP(K13,Liste_AT1!$E$3:$F$138,2,0))))</f>
        <v>0</v>
      </c>
      <c r="M13" s="149">
        <v>40</v>
      </c>
      <c r="N13" s="68">
        <f>IF(M13="",0,IF(M13&lt;15,50,IF(M13&gt;39.5,0,VLOOKUP(M13,Liste_AT1!$G$3:$H$248,2,0))))</f>
        <v>0</v>
      </c>
      <c r="O13" s="150"/>
      <c r="P13" s="72">
        <f>IF(O13="",0,IF(O13&lt;40,50,IF(O13&gt;108,0,VLOOKUP(O13,Liste_AT1!$I$3:$J$71,2,0))))</f>
        <v>0</v>
      </c>
      <c r="Q13" s="149"/>
      <c r="R13" s="68">
        <f>IF(Q13&gt;10,50,IF(Q13&lt;1,0,IF(Q13="",0,VLOOKUP(Q13,Liste_AT1!$K$3:$L$21,2,0))))</f>
        <v>0</v>
      </c>
      <c r="S13" s="148"/>
      <c r="T13" s="72">
        <f>IF(S13&gt;10,50,IF(S13&lt;1,0,VLOOKUP(S13,Liste_AT1!$M$3:$N$21,2,0)))</f>
        <v>0</v>
      </c>
      <c r="U13" s="151"/>
      <c r="V13" s="68">
        <f>IF(U13&gt;5,35,IF(U13&lt;1,0,VLOOKUP(U13,Liste_AT1!$O$3:$P$19,2)))</f>
        <v>0</v>
      </c>
      <c r="W13" s="148">
        <v>9.1999999999999993</v>
      </c>
      <c r="X13" s="72">
        <f>IF(W13&gt;10,50,IF(W13&lt;1,0,VLOOKUP(W13,Liste_AT1!$Q$3:$R$21,2)))</f>
        <v>46</v>
      </c>
      <c r="Y13" s="152"/>
      <c r="Z13" s="68">
        <f>IF(Y13&gt;10,50,IF(Y13&lt;1,0,VLOOKUP(Y13,Liste_AT1!$S$3:$T$12,2)))</f>
        <v>0</v>
      </c>
      <c r="AA13" s="148"/>
      <c r="AB13" s="72">
        <f>IF(AA13="",0,IF(AA13&lt;3.8,50,IF(AA13&gt;6.9,0,VLOOKUP(AA13,Liste_AT2!$A$3:$B$34,2))))</f>
        <v>0</v>
      </c>
      <c r="AC13" s="149"/>
      <c r="AD13" s="68">
        <f>IF(AC13="",0,IF(AC13&lt;8.6,50,IF(AC13&gt;12.1,0,VLOOKUP(AC13,Liste_AT2!$C$3:$D$38,2))))</f>
        <v>0</v>
      </c>
      <c r="AE13" s="153"/>
      <c r="AF13" s="72">
        <f>IF(AE13="",0,IF(AE13&lt;170,50,IF(AE13&gt;241,0,VLOOKUP(AE13,Liste_AT2!$E$3:$G$74,3))))</f>
        <v>0</v>
      </c>
      <c r="AG13" s="154">
        <v>607</v>
      </c>
      <c r="AH13" s="68">
        <f>IF(AG13="",0,IF(AG13&lt;520,50,IF(AG13&gt;646,0,VLOOKUP(AG13,Liste_AT2!$AV$3:$AW$66,2))))</f>
        <v>11</v>
      </c>
      <c r="AI13" s="154"/>
      <c r="AJ13" s="68">
        <f>IF(AI13="",0,IF(AI13&lt;810,50,IF(AI13&gt;936,0,VLOOKUP(AI13,Liste_AT2!$H$3:$J$66,3))))</f>
        <v>0</v>
      </c>
      <c r="AK13" s="148">
        <v>18.8</v>
      </c>
      <c r="AL13" s="72">
        <f>IF(AK13="",0,IF(AK13&lt;15,50,IF(AK13&gt;22.5,0,VLOOKUP(AK13,Liste_AT2!$K$3:$L$78,2))))</f>
        <v>13</v>
      </c>
      <c r="AM13" s="149"/>
      <c r="AN13" s="68">
        <f>IF(AM13="",0,IF(AM13&lt;4,50,IF(AM13&gt;9.4,0,VLOOKUP(AM13,Liste_AT2!$M$3:$N$57,2))))</f>
        <v>0</v>
      </c>
      <c r="AO13" s="150"/>
      <c r="AP13" s="72">
        <f>IF(AO13="",0,IF(AO13&gt;29,50,IF(AO13&lt;5,0,VLOOKUP(AO13,Liste_AT2!$O$3:$P$29,2))))</f>
        <v>0</v>
      </c>
      <c r="AQ13" s="152"/>
      <c r="AR13" s="68">
        <f>IF(AQ13="",0,IF(AQ13&gt;10,50,IF(AQ13&lt;1,0,VLOOKUP(AQ13,Liste_AT2!$S$3:$T$19,2))))</f>
        <v>0</v>
      </c>
      <c r="AS13" s="150"/>
      <c r="AT13" s="72">
        <f>IF(AS13="",0,IF(AS13&gt;23,50,IF(AS13&lt;2,0,VLOOKUP(AS13,Liste_AT2!$Y$3:$Z$24,2))))</f>
        <v>0</v>
      </c>
      <c r="AU13" s="149"/>
      <c r="AV13" s="68">
        <f>IF(AU13="",0,IF(AU13&lt;3.7,50,IF(AU13&gt;8,0,VLOOKUP(AU13,Liste_AT2!$AA$3:$AB$46,2))))</f>
        <v>0</v>
      </c>
      <c r="AW13" s="148"/>
      <c r="AX13" s="72">
        <f>IF(AW13="",0,IF(AW13&lt;4,0,IF(AW13&gt;10.1,50,VLOOKUP(AW13,Liste_AT2!$AC$3:$AD$62,2))))</f>
        <v>0</v>
      </c>
      <c r="AY13" s="149">
        <v>6.8</v>
      </c>
      <c r="AZ13" s="68">
        <f>IF(AY13="",0,IF(AY13&gt;11.9,50,IF(AY13&lt;5,0,VLOOKUP(AY13,Liste_AT2!$AE$3:$AF$72,2))))</f>
        <v>10</v>
      </c>
      <c r="BA13" s="153"/>
      <c r="BB13" s="72">
        <f>IF(BA13="",0,IF(BA13&gt;45,50,IF(BA13&lt;2,0,VLOOKUP(BA13,Liste_AT2!$AG$3:$AH$61,2))))</f>
        <v>0</v>
      </c>
      <c r="BC13" s="154"/>
      <c r="BD13" s="68">
        <f>IF(BC13="",0,IF(BC13&gt;26,50,IF(BC13&lt;4,0,VLOOKUP(BC13,Liste_AT2!$AI$3:$AJ$25,2))))</f>
        <v>0</v>
      </c>
      <c r="BE13" s="150">
        <v>17</v>
      </c>
      <c r="BF13" s="72">
        <f>IF(BE13="",0,IF(BE13&gt;35,50,IF(BE13&lt;14,0,VLOOKUP(BE13,Liste_AT2!$AK$3:$AL$24,2))))</f>
        <v>6</v>
      </c>
      <c r="BG13" s="152"/>
      <c r="BH13" s="68">
        <f>IF(BG13="",0,IF(BG13&gt;36,50,IF(BG13&lt;7,0,VLOOKUP(BG13,Liste_AT2!$AM$3:$AN$32,2))))</f>
        <v>0</v>
      </c>
      <c r="BI13" s="150"/>
      <c r="BJ13" s="72">
        <f>IF(BI13="",0,IF(BI13&gt;45,50,IF(BI13&lt;6,0,VLOOKUP(BI13,Liste_AT2!$AO$3:$AP$52,2))))</f>
        <v>0</v>
      </c>
      <c r="BK13" s="151">
        <v>1.58</v>
      </c>
      <c r="BL13" s="68">
        <f>IF(BK13="",0,IF(BK13&gt;2.4,50,IF(BK13&lt;1.15,0,VLOOKUP(BK13,Liste_AT2!$AQ$3:$AR$52,2))))</f>
        <v>9</v>
      </c>
      <c r="BM13" s="148">
        <v>41</v>
      </c>
      <c r="BN13" s="72">
        <f>IF(BM13="",0,IF(BM13&lt;28,50,IF(BM13&gt;62,0,VLOOKUP(BM13,Liste_AT2!$AS$3:$AT$343,2,0))))</f>
        <v>35</v>
      </c>
      <c r="BO13" s="149">
        <v>14.8</v>
      </c>
      <c r="BP13" s="68">
        <f>IF(BO13="",0,IF(BO13&lt;1,0,IF(BO13&gt;28,50,VLOOKUP(BO13,Liste_AT3!$A$3:$B$30,2))))</f>
        <v>24</v>
      </c>
      <c r="BQ13" s="155"/>
      <c r="BR13" s="72">
        <f>IF(BQ13="",0,IF(BQ13&lt;5,50,IF(BQ13&gt;40,0,VLOOKUP(BQ13,Liste_AT3!$C$3:$D$38,2))))</f>
        <v>0</v>
      </c>
      <c r="BS13" s="151">
        <v>3</v>
      </c>
      <c r="BT13" s="68">
        <f>IF(BS13="",0,IF(BS13&lt;1,50,IF(BS13&gt;4.75,0,VLOOKUP(BS13,Liste_AT3!$E$3:$F$18,2))))</f>
        <v>19</v>
      </c>
      <c r="BU13" s="156"/>
      <c r="BV13" s="72">
        <f>IF(BU13="",0,IF(BU13&lt;1,50,IF(BU13&gt;4.75,0,VLOOKUP(BU13,Liste_AT3!$G$3:$H$18,2))))</f>
        <v>0</v>
      </c>
      <c r="BW13" s="151"/>
      <c r="BX13" s="68">
        <f>IF(BW13="",0,IF(BW13&lt;1,50,IF(BW13&gt;4.75,0,VLOOKUP(BW13,Liste_AT3!$G$3:$H$18,2))))</f>
        <v>0</v>
      </c>
      <c r="BY13" s="157"/>
      <c r="BZ13" s="72">
        <f>IF(BY13="",0,IF(BY13&gt;40,0,VLOOKUP(BY13,Liste_AT3!$I$3:$J$43,2,2)))</f>
        <v>0</v>
      </c>
      <c r="CA13" s="158"/>
      <c r="CB13" s="68">
        <f>IF(CA13="",0,IF(CA13&gt;40,0,VLOOKUP(CA13,Liste_AT3!$I$3:$J$43,2,2)))</f>
        <v>0</v>
      </c>
      <c r="CC13" s="159">
        <f>SUM(H13,J13,L13,N13,P13,R13,T13,V13,X13,Z13)</f>
        <v>46</v>
      </c>
      <c r="CD13" s="53">
        <f>IF(CC13=0,"",RANK(CC13,$CC$4:$CC$16))</f>
        <v>12</v>
      </c>
      <c r="CE13" s="159">
        <f>SUM(AB13,AD13,AF13,AJ13,AL13,AN13,AH13)</f>
        <v>24</v>
      </c>
      <c r="CF13" s="53">
        <f>IF(CE13=0,"",RANK(CE13,$CE$4:$CE$16))</f>
        <v>9</v>
      </c>
      <c r="CG13" s="159">
        <f>SUM(AP13,AR13,AT13,AV13,AX13,AZ13,BB13,BD13,BF13,BH13,BJ13,BL13,BN13)</f>
        <v>60</v>
      </c>
      <c r="CH13" s="53">
        <f>IF(CG13=0,"",RANK(CG13,$CG$4:$CG$16))</f>
        <v>7</v>
      </c>
      <c r="CI13" s="160">
        <f>SUM(BP13,BR13)</f>
        <v>24</v>
      </c>
      <c r="CJ13" s="53">
        <f>IF(CI13=0,"",RANK(CI13,$CI$4:$CI$16))</f>
        <v>7</v>
      </c>
      <c r="CK13" s="160">
        <f>SUM(BT13,BV13,BX13,BZ13,CB13)</f>
        <v>19</v>
      </c>
      <c r="CL13" s="53">
        <f>IF(CK13=0,"",RANK(CK13,$CK$4:$CK$16))</f>
        <v>9</v>
      </c>
      <c r="CM13" s="160">
        <f>SUM(CC13,CE13,CG13,CI13,CK13)</f>
        <v>173</v>
      </c>
      <c r="CN13" s="53">
        <f t="shared" si="0"/>
        <v>10</v>
      </c>
    </row>
    <row r="14" spans="1:92" s="14" customFormat="1" ht="27" customHeight="1" x14ac:dyDescent="0.3">
      <c r="A14" s="44">
        <v>6</v>
      </c>
      <c r="B14" s="135" t="s">
        <v>115</v>
      </c>
      <c r="C14" s="46" t="s">
        <v>98</v>
      </c>
      <c r="D14" s="45">
        <v>56.6</v>
      </c>
      <c r="E14" s="47">
        <v>160</v>
      </c>
      <c r="F14" s="147">
        <v>36374</v>
      </c>
      <c r="G14" s="148"/>
      <c r="H14" s="72">
        <f>IF(G14="",0,IF(G14&lt;$H$1,50,IF(G14&gt;18.7,0,VLOOKUP(G14,Liste_AT1!$A$3:$B$79,2,0))))</f>
        <v>0</v>
      </c>
      <c r="I14" s="149"/>
      <c r="J14" s="68">
        <f>IF(I14="",0,IF(I14&lt;$J$1,50,IF(I14&gt;22.8,0,VLOOKUP(I14,Liste_AT1!$C$3:$D$125,2,0))))</f>
        <v>0</v>
      </c>
      <c r="K14" s="148"/>
      <c r="L14" s="72">
        <f>IF(K14="",0,IF(K14&lt;$L$1,50,IF(K14&gt;29.2,0,VLOOKUP(K14,Liste_AT1!$E$3:$F$138,2,0))))</f>
        <v>0</v>
      </c>
      <c r="M14" s="149">
        <v>31.3</v>
      </c>
      <c r="N14" s="68">
        <f>IF(M14="",0,IF(M14&lt;15,50,IF(M14&gt;39.5,0,VLOOKUP(M14,Liste_AT1!$G$3:$H$248,2,0))))</f>
        <v>17</v>
      </c>
      <c r="O14" s="150"/>
      <c r="P14" s="72">
        <f>IF(O14="",0,IF(O14&lt;40,50,IF(O14&gt;108,0,VLOOKUP(O14,Liste_AT1!$I$3:$J$71,2,0))))</f>
        <v>0</v>
      </c>
      <c r="Q14" s="149"/>
      <c r="R14" s="68">
        <f>IF(Q14&gt;10,50,IF(Q14&lt;1,0,IF(Q14="",0,VLOOKUP(Q14,Liste_AT1!$K$3:$L$21,2,0))))</f>
        <v>0</v>
      </c>
      <c r="S14" s="148"/>
      <c r="T14" s="72">
        <f>IF(S14&gt;10,50,IF(S14&lt;1,0,VLOOKUP(S14,Liste_AT1!$M$3:$N$21,2,0)))</f>
        <v>0</v>
      </c>
      <c r="U14" s="151"/>
      <c r="V14" s="68">
        <f>IF(U14&gt;5,35,IF(U14&lt;1,0,VLOOKUP(U14,Liste_AT1!$O$3:$P$19,2)))</f>
        <v>0</v>
      </c>
      <c r="W14" s="148">
        <v>8.6999999999999993</v>
      </c>
      <c r="X14" s="72">
        <f>IF(W14&gt;10,50,IF(W14&lt;1,0,VLOOKUP(W14,Liste_AT1!$Q$3:$R$21,2)))</f>
        <v>43</v>
      </c>
      <c r="Y14" s="152"/>
      <c r="Z14" s="68">
        <f>IF(Y14&gt;10,50,IF(Y14&lt;1,0,VLOOKUP(Y14,Liste_AT1!$S$3:$T$12,2)))</f>
        <v>0</v>
      </c>
      <c r="AA14" s="148"/>
      <c r="AB14" s="72">
        <f>IF(AA14="",0,IF(AA14&lt;3.8,50,IF(AA14&gt;6.9,0,VLOOKUP(AA14,Liste_AT2!$A$3:$B$34,2))))</f>
        <v>0</v>
      </c>
      <c r="AC14" s="149"/>
      <c r="AD14" s="68">
        <f>IF(AC14="",0,IF(AC14&lt;8.6,50,IF(AC14&gt;12.1,0,VLOOKUP(AC14,Liste_AT2!$C$3:$D$38,2))))</f>
        <v>0</v>
      </c>
      <c r="AE14" s="153"/>
      <c r="AF14" s="72">
        <f>IF(AE14="",0,IF(AE14&lt;170,50,IF(AE14&gt;241,0,VLOOKUP(AE14,Liste_AT2!$E$3:$G$74,3))))</f>
        <v>0</v>
      </c>
      <c r="AG14" s="154">
        <v>650</v>
      </c>
      <c r="AH14" s="68">
        <f>IF(AG14="",0,IF(AG14&lt;520,50,IF(AG14&gt;646,0,VLOOKUP(AG14,Liste_AT2!$AV$3:$AW$66,2))))</f>
        <v>0</v>
      </c>
      <c r="AI14" s="154"/>
      <c r="AJ14" s="68">
        <f>IF(AI14="",0,IF(AI14&lt;810,50,IF(AI14&gt;936,0,VLOOKUP(AI14,Liste_AT2!$H$3:$J$66,3))))</f>
        <v>0</v>
      </c>
      <c r="AK14" s="148">
        <v>20</v>
      </c>
      <c r="AL14" s="72">
        <f>IF(AK14="",0,IF(AK14&lt;15,50,IF(AK14&gt;22.5,0,VLOOKUP(AK14,Liste_AT2!$K$3:$L$78,2))))</f>
        <v>7</v>
      </c>
      <c r="AM14" s="149"/>
      <c r="AN14" s="68">
        <f>IF(AM14="",0,IF(AM14&lt;4,50,IF(AM14&gt;9.4,0,VLOOKUP(AM14,Liste_AT2!$M$3:$N$57,2))))</f>
        <v>0</v>
      </c>
      <c r="AO14" s="150"/>
      <c r="AP14" s="72">
        <f>IF(AO14="",0,IF(AO14&gt;29,50,IF(AO14&lt;5,0,VLOOKUP(AO14,Liste_AT2!$O$3:$P$29,2))))</f>
        <v>0</v>
      </c>
      <c r="AQ14" s="152"/>
      <c r="AR14" s="68">
        <f>IF(AQ14="",0,IF(AQ14&gt;10,50,IF(AQ14&lt;1,0,VLOOKUP(AQ14,Liste_AT2!$S$3:$T$19,2))))</f>
        <v>0</v>
      </c>
      <c r="AS14" s="150"/>
      <c r="AT14" s="72">
        <f>IF(AS14="",0,IF(AS14&gt;23,50,IF(AS14&lt;2,0,VLOOKUP(AS14,Liste_AT2!$Y$3:$Z$24,2))))</f>
        <v>0</v>
      </c>
      <c r="AU14" s="149"/>
      <c r="AV14" s="68">
        <f>IF(AU14="",0,IF(AU14&lt;3.7,50,IF(AU14&gt;8,0,VLOOKUP(AU14,Liste_AT2!$AA$3:$AB$46,2))))</f>
        <v>0</v>
      </c>
      <c r="AW14" s="148"/>
      <c r="AX14" s="72">
        <f>IF(AW14="",0,IF(AW14&lt;4,0,IF(AW14&gt;10.1,50,VLOOKUP(AW14,Liste_AT2!$AC$3:$AD$62,2))))</f>
        <v>0</v>
      </c>
      <c r="AY14" s="149">
        <v>6.4</v>
      </c>
      <c r="AZ14" s="68">
        <f>IF(AY14="",0,IF(AY14&gt;11.9,50,IF(AY14&lt;5,0,VLOOKUP(AY14,Liste_AT2!$AE$3:$AF$72,2))))</f>
        <v>8</v>
      </c>
      <c r="BA14" s="153"/>
      <c r="BB14" s="72">
        <f>IF(BA14="",0,IF(BA14&gt;45,50,IF(BA14&lt;2,0,VLOOKUP(BA14,Liste_AT2!$AG$3:$AH$61,2))))</f>
        <v>0</v>
      </c>
      <c r="BC14" s="154"/>
      <c r="BD14" s="68">
        <f>IF(BC14="",0,IF(BC14&gt;26,50,IF(BC14&lt;4,0,VLOOKUP(BC14,Liste_AT2!$AI$3:$AJ$25,2))))</f>
        <v>0</v>
      </c>
      <c r="BE14" s="150">
        <v>12</v>
      </c>
      <c r="BF14" s="72">
        <f>IF(BE14="",0,IF(BE14&gt;35,50,IF(BE14&lt;14,0,VLOOKUP(BE14,Liste_AT2!$AK$3:$AL$24,2))))</f>
        <v>0</v>
      </c>
      <c r="BG14" s="152"/>
      <c r="BH14" s="68">
        <f>IF(BG14="",0,IF(BG14&gt;36,50,IF(BG14&lt;7,0,VLOOKUP(BG14,Liste_AT2!$AM$3:$AN$32,2))))</f>
        <v>0</v>
      </c>
      <c r="BI14" s="150"/>
      <c r="BJ14" s="72">
        <f>IF(BI14="",0,IF(BI14&gt;45,50,IF(BI14&lt;6,0,VLOOKUP(BI14,Liste_AT2!$AO$3:$AP$52,2))))</f>
        <v>0</v>
      </c>
      <c r="BK14" s="151">
        <v>1.59</v>
      </c>
      <c r="BL14" s="68">
        <f>IF(BK14="",0,IF(BK14&gt;2.4,50,IF(BK14&lt;1.15,0,VLOOKUP(BK14,Liste_AT2!$AQ$3:$AR$52,2))))</f>
        <v>9</v>
      </c>
      <c r="BM14" s="148">
        <v>44</v>
      </c>
      <c r="BN14" s="72">
        <f>IF(BM14="",0,IF(BM14&lt;28,50,IF(BM14&gt;62,0,VLOOKUP(BM14,Liste_AT2!$AS$3:$AT$343,2,0))))</f>
        <v>29</v>
      </c>
      <c r="BO14" s="149">
        <v>15.5</v>
      </c>
      <c r="BP14" s="68">
        <f>IF(BO14="",0,IF(BO14&lt;1,0,IF(BO14&gt;28,50,VLOOKUP(BO14,Liste_AT3!$A$3:$B$30,2))))</f>
        <v>26</v>
      </c>
      <c r="BQ14" s="155"/>
      <c r="BR14" s="72">
        <f>IF(BQ14="",0,IF(BQ14&lt;5,50,IF(BQ14&gt;40,0,VLOOKUP(BQ14,Liste_AT3!$C$3:$D$38,2))))</f>
        <v>0</v>
      </c>
      <c r="BS14" s="151">
        <v>2.75</v>
      </c>
      <c r="BT14" s="68">
        <f>IF(BS14="",0,IF(BS14&lt;1,50,IF(BS14&gt;4.75,0,VLOOKUP(BS14,Liste_AT3!$E$3:$F$18,2))))</f>
        <v>22</v>
      </c>
      <c r="BU14" s="156"/>
      <c r="BV14" s="72">
        <f>IF(BU14="",0,IF(BU14&lt;1,50,IF(BU14&gt;4.75,0,VLOOKUP(BU14,Liste_AT3!$G$3:$H$18,2))))</f>
        <v>0</v>
      </c>
      <c r="BW14" s="151"/>
      <c r="BX14" s="68">
        <f>IF(BW14="",0,IF(BW14&lt;1,50,IF(BW14&gt;4.75,0,VLOOKUP(BW14,Liste_AT3!$G$3:$H$18,2))))</f>
        <v>0</v>
      </c>
      <c r="BY14" s="157"/>
      <c r="BZ14" s="72">
        <f>IF(BY14="",0,IF(BY14&gt;40,0,VLOOKUP(BY14,Liste_AT3!$I$3:$J$43,2,2)))</f>
        <v>0</v>
      </c>
      <c r="CA14" s="158"/>
      <c r="CB14" s="68">
        <f>IF(CA14="",0,IF(CA14&gt;40,0,VLOOKUP(CA14,Liste_AT3!$I$3:$J$43,2,2)))</f>
        <v>0</v>
      </c>
      <c r="CC14" s="159">
        <f>SUM(H14,J14,L14,N14,P14,R14,T14,V14,X14,Z14)</f>
        <v>60</v>
      </c>
      <c r="CD14" s="53">
        <f>IF(CC14=0,"",RANK(CC14,$CC$4:$CC$16))</f>
        <v>10</v>
      </c>
      <c r="CE14" s="159">
        <f>SUM(AB14,AD14,AF14,AJ14,AL14,AN14,AH14)</f>
        <v>7</v>
      </c>
      <c r="CF14" s="53">
        <f>IF(CE14=0,"",RANK(CE14,$CE$4:$CE$16))</f>
        <v>13</v>
      </c>
      <c r="CG14" s="159">
        <f>SUM(AP14,AR14,AT14,AV14,AX14,AZ14,BB14,BD14,BF14,BH14,BJ14,BL14,BN14)</f>
        <v>46</v>
      </c>
      <c r="CH14" s="53">
        <f>IF(CG14=0,"",RANK(CG14,$CG$4:$CG$16))</f>
        <v>11</v>
      </c>
      <c r="CI14" s="160">
        <f>SUM(BP14,BR14)</f>
        <v>26</v>
      </c>
      <c r="CJ14" s="53">
        <f>IF(CI14=0,"",RANK(CI14,$CI$4:$CI$16))</f>
        <v>5</v>
      </c>
      <c r="CK14" s="160">
        <f>SUM(BT14,BV14,BX14,BZ14,CB14)</f>
        <v>22</v>
      </c>
      <c r="CL14" s="53">
        <f>IF(CK14=0,"",RANK(CK14,$CK$4:$CK$16))</f>
        <v>6</v>
      </c>
      <c r="CM14" s="160">
        <f>SUM(CC14,CE14,CG14,CI14,CK14)</f>
        <v>161</v>
      </c>
      <c r="CN14" s="53">
        <f t="shared" si="0"/>
        <v>11</v>
      </c>
    </row>
    <row r="15" spans="1:92" s="14" customFormat="1" ht="27" customHeight="1" x14ac:dyDescent="0.3">
      <c r="A15" s="44">
        <v>9</v>
      </c>
      <c r="B15" s="135" t="s">
        <v>131</v>
      </c>
      <c r="C15" s="46" t="s">
        <v>101</v>
      </c>
      <c r="D15" s="45">
        <v>46.5</v>
      </c>
      <c r="E15" s="47">
        <v>153</v>
      </c>
      <c r="F15" s="147">
        <v>36346</v>
      </c>
      <c r="G15" s="148"/>
      <c r="H15" s="72">
        <f>IF(G15="",0,IF(G15&lt;$H$1,50,IF(G15&gt;18.7,0,VLOOKUP(G15,Liste_AT1!$A$3:$B$79,2,0))))</f>
        <v>0</v>
      </c>
      <c r="I15" s="149"/>
      <c r="J15" s="68">
        <f>IF(I15="",0,IF(I15&lt;$J$1,50,IF(I15&gt;22.8,0,VLOOKUP(I15,Liste_AT1!$C$3:$D$125,2,0))))</f>
        <v>0</v>
      </c>
      <c r="K15" s="148"/>
      <c r="L15" s="72">
        <f>IF(K15="",0,IF(K15&lt;$L$1,50,IF(K15&gt;29.2,0,VLOOKUP(K15,Liste_AT1!$E$3:$F$138,2,0))))</f>
        <v>0</v>
      </c>
      <c r="M15" s="149">
        <v>31.5</v>
      </c>
      <c r="N15" s="68">
        <f>IF(M15="",0,IF(M15&lt;15,50,IF(M15&gt;39.5,0,VLOOKUP(M15,Liste_AT1!$G$3:$H$248,2,0))))</f>
        <v>17</v>
      </c>
      <c r="O15" s="150"/>
      <c r="P15" s="72">
        <f>IF(O15="",0,IF(O15&lt;40,50,IF(O15&gt;108,0,VLOOKUP(O15,Liste_AT1!$I$3:$J$71,2,0))))</f>
        <v>0</v>
      </c>
      <c r="Q15" s="149"/>
      <c r="R15" s="68">
        <f>IF(Q15&gt;10,50,IF(Q15&lt;1,0,IF(Q15="",0,VLOOKUP(Q15,Liste_AT1!$K$3:$L$21,2,0))))</f>
        <v>0</v>
      </c>
      <c r="S15" s="148"/>
      <c r="T15" s="72">
        <f>IF(S15&gt;10,50,IF(S15&lt;1,0,VLOOKUP(S15,Liste_AT1!$M$3:$N$21,2,0)))</f>
        <v>0</v>
      </c>
      <c r="U15" s="151"/>
      <c r="V15" s="68">
        <f>IF(U15&gt;5,35,IF(U15&lt;1,0,VLOOKUP(U15,Liste_AT1!$O$3:$P$19,2)))</f>
        <v>0</v>
      </c>
      <c r="W15" s="148">
        <v>9.1</v>
      </c>
      <c r="X15" s="72">
        <f>IF(W15&gt;10,50,IF(W15&lt;1,0,VLOOKUP(W15,Liste_AT1!$Q$3:$R$21,2)))</f>
        <v>46</v>
      </c>
      <c r="Y15" s="152"/>
      <c r="Z15" s="68">
        <f>IF(Y15&gt;10,50,IF(Y15&lt;1,0,VLOOKUP(Y15,Liste_AT1!$S$3:$T$12,2)))</f>
        <v>0</v>
      </c>
      <c r="AA15" s="148"/>
      <c r="AB15" s="72">
        <f>IF(AA15="",0,IF(AA15&lt;3.8,50,IF(AA15&gt;6.9,0,VLOOKUP(AA15,Liste_AT2!$A$3:$B$34,2))))</f>
        <v>0</v>
      </c>
      <c r="AC15" s="149"/>
      <c r="AD15" s="68">
        <f>IF(AC15="",0,IF(AC15&lt;8.6,50,IF(AC15&gt;12.1,0,VLOOKUP(AC15,Liste_AT2!$C$3:$D$38,2))))</f>
        <v>0</v>
      </c>
      <c r="AE15" s="153"/>
      <c r="AF15" s="72">
        <f>IF(AE15="",0,IF(AE15&lt;170,50,IF(AE15&gt;241,0,VLOOKUP(AE15,Liste_AT2!$E$3:$G$74,3))))</f>
        <v>0</v>
      </c>
      <c r="AG15" s="154">
        <v>575</v>
      </c>
      <c r="AH15" s="68">
        <f>IF(AG15="",0,IF(AG15&lt;520,50,IF(AG15&gt;646,0,VLOOKUP(AG15,Liste_AT2!$AV$3:$AW$66,2))))</f>
        <v>23</v>
      </c>
      <c r="AI15" s="154"/>
      <c r="AJ15" s="68">
        <f>IF(AI15="",0,IF(AI15&lt;810,50,IF(AI15&gt;936,0,VLOOKUP(AI15,Liste_AT2!$H$3:$J$66,3))))</f>
        <v>0</v>
      </c>
      <c r="AK15" s="148">
        <v>18.7</v>
      </c>
      <c r="AL15" s="72">
        <f>IF(AK15="",0,IF(AK15&lt;15,50,IF(AK15&gt;22.5,0,VLOOKUP(AK15,Liste_AT2!$K$3:$L$78,2))))</f>
        <v>14</v>
      </c>
      <c r="AM15" s="149"/>
      <c r="AN15" s="68">
        <f>IF(AM15="",0,IF(AM15&lt;4,50,IF(AM15&gt;9.4,0,VLOOKUP(AM15,Liste_AT2!$M$3:$N$57,2))))</f>
        <v>0</v>
      </c>
      <c r="AO15" s="150"/>
      <c r="AP15" s="72">
        <f>IF(AO15="",0,IF(AO15&gt;29,50,IF(AO15&lt;5,0,VLOOKUP(AO15,Liste_AT2!$O$3:$P$29,2))))</f>
        <v>0</v>
      </c>
      <c r="AQ15" s="152"/>
      <c r="AR15" s="68">
        <f>IF(AQ15="",0,IF(AQ15&gt;10,50,IF(AQ15&lt;1,0,VLOOKUP(AQ15,Liste_AT2!$S$3:$T$19,2))))</f>
        <v>0</v>
      </c>
      <c r="AS15" s="150"/>
      <c r="AT15" s="72">
        <f>IF(AS15="",0,IF(AS15&gt;23,50,IF(AS15&lt;2,0,VLOOKUP(AS15,Liste_AT2!$Y$3:$Z$24,2))))</f>
        <v>0</v>
      </c>
      <c r="AU15" s="149"/>
      <c r="AV15" s="68">
        <f>IF(AU15="",0,IF(AU15&lt;3.7,50,IF(AU15&gt;8,0,VLOOKUP(AU15,Liste_AT2!$AA$3:$AB$46,2))))</f>
        <v>0</v>
      </c>
      <c r="AW15" s="148"/>
      <c r="AX15" s="72">
        <f>IF(AW15="",0,IF(AW15&lt;4,0,IF(AW15&gt;10.1,50,VLOOKUP(AW15,Liste_AT2!$AC$3:$AD$62,2))))</f>
        <v>0</v>
      </c>
      <c r="AY15" s="149">
        <v>6</v>
      </c>
      <c r="AZ15" s="68">
        <f>IF(AY15="",0,IF(AY15&gt;11.9,50,IF(AY15&lt;5,0,VLOOKUP(AY15,Liste_AT2!$AE$3:$AF$72,2))))</f>
        <v>6</v>
      </c>
      <c r="BA15" s="153"/>
      <c r="BB15" s="72">
        <f>IF(BA15="",0,IF(BA15&gt;45,50,IF(BA15&lt;2,0,VLOOKUP(BA15,Liste_AT2!$AG$3:$AH$61,2))))</f>
        <v>0</v>
      </c>
      <c r="BC15" s="154"/>
      <c r="BD15" s="68">
        <f>IF(BC15="",0,IF(BC15&gt;26,50,IF(BC15&lt;4,0,VLOOKUP(BC15,Liste_AT2!$AI$3:$AJ$25,2))))</f>
        <v>0</v>
      </c>
      <c r="BE15" s="150">
        <v>20</v>
      </c>
      <c r="BF15" s="72">
        <f>IF(BE15="",0,IF(BE15&gt;35,50,IF(BE15&lt;14,0,VLOOKUP(BE15,Liste_AT2!$AK$3:$AL$24,2))))</f>
        <v>12</v>
      </c>
      <c r="BG15" s="152"/>
      <c r="BH15" s="68">
        <f>IF(BG15="",0,IF(BG15&gt;36,50,IF(BG15&lt;7,0,VLOOKUP(BG15,Liste_AT2!$AM$3:$AN$32,2))))</f>
        <v>0</v>
      </c>
      <c r="BI15" s="150"/>
      <c r="BJ15" s="72">
        <f>IF(BI15="",0,IF(BI15&gt;45,50,IF(BI15&lt;6,0,VLOOKUP(BI15,Liste_AT2!$AO$3:$AP$52,2))))</f>
        <v>0</v>
      </c>
      <c r="BK15" s="151">
        <v>1.56</v>
      </c>
      <c r="BL15" s="68">
        <f>IF(BK15="",0,IF(BK15&gt;2.4,50,IF(BK15&lt;1.15,0,VLOOKUP(BK15,Liste_AT2!$AQ$3:$AR$52,2))))</f>
        <v>9</v>
      </c>
      <c r="BM15" s="148">
        <v>59.4</v>
      </c>
      <c r="BN15" s="72">
        <f>IF(BM15="",0,IF(BM15&lt;28,50,IF(BM15&gt;62,0,VLOOKUP(BM15,Liste_AT2!$AS$3:$AT$343,2,0))))</f>
        <v>2</v>
      </c>
      <c r="BO15" s="149">
        <v>5.5</v>
      </c>
      <c r="BP15" s="68">
        <f>IF(BO15="",0,IF(BO15&lt;1,0,IF(BO15&gt;28,50,VLOOKUP(BO15,Liste_AT3!$A$3:$B$30,2))))</f>
        <v>6</v>
      </c>
      <c r="BQ15" s="155"/>
      <c r="BR15" s="72">
        <f>IF(BQ15="",0,IF(BQ15&lt;5,50,IF(BQ15&gt;40,0,VLOOKUP(BQ15,Liste_AT3!$C$3:$D$38,2))))</f>
        <v>0</v>
      </c>
      <c r="BS15" s="151">
        <v>3.25</v>
      </c>
      <c r="BT15" s="68">
        <f>IF(BS15="",0,IF(BS15&lt;1,50,IF(BS15&gt;4.75,0,VLOOKUP(BS15,Liste_AT3!$E$3:$F$18,2))))</f>
        <v>16</v>
      </c>
      <c r="BU15" s="156"/>
      <c r="BV15" s="72">
        <f>IF(BU15="",0,IF(BU15&lt;1,50,IF(BU15&gt;4.75,0,VLOOKUP(BU15,Liste_AT3!$G$3:$H$18,2))))</f>
        <v>0</v>
      </c>
      <c r="BW15" s="151"/>
      <c r="BX15" s="68">
        <f>IF(BW15="",0,IF(BW15&lt;1,50,IF(BW15&gt;4.75,0,VLOOKUP(BW15,Liste_AT3!$G$3:$H$18,2))))</f>
        <v>0</v>
      </c>
      <c r="BY15" s="157"/>
      <c r="BZ15" s="72">
        <f>IF(BY15="",0,IF(BY15&gt;40,0,VLOOKUP(BY15,Liste_AT3!$I$3:$J$43,2,2)))</f>
        <v>0</v>
      </c>
      <c r="CA15" s="158"/>
      <c r="CB15" s="68">
        <f>IF(CA15="",0,IF(CA15&gt;40,0,VLOOKUP(CA15,Liste_AT3!$I$3:$J$43,2,2)))</f>
        <v>0</v>
      </c>
      <c r="CC15" s="159">
        <f>SUM(H15,J15,L15,N15,P15,R15,T15,V15,X15,Z15)</f>
        <v>63</v>
      </c>
      <c r="CD15" s="53">
        <f>IF(CC15=0,"",RANK(CC15,$CC$4:$CC$16))</f>
        <v>8</v>
      </c>
      <c r="CE15" s="159">
        <f>SUM(AB15,AD15,AF15,AJ15,AL15,AN15,AH15)</f>
        <v>37</v>
      </c>
      <c r="CF15" s="53">
        <f>IF(CE15=0,"",RANK(CE15,$CE$4:$CE$16))</f>
        <v>7</v>
      </c>
      <c r="CG15" s="159">
        <f>SUM(AP15,AR15,AT15,AV15,AX15,AZ15,BB15,BD15,BF15,BH15,BJ15,BL15,BN15)</f>
        <v>29</v>
      </c>
      <c r="CH15" s="53">
        <f>IF(CG15=0,"",RANK(CG15,$CG$4:$CG$16))</f>
        <v>12</v>
      </c>
      <c r="CI15" s="160">
        <f>SUM(BP15,BR15)</f>
        <v>6</v>
      </c>
      <c r="CJ15" s="53">
        <f>IF(CI15=0,"",RANK(CI15,$CI$4:$CI$16))</f>
        <v>10</v>
      </c>
      <c r="CK15" s="160">
        <f>SUM(BT15,BV15,BX15,BZ15,CB15)</f>
        <v>16</v>
      </c>
      <c r="CL15" s="53">
        <f>IF(CK15=0,"",RANK(CK15,$CK$4:$CK$16))</f>
        <v>10</v>
      </c>
      <c r="CM15" s="160">
        <f>SUM(CC15,CE15,CG15,CI15,CK15)</f>
        <v>151</v>
      </c>
      <c r="CN15" s="53">
        <f t="shared" si="0"/>
        <v>12</v>
      </c>
    </row>
    <row r="16" spans="1:92" s="14" customFormat="1" ht="27" customHeight="1" x14ac:dyDescent="0.3">
      <c r="A16" s="44">
        <v>13</v>
      </c>
      <c r="B16" s="135" t="s">
        <v>144</v>
      </c>
      <c r="C16" s="46" t="s">
        <v>142</v>
      </c>
      <c r="D16" s="45">
        <v>58.5</v>
      </c>
      <c r="E16" s="47">
        <v>164</v>
      </c>
      <c r="F16" s="147">
        <v>36485</v>
      </c>
      <c r="G16" s="148"/>
      <c r="H16" s="72">
        <f>IF(G16="",0,IF(G16&lt;$H$1,50,IF(G16&gt;18.7,0,VLOOKUP(G16,Liste_AT1!$A$3:$B$79,2,0))))</f>
        <v>0</v>
      </c>
      <c r="I16" s="149"/>
      <c r="J16" s="68">
        <f>IF(I16="",0,IF(I16&lt;$J$1,50,IF(I16&gt;22.8,0,VLOOKUP(I16,Liste_AT1!$C$3:$D$125,2,0))))</f>
        <v>0</v>
      </c>
      <c r="K16" s="148"/>
      <c r="L16" s="72">
        <f>IF(K16="",0,IF(K16&lt;$L$1,50,IF(K16&gt;29.2,0,VLOOKUP(K16,Liste_AT1!$E$3:$F$138,2,0))))</f>
        <v>0</v>
      </c>
      <c r="M16" s="149">
        <v>61.3</v>
      </c>
      <c r="N16" s="68">
        <f>IF(M16="",0,IF(M16&lt;15,50,IF(M16&gt;39.5,0,VLOOKUP(M16,Liste_AT1!$G$3:$H$248,2,0))))</f>
        <v>0</v>
      </c>
      <c r="O16" s="150"/>
      <c r="P16" s="72">
        <f>IF(O16="",0,IF(O16&lt;40,50,IF(O16&gt;108,0,VLOOKUP(O16,Liste_AT1!$I$3:$J$71,2,0))))</f>
        <v>0</v>
      </c>
      <c r="Q16" s="149"/>
      <c r="R16" s="68">
        <f>IF(Q16&gt;10,50,IF(Q16&lt;1,0,IF(Q16="",0,VLOOKUP(Q16,Liste_AT1!$K$3:$L$21,2,0))))</f>
        <v>0</v>
      </c>
      <c r="S16" s="148"/>
      <c r="T16" s="72">
        <f>IF(S16&gt;10,50,IF(S16&lt;1,0,VLOOKUP(S16,Liste_AT1!$M$3:$N$21,2,0)))</f>
        <v>0</v>
      </c>
      <c r="U16" s="151"/>
      <c r="V16" s="68">
        <f>IF(U16&gt;5,35,IF(U16&lt;1,0,VLOOKUP(U16,Liste_AT1!$O$3:$P$19,2)))</f>
        <v>0</v>
      </c>
      <c r="W16" s="148">
        <v>8</v>
      </c>
      <c r="X16" s="72">
        <f>IF(W16&gt;10,50,IF(W16&lt;1,0,VLOOKUP(W16,Liste_AT1!$Q$3:$R$21,2)))</f>
        <v>40</v>
      </c>
      <c r="Y16" s="152"/>
      <c r="Z16" s="68">
        <f>IF(Y16&gt;10,50,IF(Y16&lt;1,0,VLOOKUP(Y16,Liste_AT1!$S$3:$T$12,2)))</f>
        <v>0</v>
      </c>
      <c r="AA16" s="148"/>
      <c r="AB16" s="72">
        <f>IF(AA16="",0,IF(AA16&lt;3.8,50,IF(AA16&gt;6.9,0,VLOOKUP(AA16,Liste_AT2!$A$3:$B$34,2))))</f>
        <v>0</v>
      </c>
      <c r="AC16" s="149"/>
      <c r="AD16" s="68">
        <f>IF(AC16="",0,IF(AC16&lt;8.6,50,IF(AC16&gt;12.1,0,VLOOKUP(AC16,Liste_AT2!$C$3:$D$38,2))))</f>
        <v>0</v>
      </c>
      <c r="AE16" s="153"/>
      <c r="AF16" s="72">
        <f>IF(AE16="",0,IF(AE16&lt;170,50,IF(AE16&gt;241,0,VLOOKUP(AE16,Liste_AT2!$E$3:$G$74,3))))</f>
        <v>0</v>
      </c>
      <c r="AG16" s="154">
        <v>747</v>
      </c>
      <c r="AH16" s="68">
        <f>IF(AG16="",0,IF(AG16&lt;520,50,IF(AG16&gt;646,0,VLOOKUP(AG16,Liste_AT2!$AV$3:$AW$66,2))))</f>
        <v>0</v>
      </c>
      <c r="AI16" s="154"/>
      <c r="AJ16" s="68">
        <f>IF(AI16="",0,IF(AI16&lt;810,50,IF(AI16&gt;936,0,VLOOKUP(AI16,Liste_AT2!$H$3:$J$66,3))))</f>
        <v>0</v>
      </c>
      <c r="AK16" s="148">
        <v>19.600000000000001</v>
      </c>
      <c r="AL16" s="72">
        <f>IF(AK16="",0,IF(AK16&lt;15,50,IF(AK16&gt;22.5,0,VLOOKUP(AK16,Liste_AT2!$K$3:$L$78,2))))</f>
        <v>9</v>
      </c>
      <c r="AM16" s="149"/>
      <c r="AN16" s="68">
        <f>IF(AM16="",0,IF(AM16&lt;4,50,IF(AM16&gt;9.4,0,VLOOKUP(AM16,Liste_AT2!$M$3:$N$57,2))))</f>
        <v>0</v>
      </c>
      <c r="AO16" s="150"/>
      <c r="AP16" s="72">
        <f>IF(AO16="",0,IF(AO16&gt;29,50,IF(AO16&lt;5,0,VLOOKUP(AO16,Liste_AT2!$O$3:$P$29,2))))</f>
        <v>0</v>
      </c>
      <c r="AQ16" s="152"/>
      <c r="AR16" s="68">
        <f>IF(AQ16="",0,IF(AQ16&gt;10,50,IF(AQ16&lt;1,0,VLOOKUP(AQ16,Liste_AT2!$S$3:$T$19,2))))</f>
        <v>0</v>
      </c>
      <c r="AS16" s="150"/>
      <c r="AT16" s="72">
        <f>IF(AS16="",0,IF(AS16&gt;23,50,IF(AS16&lt;2,0,VLOOKUP(AS16,Liste_AT2!$Y$3:$Z$24,2))))</f>
        <v>0</v>
      </c>
      <c r="AU16" s="149"/>
      <c r="AV16" s="68">
        <f>IF(AU16="",0,IF(AU16&lt;3.7,50,IF(AU16&gt;8,0,VLOOKUP(AU16,Liste_AT2!$AA$3:$AB$46,2))))</f>
        <v>0</v>
      </c>
      <c r="AW16" s="148"/>
      <c r="AX16" s="72">
        <f>IF(AW16="",0,IF(AW16&lt;4,0,IF(AW16&gt;10.1,50,VLOOKUP(AW16,Liste_AT2!$AC$3:$AD$62,2))))</f>
        <v>0</v>
      </c>
      <c r="AY16" s="149">
        <v>6</v>
      </c>
      <c r="AZ16" s="68">
        <f>IF(AY16="",0,IF(AY16&gt;11.9,50,IF(AY16&lt;5,0,VLOOKUP(AY16,Liste_AT2!$AE$3:$AF$72,2))))</f>
        <v>6</v>
      </c>
      <c r="BA16" s="153"/>
      <c r="BB16" s="72">
        <f>IF(BA16="",0,IF(BA16&gt;45,50,IF(BA16&lt;2,0,VLOOKUP(BA16,Liste_AT2!$AG$3:$AH$61,2))))</f>
        <v>0</v>
      </c>
      <c r="BC16" s="154"/>
      <c r="BD16" s="68">
        <f>IF(BC16="",0,IF(BC16&gt;26,50,IF(BC16&lt;4,0,VLOOKUP(BC16,Liste_AT2!$AI$3:$AJ$25,2))))</f>
        <v>0</v>
      </c>
      <c r="BE16" s="150">
        <v>15</v>
      </c>
      <c r="BF16" s="72">
        <f>IF(BE16="",0,IF(BE16&gt;35,50,IF(BE16&lt;14,0,VLOOKUP(BE16,Liste_AT2!$AK$3:$AL$24,2))))</f>
        <v>2</v>
      </c>
      <c r="BG16" s="152"/>
      <c r="BH16" s="68">
        <f>IF(BG16="",0,IF(BG16&gt;36,50,IF(BG16&lt;7,0,VLOOKUP(BG16,Liste_AT2!$AM$3:$AN$32,2))))</f>
        <v>0</v>
      </c>
      <c r="BI16" s="150"/>
      <c r="BJ16" s="72">
        <f>IF(BI16="",0,IF(BI16&gt;45,50,IF(BI16&lt;6,0,VLOOKUP(BI16,Liste_AT2!$AO$3:$AP$52,2))))</f>
        <v>0</v>
      </c>
      <c r="BK16" s="151">
        <v>1.37</v>
      </c>
      <c r="BL16" s="68">
        <f>IF(BK16="",0,IF(BK16&gt;2.4,50,IF(BK16&lt;1.15,0,VLOOKUP(BK16,Liste_AT2!$AQ$3:$AR$52,2))))</f>
        <v>5</v>
      </c>
      <c r="BM16" s="148">
        <v>54.7</v>
      </c>
      <c r="BN16" s="72">
        <f>IF(BM16="",0,IF(BM16&lt;28,50,IF(BM16&gt;62,0,VLOOKUP(BM16,Liste_AT2!$AS$3:$AT$343,2,0))))</f>
        <v>7</v>
      </c>
      <c r="BO16" s="149">
        <v>0</v>
      </c>
      <c r="BP16" s="68">
        <f>IF(BO16="",0,IF(BO16&lt;1,0,IF(BO16&gt;28,50,VLOOKUP(BO16,Liste_AT3!$A$3:$B$30,2))))</f>
        <v>0</v>
      </c>
      <c r="BQ16" s="155"/>
      <c r="BR16" s="72">
        <f>IF(BQ16="",0,IF(BQ16&lt;5,50,IF(BQ16&gt;40,0,VLOOKUP(BQ16,Liste_AT3!$C$3:$D$38,2))))</f>
        <v>0</v>
      </c>
      <c r="BS16" s="151">
        <v>4</v>
      </c>
      <c r="BT16" s="68">
        <f>IF(BS16="",0,IF(BS16&lt;1,50,IF(BS16&gt;4.75,0,VLOOKUP(BS16,Liste_AT3!$E$3:$F$18,2))))</f>
        <v>7</v>
      </c>
      <c r="BU16" s="156"/>
      <c r="BV16" s="72">
        <f>IF(BU16="",0,IF(BU16&lt;1,50,IF(BU16&gt;4.75,0,VLOOKUP(BU16,Liste_AT3!$G$3:$H$18,2))))</f>
        <v>0</v>
      </c>
      <c r="BW16" s="151"/>
      <c r="BX16" s="68">
        <f>IF(BW16="",0,IF(BW16&lt;1,50,IF(BW16&gt;4.75,0,VLOOKUP(BW16,Liste_AT3!$G$3:$H$18,2))))</f>
        <v>0</v>
      </c>
      <c r="BY16" s="157"/>
      <c r="BZ16" s="72">
        <f>IF(BY16="",0,IF(BY16&gt;40,0,VLOOKUP(BY16,Liste_AT3!$I$3:$J$43,2,2)))</f>
        <v>0</v>
      </c>
      <c r="CA16" s="158"/>
      <c r="CB16" s="68">
        <f>IF(CA16="",0,IF(CA16&gt;40,0,VLOOKUP(CA16,Liste_AT3!$I$3:$J$43,2,2)))</f>
        <v>0</v>
      </c>
      <c r="CC16" s="159">
        <f>SUM(H16,J16,L16,N16,P16,R16,T16,V16,X16,Z16)</f>
        <v>40</v>
      </c>
      <c r="CD16" s="53">
        <f>IF(CC16=0,"",RANK(CC16,$CC$4:$CC$16))</f>
        <v>13</v>
      </c>
      <c r="CE16" s="159">
        <f>SUM(AB16,AD16,AF16,AJ16,AL16,AN16,AH16)</f>
        <v>9</v>
      </c>
      <c r="CF16" s="53">
        <f>IF(CE16=0,"",RANK(CE16,$CE$4:$CE$16))</f>
        <v>12</v>
      </c>
      <c r="CG16" s="159">
        <f>SUM(AP16,AR16,AT16,AV16,AX16,AZ16,BB16,BD16,BF16,BH16,BJ16,BL16,BN16)</f>
        <v>20</v>
      </c>
      <c r="CH16" s="53">
        <f>IF(CG16=0,"",RANK(CG16,$CG$4:$CG$16))</f>
        <v>13</v>
      </c>
      <c r="CI16" s="160">
        <f>SUM(BP16,BR16)</f>
        <v>0</v>
      </c>
      <c r="CJ16" s="53" t="str">
        <f>IF(CI16=0,"",RANK(CI16,$CI$4:$CI$16))</f>
        <v/>
      </c>
      <c r="CK16" s="160">
        <f>SUM(BT16,BV16,BX16,BZ16,CB16)</f>
        <v>7</v>
      </c>
      <c r="CL16" s="53">
        <f>IF(CK16=0,"",RANK(CK16,$CK$4:$CK$16))</f>
        <v>13</v>
      </c>
      <c r="CM16" s="160">
        <f>SUM(CC16,CE16,CG16,CI16,CK16)</f>
        <v>76</v>
      </c>
      <c r="CN16" s="53">
        <f t="shared" si="0"/>
        <v>13</v>
      </c>
    </row>
  </sheetData>
  <sortState ref="A5:CM16">
    <sortCondition descending="1" ref="CM4:CM16"/>
  </sortState>
  <mergeCells count="2">
    <mergeCell ref="A1:F1"/>
    <mergeCell ref="A2:A3"/>
  </mergeCells>
  <conditionalFormatting sqref="CN4:CN16">
    <cfRule type="cellIs" dxfId="42" priority="44" operator="lessThanOrEqual">
      <formula>3</formula>
    </cfRule>
  </conditionalFormatting>
  <conditionalFormatting sqref="CL4:CL16">
    <cfRule type="cellIs" dxfId="41" priority="43" operator="lessThanOrEqual">
      <formula>3</formula>
    </cfRule>
  </conditionalFormatting>
  <conditionalFormatting sqref="CJ4:CJ16">
    <cfRule type="cellIs" dxfId="40" priority="42" operator="lessThanOrEqual">
      <formula>3</formula>
    </cfRule>
  </conditionalFormatting>
  <conditionalFormatting sqref="CH4:CH16">
    <cfRule type="cellIs" dxfId="39" priority="41" operator="lessThanOrEqual">
      <formula>3</formula>
    </cfRule>
  </conditionalFormatting>
  <conditionalFormatting sqref="CF4:CF16">
    <cfRule type="cellIs" dxfId="38" priority="40" operator="lessThanOrEqual">
      <formula>3</formula>
    </cfRule>
  </conditionalFormatting>
  <conditionalFormatting sqref="CD4:CD16">
    <cfRule type="cellIs" dxfId="37" priority="39" operator="lessThanOrEqual">
      <formula>3</formula>
    </cfRule>
  </conditionalFormatting>
  <conditionalFormatting sqref="H4:H16">
    <cfRule type="cellIs" dxfId="36" priority="38" operator="greaterThanOrEqual">
      <formula>$F$2</formula>
    </cfRule>
  </conditionalFormatting>
  <conditionalFormatting sqref="J4:J16">
    <cfRule type="cellIs" dxfId="35" priority="37" operator="greaterThanOrEqual">
      <formula>$F$2</formula>
    </cfRule>
  </conditionalFormatting>
  <conditionalFormatting sqref="L4:L16">
    <cfRule type="cellIs" dxfId="34" priority="36" operator="greaterThanOrEqual">
      <formula>$F$2</formula>
    </cfRule>
  </conditionalFormatting>
  <conditionalFormatting sqref="N4:N16">
    <cfRule type="cellIs" dxfId="33" priority="35" operator="greaterThanOrEqual">
      <formula>$F$2</formula>
    </cfRule>
  </conditionalFormatting>
  <conditionalFormatting sqref="P4:P16">
    <cfRule type="cellIs" dxfId="32" priority="34" operator="greaterThanOrEqual">
      <formula>$F$2</formula>
    </cfRule>
  </conditionalFormatting>
  <conditionalFormatting sqref="R4:R16">
    <cfRule type="cellIs" dxfId="31" priority="33" operator="greaterThanOrEqual">
      <formula>$F$2</formula>
    </cfRule>
  </conditionalFormatting>
  <conditionalFormatting sqref="T4:T16">
    <cfRule type="cellIs" dxfId="30" priority="32" operator="greaterThanOrEqual">
      <formula>$F$2</formula>
    </cfRule>
  </conditionalFormatting>
  <conditionalFormatting sqref="V4:V16">
    <cfRule type="cellIs" dxfId="29" priority="31" operator="greaterThanOrEqual">
      <formula>$F$2</formula>
    </cfRule>
  </conditionalFormatting>
  <conditionalFormatting sqref="X4:X16">
    <cfRule type="cellIs" dxfId="28" priority="30" operator="greaterThanOrEqual">
      <formula>$F$2</formula>
    </cfRule>
  </conditionalFormatting>
  <conditionalFormatting sqref="Z4:Z16">
    <cfRule type="cellIs" dxfId="27" priority="29" operator="greaterThanOrEqual">
      <formula>$F$2</formula>
    </cfRule>
  </conditionalFormatting>
  <conditionalFormatting sqref="AD4:AD16">
    <cfRule type="cellIs" dxfId="26" priority="28" operator="greaterThanOrEqual">
      <formula>$F$2</formula>
    </cfRule>
  </conditionalFormatting>
  <conditionalFormatting sqref="AF4:AF16">
    <cfRule type="cellIs" dxfId="25" priority="27" operator="greaterThanOrEqual">
      <formula>$F$2</formula>
    </cfRule>
  </conditionalFormatting>
  <conditionalFormatting sqref="AJ4:AJ16">
    <cfRule type="cellIs" dxfId="24" priority="26" operator="greaterThanOrEqual">
      <formula>$F$2</formula>
    </cfRule>
  </conditionalFormatting>
  <conditionalFormatting sqref="AL4:AL16">
    <cfRule type="cellIs" dxfId="23" priority="25" operator="greaterThanOrEqual">
      <formula>$F$2</formula>
    </cfRule>
  </conditionalFormatting>
  <conditionalFormatting sqref="AN4:AN16">
    <cfRule type="cellIs" dxfId="22" priority="24" operator="greaterThanOrEqual">
      <formula>$F$2</formula>
    </cfRule>
  </conditionalFormatting>
  <conditionalFormatting sqref="AP4:AP16">
    <cfRule type="cellIs" dxfId="21" priority="23" operator="greaterThanOrEqual">
      <formula>$F$2</formula>
    </cfRule>
  </conditionalFormatting>
  <conditionalFormatting sqref="AR4:AR16">
    <cfRule type="cellIs" dxfId="20" priority="22" operator="greaterThanOrEqual">
      <formula>$F$2</formula>
    </cfRule>
  </conditionalFormatting>
  <conditionalFormatting sqref="AT4:AT16">
    <cfRule type="cellIs" dxfId="19" priority="21" operator="greaterThanOrEqual">
      <formula>$F$2</formula>
    </cfRule>
  </conditionalFormatting>
  <conditionalFormatting sqref="AV4:AV16">
    <cfRule type="cellIs" dxfId="18" priority="20" operator="greaterThanOrEqual">
      <formula>$F$2</formula>
    </cfRule>
  </conditionalFormatting>
  <conditionalFormatting sqref="AX4:AX16">
    <cfRule type="cellIs" dxfId="17" priority="19" operator="greaterThanOrEqual">
      <formula>$F$2</formula>
    </cfRule>
  </conditionalFormatting>
  <conditionalFormatting sqref="AZ4:AZ16">
    <cfRule type="cellIs" dxfId="16" priority="18" operator="greaterThanOrEqual">
      <formula>$F$2</formula>
    </cfRule>
  </conditionalFormatting>
  <conditionalFormatting sqref="BB4:BB16">
    <cfRule type="cellIs" dxfId="15" priority="17" operator="greaterThanOrEqual">
      <formula>$F$2</formula>
    </cfRule>
  </conditionalFormatting>
  <conditionalFormatting sqref="BD4:BD16">
    <cfRule type="cellIs" dxfId="14" priority="16" operator="greaterThanOrEqual">
      <formula>$F$2</formula>
    </cfRule>
  </conditionalFormatting>
  <conditionalFormatting sqref="BF4:BF16">
    <cfRule type="cellIs" dxfId="13" priority="15" operator="greaterThanOrEqual">
      <formula>$F$2</formula>
    </cfRule>
  </conditionalFormatting>
  <conditionalFormatting sqref="BH4:BH16">
    <cfRule type="cellIs" dxfId="12" priority="14" operator="greaterThanOrEqual">
      <formula>$F$2</formula>
    </cfRule>
  </conditionalFormatting>
  <conditionalFormatting sqref="BJ4:BJ16">
    <cfRule type="cellIs" dxfId="11" priority="13" operator="greaterThanOrEqual">
      <formula>$F$2</formula>
    </cfRule>
  </conditionalFormatting>
  <conditionalFormatting sqref="BL4:BL16">
    <cfRule type="cellIs" dxfId="10" priority="12" operator="greaterThanOrEqual">
      <formula>$F$2</formula>
    </cfRule>
  </conditionalFormatting>
  <conditionalFormatting sqref="BN4:BN16">
    <cfRule type="cellIs" dxfId="9" priority="11" operator="greaterThanOrEqual">
      <formula>$F$2</formula>
    </cfRule>
  </conditionalFormatting>
  <conditionalFormatting sqref="BP4:BP16">
    <cfRule type="cellIs" dxfId="8" priority="10" operator="greaterThanOrEqual">
      <formula>$F$2</formula>
    </cfRule>
  </conditionalFormatting>
  <conditionalFormatting sqref="BR4:BR16">
    <cfRule type="cellIs" dxfId="7" priority="9" operator="greaterThanOrEqual">
      <formula>$F$2</formula>
    </cfRule>
  </conditionalFormatting>
  <conditionalFormatting sqref="BT4:BT16">
    <cfRule type="cellIs" dxfId="6" priority="8" operator="greaterThanOrEqual">
      <formula>$F$2</formula>
    </cfRule>
  </conditionalFormatting>
  <conditionalFormatting sqref="BV4:BV16">
    <cfRule type="cellIs" dxfId="5" priority="7" operator="greaterThanOrEqual">
      <formula>$F$2</formula>
    </cfRule>
  </conditionalFormatting>
  <conditionalFormatting sqref="BZ4:BZ16">
    <cfRule type="cellIs" dxfId="4" priority="6" operator="greaterThanOrEqual">
      <formula>$F$2</formula>
    </cfRule>
  </conditionalFormatting>
  <conditionalFormatting sqref="AB4:AB16">
    <cfRule type="cellIs" dxfId="3" priority="5" operator="greaterThanOrEqual">
      <formula>$F$2</formula>
    </cfRule>
  </conditionalFormatting>
  <conditionalFormatting sqref="BX4:BX16">
    <cfRule type="cellIs" dxfId="2" priority="4" operator="greaterThanOrEqual">
      <formula>$F$2</formula>
    </cfRule>
  </conditionalFormatting>
  <conditionalFormatting sqref="CB4:CB16">
    <cfRule type="cellIs" dxfId="1" priority="3" operator="greaterThanOrEqual">
      <formula>$F$2</formula>
    </cfRule>
  </conditionalFormatting>
  <conditionalFormatting sqref="AH4:AH16">
    <cfRule type="cellIs" dxfId="0" priority="1" operator="greaterThanOrEqual">
      <formula>$F$2</formula>
    </cfRule>
  </conditionalFormatting>
  <pageMargins left="0.70866141732283472" right="0.70866141732283472" top="0.78740157480314965" bottom="0.78740157480314965" header="0.31496062992125984" footer="0.31496062992125984"/>
  <pageSetup paperSize="9" scale="61" fitToHeight="5" orientation="landscape" r:id="rId1"/>
  <headerFooter>
    <oddHeader>&amp;C&amp;"-,Fett"&amp;16Thüringer Athletiktest 2011 Jugend B weiblich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7"/>
  <sheetViews>
    <sheetView zoomScale="115" zoomScaleNormal="115" workbookViewId="0">
      <pane ySplit="4" topLeftCell="A5" activePane="bottomLeft" state="frozen"/>
      <selection pane="bottomLeft" activeCell="C5" sqref="C5:C21"/>
    </sheetView>
  </sheetViews>
  <sheetFormatPr baseColWidth="10" defaultRowHeight="14.4" x14ac:dyDescent="0.3"/>
  <cols>
    <col min="1" max="1" width="11.44140625" style="180"/>
    <col min="2" max="2" width="19.44140625" style="186" customWidth="1"/>
    <col min="3" max="3" width="11.44140625" style="186"/>
    <col min="4" max="4" width="13.88671875" style="181" bestFit="1" customWidth="1"/>
    <col min="5" max="5" width="3.6640625" style="174" bestFit="1" customWidth="1"/>
    <col min="6" max="6" width="3" customWidth="1"/>
    <col min="7" max="7" width="11.44140625" style="129"/>
    <col min="8" max="8" width="21.6640625" style="172" customWidth="1"/>
    <col min="9" max="9" width="11.44140625" style="172"/>
    <col min="10" max="10" width="13.88671875" style="173" bestFit="1" customWidth="1"/>
    <col min="11" max="11" width="3.6640625" style="165" bestFit="1" customWidth="1"/>
    <col min="12" max="13" width="11.44140625" style="140"/>
  </cols>
  <sheetData>
    <row r="3" spans="1:11" x14ac:dyDescent="0.3">
      <c r="A3" s="205" t="s">
        <v>104</v>
      </c>
      <c r="B3" s="205"/>
      <c r="C3" s="205"/>
      <c r="D3" s="205"/>
      <c r="H3" s="204" t="s">
        <v>103</v>
      </c>
      <c r="I3" s="204"/>
      <c r="J3" s="204"/>
    </row>
    <row r="4" spans="1:11" s="128" customFormat="1" ht="15" x14ac:dyDescent="0.25">
      <c r="A4" s="166" t="s">
        <v>80</v>
      </c>
      <c r="B4" s="185" t="s">
        <v>53</v>
      </c>
      <c r="C4" s="185" t="s">
        <v>54</v>
      </c>
      <c r="D4" s="167" t="s">
        <v>84</v>
      </c>
      <c r="E4" s="166"/>
      <c r="G4" s="128" t="s">
        <v>80</v>
      </c>
      <c r="H4" s="166" t="s">
        <v>53</v>
      </c>
      <c r="I4" s="166" t="s">
        <v>54</v>
      </c>
      <c r="J4" s="167" t="s">
        <v>84</v>
      </c>
      <c r="K4" s="168"/>
    </row>
    <row r="5" spans="1:11" x14ac:dyDescent="0.3">
      <c r="A5" s="175">
        <v>1</v>
      </c>
      <c r="B5" s="186" t="s">
        <v>145</v>
      </c>
      <c r="C5" s="186" t="s">
        <v>98</v>
      </c>
      <c r="D5" s="181">
        <v>35836</v>
      </c>
      <c r="E5" s="186">
        <v>1</v>
      </c>
      <c r="F5" s="141"/>
      <c r="G5" s="162">
        <v>1</v>
      </c>
      <c r="H5" s="176" t="s">
        <v>128</v>
      </c>
      <c r="I5" s="169" t="s">
        <v>101</v>
      </c>
      <c r="J5" s="173">
        <v>35891</v>
      </c>
      <c r="K5" s="165">
        <v>1</v>
      </c>
    </row>
    <row r="6" spans="1:11" x14ac:dyDescent="0.3">
      <c r="A6" s="175">
        <f>A5+1</f>
        <v>2</v>
      </c>
      <c r="B6" s="186" t="s">
        <v>122</v>
      </c>
      <c r="C6" s="186" t="s">
        <v>141</v>
      </c>
      <c r="D6" s="181">
        <v>36212</v>
      </c>
      <c r="E6" s="186">
        <v>2</v>
      </c>
      <c r="F6" s="142"/>
      <c r="G6" s="162">
        <f>G5+1</f>
        <v>2</v>
      </c>
      <c r="H6" s="171" t="s">
        <v>95</v>
      </c>
      <c r="I6" s="170" t="s">
        <v>99</v>
      </c>
      <c r="J6" s="190">
        <v>35892</v>
      </c>
      <c r="K6" s="170">
        <v>2</v>
      </c>
    </row>
    <row r="7" spans="1:11" x14ac:dyDescent="0.3">
      <c r="A7" s="175">
        <f t="shared" ref="A7:A21" si="0">A6+1</f>
        <v>3</v>
      </c>
      <c r="B7" s="186" t="s">
        <v>127</v>
      </c>
      <c r="C7" s="169" t="s">
        <v>101</v>
      </c>
      <c r="D7" s="181">
        <v>35892</v>
      </c>
      <c r="E7" s="186">
        <v>3</v>
      </c>
      <c r="F7" s="142"/>
      <c r="G7" s="162">
        <f t="shared" ref="G7:G18" si="1">G6+1</f>
        <v>3</v>
      </c>
      <c r="H7" s="176" t="s">
        <v>97</v>
      </c>
      <c r="I7" s="172" t="s">
        <v>98</v>
      </c>
      <c r="J7" s="173">
        <v>35909</v>
      </c>
      <c r="K7" s="165">
        <v>4</v>
      </c>
    </row>
    <row r="8" spans="1:11" x14ac:dyDescent="0.3">
      <c r="A8" s="175">
        <f t="shared" si="0"/>
        <v>4</v>
      </c>
      <c r="B8" s="186" t="s">
        <v>110</v>
      </c>
      <c r="C8" s="169" t="s">
        <v>99</v>
      </c>
      <c r="D8" s="181">
        <v>36348</v>
      </c>
      <c r="E8" s="186">
        <v>4</v>
      </c>
      <c r="F8" s="142"/>
      <c r="G8" s="162">
        <f t="shared" si="1"/>
        <v>4</v>
      </c>
      <c r="H8" s="176" t="s">
        <v>96</v>
      </c>
      <c r="I8" s="170" t="s">
        <v>99</v>
      </c>
      <c r="J8" s="190">
        <v>36352</v>
      </c>
      <c r="K8" s="196">
        <v>5</v>
      </c>
    </row>
    <row r="9" spans="1:11" x14ac:dyDescent="0.3">
      <c r="A9" s="175">
        <f t="shared" si="0"/>
        <v>5</v>
      </c>
      <c r="B9" s="186" t="s">
        <v>106</v>
      </c>
      <c r="C9" s="169" t="s">
        <v>108</v>
      </c>
      <c r="D9" s="181">
        <v>36303</v>
      </c>
      <c r="E9" s="186">
        <v>5</v>
      </c>
      <c r="F9" s="144"/>
      <c r="G9" s="163">
        <f t="shared" si="1"/>
        <v>5</v>
      </c>
      <c r="H9" s="176" t="s">
        <v>124</v>
      </c>
      <c r="I9" s="186" t="s">
        <v>141</v>
      </c>
      <c r="J9" s="173">
        <v>36362</v>
      </c>
      <c r="K9" s="165">
        <v>7</v>
      </c>
    </row>
    <row r="10" spans="1:11" x14ac:dyDescent="0.3">
      <c r="A10" s="177">
        <f t="shared" si="0"/>
        <v>6</v>
      </c>
      <c r="B10" s="186" t="s">
        <v>116</v>
      </c>
      <c r="C10" s="186" t="s">
        <v>98</v>
      </c>
      <c r="D10" s="181">
        <v>36513</v>
      </c>
      <c r="E10" s="174">
        <v>7</v>
      </c>
      <c r="F10" s="144"/>
      <c r="G10" s="163">
        <f t="shared" si="1"/>
        <v>6</v>
      </c>
      <c r="H10" s="172" t="s">
        <v>115</v>
      </c>
      <c r="I10" s="172" t="s">
        <v>98</v>
      </c>
      <c r="J10" s="173">
        <v>36374</v>
      </c>
      <c r="K10" s="165">
        <v>8</v>
      </c>
    </row>
    <row r="11" spans="1:11" x14ac:dyDescent="0.3">
      <c r="A11" s="177">
        <f t="shared" si="0"/>
        <v>7</v>
      </c>
      <c r="B11" s="186" t="s">
        <v>105</v>
      </c>
      <c r="C11" s="169" t="s">
        <v>99</v>
      </c>
      <c r="D11" s="181">
        <v>35968</v>
      </c>
      <c r="E11" s="186">
        <v>6</v>
      </c>
      <c r="F11" s="141"/>
      <c r="G11" s="163">
        <f t="shared" si="1"/>
        <v>7</v>
      </c>
      <c r="H11" s="176" t="s">
        <v>143</v>
      </c>
      <c r="I11" s="169" t="s">
        <v>142</v>
      </c>
      <c r="J11" s="190">
        <v>36517</v>
      </c>
      <c r="K11" s="196">
        <v>9</v>
      </c>
    </row>
    <row r="12" spans="1:11" x14ac:dyDescent="0.3">
      <c r="A12" s="177">
        <f t="shared" si="0"/>
        <v>8</v>
      </c>
      <c r="B12" s="186" t="s">
        <v>133</v>
      </c>
      <c r="C12" s="169" t="s">
        <v>99</v>
      </c>
      <c r="D12" s="181">
        <v>36368</v>
      </c>
      <c r="E12" s="186">
        <v>10</v>
      </c>
      <c r="F12" s="142"/>
      <c r="G12" s="164">
        <f t="shared" si="1"/>
        <v>8</v>
      </c>
      <c r="H12" s="176" t="s">
        <v>125</v>
      </c>
      <c r="I12" s="186" t="s">
        <v>141</v>
      </c>
      <c r="J12" s="173">
        <v>36204</v>
      </c>
      <c r="K12" s="165">
        <v>10</v>
      </c>
    </row>
    <row r="13" spans="1:11" x14ac:dyDescent="0.3">
      <c r="A13" s="177">
        <f t="shared" si="0"/>
        <v>9</v>
      </c>
      <c r="B13" s="186" t="s">
        <v>107</v>
      </c>
      <c r="C13" s="169" t="s">
        <v>100</v>
      </c>
      <c r="D13" s="181">
        <v>36365</v>
      </c>
      <c r="E13" s="186">
        <v>9</v>
      </c>
      <c r="F13" s="142"/>
      <c r="G13" s="164">
        <f t="shared" si="1"/>
        <v>9</v>
      </c>
      <c r="H13" s="176" t="s">
        <v>131</v>
      </c>
      <c r="I13" s="169" t="s">
        <v>101</v>
      </c>
      <c r="J13" s="173">
        <v>36346</v>
      </c>
      <c r="K13" s="165">
        <v>11</v>
      </c>
    </row>
    <row r="14" spans="1:11" x14ac:dyDescent="0.3">
      <c r="A14" s="178">
        <f t="shared" si="0"/>
        <v>10</v>
      </c>
      <c r="B14" s="186" t="s">
        <v>121</v>
      </c>
      <c r="C14" s="186" t="s">
        <v>109</v>
      </c>
      <c r="D14" s="181">
        <v>36347</v>
      </c>
      <c r="E14" s="186">
        <v>11</v>
      </c>
      <c r="F14" s="144"/>
      <c r="G14" s="164">
        <f t="shared" si="1"/>
        <v>10</v>
      </c>
      <c r="H14" s="176" t="s">
        <v>129</v>
      </c>
      <c r="I14" s="169" t="s">
        <v>101</v>
      </c>
      <c r="J14" s="173">
        <v>36246</v>
      </c>
      <c r="K14" s="165">
        <v>12</v>
      </c>
    </row>
    <row r="15" spans="1:11" x14ac:dyDescent="0.3">
      <c r="A15" s="178">
        <f t="shared" si="0"/>
        <v>11</v>
      </c>
      <c r="B15" s="186" t="s">
        <v>118</v>
      </c>
      <c r="C15" s="186" t="s">
        <v>98</v>
      </c>
      <c r="D15" s="181">
        <v>36329</v>
      </c>
      <c r="E15" s="186">
        <v>12</v>
      </c>
      <c r="F15" s="144"/>
      <c r="G15" s="197">
        <f t="shared" si="1"/>
        <v>11</v>
      </c>
      <c r="H15" s="176" t="s">
        <v>130</v>
      </c>
      <c r="I15" s="169" t="s">
        <v>101</v>
      </c>
      <c r="J15" s="173">
        <v>36302</v>
      </c>
      <c r="K15" s="165">
        <v>13</v>
      </c>
    </row>
    <row r="16" spans="1:11" x14ac:dyDescent="0.3">
      <c r="A16" s="178">
        <f t="shared" si="0"/>
        <v>12</v>
      </c>
      <c r="B16" s="186" t="s">
        <v>123</v>
      </c>
      <c r="C16" s="186" t="s">
        <v>141</v>
      </c>
      <c r="D16" s="181">
        <v>36509</v>
      </c>
      <c r="E16" s="186">
        <v>13</v>
      </c>
      <c r="F16" s="143"/>
      <c r="G16" s="197">
        <f t="shared" si="1"/>
        <v>12</v>
      </c>
      <c r="H16" s="171" t="s">
        <v>132</v>
      </c>
      <c r="I16" s="169" t="s">
        <v>101</v>
      </c>
      <c r="J16" s="190">
        <v>36407</v>
      </c>
      <c r="K16" s="170">
        <v>14</v>
      </c>
    </row>
    <row r="17" spans="1:13" x14ac:dyDescent="0.3">
      <c r="A17" s="178">
        <f t="shared" si="0"/>
        <v>13</v>
      </c>
      <c r="B17" s="186" t="s">
        <v>117</v>
      </c>
      <c r="C17" s="186" t="s">
        <v>98</v>
      </c>
      <c r="D17" s="181">
        <v>36515</v>
      </c>
      <c r="E17" s="174">
        <v>14</v>
      </c>
      <c r="F17" s="142"/>
      <c r="G17" s="197">
        <f t="shared" si="1"/>
        <v>13</v>
      </c>
      <c r="H17" s="176" t="s">
        <v>144</v>
      </c>
      <c r="I17" s="169" t="s">
        <v>142</v>
      </c>
      <c r="J17" s="190">
        <v>36485</v>
      </c>
      <c r="K17" s="196">
        <v>15</v>
      </c>
      <c r="M17"/>
    </row>
    <row r="18" spans="1:13" x14ac:dyDescent="0.3">
      <c r="A18" s="179">
        <f t="shared" si="0"/>
        <v>14</v>
      </c>
      <c r="B18" s="186" t="s">
        <v>119</v>
      </c>
      <c r="C18" s="186" t="s">
        <v>98</v>
      </c>
      <c r="D18" s="181">
        <v>36492</v>
      </c>
      <c r="E18" s="186">
        <v>15</v>
      </c>
      <c r="F18" s="142"/>
      <c r="G18" s="197">
        <f t="shared" si="1"/>
        <v>14</v>
      </c>
      <c r="H18" s="172" t="s">
        <v>113</v>
      </c>
      <c r="I18" s="171" t="s">
        <v>102</v>
      </c>
      <c r="J18" s="173">
        <v>35958</v>
      </c>
      <c r="K18" s="165">
        <v>6</v>
      </c>
      <c r="M18"/>
    </row>
    <row r="19" spans="1:13" x14ac:dyDescent="0.3">
      <c r="A19" s="179">
        <f t="shared" si="0"/>
        <v>15</v>
      </c>
      <c r="B19" s="186" t="s">
        <v>120</v>
      </c>
      <c r="C19" s="186" t="s">
        <v>109</v>
      </c>
      <c r="D19" s="181">
        <v>36281</v>
      </c>
      <c r="E19" s="186">
        <v>16</v>
      </c>
      <c r="F19" s="142"/>
      <c r="G19" s="172"/>
      <c r="L19"/>
      <c r="M19"/>
    </row>
    <row r="20" spans="1:13" x14ac:dyDescent="0.3">
      <c r="A20" s="179">
        <f t="shared" si="0"/>
        <v>16</v>
      </c>
      <c r="B20" s="186" t="s">
        <v>126</v>
      </c>
      <c r="C20" s="169" t="s">
        <v>100</v>
      </c>
      <c r="D20" s="181">
        <v>36539</v>
      </c>
      <c r="E20" s="186">
        <v>17</v>
      </c>
      <c r="F20" s="143"/>
      <c r="G20" s="172"/>
      <c r="I20" s="170"/>
      <c r="J20" s="190"/>
      <c r="K20" s="140"/>
      <c r="M20"/>
    </row>
    <row r="21" spans="1:13" x14ac:dyDescent="0.3">
      <c r="A21" s="179">
        <f t="shared" si="0"/>
        <v>17</v>
      </c>
      <c r="B21" s="186" t="s">
        <v>114</v>
      </c>
      <c r="C21" s="186" t="s">
        <v>102</v>
      </c>
      <c r="D21" s="181">
        <v>35923</v>
      </c>
      <c r="E21" s="174">
        <v>8</v>
      </c>
      <c r="H21" s="169"/>
      <c r="I21" s="170"/>
      <c r="M21"/>
    </row>
    <row r="22" spans="1:13" x14ac:dyDescent="0.3">
      <c r="H22" s="169"/>
      <c r="I22" s="170"/>
    </row>
    <row r="23" spans="1:13" x14ac:dyDescent="0.3">
      <c r="A23" s="180">
        <v>4</v>
      </c>
      <c r="G23" s="194">
        <v>4</v>
      </c>
      <c r="I23" s="170"/>
    </row>
    <row r="24" spans="1:13" x14ac:dyDescent="0.3">
      <c r="A24" s="180">
        <v>4</v>
      </c>
      <c r="G24" s="129">
        <v>4</v>
      </c>
    </row>
    <row r="25" spans="1:13" x14ac:dyDescent="0.3">
      <c r="A25" s="180">
        <v>4</v>
      </c>
      <c r="G25" s="129">
        <v>3</v>
      </c>
    </row>
    <row r="26" spans="1:13" x14ac:dyDescent="0.3">
      <c r="A26" s="180">
        <v>5</v>
      </c>
      <c r="G26" s="129">
        <v>3</v>
      </c>
    </row>
    <row r="27" spans="1:13" x14ac:dyDescent="0.3">
      <c r="A27" s="180">
        <f>A26+A25+A24+A23</f>
        <v>17</v>
      </c>
      <c r="G27" s="129">
        <f>G26+G25+G24+G23</f>
        <v>14</v>
      </c>
    </row>
  </sheetData>
  <sortState ref="B5:E21">
    <sortCondition ref="E5:E21"/>
  </sortState>
  <mergeCells count="2">
    <mergeCell ref="H3:J3"/>
    <mergeCell ref="A3:D3"/>
  </mergeCells>
  <pageMargins left="0.70866141732283472" right="0.70866141732283472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6"/>
  <sheetViews>
    <sheetView topLeftCell="A58" zoomScaleNormal="100" workbookViewId="0">
      <selection activeCell="C66" sqref="C66"/>
    </sheetView>
  </sheetViews>
  <sheetFormatPr baseColWidth="10" defaultColWidth="11.44140625" defaultRowHeight="34.5" customHeight="1" x14ac:dyDescent="0.3"/>
  <cols>
    <col min="1" max="1" width="5.88671875" style="130" customWidth="1"/>
    <col min="2" max="2" width="26.88671875" style="139" customWidth="1"/>
    <col min="3" max="3" width="9.44140625" style="130" customWidth="1"/>
    <col min="4" max="5" width="13.44140625" style="130" customWidth="1"/>
    <col min="6" max="6" width="14.88671875" style="130" bestFit="1" customWidth="1"/>
    <col min="7" max="16384" width="11.44140625" style="130"/>
  </cols>
  <sheetData>
    <row r="2" spans="1:7" ht="92.25" x14ac:dyDescent="0.25">
      <c r="A2" s="206" t="s">
        <v>86</v>
      </c>
      <c r="B2" s="206"/>
      <c r="C2" s="206"/>
      <c r="D2" s="206"/>
      <c r="E2" s="206"/>
      <c r="F2" s="206"/>
      <c r="G2" s="137"/>
    </row>
    <row r="3" spans="1:7" ht="34.5" customHeight="1" x14ac:dyDescent="0.25">
      <c r="A3" s="133"/>
      <c r="B3" s="138"/>
      <c r="C3" s="133"/>
      <c r="D3" s="133"/>
      <c r="E3" s="133"/>
      <c r="F3" s="133"/>
      <c r="G3" s="133"/>
    </row>
    <row r="5" spans="1:7" ht="34.5" customHeight="1" x14ac:dyDescent="0.25">
      <c r="A5" s="131" t="s">
        <v>85</v>
      </c>
      <c r="B5" s="131" t="s">
        <v>53</v>
      </c>
      <c r="C5" s="131" t="s">
        <v>54</v>
      </c>
      <c r="D5" s="131" t="s">
        <v>92</v>
      </c>
      <c r="E5" s="131" t="s">
        <v>93</v>
      </c>
      <c r="F5" s="131" t="s">
        <v>94</v>
      </c>
    </row>
    <row r="6" spans="1:7" ht="34.5" customHeight="1" x14ac:dyDescent="0.25">
      <c r="A6" s="132">
        <f>männlich!A4</f>
        <v>1</v>
      </c>
      <c r="B6" s="134" t="str">
        <f>männlich!B4</f>
        <v>Heider, Paul-Lukas</v>
      </c>
      <c r="C6" s="132" t="str">
        <f>männlich!C4</f>
        <v>RCI</v>
      </c>
      <c r="D6" s="131"/>
      <c r="E6" s="131"/>
      <c r="F6" s="131"/>
    </row>
    <row r="7" spans="1:7" ht="34.5" customHeight="1" x14ac:dyDescent="0.25">
      <c r="A7" s="132">
        <f>männlich!A5</f>
        <v>3</v>
      </c>
      <c r="B7" s="134" t="str">
        <f>männlich!B5</f>
        <v>Jannusch, Jonas</v>
      </c>
      <c r="C7" s="132" t="str">
        <f>männlich!C5</f>
        <v>SON</v>
      </c>
      <c r="D7" s="131"/>
      <c r="E7" s="131"/>
      <c r="F7" s="131"/>
    </row>
    <row r="8" spans="1:7" ht="34.5" customHeight="1" x14ac:dyDescent="0.25">
      <c r="A8" s="132">
        <f>männlich!A6</f>
        <v>2</v>
      </c>
      <c r="B8" s="134" t="str">
        <f>männlich!B6</f>
        <v>Langenhan, Max</v>
      </c>
      <c r="C8" s="132" t="str">
        <f>männlich!C6</f>
        <v>FRO</v>
      </c>
      <c r="D8" s="131"/>
      <c r="E8" s="131"/>
      <c r="F8" s="131"/>
    </row>
    <row r="9" spans="1:7" ht="34.5" customHeight="1" x14ac:dyDescent="0.25">
      <c r="A9" s="132">
        <f>männlich!A7</f>
        <v>4</v>
      </c>
      <c r="B9" s="134" t="str">
        <f>männlich!B7</f>
        <v>Hoffmann, Lukas</v>
      </c>
      <c r="C9" s="132" t="str">
        <f>männlich!C7</f>
        <v>RTS</v>
      </c>
      <c r="D9" s="131"/>
      <c r="E9" s="131"/>
      <c r="F9" s="131"/>
    </row>
    <row r="10" spans="1:7" s="184" customFormat="1" ht="34.5" customHeight="1" x14ac:dyDescent="0.25">
      <c r="A10" s="132">
        <f>männlich!A8</f>
        <v>5</v>
      </c>
      <c r="B10" s="134" t="str">
        <f>männlich!B8</f>
        <v>Gubitz, Paul</v>
      </c>
      <c r="C10" s="132" t="str">
        <f>männlich!C8</f>
        <v>TSV ZM</v>
      </c>
      <c r="D10" s="131"/>
      <c r="E10" s="131"/>
      <c r="F10" s="131"/>
    </row>
    <row r="11" spans="1:7" s="184" customFormat="1" ht="34.5" customHeight="1" x14ac:dyDescent="0.25">
      <c r="A11" s="182"/>
      <c r="B11" s="183"/>
      <c r="C11" s="182"/>
    </row>
    <row r="12" spans="1:7" s="184" customFormat="1" ht="34.5" customHeight="1" x14ac:dyDescent="0.3">
      <c r="A12" s="182"/>
      <c r="B12" s="183"/>
      <c r="C12" s="182"/>
    </row>
    <row r="21" spans="1:7" ht="91.8" x14ac:dyDescent="0.3">
      <c r="A21" s="206" t="s">
        <v>87</v>
      </c>
      <c r="B21" s="206"/>
      <c r="C21" s="206"/>
      <c r="D21" s="206"/>
      <c r="E21" s="206"/>
      <c r="F21" s="206"/>
      <c r="G21" s="137"/>
    </row>
    <row r="22" spans="1:7" ht="34.5" customHeight="1" x14ac:dyDescent="0.3">
      <c r="A22" s="133"/>
      <c r="B22" s="138"/>
      <c r="C22" s="133"/>
      <c r="D22" s="133"/>
      <c r="E22" s="133"/>
      <c r="F22" s="133"/>
      <c r="G22" s="133"/>
    </row>
    <row r="24" spans="1:7" ht="34.5" customHeight="1" x14ac:dyDescent="0.3">
      <c r="A24" s="131" t="s">
        <v>85</v>
      </c>
      <c r="B24" s="131" t="s">
        <v>53</v>
      </c>
      <c r="C24" s="131" t="s">
        <v>54</v>
      </c>
      <c r="D24" s="131" t="s">
        <v>92</v>
      </c>
      <c r="E24" s="131" t="s">
        <v>93</v>
      </c>
      <c r="F24" s="131" t="s">
        <v>94</v>
      </c>
    </row>
    <row r="25" spans="1:7" ht="34.5" customHeight="1" x14ac:dyDescent="0.3">
      <c r="A25" s="132">
        <f>männlich!A9</f>
        <v>6</v>
      </c>
      <c r="B25" s="134" t="str">
        <f>männlich!B9</f>
        <v>Schneider, Robin</v>
      </c>
      <c r="C25" s="132" t="str">
        <f>männlich!C9</f>
        <v>RCI</v>
      </c>
      <c r="D25" s="131"/>
      <c r="E25" s="131"/>
      <c r="F25" s="131"/>
    </row>
    <row r="26" spans="1:7" ht="34.5" customHeight="1" x14ac:dyDescent="0.3">
      <c r="A26" s="132">
        <f>männlich!A10</f>
        <v>16</v>
      </c>
      <c r="B26" s="134" t="str">
        <f>männlich!B10</f>
        <v>Jaensch, Thomas</v>
      </c>
      <c r="C26" s="132" t="str">
        <f>männlich!C10</f>
        <v>RRC ZM</v>
      </c>
      <c r="D26" s="131"/>
      <c r="E26" s="131"/>
      <c r="F26" s="131"/>
    </row>
    <row r="27" spans="1:7" ht="34.5" customHeight="1" x14ac:dyDescent="0.3">
      <c r="A27" s="132">
        <f>männlich!A11</f>
        <v>9</v>
      </c>
      <c r="B27" s="134" t="str">
        <f>männlich!B11</f>
        <v>Orlamünder, Hannes</v>
      </c>
      <c r="C27" s="132" t="str">
        <f>männlich!C11</f>
        <v>RRC ZM</v>
      </c>
      <c r="D27" s="131"/>
      <c r="E27" s="131"/>
      <c r="F27" s="131"/>
    </row>
    <row r="28" spans="1:7" ht="34.5" customHeight="1" x14ac:dyDescent="0.3">
      <c r="A28" s="132">
        <f>männlich!A12</f>
        <v>11</v>
      </c>
      <c r="B28" s="134" t="str">
        <f>männlich!B12</f>
        <v>Juchheim, Leon</v>
      </c>
      <c r="C28" s="132" t="str">
        <f>männlich!C12</f>
        <v>RCI</v>
      </c>
      <c r="D28" s="131"/>
      <c r="E28" s="131"/>
      <c r="F28" s="131"/>
    </row>
    <row r="29" spans="1:7" s="184" customFormat="1" ht="34.5" customHeight="1" x14ac:dyDescent="0.3">
      <c r="A29" s="182"/>
      <c r="B29" s="183"/>
      <c r="C29" s="182"/>
    </row>
    <row r="30" spans="1:7" s="184" customFormat="1" ht="34.5" customHeight="1" x14ac:dyDescent="0.3">
      <c r="A30" s="182"/>
      <c r="B30" s="183"/>
      <c r="C30" s="182"/>
    </row>
    <row r="31" spans="1:7" s="184" customFormat="1" ht="34.5" customHeight="1" x14ac:dyDescent="0.3">
      <c r="A31" s="182"/>
      <c r="B31" s="183"/>
      <c r="C31" s="182"/>
    </row>
    <row r="40" spans="1:7" ht="91.8" x14ac:dyDescent="0.3">
      <c r="A40" s="206" t="s">
        <v>88</v>
      </c>
      <c r="B40" s="206"/>
      <c r="C40" s="206"/>
      <c r="D40" s="206"/>
      <c r="E40" s="206"/>
      <c r="F40" s="206"/>
      <c r="G40" s="137"/>
    </row>
    <row r="41" spans="1:7" ht="34.5" customHeight="1" x14ac:dyDescent="0.3">
      <c r="A41" s="133"/>
      <c r="B41" s="138"/>
      <c r="C41" s="133"/>
      <c r="D41" s="133"/>
      <c r="E41" s="133"/>
      <c r="F41" s="133"/>
      <c r="G41" s="133"/>
    </row>
    <row r="43" spans="1:7" ht="34.5" customHeight="1" x14ac:dyDescent="0.3">
      <c r="A43" s="131" t="s">
        <v>85</v>
      </c>
      <c r="B43" s="131" t="s">
        <v>53</v>
      </c>
      <c r="C43" s="131" t="s">
        <v>54</v>
      </c>
      <c r="D43" s="131" t="s">
        <v>92</v>
      </c>
      <c r="E43" s="131" t="s">
        <v>93</v>
      </c>
      <c r="F43" s="131" t="s">
        <v>94</v>
      </c>
    </row>
    <row r="44" spans="1:7" ht="34.5" customHeight="1" x14ac:dyDescent="0.3">
      <c r="A44" s="132">
        <f>männlich!A13</f>
        <v>12</v>
      </c>
      <c r="B44" s="134" t="str">
        <f>männlich!B13</f>
        <v>Kluczenski, Sascha</v>
      </c>
      <c r="C44" s="132" t="str">
        <f>männlich!C13</f>
        <v>FRO</v>
      </c>
      <c r="D44" s="131"/>
      <c r="E44" s="131"/>
      <c r="F44" s="131"/>
    </row>
    <row r="45" spans="1:7" ht="34.5" customHeight="1" x14ac:dyDescent="0.3">
      <c r="A45" s="132">
        <f>männlich!A14</f>
        <v>10</v>
      </c>
      <c r="B45" s="134" t="str">
        <f>männlich!B14</f>
        <v>Dietsch, Pascal</v>
      </c>
      <c r="C45" s="132" t="str">
        <f>männlich!C14</f>
        <v>WAL</v>
      </c>
      <c r="D45" s="131"/>
      <c r="E45" s="131"/>
      <c r="F45" s="131"/>
    </row>
    <row r="46" spans="1:7" ht="34.5" customHeight="1" x14ac:dyDescent="0.3">
      <c r="A46" s="132">
        <f>männlich!A15</f>
        <v>8</v>
      </c>
      <c r="B46" s="134" t="str">
        <f>männlich!B15</f>
        <v>Berkes, Michael</v>
      </c>
      <c r="C46" s="132" t="str">
        <f>männlich!C15</f>
        <v>RTS</v>
      </c>
      <c r="D46" s="131"/>
      <c r="E46" s="131"/>
      <c r="F46" s="131"/>
    </row>
    <row r="47" spans="1:7" ht="34.5" customHeight="1" x14ac:dyDescent="0.3">
      <c r="A47" s="132">
        <f>männlich!A16</f>
        <v>14</v>
      </c>
      <c r="B47" s="134" t="str">
        <f>männlich!B16</f>
        <v>Brendel, Fabian</v>
      </c>
      <c r="C47" s="132" t="str">
        <f>männlich!C16</f>
        <v>RCI</v>
      </c>
      <c r="D47" s="131"/>
      <c r="E47" s="131"/>
      <c r="F47" s="131"/>
    </row>
    <row r="48" spans="1:7" s="184" customFormat="1" ht="34.5" customHeight="1" x14ac:dyDescent="0.3">
      <c r="A48" s="182"/>
      <c r="B48" s="182"/>
      <c r="C48" s="182"/>
    </row>
    <row r="49" spans="1:7" s="184" customFormat="1" ht="34.5" customHeight="1" x14ac:dyDescent="0.3">
      <c r="A49" s="182"/>
      <c r="B49" s="182"/>
      <c r="C49" s="182"/>
    </row>
    <row r="50" spans="1:7" s="184" customFormat="1" ht="34.5" customHeight="1" x14ac:dyDescent="0.3">
      <c r="A50" s="182"/>
      <c r="B50" s="182"/>
      <c r="C50" s="182"/>
    </row>
    <row r="59" spans="1:7" ht="91.8" x14ac:dyDescent="0.3">
      <c r="A59" s="206" t="s">
        <v>89</v>
      </c>
      <c r="B59" s="206"/>
      <c r="C59" s="206"/>
      <c r="D59" s="206"/>
      <c r="E59" s="206"/>
      <c r="F59" s="206"/>
      <c r="G59" s="137"/>
    </row>
    <row r="60" spans="1:7" ht="34.5" customHeight="1" x14ac:dyDescent="0.3">
      <c r="A60" s="133"/>
      <c r="B60" s="138"/>
      <c r="C60" s="133"/>
      <c r="D60" s="133"/>
      <c r="E60" s="133"/>
      <c r="F60" s="133"/>
      <c r="G60" s="133"/>
    </row>
    <row r="62" spans="1:7" ht="34.5" customHeight="1" x14ac:dyDescent="0.3">
      <c r="A62" s="131" t="s">
        <v>85</v>
      </c>
      <c r="B62" s="131" t="s">
        <v>53</v>
      </c>
      <c r="C62" s="131" t="s">
        <v>54</v>
      </c>
      <c r="D62" s="131" t="s">
        <v>92</v>
      </c>
      <c r="E62" s="131" t="s">
        <v>93</v>
      </c>
      <c r="F62" s="131" t="s">
        <v>94</v>
      </c>
    </row>
    <row r="63" spans="1:7" ht="34.5" customHeight="1" x14ac:dyDescent="0.3">
      <c r="A63" s="132">
        <f>männlich!A17</f>
        <v>15</v>
      </c>
      <c r="B63" s="134" t="str">
        <f>männlich!B17</f>
        <v>Riede, Adrian</v>
      </c>
      <c r="C63" s="132" t="str">
        <f>männlich!C17</f>
        <v>WAL</v>
      </c>
      <c r="D63" s="131"/>
      <c r="E63" s="131"/>
      <c r="F63" s="131"/>
    </row>
    <row r="64" spans="1:7" ht="34.5" customHeight="1" x14ac:dyDescent="0.3">
      <c r="A64" s="132">
        <f>männlich!A18</f>
        <v>13</v>
      </c>
      <c r="B64" s="134" t="str">
        <f>männlich!B18</f>
        <v>Witte, Philipp</v>
      </c>
      <c r="C64" s="132" t="str">
        <f>männlich!C18</f>
        <v>RCI</v>
      </c>
      <c r="D64" s="131"/>
      <c r="E64" s="131"/>
      <c r="F64" s="131"/>
    </row>
    <row r="65" spans="1:6" ht="34.5" customHeight="1" x14ac:dyDescent="0.3">
      <c r="A65" s="132">
        <f>männlich!A19</f>
        <v>7</v>
      </c>
      <c r="B65" s="134" t="str">
        <f>männlich!B19</f>
        <v>Lakusta, Leon</v>
      </c>
      <c r="C65" s="132" t="str">
        <f>männlich!C19</f>
        <v>RTS</v>
      </c>
      <c r="D65" s="131"/>
      <c r="E65" s="131"/>
      <c r="F65" s="131"/>
    </row>
    <row r="66" spans="1:6" ht="34.5" customHeight="1" x14ac:dyDescent="0.3">
      <c r="A66" s="132" t="e">
        <f>männlich!#REF!</f>
        <v>#REF!</v>
      </c>
      <c r="B66" s="134" t="e">
        <f>männlich!#REF!</f>
        <v>#REF!</v>
      </c>
      <c r="C66" s="132" t="e">
        <f>männlich!#REF!</f>
        <v>#REF!</v>
      </c>
      <c r="D66" s="131"/>
      <c r="E66" s="131"/>
      <c r="F66" s="131"/>
    </row>
  </sheetData>
  <mergeCells count="4">
    <mergeCell ref="A2:F2"/>
    <mergeCell ref="A21:F21"/>
    <mergeCell ref="A40:F40"/>
    <mergeCell ref="A59:F59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6"/>
  <sheetViews>
    <sheetView zoomScaleNormal="100" workbookViewId="0"/>
  </sheetViews>
  <sheetFormatPr baseColWidth="10" defaultColWidth="11.44140625" defaultRowHeight="34.5" customHeight="1" x14ac:dyDescent="0.3"/>
  <cols>
    <col min="1" max="1" width="5.88671875" style="130" customWidth="1"/>
    <col min="2" max="2" width="26.88671875" style="139" customWidth="1"/>
    <col min="3" max="3" width="10.88671875" style="130" bestFit="1" customWidth="1"/>
    <col min="4" max="5" width="13.44140625" style="130" customWidth="1"/>
    <col min="6" max="6" width="14.88671875" style="130" bestFit="1" customWidth="1"/>
    <col min="7" max="16384" width="11.44140625" style="130"/>
  </cols>
  <sheetData>
    <row r="2" spans="1:7" ht="92.25" x14ac:dyDescent="0.25">
      <c r="A2" s="206" t="s">
        <v>90</v>
      </c>
      <c r="B2" s="206"/>
      <c r="C2" s="206"/>
      <c r="D2" s="206"/>
      <c r="E2" s="206"/>
      <c r="F2" s="206"/>
      <c r="G2" s="137"/>
    </row>
    <row r="3" spans="1:7" ht="34.5" customHeight="1" x14ac:dyDescent="0.25">
      <c r="A3" s="133"/>
      <c r="B3" s="138"/>
      <c r="C3" s="133"/>
      <c r="D3" s="133"/>
      <c r="E3" s="133"/>
      <c r="F3" s="133"/>
      <c r="G3" s="133"/>
    </row>
    <row r="5" spans="1:7" ht="34.5" customHeight="1" x14ac:dyDescent="0.25">
      <c r="A5" s="131" t="s">
        <v>85</v>
      </c>
      <c r="B5" s="131" t="s">
        <v>53</v>
      </c>
      <c r="C5" s="131" t="s">
        <v>54</v>
      </c>
      <c r="D5" s="131" t="s">
        <v>92</v>
      </c>
      <c r="E5" s="131" t="s">
        <v>93</v>
      </c>
      <c r="F5" s="131" t="s">
        <v>94</v>
      </c>
    </row>
    <row r="6" spans="1:7" ht="34.5" customHeight="1" x14ac:dyDescent="0.25">
      <c r="A6" s="132">
        <f>weiblich!A4</f>
        <v>1</v>
      </c>
      <c r="B6" s="134" t="str">
        <f>weiblich!B4</f>
        <v>Oestereicher, Svenja</v>
      </c>
      <c r="C6" s="132" t="str">
        <f>weiblich!C4</f>
        <v>SON</v>
      </c>
      <c r="D6" s="131"/>
      <c r="E6" s="131"/>
      <c r="F6" s="131"/>
    </row>
    <row r="7" spans="1:7" ht="34.5" customHeight="1" x14ac:dyDescent="0.25">
      <c r="A7" s="132">
        <f>weiblich!A5</f>
        <v>2</v>
      </c>
      <c r="B7" s="134" t="str">
        <f>weiblich!B5</f>
        <v>Werner, Janine</v>
      </c>
      <c r="C7" s="132" t="str">
        <f>weiblich!C5</f>
        <v>RTS</v>
      </c>
      <c r="D7" s="131"/>
      <c r="E7" s="131"/>
      <c r="F7" s="131"/>
    </row>
    <row r="8" spans="1:7" ht="34.5" customHeight="1" x14ac:dyDescent="0.25">
      <c r="A8" s="132">
        <f>weiblich!A6</f>
        <v>4</v>
      </c>
      <c r="B8" s="134" t="str">
        <f>weiblich!B6</f>
        <v>König, Laura</v>
      </c>
      <c r="C8" s="132" t="str">
        <f>weiblich!C6</f>
        <v>RTS</v>
      </c>
      <c r="D8" s="131"/>
      <c r="E8" s="131"/>
      <c r="F8" s="131"/>
    </row>
    <row r="9" spans="1:7" ht="34.5" customHeight="1" x14ac:dyDescent="0.25">
      <c r="A9" s="132">
        <f>weiblich!A7</f>
        <v>3</v>
      </c>
      <c r="B9" s="134" t="str">
        <f>weiblich!B7</f>
        <v>Erfurt, Lisa</v>
      </c>
      <c r="C9" s="132" t="str">
        <f>weiblich!C7</f>
        <v>RCI</v>
      </c>
      <c r="D9" s="131"/>
      <c r="E9" s="131"/>
      <c r="F9" s="131"/>
    </row>
    <row r="10" spans="1:7" ht="34.5" customHeight="1" x14ac:dyDescent="0.25">
      <c r="A10" s="182"/>
      <c r="B10" s="183"/>
      <c r="C10" s="182"/>
      <c r="D10" s="184"/>
      <c r="E10" s="184"/>
      <c r="F10" s="184"/>
    </row>
    <row r="11" spans="1:7" s="184" customFormat="1" ht="34.5" customHeight="1" x14ac:dyDescent="0.25">
      <c r="A11" s="182"/>
      <c r="B11" s="183"/>
      <c r="C11" s="182"/>
    </row>
    <row r="12" spans="1:7" s="184" customFormat="1" ht="34.5" customHeight="1" x14ac:dyDescent="0.3">
      <c r="A12" s="182"/>
      <c r="B12" s="183"/>
      <c r="C12" s="182"/>
    </row>
    <row r="21" spans="1:7" ht="91.8" x14ac:dyDescent="0.3">
      <c r="A21" s="206" t="s">
        <v>91</v>
      </c>
      <c r="B21" s="206"/>
      <c r="C21" s="206"/>
      <c r="D21" s="206"/>
      <c r="E21" s="206"/>
      <c r="F21" s="206"/>
      <c r="G21" s="137"/>
    </row>
    <row r="22" spans="1:7" ht="34.5" customHeight="1" x14ac:dyDescent="0.3">
      <c r="A22" s="133"/>
      <c r="B22" s="138"/>
      <c r="C22" s="133"/>
      <c r="D22" s="133"/>
      <c r="E22" s="133"/>
      <c r="F22" s="133"/>
      <c r="G22" s="133"/>
    </row>
    <row r="24" spans="1:7" ht="34.5" customHeight="1" x14ac:dyDescent="0.3">
      <c r="A24" s="131" t="s">
        <v>85</v>
      </c>
      <c r="B24" s="131" t="s">
        <v>53</v>
      </c>
      <c r="C24" s="131" t="s">
        <v>54</v>
      </c>
      <c r="D24" s="131" t="s">
        <v>92</v>
      </c>
      <c r="E24" s="131" t="s">
        <v>93</v>
      </c>
      <c r="F24" s="131" t="s">
        <v>94</v>
      </c>
    </row>
    <row r="25" spans="1:7" ht="34.5" customHeight="1" x14ac:dyDescent="0.3">
      <c r="A25" s="132">
        <f>weiblich!A8</f>
        <v>5</v>
      </c>
      <c r="B25" s="134" t="str">
        <f>weiblich!B8</f>
        <v>Wiegand, Tanja</v>
      </c>
      <c r="C25" s="132" t="str">
        <f>weiblich!C8</f>
        <v>FRO</v>
      </c>
      <c r="D25" s="131"/>
      <c r="E25" s="131"/>
      <c r="F25" s="131"/>
    </row>
    <row r="26" spans="1:7" ht="34.5" customHeight="1" x14ac:dyDescent="0.3">
      <c r="A26" s="132">
        <f>weiblich!A9</f>
        <v>11</v>
      </c>
      <c r="B26" s="134" t="str">
        <f>weiblich!B9</f>
        <v>Lohmann, Janine</v>
      </c>
      <c r="C26" s="132" t="str">
        <f>weiblich!C9</f>
        <v>SON</v>
      </c>
      <c r="D26" s="131"/>
      <c r="E26" s="131"/>
      <c r="F26" s="131"/>
    </row>
    <row r="27" spans="1:7" ht="34.5" customHeight="1" x14ac:dyDescent="0.3">
      <c r="A27" s="132">
        <f>weiblich!A10</f>
        <v>8</v>
      </c>
      <c r="B27" s="134" t="str">
        <f>weiblich!B10</f>
        <v>Riemann, Celin</v>
      </c>
      <c r="C27" s="132" t="str">
        <f>weiblich!C10</f>
        <v>FRO</v>
      </c>
      <c r="D27" s="131"/>
      <c r="E27" s="131"/>
      <c r="F27" s="131"/>
    </row>
    <row r="40" spans="1:7" ht="91.8" x14ac:dyDescent="0.3">
      <c r="A40" s="206" t="s">
        <v>140</v>
      </c>
      <c r="B40" s="206"/>
      <c r="C40" s="206"/>
      <c r="D40" s="206"/>
      <c r="E40" s="206"/>
      <c r="F40" s="206"/>
      <c r="G40" s="137"/>
    </row>
    <row r="41" spans="1:7" ht="34.5" customHeight="1" x14ac:dyDescent="0.3">
      <c r="A41" s="191"/>
      <c r="B41" s="138"/>
      <c r="C41" s="191"/>
      <c r="D41" s="191"/>
      <c r="E41" s="191"/>
      <c r="F41" s="191"/>
      <c r="G41" s="191"/>
    </row>
    <row r="43" spans="1:7" ht="34.5" customHeight="1" x14ac:dyDescent="0.3">
      <c r="A43" s="131" t="s">
        <v>85</v>
      </c>
      <c r="B43" s="131" t="s">
        <v>53</v>
      </c>
      <c r="C43" s="131" t="s">
        <v>54</v>
      </c>
      <c r="D43" s="131" t="s">
        <v>92</v>
      </c>
      <c r="E43" s="131" t="s">
        <v>93</v>
      </c>
      <c r="F43" s="131" t="s">
        <v>94</v>
      </c>
    </row>
    <row r="44" spans="1:7" ht="34.5" customHeight="1" x14ac:dyDescent="0.3">
      <c r="A44" s="132">
        <f>weiblich!A11</f>
        <v>7</v>
      </c>
      <c r="B44" s="134" t="str">
        <f>weiblich!B11</f>
        <v>Möller, Sarah</v>
      </c>
      <c r="C44" s="132" t="str">
        <f>weiblich!C11</f>
        <v>SMK</v>
      </c>
      <c r="D44" s="131"/>
      <c r="E44" s="131"/>
      <c r="F44" s="131"/>
    </row>
    <row r="45" spans="1:7" ht="34.5" customHeight="1" x14ac:dyDescent="0.3">
      <c r="A45" s="132">
        <f>weiblich!A12</f>
        <v>12</v>
      </c>
      <c r="B45" s="134" t="str">
        <f>weiblich!B12</f>
        <v>Reiche, Serina</v>
      </c>
      <c r="C45" s="132" t="str">
        <f>weiblich!C12</f>
        <v>SON</v>
      </c>
      <c r="D45" s="131"/>
      <c r="E45" s="131"/>
      <c r="F45" s="131"/>
    </row>
    <row r="46" spans="1:7" ht="34.5" customHeight="1" x14ac:dyDescent="0.3">
      <c r="A46" s="132">
        <f>weiblich!A13</f>
        <v>10</v>
      </c>
      <c r="B46" s="134" t="str">
        <f>weiblich!B13</f>
        <v>Werner, Paula</v>
      </c>
      <c r="C46" s="132" t="str">
        <f>weiblich!C13</f>
        <v>SON</v>
      </c>
      <c r="D46" s="131"/>
      <c r="E46" s="131"/>
      <c r="F46" s="131"/>
    </row>
    <row r="59" spans="1:7" ht="91.8" x14ac:dyDescent="0.3">
      <c r="A59" s="206" t="s">
        <v>146</v>
      </c>
      <c r="B59" s="206"/>
      <c r="C59" s="206"/>
      <c r="D59" s="206"/>
      <c r="E59" s="206"/>
      <c r="F59" s="206"/>
      <c r="G59" s="137"/>
    </row>
    <row r="60" spans="1:7" ht="34.5" customHeight="1" x14ac:dyDescent="0.3">
      <c r="A60" s="195"/>
      <c r="B60" s="138"/>
      <c r="C60" s="195"/>
      <c r="D60" s="195"/>
      <c r="E60" s="195"/>
      <c r="F60" s="195"/>
      <c r="G60" s="195"/>
    </row>
    <row r="62" spans="1:7" ht="34.5" customHeight="1" x14ac:dyDescent="0.3">
      <c r="A62" s="131" t="s">
        <v>85</v>
      </c>
      <c r="B62" s="131" t="s">
        <v>53</v>
      </c>
      <c r="C62" s="131" t="s">
        <v>54</v>
      </c>
      <c r="D62" s="131" t="s">
        <v>92</v>
      </c>
      <c r="E62" s="131" t="s">
        <v>93</v>
      </c>
      <c r="F62" s="131" t="s">
        <v>94</v>
      </c>
    </row>
    <row r="63" spans="1:7" ht="34.5" customHeight="1" x14ac:dyDescent="0.3">
      <c r="A63" s="132">
        <f>weiblich!A14</f>
        <v>6</v>
      </c>
      <c r="B63" s="134" t="str">
        <f>weiblich!B14</f>
        <v>Stubenrauch, Jennifer</v>
      </c>
      <c r="C63" s="132" t="str">
        <f>weiblich!C14</f>
        <v>RCI</v>
      </c>
      <c r="D63" s="131"/>
      <c r="E63" s="131"/>
      <c r="F63" s="131"/>
    </row>
    <row r="64" spans="1:7" ht="34.5" customHeight="1" x14ac:dyDescent="0.3">
      <c r="A64" s="132">
        <f>weiblich!A15</f>
        <v>9</v>
      </c>
      <c r="B64" s="134" t="str">
        <f>weiblich!B15</f>
        <v>Müller, Anna</v>
      </c>
      <c r="C64" s="132" t="str">
        <f>weiblich!C15</f>
        <v>SON</v>
      </c>
      <c r="D64" s="131"/>
      <c r="E64" s="131"/>
      <c r="F64" s="131"/>
    </row>
    <row r="65" spans="1:6" ht="34.5" customHeight="1" x14ac:dyDescent="0.3">
      <c r="A65" s="132">
        <f>weiblich!A16</f>
        <v>13</v>
      </c>
      <c r="B65" s="134" t="str">
        <f>weiblich!B16</f>
        <v>Rommel, Tanja</v>
      </c>
      <c r="C65" s="132" t="str">
        <f>weiblich!C16</f>
        <v>SMK</v>
      </c>
      <c r="D65" s="131"/>
      <c r="E65" s="131"/>
      <c r="F65" s="131"/>
    </row>
    <row r="66" spans="1:6" ht="34.5" customHeight="1" x14ac:dyDescent="0.3">
      <c r="A66" s="132" t="e">
        <f>weiblich!#REF!</f>
        <v>#REF!</v>
      </c>
      <c r="B66" s="134" t="e">
        <f>weiblich!#REF!</f>
        <v>#REF!</v>
      </c>
      <c r="C66" s="132" t="e">
        <f>weiblich!#REF!</f>
        <v>#REF!</v>
      </c>
      <c r="D66" s="131"/>
      <c r="E66" s="131"/>
      <c r="F66" s="131"/>
    </row>
  </sheetData>
  <mergeCells count="4">
    <mergeCell ref="A2:F2"/>
    <mergeCell ref="A21:F21"/>
    <mergeCell ref="A40:F40"/>
    <mergeCell ref="A59:F59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8"/>
  <sheetViews>
    <sheetView workbookViewId="0">
      <pane ySplit="1" topLeftCell="A2" activePane="bottomLeft" state="frozen"/>
      <selection pane="bottomLeft"/>
    </sheetView>
  </sheetViews>
  <sheetFormatPr baseColWidth="10" defaultColWidth="11.44140625" defaultRowHeight="13.8" x14ac:dyDescent="0.25"/>
  <cols>
    <col min="1" max="1" width="11.44140625" style="18"/>
    <col min="2" max="2" width="11.44140625" style="17"/>
    <col min="3" max="3" width="11.44140625" style="18"/>
    <col min="4" max="4" width="11.44140625" style="17"/>
    <col min="5" max="5" width="11.44140625" style="18"/>
    <col min="6" max="6" width="11.44140625" style="17"/>
    <col min="7" max="7" width="11.44140625" style="18"/>
    <col min="8" max="16384" width="11.44140625" style="17"/>
  </cols>
  <sheetData>
    <row r="1" spans="1:20" ht="14.25" x14ac:dyDescent="0.2">
      <c r="A1" s="20" t="s">
        <v>0</v>
      </c>
      <c r="B1" s="16"/>
      <c r="C1" s="20" t="s">
        <v>1</v>
      </c>
      <c r="D1" s="16"/>
      <c r="E1" s="20" t="s">
        <v>2</v>
      </c>
      <c r="F1" s="16"/>
      <c r="G1" s="20" t="s">
        <v>3</v>
      </c>
      <c r="H1" s="16"/>
      <c r="I1" s="15" t="s">
        <v>4</v>
      </c>
      <c r="J1" s="16"/>
      <c r="K1" s="15" t="s">
        <v>5</v>
      </c>
      <c r="L1" s="16"/>
      <c r="M1" s="15" t="s">
        <v>58</v>
      </c>
      <c r="N1" s="16"/>
      <c r="O1" s="15" t="s">
        <v>59</v>
      </c>
      <c r="P1" s="16"/>
      <c r="Q1" s="15" t="s">
        <v>60</v>
      </c>
      <c r="R1" s="16"/>
      <c r="S1" s="15" t="s">
        <v>61</v>
      </c>
      <c r="T1" s="16"/>
    </row>
    <row r="2" spans="1:20" ht="14.25" x14ac:dyDescent="0.2">
      <c r="A2" s="18" t="s">
        <v>44</v>
      </c>
      <c r="B2" s="17" t="s">
        <v>48</v>
      </c>
      <c r="C2" s="18" t="s">
        <v>44</v>
      </c>
      <c r="D2" s="17" t="s">
        <v>48</v>
      </c>
      <c r="E2" s="18" t="s">
        <v>44</v>
      </c>
      <c r="F2" s="17" t="s">
        <v>48</v>
      </c>
      <c r="G2" s="18" t="s">
        <v>44</v>
      </c>
      <c r="H2" s="17" t="s">
        <v>48</v>
      </c>
      <c r="I2" s="17" t="s">
        <v>44</v>
      </c>
      <c r="J2" s="17" t="s">
        <v>48</v>
      </c>
      <c r="K2" s="17" t="s">
        <v>62</v>
      </c>
      <c r="L2" s="17" t="s">
        <v>48</v>
      </c>
      <c r="M2" s="17" t="s">
        <v>46</v>
      </c>
      <c r="N2" s="17" t="s">
        <v>48</v>
      </c>
      <c r="O2" s="17" t="s">
        <v>46</v>
      </c>
      <c r="P2" s="17" t="s">
        <v>48</v>
      </c>
      <c r="Q2" s="17" t="s">
        <v>46</v>
      </c>
      <c r="R2" s="17" t="s">
        <v>48</v>
      </c>
      <c r="S2" s="17" t="s">
        <v>63</v>
      </c>
      <c r="T2" s="17" t="s">
        <v>45</v>
      </c>
    </row>
    <row r="3" spans="1:20" ht="14.25" x14ac:dyDescent="0.2">
      <c r="A3" s="18">
        <v>18.7</v>
      </c>
      <c r="B3" s="17">
        <v>1</v>
      </c>
      <c r="C3" s="18">
        <v>10.6</v>
      </c>
      <c r="D3" s="17">
        <v>50</v>
      </c>
      <c r="E3" s="18">
        <v>15.7</v>
      </c>
      <c r="F3" s="17">
        <v>50</v>
      </c>
      <c r="G3" s="18">
        <v>15</v>
      </c>
      <c r="H3" s="17">
        <v>50</v>
      </c>
      <c r="I3" s="17">
        <v>40</v>
      </c>
      <c r="J3" s="17">
        <v>50</v>
      </c>
      <c r="K3" s="18">
        <v>1</v>
      </c>
      <c r="L3" s="17">
        <v>1</v>
      </c>
      <c r="M3" s="18">
        <v>1</v>
      </c>
      <c r="N3" s="17">
        <v>1</v>
      </c>
      <c r="O3" s="19">
        <v>1</v>
      </c>
      <c r="P3" s="17">
        <v>3</v>
      </c>
      <c r="Q3" s="19">
        <v>1</v>
      </c>
      <c r="R3" s="17">
        <v>1</v>
      </c>
      <c r="S3" s="17">
        <v>1</v>
      </c>
      <c r="T3" s="17">
        <v>5</v>
      </c>
    </row>
    <row r="4" spans="1:20" ht="14.25" x14ac:dyDescent="0.2">
      <c r="A4" s="18">
        <v>18.600000000000001</v>
      </c>
      <c r="B4" s="17">
        <v>1</v>
      </c>
      <c r="C4" s="18">
        <v>10.7</v>
      </c>
      <c r="D4" s="17">
        <v>49</v>
      </c>
      <c r="E4" s="18">
        <v>15.8</v>
      </c>
      <c r="F4" s="17">
        <v>49</v>
      </c>
      <c r="G4" s="18">
        <v>15.1</v>
      </c>
      <c r="H4" s="17">
        <v>49</v>
      </c>
      <c r="I4" s="17">
        <v>41</v>
      </c>
      <c r="J4" s="17">
        <v>49</v>
      </c>
      <c r="K4" s="18">
        <v>1.5</v>
      </c>
      <c r="L4" s="17">
        <v>3</v>
      </c>
      <c r="M4" s="18">
        <v>1.5</v>
      </c>
      <c r="N4" s="17">
        <v>3</v>
      </c>
      <c r="O4" s="19">
        <v>1.25</v>
      </c>
      <c r="P4" s="17">
        <v>5</v>
      </c>
      <c r="Q4" s="19">
        <v>1.5</v>
      </c>
      <c r="R4" s="17">
        <v>3</v>
      </c>
      <c r="S4" s="17">
        <v>2</v>
      </c>
      <c r="T4" s="17">
        <v>10</v>
      </c>
    </row>
    <row r="5" spans="1:20" ht="14.25" x14ac:dyDescent="0.2">
      <c r="A5" s="18">
        <v>18.5</v>
      </c>
      <c r="B5" s="17">
        <v>1</v>
      </c>
      <c r="C5" s="18">
        <v>10.8</v>
      </c>
      <c r="D5" s="17">
        <v>49</v>
      </c>
      <c r="E5" s="18">
        <v>15.9</v>
      </c>
      <c r="F5" s="17">
        <v>49</v>
      </c>
      <c r="G5" s="18">
        <v>15.2</v>
      </c>
      <c r="H5" s="17">
        <v>49</v>
      </c>
      <c r="I5" s="17">
        <v>42</v>
      </c>
      <c r="J5" s="17">
        <v>49</v>
      </c>
      <c r="K5" s="18">
        <v>2</v>
      </c>
      <c r="L5" s="17">
        <v>5</v>
      </c>
      <c r="M5" s="18">
        <v>2</v>
      </c>
      <c r="N5" s="17">
        <v>5</v>
      </c>
      <c r="O5" s="19">
        <v>1.5</v>
      </c>
      <c r="P5" s="17">
        <v>7</v>
      </c>
      <c r="Q5" s="19">
        <v>2</v>
      </c>
      <c r="R5" s="17">
        <v>5</v>
      </c>
      <c r="S5" s="17">
        <v>3</v>
      </c>
      <c r="T5" s="17">
        <v>15</v>
      </c>
    </row>
    <row r="6" spans="1:20" ht="14.25" x14ac:dyDescent="0.2">
      <c r="A6" s="18">
        <v>18.399999999999999</v>
      </c>
      <c r="B6" s="17">
        <v>2</v>
      </c>
      <c r="C6" s="18">
        <v>10.9</v>
      </c>
      <c r="D6" s="17">
        <v>49</v>
      </c>
      <c r="E6" s="18">
        <v>16</v>
      </c>
      <c r="F6" s="17">
        <v>49</v>
      </c>
      <c r="G6" s="18">
        <v>15.3</v>
      </c>
      <c r="H6" s="17">
        <v>49</v>
      </c>
      <c r="I6" s="17">
        <v>43</v>
      </c>
      <c r="J6" s="17">
        <v>48</v>
      </c>
      <c r="K6" s="18">
        <v>2.5</v>
      </c>
      <c r="L6" s="17">
        <v>7</v>
      </c>
      <c r="M6" s="18">
        <v>2.5</v>
      </c>
      <c r="N6" s="17">
        <v>7</v>
      </c>
      <c r="O6" s="19">
        <v>1.75</v>
      </c>
      <c r="P6" s="17">
        <v>9</v>
      </c>
      <c r="Q6" s="19">
        <v>2.5</v>
      </c>
      <c r="R6" s="17">
        <v>7</v>
      </c>
      <c r="S6" s="17">
        <v>4</v>
      </c>
      <c r="T6" s="17">
        <v>20</v>
      </c>
    </row>
    <row r="7" spans="1:20" ht="14.25" x14ac:dyDescent="0.2">
      <c r="A7" s="18">
        <v>18.3</v>
      </c>
      <c r="B7" s="17">
        <v>2</v>
      </c>
      <c r="C7" s="18">
        <v>11</v>
      </c>
      <c r="D7" s="17">
        <v>48</v>
      </c>
      <c r="E7" s="18">
        <v>16.100000000000001</v>
      </c>
      <c r="F7" s="17">
        <v>48</v>
      </c>
      <c r="G7" s="18">
        <v>15.4</v>
      </c>
      <c r="H7" s="17">
        <v>49</v>
      </c>
      <c r="I7" s="17">
        <v>44</v>
      </c>
      <c r="J7" s="17">
        <v>48</v>
      </c>
      <c r="K7" s="18">
        <v>3</v>
      </c>
      <c r="L7" s="17">
        <v>10</v>
      </c>
      <c r="M7" s="18">
        <v>3</v>
      </c>
      <c r="N7" s="17">
        <v>10</v>
      </c>
      <c r="O7" s="19">
        <v>2</v>
      </c>
      <c r="P7" s="17">
        <v>11</v>
      </c>
      <c r="Q7" s="19">
        <v>3</v>
      </c>
      <c r="R7" s="17">
        <v>10</v>
      </c>
      <c r="S7" s="17">
        <v>5</v>
      </c>
      <c r="T7" s="17">
        <v>25</v>
      </c>
    </row>
    <row r="8" spans="1:20" ht="14.25" x14ac:dyDescent="0.2">
      <c r="A8" s="18">
        <v>18.2</v>
      </c>
      <c r="B8" s="17">
        <v>2</v>
      </c>
      <c r="C8" s="18">
        <v>11.1</v>
      </c>
      <c r="D8" s="17">
        <v>47</v>
      </c>
      <c r="E8" s="18">
        <v>16.2</v>
      </c>
      <c r="F8" s="17">
        <v>48</v>
      </c>
      <c r="G8" s="18">
        <v>15.5</v>
      </c>
      <c r="H8" s="17">
        <v>49</v>
      </c>
      <c r="I8" s="17">
        <v>45</v>
      </c>
      <c r="J8" s="17">
        <v>47</v>
      </c>
      <c r="K8" s="18">
        <v>3.5</v>
      </c>
      <c r="L8" s="17">
        <v>13</v>
      </c>
      <c r="M8" s="18">
        <v>3.5</v>
      </c>
      <c r="N8" s="17">
        <v>13</v>
      </c>
      <c r="O8" s="19">
        <v>2.25</v>
      </c>
      <c r="P8" s="17">
        <v>13</v>
      </c>
      <c r="Q8" s="19">
        <v>3.5</v>
      </c>
      <c r="R8" s="17">
        <v>13</v>
      </c>
      <c r="S8" s="17">
        <v>6</v>
      </c>
      <c r="T8" s="17">
        <v>30</v>
      </c>
    </row>
    <row r="9" spans="1:20" ht="14.25" x14ac:dyDescent="0.2">
      <c r="A9" s="18">
        <v>18.100000000000001</v>
      </c>
      <c r="B9" s="17">
        <v>3</v>
      </c>
      <c r="C9" s="18">
        <v>11.2</v>
      </c>
      <c r="D9" s="17">
        <v>47</v>
      </c>
      <c r="E9" s="18">
        <v>16.3</v>
      </c>
      <c r="F9" s="17">
        <v>47</v>
      </c>
      <c r="G9" s="18">
        <v>15.6</v>
      </c>
      <c r="H9" s="17">
        <v>48</v>
      </c>
      <c r="I9" s="17">
        <v>46</v>
      </c>
      <c r="J9" s="17">
        <v>47</v>
      </c>
      <c r="K9" s="18">
        <v>4</v>
      </c>
      <c r="L9" s="17">
        <v>16</v>
      </c>
      <c r="M9" s="18">
        <v>4</v>
      </c>
      <c r="N9" s="17">
        <v>16</v>
      </c>
      <c r="O9" s="19">
        <v>2.5</v>
      </c>
      <c r="P9" s="17">
        <v>15</v>
      </c>
      <c r="Q9" s="19">
        <v>4</v>
      </c>
      <c r="R9" s="17">
        <v>16</v>
      </c>
      <c r="S9" s="17">
        <v>7</v>
      </c>
      <c r="T9" s="17">
        <v>35</v>
      </c>
    </row>
    <row r="10" spans="1:20" ht="14.25" x14ac:dyDescent="0.2">
      <c r="A10" s="18">
        <v>18</v>
      </c>
      <c r="B10" s="17">
        <v>3</v>
      </c>
      <c r="C10" s="18">
        <v>11.3</v>
      </c>
      <c r="D10" s="17">
        <v>46</v>
      </c>
      <c r="E10" s="18">
        <v>16.399999999999999</v>
      </c>
      <c r="F10" s="17">
        <v>47</v>
      </c>
      <c r="G10" s="18">
        <v>15.7</v>
      </c>
      <c r="H10" s="17">
        <v>48</v>
      </c>
      <c r="I10" s="17">
        <v>47</v>
      </c>
      <c r="J10" s="17">
        <v>46</v>
      </c>
      <c r="K10" s="18">
        <v>4.5</v>
      </c>
      <c r="L10" s="17">
        <v>19</v>
      </c>
      <c r="M10" s="18">
        <v>4.5</v>
      </c>
      <c r="N10" s="17">
        <v>19</v>
      </c>
      <c r="O10" s="19">
        <v>2.75</v>
      </c>
      <c r="P10" s="17">
        <v>17</v>
      </c>
      <c r="Q10" s="19">
        <v>4.5</v>
      </c>
      <c r="R10" s="17">
        <v>19</v>
      </c>
      <c r="S10" s="17">
        <v>8</v>
      </c>
      <c r="T10" s="17">
        <v>40</v>
      </c>
    </row>
    <row r="11" spans="1:20" ht="14.25" x14ac:dyDescent="0.2">
      <c r="A11" s="18">
        <v>17.899999999999999</v>
      </c>
      <c r="B11" s="17">
        <v>3</v>
      </c>
      <c r="C11" s="18">
        <v>11.4</v>
      </c>
      <c r="D11" s="17">
        <v>46</v>
      </c>
      <c r="E11" s="18">
        <v>16.5</v>
      </c>
      <c r="F11" s="17">
        <v>46</v>
      </c>
      <c r="G11" s="18">
        <v>15.8</v>
      </c>
      <c r="H11" s="17">
        <v>48</v>
      </c>
      <c r="I11" s="17">
        <v>48</v>
      </c>
      <c r="J11" s="17">
        <v>46</v>
      </c>
      <c r="K11" s="18">
        <v>5</v>
      </c>
      <c r="L11" s="17">
        <v>22</v>
      </c>
      <c r="M11" s="18">
        <v>5</v>
      </c>
      <c r="N11" s="17">
        <v>22</v>
      </c>
      <c r="O11" s="19">
        <v>3</v>
      </c>
      <c r="P11" s="17">
        <v>19</v>
      </c>
      <c r="Q11" s="19">
        <v>5</v>
      </c>
      <c r="R11" s="17">
        <v>22</v>
      </c>
      <c r="S11" s="17">
        <v>9</v>
      </c>
      <c r="T11" s="17">
        <v>45</v>
      </c>
    </row>
    <row r="12" spans="1:20" ht="14.25" x14ac:dyDescent="0.2">
      <c r="A12" s="18">
        <v>17.8</v>
      </c>
      <c r="B12" s="17">
        <v>4</v>
      </c>
      <c r="C12" s="18">
        <v>11.5</v>
      </c>
      <c r="D12" s="17">
        <v>45</v>
      </c>
      <c r="E12" s="18">
        <v>16.600000000000001</v>
      </c>
      <c r="F12" s="17">
        <v>46</v>
      </c>
      <c r="G12" s="18">
        <v>15.9</v>
      </c>
      <c r="H12" s="17">
        <v>48</v>
      </c>
      <c r="I12" s="17">
        <v>49</v>
      </c>
      <c r="J12" s="17">
        <v>45</v>
      </c>
      <c r="K12" s="18">
        <v>5.5</v>
      </c>
      <c r="L12" s="17">
        <v>25</v>
      </c>
      <c r="M12" s="18">
        <v>5.5</v>
      </c>
      <c r="N12" s="17">
        <v>25</v>
      </c>
      <c r="O12" s="19">
        <v>3.25</v>
      </c>
      <c r="P12" s="17">
        <v>21</v>
      </c>
      <c r="Q12" s="19">
        <v>5.5</v>
      </c>
      <c r="R12" s="17">
        <v>25</v>
      </c>
      <c r="S12" s="17">
        <v>10</v>
      </c>
      <c r="T12" s="17">
        <v>50</v>
      </c>
    </row>
    <row r="13" spans="1:20" ht="14.25" x14ac:dyDescent="0.2">
      <c r="A13" s="18">
        <v>17.7</v>
      </c>
      <c r="B13" s="17">
        <v>4</v>
      </c>
      <c r="C13" s="18">
        <v>11.6</v>
      </c>
      <c r="D13" s="17">
        <v>45</v>
      </c>
      <c r="E13" s="18">
        <v>16.7</v>
      </c>
      <c r="F13" s="17">
        <v>45</v>
      </c>
      <c r="G13" s="18">
        <v>16</v>
      </c>
      <c r="H13" s="17">
        <v>48</v>
      </c>
      <c r="I13" s="17">
        <v>50</v>
      </c>
      <c r="J13" s="17">
        <v>45</v>
      </c>
      <c r="K13" s="18">
        <v>6</v>
      </c>
      <c r="L13" s="17">
        <v>28</v>
      </c>
      <c r="M13" s="18">
        <v>6</v>
      </c>
      <c r="N13" s="17">
        <v>28</v>
      </c>
      <c r="O13" s="19">
        <v>3.5</v>
      </c>
      <c r="P13" s="17">
        <v>23</v>
      </c>
      <c r="Q13" s="19">
        <v>6</v>
      </c>
      <c r="R13" s="17">
        <v>28</v>
      </c>
    </row>
    <row r="14" spans="1:20" ht="14.25" x14ac:dyDescent="0.2">
      <c r="A14" s="18">
        <v>17.600000000000001</v>
      </c>
      <c r="B14" s="17">
        <v>4</v>
      </c>
      <c r="C14" s="18">
        <v>11.7</v>
      </c>
      <c r="D14" s="17">
        <v>44</v>
      </c>
      <c r="E14" s="18">
        <v>16.8</v>
      </c>
      <c r="F14" s="17">
        <v>45</v>
      </c>
      <c r="G14" s="18">
        <v>16.100000000000001</v>
      </c>
      <c r="H14" s="17">
        <v>47</v>
      </c>
      <c r="I14" s="17">
        <v>51</v>
      </c>
      <c r="J14" s="17">
        <v>44</v>
      </c>
      <c r="K14" s="18">
        <v>6.5</v>
      </c>
      <c r="L14" s="17">
        <v>31</v>
      </c>
      <c r="M14" s="18">
        <v>6.5</v>
      </c>
      <c r="N14" s="17">
        <v>31</v>
      </c>
      <c r="O14" s="19">
        <v>3.75</v>
      </c>
      <c r="P14" s="17">
        <v>25</v>
      </c>
      <c r="Q14" s="19">
        <v>6.5</v>
      </c>
      <c r="R14" s="17">
        <v>31</v>
      </c>
    </row>
    <row r="15" spans="1:20" ht="14.25" x14ac:dyDescent="0.2">
      <c r="A15" s="18">
        <v>17.5</v>
      </c>
      <c r="B15" s="17">
        <v>5</v>
      </c>
      <c r="C15" s="18">
        <v>11.8</v>
      </c>
      <c r="D15" s="17">
        <v>44</v>
      </c>
      <c r="E15" s="18">
        <v>16.899999999999999</v>
      </c>
      <c r="F15" s="17">
        <v>44</v>
      </c>
      <c r="G15" s="18">
        <v>16.2</v>
      </c>
      <c r="H15" s="17">
        <v>47</v>
      </c>
      <c r="I15" s="17">
        <v>52</v>
      </c>
      <c r="J15" s="17">
        <v>43</v>
      </c>
      <c r="K15" s="18">
        <v>7</v>
      </c>
      <c r="L15" s="17">
        <v>34</v>
      </c>
      <c r="M15" s="18">
        <v>7</v>
      </c>
      <c r="N15" s="17">
        <v>34</v>
      </c>
      <c r="O15" s="19">
        <v>4</v>
      </c>
      <c r="P15" s="17">
        <v>27</v>
      </c>
      <c r="Q15" s="19">
        <v>7</v>
      </c>
      <c r="R15" s="17">
        <v>34</v>
      </c>
    </row>
    <row r="16" spans="1:20" ht="14.25" x14ac:dyDescent="0.2">
      <c r="A16" s="18">
        <v>17.399999999999999</v>
      </c>
      <c r="B16" s="17">
        <v>5</v>
      </c>
      <c r="C16" s="18">
        <v>11.9</v>
      </c>
      <c r="D16" s="17">
        <v>43</v>
      </c>
      <c r="E16" s="18">
        <v>17</v>
      </c>
      <c r="F16" s="17">
        <v>44</v>
      </c>
      <c r="G16" s="18">
        <v>16.3</v>
      </c>
      <c r="H16" s="17">
        <v>47</v>
      </c>
      <c r="I16" s="17">
        <v>53</v>
      </c>
      <c r="J16" s="17">
        <v>42</v>
      </c>
      <c r="K16" s="18">
        <v>7.5</v>
      </c>
      <c r="L16" s="17">
        <v>37</v>
      </c>
      <c r="M16" s="18">
        <v>7.5</v>
      </c>
      <c r="N16" s="17">
        <v>37</v>
      </c>
      <c r="O16" s="19">
        <v>4.25</v>
      </c>
      <c r="P16" s="17">
        <v>29</v>
      </c>
      <c r="Q16" s="19">
        <v>7.5</v>
      </c>
      <c r="R16" s="17">
        <v>37</v>
      </c>
    </row>
    <row r="17" spans="1:18" ht="14.25" x14ac:dyDescent="0.2">
      <c r="A17" s="18">
        <v>17.3</v>
      </c>
      <c r="B17" s="17">
        <v>5</v>
      </c>
      <c r="C17" s="18">
        <v>12</v>
      </c>
      <c r="D17" s="17">
        <v>43</v>
      </c>
      <c r="E17" s="18">
        <v>17.100000000000001</v>
      </c>
      <c r="F17" s="17">
        <v>43</v>
      </c>
      <c r="G17" s="18">
        <v>16.399999999999999</v>
      </c>
      <c r="H17" s="17">
        <v>47</v>
      </c>
      <c r="I17" s="17">
        <v>54</v>
      </c>
      <c r="J17" s="17">
        <v>41</v>
      </c>
      <c r="K17" s="18">
        <v>8</v>
      </c>
      <c r="L17" s="17">
        <v>40</v>
      </c>
      <c r="M17" s="18">
        <v>8</v>
      </c>
      <c r="N17" s="17">
        <v>40</v>
      </c>
      <c r="O17" s="19">
        <v>4.5</v>
      </c>
      <c r="P17" s="17">
        <v>31</v>
      </c>
      <c r="Q17" s="19">
        <v>8</v>
      </c>
      <c r="R17" s="17">
        <v>40</v>
      </c>
    </row>
    <row r="18" spans="1:18" ht="14.25" x14ac:dyDescent="0.2">
      <c r="A18" s="18">
        <v>17.2</v>
      </c>
      <c r="B18" s="17">
        <v>6</v>
      </c>
      <c r="C18" s="18">
        <v>12.1</v>
      </c>
      <c r="D18" s="17">
        <v>42</v>
      </c>
      <c r="E18" s="18">
        <v>17.2</v>
      </c>
      <c r="F18" s="17">
        <v>43</v>
      </c>
      <c r="G18" s="18">
        <v>16.5</v>
      </c>
      <c r="H18" s="17">
        <v>47</v>
      </c>
      <c r="I18" s="17">
        <v>55</v>
      </c>
      <c r="J18" s="17">
        <v>40</v>
      </c>
      <c r="K18" s="18">
        <v>8.5</v>
      </c>
      <c r="L18" s="17">
        <v>43</v>
      </c>
      <c r="M18" s="18">
        <v>8.5</v>
      </c>
      <c r="N18" s="17">
        <v>43</v>
      </c>
      <c r="O18" s="19">
        <v>4.75</v>
      </c>
      <c r="P18" s="17">
        <v>33</v>
      </c>
      <c r="Q18" s="19">
        <v>8.5</v>
      </c>
      <c r="R18" s="17">
        <v>43</v>
      </c>
    </row>
    <row r="19" spans="1:18" ht="14.25" x14ac:dyDescent="0.2">
      <c r="A19" s="18">
        <v>17.100000000000001</v>
      </c>
      <c r="B19" s="17">
        <v>6</v>
      </c>
      <c r="C19" s="18">
        <v>12.2</v>
      </c>
      <c r="D19" s="17">
        <v>41</v>
      </c>
      <c r="E19" s="18">
        <v>17.3</v>
      </c>
      <c r="F19" s="17">
        <v>42</v>
      </c>
      <c r="G19" s="18">
        <v>16.600000000000001</v>
      </c>
      <c r="H19" s="17">
        <v>46</v>
      </c>
      <c r="I19" s="17">
        <v>56</v>
      </c>
      <c r="J19" s="17">
        <v>39</v>
      </c>
      <c r="K19" s="18">
        <v>9</v>
      </c>
      <c r="L19" s="17">
        <v>46</v>
      </c>
      <c r="M19" s="18">
        <v>9</v>
      </c>
      <c r="N19" s="17">
        <v>46</v>
      </c>
      <c r="O19" s="19">
        <v>5</v>
      </c>
      <c r="P19" s="17">
        <v>35</v>
      </c>
      <c r="Q19" s="19">
        <v>9</v>
      </c>
      <c r="R19" s="17">
        <v>46</v>
      </c>
    </row>
    <row r="20" spans="1:18" ht="14.25" x14ac:dyDescent="0.2">
      <c r="A20" s="18">
        <v>17</v>
      </c>
      <c r="B20" s="17">
        <v>6</v>
      </c>
      <c r="C20" s="18">
        <v>12.3</v>
      </c>
      <c r="D20" s="17">
        <v>40</v>
      </c>
      <c r="E20" s="18">
        <v>17.399999999999999</v>
      </c>
      <c r="F20" s="17">
        <v>42</v>
      </c>
      <c r="G20" s="18">
        <v>16.7</v>
      </c>
      <c r="H20" s="17">
        <v>46</v>
      </c>
      <c r="I20" s="17">
        <v>57</v>
      </c>
      <c r="J20" s="17">
        <v>38</v>
      </c>
      <c r="K20" s="18">
        <v>9.5</v>
      </c>
      <c r="L20" s="17">
        <v>48</v>
      </c>
      <c r="M20" s="18">
        <v>9.5</v>
      </c>
      <c r="N20" s="17">
        <v>48</v>
      </c>
      <c r="Q20" s="19">
        <v>9.5</v>
      </c>
      <c r="R20" s="17">
        <v>48</v>
      </c>
    </row>
    <row r="21" spans="1:18" ht="14.25" x14ac:dyDescent="0.2">
      <c r="A21" s="18">
        <v>16.899999999999999</v>
      </c>
      <c r="B21" s="17">
        <v>7</v>
      </c>
      <c r="C21" s="18">
        <v>12.4</v>
      </c>
      <c r="D21" s="17">
        <v>39</v>
      </c>
      <c r="E21" s="18">
        <v>17.5</v>
      </c>
      <c r="F21" s="17">
        <v>41</v>
      </c>
      <c r="G21" s="18">
        <v>16.8</v>
      </c>
      <c r="H21" s="17">
        <v>46</v>
      </c>
      <c r="I21" s="17">
        <v>58</v>
      </c>
      <c r="J21" s="17">
        <v>37</v>
      </c>
      <c r="K21" s="19">
        <v>10</v>
      </c>
      <c r="L21" s="17">
        <v>50</v>
      </c>
      <c r="M21" s="19">
        <v>10</v>
      </c>
      <c r="N21" s="17">
        <v>50</v>
      </c>
      <c r="Q21" s="19">
        <v>10</v>
      </c>
      <c r="R21" s="17">
        <v>50</v>
      </c>
    </row>
    <row r="22" spans="1:18" ht="14.25" x14ac:dyDescent="0.2">
      <c r="A22" s="18">
        <v>16.8</v>
      </c>
      <c r="B22" s="17">
        <v>7</v>
      </c>
      <c r="C22" s="18">
        <v>12.5</v>
      </c>
      <c r="D22" s="17">
        <v>38</v>
      </c>
      <c r="E22" s="18">
        <v>17.600000000000001</v>
      </c>
      <c r="F22" s="17">
        <v>41</v>
      </c>
      <c r="G22" s="18">
        <v>16.899999999999999</v>
      </c>
      <c r="H22" s="17">
        <v>46</v>
      </c>
      <c r="I22" s="17">
        <v>59</v>
      </c>
      <c r="J22" s="17">
        <v>36</v>
      </c>
    </row>
    <row r="23" spans="1:18" ht="14.25" x14ac:dyDescent="0.2">
      <c r="A23" s="18">
        <v>16.7</v>
      </c>
      <c r="B23" s="17">
        <v>7</v>
      </c>
      <c r="C23" s="18">
        <v>12.6</v>
      </c>
      <c r="D23" s="17">
        <v>37</v>
      </c>
      <c r="E23" s="18">
        <v>17.7</v>
      </c>
      <c r="F23" s="17">
        <v>40</v>
      </c>
      <c r="G23" s="18">
        <v>17</v>
      </c>
      <c r="H23" s="17">
        <v>46</v>
      </c>
      <c r="I23" s="17">
        <v>60</v>
      </c>
      <c r="J23" s="17">
        <v>35</v>
      </c>
    </row>
    <row r="24" spans="1:18" ht="14.25" x14ac:dyDescent="0.2">
      <c r="A24" s="18">
        <v>16.600000000000001</v>
      </c>
      <c r="B24" s="17">
        <v>8</v>
      </c>
      <c r="C24" s="18">
        <v>12.7</v>
      </c>
      <c r="D24" s="17">
        <v>36</v>
      </c>
      <c r="E24" s="18">
        <v>17.8</v>
      </c>
      <c r="F24" s="17">
        <v>40</v>
      </c>
      <c r="G24" s="18">
        <v>17.100000000000001</v>
      </c>
      <c r="H24" s="17">
        <v>45</v>
      </c>
      <c r="I24" s="17">
        <v>61</v>
      </c>
      <c r="J24" s="17">
        <v>34</v>
      </c>
    </row>
    <row r="25" spans="1:18" ht="14.25" x14ac:dyDescent="0.2">
      <c r="A25" s="18">
        <v>16.5</v>
      </c>
      <c r="B25" s="17">
        <v>8</v>
      </c>
      <c r="C25" s="18">
        <v>12.8</v>
      </c>
      <c r="D25" s="17">
        <v>35</v>
      </c>
      <c r="E25" s="18">
        <v>17.899999999999999</v>
      </c>
      <c r="F25" s="17">
        <v>39</v>
      </c>
      <c r="G25" s="18">
        <v>17.2</v>
      </c>
      <c r="H25" s="17">
        <v>45</v>
      </c>
      <c r="I25" s="17">
        <v>62</v>
      </c>
      <c r="J25" s="17">
        <v>33</v>
      </c>
    </row>
    <row r="26" spans="1:18" ht="14.25" x14ac:dyDescent="0.2">
      <c r="A26" s="18">
        <v>16.399999999999999</v>
      </c>
      <c r="B26" s="17">
        <v>8</v>
      </c>
      <c r="C26" s="18">
        <v>12.9</v>
      </c>
      <c r="D26" s="17">
        <v>34</v>
      </c>
      <c r="E26" s="18">
        <v>18</v>
      </c>
      <c r="F26" s="17">
        <v>39</v>
      </c>
      <c r="G26" s="18">
        <v>17.3</v>
      </c>
      <c r="H26" s="17">
        <v>45</v>
      </c>
      <c r="I26" s="17">
        <v>63</v>
      </c>
      <c r="J26" s="17">
        <v>32</v>
      </c>
    </row>
    <row r="27" spans="1:18" ht="14.25" x14ac:dyDescent="0.2">
      <c r="A27" s="18">
        <v>16.3</v>
      </c>
      <c r="B27" s="17">
        <v>9</v>
      </c>
      <c r="C27" s="18">
        <v>13</v>
      </c>
      <c r="D27" s="17">
        <v>33</v>
      </c>
      <c r="E27" s="18">
        <v>18.100000000000001</v>
      </c>
      <c r="F27" s="17">
        <v>38</v>
      </c>
      <c r="G27" s="18">
        <v>17.399999999999999</v>
      </c>
      <c r="H27" s="17">
        <v>45</v>
      </c>
      <c r="I27" s="17">
        <v>64</v>
      </c>
      <c r="J27" s="17">
        <v>31</v>
      </c>
    </row>
    <row r="28" spans="1:18" ht="14.25" x14ac:dyDescent="0.2">
      <c r="A28" s="18">
        <v>16.2</v>
      </c>
      <c r="B28" s="17">
        <v>9</v>
      </c>
      <c r="C28" s="18">
        <v>13.1</v>
      </c>
      <c r="D28" s="17">
        <v>32</v>
      </c>
      <c r="E28" s="18">
        <v>18.2</v>
      </c>
      <c r="F28" s="17">
        <v>38</v>
      </c>
      <c r="G28" s="18">
        <v>17.5</v>
      </c>
      <c r="H28" s="17">
        <v>45</v>
      </c>
      <c r="I28" s="17">
        <v>65</v>
      </c>
      <c r="J28" s="17">
        <v>30</v>
      </c>
    </row>
    <row r="29" spans="1:18" ht="14.25" x14ac:dyDescent="0.2">
      <c r="A29" s="18">
        <v>16.100000000000001</v>
      </c>
      <c r="B29" s="17">
        <v>9</v>
      </c>
      <c r="C29" s="18">
        <v>13.2</v>
      </c>
      <c r="D29" s="17">
        <v>32</v>
      </c>
      <c r="E29" s="18">
        <v>18.3</v>
      </c>
      <c r="F29" s="17">
        <v>37</v>
      </c>
      <c r="G29" s="18">
        <v>17.600000000000001</v>
      </c>
      <c r="H29" s="17">
        <v>44</v>
      </c>
      <c r="I29" s="17">
        <v>66</v>
      </c>
      <c r="J29" s="17">
        <v>29</v>
      </c>
    </row>
    <row r="30" spans="1:18" ht="14.25" x14ac:dyDescent="0.2">
      <c r="A30" s="18">
        <v>16</v>
      </c>
      <c r="B30" s="17">
        <v>10</v>
      </c>
      <c r="C30" s="18">
        <v>13.3</v>
      </c>
      <c r="D30" s="17">
        <v>31</v>
      </c>
      <c r="E30" s="18">
        <v>18.399999999999999</v>
      </c>
      <c r="F30" s="17">
        <v>37</v>
      </c>
      <c r="G30" s="18">
        <v>17.7</v>
      </c>
      <c r="H30" s="17">
        <v>44</v>
      </c>
      <c r="I30" s="17">
        <v>67</v>
      </c>
      <c r="J30" s="17">
        <v>28</v>
      </c>
    </row>
    <row r="31" spans="1:18" ht="14.25" x14ac:dyDescent="0.2">
      <c r="A31" s="18">
        <v>15.9</v>
      </c>
      <c r="B31" s="17">
        <v>10</v>
      </c>
      <c r="C31" s="18">
        <v>13.4</v>
      </c>
      <c r="D31" s="17">
        <v>31</v>
      </c>
      <c r="E31" s="18">
        <v>18.5</v>
      </c>
      <c r="F31" s="17">
        <v>36</v>
      </c>
      <c r="G31" s="18">
        <v>17.8</v>
      </c>
      <c r="H31" s="17">
        <v>44</v>
      </c>
      <c r="I31" s="17">
        <v>68</v>
      </c>
      <c r="J31" s="17">
        <v>27</v>
      </c>
    </row>
    <row r="32" spans="1:18" ht="14.25" x14ac:dyDescent="0.2">
      <c r="A32" s="18">
        <v>15.8</v>
      </c>
      <c r="B32" s="17">
        <v>11</v>
      </c>
      <c r="C32" s="18">
        <v>13.5</v>
      </c>
      <c r="D32" s="17">
        <v>30</v>
      </c>
      <c r="E32" s="18">
        <v>18.600000000000001</v>
      </c>
      <c r="F32" s="17">
        <v>36</v>
      </c>
      <c r="G32" s="18">
        <v>17.899999999999999</v>
      </c>
      <c r="H32" s="17">
        <v>44</v>
      </c>
      <c r="I32" s="17">
        <v>69</v>
      </c>
      <c r="J32" s="17">
        <v>26</v>
      </c>
    </row>
    <row r="33" spans="1:10" x14ac:dyDescent="0.25">
      <c r="A33" s="18">
        <v>15.7</v>
      </c>
      <c r="B33" s="17">
        <v>11</v>
      </c>
      <c r="C33" s="18">
        <v>13.6</v>
      </c>
      <c r="D33" s="17">
        <v>30</v>
      </c>
      <c r="E33" s="18">
        <v>18.7</v>
      </c>
      <c r="F33" s="17">
        <v>35</v>
      </c>
      <c r="G33" s="18">
        <v>18</v>
      </c>
      <c r="H33" s="17">
        <v>44</v>
      </c>
      <c r="I33" s="17">
        <v>70</v>
      </c>
      <c r="J33" s="17">
        <v>25</v>
      </c>
    </row>
    <row r="34" spans="1:10" x14ac:dyDescent="0.25">
      <c r="A34" s="18">
        <v>15.6</v>
      </c>
      <c r="B34" s="17">
        <v>12</v>
      </c>
      <c r="C34" s="18">
        <v>13.7</v>
      </c>
      <c r="D34" s="17">
        <v>29</v>
      </c>
      <c r="E34" s="18">
        <v>18.8</v>
      </c>
      <c r="F34" s="17">
        <v>35</v>
      </c>
      <c r="G34" s="18">
        <v>18.100000000000001</v>
      </c>
      <c r="H34" s="17">
        <v>43</v>
      </c>
      <c r="I34" s="17">
        <v>71</v>
      </c>
      <c r="J34" s="17">
        <v>24</v>
      </c>
    </row>
    <row r="35" spans="1:10" x14ac:dyDescent="0.25">
      <c r="A35" s="18">
        <v>15.5</v>
      </c>
      <c r="B35" s="17">
        <v>12</v>
      </c>
      <c r="C35" s="18">
        <v>13.8</v>
      </c>
      <c r="D35" s="17">
        <v>29</v>
      </c>
      <c r="E35" s="18">
        <v>18.899999999999999</v>
      </c>
      <c r="F35" s="17">
        <v>34</v>
      </c>
      <c r="G35" s="18">
        <v>18.2</v>
      </c>
      <c r="H35" s="17">
        <v>43</v>
      </c>
      <c r="I35" s="17">
        <v>72</v>
      </c>
      <c r="J35" s="17">
        <v>23</v>
      </c>
    </row>
    <row r="36" spans="1:10" x14ac:dyDescent="0.25">
      <c r="A36" s="18">
        <v>15.4</v>
      </c>
      <c r="B36" s="17">
        <v>13</v>
      </c>
      <c r="C36" s="18">
        <v>13.9</v>
      </c>
      <c r="D36" s="17">
        <v>28</v>
      </c>
      <c r="E36" s="18">
        <v>19</v>
      </c>
      <c r="F36" s="17">
        <v>34</v>
      </c>
      <c r="G36" s="18">
        <v>18.3</v>
      </c>
      <c r="H36" s="17">
        <v>43</v>
      </c>
      <c r="I36" s="17">
        <v>73</v>
      </c>
      <c r="J36" s="17">
        <v>22</v>
      </c>
    </row>
    <row r="37" spans="1:10" x14ac:dyDescent="0.25">
      <c r="A37" s="18">
        <v>15.3</v>
      </c>
      <c r="B37" s="17">
        <v>13</v>
      </c>
      <c r="C37" s="18">
        <v>14</v>
      </c>
      <c r="D37" s="17">
        <v>28</v>
      </c>
      <c r="E37" s="18">
        <v>19.100000000000001</v>
      </c>
      <c r="F37" s="17">
        <v>33</v>
      </c>
      <c r="G37" s="18">
        <v>18.399999999999999</v>
      </c>
      <c r="H37" s="17">
        <v>43</v>
      </c>
      <c r="I37" s="17">
        <v>74</v>
      </c>
      <c r="J37" s="17">
        <v>21</v>
      </c>
    </row>
    <row r="38" spans="1:10" x14ac:dyDescent="0.25">
      <c r="A38" s="18">
        <v>15.2</v>
      </c>
      <c r="B38" s="17">
        <v>14</v>
      </c>
      <c r="C38" s="18">
        <v>14.1</v>
      </c>
      <c r="D38" s="17">
        <v>27</v>
      </c>
      <c r="E38" s="18">
        <v>19.2</v>
      </c>
      <c r="F38" s="17">
        <v>33</v>
      </c>
      <c r="G38" s="18">
        <v>18.5</v>
      </c>
      <c r="H38" s="17">
        <v>43</v>
      </c>
      <c r="I38" s="17">
        <v>75</v>
      </c>
      <c r="J38" s="17">
        <v>20</v>
      </c>
    </row>
    <row r="39" spans="1:10" x14ac:dyDescent="0.25">
      <c r="A39" s="18">
        <v>15.1</v>
      </c>
      <c r="B39" s="17">
        <v>14</v>
      </c>
      <c r="C39" s="18">
        <v>14.2</v>
      </c>
      <c r="D39" s="17">
        <v>27</v>
      </c>
      <c r="E39" s="18">
        <v>19.3</v>
      </c>
      <c r="F39" s="17">
        <v>32</v>
      </c>
      <c r="G39" s="18">
        <v>18.600000000000001</v>
      </c>
      <c r="H39" s="17">
        <v>42</v>
      </c>
      <c r="I39" s="17">
        <v>76</v>
      </c>
      <c r="J39" s="17">
        <v>19</v>
      </c>
    </row>
    <row r="40" spans="1:10" x14ac:dyDescent="0.25">
      <c r="A40" s="18">
        <v>15</v>
      </c>
      <c r="B40" s="17">
        <v>15</v>
      </c>
      <c r="C40" s="18">
        <v>14.3</v>
      </c>
      <c r="D40" s="17">
        <v>26</v>
      </c>
      <c r="E40" s="18">
        <v>19.399999999999999</v>
      </c>
      <c r="F40" s="17">
        <v>32</v>
      </c>
      <c r="G40" s="18">
        <v>18.7</v>
      </c>
      <c r="H40" s="17">
        <v>42</v>
      </c>
      <c r="I40" s="17">
        <v>77</v>
      </c>
      <c r="J40" s="17">
        <v>18</v>
      </c>
    </row>
    <row r="41" spans="1:10" x14ac:dyDescent="0.25">
      <c r="A41" s="18">
        <v>14.9</v>
      </c>
      <c r="B41" s="17">
        <v>16</v>
      </c>
      <c r="C41" s="18">
        <v>14.4</v>
      </c>
      <c r="D41" s="17">
        <v>26</v>
      </c>
      <c r="E41" s="18">
        <v>19.5</v>
      </c>
      <c r="F41" s="17">
        <v>31</v>
      </c>
      <c r="G41" s="18">
        <v>18.8</v>
      </c>
      <c r="H41" s="17">
        <v>42</v>
      </c>
      <c r="I41" s="17">
        <v>78</v>
      </c>
      <c r="J41" s="17">
        <v>17</v>
      </c>
    </row>
    <row r="42" spans="1:10" x14ac:dyDescent="0.25">
      <c r="A42" s="18">
        <v>14.8</v>
      </c>
      <c r="B42" s="17">
        <v>17</v>
      </c>
      <c r="C42" s="18">
        <v>14.5</v>
      </c>
      <c r="D42" s="17">
        <v>25</v>
      </c>
      <c r="E42" s="18">
        <v>19.600000000000001</v>
      </c>
      <c r="F42" s="17">
        <v>31</v>
      </c>
      <c r="G42" s="18">
        <v>18.899999999999999</v>
      </c>
      <c r="H42" s="17">
        <v>42</v>
      </c>
      <c r="I42" s="17">
        <v>79</v>
      </c>
      <c r="J42" s="17">
        <v>16</v>
      </c>
    </row>
    <row r="43" spans="1:10" x14ac:dyDescent="0.25">
      <c r="A43" s="18">
        <v>14.7</v>
      </c>
      <c r="B43" s="17">
        <v>18</v>
      </c>
      <c r="C43" s="18">
        <v>14.6</v>
      </c>
      <c r="D43" s="17">
        <v>25</v>
      </c>
      <c r="E43" s="18">
        <v>19.7</v>
      </c>
      <c r="F43" s="17">
        <v>30</v>
      </c>
      <c r="G43" s="18">
        <v>19</v>
      </c>
      <c r="H43" s="17">
        <v>42</v>
      </c>
      <c r="I43" s="17">
        <v>80</v>
      </c>
      <c r="J43" s="17">
        <v>15</v>
      </c>
    </row>
    <row r="44" spans="1:10" x14ac:dyDescent="0.25">
      <c r="A44" s="18">
        <v>14.6</v>
      </c>
      <c r="B44" s="17">
        <v>19</v>
      </c>
      <c r="C44" s="18">
        <v>14.7</v>
      </c>
      <c r="D44" s="17">
        <v>24</v>
      </c>
      <c r="E44" s="18">
        <v>19.8</v>
      </c>
      <c r="F44" s="17">
        <v>30</v>
      </c>
      <c r="G44" s="18">
        <v>19.100000000000001</v>
      </c>
      <c r="H44" s="17">
        <v>41</v>
      </c>
      <c r="I44" s="17">
        <v>81</v>
      </c>
      <c r="J44" s="17">
        <v>14</v>
      </c>
    </row>
    <row r="45" spans="1:10" x14ac:dyDescent="0.25">
      <c r="A45" s="18">
        <v>14.5</v>
      </c>
      <c r="B45" s="17">
        <v>20</v>
      </c>
      <c r="C45" s="18">
        <v>14.8</v>
      </c>
      <c r="D45" s="17">
        <v>24</v>
      </c>
      <c r="E45" s="18">
        <v>19.899999999999999</v>
      </c>
      <c r="F45" s="17">
        <v>29</v>
      </c>
      <c r="G45" s="18">
        <v>19.2</v>
      </c>
      <c r="H45" s="17">
        <v>41</v>
      </c>
      <c r="I45" s="17">
        <v>82</v>
      </c>
      <c r="J45" s="17">
        <v>14</v>
      </c>
    </row>
    <row r="46" spans="1:10" x14ac:dyDescent="0.25">
      <c r="A46" s="18">
        <v>14.4</v>
      </c>
      <c r="B46" s="17">
        <v>21</v>
      </c>
      <c r="C46" s="18">
        <v>14.9</v>
      </c>
      <c r="D46" s="17">
        <v>23</v>
      </c>
      <c r="E46" s="18">
        <v>20</v>
      </c>
      <c r="F46" s="17">
        <v>29</v>
      </c>
      <c r="G46" s="18">
        <v>19.3</v>
      </c>
      <c r="H46" s="17">
        <v>41</v>
      </c>
      <c r="I46" s="17">
        <v>83</v>
      </c>
      <c r="J46" s="17">
        <v>13</v>
      </c>
    </row>
    <row r="47" spans="1:10" x14ac:dyDescent="0.25">
      <c r="A47" s="18">
        <v>14.3</v>
      </c>
      <c r="B47" s="17">
        <v>22</v>
      </c>
      <c r="C47" s="18">
        <v>15</v>
      </c>
      <c r="D47" s="17">
        <v>23</v>
      </c>
      <c r="E47" s="18">
        <v>20.100000000000001</v>
      </c>
      <c r="F47" s="17">
        <v>28</v>
      </c>
      <c r="G47" s="18">
        <v>19.399999999999999</v>
      </c>
      <c r="H47" s="17">
        <v>41</v>
      </c>
      <c r="I47" s="17">
        <v>84</v>
      </c>
      <c r="J47" s="17">
        <v>13</v>
      </c>
    </row>
    <row r="48" spans="1:10" x14ac:dyDescent="0.25">
      <c r="A48" s="18">
        <v>14.2</v>
      </c>
      <c r="B48" s="17">
        <v>23</v>
      </c>
      <c r="C48" s="18">
        <v>15.1</v>
      </c>
      <c r="D48" s="17">
        <v>22</v>
      </c>
      <c r="E48" s="18">
        <v>20.2</v>
      </c>
      <c r="F48" s="17">
        <v>28</v>
      </c>
      <c r="G48" s="18">
        <v>19.5</v>
      </c>
      <c r="H48" s="17">
        <v>41</v>
      </c>
      <c r="I48" s="17">
        <v>85</v>
      </c>
      <c r="J48" s="17">
        <v>12</v>
      </c>
    </row>
    <row r="49" spans="1:10" x14ac:dyDescent="0.25">
      <c r="A49" s="18">
        <v>14.1</v>
      </c>
      <c r="B49" s="17">
        <v>24</v>
      </c>
      <c r="C49" s="18">
        <v>15.2</v>
      </c>
      <c r="D49" s="17">
        <v>22</v>
      </c>
      <c r="E49" s="18">
        <v>20.3</v>
      </c>
      <c r="F49" s="17">
        <v>27</v>
      </c>
      <c r="G49" s="18">
        <v>19.600000000000001</v>
      </c>
      <c r="H49" s="17">
        <v>40</v>
      </c>
      <c r="I49" s="17">
        <v>86</v>
      </c>
      <c r="J49" s="17">
        <v>12</v>
      </c>
    </row>
    <row r="50" spans="1:10" x14ac:dyDescent="0.25">
      <c r="A50" s="18">
        <v>14</v>
      </c>
      <c r="B50" s="17">
        <v>25</v>
      </c>
      <c r="C50" s="18">
        <v>15.3</v>
      </c>
      <c r="D50" s="17">
        <v>22</v>
      </c>
      <c r="E50" s="18">
        <v>20.399999999999999</v>
      </c>
      <c r="F50" s="17">
        <v>27</v>
      </c>
      <c r="G50" s="18">
        <v>19.7</v>
      </c>
      <c r="H50" s="17">
        <v>40</v>
      </c>
      <c r="I50" s="17">
        <v>87</v>
      </c>
      <c r="J50" s="17">
        <v>11</v>
      </c>
    </row>
    <row r="51" spans="1:10" x14ac:dyDescent="0.25">
      <c r="A51" s="18">
        <v>13.9</v>
      </c>
      <c r="B51" s="17">
        <v>26</v>
      </c>
      <c r="C51" s="18">
        <v>15.4</v>
      </c>
      <c r="D51" s="17">
        <v>21</v>
      </c>
      <c r="E51" s="18">
        <v>20.5</v>
      </c>
      <c r="F51" s="17">
        <v>26</v>
      </c>
      <c r="G51" s="18">
        <v>19.8</v>
      </c>
      <c r="H51" s="17">
        <v>40</v>
      </c>
      <c r="I51" s="17">
        <v>88</v>
      </c>
      <c r="J51" s="17">
        <v>11</v>
      </c>
    </row>
    <row r="52" spans="1:10" x14ac:dyDescent="0.25">
      <c r="A52" s="18">
        <v>13.8</v>
      </c>
      <c r="B52" s="17">
        <v>27</v>
      </c>
      <c r="C52" s="18">
        <v>15.5</v>
      </c>
      <c r="D52" s="17">
        <v>21</v>
      </c>
      <c r="E52" s="18">
        <v>20.6</v>
      </c>
      <c r="F52" s="17">
        <v>26</v>
      </c>
      <c r="G52" s="18">
        <v>19.899999999999999</v>
      </c>
      <c r="H52" s="17">
        <v>40</v>
      </c>
      <c r="I52" s="17">
        <v>89</v>
      </c>
      <c r="J52" s="17">
        <v>10</v>
      </c>
    </row>
    <row r="53" spans="1:10" x14ac:dyDescent="0.25">
      <c r="A53" s="18">
        <v>13.7</v>
      </c>
      <c r="B53" s="17">
        <v>28</v>
      </c>
      <c r="C53" s="18">
        <v>15.6</v>
      </c>
      <c r="D53" s="17">
        <v>21</v>
      </c>
      <c r="E53" s="18">
        <v>20.7</v>
      </c>
      <c r="F53" s="17">
        <v>25</v>
      </c>
      <c r="G53" s="18">
        <v>20</v>
      </c>
      <c r="H53" s="17">
        <v>40</v>
      </c>
      <c r="I53" s="17">
        <v>90</v>
      </c>
      <c r="J53" s="17">
        <v>10</v>
      </c>
    </row>
    <row r="54" spans="1:10" x14ac:dyDescent="0.25">
      <c r="A54" s="18">
        <v>13.6</v>
      </c>
      <c r="B54" s="17">
        <v>29</v>
      </c>
      <c r="C54" s="18">
        <v>15.7</v>
      </c>
      <c r="D54" s="17">
        <v>20</v>
      </c>
      <c r="E54" s="18">
        <v>20.8</v>
      </c>
      <c r="F54" s="17">
        <v>25</v>
      </c>
      <c r="G54" s="18">
        <v>20.100000000000001</v>
      </c>
      <c r="H54" s="17">
        <v>39</v>
      </c>
      <c r="I54" s="17">
        <v>91</v>
      </c>
      <c r="J54" s="17">
        <v>9</v>
      </c>
    </row>
    <row r="55" spans="1:10" x14ac:dyDescent="0.25">
      <c r="A55" s="18">
        <v>13.5</v>
      </c>
      <c r="B55" s="17">
        <v>30</v>
      </c>
      <c r="C55" s="18">
        <v>15.8</v>
      </c>
      <c r="D55" s="17">
        <v>20</v>
      </c>
      <c r="E55" s="18">
        <v>20.9</v>
      </c>
      <c r="F55" s="17">
        <v>24</v>
      </c>
      <c r="G55" s="18">
        <v>20.2</v>
      </c>
      <c r="H55" s="17">
        <v>39</v>
      </c>
      <c r="I55" s="17">
        <v>92</v>
      </c>
      <c r="J55" s="17">
        <v>9</v>
      </c>
    </row>
    <row r="56" spans="1:10" x14ac:dyDescent="0.25">
      <c r="A56" s="18">
        <v>13.4</v>
      </c>
      <c r="B56" s="17">
        <v>31</v>
      </c>
      <c r="C56" s="18">
        <v>15.9</v>
      </c>
      <c r="D56" s="17">
        <v>20</v>
      </c>
      <c r="E56" s="18">
        <v>21</v>
      </c>
      <c r="F56" s="17">
        <v>24</v>
      </c>
      <c r="G56" s="18">
        <v>20.3</v>
      </c>
      <c r="H56" s="17">
        <v>39</v>
      </c>
      <c r="I56" s="17">
        <v>93</v>
      </c>
      <c r="J56" s="17">
        <v>8</v>
      </c>
    </row>
    <row r="57" spans="1:10" x14ac:dyDescent="0.25">
      <c r="A57" s="18">
        <v>13.3</v>
      </c>
      <c r="B57" s="17">
        <v>32</v>
      </c>
      <c r="C57" s="18">
        <v>16</v>
      </c>
      <c r="D57" s="17">
        <v>19</v>
      </c>
      <c r="E57" s="18">
        <v>21.1</v>
      </c>
      <c r="F57" s="17">
        <v>24</v>
      </c>
      <c r="G57" s="18">
        <v>20.399999999999999</v>
      </c>
      <c r="H57" s="17">
        <v>39</v>
      </c>
      <c r="I57" s="17">
        <v>94</v>
      </c>
      <c r="J57" s="17">
        <v>8</v>
      </c>
    </row>
    <row r="58" spans="1:10" x14ac:dyDescent="0.25">
      <c r="A58" s="18">
        <v>13.2</v>
      </c>
      <c r="B58" s="17">
        <v>33</v>
      </c>
      <c r="C58" s="18">
        <v>16.100000000000001</v>
      </c>
      <c r="D58" s="17">
        <v>19</v>
      </c>
      <c r="E58" s="18">
        <v>21.2</v>
      </c>
      <c r="F58" s="17">
        <v>23</v>
      </c>
      <c r="G58" s="18">
        <v>20.5</v>
      </c>
      <c r="H58" s="17">
        <v>39</v>
      </c>
      <c r="I58" s="17">
        <v>95</v>
      </c>
      <c r="J58" s="17">
        <v>7</v>
      </c>
    </row>
    <row r="59" spans="1:10" x14ac:dyDescent="0.25">
      <c r="A59" s="18">
        <v>13.1</v>
      </c>
      <c r="B59" s="17">
        <v>34</v>
      </c>
      <c r="C59" s="18">
        <v>16.2</v>
      </c>
      <c r="D59" s="17">
        <v>19</v>
      </c>
      <c r="E59" s="18">
        <v>21.3</v>
      </c>
      <c r="F59" s="17">
        <v>23</v>
      </c>
      <c r="G59" s="18">
        <v>20.6</v>
      </c>
      <c r="H59" s="17">
        <v>38</v>
      </c>
      <c r="I59" s="17">
        <v>96</v>
      </c>
      <c r="J59" s="17">
        <v>7</v>
      </c>
    </row>
    <row r="60" spans="1:10" x14ac:dyDescent="0.25">
      <c r="A60" s="18">
        <v>13</v>
      </c>
      <c r="B60" s="17">
        <v>35</v>
      </c>
      <c r="C60" s="18">
        <v>16.3</v>
      </c>
      <c r="D60" s="17">
        <v>18</v>
      </c>
      <c r="E60" s="18">
        <v>21.4</v>
      </c>
      <c r="F60" s="17">
        <v>23</v>
      </c>
      <c r="G60" s="18">
        <v>20.7</v>
      </c>
      <c r="H60" s="17">
        <v>38</v>
      </c>
      <c r="I60" s="17">
        <v>97</v>
      </c>
      <c r="J60" s="17">
        <v>6</v>
      </c>
    </row>
    <row r="61" spans="1:10" x14ac:dyDescent="0.25">
      <c r="A61" s="18">
        <v>12.9</v>
      </c>
      <c r="B61" s="17">
        <v>36</v>
      </c>
      <c r="C61" s="18">
        <v>16.399999999999999</v>
      </c>
      <c r="D61" s="17">
        <v>18</v>
      </c>
      <c r="E61" s="18">
        <v>21.5</v>
      </c>
      <c r="F61" s="17">
        <v>22</v>
      </c>
      <c r="G61" s="18">
        <v>20.8</v>
      </c>
      <c r="H61" s="17">
        <v>38</v>
      </c>
      <c r="I61" s="17">
        <v>98</v>
      </c>
      <c r="J61" s="17">
        <v>6</v>
      </c>
    </row>
    <row r="62" spans="1:10" x14ac:dyDescent="0.25">
      <c r="A62" s="18">
        <v>12.8</v>
      </c>
      <c r="B62" s="17">
        <v>37</v>
      </c>
      <c r="C62" s="18">
        <v>16.5</v>
      </c>
      <c r="D62" s="17">
        <v>18</v>
      </c>
      <c r="E62" s="18">
        <v>21.6</v>
      </c>
      <c r="F62" s="17">
        <v>22</v>
      </c>
      <c r="G62" s="18">
        <v>20.9</v>
      </c>
      <c r="H62" s="17">
        <v>38</v>
      </c>
      <c r="I62" s="17">
        <v>99</v>
      </c>
      <c r="J62" s="17">
        <v>5</v>
      </c>
    </row>
    <row r="63" spans="1:10" x14ac:dyDescent="0.25">
      <c r="A63" s="18">
        <v>12.7</v>
      </c>
      <c r="B63" s="17">
        <v>38</v>
      </c>
      <c r="C63" s="18">
        <v>16.600000000000001</v>
      </c>
      <c r="D63" s="17">
        <v>17</v>
      </c>
      <c r="E63" s="18">
        <v>21.7</v>
      </c>
      <c r="F63" s="17">
        <v>22</v>
      </c>
      <c r="G63" s="18">
        <v>21</v>
      </c>
      <c r="H63" s="17">
        <v>38</v>
      </c>
      <c r="I63" s="17">
        <v>100</v>
      </c>
      <c r="J63" s="17">
        <v>5</v>
      </c>
    </row>
    <row r="64" spans="1:10" x14ac:dyDescent="0.25">
      <c r="A64" s="18">
        <v>12.6</v>
      </c>
      <c r="B64" s="17">
        <v>39</v>
      </c>
      <c r="C64" s="18">
        <v>16.7</v>
      </c>
      <c r="D64" s="17">
        <v>17</v>
      </c>
      <c r="E64" s="18">
        <v>21.8</v>
      </c>
      <c r="F64" s="17">
        <v>21</v>
      </c>
      <c r="G64" s="18">
        <v>21.1</v>
      </c>
      <c r="H64" s="17">
        <v>37</v>
      </c>
      <c r="I64" s="17">
        <v>101</v>
      </c>
      <c r="J64" s="17">
        <v>4</v>
      </c>
    </row>
    <row r="65" spans="1:10" x14ac:dyDescent="0.25">
      <c r="A65" s="18">
        <v>12.5</v>
      </c>
      <c r="B65" s="17">
        <v>40</v>
      </c>
      <c r="C65" s="18">
        <v>16.8</v>
      </c>
      <c r="D65" s="17">
        <v>17</v>
      </c>
      <c r="E65" s="18">
        <v>21.9</v>
      </c>
      <c r="F65" s="17">
        <v>21</v>
      </c>
      <c r="G65" s="18">
        <v>21.2</v>
      </c>
      <c r="H65" s="17">
        <v>37</v>
      </c>
      <c r="I65" s="17">
        <v>102</v>
      </c>
      <c r="J65" s="17">
        <v>4</v>
      </c>
    </row>
    <row r="66" spans="1:10" x14ac:dyDescent="0.25">
      <c r="A66" s="18">
        <v>12.4</v>
      </c>
      <c r="B66" s="17">
        <v>41</v>
      </c>
      <c r="C66" s="18">
        <v>16.899999999999999</v>
      </c>
      <c r="D66" s="17">
        <v>16</v>
      </c>
      <c r="E66" s="18">
        <v>22</v>
      </c>
      <c r="F66" s="17">
        <v>21</v>
      </c>
      <c r="G66" s="18">
        <v>21.3</v>
      </c>
      <c r="H66" s="17">
        <v>37</v>
      </c>
      <c r="I66" s="17">
        <v>103</v>
      </c>
      <c r="J66" s="17">
        <v>3</v>
      </c>
    </row>
    <row r="67" spans="1:10" x14ac:dyDescent="0.25">
      <c r="A67" s="18">
        <v>12.3</v>
      </c>
      <c r="B67" s="17">
        <v>42</v>
      </c>
      <c r="C67" s="18">
        <v>17</v>
      </c>
      <c r="D67" s="17">
        <v>16</v>
      </c>
      <c r="E67" s="18">
        <v>22.1</v>
      </c>
      <c r="F67" s="17">
        <v>20</v>
      </c>
      <c r="G67" s="18">
        <v>21.4</v>
      </c>
      <c r="H67" s="17">
        <v>37</v>
      </c>
      <c r="I67" s="17">
        <v>104</v>
      </c>
      <c r="J67" s="17">
        <v>3</v>
      </c>
    </row>
    <row r="68" spans="1:10" x14ac:dyDescent="0.25">
      <c r="A68" s="18">
        <v>12.2</v>
      </c>
      <c r="B68" s="17">
        <v>43</v>
      </c>
      <c r="C68" s="18">
        <v>17.100000000000001</v>
      </c>
      <c r="D68" s="17">
        <v>16</v>
      </c>
      <c r="E68" s="18">
        <v>22.2</v>
      </c>
      <c r="F68" s="17">
        <v>20</v>
      </c>
      <c r="G68" s="18">
        <v>21.5</v>
      </c>
      <c r="H68" s="17">
        <v>37</v>
      </c>
      <c r="I68" s="17">
        <v>105</v>
      </c>
      <c r="J68" s="17">
        <v>2</v>
      </c>
    </row>
    <row r="69" spans="1:10" x14ac:dyDescent="0.25">
      <c r="A69" s="18">
        <v>12.1</v>
      </c>
      <c r="B69" s="17">
        <v>44</v>
      </c>
      <c r="C69" s="18">
        <v>17.2</v>
      </c>
      <c r="D69" s="17">
        <v>15</v>
      </c>
      <c r="E69" s="18">
        <v>22.3</v>
      </c>
      <c r="F69" s="17">
        <v>20</v>
      </c>
      <c r="G69" s="18">
        <v>21.6</v>
      </c>
      <c r="H69" s="17">
        <v>36</v>
      </c>
      <c r="I69" s="17">
        <v>106</v>
      </c>
      <c r="J69" s="17">
        <v>2</v>
      </c>
    </row>
    <row r="70" spans="1:10" x14ac:dyDescent="0.25">
      <c r="A70" s="18">
        <v>12</v>
      </c>
      <c r="B70" s="17">
        <v>45</v>
      </c>
      <c r="C70" s="18">
        <v>17.3</v>
      </c>
      <c r="D70" s="17">
        <v>15</v>
      </c>
      <c r="E70" s="18">
        <v>22.4</v>
      </c>
      <c r="F70" s="17">
        <v>19</v>
      </c>
      <c r="G70" s="18">
        <v>21.7</v>
      </c>
      <c r="H70" s="17">
        <v>36</v>
      </c>
      <c r="I70" s="17">
        <v>107</v>
      </c>
      <c r="J70" s="17">
        <v>1</v>
      </c>
    </row>
    <row r="71" spans="1:10" x14ac:dyDescent="0.25">
      <c r="A71" s="18">
        <v>11.9</v>
      </c>
      <c r="B71" s="17">
        <v>46</v>
      </c>
      <c r="C71" s="18">
        <v>17.399999999999999</v>
      </c>
      <c r="D71" s="17">
        <v>15</v>
      </c>
      <c r="E71" s="18">
        <v>22.5</v>
      </c>
      <c r="F71" s="17">
        <v>19</v>
      </c>
      <c r="G71" s="18">
        <v>21.8</v>
      </c>
      <c r="H71" s="17">
        <v>36</v>
      </c>
      <c r="I71" s="17">
        <v>108</v>
      </c>
      <c r="J71" s="17">
        <v>1</v>
      </c>
    </row>
    <row r="72" spans="1:10" x14ac:dyDescent="0.25">
      <c r="A72" s="18">
        <v>11.8</v>
      </c>
      <c r="B72" s="17">
        <v>46</v>
      </c>
      <c r="C72" s="18">
        <v>17.5</v>
      </c>
      <c r="D72" s="17">
        <v>14</v>
      </c>
      <c r="E72" s="18">
        <v>22.6</v>
      </c>
      <c r="F72" s="17">
        <v>19</v>
      </c>
      <c r="G72" s="18">
        <v>21.9</v>
      </c>
      <c r="H72" s="17">
        <v>36</v>
      </c>
    </row>
    <row r="73" spans="1:10" x14ac:dyDescent="0.25">
      <c r="A73" s="18">
        <v>11.7</v>
      </c>
      <c r="B73" s="17">
        <v>47</v>
      </c>
      <c r="C73" s="18">
        <v>17.600000000000001</v>
      </c>
      <c r="D73" s="17">
        <v>14</v>
      </c>
      <c r="E73" s="18">
        <v>22.7</v>
      </c>
      <c r="F73" s="17">
        <v>18</v>
      </c>
      <c r="G73" s="18">
        <v>22</v>
      </c>
      <c r="H73" s="17">
        <v>36</v>
      </c>
    </row>
    <row r="74" spans="1:10" x14ac:dyDescent="0.25">
      <c r="A74" s="18">
        <v>11.6</v>
      </c>
      <c r="B74" s="17">
        <v>47</v>
      </c>
      <c r="C74" s="18">
        <v>17.7</v>
      </c>
      <c r="D74" s="17">
        <v>14</v>
      </c>
      <c r="E74" s="18">
        <v>22.8</v>
      </c>
      <c r="F74" s="17">
        <v>18</v>
      </c>
      <c r="G74" s="18">
        <v>22.1</v>
      </c>
      <c r="H74" s="17">
        <v>35</v>
      </c>
    </row>
    <row r="75" spans="1:10" x14ac:dyDescent="0.25">
      <c r="A75" s="18">
        <v>11.5</v>
      </c>
      <c r="B75" s="17">
        <v>48</v>
      </c>
      <c r="C75" s="18">
        <v>17.8</v>
      </c>
      <c r="D75" s="17">
        <v>13</v>
      </c>
      <c r="E75" s="18">
        <v>22.9</v>
      </c>
      <c r="F75" s="17">
        <v>18</v>
      </c>
      <c r="G75" s="18">
        <v>22.2</v>
      </c>
      <c r="H75" s="17">
        <v>35</v>
      </c>
    </row>
    <row r="76" spans="1:10" x14ac:dyDescent="0.25">
      <c r="A76" s="18">
        <v>11.4</v>
      </c>
      <c r="B76" s="17">
        <v>48</v>
      </c>
      <c r="C76" s="18">
        <v>17.899999999999999</v>
      </c>
      <c r="D76" s="17">
        <v>13</v>
      </c>
      <c r="E76" s="18">
        <v>23</v>
      </c>
      <c r="F76" s="17">
        <v>17</v>
      </c>
      <c r="G76" s="18">
        <v>22.3</v>
      </c>
      <c r="H76" s="17">
        <v>35</v>
      </c>
    </row>
    <row r="77" spans="1:10" x14ac:dyDescent="0.25">
      <c r="A77" s="18">
        <v>11.3</v>
      </c>
      <c r="B77" s="17">
        <v>49</v>
      </c>
      <c r="C77" s="18">
        <v>18</v>
      </c>
      <c r="D77" s="17">
        <v>13</v>
      </c>
      <c r="E77" s="18">
        <v>23.1</v>
      </c>
      <c r="F77" s="17">
        <v>17</v>
      </c>
      <c r="G77" s="18">
        <v>22.4</v>
      </c>
      <c r="H77" s="17">
        <v>35</v>
      </c>
    </row>
    <row r="78" spans="1:10" x14ac:dyDescent="0.25">
      <c r="A78" s="18">
        <v>11.2</v>
      </c>
      <c r="B78" s="17">
        <v>49</v>
      </c>
      <c r="C78" s="18">
        <v>18.100000000000001</v>
      </c>
      <c r="D78" s="17">
        <v>12</v>
      </c>
      <c r="E78" s="18">
        <v>23.2</v>
      </c>
      <c r="F78" s="17">
        <v>17</v>
      </c>
      <c r="G78" s="18">
        <v>22.5</v>
      </c>
      <c r="H78" s="17">
        <v>35</v>
      </c>
    </row>
    <row r="79" spans="1:10" x14ac:dyDescent="0.25">
      <c r="A79" s="18">
        <v>11.1</v>
      </c>
      <c r="B79" s="17">
        <v>50</v>
      </c>
      <c r="C79" s="18">
        <v>18.2</v>
      </c>
      <c r="D79" s="17">
        <v>12</v>
      </c>
      <c r="E79" s="18">
        <v>23.3</v>
      </c>
      <c r="F79" s="17">
        <v>16</v>
      </c>
      <c r="G79" s="18">
        <v>22.6</v>
      </c>
      <c r="H79" s="17">
        <v>34</v>
      </c>
    </row>
    <row r="80" spans="1:10" x14ac:dyDescent="0.25">
      <c r="C80" s="18">
        <v>18.3</v>
      </c>
      <c r="D80" s="17">
        <v>12</v>
      </c>
      <c r="E80" s="18">
        <v>23.4</v>
      </c>
      <c r="F80" s="17">
        <v>16</v>
      </c>
      <c r="G80" s="18">
        <v>22.7</v>
      </c>
      <c r="H80" s="17">
        <v>34</v>
      </c>
    </row>
    <row r="81" spans="3:8" x14ac:dyDescent="0.25">
      <c r="C81" s="18">
        <v>18.399999999999999</v>
      </c>
      <c r="D81" s="17">
        <v>11</v>
      </c>
      <c r="E81" s="18">
        <v>23.5</v>
      </c>
      <c r="F81" s="17">
        <v>16</v>
      </c>
      <c r="G81" s="18">
        <v>22.8</v>
      </c>
      <c r="H81" s="17">
        <v>34</v>
      </c>
    </row>
    <row r="82" spans="3:8" x14ac:dyDescent="0.25">
      <c r="C82" s="18">
        <v>18.5</v>
      </c>
      <c r="D82" s="17">
        <v>11</v>
      </c>
      <c r="E82" s="18">
        <v>23.6</v>
      </c>
      <c r="F82" s="17">
        <v>15</v>
      </c>
      <c r="G82" s="18">
        <v>22.9</v>
      </c>
      <c r="H82" s="17">
        <v>34</v>
      </c>
    </row>
    <row r="83" spans="3:8" x14ac:dyDescent="0.25">
      <c r="C83" s="18">
        <v>18.600000000000001</v>
      </c>
      <c r="D83" s="17">
        <v>11</v>
      </c>
      <c r="E83" s="18">
        <v>23.7</v>
      </c>
      <c r="F83" s="17">
        <v>15</v>
      </c>
      <c r="G83" s="18">
        <v>23</v>
      </c>
      <c r="H83" s="17">
        <v>34</v>
      </c>
    </row>
    <row r="84" spans="3:8" x14ac:dyDescent="0.25">
      <c r="C84" s="18">
        <v>18.7</v>
      </c>
      <c r="D84" s="17">
        <v>10</v>
      </c>
      <c r="E84" s="18">
        <v>23.8</v>
      </c>
      <c r="F84" s="17">
        <v>15</v>
      </c>
      <c r="G84" s="18">
        <v>23.1</v>
      </c>
      <c r="H84" s="17">
        <v>33</v>
      </c>
    </row>
    <row r="85" spans="3:8" x14ac:dyDescent="0.25">
      <c r="C85" s="18">
        <v>18.8</v>
      </c>
      <c r="D85" s="17">
        <v>10</v>
      </c>
      <c r="E85" s="18">
        <v>23.9</v>
      </c>
      <c r="F85" s="17">
        <v>14</v>
      </c>
      <c r="G85" s="18">
        <v>23.2</v>
      </c>
      <c r="H85" s="17">
        <v>33</v>
      </c>
    </row>
    <row r="86" spans="3:8" x14ac:dyDescent="0.25">
      <c r="C86" s="18">
        <v>18.899999999999999</v>
      </c>
      <c r="D86" s="17">
        <v>10</v>
      </c>
      <c r="E86" s="18">
        <v>24</v>
      </c>
      <c r="F86" s="17">
        <v>14</v>
      </c>
      <c r="G86" s="18">
        <v>23.3</v>
      </c>
      <c r="H86" s="17">
        <v>33</v>
      </c>
    </row>
    <row r="87" spans="3:8" x14ac:dyDescent="0.25">
      <c r="C87" s="18">
        <v>19</v>
      </c>
      <c r="D87" s="17">
        <v>9</v>
      </c>
      <c r="E87" s="18">
        <v>24.1</v>
      </c>
      <c r="F87" s="17">
        <v>14</v>
      </c>
      <c r="G87" s="18">
        <v>23.4</v>
      </c>
      <c r="H87" s="17">
        <v>33</v>
      </c>
    </row>
    <row r="88" spans="3:8" x14ac:dyDescent="0.25">
      <c r="C88" s="18">
        <v>19.100000000000001</v>
      </c>
      <c r="D88" s="17">
        <v>9</v>
      </c>
      <c r="E88" s="18">
        <v>24.2</v>
      </c>
      <c r="F88" s="17">
        <v>13</v>
      </c>
      <c r="G88" s="18">
        <v>23.5</v>
      </c>
      <c r="H88" s="17">
        <v>33</v>
      </c>
    </row>
    <row r="89" spans="3:8" x14ac:dyDescent="0.25">
      <c r="C89" s="18">
        <v>19.2</v>
      </c>
      <c r="D89" s="17">
        <v>9</v>
      </c>
      <c r="E89" s="18">
        <v>24.3</v>
      </c>
      <c r="F89" s="17">
        <v>13</v>
      </c>
      <c r="G89" s="18">
        <v>23.6</v>
      </c>
      <c r="H89" s="17">
        <v>32</v>
      </c>
    </row>
    <row r="90" spans="3:8" x14ac:dyDescent="0.25">
      <c r="C90" s="18">
        <v>19.3</v>
      </c>
      <c r="D90" s="17">
        <v>9</v>
      </c>
      <c r="E90" s="18">
        <v>24.4</v>
      </c>
      <c r="F90" s="17">
        <v>13</v>
      </c>
      <c r="G90" s="18">
        <v>23.7</v>
      </c>
      <c r="H90" s="17">
        <v>32</v>
      </c>
    </row>
    <row r="91" spans="3:8" x14ac:dyDescent="0.25">
      <c r="C91" s="18">
        <v>19.399999999999999</v>
      </c>
      <c r="D91" s="17">
        <v>8</v>
      </c>
      <c r="E91" s="18">
        <v>24.5</v>
      </c>
      <c r="F91" s="17">
        <v>12</v>
      </c>
      <c r="G91" s="18">
        <v>23.8</v>
      </c>
      <c r="H91" s="17">
        <v>32</v>
      </c>
    </row>
    <row r="92" spans="3:8" x14ac:dyDescent="0.25">
      <c r="C92" s="18">
        <v>19.5</v>
      </c>
      <c r="D92" s="17">
        <v>8</v>
      </c>
      <c r="E92" s="18">
        <v>24.6</v>
      </c>
      <c r="F92" s="17">
        <v>12</v>
      </c>
      <c r="G92" s="18">
        <v>23.9</v>
      </c>
      <c r="H92" s="17">
        <v>32</v>
      </c>
    </row>
    <row r="93" spans="3:8" x14ac:dyDescent="0.25">
      <c r="C93" s="18">
        <v>19.600000000000001</v>
      </c>
      <c r="D93" s="17">
        <v>8</v>
      </c>
      <c r="E93" s="18">
        <v>24.7</v>
      </c>
      <c r="F93" s="17">
        <v>12</v>
      </c>
      <c r="G93" s="18">
        <v>24</v>
      </c>
      <c r="H93" s="17">
        <v>32</v>
      </c>
    </row>
    <row r="94" spans="3:8" x14ac:dyDescent="0.25">
      <c r="C94" s="18">
        <v>19.7</v>
      </c>
      <c r="D94" s="17">
        <v>8</v>
      </c>
      <c r="E94" s="18">
        <v>24.8</v>
      </c>
      <c r="F94" s="17">
        <v>11</v>
      </c>
      <c r="G94" s="18">
        <v>24.1</v>
      </c>
      <c r="H94" s="17">
        <v>31</v>
      </c>
    </row>
    <row r="95" spans="3:8" x14ac:dyDescent="0.25">
      <c r="C95" s="18">
        <v>19.8</v>
      </c>
      <c r="D95" s="17">
        <v>7</v>
      </c>
      <c r="E95" s="18">
        <v>24.9</v>
      </c>
      <c r="F95" s="17">
        <v>11</v>
      </c>
      <c r="G95" s="18">
        <v>24.2</v>
      </c>
      <c r="H95" s="17">
        <v>31</v>
      </c>
    </row>
    <row r="96" spans="3:8" x14ac:dyDescent="0.25">
      <c r="C96" s="18">
        <v>19.899999999999999</v>
      </c>
      <c r="D96" s="17">
        <v>7</v>
      </c>
      <c r="E96" s="18">
        <v>25</v>
      </c>
      <c r="F96" s="17">
        <v>11</v>
      </c>
      <c r="G96" s="18">
        <v>24.3</v>
      </c>
      <c r="H96" s="17">
        <v>31</v>
      </c>
    </row>
    <row r="97" spans="3:8" x14ac:dyDescent="0.25">
      <c r="C97" s="18">
        <v>20</v>
      </c>
      <c r="D97" s="17">
        <v>7</v>
      </c>
      <c r="E97" s="18">
        <v>25.1</v>
      </c>
      <c r="F97" s="17">
        <v>10</v>
      </c>
      <c r="G97" s="18">
        <v>24.4</v>
      </c>
      <c r="H97" s="17">
        <v>31</v>
      </c>
    </row>
    <row r="98" spans="3:8" x14ac:dyDescent="0.25">
      <c r="C98" s="18">
        <v>20.100000000000001</v>
      </c>
      <c r="D98" s="17">
        <v>7</v>
      </c>
      <c r="E98" s="18">
        <v>25.2</v>
      </c>
      <c r="F98" s="17">
        <v>10</v>
      </c>
      <c r="G98" s="18">
        <v>24.5</v>
      </c>
      <c r="H98" s="17">
        <v>31</v>
      </c>
    </row>
    <row r="99" spans="3:8" x14ac:dyDescent="0.25">
      <c r="C99" s="18">
        <v>20.2</v>
      </c>
      <c r="D99" s="17">
        <v>6</v>
      </c>
      <c r="E99" s="18">
        <v>25.3</v>
      </c>
      <c r="F99" s="17">
        <v>10</v>
      </c>
      <c r="G99" s="18">
        <v>24.6</v>
      </c>
      <c r="H99" s="17">
        <v>30</v>
      </c>
    </row>
    <row r="100" spans="3:8" x14ac:dyDescent="0.25">
      <c r="C100" s="18">
        <v>20.3</v>
      </c>
      <c r="D100" s="17">
        <v>6</v>
      </c>
      <c r="E100" s="18">
        <v>25.4</v>
      </c>
      <c r="F100" s="17">
        <v>10</v>
      </c>
      <c r="G100" s="18">
        <v>24.7</v>
      </c>
      <c r="H100" s="17">
        <v>30</v>
      </c>
    </row>
    <row r="101" spans="3:8" x14ac:dyDescent="0.25">
      <c r="C101" s="18">
        <v>20.399999999999999</v>
      </c>
      <c r="D101" s="17">
        <v>6</v>
      </c>
      <c r="E101" s="18">
        <v>25.5</v>
      </c>
      <c r="F101" s="17">
        <v>9</v>
      </c>
      <c r="G101" s="18">
        <v>24.8</v>
      </c>
      <c r="H101" s="17">
        <v>30</v>
      </c>
    </row>
    <row r="102" spans="3:8" x14ac:dyDescent="0.25">
      <c r="C102" s="18">
        <v>20.5</v>
      </c>
      <c r="D102" s="17">
        <v>6</v>
      </c>
      <c r="E102" s="18">
        <v>25.6</v>
      </c>
      <c r="F102" s="17">
        <v>9</v>
      </c>
      <c r="G102" s="18">
        <v>24.9</v>
      </c>
      <c r="H102" s="17">
        <v>30</v>
      </c>
    </row>
    <row r="103" spans="3:8" x14ac:dyDescent="0.25">
      <c r="C103" s="18">
        <v>20.6</v>
      </c>
      <c r="D103" s="17">
        <v>5</v>
      </c>
      <c r="E103" s="18">
        <v>25.7</v>
      </c>
      <c r="F103" s="17">
        <v>9</v>
      </c>
      <c r="G103" s="18">
        <v>25</v>
      </c>
      <c r="H103" s="17">
        <v>30</v>
      </c>
    </row>
    <row r="104" spans="3:8" x14ac:dyDescent="0.25">
      <c r="C104" s="18">
        <v>20.7</v>
      </c>
      <c r="D104" s="17">
        <v>5</v>
      </c>
      <c r="E104" s="18">
        <v>25.8</v>
      </c>
      <c r="F104" s="17">
        <v>9</v>
      </c>
      <c r="G104" s="18">
        <v>25.1</v>
      </c>
      <c r="H104" s="17">
        <v>29</v>
      </c>
    </row>
    <row r="105" spans="3:8" x14ac:dyDescent="0.25">
      <c r="C105" s="18">
        <v>20.8</v>
      </c>
      <c r="D105" s="17">
        <v>5</v>
      </c>
      <c r="E105" s="18">
        <v>25.9</v>
      </c>
      <c r="F105" s="17">
        <v>8</v>
      </c>
      <c r="G105" s="18">
        <v>25.2</v>
      </c>
      <c r="H105" s="17">
        <v>29</v>
      </c>
    </row>
    <row r="106" spans="3:8" x14ac:dyDescent="0.25">
      <c r="C106" s="18">
        <v>20.9</v>
      </c>
      <c r="D106" s="17">
        <v>5</v>
      </c>
      <c r="E106" s="18">
        <v>26</v>
      </c>
      <c r="F106" s="17">
        <v>8</v>
      </c>
      <c r="G106" s="18">
        <v>25.3</v>
      </c>
      <c r="H106" s="17">
        <v>29</v>
      </c>
    </row>
    <row r="107" spans="3:8" x14ac:dyDescent="0.25">
      <c r="C107" s="18">
        <v>21</v>
      </c>
      <c r="D107" s="17">
        <v>4</v>
      </c>
      <c r="E107" s="18">
        <v>26.1</v>
      </c>
      <c r="F107" s="17">
        <v>8</v>
      </c>
      <c r="G107" s="18">
        <v>25.4</v>
      </c>
      <c r="H107" s="17">
        <v>29</v>
      </c>
    </row>
    <row r="108" spans="3:8" x14ac:dyDescent="0.25">
      <c r="C108" s="18">
        <v>21.1</v>
      </c>
      <c r="D108" s="17">
        <v>4</v>
      </c>
      <c r="E108" s="18">
        <v>26.2</v>
      </c>
      <c r="F108" s="17">
        <v>8</v>
      </c>
      <c r="G108" s="18">
        <v>25.5</v>
      </c>
      <c r="H108" s="17">
        <v>29</v>
      </c>
    </row>
    <row r="109" spans="3:8" x14ac:dyDescent="0.25">
      <c r="C109" s="18">
        <v>21.2</v>
      </c>
      <c r="D109" s="17">
        <v>4</v>
      </c>
      <c r="E109" s="18">
        <v>26.3</v>
      </c>
      <c r="F109" s="17">
        <v>7</v>
      </c>
      <c r="G109" s="18">
        <v>25.6</v>
      </c>
      <c r="H109" s="17">
        <v>28</v>
      </c>
    </row>
    <row r="110" spans="3:8" x14ac:dyDescent="0.25">
      <c r="C110" s="18">
        <v>21.3</v>
      </c>
      <c r="D110" s="17">
        <v>4</v>
      </c>
      <c r="E110" s="18">
        <v>26.4</v>
      </c>
      <c r="F110" s="17">
        <v>7</v>
      </c>
      <c r="G110" s="18">
        <v>25.7</v>
      </c>
      <c r="H110" s="17">
        <v>28</v>
      </c>
    </row>
    <row r="111" spans="3:8" x14ac:dyDescent="0.25">
      <c r="C111" s="18">
        <v>21.4</v>
      </c>
      <c r="D111" s="17">
        <v>3</v>
      </c>
      <c r="E111" s="18">
        <v>26.5</v>
      </c>
      <c r="F111" s="17">
        <v>7</v>
      </c>
      <c r="G111" s="18">
        <v>25.8</v>
      </c>
      <c r="H111" s="17">
        <v>28</v>
      </c>
    </row>
    <row r="112" spans="3:8" x14ac:dyDescent="0.25">
      <c r="C112" s="18">
        <v>21.5</v>
      </c>
      <c r="D112" s="17">
        <v>3</v>
      </c>
      <c r="E112" s="18">
        <v>26.6</v>
      </c>
      <c r="F112" s="17">
        <v>7</v>
      </c>
      <c r="G112" s="18">
        <v>25.9</v>
      </c>
      <c r="H112" s="17">
        <v>28</v>
      </c>
    </row>
    <row r="113" spans="3:8" x14ac:dyDescent="0.25">
      <c r="C113" s="18">
        <v>21.6</v>
      </c>
      <c r="D113" s="17">
        <v>3</v>
      </c>
      <c r="E113" s="18">
        <v>26.7</v>
      </c>
      <c r="F113" s="17">
        <v>6</v>
      </c>
      <c r="G113" s="18">
        <v>26</v>
      </c>
      <c r="H113" s="17">
        <v>28</v>
      </c>
    </row>
    <row r="114" spans="3:8" x14ac:dyDescent="0.25">
      <c r="C114" s="18">
        <v>21.7</v>
      </c>
      <c r="D114" s="17">
        <v>3</v>
      </c>
      <c r="E114" s="18">
        <v>26.8</v>
      </c>
      <c r="F114" s="17">
        <v>6</v>
      </c>
      <c r="G114" s="18">
        <v>26.1</v>
      </c>
      <c r="H114" s="17">
        <v>27</v>
      </c>
    </row>
    <row r="115" spans="3:8" x14ac:dyDescent="0.25">
      <c r="C115" s="18">
        <v>21.8</v>
      </c>
      <c r="D115" s="17">
        <v>3</v>
      </c>
      <c r="E115" s="18">
        <v>26.9</v>
      </c>
      <c r="F115" s="17">
        <v>6</v>
      </c>
      <c r="G115" s="18">
        <v>26.2</v>
      </c>
      <c r="H115" s="17">
        <v>27</v>
      </c>
    </row>
    <row r="116" spans="3:8" x14ac:dyDescent="0.25">
      <c r="C116" s="18">
        <v>21.9</v>
      </c>
      <c r="D116" s="17">
        <v>2</v>
      </c>
      <c r="E116" s="18">
        <v>27</v>
      </c>
      <c r="F116" s="17">
        <v>6</v>
      </c>
      <c r="G116" s="18">
        <v>26.3</v>
      </c>
      <c r="H116" s="17">
        <v>27</v>
      </c>
    </row>
    <row r="117" spans="3:8" x14ac:dyDescent="0.25">
      <c r="C117" s="18">
        <v>22</v>
      </c>
      <c r="D117" s="17">
        <v>2</v>
      </c>
      <c r="E117" s="18">
        <v>27.1</v>
      </c>
      <c r="F117" s="17">
        <v>5</v>
      </c>
      <c r="G117" s="18">
        <v>26.4</v>
      </c>
      <c r="H117" s="17">
        <v>27</v>
      </c>
    </row>
    <row r="118" spans="3:8" x14ac:dyDescent="0.25">
      <c r="C118" s="18">
        <v>22.1</v>
      </c>
      <c r="D118" s="17">
        <v>2</v>
      </c>
      <c r="E118" s="18">
        <v>27.2</v>
      </c>
      <c r="F118" s="17">
        <v>5</v>
      </c>
      <c r="G118" s="18">
        <v>26.5</v>
      </c>
      <c r="H118" s="17">
        <v>27</v>
      </c>
    </row>
    <row r="119" spans="3:8" x14ac:dyDescent="0.25">
      <c r="C119" s="18">
        <v>22.2</v>
      </c>
      <c r="D119" s="17">
        <v>2</v>
      </c>
      <c r="E119" s="18">
        <v>27.3</v>
      </c>
      <c r="F119" s="17">
        <v>5</v>
      </c>
      <c r="G119" s="18">
        <v>26.6</v>
      </c>
      <c r="H119" s="17">
        <v>26</v>
      </c>
    </row>
    <row r="120" spans="3:8" x14ac:dyDescent="0.25">
      <c r="C120" s="18">
        <v>22.3</v>
      </c>
      <c r="D120" s="17">
        <v>2</v>
      </c>
      <c r="E120" s="18">
        <v>27.4</v>
      </c>
      <c r="F120" s="17">
        <v>5</v>
      </c>
      <c r="G120" s="18">
        <v>26.7</v>
      </c>
      <c r="H120" s="17">
        <v>26</v>
      </c>
    </row>
    <row r="121" spans="3:8" x14ac:dyDescent="0.25">
      <c r="C121" s="18">
        <v>22.4</v>
      </c>
      <c r="D121" s="17">
        <v>1</v>
      </c>
      <c r="E121" s="18">
        <v>27.5</v>
      </c>
      <c r="F121" s="17">
        <v>4</v>
      </c>
      <c r="G121" s="18">
        <v>26.8</v>
      </c>
      <c r="H121" s="17">
        <v>26</v>
      </c>
    </row>
    <row r="122" spans="3:8" x14ac:dyDescent="0.25">
      <c r="C122" s="18">
        <v>22.5</v>
      </c>
      <c r="D122" s="17">
        <v>1</v>
      </c>
      <c r="E122" s="18">
        <v>27.6</v>
      </c>
      <c r="F122" s="17">
        <v>4</v>
      </c>
      <c r="G122" s="18">
        <v>26.9</v>
      </c>
      <c r="H122" s="17">
        <v>26</v>
      </c>
    </row>
    <row r="123" spans="3:8" x14ac:dyDescent="0.25">
      <c r="C123" s="18">
        <v>22.6</v>
      </c>
      <c r="D123" s="17">
        <v>1</v>
      </c>
      <c r="E123" s="18">
        <v>27.7</v>
      </c>
      <c r="F123" s="17">
        <v>4</v>
      </c>
      <c r="G123" s="18">
        <v>27</v>
      </c>
      <c r="H123" s="17">
        <v>26</v>
      </c>
    </row>
    <row r="124" spans="3:8" x14ac:dyDescent="0.25">
      <c r="C124" s="18">
        <v>22.7</v>
      </c>
      <c r="D124" s="17">
        <v>1</v>
      </c>
      <c r="E124" s="18">
        <v>27.8</v>
      </c>
      <c r="F124" s="17">
        <v>4</v>
      </c>
      <c r="G124" s="18">
        <v>27.1</v>
      </c>
      <c r="H124" s="17">
        <v>25</v>
      </c>
    </row>
    <row r="125" spans="3:8" x14ac:dyDescent="0.25">
      <c r="C125" s="18">
        <v>22.8</v>
      </c>
      <c r="D125" s="17">
        <v>1</v>
      </c>
      <c r="E125" s="18">
        <v>27.9</v>
      </c>
      <c r="F125" s="17">
        <v>3</v>
      </c>
      <c r="G125" s="18">
        <v>27.2</v>
      </c>
      <c r="H125" s="17">
        <v>25</v>
      </c>
    </row>
    <row r="126" spans="3:8" x14ac:dyDescent="0.25">
      <c r="E126" s="18">
        <v>28</v>
      </c>
      <c r="F126" s="17">
        <v>3</v>
      </c>
      <c r="G126" s="18">
        <v>27.3</v>
      </c>
      <c r="H126" s="17">
        <v>25</v>
      </c>
    </row>
    <row r="127" spans="3:8" x14ac:dyDescent="0.25">
      <c r="E127" s="18">
        <v>28.1</v>
      </c>
      <c r="F127" s="17">
        <v>3</v>
      </c>
      <c r="G127" s="18">
        <v>27.4</v>
      </c>
      <c r="H127" s="17">
        <v>25</v>
      </c>
    </row>
    <row r="128" spans="3:8" x14ac:dyDescent="0.25">
      <c r="E128" s="18">
        <v>28.2</v>
      </c>
      <c r="F128" s="17">
        <v>3</v>
      </c>
      <c r="G128" s="18">
        <v>27.5</v>
      </c>
      <c r="H128" s="17">
        <v>25</v>
      </c>
    </row>
    <row r="129" spans="5:8" x14ac:dyDescent="0.25">
      <c r="E129" s="18">
        <v>28.3</v>
      </c>
      <c r="F129" s="17">
        <v>2</v>
      </c>
      <c r="G129" s="18">
        <v>27.6</v>
      </c>
      <c r="H129" s="17">
        <v>24</v>
      </c>
    </row>
    <row r="130" spans="5:8" x14ac:dyDescent="0.25">
      <c r="E130" s="18">
        <v>28.4</v>
      </c>
      <c r="F130" s="17">
        <v>2</v>
      </c>
      <c r="G130" s="18">
        <v>27.7</v>
      </c>
      <c r="H130" s="17">
        <v>24</v>
      </c>
    </row>
    <row r="131" spans="5:8" x14ac:dyDescent="0.25">
      <c r="E131" s="18">
        <v>28.5</v>
      </c>
      <c r="F131" s="17">
        <v>2</v>
      </c>
      <c r="G131" s="18">
        <v>27.8</v>
      </c>
      <c r="H131" s="17">
        <v>24</v>
      </c>
    </row>
    <row r="132" spans="5:8" x14ac:dyDescent="0.25">
      <c r="E132" s="18">
        <v>28.6</v>
      </c>
      <c r="F132" s="17">
        <v>2</v>
      </c>
      <c r="G132" s="18">
        <v>27.9</v>
      </c>
      <c r="H132" s="17">
        <v>24</v>
      </c>
    </row>
    <row r="133" spans="5:8" x14ac:dyDescent="0.25">
      <c r="E133" s="18">
        <v>28.7</v>
      </c>
      <c r="F133" s="17">
        <v>2</v>
      </c>
      <c r="G133" s="18">
        <v>28</v>
      </c>
      <c r="H133" s="17">
        <v>24</v>
      </c>
    </row>
    <row r="134" spans="5:8" x14ac:dyDescent="0.25">
      <c r="E134" s="18">
        <v>28.8</v>
      </c>
      <c r="F134" s="17">
        <v>1</v>
      </c>
      <c r="G134" s="18">
        <v>28.1</v>
      </c>
      <c r="H134" s="17">
        <v>23</v>
      </c>
    </row>
    <row r="135" spans="5:8" x14ac:dyDescent="0.25">
      <c r="E135" s="18">
        <v>28.9</v>
      </c>
      <c r="F135" s="17">
        <v>1</v>
      </c>
      <c r="G135" s="18">
        <v>28.2</v>
      </c>
      <c r="H135" s="17">
        <v>23</v>
      </c>
    </row>
    <row r="136" spans="5:8" x14ac:dyDescent="0.25">
      <c r="E136" s="18">
        <v>29</v>
      </c>
      <c r="F136" s="17">
        <v>1</v>
      </c>
      <c r="G136" s="18">
        <v>28.3</v>
      </c>
      <c r="H136" s="17">
        <v>23</v>
      </c>
    </row>
    <row r="137" spans="5:8" x14ac:dyDescent="0.25">
      <c r="E137" s="18">
        <v>29.1</v>
      </c>
      <c r="F137" s="17">
        <v>1</v>
      </c>
      <c r="G137" s="18">
        <v>28.4</v>
      </c>
      <c r="H137" s="17">
        <v>23</v>
      </c>
    </row>
    <row r="138" spans="5:8" x14ac:dyDescent="0.25">
      <c r="E138" s="18">
        <v>29.2</v>
      </c>
      <c r="F138" s="17">
        <v>1</v>
      </c>
      <c r="G138" s="18">
        <v>28.5</v>
      </c>
      <c r="H138" s="17">
        <v>23</v>
      </c>
    </row>
    <row r="139" spans="5:8" x14ac:dyDescent="0.25">
      <c r="G139" s="18">
        <v>28.6</v>
      </c>
      <c r="H139" s="17">
        <v>22</v>
      </c>
    </row>
    <row r="140" spans="5:8" x14ac:dyDescent="0.25">
      <c r="G140" s="18">
        <v>28.7</v>
      </c>
      <c r="H140" s="17">
        <v>22</v>
      </c>
    </row>
    <row r="141" spans="5:8" x14ac:dyDescent="0.25">
      <c r="G141" s="18">
        <v>28.8</v>
      </c>
      <c r="H141" s="17">
        <v>22</v>
      </c>
    </row>
    <row r="142" spans="5:8" x14ac:dyDescent="0.25">
      <c r="G142" s="18">
        <v>28.9</v>
      </c>
      <c r="H142" s="17">
        <v>22</v>
      </c>
    </row>
    <row r="143" spans="5:8" x14ac:dyDescent="0.25">
      <c r="G143" s="18">
        <v>29</v>
      </c>
      <c r="H143" s="17">
        <v>22</v>
      </c>
    </row>
    <row r="144" spans="5:8" x14ac:dyDescent="0.25">
      <c r="G144" s="18">
        <v>29.1</v>
      </c>
      <c r="H144" s="17">
        <v>21</v>
      </c>
    </row>
    <row r="145" spans="7:8" x14ac:dyDescent="0.25">
      <c r="G145" s="18">
        <v>29.2</v>
      </c>
      <c r="H145" s="17">
        <v>21</v>
      </c>
    </row>
    <row r="146" spans="7:8" x14ac:dyDescent="0.25">
      <c r="G146" s="18">
        <v>29.3</v>
      </c>
      <c r="H146" s="17">
        <v>21</v>
      </c>
    </row>
    <row r="147" spans="7:8" x14ac:dyDescent="0.25">
      <c r="G147" s="18">
        <v>29.4</v>
      </c>
      <c r="H147" s="17">
        <v>21</v>
      </c>
    </row>
    <row r="148" spans="7:8" x14ac:dyDescent="0.25">
      <c r="G148" s="18">
        <v>29.5</v>
      </c>
      <c r="H148" s="17">
        <v>21</v>
      </c>
    </row>
    <row r="149" spans="7:8" x14ac:dyDescent="0.25">
      <c r="G149" s="18">
        <v>29.6</v>
      </c>
      <c r="H149" s="17">
        <v>20</v>
      </c>
    </row>
    <row r="150" spans="7:8" x14ac:dyDescent="0.25">
      <c r="G150" s="18">
        <v>29.7</v>
      </c>
      <c r="H150" s="17">
        <v>20</v>
      </c>
    </row>
    <row r="151" spans="7:8" x14ac:dyDescent="0.25">
      <c r="G151" s="18">
        <v>29.8</v>
      </c>
      <c r="H151" s="17">
        <v>20</v>
      </c>
    </row>
    <row r="152" spans="7:8" x14ac:dyDescent="0.25">
      <c r="G152" s="18">
        <v>29.9</v>
      </c>
      <c r="H152" s="17">
        <v>20</v>
      </c>
    </row>
    <row r="153" spans="7:8" x14ac:dyDescent="0.25">
      <c r="G153" s="18">
        <v>30</v>
      </c>
      <c r="H153" s="17">
        <v>20</v>
      </c>
    </row>
    <row r="154" spans="7:8" x14ac:dyDescent="0.25">
      <c r="G154" s="18">
        <v>30.1</v>
      </c>
      <c r="H154" s="17">
        <v>19</v>
      </c>
    </row>
    <row r="155" spans="7:8" x14ac:dyDescent="0.25">
      <c r="G155" s="18">
        <v>30.2</v>
      </c>
      <c r="H155" s="17">
        <v>19</v>
      </c>
    </row>
    <row r="156" spans="7:8" x14ac:dyDescent="0.25">
      <c r="G156" s="18">
        <v>30.3</v>
      </c>
      <c r="H156" s="17">
        <v>19</v>
      </c>
    </row>
    <row r="157" spans="7:8" x14ac:dyDescent="0.25">
      <c r="G157" s="18">
        <v>30.4</v>
      </c>
      <c r="H157" s="17">
        <v>19</v>
      </c>
    </row>
    <row r="158" spans="7:8" x14ac:dyDescent="0.25">
      <c r="G158" s="18">
        <v>30.5</v>
      </c>
      <c r="H158" s="17">
        <v>19</v>
      </c>
    </row>
    <row r="159" spans="7:8" x14ac:dyDescent="0.25">
      <c r="G159" s="18">
        <v>30.6</v>
      </c>
      <c r="H159" s="17">
        <v>18</v>
      </c>
    </row>
    <row r="160" spans="7:8" x14ac:dyDescent="0.25">
      <c r="G160" s="18">
        <v>30.7</v>
      </c>
      <c r="H160" s="17">
        <v>18</v>
      </c>
    </row>
    <row r="161" spans="7:8" x14ac:dyDescent="0.25">
      <c r="G161" s="18">
        <v>30.8</v>
      </c>
      <c r="H161" s="17">
        <v>18</v>
      </c>
    </row>
    <row r="162" spans="7:8" x14ac:dyDescent="0.25">
      <c r="G162" s="18">
        <v>30.9</v>
      </c>
      <c r="H162" s="17">
        <v>18</v>
      </c>
    </row>
    <row r="163" spans="7:8" x14ac:dyDescent="0.25">
      <c r="G163" s="18">
        <v>31</v>
      </c>
      <c r="H163" s="17">
        <v>18</v>
      </c>
    </row>
    <row r="164" spans="7:8" x14ac:dyDescent="0.25">
      <c r="G164" s="18">
        <v>31.1</v>
      </c>
      <c r="H164" s="17">
        <v>17</v>
      </c>
    </row>
    <row r="165" spans="7:8" x14ac:dyDescent="0.25">
      <c r="G165" s="18">
        <v>31.2</v>
      </c>
      <c r="H165" s="17">
        <v>17</v>
      </c>
    </row>
    <row r="166" spans="7:8" x14ac:dyDescent="0.25">
      <c r="G166" s="18">
        <v>31.3</v>
      </c>
      <c r="H166" s="17">
        <v>17</v>
      </c>
    </row>
    <row r="167" spans="7:8" x14ac:dyDescent="0.25">
      <c r="G167" s="18">
        <v>31.4</v>
      </c>
      <c r="H167" s="17">
        <v>17</v>
      </c>
    </row>
    <row r="168" spans="7:8" x14ac:dyDescent="0.25">
      <c r="G168" s="18">
        <v>31.5</v>
      </c>
      <c r="H168" s="17">
        <v>17</v>
      </c>
    </row>
    <row r="169" spans="7:8" x14ac:dyDescent="0.25">
      <c r="G169" s="18">
        <v>31.6</v>
      </c>
      <c r="H169" s="17">
        <v>16</v>
      </c>
    </row>
    <row r="170" spans="7:8" x14ac:dyDescent="0.25">
      <c r="G170" s="18">
        <v>31.7</v>
      </c>
      <c r="H170" s="17">
        <v>16</v>
      </c>
    </row>
    <row r="171" spans="7:8" x14ac:dyDescent="0.25">
      <c r="G171" s="18">
        <v>31.8</v>
      </c>
      <c r="H171" s="17">
        <v>16</v>
      </c>
    </row>
    <row r="172" spans="7:8" x14ac:dyDescent="0.25">
      <c r="G172" s="18">
        <v>31.9</v>
      </c>
      <c r="H172" s="17">
        <v>16</v>
      </c>
    </row>
    <row r="173" spans="7:8" x14ac:dyDescent="0.25">
      <c r="G173" s="18">
        <v>32</v>
      </c>
      <c r="H173" s="17">
        <v>16</v>
      </c>
    </row>
    <row r="174" spans="7:8" x14ac:dyDescent="0.25">
      <c r="G174" s="18">
        <v>32.1</v>
      </c>
      <c r="H174" s="17">
        <v>15</v>
      </c>
    </row>
    <row r="175" spans="7:8" x14ac:dyDescent="0.25">
      <c r="G175" s="18">
        <v>32.200000000000003</v>
      </c>
      <c r="H175" s="17">
        <v>15</v>
      </c>
    </row>
    <row r="176" spans="7:8" x14ac:dyDescent="0.25">
      <c r="G176" s="18">
        <v>32.299999999999997</v>
      </c>
      <c r="H176" s="17">
        <v>15</v>
      </c>
    </row>
    <row r="177" spans="7:8" x14ac:dyDescent="0.25">
      <c r="G177" s="18">
        <v>32.4</v>
      </c>
      <c r="H177" s="17">
        <v>15</v>
      </c>
    </row>
    <row r="178" spans="7:8" x14ac:dyDescent="0.25">
      <c r="G178" s="18">
        <v>32.5</v>
      </c>
      <c r="H178" s="17">
        <v>15</v>
      </c>
    </row>
    <row r="179" spans="7:8" x14ac:dyDescent="0.25">
      <c r="G179" s="18">
        <v>32.6</v>
      </c>
      <c r="H179" s="17">
        <v>14</v>
      </c>
    </row>
    <row r="180" spans="7:8" x14ac:dyDescent="0.25">
      <c r="G180" s="18">
        <v>32.700000000000003</v>
      </c>
      <c r="H180" s="17">
        <v>14</v>
      </c>
    </row>
    <row r="181" spans="7:8" x14ac:dyDescent="0.25">
      <c r="G181" s="18">
        <v>32.799999999999997</v>
      </c>
      <c r="H181" s="17">
        <v>14</v>
      </c>
    </row>
    <row r="182" spans="7:8" x14ac:dyDescent="0.25">
      <c r="G182" s="18">
        <v>32.9</v>
      </c>
      <c r="H182" s="17">
        <v>14</v>
      </c>
    </row>
    <row r="183" spans="7:8" x14ac:dyDescent="0.25">
      <c r="G183" s="18">
        <v>33</v>
      </c>
      <c r="H183" s="17">
        <v>14</v>
      </c>
    </row>
    <row r="184" spans="7:8" x14ac:dyDescent="0.25">
      <c r="G184" s="18">
        <v>33.1</v>
      </c>
      <c r="H184" s="17">
        <v>13</v>
      </c>
    </row>
    <row r="185" spans="7:8" x14ac:dyDescent="0.25">
      <c r="G185" s="18">
        <v>33.200000000000003</v>
      </c>
      <c r="H185" s="17">
        <v>13</v>
      </c>
    </row>
    <row r="186" spans="7:8" x14ac:dyDescent="0.25">
      <c r="G186" s="18">
        <v>33.299999999999997</v>
      </c>
      <c r="H186" s="17">
        <v>13</v>
      </c>
    </row>
    <row r="187" spans="7:8" x14ac:dyDescent="0.25">
      <c r="G187" s="18">
        <v>33.4</v>
      </c>
      <c r="H187" s="17">
        <v>13</v>
      </c>
    </row>
    <row r="188" spans="7:8" x14ac:dyDescent="0.25">
      <c r="G188" s="18">
        <v>33.5</v>
      </c>
      <c r="H188" s="17">
        <v>13</v>
      </c>
    </row>
    <row r="189" spans="7:8" x14ac:dyDescent="0.25">
      <c r="G189" s="18">
        <v>33.6</v>
      </c>
      <c r="H189" s="17">
        <v>12</v>
      </c>
    </row>
    <row r="190" spans="7:8" x14ac:dyDescent="0.25">
      <c r="G190" s="18">
        <v>33.700000000000003</v>
      </c>
      <c r="H190" s="17">
        <v>12</v>
      </c>
    </row>
    <row r="191" spans="7:8" x14ac:dyDescent="0.25">
      <c r="G191" s="18">
        <v>33.799999999999997</v>
      </c>
      <c r="H191" s="17">
        <v>12</v>
      </c>
    </row>
    <row r="192" spans="7:8" x14ac:dyDescent="0.25">
      <c r="G192" s="18">
        <v>33.9</v>
      </c>
      <c r="H192" s="17">
        <v>12</v>
      </c>
    </row>
    <row r="193" spans="7:8" x14ac:dyDescent="0.25">
      <c r="G193" s="18">
        <v>34</v>
      </c>
      <c r="H193" s="17">
        <v>12</v>
      </c>
    </row>
    <row r="194" spans="7:8" x14ac:dyDescent="0.25">
      <c r="G194" s="18">
        <v>34.1</v>
      </c>
      <c r="H194" s="17">
        <v>11</v>
      </c>
    </row>
    <row r="195" spans="7:8" x14ac:dyDescent="0.25">
      <c r="G195" s="18">
        <v>34.200000000000003</v>
      </c>
      <c r="H195" s="17">
        <v>11</v>
      </c>
    </row>
    <row r="196" spans="7:8" x14ac:dyDescent="0.25">
      <c r="G196" s="18">
        <v>34.299999999999997</v>
      </c>
      <c r="H196" s="17">
        <v>11</v>
      </c>
    </row>
    <row r="197" spans="7:8" x14ac:dyDescent="0.25">
      <c r="G197" s="18">
        <v>34.4</v>
      </c>
      <c r="H197" s="17">
        <v>11</v>
      </c>
    </row>
    <row r="198" spans="7:8" x14ac:dyDescent="0.25">
      <c r="G198" s="18">
        <v>34.5</v>
      </c>
      <c r="H198" s="17">
        <v>11</v>
      </c>
    </row>
    <row r="199" spans="7:8" x14ac:dyDescent="0.25">
      <c r="G199" s="18">
        <v>34.6</v>
      </c>
      <c r="H199" s="17">
        <v>10</v>
      </c>
    </row>
    <row r="200" spans="7:8" x14ac:dyDescent="0.25">
      <c r="G200" s="18">
        <v>34.700000000000003</v>
      </c>
      <c r="H200" s="17">
        <v>10</v>
      </c>
    </row>
    <row r="201" spans="7:8" x14ac:dyDescent="0.25">
      <c r="G201" s="18">
        <v>34.799999999999997</v>
      </c>
      <c r="H201" s="17">
        <v>10</v>
      </c>
    </row>
    <row r="202" spans="7:8" x14ac:dyDescent="0.25">
      <c r="G202" s="18">
        <v>34.9</v>
      </c>
      <c r="H202" s="17">
        <v>10</v>
      </c>
    </row>
    <row r="203" spans="7:8" x14ac:dyDescent="0.25">
      <c r="G203" s="18">
        <v>35</v>
      </c>
      <c r="H203" s="17">
        <v>10</v>
      </c>
    </row>
    <row r="204" spans="7:8" x14ac:dyDescent="0.25">
      <c r="G204" s="18">
        <v>35.1</v>
      </c>
      <c r="H204" s="17">
        <v>9</v>
      </c>
    </row>
    <row r="205" spans="7:8" x14ac:dyDescent="0.25">
      <c r="G205" s="18">
        <v>35.200000000000003</v>
      </c>
      <c r="H205" s="17">
        <v>9</v>
      </c>
    </row>
    <row r="206" spans="7:8" x14ac:dyDescent="0.25">
      <c r="G206" s="18">
        <v>35.299999999999997</v>
      </c>
      <c r="H206" s="17">
        <v>9</v>
      </c>
    </row>
    <row r="207" spans="7:8" x14ac:dyDescent="0.25">
      <c r="G207" s="18">
        <v>35.4</v>
      </c>
      <c r="H207" s="17">
        <v>9</v>
      </c>
    </row>
    <row r="208" spans="7:8" x14ac:dyDescent="0.25">
      <c r="G208" s="18">
        <v>35.5</v>
      </c>
      <c r="H208" s="17">
        <v>9</v>
      </c>
    </row>
    <row r="209" spans="7:8" x14ac:dyDescent="0.25">
      <c r="G209" s="18">
        <v>35.6</v>
      </c>
      <c r="H209" s="17">
        <v>8</v>
      </c>
    </row>
    <row r="210" spans="7:8" x14ac:dyDescent="0.25">
      <c r="G210" s="18">
        <v>35.700000000000003</v>
      </c>
      <c r="H210" s="17">
        <v>8</v>
      </c>
    </row>
    <row r="211" spans="7:8" x14ac:dyDescent="0.25">
      <c r="G211" s="18">
        <v>35.799999999999997</v>
      </c>
      <c r="H211" s="17">
        <v>8</v>
      </c>
    </row>
    <row r="212" spans="7:8" x14ac:dyDescent="0.25">
      <c r="G212" s="18">
        <v>35.9</v>
      </c>
      <c r="H212" s="17">
        <v>8</v>
      </c>
    </row>
    <row r="213" spans="7:8" x14ac:dyDescent="0.25">
      <c r="G213" s="18">
        <v>36</v>
      </c>
      <c r="H213" s="17">
        <v>8</v>
      </c>
    </row>
    <row r="214" spans="7:8" x14ac:dyDescent="0.25">
      <c r="G214" s="18">
        <v>36.1</v>
      </c>
      <c r="H214" s="17">
        <v>7</v>
      </c>
    </row>
    <row r="215" spans="7:8" x14ac:dyDescent="0.25">
      <c r="G215" s="18">
        <v>36.200000000000003</v>
      </c>
      <c r="H215" s="17">
        <v>7</v>
      </c>
    </row>
    <row r="216" spans="7:8" x14ac:dyDescent="0.25">
      <c r="G216" s="18">
        <v>36.299999999999997</v>
      </c>
      <c r="H216" s="17">
        <v>7</v>
      </c>
    </row>
    <row r="217" spans="7:8" x14ac:dyDescent="0.25">
      <c r="G217" s="18">
        <v>36.4</v>
      </c>
      <c r="H217" s="17">
        <v>7</v>
      </c>
    </row>
    <row r="218" spans="7:8" x14ac:dyDescent="0.25">
      <c r="G218" s="18">
        <v>36.5</v>
      </c>
      <c r="H218" s="17">
        <v>7</v>
      </c>
    </row>
    <row r="219" spans="7:8" x14ac:dyDescent="0.25">
      <c r="G219" s="18">
        <v>36.6</v>
      </c>
      <c r="H219" s="17">
        <v>6</v>
      </c>
    </row>
    <row r="220" spans="7:8" x14ac:dyDescent="0.25">
      <c r="G220" s="18">
        <v>36.700000000000003</v>
      </c>
      <c r="H220" s="17">
        <v>6</v>
      </c>
    </row>
    <row r="221" spans="7:8" x14ac:dyDescent="0.25">
      <c r="G221" s="18">
        <v>36.799999999999997</v>
      </c>
      <c r="H221" s="17">
        <v>6</v>
      </c>
    </row>
    <row r="222" spans="7:8" x14ac:dyDescent="0.25">
      <c r="G222" s="18">
        <v>36.9</v>
      </c>
      <c r="H222" s="17">
        <v>6</v>
      </c>
    </row>
    <row r="223" spans="7:8" x14ac:dyDescent="0.25">
      <c r="G223" s="18">
        <v>37</v>
      </c>
      <c r="H223" s="17">
        <v>6</v>
      </c>
    </row>
    <row r="224" spans="7:8" x14ac:dyDescent="0.25">
      <c r="G224" s="18">
        <v>37.1</v>
      </c>
      <c r="H224" s="17">
        <v>5</v>
      </c>
    </row>
    <row r="225" spans="7:8" x14ac:dyDescent="0.25">
      <c r="G225" s="18">
        <v>37.200000000000003</v>
      </c>
      <c r="H225" s="17">
        <v>5</v>
      </c>
    </row>
    <row r="226" spans="7:8" x14ac:dyDescent="0.25">
      <c r="G226" s="18">
        <v>37.299999999999997</v>
      </c>
      <c r="H226" s="17">
        <v>5</v>
      </c>
    </row>
    <row r="227" spans="7:8" x14ac:dyDescent="0.25">
      <c r="G227" s="18">
        <v>37.4</v>
      </c>
      <c r="H227" s="17">
        <v>5</v>
      </c>
    </row>
    <row r="228" spans="7:8" x14ac:dyDescent="0.25">
      <c r="G228" s="18">
        <v>37.5</v>
      </c>
      <c r="H228" s="17">
        <v>5</v>
      </c>
    </row>
    <row r="229" spans="7:8" x14ac:dyDescent="0.25">
      <c r="G229" s="18">
        <v>37.6</v>
      </c>
      <c r="H229" s="17">
        <v>4</v>
      </c>
    </row>
    <row r="230" spans="7:8" x14ac:dyDescent="0.25">
      <c r="G230" s="18">
        <v>37.700000000000003</v>
      </c>
      <c r="H230" s="17">
        <v>4</v>
      </c>
    </row>
    <row r="231" spans="7:8" x14ac:dyDescent="0.25">
      <c r="G231" s="18">
        <v>37.799999999999997</v>
      </c>
      <c r="H231" s="17">
        <v>4</v>
      </c>
    </row>
    <row r="232" spans="7:8" x14ac:dyDescent="0.25">
      <c r="G232" s="18">
        <v>37.9</v>
      </c>
      <c r="H232" s="17">
        <v>4</v>
      </c>
    </row>
    <row r="233" spans="7:8" x14ac:dyDescent="0.25">
      <c r="G233" s="18">
        <v>38</v>
      </c>
      <c r="H233" s="17">
        <v>4</v>
      </c>
    </row>
    <row r="234" spans="7:8" x14ac:dyDescent="0.25">
      <c r="G234" s="18">
        <v>38.1</v>
      </c>
      <c r="H234" s="17">
        <v>3</v>
      </c>
    </row>
    <row r="235" spans="7:8" x14ac:dyDescent="0.25">
      <c r="G235" s="18">
        <v>38.200000000000003</v>
      </c>
      <c r="H235" s="17">
        <v>3</v>
      </c>
    </row>
    <row r="236" spans="7:8" x14ac:dyDescent="0.25">
      <c r="G236" s="18">
        <v>38.299999999999997</v>
      </c>
      <c r="H236" s="17">
        <v>3</v>
      </c>
    </row>
    <row r="237" spans="7:8" x14ac:dyDescent="0.25">
      <c r="G237" s="18">
        <v>38.4</v>
      </c>
      <c r="H237" s="17">
        <v>3</v>
      </c>
    </row>
    <row r="238" spans="7:8" x14ac:dyDescent="0.25">
      <c r="G238" s="18">
        <v>38.5</v>
      </c>
      <c r="H238" s="17">
        <v>3</v>
      </c>
    </row>
    <row r="239" spans="7:8" x14ac:dyDescent="0.25">
      <c r="G239" s="18">
        <v>38.6</v>
      </c>
      <c r="H239" s="17">
        <v>2</v>
      </c>
    </row>
    <row r="240" spans="7:8" x14ac:dyDescent="0.25">
      <c r="G240" s="18">
        <v>38.700000000000003</v>
      </c>
      <c r="H240" s="17">
        <v>2</v>
      </c>
    </row>
    <row r="241" spans="7:8" x14ac:dyDescent="0.25">
      <c r="G241" s="18">
        <v>38.799999999999997</v>
      </c>
      <c r="H241" s="17">
        <v>2</v>
      </c>
    </row>
    <row r="242" spans="7:8" x14ac:dyDescent="0.25">
      <c r="G242" s="18">
        <v>38.9</v>
      </c>
      <c r="H242" s="17">
        <v>2</v>
      </c>
    </row>
    <row r="243" spans="7:8" x14ac:dyDescent="0.25">
      <c r="G243" s="18">
        <v>39</v>
      </c>
      <c r="H243" s="17">
        <v>2</v>
      </c>
    </row>
    <row r="244" spans="7:8" x14ac:dyDescent="0.25">
      <c r="G244" s="18">
        <v>39.1</v>
      </c>
      <c r="H244" s="17">
        <v>1</v>
      </c>
    </row>
    <row r="245" spans="7:8" x14ac:dyDescent="0.25">
      <c r="G245" s="18">
        <v>39.200000000000003</v>
      </c>
      <c r="H245" s="17">
        <v>1</v>
      </c>
    </row>
    <row r="246" spans="7:8" x14ac:dyDescent="0.25">
      <c r="G246" s="18">
        <v>39.299999999999997</v>
      </c>
      <c r="H246" s="17">
        <v>1</v>
      </c>
    </row>
    <row r="247" spans="7:8" x14ac:dyDescent="0.25">
      <c r="G247" s="18">
        <v>39.4</v>
      </c>
      <c r="H247" s="17">
        <v>1</v>
      </c>
    </row>
    <row r="248" spans="7:8" x14ac:dyDescent="0.25">
      <c r="G248" s="18">
        <v>39.5</v>
      </c>
      <c r="H248" s="17">
        <v>1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43"/>
  <sheetViews>
    <sheetView topLeftCell="AO1" workbookViewId="0">
      <pane ySplit="2" topLeftCell="A48" activePane="bottomLeft" state="frozen"/>
      <selection pane="bottomLeft" activeCell="AY3" sqref="AY3"/>
    </sheetView>
  </sheetViews>
  <sheetFormatPr baseColWidth="10" defaultColWidth="11.44140625" defaultRowHeight="13.8" outlineLevelCol="1" x14ac:dyDescent="0.25"/>
  <cols>
    <col min="1" max="1" width="11.44140625" style="34"/>
    <col min="2" max="6" width="11.44140625" style="24"/>
    <col min="7" max="26" width="11.44140625" style="23"/>
    <col min="27" max="27" width="11.44140625" style="25"/>
    <col min="28" max="36" width="11.44140625" style="23"/>
    <col min="37" max="38" width="11.44140625" style="24"/>
    <col min="39" max="44" width="11.44140625" style="23"/>
    <col min="45" max="45" width="11.44140625" style="25"/>
    <col min="46" max="49" width="11.44140625" style="23"/>
    <col min="50" max="51" width="11.44140625" style="23" customWidth="1" outlineLevel="1"/>
    <col min="52" max="16384" width="11.44140625" style="24"/>
  </cols>
  <sheetData>
    <row r="1" spans="1:51" x14ac:dyDescent="0.25">
      <c r="A1" s="33" t="s">
        <v>64</v>
      </c>
      <c r="B1" s="22"/>
      <c r="C1" s="28" t="s">
        <v>65</v>
      </c>
      <c r="D1" s="22"/>
      <c r="E1" s="29" t="s">
        <v>66</v>
      </c>
      <c r="F1" s="29" t="s">
        <v>67</v>
      </c>
      <c r="H1" s="30" t="s">
        <v>68</v>
      </c>
      <c r="I1" s="30" t="s">
        <v>69</v>
      </c>
      <c r="K1" s="28" t="s">
        <v>70</v>
      </c>
      <c r="L1" s="22"/>
      <c r="M1" s="28" t="s">
        <v>15</v>
      </c>
      <c r="N1" s="22"/>
      <c r="O1" s="28" t="s">
        <v>16</v>
      </c>
      <c r="P1" s="28"/>
      <c r="Q1" s="22"/>
      <c r="R1" s="22"/>
      <c r="S1" s="28" t="s">
        <v>17</v>
      </c>
      <c r="T1" s="28"/>
      <c r="U1" s="22"/>
      <c r="V1" s="22"/>
      <c r="W1" s="207" t="s">
        <v>71</v>
      </c>
      <c r="X1" s="207"/>
      <c r="Y1" s="207"/>
      <c r="Z1" s="207"/>
      <c r="AA1" s="33" t="s">
        <v>19</v>
      </c>
      <c r="AB1" s="32"/>
      <c r="AC1" s="28" t="s">
        <v>72</v>
      </c>
      <c r="AD1" s="28"/>
      <c r="AE1" s="28" t="s">
        <v>73</v>
      </c>
      <c r="AF1" s="22"/>
      <c r="AG1" s="28" t="s">
        <v>23</v>
      </c>
      <c r="AH1" s="28"/>
      <c r="AI1" s="30" t="s">
        <v>74</v>
      </c>
      <c r="AK1" s="28" t="s">
        <v>75</v>
      </c>
      <c r="AL1" s="22"/>
      <c r="AM1" s="28" t="s">
        <v>26</v>
      </c>
      <c r="AN1" s="22"/>
      <c r="AO1" s="28" t="s">
        <v>27</v>
      </c>
      <c r="AP1" s="22"/>
      <c r="AQ1" s="28" t="s">
        <v>28</v>
      </c>
      <c r="AR1" s="22"/>
      <c r="AS1" s="33" t="s">
        <v>76</v>
      </c>
      <c r="AT1" s="22"/>
      <c r="AU1" s="193" t="s">
        <v>136</v>
      </c>
      <c r="AV1" s="33" t="s">
        <v>137</v>
      </c>
      <c r="AX1" s="208" t="s">
        <v>138</v>
      </c>
      <c r="AY1" s="208"/>
    </row>
    <row r="2" spans="1:51" x14ac:dyDescent="0.25">
      <c r="A2" s="25" t="s">
        <v>44</v>
      </c>
      <c r="B2" s="23" t="s">
        <v>48</v>
      </c>
      <c r="C2" s="23" t="s">
        <v>44</v>
      </c>
      <c r="D2" s="23" t="s">
        <v>48</v>
      </c>
      <c r="E2" s="23" t="s">
        <v>44</v>
      </c>
      <c r="F2" s="23" t="s">
        <v>44</v>
      </c>
      <c r="G2" s="23" t="s">
        <v>48</v>
      </c>
      <c r="H2" s="23" t="s">
        <v>44</v>
      </c>
      <c r="I2" s="23" t="s">
        <v>44</v>
      </c>
      <c r="J2" s="23" t="s">
        <v>48</v>
      </c>
      <c r="K2" s="23" t="s">
        <v>44</v>
      </c>
      <c r="L2" s="23" t="s">
        <v>48</v>
      </c>
      <c r="M2" s="23" t="s">
        <v>44</v>
      </c>
      <c r="N2" s="23" t="s">
        <v>48</v>
      </c>
      <c r="O2" s="23" t="s">
        <v>77</v>
      </c>
      <c r="P2" s="23" t="s">
        <v>48</v>
      </c>
      <c r="Q2" s="23" t="s">
        <v>78</v>
      </c>
      <c r="R2" s="23" t="s">
        <v>48</v>
      </c>
      <c r="S2" s="23" t="s">
        <v>77</v>
      </c>
      <c r="T2" s="23" t="s">
        <v>48</v>
      </c>
      <c r="U2" s="23" t="s">
        <v>78</v>
      </c>
      <c r="V2" s="23" t="s">
        <v>45</v>
      </c>
      <c r="W2" s="23" t="s">
        <v>78</v>
      </c>
      <c r="X2" s="23" t="s">
        <v>48</v>
      </c>
      <c r="Y2" s="23" t="s">
        <v>79</v>
      </c>
      <c r="Z2" s="23" t="s">
        <v>45</v>
      </c>
      <c r="AA2" s="25" t="s">
        <v>44</v>
      </c>
      <c r="AB2" s="23" t="s">
        <v>48</v>
      </c>
      <c r="AC2" s="23" t="s">
        <v>50</v>
      </c>
      <c r="AD2" s="23" t="s">
        <v>48</v>
      </c>
      <c r="AE2" s="23" t="s">
        <v>50</v>
      </c>
      <c r="AF2" s="23" t="s">
        <v>48</v>
      </c>
      <c r="AG2" s="23" t="s">
        <v>44</v>
      </c>
      <c r="AH2" s="23" t="s">
        <v>48</v>
      </c>
      <c r="AI2" s="23" t="s">
        <v>80</v>
      </c>
      <c r="AJ2" s="23" t="s">
        <v>48</v>
      </c>
      <c r="AK2" s="23" t="s">
        <v>80</v>
      </c>
      <c r="AL2" s="23" t="s">
        <v>48</v>
      </c>
      <c r="AM2" s="23" t="s">
        <v>80</v>
      </c>
      <c r="AN2" s="23" t="s">
        <v>48</v>
      </c>
      <c r="AO2" s="23" t="s">
        <v>44</v>
      </c>
      <c r="AP2" s="23" t="s">
        <v>48</v>
      </c>
      <c r="AQ2" s="23" t="s">
        <v>50</v>
      </c>
      <c r="AR2" s="23" t="s">
        <v>48</v>
      </c>
      <c r="AS2" s="25" t="s">
        <v>44</v>
      </c>
      <c r="AT2" s="23" t="s">
        <v>48</v>
      </c>
      <c r="AU2" s="23" t="s">
        <v>44</v>
      </c>
      <c r="AV2" s="23" t="s">
        <v>44</v>
      </c>
      <c r="AW2" s="23" t="s">
        <v>48</v>
      </c>
      <c r="AX2" s="208" t="s">
        <v>139</v>
      </c>
      <c r="AY2" s="208"/>
    </row>
    <row r="3" spans="1:51" ht="14.25" customHeight="1" x14ac:dyDescent="0.25">
      <c r="A3" s="25">
        <v>3.8</v>
      </c>
      <c r="B3" s="23">
        <v>50</v>
      </c>
      <c r="C3" s="23">
        <v>8.6</v>
      </c>
      <c r="D3" s="23">
        <v>50</v>
      </c>
      <c r="E3" s="23">
        <v>170</v>
      </c>
      <c r="F3" s="23">
        <v>160</v>
      </c>
      <c r="G3" s="23">
        <v>50</v>
      </c>
      <c r="H3" s="23">
        <v>810</v>
      </c>
      <c r="I3" s="23">
        <f t="shared" ref="I3:I64" si="0">I4-2</f>
        <v>822</v>
      </c>
      <c r="J3" s="23">
        <v>50</v>
      </c>
      <c r="K3" s="25">
        <v>15</v>
      </c>
      <c r="L3" s="23">
        <v>50</v>
      </c>
      <c r="M3" s="25">
        <v>4</v>
      </c>
      <c r="N3" s="23">
        <v>50</v>
      </c>
      <c r="O3" s="23">
        <v>5</v>
      </c>
      <c r="P3" s="23">
        <v>1</v>
      </c>
      <c r="Q3" s="23">
        <v>7</v>
      </c>
      <c r="R3" s="23">
        <v>1</v>
      </c>
      <c r="S3" s="23">
        <v>1</v>
      </c>
      <c r="T3" s="23">
        <v>5</v>
      </c>
      <c r="U3" s="23">
        <v>1</v>
      </c>
      <c r="V3" s="23">
        <v>1</v>
      </c>
      <c r="W3" s="23">
        <v>6</v>
      </c>
      <c r="X3" s="23">
        <v>2</v>
      </c>
      <c r="Y3" s="23">
        <v>2</v>
      </c>
      <c r="Z3" s="23">
        <v>1</v>
      </c>
      <c r="AA3" s="25">
        <v>3.7</v>
      </c>
      <c r="AB3" s="23">
        <v>50</v>
      </c>
      <c r="AC3" s="26">
        <v>4</v>
      </c>
      <c r="AD3" s="23">
        <v>1</v>
      </c>
      <c r="AE3" s="25">
        <v>5</v>
      </c>
      <c r="AF3" s="23">
        <v>1</v>
      </c>
      <c r="AG3" s="23">
        <v>2</v>
      </c>
      <c r="AH3" s="23">
        <v>1</v>
      </c>
      <c r="AI3" s="23">
        <v>4</v>
      </c>
      <c r="AJ3" s="23">
        <v>2</v>
      </c>
      <c r="AK3" s="23">
        <v>14</v>
      </c>
      <c r="AL3" s="23">
        <v>1</v>
      </c>
      <c r="AM3" s="23">
        <v>7</v>
      </c>
      <c r="AN3" s="23">
        <v>1</v>
      </c>
      <c r="AO3" s="25">
        <v>6</v>
      </c>
      <c r="AP3" s="23">
        <v>1</v>
      </c>
      <c r="AQ3" s="26">
        <v>1.1499999999999999</v>
      </c>
      <c r="AR3" s="23">
        <v>1</v>
      </c>
      <c r="AS3" s="25">
        <v>62</v>
      </c>
      <c r="AT3" s="23">
        <v>1</v>
      </c>
      <c r="AU3" s="23">
        <f>8*60+20</f>
        <v>500</v>
      </c>
      <c r="AV3" s="23">
        <v>520</v>
      </c>
      <c r="AW3" s="23">
        <v>50</v>
      </c>
      <c r="AX3" s="192">
        <v>0.3611111111111111</v>
      </c>
      <c r="AY3" s="192">
        <v>0.34722222222222227</v>
      </c>
    </row>
    <row r="4" spans="1:51" ht="14.25" customHeight="1" x14ac:dyDescent="0.25">
      <c r="A4" s="25">
        <v>3.9</v>
      </c>
      <c r="B4" s="23">
        <v>47</v>
      </c>
      <c r="C4" s="23">
        <v>8.6999999999999993</v>
      </c>
      <c r="D4" s="23">
        <v>49</v>
      </c>
      <c r="E4" s="23">
        <v>171</v>
      </c>
      <c r="F4" s="23">
        <v>161</v>
      </c>
      <c r="G4" s="23">
        <v>49</v>
      </c>
      <c r="H4" s="23">
        <v>812</v>
      </c>
      <c r="I4" s="23">
        <f t="shared" si="0"/>
        <v>824</v>
      </c>
      <c r="J4" s="23">
        <v>49</v>
      </c>
      <c r="K4" s="25">
        <v>15.1</v>
      </c>
      <c r="L4" s="23">
        <v>49</v>
      </c>
      <c r="M4" s="25">
        <v>4.0999999999999996</v>
      </c>
      <c r="N4" s="23">
        <v>48</v>
      </c>
      <c r="O4" s="23">
        <v>6</v>
      </c>
      <c r="P4" s="23">
        <v>2</v>
      </c>
      <c r="Q4" s="23">
        <v>8</v>
      </c>
      <c r="R4" s="23">
        <v>2</v>
      </c>
      <c r="S4" s="23">
        <v>2</v>
      </c>
      <c r="T4" s="23">
        <v>10</v>
      </c>
      <c r="U4" s="23">
        <v>2</v>
      </c>
      <c r="V4" s="23">
        <v>5</v>
      </c>
      <c r="W4" s="23">
        <v>7</v>
      </c>
      <c r="X4" s="23">
        <v>4</v>
      </c>
      <c r="Y4" s="23">
        <v>3</v>
      </c>
      <c r="Z4" s="23">
        <v>3</v>
      </c>
      <c r="AA4" s="25">
        <v>3.8</v>
      </c>
      <c r="AB4" s="23">
        <v>49</v>
      </c>
      <c r="AC4" s="26">
        <v>4.0999999999999996</v>
      </c>
      <c r="AD4" s="23">
        <v>1</v>
      </c>
      <c r="AE4" s="25">
        <v>5.0999999999999996</v>
      </c>
      <c r="AF4" s="23">
        <v>1</v>
      </c>
      <c r="AG4" s="23">
        <v>3</v>
      </c>
      <c r="AH4" s="23">
        <v>1</v>
      </c>
      <c r="AI4" s="23">
        <v>5</v>
      </c>
      <c r="AJ4" s="23">
        <v>4</v>
      </c>
      <c r="AK4" s="23">
        <v>15</v>
      </c>
      <c r="AL4" s="23">
        <v>2</v>
      </c>
      <c r="AM4" s="23">
        <v>8</v>
      </c>
      <c r="AN4" s="23">
        <v>2</v>
      </c>
      <c r="AO4" s="25">
        <v>7</v>
      </c>
      <c r="AP4" s="23">
        <v>2</v>
      </c>
      <c r="AQ4" s="26">
        <v>1.2</v>
      </c>
      <c r="AR4" s="23">
        <v>2</v>
      </c>
      <c r="AS4" s="25">
        <v>61.9</v>
      </c>
      <c r="AT4" s="23">
        <v>1</v>
      </c>
      <c r="AU4" s="23">
        <v>502</v>
      </c>
      <c r="AV4" s="23">
        <v>522</v>
      </c>
      <c r="AW4" s="23">
        <v>49</v>
      </c>
      <c r="AX4" s="192">
        <v>0.36249999999999999</v>
      </c>
      <c r="AY4" s="192">
        <v>0.34861111111111115</v>
      </c>
    </row>
    <row r="5" spans="1:51" ht="14.25" customHeight="1" x14ac:dyDescent="0.25">
      <c r="A5" s="25">
        <v>4</v>
      </c>
      <c r="B5" s="23">
        <v>45</v>
      </c>
      <c r="C5" s="23">
        <v>8.8000000000000007</v>
      </c>
      <c r="D5" s="23">
        <v>47</v>
      </c>
      <c r="E5" s="23">
        <v>172</v>
      </c>
      <c r="F5" s="23">
        <v>162</v>
      </c>
      <c r="G5" s="23">
        <v>49</v>
      </c>
      <c r="H5" s="23">
        <f>H4+2</f>
        <v>814</v>
      </c>
      <c r="I5" s="23">
        <f t="shared" si="0"/>
        <v>826</v>
      </c>
      <c r="J5" s="23">
        <v>48</v>
      </c>
      <c r="K5" s="25">
        <v>15.2</v>
      </c>
      <c r="L5" s="23">
        <v>48</v>
      </c>
      <c r="M5" s="25">
        <v>4.2</v>
      </c>
      <c r="N5" s="23">
        <v>46</v>
      </c>
      <c r="O5" s="23">
        <v>7</v>
      </c>
      <c r="P5" s="23">
        <v>4</v>
      </c>
      <c r="Q5" s="23">
        <v>9</v>
      </c>
      <c r="R5" s="23">
        <v>3</v>
      </c>
      <c r="S5" s="23">
        <v>3</v>
      </c>
      <c r="T5" s="23">
        <v>14</v>
      </c>
      <c r="U5" s="23">
        <v>3</v>
      </c>
      <c r="V5" s="23">
        <v>8</v>
      </c>
      <c r="W5" s="23">
        <v>8</v>
      </c>
      <c r="X5" s="23">
        <v>6</v>
      </c>
      <c r="Y5" s="23">
        <v>4</v>
      </c>
      <c r="Z5" s="23">
        <v>5</v>
      </c>
      <c r="AA5" s="25">
        <v>3.9</v>
      </c>
      <c r="AB5" s="23">
        <v>47</v>
      </c>
      <c r="AC5" s="26">
        <v>4.2</v>
      </c>
      <c r="AD5" s="23">
        <v>2</v>
      </c>
      <c r="AE5" s="25">
        <v>5.2</v>
      </c>
      <c r="AF5" s="23">
        <v>2</v>
      </c>
      <c r="AG5" s="23">
        <v>4</v>
      </c>
      <c r="AH5" s="23">
        <v>2</v>
      </c>
      <c r="AI5" s="23">
        <v>6</v>
      </c>
      <c r="AJ5" s="23">
        <v>6</v>
      </c>
      <c r="AK5" s="23">
        <v>16</v>
      </c>
      <c r="AL5" s="23">
        <v>4</v>
      </c>
      <c r="AM5" s="23">
        <v>9</v>
      </c>
      <c r="AN5" s="23">
        <v>3</v>
      </c>
      <c r="AO5" s="25">
        <v>8</v>
      </c>
      <c r="AP5" s="23">
        <v>3</v>
      </c>
      <c r="AQ5" s="26">
        <v>1.25</v>
      </c>
      <c r="AR5" s="23">
        <v>3</v>
      </c>
      <c r="AS5" s="25">
        <v>61.8</v>
      </c>
      <c r="AT5" s="23">
        <v>1</v>
      </c>
      <c r="AU5" s="23">
        <v>504</v>
      </c>
      <c r="AV5" s="23">
        <v>524</v>
      </c>
      <c r="AW5" s="23">
        <v>48</v>
      </c>
      <c r="AX5" s="192">
        <v>0.36388888888888887</v>
      </c>
      <c r="AY5" s="192">
        <v>0.35000000000000003</v>
      </c>
    </row>
    <row r="6" spans="1:51" ht="14.25" customHeight="1" x14ac:dyDescent="0.25">
      <c r="A6" s="25">
        <v>4.0999999999999996</v>
      </c>
      <c r="B6" s="23">
        <v>43</v>
      </c>
      <c r="C6" s="23">
        <v>8.9</v>
      </c>
      <c r="D6" s="23">
        <v>45</v>
      </c>
      <c r="E6" s="23">
        <v>173</v>
      </c>
      <c r="F6" s="23">
        <v>163</v>
      </c>
      <c r="G6" s="23">
        <v>48</v>
      </c>
      <c r="H6" s="23">
        <f t="shared" ref="H6:H66" si="1">H5+2</f>
        <v>816</v>
      </c>
      <c r="I6" s="23">
        <f t="shared" si="0"/>
        <v>828</v>
      </c>
      <c r="J6" s="23">
        <v>47</v>
      </c>
      <c r="K6" s="25">
        <v>15.3</v>
      </c>
      <c r="L6" s="23">
        <v>47</v>
      </c>
      <c r="M6" s="25">
        <v>4.3</v>
      </c>
      <c r="N6" s="23">
        <v>44</v>
      </c>
      <c r="O6" s="23">
        <v>8</v>
      </c>
      <c r="P6" s="23">
        <v>6</v>
      </c>
      <c r="Q6" s="23">
        <v>10</v>
      </c>
      <c r="R6" s="23">
        <v>4</v>
      </c>
      <c r="S6" s="23">
        <v>4</v>
      </c>
      <c r="T6" s="23">
        <v>20</v>
      </c>
      <c r="U6" s="23">
        <v>4</v>
      </c>
      <c r="V6" s="23">
        <v>11</v>
      </c>
      <c r="W6" s="23">
        <v>9</v>
      </c>
      <c r="X6" s="23">
        <v>8</v>
      </c>
      <c r="Y6" s="23">
        <v>5</v>
      </c>
      <c r="Z6" s="23">
        <v>7</v>
      </c>
      <c r="AA6" s="25">
        <v>4</v>
      </c>
      <c r="AB6" s="23">
        <v>45</v>
      </c>
      <c r="AC6" s="26">
        <v>4.3</v>
      </c>
      <c r="AD6" s="23">
        <v>2</v>
      </c>
      <c r="AE6" s="25">
        <v>5.3</v>
      </c>
      <c r="AF6" s="23">
        <v>2</v>
      </c>
      <c r="AG6" s="23">
        <v>5</v>
      </c>
      <c r="AH6" s="23">
        <v>2</v>
      </c>
      <c r="AI6" s="23">
        <v>7</v>
      </c>
      <c r="AJ6" s="23">
        <v>8</v>
      </c>
      <c r="AK6" s="23">
        <v>17</v>
      </c>
      <c r="AL6" s="23">
        <v>6</v>
      </c>
      <c r="AM6" s="23">
        <v>10</v>
      </c>
      <c r="AN6" s="23">
        <v>4</v>
      </c>
      <c r="AO6" s="25">
        <v>9</v>
      </c>
      <c r="AP6" s="23">
        <v>4</v>
      </c>
      <c r="AQ6" s="26">
        <v>1.3</v>
      </c>
      <c r="AR6" s="23">
        <v>4</v>
      </c>
      <c r="AS6" s="25">
        <v>61.7</v>
      </c>
      <c r="AT6" s="23">
        <v>1</v>
      </c>
      <c r="AU6" s="23">
        <v>506</v>
      </c>
      <c r="AV6" s="23">
        <v>526</v>
      </c>
      <c r="AW6" s="23">
        <v>47</v>
      </c>
      <c r="AX6" s="192">
        <v>0.36527777777777798</v>
      </c>
      <c r="AY6" s="192">
        <v>0.35138888888888892</v>
      </c>
    </row>
    <row r="7" spans="1:51" ht="14.25" customHeight="1" x14ac:dyDescent="0.25">
      <c r="A7" s="25">
        <v>4.2</v>
      </c>
      <c r="B7" s="23">
        <v>39</v>
      </c>
      <c r="C7" s="23">
        <v>9</v>
      </c>
      <c r="D7" s="23">
        <v>43</v>
      </c>
      <c r="E7" s="23">
        <v>174</v>
      </c>
      <c r="F7" s="23">
        <v>164</v>
      </c>
      <c r="G7" s="23">
        <v>48</v>
      </c>
      <c r="H7" s="23">
        <f t="shared" si="1"/>
        <v>818</v>
      </c>
      <c r="I7" s="23">
        <f t="shared" si="0"/>
        <v>830</v>
      </c>
      <c r="J7" s="23">
        <v>46</v>
      </c>
      <c r="K7" s="25">
        <v>15.4</v>
      </c>
      <c r="L7" s="23">
        <v>46</v>
      </c>
      <c r="M7" s="25">
        <v>4.4000000000000004</v>
      </c>
      <c r="N7" s="23">
        <v>42</v>
      </c>
      <c r="O7" s="23">
        <v>9</v>
      </c>
      <c r="P7" s="23">
        <v>8</v>
      </c>
      <c r="Q7" s="23">
        <v>11</v>
      </c>
      <c r="R7" s="23">
        <v>6</v>
      </c>
      <c r="S7" s="23">
        <v>5</v>
      </c>
      <c r="T7" s="23">
        <v>25</v>
      </c>
      <c r="U7" s="23">
        <v>5</v>
      </c>
      <c r="V7" s="23">
        <v>14</v>
      </c>
      <c r="W7" s="23">
        <v>10</v>
      </c>
      <c r="X7" s="23">
        <v>10</v>
      </c>
      <c r="Y7" s="23">
        <v>6</v>
      </c>
      <c r="Z7" s="23">
        <v>9</v>
      </c>
      <c r="AA7" s="25">
        <v>4.0999999999999996</v>
      </c>
      <c r="AB7" s="23">
        <v>43</v>
      </c>
      <c r="AC7" s="26">
        <v>4.4000000000000004</v>
      </c>
      <c r="AD7" s="23">
        <v>3</v>
      </c>
      <c r="AE7" s="25">
        <v>5.4</v>
      </c>
      <c r="AF7" s="23">
        <v>3</v>
      </c>
      <c r="AG7" s="23">
        <v>6</v>
      </c>
      <c r="AH7" s="23">
        <v>3</v>
      </c>
      <c r="AI7" s="23">
        <v>8</v>
      </c>
      <c r="AJ7" s="23">
        <v>10</v>
      </c>
      <c r="AK7" s="23">
        <v>18</v>
      </c>
      <c r="AL7" s="23">
        <v>8</v>
      </c>
      <c r="AM7" s="23">
        <v>11</v>
      </c>
      <c r="AN7" s="23">
        <v>5</v>
      </c>
      <c r="AO7" s="25">
        <v>10</v>
      </c>
      <c r="AP7" s="23">
        <v>5</v>
      </c>
      <c r="AQ7" s="26">
        <v>1.35</v>
      </c>
      <c r="AR7" s="23">
        <v>5</v>
      </c>
      <c r="AS7" s="25">
        <v>61.6</v>
      </c>
      <c r="AT7" s="23">
        <v>1</v>
      </c>
      <c r="AU7" s="23">
        <v>508</v>
      </c>
      <c r="AV7" s="23">
        <v>528</v>
      </c>
      <c r="AW7" s="23">
        <v>46</v>
      </c>
      <c r="AX7" s="192">
        <v>0.36666666666666697</v>
      </c>
      <c r="AY7" s="192">
        <v>0.3527777777777778</v>
      </c>
    </row>
    <row r="8" spans="1:51" ht="14.25" customHeight="1" x14ac:dyDescent="0.25">
      <c r="A8" s="25">
        <v>4.3</v>
      </c>
      <c r="B8" s="23">
        <v>37</v>
      </c>
      <c r="C8" s="23">
        <v>9.1</v>
      </c>
      <c r="D8" s="23">
        <v>41</v>
      </c>
      <c r="E8" s="23">
        <v>175</v>
      </c>
      <c r="F8" s="23">
        <v>165</v>
      </c>
      <c r="G8" s="23">
        <v>47</v>
      </c>
      <c r="H8" s="23">
        <f t="shared" si="1"/>
        <v>820</v>
      </c>
      <c r="I8" s="23">
        <f t="shared" si="0"/>
        <v>832</v>
      </c>
      <c r="J8" s="23">
        <v>45</v>
      </c>
      <c r="K8" s="25">
        <v>15.5</v>
      </c>
      <c r="L8" s="23">
        <v>45</v>
      </c>
      <c r="M8" s="25">
        <v>4.5</v>
      </c>
      <c r="N8" s="23">
        <v>41</v>
      </c>
      <c r="O8" s="23">
        <v>10</v>
      </c>
      <c r="P8" s="23">
        <v>10</v>
      </c>
      <c r="Q8" s="23">
        <v>12</v>
      </c>
      <c r="R8" s="23">
        <v>8</v>
      </c>
      <c r="S8" s="23">
        <v>6</v>
      </c>
      <c r="T8" s="23">
        <v>30</v>
      </c>
      <c r="U8" s="23">
        <v>6</v>
      </c>
      <c r="V8" s="23">
        <v>17</v>
      </c>
      <c r="W8" s="23">
        <v>11</v>
      </c>
      <c r="X8" s="23">
        <v>12</v>
      </c>
      <c r="Y8" s="23">
        <v>7</v>
      </c>
      <c r="Z8" s="23">
        <v>11</v>
      </c>
      <c r="AA8" s="25">
        <v>4.2</v>
      </c>
      <c r="AB8" s="23">
        <v>41</v>
      </c>
      <c r="AC8" s="26">
        <v>4.5</v>
      </c>
      <c r="AD8" s="23">
        <v>3</v>
      </c>
      <c r="AE8" s="25">
        <v>5.5</v>
      </c>
      <c r="AF8" s="23">
        <v>3</v>
      </c>
      <c r="AG8" s="23">
        <v>7</v>
      </c>
      <c r="AH8" s="23">
        <v>3</v>
      </c>
      <c r="AI8" s="23">
        <v>9</v>
      </c>
      <c r="AJ8" s="23">
        <v>12</v>
      </c>
      <c r="AK8" s="23">
        <v>19</v>
      </c>
      <c r="AL8" s="23">
        <v>10</v>
      </c>
      <c r="AM8" s="23">
        <v>12</v>
      </c>
      <c r="AN8" s="23">
        <v>6</v>
      </c>
      <c r="AO8" s="25">
        <v>11</v>
      </c>
      <c r="AP8" s="23">
        <v>6</v>
      </c>
      <c r="AQ8" s="26">
        <v>1.4</v>
      </c>
      <c r="AR8" s="23">
        <v>6</v>
      </c>
      <c r="AS8" s="25">
        <v>61.5</v>
      </c>
      <c r="AT8" s="23">
        <v>1</v>
      </c>
      <c r="AU8" s="23">
        <v>510</v>
      </c>
      <c r="AV8" s="23">
        <v>530</v>
      </c>
      <c r="AW8" s="23">
        <v>45</v>
      </c>
      <c r="AX8" s="192">
        <v>0.36805555555555602</v>
      </c>
      <c r="AY8" s="192">
        <v>0.35416666666666669</v>
      </c>
    </row>
    <row r="9" spans="1:51" ht="14.25" customHeight="1" x14ac:dyDescent="0.25">
      <c r="A9" s="25">
        <v>4.4000000000000004</v>
      </c>
      <c r="B9" s="23">
        <v>35</v>
      </c>
      <c r="C9" s="23">
        <v>9.1999999999999993</v>
      </c>
      <c r="D9" s="23">
        <v>39</v>
      </c>
      <c r="E9" s="23">
        <v>176</v>
      </c>
      <c r="F9" s="23">
        <v>166</v>
      </c>
      <c r="G9" s="23">
        <v>47</v>
      </c>
      <c r="H9" s="23">
        <f t="shared" si="1"/>
        <v>822</v>
      </c>
      <c r="I9" s="23">
        <f t="shared" si="0"/>
        <v>834</v>
      </c>
      <c r="J9" s="23">
        <v>44</v>
      </c>
      <c r="K9" s="25">
        <v>15.6</v>
      </c>
      <c r="L9" s="23">
        <v>44</v>
      </c>
      <c r="M9" s="25">
        <v>4.5999999999999996</v>
      </c>
      <c r="N9" s="23">
        <v>40</v>
      </c>
      <c r="O9" s="23">
        <v>11</v>
      </c>
      <c r="P9" s="23">
        <v>12</v>
      </c>
      <c r="Q9" s="23">
        <v>13</v>
      </c>
      <c r="R9" s="23">
        <v>10</v>
      </c>
      <c r="S9" s="23">
        <v>7</v>
      </c>
      <c r="T9" s="23">
        <v>35</v>
      </c>
      <c r="U9" s="23">
        <v>7</v>
      </c>
      <c r="V9" s="23">
        <v>20</v>
      </c>
      <c r="W9" s="23">
        <v>12</v>
      </c>
      <c r="X9" s="23">
        <v>14</v>
      </c>
      <c r="Y9" s="23">
        <v>8</v>
      </c>
      <c r="Z9" s="23">
        <v>13</v>
      </c>
      <c r="AA9" s="25">
        <v>4.3</v>
      </c>
      <c r="AB9" s="23">
        <v>39</v>
      </c>
      <c r="AC9" s="26">
        <v>4.5999999999999996</v>
      </c>
      <c r="AD9" s="27">
        <v>4</v>
      </c>
      <c r="AE9" s="25">
        <v>5.6</v>
      </c>
      <c r="AF9" s="23">
        <v>4</v>
      </c>
      <c r="AG9" s="23">
        <v>8</v>
      </c>
      <c r="AH9" s="23">
        <v>4</v>
      </c>
      <c r="AI9" s="23">
        <v>10</v>
      </c>
      <c r="AJ9" s="23">
        <v>14</v>
      </c>
      <c r="AK9" s="23">
        <v>20</v>
      </c>
      <c r="AL9" s="23">
        <v>12</v>
      </c>
      <c r="AM9" s="23">
        <v>13</v>
      </c>
      <c r="AN9" s="23">
        <v>7</v>
      </c>
      <c r="AO9" s="25">
        <v>12</v>
      </c>
      <c r="AP9" s="23">
        <v>7</v>
      </c>
      <c r="AQ9" s="26">
        <v>1.45</v>
      </c>
      <c r="AR9" s="23">
        <v>7</v>
      </c>
      <c r="AS9" s="25">
        <v>61.4</v>
      </c>
      <c r="AT9" s="23">
        <v>1</v>
      </c>
      <c r="AU9" s="23">
        <v>512</v>
      </c>
      <c r="AV9" s="23">
        <v>532</v>
      </c>
      <c r="AW9" s="23">
        <v>44</v>
      </c>
      <c r="AX9" s="192">
        <v>0.36944444444444402</v>
      </c>
      <c r="AY9" s="192">
        <v>0.35555555555555557</v>
      </c>
    </row>
    <row r="10" spans="1:51" ht="14.25" customHeight="1" x14ac:dyDescent="0.25">
      <c r="A10" s="25">
        <v>4.5</v>
      </c>
      <c r="B10" s="23">
        <v>33</v>
      </c>
      <c r="C10" s="23">
        <v>9.3000000000000007</v>
      </c>
      <c r="D10" s="23">
        <v>37</v>
      </c>
      <c r="E10" s="23">
        <v>177</v>
      </c>
      <c r="F10" s="23">
        <v>167</v>
      </c>
      <c r="G10" s="23">
        <v>46</v>
      </c>
      <c r="H10" s="23">
        <f t="shared" si="1"/>
        <v>824</v>
      </c>
      <c r="I10" s="23">
        <f t="shared" si="0"/>
        <v>836</v>
      </c>
      <c r="J10" s="23">
        <v>43</v>
      </c>
      <c r="K10" s="25">
        <v>15.7</v>
      </c>
      <c r="L10" s="23">
        <v>43</v>
      </c>
      <c r="M10" s="25">
        <v>4.7</v>
      </c>
      <c r="N10" s="23">
        <v>39</v>
      </c>
      <c r="O10" s="23">
        <v>12</v>
      </c>
      <c r="P10" s="23">
        <v>14</v>
      </c>
      <c r="Q10" s="23">
        <v>14</v>
      </c>
      <c r="R10" s="23">
        <v>12</v>
      </c>
      <c r="S10" s="23">
        <v>8</v>
      </c>
      <c r="T10" s="23">
        <v>40</v>
      </c>
      <c r="U10" s="23">
        <v>8</v>
      </c>
      <c r="V10" s="23">
        <v>23</v>
      </c>
      <c r="W10" s="23">
        <v>13</v>
      </c>
      <c r="X10" s="23">
        <v>16</v>
      </c>
      <c r="Y10" s="23">
        <v>9</v>
      </c>
      <c r="Z10" s="23">
        <v>15</v>
      </c>
      <c r="AA10" s="25">
        <v>4.4000000000000004</v>
      </c>
      <c r="AB10" s="23">
        <v>37</v>
      </c>
      <c r="AC10" s="26">
        <v>4.7</v>
      </c>
      <c r="AD10" s="27">
        <v>4</v>
      </c>
      <c r="AE10" s="25">
        <v>5.7</v>
      </c>
      <c r="AF10" s="23">
        <v>4</v>
      </c>
      <c r="AG10" s="23">
        <v>9</v>
      </c>
      <c r="AH10" s="23">
        <v>4</v>
      </c>
      <c r="AI10" s="23">
        <v>11</v>
      </c>
      <c r="AJ10" s="23">
        <v>16</v>
      </c>
      <c r="AK10" s="23">
        <v>21</v>
      </c>
      <c r="AL10" s="23">
        <v>14</v>
      </c>
      <c r="AM10" s="23">
        <v>14</v>
      </c>
      <c r="AN10" s="23">
        <v>8</v>
      </c>
      <c r="AO10" s="25">
        <v>13</v>
      </c>
      <c r="AP10" s="23">
        <v>8</v>
      </c>
      <c r="AQ10" s="26">
        <v>1.5</v>
      </c>
      <c r="AR10" s="23">
        <v>8</v>
      </c>
      <c r="AS10" s="25">
        <v>61.3</v>
      </c>
      <c r="AT10" s="23">
        <v>1</v>
      </c>
      <c r="AU10" s="23">
        <v>514</v>
      </c>
      <c r="AV10" s="23">
        <v>534</v>
      </c>
      <c r="AW10" s="23">
        <v>43</v>
      </c>
      <c r="AX10" s="192">
        <v>0.37083333333333302</v>
      </c>
      <c r="AY10" s="192">
        <v>0.35694444444444445</v>
      </c>
    </row>
    <row r="11" spans="1:51" ht="14.25" customHeight="1" x14ac:dyDescent="0.25">
      <c r="A11" s="25">
        <v>4.5999999999999996</v>
      </c>
      <c r="B11" s="23">
        <v>31</v>
      </c>
      <c r="C11" s="23">
        <v>9.4</v>
      </c>
      <c r="D11" s="23">
        <v>35</v>
      </c>
      <c r="E11" s="23">
        <v>178</v>
      </c>
      <c r="F11" s="23">
        <v>168</v>
      </c>
      <c r="G11" s="23">
        <v>46</v>
      </c>
      <c r="H11" s="23">
        <f t="shared" si="1"/>
        <v>826</v>
      </c>
      <c r="I11" s="23">
        <f t="shared" si="0"/>
        <v>838</v>
      </c>
      <c r="J11" s="23">
        <v>42</v>
      </c>
      <c r="K11" s="25">
        <v>15.8</v>
      </c>
      <c r="L11" s="23">
        <v>42</v>
      </c>
      <c r="M11" s="25">
        <v>4.8</v>
      </c>
      <c r="N11" s="23">
        <v>38</v>
      </c>
      <c r="O11" s="23">
        <v>13</v>
      </c>
      <c r="P11" s="23">
        <v>16</v>
      </c>
      <c r="Q11" s="23">
        <v>15</v>
      </c>
      <c r="R11" s="23">
        <v>14</v>
      </c>
      <c r="S11" s="23">
        <v>9</v>
      </c>
      <c r="T11" s="23">
        <v>45</v>
      </c>
      <c r="U11" s="23">
        <v>9</v>
      </c>
      <c r="V11" s="23">
        <v>26</v>
      </c>
      <c r="W11" s="23">
        <v>14</v>
      </c>
      <c r="X11" s="23">
        <v>18</v>
      </c>
      <c r="Y11" s="23">
        <v>10</v>
      </c>
      <c r="Z11" s="23">
        <v>17</v>
      </c>
      <c r="AA11" s="25">
        <v>4.5</v>
      </c>
      <c r="AB11" s="23">
        <v>35</v>
      </c>
      <c r="AC11" s="26">
        <v>4.8</v>
      </c>
      <c r="AD11" s="27">
        <v>5</v>
      </c>
      <c r="AE11" s="25">
        <v>5.8</v>
      </c>
      <c r="AF11" s="23">
        <v>5</v>
      </c>
      <c r="AG11" s="23">
        <v>10</v>
      </c>
      <c r="AH11" s="23">
        <v>5</v>
      </c>
      <c r="AI11" s="23">
        <v>12</v>
      </c>
      <c r="AJ11" s="23">
        <v>18</v>
      </c>
      <c r="AK11" s="23">
        <v>22</v>
      </c>
      <c r="AL11" s="23">
        <v>16</v>
      </c>
      <c r="AM11" s="23">
        <v>15</v>
      </c>
      <c r="AN11" s="23">
        <v>9</v>
      </c>
      <c r="AO11" s="25">
        <v>14</v>
      </c>
      <c r="AP11" s="23">
        <v>9</v>
      </c>
      <c r="AQ11" s="26">
        <v>1.55</v>
      </c>
      <c r="AR11" s="23">
        <v>9</v>
      </c>
      <c r="AS11" s="25">
        <v>61.2</v>
      </c>
      <c r="AT11" s="23">
        <v>1</v>
      </c>
      <c r="AU11" s="23">
        <v>516</v>
      </c>
      <c r="AV11" s="23">
        <v>536</v>
      </c>
      <c r="AW11" s="23">
        <v>42</v>
      </c>
      <c r="AX11" s="192">
        <v>0.37222222222222201</v>
      </c>
      <c r="AY11" s="192">
        <v>0.35833333333333334</v>
      </c>
    </row>
    <row r="12" spans="1:51" ht="14.25" customHeight="1" x14ac:dyDescent="0.25">
      <c r="A12" s="25">
        <v>4.7</v>
      </c>
      <c r="B12" s="23">
        <v>29</v>
      </c>
      <c r="C12" s="23">
        <v>9.5</v>
      </c>
      <c r="D12" s="23">
        <v>33</v>
      </c>
      <c r="E12" s="23">
        <v>179</v>
      </c>
      <c r="F12" s="23">
        <v>169</v>
      </c>
      <c r="G12" s="23">
        <v>45</v>
      </c>
      <c r="H12" s="23">
        <f t="shared" si="1"/>
        <v>828</v>
      </c>
      <c r="I12" s="23">
        <f t="shared" si="0"/>
        <v>840</v>
      </c>
      <c r="J12" s="23">
        <v>41</v>
      </c>
      <c r="K12" s="25">
        <v>15.9</v>
      </c>
      <c r="L12" s="23">
        <v>41</v>
      </c>
      <c r="M12" s="25">
        <v>4.9000000000000004</v>
      </c>
      <c r="N12" s="23">
        <v>37</v>
      </c>
      <c r="O12" s="23">
        <v>14</v>
      </c>
      <c r="P12" s="23">
        <v>18</v>
      </c>
      <c r="Q12" s="23">
        <v>16</v>
      </c>
      <c r="R12" s="23">
        <v>16</v>
      </c>
      <c r="S12" s="23">
        <v>10</v>
      </c>
      <c r="T12" s="23">
        <v>50</v>
      </c>
      <c r="U12" s="23">
        <v>10</v>
      </c>
      <c r="V12" s="23">
        <v>29</v>
      </c>
      <c r="W12" s="23">
        <v>15</v>
      </c>
      <c r="X12" s="23">
        <v>20</v>
      </c>
      <c r="Y12" s="23">
        <v>11</v>
      </c>
      <c r="Z12" s="23">
        <v>19</v>
      </c>
      <c r="AA12" s="25">
        <v>4.5999999999999996</v>
      </c>
      <c r="AB12" s="23">
        <v>33</v>
      </c>
      <c r="AC12" s="26">
        <v>4.9000000000000004</v>
      </c>
      <c r="AD12" s="27">
        <v>6</v>
      </c>
      <c r="AE12" s="25">
        <v>5.9</v>
      </c>
      <c r="AF12" s="23">
        <v>5</v>
      </c>
      <c r="AG12" s="23">
        <v>11</v>
      </c>
      <c r="AH12" s="23">
        <v>5</v>
      </c>
      <c r="AI12" s="23">
        <v>13</v>
      </c>
      <c r="AJ12" s="23">
        <v>20</v>
      </c>
      <c r="AK12" s="23">
        <v>23</v>
      </c>
      <c r="AL12" s="23">
        <v>18</v>
      </c>
      <c r="AM12" s="23">
        <v>16</v>
      </c>
      <c r="AN12" s="23">
        <v>10</v>
      </c>
      <c r="AO12" s="25">
        <v>15</v>
      </c>
      <c r="AP12" s="23">
        <v>10</v>
      </c>
      <c r="AQ12" s="26">
        <v>1.6</v>
      </c>
      <c r="AR12" s="23">
        <v>10</v>
      </c>
      <c r="AS12" s="25">
        <v>61.1</v>
      </c>
      <c r="AT12" s="23">
        <v>1</v>
      </c>
      <c r="AU12" s="23">
        <v>518</v>
      </c>
      <c r="AV12" s="23">
        <v>538</v>
      </c>
      <c r="AW12" s="23">
        <v>41</v>
      </c>
      <c r="AX12" s="192">
        <v>0.37361111111111101</v>
      </c>
      <c r="AY12" s="192">
        <v>0.35972222222222222</v>
      </c>
    </row>
    <row r="13" spans="1:51" ht="14.25" customHeight="1" x14ac:dyDescent="0.25">
      <c r="A13" s="25">
        <v>4.8</v>
      </c>
      <c r="B13" s="23">
        <v>27</v>
      </c>
      <c r="C13" s="23">
        <v>9.6</v>
      </c>
      <c r="D13" s="23">
        <v>31</v>
      </c>
      <c r="E13" s="23">
        <v>180</v>
      </c>
      <c r="F13" s="23">
        <v>170</v>
      </c>
      <c r="G13" s="23">
        <v>45</v>
      </c>
      <c r="H13" s="23">
        <f t="shared" si="1"/>
        <v>830</v>
      </c>
      <c r="I13" s="23">
        <f t="shared" si="0"/>
        <v>842</v>
      </c>
      <c r="J13" s="23">
        <v>40</v>
      </c>
      <c r="K13" s="25">
        <v>16</v>
      </c>
      <c r="L13" s="23">
        <v>40</v>
      </c>
      <c r="M13" s="25">
        <v>5</v>
      </c>
      <c r="N13" s="23">
        <v>36</v>
      </c>
      <c r="O13" s="23">
        <v>15</v>
      </c>
      <c r="P13" s="23">
        <v>22</v>
      </c>
      <c r="Q13" s="23">
        <v>17</v>
      </c>
      <c r="R13" s="23">
        <v>18</v>
      </c>
      <c r="U13" s="23">
        <v>11</v>
      </c>
      <c r="V13" s="23">
        <v>32</v>
      </c>
      <c r="W13" s="23">
        <v>16</v>
      </c>
      <c r="X13" s="23">
        <v>22</v>
      </c>
      <c r="Y13" s="23">
        <v>12</v>
      </c>
      <c r="Z13" s="23">
        <v>21</v>
      </c>
      <c r="AA13" s="25">
        <v>4.7</v>
      </c>
      <c r="AB13" s="23">
        <v>31</v>
      </c>
      <c r="AC13" s="26">
        <v>5</v>
      </c>
      <c r="AD13" s="27">
        <v>7</v>
      </c>
      <c r="AE13" s="25">
        <v>6</v>
      </c>
      <c r="AF13" s="23">
        <v>6</v>
      </c>
      <c r="AG13" s="23">
        <v>12</v>
      </c>
      <c r="AH13" s="23">
        <v>6</v>
      </c>
      <c r="AI13" s="23">
        <v>14</v>
      </c>
      <c r="AJ13" s="23">
        <v>22</v>
      </c>
      <c r="AK13" s="23">
        <v>24</v>
      </c>
      <c r="AL13" s="23">
        <v>21</v>
      </c>
      <c r="AM13" s="23">
        <v>17</v>
      </c>
      <c r="AN13" s="23">
        <v>12</v>
      </c>
      <c r="AO13" s="25">
        <v>16</v>
      </c>
      <c r="AP13" s="23">
        <v>11</v>
      </c>
      <c r="AQ13" s="26">
        <v>1.62</v>
      </c>
      <c r="AR13" s="23">
        <v>11</v>
      </c>
      <c r="AS13" s="25">
        <v>61</v>
      </c>
      <c r="AT13" s="23">
        <v>1</v>
      </c>
      <c r="AU13" s="23">
        <v>520</v>
      </c>
      <c r="AV13" s="23">
        <v>540</v>
      </c>
      <c r="AW13" s="23">
        <v>40</v>
      </c>
      <c r="AX13" s="192">
        <v>0.375</v>
      </c>
      <c r="AY13" s="192">
        <v>0.3611111111111111</v>
      </c>
    </row>
    <row r="14" spans="1:51" ht="14.25" customHeight="1" x14ac:dyDescent="0.25">
      <c r="A14" s="25">
        <v>4.9000000000000004</v>
      </c>
      <c r="B14" s="23">
        <v>25</v>
      </c>
      <c r="C14" s="23">
        <v>9.6999999999999993</v>
      </c>
      <c r="D14" s="23">
        <v>29</v>
      </c>
      <c r="E14" s="23">
        <v>181</v>
      </c>
      <c r="F14" s="23">
        <v>171</v>
      </c>
      <c r="G14" s="23">
        <v>44</v>
      </c>
      <c r="H14" s="23">
        <f t="shared" si="1"/>
        <v>832</v>
      </c>
      <c r="I14" s="23">
        <f t="shared" si="0"/>
        <v>844</v>
      </c>
      <c r="J14" s="23">
        <v>39</v>
      </c>
      <c r="K14" s="25">
        <v>16.100000000000001</v>
      </c>
      <c r="L14" s="23">
        <v>39</v>
      </c>
      <c r="M14" s="25">
        <v>5.0999999999999996</v>
      </c>
      <c r="N14" s="23">
        <v>35</v>
      </c>
      <c r="O14" s="23">
        <v>16</v>
      </c>
      <c r="P14" s="23">
        <v>24</v>
      </c>
      <c r="Q14" s="23">
        <v>18</v>
      </c>
      <c r="R14" s="23">
        <v>20</v>
      </c>
      <c r="U14" s="23">
        <v>12</v>
      </c>
      <c r="V14" s="23">
        <v>35</v>
      </c>
      <c r="W14" s="23">
        <v>17</v>
      </c>
      <c r="X14" s="23">
        <v>24</v>
      </c>
      <c r="Y14" s="23">
        <v>13</v>
      </c>
      <c r="Z14" s="23">
        <v>23</v>
      </c>
      <c r="AA14" s="25">
        <v>4.8</v>
      </c>
      <c r="AB14" s="23">
        <v>29</v>
      </c>
      <c r="AC14" s="26">
        <v>5.0999999999999996</v>
      </c>
      <c r="AD14" s="27">
        <v>8</v>
      </c>
      <c r="AE14" s="25">
        <v>6.1</v>
      </c>
      <c r="AF14" s="23">
        <v>6</v>
      </c>
      <c r="AG14" s="23">
        <v>13</v>
      </c>
      <c r="AH14" s="23">
        <v>6</v>
      </c>
      <c r="AI14" s="23">
        <v>15</v>
      </c>
      <c r="AJ14" s="23">
        <v>24</v>
      </c>
      <c r="AK14" s="23">
        <v>25</v>
      </c>
      <c r="AL14" s="23">
        <v>24</v>
      </c>
      <c r="AM14" s="23">
        <v>18</v>
      </c>
      <c r="AN14" s="23">
        <v>14</v>
      </c>
      <c r="AO14" s="25">
        <v>17</v>
      </c>
      <c r="AP14" s="23">
        <v>12</v>
      </c>
      <c r="AQ14" s="26">
        <v>1.64</v>
      </c>
      <c r="AR14" s="23">
        <v>12</v>
      </c>
      <c r="AS14" s="25">
        <v>60.9</v>
      </c>
      <c r="AT14" s="23">
        <v>1</v>
      </c>
      <c r="AU14" s="23">
        <v>522</v>
      </c>
      <c r="AV14" s="23">
        <v>542</v>
      </c>
      <c r="AW14" s="23">
        <v>39</v>
      </c>
      <c r="AX14" s="192">
        <v>0.37638888888888899</v>
      </c>
      <c r="AY14" s="192">
        <v>0.36249999999999999</v>
      </c>
    </row>
    <row r="15" spans="1:51" ht="14.25" customHeight="1" x14ac:dyDescent="0.25">
      <c r="A15" s="25">
        <v>5</v>
      </c>
      <c r="B15" s="23">
        <v>23</v>
      </c>
      <c r="C15" s="23">
        <v>9.8000000000000007</v>
      </c>
      <c r="D15" s="23">
        <v>28</v>
      </c>
      <c r="E15" s="23">
        <v>182</v>
      </c>
      <c r="F15" s="23">
        <v>172</v>
      </c>
      <c r="G15" s="23">
        <v>44</v>
      </c>
      <c r="H15" s="23">
        <f t="shared" si="1"/>
        <v>834</v>
      </c>
      <c r="I15" s="23">
        <f t="shared" si="0"/>
        <v>846</v>
      </c>
      <c r="J15" s="23">
        <v>38</v>
      </c>
      <c r="K15" s="25">
        <v>16.2</v>
      </c>
      <c r="L15" s="23">
        <v>38</v>
      </c>
      <c r="M15" s="25">
        <v>5.2</v>
      </c>
      <c r="N15" s="23">
        <v>34</v>
      </c>
      <c r="O15" s="23">
        <v>17</v>
      </c>
      <c r="P15" s="23">
        <v>26</v>
      </c>
      <c r="Q15" s="23">
        <v>19</v>
      </c>
      <c r="R15" s="23">
        <v>22</v>
      </c>
      <c r="U15" s="23">
        <v>13</v>
      </c>
      <c r="V15" s="23">
        <v>38</v>
      </c>
      <c r="W15" s="23">
        <v>18</v>
      </c>
      <c r="X15" s="23">
        <v>26</v>
      </c>
      <c r="Y15" s="23">
        <v>14</v>
      </c>
      <c r="Z15" s="23">
        <v>25</v>
      </c>
      <c r="AA15" s="25">
        <v>4.9000000000000004</v>
      </c>
      <c r="AB15" s="23">
        <v>27</v>
      </c>
      <c r="AC15" s="26">
        <v>5.2</v>
      </c>
      <c r="AD15" s="27">
        <v>9</v>
      </c>
      <c r="AE15" s="25">
        <v>6.2</v>
      </c>
      <c r="AF15" s="23">
        <v>7</v>
      </c>
      <c r="AG15" s="23">
        <v>14</v>
      </c>
      <c r="AH15" s="23">
        <v>7</v>
      </c>
      <c r="AI15" s="23">
        <v>16</v>
      </c>
      <c r="AJ15" s="23">
        <v>26</v>
      </c>
      <c r="AK15" s="23">
        <v>26</v>
      </c>
      <c r="AL15" s="23">
        <v>27</v>
      </c>
      <c r="AM15" s="23">
        <v>19</v>
      </c>
      <c r="AN15" s="23">
        <v>16</v>
      </c>
      <c r="AO15" s="25">
        <v>18</v>
      </c>
      <c r="AP15" s="23">
        <v>13</v>
      </c>
      <c r="AQ15" s="26">
        <v>1.66</v>
      </c>
      <c r="AR15" s="23">
        <v>13</v>
      </c>
      <c r="AS15" s="25">
        <v>60.8</v>
      </c>
      <c r="AT15" s="23">
        <v>1</v>
      </c>
      <c r="AU15" s="23">
        <v>524</v>
      </c>
      <c r="AV15" s="23">
        <v>544</v>
      </c>
      <c r="AW15" s="23">
        <v>38</v>
      </c>
      <c r="AX15" s="192">
        <v>0.37777777777777799</v>
      </c>
      <c r="AY15" s="192">
        <v>0.36388888888888887</v>
      </c>
    </row>
    <row r="16" spans="1:51" ht="14.25" customHeight="1" x14ac:dyDescent="0.25">
      <c r="A16" s="25">
        <v>5.0999999999999996</v>
      </c>
      <c r="B16" s="23">
        <v>21</v>
      </c>
      <c r="C16" s="23">
        <v>9.9</v>
      </c>
      <c r="D16" s="23">
        <v>27</v>
      </c>
      <c r="E16" s="23">
        <v>183</v>
      </c>
      <c r="F16" s="23">
        <v>173</v>
      </c>
      <c r="G16" s="23">
        <v>43</v>
      </c>
      <c r="H16" s="23">
        <f t="shared" si="1"/>
        <v>836</v>
      </c>
      <c r="I16" s="23">
        <f t="shared" si="0"/>
        <v>848</v>
      </c>
      <c r="J16" s="23">
        <v>37</v>
      </c>
      <c r="K16" s="25">
        <v>16.3</v>
      </c>
      <c r="L16" s="23">
        <v>37</v>
      </c>
      <c r="M16" s="25">
        <v>5.3</v>
      </c>
      <c r="N16" s="23">
        <v>33</v>
      </c>
      <c r="O16" s="23">
        <v>18</v>
      </c>
      <c r="P16" s="23">
        <v>28</v>
      </c>
      <c r="Q16" s="23">
        <v>20</v>
      </c>
      <c r="R16" s="23">
        <v>24</v>
      </c>
      <c r="U16" s="23">
        <v>14</v>
      </c>
      <c r="V16" s="23">
        <v>41</v>
      </c>
      <c r="W16" s="23">
        <v>19</v>
      </c>
      <c r="X16" s="23">
        <v>28</v>
      </c>
      <c r="Y16" s="23">
        <v>15</v>
      </c>
      <c r="Z16" s="23">
        <v>27</v>
      </c>
      <c r="AA16" s="25">
        <v>5</v>
      </c>
      <c r="AB16" s="23">
        <v>25</v>
      </c>
      <c r="AC16" s="26">
        <v>5.3</v>
      </c>
      <c r="AD16" s="27">
        <v>10</v>
      </c>
      <c r="AE16" s="25">
        <v>6.3</v>
      </c>
      <c r="AF16" s="23">
        <v>7</v>
      </c>
      <c r="AG16" s="23">
        <v>15</v>
      </c>
      <c r="AH16" s="23">
        <v>7</v>
      </c>
      <c r="AI16" s="23">
        <v>17</v>
      </c>
      <c r="AJ16" s="23">
        <v>28</v>
      </c>
      <c r="AK16" s="23">
        <v>27</v>
      </c>
      <c r="AL16" s="23">
        <v>30</v>
      </c>
      <c r="AM16" s="23">
        <v>20</v>
      </c>
      <c r="AN16" s="23">
        <v>18</v>
      </c>
      <c r="AO16" s="25">
        <v>19</v>
      </c>
      <c r="AP16" s="23">
        <v>14</v>
      </c>
      <c r="AQ16" s="26">
        <v>1.68</v>
      </c>
      <c r="AR16" s="23">
        <v>14</v>
      </c>
      <c r="AS16" s="25">
        <v>60.7</v>
      </c>
      <c r="AT16" s="23">
        <v>1</v>
      </c>
      <c r="AU16" s="23">
        <v>526</v>
      </c>
      <c r="AV16" s="23">
        <v>546</v>
      </c>
      <c r="AW16" s="23">
        <v>37</v>
      </c>
      <c r="AX16" s="192">
        <v>0.37916666666666698</v>
      </c>
      <c r="AY16" s="192">
        <v>0.36527777777777781</v>
      </c>
    </row>
    <row r="17" spans="1:51" ht="14.25" customHeight="1" x14ac:dyDescent="0.25">
      <c r="A17" s="25">
        <v>5.2</v>
      </c>
      <c r="B17" s="23">
        <v>19</v>
      </c>
      <c r="C17" s="23">
        <v>10</v>
      </c>
      <c r="D17" s="23">
        <v>26</v>
      </c>
      <c r="E17" s="23">
        <v>184</v>
      </c>
      <c r="F17" s="23">
        <v>174</v>
      </c>
      <c r="G17" s="23">
        <v>43</v>
      </c>
      <c r="H17" s="23">
        <f t="shared" si="1"/>
        <v>838</v>
      </c>
      <c r="I17" s="23">
        <f t="shared" si="0"/>
        <v>850</v>
      </c>
      <c r="J17" s="23">
        <v>36</v>
      </c>
      <c r="K17" s="25">
        <v>16.399999999999999</v>
      </c>
      <c r="L17" s="23">
        <v>36</v>
      </c>
      <c r="M17" s="25">
        <v>5.4</v>
      </c>
      <c r="N17" s="23">
        <v>32</v>
      </c>
      <c r="O17" s="23">
        <v>19</v>
      </c>
      <c r="P17" s="23">
        <v>30</v>
      </c>
      <c r="Q17" s="23">
        <v>21</v>
      </c>
      <c r="R17" s="23">
        <v>26</v>
      </c>
      <c r="U17" s="23">
        <v>15</v>
      </c>
      <c r="V17" s="23">
        <v>44</v>
      </c>
      <c r="W17" s="23">
        <v>20</v>
      </c>
      <c r="X17" s="23">
        <v>30</v>
      </c>
      <c r="Y17" s="23">
        <v>16</v>
      </c>
      <c r="Z17" s="23">
        <v>29</v>
      </c>
      <c r="AA17" s="25">
        <v>5.0999999999999996</v>
      </c>
      <c r="AB17" s="23">
        <v>23</v>
      </c>
      <c r="AC17" s="26">
        <v>5.4</v>
      </c>
      <c r="AD17" s="27">
        <v>11</v>
      </c>
      <c r="AE17" s="25">
        <v>6.4</v>
      </c>
      <c r="AF17" s="23">
        <v>8</v>
      </c>
      <c r="AG17" s="23">
        <v>16</v>
      </c>
      <c r="AH17" s="23">
        <v>8</v>
      </c>
      <c r="AI17" s="23">
        <v>18</v>
      </c>
      <c r="AJ17" s="23">
        <v>30</v>
      </c>
      <c r="AK17" s="23">
        <v>28</v>
      </c>
      <c r="AL17" s="23">
        <v>33</v>
      </c>
      <c r="AM17" s="23">
        <v>21</v>
      </c>
      <c r="AN17" s="23">
        <v>20</v>
      </c>
      <c r="AO17" s="25">
        <v>20</v>
      </c>
      <c r="AP17" s="23">
        <v>15</v>
      </c>
      <c r="AQ17" s="26">
        <v>1.7</v>
      </c>
      <c r="AR17" s="23">
        <v>15</v>
      </c>
      <c r="AS17" s="25">
        <v>60.6</v>
      </c>
      <c r="AT17" s="23">
        <v>1</v>
      </c>
      <c r="AU17" s="23">
        <v>528</v>
      </c>
      <c r="AV17" s="23">
        <v>548</v>
      </c>
      <c r="AW17" s="23">
        <v>36</v>
      </c>
      <c r="AX17" s="192">
        <v>0.38055555555555498</v>
      </c>
      <c r="AY17" s="192">
        <v>0.3666666666666667</v>
      </c>
    </row>
    <row r="18" spans="1:51" ht="14.25" customHeight="1" x14ac:dyDescent="0.25">
      <c r="A18" s="25">
        <v>5.3</v>
      </c>
      <c r="B18" s="23">
        <v>17</v>
      </c>
      <c r="C18" s="23">
        <v>10.1</v>
      </c>
      <c r="D18" s="23">
        <v>25</v>
      </c>
      <c r="E18" s="23">
        <v>185</v>
      </c>
      <c r="F18" s="23">
        <v>175</v>
      </c>
      <c r="G18" s="23">
        <v>42</v>
      </c>
      <c r="H18" s="23">
        <f t="shared" si="1"/>
        <v>840</v>
      </c>
      <c r="I18" s="23">
        <f t="shared" si="0"/>
        <v>852</v>
      </c>
      <c r="J18" s="23">
        <v>35</v>
      </c>
      <c r="K18" s="25">
        <v>16.5</v>
      </c>
      <c r="L18" s="23">
        <v>35</v>
      </c>
      <c r="M18" s="25">
        <v>5.5</v>
      </c>
      <c r="N18" s="23">
        <v>31</v>
      </c>
      <c r="O18" s="23">
        <v>20</v>
      </c>
      <c r="P18" s="23">
        <v>32</v>
      </c>
      <c r="Q18" s="23">
        <v>22</v>
      </c>
      <c r="R18" s="23">
        <v>28</v>
      </c>
      <c r="U18" s="23">
        <v>16</v>
      </c>
      <c r="V18" s="23">
        <v>47</v>
      </c>
      <c r="W18" s="23">
        <v>21</v>
      </c>
      <c r="X18" s="23">
        <v>32</v>
      </c>
      <c r="Y18" s="23">
        <v>17</v>
      </c>
      <c r="Z18" s="23">
        <v>32</v>
      </c>
      <c r="AA18" s="25">
        <v>5.2</v>
      </c>
      <c r="AB18" s="23">
        <v>21</v>
      </c>
      <c r="AC18" s="26">
        <v>5.5</v>
      </c>
      <c r="AD18" s="27">
        <v>12</v>
      </c>
      <c r="AE18" s="25">
        <v>6.5</v>
      </c>
      <c r="AF18" s="23">
        <v>8</v>
      </c>
      <c r="AG18" s="23">
        <v>17</v>
      </c>
      <c r="AH18" s="23">
        <v>8</v>
      </c>
      <c r="AI18" s="23">
        <v>19</v>
      </c>
      <c r="AJ18" s="23">
        <v>32</v>
      </c>
      <c r="AK18" s="23">
        <v>29</v>
      </c>
      <c r="AL18" s="23">
        <v>36</v>
      </c>
      <c r="AM18" s="23">
        <v>22</v>
      </c>
      <c r="AN18" s="23">
        <v>22</v>
      </c>
      <c r="AO18" s="25">
        <v>21</v>
      </c>
      <c r="AP18" s="23">
        <v>16</v>
      </c>
      <c r="AQ18" s="26">
        <v>1.72</v>
      </c>
      <c r="AR18" s="23">
        <v>16</v>
      </c>
      <c r="AS18" s="25">
        <v>60.5</v>
      </c>
      <c r="AT18" s="23">
        <v>1</v>
      </c>
      <c r="AU18" s="23">
        <v>530</v>
      </c>
      <c r="AV18" s="23">
        <v>550</v>
      </c>
      <c r="AW18" s="23">
        <v>35</v>
      </c>
      <c r="AX18" s="192">
        <v>0.38194444444444398</v>
      </c>
      <c r="AY18" s="192">
        <v>0.36805555555555558</v>
      </c>
    </row>
    <row r="19" spans="1:51" ht="14.25" customHeight="1" x14ac:dyDescent="0.25">
      <c r="A19" s="25">
        <v>5.4</v>
      </c>
      <c r="B19" s="23">
        <v>15</v>
      </c>
      <c r="C19" s="23">
        <v>10.199999999999999</v>
      </c>
      <c r="D19" s="23">
        <v>24</v>
      </c>
      <c r="E19" s="23">
        <v>186</v>
      </c>
      <c r="F19" s="23">
        <v>176</v>
      </c>
      <c r="G19" s="23">
        <v>42</v>
      </c>
      <c r="H19" s="23">
        <f t="shared" si="1"/>
        <v>842</v>
      </c>
      <c r="I19" s="23">
        <f t="shared" si="0"/>
        <v>854</v>
      </c>
      <c r="J19" s="23">
        <v>34</v>
      </c>
      <c r="K19" s="25">
        <v>16.600000000000001</v>
      </c>
      <c r="L19" s="23">
        <v>34</v>
      </c>
      <c r="M19" s="25">
        <v>5.6</v>
      </c>
      <c r="N19" s="23">
        <v>30</v>
      </c>
      <c r="O19" s="23">
        <v>21</v>
      </c>
      <c r="P19" s="23">
        <v>34</v>
      </c>
      <c r="Q19" s="23">
        <v>23</v>
      </c>
      <c r="R19" s="23">
        <v>30</v>
      </c>
      <c r="U19" s="23">
        <v>17</v>
      </c>
      <c r="V19" s="23">
        <v>50</v>
      </c>
      <c r="W19" s="23">
        <v>22</v>
      </c>
      <c r="X19" s="23">
        <v>35</v>
      </c>
      <c r="Y19" s="23">
        <v>18</v>
      </c>
      <c r="Z19" s="23">
        <v>35</v>
      </c>
      <c r="AA19" s="25">
        <v>5.3</v>
      </c>
      <c r="AB19" s="23">
        <v>19</v>
      </c>
      <c r="AC19" s="26">
        <v>5.6</v>
      </c>
      <c r="AD19" s="27">
        <v>13</v>
      </c>
      <c r="AE19" s="25">
        <v>6.6</v>
      </c>
      <c r="AF19" s="23">
        <v>9</v>
      </c>
      <c r="AG19" s="23">
        <v>18</v>
      </c>
      <c r="AH19" s="23">
        <v>9</v>
      </c>
      <c r="AI19" s="23">
        <v>20</v>
      </c>
      <c r="AJ19" s="23">
        <v>34</v>
      </c>
      <c r="AK19" s="23">
        <v>30</v>
      </c>
      <c r="AL19" s="23">
        <v>39</v>
      </c>
      <c r="AM19" s="23">
        <v>23</v>
      </c>
      <c r="AN19" s="23">
        <v>24</v>
      </c>
      <c r="AO19" s="25">
        <v>22</v>
      </c>
      <c r="AP19" s="23">
        <v>17</v>
      </c>
      <c r="AQ19" s="26">
        <v>1.74</v>
      </c>
      <c r="AR19" s="23">
        <v>17</v>
      </c>
      <c r="AS19" s="25">
        <v>60.4</v>
      </c>
      <c r="AT19" s="23">
        <v>1</v>
      </c>
      <c r="AU19" s="23">
        <v>532</v>
      </c>
      <c r="AV19" s="23">
        <v>552</v>
      </c>
      <c r="AW19" s="23">
        <v>34</v>
      </c>
      <c r="AX19" s="192">
        <v>0.38333333333333303</v>
      </c>
      <c r="AY19" s="192">
        <v>0.36944444444444446</v>
      </c>
    </row>
    <row r="20" spans="1:51" ht="14.25" customHeight="1" x14ac:dyDescent="0.25">
      <c r="A20" s="25">
        <v>5.5</v>
      </c>
      <c r="B20" s="23">
        <v>13</v>
      </c>
      <c r="C20" s="23">
        <v>10.3</v>
      </c>
      <c r="D20" s="23">
        <v>23</v>
      </c>
      <c r="E20" s="23">
        <v>187</v>
      </c>
      <c r="F20" s="23">
        <v>177</v>
      </c>
      <c r="G20" s="23">
        <v>41</v>
      </c>
      <c r="H20" s="23">
        <f t="shared" si="1"/>
        <v>844</v>
      </c>
      <c r="I20" s="23">
        <f t="shared" si="0"/>
        <v>856</v>
      </c>
      <c r="J20" s="23">
        <v>33</v>
      </c>
      <c r="K20" s="25">
        <v>16.7</v>
      </c>
      <c r="L20" s="23">
        <v>33</v>
      </c>
      <c r="M20" s="25">
        <v>5.7</v>
      </c>
      <c r="N20" s="23">
        <v>29</v>
      </c>
      <c r="O20" s="23">
        <v>22</v>
      </c>
      <c r="P20" s="23">
        <v>36</v>
      </c>
      <c r="Q20" s="23">
        <v>24</v>
      </c>
      <c r="R20" s="23">
        <v>32</v>
      </c>
      <c r="W20" s="23">
        <v>23</v>
      </c>
      <c r="X20" s="23">
        <v>38</v>
      </c>
      <c r="Y20" s="23">
        <v>19</v>
      </c>
      <c r="Z20" s="23">
        <v>38</v>
      </c>
      <c r="AA20" s="25">
        <v>5.4</v>
      </c>
      <c r="AB20" s="23">
        <v>17</v>
      </c>
      <c r="AC20" s="26">
        <v>5.7</v>
      </c>
      <c r="AD20" s="27">
        <v>14</v>
      </c>
      <c r="AE20" s="25">
        <v>6.7</v>
      </c>
      <c r="AF20" s="23">
        <v>9</v>
      </c>
      <c r="AG20" s="23">
        <v>19</v>
      </c>
      <c r="AH20" s="23">
        <v>9</v>
      </c>
      <c r="AI20" s="23">
        <v>21</v>
      </c>
      <c r="AJ20" s="23">
        <v>36</v>
      </c>
      <c r="AK20" s="23">
        <v>31</v>
      </c>
      <c r="AL20" s="23">
        <v>42</v>
      </c>
      <c r="AM20" s="23">
        <v>24</v>
      </c>
      <c r="AN20" s="23">
        <v>26</v>
      </c>
      <c r="AO20" s="25">
        <v>23</v>
      </c>
      <c r="AP20" s="23">
        <v>18</v>
      </c>
      <c r="AQ20" s="26">
        <v>1.76</v>
      </c>
      <c r="AR20" s="23">
        <v>18</v>
      </c>
      <c r="AS20" s="25">
        <v>60.3</v>
      </c>
      <c r="AT20" s="23">
        <v>1</v>
      </c>
      <c r="AU20" s="23">
        <v>534</v>
      </c>
      <c r="AV20" s="23">
        <v>554</v>
      </c>
      <c r="AW20" s="23">
        <v>33</v>
      </c>
      <c r="AX20" s="192">
        <v>0.38472222222222202</v>
      </c>
      <c r="AY20" s="192">
        <v>0.37083333333333335</v>
      </c>
    </row>
    <row r="21" spans="1:51" ht="14.25" customHeight="1" x14ac:dyDescent="0.25">
      <c r="A21" s="25">
        <v>5.6</v>
      </c>
      <c r="B21" s="23">
        <v>11</v>
      </c>
      <c r="C21" s="23">
        <v>10.4</v>
      </c>
      <c r="D21" s="23">
        <v>22</v>
      </c>
      <c r="E21" s="23">
        <v>188</v>
      </c>
      <c r="F21" s="23">
        <v>178</v>
      </c>
      <c r="G21" s="23">
        <v>41</v>
      </c>
      <c r="H21" s="23">
        <f t="shared" si="1"/>
        <v>846</v>
      </c>
      <c r="I21" s="23">
        <f t="shared" si="0"/>
        <v>858</v>
      </c>
      <c r="J21" s="23">
        <v>32</v>
      </c>
      <c r="K21" s="25">
        <v>16.8</v>
      </c>
      <c r="L21" s="23">
        <v>32</v>
      </c>
      <c r="M21" s="25">
        <v>5.8</v>
      </c>
      <c r="N21" s="23">
        <v>28</v>
      </c>
      <c r="O21" s="23">
        <v>23</v>
      </c>
      <c r="P21" s="23">
        <v>38</v>
      </c>
      <c r="Q21" s="23">
        <v>25</v>
      </c>
      <c r="R21" s="23">
        <v>34</v>
      </c>
      <c r="W21" s="23">
        <v>24</v>
      </c>
      <c r="X21" s="23">
        <v>41</v>
      </c>
      <c r="Y21" s="23">
        <v>20</v>
      </c>
      <c r="Z21" s="23">
        <v>41</v>
      </c>
      <c r="AA21" s="25">
        <v>5.5</v>
      </c>
      <c r="AB21" s="23">
        <v>15</v>
      </c>
      <c r="AC21" s="26">
        <v>5.8</v>
      </c>
      <c r="AD21" s="27">
        <v>15</v>
      </c>
      <c r="AE21" s="25">
        <v>6.8</v>
      </c>
      <c r="AF21" s="23">
        <v>10</v>
      </c>
      <c r="AG21" s="23">
        <v>20</v>
      </c>
      <c r="AH21" s="23">
        <v>10</v>
      </c>
      <c r="AI21" s="23">
        <v>22</v>
      </c>
      <c r="AJ21" s="23">
        <v>39</v>
      </c>
      <c r="AK21" s="23">
        <v>32</v>
      </c>
      <c r="AL21" s="23">
        <v>44</v>
      </c>
      <c r="AM21" s="23">
        <v>25</v>
      </c>
      <c r="AN21" s="23">
        <v>28</v>
      </c>
      <c r="AO21" s="25">
        <v>24</v>
      </c>
      <c r="AP21" s="23">
        <v>19</v>
      </c>
      <c r="AQ21" s="26">
        <v>1.78</v>
      </c>
      <c r="AR21" s="23">
        <v>19</v>
      </c>
      <c r="AS21" s="25">
        <v>60.2</v>
      </c>
      <c r="AT21" s="23">
        <v>1</v>
      </c>
      <c r="AU21" s="23">
        <v>536</v>
      </c>
      <c r="AV21" s="23">
        <v>556</v>
      </c>
      <c r="AW21" s="23">
        <v>32</v>
      </c>
      <c r="AX21" s="192">
        <v>0.38611111111111102</v>
      </c>
      <c r="AY21" s="192">
        <v>0.37222222222222223</v>
      </c>
    </row>
    <row r="22" spans="1:51" ht="14.25" customHeight="1" x14ac:dyDescent="0.25">
      <c r="A22" s="25">
        <v>5.7</v>
      </c>
      <c r="B22" s="23">
        <v>9</v>
      </c>
      <c r="C22" s="23">
        <v>10.5</v>
      </c>
      <c r="D22" s="23">
        <v>21</v>
      </c>
      <c r="E22" s="23">
        <v>189</v>
      </c>
      <c r="F22" s="23">
        <v>179</v>
      </c>
      <c r="G22" s="23">
        <v>40</v>
      </c>
      <c r="H22" s="23">
        <f t="shared" si="1"/>
        <v>848</v>
      </c>
      <c r="I22" s="23">
        <f t="shared" si="0"/>
        <v>860</v>
      </c>
      <c r="J22" s="23">
        <v>31</v>
      </c>
      <c r="K22" s="25">
        <v>16.899999999999999</v>
      </c>
      <c r="L22" s="23">
        <v>31</v>
      </c>
      <c r="M22" s="25">
        <v>5.9</v>
      </c>
      <c r="N22" s="23">
        <v>27</v>
      </c>
      <c r="O22" s="23">
        <v>24</v>
      </c>
      <c r="P22" s="23">
        <v>40</v>
      </c>
      <c r="Q22" s="23">
        <v>26</v>
      </c>
      <c r="R22" s="23">
        <v>36</v>
      </c>
      <c r="W22" s="23">
        <v>25</v>
      </c>
      <c r="X22" s="23">
        <v>44</v>
      </c>
      <c r="Y22" s="23">
        <v>21</v>
      </c>
      <c r="Z22" s="23">
        <v>44</v>
      </c>
      <c r="AA22" s="25">
        <v>5.6</v>
      </c>
      <c r="AB22" s="23">
        <v>13</v>
      </c>
      <c r="AC22" s="26">
        <v>5.9</v>
      </c>
      <c r="AD22" s="27">
        <v>16</v>
      </c>
      <c r="AE22" s="25">
        <v>6.9</v>
      </c>
      <c r="AF22" s="23">
        <v>10</v>
      </c>
      <c r="AG22" s="23">
        <v>21</v>
      </c>
      <c r="AH22" s="23">
        <v>11</v>
      </c>
      <c r="AI22" s="23">
        <v>23</v>
      </c>
      <c r="AJ22" s="23">
        <v>42</v>
      </c>
      <c r="AK22" s="23">
        <v>33</v>
      </c>
      <c r="AL22" s="23">
        <v>46</v>
      </c>
      <c r="AM22" s="23">
        <v>26</v>
      </c>
      <c r="AN22" s="23">
        <v>30</v>
      </c>
      <c r="AO22" s="25">
        <v>25</v>
      </c>
      <c r="AP22" s="23">
        <v>20</v>
      </c>
      <c r="AQ22" s="26">
        <v>1.8</v>
      </c>
      <c r="AR22" s="23">
        <v>20</v>
      </c>
      <c r="AS22" s="25">
        <v>60.1</v>
      </c>
      <c r="AT22" s="23">
        <v>1</v>
      </c>
      <c r="AU22" s="23">
        <v>538</v>
      </c>
      <c r="AV22" s="23">
        <v>558</v>
      </c>
      <c r="AW22" s="23">
        <v>31</v>
      </c>
      <c r="AX22" s="192">
        <v>0.38750000000000001</v>
      </c>
      <c r="AY22" s="192">
        <v>0.37361111111111112</v>
      </c>
    </row>
    <row r="23" spans="1:51" ht="14.25" customHeight="1" x14ac:dyDescent="0.25">
      <c r="A23" s="25">
        <v>5.8</v>
      </c>
      <c r="B23" s="23">
        <v>6</v>
      </c>
      <c r="C23" s="23">
        <v>10.6</v>
      </c>
      <c r="D23" s="23">
        <v>20</v>
      </c>
      <c r="E23" s="23">
        <v>190</v>
      </c>
      <c r="F23" s="23">
        <v>180</v>
      </c>
      <c r="G23" s="23">
        <v>40</v>
      </c>
      <c r="H23" s="23">
        <f t="shared" si="1"/>
        <v>850</v>
      </c>
      <c r="I23" s="23">
        <f t="shared" si="0"/>
        <v>862</v>
      </c>
      <c r="J23" s="23">
        <v>30</v>
      </c>
      <c r="K23" s="25">
        <v>17</v>
      </c>
      <c r="L23" s="23">
        <v>30</v>
      </c>
      <c r="M23" s="25">
        <v>6</v>
      </c>
      <c r="N23" s="23">
        <v>26</v>
      </c>
      <c r="O23" s="23">
        <v>25</v>
      </c>
      <c r="P23" s="23">
        <v>42</v>
      </c>
      <c r="Q23" s="23">
        <v>27</v>
      </c>
      <c r="R23" s="23">
        <v>38</v>
      </c>
      <c r="W23" s="23">
        <v>26</v>
      </c>
      <c r="X23" s="23">
        <v>47</v>
      </c>
      <c r="Y23" s="23">
        <v>22</v>
      </c>
      <c r="Z23" s="23">
        <v>47</v>
      </c>
      <c r="AA23" s="25">
        <v>5.7</v>
      </c>
      <c r="AB23" s="23">
        <v>11</v>
      </c>
      <c r="AC23" s="26">
        <v>6</v>
      </c>
      <c r="AD23" s="27">
        <v>17</v>
      </c>
      <c r="AE23" s="25">
        <v>7</v>
      </c>
      <c r="AF23" s="23">
        <v>11</v>
      </c>
      <c r="AG23" s="23">
        <v>22</v>
      </c>
      <c r="AH23" s="23">
        <v>12</v>
      </c>
      <c r="AI23" s="23">
        <v>24</v>
      </c>
      <c r="AJ23" s="23">
        <v>45</v>
      </c>
      <c r="AK23" s="23">
        <v>34</v>
      </c>
      <c r="AL23" s="23">
        <v>48</v>
      </c>
      <c r="AM23" s="23">
        <v>27</v>
      </c>
      <c r="AN23" s="23">
        <v>32</v>
      </c>
      <c r="AO23" s="25">
        <v>26</v>
      </c>
      <c r="AP23" s="23">
        <v>21</v>
      </c>
      <c r="AQ23" s="26">
        <v>1.82</v>
      </c>
      <c r="AR23" s="23">
        <v>21</v>
      </c>
      <c r="AS23" s="25">
        <v>60</v>
      </c>
      <c r="AT23" s="23">
        <v>2</v>
      </c>
      <c r="AU23" s="23">
        <v>540</v>
      </c>
      <c r="AV23" s="23">
        <v>560</v>
      </c>
      <c r="AW23" s="23">
        <v>30</v>
      </c>
      <c r="AX23" s="192">
        <v>0.38888888888888901</v>
      </c>
      <c r="AY23" s="192">
        <v>0.375</v>
      </c>
    </row>
    <row r="24" spans="1:51" ht="14.25" customHeight="1" x14ac:dyDescent="0.25">
      <c r="A24" s="25">
        <v>5.9</v>
      </c>
      <c r="B24" s="23">
        <v>5</v>
      </c>
      <c r="C24" s="23">
        <v>10.7</v>
      </c>
      <c r="D24" s="23">
        <v>19</v>
      </c>
      <c r="E24" s="23">
        <v>191</v>
      </c>
      <c r="F24" s="23">
        <v>181</v>
      </c>
      <c r="G24" s="23">
        <v>39</v>
      </c>
      <c r="H24" s="23">
        <f t="shared" si="1"/>
        <v>852</v>
      </c>
      <c r="I24" s="23">
        <f t="shared" si="0"/>
        <v>864</v>
      </c>
      <c r="J24" s="23">
        <v>29</v>
      </c>
      <c r="K24" s="25">
        <v>17.100000000000001</v>
      </c>
      <c r="L24" s="23">
        <v>29</v>
      </c>
      <c r="M24" s="25">
        <v>6.1</v>
      </c>
      <c r="N24" s="23">
        <v>25</v>
      </c>
      <c r="O24" s="23">
        <v>26</v>
      </c>
      <c r="P24" s="23">
        <v>44</v>
      </c>
      <c r="Q24" s="23">
        <v>28</v>
      </c>
      <c r="R24" s="23">
        <v>40</v>
      </c>
      <c r="W24" s="23">
        <v>27</v>
      </c>
      <c r="X24" s="23">
        <v>50</v>
      </c>
      <c r="Y24" s="23">
        <v>23</v>
      </c>
      <c r="Z24" s="23">
        <v>50</v>
      </c>
      <c r="AA24" s="25">
        <v>5.8</v>
      </c>
      <c r="AB24" s="23">
        <f>AB$23-((ROW(AB24)-23))</f>
        <v>10</v>
      </c>
      <c r="AC24" s="26">
        <v>6.1</v>
      </c>
      <c r="AD24" s="27">
        <v>18</v>
      </c>
      <c r="AE24" s="25">
        <v>7.1</v>
      </c>
      <c r="AF24" s="23">
        <v>12</v>
      </c>
      <c r="AG24" s="23">
        <v>23</v>
      </c>
      <c r="AH24" s="23">
        <v>13</v>
      </c>
      <c r="AI24" s="23">
        <v>25</v>
      </c>
      <c r="AJ24" s="23">
        <v>48</v>
      </c>
      <c r="AK24" s="23">
        <v>35</v>
      </c>
      <c r="AL24" s="23">
        <v>50</v>
      </c>
      <c r="AM24" s="23">
        <v>28</v>
      </c>
      <c r="AN24" s="23">
        <v>34</v>
      </c>
      <c r="AO24" s="25">
        <v>27</v>
      </c>
      <c r="AP24" s="23">
        <v>22</v>
      </c>
      <c r="AQ24" s="26">
        <v>1.84</v>
      </c>
      <c r="AR24" s="23">
        <v>22</v>
      </c>
      <c r="AS24" s="25">
        <v>59.9</v>
      </c>
      <c r="AT24" s="23">
        <v>2</v>
      </c>
      <c r="AU24" s="23">
        <v>542</v>
      </c>
      <c r="AV24" s="23">
        <v>562</v>
      </c>
      <c r="AW24" s="23">
        <v>29</v>
      </c>
      <c r="AX24" s="192">
        <v>0.390277777777778</v>
      </c>
      <c r="AY24" s="192">
        <v>0.37638888888888888</v>
      </c>
    </row>
    <row r="25" spans="1:51" ht="14.25" customHeight="1" x14ac:dyDescent="0.25">
      <c r="A25" s="25">
        <v>6</v>
      </c>
      <c r="B25" s="23">
        <v>4</v>
      </c>
      <c r="C25" s="23">
        <v>10.8</v>
      </c>
      <c r="D25" s="23">
        <v>18</v>
      </c>
      <c r="E25" s="23">
        <v>192</v>
      </c>
      <c r="F25" s="23">
        <v>182</v>
      </c>
      <c r="G25" s="23">
        <v>38</v>
      </c>
      <c r="H25" s="23">
        <f t="shared" si="1"/>
        <v>854</v>
      </c>
      <c r="I25" s="23">
        <f t="shared" si="0"/>
        <v>866</v>
      </c>
      <c r="J25" s="23">
        <v>28</v>
      </c>
      <c r="K25" s="25">
        <v>17.2</v>
      </c>
      <c r="L25" s="23">
        <v>28</v>
      </c>
      <c r="M25" s="25">
        <v>6.2</v>
      </c>
      <c r="N25" s="23">
        <v>24</v>
      </c>
      <c r="O25" s="23">
        <v>27</v>
      </c>
      <c r="P25" s="23">
        <v>46</v>
      </c>
      <c r="Q25" s="23">
        <v>29</v>
      </c>
      <c r="R25" s="23">
        <v>42</v>
      </c>
      <c r="AA25" s="25">
        <v>5.9</v>
      </c>
      <c r="AB25" s="23">
        <f>AB$23-((ROW(AB25)-23))</f>
        <v>9</v>
      </c>
      <c r="AC25" s="26">
        <v>6.2</v>
      </c>
      <c r="AD25" s="27">
        <v>19</v>
      </c>
      <c r="AE25" s="25">
        <v>7.2</v>
      </c>
      <c r="AF25" s="23">
        <v>13</v>
      </c>
      <c r="AG25" s="23">
        <v>24</v>
      </c>
      <c r="AH25" s="23">
        <v>14</v>
      </c>
      <c r="AI25" s="23">
        <v>26</v>
      </c>
      <c r="AJ25" s="23">
        <v>50</v>
      </c>
      <c r="AK25" s="23"/>
      <c r="AL25" s="23"/>
      <c r="AM25" s="23">
        <v>29</v>
      </c>
      <c r="AN25" s="23">
        <v>36</v>
      </c>
      <c r="AO25" s="25">
        <v>28</v>
      </c>
      <c r="AP25" s="23">
        <v>23</v>
      </c>
      <c r="AQ25" s="26">
        <v>1.86</v>
      </c>
      <c r="AR25" s="23">
        <v>23</v>
      </c>
      <c r="AS25" s="25">
        <v>59.8</v>
      </c>
      <c r="AT25" s="23">
        <v>2</v>
      </c>
      <c r="AU25" s="23">
        <v>544</v>
      </c>
      <c r="AV25" s="23">
        <v>564</v>
      </c>
      <c r="AW25" s="23">
        <v>28</v>
      </c>
      <c r="AX25" s="192">
        <v>0.391666666666667</v>
      </c>
      <c r="AY25" s="192">
        <v>0.37777777777777777</v>
      </c>
    </row>
    <row r="26" spans="1:51" ht="14.25" customHeight="1" x14ac:dyDescent="0.25">
      <c r="A26" s="25">
        <v>6.1</v>
      </c>
      <c r="B26" s="23">
        <v>3</v>
      </c>
      <c r="C26" s="23">
        <v>10.9</v>
      </c>
      <c r="D26" s="23">
        <v>17</v>
      </c>
      <c r="E26" s="23">
        <v>193</v>
      </c>
      <c r="F26" s="23">
        <v>183</v>
      </c>
      <c r="G26" s="23">
        <v>37</v>
      </c>
      <c r="H26" s="23">
        <f t="shared" si="1"/>
        <v>856</v>
      </c>
      <c r="I26" s="23">
        <f t="shared" si="0"/>
        <v>868</v>
      </c>
      <c r="J26" s="23">
        <v>27</v>
      </c>
      <c r="K26" s="25">
        <v>17.3</v>
      </c>
      <c r="L26" s="23">
        <v>27</v>
      </c>
      <c r="M26" s="25">
        <v>6.3</v>
      </c>
      <c r="N26" s="23">
        <v>23</v>
      </c>
      <c r="O26" s="23">
        <v>28</v>
      </c>
      <c r="P26" s="23">
        <v>48</v>
      </c>
      <c r="Q26" s="23">
        <v>30</v>
      </c>
      <c r="R26" s="23">
        <v>44</v>
      </c>
      <c r="AA26" s="25">
        <v>6</v>
      </c>
      <c r="AB26" s="23">
        <v>8</v>
      </c>
      <c r="AC26" s="26">
        <v>6.3</v>
      </c>
      <c r="AD26" s="27">
        <v>20</v>
      </c>
      <c r="AE26" s="25">
        <v>7.3</v>
      </c>
      <c r="AF26" s="23">
        <v>14</v>
      </c>
      <c r="AG26" s="23">
        <v>25</v>
      </c>
      <c r="AH26" s="23">
        <v>15</v>
      </c>
      <c r="AM26" s="23">
        <v>30</v>
      </c>
      <c r="AN26" s="23">
        <v>38</v>
      </c>
      <c r="AO26" s="25">
        <v>29</v>
      </c>
      <c r="AP26" s="23">
        <v>24</v>
      </c>
      <c r="AQ26" s="26">
        <v>1.88</v>
      </c>
      <c r="AR26" s="23">
        <v>24</v>
      </c>
      <c r="AS26" s="25">
        <v>59.7</v>
      </c>
      <c r="AT26" s="23">
        <v>2</v>
      </c>
      <c r="AU26" s="23">
        <v>546</v>
      </c>
      <c r="AV26" s="23">
        <v>566</v>
      </c>
      <c r="AW26" s="23">
        <v>27</v>
      </c>
      <c r="AX26" s="192">
        <v>0.39305555555555499</v>
      </c>
      <c r="AY26" s="192">
        <v>0.37916666666666665</v>
      </c>
    </row>
    <row r="27" spans="1:51" ht="14.25" customHeight="1" x14ac:dyDescent="0.25">
      <c r="A27" s="25">
        <v>6.2</v>
      </c>
      <c r="B27" s="23">
        <v>3</v>
      </c>
      <c r="C27" s="23">
        <v>11</v>
      </c>
      <c r="D27" s="23">
        <v>16</v>
      </c>
      <c r="E27" s="23">
        <v>194</v>
      </c>
      <c r="F27" s="23">
        <v>184</v>
      </c>
      <c r="G27" s="23">
        <v>36</v>
      </c>
      <c r="H27" s="23">
        <f t="shared" si="1"/>
        <v>858</v>
      </c>
      <c r="I27" s="23">
        <f t="shared" si="0"/>
        <v>870</v>
      </c>
      <c r="J27" s="23">
        <v>26</v>
      </c>
      <c r="K27" s="25">
        <v>17.399999999999999</v>
      </c>
      <c r="L27" s="23">
        <v>26</v>
      </c>
      <c r="M27" s="25">
        <v>6.4</v>
      </c>
      <c r="N27" s="23">
        <v>22</v>
      </c>
      <c r="O27" s="23">
        <v>29</v>
      </c>
      <c r="P27" s="23">
        <v>50</v>
      </c>
      <c r="Q27" s="23">
        <v>31</v>
      </c>
      <c r="R27" s="23">
        <v>46</v>
      </c>
      <c r="AA27" s="25">
        <v>6.1</v>
      </c>
      <c r="AB27" s="23">
        <v>8</v>
      </c>
      <c r="AC27" s="26">
        <v>6.4</v>
      </c>
      <c r="AD27" s="27">
        <v>21</v>
      </c>
      <c r="AE27" s="25">
        <v>7.4</v>
      </c>
      <c r="AF27" s="23">
        <v>15</v>
      </c>
      <c r="AG27" s="23">
        <v>26</v>
      </c>
      <c r="AH27" s="23">
        <v>16</v>
      </c>
      <c r="AM27" s="23">
        <v>31</v>
      </c>
      <c r="AN27" s="23">
        <v>40</v>
      </c>
      <c r="AO27" s="25">
        <v>30</v>
      </c>
      <c r="AP27" s="23">
        <v>25</v>
      </c>
      <c r="AQ27" s="26">
        <v>1.9</v>
      </c>
      <c r="AR27" s="23">
        <v>25</v>
      </c>
      <c r="AS27" s="25">
        <v>59.6</v>
      </c>
      <c r="AT27" s="23">
        <v>2</v>
      </c>
      <c r="AU27" s="23">
        <v>548</v>
      </c>
      <c r="AV27" s="23">
        <v>568</v>
      </c>
      <c r="AW27" s="23">
        <v>26</v>
      </c>
      <c r="AX27" s="192">
        <v>0.39444444444444399</v>
      </c>
      <c r="AY27" s="192">
        <v>0.38055555555555554</v>
      </c>
    </row>
    <row r="28" spans="1:51" ht="14.25" customHeight="1" x14ac:dyDescent="0.25">
      <c r="A28" s="25">
        <v>6.3</v>
      </c>
      <c r="B28" s="23">
        <v>3</v>
      </c>
      <c r="C28" s="23">
        <v>11.1</v>
      </c>
      <c r="D28" s="23">
        <v>15</v>
      </c>
      <c r="E28" s="23">
        <v>195</v>
      </c>
      <c r="F28" s="23">
        <v>185</v>
      </c>
      <c r="G28" s="23">
        <v>35</v>
      </c>
      <c r="H28" s="23">
        <f t="shared" si="1"/>
        <v>860</v>
      </c>
      <c r="I28" s="23">
        <f t="shared" si="0"/>
        <v>872</v>
      </c>
      <c r="J28" s="23">
        <v>25</v>
      </c>
      <c r="K28" s="25">
        <v>17.5</v>
      </c>
      <c r="L28" s="23">
        <v>25</v>
      </c>
      <c r="M28" s="25">
        <v>6.5</v>
      </c>
      <c r="N28" s="23">
        <v>21</v>
      </c>
      <c r="Q28" s="23">
        <v>32</v>
      </c>
      <c r="R28" s="23">
        <v>48</v>
      </c>
      <c r="AA28" s="25">
        <v>6.2</v>
      </c>
      <c r="AB28" s="23">
        <v>7</v>
      </c>
      <c r="AC28" s="26">
        <v>6.5</v>
      </c>
      <c r="AD28" s="27">
        <v>22</v>
      </c>
      <c r="AE28" s="25">
        <v>7.5</v>
      </c>
      <c r="AF28" s="23">
        <v>16</v>
      </c>
      <c r="AG28" s="23">
        <v>27</v>
      </c>
      <c r="AH28" s="23">
        <v>17</v>
      </c>
      <c r="AM28" s="23">
        <v>32</v>
      </c>
      <c r="AN28" s="23">
        <v>42</v>
      </c>
      <c r="AO28" s="25">
        <v>31</v>
      </c>
      <c r="AP28" s="23">
        <v>26</v>
      </c>
      <c r="AQ28" s="26">
        <v>1.92</v>
      </c>
      <c r="AR28" s="23">
        <v>26</v>
      </c>
      <c r="AS28" s="25">
        <v>59.5</v>
      </c>
      <c r="AT28" s="23">
        <v>2</v>
      </c>
      <c r="AU28" s="23">
        <v>550</v>
      </c>
      <c r="AV28" s="23">
        <v>570</v>
      </c>
      <c r="AW28" s="23">
        <v>25</v>
      </c>
      <c r="AX28" s="192">
        <v>0.39583333333333298</v>
      </c>
      <c r="AY28" s="192">
        <v>0.38194444444444442</v>
      </c>
    </row>
    <row r="29" spans="1:51" ht="14.25" customHeight="1" x14ac:dyDescent="0.25">
      <c r="A29" s="25">
        <v>6.4</v>
      </c>
      <c r="B29" s="23">
        <v>2</v>
      </c>
      <c r="C29" s="23">
        <v>11.2</v>
      </c>
      <c r="D29" s="23">
        <v>14</v>
      </c>
      <c r="E29" s="23">
        <v>196</v>
      </c>
      <c r="F29" s="23">
        <v>186</v>
      </c>
      <c r="G29" s="23">
        <v>34</v>
      </c>
      <c r="H29" s="23">
        <f t="shared" si="1"/>
        <v>862</v>
      </c>
      <c r="I29" s="23">
        <f t="shared" si="0"/>
        <v>874</v>
      </c>
      <c r="J29" s="23">
        <v>24</v>
      </c>
      <c r="K29" s="25">
        <v>17.600000000000001</v>
      </c>
      <c r="L29" s="23">
        <v>24</v>
      </c>
      <c r="M29" s="25">
        <v>6.6</v>
      </c>
      <c r="N29" s="23">
        <v>20</v>
      </c>
      <c r="Q29" s="23">
        <v>33</v>
      </c>
      <c r="R29" s="23">
        <v>50</v>
      </c>
      <c r="AA29" s="25">
        <v>6.3</v>
      </c>
      <c r="AB29" s="23">
        <v>7</v>
      </c>
      <c r="AC29" s="26">
        <v>6.6</v>
      </c>
      <c r="AD29" s="27">
        <v>23</v>
      </c>
      <c r="AE29" s="25">
        <v>7.6</v>
      </c>
      <c r="AF29" s="23">
        <v>17</v>
      </c>
      <c r="AG29" s="23">
        <v>28</v>
      </c>
      <c r="AH29" s="23">
        <v>18</v>
      </c>
      <c r="AM29" s="23">
        <v>33</v>
      </c>
      <c r="AN29" s="23">
        <v>44</v>
      </c>
      <c r="AO29" s="25">
        <v>32</v>
      </c>
      <c r="AP29" s="23">
        <v>27</v>
      </c>
      <c r="AQ29" s="26">
        <v>1.94</v>
      </c>
      <c r="AR29" s="23">
        <v>27</v>
      </c>
      <c r="AS29" s="25">
        <v>59.4</v>
      </c>
      <c r="AT29" s="23">
        <v>2</v>
      </c>
      <c r="AU29" s="23">
        <v>552</v>
      </c>
      <c r="AV29" s="23">
        <v>572</v>
      </c>
      <c r="AW29" s="23">
        <v>24</v>
      </c>
      <c r="AX29" s="192">
        <v>0.39722222222222198</v>
      </c>
      <c r="AY29" s="192">
        <v>0.3833333333333333</v>
      </c>
    </row>
    <row r="30" spans="1:51" ht="14.25" customHeight="1" x14ac:dyDescent="0.25">
      <c r="A30" s="25">
        <v>6.5</v>
      </c>
      <c r="B30" s="23">
        <v>2</v>
      </c>
      <c r="C30" s="23">
        <v>11.3</v>
      </c>
      <c r="D30" s="23">
        <v>13</v>
      </c>
      <c r="E30" s="23">
        <v>197</v>
      </c>
      <c r="F30" s="23">
        <v>187</v>
      </c>
      <c r="G30" s="23">
        <v>33</v>
      </c>
      <c r="H30" s="23">
        <f t="shared" si="1"/>
        <v>864</v>
      </c>
      <c r="I30" s="23">
        <f t="shared" si="0"/>
        <v>876</v>
      </c>
      <c r="J30" s="23">
        <v>23</v>
      </c>
      <c r="K30" s="25">
        <v>17.7</v>
      </c>
      <c r="L30" s="23">
        <v>23</v>
      </c>
      <c r="M30" s="25">
        <v>6.7</v>
      </c>
      <c r="N30" s="23">
        <v>19</v>
      </c>
      <c r="AA30" s="25">
        <v>6.4</v>
      </c>
      <c r="AB30" s="23">
        <v>6</v>
      </c>
      <c r="AC30" s="26">
        <v>6.7</v>
      </c>
      <c r="AD30" s="27">
        <v>24</v>
      </c>
      <c r="AE30" s="25">
        <v>7.7</v>
      </c>
      <c r="AF30" s="23">
        <v>18</v>
      </c>
      <c r="AG30" s="23">
        <v>29</v>
      </c>
      <c r="AH30" s="23">
        <v>19</v>
      </c>
      <c r="AM30" s="23">
        <v>34</v>
      </c>
      <c r="AN30" s="23">
        <v>46</v>
      </c>
      <c r="AO30" s="25">
        <v>33</v>
      </c>
      <c r="AP30" s="23">
        <v>28</v>
      </c>
      <c r="AQ30" s="26">
        <v>1.96</v>
      </c>
      <c r="AR30" s="23">
        <v>28</v>
      </c>
      <c r="AS30" s="25">
        <v>59.3</v>
      </c>
      <c r="AT30" s="23">
        <v>2</v>
      </c>
      <c r="AU30" s="23">
        <v>554</v>
      </c>
      <c r="AV30" s="23">
        <v>574</v>
      </c>
      <c r="AW30" s="23">
        <v>23</v>
      </c>
      <c r="AX30" s="192">
        <v>0.39861111111111103</v>
      </c>
      <c r="AY30" s="192">
        <v>0.38472222222222219</v>
      </c>
    </row>
    <row r="31" spans="1:51" ht="14.25" customHeight="1" x14ac:dyDescent="0.25">
      <c r="A31" s="25">
        <v>6.6</v>
      </c>
      <c r="B31" s="23">
        <v>2</v>
      </c>
      <c r="C31" s="23">
        <v>11.4</v>
      </c>
      <c r="D31" s="23">
        <v>12</v>
      </c>
      <c r="E31" s="23">
        <v>198</v>
      </c>
      <c r="F31" s="23">
        <v>188</v>
      </c>
      <c r="G31" s="23">
        <v>32</v>
      </c>
      <c r="H31" s="23">
        <f t="shared" si="1"/>
        <v>866</v>
      </c>
      <c r="I31" s="23">
        <f t="shared" si="0"/>
        <v>878</v>
      </c>
      <c r="J31" s="23">
        <v>22</v>
      </c>
      <c r="K31" s="25">
        <v>17.8</v>
      </c>
      <c r="L31" s="23">
        <v>22</v>
      </c>
      <c r="M31" s="25">
        <v>6.8</v>
      </c>
      <c r="N31" s="23">
        <v>18</v>
      </c>
      <c r="AA31" s="25">
        <v>6.5</v>
      </c>
      <c r="AB31" s="23">
        <v>6</v>
      </c>
      <c r="AC31" s="26">
        <v>6.8</v>
      </c>
      <c r="AD31" s="27">
        <v>25</v>
      </c>
      <c r="AE31" s="25">
        <v>7.8</v>
      </c>
      <c r="AF31" s="23">
        <v>19</v>
      </c>
      <c r="AG31" s="23">
        <v>30</v>
      </c>
      <c r="AH31" s="23">
        <v>20</v>
      </c>
      <c r="AM31" s="23">
        <v>35</v>
      </c>
      <c r="AN31" s="23">
        <v>48</v>
      </c>
      <c r="AO31" s="25">
        <v>34</v>
      </c>
      <c r="AP31" s="23">
        <v>29</v>
      </c>
      <c r="AQ31" s="26">
        <v>1.98</v>
      </c>
      <c r="AR31" s="23">
        <v>29</v>
      </c>
      <c r="AS31" s="25">
        <v>59.2</v>
      </c>
      <c r="AT31" s="23">
        <v>2</v>
      </c>
      <c r="AU31" s="23">
        <v>556</v>
      </c>
      <c r="AV31" s="23">
        <v>576</v>
      </c>
      <c r="AW31" s="23">
        <v>22</v>
      </c>
      <c r="AX31" s="192">
        <v>0.4</v>
      </c>
      <c r="AY31" s="192">
        <v>0.38611111111111113</v>
      </c>
    </row>
    <row r="32" spans="1:51" ht="14.25" customHeight="1" x14ac:dyDescent="0.25">
      <c r="A32" s="25">
        <v>6.7</v>
      </c>
      <c r="B32" s="23">
        <v>1</v>
      </c>
      <c r="C32" s="23">
        <v>11.5</v>
      </c>
      <c r="D32" s="23">
        <v>11</v>
      </c>
      <c r="E32" s="23">
        <v>199</v>
      </c>
      <c r="F32" s="23">
        <v>189</v>
      </c>
      <c r="G32" s="23">
        <v>31</v>
      </c>
      <c r="H32" s="23">
        <f t="shared" si="1"/>
        <v>868</v>
      </c>
      <c r="I32" s="23">
        <f t="shared" si="0"/>
        <v>880</v>
      </c>
      <c r="J32" s="23">
        <v>21</v>
      </c>
      <c r="K32" s="25">
        <v>17.899999999999999</v>
      </c>
      <c r="L32" s="23">
        <v>21</v>
      </c>
      <c r="M32" s="25">
        <v>6.9</v>
      </c>
      <c r="N32" s="23">
        <v>17</v>
      </c>
      <c r="AA32" s="25">
        <v>6.6</v>
      </c>
      <c r="AB32" s="23">
        <v>6</v>
      </c>
      <c r="AC32" s="26">
        <v>6.9</v>
      </c>
      <c r="AD32" s="27">
        <v>26</v>
      </c>
      <c r="AE32" s="25">
        <v>7.9</v>
      </c>
      <c r="AF32" s="23">
        <v>20</v>
      </c>
      <c r="AG32" s="25">
        <v>30.5</v>
      </c>
      <c r="AH32" s="23">
        <v>21</v>
      </c>
      <c r="AM32" s="23">
        <v>36</v>
      </c>
      <c r="AN32" s="23">
        <v>50</v>
      </c>
      <c r="AO32" s="25">
        <v>35</v>
      </c>
      <c r="AP32" s="23">
        <v>30</v>
      </c>
      <c r="AQ32" s="26">
        <v>2</v>
      </c>
      <c r="AR32" s="23">
        <v>30</v>
      </c>
      <c r="AS32" s="25">
        <v>59.1</v>
      </c>
      <c r="AT32" s="23">
        <v>2</v>
      </c>
      <c r="AU32" s="23">
        <v>558</v>
      </c>
      <c r="AV32" s="23">
        <v>578</v>
      </c>
      <c r="AW32" s="23">
        <v>21</v>
      </c>
      <c r="AX32" s="192">
        <v>0.40138888888888902</v>
      </c>
      <c r="AY32" s="192">
        <v>0.38750000000000001</v>
      </c>
    </row>
    <row r="33" spans="1:51" ht="14.25" customHeight="1" x14ac:dyDescent="0.25">
      <c r="A33" s="25">
        <v>6.8</v>
      </c>
      <c r="B33" s="23">
        <v>1</v>
      </c>
      <c r="C33" s="23">
        <v>11.6</v>
      </c>
      <c r="D33" s="23">
        <v>10</v>
      </c>
      <c r="E33" s="23">
        <v>200</v>
      </c>
      <c r="F33" s="23">
        <v>190</v>
      </c>
      <c r="G33" s="23">
        <v>30</v>
      </c>
      <c r="H33" s="23">
        <f t="shared" si="1"/>
        <v>870</v>
      </c>
      <c r="I33" s="23">
        <f t="shared" si="0"/>
        <v>882</v>
      </c>
      <c r="J33" s="23">
        <v>20</v>
      </c>
      <c r="K33" s="25">
        <v>18</v>
      </c>
      <c r="L33" s="23">
        <v>20</v>
      </c>
      <c r="M33" s="25">
        <v>7</v>
      </c>
      <c r="N33" s="23">
        <v>16</v>
      </c>
      <c r="AA33" s="25">
        <v>6.7</v>
      </c>
      <c r="AB33" s="23">
        <v>5</v>
      </c>
      <c r="AC33" s="26">
        <v>7</v>
      </c>
      <c r="AD33" s="27">
        <v>27</v>
      </c>
      <c r="AE33" s="25">
        <v>8</v>
      </c>
      <c r="AF33" s="23">
        <v>21</v>
      </c>
      <c r="AG33" s="25">
        <v>31</v>
      </c>
      <c r="AH33" s="23">
        <v>22</v>
      </c>
      <c r="AO33" s="25">
        <v>35.5</v>
      </c>
      <c r="AP33" s="23">
        <v>31</v>
      </c>
      <c r="AQ33" s="26">
        <v>2.02</v>
      </c>
      <c r="AR33" s="23">
        <v>31</v>
      </c>
      <c r="AS33" s="25">
        <v>59</v>
      </c>
      <c r="AT33" s="23">
        <v>2</v>
      </c>
      <c r="AU33" s="23">
        <v>560</v>
      </c>
      <c r="AV33" s="23">
        <v>580</v>
      </c>
      <c r="AW33" s="23">
        <v>20</v>
      </c>
      <c r="AX33" s="192">
        <v>0.40277777777777801</v>
      </c>
      <c r="AY33" s="192">
        <v>0.3888888888888889</v>
      </c>
    </row>
    <row r="34" spans="1:51" x14ac:dyDescent="0.25">
      <c r="A34" s="25">
        <v>6.9</v>
      </c>
      <c r="B34" s="23">
        <v>1</v>
      </c>
      <c r="C34" s="23">
        <v>11.7</v>
      </c>
      <c r="D34" s="23">
        <v>9</v>
      </c>
      <c r="E34" s="23">
        <v>201</v>
      </c>
      <c r="F34" s="23">
        <v>191</v>
      </c>
      <c r="G34" s="23">
        <v>29</v>
      </c>
      <c r="H34" s="23">
        <f t="shared" si="1"/>
        <v>872</v>
      </c>
      <c r="I34" s="23">
        <f t="shared" si="0"/>
        <v>884</v>
      </c>
      <c r="J34" s="23">
        <v>19</v>
      </c>
      <c r="K34" s="25">
        <v>18.100000000000001</v>
      </c>
      <c r="L34" s="23">
        <v>19</v>
      </c>
      <c r="M34" s="25">
        <v>7.1</v>
      </c>
      <c r="N34" s="23">
        <v>15</v>
      </c>
      <c r="AA34" s="25">
        <v>6.8</v>
      </c>
      <c r="AB34" s="23">
        <v>5</v>
      </c>
      <c r="AC34" s="26">
        <v>7.1</v>
      </c>
      <c r="AD34" s="27">
        <v>28</v>
      </c>
      <c r="AE34" s="25">
        <v>8.1</v>
      </c>
      <c r="AF34" s="23">
        <v>22</v>
      </c>
      <c r="AG34" s="25">
        <v>31.5</v>
      </c>
      <c r="AH34" s="23">
        <v>23</v>
      </c>
      <c r="AO34" s="25">
        <v>36</v>
      </c>
      <c r="AP34" s="23">
        <v>32</v>
      </c>
      <c r="AQ34" s="26">
        <v>2.04</v>
      </c>
      <c r="AR34" s="23">
        <v>32</v>
      </c>
      <c r="AS34" s="25">
        <v>58.9</v>
      </c>
      <c r="AT34" s="23">
        <v>2</v>
      </c>
      <c r="AU34" s="23">
        <v>562</v>
      </c>
      <c r="AV34" s="23">
        <v>582</v>
      </c>
      <c r="AW34" s="23">
        <v>19</v>
      </c>
      <c r="AX34" s="192">
        <v>0.40416666666666701</v>
      </c>
      <c r="AY34" s="192">
        <v>0.39027777777777778</v>
      </c>
    </row>
    <row r="35" spans="1:51" x14ac:dyDescent="0.25">
      <c r="C35" s="23">
        <v>11.8</v>
      </c>
      <c r="D35" s="23">
        <v>8</v>
      </c>
      <c r="E35" s="23">
        <v>202</v>
      </c>
      <c r="F35" s="23">
        <v>192</v>
      </c>
      <c r="G35" s="23">
        <v>28</v>
      </c>
      <c r="H35" s="23">
        <f t="shared" si="1"/>
        <v>874</v>
      </c>
      <c r="I35" s="23">
        <f t="shared" si="0"/>
        <v>886</v>
      </c>
      <c r="J35" s="23">
        <v>18</v>
      </c>
      <c r="K35" s="25">
        <v>18.2</v>
      </c>
      <c r="L35" s="23">
        <v>18</v>
      </c>
      <c r="M35" s="25">
        <v>7.2</v>
      </c>
      <c r="N35" s="23">
        <v>14</v>
      </c>
      <c r="AA35" s="25">
        <v>6.9</v>
      </c>
      <c r="AB35" s="23">
        <v>5</v>
      </c>
      <c r="AC35" s="26">
        <v>7.2</v>
      </c>
      <c r="AD35" s="27">
        <v>29</v>
      </c>
      <c r="AE35" s="25">
        <v>8.1999999999999993</v>
      </c>
      <c r="AF35" s="23">
        <v>23</v>
      </c>
      <c r="AG35" s="25">
        <v>32</v>
      </c>
      <c r="AH35" s="23">
        <v>24</v>
      </c>
      <c r="AO35" s="25">
        <v>36.5</v>
      </c>
      <c r="AP35" s="23">
        <v>33</v>
      </c>
      <c r="AQ35" s="26">
        <v>2.06</v>
      </c>
      <c r="AR35" s="23">
        <v>33</v>
      </c>
      <c r="AS35" s="25">
        <v>58.8</v>
      </c>
      <c r="AT35" s="23">
        <v>2</v>
      </c>
      <c r="AU35" s="23">
        <v>564</v>
      </c>
      <c r="AV35" s="23">
        <v>584</v>
      </c>
      <c r="AW35" s="23">
        <v>18</v>
      </c>
      <c r="AX35" s="192">
        <v>0.405555555555555</v>
      </c>
      <c r="AY35" s="192">
        <v>0.39166666666666666</v>
      </c>
    </row>
    <row r="36" spans="1:51" x14ac:dyDescent="0.25">
      <c r="C36" s="23">
        <v>11.9</v>
      </c>
      <c r="D36" s="23">
        <v>6</v>
      </c>
      <c r="E36" s="23">
        <v>203</v>
      </c>
      <c r="F36" s="23">
        <v>193</v>
      </c>
      <c r="G36" s="23">
        <v>27</v>
      </c>
      <c r="H36" s="23">
        <f t="shared" si="1"/>
        <v>876</v>
      </c>
      <c r="I36" s="23">
        <f t="shared" si="0"/>
        <v>888</v>
      </c>
      <c r="J36" s="23">
        <v>17</v>
      </c>
      <c r="K36" s="25">
        <v>18.3</v>
      </c>
      <c r="L36" s="23">
        <v>17</v>
      </c>
      <c r="M36" s="25">
        <v>7.3</v>
      </c>
      <c r="N36" s="23">
        <v>13</v>
      </c>
      <c r="AA36" s="25">
        <v>7</v>
      </c>
      <c r="AB36" s="23">
        <v>4</v>
      </c>
      <c r="AC36" s="26">
        <v>7.3</v>
      </c>
      <c r="AD36" s="27">
        <v>30</v>
      </c>
      <c r="AE36" s="25">
        <v>8.3000000000000007</v>
      </c>
      <c r="AF36" s="23">
        <v>24</v>
      </c>
      <c r="AG36" s="25">
        <v>32.5</v>
      </c>
      <c r="AH36" s="23">
        <v>25</v>
      </c>
      <c r="AO36" s="25">
        <v>37</v>
      </c>
      <c r="AP36" s="23">
        <v>34</v>
      </c>
      <c r="AQ36" s="26">
        <v>2.08</v>
      </c>
      <c r="AR36" s="23">
        <v>34</v>
      </c>
      <c r="AS36" s="25">
        <v>58.7</v>
      </c>
      <c r="AT36" s="23">
        <v>2</v>
      </c>
      <c r="AU36" s="23">
        <v>566</v>
      </c>
      <c r="AV36" s="23">
        <v>586</v>
      </c>
      <c r="AW36" s="23">
        <v>17</v>
      </c>
      <c r="AX36" s="192">
        <v>0.406944444444444</v>
      </c>
      <c r="AY36" s="192">
        <v>0.39305555555555555</v>
      </c>
    </row>
    <row r="37" spans="1:51" x14ac:dyDescent="0.25">
      <c r="C37" s="25">
        <v>12</v>
      </c>
      <c r="D37" s="23">
        <v>4</v>
      </c>
      <c r="E37" s="23">
        <v>204</v>
      </c>
      <c r="F37" s="23">
        <v>194</v>
      </c>
      <c r="G37" s="23">
        <v>26</v>
      </c>
      <c r="H37" s="23">
        <f t="shared" si="1"/>
        <v>878</v>
      </c>
      <c r="I37" s="23">
        <f t="shared" si="0"/>
        <v>890</v>
      </c>
      <c r="J37" s="23">
        <v>16</v>
      </c>
      <c r="K37" s="25">
        <v>18.399999999999999</v>
      </c>
      <c r="L37" s="23">
        <v>16</v>
      </c>
      <c r="M37" s="25">
        <v>7.4</v>
      </c>
      <c r="N37" s="23">
        <v>12</v>
      </c>
      <c r="AA37" s="25">
        <v>7.1</v>
      </c>
      <c r="AB37" s="23">
        <v>4</v>
      </c>
      <c r="AC37" s="26">
        <v>7.4</v>
      </c>
      <c r="AD37" s="27">
        <v>31</v>
      </c>
      <c r="AE37" s="25">
        <v>8.4</v>
      </c>
      <c r="AF37" s="23">
        <v>25</v>
      </c>
      <c r="AG37" s="25">
        <v>33</v>
      </c>
      <c r="AH37" s="23">
        <v>26</v>
      </c>
      <c r="AO37" s="25">
        <v>37.5</v>
      </c>
      <c r="AP37" s="23">
        <v>35</v>
      </c>
      <c r="AQ37" s="26">
        <v>2.1</v>
      </c>
      <c r="AR37" s="23">
        <v>35</v>
      </c>
      <c r="AS37" s="25">
        <v>58.6</v>
      </c>
      <c r="AT37" s="23">
        <v>2</v>
      </c>
      <c r="AU37" s="23">
        <v>568</v>
      </c>
      <c r="AV37" s="23">
        <v>588</v>
      </c>
      <c r="AW37" s="23">
        <v>16</v>
      </c>
      <c r="AX37" s="192">
        <v>0.40833333333333299</v>
      </c>
      <c r="AY37" s="192">
        <v>0.39444444444444443</v>
      </c>
    </row>
    <row r="38" spans="1:51" x14ac:dyDescent="0.25">
      <c r="C38" s="23">
        <v>12.1</v>
      </c>
      <c r="D38" s="23">
        <v>1</v>
      </c>
      <c r="E38" s="23">
        <v>205</v>
      </c>
      <c r="F38" s="23">
        <v>195</v>
      </c>
      <c r="G38" s="23">
        <v>25</v>
      </c>
      <c r="H38" s="23">
        <f t="shared" si="1"/>
        <v>880</v>
      </c>
      <c r="I38" s="23">
        <f t="shared" si="0"/>
        <v>892</v>
      </c>
      <c r="J38" s="23">
        <v>15</v>
      </c>
      <c r="K38" s="25">
        <v>18.5</v>
      </c>
      <c r="L38" s="23">
        <v>15</v>
      </c>
      <c r="M38" s="25">
        <v>7.5</v>
      </c>
      <c r="N38" s="23">
        <v>11</v>
      </c>
      <c r="AA38" s="25">
        <v>7.2</v>
      </c>
      <c r="AB38" s="23">
        <v>3</v>
      </c>
      <c r="AC38" s="26">
        <v>7.5</v>
      </c>
      <c r="AD38" s="27">
        <v>32</v>
      </c>
      <c r="AE38" s="25">
        <v>8.5</v>
      </c>
      <c r="AF38" s="23">
        <v>26</v>
      </c>
      <c r="AG38" s="25">
        <v>33.5</v>
      </c>
      <c r="AH38" s="23">
        <v>27</v>
      </c>
      <c r="AO38" s="25">
        <v>38</v>
      </c>
      <c r="AP38" s="23">
        <v>36</v>
      </c>
      <c r="AQ38" s="26">
        <v>2.12</v>
      </c>
      <c r="AR38" s="23">
        <v>36</v>
      </c>
      <c r="AS38" s="25">
        <v>58.5</v>
      </c>
      <c r="AT38" s="23">
        <v>2</v>
      </c>
      <c r="AU38" s="23">
        <v>570</v>
      </c>
      <c r="AV38" s="23">
        <v>590</v>
      </c>
      <c r="AW38" s="23">
        <v>15</v>
      </c>
      <c r="AX38" s="192">
        <v>0.40972222222222199</v>
      </c>
      <c r="AY38" s="192">
        <v>0.39583333333333331</v>
      </c>
    </row>
    <row r="39" spans="1:51" x14ac:dyDescent="0.25">
      <c r="C39" s="23"/>
      <c r="D39" s="23"/>
      <c r="E39" s="23">
        <v>206</v>
      </c>
      <c r="F39" s="23">
        <v>196</v>
      </c>
      <c r="G39" s="23">
        <v>24</v>
      </c>
      <c r="H39" s="23">
        <f t="shared" si="1"/>
        <v>882</v>
      </c>
      <c r="I39" s="23">
        <f t="shared" si="0"/>
        <v>894</v>
      </c>
      <c r="J39" s="23">
        <v>14</v>
      </c>
      <c r="K39" s="25">
        <v>18.600000000000001</v>
      </c>
      <c r="L39" s="23">
        <v>14</v>
      </c>
      <c r="M39" s="25">
        <v>7.6</v>
      </c>
      <c r="N39" s="23">
        <v>10</v>
      </c>
      <c r="AA39" s="25">
        <v>7.3</v>
      </c>
      <c r="AB39" s="23">
        <v>3</v>
      </c>
      <c r="AC39" s="26">
        <v>7.6</v>
      </c>
      <c r="AD39" s="27">
        <v>33</v>
      </c>
      <c r="AE39" s="25">
        <v>8.6</v>
      </c>
      <c r="AF39" s="23">
        <v>27</v>
      </c>
      <c r="AG39" s="25">
        <v>34</v>
      </c>
      <c r="AH39" s="23">
        <v>28</v>
      </c>
      <c r="AO39" s="25">
        <v>38.5</v>
      </c>
      <c r="AP39" s="23">
        <v>37</v>
      </c>
      <c r="AQ39" s="26">
        <v>2.14</v>
      </c>
      <c r="AR39" s="23">
        <v>37</v>
      </c>
      <c r="AS39" s="25">
        <v>58.4</v>
      </c>
      <c r="AT39" s="23">
        <v>2</v>
      </c>
      <c r="AU39" s="23">
        <v>572</v>
      </c>
      <c r="AV39" s="23">
        <v>592</v>
      </c>
      <c r="AW39" s="23">
        <v>14</v>
      </c>
      <c r="AX39" s="192">
        <v>0.41111111111111098</v>
      </c>
      <c r="AY39" s="192">
        <v>0.3972222222222222</v>
      </c>
    </row>
    <row r="40" spans="1:51" x14ac:dyDescent="0.25">
      <c r="C40" s="23"/>
      <c r="D40" s="23"/>
      <c r="E40" s="23">
        <v>207</v>
      </c>
      <c r="F40" s="23">
        <v>197</v>
      </c>
      <c r="G40" s="23">
        <v>23</v>
      </c>
      <c r="H40" s="23">
        <f t="shared" si="1"/>
        <v>884</v>
      </c>
      <c r="I40" s="23">
        <f t="shared" si="0"/>
        <v>896</v>
      </c>
      <c r="J40" s="23">
        <v>14</v>
      </c>
      <c r="K40" s="25">
        <v>18.7</v>
      </c>
      <c r="L40" s="23">
        <v>14</v>
      </c>
      <c r="M40" s="25">
        <v>7.7</v>
      </c>
      <c r="N40" s="23">
        <v>9</v>
      </c>
      <c r="AA40" s="25">
        <v>7.4</v>
      </c>
      <c r="AB40" s="23">
        <v>3</v>
      </c>
      <c r="AC40" s="26">
        <v>7.7</v>
      </c>
      <c r="AD40" s="27">
        <v>34</v>
      </c>
      <c r="AE40" s="25">
        <v>8.6999999999999993</v>
      </c>
      <c r="AF40" s="23">
        <v>28</v>
      </c>
      <c r="AG40" s="25">
        <v>34.5</v>
      </c>
      <c r="AH40" s="23">
        <v>29</v>
      </c>
      <c r="AO40" s="25">
        <v>39</v>
      </c>
      <c r="AP40" s="23">
        <v>38</v>
      </c>
      <c r="AQ40" s="26">
        <v>2.16</v>
      </c>
      <c r="AR40" s="23">
        <v>38</v>
      </c>
      <c r="AS40" s="25">
        <v>58.3</v>
      </c>
      <c r="AT40" s="23">
        <v>2</v>
      </c>
      <c r="AU40" s="23">
        <v>574</v>
      </c>
      <c r="AV40" s="23">
        <v>594</v>
      </c>
      <c r="AW40" s="23">
        <v>14</v>
      </c>
      <c r="AX40" s="192">
        <v>0.41249999999999998</v>
      </c>
      <c r="AY40" s="192">
        <v>0.39861111111111108</v>
      </c>
    </row>
    <row r="41" spans="1:51" x14ac:dyDescent="0.25">
      <c r="C41" s="23"/>
      <c r="D41" s="23"/>
      <c r="E41" s="23">
        <v>208</v>
      </c>
      <c r="F41" s="23">
        <v>198</v>
      </c>
      <c r="G41" s="23">
        <v>22</v>
      </c>
      <c r="H41" s="23">
        <f t="shared" si="1"/>
        <v>886</v>
      </c>
      <c r="I41" s="23">
        <f t="shared" si="0"/>
        <v>898</v>
      </c>
      <c r="J41" s="23">
        <v>13</v>
      </c>
      <c r="K41" s="25">
        <v>18.8</v>
      </c>
      <c r="L41" s="23">
        <v>13</v>
      </c>
      <c r="M41" s="25">
        <v>7.8</v>
      </c>
      <c r="N41" s="23">
        <v>9</v>
      </c>
      <c r="AA41" s="25">
        <v>7.5</v>
      </c>
      <c r="AB41" s="23">
        <v>2</v>
      </c>
      <c r="AC41" s="26">
        <v>7.8</v>
      </c>
      <c r="AD41" s="27">
        <v>35</v>
      </c>
      <c r="AE41" s="25">
        <v>8.8000000000000007</v>
      </c>
      <c r="AF41" s="23">
        <v>29</v>
      </c>
      <c r="AG41" s="25">
        <v>35</v>
      </c>
      <c r="AH41" s="23">
        <v>30</v>
      </c>
      <c r="AO41" s="25">
        <v>39.5</v>
      </c>
      <c r="AP41" s="23">
        <v>39</v>
      </c>
      <c r="AQ41" s="26">
        <v>2.1800000000000002</v>
      </c>
      <c r="AR41" s="23">
        <v>39</v>
      </c>
      <c r="AS41" s="25">
        <v>58.2</v>
      </c>
      <c r="AT41" s="23">
        <v>2</v>
      </c>
      <c r="AU41" s="23">
        <v>576</v>
      </c>
      <c r="AV41" s="23">
        <v>596</v>
      </c>
      <c r="AW41" s="23">
        <v>13</v>
      </c>
      <c r="AX41" s="192">
        <v>0.41388888888888897</v>
      </c>
      <c r="AY41" s="192">
        <v>0.39999999999999997</v>
      </c>
    </row>
    <row r="42" spans="1:51" x14ac:dyDescent="0.25">
      <c r="C42" s="23"/>
      <c r="D42" s="23"/>
      <c r="E42" s="23">
        <v>209</v>
      </c>
      <c r="F42" s="23">
        <v>199</v>
      </c>
      <c r="G42" s="23">
        <v>21</v>
      </c>
      <c r="H42" s="23">
        <f t="shared" si="1"/>
        <v>888</v>
      </c>
      <c r="I42" s="23">
        <f t="shared" si="0"/>
        <v>900</v>
      </c>
      <c r="J42" s="23">
        <v>13</v>
      </c>
      <c r="K42" s="25">
        <v>18.899999999999999</v>
      </c>
      <c r="L42" s="23">
        <v>13</v>
      </c>
      <c r="M42" s="25">
        <v>7.9</v>
      </c>
      <c r="N42" s="23">
        <v>8</v>
      </c>
      <c r="AA42" s="25">
        <v>7.6</v>
      </c>
      <c r="AB42" s="23">
        <v>2</v>
      </c>
      <c r="AC42" s="26">
        <v>7.9</v>
      </c>
      <c r="AD42" s="27">
        <v>36</v>
      </c>
      <c r="AE42" s="25">
        <v>8.9</v>
      </c>
      <c r="AF42" s="23">
        <v>30</v>
      </c>
      <c r="AG42" s="25">
        <v>35.5</v>
      </c>
      <c r="AH42" s="23">
        <v>31</v>
      </c>
      <c r="AO42" s="25">
        <v>40</v>
      </c>
      <c r="AP42" s="23">
        <v>40</v>
      </c>
      <c r="AQ42" s="26">
        <v>2.2000000000000002</v>
      </c>
      <c r="AR42" s="23">
        <v>40</v>
      </c>
      <c r="AS42" s="25">
        <v>58.1</v>
      </c>
      <c r="AT42" s="23">
        <v>2</v>
      </c>
      <c r="AU42" s="23">
        <v>578</v>
      </c>
      <c r="AV42" s="23">
        <v>598</v>
      </c>
      <c r="AW42" s="23">
        <v>13</v>
      </c>
      <c r="AX42" s="192">
        <v>0.41527777777777802</v>
      </c>
      <c r="AY42" s="192">
        <v>0.40138888888888885</v>
      </c>
    </row>
    <row r="43" spans="1:51" x14ac:dyDescent="0.25">
      <c r="E43" s="23">
        <v>210</v>
      </c>
      <c r="F43" s="23">
        <v>200</v>
      </c>
      <c r="G43" s="23">
        <v>20</v>
      </c>
      <c r="H43" s="23">
        <f t="shared" si="1"/>
        <v>890</v>
      </c>
      <c r="I43" s="23">
        <f t="shared" si="0"/>
        <v>902</v>
      </c>
      <c r="J43" s="23">
        <v>12</v>
      </c>
      <c r="K43" s="25">
        <v>19</v>
      </c>
      <c r="L43" s="23">
        <v>12</v>
      </c>
      <c r="M43" s="25">
        <v>8</v>
      </c>
      <c r="N43" s="23">
        <v>8</v>
      </c>
      <c r="AA43" s="25">
        <v>7.7</v>
      </c>
      <c r="AB43" s="23">
        <v>2</v>
      </c>
      <c r="AC43" s="26">
        <v>8</v>
      </c>
      <c r="AD43" s="27">
        <v>37</v>
      </c>
      <c r="AE43" s="25">
        <v>9</v>
      </c>
      <c r="AF43" s="23">
        <v>31</v>
      </c>
      <c r="AG43" s="25">
        <v>36</v>
      </c>
      <c r="AH43" s="23">
        <v>32</v>
      </c>
      <c r="AO43" s="25">
        <v>40.5</v>
      </c>
      <c r="AP43" s="23">
        <v>41</v>
      </c>
      <c r="AQ43" s="26">
        <v>2.2200000000000002</v>
      </c>
      <c r="AR43" s="23">
        <v>41</v>
      </c>
      <c r="AS43" s="25">
        <v>58</v>
      </c>
      <c r="AT43" s="23">
        <v>3</v>
      </c>
      <c r="AU43" s="23">
        <v>580</v>
      </c>
      <c r="AV43" s="23">
        <v>600</v>
      </c>
      <c r="AW43" s="23">
        <v>12</v>
      </c>
      <c r="AX43" s="192">
        <v>0.41666666666666702</v>
      </c>
      <c r="AY43" s="192">
        <v>0.40277777777777773</v>
      </c>
    </row>
    <row r="44" spans="1:51" x14ac:dyDescent="0.25">
      <c r="E44" s="23">
        <v>211</v>
      </c>
      <c r="F44" s="23">
        <v>201</v>
      </c>
      <c r="G44" s="23">
        <v>19</v>
      </c>
      <c r="H44" s="23">
        <f t="shared" si="1"/>
        <v>892</v>
      </c>
      <c r="I44" s="23">
        <f t="shared" si="0"/>
        <v>904</v>
      </c>
      <c r="J44" s="23">
        <v>12</v>
      </c>
      <c r="K44" s="25">
        <v>19.100000000000001</v>
      </c>
      <c r="L44" s="23">
        <v>12</v>
      </c>
      <c r="M44" s="25">
        <v>8.1</v>
      </c>
      <c r="N44" s="23">
        <v>7</v>
      </c>
      <c r="AA44" s="25">
        <v>7.8</v>
      </c>
      <c r="AB44" s="23">
        <v>1</v>
      </c>
      <c r="AC44" s="26">
        <v>8.1</v>
      </c>
      <c r="AD44" s="27">
        <v>38</v>
      </c>
      <c r="AE44" s="25">
        <v>9.1</v>
      </c>
      <c r="AF44" s="23">
        <v>32</v>
      </c>
      <c r="AG44" s="25">
        <v>36.5</v>
      </c>
      <c r="AH44" s="23">
        <v>33</v>
      </c>
      <c r="AO44" s="25">
        <v>41</v>
      </c>
      <c r="AP44" s="23">
        <v>42</v>
      </c>
      <c r="AQ44" s="26">
        <v>2.2400000000000002</v>
      </c>
      <c r="AR44" s="23">
        <v>42</v>
      </c>
      <c r="AS44" s="25">
        <v>57.9</v>
      </c>
      <c r="AT44" s="23">
        <v>3</v>
      </c>
      <c r="AU44" s="23">
        <v>582</v>
      </c>
      <c r="AV44" s="23">
        <v>602</v>
      </c>
      <c r="AW44" s="23">
        <v>12</v>
      </c>
      <c r="AX44" s="192">
        <v>0.41805555555555501</v>
      </c>
      <c r="AY44" s="192">
        <v>0.40416666666666662</v>
      </c>
    </row>
    <row r="45" spans="1:51" x14ac:dyDescent="0.25">
      <c r="E45" s="23">
        <v>212</v>
      </c>
      <c r="F45" s="23">
        <v>202</v>
      </c>
      <c r="G45" s="23">
        <v>18</v>
      </c>
      <c r="H45" s="23">
        <f t="shared" si="1"/>
        <v>894</v>
      </c>
      <c r="I45" s="23">
        <f t="shared" si="0"/>
        <v>906</v>
      </c>
      <c r="J45" s="23">
        <v>11</v>
      </c>
      <c r="K45" s="25">
        <v>19.2</v>
      </c>
      <c r="L45" s="23">
        <v>11</v>
      </c>
      <c r="M45" s="25">
        <v>8.1999999999999993</v>
      </c>
      <c r="N45" s="23">
        <v>7</v>
      </c>
      <c r="AA45" s="25">
        <v>7.9</v>
      </c>
      <c r="AB45" s="23">
        <v>1</v>
      </c>
      <c r="AC45" s="26">
        <v>8.1999999999999993</v>
      </c>
      <c r="AD45" s="27">
        <v>39</v>
      </c>
      <c r="AE45" s="25">
        <v>9.1999999999999993</v>
      </c>
      <c r="AF45" s="23">
        <v>33</v>
      </c>
      <c r="AG45" s="25">
        <v>37</v>
      </c>
      <c r="AH45" s="23">
        <v>34</v>
      </c>
      <c r="AO45" s="25">
        <v>41.5</v>
      </c>
      <c r="AP45" s="23">
        <v>43</v>
      </c>
      <c r="AQ45" s="26">
        <v>2.2599999999999998</v>
      </c>
      <c r="AR45" s="23">
        <v>43</v>
      </c>
      <c r="AS45" s="25">
        <v>57.8</v>
      </c>
      <c r="AT45" s="23">
        <v>3</v>
      </c>
      <c r="AU45" s="23">
        <v>584</v>
      </c>
      <c r="AV45" s="23">
        <v>604</v>
      </c>
      <c r="AW45" s="23">
        <v>11</v>
      </c>
      <c r="AX45" s="192">
        <v>0.41944444444444401</v>
      </c>
      <c r="AY45" s="192">
        <v>0.4055555555555555</v>
      </c>
    </row>
    <row r="46" spans="1:51" x14ac:dyDescent="0.25">
      <c r="E46" s="23">
        <v>213</v>
      </c>
      <c r="F46" s="23">
        <v>203</v>
      </c>
      <c r="G46" s="23">
        <v>17</v>
      </c>
      <c r="H46" s="23">
        <f t="shared" si="1"/>
        <v>896</v>
      </c>
      <c r="I46" s="23">
        <f t="shared" si="0"/>
        <v>908</v>
      </c>
      <c r="J46" s="23">
        <v>11</v>
      </c>
      <c r="K46" s="25">
        <v>19.3</v>
      </c>
      <c r="L46" s="23">
        <v>11</v>
      </c>
      <c r="M46" s="25">
        <v>8.3000000000000007</v>
      </c>
      <c r="N46" s="23">
        <v>6</v>
      </c>
      <c r="AA46" s="25">
        <v>8</v>
      </c>
      <c r="AB46" s="23">
        <v>1</v>
      </c>
      <c r="AC46" s="26">
        <v>8.3000000000000007</v>
      </c>
      <c r="AD46" s="27">
        <v>40</v>
      </c>
      <c r="AE46" s="25">
        <v>9.3000000000000007</v>
      </c>
      <c r="AF46" s="23">
        <v>34</v>
      </c>
      <c r="AG46" s="25">
        <v>37.5</v>
      </c>
      <c r="AH46" s="23">
        <v>35</v>
      </c>
      <c r="AO46" s="25">
        <v>42</v>
      </c>
      <c r="AP46" s="23">
        <v>44</v>
      </c>
      <c r="AQ46" s="26">
        <v>2.2799999999999998</v>
      </c>
      <c r="AR46" s="23">
        <v>44</v>
      </c>
      <c r="AS46" s="25">
        <v>57.7</v>
      </c>
      <c r="AT46" s="23">
        <v>3</v>
      </c>
      <c r="AU46" s="23">
        <v>586</v>
      </c>
      <c r="AV46" s="23">
        <v>606</v>
      </c>
      <c r="AW46" s="23">
        <v>11</v>
      </c>
      <c r="AX46" s="192">
        <v>0.420833333333333</v>
      </c>
      <c r="AY46" s="192">
        <v>0.4069444444444445</v>
      </c>
    </row>
    <row r="47" spans="1:51" x14ac:dyDescent="0.25">
      <c r="E47" s="23">
        <v>214</v>
      </c>
      <c r="F47" s="23">
        <v>204</v>
      </c>
      <c r="G47" s="23">
        <v>16</v>
      </c>
      <c r="H47" s="23">
        <f t="shared" si="1"/>
        <v>898</v>
      </c>
      <c r="I47" s="23">
        <f t="shared" si="0"/>
        <v>910</v>
      </c>
      <c r="J47" s="23">
        <v>10</v>
      </c>
      <c r="K47" s="25">
        <v>19.399999999999999</v>
      </c>
      <c r="L47" s="23">
        <v>10</v>
      </c>
      <c r="M47" s="25">
        <v>8.4</v>
      </c>
      <c r="N47" s="23">
        <v>6</v>
      </c>
      <c r="AC47" s="26">
        <v>8.4</v>
      </c>
      <c r="AD47" s="27">
        <v>41</v>
      </c>
      <c r="AE47" s="25">
        <v>9.4</v>
      </c>
      <c r="AF47" s="23">
        <v>35</v>
      </c>
      <c r="AG47" s="25">
        <v>38</v>
      </c>
      <c r="AH47" s="23">
        <v>36</v>
      </c>
      <c r="AO47" s="25">
        <v>42.5</v>
      </c>
      <c r="AP47" s="23">
        <v>45</v>
      </c>
      <c r="AQ47" s="26">
        <v>2.2999999999999998</v>
      </c>
      <c r="AR47" s="23">
        <v>45</v>
      </c>
      <c r="AS47" s="25">
        <v>57.6</v>
      </c>
      <c r="AT47" s="23">
        <v>3</v>
      </c>
      <c r="AU47" s="23">
        <v>588</v>
      </c>
      <c r="AV47" s="23">
        <v>608</v>
      </c>
      <c r="AW47" s="23">
        <v>10</v>
      </c>
      <c r="AX47" s="192">
        <v>0.422222222222222</v>
      </c>
      <c r="AY47" s="192">
        <v>0.40833333333333338</v>
      </c>
    </row>
    <row r="48" spans="1:51" x14ac:dyDescent="0.25">
      <c r="E48" s="23">
        <v>215</v>
      </c>
      <c r="F48" s="23">
        <v>205</v>
      </c>
      <c r="G48" s="23">
        <v>15</v>
      </c>
      <c r="H48" s="23">
        <f t="shared" si="1"/>
        <v>900</v>
      </c>
      <c r="I48" s="23">
        <f t="shared" si="0"/>
        <v>912</v>
      </c>
      <c r="J48" s="23">
        <v>10</v>
      </c>
      <c r="K48" s="25">
        <v>19.5</v>
      </c>
      <c r="L48" s="23">
        <v>10</v>
      </c>
      <c r="M48" s="25">
        <v>8.5</v>
      </c>
      <c r="N48" s="23">
        <v>5</v>
      </c>
      <c r="AC48" s="26">
        <v>8.5</v>
      </c>
      <c r="AD48" s="27">
        <v>42</v>
      </c>
      <c r="AE48" s="25">
        <v>9.5</v>
      </c>
      <c r="AF48" s="23">
        <v>36</v>
      </c>
      <c r="AG48" s="25">
        <v>38.5</v>
      </c>
      <c r="AH48" s="23">
        <v>37</v>
      </c>
      <c r="AO48" s="25">
        <v>43</v>
      </c>
      <c r="AP48" s="23">
        <v>46</v>
      </c>
      <c r="AQ48" s="26">
        <v>2.3199999999999998</v>
      </c>
      <c r="AR48" s="23">
        <v>46</v>
      </c>
      <c r="AS48" s="25">
        <v>57.5</v>
      </c>
      <c r="AT48" s="23">
        <v>3</v>
      </c>
      <c r="AU48" s="23">
        <v>590</v>
      </c>
      <c r="AV48" s="23">
        <v>610</v>
      </c>
      <c r="AW48" s="23">
        <v>10</v>
      </c>
      <c r="AX48" s="192">
        <v>0.42361111111111099</v>
      </c>
      <c r="AY48" s="192">
        <v>0.40972222222222227</v>
      </c>
    </row>
    <row r="49" spans="5:51" x14ac:dyDescent="0.25">
      <c r="E49" s="23">
        <v>216</v>
      </c>
      <c r="F49" s="23">
        <v>206</v>
      </c>
      <c r="G49" s="23">
        <v>14</v>
      </c>
      <c r="H49" s="23">
        <f t="shared" si="1"/>
        <v>902</v>
      </c>
      <c r="I49" s="23">
        <f t="shared" si="0"/>
        <v>914</v>
      </c>
      <c r="J49" s="23">
        <v>9</v>
      </c>
      <c r="K49" s="25">
        <v>19.600000000000001</v>
      </c>
      <c r="L49" s="23">
        <v>9</v>
      </c>
      <c r="M49" s="25">
        <v>8.6</v>
      </c>
      <c r="N49" s="23">
        <v>5</v>
      </c>
      <c r="AC49" s="26">
        <v>8.6999999999999993</v>
      </c>
      <c r="AD49" s="27">
        <v>43</v>
      </c>
      <c r="AE49" s="25">
        <v>9.6</v>
      </c>
      <c r="AF49" s="23">
        <v>37</v>
      </c>
      <c r="AG49" s="25">
        <v>39</v>
      </c>
      <c r="AH49" s="23">
        <v>38</v>
      </c>
      <c r="AO49" s="25">
        <v>43.5</v>
      </c>
      <c r="AP49" s="23">
        <v>47</v>
      </c>
      <c r="AQ49" s="26">
        <v>2.34</v>
      </c>
      <c r="AR49" s="23">
        <v>47</v>
      </c>
      <c r="AS49" s="25">
        <v>57.4</v>
      </c>
      <c r="AT49" s="23">
        <v>3</v>
      </c>
      <c r="AU49" s="23">
        <v>592</v>
      </c>
      <c r="AV49" s="23">
        <v>612</v>
      </c>
      <c r="AW49" s="23">
        <v>9</v>
      </c>
      <c r="AX49" s="192">
        <v>0.42499999999999999</v>
      </c>
      <c r="AY49" s="192">
        <v>0.41111111111111115</v>
      </c>
    </row>
    <row r="50" spans="5:51" x14ac:dyDescent="0.25">
      <c r="E50" s="23">
        <v>217</v>
      </c>
      <c r="F50" s="23">
        <v>207</v>
      </c>
      <c r="G50" s="23">
        <v>13</v>
      </c>
      <c r="H50" s="23">
        <f t="shared" si="1"/>
        <v>904</v>
      </c>
      <c r="I50" s="23">
        <f t="shared" si="0"/>
        <v>916</v>
      </c>
      <c r="J50" s="23">
        <v>9</v>
      </c>
      <c r="K50" s="25">
        <v>19.7</v>
      </c>
      <c r="L50" s="23">
        <v>9</v>
      </c>
      <c r="M50" s="25">
        <v>8.6999999999999993</v>
      </c>
      <c r="N50" s="23">
        <v>4</v>
      </c>
      <c r="AC50" s="26">
        <v>8.9</v>
      </c>
      <c r="AD50" s="27">
        <v>44</v>
      </c>
      <c r="AE50" s="25">
        <v>9.6999999999999993</v>
      </c>
      <c r="AF50" s="23">
        <v>38</v>
      </c>
      <c r="AG50" s="25">
        <v>39.5</v>
      </c>
      <c r="AH50" s="23">
        <v>39</v>
      </c>
      <c r="AO50" s="25">
        <v>44</v>
      </c>
      <c r="AP50" s="23">
        <v>48</v>
      </c>
      <c r="AQ50" s="26">
        <v>2.36</v>
      </c>
      <c r="AR50" s="23">
        <v>48</v>
      </c>
      <c r="AS50" s="25">
        <v>57.3</v>
      </c>
      <c r="AT50" s="23">
        <v>3</v>
      </c>
      <c r="AU50" s="23">
        <v>594</v>
      </c>
      <c r="AV50" s="23">
        <v>614</v>
      </c>
      <c r="AW50" s="23">
        <v>9</v>
      </c>
      <c r="AX50" s="192">
        <v>0.42638888888888898</v>
      </c>
      <c r="AY50" s="192">
        <v>0.41250000000000003</v>
      </c>
    </row>
    <row r="51" spans="5:51" x14ac:dyDescent="0.25">
      <c r="E51" s="23">
        <v>218</v>
      </c>
      <c r="F51" s="23">
        <v>208</v>
      </c>
      <c r="G51" s="23">
        <v>12</v>
      </c>
      <c r="H51" s="23">
        <f t="shared" si="1"/>
        <v>906</v>
      </c>
      <c r="I51" s="23">
        <f t="shared" si="0"/>
        <v>918</v>
      </c>
      <c r="J51" s="23">
        <v>8</v>
      </c>
      <c r="K51" s="25">
        <v>19.8</v>
      </c>
      <c r="L51" s="23">
        <v>8</v>
      </c>
      <c r="M51" s="25">
        <v>8.8000000000000007</v>
      </c>
      <c r="N51" s="23">
        <v>4</v>
      </c>
      <c r="AC51" s="26">
        <v>9</v>
      </c>
      <c r="AD51" s="27">
        <v>44</v>
      </c>
      <c r="AE51" s="25">
        <v>9.8000000000000007</v>
      </c>
      <c r="AF51" s="23">
        <v>39</v>
      </c>
      <c r="AG51" s="25">
        <v>40</v>
      </c>
      <c r="AH51" s="23">
        <v>40</v>
      </c>
      <c r="AO51" s="25">
        <v>44.5</v>
      </c>
      <c r="AP51" s="23">
        <v>49</v>
      </c>
      <c r="AQ51" s="26">
        <v>2.38</v>
      </c>
      <c r="AR51" s="23">
        <v>49</v>
      </c>
      <c r="AS51" s="25">
        <v>57.2</v>
      </c>
      <c r="AT51" s="23">
        <v>3</v>
      </c>
      <c r="AU51" s="23">
        <v>596</v>
      </c>
      <c r="AV51" s="23">
        <v>616</v>
      </c>
      <c r="AW51" s="23">
        <v>8</v>
      </c>
      <c r="AX51" s="192">
        <v>0.42777777777777698</v>
      </c>
      <c r="AY51" s="192">
        <v>0.41388888888888892</v>
      </c>
    </row>
    <row r="52" spans="5:51" x14ac:dyDescent="0.25">
      <c r="E52" s="23">
        <v>219</v>
      </c>
      <c r="F52" s="23">
        <v>209</v>
      </c>
      <c r="G52" s="23">
        <v>11</v>
      </c>
      <c r="H52" s="23">
        <f t="shared" si="1"/>
        <v>908</v>
      </c>
      <c r="I52" s="23">
        <f t="shared" si="0"/>
        <v>920</v>
      </c>
      <c r="J52" s="23">
        <v>8</v>
      </c>
      <c r="K52" s="25">
        <v>19.899999999999999</v>
      </c>
      <c r="L52" s="23">
        <v>8</v>
      </c>
      <c r="M52" s="25">
        <v>8.9</v>
      </c>
      <c r="N52" s="23">
        <v>3</v>
      </c>
      <c r="AC52" s="26">
        <v>9.1</v>
      </c>
      <c r="AD52" s="27">
        <v>45</v>
      </c>
      <c r="AE52" s="25">
        <v>9.9</v>
      </c>
      <c r="AF52" s="23">
        <v>40</v>
      </c>
      <c r="AG52" s="25">
        <v>40.5</v>
      </c>
      <c r="AH52" s="23">
        <v>41</v>
      </c>
      <c r="AK52" s="24" t="s">
        <v>81</v>
      </c>
      <c r="AO52" s="25">
        <v>45</v>
      </c>
      <c r="AP52" s="23">
        <v>50</v>
      </c>
      <c r="AQ52" s="26">
        <v>2.4</v>
      </c>
      <c r="AR52" s="23">
        <v>50</v>
      </c>
      <c r="AS52" s="25">
        <v>57.1</v>
      </c>
      <c r="AT52" s="23">
        <v>3</v>
      </c>
      <c r="AU52" s="23">
        <v>598</v>
      </c>
      <c r="AV52" s="23">
        <v>618</v>
      </c>
      <c r="AW52" s="23">
        <v>8</v>
      </c>
      <c r="AX52" s="192">
        <v>0.42916666666666597</v>
      </c>
      <c r="AY52" s="192">
        <v>0.4152777777777778</v>
      </c>
    </row>
    <row r="53" spans="5:51" x14ac:dyDescent="0.25">
      <c r="E53" s="23">
        <v>220</v>
      </c>
      <c r="F53" s="23">
        <v>210</v>
      </c>
      <c r="G53" s="23">
        <v>10</v>
      </c>
      <c r="H53" s="23">
        <f t="shared" si="1"/>
        <v>910</v>
      </c>
      <c r="I53" s="23">
        <f t="shared" si="0"/>
        <v>922</v>
      </c>
      <c r="J53" s="23">
        <v>7</v>
      </c>
      <c r="K53" s="25">
        <v>20</v>
      </c>
      <c r="L53" s="23">
        <v>7</v>
      </c>
      <c r="M53" s="25">
        <v>9</v>
      </c>
      <c r="N53" s="23">
        <v>3</v>
      </c>
      <c r="AC53" s="26">
        <v>9.1999999999999993</v>
      </c>
      <c r="AD53" s="27">
        <v>45</v>
      </c>
      <c r="AE53" s="25">
        <v>10</v>
      </c>
      <c r="AF53" s="23">
        <v>41</v>
      </c>
      <c r="AG53" s="25">
        <v>41</v>
      </c>
      <c r="AH53" s="23">
        <v>42</v>
      </c>
      <c r="AS53" s="25">
        <v>57</v>
      </c>
      <c r="AT53" s="23">
        <v>4</v>
      </c>
      <c r="AU53" s="23">
        <v>600</v>
      </c>
      <c r="AV53" s="23">
        <v>620</v>
      </c>
      <c r="AW53" s="23">
        <v>7</v>
      </c>
      <c r="AX53" s="192">
        <v>0.43055555555555503</v>
      </c>
      <c r="AY53" s="192">
        <v>0.41666666666666669</v>
      </c>
    </row>
    <row r="54" spans="5:51" x14ac:dyDescent="0.25">
      <c r="E54" s="23">
        <v>221</v>
      </c>
      <c r="F54" s="23">
        <v>211</v>
      </c>
      <c r="G54" s="23">
        <v>9</v>
      </c>
      <c r="H54" s="23">
        <f t="shared" si="1"/>
        <v>912</v>
      </c>
      <c r="I54" s="23">
        <f t="shared" si="0"/>
        <v>924</v>
      </c>
      <c r="J54" s="23">
        <v>7</v>
      </c>
      <c r="K54" s="25">
        <v>20.100000000000001</v>
      </c>
      <c r="L54" s="23">
        <v>7</v>
      </c>
      <c r="M54" s="25">
        <v>9.1</v>
      </c>
      <c r="N54" s="23">
        <v>2</v>
      </c>
      <c r="AC54" s="26">
        <v>9.3000000000000007</v>
      </c>
      <c r="AD54" s="27">
        <v>46</v>
      </c>
      <c r="AE54" s="25">
        <v>10.1</v>
      </c>
      <c r="AF54" s="23">
        <v>42</v>
      </c>
      <c r="AG54" s="25">
        <v>41.5</v>
      </c>
      <c r="AH54" s="23">
        <v>43</v>
      </c>
      <c r="AS54" s="25">
        <v>56.9</v>
      </c>
      <c r="AT54" s="23">
        <v>4</v>
      </c>
      <c r="AU54" s="23">
        <v>602</v>
      </c>
      <c r="AV54" s="23">
        <v>622</v>
      </c>
      <c r="AW54" s="23">
        <v>7</v>
      </c>
      <c r="AX54" s="192">
        <v>0.43194444444444402</v>
      </c>
      <c r="AY54" s="192">
        <v>0.41805555555555557</v>
      </c>
    </row>
    <row r="55" spans="5:51" x14ac:dyDescent="0.25">
      <c r="E55" s="23">
        <v>222</v>
      </c>
      <c r="F55" s="23">
        <v>212</v>
      </c>
      <c r="G55" s="23">
        <v>9</v>
      </c>
      <c r="H55" s="23">
        <f t="shared" si="1"/>
        <v>914</v>
      </c>
      <c r="I55" s="23">
        <f t="shared" si="0"/>
        <v>926</v>
      </c>
      <c r="J55" s="23">
        <v>6</v>
      </c>
      <c r="K55" s="25">
        <v>20.2</v>
      </c>
      <c r="L55" s="23">
        <v>6</v>
      </c>
      <c r="M55" s="25">
        <v>9.1999999999999993</v>
      </c>
      <c r="N55" s="23">
        <v>2</v>
      </c>
      <c r="AC55" s="26">
        <v>9.4</v>
      </c>
      <c r="AD55" s="27">
        <v>46</v>
      </c>
      <c r="AE55" s="25">
        <v>10.199999999999999</v>
      </c>
      <c r="AF55" s="23">
        <v>43</v>
      </c>
      <c r="AG55" s="25">
        <v>42</v>
      </c>
      <c r="AH55" s="23">
        <v>44</v>
      </c>
      <c r="AS55" s="25">
        <v>56.8</v>
      </c>
      <c r="AT55" s="23">
        <v>4</v>
      </c>
      <c r="AU55" s="23">
        <v>604</v>
      </c>
      <c r="AV55" s="23">
        <v>624</v>
      </c>
      <c r="AW55" s="23">
        <v>6</v>
      </c>
      <c r="AX55" s="192">
        <v>0.43333333333333302</v>
      </c>
      <c r="AY55" s="192">
        <v>0.41944444444444445</v>
      </c>
    </row>
    <row r="56" spans="5:51" x14ac:dyDescent="0.25">
      <c r="E56" s="23">
        <v>223</v>
      </c>
      <c r="F56" s="23">
        <v>213</v>
      </c>
      <c r="G56" s="23">
        <v>8</v>
      </c>
      <c r="H56" s="23">
        <f t="shared" si="1"/>
        <v>916</v>
      </c>
      <c r="I56" s="23">
        <f t="shared" si="0"/>
        <v>928</v>
      </c>
      <c r="J56" s="23">
        <v>6</v>
      </c>
      <c r="K56" s="25">
        <v>20.3</v>
      </c>
      <c r="L56" s="23">
        <v>6</v>
      </c>
      <c r="M56" s="25">
        <v>9.3000000000000007</v>
      </c>
      <c r="N56" s="23">
        <v>1</v>
      </c>
      <c r="AC56" s="26">
        <v>9.5</v>
      </c>
      <c r="AD56" s="27">
        <v>47</v>
      </c>
      <c r="AE56" s="25">
        <v>10.3</v>
      </c>
      <c r="AF56" s="23">
        <v>44</v>
      </c>
      <c r="AG56" s="25">
        <v>42.5</v>
      </c>
      <c r="AH56" s="23">
        <v>45</v>
      </c>
      <c r="AS56" s="25">
        <v>56.7</v>
      </c>
      <c r="AT56" s="23">
        <v>4</v>
      </c>
      <c r="AU56" s="23">
        <v>606</v>
      </c>
      <c r="AV56" s="23">
        <v>626</v>
      </c>
      <c r="AW56" s="23">
        <v>6</v>
      </c>
      <c r="AX56" s="192">
        <v>0.43472222222222201</v>
      </c>
      <c r="AY56" s="192">
        <v>0.42083333333333334</v>
      </c>
    </row>
    <row r="57" spans="5:51" x14ac:dyDescent="0.25">
      <c r="E57" s="23">
        <v>224</v>
      </c>
      <c r="F57" s="23">
        <v>214</v>
      </c>
      <c r="G57" s="23">
        <v>8</v>
      </c>
      <c r="H57" s="23">
        <f t="shared" si="1"/>
        <v>918</v>
      </c>
      <c r="I57" s="23">
        <f t="shared" si="0"/>
        <v>930</v>
      </c>
      <c r="J57" s="23">
        <v>5</v>
      </c>
      <c r="K57" s="25">
        <v>20.399999999999999</v>
      </c>
      <c r="L57" s="23">
        <v>5</v>
      </c>
      <c r="M57" s="25">
        <v>9.4</v>
      </c>
      <c r="N57" s="23">
        <v>1</v>
      </c>
      <c r="AC57" s="26">
        <v>9.6</v>
      </c>
      <c r="AD57" s="27">
        <v>47</v>
      </c>
      <c r="AE57" s="25">
        <v>10.4</v>
      </c>
      <c r="AF57" s="23">
        <v>44</v>
      </c>
      <c r="AG57" s="25">
        <v>43</v>
      </c>
      <c r="AH57" s="23">
        <v>46</v>
      </c>
      <c r="AS57" s="25">
        <v>56.6</v>
      </c>
      <c r="AT57" s="23">
        <v>4</v>
      </c>
      <c r="AU57" s="23">
        <v>608</v>
      </c>
      <c r="AV57" s="23">
        <v>628</v>
      </c>
      <c r="AW57" s="23">
        <v>5</v>
      </c>
      <c r="AX57" s="192">
        <v>0.43611111111111101</v>
      </c>
      <c r="AY57" s="192">
        <v>0.42222222222222222</v>
      </c>
    </row>
    <row r="58" spans="5:51" x14ac:dyDescent="0.25">
      <c r="E58" s="23">
        <v>225</v>
      </c>
      <c r="F58" s="23">
        <v>215</v>
      </c>
      <c r="G58" s="23">
        <v>7</v>
      </c>
      <c r="H58" s="23">
        <f t="shared" si="1"/>
        <v>920</v>
      </c>
      <c r="I58" s="23">
        <f t="shared" si="0"/>
        <v>932</v>
      </c>
      <c r="J58" s="23">
        <v>5</v>
      </c>
      <c r="K58" s="25">
        <v>20.5</v>
      </c>
      <c r="L58" s="23">
        <v>5</v>
      </c>
      <c r="M58" s="25"/>
      <c r="N58" s="24"/>
      <c r="AC58" s="26">
        <v>9.6999999999999993</v>
      </c>
      <c r="AD58" s="23">
        <v>48</v>
      </c>
      <c r="AE58" s="25">
        <v>10.5</v>
      </c>
      <c r="AF58" s="23">
        <v>45</v>
      </c>
      <c r="AG58" s="25">
        <v>43.5</v>
      </c>
      <c r="AH58" s="23">
        <v>47</v>
      </c>
      <c r="AS58" s="25">
        <v>56.5</v>
      </c>
      <c r="AT58" s="23">
        <v>4</v>
      </c>
      <c r="AU58" s="23">
        <v>610</v>
      </c>
      <c r="AV58" s="23">
        <v>630</v>
      </c>
      <c r="AW58" s="23">
        <v>5</v>
      </c>
      <c r="AX58" s="192">
        <v>0.4375</v>
      </c>
      <c r="AY58" s="192">
        <v>0.4236111111111111</v>
      </c>
    </row>
    <row r="59" spans="5:51" x14ac:dyDescent="0.25">
      <c r="E59" s="23">
        <v>226</v>
      </c>
      <c r="F59" s="23">
        <v>216</v>
      </c>
      <c r="G59" s="23">
        <v>7</v>
      </c>
      <c r="H59" s="23">
        <f t="shared" si="1"/>
        <v>922</v>
      </c>
      <c r="I59" s="23">
        <f t="shared" si="0"/>
        <v>934</v>
      </c>
      <c r="J59" s="23">
        <v>4</v>
      </c>
      <c r="K59" s="25">
        <v>20.6</v>
      </c>
      <c r="L59" s="23">
        <v>4</v>
      </c>
      <c r="M59" s="25"/>
      <c r="N59" s="24"/>
      <c r="AC59" s="26">
        <v>9.8000000000000007</v>
      </c>
      <c r="AD59" s="23">
        <v>48</v>
      </c>
      <c r="AE59" s="25">
        <v>10.6</v>
      </c>
      <c r="AF59" s="23">
        <v>45</v>
      </c>
      <c r="AG59" s="25">
        <v>44</v>
      </c>
      <c r="AH59" s="23">
        <v>48</v>
      </c>
      <c r="AS59" s="25">
        <v>56.4</v>
      </c>
      <c r="AT59" s="23">
        <v>4</v>
      </c>
      <c r="AU59" s="23">
        <v>612</v>
      </c>
      <c r="AV59" s="23">
        <v>632</v>
      </c>
      <c r="AW59" s="23">
        <v>4</v>
      </c>
      <c r="AX59" s="192">
        <v>0.43888888888888899</v>
      </c>
      <c r="AY59" s="192">
        <v>0.42499999999999999</v>
      </c>
    </row>
    <row r="60" spans="5:51" x14ac:dyDescent="0.25">
      <c r="E60" s="23">
        <v>227</v>
      </c>
      <c r="F60" s="23">
        <v>217</v>
      </c>
      <c r="G60" s="23">
        <v>6</v>
      </c>
      <c r="H60" s="23">
        <f t="shared" si="1"/>
        <v>924</v>
      </c>
      <c r="I60" s="23">
        <f t="shared" si="0"/>
        <v>936</v>
      </c>
      <c r="J60" s="23">
        <v>4</v>
      </c>
      <c r="K60" s="25">
        <v>20.7</v>
      </c>
      <c r="L60" s="23">
        <v>4</v>
      </c>
      <c r="M60" s="25"/>
      <c r="N60" s="24"/>
      <c r="AC60" s="26">
        <v>9.9</v>
      </c>
      <c r="AD60" s="23">
        <v>49</v>
      </c>
      <c r="AE60" s="25">
        <v>10.7</v>
      </c>
      <c r="AF60" s="23">
        <v>46</v>
      </c>
      <c r="AG60" s="25">
        <v>44.5</v>
      </c>
      <c r="AH60" s="23">
        <v>49</v>
      </c>
      <c r="AS60" s="25">
        <v>56.3</v>
      </c>
      <c r="AT60" s="23">
        <v>4</v>
      </c>
      <c r="AU60" s="23">
        <v>614</v>
      </c>
      <c r="AV60" s="23">
        <v>634</v>
      </c>
      <c r="AW60" s="23">
        <v>4</v>
      </c>
      <c r="AX60" s="192">
        <v>0.44027777777777699</v>
      </c>
      <c r="AY60" s="192">
        <v>0.42638888888888887</v>
      </c>
    </row>
    <row r="61" spans="5:51" x14ac:dyDescent="0.25">
      <c r="E61" s="23">
        <v>228</v>
      </c>
      <c r="F61" s="23">
        <v>218</v>
      </c>
      <c r="G61" s="23">
        <v>6</v>
      </c>
      <c r="H61" s="23">
        <f t="shared" si="1"/>
        <v>926</v>
      </c>
      <c r="I61" s="23">
        <f t="shared" si="0"/>
        <v>938</v>
      </c>
      <c r="J61" s="23">
        <v>3</v>
      </c>
      <c r="K61" s="25">
        <v>20.8</v>
      </c>
      <c r="L61" s="23">
        <v>4</v>
      </c>
      <c r="M61" s="25"/>
      <c r="N61" s="24"/>
      <c r="AC61" s="26">
        <v>10</v>
      </c>
      <c r="AD61" s="23">
        <v>49</v>
      </c>
      <c r="AE61" s="25">
        <v>10.8</v>
      </c>
      <c r="AF61" s="23">
        <v>46</v>
      </c>
      <c r="AG61" s="25">
        <v>45</v>
      </c>
      <c r="AH61" s="23">
        <v>50</v>
      </c>
      <c r="AS61" s="25">
        <v>56.2</v>
      </c>
      <c r="AT61" s="23">
        <v>4</v>
      </c>
      <c r="AU61" s="23">
        <v>616</v>
      </c>
      <c r="AV61" s="23">
        <v>636</v>
      </c>
      <c r="AW61" s="23">
        <v>3</v>
      </c>
      <c r="AX61" s="192">
        <v>0.44166666666666599</v>
      </c>
      <c r="AY61" s="192">
        <v>0.42777777777777781</v>
      </c>
    </row>
    <row r="62" spans="5:51" x14ac:dyDescent="0.25">
      <c r="E62" s="23">
        <v>229</v>
      </c>
      <c r="F62" s="23">
        <v>219</v>
      </c>
      <c r="G62" s="23">
        <v>5</v>
      </c>
      <c r="H62" s="23">
        <f t="shared" si="1"/>
        <v>928</v>
      </c>
      <c r="I62" s="23">
        <f t="shared" si="0"/>
        <v>940</v>
      </c>
      <c r="J62" s="23">
        <v>3</v>
      </c>
      <c r="K62" s="25">
        <v>20.9</v>
      </c>
      <c r="L62" s="23">
        <v>4</v>
      </c>
      <c r="AC62" s="26">
        <v>10.1</v>
      </c>
      <c r="AD62" s="23">
        <v>50</v>
      </c>
      <c r="AE62" s="25">
        <v>10.9</v>
      </c>
      <c r="AF62" s="23">
        <v>47</v>
      </c>
      <c r="AS62" s="25">
        <v>56.1</v>
      </c>
      <c r="AT62" s="23">
        <v>4</v>
      </c>
      <c r="AU62" s="23">
        <v>618</v>
      </c>
      <c r="AV62" s="23">
        <v>638</v>
      </c>
      <c r="AW62" s="23">
        <v>3</v>
      </c>
      <c r="AX62" s="192">
        <v>0.44305555555555498</v>
      </c>
      <c r="AY62" s="192">
        <v>0.4291666666666667</v>
      </c>
    </row>
    <row r="63" spans="5:51" x14ac:dyDescent="0.25">
      <c r="E63" s="23">
        <v>230</v>
      </c>
      <c r="F63" s="23">
        <v>220</v>
      </c>
      <c r="G63" s="23">
        <v>5</v>
      </c>
      <c r="H63" s="23">
        <f t="shared" si="1"/>
        <v>930</v>
      </c>
      <c r="I63" s="23">
        <f t="shared" si="0"/>
        <v>942</v>
      </c>
      <c r="J63" s="23">
        <v>2</v>
      </c>
      <c r="K63" s="25">
        <v>21</v>
      </c>
      <c r="L63" s="23">
        <v>4</v>
      </c>
      <c r="AC63" s="25"/>
      <c r="AE63" s="25">
        <v>11</v>
      </c>
      <c r="AF63" s="23">
        <v>47</v>
      </c>
      <c r="AS63" s="25">
        <v>56</v>
      </c>
      <c r="AT63" s="23">
        <v>5</v>
      </c>
      <c r="AU63" s="23">
        <v>620</v>
      </c>
      <c r="AV63" s="23">
        <v>640</v>
      </c>
      <c r="AW63" s="23">
        <v>2</v>
      </c>
      <c r="AX63" s="192">
        <v>0.44444444444444398</v>
      </c>
      <c r="AY63" s="192">
        <v>0.43055555555555558</v>
      </c>
    </row>
    <row r="64" spans="5:51" x14ac:dyDescent="0.25">
      <c r="E64" s="23">
        <v>231</v>
      </c>
      <c r="F64" s="23">
        <v>221</v>
      </c>
      <c r="G64" s="23">
        <v>4</v>
      </c>
      <c r="H64" s="23">
        <f t="shared" si="1"/>
        <v>932</v>
      </c>
      <c r="I64" s="23">
        <f t="shared" si="0"/>
        <v>944</v>
      </c>
      <c r="J64" s="23">
        <v>2</v>
      </c>
      <c r="K64" s="25">
        <v>21.1</v>
      </c>
      <c r="L64" s="23">
        <v>3</v>
      </c>
      <c r="AC64" s="25"/>
      <c r="AE64" s="25">
        <v>11.1</v>
      </c>
      <c r="AF64" s="23">
        <v>47</v>
      </c>
      <c r="AS64" s="25">
        <v>55.9</v>
      </c>
      <c r="AT64" s="23">
        <v>5</v>
      </c>
      <c r="AU64" s="23">
        <v>622</v>
      </c>
      <c r="AV64" s="23">
        <v>642</v>
      </c>
      <c r="AW64" s="23">
        <v>2</v>
      </c>
      <c r="AX64" s="192">
        <v>0.44583333333333303</v>
      </c>
      <c r="AY64" s="192">
        <v>0.43194444444444446</v>
      </c>
    </row>
    <row r="65" spans="5:51" x14ac:dyDescent="0.25">
      <c r="E65" s="23">
        <v>232</v>
      </c>
      <c r="F65" s="23">
        <v>222</v>
      </c>
      <c r="G65" s="23">
        <v>4</v>
      </c>
      <c r="H65" s="23">
        <f t="shared" si="1"/>
        <v>934</v>
      </c>
      <c r="I65" s="23">
        <f>I66-2</f>
        <v>946</v>
      </c>
      <c r="J65" s="23">
        <v>1</v>
      </c>
      <c r="K65" s="25">
        <v>21.2</v>
      </c>
      <c r="L65" s="23">
        <v>3</v>
      </c>
      <c r="AE65" s="25">
        <v>11.2</v>
      </c>
      <c r="AF65" s="23">
        <v>47</v>
      </c>
      <c r="AS65" s="25">
        <v>55.8</v>
      </c>
      <c r="AT65" s="23">
        <v>5</v>
      </c>
      <c r="AU65" s="23">
        <v>624</v>
      </c>
      <c r="AV65" s="23">
        <v>644</v>
      </c>
      <c r="AW65" s="23">
        <v>1</v>
      </c>
      <c r="AX65" s="192">
        <v>0.44722222222222202</v>
      </c>
      <c r="AY65" s="192">
        <v>0.43333333333333335</v>
      </c>
    </row>
    <row r="66" spans="5:51" x14ac:dyDescent="0.25">
      <c r="E66" s="23">
        <v>233</v>
      </c>
      <c r="F66" s="23">
        <v>223</v>
      </c>
      <c r="G66" s="23">
        <v>4</v>
      </c>
      <c r="H66" s="23">
        <f t="shared" si="1"/>
        <v>936</v>
      </c>
      <c r="I66" s="23">
        <v>948</v>
      </c>
      <c r="J66" s="23">
        <v>1</v>
      </c>
      <c r="K66" s="25">
        <v>21.3</v>
      </c>
      <c r="L66" s="23">
        <v>3</v>
      </c>
      <c r="AE66" s="25">
        <v>11.3</v>
      </c>
      <c r="AF66" s="23">
        <v>48</v>
      </c>
      <c r="AS66" s="25">
        <v>55.7</v>
      </c>
      <c r="AT66" s="23">
        <v>5</v>
      </c>
      <c r="AU66" s="23">
        <v>626</v>
      </c>
      <c r="AV66" s="23">
        <v>646</v>
      </c>
      <c r="AW66" s="23">
        <v>1</v>
      </c>
      <c r="AX66" s="192">
        <v>0.44861111111111113</v>
      </c>
      <c r="AY66" s="192">
        <v>0.43472222222222223</v>
      </c>
    </row>
    <row r="67" spans="5:51" x14ac:dyDescent="0.25">
      <c r="E67" s="23">
        <v>234</v>
      </c>
      <c r="F67" s="23">
        <v>224</v>
      </c>
      <c r="G67" s="23">
        <v>3</v>
      </c>
      <c r="K67" s="25">
        <v>21.4</v>
      </c>
      <c r="L67" s="23">
        <v>3</v>
      </c>
      <c r="AE67" s="25">
        <v>11.4</v>
      </c>
      <c r="AF67" s="23">
        <v>48</v>
      </c>
      <c r="AS67" s="25">
        <v>55.6</v>
      </c>
      <c r="AT67" s="23">
        <v>5</v>
      </c>
    </row>
    <row r="68" spans="5:51" x14ac:dyDescent="0.25">
      <c r="E68" s="23">
        <v>235</v>
      </c>
      <c r="F68" s="23">
        <v>225</v>
      </c>
      <c r="G68" s="23">
        <v>3</v>
      </c>
      <c r="K68" s="25">
        <v>21.5</v>
      </c>
      <c r="L68" s="23">
        <v>3</v>
      </c>
      <c r="AE68" s="25">
        <v>11.5</v>
      </c>
      <c r="AF68" s="23">
        <v>48</v>
      </c>
      <c r="AS68" s="25">
        <v>55.5</v>
      </c>
      <c r="AT68" s="23">
        <v>6</v>
      </c>
    </row>
    <row r="69" spans="5:51" x14ac:dyDescent="0.25">
      <c r="E69" s="23">
        <v>236</v>
      </c>
      <c r="F69" s="23">
        <v>226</v>
      </c>
      <c r="G69" s="23">
        <v>3</v>
      </c>
      <c r="K69" s="25">
        <v>21.6</v>
      </c>
      <c r="L69" s="23">
        <v>2</v>
      </c>
      <c r="AE69" s="25">
        <v>11.6</v>
      </c>
      <c r="AF69" s="23">
        <v>49</v>
      </c>
      <c r="AS69" s="25">
        <v>55.4</v>
      </c>
      <c r="AT69" s="23">
        <v>6</v>
      </c>
    </row>
    <row r="70" spans="5:51" x14ac:dyDescent="0.25">
      <c r="E70" s="23">
        <v>237</v>
      </c>
      <c r="F70" s="23">
        <v>227</v>
      </c>
      <c r="G70" s="23">
        <v>2</v>
      </c>
      <c r="K70" s="25">
        <v>21.7</v>
      </c>
      <c r="L70" s="23">
        <v>2</v>
      </c>
      <c r="AE70" s="25">
        <v>11.7</v>
      </c>
      <c r="AF70" s="23">
        <v>49</v>
      </c>
      <c r="AS70" s="25">
        <v>55.3</v>
      </c>
      <c r="AT70" s="23">
        <v>6</v>
      </c>
    </row>
    <row r="71" spans="5:51" x14ac:dyDescent="0.25">
      <c r="E71" s="23">
        <v>238</v>
      </c>
      <c r="F71" s="23">
        <v>228</v>
      </c>
      <c r="G71" s="23">
        <v>2</v>
      </c>
      <c r="K71" s="25">
        <v>21.8</v>
      </c>
      <c r="L71" s="23">
        <v>2</v>
      </c>
      <c r="AE71" s="25">
        <v>11.8</v>
      </c>
      <c r="AF71" s="23">
        <v>49</v>
      </c>
      <c r="AS71" s="25">
        <v>55.2</v>
      </c>
      <c r="AT71" s="23">
        <v>6</v>
      </c>
    </row>
    <row r="72" spans="5:51" x14ac:dyDescent="0.25">
      <c r="E72" s="23">
        <v>239</v>
      </c>
      <c r="F72" s="23">
        <v>229</v>
      </c>
      <c r="G72" s="23">
        <v>2</v>
      </c>
      <c r="K72" s="25">
        <v>21.9</v>
      </c>
      <c r="L72" s="23">
        <v>2</v>
      </c>
      <c r="AE72" s="25">
        <v>11.9</v>
      </c>
      <c r="AF72" s="23">
        <v>50</v>
      </c>
      <c r="AS72" s="25">
        <v>55.1</v>
      </c>
      <c r="AT72" s="23">
        <v>6</v>
      </c>
    </row>
    <row r="73" spans="5:51" x14ac:dyDescent="0.25">
      <c r="E73" s="23">
        <v>240</v>
      </c>
      <c r="F73" s="23">
        <v>230</v>
      </c>
      <c r="G73" s="23">
        <v>1</v>
      </c>
      <c r="K73" s="25">
        <v>22</v>
      </c>
      <c r="L73" s="23">
        <v>2</v>
      </c>
      <c r="AS73" s="25">
        <v>55</v>
      </c>
      <c r="AT73" s="23">
        <v>7</v>
      </c>
    </row>
    <row r="74" spans="5:51" x14ac:dyDescent="0.25">
      <c r="E74" s="23">
        <v>241</v>
      </c>
      <c r="F74" s="23">
        <v>231</v>
      </c>
      <c r="G74" s="23">
        <v>1</v>
      </c>
      <c r="K74" s="25">
        <v>22.1</v>
      </c>
      <c r="L74" s="23">
        <v>1</v>
      </c>
      <c r="AS74" s="25">
        <v>54.9</v>
      </c>
      <c r="AT74" s="23">
        <v>7</v>
      </c>
    </row>
    <row r="75" spans="5:51" x14ac:dyDescent="0.25">
      <c r="K75" s="25">
        <v>22.2</v>
      </c>
      <c r="L75" s="23">
        <v>1</v>
      </c>
      <c r="AS75" s="25">
        <v>54.8</v>
      </c>
      <c r="AT75" s="23">
        <v>7</v>
      </c>
    </row>
    <row r="76" spans="5:51" x14ac:dyDescent="0.25">
      <c r="K76" s="25">
        <v>22.3</v>
      </c>
      <c r="L76" s="23">
        <v>1</v>
      </c>
      <c r="AS76" s="25">
        <v>54.7</v>
      </c>
      <c r="AT76" s="23">
        <v>7</v>
      </c>
    </row>
    <row r="77" spans="5:51" x14ac:dyDescent="0.25">
      <c r="K77" s="25">
        <v>22.4</v>
      </c>
      <c r="L77" s="23">
        <v>1</v>
      </c>
      <c r="AS77" s="25">
        <v>54.6</v>
      </c>
      <c r="AT77" s="23">
        <v>7</v>
      </c>
    </row>
    <row r="78" spans="5:51" x14ac:dyDescent="0.25">
      <c r="K78" s="25">
        <v>22.5</v>
      </c>
      <c r="L78" s="23">
        <v>1</v>
      </c>
      <c r="AS78" s="25">
        <v>54.5</v>
      </c>
      <c r="AT78" s="23">
        <v>8</v>
      </c>
    </row>
    <row r="79" spans="5:51" x14ac:dyDescent="0.25">
      <c r="K79" s="25"/>
      <c r="AS79" s="25">
        <v>54.4</v>
      </c>
      <c r="AT79" s="23">
        <v>8</v>
      </c>
    </row>
    <row r="80" spans="5:51" x14ac:dyDescent="0.25">
      <c r="K80" s="25"/>
      <c r="AS80" s="25">
        <v>54.3</v>
      </c>
      <c r="AT80" s="23">
        <v>8</v>
      </c>
    </row>
    <row r="81" spans="11:46" x14ac:dyDescent="0.25">
      <c r="K81" s="25"/>
      <c r="AS81" s="25">
        <v>54.2</v>
      </c>
      <c r="AT81" s="23">
        <v>8</v>
      </c>
    </row>
    <row r="82" spans="11:46" x14ac:dyDescent="0.25">
      <c r="K82" s="25"/>
      <c r="AS82" s="25">
        <v>54.1</v>
      </c>
      <c r="AT82" s="23">
        <v>8</v>
      </c>
    </row>
    <row r="83" spans="11:46" x14ac:dyDescent="0.25">
      <c r="K83" s="25"/>
      <c r="AS83" s="25">
        <v>54</v>
      </c>
      <c r="AT83" s="23">
        <v>9</v>
      </c>
    </row>
    <row r="84" spans="11:46" x14ac:dyDescent="0.25">
      <c r="AS84" s="25">
        <v>53.9</v>
      </c>
      <c r="AT84" s="23">
        <v>9</v>
      </c>
    </row>
    <row r="85" spans="11:46" x14ac:dyDescent="0.25">
      <c r="AS85" s="25">
        <v>53.8</v>
      </c>
      <c r="AT85" s="23">
        <v>9</v>
      </c>
    </row>
    <row r="86" spans="11:46" x14ac:dyDescent="0.25">
      <c r="AS86" s="25">
        <v>53.7</v>
      </c>
      <c r="AT86" s="23">
        <v>9</v>
      </c>
    </row>
    <row r="87" spans="11:46" x14ac:dyDescent="0.25">
      <c r="AS87" s="25">
        <v>53.6</v>
      </c>
      <c r="AT87" s="23">
        <v>9</v>
      </c>
    </row>
    <row r="88" spans="11:46" x14ac:dyDescent="0.25">
      <c r="AS88" s="25">
        <v>53.5</v>
      </c>
      <c r="AT88" s="23">
        <v>10</v>
      </c>
    </row>
    <row r="89" spans="11:46" x14ac:dyDescent="0.25">
      <c r="AS89" s="25">
        <v>53.4</v>
      </c>
      <c r="AT89" s="23">
        <v>10</v>
      </c>
    </row>
    <row r="90" spans="11:46" x14ac:dyDescent="0.25">
      <c r="AS90" s="25">
        <v>53.3</v>
      </c>
      <c r="AT90" s="23">
        <v>10</v>
      </c>
    </row>
    <row r="91" spans="11:46" x14ac:dyDescent="0.25">
      <c r="AS91" s="25">
        <v>53.2</v>
      </c>
      <c r="AT91" s="23">
        <v>10</v>
      </c>
    </row>
    <row r="92" spans="11:46" x14ac:dyDescent="0.25">
      <c r="AS92" s="25">
        <v>53.1</v>
      </c>
      <c r="AT92" s="23">
        <v>10</v>
      </c>
    </row>
    <row r="93" spans="11:46" x14ac:dyDescent="0.25">
      <c r="AS93" s="25">
        <v>53</v>
      </c>
      <c r="AT93" s="23">
        <v>11</v>
      </c>
    </row>
    <row r="94" spans="11:46" x14ac:dyDescent="0.25">
      <c r="AS94" s="25">
        <v>52.9</v>
      </c>
      <c r="AT94" s="23">
        <v>11</v>
      </c>
    </row>
    <row r="95" spans="11:46" x14ac:dyDescent="0.25">
      <c r="AS95" s="25">
        <v>52.8</v>
      </c>
      <c r="AT95" s="23">
        <v>11</v>
      </c>
    </row>
    <row r="96" spans="11:46" x14ac:dyDescent="0.25">
      <c r="AS96" s="25">
        <v>52.7</v>
      </c>
      <c r="AT96" s="23">
        <v>11</v>
      </c>
    </row>
    <row r="97" spans="45:46" x14ac:dyDescent="0.25">
      <c r="AS97" s="25">
        <v>52.6</v>
      </c>
      <c r="AT97" s="23">
        <v>11</v>
      </c>
    </row>
    <row r="98" spans="45:46" x14ac:dyDescent="0.25">
      <c r="AS98" s="25">
        <v>52.5</v>
      </c>
      <c r="AT98" s="23">
        <v>12</v>
      </c>
    </row>
    <row r="99" spans="45:46" x14ac:dyDescent="0.25">
      <c r="AS99" s="25">
        <v>52.4</v>
      </c>
      <c r="AT99" s="23">
        <v>12</v>
      </c>
    </row>
    <row r="100" spans="45:46" x14ac:dyDescent="0.25">
      <c r="AS100" s="25">
        <v>52.3</v>
      </c>
      <c r="AT100" s="23">
        <v>12</v>
      </c>
    </row>
    <row r="101" spans="45:46" x14ac:dyDescent="0.25">
      <c r="AS101" s="25">
        <v>52.2</v>
      </c>
      <c r="AT101" s="23">
        <v>12</v>
      </c>
    </row>
    <row r="102" spans="45:46" x14ac:dyDescent="0.25">
      <c r="AS102" s="25">
        <v>52.1</v>
      </c>
      <c r="AT102" s="23">
        <v>12</v>
      </c>
    </row>
    <row r="103" spans="45:46" x14ac:dyDescent="0.25">
      <c r="AS103" s="25">
        <v>52</v>
      </c>
      <c r="AT103" s="23">
        <v>13</v>
      </c>
    </row>
    <row r="104" spans="45:46" x14ac:dyDescent="0.25">
      <c r="AS104" s="25">
        <v>51.9</v>
      </c>
      <c r="AT104" s="23">
        <v>13</v>
      </c>
    </row>
    <row r="105" spans="45:46" x14ac:dyDescent="0.25">
      <c r="AS105" s="25">
        <v>51.8</v>
      </c>
      <c r="AT105" s="23">
        <v>13</v>
      </c>
    </row>
    <row r="106" spans="45:46" x14ac:dyDescent="0.25">
      <c r="AS106" s="25">
        <v>51.7</v>
      </c>
      <c r="AT106" s="23">
        <v>13</v>
      </c>
    </row>
    <row r="107" spans="45:46" x14ac:dyDescent="0.25">
      <c r="AS107" s="25">
        <v>51.6</v>
      </c>
      <c r="AT107" s="23">
        <v>13</v>
      </c>
    </row>
    <row r="108" spans="45:46" x14ac:dyDescent="0.25">
      <c r="AS108" s="25">
        <v>51.5</v>
      </c>
      <c r="AT108" s="23">
        <v>14</v>
      </c>
    </row>
    <row r="109" spans="45:46" x14ac:dyDescent="0.25">
      <c r="AS109" s="25">
        <v>51.4</v>
      </c>
      <c r="AT109" s="23">
        <v>14</v>
      </c>
    </row>
    <row r="110" spans="45:46" x14ac:dyDescent="0.25">
      <c r="AS110" s="25">
        <v>51.3</v>
      </c>
      <c r="AT110" s="23">
        <v>14</v>
      </c>
    </row>
    <row r="111" spans="45:46" x14ac:dyDescent="0.25">
      <c r="AS111" s="25">
        <v>51.2</v>
      </c>
      <c r="AT111" s="23">
        <v>14</v>
      </c>
    </row>
    <row r="112" spans="45:46" x14ac:dyDescent="0.25">
      <c r="AS112" s="25">
        <v>51.1</v>
      </c>
      <c r="AT112" s="23">
        <v>14</v>
      </c>
    </row>
    <row r="113" spans="45:46" x14ac:dyDescent="0.25">
      <c r="AS113" s="25">
        <v>51</v>
      </c>
      <c r="AT113" s="23">
        <v>15</v>
      </c>
    </row>
    <row r="114" spans="45:46" x14ac:dyDescent="0.25">
      <c r="AS114" s="25">
        <v>50.9</v>
      </c>
      <c r="AT114" s="23">
        <v>15</v>
      </c>
    </row>
    <row r="115" spans="45:46" x14ac:dyDescent="0.25">
      <c r="AS115" s="25">
        <v>50.8</v>
      </c>
      <c r="AT115" s="23">
        <v>15</v>
      </c>
    </row>
    <row r="116" spans="45:46" x14ac:dyDescent="0.25">
      <c r="AS116" s="25">
        <v>50.7</v>
      </c>
      <c r="AT116" s="23">
        <v>15</v>
      </c>
    </row>
    <row r="117" spans="45:46" x14ac:dyDescent="0.25">
      <c r="AS117" s="25">
        <v>50.6</v>
      </c>
      <c r="AT117" s="23">
        <v>15</v>
      </c>
    </row>
    <row r="118" spans="45:46" x14ac:dyDescent="0.25">
      <c r="AS118" s="25">
        <v>50.5</v>
      </c>
      <c r="AT118" s="23">
        <v>16</v>
      </c>
    </row>
    <row r="119" spans="45:46" x14ac:dyDescent="0.25">
      <c r="AS119" s="25">
        <v>50.4</v>
      </c>
      <c r="AT119" s="23">
        <v>16</v>
      </c>
    </row>
    <row r="120" spans="45:46" x14ac:dyDescent="0.25">
      <c r="AS120" s="25">
        <v>50.3</v>
      </c>
      <c r="AT120" s="23">
        <v>16</v>
      </c>
    </row>
    <row r="121" spans="45:46" x14ac:dyDescent="0.25">
      <c r="AS121" s="25">
        <v>50.2</v>
      </c>
      <c r="AT121" s="23">
        <v>16</v>
      </c>
    </row>
    <row r="122" spans="45:46" x14ac:dyDescent="0.25">
      <c r="AS122" s="25">
        <v>50.1</v>
      </c>
      <c r="AT122" s="23">
        <v>16</v>
      </c>
    </row>
    <row r="123" spans="45:46" x14ac:dyDescent="0.25">
      <c r="AS123" s="25">
        <v>50</v>
      </c>
      <c r="AT123" s="23">
        <v>17</v>
      </c>
    </row>
    <row r="124" spans="45:46" x14ac:dyDescent="0.25">
      <c r="AS124" s="25">
        <v>49.9</v>
      </c>
      <c r="AT124" s="23">
        <v>17</v>
      </c>
    </row>
    <row r="125" spans="45:46" x14ac:dyDescent="0.25">
      <c r="AS125" s="25">
        <v>49.8</v>
      </c>
      <c r="AT125" s="23">
        <v>17</v>
      </c>
    </row>
    <row r="126" spans="45:46" x14ac:dyDescent="0.25">
      <c r="AS126" s="25">
        <v>49.7</v>
      </c>
      <c r="AT126" s="23">
        <v>17</v>
      </c>
    </row>
    <row r="127" spans="45:46" x14ac:dyDescent="0.25">
      <c r="AS127" s="25">
        <v>49.6</v>
      </c>
      <c r="AT127" s="23">
        <v>17</v>
      </c>
    </row>
    <row r="128" spans="45:46" x14ac:dyDescent="0.25">
      <c r="AS128" s="25">
        <v>49.5</v>
      </c>
      <c r="AT128" s="23">
        <v>18</v>
      </c>
    </row>
    <row r="129" spans="45:46" x14ac:dyDescent="0.25">
      <c r="AS129" s="25">
        <v>49.4</v>
      </c>
      <c r="AT129" s="23">
        <v>18</v>
      </c>
    </row>
    <row r="130" spans="45:46" x14ac:dyDescent="0.25">
      <c r="AS130" s="25">
        <v>49.3</v>
      </c>
      <c r="AT130" s="23">
        <v>18</v>
      </c>
    </row>
    <row r="131" spans="45:46" x14ac:dyDescent="0.25">
      <c r="AS131" s="25">
        <v>49.2</v>
      </c>
      <c r="AT131" s="23">
        <v>18</v>
      </c>
    </row>
    <row r="132" spans="45:46" x14ac:dyDescent="0.25">
      <c r="AS132" s="25">
        <v>49.1</v>
      </c>
      <c r="AT132" s="23">
        <v>18</v>
      </c>
    </row>
    <row r="133" spans="45:46" x14ac:dyDescent="0.25">
      <c r="AS133" s="25">
        <v>49</v>
      </c>
      <c r="AT133" s="23">
        <v>19</v>
      </c>
    </row>
    <row r="134" spans="45:46" x14ac:dyDescent="0.25">
      <c r="AS134" s="25">
        <v>48.9</v>
      </c>
      <c r="AT134" s="23">
        <v>19</v>
      </c>
    </row>
    <row r="135" spans="45:46" x14ac:dyDescent="0.25">
      <c r="AS135" s="25">
        <v>48.8</v>
      </c>
      <c r="AT135" s="23">
        <v>19</v>
      </c>
    </row>
    <row r="136" spans="45:46" x14ac:dyDescent="0.25">
      <c r="AS136" s="25">
        <v>48.7</v>
      </c>
      <c r="AT136" s="23">
        <v>19</v>
      </c>
    </row>
    <row r="137" spans="45:46" x14ac:dyDescent="0.25">
      <c r="AS137" s="25">
        <v>48.6</v>
      </c>
      <c r="AT137" s="23">
        <v>19</v>
      </c>
    </row>
    <row r="138" spans="45:46" x14ac:dyDescent="0.25">
      <c r="AS138" s="25">
        <v>48.5</v>
      </c>
      <c r="AT138" s="23">
        <v>20</v>
      </c>
    </row>
    <row r="139" spans="45:46" x14ac:dyDescent="0.25">
      <c r="AS139" s="25">
        <v>48.4</v>
      </c>
      <c r="AT139" s="23">
        <v>20</v>
      </c>
    </row>
    <row r="140" spans="45:46" x14ac:dyDescent="0.25">
      <c r="AS140" s="25">
        <v>48.3</v>
      </c>
      <c r="AT140" s="23">
        <v>20</v>
      </c>
    </row>
    <row r="141" spans="45:46" x14ac:dyDescent="0.25">
      <c r="AS141" s="25">
        <v>48.2</v>
      </c>
      <c r="AT141" s="23">
        <v>20</v>
      </c>
    </row>
    <row r="142" spans="45:46" x14ac:dyDescent="0.25">
      <c r="AS142" s="25">
        <v>48.1</v>
      </c>
      <c r="AT142" s="23">
        <v>20</v>
      </c>
    </row>
    <row r="143" spans="45:46" x14ac:dyDescent="0.25">
      <c r="AS143" s="25">
        <v>48</v>
      </c>
      <c r="AT143" s="23">
        <v>21</v>
      </c>
    </row>
    <row r="144" spans="45:46" x14ac:dyDescent="0.25">
      <c r="AS144" s="25">
        <v>47.9</v>
      </c>
      <c r="AT144" s="23">
        <v>21</v>
      </c>
    </row>
    <row r="145" spans="45:46" x14ac:dyDescent="0.25">
      <c r="AS145" s="25">
        <v>47.8</v>
      </c>
      <c r="AT145" s="23">
        <v>21</v>
      </c>
    </row>
    <row r="146" spans="45:46" x14ac:dyDescent="0.25">
      <c r="AS146" s="25">
        <v>47.7</v>
      </c>
      <c r="AT146" s="23">
        <v>21</v>
      </c>
    </row>
    <row r="147" spans="45:46" x14ac:dyDescent="0.25">
      <c r="AS147" s="25">
        <v>47.6</v>
      </c>
      <c r="AT147" s="23">
        <v>21</v>
      </c>
    </row>
    <row r="148" spans="45:46" x14ac:dyDescent="0.25">
      <c r="AS148" s="25">
        <v>47.5</v>
      </c>
      <c r="AT148" s="23">
        <v>22</v>
      </c>
    </row>
    <row r="149" spans="45:46" x14ac:dyDescent="0.25">
      <c r="AS149" s="25">
        <v>47.4</v>
      </c>
      <c r="AT149" s="23">
        <v>22</v>
      </c>
    </row>
    <row r="150" spans="45:46" x14ac:dyDescent="0.25">
      <c r="AS150" s="25">
        <v>47.3</v>
      </c>
      <c r="AT150" s="23">
        <v>22</v>
      </c>
    </row>
    <row r="151" spans="45:46" x14ac:dyDescent="0.25">
      <c r="AS151" s="25">
        <v>47.2</v>
      </c>
      <c r="AT151" s="23">
        <v>22</v>
      </c>
    </row>
    <row r="152" spans="45:46" x14ac:dyDescent="0.25">
      <c r="AS152" s="25">
        <v>47.1</v>
      </c>
      <c r="AT152" s="23">
        <v>22</v>
      </c>
    </row>
    <row r="153" spans="45:46" x14ac:dyDescent="0.25">
      <c r="AS153" s="25">
        <v>47</v>
      </c>
      <c r="AT153" s="23">
        <v>23</v>
      </c>
    </row>
    <row r="154" spans="45:46" x14ac:dyDescent="0.25">
      <c r="AS154" s="25">
        <v>46.9</v>
      </c>
      <c r="AT154" s="23">
        <v>23</v>
      </c>
    </row>
    <row r="155" spans="45:46" x14ac:dyDescent="0.25">
      <c r="AS155" s="25">
        <v>46.8</v>
      </c>
      <c r="AT155" s="23">
        <v>23</v>
      </c>
    </row>
    <row r="156" spans="45:46" x14ac:dyDescent="0.25">
      <c r="AS156" s="25">
        <v>46.7</v>
      </c>
      <c r="AT156" s="23">
        <v>23</v>
      </c>
    </row>
    <row r="157" spans="45:46" x14ac:dyDescent="0.25">
      <c r="AS157" s="25">
        <v>46.6</v>
      </c>
      <c r="AT157" s="23">
        <v>23</v>
      </c>
    </row>
    <row r="158" spans="45:46" x14ac:dyDescent="0.25">
      <c r="AS158" s="25">
        <v>46.5</v>
      </c>
      <c r="AT158" s="23">
        <v>24</v>
      </c>
    </row>
    <row r="159" spans="45:46" x14ac:dyDescent="0.25">
      <c r="AS159" s="25">
        <v>46.4</v>
      </c>
      <c r="AT159" s="23">
        <v>24</v>
      </c>
    </row>
    <row r="160" spans="45:46" x14ac:dyDescent="0.25">
      <c r="AS160" s="25">
        <v>46.3</v>
      </c>
      <c r="AT160" s="23">
        <v>24</v>
      </c>
    </row>
    <row r="161" spans="45:46" x14ac:dyDescent="0.25">
      <c r="AS161" s="25">
        <v>46.2</v>
      </c>
      <c r="AT161" s="23">
        <v>24</v>
      </c>
    </row>
    <row r="162" spans="45:46" x14ac:dyDescent="0.25">
      <c r="AS162" s="25">
        <v>46.1</v>
      </c>
      <c r="AT162" s="23">
        <v>24</v>
      </c>
    </row>
    <row r="163" spans="45:46" x14ac:dyDescent="0.25">
      <c r="AS163" s="25">
        <v>46</v>
      </c>
      <c r="AT163" s="23">
        <v>25</v>
      </c>
    </row>
    <row r="164" spans="45:46" x14ac:dyDescent="0.25">
      <c r="AS164" s="25">
        <v>45.9</v>
      </c>
      <c r="AT164" s="23">
        <v>25</v>
      </c>
    </row>
    <row r="165" spans="45:46" x14ac:dyDescent="0.25">
      <c r="AS165" s="25">
        <v>45.8</v>
      </c>
      <c r="AT165" s="23">
        <v>25</v>
      </c>
    </row>
    <row r="166" spans="45:46" x14ac:dyDescent="0.25">
      <c r="AS166" s="25">
        <v>45.7</v>
      </c>
      <c r="AT166" s="23">
        <v>25</v>
      </c>
    </row>
    <row r="167" spans="45:46" x14ac:dyDescent="0.25">
      <c r="AS167" s="25">
        <v>45.6</v>
      </c>
      <c r="AT167" s="23">
        <v>25</v>
      </c>
    </row>
    <row r="168" spans="45:46" x14ac:dyDescent="0.25">
      <c r="AS168" s="25">
        <v>45.5</v>
      </c>
      <c r="AT168" s="23">
        <v>26</v>
      </c>
    </row>
    <row r="169" spans="45:46" x14ac:dyDescent="0.25">
      <c r="AS169" s="25">
        <v>45.4</v>
      </c>
      <c r="AT169" s="23">
        <v>26</v>
      </c>
    </row>
    <row r="170" spans="45:46" x14ac:dyDescent="0.25">
      <c r="AS170" s="25">
        <v>45.3</v>
      </c>
      <c r="AT170" s="23">
        <v>26</v>
      </c>
    </row>
    <row r="171" spans="45:46" x14ac:dyDescent="0.25">
      <c r="AS171" s="25">
        <v>45.2</v>
      </c>
      <c r="AT171" s="23">
        <v>26</v>
      </c>
    </row>
    <row r="172" spans="45:46" x14ac:dyDescent="0.25">
      <c r="AS172" s="25">
        <v>45.1</v>
      </c>
      <c r="AT172" s="23">
        <v>26</v>
      </c>
    </row>
    <row r="173" spans="45:46" x14ac:dyDescent="0.25">
      <c r="AS173" s="25">
        <v>45</v>
      </c>
      <c r="AT173" s="23">
        <v>27</v>
      </c>
    </row>
    <row r="174" spans="45:46" x14ac:dyDescent="0.25">
      <c r="AS174" s="25">
        <v>44.9</v>
      </c>
      <c r="AT174" s="23">
        <v>27</v>
      </c>
    </row>
    <row r="175" spans="45:46" x14ac:dyDescent="0.25">
      <c r="AS175" s="25">
        <v>44.8</v>
      </c>
      <c r="AT175" s="23">
        <v>27</v>
      </c>
    </row>
    <row r="176" spans="45:46" x14ac:dyDescent="0.25">
      <c r="AS176" s="25">
        <v>44.7</v>
      </c>
      <c r="AT176" s="23">
        <v>27</v>
      </c>
    </row>
    <row r="177" spans="45:46" x14ac:dyDescent="0.25">
      <c r="AS177" s="25">
        <v>44.6</v>
      </c>
      <c r="AT177" s="23">
        <v>27</v>
      </c>
    </row>
    <row r="178" spans="45:46" x14ac:dyDescent="0.25">
      <c r="AS178" s="25">
        <v>44.5</v>
      </c>
      <c r="AT178" s="23">
        <v>28</v>
      </c>
    </row>
    <row r="179" spans="45:46" x14ac:dyDescent="0.25">
      <c r="AS179" s="25">
        <v>44.4</v>
      </c>
      <c r="AT179" s="23">
        <v>28</v>
      </c>
    </row>
    <row r="180" spans="45:46" x14ac:dyDescent="0.25">
      <c r="AS180" s="25">
        <v>44.3</v>
      </c>
      <c r="AT180" s="23">
        <v>28</v>
      </c>
    </row>
    <row r="181" spans="45:46" x14ac:dyDescent="0.25">
      <c r="AS181" s="25">
        <v>44.2</v>
      </c>
      <c r="AT181" s="23">
        <v>28</v>
      </c>
    </row>
    <row r="182" spans="45:46" x14ac:dyDescent="0.25">
      <c r="AS182" s="25">
        <v>44.1</v>
      </c>
      <c r="AT182" s="23">
        <v>28</v>
      </c>
    </row>
    <row r="183" spans="45:46" x14ac:dyDescent="0.25">
      <c r="AS183" s="25">
        <v>44</v>
      </c>
      <c r="AT183" s="23">
        <v>29</v>
      </c>
    </row>
    <row r="184" spans="45:46" x14ac:dyDescent="0.25">
      <c r="AS184" s="25">
        <v>43.9</v>
      </c>
      <c r="AT184" s="23">
        <v>29</v>
      </c>
    </row>
    <row r="185" spans="45:46" x14ac:dyDescent="0.25">
      <c r="AS185" s="25">
        <v>43.8</v>
      </c>
      <c r="AT185" s="23">
        <v>29</v>
      </c>
    </row>
    <row r="186" spans="45:46" x14ac:dyDescent="0.25">
      <c r="AS186" s="25">
        <v>43.7</v>
      </c>
      <c r="AT186" s="23">
        <v>29</v>
      </c>
    </row>
    <row r="187" spans="45:46" x14ac:dyDescent="0.25">
      <c r="AS187" s="25">
        <v>43.6</v>
      </c>
      <c r="AT187" s="23">
        <v>29</v>
      </c>
    </row>
    <row r="188" spans="45:46" x14ac:dyDescent="0.25">
      <c r="AS188" s="25">
        <v>43.5</v>
      </c>
      <c r="AT188" s="23">
        <v>30</v>
      </c>
    </row>
    <row r="189" spans="45:46" x14ac:dyDescent="0.25">
      <c r="AS189" s="25">
        <v>43.4</v>
      </c>
      <c r="AT189" s="23">
        <v>30</v>
      </c>
    </row>
    <row r="190" spans="45:46" x14ac:dyDescent="0.25">
      <c r="AS190" s="25">
        <v>43.3</v>
      </c>
      <c r="AT190" s="23">
        <v>30</v>
      </c>
    </row>
    <row r="191" spans="45:46" x14ac:dyDescent="0.25">
      <c r="AS191" s="25">
        <v>43.2</v>
      </c>
      <c r="AT191" s="23">
        <v>30</v>
      </c>
    </row>
    <row r="192" spans="45:46" x14ac:dyDescent="0.25">
      <c r="AS192" s="25">
        <v>43.1</v>
      </c>
      <c r="AT192" s="23">
        <v>30</v>
      </c>
    </row>
    <row r="193" spans="45:46" x14ac:dyDescent="0.25">
      <c r="AS193" s="25">
        <v>43</v>
      </c>
      <c r="AT193" s="23">
        <v>31</v>
      </c>
    </row>
    <row r="194" spans="45:46" x14ac:dyDescent="0.25">
      <c r="AS194" s="25">
        <v>42.9</v>
      </c>
      <c r="AT194" s="23">
        <v>31</v>
      </c>
    </row>
    <row r="195" spans="45:46" x14ac:dyDescent="0.25">
      <c r="AS195" s="25">
        <v>42.8</v>
      </c>
      <c r="AT195" s="23">
        <v>31</v>
      </c>
    </row>
    <row r="196" spans="45:46" x14ac:dyDescent="0.25">
      <c r="AS196" s="25">
        <v>42.7</v>
      </c>
      <c r="AT196" s="23">
        <v>31</v>
      </c>
    </row>
    <row r="197" spans="45:46" x14ac:dyDescent="0.25">
      <c r="AS197" s="25">
        <v>42.6</v>
      </c>
      <c r="AT197" s="23">
        <v>31</v>
      </c>
    </row>
    <row r="198" spans="45:46" x14ac:dyDescent="0.25">
      <c r="AS198" s="25">
        <v>42.5</v>
      </c>
      <c r="AT198" s="23">
        <v>32</v>
      </c>
    </row>
    <row r="199" spans="45:46" x14ac:dyDescent="0.25">
      <c r="AS199" s="25">
        <v>42.4</v>
      </c>
      <c r="AT199" s="23">
        <v>32</v>
      </c>
    </row>
    <row r="200" spans="45:46" x14ac:dyDescent="0.25">
      <c r="AS200" s="25">
        <v>42.3</v>
      </c>
      <c r="AT200" s="23">
        <v>32</v>
      </c>
    </row>
    <row r="201" spans="45:46" x14ac:dyDescent="0.25">
      <c r="AS201" s="25">
        <v>42.2</v>
      </c>
      <c r="AT201" s="23">
        <v>32</v>
      </c>
    </row>
    <row r="202" spans="45:46" x14ac:dyDescent="0.25">
      <c r="AS202" s="25">
        <v>42.1</v>
      </c>
      <c r="AT202" s="23">
        <v>32</v>
      </c>
    </row>
    <row r="203" spans="45:46" x14ac:dyDescent="0.25">
      <c r="AS203" s="25">
        <v>42</v>
      </c>
      <c r="AT203" s="23">
        <v>33</v>
      </c>
    </row>
    <row r="204" spans="45:46" x14ac:dyDescent="0.25">
      <c r="AS204" s="25">
        <v>41.9</v>
      </c>
      <c r="AT204" s="23">
        <v>33</v>
      </c>
    </row>
    <row r="205" spans="45:46" x14ac:dyDescent="0.25">
      <c r="AS205" s="25">
        <v>41.8</v>
      </c>
      <c r="AT205" s="23">
        <v>33</v>
      </c>
    </row>
    <row r="206" spans="45:46" x14ac:dyDescent="0.25">
      <c r="AS206" s="25">
        <v>41.7</v>
      </c>
      <c r="AT206" s="23">
        <v>33</v>
      </c>
    </row>
    <row r="207" spans="45:46" x14ac:dyDescent="0.25">
      <c r="AS207" s="25">
        <v>41.6</v>
      </c>
      <c r="AT207" s="23">
        <v>33</v>
      </c>
    </row>
    <row r="208" spans="45:46" x14ac:dyDescent="0.25">
      <c r="AS208" s="25">
        <v>41.5</v>
      </c>
      <c r="AT208" s="23">
        <v>34</v>
      </c>
    </row>
    <row r="209" spans="45:46" x14ac:dyDescent="0.25">
      <c r="AS209" s="25">
        <v>41.4</v>
      </c>
      <c r="AT209" s="23">
        <v>34</v>
      </c>
    </row>
    <row r="210" spans="45:46" x14ac:dyDescent="0.25">
      <c r="AS210" s="25">
        <v>41.3</v>
      </c>
      <c r="AT210" s="23">
        <v>34</v>
      </c>
    </row>
    <row r="211" spans="45:46" x14ac:dyDescent="0.25">
      <c r="AS211" s="25">
        <v>41.2</v>
      </c>
      <c r="AT211" s="23">
        <v>34</v>
      </c>
    </row>
    <row r="212" spans="45:46" x14ac:dyDescent="0.25">
      <c r="AS212" s="25">
        <v>41.1</v>
      </c>
      <c r="AT212" s="23">
        <v>34</v>
      </c>
    </row>
    <row r="213" spans="45:46" x14ac:dyDescent="0.25">
      <c r="AS213" s="25">
        <v>41</v>
      </c>
      <c r="AT213" s="23">
        <v>35</v>
      </c>
    </row>
    <row r="214" spans="45:46" x14ac:dyDescent="0.25">
      <c r="AS214" s="25">
        <v>40.9</v>
      </c>
      <c r="AT214" s="23">
        <v>35</v>
      </c>
    </row>
    <row r="215" spans="45:46" x14ac:dyDescent="0.25">
      <c r="AS215" s="25">
        <v>40.799999999999997</v>
      </c>
      <c r="AT215" s="23">
        <v>35</v>
      </c>
    </row>
    <row r="216" spans="45:46" x14ac:dyDescent="0.25">
      <c r="AS216" s="25">
        <v>40.700000000000003</v>
      </c>
      <c r="AT216" s="23">
        <v>35</v>
      </c>
    </row>
    <row r="217" spans="45:46" x14ac:dyDescent="0.25">
      <c r="AS217" s="25">
        <v>40.6</v>
      </c>
      <c r="AT217" s="23">
        <v>35</v>
      </c>
    </row>
    <row r="218" spans="45:46" x14ac:dyDescent="0.25">
      <c r="AS218" s="25">
        <v>40.5</v>
      </c>
      <c r="AT218" s="23">
        <v>36</v>
      </c>
    </row>
    <row r="219" spans="45:46" x14ac:dyDescent="0.25">
      <c r="AS219" s="25">
        <v>40.4</v>
      </c>
      <c r="AT219" s="23">
        <v>36</v>
      </c>
    </row>
    <row r="220" spans="45:46" x14ac:dyDescent="0.25">
      <c r="AS220" s="25">
        <v>40.299999999999997</v>
      </c>
      <c r="AT220" s="23">
        <v>36</v>
      </c>
    </row>
    <row r="221" spans="45:46" x14ac:dyDescent="0.25">
      <c r="AS221" s="25">
        <v>40.200000000000003</v>
      </c>
      <c r="AT221" s="23">
        <v>36</v>
      </c>
    </row>
    <row r="222" spans="45:46" x14ac:dyDescent="0.25">
      <c r="AS222" s="25">
        <v>40.1</v>
      </c>
      <c r="AT222" s="23">
        <v>36</v>
      </c>
    </row>
    <row r="223" spans="45:46" x14ac:dyDescent="0.25">
      <c r="AS223" s="25">
        <v>40</v>
      </c>
      <c r="AT223" s="23">
        <v>37</v>
      </c>
    </row>
    <row r="224" spans="45:46" x14ac:dyDescent="0.25">
      <c r="AS224" s="25">
        <v>39.9</v>
      </c>
      <c r="AT224" s="23">
        <v>37</v>
      </c>
    </row>
    <row r="225" spans="45:46" x14ac:dyDescent="0.25">
      <c r="AS225" s="25">
        <v>39.799999999999997</v>
      </c>
      <c r="AT225" s="23">
        <v>37</v>
      </c>
    </row>
    <row r="226" spans="45:46" x14ac:dyDescent="0.25">
      <c r="AS226" s="25">
        <v>39.700000000000003</v>
      </c>
      <c r="AT226" s="23">
        <v>37</v>
      </c>
    </row>
    <row r="227" spans="45:46" x14ac:dyDescent="0.25">
      <c r="AS227" s="25">
        <v>39.6</v>
      </c>
      <c r="AT227" s="23">
        <v>37</v>
      </c>
    </row>
    <row r="228" spans="45:46" x14ac:dyDescent="0.25">
      <c r="AS228" s="25">
        <v>39.5</v>
      </c>
      <c r="AT228" s="23">
        <v>38</v>
      </c>
    </row>
    <row r="229" spans="45:46" x14ac:dyDescent="0.25">
      <c r="AS229" s="25">
        <v>39.4</v>
      </c>
      <c r="AT229" s="23">
        <v>38</v>
      </c>
    </row>
    <row r="230" spans="45:46" x14ac:dyDescent="0.25">
      <c r="AS230" s="25">
        <v>39.299999999999997</v>
      </c>
      <c r="AT230" s="23">
        <v>38</v>
      </c>
    </row>
    <row r="231" spans="45:46" x14ac:dyDescent="0.25">
      <c r="AS231" s="25">
        <v>39.200000000000003</v>
      </c>
      <c r="AT231" s="23">
        <v>38</v>
      </c>
    </row>
    <row r="232" spans="45:46" x14ac:dyDescent="0.25">
      <c r="AS232" s="25">
        <v>39.1</v>
      </c>
      <c r="AT232" s="23">
        <v>38</v>
      </c>
    </row>
    <row r="233" spans="45:46" x14ac:dyDescent="0.25">
      <c r="AS233" s="25">
        <v>39</v>
      </c>
      <c r="AT233" s="23">
        <v>39</v>
      </c>
    </row>
    <row r="234" spans="45:46" x14ac:dyDescent="0.25">
      <c r="AS234" s="25">
        <v>38.9</v>
      </c>
      <c r="AT234" s="23">
        <v>39</v>
      </c>
    </row>
    <row r="235" spans="45:46" x14ac:dyDescent="0.25">
      <c r="AS235" s="25">
        <v>38.799999999999997</v>
      </c>
      <c r="AT235" s="23">
        <v>39</v>
      </c>
    </row>
    <row r="236" spans="45:46" x14ac:dyDescent="0.25">
      <c r="AS236" s="25">
        <v>38.700000000000003</v>
      </c>
      <c r="AT236" s="23">
        <v>39</v>
      </c>
    </row>
    <row r="237" spans="45:46" x14ac:dyDescent="0.25">
      <c r="AS237" s="25">
        <v>38.6</v>
      </c>
      <c r="AT237" s="23">
        <v>39</v>
      </c>
    </row>
    <row r="238" spans="45:46" x14ac:dyDescent="0.25">
      <c r="AS238" s="25">
        <v>38.5</v>
      </c>
      <c r="AT238" s="23">
        <v>39</v>
      </c>
    </row>
    <row r="239" spans="45:46" x14ac:dyDescent="0.25">
      <c r="AS239" s="25">
        <v>38.4</v>
      </c>
      <c r="AT239" s="23">
        <v>39</v>
      </c>
    </row>
    <row r="240" spans="45:46" x14ac:dyDescent="0.25">
      <c r="AS240" s="25">
        <v>38.299999999999997</v>
      </c>
      <c r="AT240" s="23">
        <v>39</v>
      </c>
    </row>
    <row r="241" spans="45:46" x14ac:dyDescent="0.25">
      <c r="AS241" s="25">
        <v>38.200000000000003</v>
      </c>
      <c r="AT241" s="23">
        <v>39</v>
      </c>
    </row>
    <row r="242" spans="45:46" x14ac:dyDescent="0.25">
      <c r="AS242" s="25">
        <v>38.1</v>
      </c>
      <c r="AT242" s="23">
        <v>39</v>
      </c>
    </row>
    <row r="243" spans="45:46" x14ac:dyDescent="0.25">
      <c r="AS243" s="25">
        <v>38</v>
      </c>
      <c r="AT243" s="23">
        <v>40</v>
      </c>
    </row>
    <row r="244" spans="45:46" x14ac:dyDescent="0.25">
      <c r="AS244" s="25">
        <v>37.9</v>
      </c>
      <c r="AT244" s="23">
        <v>40</v>
      </c>
    </row>
    <row r="245" spans="45:46" x14ac:dyDescent="0.25">
      <c r="AS245" s="25">
        <v>37.799999999999997</v>
      </c>
      <c r="AT245" s="23">
        <v>40</v>
      </c>
    </row>
    <row r="246" spans="45:46" x14ac:dyDescent="0.25">
      <c r="AS246" s="25">
        <v>37.700000000000003</v>
      </c>
      <c r="AT246" s="23">
        <v>40</v>
      </c>
    </row>
    <row r="247" spans="45:46" x14ac:dyDescent="0.25">
      <c r="AS247" s="25">
        <v>37.6</v>
      </c>
      <c r="AT247" s="23">
        <v>40</v>
      </c>
    </row>
    <row r="248" spans="45:46" x14ac:dyDescent="0.25">
      <c r="AS248" s="25">
        <v>37.5</v>
      </c>
      <c r="AT248" s="23">
        <v>40</v>
      </c>
    </row>
    <row r="249" spans="45:46" x14ac:dyDescent="0.25">
      <c r="AS249" s="25">
        <v>37.4</v>
      </c>
      <c r="AT249" s="23">
        <v>40</v>
      </c>
    </row>
    <row r="250" spans="45:46" x14ac:dyDescent="0.25">
      <c r="AS250" s="25">
        <v>37.299999999999997</v>
      </c>
      <c r="AT250" s="23">
        <v>40</v>
      </c>
    </row>
    <row r="251" spans="45:46" x14ac:dyDescent="0.25">
      <c r="AS251" s="25">
        <v>37.200000000000003</v>
      </c>
      <c r="AT251" s="23">
        <v>40</v>
      </c>
    </row>
    <row r="252" spans="45:46" x14ac:dyDescent="0.25">
      <c r="AS252" s="25">
        <v>37.1</v>
      </c>
      <c r="AT252" s="23">
        <v>40</v>
      </c>
    </row>
    <row r="253" spans="45:46" x14ac:dyDescent="0.25">
      <c r="AS253" s="25">
        <v>37</v>
      </c>
      <c r="AT253" s="23">
        <v>41</v>
      </c>
    </row>
    <row r="254" spans="45:46" x14ac:dyDescent="0.25">
      <c r="AS254" s="25">
        <v>36.9</v>
      </c>
      <c r="AT254" s="23">
        <v>41</v>
      </c>
    </row>
    <row r="255" spans="45:46" x14ac:dyDescent="0.25">
      <c r="AS255" s="25">
        <v>36.799999999999997</v>
      </c>
      <c r="AT255" s="23">
        <v>41</v>
      </c>
    </row>
    <row r="256" spans="45:46" x14ac:dyDescent="0.25">
      <c r="AS256" s="25">
        <v>36.700000000000003</v>
      </c>
      <c r="AT256" s="23">
        <v>41</v>
      </c>
    </row>
    <row r="257" spans="45:46" x14ac:dyDescent="0.25">
      <c r="AS257" s="25">
        <v>36.6</v>
      </c>
      <c r="AT257" s="23">
        <v>41</v>
      </c>
    </row>
    <row r="258" spans="45:46" x14ac:dyDescent="0.25">
      <c r="AS258" s="25">
        <v>36.5</v>
      </c>
      <c r="AT258" s="23">
        <v>41</v>
      </c>
    </row>
    <row r="259" spans="45:46" x14ac:dyDescent="0.25">
      <c r="AS259" s="25">
        <v>36.4</v>
      </c>
      <c r="AT259" s="23">
        <v>41</v>
      </c>
    </row>
    <row r="260" spans="45:46" x14ac:dyDescent="0.25">
      <c r="AS260" s="25">
        <v>36.299999999999997</v>
      </c>
      <c r="AT260" s="23">
        <v>41</v>
      </c>
    </row>
    <row r="261" spans="45:46" x14ac:dyDescent="0.25">
      <c r="AS261" s="25">
        <v>36.200000000000003</v>
      </c>
      <c r="AT261" s="23">
        <v>41</v>
      </c>
    </row>
    <row r="262" spans="45:46" x14ac:dyDescent="0.25">
      <c r="AS262" s="25">
        <v>36.1</v>
      </c>
      <c r="AT262" s="23">
        <v>41</v>
      </c>
    </row>
    <row r="263" spans="45:46" x14ac:dyDescent="0.25">
      <c r="AS263" s="25">
        <v>36</v>
      </c>
      <c r="AT263" s="23">
        <v>42</v>
      </c>
    </row>
    <row r="264" spans="45:46" x14ac:dyDescent="0.25">
      <c r="AS264" s="25">
        <v>35.9</v>
      </c>
      <c r="AT264" s="23">
        <v>42</v>
      </c>
    </row>
    <row r="265" spans="45:46" x14ac:dyDescent="0.25">
      <c r="AS265" s="25">
        <v>35.799999999999997</v>
      </c>
      <c r="AT265" s="23">
        <v>42</v>
      </c>
    </row>
    <row r="266" spans="45:46" x14ac:dyDescent="0.25">
      <c r="AS266" s="25">
        <v>35.700000000000003</v>
      </c>
      <c r="AT266" s="23">
        <v>42</v>
      </c>
    </row>
    <row r="267" spans="45:46" x14ac:dyDescent="0.25">
      <c r="AS267" s="25">
        <v>35.6</v>
      </c>
      <c r="AT267" s="23">
        <v>42</v>
      </c>
    </row>
    <row r="268" spans="45:46" x14ac:dyDescent="0.25">
      <c r="AS268" s="25">
        <v>35.5</v>
      </c>
      <c r="AT268" s="23">
        <v>42</v>
      </c>
    </row>
    <row r="269" spans="45:46" x14ac:dyDescent="0.25">
      <c r="AS269" s="25">
        <v>35.4</v>
      </c>
      <c r="AT269" s="23">
        <v>42</v>
      </c>
    </row>
    <row r="270" spans="45:46" x14ac:dyDescent="0.25">
      <c r="AS270" s="25">
        <v>35.299999999999997</v>
      </c>
      <c r="AT270" s="23">
        <v>42</v>
      </c>
    </row>
    <row r="271" spans="45:46" x14ac:dyDescent="0.25">
      <c r="AS271" s="25">
        <v>35.200000000000003</v>
      </c>
      <c r="AT271" s="23">
        <v>42</v>
      </c>
    </row>
    <row r="272" spans="45:46" x14ac:dyDescent="0.25">
      <c r="AS272" s="25">
        <v>35.1</v>
      </c>
      <c r="AT272" s="23">
        <v>42</v>
      </c>
    </row>
    <row r="273" spans="45:46" x14ac:dyDescent="0.25">
      <c r="AS273" s="25">
        <v>35</v>
      </c>
      <c r="AT273" s="23">
        <v>43</v>
      </c>
    </row>
    <row r="274" spans="45:46" x14ac:dyDescent="0.25">
      <c r="AS274" s="25">
        <v>34.9</v>
      </c>
      <c r="AT274" s="23">
        <v>43</v>
      </c>
    </row>
    <row r="275" spans="45:46" x14ac:dyDescent="0.25">
      <c r="AS275" s="25">
        <v>34.799999999999997</v>
      </c>
      <c r="AT275" s="23">
        <v>43</v>
      </c>
    </row>
    <row r="276" spans="45:46" x14ac:dyDescent="0.25">
      <c r="AS276" s="25">
        <v>34.700000000000003</v>
      </c>
      <c r="AT276" s="23">
        <v>43</v>
      </c>
    </row>
    <row r="277" spans="45:46" x14ac:dyDescent="0.25">
      <c r="AS277" s="25">
        <v>34.6</v>
      </c>
      <c r="AT277" s="23">
        <v>43</v>
      </c>
    </row>
    <row r="278" spans="45:46" x14ac:dyDescent="0.25">
      <c r="AS278" s="25">
        <v>34.5</v>
      </c>
      <c r="AT278" s="23">
        <v>43</v>
      </c>
    </row>
    <row r="279" spans="45:46" x14ac:dyDescent="0.25">
      <c r="AS279" s="25">
        <v>34.4</v>
      </c>
      <c r="AT279" s="23">
        <v>43</v>
      </c>
    </row>
    <row r="280" spans="45:46" x14ac:dyDescent="0.25">
      <c r="AS280" s="25">
        <v>34.299999999999997</v>
      </c>
      <c r="AT280" s="23">
        <v>43</v>
      </c>
    </row>
    <row r="281" spans="45:46" x14ac:dyDescent="0.25">
      <c r="AS281" s="25">
        <v>34.200000000000003</v>
      </c>
      <c r="AT281" s="23">
        <v>43</v>
      </c>
    </row>
    <row r="282" spans="45:46" x14ac:dyDescent="0.25">
      <c r="AS282" s="25">
        <v>34.1</v>
      </c>
      <c r="AT282" s="23">
        <v>43</v>
      </c>
    </row>
    <row r="283" spans="45:46" x14ac:dyDescent="0.25">
      <c r="AS283" s="25">
        <v>34</v>
      </c>
      <c r="AT283" s="23">
        <v>44</v>
      </c>
    </row>
    <row r="284" spans="45:46" x14ac:dyDescent="0.25">
      <c r="AS284" s="25">
        <v>33.9</v>
      </c>
      <c r="AT284" s="23">
        <v>44</v>
      </c>
    </row>
    <row r="285" spans="45:46" x14ac:dyDescent="0.25">
      <c r="AS285" s="25">
        <v>33.799999999999997</v>
      </c>
      <c r="AT285" s="23">
        <v>44</v>
      </c>
    </row>
    <row r="286" spans="45:46" x14ac:dyDescent="0.25">
      <c r="AS286" s="25">
        <v>33.700000000000003</v>
      </c>
      <c r="AT286" s="23">
        <v>44</v>
      </c>
    </row>
    <row r="287" spans="45:46" x14ac:dyDescent="0.25">
      <c r="AS287" s="25">
        <v>33.6</v>
      </c>
      <c r="AT287" s="23">
        <v>44</v>
      </c>
    </row>
    <row r="288" spans="45:46" x14ac:dyDescent="0.25">
      <c r="AS288" s="25">
        <v>33.5</v>
      </c>
      <c r="AT288" s="23">
        <v>44</v>
      </c>
    </row>
    <row r="289" spans="45:46" x14ac:dyDescent="0.25">
      <c r="AS289" s="25">
        <v>33.4</v>
      </c>
      <c r="AT289" s="23">
        <v>44</v>
      </c>
    </row>
    <row r="290" spans="45:46" x14ac:dyDescent="0.25">
      <c r="AS290" s="25">
        <v>33.299999999999997</v>
      </c>
      <c r="AT290" s="23">
        <v>44</v>
      </c>
    </row>
    <row r="291" spans="45:46" x14ac:dyDescent="0.25">
      <c r="AS291" s="25">
        <v>33.200000000000003</v>
      </c>
      <c r="AT291" s="23">
        <v>44</v>
      </c>
    </row>
    <row r="292" spans="45:46" x14ac:dyDescent="0.25">
      <c r="AS292" s="25">
        <v>33.1</v>
      </c>
      <c r="AT292" s="23">
        <v>44</v>
      </c>
    </row>
    <row r="293" spans="45:46" x14ac:dyDescent="0.25">
      <c r="AS293" s="25">
        <v>33</v>
      </c>
      <c r="AT293" s="23">
        <v>45</v>
      </c>
    </row>
    <row r="294" spans="45:46" x14ac:dyDescent="0.25">
      <c r="AS294" s="25">
        <v>32.9</v>
      </c>
      <c r="AT294" s="23">
        <v>45</v>
      </c>
    </row>
    <row r="295" spans="45:46" x14ac:dyDescent="0.25">
      <c r="AS295" s="25">
        <v>32.799999999999997</v>
      </c>
      <c r="AT295" s="23">
        <v>45</v>
      </c>
    </row>
    <row r="296" spans="45:46" x14ac:dyDescent="0.25">
      <c r="AS296" s="25">
        <v>32.700000000000003</v>
      </c>
      <c r="AT296" s="23">
        <v>45</v>
      </c>
    </row>
    <row r="297" spans="45:46" x14ac:dyDescent="0.25">
      <c r="AS297" s="25">
        <v>32.6</v>
      </c>
      <c r="AT297" s="23">
        <v>45</v>
      </c>
    </row>
    <row r="298" spans="45:46" x14ac:dyDescent="0.25">
      <c r="AS298" s="25">
        <v>32.5</v>
      </c>
      <c r="AT298" s="23">
        <v>45</v>
      </c>
    </row>
    <row r="299" spans="45:46" x14ac:dyDescent="0.25">
      <c r="AS299" s="25">
        <v>32.4</v>
      </c>
      <c r="AT299" s="23">
        <v>45</v>
      </c>
    </row>
    <row r="300" spans="45:46" x14ac:dyDescent="0.25">
      <c r="AS300" s="25">
        <v>32.299999999999997</v>
      </c>
      <c r="AT300" s="23">
        <v>45</v>
      </c>
    </row>
    <row r="301" spans="45:46" x14ac:dyDescent="0.25">
      <c r="AS301" s="25">
        <v>32.200000000000003</v>
      </c>
      <c r="AT301" s="23">
        <v>45</v>
      </c>
    </row>
    <row r="302" spans="45:46" x14ac:dyDescent="0.25">
      <c r="AS302" s="25">
        <v>32.1</v>
      </c>
      <c r="AT302" s="23">
        <v>45</v>
      </c>
    </row>
    <row r="303" spans="45:46" x14ac:dyDescent="0.25">
      <c r="AS303" s="25">
        <v>32</v>
      </c>
      <c r="AT303" s="23">
        <v>46</v>
      </c>
    </row>
    <row r="304" spans="45:46" x14ac:dyDescent="0.25">
      <c r="AS304" s="25">
        <v>31.9</v>
      </c>
      <c r="AT304" s="23">
        <v>46</v>
      </c>
    </row>
    <row r="305" spans="45:46" x14ac:dyDescent="0.25">
      <c r="AS305" s="25">
        <v>31.8</v>
      </c>
      <c r="AT305" s="23">
        <v>46</v>
      </c>
    </row>
    <row r="306" spans="45:46" x14ac:dyDescent="0.25">
      <c r="AS306" s="25">
        <v>31.7</v>
      </c>
      <c r="AT306" s="23">
        <v>46</v>
      </c>
    </row>
    <row r="307" spans="45:46" x14ac:dyDescent="0.25">
      <c r="AS307" s="25">
        <v>31.6</v>
      </c>
      <c r="AT307" s="23">
        <v>46</v>
      </c>
    </row>
    <row r="308" spans="45:46" x14ac:dyDescent="0.25">
      <c r="AS308" s="25">
        <v>31.5</v>
      </c>
      <c r="AT308" s="23">
        <v>46</v>
      </c>
    </row>
    <row r="309" spans="45:46" x14ac:dyDescent="0.25">
      <c r="AS309" s="25">
        <v>31.4</v>
      </c>
      <c r="AT309" s="23">
        <v>46</v>
      </c>
    </row>
    <row r="310" spans="45:46" x14ac:dyDescent="0.25">
      <c r="AS310" s="25">
        <v>31.3</v>
      </c>
      <c r="AT310" s="23">
        <v>46</v>
      </c>
    </row>
    <row r="311" spans="45:46" x14ac:dyDescent="0.25">
      <c r="AS311" s="25">
        <v>31.2</v>
      </c>
      <c r="AT311" s="23">
        <v>46</v>
      </c>
    </row>
    <row r="312" spans="45:46" x14ac:dyDescent="0.25">
      <c r="AS312" s="25">
        <v>31.1</v>
      </c>
      <c r="AT312" s="23">
        <v>46</v>
      </c>
    </row>
    <row r="313" spans="45:46" x14ac:dyDescent="0.25">
      <c r="AS313" s="25">
        <v>31</v>
      </c>
      <c r="AT313" s="23">
        <v>47</v>
      </c>
    </row>
    <row r="314" spans="45:46" x14ac:dyDescent="0.25">
      <c r="AS314" s="25">
        <v>30.9</v>
      </c>
      <c r="AT314" s="23">
        <v>47</v>
      </c>
    </row>
    <row r="315" spans="45:46" x14ac:dyDescent="0.25">
      <c r="AS315" s="25">
        <v>30.8</v>
      </c>
      <c r="AT315" s="23">
        <v>47</v>
      </c>
    </row>
    <row r="316" spans="45:46" x14ac:dyDescent="0.25">
      <c r="AS316" s="25">
        <v>30.7</v>
      </c>
      <c r="AT316" s="23">
        <v>47</v>
      </c>
    </row>
    <row r="317" spans="45:46" x14ac:dyDescent="0.25">
      <c r="AS317" s="25">
        <v>30.6</v>
      </c>
      <c r="AT317" s="23">
        <v>47</v>
      </c>
    </row>
    <row r="318" spans="45:46" x14ac:dyDescent="0.25">
      <c r="AS318" s="25">
        <v>30.5</v>
      </c>
      <c r="AT318" s="23">
        <v>47</v>
      </c>
    </row>
    <row r="319" spans="45:46" x14ac:dyDescent="0.25">
      <c r="AS319" s="25">
        <v>30.4</v>
      </c>
      <c r="AT319" s="23">
        <v>47</v>
      </c>
    </row>
    <row r="320" spans="45:46" x14ac:dyDescent="0.25">
      <c r="AS320" s="25">
        <v>30.3</v>
      </c>
      <c r="AT320" s="23">
        <v>47</v>
      </c>
    </row>
    <row r="321" spans="45:46" x14ac:dyDescent="0.25">
      <c r="AS321" s="25">
        <v>30.2</v>
      </c>
      <c r="AT321" s="23">
        <v>47</v>
      </c>
    </row>
    <row r="322" spans="45:46" x14ac:dyDescent="0.25">
      <c r="AS322" s="25">
        <v>30.1</v>
      </c>
      <c r="AT322" s="23">
        <v>47</v>
      </c>
    </row>
    <row r="323" spans="45:46" x14ac:dyDescent="0.25">
      <c r="AS323" s="25">
        <v>30</v>
      </c>
      <c r="AT323" s="23">
        <v>48</v>
      </c>
    </row>
    <row r="324" spans="45:46" x14ac:dyDescent="0.25">
      <c r="AS324" s="25">
        <v>29.9</v>
      </c>
      <c r="AT324" s="23">
        <v>48</v>
      </c>
    </row>
    <row r="325" spans="45:46" x14ac:dyDescent="0.25">
      <c r="AS325" s="25">
        <v>29.8</v>
      </c>
      <c r="AT325" s="23">
        <v>48</v>
      </c>
    </row>
    <row r="326" spans="45:46" x14ac:dyDescent="0.25">
      <c r="AS326" s="25">
        <v>29.7</v>
      </c>
      <c r="AT326" s="23">
        <v>48</v>
      </c>
    </row>
    <row r="327" spans="45:46" x14ac:dyDescent="0.25">
      <c r="AS327" s="25">
        <v>29.6</v>
      </c>
      <c r="AT327" s="23">
        <v>48</v>
      </c>
    </row>
    <row r="328" spans="45:46" x14ac:dyDescent="0.25">
      <c r="AS328" s="25">
        <v>29.5</v>
      </c>
      <c r="AT328" s="23">
        <v>48</v>
      </c>
    </row>
    <row r="329" spans="45:46" x14ac:dyDescent="0.25">
      <c r="AS329" s="25">
        <v>29.4</v>
      </c>
      <c r="AT329" s="23">
        <v>48</v>
      </c>
    </row>
    <row r="330" spans="45:46" x14ac:dyDescent="0.25">
      <c r="AS330" s="25">
        <v>29.3</v>
      </c>
      <c r="AT330" s="23">
        <v>48</v>
      </c>
    </row>
    <row r="331" spans="45:46" x14ac:dyDescent="0.25">
      <c r="AS331" s="25">
        <v>29.2</v>
      </c>
      <c r="AT331" s="23">
        <v>48</v>
      </c>
    </row>
    <row r="332" spans="45:46" x14ac:dyDescent="0.25">
      <c r="AS332" s="25">
        <v>29.1</v>
      </c>
      <c r="AT332" s="23">
        <v>48</v>
      </c>
    </row>
    <row r="333" spans="45:46" x14ac:dyDescent="0.25">
      <c r="AS333" s="25">
        <v>29</v>
      </c>
      <c r="AT333" s="23">
        <v>49</v>
      </c>
    </row>
    <row r="334" spans="45:46" x14ac:dyDescent="0.25">
      <c r="AS334" s="25">
        <v>28.9</v>
      </c>
      <c r="AT334" s="23">
        <v>49</v>
      </c>
    </row>
    <row r="335" spans="45:46" x14ac:dyDescent="0.25">
      <c r="AS335" s="25">
        <v>28.8</v>
      </c>
      <c r="AT335" s="23">
        <v>49</v>
      </c>
    </row>
    <row r="336" spans="45:46" x14ac:dyDescent="0.25">
      <c r="AS336" s="25">
        <v>28.7</v>
      </c>
      <c r="AT336" s="23">
        <v>49</v>
      </c>
    </row>
    <row r="337" spans="45:46" x14ac:dyDescent="0.25">
      <c r="AS337" s="25">
        <v>28.6</v>
      </c>
      <c r="AT337" s="23">
        <v>49</v>
      </c>
    </row>
    <row r="338" spans="45:46" x14ac:dyDescent="0.25">
      <c r="AS338" s="25">
        <v>28.5</v>
      </c>
      <c r="AT338" s="23">
        <v>49</v>
      </c>
    </row>
    <row r="339" spans="45:46" x14ac:dyDescent="0.25">
      <c r="AS339" s="25">
        <v>28.4</v>
      </c>
      <c r="AT339" s="23">
        <v>49</v>
      </c>
    </row>
    <row r="340" spans="45:46" x14ac:dyDescent="0.25">
      <c r="AS340" s="25">
        <v>28.3</v>
      </c>
      <c r="AT340" s="23">
        <v>49</v>
      </c>
    </row>
    <row r="341" spans="45:46" x14ac:dyDescent="0.25">
      <c r="AS341" s="25">
        <v>28.2</v>
      </c>
      <c r="AT341" s="23">
        <v>49</v>
      </c>
    </row>
    <row r="342" spans="45:46" x14ac:dyDescent="0.25">
      <c r="AS342" s="25">
        <v>28.1</v>
      </c>
      <c r="AT342" s="23">
        <v>49</v>
      </c>
    </row>
    <row r="343" spans="45:46" x14ac:dyDescent="0.25">
      <c r="AS343" s="25">
        <v>28</v>
      </c>
      <c r="AT343" s="23">
        <v>50</v>
      </c>
    </row>
  </sheetData>
  <mergeCells count="3">
    <mergeCell ref="W1:Z1"/>
    <mergeCell ref="AX1:AY1"/>
    <mergeCell ref="AX2:AY2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2" topLeftCell="A3" activePane="bottomLeft" state="frozen"/>
      <selection pane="bottomLeft" activeCell="A2" sqref="A2"/>
    </sheetView>
  </sheetViews>
  <sheetFormatPr baseColWidth="10" defaultColWidth="11.44140625" defaultRowHeight="13.8" x14ac:dyDescent="0.25"/>
  <cols>
    <col min="1" max="4" width="11.44140625" style="24"/>
    <col min="5" max="5" width="11.44140625" style="26"/>
    <col min="6" max="6" width="11.44140625" style="23"/>
    <col min="7" max="8" width="11.44140625" style="26"/>
    <col min="9" max="10" width="11.44140625" style="23"/>
    <col min="11" max="16384" width="11.44140625" style="24"/>
  </cols>
  <sheetData>
    <row r="1" spans="1:10" ht="15" x14ac:dyDescent="0.25">
      <c r="A1" s="28" t="s">
        <v>31</v>
      </c>
      <c r="B1" s="22"/>
      <c r="C1" s="28" t="s">
        <v>32</v>
      </c>
      <c r="D1" s="22"/>
      <c r="E1" s="35" t="s">
        <v>33</v>
      </c>
      <c r="F1" s="22"/>
      <c r="G1" s="36" t="s">
        <v>34</v>
      </c>
      <c r="H1" s="36"/>
      <c r="I1" s="31" t="s">
        <v>35</v>
      </c>
    </row>
    <row r="2" spans="1:10" ht="14.25" x14ac:dyDescent="0.2">
      <c r="A2" s="23" t="s">
        <v>50</v>
      </c>
      <c r="B2" s="23" t="s">
        <v>48</v>
      </c>
      <c r="C2" s="23" t="s">
        <v>82</v>
      </c>
      <c r="D2" s="23" t="s">
        <v>48</v>
      </c>
      <c r="E2" s="26" t="s">
        <v>62</v>
      </c>
      <c r="F2" s="23" t="s">
        <v>48</v>
      </c>
      <c r="G2" s="26" t="s">
        <v>46</v>
      </c>
      <c r="H2" s="26" t="s">
        <v>48</v>
      </c>
      <c r="I2" s="23" t="s">
        <v>51</v>
      </c>
      <c r="J2" s="23" t="s">
        <v>48</v>
      </c>
    </row>
    <row r="3" spans="1:10" ht="14.25" x14ac:dyDescent="0.2">
      <c r="A3" s="23">
        <v>1</v>
      </c>
      <c r="B3" s="23">
        <v>1</v>
      </c>
      <c r="C3" s="23">
        <v>5</v>
      </c>
      <c r="D3" s="23">
        <v>50</v>
      </c>
      <c r="E3" s="26">
        <v>1</v>
      </c>
      <c r="F3" s="23">
        <v>50</v>
      </c>
      <c r="G3" s="26">
        <v>1</v>
      </c>
      <c r="H3" s="27">
        <v>50</v>
      </c>
      <c r="I3" s="23">
        <v>0</v>
      </c>
      <c r="J3" s="23">
        <v>50</v>
      </c>
    </row>
    <row r="4" spans="1:10" ht="14.25" x14ac:dyDescent="0.2">
      <c r="A4" s="23">
        <v>2</v>
      </c>
      <c r="B4" s="23">
        <v>1</v>
      </c>
      <c r="C4" s="23">
        <v>6</v>
      </c>
      <c r="D4" s="23">
        <v>49</v>
      </c>
      <c r="E4" s="26">
        <v>1.25</v>
      </c>
      <c r="F4" s="23">
        <v>46</v>
      </c>
      <c r="G4" s="26">
        <v>1.25</v>
      </c>
      <c r="H4" s="27">
        <v>46</v>
      </c>
      <c r="I4" s="23">
        <v>1</v>
      </c>
      <c r="J4" s="23">
        <v>46</v>
      </c>
    </row>
    <row r="5" spans="1:10" ht="14.25" x14ac:dyDescent="0.2">
      <c r="A5" s="23">
        <v>3</v>
      </c>
      <c r="B5" s="23">
        <v>2</v>
      </c>
      <c r="C5" s="23">
        <v>7</v>
      </c>
      <c r="D5" s="23">
        <v>48</v>
      </c>
      <c r="E5" s="26">
        <v>1.5</v>
      </c>
      <c r="F5" s="23">
        <v>42</v>
      </c>
      <c r="G5" s="26">
        <v>1.5</v>
      </c>
      <c r="H5" s="27">
        <v>42</v>
      </c>
      <c r="I5" s="23">
        <v>2</v>
      </c>
      <c r="J5" s="23">
        <v>44</v>
      </c>
    </row>
    <row r="6" spans="1:10" ht="14.25" x14ac:dyDescent="0.2">
      <c r="A6" s="23">
        <v>4</v>
      </c>
      <c r="B6" s="23">
        <v>4</v>
      </c>
      <c r="C6" s="23">
        <v>8</v>
      </c>
      <c r="D6" s="23">
        <v>47</v>
      </c>
      <c r="E6" s="26">
        <v>1.75</v>
      </c>
      <c r="F6" s="23">
        <v>38</v>
      </c>
      <c r="G6" s="26">
        <v>1.75</v>
      </c>
      <c r="H6" s="27">
        <v>38</v>
      </c>
      <c r="I6" s="23">
        <v>3</v>
      </c>
      <c r="J6" s="23">
        <v>42</v>
      </c>
    </row>
    <row r="7" spans="1:10" ht="14.25" x14ac:dyDescent="0.2">
      <c r="A7" s="23">
        <v>5</v>
      </c>
      <c r="B7" s="23">
        <v>6</v>
      </c>
      <c r="C7" s="23">
        <v>9</v>
      </c>
      <c r="D7" s="23">
        <v>46</v>
      </c>
      <c r="E7" s="26">
        <v>2</v>
      </c>
      <c r="F7" s="23">
        <v>34</v>
      </c>
      <c r="G7" s="26">
        <v>2</v>
      </c>
      <c r="H7" s="27">
        <v>34</v>
      </c>
      <c r="I7" s="23">
        <v>4</v>
      </c>
      <c r="J7" s="23">
        <v>40</v>
      </c>
    </row>
    <row r="8" spans="1:10" ht="14.25" x14ac:dyDescent="0.2">
      <c r="A8" s="23">
        <v>6</v>
      </c>
      <c r="B8" s="23">
        <v>8</v>
      </c>
      <c r="C8" s="23">
        <v>10</v>
      </c>
      <c r="D8" s="23">
        <v>45</v>
      </c>
      <c r="E8" s="26">
        <v>2.25</v>
      </c>
      <c r="F8" s="23">
        <v>29</v>
      </c>
      <c r="G8" s="26">
        <v>2.25</v>
      </c>
      <c r="H8" s="27">
        <v>29</v>
      </c>
      <c r="I8" s="23">
        <v>5</v>
      </c>
      <c r="J8" s="23">
        <v>38</v>
      </c>
    </row>
    <row r="9" spans="1:10" ht="14.25" x14ac:dyDescent="0.2">
      <c r="A9" s="23">
        <v>7</v>
      </c>
      <c r="B9" s="23">
        <v>10</v>
      </c>
      <c r="C9" s="23">
        <v>11</v>
      </c>
      <c r="D9" s="23">
        <v>44</v>
      </c>
      <c r="E9" s="26">
        <v>2.5</v>
      </c>
      <c r="F9" s="23">
        <v>25</v>
      </c>
      <c r="G9" s="26">
        <v>2.5</v>
      </c>
      <c r="H9" s="27">
        <v>25</v>
      </c>
      <c r="I9" s="23">
        <v>6</v>
      </c>
      <c r="J9" s="23">
        <v>36</v>
      </c>
    </row>
    <row r="10" spans="1:10" ht="14.25" x14ac:dyDescent="0.2">
      <c r="A10" s="23">
        <v>8</v>
      </c>
      <c r="B10" s="23">
        <v>12</v>
      </c>
      <c r="C10" s="23">
        <v>12</v>
      </c>
      <c r="D10" s="23">
        <v>43</v>
      </c>
      <c r="E10" s="26">
        <v>2.75</v>
      </c>
      <c r="F10" s="23">
        <v>22</v>
      </c>
      <c r="G10" s="26">
        <v>2.75</v>
      </c>
      <c r="H10" s="27">
        <v>22</v>
      </c>
      <c r="I10" s="23">
        <v>7</v>
      </c>
      <c r="J10" s="23">
        <v>34</v>
      </c>
    </row>
    <row r="11" spans="1:10" ht="14.25" x14ac:dyDescent="0.2">
      <c r="A11" s="23">
        <v>9</v>
      </c>
      <c r="B11" s="23">
        <v>14</v>
      </c>
      <c r="C11" s="23">
        <v>13</v>
      </c>
      <c r="D11" s="23">
        <v>42</v>
      </c>
      <c r="E11" s="26">
        <v>3</v>
      </c>
      <c r="F11" s="23">
        <v>19</v>
      </c>
      <c r="G11" s="26">
        <v>3</v>
      </c>
      <c r="H11" s="27">
        <v>19</v>
      </c>
      <c r="I11" s="23">
        <v>8</v>
      </c>
      <c r="J11" s="23">
        <v>33</v>
      </c>
    </row>
    <row r="12" spans="1:10" ht="14.25" x14ac:dyDescent="0.2">
      <c r="A12" s="23">
        <v>10</v>
      </c>
      <c r="B12" s="23">
        <v>16</v>
      </c>
      <c r="C12" s="23">
        <v>14</v>
      </c>
      <c r="D12" s="23">
        <v>41</v>
      </c>
      <c r="E12" s="26">
        <v>3.25</v>
      </c>
      <c r="F12" s="23">
        <v>16</v>
      </c>
      <c r="G12" s="26">
        <v>3.25</v>
      </c>
      <c r="H12" s="27">
        <v>16</v>
      </c>
      <c r="I12" s="23">
        <v>9</v>
      </c>
      <c r="J12" s="23">
        <v>32</v>
      </c>
    </row>
    <row r="13" spans="1:10" ht="14.25" x14ac:dyDescent="0.2">
      <c r="A13" s="23">
        <v>11</v>
      </c>
      <c r="B13" s="23">
        <v>18</v>
      </c>
      <c r="C13" s="23">
        <v>15</v>
      </c>
      <c r="D13" s="23">
        <v>40</v>
      </c>
      <c r="E13" s="26">
        <v>3.5</v>
      </c>
      <c r="F13" s="23">
        <v>13</v>
      </c>
      <c r="G13" s="26">
        <v>3.5</v>
      </c>
      <c r="H13" s="27">
        <v>13</v>
      </c>
      <c r="I13" s="23">
        <v>10</v>
      </c>
      <c r="J13" s="23">
        <v>31</v>
      </c>
    </row>
    <row r="14" spans="1:10" ht="14.25" x14ac:dyDescent="0.2">
      <c r="A14" s="23">
        <v>12</v>
      </c>
      <c r="B14" s="23">
        <v>20</v>
      </c>
      <c r="C14" s="23">
        <v>16</v>
      </c>
      <c r="D14" s="23">
        <v>39</v>
      </c>
      <c r="E14" s="26">
        <v>3.75</v>
      </c>
      <c r="F14" s="23">
        <v>10</v>
      </c>
      <c r="G14" s="26">
        <v>3.75</v>
      </c>
      <c r="H14" s="27">
        <v>10</v>
      </c>
      <c r="I14" s="23">
        <v>11</v>
      </c>
      <c r="J14" s="23">
        <v>30</v>
      </c>
    </row>
    <row r="15" spans="1:10" ht="14.25" x14ac:dyDescent="0.2">
      <c r="A15" s="23">
        <v>13</v>
      </c>
      <c r="B15" s="23">
        <v>22</v>
      </c>
      <c r="C15" s="23">
        <v>17</v>
      </c>
      <c r="D15" s="23">
        <v>38</v>
      </c>
      <c r="E15" s="26">
        <v>4</v>
      </c>
      <c r="F15" s="23">
        <v>7</v>
      </c>
      <c r="G15" s="26">
        <v>4</v>
      </c>
      <c r="H15" s="27">
        <v>7</v>
      </c>
      <c r="I15" s="23">
        <v>12</v>
      </c>
      <c r="J15" s="23">
        <v>29</v>
      </c>
    </row>
    <row r="16" spans="1:10" ht="14.25" x14ac:dyDescent="0.2">
      <c r="A16" s="23">
        <v>14</v>
      </c>
      <c r="B16" s="23">
        <v>24</v>
      </c>
      <c r="C16" s="23">
        <v>18</v>
      </c>
      <c r="D16" s="23">
        <v>37</v>
      </c>
      <c r="E16" s="26">
        <v>4.25</v>
      </c>
      <c r="F16" s="23">
        <v>5</v>
      </c>
      <c r="G16" s="26">
        <v>4.25</v>
      </c>
      <c r="H16" s="27">
        <v>5</v>
      </c>
      <c r="I16" s="23">
        <v>13</v>
      </c>
      <c r="J16" s="23">
        <v>28</v>
      </c>
    </row>
    <row r="17" spans="1:10" ht="14.25" x14ac:dyDescent="0.2">
      <c r="A17" s="23">
        <v>15</v>
      </c>
      <c r="B17" s="23">
        <v>26</v>
      </c>
      <c r="C17" s="23">
        <v>19</v>
      </c>
      <c r="D17" s="23">
        <v>36</v>
      </c>
      <c r="E17" s="26">
        <v>4.5</v>
      </c>
      <c r="F17" s="23">
        <v>3</v>
      </c>
      <c r="G17" s="26">
        <v>4.5</v>
      </c>
      <c r="H17" s="27">
        <v>3</v>
      </c>
      <c r="I17" s="23">
        <v>14</v>
      </c>
      <c r="J17" s="23">
        <v>27</v>
      </c>
    </row>
    <row r="18" spans="1:10" ht="14.25" x14ac:dyDescent="0.2">
      <c r="A18" s="23">
        <v>16</v>
      </c>
      <c r="B18" s="23">
        <v>28</v>
      </c>
      <c r="C18" s="23">
        <v>20</v>
      </c>
      <c r="D18" s="23">
        <v>35</v>
      </c>
      <c r="E18" s="26">
        <v>4.75</v>
      </c>
      <c r="F18" s="23">
        <v>1</v>
      </c>
      <c r="G18" s="26">
        <v>4.75</v>
      </c>
      <c r="H18" s="27">
        <v>1</v>
      </c>
      <c r="I18" s="23">
        <v>15</v>
      </c>
      <c r="J18" s="23">
        <v>26</v>
      </c>
    </row>
    <row r="19" spans="1:10" ht="14.25" x14ac:dyDescent="0.2">
      <c r="A19" s="23">
        <v>17</v>
      </c>
      <c r="B19" s="23">
        <v>30</v>
      </c>
      <c r="C19" s="23">
        <v>21</v>
      </c>
      <c r="D19" s="23">
        <v>33</v>
      </c>
      <c r="G19" s="24"/>
      <c r="I19" s="23">
        <v>16</v>
      </c>
      <c r="J19" s="23">
        <v>25</v>
      </c>
    </row>
    <row r="20" spans="1:10" ht="14.25" x14ac:dyDescent="0.2">
      <c r="A20" s="23">
        <v>18</v>
      </c>
      <c r="B20" s="23">
        <v>32</v>
      </c>
      <c r="C20" s="23">
        <v>22</v>
      </c>
      <c r="D20" s="23">
        <v>31</v>
      </c>
      <c r="I20" s="23">
        <v>17</v>
      </c>
      <c r="J20" s="23">
        <v>24</v>
      </c>
    </row>
    <row r="21" spans="1:10" ht="14.25" x14ac:dyDescent="0.2">
      <c r="A21" s="23">
        <v>19</v>
      </c>
      <c r="B21" s="23">
        <v>34</v>
      </c>
      <c r="C21" s="23">
        <v>23</v>
      </c>
      <c r="D21" s="23">
        <v>29</v>
      </c>
      <c r="I21" s="23">
        <v>18</v>
      </c>
      <c r="J21" s="23">
        <v>23</v>
      </c>
    </row>
    <row r="22" spans="1:10" ht="14.25" x14ac:dyDescent="0.2">
      <c r="A22" s="23">
        <v>20</v>
      </c>
      <c r="B22" s="23">
        <v>36</v>
      </c>
      <c r="C22" s="23">
        <v>24</v>
      </c>
      <c r="D22" s="23">
        <v>27</v>
      </c>
      <c r="I22" s="23">
        <v>19</v>
      </c>
      <c r="J22" s="23">
        <v>22</v>
      </c>
    </row>
    <row r="23" spans="1:10" ht="14.25" x14ac:dyDescent="0.2">
      <c r="A23" s="23">
        <v>21</v>
      </c>
      <c r="B23" s="23">
        <v>38</v>
      </c>
      <c r="C23" s="23">
        <v>25</v>
      </c>
      <c r="D23" s="23">
        <v>25</v>
      </c>
      <c r="I23" s="23">
        <v>20</v>
      </c>
      <c r="J23" s="23">
        <v>21</v>
      </c>
    </row>
    <row r="24" spans="1:10" ht="14.25" x14ac:dyDescent="0.2">
      <c r="A24" s="23">
        <v>22</v>
      </c>
      <c r="B24" s="23">
        <v>40</v>
      </c>
      <c r="C24" s="23">
        <v>26</v>
      </c>
      <c r="D24" s="23">
        <v>23</v>
      </c>
      <c r="G24" s="24"/>
      <c r="I24" s="23">
        <v>21</v>
      </c>
      <c r="J24" s="23">
        <v>20</v>
      </c>
    </row>
    <row r="25" spans="1:10" ht="14.25" x14ac:dyDescent="0.2">
      <c r="A25" s="23">
        <v>23</v>
      </c>
      <c r="B25" s="23">
        <v>42</v>
      </c>
      <c r="C25" s="23">
        <v>27</v>
      </c>
      <c r="D25" s="23">
        <v>21</v>
      </c>
      <c r="I25" s="23">
        <v>22</v>
      </c>
      <c r="J25" s="23">
        <v>19</v>
      </c>
    </row>
    <row r="26" spans="1:10" ht="14.25" x14ac:dyDescent="0.2">
      <c r="A26" s="23">
        <v>24</v>
      </c>
      <c r="B26" s="23">
        <v>44</v>
      </c>
      <c r="C26" s="23">
        <v>28</v>
      </c>
      <c r="D26" s="23">
        <v>19</v>
      </c>
      <c r="I26" s="23">
        <v>23</v>
      </c>
      <c r="J26" s="23">
        <v>18</v>
      </c>
    </row>
    <row r="27" spans="1:10" ht="14.25" x14ac:dyDescent="0.2">
      <c r="A27" s="23">
        <v>25</v>
      </c>
      <c r="B27" s="23">
        <v>46</v>
      </c>
      <c r="C27" s="23">
        <v>29</v>
      </c>
      <c r="D27" s="23">
        <v>17</v>
      </c>
      <c r="I27" s="23">
        <v>24</v>
      </c>
      <c r="J27" s="23">
        <v>17</v>
      </c>
    </row>
    <row r="28" spans="1:10" ht="14.25" x14ac:dyDescent="0.2">
      <c r="A28" s="23">
        <v>26</v>
      </c>
      <c r="B28" s="23">
        <v>48</v>
      </c>
      <c r="C28" s="23">
        <v>30</v>
      </c>
      <c r="D28" s="23">
        <v>15</v>
      </c>
      <c r="I28" s="23">
        <v>25</v>
      </c>
      <c r="J28" s="23">
        <v>16</v>
      </c>
    </row>
    <row r="29" spans="1:10" ht="14.25" x14ac:dyDescent="0.2">
      <c r="A29" s="23">
        <v>27</v>
      </c>
      <c r="B29" s="23">
        <v>49</v>
      </c>
      <c r="C29" s="23">
        <v>31</v>
      </c>
      <c r="D29" s="23">
        <v>13</v>
      </c>
      <c r="I29" s="23">
        <v>26</v>
      </c>
      <c r="J29" s="23">
        <v>15</v>
      </c>
    </row>
    <row r="30" spans="1:10" ht="14.25" x14ac:dyDescent="0.2">
      <c r="A30" s="23">
        <v>28</v>
      </c>
      <c r="B30" s="23">
        <v>50</v>
      </c>
      <c r="C30" s="23">
        <v>32</v>
      </c>
      <c r="D30" s="23">
        <v>11</v>
      </c>
      <c r="I30" s="23">
        <v>27</v>
      </c>
      <c r="J30" s="23">
        <v>14</v>
      </c>
    </row>
    <row r="31" spans="1:10" ht="14.25" x14ac:dyDescent="0.2">
      <c r="C31" s="23">
        <v>33</v>
      </c>
      <c r="D31" s="23">
        <v>9</v>
      </c>
      <c r="I31" s="23">
        <v>28</v>
      </c>
      <c r="J31" s="23">
        <v>13</v>
      </c>
    </row>
    <row r="32" spans="1:10" ht="14.25" x14ac:dyDescent="0.2">
      <c r="C32" s="23">
        <v>34</v>
      </c>
      <c r="D32" s="23">
        <v>7</v>
      </c>
      <c r="I32" s="23">
        <v>29</v>
      </c>
      <c r="J32" s="23">
        <v>12</v>
      </c>
    </row>
    <row r="33" spans="3:10" ht="14.25" x14ac:dyDescent="0.2">
      <c r="C33" s="23">
        <v>35</v>
      </c>
      <c r="D33" s="23">
        <v>6</v>
      </c>
      <c r="I33" s="23">
        <v>30</v>
      </c>
      <c r="J33" s="23">
        <v>11</v>
      </c>
    </row>
    <row r="34" spans="3:10" x14ac:dyDescent="0.25">
      <c r="C34" s="23">
        <v>36</v>
      </c>
      <c r="D34" s="23">
        <v>5</v>
      </c>
      <c r="I34" s="23">
        <v>31</v>
      </c>
      <c r="J34" s="23">
        <v>10</v>
      </c>
    </row>
    <row r="35" spans="3:10" x14ac:dyDescent="0.25">
      <c r="C35" s="23">
        <v>37</v>
      </c>
      <c r="D35" s="23">
        <v>4</v>
      </c>
      <c r="I35" s="23">
        <v>32</v>
      </c>
      <c r="J35" s="23">
        <v>9</v>
      </c>
    </row>
    <row r="36" spans="3:10" x14ac:dyDescent="0.25">
      <c r="C36" s="23">
        <v>38</v>
      </c>
      <c r="D36" s="23">
        <v>3</v>
      </c>
      <c r="I36" s="23">
        <v>33</v>
      </c>
      <c r="J36" s="23">
        <v>8</v>
      </c>
    </row>
    <row r="37" spans="3:10" x14ac:dyDescent="0.25">
      <c r="C37" s="23">
        <v>39</v>
      </c>
      <c r="D37" s="23">
        <v>2</v>
      </c>
      <c r="I37" s="23">
        <v>34</v>
      </c>
      <c r="J37" s="23">
        <v>7</v>
      </c>
    </row>
    <row r="38" spans="3:10" x14ac:dyDescent="0.25">
      <c r="C38" s="23">
        <v>40</v>
      </c>
      <c r="D38" s="23">
        <v>1</v>
      </c>
      <c r="I38" s="23">
        <v>35</v>
      </c>
      <c r="J38" s="23">
        <v>6</v>
      </c>
    </row>
    <row r="39" spans="3:10" x14ac:dyDescent="0.25">
      <c r="I39" s="23">
        <v>36</v>
      </c>
      <c r="J39" s="23">
        <v>5</v>
      </c>
    </row>
    <row r="40" spans="3:10" x14ac:dyDescent="0.25">
      <c r="I40" s="23">
        <v>37</v>
      </c>
      <c r="J40" s="23">
        <v>4</v>
      </c>
    </row>
    <row r="41" spans="3:10" x14ac:dyDescent="0.25">
      <c r="I41" s="23">
        <v>38</v>
      </c>
      <c r="J41" s="23">
        <v>3</v>
      </c>
    </row>
    <row r="42" spans="3:10" x14ac:dyDescent="0.25">
      <c r="I42" s="23">
        <v>39</v>
      </c>
      <c r="J42" s="23">
        <v>2</v>
      </c>
    </row>
    <row r="43" spans="3:10" x14ac:dyDescent="0.25">
      <c r="I43" s="23">
        <v>40</v>
      </c>
      <c r="J43" s="2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2</vt:i4>
      </vt:variant>
    </vt:vector>
  </HeadingPairs>
  <TitlesOfParts>
    <vt:vector size="10" baseType="lpstr">
      <vt:lpstr>männlich</vt:lpstr>
      <vt:lpstr>weiblich</vt:lpstr>
      <vt:lpstr>Übersicht_Starter</vt:lpstr>
      <vt:lpstr>Riegen_männlich</vt:lpstr>
      <vt:lpstr>Riegen_weiblich</vt:lpstr>
      <vt:lpstr>Liste_AT1</vt:lpstr>
      <vt:lpstr>Liste_AT2</vt:lpstr>
      <vt:lpstr>Liste_AT3</vt:lpstr>
      <vt:lpstr>männlich!Drucktitel</vt:lpstr>
      <vt:lpstr>weiblich!Drucktitel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 Test</dc:title>
  <dc:creator>Heiko Sobolewski</dc:creator>
  <cp:keywords>Wettkampf</cp:keywords>
  <cp:lastModifiedBy>Heiko Sobolewski</cp:lastModifiedBy>
  <cp:lastPrinted>2011-10-09T10:57:33Z</cp:lastPrinted>
  <dcterms:created xsi:type="dcterms:W3CDTF">2010-07-21T17:31:42Z</dcterms:created>
  <dcterms:modified xsi:type="dcterms:W3CDTF">2011-10-09T10:57:35Z</dcterms:modified>
</cp:coreProperties>
</file>