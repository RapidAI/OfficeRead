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drawings/drawing3.xml" ContentType="application/vnd.openxmlformats-officedocument.drawing+xml"/>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comments1.xml" ContentType="application/vnd.openxmlformats-officedocument.spreadsheetml.comments+xml"/>
  <Override PartName="/xl/drawings/drawing4.xml" ContentType="application/vnd.openxmlformats-officedocument.drawing+xml"/>
  <Override PartName="/xl/activeX/activeX5.xml" ContentType="application/vnd.ms-office.activeX+xml"/>
  <Override PartName="/xl/activeX/activeX5.bin" ContentType="application/vnd.ms-office.activeX"/>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activeX/activeX6.xml" ContentType="application/vnd.ms-office.activeX+xml"/>
  <Override PartName="/xl/activeX/activeX6.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backupFile="1" codeName="ThisWorkbook" defaultThemeVersion="124226"/>
  <mc:AlternateContent xmlns:mc="http://schemas.openxmlformats.org/markup-compatibility/2006">
    <mc:Choice Requires="x15">
      <x15ac:absPath xmlns:x15ac="http://schemas.microsoft.com/office/spreadsheetml/2010/11/ac" url="C:\Users\Public\Documents\"/>
    </mc:Choice>
  </mc:AlternateContent>
  <bookViews>
    <workbookView xWindow="-15" yWindow="-15" windowWidth="18600" windowHeight="12240"/>
  </bookViews>
  <sheets>
    <sheet name="Readme" sheetId="3" r:id="rId1"/>
    <sheet name="Excel" sheetId="6" r:id="rId2"/>
    <sheet name="ScanXLS" sheetId="1" r:id="rId3"/>
    <sheet name="Passwords" sheetId="2" r:id="rId4"/>
    <sheet name="Links" sheetId="4" r:id="rId5"/>
    <sheet name="Screenshot" sheetId="9" r:id="rId6"/>
    <sheet name="PQLinks" sheetId="7" r:id="rId7"/>
    <sheet name="VBAlinks" sheetId="8" r:id="rId8"/>
    <sheet name="WBCompare" sheetId="5" r:id="rId9"/>
  </sheets>
  <definedNames>
    <definedName name="VBA_LinksHeader">Links!$A$5</definedName>
    <definedName name="VBA_ListFileExt">ScanXLS!$B$1</definedName>
    <definedName name="VBA_Match">VBAlinks!$D$1</definedName>
    <definedName name="VBA_PasswordsHeader">Passwords!$A$5</definedName>
    <definedName name="VBA_PQLinksHeader">PQLinks!$A$5</definedName>
    <definedName name="VBA_RiskFormula">ScanXLS!$CL$1</definedName>
    <definedName name="VBA_Scandir">ScanXLS!$A$1</definedName>
    <definedName name="VBA_ScanMBperMin">ScanXLS!$J$1</definedName>
    <definedName name="VBA_ScanResultsHeader">ScanXLS!$A$5</definedName>
    <definedName name="VBA_SettingsHeader">Excel!$A$5</definedName>
    <definedName name="VBA_VBALinksHeader">VBAlinks!$A$5</definedName>
    <definedName name="VBA_WBCompareHeader">WBCompare!$A$5</definedName>
  </definedNames>
  <calcPr calcId="152511"/>
  <fileRecoveryPr autoRecover="0"/>
</workbook>
</file>

<file path=xl/calcChain.xml><?xml version="1.0" encoding="utf-8"?>
<calcChain xmlns="http://schemas.openxmlformats.org/spreadsheetml/2006/main">
  <c r="I24" i="4" l="1"/>
  <c r="I19" i="4"/>
  <c r="I18" i="4"/>
  <c r="CK3" i="1"/>
  <c r="CJ3" i="1"/>
  <c r="CI3" i="1"/>
  <c r="CH3" i="1"/>
  <c r="CG3" i="1"/>
  <c r="CF3" i="1"/>
  <c r="CE3" i="1"/>
  <c r="CD3" i="1"/>
  <c r="CC3" i="1"/>
  <c r="CB3" i="1"/>
  <c r="CA3" i="1"/>
  <c r="BZ3" i="1"/>
  <c r="BY3" i="1"/>
  <c r="BX3" i="1"/>
  <c r="BW3" i="1"/>
  <c r="BV3" i="1"/>
  <c r="BU3" i="1"/>
  <c r="BT3" i="1"/>
  <c r="BS3" i="1"/>
  <c r="BR3" i="1"/>
  <c r="BQ3" i="1"/>
  <c r="BP3" i="1"/>
  <c r="BO3" i="1"/>
  <c r="BN3" i="1"/>
  <c r="BM3" i="1"/>
  <c r="BL3" i="1"/>
  <c r="BK3" i="1"/>
  <c r="BJ3" i="1"/>
  <c r="BI3" i="1"/>
  <c r="BH3" i="1"/>
  <c r="BG3" i="1"/>
  <c r="BF3" i="1"/>
  <c r="BE3" i="1"/>
  <c r="BD3" i="1"/>
  <c r="BC3" i="1"/>
  <c r="BB3" i="1"/>
  <c r="BA3" i="1"/>
  <c r="AZ3" i="1"/>
  <c r="AY3" i="1"/>
  <c r="AX3" i="1"/>
  <c r="AW3" i="1"/>
  <c r="AV3" i="1"/>
  <c r="AU3" i="1"/>
  <c r="AT3" i="1"/>
  <c r="AS3" i="1"/>
  <c r="AR3" i="1"/>
  <c r="AQ3" i="1"/>
  <c r="AP3" i="1"/>
  <c r="AO3" i="1"/>
  <c r="AN3" i="1"/>
  <c r="AM3" i="1"/>
  <c r="AL3" i="1"/>
  <c r="AK3" i="1"/>
  <c r="AJ3" i="1"/>
  <c r="AI3" i="1"/>
  <c r="AH3" i="1"/>
  <c r="AG3" i="1"/>
  <c r="AF3" i="1"/>
  <c r="AE3" i="1"/>
  <c r="AD3" i="1"/>
  <c r="AC3" i="1"/>
  <c r="AB3" i="1"/>
  <c r="AA3" i="1"/>
  <c r="Z3" i="1"/>
  <c r="Y3" i="1"/>
  <c r="X3" i="1"/>
  <c r="W3" i="1"/>
  <c r="V3" i="1"/>
  <c r="U3" i="1"/>
  <c r="T3" i="1"/>
  <c r="S3" i="1"/>
  <c r="R3" i="1"/>
  <c r="Q3" i="1"/>
  <c r="P3" i="1"/>
  <c r="O3" i="1"/>
  <c r="N3" i="1"/>
  <c r="M3" i="1"/>
  <c r="L3" i="1"/>
  <c r="K3" i="1"/>
  <c r="J3" i="1"/>
  <c r="I3" i="1"/>
  <c r="F3" i="1"/>
  <c r="E3" i="1"/>
  <c r="D3" i="1"/>
  <c r="C3" i="1"/>
  <c r="CK2" i="1"/>
  <c r="CJ2" i="1"/>
  <c r="CI2" i="1"/>
  <c r="CH2" i="1"/>
  <c r="CG2" i="1"/>
  <c r="CF2" i="1"/>
  <c r="CE2" i="1"/>
  <c r="CD2" i="1"/>
  <c r="CC2" i="1"/>
  <c r="CB2" i="1"/>
  <c r="CA2" i="1"/>
  <c r="BZ2" i="1"/>
  <c r="BY2" i="1"/>
  <c r="BX2" i="1"/>
  <c r="BW2" i="1"/>
  <c r="BV2" i="1"/>
  <c r="BU2" i="1"/>
  <c r="BT2" i="1"/>
  <c r="BS2" i="1"/>
  <c r="BR2" i="1"/>
  <c r="BQ2" i="1"/>
  <c r="BP2" i="1"/>
  <c r="BO2" i="1"/>
  <c r="BN2" i="1"/>
  <c r="BM2" i="1"/>
  <c r="BL2" i="1"/>
  <c r="BK2" i="1"/>
  <c r="BJ2" i="1"/>
  <c r="BI2" i="1"/>
  <c r="BH2" i="1"/>
  <c r="BG2" i="1"/>
  <c r="BF2" i="1"/>
  <c r="BE2" i="1"/>
  <c r="BD2" i="1"/>
  <c r="BC2" i="1"/>
  <c r="BB2" i="1"/>
  <c r="BA2" i="1"/>
  <c r="AZ2" i="1"/>
  <c r="AY2" i="1"/>
  <c r="AX2" i="1"/>
  <c r="AW2" i="1"/>
  <c r="AV2" i="1"/>
  <c r="AU2" i="1"/>
  <c r="AT2" i="1"/>
  <c r="AS2" i="1"/>
  <c r="AR2" i="1"/>
  <c r="AQ2" i="1"/>
  <c r="AP2" i="1"/>
  <c r="AO2" i="1"/>
  <c r="AN2" i="1"/>
  <c r="AM2" i="1"/>
  <c r="AL2" i="1"/>
  <c r="AK2" i="1"/>
  <c r="AJ2" i="1"/>
  <c r="AI2" i="1"/>
  <c r="AH2" i="1"/>
  <c r="AG2" i="1"/>
  <c r="AF2" i="1"/>
  <c r="AE2" i="1"/>
  <c r="AD2" i="1"/>
  <c r="AC2" i="1"/>
  <c r="AB2" i="1"/>
  <c r="AA2" i="1"/>
  <c r="Z2" i="1"/>
  <c r="Y2" i="1"/>
  <c r="X2" i="1"/>
  <c r="W2" i="1"/>
  <c r="V2" i="1"/>
  <c r="U2" i="1"/>
  <c r="T2" i="1"/>
  <c r="S2" i="1"/>
  <c r="R2" i="1"/>
  <c r="Q2" i="1"/>
  <c r="P2" i="1"/>
  <c r="O2" i="1"/>
  <c r="N2" i="1"/>
  <c r="M2" i="1"/>
  <c r="L2" i="1"/>
  <c r="K2" i="1"/>
  <c r="J2" i="1"/>
  <c r="I2" i="1"/>
  <c r="G2" i="1"/>
  <c r="F2" i="1"/>
  <c r="E2" i="1"/>
  <c r="D2" i="1"/>
  <c r="C2" i="1"/>
  <c r="CL64" i="1"/>
  <c r="CL63" i="1"/>
  <c r="CL62" i="1"/>
  <c r="CL61" i="1"/>
  <c r="CL60" i="1"/>
  <c r="CL59" i="1"/>
  <c r="CL58" i="1"/>
  <c r="CL57" i="1"/>
  <c r="CL56" i="1"/>
  <c r="CL55" i="1"/>
  <c r="CL54" i="1"/>
  <c r="CL53" i="1"/>
  <c r="CL52" i="1"/>
  <c r="CL50" i="1"/>
  <c r="CL49" i="1"/>
  <c r="CL48" i="1"/>
  <c r="CL47" i="1"/>
  <c r="CL46" i="1"/>
  <c r="CL45" i="1"/>
  <c r="CL44" i="1"/>
  <c r="CL43" i="1"/>
  <c r="CL42" i="1"/>
  <c r="CL41" i="1"/>
  <c r="CL40" i="1"/>
  <c r="CL38" i="1"/>
  <c r="CL36" i="1"/>
  <c r="CL35" i="1"/>
  <c r="CL33" i="1"/>
  <c r="CL32" i="1"/>
  <c r="CL31" i="1"/>
  <c r="CL30" i="1"/>
  <c r="CL28" i="1"/>
  <c r="CL24" i="1"/>
  <c r="CL23" i="1"/>
  <c r="CL22" i="1"/>
  <c r="CL21" i="1"/>
  <c r="CL20" i="1"/>
  <c r="CL19" i="1"/>
  <c r="CL18" i="1"/>
  <c r="CL17" i="1"/>
  <c r="CL16" i="1"/>
  <c r="CL15" i="1"/>
  <c r="CL14" i="1"/>
  <c r="CL13" i="1"/>
  <c r="CL12" i="1"/>
  <c r="CL3" i="1" s="1"/>
  <c r="CL2" i="1" l="1"/>
  <c r="C6" i="6"/>
  <c r="CL1" i="1"/>
  <c r="J1" i="1"/>
</calcChain>
</file>

<file path=xl/comments1.xml><?xml version="1.0" encoding="utf-8"?>
<comments xmlns="http://schemas.openxmlformats.org/spreadsheetml/2006/main">
  <authors>
    <author>?</author>
    <author>User</author>
    <author>Patrick O'Beirne</author>
    <author>POB</author>
    <author>Client confidential</author>
    <author>640M</author>
  </authors>
  <commentList>
    <comment ref="A1" authorId="0" shapeId="0">
      <text>
        <r>
          <rPr>
            <sz val="8"/>
            <color indexed="81"/>
            <rFont val="Tahoma"/>
            <family val="2"/>
          </rPr>
          <t>Use the Browse button or 
enter the starting point for the directory search, e.g. 
C:\
\\ACCOUNTS\2007\</t>
        </r>
      </text>
    </comment>
    <comment ref="B1" authorId="0" shapeId="0">
      <text>
        <r>
          <rPr>
            <sz val="8"/>
            <color indexed="81"/>
            <rFont val="Tahoma"/>
            <family val="2"/>
          </rPr>
          <t>Enter file type in this cell and click the "List" button to obtain a list of those files in given folder and subfolders.</t>
        </r>
      </text>
    </comment>
    <comment ref="J1" authorId="0" shapeId="0">
      <text>
        <r>
          <rPr>
            <sz val="8"/>
            <color indexed="81"/>
            <rFont val="Tahoma"/>
            <family val="2"/>
          </rPr>
          <t xml:space="preserve">Rough estimate of processing time in MB per minute
</t>
        </r>
      </text>
    </comment>
    <comment ref="CL1" authorId="0" shapeId="0">
      <text>
        <r>
          <rPr>
            <sz val="8"/>
            <color indexed="81"/>
            <rFont val="Tahoma"/>
            <family val="2"/>
          </rPr>
          <t xml:space="preserve">A made-up Weighted Risk score. Feel free to adjust  as you think fit. It is copied into the cells below.
</t>
        </r>
        <r>
          <rPr>
            <b/>
            <sz val="8"/>
            <color indexed="81"/>
            <rFont val="Tahoma"/>
            <family val="2"/>
          </rPr>
          <t>DO NOT DELETE THIS COLUMN!</t>
        </r>
      </text>
    </comment>
    <comment ref="C2" authorId="0" shapeId="0">
      <text>
        <r>
          <rPr>
            <sz val="8"/>
            <color indexed="81"/>
            <rFont val="Tahoma"/>
            <family val="2"/>
          </rPr>
          <t>Total size</t>
        </r>
      </text>
    </comment>
    <comment ref="D2" authorId="0" shapeId="0">
      <text>
        <r>
          <rPr>
            <sz val="8"/>
            <color indexed="81"/>
            <rFont val="Tahoma"/>
            <family val="2"/>
          </rPr>
          <t xml:space="preserve">Earliest Creation Date
</t>
        </r>
      </text>
    </comment>
    <comment ref="E2" authorId="0" shapeId="0">
      <text>
        <r>
          <rPr>
            <sz val="8"/>
            <color indexed="81"/>
            <rFont val="Tahoma"/>
            <family val="2"/>
          </rPr>
          <t xml:space="preserve">Earliest Access Date
</t>
        </r>
      </text>
    </comment>
    <comment ref="F2" authorId="0" shapeId="0">
      <text>
        <r>
          <rPr>
            <sz val="8"/>
            <color indexed="81"/>
            <rFont val="Tahoma"/>
            <family val="2"/>
          </rPr>
          <t xml:space="preserve">Earliest Modified Date
</t>
        </r>
      </text>
    </comment>
    <comment ref="G2" authorId="0" shapeId="0">
      <text>
        <r>
          <rPr>
            <sz val="8"/>
            <color indexed="81"/>
            <rFont val="Tahoma"/>
            <family val="2"/>
          </rPr>
          <t>Count of files with any attributes. A=Archive, H=Hidden, R=Read-only, S=System</t>
        </r>
      </text>
    </comment>
    <comment ref="I2" authorId="0" shapeId="0">
      <text>
        <r>
          <rPr>
            <sz val="8"/>
            <color indexed="81"/>
            <rFont val="Tahoma"/>
            <family val="2"/>
          </rPr>
          <t>No. entries in this column</t>
        </r>
      </text>
    </comment>
    <comment ref="J2" authorId="0" shapeId="0">
      <text>
        <r>
          <rPr>
            <sz val="8"/>
            <color indexed="81"/>
            <rFont val="Tahoma"/>
            <family val="2"/>
          </rPr>
          <t xml:space="preserve">Total scan time 
</t>
        </r>
      </text>
    </comment>
    <comment ref="K2" authorId="0" shapeId="0">
      <text>
        <r>
          <rPr>
            <sz val="8"/>
            <color indexed="81"/>
            <rFont val="Tahoma"/>
            <family val="2"/>
          </rPr>
          <t>No. entries in this column</t>
        </r>
      </text>
    </comment>
    <comment ref="L2" authorId="0" shapeId="0">
      <text>
        <r>
          <rPr>
            <sz val="8"/>
            <color indexed="81"/>
            <rFont val="Tahoma"/>
            <family val="2"/>
          </rPr>
          <t>No. entries in this column</t>
        </r>
      </text>
    </comment>
    <comment ref="M2" authorId="0" shapeId="0">
      <text>
        <r>
          <rPr>
            <sz val="8"/>
            <color indexed="81"/>
            <rFont val="Tahoma"/>
            <family val="2"/>
          </rPr>
          <t>No. entries in this column</t>
        </r>
      </text>
    </comment>
    <comment ref="N2" authorId="0" shapeId="0">
      <text>
        <r>
          <rPr>
            <sz val="8"/>
            <color indexed="81"/>
            <rFont val="Tahoma"/>
            <family val="2"/>
          </rPr>
          <t>No. entries in this column</t>
        </r>
      </text>
    </comment>
    <comment ref="O2" authorId="0" shapeId="0">
      <text>
        <r>
          <rPr>
            <sz val="8"/>
            <color indexed="81"/>
            <rFont val="Tahoma"/>
            <family val="2"/>
          </rPr>
          <t>No. entries in this column</t>
        </r>
      </text>
    </comment>
    <comment ref="P2" authorId="0" shapeId="0">
      <text>
        <r>
          <rPr>
            <sz val="8"/>
            <color indexed="81"/>
            <rFont val="Tahoma"/>
            <family val="2"/>
          </rPr>
          <t>No. entries in this column</t>
        </r>
      </text>
    </comment>
    <comment ref="Q2" authorId="0" shapeId="0">
      <text>
        <r>
          <rPr>
            <sz val="8"/>
            <color indexed="81"/>
            <rFont val="Tahoma"/>
            <family val="2"/>
          </rPr>
          <t>No. entries in this column</t>
        </r>
      </text>
    </comment>
    <comment ref="R2" authorId="0" shapeId="0">
      <text>
        <r>
          <rPr>
            <sz val="8"/>
            <color indexed="81"/>
            <rFont val="Tahoma"/>
            <family val="2"/>
          </rPr>
          <t>No. entries in this column</t>
        </r>
      </text>
    </comment>
    <comment ref="S2" authorId="0" shapeId="0">
      <text>
        <r>
          <rPr>
            <sz val="8"/>
            <color indexed="81"/>
            <rFont val="Tahoma"/>
            <family val="2"/>
          </rPr>
          <t>No. entries in this column</t>
        </r>
      </text>
    </comment>
    <comment ref="T2" authorId="0" shapeId="0">
      <text>
        <r>
          <rPr>
            <sz val="8"/>
            <color indexed="81"/>
            <rFont val="Tahoma"/>
            <family val="2"/>
          </rPr>
          <t>No. entries in this column</t>
        </r>
      </text>
    </comment>
    <comment ref="U2" authorId="0" shapeId="0">
      <text>
        <r>
          <rPr>
            <sz val="8"/>
            <color indexed="81"/>
            <rFont val="Tahoma"/>
            <family val="2"/>
          </rPr>
          <t>No. entries in this column</t>
        </r>
      </text>
    </comment>
    <comment ref="V2" authorId="0" shapeId="0">
      <text>
        <r>
          <rPr>
            <sz val="8"/>
            <color indexed="81"/>
            <rFont val="Tahoma"/>
            <family val="2"/>
          </rPr>
          <t>No. entries in this column</t>
        </r>
      </text>
    </comment>
    <comment ref="W2" authorId="0" shapeId="0">
      <text>
        <r>
          <rPr>
            <sz val="8"/>
            <color indexed="81"/>
            <rFont val="Tahoma"/>
            <family val="2"/>
          </rPr>
          <t>No. entries in this column</t>
        </r>
      </text>
    </comment>
    <comment ref="X2" authorId="0" shapeId="0">
      <text>
        <r>
          <rPr>
            <sz val="8"/>
            <color indexed="81"/>
            <rFont val="Tahoma"/>
            <family val="2"/>
          </rPr>
          <t>No. entries in this column</t>
        </r>
      </text>
    </comment>
    <comment ref="Y2" authorId="0" shapeId="0">
      <text>
        <r>
          <rPr>
            <sz val="8"/>
            <color indexed="81"/>
            <rFont val="Tahoma"/>
            <family val="2"/>
          </rPr>
          <t>No. entries in this column</t>
        </r>
      </text>
    </comment>
    <comment ref="Z2" authorId="0" shapeId="0">
      <text>
        <r>
          <rPr>
            <sz val="8"/>
            <color indexed="81"/>
            <rFont val="Tahoma"/>
            <family val="2"/>
          </rPr>
          <t>No. entries in this column</t>
        </r>
      </text>
    </comment>
    <comment ref="AA2" authorId="0" shapeId="0">
      <text>
        <r>
          <rPr>
            <sz val="8"/>
            <color indexed="81"/>
            <rFont val="Tahoma"/>
            <family val="2"/>
          </rPr>
          <t>No. entries in this column</t>
        </r>
      </text>
    </comment>
    <comment ref="AB2" authorId="0" shapeId="0">
      <text>
        <r>
          <rPr>
            <sz val="8"/>
            <color indexed="81"/>
            <rFont val="Tahoma"/>
            <family val="2"/>
          </rPr>
          <t>No. entries in this column</t>
        </r>
      </text>
    </comment>
    <comment ref="AC2" authorId="0" shapeId="0">
      <text>
        <r>
          <rPr>
            <sz val="8"/>
            <color indexed="81"/>
            <rFont val="Tahoma"/>
            <family val="2"/>
          </rPr>
          <t>No. entries in this column</t>
        </r>
      </text>
    </comment>
    <comment ref="AD2" authorId="0" shapeId="0">
      <text>
        <r>
          <rPr>
            <sz val="8"/>
            <color indexed="81"/>
            <rFont val="Tahoma"/>
            <family val="2"/>
          </rPr>
          <t>No. entries in this column</t>
        </r>
      </text>
    </comment>
    <comment ref="AE2" authorId="0" shapeId="0">
      <text>
        <r>
          <rPr>
            <sz val="8"/>
            <color indexed="81"/>
            <rFont val="Tahoma"/>
            <family val="2"/>
          </rPr>
          <t>No. entries in this column</t>
        </r>
      </text>
    </comment>
    <comment ref="AF2" authorId="0" shapeId="0">
      <text>
        <r>
          <rPr>
            <sz val="8"/>
            <color indexed="81"/>
            <rFont val="Tahoma"/>
            <family val="2"/>
          </rPr>
          <t>No. entries in this column</t>
        </r>
      </text>
    </comment>
    <comment ref="AG2" authorId="0" shapeId="0">
      <text>
        <r>
          <rPr>
            <sz val="8"/>
            <color indexed="81"/>
            <rFont val="Tahoma"/>
            <family val="2"/>
          </rPr>
          <t>No. entries in this column</t>
        </r>
      </text>
    </comment>
    <comment ref="AH2" authorId="0" shapeId="0">
      <text>
        <r>
          <rPr>
            <sz val="8"/>
            <color indexed="81"/>
            <rFont val="Tahoma"/>
            <family val="2"/>
          </rPr>
          <t>No. entries in this column</t>
        </r>
      </text>
    </comment>
    <comment ref="AI2" authorId="0" shapeId="0">
      <text>
        <r>
          <rPr>
            <sz val="8"/>
            <color indexed="81"/>
            <rFont val="Tahoma"/>
            <family val="2"/>
          </rPr>
          <t>No. entries in this column</t>
        </r>
      </text>
    </comment>
    <comment ref="AJ2" authorId="0" shapeId="0">
      <text>
        <r>
          <rPr>
            <sz val="8"/>
            <color indexed="81"/>
            <rFont val="Tahoma"/>
            <family val="2"/>
          </rPr>
          <t>No. entries in this column</t>
        </r>
      </text>
    </comment>
    <comment ref="AK2" authorId="0" shapeId="0">
      <text>
        <r>
          <rPr>
            <sz val="8"/>
            <color indexed="81"/>
            <rFont val="Tahoma"/>
            <family val="2"/>
          </rPr>
          <t>No. entries in this column</t>
        </r>
      </text>
    </comment>
    <comment ref="AL2" authorId="0" shapeId="0">
      <text>
        <r>
          <rPr>
            <sz val="8"/>
            <color indexed="81"/>
            <rFont val="Tahoma"/>
            <family val="2"/>
          </rPr>
          <t>No. entries in this column</t>
        </r>
      </text>
    </comment>
    <comment ref="AM2" authorId="0" shapeId="0">
      <text>
        <r>
          <rPr>
            <sz val="8"/>
            <color indexed="81"/>
            <rFont val="Tahoma"/>
            <family val="2"/>
          </rPr>
          <t>No. entries in this column</t>
        </r>
      </text>
    </comment>
    <comment ref="AN2" authorId="0" shapeId="0">
      <text>
        <r>
          <rPr>
            <sz val="8"/>
            <color indexed="81"/>
            <rFont val="Tahoma"/>
            <family val="2"/>
          </rPr>
          <t>No. entries in this column</t>
        </r>
      </text>
    </comment>
    <comment ref="AO2" authorId="0" shapeId="0">
      <text>
        <r>
          <rPr>
            <sz val="8"/>
            <color indexed="81"/>
            <rFont val="Tahoma"/>
            <family val="2"/>
          </rPr>
          <t>No. entries in this column</t>
        </r>
      </text>
    </comment>
    <comment ref="AP2" authorId="0" shapeId="0">
      <text>
        <r>
          <rPr>
            <sz val="8"/>
            <color indexed="81"/>
            <rFont val="Tahoma"/>
            <family val="2"/>
          </rPr>
          <t>No. entries in this column</t>
        </r>
      </text>
    </comment>
    <comment ref="AQ2" authorId="0" shapeId="0">
      <text>
        <r>
          <rPr>
            <sz val="8"/>
            <color indexed="81"/>
            <rFont val="Tahoma"/>
            <family val="2"/>
          </rPr>
          <t>No. entries in this column</t>
        </r>
      </text>
    </comment>
    <comment ref="AR2" authorId="0" shapeId="0">
      <text>
        <r>
          <rPr>
            <sz val="8"/>
            <color indexed="81"/>
            <rFont val="Tahoma"/>
            <family val="2"/>
          </rPr>
          <t>No. entries in this column</t>
        </r>
      </text>
    </comment>
    <comment ref="AS2" authorId="0" shapeId="0">
      <text>
        <r>
          <rPr>
            <sz val="8"/>
            <color indexed="81"/>
            <rFont val="Tahoma"/>
            <family val="2"/>
          </rPr>
          <t>No. entries in this column</t>
        </r>
      </text>
    </comment>
    <comment ref="AT2" authorId="0" shapeId="0">
      <text>
        <r>
          <rPr>
            <sz val="8"/>
            <color indexed="81"/>
            <rFont val="Tahoma"/>
            <family val="2"/>
          </rPr>
          <t>No. entries in this column</t>
        </r>
      </text>
    </comment>
    <comment ref="AU2" authorId="0" shapeId="0">
      <text>
        <r>
          <rPr>
            <sz val="8"/>
            <color indexed="81"/>
            <rFont val="Tahoma"/>
            <family val="2"/>
          </rPr>
          <t>No. entries in this column</t>
        </r>
      </text>
    </comment>
    <comment ref="AV2" authorId="0" shapeId="0">
      <text>
        <r>
          <rPr>
            <sz val="8"/>
            <color indexed="81"/>
            <rFont val="Tahoma"/>
            <family val="2"/>
          </rPr>
          <t>No. entries in this column</t>
        </r>
      </text>
    </comment>
    <comment ref="AW2" authorId="0" shapeId="0">
      <text>
        <r>
          <rPr>
            <sz val="8"/>
            <color indexed="81"/>
            <rFont val="Tahoma"/>
            <family val="2"/>
          </rPr>
          <t>No. entries in this column</t>
        </r>
      </text>
    </comment>
    <comment ref="AX2" authorId="0" shapeId="0">
      <text>
        <r>
          <rPr>
            <sz val="8"/>
            <color indexed="81"/>
            <rFont val="Tahoma"/>
            <family val="2"/>
          </rPr>
          <t>No. entries in this column</t>
        </r>
      </text>
    </comment>
    <comment ref="AY2" authorId="0" shapeId="0">
      <text>
        <r>
          <rPr>
            <sz val="8"/>
            <color indexed="81"/>
            <rFont val="Tahoma"/>
            <family val="2"/>
          </rPr>
          <t>No. entries in this column</t>
        </r>
      </text>
    </comment>
    <comment ref="AZ2" authorId="0" shapeId="0">
      <text>
        <r>
          <rPr>
            <sz val="8"/>
            <color indexed="81"/>
            <rFont val="Tahoma"/>
            <family val="2"/>
          </rPr>
          <t>No. entries in this column</t>
        </r>
      </text>
    </comment>
    <comment ref="BA2" authorId="0" shapeId="0">
      <text>
        <r>
          <rPr>
            <sz val="8"/>
            <color indexed="81"/>
            <rFont val="Tahoma"/>
            <family val="2"/>
          </rPr>
          <t>No. entries in this column</t>
        </r>
      </text>
    </comment>
    <comment ref="BB2" authorId="0" shapeId="0">
      <text>
        <r>
          <rPr>
            <sz val="8"/>
            <color indexed="81"/>
            <rFont val="Tahoma"/>
            <family val="2"/>
          </rPr>
          <t>No. entries in this column</t>
        </r>
      </text>
    </comment>
    <comment ref="BC2" authorId="0" shapeId="0">
      <text>
        <r>
          <rPr>
            <sz val="8"/>
            <color indexed="81"/>
            <rFont val="Tahoma"/>
            <family val="2"/>
          </rPr>
          <t>No. entries in this column</t>
        </r>
      </text>
    </comment>
    <comment ref="BD2" authorId="0" shapeId="0">
      <text>
        <r>
          <rPr>
            <sz val="8"/>
            <color indexed="81"/>
            <rFont val="Tahoma"/>
            <family val="2"/>
          </rPr>
          <t>No. entries in this column</t>
        </r>
      </text>
    </comment>
    <comment ref="BE2" authorId="0" shapeId="0">
      <text>
        <r>
          <rPr>
            <sz val="8"/>
            <color indexed="81"/>
            <rFont val="Tahoma"/>
            <family val="2"/>
          </rPr>
          <t>No. entries in this column</t>
        </r>
      </text>
    </comment>
    <comment ref="BF2" authorId="0" shapeId="0">
      <text>
        <r>
          <rPr>
            <sz val="8"/>
            <color indexed="81"/>
            <rFont val="Tahoma"/>
            <family val="2"/>
          </rPr>
          <t>No. entries in this column</t>
        </r>
      </text>
    </comment>
    <comment ref="BG2" authorId="0" shapeId="0">
      <text>
        <r>
          <rPr>
            <sz val="8"/>
            <color indexed="81"/>
            <rFont val="Tahoma"/>
            <family val="2"/>
          </rPr>
          <t>No. entries in this column</t>
        </r>
      </text>
    </comment>
    <comment ref="BH2" authorId="0" shapeId="0">
      <text>
        <r>
          <rPr>
            <sz val="8"/>
            <color indexed="81"/>
            <rFont val="Tahoma"/>
            <family val="2"/>
          </rPr>
          <t>No. entries in this column</t>
        </r>
      </text>
    </comment>
    <comment ref="BI2" authorId="0" shapeId="0">
      <text>
        <r>
          <rPr>
            <sz val="8"/>
            <color indexed="81"/>
            <rFont val="Tahoma"/>
            <family val="2"/>
          </rPr>
          <t>No. entries in this column</t>
        </r>
      </text>
    </comment>
    <comment ref="BJ2" authorId="0" shapeId="0">
      <text>
        <r>
          <rPr>
            <sz val="8"/>
            <color indexed="81"/>
            <rFont val="Tahoma"/>
            <family val="2"/>
          </rPr>
          <t>No. entries in this column</t>
        </r>
      </text>
    </comment>
    <comment ref="BK2" authorId="0" shapeId="0">
      <text>
        <r>
          <rPr>
            <sz val="8"/>
            <color indexed="81"/>
            <rFont val="Tahoma"/>
            <family val="2"/>
          </rPr>
          <t>No. entries in this column</t>
        </r>
      </text>
    </comment>
    <comment ref="BL2" authorId="0" shapeId="0">
      <text>
        <r>
          <rPr>
            <sz val="8"/>
            <color indexed="81"/>
            <rFont val="Tahoma"/>
            <family val="2"/>
          </rPr>
          <t>No. entries in this column</t>
        </r>
      </text>
    </comment>
    <comment ref="BM2" authorId="0" shapeId="0">
      <text>
        <r>
          <rPr>
            <sz val="8"/>
            <color indexed="81"/>
            <rFont val="Tahoma"/>
            <family val="2"/>
          </rPr>
          <t>No. entries in this column</t>
        </r>
      </text>
    </comment>
    <comment ref="BN2" authorId="0" shapeId="0">
      <text>
        <r>
          <rPr>
            <sz val="8"/>
            <color indexed="81"/>
            <rFont val="Tahoma"/>
            <family val="2"/>
          </rPr>
          <t>No. entries in this column</t>
        </r>
      </text>
    </comment>
    <comment ref="BO2" authorId="0" shapeId="0">
      <text>
        <r>
          <rPr>
            <sz val="8"/>
            <color indexed="81"/>
            <rFont val="Tahoma"/>
            <family val="2"/>
          </rPr>
          <t>No. entries in this column</t>
        </r>
      </text>
    </comment>
    <comment ref="BP2" authorId="0" shapeId="0">
      <text>
        <r>
          <rPr>
            <sz val="8"/>
            <color indexed="81"/>
            <rFont val="Tahoma"/>
            <family val="2"/>
          </rPr>
          <t>No. entries in this column</t>
        </r>
      </text>
    </comment>
    <comment ref="BQ2" authorId="0" shapeId="0">
      <text>
        <r>
          <rPr>
            <sz val="8"/>
            <color indexed="81"/>
            <rFont val="Tahoma"/>
            <family val="2"/>
          </rPr>
          <t>No. entries in this column</t>
        </r>
      </text>
    </comment>
    <comment ref="BR2" authorId="0" shapeId="0">
      <text>
        <r>
          <rPr>
            <sz val="8"/>
            <color indexed="81"/>
            <rFont val="Tahoma"/>
            <family val="2"/>
          </rPr>
          <t>No. entries in this column</t>
        </r>
      </text>
    </comment>
    <comment ref="BS2" authorId="0" shapeId="0">
      <text>
        <r>
          <rPr>
            <sz val="8"/>
            <color indexed="81"/>
            <rFont val="Tahoma"/>
            <family val="2"/>
          </rPr>
          <t>No. entries in this column</t>
        </r>
      </text>
    </comment>
    <comment ref="BT2" authorId="0" shapeId="0">
      <text>
        <r>
          <rPr>
            <sz val="8"/>
            <color indexed="81"/>
            <rFont val="Tahoma"/>
            <family val="2"/>
          </rPr>
          <t>No. entries in this column</t>
        </r>
      </text>
    </comment>
    <comment ref="BU2" authorId="0" shapeId="0">
      <text>
        <r>
          <rPr>
            <sz val="8"/>
            <color indexed="81"/>
            <rFont val="Tahoma"/>
            <family val="2"/>
          </rPr>
          <t>No. entries in this column</t>
        </r>
      </text>
    </comment>
    <comment ref="BV2" authorId="0" shapeId="0">
      <text>
        <r>
          <rPr>
            <sz val="8"/>
            <color indexed="81"/>
            <rFont val="Tahoma"/>
            <family val="2"/>
          </rPr>
          <t>No. entries in this column</t>
        </r>
      </text>
    </comment>
    <comment ref="BW2" authorId="0" shapeId="0">
      <text>
        <r>
          <rPr>
            <sz val="8"/>
            <color indexed="81"/>
            <rFont val="Tahoma"/>
            <family val="2"/>
          </rPr>
          <t>No. entries in this column</t>
        </r>
      </text>
    </comment>
    <comment ref="BX2" authorId="0" shapeId="0">
      <text>
        <r>
          <rPr>
            <sz val="8"/>
            <color indexed="81"/>
            <rFont val="Tahoma"/>
            <family val="2"/>
          </rPr>
          <t>No. entries in this column</t>
        </r>
      </text>
    </comment>
    <comment ref="BY2" authorId="0" shapeId="0">
      <text>
        <r>
          <rPr>
            <sz val="8"/>
            <color indexed="81"/>
            <rFont val="Tahoma"/>
            <family val="2"/>
          </rPr>
          <t>No. entries in this column</t>
        </r>
      </text>
    </comment>
    <comment ref="BZ2" authorId="0" shapeId="0">
      <text>
        <r>
          <rPr>
            <sz val="8"/>
            <color indexed="81"/>
            <rFont val="Tahoma"/>
            <family val="2"/>
          </rPr>
          <t>No. entries in this column</t>
        </r>
      </text>
    </comment>
    <comment ref="CA2" authorId="0" shapeId="0">
      <text>
        <r>
          <rPr>
            <sz val="8"/>
            <color indexed="81"/>
            <rFont val="Tahoma"/>
            <family val="2"/>
          </rPr>
          <t>No. entries in this column</t>
        </r>
      </text>
    </comment>
    <comment ref="CB2" authorId="0" shapeId="0">
      <text>
        <r>
          <rPr>
            <sz val="8"/>
            <color indexed="81"/>
            <rFont val="Tahoma"/>
            <family val="2"/>
          </rPr>
          <t>No. entries in this column</t>
        </r>
      </text>
    </comment>
    <comment ref="CC2" authorId="0" shapeId="0">
      <text>
        <r>
          <rPr>
            <sz val="8"/>
            <color indexed="81"/>
            <rFont val="Tahoma"/>
            <family val="2"/>
          </rPr>
          <t>No. entries in this column</t>
        </r>
      </text>
    </comment>
    <comment ref="CD2" authorId="0" shapeId="0">
      <text>
        <r>
          <rPr>
            <sz val="8"/>
            <color indexed="81"/>
            <rFont val="Tahoma"/>
            <family val="2"/>
          </rPr>
          <t>No. entries in this column</t>
        </r>
      </text>
    </comment>
    <comment ref="CE2" authorId="0" shapeId="0">
      <text>
        <r>
          <rPr>
            <sz val="8"/>
            <color indexed="81"/>
            <rFont val="Tahoma"/>
            <family val="2"/>
          </rPr>
          <t>No. entries in this column</t>
        </r>
      </text>
    </comment>
    <comment ref="CF2" authorId="0" shapeId="0">
      <text>
        <r>
          <rPr>
            <sz val="8"/>
            <color indexed="81"/>
            <rFont val="Tahoma"/>
            <family val="2"/>
          </rPr>
          <t>No. entries in this column</t>
        </r>
      </text>
    </comment>
    <comment ref="CG2" authorId="0" shapeId="0">
      <text>
        <r>
          <rPr>
            <sz val="8"/>
            <color indexed="81"/>
            <rFont val="Tahoma"/>
            <family val="2"/>
          </rPr>
          <t>No. entries in this column</t>
        </r>
      </text>
    </comment>
    <comment ref="CH2" authorId="0" shapeId="0">
      <text>
        <r>
          <rPr>
            <sz val="8"/>
            <color indexed="81"/>
            <rFont val="Tahoma"/>
            <family val="2"/>
          </rPr>
          <t>No. entries in this column</t>
        </r>
      </text>
    </comment>
    <comment ref="CI2" authorId="0" shapeId="0">
      <text>
        <r>
          <rPr>
            <sz val="8"/>
            <color indexed="81"/>
            <rFont val="Tahoma"/>
            <family val="2"/>
          </rPr>
          <t>No. entries in this column</t>
        </r>
      </text>
    </comment>
    <comment ref="CJ2" authorId="0" shapeId="0">
      <text>
        <r>
          <rPr>
            <sz val="8"/>
            <color indexed="81"/>
            <rFont val="Tahoma"/>
            <family val="2"/>
          </rPr>
          <t>No. entries in this column</t>
        </r>
      </text>
    </comment>
    <comment ref="CK2" authorId="0" shapeId="0">
      <text>
        <r>
          <rPr>
            <sz val="8"/>
            <color indexed="81"/>
            <rFont val="Tahoma"/>
            <family val="2"/>
          </rPr>
          <t>No. entries in this column</t>
        </r>
      </text>
    </comment>
    <comment ref="CL2" authorId="0" shapeId="0">
      <text>
        <r>
          <rPr>
            <sz val="8"/>
            <color indexed="81"/>
            <rFont val="Tahoma"/>
            <family val="2"/>
          </rPr>
          <t xml:space="preserve">Row number with Highest risk factor
</t>
        </r>
      </text>
    </comment>
    <comment ref="E3" authorId="0" shapeId="0">
      <text>
        <r>
          <rPr>
            <sz val="8"/>
            <color indexed="81"/>
            <rFont val="Tahoma"/>
            <family val="2"/>
          </rPr>
          <t xml:space="preserve">Latest Access Date
</t>
        </r>
      </text>
    </comment>
    <comment ref="F3" authorId="1" shapeId="0">
      <text>
        <r>
          <rPr>
            <sz val="8"/>
            <color indexed="81"/>
            <rFont val="Tahoma"/>
            <family val="2"/>
          </rPr>
          <t>Latest modified date</t>
        </r>
      </text>
    </comment>
    <comment ref="B5" authorId="2" shapeId="0">
      <text>
        <r>
          <rPr>
            <sz val="8"/>
            <color indexed="81"/>
            <rFont val="Tahoma"/>
            <family val="2"/>
          </rPr>
          <t>Click file name link to open file.</t>
        </r>
      </text>
    </comment>
    <comment ref="D5" authorId="3" shapeId="0">
      <text>
        <r>
          <rPr>
            <b/>
            <sz val="8"/>
            <color indexed="81"/>
            <rFont val="Tahoma"/>
            <family val="2"/>
          </rPr>
          <t>Not available before Windows 2000</t>
        </r>
      </text>
    </comment>
    <comment ref="E5" authorId="4" shapeId="0">
      <text>
        <r>
          <rPr>
            <sz val="8"/>
            <color indexed="81"/>
            <rFont val="Tahoma"/>
            <family val="2"/>
          </rPr>
          <t>Note that Last Access Date will be changed when ScanXLS opens the file to scan it.</t>
        </r>
      </text>
    </comment>
    <comment ref="I5" authorId="3" shapeId="0">
      <text>
        <r>
          <rPr>
            <sz val="8"/>
            <color indexed="81"/>
            <rFont val="Tahoma"/>
            <family val="2"/>
          </rPr>
          <t>This notes any exceptions that occurred during the scan</t>
        </r>
      </text>
    </comment>
    <comment ref="K5" authorId="3" shapeId="0">
      <text>
        <r>
          <rPr>
            <sz val="8"/>
            <color indexed="81"/>
            <rFont val="Tahoma"/>
            <family val="2"/>
          </rPr>
          <t>This column is left spare for you to put in your own notes or calculations</t>
        </r>
      </text>
    </comment>
    <comment ref="L5" authorId="3" shapeId="0">
      <text>
        <r>
          <rPr>
            <sz val="8"/>
            <color indexed="81"/>
            <rFont val="Tahoma"/>
            <family val="2"/>
          </rPr>
          <t xml:space="preserve">The word after </t>
        </r>
        <r>
          <rPr>
            <i/>
            <sz val="8"/>
            <color indexed="81"/>
            <rFont val="Tahoma"/>
            <family val="2"/>
          </rPr>
          <t>Property:</t>
        </r>
        <r>
          <rPr>
            <sz val="8"/>
            <color indexed="81"/>
            <rFont val="Tahoma"/>
            <family val="2"/>
          </rPr>
          <t xml:space="preserve"> can be any of: 
Title, Subject, Author, Keywords, Comments, Template, Last Author, Revision Number, Application Name, Last Print Date, Creation Date, Last Save Time, Security, Category, Format, Manager, Company, Hyperlink Base
</t>
        </r>
      </text>
    </comment>
    <comment ref="P5" authorId="3" shapeId="0">
      <text>
        <r>
          <rPr>
            <sz val="8"/>
            <color indexed="81"/>
            <rFont val="Tahoma"/>
            <family val="2"/>
          </rPr>
          <t>Properties filled in on Custom tab of File &gt; Properties</t>
        </r>
      </text>
    </comment>
    <comment ref="Q5" authorId="3" shapeId="0">
      <text>
        <r>
          <rPr>
            <sz val="8"/>
            <color indexed="81"/>
            <rFont val="Tahoma"/>
            <family val="2"/>
          </rPr>
          <t>This shows the value of the cell in the first worksheet, or the defined name, given after the colon</t>
        </r>
      </text>
    </comment>
    <comment ref="R5" authorId="3" shapeId="0">
      <text>
        <r>
          <rPr>
            <sz val="8"/>
            <color indexed="81"/>
            <rFont val="Tahoma"/>
            <family val="2"/>
          </rPr>
          <t>This shows the value of the cell in the first worksheet, or the defined name, given after the colon</t>
        </r>
      </text>
    </comment>
    <comment ref="S5" authorId="0" shapeId="0">
      <text>
        <r>
          <rPr>
            <sz val="8"/>
            <color indexed="81"/>
            <rFont val="Tahoma"/>
            <family val="2"/>
          </rPr>
          <t>Enter text to search for in formulas. Wildcards are allowed.</t>
        </r>
      </text>
    </comment>
    <comment ref="T5" authorId="2" shapeId="0">
      <text>
        <r>
          <rPr>
            <sz val="8"/>
            <color indexed="81"/>
            <rFont val="Tahoma"/>
            <family val="2"/>
          </rPr>
          <t>This shows where the text specified in the previous header was found</t>
        </r>
      </text>
    </comment>
    <comment ref="U5" authorId="0" shapeId="0">
      <text>
        <r>
          <rPr>
            <sz val="8"/>
            <color indexed="81"/>
            <rFont val="Tahoma"/>
            <family val="2"/>
          </rPr>
          <t>Enter text to search for in formulas. Wildcards are allowed.</t>
        </r>
      </text>
    </comment>
    <comment ref="V5" authorId="2" shapeId="0">
      <text>
        <r>
          <rPr>
            <sz val="8"/>
            <color indexed="81"/>
            <rFont val="Tahoma"/>
            <family val="2"/>
          </rPr>
          <t>This shows where the text specified in the previous header was found</t>
        </r>
      </text>
    </comment>
    <comment ref="W5" authorId="0" shapeId="0">
      <text>
        <r>
          <rPr>
            <sz val="8"/>
            <color indexed="81"/>
            <rFont val="Tahoma"/>
            <family val="2"/>
          </rPr>
          <t>Enter text to search for in formulas. Wildcards are allowed.</t>
        </r>
      </text>
    </comment>
    <comment ref="X5" authorId="2" shapeId="0">
      <text>
        <r>
          <rPr>
            <sz val="8"/>
            <color indexed="81"/>
            <rFont val="Tahoma"/>
            <family val="2"/>
          </rPr>
          <t>This shows where the text specified in the previous header was found</t>
        </r>
      </text>
    </comment>
    <comment ref="Y5" authorId="0" shapeId="0">
      <text>
        <r>
          <rPr>
            <sz val="8"/>
            <color indexed="81"/>
            <rFont val="Tahoma"/>
            <family val="2"/>
          </rPr>
          <t>Enter text to search for in formulas. Wildcards are allowed.</t>
        </r>
      </text>
    </comment>
    <comment ref="Z5" authorId="2" shapeId="0">
      <text>
        <r>
          <rPr>
            <sz val="8"/>
            <color indexed="81"/>
            <rFont val="Tahoma"/>
            <family val="2"/>
          </rPr>
          <t>This shows where the text specified in the previous header was found</t>
        </r>
      </text>
    </comment>
    <comment ref="AA5" authorId="2" shapeId="0">
      <text>
        <r>
          <rPr>
            <sz val="8"/>
            <color indexed="81"/>
            <rFont val="Tahoma"/>
            <family val="2"/>
          </rPr>
          <t>This is the number of workbooks that link to this workbook for their source data</t>
        </r>
      </text>
    </comment>
    <comment ref="AB5" authorId="2" shapeId="0">
      <text>
        <r>
          <rPr>
            <sz val="8"/>
            <color indexed="81"/>
            <rFont val="Tahoma"/>
            <family val="2"/>
          </rPr>
          <t>The list of names of workbooks linking to this workbook for source data</t>
        </r>
      </text>
    </comment>
    <comment ref="AC5" authorId="2" shapeId="0">
      <text>
        <r>
          <rPr>
            <sz val="8"/>
            <color indexed="81"/>
            <rFont val="Tahoma"/>
            <family val="2"/>
          </rPr>
          <t>The number of links from this workbook out to source data in other workbooks</t>
        </r>
      </text>
    </comment>
    <comment ref="AD5" authorId="2" shapeId="0">
      <text>
        <r>
          <rPr>
            <sz val="8"/>
            <color indexed="81"/>
            <rFont val="Tahoma"/>
            <family val="2"/>
          </rPr>
          <t>The list of files providing source data for the links in this workbook</t>
        </r>
      </text>
    </comment>
    <comment ref="AE5" authorId="2" shapeId="0">
      <text>
        <r>
          <rPr>
            <sz val="8"/>
            <color indexed="81"/>
            <rFont val="Tahoma"/>
            <family val="2"/>
          </rPr>
          <t>Version number of Excel calculation engine is not available prior to Excel 2000</t>
        </r>
      </text>
    </comment>
    <comment ref="AF5" authorId="2" shapeId="0">
      <text>
        <r>
          <rPr>
            <sz val="8"/>
            <color indexed="81"/>
            <rFont val="Tahoma"/>
            <family val="2"/>
          </rPr>
          <t>Number of unusual workbook settings</t>
        </r>
      </text>
    </comment>
    <comment ref="AH5" authorId="2" shapeId="0">
      <text>
        <r>
          <rPr>
            <sz val="8"/>
            <color indexed="81"/>
            <rFont val="Tahoma"/>
            <family val="2"/>
          </rPr>
          <t>Number of unusual worksheet settings</t>
        </r>
      </text>
    </comment>
    <comment ref="AL5" authorId="3" shapeId="0">
      <text>
        <r>
          <rPr>
            <sz val="8"/>
            <color indexed="81"/>
            <rFont val="Tahoma"/>
            <family val="2"/>
          </rPr>
          <t>Count of VBA modules</t>
        </r>
      </text>
    </comment>
    <comment ref="AM5" authorId="3" shapeId="0">
      <text>
        <r>
          <rPr>
            <sz val="8"/>
            <color indexed="81"/>
            <rFont val="Tahoma"/>
            <family val="2"/>
          </rPr>
          <t>Count of VBA Forms in all modules</t>
        </r>
      </text>
    </comment>
    <comment ref="AN5" authorId="3" shapeId="0">
      <text>
        <r>
          <rPr>
            <sz val="8"/>
            <color indexed="81"/>
            <rFont val="Tahoma"/>
            <family val="2"/>
          </rPr>
          <t>Total count of lines of VBA Code in all modules</t>
        </r>
      </text>
    </comment>
    <comment ref="AR5" authorId="3" shapeId="0">
      <text>
        <r>
          <rPr>
            <sz val="8"/>
            <color indexed="81"/>
            <rFont val="Tahoma"/>
            <family val="2"/>
          </rPr>
          <t>Cells with constant error values</t>
        </r>
      </text>
    </comment>
    <comment ref="AU5" authorId="3" shapeId="0">
      <text>
        <r>
          <rPr>
            <sz val="8"/>
            <color indexed="81"/>
            <rFont val="Tahoma"/>
            <family val="2"/>
          </rPr>
          <t>Formulas that evaluate to an error</t>
        </r>
      </text>
    </comment>
    <comment ref="AV5" authorId="5" shapeId="0">
      <text>
        <r>
          <rPr>
            <sz val="9"/>
            <color indexed="81"/>
            <rFont val="Tahoma"/>
            <family val="2"/>
          </rPr>
          <t>Total number of cells in used range of all sheets</t>
        </r>
      </text>
    </comment>
    <comment ref="AW5" authorId="5" shapeId="0">
      <text>
        <r>
          <rPr>
            <sz val="9"/>
            <color indexed="81"/>
            <rFont val="Tahoma"/>
            <family val="2"/>
          </rPr>
          <t>Largest column number used in any worksheet</t>
        </r>
      </text>
    </comment>
    <comment ref="AX5" authorId="5" shapeId="0">
      <text>
        <r>
          <rPr>
            <sz val="9"/>
            <color indexed="81"/>
            <rFont val="Tahoma"/>
            <family val="2"/>
          </rPr>
          <t>Largest row number used in any sheet</t>
        </r>
      </text>
    </comment>
    <comment ref="AY5" authorId="5" shapeId="0">
      <text>
        <r>
          <rPr>
            <sz val="9"/>
            <color indexed="81"/>
            <rFont val="Tahoma"/>
            <family val="2"/>
          </rPr>
          <t>Count of non-empty cells</t>
        </r>
      </text>
    </comment>
    <comment ref="AZ5" authorId="3" shapeId="0">
      <text>
        <r>
          <rPr>
            <sz val="8"/>
            <color indexed="81"/>
            <rFont val="Tahoma"/>
            <family val="2"/>
          </rPr>
          <t>Count of all cells with data values exceeding valid date or time values</t>
        </r>
      </text>
    </comment>
    <comment ref="BA5" authorId="5" shapeId="0">
      <text>
        <r>
          <rPr>
            <sz val="9"/>
            <color indexed="81"/>
            <rFont val="Tahoma"/>
            <family val="2"/>
          </rPr>
          <t>Count of formulas returning #Div/0! Error value</t>
        </r>
      </text>
    </comment>
    <comment ref="BB5" authorId="5" shapeId="0">
      <text>
        <r>
          <rPr>
            <sz val="9"/>
            <color indexed="81"/>
            <rFont val="Tahoma"/>
            <family val="2"/>
          </rPr>
          <t>Count of formulas returning #N/A Error value</t>
        </r>
      </text>
    </comment>
    <comment ref="BC5" authorId="5" shapeId="0">
      <text>
        <r>
          <rPr>
            <sz val="9"/>
            <color indexed="81"/>
            <rFont val="Tahoma"/>
            <family val="2"/>
          </rPr>
          <t>Count of formulas returning #Name? Error value</t>
        </r>
      </text>
    </comment>
    <comment ref="BD5" authorId="5" shapeId="0">
      <text>
        <r>
          <rPr>
            <sz val="9"/>
            <color indexed="81"/>
            <rFont val="Tahoma"/>
            <family val="2"/>
          </rPr>
          <t>Count of formulas returning #Null! Error value</t>
        </r>
      </text>
    </comment>
    <comment ref="BE5" authorId="5" shapeId="0">
      <text>
        <r>
          <rPr>
            <sz val="9"/>
            <color indexed="81"/>
            <rFont val="Tahoma"/>
            <family val="2"/>
          </rPr>
          <t>Count of formulas returning #Num! Error value</t>
        </r>
      </text>
    </comment>
    <comment ref="BF5" authorId="5" shapeId="0">
      <text>
        <r>
          <rPr>
            <sz val="9"/>
            <color indexed="81"/>
            <rFont val="Tahoma"/>
            <family val="2"/>
          </rPr>
          <t>Count of formulas returning #Ref! Error value</t>
        </r>
      </text>
    </comment>
    <comment ref="BG5" authorId="5" shapeId="0">
      <text>
        <r>
          <rPr>
            <sz val="9"/>
            <color indexed="81"/>
            <rFont val="Tahoma"/>
            <family val="2"/>
          </rPr>
          <t>Count of formulas returning #Value! Error value</t>
        </r>
      </text>
    </comment>
    <comment ref="BH5" authorId="3" shapeId="0">
      <text>
        <r>
          <rPr>
            <sz val="8"/>
            <color indexed="81"/>
            <rFont val="Tahoma"/>
            <family val="2"/>
          </rPr>
          <t>Count of all cells with #error values</t>
        </r>
      </text>
    </comment>
    <comment ref="BI5" authorId="1" shapeId="0">
      <text>
        <r>
          <rPr>
            <sz val="8"/>
            <color indexed="81"/>
            <rFont val="Tahoma"/>
            <family val="2"/>
          </rPr>
          <t xml:space="preserve">List of worksheets and cells with error values </t>
        </r>
      </text>
    </comment>
    <comment ref="BJ5" authorId="3" shapeId="0">
      <text>
        <r>
          <rPr>
            <sz val="8"/>
            <color indexed="81"/>
            <rFont val="Tahoma"/>
            <family val="2"/>
          </rPr>
          <t>Count of cells where data validation rules are breached</t>
        </r>
      </text>
    </comment>
    <comment ref="BL5" authorId="3" shapeId="0">
      <text>
        <r>
          <rPr>
            <sz val="8"/>
            <color indexed="81"/>
            <rFont val="Tahoma"/>
            <family val="2"/>
          </rPr>
          <t>Count of cells with font colour same as background, or suppressed data in number formats</t>
        </r>
      </text>
    </comment>
    <comment ref="BN5" authorId="3" shapeId="0">
      <text>
        <r>
          <rPr>
            <sz val="8"/>
            <color indexed="81"/>
            <rFont val="Tahoma"/>
            <family val="2"/>
          </rPr>
          <t>Count of cells with literal numeric values as part of formulas</t>
        </r>
      </text>
    </comment>
    <comment ref="BP5" authorId="3" shapeId="0">
      <text>
        <r>
          <rPr>
            <sz val="8"/>
            <color indexed="81"/>
            <rFont val="Tahoma"/>
            <family val="2"/>
          </rPr>
          <t>The longest formula in the workbook</t>
        </r>
      </text>
    </comment>
    <comment ref="BR5" authorId="3" shapeId="0">
      <text>
        <r>
          <rPr>
            <sz val="8"/>
            <color indexed="81"/>
            <rFont val="Tahoma"/>
            <family val="2"/>
          </rPr>
          <t>Count of cells with formulas exceeding 1024 characters (up to Excel 11) or 8192 characters (Excel 12)</t>
        </r>
      </text>
    </comment>
    <comment ref="BT5" authorId="3" shapeId="0">
      <text>
        <r>
          <rPr>
            <sz val="8"/>
            <color indexed="81"/>
            <rFont val="Tahoma"/>
            <family val="2"/>
          </rPr>
          <t>The cell evaluates to an error value. Should be same count as All Errors.</t>
        </r>
      </text>
    </comment>
    <comment ref="BU5" authorId="5" shapeId="0">
      <text>
        <r>
          <rPr>
            <sz val="9"/>
            <color indexed="81"/>
            <rFont val="Tahoma"/>
            <family val="2"/>
          </rPr>
          <t>Where error values found</t>
        </r>
      </text>
    </comment>
    <comment ref="BV5" authorId="3" shapeId="0">
      <text>
        <r>
          <rPr>
            <sz val="8"/>
            <color indexed="81"/>
            <rFont val="Tahoma"/>
            <family val="2"/>
          </rPr>
          <t>The cell contains a text date with 2 digit years.</t>
        </r>
      </text>
    </comment>
    <comment ref="BX5" authorId="3" shapeId="0">
      <text>
        <r>
          <rPr>
            <sz val="8"/>
            <color indexed="81"/>
            <rFont val="Tahoma"/>
            <family val="2"/>
          </rPr>
          <t xml:space="preserve"> The cell contains a number stored as text.</t>
        </r>
      </text>
    </comment>
    <comment ref="BZ5" authorId="3" shapeId="0">
      <text>
        <r>
          <rPr>
            <sz val="8"/>
            <color indexed="81"/>
            <rFont val="Tahoma"/>
            <family val="2"/>
          </rPr>
          <t>The cell contains an inconsistent formula for a region</t>
        </r>
      </text>
    </comment>
    <comment ref="CB5" authorId="3" shapeId="0">
      <text>
        <r>
          <rPr>
            <sz val="8"/>
            <color indexed="81"/>
            <rFont val="Tahoma"/>
            <family val="2"/>
          </rPr>
          <t>Formulas that refer to a range that has additional numbers adjacent to it</t>
        </r>
      </text>
    </comment>
    <comment ref="CD5" authorId="3" shapeId="0">
      <text>
        <r>
          <rPr>
            <sz val="8"/>
            <color indexed="81"/>
            <rFont val="Tahoma"/>
            <family val="2"/>
          </rPr>
          <t>The cell which is unlocked contains a formula</t>
        </r>
      </text>
    </comment>
    <comment ref="CF5" authorId="3" shapeId="0">
      <text>
        <r>
          <rPr>
            <sz val="8"/>
            <color indexed="81"/>
            <rFont val="Tahoma"/>
            <family val="2"/>
          </rPr>
          <t>The cell contains a formula referring to empty cells</t>
        </r>
      </text>
    </comment>
    <comment ref="CH5" authorId="3" shapeId="0">
      <text>
        <r>
          <rPr>
            <sz val="8"/>
            <color indexed="81"/>
            <rFont val="Tahoma"/>
            <family val="2"/>
          </rPr>
          <t>Data in the list contains a validation error</t>
        </r>
      </text>
    </comment>
    <comment ref="CJ5" authorId="3" shapeId="0">
      <text>
        <r>
          <rPr>
            <sz val="8"/>
            <color indexed="81"/>
            <rFont val="Tahoma"/>
            <family val="2"/>
          </rPr>
          <t>The cell contains an inconsistent formula for a list</t>
        </r>
      </text>
    </comment>
  </commentList>
</comments>
</file>

<file path=xl/comments2.xml><?xml version="1.0" encoding="utf-8"?>
<comments xmlns="http://schemas.openxmlformats.org/spreadsheetml/2006/main">
  <authors>
    <author>?</author>
    <author>Client confidential</author>
  </authors>
  <commentList>
    <comment ref="A5" authorId="0" shapeId="0">
      <text>
        <r>
          <rPr>
            <sz val="8"/>
            <color indexed="81"/>
            <rFont val="Tahoma"/>
            <family val="2"/>
          </rPr>
          <t>ScanXLS sheet row number</t>
        </r>
      </text>
    </comment>
    <comment ref="B5" authorId="0" shapeId="0">
      <text>
        <r>
          <rPr>
            <sz val="8"/>
            <color indexed="81"/>
            <rFont val="Tahoma"/>
            <family val="2"/>
          </rPr>
          <t xml:space="preserve">The full path to the workbook containing the links
</t>
        </r>
      </text>
    </comment>
    <comment ref="C5" authorId="0" shapeId="0">
      <text>
        <r>
          <rPr>
            <sz val="8"/>
            <color indexed="81"/>
            <rFont val="Tahoma"/>
            <family val="2"/>
          </rPr>
          <t>The file name of the workbook containing the external links to the "LinkedTo" workbooks.</t>
        </r>
      </text>
    </comment>
    <comment ref="D5" authorId="1" shapeId="0">
      <text>
        <r>
          <rPr>
            <sz val="8"/>
            <color indexed="81"/>
            <rFont val="Tahoma"/>
            <family val="2"/>
          </rPr>
          <t>Type is one of:
Visible - shown by Edit &gt; Links
Phantom - not shown by Edit &gt; Links
OLE/DDE - as reported by Excel OLE Links</t>
        </r>
      </text>
    </comment>
    <comment ref="E5" authorId="0" shapeId="0">
      <text>
        <r>
          <rPr>
            <sz val="8"/>
            <color indexed="81"/>
            <rFont val="Tahoma"/>
            <family val="2"/>
          </rPr>
          <t>Numbered from 1 up for each target file</t>
        </r>
      </text>
    </comment>
    <comment ref="F5" authorId="0" shapeId="0">
      <text>
        <r>
          <rPr>
            <sz val="8"/>
            <color indexed="81"/>
            <rFont val="Tahoma"/>
            <family val="2"/>
          </rPr>
          <t xml:space="preserve">Whether the link is stored as an absolute or relative path. If Relative, workbooks and their linked files must be moved together. If not relative, the linked files must stay in their specified locations.
</t>
        </r>
      </text>
    </comment>
    <comment ref="G5" authorId="1" shapeId="0">
      <text>
        <r>
          <rPr>
            <sz val="8"/>
            <color indexed="81"/>
            <rFont val="Tahoma"/>
            <family val="2"/>
          </rPr>
          <t>Full path and name of link source</t>
        </r>
      </text>
    </comment>
    <comment ref="H5" authorId="0" shapeId="0">
      <text>
        <r>
          <rPr>
            <sz val="8"/>
            <color indexed="81"/>
            <rFont val="Tahoma"/>
            <family val="2"/>
          </rPr>
          <t xml:space="preserve">The directory path where the linked workbook is located.
</t>
        </r>
      </text>
    </comment>
    <comment ref="I5" authorId="0" shapeId="0">
      <text>
        <r>
          <rPr>
            <sz val="8"/>
            <color indexed="81"/>
            <rFont val="Tahoma"/>
            <family val="2"/>
          </rPr>
          <t xml:space="preserve">The name of the linked file. In red if it is not in the list on the ScanXLS sheet.
</t>
        </r>
      </text>
    </comment>
    <comment ref="J5" authorId="0" shapeId="0">
      <text>
        <r>
          <rPr>
            <sz val="8"/>
            <color indexed="81"/>
            <rFont val="Tahoma"/>
            <family val="2"/>
          </rPr>
          <t>Whether the linkedTo file exists. This does not check whether the sheet, cell, or range name referred to exists.</t>
        </r>
      </text>
    </comment>
    <comment ref="K5" authorId="0" shapeId="0">
      <text>
        <r>
          <rPr>
            <sz val="8"/>
            <color indexed="81"/>
            <rFont val="Tahoma"/>
            <family val="2"/>
          </rPr>
          <t>Status of link update. Not available in Excel 97.
Sparsely documented as xllinkstatus on microsoft.com</t>
        </r>
      </text>
    </comment>
    <comment ref="L5" authorId="0" shapeId="0">
      <text>
        <r>
          <rPr>
            <sz val="8"/>
            <color indexed="81"/>
            <rFont val="Tahoma"/>
            <family val="2"/>
          </rPr>
          <t>Real network path if mapped drive</t>
        </r>
      </text>
    </comment>
    <comment ref="M5" authorId="0" shapeId="0">
      <text>
        <r>
          <rPr>
            <sz val="8"/>
            <color indexed="81"/>
            <rFont val="Tahoma"/>
            <family val="2"/>
          </rPr>
          <t>Can be formulas in cells or names, or source data for objects such as chart series or forms controls</t>
        </r>
      </text>
    </comment>
  </commentList>
</comments>
</file>

<file path=xl/comments3.xml><?xml version="1.0" encoding="utf-8"?>
<comments xmlns="http://schemas.openxmlformats.org/spreadsheetml/2006/main">
  <authors>
    <author>Client confidential</author>
  </authors>
  <commentList>
    <comment ref="B1" authorId="0" shapeId="0">
      <text>
        <r>
          <rPr>
            <sz val="8"/>
            <color indexed="81"/>
            <rFont val="Tahoma"/>
            <family val="2"/>
          </rPr>
          <t>If text like "Open" matches too many items you could change it to ".Open ", ".Open(", "Opendatabase"
NB spaces inside the quotes are significant</t>
        </r>
      </text>
    </comment>
    <comment ref="D1" authorId="0" shapeId="0">
      <text>
        <r>
          <rPr>
            <sz val="8"/>
            <color indexed="81"/>
            <rFont val="Tahoma"/>
            <family val="2"/>
          </rPr>
          <t>Comma-separated list of quote-delimited strings to find in the VBA code, not sensitive to case, no pattern matching characters.</t>
        </r>
      </text>
    </comment>
  </commentList>
</comments>
</file>

<file path=xl/sharedStrings.xml><?xml version="1.0" encoding="utf-8"?>
<sst xmlns="http://schemas.openxmlformats.org/spreadsheetml/2006/main" count="1336" uniqueCount="727">
  <si>
    <t>List of objects containing links</t>
  </si>
  <si>
    <r>
      <t xml:space="preserve">Select the sheet named </t>
    </r>
    <r>
      <rPr>
        <b/>
        <sz val="10"/>
        <rFont val="Arial"/>
        <family val="2"/>
      </rPr>
      <t>Excel</t>
    </r>
    <r>
      <rPr>
        <sz val="10"/>
        <rFont val="Arial"/>
        <family val="2"/>
      </rPr>
      <t xml:space="preserve"> and click the </t>
    </r>
    <r>
      <rPr>
        <b/>
        <sz val="10"/>
        <rFont val="Arial"/>
        <family val="2"/>
      </rPr>
      <t>Run check</t>
    </r>
    <r>
      <rPr>
        <sz val="10"/>
        <rFont val="Arial"/>
        <family val="2"/>
      </rPr>
      <t xml:space="preserve"> button.</t>
    </r>
  </si>
  <si>
    <r>
      <t xml:space="preserve">Click the </t>
    </r>
    <r>
      <rPr>
        <b/>
        <sz val="10"/>
        <rFont val="Arial"/>
        <family val="2"/>
      </rPr>
      <t>Browse</t>
    </r>
    <r>
      <rPr>
        <sz val="10"/>
        <rFont val="Arial"/>
        <family val="2"/>
      </rPr>
      <t xml:space="preserve"> button or type the name of the starting directory into cell A1.</t>
    </r>
  </si>
  <si>
    <t>Step 3</t>
  </si>
  <si>
    <t>Detailed cell checking only if requested</t>
  </si>
  <si>
    <t>Property: Title</t>
  </si>
  <si>
    <t>Property: Last author</t>
  </si>
  <si>
    <t>Property: Last Print Date</t>
  </si>
  <si>
    <t>Custom: Checked by</t>
  </si>
  <si>
    <t>Evaluate: A1</t>
  </si>
  <si>
    <t>Evaluate: B1</t>
  </si>
  <si>
    <t>Find: IF(*IF(</t>
  </si>
  <si>
    <t>Where</t>
  </si>
  <si>
    <t>Find: INDIRECT(</t>
  </si>
  <si>
    <t>Find: OFFSET(</t>
  </si>
  <si>
    <t>Find: LOOKUP(</t>
  </si>
  <si>
    <t>Unusual WS settings</t>
  </si>
  <si>
    <t>Constant Errors</t>
  </si>
  <si>
    <t>Formula Errors</t>
  </si>
  <si>
    <t>MaxCol</t>
  </si>
  <si>
    <t>MaxRow</t>
  </si>
  <si>
    <t>NonEmpty</t>
  </si>
  <si>
    <t>#DIV/0!</t>
  </si>
  <si>
    <t>#N/A</t>
  </si>
  <si>
    <t>#NAME?</t>
  </si>
  <si>
    <t>#NULL!</t>
  </si>
  <si>
    <t>#NUM!</t>
  </si>
  <si>
    <t>#REF!</t>
  </si>
  <si>
    <t>#VALUE!</t>
  </si>
  <si>
    <t>Error Value</t>
  </si>
  <si>
    <t>Text Date</t>
  </si>
  <si>
    <t>Text Number</t>
  </si>
  <si>
    <t>Inconsistent</t>
  </si>
  <si>
    <t>Omits Adjacent</t>
  </si>
  <si>
    <t>Unlocked Formula</t>
  </si>
  <si>
    <t>Ref To Empty</t>
  </si>
  <si>
    <t>Link Status</t>
  </si>
  <si>
    <t>LinkNr</t>
  </si>
  <si>
    <t>Relative</t>
  </si>
  <si>
    <t>Sheet</t>
  </si>
  <si>
    <t>Cell</t>
  </si>
  <si>
    <t>Observations</t>
  </si>
  <si>
    <t>nrUWB</t>
  </si>
  <si>
    <t>nrUWS</t>
  </si>
  <si>
    <t>Links Out</t>
  </si>
  <si>
    <t>Location</t>
  </si>
  <si>
    <t>Type</t>
  </si>
  <si>
    <t>Connection</t>
  </si>
  <si>
    <t>This worksheet shows the links from and to each workbook.</t>
  </si>
  <si>
    <t>Scan Time</t>
  </si>
  <si>
    <t>Full Path</t>
  </si>
  <si>
    <t>File Format</t>
  </si>
  <si>
    <t>Target Links</t>
  </si>
  <si>
    <t>Source Links</t>
  </si>
  <si>
    <t>Calc Version</t>
  </si>
  <si>
    <t>Unusual WB settings</t>
  </si>
  <si>
    <t>CommandText</t>
  </si>
  <si>
    <t>PathTo</t>
  </si>
  <si>
    <t>LinkedTo</t>
  </si>
  <si>
    <t>toopen</t>
  </si>
  <si>
    <t>Password to open</t>
  </si>
  <si>
    <t>Filename</t>
  </si>
  <si>
    <t>Size</t>
  </si>
  <si>
    <t>Created</t>
  </si>
  <si>
    <t>Accessed</t>
  </si>
  <si>
    <t>Modified</t>
  </si>
  <si>
    <t>Attributes</t>
  </si>
  <si>
    <t>Comments</t>
  </si>
  <si>
    <t>Constants</t>
  </si>
  <si>
    <t>Formulas</t>
  </si>
  <si>
    <t>Numbers</t>
  </si>
  <si>
    <t>Validation</t>
  </si>
  <si>
    <t>Worksheets</t>
  </si>
  <si>
    <t>Names</t>
  </si>
  <si>
    <t>This will tell you if there are any Excel settings that should be changed for greater safety.</t>
  </si>
  <si>
    <t>Windows version</t>
  </si>
  <si>
    <t>SCANXLS License information</t>
  </si>
  <si>
    <t>Scoring</t>
  </si>
  <si>
    <t>FileExists</t>
  </si>
  <si>
    <t>Application Setting</t>
  </si>
  <si>
    <t>Value</t>
  </si>
  <si>
    <t>Comment on any unusual setting</t>
  </si>
  <si>
    <t>Links In</t>
  </si>
  <si>
    <t xml:space="preserve">Quick Start </t>
  </si>
  <si>
    <t>Step 1</t>
  </si>
  <si>
    <t>Step 2</t>
  </si>
  <si>
    <r>
      <t xml:space="preserve">Select the sheet </t>
    </r>
    <r>
      <rPr>
        <b/>
        <sz val="10"/>
        <rFont val="Arial"/>
        <family val="2"/>
      </rPr>
      <t>ScanXLS</t>
    </r>
    <r>
      <rPr>
        <sz val="10"/>
        <rFont val="Arial"/>
        <family val="2"/>
      </rPr>
      <t>.</t>
    </r>
  </si>
  <si>
    <r>
      <t xml:space="preserve">Click the </t>
    </r>
    <r>
      <rPr>
        <b/>
        <sz val="10"/>
        <rFont val="Arial"/>
        <family val="2"/>
      </rPr>
      <t>Scan Contents</t>
    </r>
    <r>
      <rPr>
        <sz val="10"/>
        <rFont val="Arial"/>
        <family val="2"/>
      </rPr>
      <t xml:space="preserve"> button. Please be patient while the scan proceeds.</t>
    </r>
  </si>
  <si>
    <r>
      <t xml:space="preserve">The sheet </t>
    </r>
    <r>
      <rPr>
        <b/>
        <sz val="10"/>
        <rFont val="Arial"/>
        <family val="2"/>
      </rPr>
      <t>Links</t>
    </r>
    <r>
      <rPr>
        <sz val="10"/>
        <rFont val="Arial"/>
        <family val="2"/>
      </rPr>
      <t xml:space="preserve"> shows how these workbooks are linked.</t>
    </r>
  </si>
  <si>
    <t>Step 4</t>
  </si>
  <si>
    <t>Read the separate User Guide document for more details.</t>
  </si>
  <si>
    <t>NOTES</t>
  </si>
  <si>
    <t>Do not delete any of the range names!</t>
  </si>
  <si>
    <t>VBA Code lines</t>
  </si>
  <si>
    <t>Num in Formula</t>
  </si>
  <si>
    <t>Modules</t>
  </si>
  <si>
    <t>Forms</t>
  </si>
  <si>
    <t>.XL*</t>
  </si>
  <si>
    <t>Click the button to draw arrows between any multiple-level links present.</t>
  </si>
  <si>
    <t>Query Name</t>
  </si>
  <si>
    <t>Left file</t>
  </si>
  <si>
    <t>Right file</t>
  </si>
  <si>
    <r>
      <t xml:space="preserve">The sheet </t>
    </r>
    <r>
      <rPr>
        <b/>
        <sz val="10"/>
        <rFont val="Arial"/>
        <family val="2"/>
      </rPr>
      <t>WBCompare</t>
    </r>
    <r>
      <rPr>
        <sz val="10"/>
        <rFont val="Arial"/>
        <family val="2"/>
      </rPr>
      <t xml:space="preserve"> compares two workbooks.</t>
    </r>
  </si>
  <si>
    <t>Enter on this sheet the passwords needed to open the workbooks.</t>
  </si>
  <si>
    <t>Click button to select files</t>
  </si>
  <si>
    <t>Property: Author</t>
  </si>
  <si>
    <t>The columns are filled in with metrics of the spreadsheet size, complexity, and errors.</t>
  </si>
  <si>
    <r>
      <t xml:space="preserve">The sheet </t>
    </r>
    <r>
      <rPr>
        <b/>
        <sz val="10"/>
        <rFont val="Arial"/>
        <family val="2"/>
      </rPr>
      <t>PQLinks</t>
    </r>
    <r>
      <rPr>
        <sz val="10"/>
        <rFont val="Arial"/>
        <family val="2"/>
      </rPr>
      <t xml:space="preserve"> lists dependencies on external PivotTables and data queries.</t>
    </r>
  </si>
  <si>
    <t>Cells</t>
  </si>
  <si>
    <t>List Invalid</t>
  </si>
  <si>
    <t>List Inconsistent</t>
  </si>
  <si>
    <t>Data Invalid</t>
  </si>
  <si>
    <t>Excel's Error checking in cells only available in version 10 (2002) and later</t>
  </si>
  <si>
    <t>Data Hidden</t>
  </si>
  <si>
    <r>
      <t xml:space="preserve">Click the </t>
    </r>
    <r>
      <rPr>
        <b/>
        <sz val="10"/>
        <rFont val="Arial"/>
        <family val="2"/>
      </rPr>
      <t>List Files</t>
    </r>
    <r>
      <rPr>
        <sz val="10"/>
        <rFont val="Arial"/>
        <family val="2"/>
      </rPr>
      <t xml:space="preserve"> button. All .XL* files in that directory and its subdirectories are then listed.</t>
    </r>
  </si>
  <si>
    <t>Check for Excel settings</t>
  </si>
  <si>
    <t>Version number</t>
  </si>
  <si>
    <t>User Name</t>
  </si>
  <si>
    <t>Display Formula Bar</t>
  </si>
  <si>
    <t>Display Status Bar</t>
  </si>
  <si>
    <t>Display comments, indicators</t>
  </si>
  <si>
    <t>Calculation method</t>
  </si>
  <si>
    <t>Calculate Before Save</t>
  </si>
  <si>
    <t>Fixed Decimal places</t>
  </si>
  <si>
    <t>Auto Complete</t>
  </si>
  <si>
    <t>Prompt for Workbook properties on save</t>
  </si>
  <si>
    <t>Reference Style</t>
  </si>
  <si>
    <t>Transition navigation keys</t>
  </si>
  <si>
    <t>Extend list formats and formulas</t>
  </si>
  <si>
    <t xml:space="preserve">Background error checking </t>
  </si>
  <si>
    <t>Auto Recover save interval</t>
  </si>
  <si>
    <t>This is the name registered for this copy of Excel.</t>
  </si>
  <si>
    <t>The Formula Bar should normally be visible. Click View/Formula Bar to display it.</t>
  </si>
  <si>
    <t>The Status Bar should normally be visible (View/Status Bar). ScanXLS has made it visible to show progress messages.</t>
  </si>
  <si>
    <t>It is recommended to enable at least comment indicators. (Tools / Options / View tab)</t>
  </si>
  <si>
    <t>The Calculation method is normally Automatic. (Tools / Options / Calculation tab)</t>
  </si>
  <si>
    <t>It is recommended to enable this. (Tools / Options / Calculation tab)</t>
  </si>
  <si>
    <t>This inserts decimals into whole numbers entered. (Tools / Options / Edit tab)</t>
  </si>
  <si>
    <t>This may enter unexpected values if the user is not looking carefully. (Tools / Options / Edit tab)</t>
  </si>
  <si>
    <t>It is recommended to enable this. (Tools / Options / General tab)</t>
  </si>
  <si>
    <t>The normal style is A1. (Tools / Options / General tab)</t>
  </si>
  <si>
    <t>Lotus 1-2-3 style navigation is enabled. (Tools / Options / Transition tab)</t>
  </si>
  <si>
    <t>This may cause formulas to be unexpectedly changed. (Tools / Options / Edit tab, Excel 2000+ only)</t>
  </si>
  <si>
    <t>It is recommended to enable this. (Tools / Options / Error Checking tab, Excel 2002+ only)</t>
  </si>
  <si>
    <t>minutes. It is recommended to enable this. (Tools / Options / General tab, Excel 2002+ only)</t>
  </si>
  <si>
    <t>All Errors</t>
  </si>
  <si>
    <t>C:\Left.xls</t>
  </si>
  <si>
    <t>C:\Right.xls</t>
  </si>
  <si>
    <t>Overflow</t>
  </si>
  <si>
    <t>Maximum:</t>
  </si>
  <si>
    <t>Sum, Min or Count:</t>
  </si>
  <si>
    <t>User Notes</t>
  </si>
  <si>
    <t>No.</t>
  </si>
  <si>
    <t>Source UNC</t>
  </si>
  <si>
    <t>Other</t>
  </si>
  <si>
    <t>External Links: Pivot Table, Query</t>
  </si>
  <si>
    <r>
      <t>Disclaimer</t>
    </r>
    <r>
      <rPr>
        <sz val="10"/>
        <rFont val="Arial"/>
        <family val="2"/>
      </rPr>
      <t>: this spreadsheet is supplied as-is with no warranty. If it fails to perform as described above and you wish to cancel the license and obtain a refund, return the failed spreadsheet with a description of the error and stating the version of Windows and Excel used.</t>
    </r>
  </si>
  <si>
    <t>Scan rate in MB/minute:</t>
  </si>
  <si>
    <t>Module</t>
  </si>
  <si>
    <t>Line</t>
  </si>
  <si>
    <t>Extract</t>
  </si>
  <si>
    <t>Code</t>
  </si>
  <si>
    <t>VBA</t>
  </si>
  <si>
    <t>Code containing any of these:</t>
  </si>
  <si>
    <t>Matches</t>
  </si>
  <si>
    <t>Longest Formula</t>
  </si>
  <si>
    <t>Too long Formula</t>
  </si>
  <si>
    <t>"Open",".Save","DDEInitiate",".XLS",".TXT",".CSV",".HTM",".XML",":\","\\","//"</t>
  </si>
  <si>
    <t>LinkSource</t>
  </si>
  <si>
    <t>Filename (wildcards allowed)</t>
  </si>
  <si>
    <t>*.xls</t>
  </si>
  <si>
    <t>password</t>
  </si>
  <si>
    <t>Access to Visual Basic Project Trusted</t>
  </si>
  <si>
    <t xml:space="preserve">In the Macro Security settings, check 'Trust access to Visual Basic Project' </t>
  </si>
  <si>
    <t>SCANXLS V3.43b Nov 2012 Copyright © Patrick O'Beirne, Systems Modelling Ltd, www.sysmod.com</t>
  </si>
  <si>
    <t>Copyright © 2004-2012, Patrick O'Beirne, Systems Modelling Ltd, www.sysmod.com</t>
  </si>
  <si>
    <t>Last checked 15:48:29 19/11/2012</t>
  </si>
  <si>
    <t>Windows (32-bit) NT 6.01</t>
  </si>
  <si>
    <t>Systems Modelling</t>
  </si>
  <si>
    <t>Visible</t>
  </si>
  <si>
    <t>Indicators</t>
  </si>
  <si>
    <t>Automatic</t>
  </si>
  <si>
    <t>Enabled</t>
  </si>
  <si>
    <t>Disabled</t>
  </si>
  <si>
    <t>A1</t>
  </si>
  <si>
    <t>Add-Ins</t>
  </si>
  <si>
    <t>Installed</t>
  </si>
  <si>
    <t>FullName</t>
  </si>
  <si>
    <t>Author</t>
  </si>
  <si>
    <t>Analysis ToolPak</t>
  </si>
  <si>
    <t>C:\Program Files\Microsoft Office\Office15\LIBRARY\ANALYSIS\ANALYS32.XLL</t>
  </si>
  <si>
    <t>Analysis ToolPak - VBA</t>
  </si>
  <si>
    <t>C:\Program Files\Microsoft Office\Office15\LIBRARY\ANALYSIS\ATPVBAEN.XLAM</t>
  </si>
  <si>
    <t>Euro Currency Tools</t>
  </si>
  <si>
    <t>C:\Program Files\Microsoft Office\Office15\LIBRARY\EUROTOOL.XLAM</t>
  </si>
  <si>
    <t>Solver Add-in</t>
  </si>
  <si>
    <t>C:\Program Files\Microsoft Office\Office15\LIBRARY\SOLVER\SOLVER.XLAM</t>
  </si>
  <si>
    <t>Custom Toolbars</t>
  </si>
  <si>
    <t>Controls</t>
  </si>
  <si>
    <t>Drive Letter</t>
  </si>
  <si>
    <t>Network Path</t>
  </si>
  <si>
    <t>F:\Docs\Sstest</t>
  </si>
  <si>
    <t>Copyright(c)2012,Patrick O'Beirne,Systems Modelling Ltd,www.sysmod.com</t>
  </si>
  <si>
    <t>F:\Docs\Sstest\1994SAMPLES.XLS</t>
  </si>
  <si>
    <t>1994SAMPLES.XLS</t>
  </si>
  <si>
    <t>.XLS</t>
  </si>
  <si>
    <t>F:\Docs\Sstest\2000SAMPLES.XLS</t>
  </si>
  <si>
    <t>2000SAMPLES.XLS</t>
  </si>
  <si>
    <t>F:\Docs\Sstest\24 JULY.XLS</t>
  </si>
  <si>
    <t>24 JULY.XLS</t>
  </si>
  <si>
    <t>F:\Docs\Sstest\AUTOOPEN.XLM</t>
  </si>
  <si>
    <t>AUTOOPEN.XLM</t>
  </si>
  <si>
    <t>.XLM</t>
  </si>
  <si>
    <t>.XLK</t>
  </si>
  <si>
    <t>F:\Docs\Sstest\Backup of exampleright.xlk</t>
  </si>
  <si>
    <t>Backup of exampleright.xlk</t>
  </si>
  <si>
    <t>F:\Docs\Sstest\BFEXCEL.XLL</t>
  </si>
  <si>
    <t>BFEXCEL.XLL</t>
  </si>
  <si>
    <t>.XLL</t>
  </si>
  <si>
    <t>F:\Docs\Sstest\Budget.xltx</t>
  </si>
  <si>
    <t>Budget.xltx</t>
  </si>
  <si>
    <t>F:\Docs\Sstest\circtaxcalc.XLS</t>
  </si>
  <si>
    <t>circtaxcalc.XLS</t>
  </si>
  <si>
    <t>F:\Docs\Sstest\circtaxcalciter.XLS</t>
  </si>
  <si>
    <t>circtaxcalciter.XLS</t>
  </si>
  <si>
    <t>F:\Docs\Sstest\currency rates.xls</t>
  </si>
  <si>
    <t>currency rates.xls</t>
  </si>
  <si>
    <t>F:\Docs\Sstest\data_validation.xls</t>
  </si>
  <si>
    <t>data_validation.xls</t>
  </si>
  <si>
    <t>F:\Docs\Sstest\directors private.xls</t>
  </si>
  <si>
    <t>directors private.xls</t>
  </si>
  <si>
    <t>F:\Docs\Sstest\DV2.xls</t>
  </si>
  <si>
    <t>DV2.xls</t>
  </si>
  <si>
    <t>F:\Docs\Sstest\errorid.xls</t>
  </si>
  <si>
    <t>errorid.xls</t>
  </si>
  <si>
    <t>F:\Docs\Sstest\example.xls</t>
  </si>
  <si>
    <t>example.xls</t>
  </si>
  <si>
    <t>F:\Docs\Sstest\exampleleft.xls</t>
  </si>
  <si>
    <t>exampleleft.xls</t>
  </si>
  <si>
    <t>F:\Docs\Sstest\exampleright.xls</t>
  </si>
  <si>
    <t>exampleright.xls</t>
  </si>
  <si>
    <t>F:\Docs\Sstest\excbook3.XLS</t>
  </si>
  <si>
    <t>excbook3.XLS</t>
  </si>
  <si>
    <t>F:\Docs\Sstest\excbook3.xlsx</t>
  </si>
  <si>
    <t>excbook3.xlsx</t>
  </si>
  <si>
    <t>F:\Docs\Sstest\Excel10.xlb</t>
  </si>
  <si>
    <t>Excel10.xlb</t>
  </si>
  <si>
    <t>.XLB</t>
  </si>
  <si>
    <t>F:\Docs\Sstest\Excel11.xlb</t>
  </si>
  <si>
    <t>Excel11.xlb</t>
  </si>
  <si>
    <t>F:\Docs\Sstest\EXPENSE STATEMENT.XLT</t>
  </si>
  <si>
    <t>EXPENSE STATEMENT.XLT</t>
  </si>
  <si>
    <t>.XLT</t>
  </si>
  <si>
    <t>F:\Docs\Sstest\Fitness Plan.xls</t>
  </si>
  <si>
    <t>Fitness Plan.xls</t>
  </si>
  <si>
    <t>F:\Docs\Sstest\GRAPH5.XLB</t>
  </si>
  <si>
    <t>GRAPH5.XLB</t>
  </si>
  <si>
    <t>F:\Docs\Sstest\Left.xls</t>
  </si>
  <si>
    <t>Left.xls</t>
  </si>
  <si>
    <t>F:\Docs\Sstest\linkone.xls</t>
  </si>
  <si>
    <t>linkone.xls</t>
  </si>
  <si>
    <t>F:\Docs\Sstest\linkthree.xls</t>
  </si>
  <si>
    <t>linkthree.xls</t>
  </si>
  <si>
    <t>F:\Docs\Sstest\linktwo.xls</t>
  </si>
  <si>
    <t>linktwo.xls</t>
  </si>
  <si>
    <t>F:\Docs\Sstest\MB96.XLW</t>
  </si>
  <si>
    <t>MB96.XLW</t>
  </si>
  <si>
    <t>.XLW</t>
  </si>
  <si>
    <t>F:\Docs\Sstest\NWind.xls</t>
  </si>
  <si>
    <t>NWind.xls</t>
  </si>
  <si>
    <t>F:\Docs\Sstest\parts copy.xls</t>
  </si>
  <si>
    <t>parts copy.xls</t>
  </si>
  <si>
    <t>F:\Docs\Sstest\parts with bad links.xls</t>
  </si>
  <si>
    <t>parts with bad links.xls</t>
  </si>
  <si>
    <t>F:\Docs\Sstest\ProtHid.xls</t>
  </si>
  <si>
    <t>ProtHid.xls</t>
  </si>
  <si>
    <t>F:\Docs\Sstest\Purchase Order.xlt</t>
  </si>
  <si>
    <t>Purchase Order.xlt</t>
  </si>
  <si>
    <t>F:\Docs\Sstest\QueryMaster.xls</t>
  </si>
  <si>
    <t>QueryMaster.xls</t>
  </si>
  <si>
    <t>F:\Docs\Sstest\right.xls</t>
  </si>
  <si>
    <t>right.xls</t>
  </si>
  <si>
    <t>F:\Docs\Sstest\SGR Unprotected.XLS</t>
  </si>
  <si>
    <t>SGR Unprotected.XLS</t>
  </si>
  <si>
    <t>F:\Docs\Sstest\taxsimple XL95.xls</t>
  </si>
  <si>
    <t>taxsimple XL95.xls</t>
  </si>
  <si>
    <t>F:\Docs\Sstest\test.xlt</t>
  </si>
  <si>
    <t>test.xlt</t>
  </si>
  <si>
    <t>F:\Docs\Sstest\testfmt.xls</t>
  </si>
  <si>
    <t>testfmt.xls</t>
  </si>
  <si>
    <t>F:\Docs\Sstest\testme.xls</t>
  </si>
  <si>
    <t>testme.xls</t>
  </si>
  <si>
    <t>F:\Docs\Sstest\testme1.xls</t>
  </si>
  <si>
    <t>testme1.xls</t>
  </si>
  <si>
    <t>F:\Docs\Sstest\testme2.xls</t>
  </si>
  <si>
    <t>testme2.xls</t>
  </si>
  <si>
    <t>F:\Docs\Sstest\TooComplex.xls</t>
  </si>
  <si>
    <t>TooComplex.xls</t>
  </si>
  <si>
    <t>F:\Docs\Sstest\Using Data Validation.xls</t>
  </si>
  <si>
    <t>Using Data Validation.xls</t>
  </si>
  <si>
    <t>F:\Docs\Sstest\windirtest - Copy.xls</t>
  </si>
  <si>
    <t>windirtest - Copy.xls</t>
  </si>
  <si>
    <t>F:\Docs\Sstest\lastyear\linktwo (version 1).xls</t>
  </si>
  <si>
    <t>linktwo (version 1).xls</t>
  </si>
  <si>
    <t>F:\Docs\Sstest\lastyear\linktwo.xls</t>
  </si>
  <si>
    <t>F:\Docs\Sstest\sub.dir\test.xls</t>
  </si>
  <si>
    <t>test.xls</t>
  </si>
  <si>
    <t>F:\Docs\Sstest\sub.dir\test2.xls</t>
  </si>
  <si>
    <t>test2.xls</t>
  </si>
  <si>
    <t>F:\Docs\Sstest\thisyear\linktwo.xls</t>
  </si>
  <si>
    <t>F:\Docs\Sstest\Topdir1\source2.xls</t>
  </si>
  <si>
    <t>source2.xls</t>
  </si>
  <si>
    <t>F:\Docs\Sstest\Topdir1\test.xls</t>
  </si>
  <si>
    <t>F:\Docs\Sstest\Topdir1\test2.xls</t>
  </si>
  <si>
    <t>F:\Docs\Sstest\Topdir1\testlinks.xls</t>
  </si>
  <si>
    <t>testlinks.xls</t>
  </si>
  <si>
    <t>F:\Docs\Sstest\Topdir1\Subdir1\source4.xls</t>
  </si>
  <si>
    <t>source4.xls</t>
  </si>
  <si>
    <t>F:\Docs\Sstest\Topdir1\Subdir2\source5.xls</t>
  </si>
  <si>
    <t>source5.xls</t>
  </si>
  <si>
    <t>F:\Docs\Sstest\Topdir2\source1.xls</t>
  </si>
  <si>
    <t>source1.xls</t>
  </si>
  <si>
    <t>F:\Docs\Sstest\Topdir2\source3.xls</t>
  </si>
  <si>
    <t>source3.xls</t>
  </si>
  <si>
    <t xml:space="preserve"> 15 MB in 61 .XL* files, estimated scan time = 15 mins</t>
  </si>
  <si>
    <t>*example*.xls</t>
  </si>
  <si>
    <t>S/N  300 Type Single(1) User Name A Single Licensee Name, Example Licensee Company</t>
  </si>
  <si>
    <t>Cannot analyze XLL file</t>
  </si>
  <si>
    <t>Workbook default (Open XML)</t>
  </si>
  <si>
    <t>Example for section S.5.1.1</t>
  </si>
  <si>
    <t>Patrick O'Beirne</t>
  </si>
  <si>
    <t>640M</t>
  </si>
  <si>
    <t>22/03/2007 11:53:51</t>
  </si>
  <si>
    <t>POB</t>
  </si>
  <si>
    <t>Forecast</t>
  </si>
  <si>
    <t xml:space="preserve">1 Custom Document Properties </t>
  </si>
  <si>
    <t>'DeptA':14</t>
  </si>
  <si>
    <t>'Forecast':11</t>
  </si>
  <si>
    <t>'Fiddled Forecast',1,C8
'Forecast',1,C8</t>
  </si>
  <si>
    <t>'Fiddled Forecast',10,C4:E4,E7:F7,F8,B11:E11
'Forecast',3,C4:E4</t>
  </si>
  <si>
    <t>=(B4+B5)*1.1-SUM(B7:B9)</t>
  </si>
  <si>
    <t>'Fiddled Forecast',1,B11
'Forecast',1,B11</t>
  </si>
  <si>
    <t>'Fiddled Forecast',3,F9,B11,D11
'DeptA',7,B11:H11
'Forecast',3,F9,B11,D11</t>
  </si>
  <si>
    <t>Excel8</t>
  </si>
  <si>
    <t>?</t>
  </si>
  <si>
    <t>15/01/2004 17:10:50</t>
  </si>
  <si>
    <t xml:space="preserve">Tax Deduction  calculations </t>
  </si>
  <si>
    <t>'Tax Calc', Circ ref: C8</t>
  </si>
  <si>
    <t>'Tax Calc':5</t>
  </si>
  <si>
    <t>'Tax Calc':19</t>
  </si>
  <si>
    <t>=SUM(B6:B9)</t>
  </si>
  <si>
    <t>'Tax Calc',1,B10</t>
  </si>
  <si>
    <t>'Tax Calc', Circ ref: C9</t>
  </si>
  <si>
    <t>CurrencyRates</t>
  </si>
  <si>
    <t>'Query'!A2:I66</t>
  </si>
  <si>
    <t>Web Query Table</t>
  </si>
  <si>
    <t>URL;http://moneycentral.msn.com/investor/external/excel/rates.asp</t>
  </si>
  <si>
    <t>n/a</t>
  </si>
  <si>
    <t>Power Utility Pak v6</t>
  </si>
  <si>
    <t>J-Walk &amp; Associates</t>
  </si>
  <si>
    <t>John Walkenbach</t>
  </si>
  <si>
    <t>09/12/2004 18:29:55</t>
  </si>
  <si>
    <t>This workbook is used by the Convert Currency utility. Do not make any changes to it!</t>
  </si>
  <si>
    <t>1 Query links listed in PQLinks sheet:
http://moneycentral.msn.com/investor/external/excel/rates.asp</t>
  </si>
  <si>
    <t>'Query',1 Query tables</t>
  </si>
  <si>
    <t>'Query':3</t>
  </si>
  <si>
    <t>'Query':66</t>
  </si>
  <si>
    <t/>
  </si>
  <si>
    <t>ThisWorkbook</t>
  </si>
  <si>
    <t>Open</t>
  </si>
  <si>
    <t>Private Sub Workbook_Open()</t>
  </si>
  <si>
    <t>Validate Data Entry</t>
  </si>
  <si>
    <t>Data Miner</t>
  </si>
  <si>
    <t>Win98</t>
  </si>
  <si>
    <t>12/10/2000 19:56:50</t>
  </si>
  <si>
    <t>'Adv',6 OLE objects
'Validation', Some Merged cells,19 OLE objects
'Title', Some Merged cells,5 OLE objects,1 Hyperlinks</t>
  </si>
  <si>
    <t>'Adv':72</t>
  </si>
  <si>
    <t>'Adv':756</t>
  </si>
  <si>
    <t>'Validation',1,B22</t>
  </si>
  <si>
    <t>'Adv',68,A1:L3,T3,A4:A5,B5,B16:B41,C42,C98</t>
  </si>
  <si>
    <t>'Validation',6,B21:B22,B40:B41,B49,B71</t>
  </si>
  <si>
    <t>=IF(ISNA(MATCH(TopLeft,Data!$A$31:$A$81,0)),"not a match ",TopLeft)</t>
  </si>
  <si>
    <t>'Validation',1,B21</t>
  </si>
  <si>
    <t>'Validation',2,B21,B70</t>
  </si>
  <si>
    <t>Phantom</t>
  </si>
  <si>
    <t>\\MERCURY\Common\windows\TEMP\D1 List Copy.xls</t>
  </si>
  <si>
    <t>\\MERCURY\Common\windows\TEMP\</t>
  </si>
  <si>
    <t>D1 List Copy.xls</t>
  </si>
  <si>
    <t>Missing File</t>
  </si>
  <si>
    <t>amount='\\MERCURY\Common\windows\TEMP\[D1 List Copy.xls]#REF'!$C$5</t>
  </si>
  <si>
    <t>Costs='\\MERCURY\Common\windows\TEMP\[D1 List Copy.xls]#REF'!$D$3</t>
  </si>
  <si>
    <t>interest='\\MERCURY\Common\windows\TEMP\[D1 List Copy.xls]#REF'!$C$3</t>
  </si>
  <si>
    <t>Orders='\\MERCURY\Common\windows\TEMP\[D1 List Copy.xls]#REF'!$C$8:$C$23</t>
  </si>
  <si>
    <t>term='\\MERCURY\Common\windows\TEMP\[D1 List Copy.xls]#REF'!$C$4</t>
  </si>
  <si>
    <t>D:\My Documents\FUNCTION.XLS</t>
  </si>
  <si>
    <t>D:\My Documents\</t>
  </si>
  <si>
    <t>FUNCTION.XLS</t>
  </si>
  <si>
    <t>bonus='D:\My Documents\FUNCTION.XLS'!bonus</t>
  </si>
  <si>
    <t>D:\EXCEL5\CLC5ADV\04LESSN.XLS</t>
  </si>
  <si>
    <t>D:\EXCEL5\CLC5ADV\</t>
  </si>
  <si>
    <t>04LESSN.XLS</t>
  </si>
  <si>
    <t>COGS_Total='D:\EXCEL5\CLC5ADV\[04LESSN.XLS]Cash Budget'!$D$29:$P$29</t>
  </si>
  <si>
    <t>EXP_Total='D:\EXCEL5\CLC5ADV\[04LESSN.XLS]Cash Budget'!$D$43:$P$43</t>
  </si>
  <si>
    <t>GR_Total='D:\EXCEL5\CLC5ADV\[04LESSN.XLS]Cash Budget'!$D$23:$P$23</t>
  </si>
  <si>
    <t>Gross_Profit='D:\EXCEL5\CLC5ADV\[04LESSN.XLS]Cash Budget'!$D$30:$P$30</t>
  </si>
  <si>
    <t>Operating_Income='D:\EXCEL5\CLC5ADV\[04LESSN.XLS]Cash Budget'!$D$44:$P$44</t>
  </si>
  <si>
    <t>F:\Docs\Sstest\possible new test file.xls</t>
  </si>
  <si>
    <t>F:\Docs\Sstest\</t>
  </si>
  <si>
    <t>possible new test file.xls</t>
  </si>
  <si>
    <t>directors!DBASE='F:\Docs\Sstest\[possible new test file.xls]#REF'!$A$7:$F$44</t>
  </si>
  <si>
    <t>rate='F:\Docs\Sstest\[possible new test file.xls]#REF'!#REF!</t>
  </si>
  <si>
    <t>Rates='F:\Docs\Sstest\[possible new test file.xls]#REF'!$A$105:$C$112</t>
  </si>
  <si>
    <t>D:\My Documents\PIVMUSIC.XLS</t>
  </si>
  <si>
    <t>PIVMUSIC.XLS</t>
  </si>
  <si>
    <t>DBASE='D:\My Documents\[PIVMUSIC.XLS]Music 2'!$A$4:$F$41</t>
  </si>
  <si>
    <t>V:\My Documents\CHART3D.XLS</t>
  </si>
  <si>
    <t>V:\My Documents\</t>
  </si>
  <si>
    <t>CHART3D.XLS</t>
  </si>
  <si>
    <t>Growth='V:\My Documents\[CHART3D.XLS]3-D Chart1'!#REF!</t>
  </si>
  <si>
    <t>D:\My Documents\MACRO.XLS</t>
  </si>
  <si>
    <t>MACRO.XLS</t>
  </si>
  <si>
    <t>STAFF='D:\My Documents\[MACRO.XLS]If Commission'!$H$1:$J$7</t>
  </si>
  <si>
    <t>D:\My Documents\CHART3D.XLS</t>
  </si>
  <si>
    <t>TOTALS='D:\My Documents\[CHART3D.XLS]#REF'!$B$27:$E$27</t>
  </si>
  <si>
    <t>Aidan</t>
  </si>
  <si>
    <t>\\MERCURY\Common\windows\TEMP\D1 List Copy.xls
D:\My Documents\FUNCTION.XLS
D:\EXCEL5\CLC5ADV\04LESSN.XLS
F:\Docs\Sstest\possible new test file.xls
D:\My Documents\PIVMUSIC.XLS
V:\My Documents\CHART3D.XLS
D:\My Documents\MACRO.XLS
D:\My Documents\CHART3D.XLS</t>
  </si>
  <si>
    <t>'directors', Circ ref: D6
'OtherData', Hidden</t>
  </si>
  <si>
    <t>'directors':7</t>
  </si>
  <si>
    <t>'directors':13</t>
  </si>
  <si>
    <t>=SUM(D3:D6)</t>
  </si>
  <si>
    <t>'directors',1,D6</t>
  </si>
  <si>
    <t>Digital Video</t>
  </si>
  <si>
    <t>James Cricket</t>
  </si>
  <si>
    <t>Coderr</t>
  </si>
  <si>
    <t>27/05/2003 14:17:15</t>
  </si>
  <si>
    <t>Always creates backup on save
Precision As Displayed 
5 Custom Document Properties 
VBA Project is protected</t>
  </si>
  <si>
    <t>'Cattle', Some Merged cells
'Cat7', Some Merged cells
'Cat6 part2', Some Merged cells
'Cat6', Some Merged cells
'Cat5', Some Merged cells
'Cat4 part2', Some Merged cells
'Cat4', Some Merged cells
'Cat3', Some Merged cells
'Cat2', Some Merged cells
'Cat1 part2', Some Merged cells
'Cat1', Some Merged cells
'Overall', Some Merged cells
'Instructions', Some Merged cells</t>
  </si>
  <si>
    <t>'Cat1':188</t>
  </si>
  <si>
    <t>'Cat5':593</t>
  </si>
  <si>
    <t>'Cat4',1,C358</t>
  </si>
  <si>
    <t>'Instructions',2,A1,EC1</t>
  </si>
  <si>
    <t>'Overall',2,B28:B29
'Cat1',179,R4,R6,E14,K14,P14:R14,W14:X14,AC14:AD14,E17:E34,K17:K34,P17:R34,W17:X34»
'Cat1 part2',185,D15:D32,H15:H32,R15:R32,V15:V32,D35:D52,H35:H52,R35:R52,V35:V52,D»
'Cat2',41,R4,R6,E14:E16,K14:K16,P14:R16,X14:X16,AC14:AD16,E20,K20,P20:R20,X20,AC2»
'Cat3',36,B26:H26,C30,C32,B44:H44,C48,C50,B62:H62,C66,C68,B80:H80,C84,C86
'Cat4',179,R4,R6,E14,K14,P14:R14,W14:X14,AC14:AD14,E17:E34,K17:K34,P17:R34,W17:»
'Cat4 part2',185,D15:D32,H15:H32,R15:R32,V15:V32,D35:D52,H35:H52,R35:R52,V35:V5»
'Cat5',179,R4,R6,E14,K14,P14:R14,W14:X14,AC14:AD14,E17:E34,K17:K34,P17:R34,W17:»
'Cat6',179,R4,R6,E14,K14,P14:R14,W14:X14,AC14:AD14,E17:E34,K17:K34,P17:R34,W17:»
'Cat6 part2',185,D15:D32,H15:H32,R15:R32,V15:V32,D35:D52,H35:H52,R35:R52,V35:V5»
'Cat7',5,D18,F18,H18,C25:C26
'Cattle',180,S58:T75,C78:D95,K78:L95,AA79:AB96,AI79:AJ96</t>
  </si>
  <si>
    <t>=IF(C385=0,0,(K75+P75+K96+P96+K117+P117+K138+P138+K159+P159+K164+P164+K185+P185+K206+P206+K227+P227+K248+P248+K269+P269+K290+P290)/(K376+P376))</t>
  </si>
  <si>
    <t>'Cat2',1,B383
'Cat1 part2',1,AE161
'Cat1',1,C344
'Overall',1,B28</t>
  </si>
  <si>
    <t>'Cattle',183,C17:C34,K17:K34,S17:S34,AA17:AA34,AI17:AI34,C37:C54,K37:K54,S37:S54,AA37:AA54,AI37:AI54,C57,K57,AI57</t>
  </si>
  <si>
    <t>'Cat6 part2',90,K15:K32,Y15:Y32,K35:K52,Y35:Y52,K55:K72
'Cat4 part2',90,K15:K32,Y15:Y32,K35:K52,Y35:Y52,K55:K72
'Cat1 part2',90,K15:K32,Y15:Y32,K35:K52,Y35:Y52,K55:K72</t>
  </si>
  <si>
    <t>'Overall',9,B26:F26,B30:B33
'Cat1',106,B4,B6,B8,E14,U14,W14,AA14:AB14,E17:E34,U17:U34,W17:W34,AA17:AB34,G»
'Cat1 part2',158,C4,C6,C8,K15:K32,Y15:Y32,AI15:AI32,K35:K52,Y35:Y52,AI35:AI52»
'Cat2',28,B4,B6,B8,AA14,AB15,U14:U16,AA16:AB16,G17,L17,U20,AA20:AB20,G21,L21,»
'Cat3',55,B4,B6,B8,K21:K25,B26:H26,C32,K39:K43,B44:H44,C50,K57:K61,B62:H62,C6»
'Cat4',156,B4,B6,B8,U14,W14,AA14:AB14,U17:U34,W17:W34,AA17:AB34,G35,L35,U38:U»
'Cat4 part2',162,C4,C6,C8,K15:K32,Y15:Y32,AI15:AI32,K35:K52,Y35:Y52,AI35:AI52»
'Cat5',156,B4,B6,B8,U14,W14,AA14:AB14,U17:U34,W17:W34,AA17:AB34,G35,L35,U38:»
'Cat6',156,B4,B6,B8,U14,W14,AA14:AB14,U17:U34,W17:W34,AA17:AB34,G35,L35,U38:»
'Cat6 part2',159,C4,C6,C8,K15:K32,Y15:Y32,AI15:AI32,K35:K52,Y35:Y52,AI35:AI5»
'Cat7',9,C4,C6,C8,D18,F18,H18,C24:C26
'Cattle',184,C4,C6,C8,F17:F34,N17:N34,V17:V34,AD17:AD34,AL17:AL34,F37:F54»</t>
  </si>
  <si>
    <t>Total sales for 2004=</t>
  </si>
  <si>
    <t>183568</t>
  </si>
  <si>
    <t>'Approx',6,C11:C15,A9
'Exact',6,C11:C15,A9
'Errors',3,B15:B17
'Displays',1,C13</t>
  </si>
  <si>
    <t>'Sheet', Hidden</t>
  </si>
  <si>
    <t>'Inconsistent':14</t>
  </si>
  <si>
    <t>'Inputs':372</t>
  </si>
  <si>
    <t>'Approx',1,C11
'Exact',3,C11,C13,C15
'Errors',10,B11,B13,B15:B17,B21,B23,B25,B27:B28
'Displays',1,C13</t>
  </si>
  <si>
    <t>'Approx',5,C11:C15
'Exact',5,C11:C15
'Errors',8,B11,B15:B17,B21:D21,B23
'Displays',1,C13
'Depends',1,D5
'Inputs',1,B2</t>
  </si>
  <si>
    <t>=IF(getformula(Inconsistent!A10)=getformula(Budget07!A10),"",getformula(Inconsistent!A10))</t>
  </si>
  <si>
    <t>'Sheet',1,A10
'Errors',1,B15
'Displays',1,C13
'Inputs',1,B3</t>
  </si>
  <si>
    <t>'Approx',1,C11
'Exact',3,C11,C13,C15
'Errors',8,B11,B13,B15:B17,B21,B23,B25
'Displays',1,C13</t>
  </si>
  <si>
    <t>'Errors',2,B30:B31</t>
  </si>
  <si>
    <t>'Inconsistent',2,K17,D70</t>
  </si>
  <si>
    <t>'Inconsistent',6,G67:L67</t>
  </si>
  <si>
    <t>'Budget08',54,N5:N11,N14:N17,N20:N27,N30:N37,N40:N47,N51:N67,N69:N70</t>
  </si>
  <si>
    <t>'Sheet',163,B1:N1,A2:N2,A3,B4:N4,A12:N12,B13:M13,A18:N18,B19:N19,A28:N28,B29:N29,A38:M38,B39:N39,N48,A49:N49,B50
'Budget08',2,C69,N69
'Budget07',41,B11:M11,N13,B27:M27,N38,N50,B67:M67,N68:N69
'InsRow',3,B11:D11
'Inconsistent',29,B11:H11,N13,B27:M27,N38,N50,B67:C67,E67:F67,M67,N68,N70
'Errors',3,B15:B17
'Displays',1,C13
'Inputs',1,B1</t>
  </si>
  <si>
    <t>Password[toopen]</t>
  </si>
  <si>
    <t>Administrator</t>
  </si>
  <si>
    <t>Welcome</t>
  </si>
  <si>
    <t>'NestIf',15,E27:E31,I13:I17,E13:E17</t>
  </si>
  <si>
    <t>'Indir',1,D6</t>
  </si>
  <si>
    <t>'NestIf',10,I27:I31,E27:E31
'HLook3',6,C12:C14,C4:C6
'VLook3',6,B13:D13,B5:D5</t>
  </si>
  <si>
    <t>'Dfunc',1 Pivot Tables
'PivTble',1 Pivot Tables
'VHidSht2', Very Hidden</t>
  </si>
  <si>
    <t>'SumIf':13</t>
  </si>
  <si>
    <t>'ArrForm':35</t>
  </si>
  <si>
    <t>'FormError',1,C6</t>
  </si>
  <si>
    <t>'CondForm',1,C20</t>
  </si>
  <si>
    <t>'Indir',1,D6
'Dfunc',1,K24
'SumIf',20,M3:M22
'NestIf',20,F13:F17,E27:F31,I27:I31
'ArrForm',32,D4,K3:K33
'HLook3',6,C4:C6,C12:C14
'VLook3',6,B5:D5,B13:D13
'FormError',1,C14
'FormConst',1,C6
'CircRef',2,C6,C14</t>
  </si>
  <si>
    <t>=IF(NOT(ISBLANK(D27)),IF(ISERROR(VLOOKUP(D27,$D$3:$E$5,2,FALSE)),"Invalid Type",VLOOKUP(D27,$D$3:$E$5,2,FALSE)),"")</t>
  </si>
  <si>
    <t>'NestIf',1,E27
'FormError',1,C14
'CircRef',1,C6</t>
  </si>
  <si>
    <t>'TextNum',1,C4</t>
  </si>
  <si>
    <t>'SumIf',1,M24
'NestIf',12,F16:G16,E17:G17,I17,F30:G30,E31:G31,I31
'ArrForm',2,H35,K35
'HidRC',2,C6,C14
'VHidSht2',1,C6
'VHidSht',1,C6
'FormError',4,C5:C6,C13:C14</t>
  </si>
  <si>
    <t>Old (Not Updated)</t>
  </si>
  <si>
    <t>' Access Data'!Extract='F:\Docs\Sstest\[Using Data Validation.xls]Benefit'!$A$1:$O$1</t>
  </si>
  <si>
    <t>FPNWIND</t>
  </si>
  <si>
    <t>'Customer'!A1:K92</t>
  </si>
  <si>
    <t>Query Table - OLEDB Query</t>
  </si>
  <si>
    <t>OLEDB;Provider=Microsoft.Jet.OLEDB.4.0;Password="";User ID=Admin;Data Source=D:\Program Files\Microsoft Office\Office10\1033\FPNWIND.MDB;Mode=Share Deny Write;Extended Properties="";Jet OLEDB:System database="";Jet OLEDB:Registry Path="";Jet OLEDB:Database Password="";Jet OLEDB:Engine Type=5;Jet OLEDB:Database Locking Mode=0;Jet OLEDB:Global Partial Bulk Ops=2;Jet OLEDB:Global Bulk Transactions=1;Jet OLEDB:New Database Password="";Jet OLEDB:Create System Database=False;Jet OLEDB:Encrypt Database=False;Jet OLEDB:Don't Copy Locale on Compact=False;Jet OLEDB:Compact Without Replica Repair=False;Jet OLEDB:SFP=False</t>
  </si>
  <si>
    <t>Customers</t>
  </si>
  <si>
    <t>Flyingfitness</t>
  </si>
  <si>
    <t>'Data'!A1:H41</t>
  </si>
  <si>
    <t>Text Import</t>
  </si>
  <si>
    <t>TEXT;E:\Flyingfitness.txt</t>
  </si>
  <si>
    <t>Query from MS Access Database_2</t>
  </si>
  <si>
    <t>' Access Data'!A1:O73</t>
  </si>
  <si>
    <t>Query Table</t>
  </si>
  <si>
    <t>ODBC;DSN=MS Access Database;DBQ=c:\Work2000\e2kexp\e2ke05\c-UMR\1703p.mdb;DefaultDir=c:\Work2000\e2kexp\e2ke05\c-UMR;DriverId=25;FIL=MS Access;MaxBufferSize=2048;PageTimeout=5;</t>
  </si>
  <si>
    <t>SELECT Benefits.Client, Benefits.Date, Benefits.PaymentType, Benefits.BenefitAmount, Benefits.VendorID, Benefits.City, Benefits.County, Benefits.Poverty, Benefits.DOB, Benefits.Sex, Benefits.MaritalStatus, Benefits.RaceID, Benefits.Income, Benefits.Employed, Benefits.Hand_x000D_
FROM `c:\Work2000\e2kexp\e2ke05\c-UMR\1703p`.Benefits Benefits_x000D_
WHERE (Benefits.Client Is Not Null)_x000D_
ORDER BY Benefits.Date</t>
  </si>
  <si>
    <t>Qry01_ResultsData_1</t>
  </si>
  <si>
    <t>'Qry01_Results'!C4:D9</t>
  </si>
  <si>
    <t>Query Table - ADO Recordset</t>
  </si>
  <si>
    <t>This external data range was created programmatically and cannot be edited</t>
  </si>
  <si>
    <t>Ed Checkitt</t>
  </si>
  <si>
    <t>'Indir',2,D6:D7</t>
  </si>
  <si>
    <t>'Indir',1,D7</t>
  </si>
  <si>
    <t>'NestIf',10,I27:I31,E27:E31
'HLook3',6,C12:C14,C4:C6
'VLookup',6,B13:D13,B5:D5</t>
  </si>
  <si>
    <t>F:\Docs\Sstest\Using Data Validation.xls
4 Query links listed in PQLinks sheet:
D:\Program Files\Microsoft Office\Office10\1033\FPNWIND.MDB;
E:\Flyingfitness.txt
c:\Work2000\e2kexp\e2ke05\c-UMR\1703p.mdb;
http://moneycentral.msn.com/investor/external/excel/rates.asp</t>
  </si>
  <si>
    <t xml:space="preserve">Always creates backup on save
1 Custom Document Properties </t>
  </si>
  <si>
    <t>'Query',1 Query tables
'Qry01_Results',1 OLE objects,1 Query tables
' Access Data', Leading space in name,1 Query tables
'Data',1 Query tables
'Customer',1 Query tables
'Dfunc',1 Pivot Tables
'PivTble',1 Pivot Tables
'VHidSht2', Very Hidden
'VLookup', Lotus evaluation rules
'CircRef', Circ ref: C16
'About ', Trailing space in name</t>
  </si>
  <si>
    <t>' Access Data':15</t>
  </si>
  <si>
    <t>'Customer':92</t>
  </si>
  <si>
    <t>'Indir',2,D6:D7
'Dfunc',1,K24
'SumIf',20,M3:M22
'NestIf',20,F13:F17,E27:F31,I27:I31
'ArrForm',32,D4,K3:K33
'HLook3',6,C4:C6,C12:C14
'VLookup',6,B5:D5,B13:D13
'FormError',1,C14
'FormConst',1,C6
'CircRef',2,C6,C14</t>
  </si>
  <si>
    <t>Horrible examples</t>
  </si>
  <si>
    <t>An Excel guru</t>
  </si>
  <si>
    <t>Workbook Summary - Fri 12, November 2004</t>
  </si>
  <si>
    <t>'Main Summary':13</t>
  </si>
  <si>
    <t>'Main Summary':27</t>
  </si>
  <si>
    <t>'Kahuna', 17,160,176,516 cells - detailed check skipped, Some Merged cells</t>
  </si>
  <si>
    <t>'Kahuna':16367</t>
  </si>
  <si>
    <t>'Kahuna':1048526</t>
  </si>
  <si>
    <t>Cannot analyze XLB file</t>
  </si>
  <si>
    <t>Error opening file, Error -2147021892: Office has detected a problem with this file. To help protect your computer this file cannot be opened., result is Nothing</t>
  </si>
  <si>
    <t>A Software Corporation</t>
  </si>
  <si>
    <t>Edward</t>
  </si>
  <si>
    <t>Obs</t>
  </si>
  <si>
    <t>TestRes/Var1</t>
  </si>
  <si>
    <t>1 Query links listed in PQLinks sheet:
E:\Flyingfitness.txt</t>
  </si>
  <si>
    <t>'Data',1 Query tables</t>
  </si>
  <si>
    <t>'Description':10</t>
  </si>
  <si>
    <t>'Data':41</t>
  </si>
  <si>
    <t>Unknown</t>
  </si>
  <si>
    <t>Francine</t>
  </si>
  <si>
    <t>16/07/2004 16:04:15</t>
  </si>
  <si>
    <t>Multi-sheet workbook example</t>
  </si>
  <si>
    <t xml:space="preserve">6 Custom Document Properties </t>
  </si>
  <si>
    <t>'Data for scoring',1 Hyperlinks
'Valuation Analysis - Dividends',3 Hyperlinks
'Valuation Analysis - Sales',4 Hyperlinks
'Valuation Analysis - EPS',4 Hyperlinks
'Data - for valuation',5 Hyperlinks
'scoring results',1 Hyperlinks
'scoring worksheet',5 Hyperlinks
'Screen presence-risk alerts',1 Hyperlinks
'Home',10 Hyperlinks</t>
  </si>
  <si>
    <t>'Data - for valuation':256</t>
  </si>
  <si>
    <t>'Data - for valuation':1062</t>
  </si>
  <si>
    <t>'Valuation Analysis - Dividends',36,H2,H4,K6,K9,C36:C37,F72:F74,F76:F78,E99:F100,E102:E108,C115,C117,E129:F130,E133:F134,E137:F137,E138
'Valuation Analysis - Sales',20,C26,D27,C54:C55,C97,C99,F113:F115,F117:F119,F121:F123,H127,C131,E162,E177,E179
'Valuation Analysis - EPS',30,C29,D30,C43:C44,C58,C79,C81,F95:F97,F99:F101,D111,E121:F122,E125:F126,E129:F130,C139,E144,J152,L152
'Data - for valuation',40,U6:W6,Y6:AL6,AW6:BS6
'Screen presence-risk alerts',912,AJ8:AO159</t>
  </si>
  <si>
    <t>=IF('Data - for valuation'!H6="",("   There are no estimates available for fiscal "&amp;'Data - for valuation'!I6),("   The last month for the current fiscal year is "&amp;'Data - for valuation'!I6&amp;" and the consnsus EPS estimate is:   "&amp;'Data - for valuation'!H6))</t>
  </si>
  <si>
    <t>'Valuation Analysis - EPS',1,C56
'scoring results',1,AB11
'Screen presence-risk alerts',1,I100</t>
  </si>
  <si>
    <t>'Data - for valuation',4,D6,I6,L6,X6</t>
  </si>
  <si>
    <t>'Valuation Analysis - Dividends',4,G110:H110,G141:H141
'Valuation Analysis - Sales',4,K91:L91,G125:H125
'Valuation Analysis - EPS',2,G133:H133
'scoring results',3800,G11:AE162</t>
  </si>
  <si>
    <t>F:\Docs\Sstest\thisyear\</t>
  </si>
  <si>
    <t>'One',1,B3</t>
  </si>
  <si>
    <t>F:\Docs\Sstest\lastyear\</t>
  </si>
  <si>
    <t>'One',1,B5</t>
  </si>
  <si>
    <t>This is a test of spreadsheet linking.</t>
  </si>
  <si>
    <t>F:\Docs\Sstest\thisyear\linktwo.xls
F:\Docs\Sstest\lastyear\linktwo.xls</t>
  </si>
  <si>
    <t>'One':2</t>
  </si>
  <si>
    <t>'One':5</t>
  </si>
  <si>
    <t>='F:\Docs\Sstest\thisyear\[linktwo.xls]Two'!$C$3</t>
  </si>
  <si>
    <t>'Sheet1',1,D3</t>
  </si>
  <si>
    <t>F:\Docs\Sstest\Topdir1\</t>
  </si>
  <si>
    <t>'Sheet1',1,D5</t>
  </si>
  <si>
    <t>Multilevel links</t>
  </si>
  <si>
    <t>F:\Docs\Sstest\linkone.xls
F:\Docs\Sstest\Topdir1\test2.xls</t>
  </si>
  <si>
    <t>'Sheet1':4</t>
  </si>
  <si>
    <t>'Sheet1':5</t>
  </si>
  <si>
    <t>='F:\Docs\Sstest\Topdir1\[test2.xls]Sheet1'!$A$4</t>
  </si>
  <si>
    <t>This is a file that provides data for "linkone.xls"</t>
  </si>
  <si>
    <t>'Two':3</t>
  </si>
  <si>
    <t>'Two':5</t>
  </si>
  <si>
    <t>Cannot analyze XLW file</t>
  </si>
  <si>
    <t>'Category'!A1:C9</t>
  </si>
  <si>
    <t>Categories</t>
  </si>
  <si>
    <t>'Supplier'!A1:K30</t>
  </si>
  <si>
    <t>Suppliers</t>
  </si>
  <si>
    <t>'Shipper'!A1:C4</t>
  </si>
  <si>
    <t>Shippers</t>
  </si>
  <si>
    <t>'Product'!A1:J78</t>
  </si>
  <si>
    <t>Products</t>
  </si>
  <si>
    <t>'Employee'!A1:P10</t>
  </si>
  <si>
    <t>Employees</t>
  </si>
  <si>
    <t>CategoryID</t>
  </si>
  <si>
    <t>CategoryName</t>
  </si>
  <si>
    <t>1 Query links listed in PQLinks sheet:
D:\Program Files\Microsoft Office\Office10\1033\FPNWIND.MDB;</t>
  </si>
  <si>
    <t>'Customer',1 Query tables
'Employee',1 Query tables
'Product',1 Query tables
'Shipper',1 Query tables
'Supplier',1 Query tables
'Category',1 Query tables</t>
  </si>
  <si>
    <t>'Employee':16</t>
  </si>
  <si>
    <t>DBASE='\\MERCURY\Common\windows\TEMP\[D1 List Copy.xls]#REF'!$A$7:$F$44</t>
  </si>
  <si>
    <t>Profit='\\MERCURY\Common\windows\TEMP\[D1 List Copy.xls]#REF'!$D$5</t>
  </si>
  <si>
    <t>Sales='\\MERCURY\Common\windows\TEMP\[D1 List Copy.xls]#REF'!$D$2</t>
  </si>
  <si>
    <t>V:\My Documents\PIVMUSIC.XLS</t>
  </si>
  <si>
    <t>salespersons!DBASE='V:\My Documents\[PIVMUSIC.XLS]Music 2'!$A$4:$F$41</t>
  </si>
  <si>
    <t>TOTALS='V:\My Documents\[CHART3D.XLS]#REF'!$B$27:$E$27</t>
  </si>
  <si>
    <t>09/03/2001 10:18:26</t>
  </si>
  <si>
    <t>Date</t>
  </si>
  <si>
    <t>Country</t>
  </si>
  <si>
    <t>\\MERCURY\Common\windows\TEMP\D1 List Copy.xls
D:\EXCEL5\CLC5ADV\04LESSN.XLS
V:\My Documents\PIVMUSIC.XLS
V:\My Documents\CHART3D.XLS</t>
  </si>
  <si>
    <t xml:space="preserve">5 Custom Document Properties </t>
  </si>
  <si>
    <t>'advanced list ', Trailing space in name
'scenario',1 Scenarios
'salespersons', Lotus evaluation rules</t>
  </si>
  <si>
    <t>'loan':10</t>
  </si>
  <si>
    <t>'region':109</t>
  </si>
  <si>
    <t>=COUNT(D3:D102)</t>
  </si>
  <si>
    <t>'special',1,D107
'directors',1,C10
'loan',1,D3</t>
  </si>
  <si>
    <t>'special',1,D104
'directors',1,C10</t>
  </si>
  <si>
    <t>Cannot open file, Error 1004 (may be protected workbook or invalid file format)</t>
  </si>
  <si>
    <t>Unprotected</t>
  </si>
  <si>
    <t>'Prot VeryHid', Protected,(cannot do Excel error checking), Very Hidden
'Prot hidden', Protected,(cannot do Excel error checking), Hidden
'Prot visible', Protected,(cannot do Excel error checking)
'Unprot veryHid', Very Hidden
'Unprot hidden', Hidden</t>
  </si>
  <si>
    <t>'Unprot visible':2</t>
  </si>
  <si>
    <t>'Unprot visible':3</t>
  </si>
  <si>
    <t>='Unprot visible'!A1</t>
  </si>
  <si>
    <t>'LinktoUnprotVisible',1,A1</t>
  </si>
  <si>
    <t>'LinktoUnprotVisible',2,B1:B2</t>
  </si>
  <si>
    <t>modPrograms</t>
  </si>
  <si>
    <t>adoConn.Open</t>
  </si>
  <si>
    <t>adoRS.Open strSql, adoConn</t>
  </si>
  <si>
    <t>.RefreshOnFileOpen = False</t>
  </si>
  <si>
    <t>.Save</t>
  </si>
  <si>
    <t>.SavePassword = True</t>
  </si>
  <si>
    <t>.SaveData = True</t>
  </si>
  <si>
    <t>GrossBkgsQryResults_from_ORA_1</t>
  </si>
  <si>
    <t>'Qry02_Results'!C3:C43</t>
  </si>
  <si>
    <t>'Qry04_Results'!C3:F43</t>
  </si>
  <si>
    <t>NetSalesQryResults_from_ORA_1</t>
  </si>
  <si>
    <t>'Qry04_Results'!C3:F19</t>
  </si>
  <si>
    <t>'Qry05_Results'!C3:F23</t>
  </si>
  <si>
    <t>'Qry05_Results'!C3:F47</t>
  </si>
  <si>
    <t>QtdBkgsQryResults_from_ORA_1</t>
  </si>
  <si>
    <t>'Qry05_Results'!C3:F5</t>
  </si>
  <si>
    <t>'Qry06_Results'!C3:G35</t>
  </si>
  <si>
    <t>'Qry06_Results'!C3:G11</t>
  </si>
  <si>
    <t>Wkly2QtrUpdQryResults_from_ORA_1</t>
  </si>
  <si>
    <t>'Qry08_Results'!C3:F164</t>
  </si>
  <si>
    <t>Ron Coderre</t>
  </si>
  <si>
    <t>Debra S Dalgleish</t>
  </si>
  <si>
    <t>18/03/2004 14:45:38</t>
  </si>
  <si>
    <t>'QryMaster',10,E16:E25</t>
  </si>
  <si>
    <t>'Qry10_Results',1 OLE objects
'Qry09_Results',1 OLE objects
'Qry08_Results',1 OLE objects,1 Query tables
'Qry07_Results',1 OLE objects
'Qry06_Results',1 OLE objects,2 Query tables
'Qry05_Results',1 OLE objects,3 Query tables
'Qry04_Results',1 OLE objects,2 Query tables
'Qry03_Results',1 OLE objects
'Qry02_Results',1 OLE objects,1 Query tables
'Qry01_Results',1 OLE objects,1 Query tables
'QryMasterNotes',1 OLE objects
'QryMaster', Protected,(cannot do Excel error checking), Some Merged cells,12 OLE objects</t>
  </si>
  <si>
    <t>'QryMaster':14</t>
  </si>
  <si>
    <t>'QryMaster':56</t>
  </si>
  <si>
    <t>'QryMaster',3,E15:G15</t>
  </si>
  <si>
    <t>=SQL_Transform&amp;" "&amp;SQL_Select&amp;" "&amp;SQL_From&amp;" "&amp;SQL_Where&amp;" "&amp;SQL_GroupBy&amp;" "&amp;SQL_OrderBy&amp;" "&amp;SQL_Pivot</t>
  </si>
  <si>
    <t>'QueryInfo',1,C19
'QryMaster',1,E24</t>
  </si>
  <si>
    <t>'QueryInfo',9,C19,E19:L19</t>
  </si>
  <si>
    <t>Marc Gerstein</t>
  </si>
  <si>
    <t>Modified for test purposes</t>
  </si>
  <si>
    <t>'scoring worksheet',1,I13
'Home',1,D3</t>
  </si>
  <si>
    <t>'Valuation Analysis - EPS',1,C56
'scoring results',1,AB11
'Screen presence-risk alerts',1,F8</t>
  </si>
  <si>
    <t>A Demonstration File</t>
  </si>
  <si>
    <t>James Bond</t>
  </si>
  <si>
    <t>Gilbert</t>
  </si>
  <si>
    <t>01/08/2000</t>
  </si>
  <si>
    <t xml:space="preserve">Precision As Displayed </t>
  </si>
  <si>
    <t>'Vat Return 10-00', Consolidation sources: 'August 2000'!$A$6:$E$43,'October 00'!$A$6:$E$43,'September 00'!$A$6:$E$43</t>
  </si>
  <si>
    <t>'Vat Return 10-00':17</t>
  </si>
  <si>
    <t>'August 2000':46</t>
  </si>
  <si>
    <t>'Vat Return 10-00',2,C26:D26
'September 00',1,A46</t>
  </si>
  <si>
    <t>'Vat Return 10-00',11,A5:C7,D23,D26
'Actual Sales',61,B6:F9,B12:F15,B18:F21,F29
'September 00',1,A46
'August 2000',1,B30</t>
  </si>
  <si>
    <t>='Actual Sales'!F29-'Vat Return 10-00'!D16</t>
  </si>
  <si>
    <t>'Vat Return 10-00',1,D26
'August 2000',1,B45</t>
  </si>
  <si>
    <t>'October 00',1,H33
'September 00',1,G32
'August 2000',5,B32:E32,G32</t>
  </si>
  <si>
    <t>'October 00',26,H8:H14,H18:H24,H28:H32,H34,H38:H43
'September 00',26,G7:G13,G17:G23,G27:G31,G33,G37:G42
'August 2000',25,G7:G13,G17:G23,G27:G29,G31,G33,G37:G42</t>
  </si>
  <si>
    <t>'Vat Return 10-00',3,B10:D10</t>
  </si>
  <si>
    <t>Excel5</t>
  </si>
  <si>
    <t>Tax Deduction Calculation</t>
  </si>
  <si>
    <t>Fred Anjou ext. 2062</t>
  </si>
  <si>
    <t>Date of payment</t>
  </si>
  <si>
    <t>Gross Pay</t>
  </si>
  <si>
    <t>'Trunc':10</t>
  </si>
  <si>
    <t>'FullPrecision':15</t>
  </si>
  <si>
    <t>'FullPrecision',27,E3:F5,H3:H5,E8:F10,H8:H10,E13:F15,H13:H15
'Trunc',6,E3:F5</t>
  </si>
  <si>
    <t>=TRUNC(MAX(0,C3-D3)*0.42,2)</t>
  </si>
  <si>
    <t>'Trunc',1,F3</t>
  </si>
  <si>
    <t>'FullPrecision',3,I3,I8,I13
'Trunc',1,I3</t>
  </si>
  <si>
    <t>Expense Statement</t>
  </si>
  <si>
    <t>Village Software</t>
  </si>
  <si>
    <t>Client confidential</t>
  </si>
  <si>
    <t>'Expense Statement',17,N18:N34</t>
  </si>
  <si>
    <t>1 Excel4 International Macro Sheets
1 Excel4 Macro Sheets
13 Custom Document Properties 
VBA Project is protected</t>
  </si>
  <si>
    <t>'Expense Statement', Some Merged cells,3 Scenarios
'Customize Your Statement', Some Merged cells</t>
  </si>
  <si>
    <t>'Intl Data Table':33</t>
  </si>
  <si>
    <t>'Expense Statement':50</t>
  </si>
  <si>
    <t>'Expense Statement',3,N13,N15,F38
'Customize Your Statement',1,G29</t>
  </si>
  <si>
    <t>'Expense Statement',1,K39
'Customize Your Statement',10,G21,E24,E27:E29,F45:F49</t>
  </si>
  <si>
    <t>'Expense Statement',27,N18:N34,G35:M35,N36,F38,K39</t>
  </si>
  <si>
    <t>=IF(dflt2=FALSE,IF(SUM(G18:M18)&gt;0,SUM(G18:M18),""),IF(SUM(G18:K18)&gt;0,SUM(G18:K18),""))</t>
  </si>
  <si>
    <t>'Expense Statement',1,N18
'Customize Your Statement',1,G29</t>
  </si>
  <si>
    <t>'TemplateInformation',5,E8:H8,L8
'Expense Statement',25,N18:N34,G35:M35,N38</t>
  </si>
  <si>
    <t>The owner</t>
  </si>
  <si>
    <t>Test of numerics as text</t>
  </si>
  <si>
    <t>'NumFmt',1,B3</t>
  </si>
  <si>
    <t>'NumFmt',1,B4</t>
  </si>
  <si>
    <t xml:space="preserve">Always creates backup on save
2 Custom Document Properties </t>
  </si>
  <si>
    <t>'NumAsText':5</t>
  </si>
  <si>
    <t>'NumAsText':13</t>
  </si>
  <si>
    <t>=OFFSET(D1,0,-3)</t>
  </si>
  <si>
    <t>'NumFmt',1,B4
'NumAsText',1,E10</t>
  </si>
  <si>
    <t>'NumAsText',6,B7:B12</t>
  </si>
  <si>
    <t>MSDN2003</t>
  </si>
  <si>
    <t>'Sheet1':1</t>
  </si>
  <si>
    <t>Remove Personal Information is enabled</t>
  </si>
  <si>
    <t>'special':109</t>
  </si>
  <si>
    <t>=D2*D1</t>
  </si>
  <si>
    <t>'loan',1,D3</t>
  </si>
  <si>
    <t>'Access Data'!A1:O73</t>
  </si>
  <si>
    <t>Judy Parr</t>
  </si>
  <si>
    <t>Preferred Customer</t>
  </si>
  <si>
    <t>Client</t>
  </si>
  <si>
    <t>1 Query links listed in PQLinks sheet:
c:\Work2000\e2kexp\e2ke05\c-UMR\1703p.mdb;</t>
  </si>
  <si>
    <t>'Access Data',1 Query tables</t>
  </si>
  <si>
    <t>'Access Data':15</t>
  </si>
  <si>
    <t>'Access Data':77</t>
  </si>
  <si>
    <t>F:\DOCS\sstest\linkthree.xls</t>
  </si>
  <si>
    <t>F:\DOCS\sstest\</t>
  </si>
  <si>
    <t>'Two',1,C7</t>
  </si>
  <si>
    <t>'Two':7</t>
  </si>
  <si>
    <t>='F:\DOCS\sstest\[linkthree.xls]Sheet1'!$A$1</t>
  </si>
  <si>
    <t>Source1</t>
  </si>
  <si>
    <t>'Sheet1':2</t>
  </si>
  <si>
    <t>F:\Docs\Sstest\sub.dir\source1.xls</t>
  </si>
  <si>
    <t>F:\Docs\Sstest\sub.dir\</t>
  </si>
  <si>
    <t>'Sheet1',1,A4</t>
  </si>
  <si>
    <t>F:\Docs\Sstest\sub.dir\source2.xls</t>
  </si>
  <si>
    <t>'Sheet1',1,A7</t>
  </si>
  <si>
    <t>Y:\Topdir1\source2.xls</t>
  </si>
  <si>
    <t>Y:\Topdir1\</t>
  </si>
  <si>
    <t>'Sheet1',1,A9</t>
  </si>
  <si>
    <t>Test Links</t>
  </si>
  <si>
    <t>F:\Docs\Sstest\sub.dir\source1.xls
F:\Docs\Sstest\sub.dir\source2.xls
Y:\Topdir1\source2.xls</t>
  </si>
  <si>
    <t>'Sheet1':9</t>
  </si>
  <si>
    <t>='F:\Docs\Sstest\sub.dir\[source1.xls]Sheet1'!$A$2</t>
  </si>
  <si>
    <t>F:\Docs\Sstest\Topdir1\source1.xls</t>
  </si>
  <si>
    <t>F:\Docs\Sstest\Topdir1\source1.xls
F:\Docs\Sstest\Topdir1\source2.xls
Y:\Topdir1\source2.xls</t>
  </si>
  <si>
    <t>='F:\Docs\Sstest\Topdir1\[source1.xls]Sheet1'!$A$2</t>
  </si>
  <si>
    <t>Step 6</t>
  </si>
  <si>
    <t>Step 7</t>
  </si>
  <si>
    <t>Step 5</t>
  </si>
  <si>
    <t>F:\Docs\Sstest\exampleleft.xls
F:\Docs\Sstest\exampleright.xls</t>
  </si>
  <si>
    <t xml:space="preserve"> 8 MB in 54 Files scanned in 00:03:38</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</si>
</sst>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quot;Serial:  300 Type: Single(1) User Name: A Single Licensee Name, Example Licensee Company&quot;"/>
  </numFmts>
  <fonts count="17" x14ac:knownFonts="1">
    <font>
      <sz val="10"/>
      <name val="Arial"/>
    </font>
    <font>
      <b/>
      <sz val="10"/>
      <name val="Arial"/>
      <family val="2"/>
    </font>
    <font>
      <b/>
      <i/>
      <sz val="10"/>
      <name val="Arial"/>
      <family val="2"/>
    </font>
    <font>
      <i/>
      <sz val="10"/>
      <name val="Arial"/>
      <family val="2"/>
    </font>
    <font>
      <sz val="10"/>
      <color indexed="8"/>
      <name val="Arial"/>
      <family val="2"/>
    </font>
    <font>
      <sz val="8"/>
      <color indexed="81"/>
      <name val="Tahoma"/>
      <family val="2"/>
    </font>
    <font>
      <b/>
      <sz val="8"/>
      <color indexed="81"/>
      <name val="Tahoma"/>
      <family val="2"/>
    </font>
    <font>
      <b/>
      <sz val="12"/>
      <name val="Arial"/>
      <family val="2"/>
    </font>
    <font>
      <sz val="10"/>
      <name val="Arial"/>
      <family val="2"/>
    </font>
    <font>
      <i/>
      <sz val="8"/>
      <color indexed="81"/>
      <name val="Tahoma"/>
      <family val="2"/>
    </font>
    <font>
      <sz val="9"/>
      <color indexed="81"/>
      <name val="Tahoma"/>
      <family val="2"/>
    </font>
    <font>
      <sz val="8"/>
      <name val="Arial"/>
      <family val="2"/>
    </font>
    <font>
      <sz val="10"/>
      <color rgb="FF000000"/>
      <name val="Arial"/>
      <family val="2"/>
    </font>
    <font>
      <sz val="10"/>
      <color rgb="FFFFFFFF"/>
      <name val="Arial"/>
      <family val="2"/>
    </font>
    <font>
      <sz val="10"/>
      <color rgb="FF000000"/>
      <name val="Arial"/>
    </font>
    <font>
      <u/>
      <sz val="10"/>
      <color theme="10"/>
      <name val="Arial"/>
    </font>
    <font>
      <sz val="10"/>
      <color rgb="FFFF0000"/>
      <name val="Arial"/>
    </font>
  </fonts>
  <fills count="6">
    <fill>
      <patternFill patternType="none"/>
    </fill>
    <fill>
      <patternFill patternType="gray125"/>
    </fill>
    <fill>
      <patternFill patternType="solid">
        <fgColor indexed="41"/>
        <bgColor indexed="64"/>
      </patternFill>
    </fill>
    <fill>
      <patternFill patternType="solid">
        <fgColor indexed="42"/>
        <bgColor indexed="64"/>
      </patternFill>
    </fill>
    <fill>
      <patternFill patternType="solid">
        <fgColor indexed="9"/>
        <bgColor indexed="64"/>
      </patternFill>
    </fill>
    <fill>
      <patternFill patternType="solid">
        <fgColor rgb="FFCCFFFF"/>
        <bgColor indexed="64"/>
      </patternFill>
    </fill>
  </fills>
  <borders count="6">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5" fillId="0" borderId="0" applyNumberFormat="0" applyFill="0" applyBorder="0" applyAlignment="0" applyProtection="0"/>
  </cellStyleXfs>
  <cellXfs count="53">
    <xf numFmtId="0" fontId="0" fillId="0" borderId="0" xfId="0"/>
    <xf numFmtId="0" fontId="1" fillId="0" borderId="0" xfId="0" applyFont="1"/>
    <xf numFmtId="0" fontId="3" fillId="0" borderId="0" xfId="0" applyFont="1"/>
    <xf numFmtId="0" fontId="2" fillId="2" borderId="1" xfId="0" applyFont="1" applyFill="1" applyBorder="1"/>
    <xf numFmtId="22" fontId="0" fillId="0" borderId="0" xfId="0" applyNumberFormat="1" applyAlignment="1">
      <alignment horizontal="right"/>
    </xf>
    <xf numFmtId="0" fontId="0" fillId="0" borderId="0" xfId="0" applyNumberFormat="1" applyAlignment="1">
      <alignment horizontal="right"/>
    </xf>
    <xf numFmtId="1" fontId="1" fillId="3" borderId="2" xfId="0" applyNumberFormat="1" applyFont="1" applyFill="1" applyBorder="1"/>
    <xf numFmtId="1" fontId="0" fillId="0" borderId="0" xfId="0" applyNumberFormat="1"/>
    <xf numFmtId="0" fontId="1" fillId="3" borderId="2" xfId="0" applyFont="1" applyFill="1" applyBorder="1" applyAlignment="1">
      <alignment horizontal="right"/>
    </xf>
    <xf numFmtId="0" fontId="2" fillId="2" borderId="2" xfId="0" applyFont="1" applyFill="1" applyBorder="1"/>
    <xf numFmtId="0" fontId="1" fillId="0" borderId="0" xfId="0" applyFont="1" applyAlignment="1"/>
    <xf numFmtId="0" fontId="0" fillId="0" borderId="0" xfId="0" applyAlignment="1"/>
    <xf numFmtId="0" fontId="2" fillId="2" borderId="1" xfId="0" applyFont="1" applyFill="1" applyBorder="1" applyAlignment="1"/>
    <xf numFmtId="0" fontId="2" fillId="2" borderId="2" xfId="0" applyFont="1" applyFill="1" applyBorder="1" applyAlignment="1"/>
    <xf numFmtId="0" fontId="2" fillId="2" borderId="2" xfId="0" applyFont="1" applyFill="1" applyBorder="1" applyAlignment="1">
      <alignment wrapText="1"/>
    </xf>
    <xf numFmtId="0" fontId="0" fillId="0" borderId="3" xfId="0" applyBorder="1"/>
    <xf numFmtId="0" fontId="0" fillId="0" borderId="4" xfId="0" applyBorder="1"/>
    <xf numFmtId="0" fontId="0" fillId="0" borderId="5" xfId="0" applyBorder="1"/>
    <xf numFmtId="0" fontId="0" fillId="0" borderId="0" xfId="0" applyBorder="1"/>
    <xf numFmtId="0" fontId="1" fillId="0" borderId="0" xfId="0" applyNumberFormat="1" applyFont="1" applyAlignment="1">
      <alignment wrapText="1"/>
    </xf>
    <xf numFmtId="21" fontId="4" fillId="0" borderId="0" xfId="0" applyNumberFormat="1" applyFont="1"/>
    <xf numFmtId="3" fontId="0" fillId="0" borderId="0" xfId="0" applyNumberFormat="1" applyAlignment="1">
      <alignment horizontal="right"/>
    </xf>
    <xf numFmtId="0" fontId="1" fillId="3" borderId="2" xfId="0" applyNumberFormat="1" applyFont="1" applyFill="1" applyBorder="1"/>
    <xf numFmtId="0" fontId="0" fillId="0" borderId="0" xfId="0" applyAlignment="1">
      <alignment wrapText="1"/>
    </xf>
    <xf numFmtId="0" fontId="2" fillId="2" borderId="2" xfId="0" applyNumberFormat="1" applyFont="1" applyFill="1" applyBorder="1" applyAlignment="1">
      <alignment wrapText="1"/>
    </xf>
    <xf numFmtId="0" fontId="4" fillId="0" borderId="0" xfId="0" applyFont="1"/>
    <xf numFmtId="0" fontId="2" fillId="2" borderId="2" xfId="0" applyNumberFormat="1" applyFont="1" applyFill="1" applyBorder="1" applyAlignment="1">
      <alignment horizontal="center" wrapText="1"/>
    </xf>
    <xf numFmtId="0" fontId="2" fillId="2" borderId="2" xfId="0" applyFont="1" applyFill="1" applyBorder="1" applyAlignment="1">
      <alignment horizontal="center" wrapText="1"/>
    </xf>
    <xf numFmtId="0" fontId="2" fillId="2" borderId="2" xfId="0" applyFont="1" applyFill="1" applyBorder="1" applyAlignment="1">
      <alignment horizontal="left" wrapText="1"/>
    </xf>
    <xf numFmtId="0" fontId="2" fillId="2" borderId="2" xfId="0" applyNumberFormat="1" applyFont="1" applyFill="1" applyBorder="1" applyAlignment="1">
      <alignment horizontal="left" wrapText="1"/>
    </xf>
    <xf numFmtId="0" fontId="1" fillId="3" borderId="2" xfId="0" applyFont="1" applyFill="1" applyBorder="1" applyAlignment="1">
      <alignment horizontal="center" wrapText="1"/>
    </xf>
    <xf numFmtId="0" fontId="1" fillId="3" borderId="2" xfId="0" applyFont="1" applyFill="1" applyBorder="1" applyAlignment="1">
      <alignment horizontal="left" wrapText="1"/>
    </xf>
    <xf numFmtId="0" fontId="1" fillId="3" borderId="2" xfId="0" applyFont="1" applyFill="1" applyBorder="1" applyAlignment="1">
      <alignment wrapText="1"/>
    </xf>
    <xf numFmtId="0" fontId="2" fillId="2" borderId="2" xfId="0" quotePrefix="1" applyFont="1" applyFill="1" applyBorder="1" applyAlignment="1">
      <alignment horizontal="left" wrapText="1"/>
    </xf>
    <xf numFmtId="164" fontId="0" fillId="0" borderId="0" xfId="0" applyNumberFormat="1"/>
    <xf numFmtId="0" fontId="7" fillId="4" borderId="0" xfId="0" applyFont="1" applyFill="1"/>
    <xf numFmtId="0" fontId="0" fillId="0" borderId="0" xfId="0" applyAlignment="1">
      <alignment horizontal="right"/>
    </xf>
    <xf numFmtId="0" fontId="8" fillId="0" borderId="0" xfId="0" applyFont="1"/>
    <xf numFmtId="165" fontId="0" fillId="0" borderId="0" xfId="0" applyNumberFormat="1"/>
    <xf numFmtId="0" fontId="2" fillId="5" borderId="1" xfId="0" applyFont="1" applyFill="1" applyBorder="1"/>
    <xf numFmtId="0" fontId="2" fillId="5" borderId="2" xfId="0" applyFont="1" applyFill="1" applyBorder="1"/>
    <xf numFmtId="0" fontId="12" fillId="0" borderId="0" xfId="0" applyFont="1"/>
    <xf numFmtId="0" fontId="13" fillId="0" borderId="0" xfId="0" applyFont="1"/>
    <xf numFmtId="0" fontId="1" fillId="5" borderId="3" xfId="0" applyFont="1" applyFill="1" applyBorder="1"/>
    <xf numFmtId="22" fontId="0" fillId="0" borderId="0" xfId="0" applyNumberFormat="1"/>
    <xf numFmtId="165" fontId="8" fillId="0" borderId="0" xfId="0" applyNumberFormat="1" applyFont="1"/>
    <xf numFmtId="0" fontId="14" fillId="0" borderId="0" xfId="0" applyFont="1"/>
    <xf numFmtId="49" fontId="0" fillId="0" borderId="0" xfId="0" applyNumberFormat="1"/>
    <xf numFmtId="0" fontId="15" fillId="0" borderId="0" xfId="1"/>
    <xf numFmtId="0" fontId="0" fillId="0" borderId="0" xfId="0" quotePrefix="1"/>
    <xf numFmtId="0" fontId="0" fillId="0" borderId="0" xfId="0" quotePrefix="1" applyAlignment="1">
      <alignment wrapText="1"/>
    </xf>
    <xf numFmtId="0" fontId="0" fillId="0" borderId="0" xfId="0" quotePrefix="1" applyAlignment="1"/>
    <xf numFmtId="0" fontId="16"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drawings/_rels/drawing5.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2.emf"/><Relationship Id="rId2" Type="http://schemas.openxmlformats.org/officeDocument/2006/relationships/image" Target="../media/image3.emf"/><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editAs="oneCell">
    <xdr:from>
      <xdr:col>0</xdr:col>
      <xdr:colOff>5905500</xdr:colOff>
      <xdr:row>26</xdr:row>
      <xdr:rowOff>114300</xdr:rowOff>
    </xdr:from>
    <xdr:to>
      <xdr:col>0</xdr:col>
      <xdr:colOff>5981700</xdr:colOff>
      <xdr:row>27</xdr:row>
      <xdr:rowOff>142875</xdr:rowOff>
    </xdr:to>
    <xdr:sp macro="" textlink="">
      <xdr:nvSpPr>
        <xdr:cNvPr id="22796" name="Text Box 4"/>
        <xdr:cNvSpPr txBox="1">
          <a:spLocks noChangeArrowheads="1"/>
        </xdr:cNvSpPr>
      </xdr:nvSpPr>
      <xdr:spPr bwMode="auto">
        <a:xfrm>
          <a:off x="5905500" y="46863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5924550</xdr:colOff>
      <xdr:row>27</xdr:row>
      <xdr:rowOff>47625</xdr:rowOff>
    </xdr:from>
    <xdr:to>
      <xdr:col>0</xdr:col>
      <xdr:colOff>5991225</xdr:colOff>
      <xdr:row>28</xdr:row>
      <xdr:rowOff>76200</xdr:rowOff>
    </xdr:to>
    <xdr:sp macro="" textlink="">
      <xdr:nvSpPr>
        <xdr:cNvPr id="22797" name="Text Box 5"/>
        <xdr:cNvSpPr txBox="1">
          <a:spLocks noChangeArrowheads="1"/>
        </xdr:cNvSpPr>
      </xdr:nvSpPr>
      <xdr:spPr bwMode="auto">
        <a:xfrm>
          <a:off x="5924550" y="4781550"/>
          <a:ext cx="666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5924550</xdr:colOff>
      <xdr:row>27</xdr:row>
      <xdr:rowOff>47625</xdr:rowOff>
    </xdr:from>
    <xdr:to>
      <xdr:col>0</xdr:col>
      <xdr:colOff>5991225</xdr:colOff>
      <xdr:row>28</xdr:row>
      <xdr:rowOff>76200</xdr:rowOff>
    </xdr:to>
    <xdr:sp macro="" textlink="">
      <xdr:nvSpPr>
        <xdr:cNvPr id="22798" name="Text Box 6"/>
        <xdr:cNvSpPr txBox="1">
          <a:spLocks noChangeArrowheads="1"/>
        </xdr:cNvSpPr>
      </xdr:nvSpPr>
      <xdr:spPr bwMode="auto">
        <a:xfrm>
          <a:off x="5924550" y="4781550"/>
          <a:ext cx="666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5857875</xdr:colOff>
      <xdr:row>27</xdr:row>
      <xdr:rowOff>47625</xdr:rowOff>
    </xdr:from>
    <xdr:to>
      <xdr:col>0</xdr:col>
      <xdr:colOff>5924550</xdr:colOff>
      <xdr:row>28</xdr:row>
      <xdr:rowOff>76200</xdr:rowOff>
    </xdr:to>
    <xdr:sp macro="" textlink="">
      <xdr:nvSpPr>
        <xdr:cNvPr id="22799" name="Text Box 7"/>
        <xdr:cNvSpPr txBox="1">
          <a:spLocks noChangeArrowheads="1"/>
        </xdr:cNvSpPr>
      </xdr:nvSpPr>
      <xdr:spPr bwMode="auto">
        <a:xfrm>
          <a:off x="5857875" y="4781550"/>
          <a:ext cx="66675"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5943600</xdr:colOff>
      <xdr:row>26</xdr:row>
      <xdr:rowOff>123825</xdr:rowOff>
    </xdr:from>
    <xdr:to>
      <xdr:col>0</xdr:col>
      <xdr:colOff>6019800</xdr:colOff>
      <xdr:row>27</xdr:row>
      <xdr:rowOff>152400</xdr:rowOff>
    </xdr:to>
    <xdr:sp macro="" textlink="">
      <xdr:nvSpPr>
        <xdr:cNvPr id="22800" name="Text Box 8"/>
        <xdr:cNvSpPr txBox="1">
          <a:spLocks noChangeArrowheads="1"/>
        </xdr:cNvSpPr>
      </xdr:nvSpPr>
      <xdr:spPr bwMode="auto">
        <a:xfrm>
          <a:off x="5943600" y="469582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5695950</xdr:colOff>
      <xdr:row>26</xdr:row>
      <xdr:rowOff>85725</xdr:rowOff>
    </xdr:from>
    <xdr:to>
      <xdr:col>0</xdr:col>
      <xdr:colOff>5772150</xdr:colOff>
      <xdr:row>27</xdr:row>
      <xdr:rowOff>114300</xdr:rowOff>
    </xdr:to>
    <xdr:sp macro="" textlink="">
      <xdr:nvSpPr>
        <xdr:cNvPr id="22801" name="Text Box 9"/>
        <xdr:cNvSpPr txBox="1">
          <a:spLocks noChangeArrowheads="1"/>
        </xdr:cNvSpPr>
      </xdr:nvSpPr>
      <xdr:spPr bwMode="auto">
        <a:xfrm>
          <a:off x="5695950" y="4657725"/>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0</xdr:col>
      <xdr:colOff>5172075</xdr:colOff>
      <xdr:row>32</xdr:row>
      <xdr:rowOff>19050</xdr:rowOff>
    </xdr:from>
    <xdr:to>
      <xdr:col>0</xdr:col>
      <xdr:colOff>5248275</xdr:colOff>
      <xdr:row>33</xdr:row>
      <xdr:rowOff>47625</xdr:rowOff>
    </xdr:to>
    <xdr:sp macro="" textlink="">
      <xdr:nvSpPr>
        <xdr:cNvPr id="22802" name="Text Box 10"/>
        <xdr:cNvSpPr txBox="1">
          <a:spLocks noChangeArrowheads="1"/>
        </xdr:cNvSpPr>
      </xdr:nvSpPr>
      <xdr:spPr bwMode="auto">
        <a:xfrm>
          <a:off x="5172075" y="5562600"/>
          <a:ext cx="7620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1952625</xdr:colOff>
          <xdr:row>0</xdr:row>
          <xdr:rowOff>19050</xdr:rowOff>
        </xdr:from>
        <xdr:to>
          <xdr:col>2</xdr:col>
          <xdr:colOff>381000</xdr:colOff>
          <xdr:row>1</xdr:row>
          <xdr:rowOff>0</xdr:rowOff>
        </xdr:to>
        <xdr:sp macro="" textlink="">
          <xdr:nvSpPr>
            <xdr:cNvPr id="4097" name="RunExcelCheck"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1695450</xdr:colOff>
          <xdr:row>1</xdr:row>
          <xdr:rowOff>47625</xdr:rowOff>
        </xdr:from>
        <xdr:to>
          <xdr:col>0</xdr:col>
          <xdr:colOff>3028950</xdr:colOff>
          <xdr:row>1</xdr:row>
          <xdr:rowOff>342900</xdr:rowOff>
        </xdr:to>
        <xdr:sp macro="" textlink="">
          <xdr:nvSpPr>
            <xdr:cNvPr id="1025" name="ListXLSButton"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1695450</xdr:colOff>
          <xdr:row>2</xdr:row>
          <xdr:rowOff>38100</xdr:rowOff>
        </xdr:from>
        <xdr:to>
          <xdr:col>0</xdr:col>
          <xdr:colOff>3048000</xdr:colOff>
          <xdr:row>2</xdr:row>
          <xdr:rowOff>342900</xdr:rowOff>
        </xdr:to>
        <xdr:sp macro="" textlink="">
          <xdr:nvSpPr>
            <xdr:cNvPr id="1185" name="ScanXLSbutton" hidden="1">
              <a:extLst>
                <a:ext uri="{63B3BB69-23CF-44E3-9099-C40C66FF867C}">
                  <a14:compatExt spid="_x0000_s118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1704975</xdr:colOff>
          <xdr:row>0</xdr:row>
          <xdr:rowOff>38100</xdr:rowOff>
        </xdr:from>
        <xdr:to>
          <xdr:col>0</xdr:col>
          <xdr:colOff>3048000</xdr:colOff>
          <xdr:row>0</xdr:row>
          <xdr:rowOff>352425</xdr:rowOff>
        </xdr:to>
        <xdr:sp macro="" textlink="">
          <xdr:nvSpPr>
            <xdr:cNvPr id="1541" name="BrowseForFolder" hidden="1">
              <a:extLst>
                <a:ext uri="{63B3BB69-23CF-44E3-9099-C40C66FF867C}">
                  <a14:compatExt spid="_x0000_s15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28575</xdr:colOff>
          <xdr:row>0</xdr:row>
          <xdr:rowOff>28575</xdr:rowOff>
        </xdr:from>
        <xdr:to>
          <xdr:col>6</xdr:col>
          <xdr:colOff>295275</xdr:colOff>
          <xdr:row>1</xdr:row>
          <xdr:rowOff>142875</xdr:rowOff>
        </xdr:to>
        <xdr:sp macro="" textlink="">
          <xdr:nvSpPr>
            <xdr:cNvPr id="16500" name="DrawLinkArrows" hidden="1">
              <a:extLst>
                <a:ext uri="{63B3BB69-23CF-44E3-9099-C40C66FF867C}">
                  <a14:compatExt spid="_x0000_s165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46400</xdr:colOff>
      <xdr:row>16</xdr:row>
      <xdr:rowOff>152057</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0"/>
          <a:ext cx="9800000" cy="274285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257175</xdr:colOff>
          <xdr:row>1</xdr:row>
          <xdr:rowOff>57150</xdr:rowOff>
        </xdr:from>
        <xdr:to>
          <xdr:col>1</xdr:col>
          <xdr:colOff>666750</xdr:colOff>
          <xdr:row>3</xdr:row>
          <xdr:rowOff>38100</xdr:rowOff>
        </xdr:to>
        <xdr:sp macro="" textlink="">
          <xdr:nvSpPr>
            <xdr:cNvPr id="2054" name="CompareWorkbooks" hidden="1">
              <a:extLst>
                <a:ext uri="{63B3BB69-23CF-44E3-9099-C40C66FF867C}">
                  <a14:compatExt spid="_x0000_s205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control" Target="../activeX/activeX1.xml"/></Relationships>
</file>

<file path=xl/worksheets/_rels/sheet3.xml.rels><?xml version="1.0" encoding="UTF-8" standalone="yes"?>
<Relationships xmlns="http://schemas.openxmlformats.org/package/2006/relationships"><Relationship Id="rId13" Type="http://schemas.openxmlformats.org/officeDocument/2006/relationships/hyperlink" Target="file:///F:\Docs\Sstest\excbook3.xlsx" TargetMode="External"/><Relationship Id="rId18" Type="http://schemas.openxmlformats.org/officeDocument/2006/relationships/hyperlink" Target="file:///F:\Docs\Sstest\linkthree.xls" TargetMode="External"/><Relationship Id="rId26" Type="http://schemas.openxmlformats.org/officeDocument/2006/relationships/hyperlink" Target="file:///F:\Docs\Sstest\right.xls" TargetMode="External"/><Relationship Id="rId39" Type="http://schemas.openxmlformats.org/officeDocument/2006/relationships/hyperlink" Target="file:///F:\Docs\Sstest\sub.dir\test.xls" TargetMode="External"/><Relationship Id="rId21" Type="http://schemas.openxmlformats.org/officeDocument/2006/relationships/hyperlink" Target="file:///F:\Docs\Sstest\parts%20copy.xls" TargetMode="External"/><Relationship Id="rId34" Type="http://schemas.openxmlformats.org/officeDocument/2006/relationships/hyperlink" Target="file:///F:\Docs\Sstest\TooComplex.xls" TargetMode="External"/><Relationship Id="rId42" Type="http://schemas.openxmlformats.org/officeDocument/2006/relationships/hyperlink" Target="file:///F:\Docs\Sstest\Topdir1\source2.xls" TargetMode="External"/><Relationship Id="rId47" Type="http://schemas.openxmlformats.org/officeDocument/2006/relationships/hyperlink" Target="file:///F:\Docs\Sstest\Topdir1\Subdir2\source5.xls" TargetMode="External"/><Relationship Id="rId50" Type="http://schemas.openxmlformats.org/officeDocument/2006/relationships/printerSettings" Target="../printerSettings/printerSettings3.bin"/><Relationship Id="rId55" Type="http://schemas.openxmlformats.org/officeDocument/2006/relationships/control" Target="../activeX/activeX3.xml"/><Relationship Id="rId7" Type="http://schemas.openxmlformats.org/officeDocument/2006/relationships/hyperlink" Target="file:///F:\Docs\Sstest\DV2.xls" TargetMode="External"/><Relationship Id="rId12" Type="http://schemas.openxmlformats.org/officeDocument/2006/relationships/hyperlink" Target="file:///F:\Docs\Sstest\excbook3.XLS" TargetMode="External"/><Relationship Id="rId17" Type="http://schemas.openxmlformats.org/officeDocument/2006/relationships/hyperlink" Target="file:///F:\Docs\Sstest\linkone.xls" TargetMode="External"/><Relationship Id="rId25" Type="http://schemas.openxmlformats.org/officeDocument/2006/relationships/hyperlink" Target="file:///F:\Docs\Sstest\QueryMaster.xls" TargetMode="External"/><Relationship Id="rId33" Type="http://schemas.openxmlformats.org/officeDocument/2006/relationships/hyperlink" Target="file:///F:\Docs\Sstest\testme2.xls" TargetMode="External"/><Relationship Id="rId38" Type="http://schemas.openxmlformats.org/officeDocument/2006/relationships/hyperlink" Target="file:///F:\Docs\Sstest\lastyear\linktwo.xls" TargetMode="External"/><Relationship Id="rId46" Type="http://schemas.openxmlformats.org/officeDocument/2006/relationships/hyperlink" Target="file:///F:\Docs\Sstest\Topdir1\Subdir1\source4.xls" TargetMode="External"/><Relationship Id="rId59" Type="http://schemas.openxmlformats.org/officeDocument/2006/relationships/comments" Target="../comments1.xml"/><Relationship Id="rId2" Type="http://schemas.openxmlformats.org/officeDocument/2006/relationships/hyperlink" Target="file:///F:\Docs\Sstest\circtaxcalc.XLS" TargetMode="External"/><Relationship Id="rId16" Type="http://schemas.openxmlformats.org/officeDocument/2006/relationships/hyperlink" Target="file:///F:\Docs\Sstest\Left.xls" TargetMode="External"/><Relationship Id="rId20" Type="http://schemas.openxmlformats.org/officeDocument/2006/relationships/hyperlink" Target="file:///F:\Docs\Sstest\NWind.xls" TargetMode="External"/><Relationship Id="rId29" Type="http://schemas.openxmlformats.org/officeDocument/2006/relationships/hyperlink" Target="file:///F:\Docs\Sstest\test.xlt" TargetMode="External"/><Relationship Id="rId41" Type="http://schemas.openxmlformats.org/officeDocument/2006/relationships/hyperlink" Target="file:///F:\Docs\Sstest\thisyear\linktwo.xls" TargetMode="External"/><Relationship Id="rId54" Type="http://schemas.openxmlformats.org/officeDocument/2006/relationships/image" Target="../media/image2.emf"/><Relationship Id="rId1" Type="http://schemas.openxmlformats.org/officeDocument/2006/relationships/hyperlink" Target="file:///F:\Docs\Sstest\Budget.xltx" TargetMode="External"/><Relationship Id="rId6" Type="http://schemas.openxmlformats.org/officeDocument/2006/relationships/hyperlink" Target="file:///F:\Docs\Sstest\directors%20private.xls" TargetMode="External"/><Relationship Id="rId11" Type="http://schemas.openxmlformats.org/officeDocument/2006/relationships/hyperlink" Target="file:///F:\Docs\Sstest\exampleright.xls" TargetMode="External"/><Relationship Id="rId24" Type="http://schemas.openxmlformats.org/officeDocument/2006/relationships/hyperlink" Target="file:///F:\Docs\Sstest\Purchase%20Order.xlt" TargetMode="External"/><Relationship Id="rId32" Type="http://schemas.openxmlformats.org/officeDocument/2006/relationships/hyperlink" Target="file:///F:\Docs\Sstest\testme1.xls" TargetMode="External"/><Relationship Id="rId37" Type="http://schemas.openxmlformats.org/officeDocument/2006/relationships/hyperlink" Target="file:///F:\Docs\Sstest\lastyear\linktwo%20(version%201).xls" TargetMode="External"/><Relationship Id="rId40" Type="http://schemas.openxmlformats.org/officeDocument/2006/relationships/hyperlink" Target="file:///F:\Docs\Sstest\sub.dir\test2.xls" TargetMode="External"/><Relationship Id="rId45" Type="http://schemas.openxmlformats.org/officeDocument/2006/relationships/hyperlink" Target="file:///F:\Docs\Sstest\Topdir1\testlinks.xls" TargetMode="External"/><Relationship Id="rId53" Type="http://schemas.openxmlformats.org/officeDocument/2006/relationships/control" Target="../activeX/activeX2.xml"/><Relationship Id="rId58" Type="http://schemas.openxmlformats.org/officeDocument/2006/relationships/image" Target="../media/image4.emf"/><Relationship Id="rId5" Type="http://schemas.openxmlformats.org/officeDocument/2006/relationships/hyperlink" Target="file:///F:\Docs\Sstest\data_validation.xls" TargetMode="External"/><Relationship Id="rId15" Type="http://schemas.openxmlformats.org/officeDocument/2006/relationships/hyperlink" Target="file:///F:\Docs\Sstest\Fitness%20Plan.xls" TargetMode="External"/><Relationship Id="rId23" Type="http://schemas.openxmlformats.org/officeDocument/2006/relationships/hyperlink" Target="file:///F:\Docs\Sstest\ProtHid.xls" TargetMode="External"/><Relationship Id="rId28" Type="http://schemas.openxmlformats.org/officeDocument/2006/relationships/hyperlink" Target="file:///F:\Docs\Sstest\taxsimple%20XL95.xls" TargetMode="External"/><Relationship Id="rId36" Type="http://schemas.openxmlformats.org/officeDocument/2006/relationships/hyperlink" Target="file:///F:\Docs\Sstest\windirtest%20-%20Copy.xls" TargetMode="External"/><Relationship Id="rId49" Type="http://schemas.openxmlformats.org/officeDocument/2006/relationships/hyperlink" Target="file:///F:\Docs\Sstest\Topdir2\source3.xls" TargetMode="External"/><Relationship Id="rId57" Type="http://schemas.openxmlformats.org/officeDocument/2006/relationships/control" Target="../activeX/activeX4.xml"/><Relationship Id="rId10" Type="http://schemas.openxmlformats.org/officeDocument/2006/relationships/hyperlink" Target="file:///F:\Docs\Sstest\exampleleft.xls" TargetMode="External"/><Relationship Id="rId19" Type="http://schemas.openxmlformats.org/officeDocument/2006/relationships/hyperlink" Target="file:///F:\Docs\Sstest\linktwo.xls" TargetMode="External"/><Relationship Id="rId31" Type="http://schemas.openxmlformats.org/officeDocument/2006/relationships/hyperlink" Target="file:///F:\Docs\Sstest\testme.xls" TargetMode="External"/><Relationship Id="rId44" Type="http://schemas.openxmlformats.org/officeDocument/2006/relationships/hyperlink" Target="file:///F:\Docs\Sstest\Topdir1\test2.xls" TargetMode="External"/><Relationship Id="rId52" Type="http://schemas.openxmlformats.org/officeDocument/2006/relationships/vmlDrawing" Target="../drawings/vmlDrawing2.vml"/><Relationship Id="rId4" Type="http://schemas.openxmlformats.org/officeDocument/2006/relationships/hyperlink" Target="file:///F:\Docs\Sstest\currency%20rates.xls" TargetMode="External"/><Relationship Id="rId9" Type="http://schemas.openxmlformats.org/officeDocument/2006/relationships/hyperlink" Target="file:///F:\Docs\Sstest\example.xls" TargetMode="External"/><Relationship Id="rId14" Type="http://schemas.openxmlformats.org/officeDocument/2006/relationships/hyperlink" Target="file:///F:\Docs\Sstest\EXPENSE%20STATEMENT.XLT" TargetMode="External"/><Relationship Id="rId22" Type="http://schemas.openxmlformats.org/officeDocument/2006/relationships/hyperlink" Target="file:///F:\Docs\Sstest\parts%20with%20bad%20links.xls" TargetMode="External"/><Relationship Id="rId27" Type="http://schemas.openxmlformats.org/officeDocument/2006/relationships/hyperlink" Target="file:///F:\Docs\Sstest\SGR%20Unprotected.XLS" TargetMode="External"/><Relationship Id="rId30" Type="http://schemas.openxmlformats.org/officeDocument/2006/relationships/hyperlink" Target="file:///F:\Docs\Sstest\testfmt.xls" TargetMode="External"/><Relationship Id="rId35" Type="http://schemas.openxmlformats.org/officeDocument/2006/relationships/hyperlink" Target="file:///F:\Docs\Sstest\Using%20Data%20Validation.xls" TargetMode="External"/><Relationship Id="rId43" Type="http://schemas.openxmlformats.org/officeDocument/2006/relationships/hyperlink" Target="file:///F:\Docs\Sstest\Topdir1\test.xls" TargetMode="External"/><Relationship Id="rId48" Type="http://schemas.openxmlformats.org/officeDocument/2006/relationships/hyperlink" Target="file:///F:\Docs\Sstest\Topdir2\source1.xls" TargetMode="External"/><Relationship Id="rId56" Type="http://schemas.openxmlformats.org/officeDocument/2006/relationships/image" Target="../media/image3.emf"/><Relationship Id="rId8" Type="http://schemas.openxmlformats.org/officeDocument/2006/relationships/hyperlink" Target="file:///F:\Docs\Sstest\errorid.xls" TargetMode="External"/><Relationship Id="rId51" Type="http://schemas.openxmlformats.org/officeDocument/2006/relationships/drawing" Target="../drawings/drawing3.xml"/><Relationship Id="rId3" Type="http://schemas.openxmlformats.org/officeDocument/2006/relationships/hyperlink" Target="file:///F:\Docs\Sstest\circtaxcalciter.XLS"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openxmlformats.org/officeDocument/2006/relationships/comments" Target="../comments2.xml"/><Relationship Id="rId5" Type="http://schemas.openxmlformats.org/officeDocument/2006/relationships/image" Target="../media/image5.emf"/><Relationship Id="rId4" Type="http://schemas.openxmlformats.org/officeDocument/2006/relationships/control" Target="../activeX/activeX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8.bin"/><Relationship Id="rId5" Type="http://schemas.openxmlformats.org/officeDocument/2006/relationships/image" Target="../media/image7.emf"/><Relationship Id="rId4" Type="http://schemas.openxmlformats.org/officeDocument/2006/relationships/control" Target="../activeX/activeX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26"/>
  <sheetViews>
    <sheetView showGridLines="0" tabSelected="1" zoomScaleNormal="100" workbookViewId="0"/>
  </sheetViews>
  <sheetFormatPr defaultRowHeight="12.75" x14ac:dyDescent="0.2"/>
  <cols>
    <col min="1" max="1" width="100.7109375" customWidth="1"/>
  </cols>
  <sheetData>
    <row r="1" spans="1:1" x14ac:dyDescent="0.2">
      <c r="A1" s="24" t="s">
        <v>174</v>
      </c>
    </row>
    <row r="3" spans="1:1" ht="15.75" x14ac:dyDescent="0.25">
      <c r="A3" s="35" t="s">
        <v>83</v>
      </c>
    </row>
    <row r="4" spans="1:1" x14ac:dyDescent="0.2">
      <c r="A4" s="1" t="s">
        <v>84</v>
      </c>
    </row>
    <row r="5" spans="1:1" x14ac:dyDescent="0.2">
      <c r="A5" t="s">
        <v>1</v>
      </c>
    </row>
    <row r="6" spans="1:1" x14ac:dyDescent="0.2">
      <c r="A6" t="s">
        <v>74</v>
      </c>
    </row>
    <row r="8" spans="1:1" x14ac:dyDescent="0.2">
      <c r="A8" s="1" t="s">
        <v>85</v>
      </c>
    </row>
    <row r="9" spans="1:1" x14ac:dyDescent="0.2">
      <c r="A9" t="s">
        <v>86</v>
      </c>
    </row>
    <row r="10" spans="1:1" x14ac:dyDescent="0.2">
      <c r="A10" t="s">
        <v>2</v>
      </c>
    </row>
    <row r="11" spans="1:1" x14ac:dyDescent="0.2">
      <c r="A11" t="s">
        <v>114</v>
      </c>
    </row>
    <row r="13" spans="1:1" x14ac:dyDescent="0.2">
      <c r="A13" s="1" t="s">
        <v>3</v>
      </c>
    </row>
    <row r="14" spans="1:1" x14ac:dyDescent="0.2">
      <c r="A14" t="s">
        <v>87</v>
      </c>
    </row>
    <row r="15" spans="1:1" x14ac:dyDescent="0.2">
      <c r="A15" t="s">
        <v>106</v>
      </c>
    </row>
    <row r="16" spans="1:1" x14ac:dyDescent="0.2">
      <c r="A16" t="s">
        <v>88</v>
      </c>
    </row>
    <row r="17" spans="1:1" x14ac:dyDescent="0.2">
      <c r="A17" t="s">
        <v>107</v>
      </c>
    </row>
    <row r="19" spans="1:1" x14ac:dyDescent="0.2">
      <c r="A19" s="1" t="s">
        <v>89</v>
      </c>
    </row>
    <row r="20" spans="1:1" x14ac:dyDescent="0.2">
      <c r="A20" t="s">
        <v>90</v>
      </c>
    </row>
    <row r="21" spans="1:1" x14ac:dyDescent="0.2">
      <c r="A21" t="s">
        <v>102</v>
      </c>
    </row>
    <row r="23" spans="1:1" x14ac:dyDescent="0.2">
      <c r="A23" s="1" t="s">
        <v>91</v>
      </c>
    </row>
    <row r="24" spans="1:1" x14ac:dyDescent="0.2">
      <c r="A24" t="s">
        <v>92</v>
      </c>
    </row>
    <row r="25" spans="1:1" ht="38.25" x14ac:dyDescent="0.2">
      <c r="A25" s="19" t="s">
        <v>156</v>
      </c>
    </row>
    <row r="26" spans="1:1" x14ac:dyDescent="0.2">
      <c r="A26" s="37" t="s">
        <v>175</v>
      </c>
    </row>
  </sheetData>
  <phoneticPr fontId="11" type="noConversion"/>
  <pageMargins left="0.74803149606299213" right="0.74803149606299213" top="0.98425196850393704" bottom="0.98425196850393704" header="0.51181102362204722" footer="0.51181102362204722"/>
  <pageSetup paperSize="9" orientation="landscape" r:id="rId1"/>
  <headerFooter alignWithMargins="0">
    <oddHeader>&amp;CSCANXLS 3.41 © 2009 Systems Modelling Ltd.</oddHeader>
    <oddFooter>&amp;LScanxls (c)2004-7 Sysmod.com&amp;CPrinted &amp;D &amp;T&amp;RPage &amp;P of &amp;N</oddFooter>
  </headerFooter>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ExcelSettingsSheet"/>
  <dimension ref="A1:E31"/>
  <sheetViews>
    <sheetView workbookViewId="0">
      <selection activeCell="B31" sqref="B31"/>
    </sheetView>
  </sheetViews>
  <sheetFormatPr defaultRowHeight="12.75" x14ac:dyDescent="0.2"/>
  <cols>
    <col min="1" max="1" width="21.42578125" customWidth="1"/>
    <col min="2" max="2" width="8.7109375" customWidth="1"/>
    <col min="3" max="3" width="10.5703125" customWidth="1"/>
    <col min="4" max="4" width="72" customWidth="1"/>
    <col min="5" max="5" width="7" customWidth="1"/>
  </cols>
  <sheetData>
    <row r="1" spans="1:4" ht="24.75" customHeight="1" x14ac:dyDescent="0.2">
      <c r="A1" s="9" t="s">
        <v>115</v>
      </c>
      <c r="C1" t="s">
        <v>176</v>
      </c>
    </row>
    <row r="2" spans="1:4" x14ac:dyDescent="0.2">
      <c r="A2" t="s">
        <v>75</v>
      </c>
      <c r="C2" t="s">
        <v>177</v>
      </c>
    </row>
    <row r="3" spans="1:4" x14ac:dyDescent="0.2">
      <c r="A3" t="s">
        <v>76</v>
      </c>
      <c r="C3" s="38" t="s">
        <v>326</v>
      </c>
    </row>
    <row r="5" spans="1:4" ht="21" customHeight="1" x14ac:dyDescent="0.2">
      <c r="A5" s="39" t="s">
        <v>79</v>
      </c>
      <c r="B5" s="39" t="s">
        <v>80</v>
      </c>
      <c r="C5" s="40" t="s">
        <v>81</v>
      </c>
      <c r="D5" s="9"/>
    </row>
    <row r="6" spans="1:4" x14ac:dyDescent="0.2">
      <c r="A6" t="s">
        <v>116</v>
      </c>
      <c r="B6">
        <v>15</v>
      </c>
      <c r="C6" s="41" t="str">
        <f>CHOOSE(1+INT(B6),"","Excel 1 Mac","Excel 2","Excel 3","Excel 4","Excel 5","n/a","Excel 95","Excel 97", "Excel 2000", "Excel 2002", "Excel 2003", "Excel 2007", "N/A","Excel 2010", "Excel 2013")</f>
        <v>Excel 2013</v>
      </c>
    </row>
    <row r="7" spans="1:4" x14ac:dyDescent="0.2">
      <c r="A7" t="s">
        <v>117</v>
      </c>
      <c r="B7" t="s">
        <v>178</v>
      </c>
      <c r="C7" s="42" t="s">
        <v>131</v>
      </c>
    </row>
    <row r="8" spans="1:4" x14ac:dyDescent="0.2">
      <c r="A8" t="s">
        <v>118</v>
      </c>
      <c r="B8" t="s">
        <v>179</v>
      </c>
      <c r="C8" s="42" t="s">
        <v>132</v>
      </c>
    </row>
    <row r="9" spans="1:4" x14ac:dyDescent="0.2">
      <c r="A9" t="s">
        <v>119</v>
      </c>
      <c r="B9" t="s">
        <v>179</v>
      </c>
      <c r="C9" s="42" t="s">
        <v>133</v>
      </c>
    </row>
    <row r="10" spans="1:4" x14ac:dyDescent="0.2">
      <c r="A10" t="s">
        <v>120</v>
      </c>
      <c r="B10" t="s">
        <v>180</v>
      </c>
      <c r="C10" s="42" t="s">
        <v>134</v>
      </c>
    </row>
    <row r="11" spans="1:4" x14ac:dyDescent="0.2">
      <c r="A11" t="s">
        <v>121</v>
      </c>
      <c r="B11" t="s">
        <v>181</v>
      </c>
      <c r="C11" s="42" t="s">
        <v>135</v>
      </c>
    </row>
    <row r="12" spans="1:4" x14ac:dyDescent="0.2">
      <c r="A12" t="s">
        <v>122</v>
      </c>
      <c r="B12" t="s">
        <v>182</v>
      </c>
      <c r="C12" s="42" t="s">
        <v>136</v>
      </c>
    </row>
    <row r="13" spans="1:4" x14ac:dyDescent="0.2">
      <c r="A13" t="s">
        <v>123</v>
      </c>
      <c r="B13" t="s">
        <v>183</v>
      </c>
      <c r="C13" s="42" t="s">
        <v>137</v>
      </c>
    </row>
    <row r="14" spans="1:4" x14ac:dyDescent="0.2">
      <c r="A14" t="s">
        <v>124</v>
      </c>
      <c r="B14" t="s">
        <v>182</v>
      </c>
      <c r="C14" s="41" t="s">
        <v>138</v>
      </c>
    </row>
    <row r="15" spans="1:4" x14ac:dyDescent="0.2">
      <c r="A15" t="s">
        <v>125</v>
      </c>
      <c r="B15" t="s">
        <v>183</v>
      </c>
      <c r="C15" s="41" t="s">
        <v>139</v>
      </c>
    </row>
    <row r="16" spans="1:4" x14ac:dyDescent="0.2">
      <c r="A16" t="s">
        <v>126</v>
      </c>
      <c r="B16" t="s">
        <v>184</v>
      </c>
      <c r="C16" s="42" t="s">
        <v>140</v>
      </c>
    </row>
    <row r="17" spans="1:5" x14ac:dyDescent="0.2">
      <c r="A17" t="s">
        <v>127</v>
      </c>
      <c r="B17" t="s">
        <v>183</v>
      </c>
      <c r="C17" s="42" t="s">
        <v>141</v>
      </c>
    </row>
    <row r="18" spans="1:5" x14ac:dyDescent="0.2">
      <c r="A18" t="s">
        <v>128</v>
      </c>
      <c r="B18" t="s">
        <v>182</v>
      </c>
      <c r="C18" s="41" t="s">
        <v>142</v>
      </c>
    </row>
    <row r="19" spans="1:5" x14ac:dyDescent="0.2">
      <c r="A19" t="s">
        <v>129</v>
      </c>
      <c r="B19" t="s">
        <v>182</v>
      </c>
      <c r="C19" s="42" t="s">
        <v>143</v>
      </c>
    </row>
    <row r="20" spans="1:5" x14ac:dyDescent="0.2">
      <c r="A20" t="s">
        <v>130</v>
      </c>
      <c r="B20">
        <v>10</v>
      </c>
      <c r="C20" s="42" t="s">
        <v>144</v>
      </c>
    </row>
    <row r="21" spans="1:5" ht="12.75" customHeight="1" x14ac:dyDescent="0.2">
      <c r="A21" t="s">
        <v>172</v>
      </c>
      <c r="B21" t="s">
        <v>182</v>
      </c>
      <c r="C21" s="42" t="s">
        <v>173</v>
      </c>
    </row>
    <row r="23" spans="1:5" x14ac:dyDescent="0.2">
      <c r="A23" s="43" t="s">
        <v>185</v>
      </c>
      <c r="B23" s="43" t="s">
        <v>186</v>
      </c>
      <c r="C23" s="43" t="s">
        <v>67</v>
      </c>
      <c r="D23" s="43" t="s">
        <v>187</v>
      </c>
      <c r="E23" s="43" t="s">
        <v>188</v>
      </c>
    </row>
    <row r="24" spans="1:5" x14ac:dyDescent="0.2">
      <c r="A24" t="s">
        <v>189</v>
      </c>
      <c r="B24" t="b">
        <v>0</v>
      </c>
      <c r="D24" t="s">
        <v>190</v>
      </c>
    </row>
    <row r="25" spans="1:5" x14ac:dyDescent="0.2">
      <c r="A25" t="s">
        <v>191</v>
      </c>
      <c r="B25" t="b">
        <v>0</v>
      </c>
      <c r="D25" t="s">
        <v>192</v>
      </c>
    </row>
    <row r="26" spans="1:5" x14ac:dyDescent="0.2">
      <c r="A26" t="s">
        <v>193</v>
      </c>
      <c r="B26" t="b">
        <v>0</v>
      </c>
      <c r="D26" t="s">
        <v>194</v>
      </c>
    </row>
    <row r="27" spans="1:5" x14ac:dyDescent="0.2">
      <c r="A27" t="s">
        <v>195</v>
      </c>
      <c r="B27" t="b">
        <v>0</v>
      </c>
      <c r="D27" t="s">
        <v>196</v>
      </c>
    </row>
    <row r="29" spans="1:5" x14ac:dyDescent="0.2">
      <c r="A29" s="43" t="s">
        <v>197</v>
      </c>
      <c r="B29" s="43" t="s">
        <v>179</v>
      </c>
      <c r="C29" s="43" t="s">
        <v>198</v>
      </c>
    </row>
    <row r="31" spans="1:5" x14ac:dyDescent="0.2">
      <c r="A31" s="43" t="s">
        <v>199</v>
      </c>
      <c r="B31" s="43" t="s">
        <v>200</v>
      </c>
      <c r="C31" s="43"/>
    </row>
  </sheetData>
  <phoneticPr fontId="11" type="noConversion"/>
  <pageMargins left="0.74803149606299213" right="0.74803149606299213" top="0.98425196850393704" bottom="0.98425196850393704" header="0.51181102362204722" footer="0.51181102362204722"/>
  <pageSetup paperSize="9" orientation="landscape" r:id="rId1"/>
  <headerFooter alignWithMargins="0">
    <oddHeader>&amp;CSCANXLS 3.41 © 2009 Systems Modelling Ltd.</oddHeader>
    <oddFooter>&amp;LScanxls (c)2004-7 Sysmod.com&amp;CPrinted &amp;D &amp;T&amp;RPage &amp;P of &amp;N</oddFooter>
  </headerFooter>
  <drawing r:id="rId2"/>
  <legacyDrawing r:id="rId3"/>
  <controls>
    <mc:AlternateContent xmlns:mc="http://schemas.openxmlformats.org/markup-compatibility/2006">
      <mc:Choice Requires="x14">
        <control shapeId="4097" r:id="rId4" name="RunExcelCheck">
          <controlPr defaultSize="0" autoLine="0" r:id="rId5">
            <anchor moveWithCells="1">
              <from>
                <xdr:col>1</xdr:col>
                <xdr:colOff>0</xdr:colOff>
                <xdr:row>0</xdr:row>
                <xdr:rowOff>19050</xdr:rowOff>
              </from>
              <to>
                <xdr:col>2</xdr:col>
                <xdr:colOff>381000</xdr:colOff>
                <xdr:row>1</xdr:row>
                <xdr:rowOff>0</xdr:rowOff>
              </to>
            </anchor>
          </controlPr>
        </control>
      </mc:Choice>
      <mc:Fallback>
        <control shapeId="4097" r:id="rId4" name="RunExcelCheck"/>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canSheet"/>
  <dimension ref="A1:CL64"/>
  <sheetViews>
    <sheetView zoomScaleNormal="80" workbookViewId="0">
      <pane ySplit="5" topLeftCell="A6" activePane="bottomLeft" state="frozen"/>
      <selection pane="bottomLeft" activeCell="A6" sqref="A6"/>
    </sheetView>
  </sheetViews>
  <sheetFormatPr defaultRowHeight="12.75" x14ac:dyDescent="0.2"/>
  <cols>
    <col min="1" max="1" width="48.7109375" customWidth="1"/>
    <col min="2" max="2" width="24.7109375" bestFit="1" customWidth="1"/>
    <col min="3" max="3" width="15.7109375" customWidth="1"/>
    <col min="4" max="4" width="18" bestFit="1" customWidth="1"/>
    <col min="5" max="5" width="15.7109375" customWidth="1"/>
    <col min="6" max="6" width="16.42578125" bestFit="1" customWidth="1"/>
    <col min="7" max="7" width="9.85546875" customWidth="1"/>
    <col min="8" max="8" width="16.140625" customWidth="1"/>
    <col min="9" max="9" width="30.7109375" customWidth="1"/>
    <col min="10" max="10" width="8.7109375" customWidth="1"/>
    <col min="11" max="11" width="10.42578125" customWidth="1"/>
    <col min="12" max="12" width="16" customWidth="1"/>
    <col min="13" max="13" width="15.85546875" bestFit="1" customWidth="1"/>
    <col min="14" max="14" width="11.42578125" customWidth="1"/>
    <col min="15" max="15" width="23.5703125" customWidth="1"/>
    <col min="16" max="16" width="13.5703125" customWidth="1"/>
    <col min="17" max="17" width="20.7109375" customWidth="1"/>
    <col min="18" max="18" width="13.5703125" customWidth="1"/>
    <col min="19" max="19" width="11.42578125" customWidth="1"/>
    <col min="20" max="20" width="20.7109375" customWidth="1"/>
    <col min="21" max="21" width="15.42578125" customWidth="1"/>
    <col min="22" max="22" width="20.7109375" customWidth="1"/>
    <col min="24" max="24" width="20.7109375" customWidth="1"/>
    <col min="25" max="25" width="10" customWidth="1"/>
    <col min="26" max="26" width="20.7109375" customWidth="1"/>
    <col min="27" max="27" width="8.5703125" customWidth="1"/>
    <col min="28" max="28" width="30.7109375" customWidth="1"/>
    <col min="29" max="29" width="7.28515625" bestFit="1" customWidth="1"/>
    <col min="30" max="30" width="30.7109375" customWidth="1"/>
    <col min="31" max="31" width="9.28515625" bestFit="1" customWidth="1"/>
    <col min="32" max="32" width="8.85546875" bestFit="1" customWidth="1"/>
    <col min="33" max="33" width="28.140625" bestFit="1" customWidth="1"/>
    <col min="34" max="34" width="8.7109375" bestFit="1" customWidth="1"/>
    <col min="35" max="35" width="32.140625" bestFit="1" customWidth="1"/>
    <col min="36" max="36" width="8.42578125" customWidth="1"/>
    <col min="37" max="37" width="13.140625" customWidth="1"/>
    <col min="38" max="38" width="10.28515625" bestFit="1" customWidth="1"/>
    <col min="39" max="39" width="8" bestFit="1" customWidth="1"/>
    <col min="40" max="40" width="11.5703125" customWidth="1"/>
    <col min="41" max="41" width="12.28515625" customWidth="1"/>
    <col min="42" max="42" width="12.140625" customWidth="1"/>
    <col min="43" max="43" width="11.5703125" customWidth="1"/>
    <col min="44" max="44" width="10.7109375" bestFit="1" customWidth="1"/>
    <col min="45" max="45" width="10.5703125" bestFit="1" customWidth="1"/>
    <col min="46" max="46" width="11.28515625" customWidth="1"/>
    <col min="47" max="47" width="10.28515625" customWidth="1"/>
    <col min="48" max="50" width="10.7109375" customWidth="1"/>
    <col min="51" max="51" width="12" customWidth="1"/>
    <col min="52" max="60" width="9.7109375" customWidth="1"/>
    <col min="61" max="61" width="30.7109375" customWidth="1"/>
    <col min="62" max="62" width="9.7109375" customWidth="1"/>
    <col min="63" max="63" width="30.7109375" customWidth="1"/>
    <col min="64" max="64" width="9.7109375" customWidth="1"/>
    <col min="65" max="65" width="30.7109375" customWidth="1"/>
    <col min="66" max="66" width="9.7109375" customWidth="1"/>
    <col min="67" max="67" width="30.7109375" customWidth="1"/>
    <col min="68" max="68" width="9.7109375" customWidth="1"/>
    <col min="69" max="69" width="30.7109375" customWidth="1"/>
    <col min="70" max="70" width="9.7109375" customWidth="1"/>
    <col min="71" max="71" width="30.7109375" customWidth="1"/>
    <col min="72" max="72" width="13.140625" customWidth="1"/>
    <col min="73" max="73" width="30.7109375" customWidth="1"/>
    <col min="74" max="74" width="6.42578125" customWidth="1"/>
    <col min="75" max="75" width="30.7109375" customWidth="1"/>
    <col min="76" max="76" width="9.5703125" customWidth="1"/>
    <col min="77" max="77" width="30.7109375" customWidth="1"/>
    <col min="78" max="78" width="8.85546875" customWidth="1"/>
    <col min="79" max="79" width="30.7109375" customWidth="1"/>
    <col min="80" max="80" width="10.7109375" bestFit="1" customWidth="1"/>
    <col min="81" max="81" width="30.7109375" customWidth="1"/>
    <col min="82" max="82" width="11.28515625" customWidth="1"/>
    <col min="83" max="83" width="30.7109375" customWidth="1"/>
    <col min="84" max="84" width="8.140625" customWidth="1"/>
    <col min="85" max="85" width="30.7109375" customWidth="1"/>
    <col min="86" max="86" width="8.7109375" customWidth="1"/>
    <col min="87" max="87" width="30.7109375" customWidth="1"/>
    <col min="88" max="88" width="13.5703125" customWidth="1"/>
    <col min="89" max="89" width="30.7109375" customWidth="1"/>
    <col min="90" max="90" width="9.5703125" customWidth="1"/>
    <col min="91" max="91" width="13.28515625" bestFit="1" customWidth="1"/>
  </cols>
  <sheetData>
    <row r="1" spans="1:90" ht="30" customHeight="1" x14ac:dyDescent="0.2">
      <c r="A1" s="22" t="s">
        <v>201</v>
      </c>
      <c r="B1" s="8" t="s">
        <v>97</v>
      </c>
      <c r="D1" s="45" t="s">
        <v>202</v>
      </c>
      <c r="H1" s="5"/>
      <c r="I1" s="36" t="s">
        <v>157</v>
      </c>
      <c r="J1" s="34">
        <f>IF(J2=0,1,C2/(J2*24*60)/(1024*1024))</f>
        <v>3.2014830987720329</v>
      </c>
      <c r="AL1" s="15"/>
      <c r="AM1" s="15"/>
      <c r="AN1" s="15"/>
      <c r="AO1" s="16"/>
      <c r="AP1" s="15"/>
      <c r="AQ1" s="15"/>
      <c r="AR1" s="15"/>
      <c r="AS1" s="15"/>
      <c r="AT1" s="15"/>
      <c r="AU1" s="17"/>
      <c r="AV1" s="18"/>
      <c r="AW1" s="18"/>
      <c r="AX1" s="18"/>
      <c r="AY1" s="18" t="s">
        <v>4</v>
      </c>
      <c r="BB1" s="18"/>
      <c r="BC1" s="18"/>
      <c r="BD1" s="18"/>
      <c r="BE1" s="18"/>
      <c r="BF1" s="18"/>
      <c r="BG1" s="18"/>
      <c r="BT1" s="2" t="s">
        <v>112</v>
      </c>
      <c r="BU1" s="2"/>
      <c r="CL1" s="6">
        <f>LN(1+C1)+SUM(S1,U1,W1,Y1,AF1,AH1)+N(AA1)+N(AC1)+LN(1+AN1)+SQRT(AR1+AU1+SUM(BA1:BL1))+LN(1+BR1)+SUM(BT1,BV1,BX1,BZ1,CB1,CD1)+LN(1+CF1)+SUM(CH1,CJ1)</f>
        <v>0</v>
      </c>
    </row>
    <row r="2" spans="1:90" ht="30" customHeight="1" x14ac:dyDescent="0.2">
      <c r="A2" s="23" t="s">
        <v>726</v>
      </c>
      <c r="B2" s="5" t="s">
        <v>150</v>
      </c>
      <c r="C2" s="21">
        <f>SUM(C$6:C$64)</f>
        <v>12146739</v>
      </c>
      <c r="D2" s="4">
        <f>MIN(D$6:D$64)</f>
        <v>39684.895787037036</v>
      </c>
      <c r="E2" s="4">
        <f>MIN(E$6:E$64)</f>
        <v>41232.616076388891</v>
      </c>
      <c r="F2" s="4">
        <f>MIN(F$6:F$64)</f>
        <v>34253.333912037036</v>
      </c>
      <c r="G2" s="5">
        <f>COUNTA(G$6:G$64)</f>
        <v>0</v>
      </c>
      <c r="I2" s="5">
        <f>COUNTA(I$6:I$64)</f>
        <v>12</v>
      </c>
      <c r="J2" s="20">
        <f>SUM(J$6:J$64)/60/60/24</f>
        <v>2.5127314814814808E-3</v>
      </c>
      <c r="K2" s="5">
        <f>COUNTA(K$6:K$64)</f>
        <v>0</v>
      </c>
      <c r="L2" s="5">
        <f>COUNTA(L$6:L$64)</f>
        <v>8</v>
      </c>
      <c r="M2" s="5">
        <f>COUNTA(M$6:M$64)</f>
        <v>42</v>
      </c>
      <c r="N2" s="5">
        <f>COUNTA(N$6:N$64)</f>
        <v>43</v>
      </c>
      <c r="O2" s="5">
        <f>COUNTA(O$6:O$64)</f>
        <v>10</v>
      </c>
      <c r="P2" s="5">
        <f>COUNTA(P$6:P$64)</f>
        <v>4</v>
      </c>
      <c r="Q2" s="5">
        <f>COUNTA(Q$6:Q$64)</f>
        <v>36</v>
      </c>
      <c r="R2" s="5">
        <f>COUNTA(R$6:R$64)</f>
        <v>7</v>
      </c>
      <c r="S2" s="5">
        <f>COUNTA(S$6:S$64)</f>
        <v>4</v>
      </c>
      <c r="T2" s="5">
        <f>COUNTA(T$6:T$64)</f>
        <v>4</v>
      </c>
      <c r="U2" s="5">
        <f>COUNTA(U$6:U$64)</f>
        <v>5</v>
      </c>
      <c r="V2" s="5">
        <f>COUNTA(V$6:V$64)</f>
        <v>5</v>
      </c>
      <c r="W2" s="5">
        <f>COUNTA(W$6:W$64)</f>
        <v>3</v>
      </c>
      <c r="X2" s="5">
        <f>COUNTA(X$6:X$64)</f>
        <v>3</v>
      </c>
      <c r="Y2" s="5">
        <f>COUNTA(Y$6:Y$64)</f>
        <v>4</v>
      </c>
      <c r="Z2" s="5">
        <f>COUNTA(Z$6:Z$64)</f>
        <v>4</v>
      </c>
      <c r="AA2" s="5">
        <f>COUNTA(AA$6:AA$64)</f>
        <v>7</v>
      </c>
      <c r="AB2" s="5">
        <f>COUNTA(AB$6:AB$64)</f>
        <v>7</v>
      </c>
      <c r="AC2" s="5">
        <f>COUNTA(AC$6:AC$64)</f>
        <v>14</v>
      </c>
      <c r="AD2" s="5">
        <f>COUNTA(AD$6:AD$64)</f>
        <v>14</v>
      </c>
      <c r="AE2" s="5">
        <f>COUNTA(AE$6:AE$64)</f>
        <v>44</v>
      </c>
      <c r="AF2" s="5">
        <f>COUNTA(AF$6:AF$64)</f>
        <v>11</v>
      </c>
      <c r="AG2" s="5">
        <f>COUNTA(AG$6:AG$64)</f>
        <v>11</v>
      </c>
      <c r="AH2" s="5">
        <f>COUNTA(AH$6:AH$64)</f>
        <v>21</v>
      </c>
      <c r="AI2" s="5">
        <f>COUNTA(AI$6:AI$64)</f>
        <v>21</v>
      </c>
      <c r="AJ2" s="5">
        <f>COUNTA(AJ$6:AJ$64)</f>
        <v>23</v>
      </c>
      <c r="AK2" s="5">
        <f>COUNTA(AK$6:AK$64)</f>
        <v>45</v>
      </c>
      <c r="AL2" s="5">
        <f>COUNTA(AL$6:AL$64)</f>
        <v>10</v>
      </c>
      <c r="AM2" s="5">
        <f>COUNTA(AM$6:AM$64)</f>
        <v>4</v>
      </c>
      <c r="AN2" s="5">
        <f>COUNTA(AN$6:AN$64)</f>
        <v>11</v>
      </c>
      <c r="AO2" s="5">
        <f>COUNTA(AO$6:AO$64)</f>
        <v>8</v>
      </c>
      <c r="AP2" s="5">
        <f>COUNTA(AP$6:AP$64)</f>
        <v>5</v>
      </c>
      <c r="AQ2" s="5">
        <f>COUNTA(AQ$6:AQ$64)</f>
        <v>42</v>
      </c>
      <c r="AR2" s="5">
        <f>COUNTA(AR$6:AR$64)</f>
        <v>1</v>
      </c>
      <c r="AS2" s="5">
        <f>COUNTA(AS$6:AS$64)</f>
        <v>33</v>
      </c>
      <c r="AT2" s="5">
        <f>COUNTA(AT$6:AT$64)</f>
        <v>26</v>
      </c>
      <c r="AU2" s="5">
        <f>COUNTA(AU$6:AU$64)</f>
        <v>5</v>
      </c>
      <c r="AV2" s="5">
        <f>COUNTA(AV$6:AV$64)</f>
        <v>42</v>
      </c>
      <c r="AW2" s="5">
        <f>COUNTA(AW$6:AW$64)</f>
        <v>45</v>
      </c>
      <c r="AX2" s="5">
        <f>COUNTA(AX$6:AX$64)</f>
        <v>45</v>
      </c>
      <c r="AY2" s="5">
        <f>COUNTA(AY$6:AY$64)</f>
        <v>42</v>
      </c>
      <c r="AZ2" s="5">
        <f>COUNTA(AZ$6:AZ$64)</f>
        <v>0</v>
      </c>
      <c r="BA2" s="5">
        <f>COUNTA(BA$6:BA$64)</f>
        <v>3</v>
      </c>
      <c r="BB2" s="5">
        <f>COUNTA(BB$6:BB$64)</f>
        <v>2</v>
      </c>
      <c r="BC2" s="5">
        <f>COUNTA(BC$6:BC$64)</f>
        <v>1</v>
      </c>
      <c r="BD2" s="5">
        <f>COUNTA(BD$6:BD$64)</f>
        <v>1</v>
      </c>
      <c r="BE2" s="5">
        <f>COUNTA(BE$6:BE$64)</f>
        <v>1</v>
      </c>
      <c r="BF2" s="5">
        <f>COUNTA(BF$6:BF$64)</f>
        <v>1</v>
      </c>
      <c r="BG2" s="5">
        <f>COUNTA(BG$6:BG$64)</f>
        <v>1</v>
      </c>
      <c r="BH2" s="5">
        <f>COUNTA(BH$6:BH$64)</f>
        <v>5</v>
      </c>
      <c r="BI2" s="5">
        <f>COUNTA(BI$6:BI$64)</f>
        <v>5</v>
      </c>
      <c r="BJ2" s="5">
        <f>COUNTA(BJ$6:BJ$64)</f>
        <v>7</v>
      </c>
      <c r="BK2" s="5">
        <f>COUNTA(BK$6:BK$64)</f>
        <v>7</v>
      </c>
      <c r="BL2" s="5">
        <f>COUNTA(BL$6:BL$64)</f>
        <v>5</v>
      </c>
      <c r="BM2" s="5">
        <f>COUNTA(BM$6:BM$64)</f>
        <v>5</v>
      </c>
      <c r="BN2" s="5">
        <f>COUNTA(BN$6:BN$64)</f>
        <v>13</v>
      </c>
      <c r="BO2" s="5">
        <f>COUNTA(BO$6:BO$64)</f>
        <v>13</v>
      </c>
      <c r="BP2" s="5">
        <f>COUNTA(BP$6:BP$64)</f>
        <v>45</v>
      </c>
      <c r="BQ2" s="5">
        <f>COUNTA(BQ$6:BQ$64)</f>
        <v>26</v>
      </c>
      <c r="BR2" s="5">
        <f>COUNTA(BR$6:BR$64)</f>
        <v>0</v>
      </c>
      <c r="BS2" s="5">
        <f>COUNTA(BS$6:BS$64)</f>
        <v>0</v>
      </c>
      <c r="BT2" s="5">
        <f>COUNTA(BT$6:BT$64)</f>
        <v>5</v>
      </c>
      <c r="BU2" s="5">
        <f>COUNTA(BU$6:BU$64)</f>
        <v>5</v>
      </c>
      <c r="BV2" s="5">
        <f>COUNTA(BV$6:BV$64)</f>
        <v>1</v>
      </c>
      <c r="BW2" s="5">
        <f>COUNTA(BW$6:BW$64)</f>
        <v>1</v>
      </c>
      <c r="BX2" s="5">
        <f>COUNTA(BX$6:BX$64)</f>
        <v>6</v>
      </c>
      <c r="BY2" s="5">
        <f>COUNTA(BY$6:BY$64)</f>
        <v>6</v>
      </c>
      <c r="BZ2" s="5">
        <f>COUNTA(BZ$6:BZ$64)</f>
        <v>3</v>
      </c>
      <c r="CA2" s="5">
        <f>COUNTA(CA$6:CA$64)</f>
        <v>3</v>
      </c>
      <c r="CB2" s="5">
        <f>COUNTA(CB$6:CB$64)</f>
        <v>3</v>
      </c>
      <c r="CC2" s="5">
        <f>COUNTA(CC$6:CC$64)</f>
        <v>3</v>
      </c>
      <c r="CD2" s="5">
        <f>COUNTA(CD$6:CD$64)</f>
        <v>1</v>
      </c>
      <c r="CE2" s="5">
        <f>COUNTA(CE$6:CE$64)</f>
        <v>1</v>
      </c>
      <c r="CF2" s="5">
        <f>COUNTA(CF$6:CF$64)</f>
        <v>15</v>
      </c>
      <c r="CG2" s="5">
        <f>COUNTA(CG$6:CG$64)</f>
        <v>15</v>
      </c>
      <c r="CH2" s="5">
        <f>COUNTA(CH$6:CH$64)</f>
        <v>0</v>
      </c>
      <c r="CI2" s="5">
        <f>COUNTA(CI$6:CI$64)</f>
        <v>0</v>
      </c>
      <c r="CJ2" s="5">
        <f>COUNTA(CJ$6:CJ$64)</f>
        <v>0</v>
      </c>
      <c r="CK2" s="5">
        <f>COUNTA(CK$6:CK$64)</f>
        <v>0</v>
      </c>
      <c r="CL2" s="7">
        <f>MATCH(MAX(CL$6:CL$64),CL$6:CL$64,0)+ROW(CL5)</f>
        <v>18</v>
      </c>
    </row>
    <row r="3" spans="1:90" ht="30" customHeight="1" x14ac:dyDescent="0.2">
      <c r="A3" s="23" t="s">
        <v>324</v>
      </c>
      <c r="B3" s="5" t="s">
        <v>149</v>
      </c>
      <c r="C3" s="21">
        <f>MAX(C$6:C$64)</f>
        <v>3652608</v>
      </c>
      <c r="D3" s="4">
        <f>MAX(D$6:D$64)</f>
        <v>40077.364930555559</v>
      </c>
      <c r="E3" s="4">
        <f>MAX(E$6:E$64)</f>
        <v>41232.647951388892</v>
      </c>
      <c r="F3" s="4">
        <f>MAX(F$6:F$64)</f>
        <v>40021.4059375</v>
      </c>
      <c r="G3" s="21"/>
      <c r="H3" s="21"/>
      <c r="I3" s="21">
        <f>MAX(I$6:I$64)</f>
        <v>0</v>
      </c>
      <c r="J3" s="20">
        <f>MAX(J$6:J$64)/60/60/24</f>
        <v>1.3078703703703705E-3</v>
      </c>
      <c r="K3" s="21">
        <f>MAX(K$6:K$64)</f>
        <v>0</v>
      </c>
      <c r="L3" s="21">
        <f>MAX(L$6:L$64)</f>
        <v>0</v>
      </c>
      <c r="M3" s="21">
        <f>MAX(M$6:M$64)</f>
        <v>0</v>
      </c>
      <c r="N3" s="21">
        <f>MAX(N$6:N$64)</f>
        <v>0</v>
      </c>
      <c r="O3" s="21">
        <f>MAX(O$6:O$64)</f>
        <v>0</v>
      </c>
      <c r="P3" s="21">
        <f>MAX(P$6:P$64)</f>
        <v>0</v>
      </c>
      <c r="Q3" s="21">
        <f>MAX(Q$6:Q$64)</f>
        <v>0</v>
      </c>
      <c r="R3" s="21">
        <f>MAX(R$6:R$64)</f>
        <v>0</v>
      </c>
      <c r="S3" s="21">
        <f>MAX(S$6:S$64)</f>
        <v>17</v>
      </c>
      <c r="T3" s="21">
        <f>MAX(T$6:T$64)</f>
        <v>0</v>
      </c>
      <c r="U3" s="21">
        <f>MAX(U$6:U$64)</f>
        <v>10</v>
      </c>
      <c r="V3" s="21">
        <f>MAX(V$6:V$64)</f>
        <v>0</v>
      </c>
      <c r="W3" s="21">
        <f>MAX(W$6:W$64)</f>
        <v>1</v>
      </c>
      <c r="X3" s="21">
        <f>MAX(X$6:X$64)</f>
        <v>0</v>
      </c>
      <c r="Y3" s="21">
        <f>MAX(Y$6:Y$64)</f>
        <v>22</v>
      </c>
      <c r="Z3" s="21">
        <f>MAX(Z$6:Z$64)</f>
        <v>0</v>
      </c>
      <c r="AA3" s="21">
        <f>MAX(AA$6:AA$64)</f>
        <v>2</v>
      </c>
      <c r="AB3" s="21">
        <f>MAX(AB$6:AB$64)</f>
        <v>0</v>
      </c>
      <c r="AC3" s="21">
        <f>MAX(AC$6:AC$64)</f>
        <v>8</v>
      </c>
      <c r="AD3" s="21">
        <f>MAX(AD$6:AD$64)</f>
        <v>0</v>
      </c>
      <c r="AE3" s="21">
        <f>MAX(AE$6:AE$64)</f>
        <v>15.251099999999999</v>
      </c>
      <c r="AF3" s="21">
        <f>MAX(AF$6:AF$64)</f>
        <v>4</v>
      </c>
      <c r="AG3" s="21">
        <f>MAX(AG$6:AG$64)</f>
        <v>0</v>
      </c>
      <c r="AH3" s="21">
        <f>MAX(AH$6:AH$64)</f>
        <v>20</v>
      </c>
      <c r="AI3" s="21">
        <f>MAX(AI$6:AI$64)</f>
        <v>0</v>
      </c>
      <c r="AJ3" s="21">
        <f>MAX(AJ$6:AJ$64)</f>
        <v>352</v>
      </c>
      <c r="AK3" s="21">
        <f>MAX(AK$6:AK$64)</f>
        <v>24</v>
      </c>
      <c r="AL3" s="21">
        <f>MAX(AL$6:AL$64)</f>
        <v>5</v>
      </c>
      <c r="AM3" s="21">
        <f>MAX(AM$6:AM$64)</f>
        <v>9</v>
      </c>
      <c r="AN3" s="21">
        <f>MAX(AN$6:AN$64)</f>
        <v>968</v>
      </c>
      <c r="AO3" s="21">
        <f>MAX(AO$6:AO$64)</f>
        <v>15088</v>
      </c>
      <c r="AP3" s="21">
        <f>MAX(AP$6:AP$64)</f>
        <v>994</v>
      </c>
      <c r="AQ3" s="21">
        <f>MAX(AQ$6:AQ$64)</f>
        <v>12782</v>
      </c>
      <c r="AR3" s="21">
        <f>MAX(AR$6:AR$64)</f>
        <v>1</v>
      </c>
      <c r="AS3" s="21">
        <f>MAX(AS$6:AS$64)</f>
        <v>32397</v>
      </c>
      <c r="AT3" s="21">
        <f>MAX(AT$6:AT$64)</f>
        <v>26316</v>
      </c>
      <c r="AU3" s="21">
        <f>MAX(AU$6:AU$64)</f>
        <v>14</v>
      </c>
      <c r="AV3" s="21">
        <f>MAX(AV$6:AV$64)</f>
        <v>17160176735</v>
      </c>
      <c r="AW3" s="21">
        <f>MAX(AW$6:AW$64)</f>
        <v>0</v>
      </c>
      <c r="AX3" s="21">
        <f>MAX(AX$6:AX$64)</f>
        <v>0</v>
      </c>
      <c r="AY3" s="21">
        <f>MAX(AY$6:AY$64)</f>
        <v>37870</v>
      </c>
      <c r="AZ3" s="21">
        <f>MAX(AZ$6:AZ$64)</f>
        <v>0</v>
      </c>
      <c r="BA3" s="21">
        <f>MAX(BA$6:BA$64)</f>
        <v>1</v>
      </c>
      <c r="BB3" s="21">
        <f>MAX(BB$6:BB$64)</f>
        <v>8</v>
      </c>
      <c r="BC3" s="21">
        <f>MAX(BC$6:BC$64)</f>
        <v>1</v>
      </c>
      <c r="BD3" s="21">
        <f>MAX(BD$6:BD$64)</f>
        <v>1</v>
      </c>
      <c r="BE3" s="21">
        <f>MAX(BE$6:BE$64)</f>
        <v>1</v>
      </c>
      <c r="BF3" s="21">
        <f>MAX(BF$6:BF$64)</f>
        <v>2</v>
      </c>
      <c r="BG3" s="21">
        <f>MAX(BG$6:BG$64)</f>
        <v>2</v>
      </c>
      <c r="BH3" s="21">
        <f>MAX(BH$6:BH$64)</f>
        <v>15</v>
      </c>
      <c r="BI3" s="21">
        <f>MAX(BI$6:BI$64)</f>
        <v>0</v>
      </c>
      <c r="BJ3" s="21">
        <f>MAX(BJ$6:BJ$64)</f>
        <v>4</v>
      </c>
      <c r="BK3" s="21">
        <f>MAX(BK$6:BK$64)</f>
        <v>0</v>
      </c>
      <c r="BL3" s="21">
        <f>MAX(BL$6:BL$64)</f>
        <v>68</v>
      </c>
      <c r="BM3" s="21">
        <f>MAX(BM$6:BM$64)</f>
        <v>0</v>
      </c>
      <c r="BN3" s="21">
        <f>MAX(BN$6:BN$64)</f>
        <v>13938</v>
      </c>
      <c r="BO3" s="21">
        <f>MAX(BO$6:BO$64)</f>
        <v>0</v>
      </c>
      <c r="BP3" s="21">
        <f>MAX(BP$6:BP$64)</f>
        <v>0</v>
      </c>
      <c r="BQ3" s="21">
        <f>MAX(BQ$6:BQ$64)</f>
        <v>0</v>
      </c>
      <c r="BR3" s="21">
        <f>MAX(BR$6:BR$64)</f>
        <v>0</v>
      </c>
      <c r="BS3" s="21">
        <f>MAX(BS$6:BS$64)</f>
        <v>0</v>
      </c>
      <c r="BT3" s="21">
        <f>MAX(BT$6:BT$64)</f>
        <v>13</v>
      </c>
      <c r="BU3" s="21">
        <f>MAX(BU$6:BU$64)</f>
        <v>0</v>
      </c>
      <c r="BV3" s="21">
        <f>MAX(BV$6:BV$64)</f>
        <v>2</v>
      </c>
      <c r="BW3" s="21">
        <f>MAX(BW$6:BW$64)</f>
        <v>0</v>
      </c>
      <c r="BX3" s="21">
        <f>MAX(BX$6:BX$64)</f>
        <v>252</v>
      </c>
      <c r="BY3" s="21">
        <f>MAX(BY$6:BY$64)</f>
        <v>0</v>
      </c>
      <c r="BZ3" s="21">
        <f>MAX(BZ$6:BZ$64)</f>
        <v>4</v>
      </c>
      <c r="CA3" s="21">
        <f>MAX(CA$6:CA$64)</f>
        <v>0</v>
      </c>
      <c r="CB3" s="21">
        <f>MAX(CB$6:CB$64)</f>
        <v>270</v>
      </c>
      <c r="CC3" s="21">
        <f>MAX(CC$6:CC$64)</f>
        <v>0</v>
      </c>
      <c r="CD3" s="21">
        <f>MAX(CD$6:CD$64)</f>
        <v>54</v>
      </c>
      <c r="CE3" s="21">
        <f>MAX(CE$6:CE$64)</f>
        <v>0</v>
      </c>
      <c r="CF3" s="21">
        <f>MAX(CF$6:CF$64)</f>
        <v>8001</v>
      </c>
      <c r="CG3" s="21">
        <f>MAX(CG$6:CG$64)</f>
        <v>0</v>
      </c>
      <c r="CH3" s="21">
        <f>MAX(CH$6:CH$64)</f>
        <v>0</v>
      </c>
      <c r="CI3" s="21">
        <f>MAX(CI$6:CI$64)</f>
        <v>0</v>
      </c>
      <c r="CJ3" s="21">
        <f>MAX(CJ$6:CJ$64)</f>
        <v>0</v>
      </c>
      <c r="CK3" s="21">
        <f>MAX(CK$6:CK$64)</f>
        <v>0</v>
      </c>
      <c r="CL3" s="21">
        <f>MAX(CL$6:CL$64)</f>
        <v>564.83044986172138</v>
      </c>
    </row>
    <row r="4" spans="1:90" x14ac:dyDescent="0.2">
      <c r="A4" s="23"/>
      <c r="B4" s="5"/>
      <c r="C4" s="21"/>
      <c r="D4" s="4"/>
      <c r="E4" s="4"/>
      <c r="F4" s="4"/>
      <c r="G4" s="21"/>
      <c r="H4" s="21"/>
      <c r="I4" s="21"/>
      <c r="J4" s="20"/>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c r="BD4" s="21"/>
      <c r="BE4" s="21"/>
      <c r="BF4" s="21"/>
      <c r="BG4" s="21"/>
      <c r="BH4" s="21"/>
      <c r="BI4" s="21"/>
      <c r="BJ4" s="21"/>
      <c r="BK4" s="21"/>
      <c r="BL4" s="21"/>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row>
    <row r="5" spans="1:90" ht="30" customHeight="1" x14ac:dyDescent="0.2">
      <c r="A5" s="14" t="s">
        <v>50</v>
      </c>
      <c r="B5" s="14" t="s">
        <v>61</v>
      </c>
      <c r="C5" s="26" t="s">
        <v>62</v>
      </c>
      <c r="D5" s="27" t="s">
        <v>63</v>
      </c>
      <c r="E5" s="27" t="s">
        <v>64</v>
      </c>
      <c r="F5" s="27" t="s">
        <v>65</v>
      </c>
      <c r="G5" s="28" t="s">
        <v>66</v>
      </c>
      <c r="H5" s="29" t="s">
        <v>51</v>
      </c>
      <c r="I5" s="29" t="s">
        <v>41</v>
      </c>
      <c r="J5" s="14" t="s">
        <v>49</v>
      </c>
      <c r="K5" s="29" t="s">
        <v>151</v>
      </c>
      <c r="L5" s="30" t="s">
        <v>5</v>
      </c>
      <c r="M5" s="30" t="s">
        <v>105</v>
      </c>
      <c r="N5" s="30" t="s">
        <v>6</v>
      </c>
      <c r="O5" s="30" t="s">
        <v>7</v>
      </c>
      <c r="P5" s="30" t="s">
        <v>8</v>
      </c>
      <c r="Q5" s="31" t="s">
        <v>9</v>
      </c>
      <c r="R5" s="31" t="s">
        <v>10</v>
      </c>
      <c r="S5" s="32" t="s">
        <v>11</v>
      </c>
      <c r="T5" s="28" t="s">
        <v>12</v>
      </c>
      <c r="U5" s="32" t="s">
        <v>13</v>
      </c>
      <c r="V5" s="28" t="s">
        <v>12</v>
      </c>
      <c r="W5" s="32" t="s">
        <v>14</v>
      </c>
      <c r="X5" s="28" t="s">
        <v>12</v>
      </c>
      <c r="Y5" s="32" t="s">
        <v>15</v>
      </c>
      <c r="Z5" s="28" t="s">
        <v>12</v>
      </c>
      <c r="AA5" s="28" t="s">
        <v>82</v>
      </c>
      <c r="AB5" s="27" t="s">
        <v>52</v>
      </c>
      <c r="AC5" s="28" t="s">
        <v>44</v>
      </c>
      <c r="AD5" s="27" t="s">
        <v>53</v>
      </c>
      <c r="AE5" s="28" t="s">
        <v>54</v>
      </c>
      <c r="AF5" s="28" t="s">
        <v>42</v>
      </c>
      <c r="AG5" s="28" t="s">
        <v>55</v>
      </c>
      <c r="AH5" s="28" t="s">
        <v>43</v>
      </c>
      <c r="AI5" s="28" t="s">
        <v>16</v>
      </c>
      <c r="AJ5" s="28" t="s">
        <v>73</v>
      </c>
      <c r="AK5" s="27" t="s">
        <v>72</v>
      </c>
      <c r="AL5" s="28" t="s">
        <v>95</v>
      </c>
      <c r="AM5" s="28" t="s">
        <v>96</v>
      </c>
      <c r="AN5" s="28" t="s">
        <v>93</v>
      </c>
      <c r="AO5" s="28" t="s">
        <v>71</v>
      </c>
      <c r="AP5" s="28" t="s">
        <v>67</v>
      </c>
      <c r="AQ5" s="28" t="s">
        <v>68</v>
      </c>
      <c r="AR5" s="28" t="s">
        <v>17</v>
      </c>
      <c r="AS5" s="28" t="s">
        <v>70</v>
      </c>
      <c r="AT5" s="28" t="s">
        <v>69</v>
      </c>
      <c r="AU5" s="28" t="s">
        <v>18</v>
      </c>
      <c r="AV5" s="28" t="s">
        <v>108</v>
      </c>
      <c r="AW5" s="28" t="s">
        <v>19</v>
      </c>
      <c r="AX5" s="28" t="s">
        <v>20</v>
      </c>
      <c r="AY5" s="28" t="s">
        <v>21</v>
      </c>
      <c r="AZ5" s="28" t="s">
        <v>148</v>
      </c>
      <c r="BA5" s="28" t="s">
        <v>22</v>
      </c>
      <c r="BB5" s="28" t="s">
        <v>23</v>
      </c>
      <c r="BC5" s="28" t="s">
        <v>24</v>
      </c>
      <c r="BD5" s="28" t="s">
        <v>25</v>
      </c>
      <c r="BE5" s="28" t="s">
        <v>26</v>
      </c>
      <c r="BF5" s="28" t="s">
        <v>27</v>
      </c>
      <c r="BG5" s="33" t="s">
        <v>28</v>
      </c>
      <c r="BH5" s="28" t="s">
        <v>145</v>
      </c>
      <c r="BI5" s="33" t="s">
        <v>12</v>
      </c>
      <c r="BJ5" s="33" t="s">
        <v>111</v>
      </c>
      <c r="BK5" s="33" t="s">
        <v>12</v>
      </c>
      <c r="BL5" s="33" t="s">
        <v>113</v>
      </c>
      <c r="BM5" s="33" t="s">
        <v>12</v>
      </c>
      <c r="BN5" s="33" t="s">
        <v>94</v>
      </c>
      <c r="BO5" s="33" t="s">
        <v>12</v>
      </c>
      <c r="BP5" s="33" t="s">
        <v>165</v>
      </c>
      <c r="BQ5" s="33" t="s">
        <v>12</v>
      </c>
      <c r="BR5" s="33" t="s">
        <v>166</v>
      </c>
      <c r="BS5" s="33" t="s">
        <v>12</v>
      </c>
      <c r="BT5" s="33" t="s">
        <v>29</v>
      </c>
      <c r="BU5" s="33" t="s">
        <v>12</v>
      </c>
      <c r="BV5" s="33" t="s">
        <v>30</v>
      </c>
      <c r="BW5" s="33" t="s">
        <v>12</v>
      </c>
      <c r="BX5" s="33" t="s">
        <v>31</v>
      </c>
      <c r="BY5" s="33" t="s">
        <v>12</v>
      </c>
      <c r="BZ5" s="33" t="s">
        <v>32</v>
      </c>
      <c r="CA5" s="33" t="s">
        <v>12</v>
      </c>
      <c r="CB5" s="33" t="s">
        <v>33</v>
      </c>
      <c r="CC5" s="33" t="s">
        <v>12</v>
      </c>
      <c r="CD5" s="33" t="s">
        <v>34</v>
      </c>
      <c r="CE5" s="33" t="s">
        <v>12</v>
      </c>
      <c r="CF5" s="33" t="s">
        <v>35</v>
      </c>
      <c r="CG5" s="33" t="s">
        <v>12</v>
      </c>
      <c r="CH5" s="33" t="s">
        <v>109</v>
      </c>
      <c r="CI5" s="33" t="s">
        <v>12</v>
      </c>
      <c r="CJ5" s="33" t="s">
        <v>110</v>
      </c>
      <c r="CK5" s="33" t="s">
        <v>12</v>
      </c>
      <c r="CL5" s="33" t="s">
        <v>77</v>
      </c>
    </row>
    <row r="6" spans="1:90" ht="12.75" customHeight="1" x14ac:dyDescent="0.2">
      <c r="A6" t="s">
        <v>203</v>
      </c>
      <c r="B6" t="s">
        <v>204</v>
      </c>
      <c r="C6">
        <v>139264</v>
      </c>
      <c r="D6" s="44">
        <v>39684.895787037036</v>
      </c>
      <c r="E6" s="44">
        <v>41232.616076388891</v>
      </c>
      <c r="F6" s="44">
        <v>34577.958333333336</v>
      </c>
      <c r="H6" t="s">
        <v>205</v>
      </c>
    </row>
    <row r="7" spans="1:90" x14ac:dyDescent="0.2">
      <c r="A7" t="s">
        <v>206</v>
      </c>
      <c r="B7" t="s">
        <v>207</v>
      </c>
      <c r="C7">
        <v>222208</v>
      </c>
      <c r="D7" s="44">
        <v>39684.895787037036</v>
      </c>
      <c r="E7" s="44">
        <v>41232.616122685184</v>
      </c>
      <c r="F7" s="44">
        <v>36843.750902777778</v>
      </c>
      <c r="H7" t="s">
        <v>205</v>
      </c>
    </row>
    <row r="8" spans="1:90" x14ac:dyDescent="0.2">
      <c r="A8" t="s">
        <v>208</v>
      </c>
      <c r="B8" t="s">
        <v>209</v>
      </c>
      <c r="C8">
        <v>3056128</v>
      </c>
      <c r="D8" s="44">
        <v>39684.895787037036</v>
      </c>
      <c r="E8" s="44">
        <v>41232.616168981483</v>
      </c>
      <c r="F8" s="44">
        <v>39176.450324074074</v>
      </c>
      <c r="H8" t="s">
        <v>205</v>
      </c>
    </row>
    <row r="9" spans="1:90" x14ac:dyDescent="0.2">
      <c r="A9" t="s">
        <v>210</v>
      </c>
      <c r="B9" t="s">
        <v>211</v>
      </c>
      <c r="C9">
        <v>8083</v>
      </c>
      <c r="D9" s="44">
        <v>39684.895798611113</v>
      </c>
      <c r="E9" s="44">
        <v>41232.616388888891</v>
      </c>
      <c r="F9" s="44">
        <v>34253.333912037036</v>
      </c>
      <c r="H9" t="s">
        <v>212</v>
      </c>
    </row>
    <row r="10" spans="1:90" x14ac:dyDescent="0.2">
      <c r="A10" t="s">
        <v>214</v>
      </c>
      <c r="B10" t="s">
        <v>215</v>
      </c>
      <c r="C10">
        <v>227840</v>
      </c>
      <c r="D10" s="44">
        <v>39684.895798611113</v>
      </c>
      <c r="E10" s="44">
        <v>41232.616747685184</v>
      </c>
      <c r="F10" s="44">
        <v>39192.493379629632</v>
      </c>
      <c r="H10" t="s">
        <v>213</v>
      </c>
    </row>
    <row r="11" spans="1:90" x14ac:dyDescent="0.2">
      <c r="A11" s="46" t="s">
        <v>216</v>
      </c>
      <c r="B11" t="s">
        <v>217</v>
      </c>
      <c r="C11">
        <v>14117</v>
      </c>
      <c r="D11" s="44">
        <v>39684.895798611113</v>
      </c>
      <c r="E11" s="44">
        <v>41232.647939814815</v>
      </c>
      <c r="F11" s="44">
        <v>35042.921736111108</v>
      </c>
      <c r="H11" t="s">
        <v>218</v>
      </c>
      <c r="I11" s="47" t="s">
        <v>327</v>
      </c>
      <c r="J11">
        <v>0.1</v>
      </c>
    </row>
    <row r="12" spans="1:90" ht="51" x14ac:dyDescent="0.2">
      <c r="A12" s="46" t="s">
        <v>219</v>
      </c>
      <c r="B12" s="48" t="s">
        <v>220</v>
      </c>
      <c r="C12">
        <v>13811</v>
      </c>
      <c r="D12" s="44">
        <v>39684.895798611113</v>
      </c>
      <c r="E12" s="44">
        <v>41232.616770833331</v>
      </c>
      <c r="F12" s="44">
        <v>39183.762731481482</v>
      </c>
      <c r="H12" t="s">
        <v>328</v>
      </c>
      <c r="I12" s="47"/>
      <c r="J12">
        <v>1</v>
      </c>
      <c r="L12" s="49" t="s">
        <v>329</v>
      </c>
      <c r="M12" s="49" t="s">
        <v>330</v>
      </c>
      <c r="N12" s="49" t="s">
        <v>331</v>
      </c>
      <c r="O12" s="49" t="s">
        <v>332</v>
      </c>
      <c r="P12" s="49" t="s">
        <v>333</v>
      </c>
      <c r="Q12" s="49" t="s">
        <v>334</v>
      </c>
      <c r="T12" s="23"/>
      <c r="V12" s="23"/>
      <c r="X12" s="23"/>
      <c r="Z12" s="23"/>
      <c r="AE12">
        <v>15.251099999999999</v>
      </c>
      <c r="AF12">
        <v>1</v>
      </c>
      <c r="AG12" t="s">
        <v>335</v>
      </c>
      <c r="AK12">
        <v>3</v>
      </c>
      <c r="AO12">
        <v>8</v>
      </c>
      <c r="AQ12">
        <v>149</v>
      </c>
      <c r="AS12">
        <v>155</v>
      </c>
      <c r="AT12">
        <v>48</v>
      </c>
      <c r="AV12">
        <v>286</v>
      </c>
      <c r="AW12" s="49" t="s">
        <v>336</v>
      </c>
      <c r="AX12" s="49" t="s">
        <v>337</v>
      </c>
      <c r="AY12">
        <v>197</v>
      </c>
      <c r="BI12" s="23"/>
      <c r="BJ12">
        <v>2</v>
      </c>
      <c r="BK12" s="50" t="s">
        <v>338</v>
      </c>
      <c r="BM12" s="23"/>
      <c r="BN12">
        <v>13</v>
      </c>
      <c r="BO12" s="50" t="s">
        <v>339</v>
      </c>
      <c r="BP12" s="49" t="s">
        <v>340</v>
      </c>
      <c r="BQ12" s="50" t="s">
        <v>341</v>
      </c>
      <c r="BS12" s="23"/>
      <c r="BU12" s="23"/>
      <c r="BW12" s="23"/>
      <c r="BY12" s="23"/>
      <c r="CA12" s="23"/>
      <c r="CC12" s="23"/>
      <c r="CE12" s="23"/>
      <c r="CF12">
        <v>13</v>
      </c>
      <c r="CG12" s="50" t="s">
        <v>342</v>
      </c>
      <c r="CI12" s="23"/>
      <c r="CK12" s="23"/>
      <c r="CL12">
        <f>LN(1+C12)+SUM(S12,U12,W12,Y12,AF12,AH12)+N(AA12)+N(AC12)+LN(1+AN12)+SQRT(AR12+AU12+SUM(BA12:BL12))+LN(1+BR12)+SUM(BT12,BV12,BX12,BZ12,CB12,CD12)+LN(1+CF12)+SUM(CH12,CJ12)</f>
        <v>14.586563950498238</v>
      </c>
    </row>
    <row r="13" spans="1:90" x14ac:dyDescent="0.2">
      <c r="A13" s="46" t="s">
        <v>221</v>
      </c>
      <c r="B13" s="48" t="s">
        <v>222</v>
      </c>
      <c r="C13">
        <v>15872</v>
      </c>
      <c r="D13" s="44">
        <v>39684.895798611113</v>
      </c>
      <c r="E13" s="44">
        <v>41232.616782407407</v>
      </c>
      <c r="F13" s="44">
        <v>38268.464675925927</v>
      </c>
      <c r="H13" t="s">
        <v>343</v>
      </c>
      <c r="I13" s="47"/>
      <c r="J13">
        <v>0.1</v>
      </c>
      <c r="M13" s="49" t="s">
        <v>330</v>
      </c>
      <c r="N13" s="49" t="s">
        <v>344</v>
      </c>
      <c r="O13" s="49" t="s">
        <v>345</v>
      </c>
      <c r="Q13" s="49" t="s">
        <v>346</v>
      </c>
      <c r="T13" s="23"/>
      <c r="V13" s="23"/>
      <c r="X13" s="23"/>
      <c r="Z13" s="23"/>
      <c r="AE13">
        <v>15.251099999999999</v>
      </c>
      <c r="AH13">
        <v>1</v>
      </c>
      <c r="AI13" s="49" t="s">
        <v>347</v>
      </c>
      <c r="AK13">
        <v>1</v>
      </c>
      <c r="AQ13">
        <v>17</v>
      </c>
      <c r="AS13">
        <v>26</v>
      </c>
      <c r="AT13">
        <v>16</v>
      </c>
      <c r="AV13">
        <v>50</v>
      </c>
      <c r="AW13" s="49" t="s">
        <v>348</v>
      </c>
      <c r="AX13" s="49" t="s">
        <v>349</v>
      </c>
      <c r="AY13">
        <v>33</v>
      </c>
      <c r="BI13" s="23"/>
      <c r="BK13" s="23"/>
      <c r="BM13" s="23"/>
      <c r="BO13" s="23"/>
      <c r="BP13" s="49" t="s">
        <v>350</v>
      </c>
      <c r="BQ13" s="50" t="s">
        <v>351</v>
      </c>
      <c r="BS13" s="23"/>
      <c r="BU13" s="23"/>
      <c r="BW13" s="23"/>
      <c r="BY13" s="23"/>
      <c r="CA13" s="23"/>
      <c r="CC13" s="23"/>
      <c r="CE13" s="23"/>
      <c r="CG13" s="23"/>
      <c r="CI13" s="23"/>
      <c r="CK13" s="23"/>
      <c r="CL13">
        <f>LN(1+C13)+SUM(S13,U13,W13,Y13,AF13,AH13)+N(AA13)+N(AC13)+LN(1+AN13)+SQRT(AR13+AU13+SUM(BA13:BL13))+LN(1+BR13)+SUM(BT13,BV13,BX13,BZ13,CB13,CD13)+LN(1+CF13)+SUM(CH13,CJ13)</f>
        <v>10.672374831572242</v>
      </c>
    </row>
    <row r="14" spans="1:90" x14ac:dyDescent="0.2">
      <c r="A14" s="46" t="s">
        <v>223</v>
      </c>
      <c r="B14" s="48" t="s">
        <v>224</v>
      </c>
      <c r="C14">
        <v>15872</v>
      </c>
      <c r="D14" s="44">
        <v>39684.895798611113</v>
      </c>
      <c r="E14" s="44">
        <v>41232.616793981484</v>
      </c>
      <c r="F14" s="44">
        <v>38537.351851851854</v>
      </c>
      <c r="H14" t="s">
        <v>343</v>
      </c>
      <c r="I14" s="47"/>
      <c r="J14">
        <v>0.9</v>
      </c>
      <c r="M14" s="49" t="s">
        <v>330</v>
      </c>
      <c r="N14" s="49" t="s">
        <v>333</v>
      </c>
      <c r="O14" s="49" t="s">
        <v>345</v>
      </c>
      <c r="Q14" s="49" t="s">
        <v>346</v>
      </c>
      <c r="T14" s="23"/>
      <c r="V14" s="23"/>
      <c r="X14" s="23"/>
      <c r="Z14" s="23"/>
      <c r="AE14">
        <v>15.251099999999999</v>
      </c>
      <c r="AH14">
        <v>1</v>
      </c>
      <c r="AI14" s="49" t="s">
        <v>352</v>
      </c>
      <c r="AK14">
        <v>1</v>
      </c>
      <c r="AQ14">
        <v>17</v>
      </c>
      <c r="AS14">
        <v>26</v>
      </c>
      <c r="AT14">
        <v>16</v>
      </c>
      <c r="AV14">
        <v>50</v>
      </c>
      <c r="AW14" s="49" t="s">
        <v>348</v>
      </c>
      <c r="AX14" s="49" t="s">
        <v>349</v>
      </c>
      <c r="AY14">
        <v>33</v>
      </c>
      <c r="BI14" s="23"/>
      <c r="BK14" s="23"/>
      <c r="BM14" s="23"/>
      <c r="BO14" s="23"/>
      <c r="BP14" s="49" t="s">
        <v>350</v>
      </c>
      <c r="BQ14" s="50" t="s">
        <v>351</v>
      </c>
      <c r="BS14" s="23"/>
      <c r="BU14" s="23"/>
      <c r="BW14" s="23"/>
      <c r="BY14" s="23"/>
      <c r="CA14" s="23"/>
      <c r="CC14" s="23"/>
      <c r="CE14" s="23"/>
      <c r="CG14" s="23"/>
      <c r="CI14" s="23"/>
      <c r="CK14" s="23"/>
      <c r="CL14">
        <f>LN(1+C14)+SUM(S14,U14,W14,Y14,AF14,AH14)+N(AA14)+N(AC14)+LN(1+AN14)+SQRT(AR14+AU14+SUM(BA14:BL14))+LN(1+BR14)+SUM(BT14,BV14,BX14,BZ14,CB14,CD14)+LN(1+CF14)+SUM(CH14,CJ14)</f>
        <v>10.672374831572242</v>
      </c>
    </row>
    <row r="15" spans="1:90" ht="51" x14ac:dyDescent="0.2">
      <c r="A15" s="46" t="s">
        <v>225</v>
      </c>
      <c r="B15" s="48" t="s">
        <v>226</v>
      </c>
      <c r="C15">
        <v>19968</v>
      </c>
      <c r="D15" s="44">
        <v>39684.895798611113</v>
      </c>
      <c r="E15" s="44">
        <v>41232.616805555554</v>
      </c>
      <c r="F15" s="44">
        <v>38336.208333333336</v>
      </c>
      <c r="H15" t="s">
        <v>343</v>
      </c>
      <c r="I15" s="47"/>
      <c r="J15">
        <v>1</v>
      </c>
      <c r="L15" s="49" t="s">
        <v>358</v>
      </c>
      <c r="M15" s="49" t="s">
        <v>359</v>
      </c>
      <c r="N15" s="49" t="s">
        <v>360</v>
      </c>
      <c r="Q15" s="49" t="s">
        <v>361</v>
      </c>
      <c r="R15" s="49" t="s">
        <v>362</v>
      </c>
      <c r="T15" s="23"/>
      <c r="V15" s="23"/>
      <c r="X15" s="23"/>
      <c r="Z15" s="23"/>
      <c r="AC15">
        <v>1</v>
      </c>
      <c r="AD15" s="23" t="s">
        <v>363</v>
      </c>
      <c r="AE15">
        <v>15.251099999999999</v>
      </c>
      <c r="AH15">
        <v>1</v>
      </c>
      <c r="AI15" s="49" t="s">
        <v>364</v>
      </c>
      <c r="AJ15">
        <v>1</v>
      </c>
      <c r="AK15">
        <v>1</v>
      </c>
      <c r="AQ15">
        <v>174</v>
      </c>
      <c r="AS15">
        <v>105</v>
      </c>
      <c r="AV15">
        <v>198</v>
      </c>
      <c r="AW15" s="49" t="s">
        <v>365</v>
      </c>
      <c r="AX15" s="49" t="s">
        <v>366</v>
      </c>
      <c r="AY15">
        <v>174</v>
      </c>
      <c r="BI15" s="23"/>
      <c r="BK15" s="23"/>
      <c r="BM15" s="23"/>
      <c r="BO15" s="23"/>
      <c r="BP15" s="49" t="s">
        <v>367</v>
      </c>
      <c r="BQ15" s="23"/>
      <c r="BS15" s="23"/>
      <c r="BU15" s="23"/>
      <c r="BW15" s="23"/>
      <c r="BY15" s="23"/>
      <c r="CA15" s="23"/>
      <c r="CC15" s="23"/>
      <c r="CE15" s="23"/>
      <c r="CG15" s="23"/>
      <c r="CI15" s="23"/>
      <c r="CK15" s="23"/>
      <c r="CL15">
        <f>LN(1+C15)+SUM(S15,U15,W15,Y15,AF15,AH15)+N(AA15)+N(AC15)+LN(1+AN15)+SQRT(AR15+AU15+SUM(BA15:BL15))+LN(1+BR15)+SUM(BT15,BV15,BX15,BZ15,CB15,CD15)+LN(1+CF15)+SUM(CH15,CJ15)</f>
        <v>11.901936350043391</v>
      </c>
    </row>
    <row r="16" spans="1:90" ht="63.75" x14ac:dyDescent="0.2">
      <c r="A16" s="46" t="s">
        <v>227</v>
      </c>
      <c r="B16" s="48" t="s">
        <v>228</v>
      </c>
      <c r="C16">
        <v>269824</v>
      </c>
      <c r="D16" s="44">
        <v>39684.895798611113</v>
      </c>
      <c r="E16" s="44">
        <v>41232.61681712963</v>
      </c>
      <c r="F16" s="44">
        <v>39176.515856481485</v>
      </c>
      <c r="H16" t="s">
        <v>343</v>
      </c>
      <c r="I16" s="47"/>
      <c r="J16">
        <v>3</v>
      </c>
      <c r="L16" s="49" t="s">
        <v>371</v>
      </c>
      <c r="M16" s="49" t="s">
        <v>372</v>
      </c>
      <c r="N16" s="49" t="s">
        <v>373</v>
      </c>
      <c r="O16" s="49" t="s">
        <v>374</v>
      </c>
      <c r="T16" s="23"/>
      <c r="V16" s="23"/>
      <c r="X16" s="23"/>
      <c r="Z16" s="23"/>
      <c r="AE16">
        <v>15.251099999999999</v>
      </c>
      <c r="AH16">
        <v>6</v>
      </c>
      <c r="AI16" s="50" t="s">
        <v>375</v>
      </c>
      <c r="AJ16">
        <v>84</v>
      </c>
      <c r="AK16">
        <v>4</v>
      </c>
      <c r="AL16">
        <v>5</v>
      </c>
      <c r="AM16">
        <v>9</v>
      </c>
      <c r="AN16">
        <v>968</v>
      </c>
      <c r="AO16">
        <v>1</v>
      </c>
      <c r="AQ16">
        <v>328</v>
      </c>
      <c r="AS16">
        <v>99</v>
      </c>
      <c r="AT16">
        <v>16</v>
      </c>
      <c r="AU16">
        <v>1</v>
      </c>
      <c r="AV16">
        <v>3080</v>
      </c>
      <c r="AW16" s="49" t="s">
        <v>376</v>
      </c>
      <c r="AX16" s="49" t="s">
        <v>377</v>
      </c>
      <c r="AY16">
        <v>341</v>
      </c>
      <c r="BB16">
        <v>1</v>
      </c>
      <c r="BH16">
        <v>1</v>
      </c>
      <c r="BI16" s="50" t="s">
        <v>378</v>
      </c>
      <c r="BK16" s="23"/>
      <c r="BL16">
        <v>68</v>
      </c>
      <c r="BM16" s="50" t="s">
        <v>379</v>
      </c>
      <c r="BN16">
        <v>6</v>
      </c>
      <c r="BO16" s="50" t="s">
        <v>380</v>
      </c>
      <c r="BP16" s="49" t="s">
        <v>381</v>
      </c>
      <c r="BQ16" s="50" t="s">
        <v>382</v>
      </c>
      <c r="BS16" s="23"/>
      <c r="BT16">
        <v>1</v>
      </c>
      <c r="BU16" s="50" t="s">
        <v>378</v>
      </c>
      <c r="BW16" s="23"/>
      <c r="BY16" s="23"/>
      <c r="CA16" s="23"/>
      <c r="CC16" s="23"/>
      <c r="CE16" s="23"/>
      <c r="CF16">
        <v>2</v>
      </c>
      <c r="CG16" s="50" t="s">
        <v>383</v>
      </c>
      <c r="CI16" s="23"/>
      <c r="CK16" s="23"/>
      <c r="CL16">
        <f>LN(1+C16)+SUM(S16,U16,W16,Y16,AF16,AH16)+N(AA16)+N(AC16)+LN(1+AN16)+SQRT(AR16+AU16+SUM(BA16:BL16))+LN(1+BR16)+SUM(BT16,BV16,BX16,BZ16,CB16,CD16)+LN(1+CF16)+SUM(CH16,CJ16)</f>
        <v>35.906555553428774</v>
      </c>
    </row>
    <row r="17" spans="1:90" ht="99.95" customHeight="1" x14ac:dyDescent="0.2">
      <c r="A17" s="46" t="s">
        <v>229</v>
      </c>
      <c r="B17" s="48" t="s">
        <v>230</v>
      </c>
      <c r="C17">
        <v>28672</v>
      </c>
      <c r="D17" s="44">
        <v>39684.895798611113</v>
      </c>
      <c r="E17" s="44">
        <v>41232.616851851853</v>
      </c>
      <c r="F17" s="44">
        <v>38360.714375000003</v>
      </c>
      <c r="H17" t="s">
        <v>343</v>
      </c>
      <c r="I17" s="47"/>
      <c r="J17">
        <v>5.9</v>
      </c>
      <c r="M17" s="49" t="s">
        <v>424</v>
      </c>
      <c r="N17" s="49" t="s">
        <v>344</v>
      </c>
      <c r="T17" s="23"/>
      <c r="V17" s="23"/>
      <c r="X17" s="23"/>
      <c r="Z17" s="23"/>
      <c r="AC17">
        <v>8</v>
      </c>
      <c r="AD17" s="23" t="s">
        <v>425</v>
      </c>
      <c r="AE17">
        <v>15.251099999999999</v>
      </c>
      <c r="AH17">
        <v>2</v>
      </c>
      <c r="AI17" s="50" t="s">
        <v>426</v>
      </c>
      <c r="AJ17">
        <v>18</v>
      </c>
      <c r="AK17">
        <v>2</v>
      </c>
      <c r="AL17">
        <v>1</v>
      </c>
      <c r="AN17">
        <v>12</v>
      </c>
      <c r="AQ17">
        <v>13</v>
      </c>
      <c r="AS17">
        <v>7</v>
      </c>
      <c r="AT17">
        <v>1</v>
      </c>
      <c r="AV17">
        <v>24</v>
      </c>
      <c r="AW17" s="49" t="s">
        <v>427</v>
      </c>
      <c r="AX17" s="49" t="s">
        <v>428</v>
      </c>
      <c r="AY17">
        <v>14</v>
      </c>
      <c r="BI17" s="23"/>
      <c r="BK17" s="23"/>
      <c r="BM17" s="23"/>
      <c r="BO17" s="23"/>
      <c r="BP17" s="49" t="s">
        <v>429</v>
      </c>
      <c r="BQ17" s="50" t="s">
        <v>430</v>
      </c>
      <c r="BS17" s="23"/>
      <c r="BU17" s="23"/>
      <c r="BW17" s="23"/>
      <c r="BY17" s="23"/>
      <c r="CA17" s="23"/>
      <c r="CC17" s="23"/>
      <c r="CE17" s="23"/>
      <c r="CG17" s="23"/>
      <c r="CI17" s="23"/>
      <c r="CK17" s="23"/>
      <c r="CL17">
        <f>LN(1+C17)+SUM(S17,U17,W17,Y17,AF17,AH17)+N(AA17)+N(AC17)+LN(1+AN17)+SQRT(AR17+AU17+SUM(BA17:BL17))+LN(1+BR17)+SUM(BT17,BV17,BX17,BZ17,CB17,CD17)+LN(1+CF17)+SUM(CH17,CJ17)</f>
        <v>22.828660549860139</v>
      </c>
    </row>
    <row r="18" spans="1:90" ht="99.95" customHeight="1" x14ac:dyDescent="0.2">
      <c r="A18" s="46" t="s">
        <v>231</v>
      </c>
      <c r="B18" s="48" t="s">
        <v>232</v>
      </c>
      <c r="C18">
        <v>3652608</v>
      </c>
      <c r="D18" s="44">
        <v>39684.895810185182</v>
      </c>
      <c r="E18" s="44">
        <v>41232.616932870369</v>
      </c>
      <c r="F18" s="44">
        <v>39192.473726851851</v>
      </c>
      <c r="H18" t="s">
        <v>343</v>
      </c>
      <c r="I18" s="47"/>
      <c r="J18">
        <v>28</v>
      </c>
      <c r="L18" s="49" t="s">
        <v>431</v>
      </c>
      <c r="M18" s="49" t="s">
        <v>432</v>
      </c>
      <c r="N18" s="49" t="s">
        <v>433</v>
      </c>
      <c r="O18" s="49" t="s">
        <v>434</v>
      </c>
      <c r="T18" s="23"/>
      <c r="V18" s="23"/>
      <c r="X18" s="23"/>
      <c r="Z18" s="23"/>
      <c r="AE18">
        <v>15.251099999999999</v>
      </c>
      <c r="AF18">
        <v>4</v>
      </c>
      <c r="AG18" s="23" t="s">
        <v>435</v>
      </c>
      <c r="AH18">
        <v>13</v>
      </c>
      <c r="AI18" s="50" t="s">
        <v>436</v>
      </c>
      <c r="AJ18">
        <v>352</v>
      </c>
      <c r="AK18">
        <v>13</v>
      </c>
      <c r="AO18">
        <v>15088</v>
      </c>
      <c r="AP18">
        <v>994</v>
      </c>
      <c r="AQ18">
        <v>12782</v>
      </c>
      <c r="AS18">
        <v>32397</v>
      </c>
      <c r="AT18">
        <v>26316</v>
      </c>
      <c r="AV18">
        <v>98752</v>
      </c>
      <c r="AW18" s="49" t="s">
        <v>437</v>
      </c>
      <c r="AX18" s="49" t="s">
        <v>438</v>
      </c>
      <c r="AY18">
        <v>37870</v>
      </c>
      <c r="BI18" s="23"/>
      <c r="BJ18">
        <v>1</v>
      </c>
      <c r="BK18" s="50" t="s">
        <v>439</v>
      </c>
      <c r="BL18">
        <v>2</v>
      </c>
      <c r="BM18" s="50" t="s">
        <v>440</v>
      </c>
      <c r="BN18">
        <v>13938</v>
      </c>
      <c r="BO18" s="50" t="s">
        <v>441</v>
      </c>
      <c r="BP18" s="49" t="s">
        <v>442</v>
      </c>
      <c r="BQ18" s="50" t="s">
        <v>443</v>
      </c>
      <c r="BS18" s="23"/>
      <c r="BU18" s="23"/>
      <c r="BW18" s="23"/>
      <c r="BX18">
        <v>252</v>
      </c>
      <c r="BY18" s="50" t="s">
        <v>444</v>
      </c>
      <c r="CA18" s="23"/>
      <c r="CB18">
        <v>270</v>
      </c>
      <c r="CC18" s="50" t="s">
        <v>445</v>
      </c>
      <c r="CE18" s="23"/>
      <c r="CF18">
        <v>8001</v>
      </c>
      <c r="CG18" s="50" t="s">
        <v>446</v>
      </c>
      <c r="CI18" s="23"/>
      <c r="CK18" s="23"/>
      <c r="CL18">
        <f>LN(1+C18)+SUM(S18,U18,W18,Y18,AF18,AH18)+N(AA18)+N(AC18)+LN(1+AN18)+SQRT(AR18+AU18+SUM(BA18:BL18))+LN(1+BR18)+SUM(BT18,BV18,BX18,BZ18,CB18,CD18)+LN(1+CF18)+SUM(CH18,CJ18)</f>
        <v>564.83044986172138</v>
      </c>
    </row>
    <row r="19" spans="1:90" ht="99.95" customHeight="1" x14ac:dyDescent="0.2">
      <c r="A19" s="46" t="s">
        <v>233</v>
      </c>
      <c r="B19" s="48" t="s">
        <v>234</v>
      </c>
      <c r="C19">
        <v>188416</v>
      </c>
      <c r="D19" s="44">
        <v>39684.895810185182</v>
      </c>
      <c r="E19" s="44">
        <v>41232.617291666669</v>
      </c>
      <c r="F19" s="44">
        <v>39165.471921296295</v>
      </c>
      <c r="H19" t="s">
        <v>343</v>
      </c>
      <c r="I19" s="47"/>
      <c r="J19">
        <v>1.9</v>
      </c>
      <c r="M19" s="49" t="s">
        <v>344</v>
      </c>
      <c r="N19" s="49" t="s">
        <v>330</v>
      </c>
      <c r="Q19" s="49" t="s">
        <v>447</v>
      </c>
      <c r="R19" s="49" t="s">
        <v>448</v>
      </c>
      <c r="T19" s="23"/>
      <c r="V19" s="23"/>
      <c r="X19" s="23"/>
      <c r="Y19">
        <v>16</v>
      </c>
      <c r="Z19" s="50" t="s">
        <v>449</v>
      </c>
      <c r="AE19">
        <v>15.251099999999999</v>
      </c>
      <c r="AH19">
        <v>1</v>
      </c>
      <c r="AI19" s="49" t="s">
        <v>450</v>
      </c>
      <c r="AJ19">
        <v>2</v>
      </c>
      <c r="AK19">
        <v>12</v>
      </c>
      <c r="AQ19">
        <v>2780</v>
      </c>
      <c r="AR19">
        <v>1</v>
      </c>
      <c r="AS19">
        <v>2907</v>
      </c>
      <c r="AT19">
        <v>1424</v>
      </c>
      <c r="AU19">
        <v>14</v>
      </c>
      <c r="AV19">
        <v>4997</v>
      </c>
      <c r="AW19" s="49" t="s">
        <v>451</v>
      </c>
      <c r="AX19" s="49" t="s">
        <v>452</v>
      </c>
      <c r="AY19">
        <v>4204</v>
      </c>
      <c r="BB19">
        <v>8</v>
      </c>
      <c r="BC19">
        <v>1</v>
      </c>
      <c r="BD19">
        <v>1</v>
      </c>
      <c r="BE19">
        <v>1</v>
      </c>
      <c r="BF19">
        <v>2</v>
      </c>
      <c r="BG19">
        <v>2</v>
      </c>
      <c r="BH19">
        <v>15</v>
      </c>
      <c r="BI19" s="50" t="s">
        <v>453</v>
      </c>
      <c r="BK19" s="23"/>
      <c r="BM19" s="23"/>
      <c r="BN19">
        <v>21</v>
      </c>
      <c r="BO19" s="50" t="s">
        <v>454</v>
      </c>
      <c r="BP19" s="49" t="s">
        <v>455</v>
      </c>
      <c r="BQ19" s="50" t="s">
        <v>456</v>
      </c>
      <c r="BS19" s="23"/>
      <c r="BT19">
        <v>13</v>
      </c>
      <c r="BU19" s="50" t="s">
        <v>457</v>
      </c>
      <c r="BV19">
        <v>2</v>
      </c>
      <c r="BW19" s="50" t="s">
        <v>458</v>
      </c>
      <c r="BY19" s="23"/>
      <c r="BZ19">
        <v>2</v>
      </c>
      <c r="CA19" s="50" t="s">
        <v>459</v>
      </c>
      <c r="CB19">
        <v>6</v>
      </c>
      <c r="CC19" s="50" t="s">
        <v>460</v>
      </c>
      <c r="CD19">
        <v>54</v>
      </c>
      <c r="CE19" s="50" t="s">
        <v>461</v>
      </c>
      <c r="CF19">
        <v>281</v>
      </c>
      <c r="CG19" s="50" t="s">
        <v>462</v>
      </c>
      <c r="CI19" s="23"/>
      <c r="CK19" s="23"/>
      <c r="CL19">
        <f>LN(1+C19)+SUM(S19,U19,W19,Y19,AF19,AH19)+N(AA19)+N(AC19)+LN(1+AN19)+SQRT(AR19+AU19+SUM(BA19:BL19))+LN(1+BR19)+SUM(BT19,BV19,BX19,BZ19,CB19,CD19)+LN(1+CF19)+SUM(CH19,CJ19)</f>
        <v>118.49652387403674</v>
      </c>
    </row>
    <row r="20" spans="1:90" ht="99.95" customHeight="1" x14ac:dyDescent="0.2">
      <c r="A20" s="46" t="s">
        <v>235</v>
      </c>
      <c r="B20" s="48" t="s">
        <v>236</v>
      </c>
      <c r="C20">
        <v>90624</v>
      </c>
      <c r="D20" s="44">
        <v>39684.895810185182</v>
      </c>
      <c r="E20" s="44">
        <v>41232.617314814815</v>
      </c>
      <c r="F20" s="44">
        <v>39191.433032407411</v>
      </c>
      <c r="H20" t="s">
        <v>343</v>
      </c>
      <c r="I20" s="47" t="s">
        <v>463</v>
      </c>
      <c r="J20">
        <v>2</v>
      </c>
      <c r="M20" s="49" t="s">
        <v>464</v>
      </c>
      <c r="N20" s="49" t="s">
        <v>433</v>
      </c>
      <c r="Q20" s="49" t="s">
        <v>465</v>
      </c>
      <c r="S20">
        <v>15</v>
      </c>
      <c r="T20" s="50" t="s">
        <v>466</v>
      </c>
      <c r="U20">
        <v>1</v>
      </c>
      <c r="V20" s="50" t="s">
        <v>467</v>
      </c>
      <c r="X20" s="23"/>
      <c r="Y20">
        <v>22</v>
      </c>
      <c r="Z20" s="50" t="s">
        <v>468</v>
      </c>
      <c r="AE20">
        <v>15.251099999999999</v>
      </c>
      <c r="AH20">
        <v>3</v>
      </c>
      <c r="AI20" s="50" t="s">
        <v>469</v>
      </c>
      <c r="AJ20">
        <v>3</v>
      </c>
      <c r="AK20">
        <v>19</v>
      </c>
      <c r="AN20">
        <v>12</v>
      </c>
      <c r="AO20">
        <v>3</v>
      </c>
      <c r="AQ20">
        <v>703</v>
      </c>
      <c r="AS20">
        <v>454</v>
      </c>
      <c r="AT20">
        <v>145</v>
      </c>
      <c r="AU20">
        <v>1</v>
      </c>
      <c r="AV20">
        <v>2707</v>
      </c>
      <c r="AW20" s="49" t="s">
        <v>470</v>
      </c>
      <c r="AX20" s="49" t="s">
        <v>471</v>
      </c>
      <c r="AY20">
        <v>848</v>
      </c>
      <c r="BA20">
        <v>1</v>
      </c>
      <c r="BH20">
        <v>1</v>
      </c>
      <c r="BI20" s="50" t="s">
        <v>472</v>
      </c>
      <c r="BJ20">
        <v>1</v>
      </c>
      <c r="BK20" s="50" t="s">
        <v>473</v>
      </c>
      <c r="BM20" s="23"/>
      <c r="BN20">
        <v>90</v>
      </c>
      <c r="BO20" s="50" t="s">
        <v>474</v>
      </c>
      <c r="BP20" s="49" t="s">
        <v>475</v>
      </c>
      <c r="BQ20" s="50" t="s">
        <v>476</v>
      </c>
      <c r="BS20" s="23"/>
      <c r="BT20">
        <v>1</v>
      </c>
      <c r="BU20" s="50" t="s">
        <v>472</v>
      </c>
      <c r="BW20" s="23"/>
      <c r="BX20">
        <v>1</v>
      </c>
      <c r="BY20" s="50" t="s">
        <v>477</v>
      </c>
      <c r="CA20" s="23"/>
      <c r="CC20" s="23"/>
      <c r="CE20" s="23"/>
      <c r="CF20">
        <v>23</v>
      </c>
      <c r="CG20" s="50" t="s">
        <v>478</v>
      </c>
      <c r="CI20" s="23"/>
      <c r="CK20" s="23"/>
      <c r="CL20">
        <f>LN(1+C20)+SUM(S20,U20,W20,Y20,AF20,AH20)+N(AA20)+N(AC20)+LN(1+AN20)+SQRT(AR20+AU20+SUM(BA20:BL20))+LN(1+BR20)+SUM(BT20,BV20,BX20,BZ20,CB20,CD20)+LN(1+CF20)+SUM(CH20,CJ20)</f>
        <v>62.157488579966461</v>
      </c>
    </row>
    <row r="21" spans="1:90" ht="99.95" customHeight="1" x14ac:dyDescent="0.2">
      <c r="A21" s="46" t="s">
        <v>237</v>
      </c>
      <c r="B21" s="48" t="s">
        <v>238</v>
      </c>
      <c r="C21">
        <v>228352</v>
      </c>
      <c r="D21" s="44">
        <v>39684.895810185182</v>
      </c>
      <c r="E21" s="44">
        <v>41232.617314814815</v>
      </c>
      <c r="F21" s="44">
        <v>39192.484560185185</v>
      </c>
      <c r="H21" t="s">
        <v>343</v>
      </c>
      <c r="I21" s="47" t="s">
        <v>463</v>
      </c>
      <c r="J21">
        <v>1.9</v>
      </c>
      <c r="M21" s="49" t="s">
        <v>464</v>
      </c>
      <c r="N21" s="49" t="s">
        <v>433</v>
      </c>
      <c r="P21" s="49" t="s">
        <v>499</v>
      </c>
      <c r="Q21" s="49" t="s">
        <v>465</v>
      </c>
      <c r="S21">
        <v>15</v>
      </c>
      <c r="T21" s="50" t="s">
        <v>466</v>
      </c>
      <c r="U21">
        <v>2</v>
      </c>
      <c r="V21" s="50" t="s">
        <v>500</v>
      </c>
      <c r="W21">
        <v>1</v>
      </c>
      <c r="X21" s="50" t="s">
        <v>501</v>
      </c>
      <c r="Y21">
        <v>22</v>
      </c>
      <c r="Z21" s="50" t="s">
        <v>502</v>
      </c>
      <c r="AC21">
        <v>5</v>
      </c>
      <c r="AD21" s="23" t="s">
        <v>503</v>
      </c>
      <c r="AE21">
        <v>15.251099999999999</v>
      </c>
      <c r="AF21">
        <v>2</v>
      </c>
      <c r="AG21" s="23" t="s">
        <v>504</v>
      </c>
      <c r="AH21">
        <v>13</v>
      </c>
      <c r="AI21" s="50" t="s">
        <v>505</v>
      </c>
      <c r="AJ21">
        <v>18</v>
      </c>
      <c r="AK21">
        <v>24</v>
      </c>
      <c r="AL21">
        <v>2</v>
      </c>
      <c r="AM21">
        <v>2</v>
      </c>
      <c r="AN21">
        <v>498</v>
      </c>
      <c r="AO21">
        <v>3</v>
      </c>
      <c r="AQ21">
        <v>3204</v>
      </c>
      <c r="AS21">
        <v>1632</v>
      </c>
      <c r="AT21">
        <v>147</v>
      </c>
      <c r="AU21">
        <v>1</v>
      </c>
      <c r="AV21">
        <v>5359</v>
      </c>
      <c r="AW21" s="49" t="s">
        <v>506</v>
      </c>
      <c r="AX21" s="49" t="s">
        <v>507</v>
      </c>
      <c r="AY21">
        <v>3351</v>
      </c>
      <c r="BA21">
        <v>1</v>
      </c>
      <c r="BH21">
        <v>1</v>
      </c>
      <c r="BI21" s="50" t="s">
        <v>472</v>
      </c>
      <c r="BJ21">
        <v>1</v>
      </c>
      <c r="BK21" s="50" t="s">
        <v>473</v>
      </c>
      <c r="BM21" s="23"/>
      <c r="BN21">
        <v>91</v>
      </c>
      <c r="BO21" s="50" t="s">
        <v>508</v>
      </c>
      <c r="BP21" s="49" t="s">
        <v>475</v>
      </c>
      <c r="BQ21" s="50" t="s">
        <v>476</v>
      </c>
      <c r="BS21" s="23"/>
      <c r="BT21">
        <v>1</v>
      </c>
      <c r="BU21" s="50" t="s">
        <v>472</v>
      </c>
      <c r="BW21" s="23"/>
      <c r="BX21">
        <v>1</v>
      </c>
      <c r="BY21" s="50" t="s">
        <v>477</v>
      </c>
      <c r="CA21" s="23"/>
      <c r="CC21" s="23"/>
      <c r="CE21" s="23"/>
      <c r="CF21">
        <v>23</v>
      </c>
      <c r="CG21" s="50" t="s">
        <v>478</v>
      </c>
      <c r="CI21" s="23"/>
      <c r="CK21" s="23"/>
      <c r="CL21">
        <f>LN(1+C21)+SUM(S21,U21,W21,Y21,AF21,AH21)+N(AA21)+N(AC21)+LN(1+AN21)+SQRT(AR21+AU21+SUM(BA21:BL21))+LN(1+BR21)+SUM(BT21,BV21,BX21,BZ21,CB21,CD21)+LN(1+CF21)+SUM(CH21,CJ21)</f>
        <v>85.729307882353496</v>
      </c>
    </row>
    <row r="22" spans="1:90" ht="99.95" customHeight="1" x14ac:dyDescent="0.2">
      <c r="A22" s="46" t="s">
        <v>239</v>
      </c>
      <c r="B22" s="48" t="s">
        <v>240</v>
      </c>
      <c r="C22">
        <v>232448</v>
      </c>
      <c r="D22" s="44">
        <v>39684.895810185182</v>
      </c>
      <c r="E22" s="44">
        <v>41232.617314814815</v>
      </c>
      <c r="F22" s="44">
        <v>39192.49486111111</v>
      </c>
      <c r="H22" t="s">
        <v>343</v>
      </c>
      <c r="I22" s="47" t="s">
        <v>463</v>
      </c>
      <c r="J22">
        <v>1.9</v>
      </c>
      <c r="L22" s="49" t="s">
        <v>509</v>
      </c>
      <c r="M22" s="49" t="s">
        <v>510</v>
      </c>
      <c r="N22" s="49" t="s">
        <v>433</v>
      </c>
      <c r="P22" s="49" t="s">
        <v>499</v>
      </c>
      <c r="Q22" s="49" t="s">
        <v>465</v>
      </c>
      <c r="S22">
        <v>15</v>
      </c>
      <c r="T22" s="50" t="s">
        <v>466</v>
      </c>
      <c r="U22">
        <v>2</v>
      </c>
      <c r="V22" s="50" t="s">
        <v>500</v>
      </c>
      <c r="W22">
        <v>1</v>
      </c>
      <c r="X22" s="50" t="s">
        <v>501</v>
      </c>
      <c r="Y22">
        <v>22</v>
      </c>
      <c r="Z22" s="50" t="s">
        <v>502</v>
      </c>
      <c r="AC22">
        <v>5</v>
      </c>
      <c r="AD22" s="23" t="s">
        <v>503</v>
      </c>
      <c r="AE22">
        <v>15.251099999999999</v>
      </c>
      <c r="AF22">
        <v>2</v>
      </c>
      <c r="AG22" s="23" t="s">
        <v>504</v>
      </c>
      <c r="AH22">
        <v>13</v>
      </c>
      <c r="AI22" s="50" t="s">
        <v>505</v>
      </c>
      <c r="AJ22">
        <v>18</v>
      </c>
      <c r="AK22">
        <v>24</v>
      </c>
      <c r="AL22">
        <v>2</v>
      </c>
      <c r="AM22">
        <v>2</v>
      </c>
      <c r="AN22">
        <v>499</v>
      </c>
      <c r="AO22">
        <v>3</v>
      </c>
      <c r="AP22">
        <v>1</v>
      </c>
      <c r="AQ22">
        <v>3204</v>
      </c>
      <c r="AS22">
        <v>1633</v>
      </c>
      <c r="AT22">
        <v>147</v>
      </c>
      <c r="AU22">
        <v>1</v>
      </c>
      <c r="AV22">
        <v>5359</v>
      </c>
      <c r="AW22" s="49" t="s">
        <v>506</v>
      </c>
      <c r="AX22" s="49" t="s">
        <v>507</v>
      </c>
      <c r="AY22">
        <v>3351</v>
      </c>
      <c r="BA22">
        <v>1</v>
      </c>
      <c r="BH22">
        <v>1</v>
      </c>
      <c r="BI22" s="50" t="s">
        <v>472</v>
      </c>
      <c r="BJ22">
        <v>1</v>
      </c>
      <c r="BK22" s="50" t="s">
        <v>473</v>
      </c>
      <c r="BM22" s="23"/>
      <c r="BN22">
        <v>91</v>
      </c>
      <c r="BO22" s="50" t="s">
        <v>508</v>
      </c>
      <c r="BP22" s="49" t="s">
        <v>475</v>
      </c>
      <c r="BQ22" s="50" t="s">
        <v>476</v>
      </c>
      <c r="BS22" s="23"/>
      <c r="BT22">
        <v>1</v>
      </c>
      <c r="BU22" s="50" t="s">
        <v>472</v>
      </c>
      <c r="BW22" s="23"/>
      <c r="BX22">
        <v>1</v>
      </c>
      <c r="BY22" s="50" t="s">
        <v>477</v>
      </c>
      <c r="CA22" s="23"/>
      <c r="CC22" s="23"/>
      <c r="CE22" s="23"/>
      <c r="CF22">
        <v>23</v>
      </c>
      <c r="CG22" s="50" t="s">
        <v>478</v>
      </c>
      <c r="CI22" s="23"/>
      <c r="CK22" s="23"/>
      <c r="CL22">
        <f>LN(1+C22)+SUM(S22,U22,W22,Y22,AF22,AH22)+N(AA22)+N(AC22)+LN(1+AN22)+SQRT(AR22+AU22+SUM(BA22:BL22))+LN(1+BR22)+SUM(BT22,BV22,BX22,BZ22,CB22,CD22)+LN(1+CF22)+SUM(CH22,CJ22)</f>
        <v>85.749088053879191</v>
      </c>
    </row>
    <row r="23" spans="1:90" x14ac:dyDescent="0.2">
      <c r="A23" s="46" t="s">
        <v>241</v>
      </c>
      <c r="B23" s="48" t="s">
        <v>242</v>
      </c>
      <c r="C23">
        <v>14848</v>
      </c>
      <c r="D23" s="44">
        <v>39684.895810185182</v>
      </c>
      <c r="E23" s="44">
        <v>41232.617326388892</v>
      </c>
      <c r="F23" s="44">
        <v>38303.624282407407</v>
      </c>
      <c r="H23" t="s">
        <v>343</v>
      </c>
      <c r="I23" s="47"/>
      <c r="J23">
        <v>1</v>
      </c>
      <c r="Q23" s="49" t="s">
        <v>511</v>
      </c>
      <c r="T23" s="23"/>
      <c r="V23" s="23"/>
      <c r="X23" s="23"/>
      <c r="Z23" s="23"/>
      <c r="AE23">
        <v>15.251099999999999</v>
      </c>
      <c r="AK23">
        <v>15</v>
      </c>
      <c r="AQ23">
        <v>177</v>
      </c>
      <c r="AS23">
        <v>20</v>
      </c>
      <c r="AV23">
        <v>543</v>
      </c>
      <c r="AW23" s="49" t="s">
        <v>512</v>
      </c>
      <c r="AX23" s="49" t="s">
        <v>513</v>
      </c>
      <c r="AY23">
        <v>177</v>
      </c>
      <c r="BI23" s="23"/>
      <c r="BK23" s="23"/>
      <c r="BM23" s="23"/>
      <c r="BO23" s="23"/>
      <c r="BP23" s="49" t="s">
        <v>367</v>
      </c>
      <c r="BQ23" s="23"/>
      <c r="BS23" s="23"/>
      <c r="BU23" s="23"/>
      <c r="BW23" s="23"/>
      <c r="BY23" s="23"/>
      <c r="CA23" s="23"/>
      <c r="CC23" s="23"/>
      <c r="CE23" s="23"/>
      <c r="CG23" s="23"/>
      <c r="CI23" s="23"/>
      <c r="CK23" s="23"/>
      <c r="CL23">
        <f>LN(1+C23)+SUM(S23,U23,W23,Y23,AF23,AH23)+N(AA23)+N(AC23)+LN(1+AN23)+SQRT(AR23+AU23+SUM(BA23:BL23))+LN(1+BR23)+SUM(BT23,BV23,BX23,BZ23,CB23,CD23)+LN(1+CF23)+SUM(CH23,CJ23)</f>
        <v>9.6056878018960621</v>
      </c>
    </row>
    <row r="24" spans="1:90" x14ac:dyDescent="0.2">
      <c r="A24" s="46" t="s">
        <v>243</v>
      </c>
      <c r="B24" s="48" t="s">
        <v>244</v>
      </c>
      <c r="C24">
        <v>24477</v>
      </c>
      <c r="D24" s="44">
        <v>39684.895810185182</v>
      </c>
      <c r="E24" s="44">
        <v>41232.617337962962</v>
      </c>
      <c r="F24" s="44">
        <v>39182.83252314815</v>
      </c>
      <c r="H24" t="s">
        <v>328</v>
      </c>
      <c r="I24" s="47"/>
      <c r="J24">
        <v>113</v>
      </c>
      <c r="M24" s="49" t="s">
        <v>331</v>
      </c>
      <c r="N24" s="49" t="s">
        <v>331</v>
      </c>
      <c r="Q24" s="49" t="s">
        <v>511</v>
      </c>
      <c r="T24" s="23"/>
      <c r="V24" s="23"/>
      <c r="X24" s="23"/>
      <c r="Z24" s="23"/>
      <c r="AE24">
        <v>15.251099999999999</v>
      </c>
      <c r="AH24">
        <v>1</v>
      </c>
      <c r="AI24" s="49" t="s">
        <v>514</v>
      </c>
      <c r="AK24">
        <v>15</v>
      </c>
      <c r="AQ24">
        <v>121</v>
      </c>
      <c r="AS24">
        <v>132</v>
      </c>
      <c r="AV24">
        <v>17160176735</v>
      </c>
      <c r="AW24" s="49" t="s">
        <v>515</v>
      </c>
      <c r="AX24" s="49" t="s">
        <v>516</v>
      </c>
      <c r="AY24">
        <v>121</v>
      </c>
      <c r="BI24" s="23"/>
      <c r="BK24" s="23"/>
      <c r="BM24" s="23"/>
      <c r="BO24" s="23"/>
      <c r="BP24" s="49" t="s">
        <v>367</v>
      </c>
      <c r="BQ24" s="23"/>
      <c r="BS24" s="23"/>
      <c r="BU24" s="23"/>
      <c r="BW24" s="23"/>
      <c r="BY24" s="23"/>
      <c r="CA24" s="23"/>
      <c r="CC24" s="23"/>
      <c r="CE24" s="23"/>
      <c r="CG24" s="23"/>
      <c r="CI24" s="23"/>
      <c r="CK24" s="23"/>
      <c r="CL24">
        <f>LN(1+C24)+SUM(S24,U24,W24,Y24,AF24,AH24)+N(AA24)+N(AC24)+LN(1+AN24)+SQRT(AR24+AU24+SUM(BA24:BL24))+LN(1+BR24)+SUM(BT24,BV24,BX24,BZ24,CB24,CD24)+LN(1+CF24)+SUM(CH24,CJ24)</f>
        <v>11.105530033942284</v>
      </c>
    </row>
    <row r="25" spans="1:90" x14ac:dyDescent="0.2">
      <c r="A25" s="46" t="s">
        <v>245</v>
      </c>
      <c r="B25" t="s">
        <v>246</v>
      </c>
      <c r="C25">
        <v>11161</v>
      </c>
      <c r="D25" s="44">
        <v>39684.895810185182</v>
      </c>
      <c r="E25" s="44">
        <v>41232.647951388892</v>
      </c>
      <c r="F25" s="44">
        <v>37449.406759259262</v>
      </c>
      <c r="H25" t="s">
        <v>247</v>
      </c>
      <c r="I25" s="47" t="s">
        <v>517</v>
      </c>
      <c r="J25">
        <v>0.1</v>
      </c>
    </row>
    <row r="26" spans="1:90" x14ac:dyDescent="0.2">
      <c r="A26" s="46" t="s">
        <v>248</v>
      </c>
      <c r="B26" t="s">
        <v>249</v>
      </c>
      <c r="C26">
        <v>14010</v>
      </c>
      <c r="D26" s="44">
        <v>39684.895810185182</v>
      </c>
      <c r="E26" s="44">
        <v>41232.647951388892</v>
      </c>
      <c r="F26" s="44">
        <v>38369.391527777778</v>
      </c>
      <c r="H26" t="s">
        <v>247</v>
      </c>
      <c r="I26" s="47" t="s">
        <v>517</v>
      </c>
      <c r="J26">
        <v>0.1</v>
      </c>
    </row>
    <row r="27" spans="1:90" x14ac:dyDescent="0.2">
      <c r="A27" s="52" t="s">
        <v>250</v>
      </c>
      <c r="B27" s="48" t="s">
        <v>251</v>
      </c>
      <c r="C27">
        <v>337920</v>
      </c>
      <c r="D27" s="44">
        <v>39684.895821759259</v>
      </c>
      <c r="E27" s="44">
        <v>41232.618645833332</v>
      </c>
      <c r="F27" s="44">
        <v>35655.958333333336</v>
      </c>
      <c r="H27" t="s">
        <v>252</v>
      </c>
      <c r="I27" s="47" t="s">
        <v>518</v>
      </c>
      <c r="J27">
        <v>0.1</v>
      </c>
    </row>
    <row r="28" spans="1:90" ht="38.25" x14ac:dyDescent="0.2">
      <c r="A28" s="46" t="s">
        <v>253</v>
      </c>
      <c r="B28" s="48" t="s">
        <v>254</v>
      </c>
      <c r="C28">
        <v>20992</v>
      </c>
      <c r="D28" s="44">
        <v>39684.895821759259</v>
      </c>
      <c r="E28" s="44">
        <v>41232.618645833332</v>
      </c>
      <c r="F28" s="44">
        <v>39176.518564814818</v>
      </c>
      <c r="H28" t="s">
        <v>343</v>
      </c>
      <c r="I28" s="47"/>
      <c r="J28">
        <v>0.9</v>
      </c>
      <c r="M28" s="49" t="s">
        <v>519</v>
      </c>
      <c r="N28" s="49" t="s">
        <v>520</v>
      </c>
      <c r="Q28" s="49" t="s">
        <v>521</v>
      </c>
      <c r="R28" s="49" t="s">
        <v>522</v>
      </c>
      <c r="T28" s="23"/>
      <c r="V28" s="23"/>
      <c r="X28" s="23"/>
      <c r="Z28" s="23"/>
      <c r="AC28">
        <v>1</v>
      </c>
      <c r="AD28" s="23" t="s">
        <v>523</v>
      </c>
      <c r="AE28">
        <v>15.251099999999999</v>
      </c>
      <c r="AH28">
        <v>1</v>
      </c>
      <c r="AI28" s="49" t="s">
        <v>524</v>
      </c>
      <c r="AJ28">
        <v>2</v>
      </c>
      <c r="AK28">
        <v>2</v>
      </c>
      <c r="AQ28">
        <v>293</v>
      </c>
      <c r="AS28">
        <v>280</v>
      </c>
      <c r="AV28">
        <v>303</v>
      </c>
      <c r="AW28" s="49" t="s">
        <v>525</v>
      </c>
      <c r="AX28" s="49" t="s">
        <v>526</v>
      </c>
      <c r="AY28">
        <v>293</v>
      </c>
      <c r="BI28" s="23"/>
      <c r="BK28" s="23"/>
      <c r="BM28" s="23"/>
      <c r="BO28" s="23"/>
      <c r="BP28" s="49" t="s">
        <v>367</v>
      </c>
      <c r="BQ28" s="23"/>
      <c r="BS28" s="23"/>
      <c r="BU28" s="23"/>
      <c r="BW28" s="23"/>
      <c r="BY28" s="23"/>
      <c r="CA28" s="23"/>
      <c r="CC28" s="23"/>
      <c r="CE28" s="23"/>
      <c r="CG28" s="23"/>
      <c r="CI28" s="23"/>
      <c r="CK28" s="23"/>
      <c r="CL28">
        <f>LN(1+C28)+SUM(S28,U28,W28,Y28,AF28,AH28)+N(AA28)+N(AC28)+LN(1+AN28)+SQRT(AR28+AU28+SUM(BA28:BL28))+LN(1+BR28)+SUM(BT28,BV28,BX28,BZ28,CB28,CD28)+LN(1+CF28)+SUM(CH28,CJ28)</f>
        <v>11.951944327804322</v>
      </c>
    </row>
    <row r="29" spans="1:90" x14ac:dyDescent="0.2">
      <c r="A29" s="46" t="s">
        <v>255</v>
      </c>
      <c r="B29" t="s">
        <v>256</v>
      </c>
      <c r="C29">
        <v>440</v>
      </c>
      <c r="D29" s="44">
        <v>39684.895821759259</v>
      </c>
      <c r="E29" s="44">
        <v>41232.647951388892</v>
      </c>
      <c r="F29" s="44">
        <v>34677.386481481481</v>
      </c>
      <c r="H29" t="s">
        <v>247</v>
      </c>
      <c r="I29" s="47" t="s">
        <v>517</v>
      </c>
      <c r="J29">
        <v>0.1</v>
      </c>
    </row>
    <row r="30" spans="1:90" ht="99.95" customHeight="1" x14ac:dyDescent="0.2">
      <c r="A30" s="46" t="s">
        <v>257</v>
      </c>
      <c r="B30" s="48" t="s">
        <v>258</v>
      </c>
      <c r="C30">
        <v>856576</v>
      </c>
      <c r="D30" s="44">
        <v>39684.895821759259</v>
      </c>
      <c r="E30" s="44">
        <v>41232.618657407409</v>
      </c>
      <c r="F30" s="44">
        <v>39176.519444444442</v>
      </c>
      <c r="H30" t="s">
        <v>343</v>
      </c>
      <c r="I30" s="47"/>
      <c r="J30">
        <v>12</v>
      </c>
      <c r="M30" s="49" t="s">
        <v>527</v>
      </c>
      <c r="N30" s="49" t="s">
        <v>528</v>
      </c>
      <c r="O30" s="49" t="s">
        <v>529</v>
      </c>
      <c r="Q30" s="49" t="s">
        <v>530</v>
      </c>
      <c r="T30" s="23"/>
      <c r="V30" s="23"/>
      <c r="X30" s="23"/>
      <c r="Z30" s="23"/>
      <c r="AE30">
        <v>15.251099999999999</v>
      </c>
      <c r="AF30">
        <v>1</v>
      </c>
      <c r="AG30" t="s">
        <v>531</v>
      </c>
      <c r="AH30">
        <v>9</v>
      </c>
      <c r="AI30" s="50" t="s">
        <v>532</v>
      </c>
      <c r="AK30">
        <v>9</v>
      </c>
      <c r="AL30">
        <v>1</v>
      </c>
      <c r="AN30">
        <v>95</v>
      </c>
      <c r="AQ30">
        <v>10975</v>
      </c>
      <c r="AS30">
        <v>17379</v>
      </c>
      <c r="AT30">
        <v>5990</v>
      </c>
      <c r="AV30">
        <v>98754</v>
      </c>
      <c r="AW30" s="49" t="s">
        <v>533</v>
      </c>
      <c r="AX30" s="49" t="s">
        <v>534</v>
      </c>
      <c r="AY30">
        <v>28153</v>
      </c>
      <c r="BI30" s="23"/>
      <c r="BK30" s="23"/>
      <c r="BM30" s="23"/>
      <c r="BN30">
        <v>1066</v>
      </c>
      <c r="BO30" s="50" t="s">
        <v>535</v>
      </c>
      <c r="BP30" s="49" t="s">
        <v>536</v>
      </c>
      <c r="BQ30" s="50" t="s">
        <v>537</v>
      </c>
      <c r="BS30" s="23"/>
      <c r="BU30" s="23"/>
      <c r="BW30" s="23"/>
      <c r="BY30" s="23"/>
      <c r="BZ30">
        <v>4</v>
      </c>
      <c r="CA30" s="50" t="s">
        <v>538</v>
      </c>
      <c r="CC30" s="23"/>
      <c r="CE30" s="23"/>
      <c r="CF30">
        <v>3810</v>
      </c>
      <c r="CG30" s="50" t="s">
        <v>539</v>
      </c>
      <c r="CI30" s="23"/>
      <c r="CK30" s="23"/>
      <c r="CL30">
        <f>LN(1+C30)+SUM(S30,U30,W30,Y30,AF30,AH30)+N(AA30)+N(AC30)+LN(1+AN30)+SQRT(AR30+AU30+SUM(BA30:BL30))+LN(1+BR30)+SUM(BT30,BV30,BX30,BZ30,CB30,CD30)+LN(1+CF30)+SUM(CH30,CJ30)</f>
        <v>40.470694585806079</v>
      </c>
    </row>
    <row r="31" spans="1:90" ht="25.5" x14ac:dyDescent="0.2">
      <c r="A31" s="46" t="s">
        <v>259</v>
      </c>
      <c r="B31" s="48" t="s">
        <v>260</v>
      </c>
      <c r="C31">
        <v>13824</v>
      </c>
      <c r="D31" s="44">
        <v>39684.895821759259</v>
      </c>
      <c r="E31" s="44">
        <v>41232.618807870371</v>
      </c>
      <c r="F31" s="44">
        <v>38213.697314814817</v>
      </c>
      <c r="H31" t="s">
        <v>343</v>
      </c>
      <c r="I31" s="47"/>
      <c r="J31">
        <v>0.9</v>
      </c>
      <c r="M31" s="49" t="s">
        <v>344</v>
      </c>
      <c r="N31" s="49" t="s">
        <v>344</v>
      </c>
      <c r="Q31" s="49" t="s">
        <v>544</v>
      </c>
      <c r="T31" s="23"/>
      <c r="V31" s="23"/>
      <c r="X31" s="23"/>
      <c r="Z31" s="23"/>
      <c r="AA31">
        <v>1</v>
      </c>
      <c r="AB31" t="s">
        <v>261</v>
      </c>
      <c r="AC31">
        <v>2</v>
      </c>
      <c r="AD31" s="23" t="s">
        <v>545</v>
      </c>
      <c r="AE31">
        <v>15.251099999999999</v>
      </c>
      <c r="AK31">
        <v>1</v>
      </c>
      <c r="AQ31">
        <v>3</v>
      </c>
      <c r="AS31">
        <v>2</v>
      </c>
      <c r="AT31">
        <v>2</v>
      </c>
      <c r="AV31">
        <v>10</v>
      </c>
      <c r="AW31" s="49" t="s">
        <v>546</v>
      </c>
      <c r="AX31" s="49" t="s">
        <v>547</v>
      </c>
      <c r="AY31">
        <v>5</v>
      </c>
      <c r="BI31" s="23"/>
      <c r="BK31" s="23"/>
      <c r="BM31" s="23"/>
      <c r="BO31" s="23"/>
      <c r="BP31" s="49" t="s">
        <v>548</v>
      </c>
      <c r="BQ31" s="50" t="s">
        <v>541</v>
      </c>
      <c r="BS31" s="23"/>
      <c r="BU31" s="23"/>
      <c r="BW31" s="23"/>
      <c r="BY31" s="23"/>
      <c r="CA31" s="23"/>
      <c r="CC31" s="23"/>
      <c r="CE31" s="23"/>
      <c r="CG31" s="23"/>
      <c r="CI31" s="23"/>
      <c r="CK31" s="23"/>
      <c r="CL31">
        <f>LN(1+C31)+SUM(S31,U31,W31,Y31,AF31,AH31)+N(AA31)+N(AC31)+LN(1+AN31)+SQRT(AR31+AU31+SUM(BA31:BL31))+LN(1+BR31)+SUM(BT31,BV31,BX31,BZ31,CB31,CD31)+LN(1+CF31)+SUM(CH31,CJ31)</f>
        <v>12.534233826390535</v>
      </c>
    </row>
    <row r="32" spans="1:90" ht="25.5" x14ac:dyDescent="0.2">
      <c r="A32" s="46" t="s">
        <v>261</v>
      </c>
      <c r="B32" s="48" t="s">
        <v>262</v>
      </c>
      <c r="C32">
        <v>15872</v>
      </c>
      <c r="D32" s="44">
        <v>39684.895821759259</v>
      </c>
      <c r="E32" s="44">
        <v>41232.618807870371</v>
      </c>
      <c r="F32" s="44">
        <v>38390.631689814814</v>
      </c>
      <c r="H32" t="s">
        <v>343</v>
      </c>
      <c r="I32" s="47"/>
      <c r="J32">
        <v>0.1</v>
      </c>
      <c r="M32" s="49" t="s">
        <v>344</v>
      </c>
      <c r="N32" s="49" t="s">
        <v>344</v>
      </c>
      <c r="Q32" s="49" t="s">
        <v>552</v>
      </c>
      <c r="T32" s="23"/>
      <c r="V32" s="23"/>
      <c r="X32" s="23"/>
      <c r="Z32" s="23"/>
      <c r="AA32">
        <v>1</v>
      </c>
      <c r="AB32" t="s">
        <v>302</v>
      </c>
      <c r="AC32">
        <v>2</v>
      </c>
      <c r="AD32" s="23" t="s">
        <v>553</v>
      </c>
      <c r="AE32">
        <v>15.251099999999999</v>
      </c>
      <c r="AK32">
        <v>3</v>
      </c>
      <c r="AQ32">
        <v>3</v>
      </c>
      <c r="AS32">
        <v>1</v>
      </c>
      <c r="AT32">
        <v>2</v>
      </c>
      <c r="AV32">
        <v>20</v>
      </c>
      <c r="AW32" s="49" t="s">
        <v>554</v>
      </c>
      <c r="AX32" s="49" t="s">
        <v>555</v>
      </c>
      <c r="AY32">
        <v>5</v>
      </c>
      <c r="BI32" s="23"/>
      <c r="BK32" s="23"/>
      <c r="BM32" s="23"/>
      <c r="BO32" s="23"/>
      <c r="BP32" s="49" t="s">
        <v>556</v>
      </c>
      <c r="BQ32" s="50" t="s">
        <v>551</v>
      </c>
      <c r="BS32" s="23"/>
      <c r="BU32" s="23"/>
      <c r="BW32" s="23"/>
      <c r="BY32" s="23"/>
      <c r="CA32" s="23"/>
      <c r="CC32" s="23"/>
      <c r="CE32" s="23"/>
      <c r="CG32" s="23"/>
      <c r="CI32" s="23"/>
      <c r="CK32" s="23"/>
      <c r="CL32">
        <f>LN(1+C32)+SUM(S32,U32,W32,Y32,AF32,AH32)+N(AA32)+N(AC32)+LN(1+AN32)+SQRT(AR32+AU32+SUM(BA32:BL32))+LN(1+BR32)+SUM(BT32,BV32,BX32,BZ32,CB32,CD32)+LN(1+CF32)+SUM(CH32,CJ32)</f>
        <v>12.672374831572242</v>
      </c>
    </row>
    <row r="33" spans="1:90" x14ac:dyDescent="0.2">
      <c r="A33" s="46" t="s">
        <v>263</v>
      </c>
      <c r="B33" s="48" t="s">
        <v>264</v>
      </c>
      <c r="C33">
        <v>13824</v>
      </c>
      <c r="D33" s="44">
        <v>39684.895821759259</v>
      </c>
      <c r="E33" s="44">
        <v>41232.618819444448</v>
      </c>
      <c r="F33" s="44">
        <v>38215.472939814812</v>
      </c>
      <c r="H33" t="s">
        <v>343</v>
      </c>
      <c r="I33" s="47"/>
      <c r="J33">
        <v>1</v>
      </c>
      <c r="M33" s="49" t="s">
        <v>344</v>
      </c>
      <c r="N33" s="49" t="s">
        <v>344</v>
      </c>
      <c r="Q33" s="49" t="s">
        <v>557</v>
      </c>
      <c r="T33" s="23"/>
      <c r="V33" s="23"/>
      <c r="X33" s="23"/>
      <c r="Z33" s="23"/>
      <c r="AE33">
        <v>15.251099999999999</v>
      </c>
      <c r="AJ33">
        <v>1</v>
      </c>
      <c r="AK33">
        <v>1</v>
      </c>
      <c r="AQ33">
        <v>5</v>
      </c>
      <c r="AS33">
        <v>1</v>
      </c>
      <c r="AV33">
        <v>15</v>
      </c>
      <c r="AW33" s="49" t="s">
        <v>558</v>
      </c>
      <c r="AX33" s="49" t="s">
        <v>559</v>
      </c>
      <c r="AY33">
        <v>5</v>
      </c>
      <c r="BI33" s="23"/>
      <c r="BK33" s="23"/>
      <c r="BM33" s="23"/>
      <c r="BO33" s="23"/>
      <c r="BP33" s="49" t="s">
        <v>367</v>
      </c>
      <c r="BQ33" s="23"/>
      <c r="BS33" s="23"/>
      <c r="BU33" s="23"/>
      <c r="BW33" s="23"/>
      <c r="BY33" s="23"/>
      <c r="CA33" s="23"/>
      <c r="CC33" s="23"/>
      <c r="CE33" s="23"/>
      <c r="CG33" s="23"/>
      <c r="CI33" s="23"/>
      <c r="CK33" s="23"/>
      <c r="CL33">
        <f>LN(1+C33)+SUM(S33,U33,W33,Y33,AF33,AH33)+N(AA33)+N(AC33)+LN(1+AN33)+SQRT(AR33+AU33+SUM(BA33:BL33))+LN(1+BR33)+SUM(BT33,BV33,BX33,BZ33,CB33,CD33)+LN(1+CF33)+SUM(CH33,CJ33)</f>
        <v>9.5342338263905351</v>
      </c>
    </row>
    <row r="34" spans="1:90" x14ac:dyDescent="0.2">
      <c r="A34" s="46" t="s">
        <v>265</v>
      </c>
      <c r="B34" t="s">
        <v>266</v>
      </c>
      <c r="C34">
        <v>480</v>
      </c>
      <c r="D34" s="44">
        <v>39684.895821759259</v>
      </c>
      <c r="E34" s="44">
        <v>41232.647951388892</v>
      </c>
      <c r="F34" s="44">
        <v>35107.608078703706</v>
      </c>
      <c r="H34" t="s">
        <v>267</v>
      </c>
      <c r="I34" s="47" t="s">
        <v>560</v>
      </c>
      <c r="J34">
        <v>0.1</v>
      </c>
    </row>
    <row r="35" spans="1:90" ht="76.5" x14ac:dyDescent="0.2">
      <c r="A35" s="46" t="s">
        <v>268</v>
      </c>
      <c r="B35" s="48" t="s">
        <v>269</v>
      </c>
      <c r="C35">
        <v>81920</v>
      </c>
      <c r="D35" s="44">
        <v>39684.895821759259</v>
      </c>
      <c r="E35" s="44">
        <v>41232.618831018517</v>
      </c>
      <c r="F35" s="44">
        <v>38209.401203703703</v>
      </c>
      <c r="H35" t="s">
        <v>343</v>
      </c>
      <c r="I35" s="47"/>
      <c r="J35">
        <v>1</v>
      </c>
      <c r="M35" s="49" t="s">
        <v>344</v>
      </c>
      <c r="N35" s="49" t="s">
        <v>344</v>
      </c>
      <c r="Q35" s="49" t="s">
        <v>571</v>
      </c>
      <c r="R35" s="49" t="s">
        <v>572</v>
      </c>
      <c r="T35" s="23"/>
      <c r="V35" s="23"/>
      <c r="X35" s="23"/>
      <c r="Z35" s="23"/>
      <c r="AC35">
        <v>1</v>
      </c>
      <c r="AD35" s="23" t="s">
        <v>573</v>
      </c>
      <c r="AE35">
        <v>15.251099999999999</v>
      </c>
      <c r="AH35">
        <v>6</v>
      </c>
      <c r="AI35" s="50" t="s">
        <v>574</v>
      </c>
      <c r="AJ35">
        <v>6</v>
      </c>
      <c r="AK35">
        <v>6</v>
      </c>
      <c r="AQ35">
        <v>2197</v>
      </c>
      <c r="AS35">
        <v>614</v>
      </c>
      <c r="AV35">
        <v>2321</v>
      </c>
      <c r="AW35" s="49" t="s">
        <v>575</v>
      </c>
      <c r="AX35" s="49" t="s">
        <v>507</v>
      </c>
      <c r="AY35">
        <v>2197</v>
      </c>
      <c r="BI35" s="23"/>
      <c r="BK35" s="23"/>
      <c r="BM35" s="23"/>
      <c r="BO35" s="23"/>
      <c r="BP35" s="49" t="s">
        <v>367</v>
      </c>
      <c r="BQ35" s="23"/>
      <c r="BS35" s="23"/>
      <c r="BU35" s="23"/>
      <c r="BW35" s="23"/>
      <c r="BY35" s="23"/>
      <c r="CA35" s="23"/>
      <c r="CC35" s="23"/>
      <c r="CE35" s="23"/>
      <c r="CG35" s="23"/>
      <c r="CI35" s="23"/>
      <c r="CK35" s="23"/>
      <c r="CL35">
        <f>LN(1+C35)+SUM(S35,U35,W35,Y35,AF35,AH35)+N(AA35)+N(AC35)+LN(1+AN35)+SQRT(AR35+AU35+SUM(BA35:BL35))+LN(1+BR35)+SUM(BT35,BV35,BX35,BZ35,CB35,CD35)+LN(1+CF35)+SUM(CH35,CJ35)</f>
        <v>18.313510647230082</v>
      </c>
    </row>
    <row r="36" spans="1:90" ht="76.5" x14ac:dyDescent="0.2">
      <c r="A36" s="46" t="s">
        <v>270</v>
      </c>
      <c r="B36" s="48" t="s">
        <v>271</v>
      </c>
      <c r="C36">
        <v>134656</v>
      </c>
      <c r="D36" s="44">
        <v>39684.895821759259</v>
      </c>
      <c r="E36" s="44">
        <v>41232.618842592594</v>
      </c>
      <c r="F36" s="44">
        <v>38268.56863425926</v>
      </c>
      <c r="H36" t="s">
        <v>343</v>
      </c>
      <c r="I36" s="47"/>
      <c r="J36">
        <v>7.9</v>
      </c>
      <c r="N36" s="49" t="s">
        <v>344</v>
      </c>
      <c r="O36" s="49" t="s">
        <v>582</v>
      </c>
      <c r="Q36" s="49" t="s">
        <v>583</v>
      </c>
      <c r="R36" s="49" t="s">
        <v>584</v>
      </c>
      <c r="T36" s="23"/>
      <c r="V36" s="23"/>
      <c r="X36" s="23"/>
      <c r="Z36" s="23"/>
      <c r="AC36">
        <v>4</v>
      </c>
      <c r="AD36" s="23" t="s">
        <v>585</v>
      </c>
      <c r="AE36">
        <v>15.251099999999999</v>
      </c>
      <c r="AF36">
        <v>1</v>
      </c>
      <c r="AG36" t="s">
        <v>586</v>
      </c>
      <c r="AH36">
        <v>3</v>
      </c>
      <c r="AI36" s="50" t="s">
        <v>587</v>
      </c>
      <c r="AJ36">
        <v>21</v>
      </c>
      <c r="AK36">
        <v>11</v>
      </c>
      <c r="AQ36">
        <v>2060</v>
      </c>
      <c r="AS36">
        <v>1381</v>
      </c>
      <c r="AT36">
        <v>7</v>
      </c>
      <c r="AV36">
        <v>2457</v>
      </c>
      <c r="AW36" s="49" t="s">
        <v>588</v>
      </c>
      <c r="AX36" s="49" t="s">
        <v>589</v>
      </c>
      <c r="AY36">
        <v>2067</v>
      </c>
      <c r="BI36" s="23"/>
      <c r="BK36" s="23"/>
      <c r="BM36" s="23"/>
      <c r="BO36" s="23"/>
      <c r="BP36" s="49" t="s">
        <v>590</v>
      </c>
      <c r="BQ36" s="50" t="s">
        <v>591</v>
      </c>
      <c r="BS36" s="23"/>
      <c r="BU36" s="23"/>
      <c r="BW36" s="23"/>
      <c r="BY36" s="23"/>
      <c r="CA36" s="23"/>
      <c r="CC36" s="23"/>
      <c r="CE36" s="23"/>
      <c r="CF36">
        <v>2</v>
      </c>
      <c r="CG36" s="50" t="s">
        <v>592</v>
      </c>
      <c r="CI36" s="23"/>
      <c r="CK36" s="23"/>
      <c r="CL36">
        <f>LN(1+C36)+SUM(S36,U36,W36,Y36,AF36,AH36)+N(AA36)+N(AC36)+LN(1+AN36)+SQRT(AR36+AU36+SUM(BA36:BL36))+LN(1+BR36)+SUM(BT36,BV36,BX36,BZ36,CB36,CD36)+LN(1+CF36)+SUM(CH36,CJ36)</f>
        <v>20.909098372188605</v>
      </c>
    </row>
    <row r="37" spans="1:90" x14ac:dyDescent="0.2">
      <c r="A37" s="52" t="s">
        <v>272</v>
      </c>
      <c r="B37" s="48" t="s">
        <v>273</v>
      </c>
      <c r="C37">
        <v>135680</v>
      </c>
      <c r="D37" s="44">
        <v>39684.895821759259</v>
      </c>
      <c r="E37" s="44">
        <v>41232.618923611109</v>
      </c>
      <c r="F37" s="44">
        <v>39171.477708333332</v>
      </c>
      <c r="H37" t="s">
        <v>205</v>
      </c>
      <c r="I37" s="47" t="s">
        <v>593</v>
      </c>
      <c r="J37">
        <v>0.1</v>
      </c>
    </row>
    <row r="38" spans="1:90" ht="99.95" customHeight="1" x14ac:dyDescent="0.2">
      <c r="A38" s="46" t="s">
        <v>274</v>
      </c>
      <c r="B38" s="48" t="s">
        <v>275</v>
      </c>
      <c r="C38">
        <v>14848</v>
      </c>
      <c r="D38" s="44">
        <v>39684.895821759259</v>
      </c>
      <c r="E38" s="44">
        <v>41232.618923611109</v>
      </c>
      <c r="F38" s="44">
        <v>38132.417175925926</v>
      </c>
      <c r="H38" t="s">
        <v>343</v>
      </c>
      <c r="I38" s="47"/>
      <c r="J38">
        <v>0.9</v>
      </c>
      <c r="M38" s="49" t="s">
        <v>330</v>
      </c>
      <c r="N38" s="49" t="s">
        <v>344</v>
      </c>
      <c r="Q38" s="49" t="s">
        <v>594</v>
      </c>
      <c r="T38" s="23"/>
      <c r="V38" s="23"/>
      <c r="X38" s="23"/>
      <c r="Z38" s="23"/>
      <c r="AE38">
        <v>15.251099999999999</v>
      </c>
      <c r="AH38">
        <v>7</v>
      </c>
      <c r="AI38" s="50" t="s">
        <v>595</v>
      </c>
      <c r="AJ38">
        <v>1</v>
      </c>
      <c r="AK38">
        <v>7</v>
      </c>
      <c r="AQ38">
        <v>8</v>
      </c>
      <c r="AS38">
        <v>5</v>
      </c>
      <c r="AT38">
        <v>6</v>
      </c>
      <c r="AV38">
        <v>24</v>
      </c>
      <c r="AW38" s="49" t="s">
        <v>596</v>
      </c>
      <c r="AX38" s="49" t="s">
        <v>597</v>
      </c>
      <c r="AY38">
        <v>20</v>
      </c>
      <c r="BI38" s="23"/>
      <c r="BK38" s="23"/>
      <c r="BM38" s="23"/>
      <c r="BO38" s="23"/>
      <c r="BP38" s="49" t="s">
        <v>598</v>
      </c>
      <c r="BQ38" s="50" t="s">
        <v>599</v>
      </c>
      <c r="BS38" s="23"/>
      <c r="BU38" s="23"/>
      <c r="BW38" s="23"/>
      <c r="BY38" s="23"/>
      <c r="CA38" s="23"/>
      <c r="CC38" s="23"/>
      <c r="CE38" s="23"/>
      <c r="CF38">
        <v>2</v>
      </c>
      <c r="CG38" s="50" t="s">
        <v>600</v>
      </c>
      <c r="CI38" s="23"/>
      <c r="CK38" s="23"/>
      <c r="CL38">
        <f>LN(1+C38)+SUM(S38,U38,W38,Y38,AF38,AH38)+N(AA38)+N(AC38)+LN(1+AN38)+SQRT(AR38+AU38+SUM(BA38:BL38))+LN(1+BR38)+SUM(BT38,BV38,BX38,BZ38,CB38,CD38)+LN(1+CF38)+SUM(CH38,CJ38)</f>
        <v>17.704300090564171</v>
      </c>
    </row>
    <row r="39" spans="1:90" x14ac:dyDescent="0.2">
      <c r="A39" s="52" t="s">
        <v>276</v>
      </c>
      <c r="B39" s="48" t="s">
        <v>277</v>
      </c>
      <c r="C39">
        <v>231936</v>
      </c>
      <c r="D39" s="44">
        <v>39684.895821759259</v>
      </c>
      <c r="E39" s="44">
        <v>41232.618935185186</v>
      </c>
      <c r="F39" s="44">
        <v>35143.958333333336</v>
      </c>
      <c r="H39" t="s">
        <v>252</v>
      </c>
      <c r="I39" s="47" t="s">
        <v>518</v>
      </c>
      <c r="J39">
        <v>0.1</v>
      </c>
    </row>
    <row r="40" spans="1:90" ht="99.95" customHeight="1" x14ac:dyDescent="0.2">
      <c r="A40" s="46" t="s">
        <v>278</v>
      </c>
      <c r="B40" s="48" t="s">
        <v>279</v>
      </c>
      <c r="C40">
        <v>187904</v>
      </c>
      <c r="D40" s="44">
        <v>39684.895821759259</v>
      </c>
      <c r="E40" s="44">
        <v>41232.618935185186</v>
      </c>
      <c r="F40" s="44">
        <v>38878.669907407406</v>
      </c>
      <c r="H40" t="s">
        <v>343</v>
      </c>
      <c r="I40" s="47"/>
      <c r="J40">
        <v>2</v>
      </c>
      <c r="M40" s="49" t="s">
        <v>621</v>
      </c>
      <c r="N40" s="49" t="s">
        <v>622</v>
      </c>
      <c r="O40" s="49" t="s">
        <v>623</v>
      </c>
      <c r="T40" s="23"/>
      <c r="U40">
        <v>10</v>
      </c>
      <c r="V40" s="50" t="s">
        <v>624</v>
      </c>
      <c r="X40" s="23"/>
      <c r="Z40" s="23"/>
      <c r="AE40">
        <v>15.251099999999999</v>
      </c>
      <c r="AH40">
        <v>20</v>
      </c>
      <c r="AI40" s="50" t="s">
        <v>625</v>
      </c>
      <c r="AJ40">
        <v>85</v>
      </c>
      <c r="AK40">
        <v>13</v>
      </c>
      <c r="AL40">
        <v>1</v>
      </c>
      <c r="AM40">
        <v>1</v>
      </c>
      <c r="AN40">
        <v>396</v>
      </c>
      <c r="AP40">
        <v>17</v>
      </c>
      <c r="AQ40">
        <v>140</v>
      </c>
      <c r="AT40">
        <v>10</v>
      </c>
      <c r="AV40">
        <v>502</v>
      </c>
      <c r="AW40" s="49" t="s">
        <v>626</v>
      </c>
      <c r="AX40" s="49" t="s">
        <v>627</v>
      </c>
      <c r="AY40">
        <v>193</v>
      </c>
      <c r="BI40" s="23"/>
      <c r="BK40" s="23"/>
      <c r="BL40">
        <v>3</v>
      </c>
      <c r="BM40" s="50" t="s">
        <v>628</v>
      </c>
      <c r="BO40" s="23"/>
      <c r="BP40" s="49" t="s">
        <v>629</v>
      </c>
      <c r="BQ40" s="50" t="s">
        <v>630</v>
      </c>
      <c r="BS40" s="23"/>
      <c r="BU40" s="23"/>
      <c r="BW40" s="23"/>
      <c r="BY40" s="23"/>
      <c r="CA40" s="23"/>
      <c r="CC40" s="23"/>
      <c r="CE40" s="23"/>
      <c r="CF40">
        <v>9</v>
      </c>
      <c r="CG40" s="50" t="s">
        <v>631</v>
      </c>
      <c r="CI40" s="23"/>
      <c r="CK40" s="23"/>
      <c r="CL40">
        <f>LN(1+C40)+SUM(S40,U40,W40,Y40,AF40,AH40)+N(AA40)+N(AC40)+LN(1+AN40)+SQRT(AR40+AU40+SUM(BA40:BL40))+LN(1+BR40)+SUM(BT40,BV40,BX40,BZ40,CB40,CD40)+LN(1+CF40)+SUM(CH40,CJ40)</f>
        <v>52.162263976196513</v>
      </c>
    </row>
    <row r="41" spans="1:90" ht="99.95" customHeight="1" x14ac:dyDescent="0.2">
      <c r="A41" s="46" t="s">
        <v>280</v>
      </c>
      <c r="B41" s="48" t="s">
        <v>281</v>
      </c>
      <c r="C41">
        <v>859136</v>
      </c>
      <c r="D41" s="44">
        <v>39684.895821759259</v>
      </c>
      <c r="E41" s="44">
        <v>41232.618958333333</v>
      </c>
      <c r="F41" s="44">
        <v>39176.47861111111</v>
      </c>
      <c r="H41" t="s">
        <v>343</v>
      </c>
      <c r="I41" s="47"/>
      <c r="J41">
        <v>11.9</v>
      </c>
      <c r="M41" s="49" t="s">
        <v>632</v>
      </c>
      <c r="N41" s="49" t="s">
        <v>330</v>
      </c>
      <c r="O41" s="49" t="s">
        <v>529</v>
      </c>
      <c r="Q41" s="49" t="s">
        <v>633</v>
      </c>
      <c r="T41" s="23"/>
      <c r="V41" s="23"/>
      <c r="X41" s="23"/>
      <c r="Z41" s="23"/>
      <c r="AE41">
        <v>15.251099999999999</v>
      </c>
      <c r="AF41">
        <v>1</v>
      </c>
      <c r="AG41" t="s">
        <v>531</v>
      </c>
      <c r="AH41">
        <v>9</v>
      </c>
      <c r="AI41" s="50" t="s">
        <v>532</v>
      </c>
      <c r="AK41">
        <v>9</v>
      </c>
      <c r="AL41">
        <v>1</v>
      </c>
      <c r="AN41">
        <v>92</v>
      </c>
      <c r="AO41">
        <v>2</v>
      </c>
      <c r="AP41">
        <v>3</v>
      </c>
      <c r="AQ41">
        <v>10975</v>
      </c>
      <c r="AS41">
        <v>17379</v>
      </c>
      <c r="AT41">
        <v>5990</v>
      </c>
      <c r="AV41">
        <v>98754</v>
      </c>
      <c r="AW41" s="49" t="s">
        <v>533</v>
      </c>
      <c r="AX41" s="49" t="s">
        <v>534</v>
      </c>
      <c r="AY41">
        <v>28153</v>
      </c>
      <c r="BI41" s="23"/>
      <c r="BJ41">
        <v>2</v>
      </c>
      <c r="BK41" s="50" t="s">
        <v>634</v>
      </c>
      <c r="BM41" s="23"/>
      <c r="BN41">
        <v>1066</v>
      </c>
      <c r="BO41" s="50" t="s">
        <v>535</v>
      </c>
      <c r="BP41" s="49" t="s">
        <v>536</v>
      </c>
      <c r="BQ41" s="50" t="s">
        <v>635</v>
      </c>
      <c r="BS41" s="23"/>
      <c r="BU41" s="23"/>
      <c r="BW41" s="23"/>
      <c r="BY41" s="23"/>
      <c r="BZ41">
        <v>4</v>
      </c>
      <c r="CA41" s="50" t="s">
        <v>538</v>
      </c>
      <c r="CC41" s="23"/>
      <c r="CE41" s="23"/>
      <c r="CF41">
        <v>3810</v>
      </c>
      <c r="CG41" s="50" t="s">
        <v>539</v>
      </c>
      <c r="CI41" s="23"/>
      <c r="CK41" s="23"/>
      <c r="CL41">
        <f>LN(1+C41)+SUM(S41,U41,W41,Y41,AF41,AH41)+N(AA41)+N(AC41)+LN(1+AN41)+SQRT(AR41+AU41+SUM(BA41:BL41))+LN(1+BR41)+SUM(BT41,BV41,BX41,BZ41,CB41,CD41)+LN(1+CF41)+SUM(CH41,CJ41)</f>
        <v>41.85614363242626</v>
      </c>
    </row>
    <row r="42" spans="1:90" ht="99.95" customHeight="1" x14ac:dyDescent="0.2">
      <c r="A42" s="46" t="s">
        <v>282</v>
      </c>
      <c r="B42" s="48" t="s">
        <v>283</v>
      </c>
      <c r="C42">
        <v>72192</v>
      </c>
      <c r="D42" s="44">
        <v>39684.895833333336</v>
      </c>
      <c r="E42" s="44">
        <v>41232.619108796294</v>
      </c>
      <c r="F42" s="44">
        <v>39176.522037037037</v>
      </c>
      <c r="H42" t="s">
        <v>343</v>
      </c>
      <c r="I42" s="47"/>
      <c r="J42">
        <v>1</v>
      </c>
      <c r="L42" s="49" t="s">
        <v>636</v>
      </c>
      <c r="M42" s="49" t="s">
        <v>637</v>
      </c>
      <c r="N42" s="49" t="s">
        <v>638</v>
      </c>
      <c r="Q42" s="49" t="s">
        <v>639</v>
      </c>
      <c r="T42" s="23"/>
      <c r="V42" s="23"/>
      <c r="X42" s="23"/>
      <c r="Z42" s="23"/>
      <c r="AE42">
        <v>15.251099999999999</v>
      </c>
      <c r="AF42">
        <v>1</v>
      </c>
      <c r="AG42" t="s">
        <v>640</v>
      </c>
      <c r="AH42">
        <v>3</v>
      </c>
      <c r="AI42" s="49" t="s">
        <v>641</v>
      </c>
      <c r="AJ42">
        <v>4</v>
      </c>
      <c r="AK42">
        <v>5</v>
      </c>
      <c r="AQ42">
        <v>680</v>
      </c>
      <c r="AS42">
        <v>699</v>
      </c>
      <c r="AT42">
        <v>265</v>
      </c>
      <c r="AV42">
        <v>1460</v>
      </c>
      <c r="AW42" s="49" t="s">
        <v>642</v>
      </c>
      <c r="AX42" s="49" t="s">
        <v>643</v>
      </c>
      <c r="AY42">
        <v>945</v>
      </c>
      <c r="BI42" s="23"/>
      <c r="BK42" s="23"/>
      <c r="BL42">
        <v>3</v>
      </c>
      <c r="BM42" s="50" t="s">
        <v>644</v>
      </c>
      <c r="BN42">
        <v>74</v>
      </c>
      <c r="BO42" s="50" t="s">
        <v>645</v>
      </c>
      <c r="BP42" s="49" t="s">
        <v>646</v>
      </c>
      <c r="BQ42" s="50" t="s">
        <v>647</v>
      </c>
      <c r="BS42" s="23"/>
      <c r="BU42" s="23"/>
      <c r="BW42" s="23"/>
      <c r="BX42">
        <v>7</v>
      </c>
      <c r="BY42" s="50" t="s">
        <v>648</v>
      </c>
      <c r="CA42" s="23"/>
      <c r="CB42">
        <v>77</v>
      </c>
      <c r="CC42" s="50" t="s">
        <v>649</v>
      </c>
      <c r="CE42" s="23"/>
      <c r="CF42">
        <v>3</v>
      </c>
      <c r="CG42" s="50" t="s">
        <v>650</v>
      </c>
      <c r="CI42" s="23"/>
      <c r="CK42" s="23"/>
      <c r="CL42">
        <f>LN(1+C42)+SUM(S42,U42,W42,Y42,AF42,AH42)+N(AA42)+N(AC42)+LN(1+AN42)+SQRT(AR42+AU42+SUM(BA42:BL42))+LN(1+BR42)+SUM(BT42,BV42,BX42,BZ42,CB42,CD42)+LN(1+CF42)+SUM(CH42,CJ42)</f>
        <v>102.30544353596086</v>
      </c>
    </row>
    <row r="43" spans="1:90" ht="38.25" x14ac:dyDescent="0.2">
      <c r="A43" s="46" t="s">
        <v>284</v>
      </c>
      <c r="B43" s="48" t="s">
        <v>285</v>
      </c>
      <c r="C43">
        <v>16896</v>
      </c>
      <c r="D43" s="44">
        <v>39684.895833333336</v>
      </c>
      <c r="E43" s="44">
        <v>41232.619120370371</v>
      </c>
      <c r="F43" s="44">
        <v>38274.56826388889</v>
      </c>
      <c r="H43" t="s">
        <v>651</v>
      </c>
      <c r="I43" s="47"/>
      <c r="J43">
        <v>0.9</v>
      </c>
      <c r="L43" s="49" t="s">
        <v>652</v>
      </c>
      <c r="M43" s="49" t="s">
        <v>653</v>
      </c>
      <c r="N43" s="49" t="s">
        <v>344</v>
      </c>
      <c r="Q43" s="49" t="s">
        <v>654</v>
      </c>
      <c r="R43" s="49" t="s">
        <v>655</v>
      </c>
      <c r="T43" s="23"/>
      <c r="V43" s="23"/>
      <c r="X43" s="23"/>
      <c r="Z43" s="23"/>
      <c r="AK43">
        <v>3</v>
      </c>
      <c r="AQ43">
        <v>71</v>
      </c>
      <c r="AS43">
        <v>117</v>
      </c>
      <c r="AT43">
        <v>69</v>
      </c>
      <c r="AV43">
        <v>200</v>
      </c>
      <c r="AW43" s="49" t="s">
        <v>656</v>
      </c>
      <c r="AX43" s="49" t="s">
        <v>657</v>
      </c>
      <c r="AY43">
        <v>140</v>
      </c>
      <c r="BI43" s="23"/>
      <c r="BK43" s="23"/>
      <c r="BM43" s="23"/>
      <c r="BN43">
        <v>33</v>
      </c>
      <c r="BO43" s="50" t="s">
        <v>658</v>
      </c>
      <c r="BP43" s="49" t="s">
        <v>659</v>
      </c>
      <c r="BQ43" s="50" t="s">
        <v>660</v>
      </c>
      <c r="BS43" s="23"/>
      <c r="BU43" s="23"/>
      <c r="BW43" s="23"/>
      <c r="BY43" s="23"/>
      <c r="CA43" s="23"/>
      <c r="CC43" s="23"/>
      <c r="CE43" s="23"/>
      <c r="CF43">
        <v>4</v>
      </c>
      <c r="CG43" s="50" t="s">
        <v>661</v>
      </c>
      <c r="CI43" s="23"/>
      <c r="CK43" s="23"/>
      <c r="CL43">
        <f>LN(1+C43)+SUM(S43,U43,W43,Y43,AF43,AH43)+N(AA43)+N(AC43)+LN(1+AN43)+SQRT(AR43+AU43+SUM(BA43:BL43))+LN(1+BR43)+SUM(BT43,BV43,BX43,BZ43,CB43,CD43)+LN(1+CF43)+SUM(CH43,CJ43)</f>
        <v>11.34432928279475</v>
      </c>
    </row>
    <row r="44" spans="1:90" ht="76.5" x14ac:dyDescent="0.2">
      <c r="A44" s="46" t="s">
        <v>286</v>
      </c>
      <c r="B44" s="48" t="s">
        <v>287</v>
      </c>
      <c r="C44">
        <v>260096</v>
      </c>
      <c r="D44" s="44">
        <v>39684.895833333336</v>
      </c>
      <c r="E44" s="44">
        <v>41232.619131944448</v>
      </c>
      <c r="F44" s="44">
        <v>39383.79960648148</v>
      </c>
      <c r="H44" t="s">
        <v>343</v>
      </c>
      <c r="I44" s="47"/>
      <c r="J44">
        <v>1</v>
      </c>
      <c r="L44" s="49" t="s">
        <v>662</v>
      </c>
      <c r="M44" s="49" t="s">
        <v>663</v>
      </c>
      <c r="N44" s="49" t="s">
        <v>664</v>
      </c>
      <c r="S44">
        <v>17</v>
      </c>
      <c r="T44" s="50" t="s">
        <v>665</v>
      </c>
      <c r="V44" s="23"/>
      <c r="X44" s="23"/>
      <c r="Z44" s="23"/>
      <c r="AE44">
        <v>15.251099999999999</v>
      </c>
      <c r="AF44">
        <v>4</v>
      </c>
      <c r="AG44" s="23" t="s">
        <v>666</v>
      </c>
      <c r="AH44">
        <v>3</v>
      </c>
      <c r="AI44" s="50" t="s">
        <v>667</v>
      </c>
      <c r="AJ44">
        <v>224</v>
      </c>
      <c r="AK44">
        <v>4</v>
      </c>
      <c r="AO44">
        <v>213</v>
      </c>
      <c r="AP44">
        <v>31</v>
      </c>
      <c r="AQ44">
        <v>358</v>
      </c>
      <c r="AS44">
        <v>77</v>
      </c>
      <c r="AT44">
        <v>44</v>
      </c>
      <c r="AV44">
        <v>1417</v>
      </c>
      <c r="AW44" s="49" t="s">
        <v>668</v>
      </c>
      <c r="AX44" s="49" t="s">
        <v>669</v>
      </c>
      <c r="AY44">
        <v>367</v>
      </c>
      <c r="BI44" s="23"/>
      <c r="BJ44">
        <v>4</v>
      </c>
      <c r="BK44" s="50" t="s">
        <v>670</v>
      </c>
      <c r="BL44">
        <v>11</v>
      </c>
      <c r="BM44" s="50" t="s">
        <v>671</v>
      </c>
      <c r="BN44">
        <v>27</v>
      </c>
      <c r="BO44" s="50" t="s">
        <v>672</v>
      </c>
      <c r="BP44" s="49" t="s">
        <v>673</v>
      </c>
      <c r="BQ44" s="50" t="s">
        <v>674</v>
      </c>
      <c r="BS44" s="23"/>
      <c r="BU44" s="23"/>
      <c r="BW44" s="23"/>
      <c r="BY44" s="23"/>
      <c r="CA44" s="23"/>
      <c r="CC44" s="23"/>
      <c r="CE44" s="23"/>
      <c r="CF44">
        <v>30</v>
      </c>
      <c r="CG44" s="50" t="s">
        <v>675</v>
      </c>
      <c r="CI44" s="23"/>
      <c r="CK44" s="23"/>
      <c r="CL44">
        <f>LN(1+C44)+SUM(S44,U44,W44,Y44,AF44,AH44)+N(AA44)+N(AC44)+LN(1+AN44)+SQRT(AR44+AU44+SUM(BA44:BL44))+LN(1+BR44)+SUM(BT44,BV44,BX44,BZ44,CB44,CD44)+LN(1+CF44)+SUM(CH44,CJ44)</f>
        <v>43.775780468037418</v>
      </c>
    </row>
    <row r="45" spans="1:90" ht="25.5" x14ac:dyDescent="0.2">
      <c r="A45" s="46" t="s">
        <v>288</v>
      </c>
      <c r="B45" s="48" t="s">
        <v>289</v>
      </c>
      <c r="C45">
        <v>19968</v>
      </c>
      <c r="D45" s="44">
        <v>39684.895833333336</v>
      </c>
      <c r="E45" s="44">
        <v>41232.619143518517</v>
      </c>
      <c r="F45" s="44">
        <v>39190.632407407407</v>
      </c>
      <c r="H45" t="s">
        <v>343</v>
      </c>
      <c r="I45" s="47"/>
      <c r="J45">
        <v>1</v>
      </c>
      <c r="M45" s="49" t="s">
        <v>344</v>
      </c>
      <c r="N45" s="49" t="s">
        <v>333</v>
      </c>
      <c r="P45" s="49" t="s">
        <v>676</v>
      </c>
      <c r="Q45" s="49" t="s">
        <v>677</v>
      </c>
      <c r="T45" s="23"/>
      <c r="U45">
        <v>1</v>
      </c>
      <c r="V45" s="50" t="s">
        <v>678</v>
      </c>
      <c r="W45">
        <v>1</v>
      </c>
      <c r="X45" s="50" t="s">
        <v>679</v>
      </c>
      <c r="Z45" s="23"/>
      <c r="AE45">
        <v>15.251099999999999</v>
      </c>
      <c r="AF45">
        <v>2</v>
      </c>
      <c r="AG45" s="23" t="s">
        <v>680</v>
      </c>
      <c r="AK45">
        <v>2</v>
      </c>
      <c r="AQ45">
        <v>38</v>
      </c>
      <c r="AS45">
        <v>36</v>
      </c>
      <c r="AT45">
        <v>26</v>
      </c>
      <c r="AV45">
        <v>81</v>
      </c>
      <c r="AW45" s="49" t="s">
        <v>681</v>
      </c>
      <c r="AX45" s="49" t="s">
        <v>682</v>
      </c>
      <c r="AY45">
        <v>64</v>
      </c>
      <c r="BI45" s="23"/>
      <c r="BK45" s="23"/>
      <c r="BM45" s="23"/>
      <c r="BN45">
        <v>1</v>
      </c>
      <c r="BO45" s="50" t="s">
        <v>679</v>
      </c>
      <c r="BP45" s="49" t="s">
        <v>683</v>
      </c>
      <c r="BQ45" s="50" t="s">
        <v>684</v>
      </c>
      <c r="BS45" s="23"/>
      <c r="BU45" s="23"/>
      <c r="BW45" s="23"/>
      <c r="BX45">
        <v>6</v>
      </c>
      <c r="BY45" s="50" t="s">
        <v>685</v>
      </c>
      <c r="CA45" s="23"/>
      <c r="CC45" s="23"/>
      <c r="CE45" s="23"/>
      <c r="CG45" s="23"/>
      <c r="CI45" s="23"/>
      <c r="CK45" s="23"/>
      <c r="CL45">
        <f>LN(1+C45)+SUM(S45,U45,W45,Y45,AF45,AH45)+N(AA45)+N(AC45)+LN(1+AN45)+SQRT(AR45+AU45+SUM(BA45:BL45))+LN(1+BR45)+SUM(BT45,BV45,BX45,BZ45,CB45,CD45)+LN(1+CF45)+SUM(CH45,CJ45)</f>
        <v>19.901936350043393</v>
      </c>
    </row>
    <row r="46" spans="1:90" x14ac:dyDescent="0.2">
      <c r="A46" s="46" t="s">
        <v>290</v>
      </c>
      <c r="B46" s="48" t="s">
        <v>291</v>
      </c>
      <c r="C46">
        <v>24576</v>
      </c>
      <c r="D46" s="44">
        <v>40021.356099537035</v>
      </c>
      <c r="E46" s="44">
        <v>41232.619155092594</v>
      </c>
      <c r="F46" s="44">
        <v>40021.4059375</v>
      </c>
      <c r="H46" t="s">
        <v>343</v>
      </c>
      <c r="I46" s="47"/>
      <c r="J46">
        <v>0.1</v>
      </c>
      <c r="M46" s="49" t="s">
        <v>686</v>
      </c>
      <c r="N46" s="49" t="s">
        <v>686</v>
      </c>
      <c r="T46" s="23"/>
      <c r="V46" s="23"/>
      <c r="X46" s="23"/>
      <c r="Z46" s="23"/>
      <c r="AE46">
        <v>15.251099999999999</v>
      </c>
      <c r="AK46">
        <v>3</v>
      </c>
      <c r="AL46">
        <v>1</v>
      </c>
      <c r="AN46">
        <v>19</v>
      </c>
      <c r="AW46" s="49" t="s">
        <v>687</v>
      </c>
      <c r="AX46" s="49" t="s">
        <v>687</v>
      </c>
      <c r="BI46" s="23"/>
      <c r="BK46" s="23"/>
      <c r="BM46" s="23"/>
      <c r="BO46" s="23"/>
      <c r="BP46" s="49" t="s">
        <v>367</v>
      </c>
      <c r="BQ46" s="23"/>
      <c r="BS46" s="23"/>
      <c r="BU46" s="23"/>
      <c r="BW46" s="23"/>
      <c r="BY46" s="23"/>
      <c r="CA46" s="23"/>
      <c r="CC46" s="23"/>
      <c r="CE46" s="23"/>
      <c r="CG46" s="23"/>
      <c r="CI46" s="23"/>
      <c r="CK46" s="23"/>
      <c r="CL46">
        <f>LN(1+C46)+SUM(S46,U46,W46,Y46,AF46,AH46)+N(AA46)+N(AC46)+LN(1+AN46)+SQRT(AR46+AU46+SUM(BA46:BL46))+LN(1+BR46)+SUM(BT46,BV46,BX46,BZ46,CB46,CD46)+LN(1+CF46)+SUM(CH46,CJ46)</f>
        <v>13.105298598777736</v>
      </c>
    </row>
    <row r="47" spans="1:90" x14ac:dyDescent="0.2">
      <c r="A47" s="46" t="s">
        <v>292</v>
      </c>
      <c r="B47" s="48" t="s">
        <v>293</v>
      </c>
      <c r="C47">
        <v>24576</v>
      </c>
      <c r="D47" s="44">
        <v>40021.356099537035</v>
      </c>
      <c r="E47" s="44">
        <v>41232.619155092594</v>
      </c>
      <c r="F47" s="44">
        <v>40021.4059375</v>
      </c>
      <c r="H47" t="s">
        <v>343</v>
      </c>
      <c r="I47" s="47"/>
      <c r="J47">
        <v>0.9</v>
      </c>
      <c r="M47" s="49" t="s">
        <v>686</v>
      </c>
      <c r="N47" s="49" t="s">
        <v>686</v>
      </c>
      <c r="T47" s="23"/>
      <c r="V47" s="23"/>
      <c r="X47" s="23"/>
      <c r="Z47" s="23"/>
      <c r="AE47">
        <v>15.251099999999999</v>
      </c>
      <c r="AK47">
        <v>3</v>
      </c>
      <c r="AL47">
        <v>1</v>
      </c>
      <c r="AN47">
        <v>19</v>
      </c>
      <c r="AW47" s="49" t="s">
        <v>687</v>
      </c>
      <c r="AX47" s="49" t="s">
        <v>687</v>
      </c>
      <c r="BI47" s="23"/>
      <c r="BK47" s="23"/>
      <c r="BM47" s="23"/>
      <c r="BO47" s="23"/>
      <c r="BP47" s="49" t="s">
        <v>367</v>
      </c>
      <c r="BQ47" s="23"/>
      <c r="BS47" s="23"/>
      <c r="BU47" s="23"/>
      <c r="BW47" s="23"/>
      <c r="BY47" s="23"/>
      <c r="CA47" s="23"/>
      <c r="CC47" s="23"/>
      <c r="CE47" s="23"/>
      <c r="CG47" s="23"/>
      <c r="CI47" s="23"/>
      <c r="CK47" s="23"/>
      <c r="CL47">
        <f>LN(1+C47)+SUM(S47,U47,W47,Y47,AF47,AH47)+N(AA47)+N(AC47)+LN(1+AN47)+SQRT(AR47+AU47+SUM(BA47:BL47))+LN(1+BR47)+SUM(BT47,BV47,BX47,BZ47,CB47,CD47)+LN(1+CF47)+SUM(CH47,CJ47)</f>
        <v>13.105298598777736</v>
      </c>
    </row>
    <row r="48" spans="1:90" x14ac:dyDescent="0.2">
      <c r="A48" s="46" t="s">
        <v>294</v>
      </c>
      <c r="B48" s="48" t="s">
        <v>295</v>
      </c>
      <c r="C48">
        <v>24576</v>
      </c>
      <c r="D48" s="44">
        <v>40021.356192129628</v>
      </c>
      <c r="E48" s="44">
        <v>41232.619166666664</v>
      </c>
      <c r="F48" s="44">
        <v>40021.356192129628</v>
      </c>
      <c r="H48" t="s">
        <v>343</v>
      </c>
      <c r="I48" s="47"/>
      <c r="J48">
        <v>1</v>
      </c>
      <c r="M48" s="49" t="s">
        <v>686</v>
      </c>
      <c r="N48" s="49" t="s">
        <v>686</v>
      </c>
      <c r="T48" s="23"/>
      <c r="V48" s="23"/>
      <c r="X48" s="23"/>
      <c r="Z48" s="23"/>
      <c r="AE48">
        <v>15.251099999999999</v>
      </c>
      <c r="AK48">
        <v>3</v>
      </c>
      <c r="AL48">
        <v>1</v>
      </c>
      <c r="AN48">
        <v>14</v>
      </c>
      <c r="AW48" s="49" t="s">
        <v>687</v>
      </c>
      <c r="AX48" s="49" t="s">
        <v>687</v>
      </c>
      <c r="BI48" s="23"/>
      <c r="BK48" s="23"/>
      <c r="BM48" s="23"/>
      <c r="BO48" s="23"/>
      <c r="BP48" s="49" t="s">
        <v>367</v>
      </c>
      <c r="BQ48" s="23"/>
      <c r="BS48" s="23"/>
      <c r="BU48" s="23"/>
      <c r="BW48" s="23"/>
      <c r="BY48" s="23"/>
      <c r="CA48" s="23"/>
      <c r="CC48" s="23"/>
      <c r="CE48" s="23"/>
      <c r="CG48" s="23"/>
      <c r="CI48" s="23"/>
      <c r="CK48" s="23"/>
      <c r="CL48">
        <f>LN(1+C48)+SUM(S48,U48,W48,Y48,AF48,AH48)+N(AA48)+N(AC48)+LN(1+AN48)+SQRT(AR48+AU48+SUM(BA48:BL48))+LN(1+BR48)+SUM(BT48,BV48,BX48,BZ48,CB48,CD48)+LN(1+CF48)+SUM(CH48,CJ48)</f>
        <v>12.817616526325956</v>
      </c>
    </row>
    <row r="49" spans="1:90" x14ac:dyDescent="0.2">
      <c r="A49" s="46" t="s">
        <v>296</v>
      </c>
      <c r="B49" s="48" t="s">
        <v>297</v>
      </c>
      <c r="C49">
        <v>38400</v>
      </c>
      <c r="D49" s="44">
        <v>39684.895833333336</v>
      </c>
      <c r="E49" s="44">
        <v>41232.61917824074</v>
      </c>
      <c r="F49" s="44">
        <v>38268.679745370369</v>
      </c>
      <c r="H49" t="s">
        <v>343</v>
      </c>
      <c r="I49" s="47"/>
      <c r="J49">
        <v>1</v>
      </c>
      <c r="O49" s="49" t="s">
        <v>582</v>
      </c>
      <c r="T49" s="23"/>
      <c r="V49" s="23"/>
      <c r="X49" s="23"/>
      <c r="Z49" s="23"/>
      <c r="AE49">
        <v>15.251099999999999</v>
      </c>
      <c r="AF49">
        <v>1</v>
      </c>
      <c r="AG49" t="s">
        <v>688</v>
      </c>
      <c r="AJ49">
        <v>1</v>
      </c>
      <c r="AK49">
        <v>4</v>
      </c>
      <c r="AQ49">
        <v>1022</v>
      </c>
      <c r="AS49">
        <v>659</v>
      </c>
      <c r="AT49">
        <v>1</v>
      </c>
      <c r="AV49">
        <v>1184</v>
      </c>
      <c r="AW49" s="49" t="s">
        <v>588</v>
      </c>
      <c r="AX49" s="49" t="s">
        <v>689</v>
      </c>
      <c r="AY49">
        <v>1023</v>
      </c>
      <c r="BI49" s="23"/>
      <c r="BK49" s="23"/>
      <c r="BM49" s="23"/>
      <c r="BO49" s="23"/>
      <c r="BP49" s="49" t="s">
        <v>690</v>
      </c>
      <c r="BQ49" s="50" t="s">
        <v>691</v>
      </c>
      <c r="BS49" s="23"/>
      <c r="BU49" s="23"/>
      <c r="BW49" s="23"/>
      <c r="BY49" s="23"/>
      <c r="CA49" s="23"/>
      <c r="CC49" s="23"/>
      <c r="CE49" s="23"/>
      <c r="CG49" s="23"/>
      <c r="CI49" s="23"/>
      <c r="CK49" s="23"/>
      <c r="CL49">
        <f>LN(1+C49)+SUM(S49,U49,W49,Y49,AF49,AH49)+N(AA49)+N(AC49)+LN(1+AN49)+SQRT(AR49+AU49+SUM(BA49:BL49))+LN(1+BR49)+SUM(BT49,BV49,BX49,BZ49,CB49,CD49)+LN(1+CF49)+SUM(CH49,CJ49)</f>
        <v>11.555838779903407</v>
      </c>
    </row>
    <row r="50" spans="1:90" ht="51" x14ac:dyDescent="0.2">
      <c r="A50" s="46" t="s">
        <v>298</v>
      </c>
      <c r="B50" s="48" t="s">
        <v>299</v>
      </c>
      <c r="C50">
        <v>40960</v>
      </c>
      <c r="D50" s="44">
        <v>39684.895833333336</v>
      </c>
      <c r="E50" s="44">
        <v>41232.619189814817</v>
      </c>
      <c r="F50" s="44">
        <v>36761.921412037038</v>
      </c>
      <c r="H50" t="s">
        <v>343</v>
      </c>
      <c r="I50" s="47"/>
      <c r="J50">
        <v>0.9</v>
      </c>
      <c r="M50" s="49" t="s">
        <v>693</v>
      </c>
      <c r="N50" s="49" t="s">
        <v>694</v>
      </c>
      <c r="Q50" s="49" t="s">
        <v>695</v>
      </c>
      <c r="R50" s="49" t="s">
        <v>583</v>
      </c>
      <c r="T50" s="23"/>
      <c r="V50" s="23"/>
      <c r="X50" s="23"/>
      <c r="Z50" s="23"/>
      <c r="AA50">
        <v>2</v>
      </c>
      <c r="AB50" s="23" t="s">
        <v>725</v>
      </c>
      <c r="AC50">
        <v>1</v>
      </c>
      <c r="AD50" s="23" t="s">
        <v>696</v>
      </c>
      <c r="AE50">
        <v>15.251099999999999</v>
      </c>
      <c r="AH50">
        <v>1</v>
      </c>
      <c r="AI50" s="49" t="s">
        <v>697</v>
      </c>
      <c r="AJ50">
        <v>7</v>
      </c>
      <c r="AK50">
        <v>3</v>
      </c>
      <c r="AQ50">
        <v>1906</v>
      </c>
      <c r="AS50">
        <v>1364</v>
      </c>
      <c r="AV50">
        <v>1950</v>
      </c>
      <c r="AW50" s="49" t="s">
        <v>698</v>
      </c>
      <c r="AX50" s="49" t="s">
        <v>699</v>
      </c>
      <c r="AY50">
        <v>1906</v>
      </c>
      <c r="BI50" s="23"/>
      <c r="BK50" s="23"/>
      <c r="BM50" s="23"/>
      <c r="BO50" s="23"/>
      <c r="BP50" s="49" t="s">
        <v>367</v>
      </c>
      <c r="BQ50" s="23"/>
      <c r="BS50" s="23"/>
      <c r="BU50" s="23"/>
      <c r="BW50" s="23"/>
      <c r="BY50" s="23"/>
      <c r="CA50" s="23"/>
      <c r="CC50" s="23"/>
      <c r="CE50" s="23"/>
      <c r="CG50" s="23"/>
      <c r="CI50" s="23"/>
      <c r="CK50" s="23"/>
      <c r="CL50">
        <f>LN(1+C50)+SUM(S50,U50,W50,Y50,AF50,AH50)+N(AA50)+N(AC50)+LN(1+AN50)+SQRT(AR50+AU50+SUM(BA50:BL50))+LN(1+BR50)+SUM(BT50,BV50,BX50,BZ50,CB50,CD50)+LN(1+CF50)+SUM(CH50,CJ50)</f>
        <v>14.620375673477872</v>
      </c>
    </row>
    <row r="51" spans="1:90" x14ac:dyDescent="0.2">
      <c r="A51" s="52" t="s">
        <v>300</v>
      </c>
      <c r="B51" s="48" t="s">
        <v>301</v>
      </c>
      <c r="C51">
        <v>36864</v>
      </c>
      <c r="D51" s="44">
        <v>39684.895833333336</v>
      </c>
      <c r="E51" s="44">
        <v>41232.619201388887</v>
      </c>
      <c r="F51" s="44">
        <v>39395.806342592594</v>
      </c>
      <c r="H51" t="s">
        <v>205</v>
      </c>
      <c r="I51" s="47" t="s">
        <v>593</v>
      </c>
      <c r="J51">
        <v>0.1</v>
      </c>
    </row>
    <row r="52" spans="1:90" x14ac:dyDescent="0.2">
      <c r="A52" s="46" t="s">
        <v>302</v>
      </c>
      <c r="B52" s="48" t="s">
        <v>303</v>
      </c>
      <c r="C52">
        <v>13824</v>
      </c>
      <c r="D52" s="44">
        <v>39684.895833333336</v>
      </c>
      <c r="E52" s="44">
        <v>41232.619201388887</v>
      </c>
      <c r="F52" s="44">
        <v>38390.72210648148</v>
      </c>
      <c r="H52" t="s">
        <v>343</v>
      </c>
      <c r="I52" s="47"/>
      <c r="J52">
        <v>0.1</v>
      </c>
      <c r="M52" s="49" t="s">
        <v>344</v>
      </c>
      <c r="N52" s="49" t="s">
        <v>344</v>
      </c>
      <c r="Q52" s="49" t="s">
        <v>557</v>
      </c>
      <c r="T52" s="23"/>
      <c r="V52" s="23"/>
      <c r="X52" s="23"/>
      <c r="Z52" s="23"/>
      <c r="AC52">
        <v>1</v>
      </c>
      <c r="AD52" t="s">
        <v>700</v>
      </c>
      <c r="AE52">
        <v>15.251099999999999</v>
      </c>
      <c r="AJ52">
        <v>1</v>
      </c>
      <c r="AK52">
        <v>1</v>
      </c>
      <c r="AQ52">
        <v>6</v>
      </c>
      <c r="AS52">
        <v>1</v>
      </c>
      <c r="AT52">
        <v>1</v>
      </c>
      <c r="AV52">
        <v>21</v>
      </c>
      <c r="AW52" s="49" t="s">
        <v>558</v>
      </c>
      <c r="AX52" s="49" t="s">
        <v>703</v>
      </c>
      <c r="AY52">
        <v>7</v>
      </c>
      <c r="BI52" s="23"/>
      <c r="BK52" s="23"/>
      <c r="BM52" s="23"/>
      <c r="BO52" s="23"/>
      <c r="BP52" s="49" t="s">
        <v>704</v>
      </c>
      <c r="BQ52" s="50" t="s">
        <v>702</v>
      </c>
      <c r="BS52" s="23"/>
      <c r="BU52" s="23"/>
      <c r="BW52" s="23"/>
      <c r="BY52" s="23"/>
      <c r="CA52" s="23"/>
      <c r="CC52" s="23"/>
      <c r="CE52" s="23"/>
      <c r="CG52" s="23"/>
      <c r="CI52" s="23"/>
      <c r="CK52" s="23"/>
      <c r="CL52">
        <f>LN(1+C52)+SUM(S52,U52,W52,Y52,AF52,AH52)+N(AA52)+N(AC52)+LN(1+AN52)+SQRT(AR52+AU52+SUM(BA52:BL52))+LN(1+BR52)+SUM(BT52,BV52,BX52,BZ52,CB52,CD52)+LN(1+CF52)+SUM(CH52,CJ52)</f>
        <v>10.534233826390535</v>
      </c>
    </row>
    <row r="53" spans="1:90" x14ac:dyDescent="0.2">
      <c r="A53" s="46" t="s">
        <v>304</v>
      </c>
      <c r="B53" s="48" t="s">
        <v>264</v>
      </c>
      <c r="C53">
        <v>13824</v>
      </c>
      <c r="D53" s="44">
        <v>39684.895844907405</v>
      </c>
      <c r="E53" s="44">
        <v>41232.618807870371</v>
      </c>
      <c r="F53" s="44">
        <v>38215.473611111112</v>
      </c>
      <c r="H53" t="s">
        <v>343</v>
      </c>
      <c r="I53" s="47"/>
      <c r="J53">
        <v>1</v>
      </c>
      <c r="M53" s="49" t="s">
        <v>344</v>
      </c>
      <c r="N53" s="49" t="s">
        <v>344</v>
      </c>
      <c r="Q53" s="49" t="s">
        <v>557</v>
      </c>
      <c r="T53" s="23"/>
      <c r="V53" s="23"/>
      <c r="X53" s="23"/>
      <c r="Z53" s="23"/>
      <c r="AA53">
        <v>1</v>
      </c>
      <c r="AB53" t="s">
        <v>259</v>
      </c>
      <c r="AE53">
        <v>15.251099999999999</v>
      </c>
      <c r="AJ53">
        <v>1</v>
      </c>
      <c r="AK53">
        <v>1</v>
      </c>
      <c r="AQ53">
        <v>5</v>
      </c>
      <c r="AS53">
        <v>1</v>
      </c>
      <c r="AV53">
        <v>15</v>
      </c>
      <c r="AW53" s="49" t="s">
        <v>558</v>
      </c>
      <c r="AX53" s="49" t="s">
        <v>559</v>
      </c>
      <c r="AY53">
        <v>5</v>
      </c>
      <c r="BI53" s="23"/>
      <c r="BK53" s="23"/>
      <c r="BM53" s="23"/>
      <c r="BO53" s="23"/>
      <c r="BP53" s="49" t="s">
        <v>367</v>
      </c>
      <c r="BQ53" s="23"/>
      <c r="BS53" s="23"/>
      <c r="BU53" s="23"/>
      <c r="BW53" s="23"/>
      <c r="BY53" s="23"/>
      <c r="CA53" s="23"/>
      <c r="CC53" s="23"/>
      <c r="CE53" s="23"/>
      <c r="CG53" s="23"/>
      <c r="CI53" s="23"/>
      <c r="CK53" s="23"/>
      <c r="CL53">
        <f>LN(1+C53)+SUM(S53,U53,W53,Y53,AF53,AH53)+N(AA53)+N(AC53)+LN(1+AN53)+SQRT(AR53+AU53+SUM(BA53:BL53))+LN(1+BR53)+SUM(BT53,BV53,BX53,BZ53,CB53,CD53)+LN(1+CF53)+SUM(CH53,CJ53)</f>
        <v>10.534233826390535</v>
      </c>
    </row>
    <row r="54" spans="1:90" x14ac:dyDescent="0.2">
      <c r="A54" s="46" t="s">
        <v>305</v>
      </c>
      <c r="B54" s="48" t="s">
        <v>306</v>
      </c>
      <c r="C54">
        <v>13824</v>
      </c>
      <c r="D54" s="44">
        <v>40077.364930555559</v>
      </c>
      <c r="E54" s="44">
        <v>41232.619212962964</v>
      </c>
      <c r="F54" s="44">
        <v>38357.598634259259</v>
      </c>
      <c r="H54" t="s">
        <v>343</v>
      </c>
      <c r="I54" s="47"/>
      <c r="J54">
        <v>0.9</v>
      </c>
      <c r="M54" s="49" t="s">
        <v>344</v>
      </c>
      <c r="N54" s="49" t="s">
        <v>344</v>
      </c>
      <c r="Q54" s="49" t="s">
        <v>705</v>
      </c>
      <c r="T54" s="23"/>
      <c r="V54" s="23"/>
      <c r="X54" s="23"/>
      <c r="Z54" s="23"/>
      <c r="AE54">
        <v>15.251099999999999</v>
      </c>
      <c r="AK54">
        <v>3</v>
      </c>
      <c r="AQ54">
        <v>2</v>
      </c>
      <c r="AV54">
        <v>2</v>
      </c>
      <c r="AW54" s="49" t="s">
        <v>687</v>
      </c>
      <c r="AX54" s="49" t="s">
        <v>706</v>
      </c>
      <c r="AY54">
        <v>2</v>
      </c>
      <c r="BI54" s="23"/>
      <c r="BK54" s="23"/>
      <c r="BM54" s="23"/>
      <c r="BO54" s="23"/>
      <c r="BP54" s="49" t="s">
        <v>367</v>
      </c>
      <c r="BQ54" s="23"/>
      <c r="BS54" s="23"/>
      <c r="BU54" s="23"/>
      <c r="BW54" s="23"/>
      <c r="BY54" s="23"/>
      <c r="CA54" s="23"/>
      <c r="CC54" s="23"/>
      <c r="CE54" s="23"/>
      <c r="CG54" s="23"/>
      <c r="CI54" s="23"/>
      <c r="CK54" s="23"/>
      <c r="CL54">
        <f>LN(1+C54)+SUM(S54,U54,W54,Y54,AF54,AH54)+N(AA54)+N(AC54)+LN(1+AN54)+SQRT(AR54+AU54+SUM(BA54:BL54))+LN(1+BR54)+SUM(BT54,BV54,BX54,BZ54,CB54,CD54)+LN(1+CF54)+SUM(CH54,CJ54)</f>
        <v>9.5342338263905351</v>
      </c>
    </row>
    <row r="55" spans="1:90" ht="38.25" x14ac:dyDescent="0.2">
      <c r="A55" s="46" t="s">
        <v>307</v>
      </c>
      <c r="B55" s="48" t="s">
        <v>308</v>
      </c>
      <c r="C55">
        <v>20480</v>
      </c>
      <c r="D55" s="44">
        <v>40077.364930555559</v>
      </c>
      <c r="E55" s="44">
        <v>41232.61922453704</v>
      </c>
      <c r="F55" s="44">
        <v>38369.577962962961</v>
      </c>
      <c r="H55" t="s">
        <v>343</v>
      </c>
      <c r="I55" s="47"/>
      <c r="J55">
        <v>0.1</v>
      </c>
      <c r="M55" s="49" t="s">
        <v>344</v>
      </c>
      <c r="N55" s="49" t="s">
        <v>344</v>
      </c>
      <c r="Q55" s="49" t="s">
        <v>715</v>
      </c>
      <c r="T55" s="23"/>
      <c r="V55" s="23"/>
      <c r="X55" s="23"/>
      <c r="Z55" s="23"/>
      <c r="AC55">
        <v>3</v>
      </c>
      <c r="AD55" s="23" t="s">
        <v>716</v>
      </c>
      <c r="AE55">
        <v>15.251099999999999</v>
      </c>
      <c r="AK55">
        <v>3</v>
      </c>
      <c r="AQ55">
        <v>1</v>
      </c>
      <c r="AS55">
        <v>1</v>
      </c>
      <c r="AT55">
        <v>3</v>
      </c>
      <c r="AV55">
        <v>9</v>
      </c>
      <c r="AW55" s="49" t="s">
        <v>687</v>
      </c>
      <c r="AX55" s="49" t="s">
        <v>717</v>
      </c>
      <c r="AY55">
        <v>4</v>
      </c>
      <c r="BI55" s="23"/>
      <c r="BK55" s="23"/>
      <c r="BM55" s="23"/>
      <c r="BO55" s="23"/>
      <c r="BP55" s="49" t="s">
        <v>718</v>
      </c>
      <c r="BQ55" s="50" t="s">
        <v>709</v>
      </c>
      <c r="BS55" s="23"/>
      <c r="BU55" s="23"/>
      <c r="BW55" s="23"/>
      <c r="BY55" s="23"/>
      <c r="CA55" s="23"/>
      <c r="CC55" s="23"/>
      <c r="CE55" s="23"/>
      <c r="CG55" s="23"/>
      <c r="CI55" s="23"/>
      <c r="CK55" s="23"/>
      <c r="CL55">
        <f>LN(1+C55)+SUM(S55,U55,W55,Y55,AF55,AH55)+N(AA55)+N(AC55)+LN(1+AN55)+SQRT(AR55+AU55+SUM(BA55:BL55))+LN(1+BR55)+SUM(BT55,BV55,BX55,BZ55,CB55,CD55)+LN(1+CF55)+SUM(CH55,CJ55)</f>
        <v>12.927252906086389</v>
      </c>
    </row>
    <row r="56" spans="1:90" x14ac:dyDescent="0.2">
      <c r="A56" s="46" t="s">
        <v>309</v>
      </c>
      <c r="B56" s="48" t="s">
        <v>264</v>
      </c>
      <c r="C56">
        <v>13824</v>
      </c>
      <c r="D56" s="44">
        <v>39684.895844907405</v>
      </c>
      <c r="E56" s="44">
        <v>41232.618807870371</v>
      </c>
      <c r="F56" s="44">
        <v>38215.473449074074</v>
      </c>
      <c r="H56" t="s">
        <v>343</v>
      </c>
      <c r="I56" s="47"/>
      <c r="J56">
        <v>1</v>
      </c>
      <c r="M56" s="49" t="s">
        <v>344</v>
      </c>
      <c r="N56" s="49" t="s">
        <v>344</v>
      </c>
      <c r="Q56" s="49" t="s">
        <v>557</v>
      </c>
      <c r="T56" s="23"/>
      <c r="V56" s="23"/>
      <c r="X56" s="23"/>
      <c r="Z56" s="23"/>
      <c r="AA56">
        <v>1</v>
      </c>
      <c r="AB56" t="s">
        <v>259</v>
      </c>
      <c r="AE56">
        <v>15.251099999999999</v>
      </c>
      <c r="AJ56">
        <v>1</v>
      </c>
      <c r="AK56">
        <v>1</v>
      </c>
      <c r="AQ56">
        <v>5</v>
      </c>
      <c r="AS56">
        <v>1</v>
      </c>
      <c r="AV56">
        <v>15</v>
      </c>
      <c r="AW56" s="49" t="s">
        <v>558</v>
      </c>
      <c r="AX56" s="49" t="s">
        <v>559</v>
      </c>
      <c r="AY56">
        <v>5</v>
      </c>
      <c r="BI56" s="23"/>
      <c r="BK56" s="23"/>
      <c r="BM56" s="23"/>
      <c r="BO56" s="23"/>
      <c r="BP56" s="49" t="s">
        <v>367</v>
      </c>
      <c r="BQ56" s="23"/>
      <c r="BS56" s="23"/>
      <c r="BU56" s="23"/>
      <c r="BW56" s="23"/>
      <c r="BY56" s="23"/>
      <c r="CA56" s="23"/>
      <c r="CC56" s="23"/>
      <c r="CE56" s="23"/>
      <c r="CG56" s="23"/>
      <c r="CI56" s="23"/>
      <c r="CK56" s="23"/>
      <c r="CL56">
        <f>LN(1+C56)+SUM(S56,U56,W56,Y56,AF56,AH56)+N(AA56)+N(AC56)+LN(1+AN56)+SQRT(AR56+AU56+SUM(BA56:BL56))+LN(1+BR56)+SUM(BT56,BV56,BX56,BZ56,CB56,CD56)+LN(1+CF56)+SUM(CH56,CJ56)</f>
        <v>10.534233826390535</v>
      </c>
    </row>
    <row r="57" spans="1:90" x14ac:dyDescent="0.2">
      <c r="A57" s="46" t="s">
        <v>310</v>
      </c>
      <c r="B57" s="48" t="s">
        <v>311</v>
      </c>
      <c r="C57">
        <v>13824</v>
      </c>
      <c r="D57" s="44">
        <v>39684.895844907405</v>
      </c>
      <c r="E57" s="44">
        <v>41232.61923611111</v>
      </c>
      <c r="F57" s="44">
        <v>38343.66138888889</v>
      </c>
      <c r="H57" t="s">
        <v>343</v>
      </c>
      <c r="I57" s="47"/>
      <c r="J57">
        <v>1</v>
      </c>
      <c r="M57" s="49" t="s">
        <v>344</v>
      </c>
      <c r="N57" s="49" t="s">
        <v>344</v>
      </c>
      <c r="Q57" s="49" t="s">
        <v>89</v>
      </c>
      <c r="T57" s="23"/>
      <c r="V57" s="23"/>
      <c r="X57" s="23"/>
      <c r="Z57" s="23"/>
      <c r="AA57">
        <v>1</v>
      </c>
      <c r="AB57" t="s">
        <v>313</v>
      </c>
      <c r="AE57">
        <v>15.251099999999999</v>
      </c>
      <c r="AJ57">
        <v>1</v>
      </c>
      <c r="AK57">
        <v>3</v>
      </c>
      <c r="AQ57">
        <v>2</v>
      </c>
      <c r="AV57">
        <v>2</v>
      </c>
      <c r="AW57" s="49" t="s">
        <v>687</v>
      </c>
      <c r="AX57" s="49" t="s">
        <v>706</v>
      </c>
      <c r="AY57">
        <v>2</v>
      </c>
      <c r="BI57" s="23"/>
      <c r="BK57" s="23"/>
      <c r="BM57" s="23"/>
      <c r="BO57" s="23"/>
      <c r="BP57" s="49" t="s">
        <v>367</v>
      </c>
      <c r="BQ57" s="23"/>
      <c r="BS57" s="23"/>
      <c r="BU57" s="23"/>
      <c r="BW57" s="23"/>
      <c r="BY57" s="23"/>
      <c r="CA57" s="23"/>
      <c r="CC57" s="23"/>
      <c r="CE57" s="23"/>
      <c r="CG57" s="23"/>
      <c r="CI57" s="23"/>
      <c r="CK57" s="23"/>
      <c r="CL57">
        <f>LN(1+C57)+SUM(S57,U57,W57,Y57,AF57,AH57)+N(AA57)+N(AC57)+LN(1+AN57)+SQRT(AR57+AU57+SUM(BA57:BL57))+LN(1+BR57)+SUM(BT57,BV57,BX57,BZ57,CB57,CD57)+LN(1+CF57)+SUM(CH57,CJ57)</f>
        <v>10.534233826390535</v>
      </c>
    </row>
    <row r="58" spans="1:90" x14ac:dyDescent="0.2">
      <c r="A58" s="46" t="s">
        <v>312</v>
      </c>
      <c r="B58" s="48" t="s">
        <v>306</v>
      </c>
      <c r="C58">
        <v>13824</v>
      </c>
      <c r="D58" s="44">
        <v>39684.895844907405</v>
      </c>
      <c r="E58" s="44">
        <v>41232.619247685187</v>
      </c>
      <c r="F58" s="44">
        <v>38357.598634259259</v>
      </c>
      <c r="H58" t="s">
        <v>343</v>
      </c>
      <c r="I58" s="47"/>
      <c r="J58">
        <v>0.1</v>
      </c>
      <c r="M58" s="49" t="s">
        <v>344</v>
      </c>
      <c r="N58" s="49" t="s">
        <v>344</v>
      </c>
      <c r="Q58" s="49" t="s">
        <v>705</v>
      </c>
      <c r="T58" s="23"/>
      <c r="V58" s="23"/>
      <c r="X58" s="23"/>
      <c r="Z58" s="23"/>
      <c r="AE58">
        <v>15.251099999999999</v>
      </c>
      <c r="AK58">
        <v>3</v>
      </c>
      <c r="AQ58">
        <v>2</v>
      </c>
      <c r="AV58">
        <v>2</v>
      </c>
      <c r="AW58" s="49" t="s">
        <v>687</v>
      </c>
      <c r="AX58" s="49" t="s">
        <v>706</v>
      </c>
      <c r="AY58">
        <v>2</v>
      </c>
      <c r="BI58" s="23"/>
      <c r="BK58" s="23"/>
      <c r="BM58" s="23"/>
      <c r="BO58" s="23"/>
      <c r="BP58" s="49" t="s">
        <v>367</v>
      </c>
      <c r="BQ58" s="23"/>
      <c r="BS58" s="23"/>
      <c r="BU58" s="23"/>
      <c r="BW58" s="23"/>
      <c r="BY58" s="23"/>
      <c r="CA58" s="23"/>
      <c r="CC58" s="23"/>
      <c r="CE58" s="23"/>
      <c r="CG58" s="23"/>
      <c r="CI58" s="23"/>
      <c r="CK58" s="23"/>
      <c r="CL58">
        <f>LN(1+C58)+SUM(S58,U58,W58,Y58,AF58,AH58)+N(AA58)+N(AC58)+LN(1+AN58)+SQRT(AR58+AU58+SUM(BA58:BL58))+LN(1+BR58)+SUM(BT58,BV58,BX58,BZ58,CB58,CD58)+LN(1+CF58)+SUM(CH58,CJ58)</f>
        <v>9.5342338263905351</v>
      </c>
    </row>
    <row r="59" spans="1:90" ht="63.75" x14ac:dyDescent="0.2">
      <c r="A59" s="46" t="s">
        <v>313</v>
      </c>
      <c r="B59" s="48" t="s">
        <v>308</v>
      </c>
      <c r="C59">
        <v>20480</v>
      </c>
      <c r="D59" s="44">
        <v>39684.895844907405</v>
      </c>
      <c r="E59" s="44">
        <v>41232.618819444448</v>
      </c>
      <c r="F59" s="44">
        <v>38369.577962962961</v>
      </c>
      <c r="H59" t="s">
        <v>343</v>
      </c>
      <c r="I59" s="47"/>
      <c r="J59">
        <v>0.9</v>
      </c>
      <c r="M59" s="49" t="s">
        <v>344</v>
      </c>
      <c r="N59" s="49" t="s">
        <v>344</v>
      </c>
      <c r="Q59" s="49" t="s">
        <v>715</v>
      </c>
      <c r="T59" s="23"/>
      <c r="V59" s="23"/>
      <c r="X59" s="23"/>
      <c r="Z59" s="23"/>
      <c r="AA59">
        <v>1</v>
      </c>
      <c r="AB59" t="s">
        <v>261</v>
      </c>
      <c r="AC59">
        <v>3</v>
      </c>
      <c r="AD59" s="23" t="s">
        <v>720</v>
      </c>
      <c r="AE59">
        <v>15.251099999999999</v>
      </c>
      <c r="AK59">
        <v>3</v>
      </c>
      <c r="AQ59">
        <v>1</v>
      </c>
      <c r="AS59">
        <v>1</v>
      </c>
      <c r="AT59">
        <v>3</v>
      </c>
      <c r="AV59">
        <v>9</v>
      </c>
      <c r="AW59" s="49" t="s">
        <v>687</v>
      </c>
      <c r="AX59" s="49" t="s">
        <v>717</v>
      </c>
      <c r="AY59">
        <v>4</v>
      </c>
      <c r="BI59" s="23"/>
      <c r="BK59" s="23"/>
      <c r="BM59" s="23"/>
      <c r="BO59" s="23"/>
      <c r="BP59" s="49" t="s">
        <v>721</v>
      </c>
      <c r="BQ59" s="50" t="s">
        <v>709</v>
      </c>
      <c r="BS59" s="23"/>
      <c r="BU59" s="23"/>
      <c r="BW59" s="23"/>
      <c r="BY59" s="23"/>
      <c r="CA59" s="23"/>
      <c r="CC59" s="23"/>
      <c r="CE59" s="23"/>
      <c r="CG59" s="23"/>
      <c r="CI59" s="23"/>
      <c r="CK59" s="23"/>
      <c r="CL59">
        <f>LN(1+C59)+SUM(S59,U59,W59,Y59,AF59,AH59)+N(AA59)+N(AC59)+LN(1+AN59)+SQRT(AR59+AU59+SUM(BA59:BL59))+LN(1+BR59)+SUM(BT59,BV59,BX59,BZ59,CB59,CD59)+LN(1+CF59)+SUM(CH59,CJ59)</f>
        <v>13.927252906086389</v>
      </c>
    </row>
    <row r="60" spans="1:90" x14ac:dyDescent="0.2">
      <c r="A60" s="46" t="s">
        <v>314</v>
      </c>
      <c r="B60" s="48" t="s">
        <v>315</v>
      </c>
      <c r="C60">
        <v>13824</v>
      </c>
      <c r="D60" s="44">
        <v>39684.895844907405</v>
      </c>
      <c r="E60" s="44">
        <v>41232.619259259256</v>
      </c>
      <c r="F60" s="44">
        <v>38357.613634259258</v>
      </c>
      <c r="H60" t="s">
        <v>343</v>
      </c>
      <c r="I60" s="47"/>
      <c r="J60">
        <v>1</v>
      </c>
      <c r="M60" s="49" t="s">
        <v>344</v>
      </c>
      <c r="N60" s="49" t="s">
        <v>344</v>
      </c>
      <c r="Q60" s="49" t="s">
        <v>715</v>
      </c>
      <c r="T60" s="23"/>
      <c r="V60" s="23"/>
      <c r="X60" s="23"/>
      <c r="Z60" s="23"/>
      <c r="AC60">
        <v>1</v>
      </c>
      <c r="AD60" t="s">
        <v>719</v>
      </c>
      <c r="AE60">
        <v>15.251099999999999</v>
      </c>
      <c r="AK60">
        <v>3</v>
      </c>
      <c r="AQ60">
        <v>1</v>
      </c>
      <c r="AT60">
        <v>1</v>
      </c>
      <c r="AV60">
        <v>4</v>
      </c>
      <c r="AW60" s="49" t="s">
        <v>687</v>
      </c>
      <c r="AX60" s="49" t="s">
        <v>554</v>
      </c>
      <c r="AY60">
        <v>2</v>
      </c>
      <c r="BI60" s="23"/>
      <c r="BK60" s="23"/>
      <c r="BM60" s="23"/>
      <c r="BO60" s="23"/>
      <c r="BP60" s="49" t="s">
        <v>721</v>
      </c>
      <c r="BQ60" s="50" t="s">
        <v>709</v>
      </c>
      <c r="BS60" s="23"/>
      <c r="BU60" s="23"/>
      <c r="BW60" s="23"/>
      <c r="BY60" s="23"/>
      <c r="CA60" s="23"/>
      <c r="CC60" s="23"/>
      <c r="CE60" s="23"/>
      <c r="CG60" s="23"/>
      <c r="CI60" s="23"/>
      <c r="CK60" s="23"/>
      <c r="CL60">
        <f>LN(1+C60)+SUM(S60,U60,W60,Y60,AF60,AH60)+N(AA60)+N(AC60)+LN(1+AN60)+SQRT(AR60+AU60+SUM(BA60:BL60))+LN(1+BR60)+SUM(BT60,BV60,BX60,BZ60,CB60,CD60)+LN(1+CF60)+SUM(CH60,CJ60)</f>
        <v>10.534233826390535</v>
      </c>
    </row>
    <row r="61" spans="1:90" x14ac:dyDescent="0.2">
      <c r="A61" s="46" t="s">
        <v>316</v>
      </c>
      <c r="B61" s="48" t="s">
        <v>317</v>
      </c>
      <c r="C61">
        <v>13824</v>
      </c>
      <c r="D61" s="44">
        <v>39684.895844907405</v>
      </c>
      <c r="E61" s="44">
        <v>41232.619270833333</v>
      </c>
      <c r="F61" s="44">
        <v>38343.664976851855</v>
      </c>
      <c r="H61" t="s">
        <v>343</v>
      </c>
      <c r="I61" s="47"/>
      <c r="J61">
        <v>0.1</v>
      </c>
      <c r="M61" s="49" t="s">
        <v>344</v>
      </c>
      <c r="N61" s="49" t="s">
        <v>344</v>
      </c>
      <c r="Q61" s="49" t="s">
        <v>722</v>
      </c>
      <c r="T61" s="23"/>
      <c r="V61" s="23"/>
      <c r="X61" s="23"/>
      <c r="Z61" s="23"/>
      <c r="AE61">
        <v>15.251099999999999</v>
      </c>
      <c r="AK61">
        <v>3</v>
      </c>
      <c r="AQ61">
        <v>2</v>
      </c>
      <c r="AV61">
        <v>2</v>
      </c>
      <c r="AW61" s="49" t="s">
        <v>687</v>
      </c>
      <c r="AX61" s="49" t="s">
        <v>706</v>
      </c>
      <c r="AY61">
        <v>2</v>
      </c>
      <c r="BI61" s="23"/>
      <c r="BK61" s="23"/>
      <c r="BM61" s="23"/>
      <c r="BO61" s="23"/>
      <c r="BP61" s="49" t="s">
        <v>367</v>
      </c>
      <c r="BQ61" s="23"/>
      <c r="BS61" s="23"/>
      <c r="BU61" s="23"/>
      <c r="BW61" s="23"/>
      <c r="BY61" s="23"/>
      <c r="CA61" s="23"/>
      <c r="CC61" s="23"/>
      <c r="CE61" s="23"/>
      <c r="CG61" s="23"/>
      <c r="CI61" s="23"/>
      <c r="CK61" s="23"/>
      <c r="CL61">
        <f>LN(1+C61)+SUM(S61,U61,W61,Y61,AF61,AH61)+N(AA61)+N(AC61)+LN(1+AN61)+SQRT(AR61+AU61+SUM(BA61:BL61))+LN(1+BR61)+SUM(BT61,BV61,BX61,BZ61,CB61,CD61)+LN(1+CF61)+SUM(CH61,CJ61)</f>
        <v>9.5342338263905351</v>
      </c>
    </row>
    <row r="62" spans="1:90" x14ac:dyDescent="0.2">
      <c r="A62" s="46" t="s">
        <v>318</v>
      </c>
      <c r="B62" s="48" t="s">
        <v>319</v>
      </c>
      <c r="C62">
        <v>13824</v>
      </c>
      <c r="D62" s="44">
        <v>39684.895844907405</v>
      </c>
      <c r="E62" s="44">
        <v>41232.61928240741</v>
      </c>
      <c r="F62" s="44">
        <v>38343.665555555555</v>
      </c>
      <c r="H62" t="s">
        <v>343</v>
      </c>
      <c r="I62" s="47"/>
      <c r="J62">
        <v>1</v>
      </c>
      <c r="M62" s="49" t="s">
        <v>344</v>
      </c>
      <c r="N62" s="49" t="s">
        <v>344</v>
      </c>
      <c r="Q62" s="49" t="s">
        <v>723</v>
      </c>
      <c r="T62" s="23"/>
      <c r="V62" s="23"/>
      <c r="X62" s="23"/>
      <c r="Z62" s="23"/>
      <c r="AE62">
        <v>15.251099999999999</v>
      </c>
      <c r="AK62">
        <v>3</v>
      </c>
      <c r="AQ62">
        <v>2</v>
      </c>
      <c r="AV62">
        <v>2</v>
      </c>
      <c r="AW62" s="49" t="s">
        <v>687</v>
      </c>
      <c r="AX62" s="49" t="s">
        <v>706</v>
      </c>
      <c r="AY62">
        <v>2</v>
      </c>
      <c r="BI62" s="23"/>
      <c r="BK62" s="23"/>
      <c r="BM62" s="23"/>
      <c r="BO62" s="23"/>
      <c r="BP62" s="49" t="s">
        <v>367</v>
      </c>
      <c r="BQ62" s="23"/>
      <c r="BS62" s="23"/>
      <c r="BU62" s="23"/>
      <c r="BW62" s="23"/>
      <c r="BY62" s="23"/>
      <c r="CA62" s="23"/>
      <c r="CC62" s="23"/>
      <c r="CE62" s="23"/>
      <c r="CG62" s="23"/>
      <c r="CI62" s="23"/>
      <c r="CK62" s="23"/>
      <c r="CL62">
        <f>LN(1+C62)+SUM(S62,U62,W62,Y62,AF62,AH62)+N(AA62)+N(AC62)+LN(1+AN62)+SQRT(AR62+AU62+SUM(BA62:BL62))+LN(1+BR62)+SUM(BT62,BV62,BX62,BZ62,CB62,CD62)+LN(1+CF62)+SUM(CH62,CJ62)</f>
        <v>9.5342338263905351</v>
      </c>
    </row>
    <row r="63" spans="1:90" x14ac:dyDescent="0.2">
      <c r="A63" s="46" t="s">
        <v>320</v>
      </c>
      <c r="B63" s="48" t="s">
        <v>321</v>
      </c>
      <c r="C63">
        <v>13824</v>
      </c>
      <c r="D63" s="44">
        <v>39684.895844907405</v>
      </c>
      <c r="E63" s="44">
        <v>41232.61928240741</v>
      </c>
      <c r="F63" s="44">
        <v>38357.598749999997</v>
      </c>
      <c r="H63" t="s">
        <v>343</v>
      </c>
      <c r="I63" s="47"/>
      <c r="J63">
        <v>0.9</v>
      </c>
      <c r="M63" s="49" t="s">
        <v>344</v>
      </c>
      <c r="N63" s="49" t="s">
        <v>344</v>
      </c>
      <c r="Q63" s="49" t="s">
        <v>705</v>
      </c>
      <c r="T63" s="23"/>
      <c r="V63" s="23"/>
      <c r="X63" s="23"/>
      <c r="Z63" s="23"/>
      <c r="AE63">
        <v>15.251099999999999</v>
      </c>
      <c r="AK63">
        <v>3</v>
      </c>
      <c r="AQ63">
        <v>2</v>
      </c>
      <c r="AV63">
        <v>2</v>
      </c>
      <c r="AW63" s="49" t="s">
        <v>687</v>
      </c>
      <c r="AX63" s="49" t="s">
        <v>706</v>
      </c>
      <c r="AY63">
        <v>2</v>
      </c>
      <c r="BI63" s="23"/>
      <c r="BK63" s="23"/>
      <c r="BM63" s="23"/>
      <c r="BO63" s="23"/>
      <c r="BP63" s="49" t="s">
        <v>367</v>
      </c>
      <c r="BQ63" s="23"/>
      <c r="BS63" s="23"/>
      <c r="BU63" s="23"/>
      <c r="BW63" s="23"/>
      <c r="BY63" s="23"/>
      <c r="CA63" s="23"/>
      <c r="CC63" s="23"/>
      <c r="CE63" s="23"/>
      <c r="CG63" s="23"/>
      <c r="CI63" s="23"/>
      <c r="CK63" s="23"/>
      <c r="CL63">
        <f>LN(1+C63)+SUM(S63,U63,W63,Y63,AF63,AH63)+N(AA63)+N(AC63)+LN(1+AN63)+SQRT(AR63+AU63+SUM(BA63:BL63))+LN(1+BR63)+SUM(BT63,BV63,BX63,BZ63,CB63,CD63)+LN(1+CF63)+SUM(CH63,CJ63)</f>
        <v>9.5342338263905351</v>
      </c>
    </row>
    <row r="64" spans="1:90" x14ac:dyDescent="0.2">
      <c r="A64" s="46" t="s">
        <v>322</v>
      </c>
      <c r="B64" s="48" t="s">
        <v>323</v>
      </c>
      <c r="C64">
        <v>13824</v>
      </c>
      <c r="D64" s="44">
        <v>39684.895844907405</v>
      </c>
      <c r="E64" s="44">
        <v>41232.619293981479</v>
      </c>
      <c r="F64" s="44">
        <v>38343.682592592595</v>
      </c>
      <c r="H64" t="s">
        <v>343</v>
      </c>
      <c r="I64" s="47"/>
      <c r="J64">
        <v>0.1</v>
      </c>
      <c r="M64" s="49" t="s">
        <v>344</v>
      </c>
      <c r="N64" s="49" t="s">
        <v>344</v>
      </c>
      <c r="Q64" s="49" t="s">
        <v>724</v>
      </c>
      <c r="T64" s="23"/>
      <c r="V64" s="23"/>
      <c r="X64" s="23"/>
      <c r="Z64" s="23"/>
      <c r="AE64">
        <v>15.251099999999999</v>
      </c>
      <c r="AJ64">
        <v>1</v>
      </c>
      <c r="AK64">
        <v>3</v>
      </c>
      <c r="AQ64">
        <v>1</v>
      </c>
      <c r="AV64">
        <v>1</v>
      </c>
      <c r="AW64" s="49" t="s">
        <v>687</v>
      </c>
      <c r="AX64" s="49" t="s">
        <v>687</v>
      </c>
      <c r="AY64">
        <v>1</v>
      </c>
      <c r="BI64" s="23"/>
      <c r="BK64" s="23"/>
      <c r="BM64" s="23"/>
      <c r="BO64" s="23"/>
      <c r="BP64" s="49" t="s">
        <v>367</v>
      </c>
      <c r="BQ64" s="23"/>
      <c r="BS64" s="23"/>
      <c r="BU64" s="23"/>
      <c r="BW64" s="23"/>
      <c r="BY64" s="23"/>
      <c r="CA64" s="23"/>
      <c r="CC64" s="23"/>
      <c r="CE64" s="23"/>
      <c r="CG64" s="23"/>
      <c r="CI64" s="23"/>
      <c r="CK64" s="23"/>
      <c r="CL64">
        <f>LN(1+C64)+SUM(S64,U64,W64,Y64,AF64,AH64)+N(AA64)+N(AC64)+LN(1+AN64)+SQRT(AR64+AU64+SUM(BA64:BL64))+LN(1+BR64)+SUM(BT64,BV64,BX64,BZ64,CB64,CD64)+LN(1+CF64)+SUM(CH64,CJ64)</f>
        <v>9.5342338263905351</v>
      </c>
    </row>
  </sheetData>
  <phoneticPr fontId="11" type="noConversion"/>
  <hyperlinks>
    <hyperlink ref="B12" r:id="rId1" display="F:\Docs\Sstest\Budget.xltx"/>
    <hyperlink ref="B13" r:id="rId2" display="F:\Docs\Sstest\circtaxcalc.XLS"/>
    <hyperlink ref="B14" r:id="rId3" display="F:\Docs\Sstest\circtaxcalciter.XLS"/>
    <hyperlink ref="B15" r:id="rId4" display="F:\Docs\Sstest\currency rates.xls"/>
    <hyperlink ref="B16" r:id="rId5" display="F:\Docs\Sstest\data_validation.xls"/>
    <hyperlink ref="B17" r:id="rId6" display="F:\Docs\Sstest\directors private.xls"/>
    <hyperlink ref="B18" r:id="rId7" display="F:\Docs\Sstest\DV2.xls"/>
    <hyperlink ref="B19" r:id="rId8" display="F:\Docs\Sstest\errorid.xls"/>
    <hyperlink ref="B20" r:id="rId9" display="F:\Docs\Sstest\example.xls"/>
    <hyperlink ref="B21" r:id="rId10" display="F:\Docs\Sstest\exampleleft.xls"/>
    <hyperlink ref="B22" r:id="rId11" display="F:\Docs\Sstest\exampleright.xls"/>
    <hyperlink ref="B23" r:id="rId12" display="F:\Docs\Sstest\excbook3.XLS"/>
    <hyperlink ref="B24" r:id="rId13" display="F:\Docs\Sstest\excbook3.xlsx"/>
    <hyperlink ref="B27" r:id="rId14" display="F:\Docs\Sstest\EXPENSE STATEMENT.XLT"/>
    <hyperlink ref="B28" r:id="rId15" display="F:\Docs\Sstest\Fitness Plan.xls"/>
    <hyperlink ref="B30" r:id="rId16" display="F:\Docs\Sstest\Left.xls"/>
    <hyperlink ref="B31" r:id="rId17" display="F:\Docs\Sstest\linkone.xls"/>
    <hyperlink ref="B32" r:id="rId18" display="F:\Docs\Sstest\linkthree.xls"/>
    <hyperlink ref="B33" r:id="rId19" display="F:\Docs\Sstest\linktwo.xls"/>
    <hyperlink ref="B35" r:id="rId20" display="F:\Docs\Sstest\NWind.xls"/>
    <hyperlink ref="B36" r:id="rId21" display="F:\Docs\Sstest\parts copy.xls"/>
    <hyperlink ref="B37" r:id="rId22" display="F:\Docs\Sstest\parts with bad links.xls"/>
    <hyperlink ref="B38" r:id="rId23" display="F:\Docs\Sstest\ProtHid.xls"/>
    <hyperlink ref="B39" r:id="rId24" display="F:\Docs\Sstest\Purchase Order.xlt"/>
    <hyperlink ref="B40" r:id="rId25" display="F:\Docs\Sstest\QueryMaster.xls"/>
    <hyperlink ref="B41" r:id="rId26" display="F:\Docs\Sstest\right.xls"/>
    <hyperlink ref="B42" r:id="rId27" display="F:\Docs\Sstest\SGR Unprotected.XLS"/>
    <hyperlink ref="B43" r:id="rId28" display="F:\Docs\Sstest\taxsimple XL95.xls"/>
    <hyperlink ref="B44" r:id="rId29" display="F:\Docs\Sstest\test.xlt"/>
    <hyperlink ref="B45" r:id="rId30" display="F:\Docs\Sstest\testfmt.xls"/>
    <hyperlink ref="B46" r:id="rId31" display="F:\Docs\Sstest\testme.xls"/>
    <hyperlink ref="B47" r:id="rId32" display="F:\Docs\Sstest\testme1.xls"/>
    <hyperlink ref="B48" r:id="rId33" display="F:\Docs\Sstest\testme2.xls"/>
    <hyperlink ref="B49" r:id="rId34" display="F:\Docs\Sstest\TooComplex.xls"/>
    <hyperlink ref="B50" r:id="rId35" display="F:\Docs\Sstest\Using Data Validation.xls"/>
    <hyperlink ref="B51" r:id="rId36" display="F:\Docs\Sstest\windirtest - Copy.xls"/>
    <hyperlink ref="B52" r:id="rId37" display="F:\Docs\Sstest\lastyear\linktwo (version 1).xls"/>
    <hyperlink ref="B53" r:id="rId38" display="F:\Docs\Sstest\lastyear\linktwo.xls"/>
    <hyperlink ref="B54" r:id="rId39" display="F:\Docs\Sstest\sub.dir\test.xls"/>
    <hyperlink ref="B55" r:id="rId40" display="F:\Docs\Sstest\sub.dir\test2.xls"/>
    <hyperlink ref="B56" r:id="rId41" display="F:\Docs\Sstest\thisyear\linktwo.xls"/>
    <hyperlink ref="B57" r:id="rId42" display="F:\Docs\Sstest\Topdir1\source2.xls"/>
    <hyperlink ref="B58" r:id="rId43" display="F:\Docs\Sstest\Topdir1\test.xls"/>
    <hyperlink ref="B59" r:id="rId44" display="F:\Docs\Sstest\Topdir1\test2.xls"/>
    <hyperlink ref="B60" r:id="rId45" display="F:\Docs\Sstest\Topdir1\testlinks.xls"/>
    <hyperlink ref="B61" r:id="rId46" display="F:\Docs\Sstest\Topdir1\Subdir1\source4.xls"/>
    <hyperlink ref="B62" r:id="rId47" display="F:\Docs\Sstest\Topdir1\Subdir2\source5.xls"/>
    <hyperlink ref="B63" r:id="rId48" display="F:\Docs\Sstest\Topdir2\source1.xls"/>
    <hyperlink ref="B64" r:id="rId49" display="F:\Docs\Sstest\Topdir2\source3.xls"/>
  </hyperlinks>
  <pageMargins left="0.74803149606299213" right="0.74803149606299213" top="0.98425196850393704" bottom="0.98425196850393704" header="0.51181102362204722" footer="0.51181102362204722"/>
  <pageSetup paperSize="9" orientation="landscape" r:id="rId50"/>
  <headerFooter alignWithMargins="0">
    <oddHeader>&amp;LSCANXLS s/n  300, Single(1) User&amp;CA Single Licensee Name&amp;RExample Licensee Company</oddHeader>
    <oddFooter>&amp;LScanxls (c)2004-7 Sysmod.com&amp;CPrinted &amp;D &amp;T&amp;RPage &amp;P of &amp;N</oddFooter>
  </headerFooter>
  <drawing r:id="rId51"/>
  <legacyDrawing r:id="rId52"/>
  <controls>
    <mc:AlternateContent xmlns:mc="http://schemas.openxmlformats.org/markup-compatibility/2006">
      <mc:Choice Requires="x14">
        <control shapeId="1541" r:id="rId53" name="BrowseForFolder">
          <controlPr defaultSize="0" autoLine="0" autoPict="0" r:id="rId54">
            <anchor moveWithCells="1">
              <from>
                <xdr:col>0</xdr:col>
                <xdr:colOff>1704975</xdr:colOff>
                <xdr:row>0</xdr:row>
                <xdr:rowOff>38100</xdr:rowOff>
              </from>
              <to>
                <xdr:col>0</xdr:col>
                <xdr:colOff>3048000</xdr:colOff>
                <xdr:row>0</xdr:row>
                <xdr:rowOff>352425</xdr:rowOff>
              </to>
            </anchor>
          </controlPr>
        </control>
      </mc:Choice>
      <mc:Fallback>
        <control shapeId="1541" r:id="rId53" name="BrowseForFolder"/>
      </mc:Fallback>
    </mc:AlternateContent>
    <mc:AlternateContent xmlns:mc="http://schemas.openxmlformats.org/markup-compatibility/2006">
      <mc:Choice Requires="x14">
        <control shapeId="1185" r:id="rId55" name="ScanXLSbutton">
          <controlPr defaultSize="0" autoLine="0" r:id="rId56">
            <anchor moveWithCells="1">
              <from>
                <xdr:col>0</xdr:col>
                <xdr:colOff>1695450</xdr:colOff>
                <xdr:row>2</xdr:row>
                <xdr:rowOff>38100</xdr:rowOff>
              </from>
              <to>
                <xdr:col>0</xdr:col>
                <xdr:colOff>3048000</xdr:colOff>
                <xdr:row>2</xdr:row>
                <xdr:rowOff>342900</xdr:rowOff>
              </to>
            </anchor>
          </controlPr>
        </control>
      </mc:Choice>
      <mc:Fallback>
        <control shapeId="1185" r:id="rId55" name="ScanXLSbutton"/>
      </mc:Fallback>
    </mc:AlternateContent>
    <mc:AlternateContent xmlns:mc="http://schemas.openxmlformats.org/markup-compatibility/2006">
      <mc:Choice Requires="x14">
        <control shapeId="1025" r:id="rId57" name="ListXLSButton">
          <controlPr defaultSize="0" autoLine="0" r:id="rId58">
            <anchor moveWithCells="1">
              <from>
                <xdr:col>0</xdr:col>
                <xdr:colOff>1695450</xdr:colOff>
                <xdr:row>1</xdr:row>
                <xdr:rowOff>47625</xdr:rowOff>
              </from>
              <to>
                <xdr:col>0</xdr:col>
                <xdr:colOff>3028950</xdr:colOff>
                <xdr:row>1</xdr:row>
                <xdr:rowOff>342900</xdr:rowOff>
              </to>
            </anchor>
          </controlPr>
        </control>
      </mc:Choice>
      <mc:Fallback>
        <control shapeId="1025" r:id="rId57" name="ListXLSButton"/>
      </mc:Fallback>
    </mc:AlternateContent>
  </control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WSheet"/>
  <dimension ref="A1:B7"/>
  <sheetViews>
    <sheetView workbookViewId="0">
      <selection activeCell="A7" sqref="A7"/>
    </sheetView>
  </sheetViews>
  <sheetFormatPr defaultRowHeight="12.75" x14ac:dyDescent="0.2"/>
  <cols>
    <col min="1" max="1" width="35.7109375" customWidth="1"/>
    <col min="2" max="2" width="16.85546875" bestFit="1" customWidth="1"/>
  </cols>
  <sheetData>
    <row r="1" spans="1:2" x14ac:dyDescent="0.2">
      <c r="A1" s="1" t="s">
        <v>103</v>
      </c>
    </row>
    <row r="2" spans="1:2" x14ac:dyDescent="0.2">
      <c r="A2" s="1"/>
    </row>
    <row r="5" spans="1:2" ht="21" customHeight="1" x14ac:dyDescent="0.2">
      <c r="A5" s="3" t="s">
        <v>169</v>
      </c>
      <c r="B5" s="9" t="s">
        <v>60</v>
      </c>
    </row>
    <row r="6" spans="1:2" x14ac:dyDescent="0.2">
      <c r="A6" s="37" t="s">
        <v>325</v>
      </c>
      <c r="B6" t="s">
        <v>59</v>
      </c>
    </row>
    <row r="7" spans="1:2" x14ac:dyDescent="0.2">
      <c r="A7" t="s">
        <v>170</v>
      </c>
      <c r="B7" t="s">
        <v>171</v>
      </c>
    </row>
  </sheetData>
  <phoneticPr fontId="11" type="noConversion"/>
  <pageMargins left="0.74803149606299213" right="0.74803149606299213" top="0.98425196850393704" bottom="0.98425196850393704" header="0.51181102362204722" footer="0.51181102362204722"/>
  <pageSetup paperSize="9" orientation="landscape" r:id="rId1"/>
  <headerFooter alignWithMargins="0">
    <oddHeader>&amp;CSCANXLS 3.41 © 2009 Systems Modelling Ltd.</oddHeader>
    <oddFooter>&amp;LScanxls (c)2004-7 Sysmod.com&amp;CPrinted &amp;D &amp;T&amp;RPage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S31"/>
  <sheetViews>
    <sheetView workbookViewId="0"/>
  </sheetViews>
  <sheetFormatPr defaultRowHeight="12.75" x14ac:dyDescent="0.2"/>
  <cols>
    <col min="2" max="2" width="27.28515625" customWidth="1"/>
    <col min="3" max="3" width="20.85546875" customWidth="1"/>
    <col min="4" max="4" width="6.7109375" customWidth="1"/>
    <col min="5" max="5" width="7.5703125" bestFit="1" customWidth="1"/>
    <col min="6" max="6" width="8.5703125" bestFit="1" customWidth="1"/>
    <col min="7" max="7" width="11.85546875" bestFit="1" customWidth="1"/>
    <col min="8" max="8" width="30.140625" customWidth="1"/>
    <col min="9" max="9" width="21.140625" customWidth="1"/>
    <col min="11" max="11" width="10.7109375" customWidth="1"/>
  </cols>
  <sheetData>
    <row r="1" spans="1:16" x14ac:dyDescent="0.2">
      <c r="A1" s="1" t="s">
        <v>48</v>
      </c>
    </row>
    <row r="2" spans="1:16" x14ac:dyDescent="0.2">
      <c r="A2" t="s">
        <v>98</v>
      </c>
    </row>
    <row r="5" spans="1:16" ht="25.5" x14ac:dyDescent="0.2">
      <c r="A5" s="3" t="s">
        <v>152</v>
      </c>
      <c r="B5" s="3" t="s">
        <v>50</v>
      </c>
      <c r="C5" s="3" t="s">
        <v>61</v>
      </c>
      <c r="D5" s="3" t="s">
        <v>46</v>
      </c>
      <c r="E5" s="3" t="s">
        <v>37</v>
      </c>
      <c r="F5" s="3" t="s">
        <v>38</v>
      </c>
      <c r="G5" s="3" t="s">
        <v>168</v>
      </c>
      <c r="H5" s="3" t="s">
        <v>57</v>
      </c>
      <c r="I5" s="3" t="s">
        <v>58</v>
      </c>
      <c r="J5" s="9" t="s">
        <v>78</v>
      </c>
      <c r="K5" s="14" t="s">
        <v>36</v>
      </c>
      <c r="L5" s="14" t="s">
        <v>153</v>
      </c>
      <c r="M5" s="13" t="s">
        <v>0</v>
      </c>
      <c r="N5" s="13"/>
      <c r="O5" s="13"/>
    </row>
    <row r="6" spans="1:16" ht="20.100000000000001" customHeight="1" x14ac:dyDescent="0.2">
      <c r="A6">
        <v>1</v>
      </c>
      <c r="B6" t="s">
        <v>229</v>
      </c>
      <c r="C6" t="s">
        <v>230</v>
      </c>
      <c r="D6" t="s">
        <v>384</v>
      </c>
      <c r="E6">
        <v>1</v>
      </c>
      <c r="F6" t="b">
        <v>0</v>
      </c>
      <c r="G6" t="s">
        <v>385</v>
      </c>
      <c r="H6" t="s">
        <v>386</v>
      </c>
      <c r="I6" s="52" t="s">
        <v>387</v>
      </c>
      <c r="J6" t="b">
        <v>0</v>
      </c>
      <c r="K6" t="s">
        <v>388</v>
      </c>
      <c r="L6" s="49" t="s">
        <v>389</v>
      </c>
      <c r="M6" s="49" t="s">
        <v>390</v>
      </c>
      <c r="N6" s="49" t="s">
        <v>391</v>
      </c>
      <c r="O6" s="49" t="s">
        <v>392</v>
      </c>
      <c r="P6" s="49" t="s">
        <v>393</v>
      </c>
    </row>
    <row r="7" spans="1:16" ht="12.75" customHeight="1" x14ac:dyDescent="0.2">
      <c r="A7">
        <v>2</v>
      </c>
      <c r="B7" t="s">
        <v>229</v>
      </c>
      <c r="C7" t="s">
        <v>230</v>
      </c>
      <c r="D7" t="s">
        <v>384</v>
      </c>
      <c r="E7">
        <v>2</v>
      </c>
      <c r="F7" t="b">
        <v>0</v>
      </c>
      <c r="G7" t="s">
        <v>394</v>
      </c>
      <c r="H7" t="s">
        <v>395</v>
      </c>
      <c r="I7" s="52" t="s">
        <v>396</v>
      </c>
      <c r="J7" t="b">
        <v>0</v>
      </c>
      <c r="K7" t="s">
        <v>388</v>
      </c>
      <c r="L7" s="49" t="s">
        <v>397</v>
      </c>
    </row>
    <row r="8" spans="1:16" ht="12.75" customHeight="1" x14ac:dyDescent="0.2">
      <c r="A8">
        <v>3</v>
      </c>
      <c r="B8" t="s">
        <v>229</v>
      </c>
      <c r="C8" t="s">
        <v>230</v>
      </c>
      <c r="D8" t="s">
        <v>384</v>
      </c>
      <c r="E8">
        <v>3</v>
      </c>
      <c r="F8" t="b">
        <v>0</v>
      </c>
      <c r="G8" t="s">
        <v>398</v>
      </c>
      <c r="H8" t="s">
        <v>399</v>
      </c>
      <c r="I8" s="52" t="s">
        <v>400</v>
      </c>
      <c r="J8" t="b">
        <v>0</v>
      </c>
      <c r="K8" t="s">
        <v>388</v>
      </c>
      <c r="L8" s="49" t="s">
        <v>401</v>
      </c>
      <c r="M8" s="49" t="s">
        <v>402</v>
      </c>
      <c r="N8" s="49" t="s">
        <v>403</v>
      </c>
      <c r="O8" s="49" t="s">
        <v>404</v>
      </c>
      <c r="P8" s="49" t="s">
        <v>405</v>
      </c>
    </row>
    <row r="9" spans="1:16" ht="12.75" customHeight="1" x14ac:dyDescent="0.2">
      <c r="A9">
        <v>4</v>
      </c>
      <c r="B9" t="s">
        <v>229</v>
      </c>
      <c r="C9" t="s">
        <v>230</v>
      </c>
      <c r="D9" t="s">
        <v>384</v>
      </c>
      <c r="E9">
        <v>4</v>
      </c>
      <c r="F9" t="b">
        <v>1</v>
      </c>
      <c r="G9" t="s">
        <v>406</v>
      </c>
      <c r="H9" t="s">
        <v>407</v>
      </c>
      <c r="I9" s="52" t="s">
        <v>408</v>
      </c>
      <c r="J9" t="b">
        <v>0</v>
      </c>
      <c r="K9" t="s">
        <v>388</v>
      </c>
      <c r="L9" s="49" t="s">
        <v>409</v>
      </c>
      <c r="M9" s="49" t="s">
        <v>410</v>
      </c>
      <c r="N9" s="49" t="s">
        <v>411</v>
      </c>
    </row>
    <row r="10" spans="1:16" ht="12.75" customHeight="1" x14ac:dyDescent="0.2">
      <c r="A10">
        <v>5</v>
      </c>
      <c r="B10" t="s">
        <v>229</v>
      </c>
      <c r="C10" t="s">
        <v>230</v>
      </c>
      <c r="D10" t="s">
        <v>384</v>
      </c>
      <c r="E10">
        <v>5</v>
      </c>
      <c r="F10" t="b">
        <v>0</v>
      </c>
      <c r="G10" t="s">
        <v>412</v>
      </c>
      <c r="H10" t="s">
        <v>395</v>
      </c>
      <c r="I10" s="52" t="s">
        <v>413</v>
      </c>
      <c r="J10" t="b">
        <v>0</v>
      </c>
      <c r="K10" t="s">
        <v>388</v>
      </c>
      <c r="L10" s="49" t="s">
        <v>414</v>
      </c>
    </row>
    <row r="11" spans="1:16" ht="12.75" customHeight="1" x14ac:dyDescent="0.2">
      <c r="A11">
        <v>6</v>
      </c>
      <c r="B11" t="s">
        <v>229</v>
      </c>
      <c r="C11" t="s">
        <v>230</v>
      </c>
      <c r="D11" t="s">
        <v>384</v>
      </c>
      <c r="E11">
        <v>6</v>
      </c>
      <c r="F11" t="b">
        <v>0</v>
      </c>
      <c r="G11" t="s">
        <v>415</v>
      </c>
      <c r="H11" t="s">
        <v>416</v>
      </c>
      <c r="I11" s="52" t="s">
        <v>417</v>
      </c>
      <c r="J11" t="b">
        <v>0</v>
      </c>
      <c r="K11" t="s">
        <v>388</v>
      </c>
      <c r="L11" s="49" t="s">
        <v>418</v>
      </c>
    </row>
    <row r="12" spans="1:16" ht="12.75" customHeight="1" x14ac:dyDescent="0.2">
      <c r="A12">
        <v>7</v>
      </c>
      <c r="B12" t="s">
        <v>229</v>
      </c>
      <c r="C12" t="s">
        <v>230</v>
      </c>
      <c r="D12" t="s">
        <v>384</v>
      </c>
      <c r="E12">
        <v>7</v>
      </c>
      <c r="F12" t="b">
        <v>0</v>
      </c>
      <c r="G12" t="s">
        <v>419</v>
      </c>
      <c r="H12" t="s">
        <v>395</v>
      </c>
      <c r="I12" s="52" t="s">
        <v>420</v>
      </c>
      <c r="J12" t="b">
        <v>0</v>
      </c>
      <c r="K12" t="s">
        <v>388</v>
      </c>
      <c r="L12" s="49" t="s">
        <v>421</v>
      </c>
    </row>
    <row r="13" spans="1:16" ht="12.75" customHeight="1" x14ac:dyDescent="0.2">
      <c r="A13">
        <v>8</v>
      </c>
      <c r="B13" t="s">
        <v>229</v>
      </c>
      <c r="C13" t="s">
        <v>230</v>
      </c>
      <c r="D13" t="s">
        <v>384</v>
      </c>
      <c r="E13">
        <v>8</v>
      </c>
      <c r="F13" t="b">
        <v>0</v>
      </c>
      <c r="G13" t="s">
        <v>422</v>
      </c>
      <c r="H13" t="s">
        <v>395</v>
      </c>
      <c r="I13" s="52" t="s">
        <v>417</v>
      </c>
      <c r="J13" t="b">
        <v>0</v>
      </c>
      <c r="K13" t="s">
        <v>388</v>
      </c>
      <c r="L13" s="49" t="s">
        <v>423</v>
      </c>
    </row>
    <row r="14" spans="1:16" ht="20.100000000000001" customHeight="1" x14ac:dyDescent="0.2">
      <c r="A14">
        <v>9</v>
      </c>
      <c r="B14" t="s">
        <v>237</v>
      </c>
      <c r="C14" t="s">
        <v>238</v>
      </c>
      <c r="D14" t="s">
        <v>384</v>
      </c>
      <c r="E14">
        <v>1</v>
      </c>
      <c r="F14" t="b">
        <v>1</v>
      </c>
      <c r="G14" t="s">
        <v>298</v>
      </c>
      <c r="H14" t="s">
        <v>407</v>
      </c>
      <c r="I14" t="s">
        <v>299</v>
      </c>
      <c r="J14" t="b">
        <v>1</v>
      </c>
      <c r="K14" t="s">
        <v>479</v>
      </c>
      <c r="L14" s="49" t="s">
        <v>480</v>
      </c>
    </row>
    <row r="15" spans="1:16" ht="20.100000000000001" customHeight="1" x14ac:dyDescent="0.2">
      <c r="A15">
        <v>10</v>
      </c>
      <c r="B15" t="s">
        <v>239</v>
      </c>
      <c r="C15" t="s">
        <v>240</v>
      </c>
      <c r="D15" t="s">
        <v>384</v>
      </c>
      <c r="E15">
        <v>1</v>
      </c>
      <c r="F15" t="b">
        <v>1</v>
      </c>
      <c r="G15" t="s">
        <v>298</v>
      </c>
      <c r="H15" t="s">
        <v>407</v>
      </c>
      <c r="I15" t="s">
        <v>299</v>
      </c>
      <c r="J15" t="b">
        <v>1</v>
      </c>
      <c r="K15" t="s">
        <v>479</v>
      </c>
      <c r="L15" s="49" t="s">
        <v>480</v>
      </c>
    </row>
    <row r="16" spans="1:16" ht="20.100000000000001" customHeight="1" x14ac:dyDescent="0.2">
      <c r="A16">
        <v>11</v>
      </c>
      <c r="B16" t="s">
        <v>259</v>
      </c>
      <c r="C16" t="s">
        <v>260</v>
      </c>
      <c r="D16" t="s">
        <v>179</v>
      </c>
      <c r="E16">
        <v>1</v>
      </c>
      <c r="F16" t="b">
        <v>1</v>
      </c>
      <c r="G16" t="s">
        <v>309</v>
      </c>
      <c r="H16" t="s">
        <v>540</v>
      </c>
      <c r="I16" t="s">
        <v>264</v>
      </c>
      <c r="J16" t="b">
        <v>1</v>
      </c>
      <c r="K16" t="s">
        <v>479</v>
      </c>
      <c r="L16" s="49" t="s">
        <v>541</v>
      </c>
    </row>
    <row r="17" spans="1:19" ht="12.75" customHeight="1" x14ac:dyDescent="0.2">
      <c r="A17">
        <v>12</v>
      </c>
      <c r="B17" t="s">
        <v>259</v>
      </c>
      <c r="C17" t="s">
        <v>260</v>
      </c>
      <c r="D17" t="s">
        <v>179</v>
      </c>
      <c r="E17">
        <v>2</v>
      </c>
      <c r="F17" t="b">
        <v>1</v>
      </c>
      <c r="G17" t="s">
        <v>304</v>
      </c>
      <c r="H17" t="s">
        <v>542</v>
      </c>
      <c r="I17" t="s">
        <v>264</v>
      </c>
      <c r="J17" t="b">
        <v>1</v>
      </c>
      <c r="K17" t="s">
        <v>479</v>
      </c>
      <c r="L17" s="49" t="s">
        <v>543</v>
      </c>
    </row>
    <row r="18" spans="1:19" ht="20.100000000000001" customHeight="1" x14ac:dyDescent="0.2">
      <c r="A18">
        <v>13</v>
      </c>
      <c r="B18" t="s">
        <v>261</v>
      </c>
      <c r="C18" t="s">
        <v>262</v>
      </c>
      <c r="D18" t="s">
        <v>179</v>
      </c>
      <c r="E18">
        <v>1</v>
      </c>
      <c r="F18" t="b">
        <v>1</v>
      </c>
      <c r="G18" t="s">
        <v>259</v>
      </c>
      <c r="H18" t="s">
        <v>407</v>
      </c>
      <c r="I18" s="48" t="str">
        <f>$C$16</f>
        <v>linkone.xls</v>
      </c>
      <c r="J18" t="b">
        <v>1</v>
      </c>
      <c r="K18" t="s">
        <v>479</v>
      </c>
      <c r="L18" s="49" t="s">
        <v>549</v>
      </c>
    </row>
    <row r="19" spans="1:19" ht="12.75" customHeight="1" x14ac:dyDescent="0.2">
      <c r="A19">
        <v>14</v>
      </c>
      <c r="B19" t="s">
        <v>261</v>
      </c>
      <c r="C19" t="s">
        <v>262</v>
      </c>
      <c r="D19" t="s">
        <v>179</v>
      </c>
      <c r="E19">
        <v>2</v>
      </c>
      <c r="F19" t="b">
        <v>1</v>
      </c>
      <c r="G19" t="s">
        <v>313</v>
      </c>
      <c r="H19" t="s">
        <v>550</v>
      </c>
      <c r="I19" s="48" t="str">
        <f>$C$28</f>
        <v>test2.xls</v>
      </c>
      <c r="J19" t="b">
        <v>1</v>
      </c>
      <c r="K19" t="s">
        <v>479</v>
      </c>
      <c r="L19" s="49" t="s">
        <v>551</v>
      </c>
    </row>
    <row r="20" spans="1:19" ht="20.100000000000001" customHeight="1" x14ac:dyDescent="0.2">
      <c r="A20">
        <v>15</v>
      </c>
      <c r="B20" t="s">
        <v>270</v>
      </c>
      <c r="C20" t="s">
        <v>271</v>
      </c>
      <c r="D20" t="s">
        <v>384</v>
      </c>
      <c r="E20">
        <v>1</v>
      </c>
      <c r="F20" t="b">
        <v>0</v>
      </c>
      <c r="G20" t="s">
        <v>385</v>
      </c>
      <c r="H20" t="s">
        <v>386</v>
      </c>
      <c r="I20" s="52" t="s">
        <v>387</v>
      </c>
      <c r="J20" t="b">
        <v>0</v>
      </c>
      <c r="K20" t="s">
        <v>388</v>
      </c>
      <c r="L20" s="49" t="s">
        <v>389</v>
      </c>
      <c r="M20" s="49" t="s">
        <v>390</v>
      </c>
      <c r="N20" s="49" t="s">
        <v>576</v>
      </c>
      <c r="O20" s="49" t="s">
        <v>391</v>
      </c>
      <c r="P20" s="49" t="s">
        <v>392</v>
      </c>
      <c r="Q20" s="49" t="s">
        <v>577</v>
      </c>
      <c r="R20" s="49" t="s">
        <v>578</v>
      </c>
      <c r="S20" s="49" t="s">
        <v>393</v>
      </c>
    </row>
    <row r="21" spans="1:19" ht="12.75" customHeight="1" x14ac:dyDescent="0.2">
      <c r="A21">
        <v>16</v>
      </c>
      <c r="B21" t="s">
        <v>270</v>
      </c>
      <c r="C21" t="s">
        <v>271</v>
      </c>
      <c r="D21" t="s">
        <v>384</v>
      </c>
      <c r="E21">
        <v>2</v>
      </c>
      <c r="F21" t="b">
        <v>0</v>
      </c>
      <c r="G21" t="s">
        <v>398</v>
      </c>
      <c r="H21" t="s">
        <v>399</v>
      </c>
      <c r="I21" s="52" t="s">
        <v>400</v>
      </c>
      <c r="J21" t="b">
        <v>0</v>
      </c>
      <c r="K21" t="s">
        <v>388</v>
      </c>
      <c r="L21" s="49" t="s">
        <v>401</v>
      </c>
      <c r="M21" s="49" t="s">
        <v>402</v>
      </c>
      <c r="N21" s="49" t="s">
        <v>403</v>
      </c>
      <c r="O21" s="49" t="s">
        <v>404</v>
      </c>
      <c r="P21" s="49" t="s">
        <v>405</v>
      </c>
    </row>
    <row r="22" spans="1:19" ht="12.75" customHeight="1" x14ac:dyDescent="0.2">
      <c r="A22">
        <v>17</v>
      </c>
      <c r="B22" t="s">
        <v>270</v>
      </c>
      <c r="C22" t="s">
        <v>271</v>
      </c>
      <c r="D22" t="s">
        <v>384</v>
      </c>
      <c r="E22">
        <v>3</v>
      </c>
      <c r="F22" t="b">
        <v>0</v>
      </c>
      <c r="G22" t="s">
        <v>579</v>
      </c>
      <c r="H22" t="s">
        <v>416</v>
      </c>
      <c r="I22" s="52" t="s">
        <v>413</v>
      </c>
      <c r="J22" t="b">
        <v>0</v>
      </c>
      <c r="K22" t="s">
        <v>388</v>
      </c>
      <c r="L22" s="49" t="s">
        <v>580</v>
      </c>
    </row>
    <row r="23" spans="1:19" ht="12.75" customHeight="1" x14ac:dyDescent="0.2">
      <c r="A23">
        <v>18</v>
      </c>
      <c r="B23" t="s">
        <v>270</v>
      </c>
      <c r="C23" t="s">
        <v>271</v>
      </c>
      <c r="D23" t="s">
        <v>384</v>
      </c>
      <c r="E23">
        <v>4</v>
      </c>
      <c r="F23" t="b">
        <v>0</v>
      </c>
      <c r="G23" t="s">
        <v>415</v>
      </c>
      <c r="H23" t="s">
        <v>416</v>
      </c>
      <c r="I23" s="52" t="s">
        <v>417</v>
      </c>
      <c r="J23" t="b">
        <v>0</v>
      </c>
      <c r="K23" t="s">
        <v>388</v>
      </c>
      <c r="L23" s="49" t="s">
        <v>418</v>
      </c>
      <c r="M23" s="49" t="s">
        <v>581</v>
      </c>
    </row>
    <row r="24" spans="1:19" ht="20.100000000000001" customHeight="1" x14ac:dyDescent="0.2">
      <c r="A24">
        <v>19</v>
      </c>
      <c r="B24" t="s">
        <v>302</v>
      </c>
      <c r="C24" t="s">
        <v>303</v>
      </c>
      <c r="D24" t="s">
        <v>179</v>
      </c>
      <c r="E24">
        <v>1</v>
      </c>
      <c r="F24" t="b">
        <v>0</v>
      </c>
      <c r="G24" t="s">
        <v>700</v>
      </c>
      <c r="H24" t="s">
        <v>701</v>
      </c>
      <c r="I24" s="48" t="str">
        <f>$C$18</f>
        <v>linkthree.xls</v>
      </c>
      <c r="J24" t="b">
        <v>1</v>
      </c>
      <c r="K24" t="s">
        <v>479</v>
      </c>
      <c r="L24" s="49" t="s">
        <v>702</v>
      </c>
    </row>
    <row r="25" spans="1:19" ht="20.100000000000001" customHeight="1" x14ac:dyDescent="0.2">
      <c r="A25">
        <v>20</v>
      </c>
      <c r="B25" t="s">
        <v>307</v>
      </c>
      <c r="C25" t="s">
        <v>308</v>
      </c>
      <c r="D25" t="s">
        <v>179</v>
      </c>
      <c r="E25">
        <v>1</v>
      </c>
      <c r="F25" t="b">
        <v>1</v>
      </c>
      <c r="G25" t="s">
        <v>707</v>
      </c>
      <c r="H25" t="s">
        <v>708</v>
      </c>
      <c r="I25" s="52" t="s">
        <v>321</v>
      </c>
      <c r="J25" t="b">
        <v>0</v>
      </c>
      <c r="K25" t="s">
        <v>388</v>
      </c>
      <c r="L25" s="49" t="s">
        <v>709</v>
      </c>
    </row>
    <row r="26" spans="1:19" ht="12.75" customHeight="1" x14ac:dyDescent="0.2">
      <c r="A26">
        <v>21</v>
      </c>
      <c r="B26" t="s">
        <v>307</v>
      </c>
      <c r="C26" t="s">
        <v>308</v>
      </c>
      <c r="D26" t="s">
        <v>179</v>
      </c>
      <c r="E26">
        <v>2</v>
      </c>
      <c r="F26" t="b">
        <v>1</v>
      </c>
      <c r="G26" t="s">
        <v>710</v>
      </c>
      <c r="H26" t="s">
        <v>708</v>
      </c>
      <c r="I26" s="52" t="s">
        <v>311</v>
      </c>
      <c r="J26" t="b">
        <v>0</v>
      </c>
      <c r="K26" t="s">
        <v>388</v>
      </c>
      <c r="L26" s="49" t="s">
        <v>711</v>
      </c>
    </row>
    <row r="27" spans="1:19" ht="12.75" customHeight="1" x14ac:dyDescent="0.2">
      <c r="A27">
        <v>22</v>
      </c>
      <c r="B27" t="s">
        <v>307</v>
      </c>
      <c r="C27" t="s">
        <v>308</v>
      </c>
      <c r="D27" t="s">
        <v>179</v>
      </c>
      <c r="E27">
        <v>3</v>
      </c>
      <c r="F27" t="b">
        <v>0</v>
      </c>
      <c r="G27" t="s">
        <v>712</v>
      </c>
      <c r="H27" t="s">
        <v>713</v>
      </c>
      <c r="I27" s="52" t="s">
        <v>311</v>
      </c>
      <c r="J27" t="b">
        <v>0</v>
      </c>
      <c r="K27" t="s">
        <v>388</v>
      </c>
      <c r="L27" s="49" t="s">
        <v>714</v>
      </c>
    </row>
    <row r="28" spans="1:19" ht="20.100000000000001" customHeight="1" x14ac:dyDescent="0.2">
      <c r="A28">
        <v>23</v>
      </c>
      <c r="B28" t="s">
        <v>313</v>
      </c>
      <c r="C28" t="s">
        <v>308</v>
      </c>
      <c r="D28" t="s">
        <v>179</v>
      </c>
      <c r="E28">
        <v>1</v>
      </c>
      <c r="F28" t="b">
        <v>1</v>
      </c>
      <c r="G28" t="s">
        <v>719</v>
      </c>
      <c r="H28" t="s">
        <v>550</v>
      </c>
      <c r="I28" s="52" t="s">
        <v>321</v>
      </c>
      <c r="J28" t="b">
        <v>0</v>
      </c>
      <c r="K28" t="s">
        <v>388</v>
      </c>
      <c r="L28" s="49" t="s">
        <v>709</v>
      </c>
    </row>
    <row r="29" spans="1:19" ht="12.75" customHeight="1" x14ac:dyDescent="0.2">
      <c r="A29">
        <v>24</v>
      </c>
      <c r="B29" t="s">
        <v>313</v>
      </c>
      <c r="C29" t="s">
        <v>308</v>
      </c>
      <c r="D29" t="s">
        <v>179</v>
      </c>
      <c r="E29">
        <v>2</v>
      </c>
      <c r="F29" t="b">
        <v>1</v>
      </c>
      <c r="G29" t="s">
        <v>310</v>
      </c>
      <c r="H29" t="s">
        <v>550</v>
      </c>
      <c r="I29" t="s">
        <v>311</v>
      </c>
      <c r="J29" t="b">
        <v>1</v>
      </c>
      <c r="K29" t="s">
        <v>479</v>
      </c>
      <c r="L29" s="49" t="s">
        <v>711</v>
      </c>
    </row>
    <row r="30" spans="1:19" ht="12.75" customHeight="1" x14ac:dyDescent="0.2">
      <c r="A30">
        <v>25</v>
      </c>
      <c r="B30" t="s">
        <v>313</v>
      </c>
      <c r="C30" t="s">
        <v>308</v>
      </c>
      <c r="D30" t="s">
        <v>179</v>
      </c>
      <c r="E30">
        <v>3</v>
      </c>
      <c r="F30" t="b">
        <v>0</v>
      </c>
      <c r="G30" t="s">
        <v>712</v>
      </c>
      <c r="H30" t="s">
        <v>713</v>
      </c>
      <c r="I30" s="52" t="s">
        <v>311</v>
      </c>
      <c r="J30" t="b">
        <v>0</v>
      </c>
      <c r="K30" t="s">
        <v>388</v>
      </c>
      <c r="L30" s="49" t="s">
        <v>714</v>
      </c>
    </row>
    <row r="31" spans="1:19" ht="20.100000000000001" customHeight="1" x14ac:dyDescent="0.2">
      <c r="A31">
        <v>26</v>
      </c>
      <c r="B31" t="s">
        <v>314</v>
      </c>
      <c r="C31" t="s">
        <v>315</v>
      </c>
      <c r="D31" t="s">
        <v>179</v>
      </c>
      <c r="E31">
        <v>1</v>
      </c>
      <c r="F31" t="b">
        <v>1</v>
      </c>
      <c r="G31" t="s">
        <v>719</v>
      </c>
      <c r="H31" t="s">
        <v>550</v>
      </c>
      <c r="I31" s="52" t="s">
        <v>321</v>
      </c>
      <c r="J31" t="b">
        <v>0</v>
      </c>
      <c r="K31" t="s">
        <v>388</v>
      </c>
      <c r="L31" s="49" t="s">
        <v>709</v>
      </c>
    </row>
  </sheetData>
  <phoneticPr fontId="11" type="noConversion"/>
  <hyperlinks>
    <hyperlink ref="I18" location="$B$16" display="$B$16"/>
    <hyperlink ref="I19" location="$B$28" display="$B$28"/>
    <hyperlink ref="I24" location="$B$18" display="$B$18"/>
  </hyperlinks>
  <pageMargins left="0.74803149606299213" right="0.74803149606299213" top="0.98425196850393704" bottom="0.98425196850393704" header="0.51181102362204722" footer="0.51181102362204722"/>
  <pageSetup paperSize="9" orientation="landscape" r:id="rId1"/>
  <headerFooter alignWithMargins="0">
    <oddHeader>&amp;CSCANXLS 3.41 © 2009 Systems Modelling Ltd.</oddHeader>
    <oddFooter>&amp;LScanxls (c)2004-7 Sysmod.com&amp;CPrinted &amp;D &amp;T&amp;RPage &amp;P of &amp;N</oddFooter>
  </headerFooter>
  <drawing r:id="rId2"/>
  <legacyDrawing r:id="rId3"/>
  <controls>
    <mc:AlternateContent xmlns:mc="http://schemas.openxmlformats.org/markup-compatibility/2006">
      <mc:Choice Requires="x14">
        <control shapeId="16500" r:id="rId4" name="DrawLinkArrows">
          <controlPr defaultSize="0" autoLine="0" r:id="rId5">
            <anchor moveWithCells="1">
              <from>
                <xdr:col>4</xdr:col>
                <xdr:colOff>28575</xdr:colOff>
                <xdr:row>0</xdr:row>
                <xdr:rowOff>28575</xdr:rowOff>
              </from>
              <to>
                <xdr:col>6</xdr:col>
                <xdr:colOff>295275</xdr:colOff>
                <xdr:row>1</xdr:row>
                <xdr:rowOff>142875</xdr:rowOff>
              </to>
            </anchor>
          </controlPr>
        </control>
      </mc:Choice>
      <mc:Fallback>
        <control shapeId="16500" r:id="rId4" name="DrawLinkArrows"/>
      </mc:Fallback>
    </mc:AlternateContent>
  </control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H35"/>
  <sheetViews>
    <sheetView workbookViewId="0"/>
  </sheetViews>
  <sheetFormatPr defaultRowHeight="12.75" x14ac:dyDescent="0.2"/>
  <cols>
    <col min="1" max="1" width="6" style="11" bestFit="1" customWidth="1"/>
    <col min="2" max="2" width="32.5703125" style="11" bestFit="1" customWidth="1"/>
    <col min="3" max="3" width="22.28515625" style="11" bestFit="1" customWidth="1"/>
    <col min="4" max="4" width="33.85546875" style="11" bestFit="1" customWidth="1"/>
    <col min="5" max="5" width="21.7109375" style="11" bestFit="1" customWidth="1"/>
    <col min="6" max="6" width="26.28515625" style="11" bestFit="1" customWidth="1"/>
    <col min="7" max="8" width="80.7109375" style="11" customWidth="1"/>
    <col min="9" max="16384" width="9.140625" style="11"/>
  </cols>
  <sheetData>
    <row r="1" spans="1:8" x14ac:dyDescent="0.2">
      <c r="A1" s="10" t="s">
        <v>154</v>
      </c>
      <c r="B1" s="10" t="s">
        <v>155</v>
      </c>
      <c r="C1" s="10"/>
    </row>
    <row r="2" spans="1:8" x14ac:dyDescent="0.2">
      <c r="B2" s="10"/>
      <c r="C2" s="10"/>
    </row>
    <row r="5" spans="1:8" ht="21" customHeight="1" x14ac:dyDescent="0.2">
      <c r="A5" s="12" t="s">
        <v>152</v>
      </c>
      <c r="B5" s="12" t="s">
        <v>50</v>
      </c>
      <c r="C5" s="12" t="s">
        <v>61</v>
      </c>
      <c r="D5" s="12" t="s">
        <v>99</v>
      </c>
      <c r="E5" s="12" t="s">
        <v>45</v>
      </c>
      <c r="F5" s="13" t="s">
        <v>46</v>
      </c>
      <c r="G5" s="13" t="s">
        <v>47</v>
      </c>
      <c r="H5" s="13" t="s">
        <v>56</v>
      </c>
    </row>
    <row r="6" spans="1:8" ht="20.100000000000001" customHeight="1" x14ac:dyDescent="0.2">
      <c r="A6" s="11">
        <v>1</v>
      </c>
      <c r="B6" s="11" t="s">
        <v>201</v>
      </c>
      <c r="C6" s="11" t="s">
        <v>226</v>
      </c>
      <c r="D6" s="11" t="s">
        <v>353</v>
      </c>
      <c r="E6" s="51" t="s">
        <v>354</v>
      </c>
      <c r="F6" s="11" t="s">
        <v>355</v>
      </c>
      <c r="G6" s="51" t="s">
        <v>356</v>
      </c>
      <c r="H6" s="11" t="s">
        <v>357</v>
      </c>
    </row>
    <row r="7" spans="1:8" ht="20.100000000000001" customHeight="1" x14ac:dyDescent="0.2">
      <c r="A7" s="11">
        <v>2</v>
      </c>
      <c r="B7" s="11" t="s">
        <v>201</v>
      </c>
      <c r="C7" s="11" t="s">
        <v>238</v>
      </c>
      <c r="D7" s="11" t="s">
        <v>481</v>
      </c>
      <c r="E7" s="51" t="s">
        <v>482</v>
      </c>
      <c r="F7" s="11" t="s">
        <v>483</v>
      </c>
      <c r="G7" s="51" t="s">
        <v>484</v>
      </c>
      <c r="H7" s="51" t="s">
        <v>485</v>
      </c>
    </row>
    <row r="8" spans="1:8" x14ac:dyDescent="0.2">
      <c r="A8" s="11">
        <v>3</v>
      </c>
      <c r="B8" s="11" t="s">
        <v>201</v>
      </c>
      <c r="C8" s="11" t="s">
        <v>238</v>
      </c>
      <c r="D8" s="11" t="s">
        <v>486</v>
      </c>
      <c r="E8" s="51" t="s">
        <v>487</v>
      </c>
      <c r="F8" s="11" t="s">
        <v>488</v>
      </c>
      <c r="G8" s="51" t="s">
        <v>489</v>
      </c>
      <c r="H8" s="11" t="s">
        <v>357</v>
      </c>
    </row>
    <row r="9" spans="1:8" x14ac:dyDescent="0.2">
      <c r="A9" s="11">
        <v>4</v>
      </c>
      <c r="B9" s="11" t="s">
        <v>201</v>
      </c>
      <c r="C9" s="11" t="s">
        <v>238</v>
      </c>
      <c r="D9" s="11" t="s">
        <v>490</v>
      </c>
      <c r="E9" s="51" t="s">
        <v>491</v>
      </c>
      <c r="F9" s="11" t="s">
        <v>492</v>
      </c>
      <c r="G9" s="51" t="s">
        <v>493</v>
      </c>
      <c r="H9" s="51" t="s">
        <v>494</v>
      </c>
    </row>
    <row r="10" spans="1:8" x14ac:dyDescent="0.2">
      <c r="A10" s="11">
        <v>5</v>
      </c>
      <c r="B10" s="11" t="s">
        <v>201</v>
      </c>
      <c r="C10" s="11" t="s">
        <v>238</v>
      </c>
      <c r="D10" s="11" t="s">
        <v>495</v>
      </c>
      <c r="E10" s="51" t="s">
        <v>496</v>
      </c>
      <c r="F10" s="11" t="s">
        <v>497</v>
      </c>
      <c r="G10" s="11" t="s">
        <v>498</v>
      </c>
    </row>
    <row r="11" spans="1:8" x14ac:dyDescent="0.2">
      <c r="A11" s="11">
        <v>6</v>
      </c>
      <c r="B11" s="11" t="s">
        <v>201</v>
      </c>
      <c r="C11" s="11" t="s">
        <v>238</v>
      </c>
      <c r="D11" s="11" t="s">
        <v>353</v>
      </c>
      <c r="E11" s="51" t="s">
        <v>354</v>
      </c>
      <c r="F11" s="11" t="s">
        <v>355</v>
      </c>
      <c r="G11" s="51" t="s">
        <v>356</v>
      </c>
      <c r="H11" s="11" t="s">
        <v>357</v>
      </c>
    </row>
    <row r="12" spans="1:8" ht="20.100000000000001" customHeight="1" x14ac:dyDescent="0.2">
      <c r="A12" s="11">
        <v>7</v>
      </c>
      <c r="B12" s="11" t="s">
        <v>201</v>
      </c>
      <c r="C12" s="11" t="s">
        <v>240</v>
      </c>
      <c r="D12" s="11" t="s">
        <v>481</v>
      </c>
      <c r="E12" s="51" t="s">
        <v>482</v>
      </c>
      <c r="F12" s="11" t="s">
        <v>483</v>
      </c>
      <c r="G12" s="51" t="s">
        <v>484</v>
      </c>
      <c r="H12" s="51" t="s">
        <v>485</v>
      </c>
    </row>
    <row r="13" spans="1:8" x14ac:dyDescent="0.2">
      <c r="A13" s="11">
        <v>8</v>
      </c>
      <c r="B13" s="11" t="s">
        <v>201</v>
      </c>
      <c r="C13" s="11" t="s">
        <v>240</v>
      </c>
      <c r="D13" s="11" t="s">
        <v>486</v>
      </c>
      <c r="E13" s="51" t="s">
        <v>487</v>
      </c>
      <c r="F13" s="11" t="s">
        <v>488</v>
      </c>
      <c r="G13" s="51" t="s">
        <v>489</v>
      </c>
      <c r="H13" s="11" t="s">
        <v>357</v>
      </c>
    </row>
    <row r="14" spans="1:8" x14ac:dyDescent="0.2">
      <c r="A14" s="11">
        <v>9</v>
      </c>
      <c r="B14" s="11" t="s">
        <v>201</v>
      </c>
      <c r="C14" s="11" t="s">
        <v>240</v>
      </c>
      <c r="D14" s="11" t="s">
        <v>490</v>
      </c>
      <c r="E14" s="51" t="s">
        <v>491</v>
      </c>
      <c r="F14" s="11" t="s">
        <v>492</v>
      </c>
      <c r="G14" s="51" t="s">
        <v>493</v>
      </c>
      <c r="H14" s="51" t="s">
        <v>494</v>
      </c>
    </row>
    <row r="15" spans="1:8" x14ac:dyDescent="0.2">
      <c r="A15" s="11">
        <v>10</v>
      </c>
      <c r="B15" s="11" t="s">
        <v>201</v>
      </c>
      <c r="C15" s="11" t="s">
        <v>240</v>
      </c>
      <c r="D15" s="11" t="s">
        <v>495</v>
      </c>
      <c r="E15" s="51" t="s">
        <v>496</v>
      </c>
      <c r="F15" s="11" t="s">
        <v>497</v>
      </c>
      <c r="G15" s="11" t="s">
        <v>498</v>
      </c>
    </row>
    <row r="16" spans="1:8" x14ac:dyDescent="0.2">
      <c r="A16" s="11">
        <v>11</v>
      </c>
      <c r="B16" s="11" t="s">
        <v>201</v>
      </c>
      <c r="C16" s="11" t="s">
        <v>240</v>
      </c>
      <c r="D16" s="11" t="s">
        <v>353</v>
      </c>
      <c r="E16" s="51" t="s">
        <v>354</v>
      </c>
      <c r="F16" s="11" t="s">
        <v>355</v>
      </c>
      <c r="G16" s="51" t="s">
        <v>356</v>
      </c>
      <c r="H16" s="11" t="s">
        <v>357</v>
      </c>
    </row>
    <row r="17" spans="1:8" ht="20.100000000000001" customHeight="1" x14ac:dyDescent="0.2">
      <c r="A17" s="11">
        <v>12</v>
      </c>
      <c r="B17" s="11" t="s">
        <v>201</v>
      </c>
      <c r="C17" s="11" t="s">
        <v>254</v>
      </c>
      <c r="D17" s="11" t="s">
        <v>486</v>
      </c>
      <c r="E17" s="51" t="s">
        <v>487</v>
      </c>
      <c r="F17" s="11" t="s">
        <v>488</v>
      </c>
      <c r="G17" s="51" t="s">
        <v>489</v>
      </c>
      <c r="H17" s="11" t="s">
        <v>357</v>
      </c>
    </row>
    <row r="18" spans="1:8" ht="20.100000000000001" customHeight="1" x14ac:dyDescent="0.2">
      <c r="A18" s="11">
        <v>13</v>
      </c>
      <c r="B18" s="11" t="s">
        <v>201</v>
      </c>
      <c r="C18" s="11" t="s">
        <v>269</v>
      </c>
      <c r="D18" s="11" t="s">
        <v>481</v>
      </c>
      <c r="E18" s="51" t="s">
        <v>561</v>
      </c>
      <c r="F18" s="11" t="s">
        <v>483</v>
      </c>
      <c r="G18" s="51" t="s">
        <v>484</v>
      </c>
      <c r="H18" s="51" t="s">
        <v>562</v>
      </c>
    </row>
    <row r="19" spans="1:8" x14ac:dyDescent="0.2">
      <c r="A19" s="11">
        <v>14</v>
      </c>
      <c r="B19" s="11" t="s">
        <v>201</v>
      </c>
      <c r="C19" s="11" t="s">
        <v>269</v>
      </c>
      <c r="D19" s="11" t="s">
        <v>481</v>
      </c>
      <c r="E19" s="51" t="s">
        <v>563</v>
      </c>
      <c r="F19" s="11" t="s">
        <v>483</v>
      </c>
      <c r="G19" s="51" t="s">
        <v>484</v>
      </c>
      <c r="H19" s="51" t="s">
        <v>564</v>
      </c>
    </row>
    <row r="20" spans="1:8" x14ac:dyDescent="0.2">
      <c r="A20" s="11">
        <v>15</v>
      </c>
      <c r="B20" s="11" t="s">
        <v>201</v>
      </c>
      <c r="C20" s="11" t="s">
        <v>269</v>
      </c>
      <c r="D20" s="11" t="s">
        <v>481</v>
      </c>
      <c r="E20" s="51" t="s">
        <v>565</v>
      </c>
      <c r="F20" s="11" t="s">
        <v>483</v>
      </c>
      <c r="G20" s="51" t="s">
        <v>484</v>
      </c>
      <c r="H20" s="51" t="s">
        <v>566</v>
      </c>
    </row>
    <row r="21" spans="1:8" x14ac:dyDescent="0.2">
      <c r="A21" s="11">
        <v>16</v>
      </c>
      <c r="B21" s="11" t="s">
        <v>201</v>
      </c>
      <c r="C21" s="11" t="s">
        <v>269</v>
      </c>
      <c r="D21" s="11" t="s">
        <v>481</v>
      </c>
      <c r="E21" s="51" t="s">
        <v>567</v>
      </c>
      <c r="F21" s="11" t="s">
        <v>483</v>
      </c>
      <c r="G21" s="51" t="s">
        <v>484</v>
      </c>
      <c r="H21" s="51" t="s">
        <v>568</v>
      </c>
    </row>
    <row r="22" spans="1:8" x14ac:dyDescent="0.2">
      <c r="A22" s="11">
        <v>17</v>
      </c>
      <c r="B22" s="11" t="s">
        <v>201</v>
      </c>
      <c r="C22" s="11" t="s">
        <v>269</v>
      </c>
      <c r="D22" s="11" t="s">
        <v>481</v>
      </c>
      <c r="E22" s="51" t="s">
        <v>569</v>
      </c>
      <c r="F22" s="11" t="s">
        <v>483</v>
      </c>
      <c r="G22" s="51" t="s">
        <v>484</v>
      </c>
      <c r="H22" s="51" t="s">
        <v>570</v>
      </c>
    </row>
    <row r="23" spans="1:8" x14ac:dyDescent="0.2">
      <c r="A23" s="11">
        <v>18</v>
      </c>
      <c r="B23" s="11" t="s">
        <v>201</v>
      </c>
      <c r="C23" s="11" t="s">
        <v>269</v>
      </c>
      <c r="D23" s="11" t="s">
        <v>481</v>
      </c>
      <c r="E23" s="51" t="s">
        <v>482</v>
      </c>
      <c r="F23" s="11" t="s">
        <v>483</v>
      </c>
      <c r="G23" s="51" t="s">
        <v>484</v>
      </c>
      <c r="H23" s="51" t="s">
        <v>485</v>
      </c>
    </row>
    <row r="24" spans="1:8" ht="20.100000000000001" customHeight="1" x14ac:dyDescent="0.2">
      <c r="A24" s="11">
        <v>19</v>
      </c>
      <c r="B24" s="11" t="s">
        <v>201</v>
      </c>
      <c r="C24" s="11" t="s">
        <v>279</v>
      </c>
      <c r="D24" s="11" t="s">
        <v>495</v>
      </c>
      <c r="E24" s="51" t="s">
        <v>496</v>
      </c>
      <c r="F24" s="11" t="s">
        <v>497</v>
      </c>
      <c r="G24" s="11" t="s">
        <v>498</v>
      </c>
    </row>
    <row r="25" spans="1:8" x14ac:dyDescent="0.2">
      <c r="A25" s="11">
        <v>20</v>
      </c>
      <c r="B25" s="11" t="s">
        <v>201</v>
      </c>
      <c r="C25" s="11" t="s">
        <v>279</v>
      </c>
      <c r="D25" s="11" t="s">
        <v>608</v>
      </c>
      <c r="E25" s="51" t="s">
        <v>609</v>
      </c>
      <c r="F25" s="11" t="s">
        <v>497</v>
      </c>
      <c r="G25" s="11" t="s">
        <v>498</v>
      </c>
    </row>
    <row r="26" spans="1:8" x14ac:dyDescent="0.2">
      <c r="A26" s="11">
        <v>21</v>
      </c>
      <c r="B26" s="11" t="s">
        <v>201</v>
      </c>
      <c r="C26" s="11" t="s">
        <v>279</v>
      </c>
      <c r="D26" s="11" t="s">
        <v>608</v>
      </c>
      <c r="E26" s="51" t="s">
        <v>610</v>
      </c>
      <c r="F26" s="11" t="s">
        <v>497</v>
      </c>
      <c r="G26" s="11" t="s">
        <v>498</v>
      </c>
    </row>
    <row r="27" spans="1:8" x14ac:dyDescent="0.2">
      <c r="A27" s="11">
        <v>22</v>
      </c>
      <c r="B27" s="11" t="s">
        <v>201</v>
      </c>
      <c r="C27" s="11" t="s">
        <v>279</v>
      </c>
      <c r="D27" s="11" t="s">
        <v>611</v>
      </c>
      <c r="E27" s="51" t="s">
        <v>612</v>
      </c>
      <c r="F27" s="11" t="s">
        <v>497</v>
      </c>
      <c r="G27" s="11" t="s">
        <v>498</v>
      </c>
    </row>
    <row r="28" spans="1:8" x14ac:dyDescent="0.2">
      <c r="A28" s="11">
        <v>23</v>
      </c>
      <c r="B28" s="11" t="s">
        <v>201</v>
      </c>
      <c r="C28" s="11" t="s">
        <v>279</v>
      </c>
      <c r="D28" s="11" t="s">
        <v>611</v>
      </c>
      <c r="E28" s="51" t="s">
        <v>613</v>
      </c>
      <c r="F28" s="11" t="s">
        <v>497</v>
      </c>
      <c r="G28" s="11" t="s">
        <v>498</v>
      </c>
    </row>
    <row r="29" spans="1:8" x14ac:dyDescent="0.2">
      <c r="A29" s="11">
        <v>24</v>
      </c>
      <c r="B29" s="11" t="s">
        <v>201</v>
      </c>
      <c r="C29" s="11" t="s">
        <v>279</v>
      </c>
      <c r="D29" s="11" t="s">
        <v>608</v>
      </c>
      <c r="E29" s="51" t="s">
        <v>614</v>
      </c>
      <c r="F29" s="11" t="s">
        <v>497</v>
      </c>
      <c r="G29" s="11" t="s">
        <v>498</v>
      </c>
    </row>
    <row r="30" spans="1:8" x14ac:dyDescent="0.2">
      <c r="A30" s="11">
        <v>25</v>
      </c>
      <c r="B30" s="11" t="s">
        <v>201</v>
      </c>
      <c r="C30" s="11" t="s">
        <v>279</v>
      </c>
      <c r="D30" s="11" t="s">
        <v>615</v>
      </c>
      <c r="E30" s="51" t="s">
        <v>616</v>
      </c>
      <c r="F30" s="11" t="s">
        <v>497</v>
      </c>
      <c r="G30" s="11" t="s">
        <v>498</v>
      </c>
    </row>
    <row r="31" spans="1:8" x14ac:dyDescent="0.2">
      <c r="A31" s="11">
        <v>26</v>
      </c>
      <c r="B31" s="11" t="s">
        <v>201</v>
      </c>
      <c r="C31" s="11" t="s">
        <v>279</v>
      </c>
      <c r="D31" s="11" t="s">
        <v>608</v>
      </c>
      <c r="E31" s="51" t="s">
        <v>617</v>
      </c>
      <c r="F31" s="11" t="s">
        <v>497</v>
      </c>
      <c r="G31" s="11" t="s">
        <v>498</v>
      </c>
    </row>
    <row r="32" spans="1:8" x14ac:dyDescent="0.2">
      <c r="A32" s="11">
        <v>27</v>
      </c>
      <c r="B32" s="11" t="s">
        <v>201</v>
      </c>
      <c r="C32" s="11" t="s">
        <v>279</v>
      </c>
      <c r="D32" s="11" t="s">
        <v>611</v>
      </c>
      <c r="E32" s="51" t="s">
        <v>618</v>
      </c>
      <c r="F32" s="11" t="s">
        <v>497</v>
      </c>
      <c r="G32" s="11" t="s">
        <v>498</v>
      </c>
    </row>
    <row r="33" spans="1:8" x14ac:dyDescent="0.2">
      <c r="A33" s="11">
        <v>28</v>
      </c>
      <c r="B33" s="11" t="s">
        <v>201</v>
      </c>
      <c r="C33" s="11" t="s">
        <v>279</v>
      </c>
      <c r="D33" s="11" t="s">
        <v>619</v>
      </c>
      <c r="E33" s="51" t="s">
        <v>620</v>
      </c>
      <c r="F33" s="11" t="s">
        <v>497</v>
      </c>
      <c r="G33" s="11" t="s">
        <v>498</v>
      </c>
    </row>
    <row r="34" spans="1:8" ht="20.100000000000001" customHeight="1" x14ac:dyDescent="0.2">
      <c r="A34" s="11">
        <v>29</v>
      </c>
      <c r="B34" s="11" t="s">
        <v>201</v>
      </c>
      <c r="C34" s="11" t="s">
        <v>299</v>
      </c>
      <c r="D34" s="11" t="s">
        <v>490</v>
      </c>
      <c r="E34" s="51" t="s">
        <v>692</v>
      </c>
      <c r="F34" s="11" t="s">
        <v>492</v>
      </c>
      <c r="G34" s="51" t="s">
        <v>493</v>
      </c>
      <c r="H34" s="51" t="s">
        <v>494</v>
      </c>
    </row>
    <row r="35" spans="1:8" ht="20.100000000000001" customHeight="1" x14ac:dyDescent="0.2"/>
  </sheetData>
  <phoneticPr fontId="11" type="noConversion"/>
  <pageMargins left="0.74803149606299213" right="0.74803149606299213" top="0.98425196850393704" bottom="0.98425196850393704" header="0.51181102362204722" footer="0.51181102362204722"/>
  <pageSetup paperSize="9" orientation="landscape" r:id="rId1"/>
  <headerFooter alignWithMargins="0">
    <oddHeader>&amp;CSCANXLS 3.41 © 2009 Systems Modelling Ltd.</oddHeader>
    <oddFooter>&amp;LScanxls (c)2004-7 Sysmod.com&amp;CPrinted &amp;D &amp;T&amp;RPage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H12"/>
  <sheetViews>
    <sheetView workbookViewId="0">
      <selection activeCell="A6" sqref="A6"/>
    </sheetView>
  </sheetViews>
  <sheetFormatPr defaultRowHeight="12.75" x14ac:dyDescent="0.2"/>
  <cols>
    <col min="1" max="1" width="4.5703125" customWidth="1"/>
    <col min="2" max="2" width="13.7109375" customWidth="1"/>
    <col min="3" max="3" width="17.28515625" bestFit="1" customWidth="1"/>
    <col min="4" max="4" width="12.85546875" bestFit="1" customWidth="1"/>
    <col min="5" max="5" width="5.42578125" customWidth="1"/>
    <col min="6" max="6" width="8.85546875" customWidth="1"/>
    <col min="7" max="8" width="26.5703125" bestFit="1" customWidth="1"/>
  </cols>
  <sheetData>
    <row r="1" spans="1:8" x14ac:dyDescent="0.2">
      <c r="A1" s="10" t="s">
        <v>162</v>
      </c>
      <c r="B1" s="10" t="s">
        <v>163</v>
      </c>
      <c r="C1" s="10"/>
      <c r="D1" s="10" t="s">
        <v>167</v>
      </c>
      <c r="E1" s="11"/>
      <c r="F1" s="11"/>
      <c r="G1" s="11"/>
      <c r="H1" s="11"/>
    </row>
    <row r="2" spans="1:8" x14ac:dyDescent="0.2">
      <c r="A2" s="11"/>
      <c r="B2" s="10"/>
      <c r="C2" s="10"/>
      <c r="D2" s="11"/>
      <c r="E2" s="11"/>
      <c r="F2" s="11"/>
      <c r="G2" s="11"/>
      <c r="H2" s="11"/>
    </row>
    <row r="3" spans="1:8" x14ac:dyDescent="0.2">
      <c r="A3" s="11"/>
      <c r="B3" s="11"/>
      <c r="C3" s="11"/>
      <c r="D3" s="11"/>
      <c r="E3" s="11"/>
      <c r="F3" s="11"/>
      <c r="G3" s="11"/>
      <c r="H3" s="11"/>
    </row>
    <row r="4" spans="1:8" x14ac:dyDescent="0.2">
      <c r="A4" s="11"/>
      <c r="B4" s="11"/>
      <c r="C4" s="11"/>
      <c r="D4" s="11"/>
      <c r="E4" s="11"/>
      <c r="F4" s="11"/>
      <c r="G4" s="11"/>
      <c r="H4" s="11"/>
    </row>
    <row r="5" spans="1:8" x14ac:dyDescent="0.2">
      <c r="A5" s="12" t="s">
        <v>152</v>
      </c>
      <c r="B5" s="12" t="s">
        <v>50</v>
      </c>
      <c r="C5" s="12" t="s">
        <v>61</v>
      </c>
      <c r="D5" s="12" t="s">
        <v>158</v>
      </c>
      <c r="E5" s="12" t="s">
        <v>159</v>
      </c>
      <c r="F5" s="13" t="s">
        <v>164</v>
      </c>
      <c r="G5" s="13" t="s">
        <v>161</v>
      </c>
      <c r="H5" s="13" t="s">
        <v>160</v>
      </c>
    </row>
    <row r="6" spans="1:8" x14ac:dyDescent="0.2">
      <c r="A6">
        <v>1</v>
      </c>
      <c r="B6" t="s">
        <v>201</v>
      </c>
      <c r="C6" t="s">
        <v>228</v>
      </c>
      <c r="D6" t="s">
        <v>368</v>
      </c>
      <c r="E6">
        <v>3</v>
      </c>
      <c r="F6" s="49" t="s">
        <v>369</v>
      </c>
      <c r="G6" s="49" t="s">
        <v>370</v>
      </c>
      <c r="H6" s="49" t="s">
        <v>370</v>
      </c>
    </row>
    <row r="7" spans="1:8" x14ac:dyDescent="0.2">
      <c r="A7">
        <v>2</v>
      </c>
      <c r="B7" t="s">
        <v>201</v>
      </c>
      <c r="C7" t="s">
        <v>230</v>
      </c>
      <c r="D7" t="s">
        <v>368</v>
      </c>
      <c r="E7">
        <v>1</v>
      </c>
      <c r="F7" s="49" t="s">
        <v>369</v>
      </c>
      <c r="G7" s="49" t="s">
        <v>370</v>
      </c>
      <c r="H7" s="49" t="s">
        <v>370</v>
      </c>
    </row>
    <row r="8" spans="1:8" x14ac:dyDescent="0.2">
      <c r="A8">
        <v>3</v>
      </c>
      <c r="B8" t="s">
        <v>201</v>
      </c>
      <c r="C8" t="s">
        <v>279</v>
      </c>
      <c r="D8" t="s">
        <v>601</v>
      </c>
      <c r="E8">
        <v>59</v>
      </c>
      <c r="F8" s="49" t="s">
        <v>369</v>
      </c>
      <c r="G8" s="49" t="s">
        <v>602</v>
      </c>
      <c r="H8" s="49" t="s">
        <v>602</v>
      </c>
    </row>
    <row r="9" spans="1:8" x14ac:dyDescent="0.2">
      <c r="A9">
        <v>4</v>
      </c>
      <c r="B9" t="s">
        <v>201</v>
      </c>
      <c r="C9" t="s">
        <v>279</v>
      </c>
      <c r="D9" t="s">
        <v>601</v>
      </c>
      <c r="E9">
        <v>63</v>
      </c>
      <c r="F9" s="49" t="s">
        <v>369</v>
      </c>
      <c r="G9" s="49" t="s">
        <v>603</v>
      </c>
      <c r="H9" s="49" t="s">
        <v>603</v>
      </c>
    </row>
    <row r="10" spans="1:8" x14ac:dyDescent="0.2">
      <c r="A10">
        <v>5</v>
      </c>
      <c r="B10" t="s">
        <v>201</v>
      </c>
      <c r="C10" t="s">
        <v>279</v>
      </c>
      <c r="D10" t="s">
        <v>601</v>
      </c>
      <c r="E10">
        <v>78</v>
      </c>
      <c r="F10" s="49" t="s">
        <v>369</v>
      </c>
      <c r="G10" s="49" t="s">
        <v>604</v>
      </c>
      <c r="H10" s="49" t="s">
        <v>604</v>
      </c>
    </row>
    <row r="11" spans="1:8" x14ac:dyDescent="0.2">
      <c r="A11">
        <v>6</v>
      </c>
      <c r="B11" t="s">
        <v>201</v>
      </c>
      <c r="C11" t="s">
        <v>279</v>
      </c>
      <c r="D11" t="s">
        <v>601</v>
      </c>
      <c r="E11">
        <v>81</v>
      </c>
      <c r="F11" s="49" t="s">
        <v>605</v>
      </c>
      <c r="G11" s="49" t="s">
        <v>606</v>
      </c>
      <c r="H11" s="49" t="s">
        <v>606</v>
      </c>
    </row>
    <row r="12" spans="1:8" x14ac:dyDescent="0.2">
      <c r="A12">
        <v>7</v>
      </c>
      <c r="B12" t="s">
        <v>201</v>
      </c>
      <c r="C12" t="s">
        <v>279</v>
      </c>
      <c r="D12" t="s">
        <v>601</v>
      </c>
      <c r="E12">
        <v>82</v>
      </c>
      <c r="F12" s="49" t="s">
        <v>605</v>
      </c>
      <c r="G12" s="49" t="s">
        <v>607</v>
      </c>
      <c r="H12" s="49" t="s">
        <v>607</v>
      </c>
    </row>
  </sheetData>
  <phoneticPr fontId="11" type="noConversion"/>
  <pageMargins left="0.75" right="0.75" top="1" bottom="1" header="0.5" footer="0.5"/>
  <pageSetup paperSize="9" orientation="portrait" r:id="rId1"/>
  <headerFooter alignWithMargins="0">
    <oddHeader>&amp;CSCANXLS 3.41 © 2009 Systems Modelling Ltd.</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WBCSheet"/>
  <dimension ref="A1:D5"/>
  <sheetViews>
    <sheetView workbookViewId="0"/>
  </sheetViews>
  <sheetFormatPr defaultRowHeight="12.75" x14ac:dyDescent="0.2"/>
  <cols>
    <col min="1" max="1" width="15.7109375" customWidth="1"/>
    <col min="2" max="2" width="10.85546875" customWidth="1"/>
    <col min="3" max="3" width="35.7109375" customWidth="1"/>
    <col min="4" max="4" width="37.42578125" customWidth="1"/>
  </cols>
  <sheetData>
    <row r="1" spans="1:4" x14ac:dyDescent="0.2">
      <c r="A1" s="1" t="s">
        <v>104</v>
      </c>
      <c r="B1" s="1"/>
      <c r="C1" s="25" t="s">
        <v>146</v>
      </c>
      <c r="D1" s="25" t="s">
        <v>147</v>
      </c>
    </row>
    <row r="5" spans="1:4" ht="21" customHeight="1" x14ac:dyDescent="0.2">
      <c r="A5" s="3" t="s">
        <v>39</v>
      </c>
      <c r="B5" s="3" t="s">
        <v>40</v>
      </c>
      <c r="C5" s="3" t="s">
        <v>100</v>
      </c>
      <c r="D5" s="9" t="s">
        <v>101</v>
      </c>
    </row>
  </sheetData>
  <phoneticPr fontId="11" type="noConversion"/>
  <pageMargins left="0.74803149606299213" right="0.74803149606299213" top="0.98425196850393704" bottom="0.98425196850393704" header="0.51181102362204722" footer="0.51181102362204722"/>
  <pageSetup paperSize="9" orientation="landscape" r:id="rId1"/>
  <headerFooter alignWithMargins="0">
    <oddHeader>&amp;CSCANXLS 3.41 © 2009 Systems Modelling Ltd.</oddHeader>
    <oddFooter>&amp;LScanxls (c)2004-7 Sysmod.com&amp;CPrinted &amp;D &amp;T&amp;RPage &amp;P of &amp;N</oddFooter>
  </headerFooter>
  <drawing r:id="rId2"/>
  <legacyDrawing r:id="rId3"/>
  <controls>
    <mc:AlternateContent xmlns:mc="http://schemas.openxmlformats.org/markup-compatibility/2006">
      <mc:Choice Requires="x14">
        <control shapeId="2054" r:id="rId4" name="CompareWorkbooks">
          <controlPr defaultSize="0" autoLine="0" r:id="rId5">
            <anchor moveWithCells="1">
              <from>
                <xdr:col>0</xdr:col>
                <xdr:colOff>257175</xdr:colOff>
                <xdr:row>1</xdr:row>
                <xdr:rowOff>57150</xdr:rowOff>
              </from>
              <to>
                <xdr:col>1</xdr:col>
                <xdr:colOff>666750</xdr:colOff>
                <xdr:row>3</xdr:row>
                <xdr:rowOff>38100</xdr:rowOff>
              </to>
            </anchor>
          </controlPr>
        </control>
      </mc:Choice>
      <mc:Fallback>
        <control shapeId="2054" r:id="rId4" name="CompareWorkbooks"/>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12</vt:i4>
      </vt:variant>
    </vt:vector>
  </HeadingPairs>
  <TitlesOfParts>
    <vt:vector size="21" baseType="lpstr">
      <vt:lpstr>Readme</vt:lpstr>
      <vt:lpstr>Excel</vt:lpstr>
      <vt:lpstr>ScanXLS</vt:lpstr>
      <vt:lpstr>Passwords</vt:lpstr>
      <vt:lpstr>Links</vt:lpstr>
      <vt:lpstr>Screenshot</vt:lpstr>
      <vt:lpstr>PQLinks</vt:lpstr>
      <vt:lpstr>VBAlinks</vt:lpstr>
      <vt:lpstr>WBCompare</vt:lpstr>
      <vt:lpstr>VBA_LinksHeader</vt:lpstr>
      <vt:lpstr>VBA_ListFileExt</vt:lpstr>
      <vt:lpstr>VBA_Match</vt:lpstr>
      <vt:lpstr>VBA_PasswordsHeader</vt:lpstr>
      <vt:lpstr>VBA_PQLinksHeader</vt:lpstr>
      <vt:lpstr>VBA_RiskFormula</vt:lpstr>
      <vt:lpstr>VBA_Scandir</vt:lpstr>
      <vt:lpstr>VBA_ScanMBperMin</vt:lpstr>
      <vt:lpstr>VBA_ScanResultsHeader</vt:lpstr>
      <vt:lpstr>VBA_SettingsHeader</vt:lpstr>
      <vt:lpstr>VBA_VBALinksHeader</vt:lpstr>
      <vt:lpstr>VBA_WBCompareHeader</vt:lpstr>
    </vt:vector>
  </TitlesOfParts>
  <Company>Systems Modelling Ltd.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XLS Directory Scan and Properties collector</dc:title>
  <dc:subject>Spreadsheet Listing &amp; Error Analysis</dc:subject>
  <dc:creator>Patrick O'Beirne</dc:creator>
  <cp:keywords>Quality, Inventory, Assets, Complexity metrics, SOX, Sarbanes-Oxley, audit, compliance, errors, scanner, testing</cp:keywords>
  <dc:description>www.sysmod.com_x000d_
Contact spreadsheet@sysmod.com</dc:description>
  <cp:lastModifiedBy>Systems Modelling</cp:lastModifiedBy>
  <cp:lastPrinted>2004-12-13T16:54:46Z</cp:lastPrinted>
  <dcterms:created xsi:type="dcterms:W3CDTF">2002-08-14T10:32:41Z</dcterms:created>
  <dcterms:modified xsi:type="dcterms:W3CDTF">2012-11-19T16:08:07Z</dcterms:modified>
  <cp:category>Not for distribution without permission</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icenseType">
    <vt:lpwstr>Single(1) User</vt:lpwstr>
  </property>
  <property fmtid="{D5CDD505-2E9C-101B-9397-08002B2CF9AE}" pid="3" name="LicenseSerial">
    <vt:lpwstr> 300</vt:lpwstr>
  </property>
  <property fmtid="{D5CDD505-2E9C-101B-9397-08002B2CF9AE}" pid="4" name="LicenseeCompany">
    <vt:lpwstr>Example Licensee Company</vt:lpwstr>
  </property>
  <property fmtid="{D5CDD505-2E9C-101B-9397-08002B2CF9AE}" pid="5" name="LicenseeName">
    <vt:lpwstr>A Single Licensee Name</vt:lpwstr>
  </property>
</Properties>
</file>