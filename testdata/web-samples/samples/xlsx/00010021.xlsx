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 activeTab="1"/>
  </bookViews>
  <sheets>
    <sheet name="40$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4" i="2" l="1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F34" i="1" l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<sst xmlns="http://schemas.openxmlformats.org/spreadsheetml/2006/main" count="141" uniqueCount="40">
  <si>
    <t>supérieur à ($)</t>
  </si>
  <si>
    <t>31 520</t>
  </si>
  <si>
    <t>32 685</t>
  </si>
  <si>
    <t>33 855</t>
  </si>
  <si>
    <t>35 015</t>
  </si>
  <si>
    <t>36 185</t>
  </si>
  <si>
    <t>37 345</t>
  </si>
  <si>
    <t>38 525</t>
  </si>
  <si>
    <t>39 690</t>
  </si>
  <si>
    <t>40 850</t>
  </si>
  <si>
    <t>42 015</t>
  </si>
  <si>
    <t>43 190</t>
  </si>
  <si>
    <t>44 355</t>
  </si>
  <si>
    <t>45 525</t>
  </si>
  <si>
    <t>46 685</t>
  </si>
  <si>
    <t>47 860</t>
  </si>
  <si>
    <t>86 370</t>
  </si>
  <si>
    <t>124 000</t>
  </si>
  <si>
    <t>125 175</t>
  </si>
  <si>
    <t>126 350</t>
  </si>
  <si>
    <t>127 525</t>
  </si>
  <si>
    <t>128 700</t>
  </si>
  <si>
    <t>129 875</t>
  </si>
  <si>
    <t>131 050</t>
  </si>
  <si>
    <t>132 225</t>
  </si>
  <si>
    <t>133 400</t>
  </si>
  <si>
    <t>134 575</t>
  </si>
  <si>
    <t>135 750</t>
  </si>
  <si>
    <t>136 925</t>
  </si>
  <si>
    <t>138 100</t>
  </si>
  <si>
    <t>139 275</t>
  </si>
  <si>
    <t>140 450</t>
  </si>
  <si>
    <t>et plus</t>
  </si>
  <si>
    <t>Revenu familial</t>
  </si>
  <si>
    <t>taux du crédit d'impôt (%)</t>
  </si>
  <si>
    <t>sans excéder ($)</t>
  </si>
  <si>
    <t>Remboursement</t>
  </si>
  <si>
    <t>Frais - 40$</t>
  </si>
  <si>
    <t>Frais - 45$</t>
  </si>
  <si>
    <t>Frais réelle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</si>
</sst>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view="pageLayout" topLeftCell="A8" zoomScaleNormal="100" workbookViewId="0">
      <selection activeCell="A8" sqref="A1:XFD1048576"/>
    </sheetView>
  </sheetViews>
  <sheetFormatPr defaultRowHeight="16.5" x14ac:dyDescent="0.3"/>
  <cols>
    <col min="1" max="2" width="16.85546875" style="2" customWidth="1"/>
    <col min="3" max="3" width="17" style="2" customWidth="1"/>
    <col min="4" max="5" width="19" style="3" customWidth="1"/>
    <col min="6" max="6" width="19" style="2" customWidth="1"/>
    <col min="7" max="16384" width="9.140625" style="1"/>
  </cols>
  <sheetData>
    <row r="1" spans="1:6" x14ac:dyDescent="0.3">
      <c r="A1" s="12" t="s">
        <v>33</v>
      </c>
      <c r="B1" s="12"/>
      <c r="C1" s="4"/>
      <c r="D1" s="13" t="s">
        <v>37</v>
      </c>
      <c r="E1" s="13"/>
      <c r="F1" s="5" t="s">
        <v>38</v>
      </c>
    </row>
    <row r="2" spans="1:6" ht="28.5" x14ac:dyDescent="0.3">
      <c r="A2" s="6" t="s">
        <v>0</v>
      </c>
      <c r="B2" s="6" t="s">
        <v>35</v>
      </c>
      <c r="C2" s="7" t="s">
        <v>34</v>
      </c>
      <c r="D2" s="8" t="s">
        <v>36</v>
      </c>
      <c r="E2" s="8" t="s">
        <v>39</v>
      </c>
      <c r="F2" s="9" t="s">
        <v>39</v>
      </c>
    </row>
    <row r="3" spans="1:6" x14ac:dyDescent="0.3">
      <c r="A3" s="10"/>
      <c r="B3" s="10" t="s">
        <v>1</v>
      </c>
      <c r="C3" s="10">
        <v>75</v>
      </c>
      <c r="D3" s="11">
        <f>35*C3%</f>
        <v>26.25</v>
      </c>
      <c r="E3" s="11">
        <f>40-D3</f>
        <v>13.75</v>
      </c>
      <c r="F3" s="11">
        <f>45-D3</f>
        <v>18.75</v>
      </c>
    </row>
    <row r="4" spans="1:6" x14ac:dyDescent="0.3">
      <c r="A4" s="10" t="s">
        <v>1</v>
      </c>
      <c r="B4" s="10" t="s">
        <v>2</v>
      </c>
      <c r="C4" s="10">
        <v>74</v>
      </c>
      <c r="D4" s="11">
        <f t="shared" ref="D4:D34" si="0">35*C4%</f>
        <v>25.9</v>
      </c>
      <c r="E4" s="11">
        <f t="shared" ref="E4:E34" si="1">40-D4</f>
        <v>14.100000000000001</v>
      </c>
      <c r="F4" s="11">
        <f t="shared" ref="F4:F34" si="2">45-D4</f>
        <v>19.100000000000001</v>
      </c>
    </row>
    <row r="5" spans="1:6" x14ac:dyDescent="0.3">
      <c r="A5" s="10" t="s">
        <v>2</v>
      </c>
      <c r="B5" s="10" t="s">
        <v>3</v>
      </c>
      <c r="C5" s="10">
        <v>73</v>
      </c>
      <c r="D5" s="11">
        <f t="shared" si="0"/>
        <v>25.55</v>
      </c>
      <c r="E5" s="11">
        <f t="shared" si="1"/>
        <v>14.45</v>
      </c>
      <c r="F5" s="11">
        <f t="shared" si="2"/>
        <v>19.45</v>
      </c>
    </row>
    <row r="6" spans="1:6" x14ac:dyDescent="0.3">
      <c r="A6" s="10" t="s">
        <v>3</v>
      </c>
      <c r="B6" s="10" t="s">
        <v>4</v>
      </c>
      <c r="C6" s="10">
        <v>72</v>
      </c>
      <c r="D6" s="11">
        <f t="shared" si="0"/>
        <v>25.2</v>
      </c>
      <c r="E6" s="11">
        <f t="shared" si="1"/>
        <v>14.8</v>
      </c>
      <c r="F6" s="11">
        <f t="shared" si="2"/>
        <v>19.8</v>
      </c>
    </row>
    <row r="7" spans="1:6" x14ac:dyDescent="0.3">
      <c r="A7" s="10" t="s">
        <v>4</v>
      </c>
      <c r="B7" s="10" t="s">
        <v>5</v>
      </c>
      <c r="C7" s="10">
        <v>71</v>
      </c>
      <c r="D7" s="11">
        <f t="shared" si="0"/>
        <v>24.849999999999998</v>
      </c>
      <c r="E7" s="11">
        <f t="shared" si="1"/>
        <v>15.150000000000002</v>
      </c>
      <c r="F7" s="11">
        <f t="shared" si="2"/>
        <v>20.150000000000002</v>
      </c>
    </row>
    <row r="8" spans="1:6" x14ac:dyDescent="0.3">
      <c r="A8" s="10" t="s">
        <v>5</v>
      </c>
      <c r="B8" s="10" t="s">
        <v>6</v>
      </c>
      <c r="C8" s="10">
        <v>70</v>
      </c>
      <c r="D8" s="11">
        <f t="shared" si="0"/>
        <v>24.5</v>
      </c>
      <c r="E8" s="11">
        <f t="shared" si="1"/>
        <v>15.5</v>
      </c>
      <c r="F8" s="11">
        <f t="shared" si="2"/>
        <v>20.5</v>
      </c>
    </row>
    <row r="9" spans="1:6" x14ac:dyDescent="0.3">
      <c r="A9" s="10" t="s">
        <v>6</v>
      </c>
      <c r="B9" s="10" t="s">
        <v>7</v>
      </c>
      <c r="C9" s="10">
        <v>69</v>
      </c>
      <c r="D9" s="11">
        <f t="shared" si="0"/>
        <v>24.15</v>
      </c>
      <c r="E9" s="11">
        <f t="shared" si="1"/>
        <v>15.850000000000001</v>
      </c>
      <c r="F9" s="11">
        <f t="shared" si="2"/>
        <v>20.85</v>
      </c>
    </row>
    <row r="10" spans="1:6" x14ac:dyDescent="0.3">
      <c r="A10" s="10" t="s">
        <v>7</v>
      </c>
      <c r="B10" s="10" t="s">
        <v>8</v>
      </c>
      <c r="C10" s="10">
        <v>68</v>
      </c>
      <c r="D10" s="11">
        <f t="shared" si="0"/>
        <v>23.8</v>
      </c>
      <c r="E10" s="11">
        <f t="shared" si="1"/>
        <v>16.2</v>
      </c>
      <c r="F10" s="11">
        <f t="shared" si="2"/>
        <v>21.2</v>
      </c>
    </row>
    <row r="11" spans="1:6" x14ac:dyDescent="0.3">
      <c r="A11" s="10" t="s">
        <v>8</v>
      </c>
      <c r="B11" s="10" t="s">
        <v>9</v>
      </c>
      <c r="C11" s="10">
        <v>67</v>
      </c>
      <c r="D11" s="11">
        <f t="shared" si="0"/>
        <v>23.450000000000003</v>
      </c>
      <c r="E11" s="11">
        <f t="shared" si="1"/>
        <v>16.549999999999997</v>
      </c>
      <c r="F11" s="11">
        <f t="shared" si="2"/>
        <v>21.549999999999997</v>
      </c>
    </row>
    <row r="12" spans="1:6" x14ac:dyDescent="0.3">
      <c r="A12" s="10" t="s">
        <v>9</v>
      </c>
      <c r="B12" s="10" t="s">
        <v>10</v>
      </c>
      <c r="C12" s="10">
        <v>66</v>
      </c>
      <c r="D12" s="11">
        <f t="shared" si="0"/>
        <v>23.1</v>
      </c>
      <c r="E12" s="11">
        <f t="shared" si="1"/>
        <v>16.899999999999999</v>
      </c>
      <c r="F12" s="11">
        <f t="shared" si="2"/>
        <v>21.9</v>
      </c>
    </row>
    <row r="13" spans="1:6" x14ac:dyDescent="0.3">
      <c r="A13" s="10" t="s">
        <v>10</v>
      </c>
      <c r="B13" s="10" t="s">
        <v>11</v>
      </c>
      <c r="C13" s="10">
        <v>65</v>
      </c>
      <c r="D13" s="11">
        <f t="shared" si="0"/>
        <v>22.75</v>
      </c>
      <c r="E13" s="11">
        <f t="shared" si="1"/>
        <v>17.25</v>
      </c>
      <c r="F13" s="11">
        <f t="shared" si="2"/>
        <v>22.25</v>
      </c>
    </row>
    <row r="14" spans="1:6" x14ac:dyDescent="0.3">
      <c r="A14" s="10" t="s">
        <v>11</v>
      </c>
      <c r="B14" s="10" t="s">
        <v>12</v>
      </c>
      <c r="C14" s="10">
        <v>64</v>
      </c>
      <c r="D14" s="11">
        <f t="shared" si="0"/>
        <v>22.400000000000002</v>
      </c>
      <c r="E14" s="11">
        <f t="shared" si="1"/>
        <v>17.599999999999998</v>
      </c>
      <c r="F14" s="11">
        <f t="shared" si="2"/>
        <v>22.599999999999998</v>
      </c>
    </row>
    <row r="15" spans="1:6" x14ac:dyDescent="0.3">
      <c r="A15" s="10" t="s">
        <v>12</v>
      </c>
      <c r="B15" s="10" t="s">
        <v>13</v>
      </c>
      <c r="C15" s="10">
        <v>63</v>
      </c>
      <c r="D15" s="11">
        <f t="shared" si="0"/>
        <v>22.05</v>
      </c>
      <c r="E15" s="11">
        <f t="shared" si="1"/>
        <v>17.95</v>
      </c>
      <c r="F15" s="11">
        <f t="shared" si="2"/>
        <v>22.95</v>
      </c>
    </row>
    <row r="16" spans="1:6" x14ac:dyDescent="0.3">
      <c r="A16" s="10" t="s">
        <v>13</v>
      </c>
      <c r="B16" s="10" t="s">
        <v>14</v>
      </c>
      <c r="C16" s="10">
        <v>62</v>
      </c>
      <c r="D16" s="11">
        <f t="shared" si="0"/>
        <v>21.7</v>
      </c>
      <c r="E16" s="11">
        <f t="shared" si="1"/>
        <v>18.3</v>
      </c>
      <c r="F16" s="11">
        <f t="shared" si="2"/>
        <v>23.3</v>
      </c>
    </row>
    <row r="17" spans="1:6" x14ac:dyDescent="0.3">
      <c r="A17" s="10" t="s">
        <v>14</v>
      </c>
      <c r="B17" s="10" t="s">
        <v>15</v>
      </c>
      <c r="C17" s="10">
        <v>61</v>
      </c>
      <c r="D17" s="11">
        <f t="shared" si="0"/>
        <v>21.349999999999998</v>
      </c>
      <c r="E17" s="11">
        <f t="shared" si="1"/>
        <v>18.650000000000002</v>
      </c>
      <c r="F17" s="11">
        <f t="shared" si="2"/>
        <v>23.650000000000002</v>
      </c>
    </row>
    <row r="18" spans="1:6" x14ac:dyDescent="0.3">
      <c r="A18" s="10" t="s">
        <v>15</v>
      </c>
      <c r="B18" s="10" t="s">
        <v>16</v>
      </c>
      <c r="C18" s="10">
        <v>60</v>
      </c>
      <c r="D18" s="11">
        <f t="shared" si="0"/>
        <v>21</v>
      </c>
      <c r="E18" s="11">
        <f t="shared" si="1"/>
        <v>19</v>
      </c>
      <c r="F18" s="11">
        <f t="shared" si="2"/>
        <v>24</v>
      </c>
    </row>
    <row r="19" spans="1:6" x14ac:dyDescent="0.3">
      <c r="A19" s="10" t="s">
        <v>16</v>
      </c>
      <c r="B19" s="10" t="s">
        <v>17</v>
      </c>
      <c r="C19" s="10">
        <v>57</v>
      </c>
      <c r="D19" s="11">
        <f t="shared" si="0"/>
        <v>19.95</v>
      </c>
      <c r="E19" s="11">
        <f t="shared" si="1"/>
        <v>20.05</v>
      </c>
      <c r="F19" s="11">
        <f t="shared" si="2"/>
        <v>25.05</v>
      </c>
    </row>
    <row r="20" spans="1:6" x14ac:dyDescent="0.3">
      <c r="A20" s="10" t="s">
        <v>17</v>
      </c>
      <c r="B20" s="10" t="s">
        <v>18</v>
      </c>
      <c r="C20" s="10">
        <v>54</v>
      </c>
      <c r="D20" s="11">
        <f t="shared" si="0"/>
        <v>18.900000000000002</v>
      </c>
      <c r="E20" s="11">
        <f t="shared" si="1"/>
        <v>21.099999999999998</v>
      </c>
      <c r="F20" s="11">
        <f t="shared" si="2"/>
        <v>26.099999999999998</v>
      </c>
    </row>
    <row r="21" spans="1:6" x14ac:dyDescent="0.3">
      <c r="A21" s="10" t="s">
        <v>18</v>
      </c>
      <c r="B21" s="10" t="s">
        <v>19</v>
      </c>
      <c r="C21" s="10">
        <v>52</v>
      </c>
      <c r="D21" s="11">
        <f t="shared" si="0"/>
        <v>18.2</v>
      </c>
      <c r="E21" s="11">
        <f t="shared" si="1"/>
        <v>21.8</v>
      </c>
      <c r="F21" s="11">
        <f t="shared" si="2"/>
        <v>26.8</v>
      </c>
    </row>
    <row r="22" spans="1:6" x14ac:dyDescent="0.3">
      <c r="A22" s="10" t="s">
        <v>19</v>
      </c>
      <c r="B22" s="10" t="s">
        <v>20</v>
      </c>
      <c r="C22" s="10">
        <v>50</v>
      </c>
      <c r="D22" s="11">
        <f t="shared" si="0"/>
        <v>17.5</v>
      </c>
      <c r="E22" s="11">
        <f t="shared" si="1"/>
        <v>22.5</v>
      </c>
      <c r="F22" s="11">
        <f t="shared" si="2"/>
        <v>27.5</v>
      </c>
    </row>
    <row r="23" spans="1:6" x14ac:dyDescent="0.3">
      <c r="A23" s="10" t="s">
        <v>20</v>
      </c>
      <c r="B23" s="10" t="s">
        <v>21</v>
      </c>
      <c r="C23" s="10">
        <v>48</v>
      </c>
      <c r="D23" s="11">
        <f t="shared" si="0"/>
        <v>16.8</v>
      </c>
      <c r="E23" s="11">
        <f t="shared" si="1"/>
        <v>23.2</v>
      </c>
      <c r="F23" s="11">
        <f t="shared" si="2"/>
        <v>28.2</v>
      </c>
    </row>
    <row r="24" spans="1:6" x14ac:dyDescent="0.3">
      <c r="A24" s="10" t="s">
        <v>21</v>
      </c>
      <c r="B24" s="10" t="s">
        <v>22</v>
      </c>
      <c r="C24" s="10">
        <v>46</v>
      </c>
      <c r="D24" s="11">
        <f t="shared" si="0"/>
        <v>16.100000000000001</v>
      </c>
      <c r="E24" s="11">
        <f t="shared" si="1"/>
        <v>23.9</v>
      </c>
      <c r="F24" s="11">
        <f t="shared" si="2"/>
        <v>28.9</v>
      </c>
    </row>
    <row r="25" spans="1:6" x14ac:dyDescent="0.3">
      <c r="A25" s="10" t="s">
        <v>22</v>
      </c>
      <c r="B25" s="10" t="s">
        <v>23</v>
      </c>
      <c r="C25" s="10">
        <v>44</v>
      </c>
      <c r="D25" s="11">
        <f t="shared" si="0"/>
        <v>15.4</v>
      </c>
      <c r="E25" s="11">
        <f t="shared" si="1"/>
        <v>24.6</v>
      </c>
      <c r="F25" s="11">
        <f t="shared" si="2"/>
        <v>29.6</v>
      </c>
    </row>
    <row r="26" spans="1:6" x14ac:dyDescent="0.3">
      <c r="A26" s="10" t="s">
        <v>23</v>
      </c>
      <c r="B26" s="10" t="s">
        <v>24</v>
      </c>
      <c r="C26" s="10">
        <v>42</v>
      </c>
      <c r="D26" s="11">
        <f t="shared" si="0"/>
        <v>14.7</v>
      </c>
      <c r="E26" s="11">
        <f t="shared" si="1"/>
        <v>25.3</v>
      </c>
      <c r="F26" s="11">
        <f t="shared" si="2"/>
        <v>30.3</v>
      </c>
    </row>
    <row r="27" spans="1:6" x14ac:dyDescent="0.3">
      <c r="A27" s="10" t="s">
        <v>24</v>
      </c>
      <c r="B27" s="10" t="s">
        <v>25</v>
      </c>
      <c r="C27" s="10">
        <v>40</v>
      </c>
      <c r="D27" s="11">
        <f t="shared" si="0"/>
        <v>14</v>
      </c>
      <c r="E27" s="11">
        <f t="shared" si="1"/>
        <v>26</v>
      </c>
      <c r="F27" s="11">
        <f t="shared" si="2"/>
        <v>31</v>
      </c>
    </row>
    <row r="28" spans="1:6" x14ac:dyDescent="0.3">
      <c r="A28" s="10" t="s">
        <v>25</v>
      </c>
      <c r="B28" s="10" t="s">
        <v>26</v>
      </c>
      <c r="C28" s="10">
        <v>38</v>
      </c>
      <c r="D28" s="11">
        <f t="shared" si="0"/>
        <v>13.3</v>
      </c>
      <c r="E28" s="11">
        <f t="shared" si="1"/>
        <v>26.7</v>
      </c>
      <c r="F28" s="11">
        <f t="shared" si="2"/>
        <v>31.7</v>
      </c>
    </row>
    <row r="29" spans="1:6" x14ac:dyDescent="0.3">
      <c r="A29" s="10" t="s">
        <v>26</v>
      </c>
      <c r="B29" s="10" t="s">
        <v>27</v>
      </c>
      <c r="C29" s="10">
        <v>36</v>
      </c>
      <c r="D29" s="11">
        <f t="shared" si="0"/>
        <v>12.6</v>
      </c>
      <c r="E29" s="11">
        <f t="shared" si="1"/>
        <v>27.4</v>
      </c>
      <c r="F29" s="11">
        <f t="shared" si="2"/>
        <v>32.4</v>
      </c>
    </row>
    <row r="30" spans="1:6" x14ac:dyDescent="0.3">
      <c r="A30" s="10" t="s">
        <v>27</v>
      </c>
      <c r="B30" s="10" t="s">
        <v>28</v>
      </c>
      <c r="C30" s="10">
        <v>34</v>
      </c>
      <c r="D30" s="11">
        <f t="shared" si="0"/>
        <v>11.9</v>
      </c>
      <c r="E30" s="11">
        <f t="shared" si="1"/>
        <v>28.1</v>
      </c>
      <c r="F30" s="11">
        <f t="shared" si="2"/>
        <v>33.1</v>
      </c>
    </row>
    <row r="31" spans="1:6" x14ac:dyDescent="0.3">
      <c r="A31" s="10" t="s">
        <v>28</v>
      </c>
      <c r="B31" s="10" t="s">
        <v>29</v>
      </c>
      <c r="C31" s="10">
        <v>32</v>
      </c>
      <c r="D31" s="11">
        <f t="shared" si="0"/>
        <v>11.200000000000001</v>
      </c>
      <c r="E31" s="11">
        <f t="shared" si="1"/>
        <v>28.799999999999997</v>
      </c>
      <c r="F31" s="11">
        <f t="shared" si="2"/>
        <v>33.799999999999997</v>
      </c>
    </row>
    <row r="32" spans="1:6" x14ac:dyDescent="0.3">
      <c r="A32" s="10" t="s">
        <v>29</v>
      </c>
      <c r="B32" s="10" t="s">
        <v>30</v>
      </c>
      <c r="C32" s="10">
        <v>30</v>
      </c>
      <c r="D32" s="11">
        <f t="shared" si="0"/>
        <v>10.5</v>
      </c>
      <c r="E32" s="11">
        <f t="shared" si="1"/>
        <v>29.5</v>
      </c>
      <c r="F32" s="11">
        <f t="shared" si="2"/>
        <v>34.5</v>
      </c>
    </row>
    <row r="33" spans="1:6" x14ac:dyDescent="0.3">
      <c r="A33" s="10" t="s">
        <v>30</v>
      </c>
      <c r="B33" s="10" t="s">
        <v>31</v>
      </c>
      <c r="C33" s="10">
        <v>28</v>
      </c>
      <c r="D33" s="11">
        <f t="shared" si="0"/>
        <v>9.8000000000000007</v>
      </c>
      <c r="E33" s="11">
        <f t="shared" si="1"/>
        <v>30.2</v>
      </c>
      <c r="F33" s="11">
        <f t="shared" si="2"/>
        <v>35.200000000000003</v>
      </c>
    </row>
    <row r="34" spans="1:6" x14ac:dyDescent="0.3">
      <c r="A34" s="10" t="s">
        <v>31</v>
      </c>
      <c r="B34" s="10" t="s">
        <v>32</v>
      </c>
      <c r="C34" s="10">
        <v>26</v>
      </c>
      <c r="D34" s="11">
        <f t="shared" si="0"/>
        <v>9.1</v>
      </c>
      <c r="E34" s="11">
        <f t="shared" si="1"/>
        <v>30.9</v>
      </c>
      <c r="F34" s="11">
        <f t="shared" si="2"/>
        <v>35.9</v>
      </c>
    </row>
  </sheetData>
  <mergeCells count="2">
    <mergeCell ref="A1:B1"/>
    <mergeCell ref="D1:E1"/>
  </mergeCells>
  <pageMargins left="0.7" right="0.7" top="0.75" bottom="0.75" header="0.3" footer="0.3"/>
  <pageSetup scale="90" orientation="landscape" r:id="rId1"/>
  <headerFooter>
    <oddHeader xml:space="preserve">&amp;L&amp;"Century Gothic,Bold"&amp;10Tableau explicatif remboursement frais de garde.&amp;R&amp;"Century Gothic,Regular"&amp;10Information receuilli du Budget de Québec 2010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A11" zoomScaleNormal="100" workbookViewId="0">
      <selection activeCell="D11" sqref="D11"/>
    </sheetView>
  </sheetViews>
  <sheetFormatPr defaultRowHeight="15" x14ac:dyDescent="0.3"/>
  <cols>
    <col min="1" max="2" width="16.85546875" style="2" customWidth="1"/>
    <col min="3" max="3" width="17" style="2" customWidth="1"/>
    <col min="4" max="5" width="19" style="3" customWidth="1"/>
    <col min="6" max="16384" width="9.140625" style="1"/>
  </cols>
  <sheetData>
    <row r="1" spans="1:5" ht="16.5" x14ac:dyDescent="0.3">
      <c r="A1" s="12" t="s">
        <v>33</v>
      </c>
      <c r="B1" s="12"/>
      <c r="C1" s="4"/>
      <c r="D1" s="13"/>
      <c r="E1" s="13"/>
    </row>
    <row r="2" spans="1:5" ht="28.5" x14ac:dyDescent="0.3">
      <c r="A2" s="6" t="s">
        <v>0</v>
      </c>
      <c r="B2" s="6" t="s">
        <v>35</v>
      </c>
      <c r="C2" s="7" t="s">
        <v>34</v>
      </c>
      <c r="D2" s="8" t="s">
        <v>36</v>
      </c>
      <c r="E2" s="8" t="s">
        <v>39</v>
      </c>
    </row>
    <row r="3" spans="1:5" ht="16.5" x14ac:dyDescent="0.3">
      <c r="A3" s="10"/>
      <c r="B3" s="10" t="s">
        <v>1</v>
      </c>
      <c r="C3" s="10">
        <v>75</v>
      </c>
      <c r="D3" s="11">
        <f>35*C3%</f>
        <v>26.25</v>
      </c>
      <c r="E3" s="11">
        <f>35-D3</f>
        <v>8.75</v>
      </c>
    </row>
    <row r="4" spans="1:5" ht="16.5" x14ac:dyDescent="0.3">
      <c r="A4" s="10" t="s">
        <v>1</v>
      </c>
      <c r="B4" s="10" t="s">
        <v>2</v>
      </c>
      <c r="C4" s="10">
        <v>74</v>
      </c>
      <c r="D4" s="11">
        <f t="shared" ref="D4:D34" si="0">35*C4%</f>
        <v>25.9</v>
      </c>
      <c r="E4" s="11">
        <f t="shared" ref="E4:E34" si="1">35-D4</f>
        <v>9.1000000000000014</v>
      </c>
    </row>
    <row r="5" spans="1:5" ht="16.5" x14ac:dyDescent="0.3">
      <c r="A5" s="10" t="s">
        <v>2</v>
      </c>
      <c r="B5" s="10" t="s">
        <v>3</v>
      </c>
      <c r="C5" s="10">
        <v>73</v>
      </c>
      <c r="D5" s="11">
        <f t="shared" si="0"/>
        <v>25.55</v>
      </c>
      <c r="E5" s="11">
        <f t="shared" si="1"/>
        <v>9.4499999999999993</v>
      </c>
    </row>
    <row r="6" spans="1:5" ht="16.5" x14ac:dyDescent="0.3">
      <c r="A6" s="10" t="s">
        <v>3</v>
      </c>
      <c r="B6" s="10" t="s">
        <v>4</v>
      </c>
      <c r="C6" s="10">
        <v>72</v>
      </c>
      <c r="D6" s="11">
        <f t="shared" si="0"/>
        <v>25.2</v>
      </c>
      <c r="E6" s="11">
        <f t="shared" si="1"/>
        <v>9.8000000000000007</v>
      </c>
    </row>
    <row r="7" spans="1:5" ht="16.5" x14ac:dyDescent="0.3">
      <c r="A7" s="10" t="s">
        <v>4</v>
      </c>
      <c r="B7" s="10" t="s">
        <v>5</v>
      </c>
      <c r="C7" s="10">
        <v>71</v>
      </c>
      <c r="D7" s="11">
        <f t="shared" si="0"/>
        <v>24.849999999999998</v>
      </c>
      <c r="E7" s="11">
        <f t="shared" si="1"/>
        <v>10.150000000000002</v>
      </c>
    </row>
    <row r="8" spans="1:5" ht="16.5" x14ac:dyDescent="0.3">
      <c r="A8" s="10" t="s">
        <v>5</v>
      </c>
      <c r="B8" s="10" t="s">
        <v>6</v>
      </c>
      <c r="C8" s="10">
        <v>70</v>
      </c>
      <c r="D8" s="11">
        <f t="shared" si="0"/>
        <v>24.5</v>
      </c>
      <c r="E8" s="11">
        <f t="shared" si="1"/>
        <v>10.5</v>
      </c>
    </row>
    <row r="9" spans="1:5" ht="16.5" x14ac:dyDescent="0.3">
      <c r="A9" s="10" t="s">
        <v>6</v>
      </c>
      <c r="B9" s="10" t="s">
        <v>7</v>
      </c>
      <c r="C9" s="10">
        <v>69</v>
      </c>
      <c r="D9" s="11">
        <f t="shared" si="0"/>
        <v>24.15</v>
      </c>
      <c r="E9" s="11">
        <f t="shared" si="1"/>
        <v>10.850000000000001</v>
      </c>
    </row>
    <row r="10" spans="1:5" ht="16.5" x14ac:dyDescent="0.3">
      <c r="A10" s="10" t="s">
        <v>7</v>
      </c>
      <c r="B10" s="10" t="s">
        <v>8</v>
      </c>
      <c r="C10" s="10">
        <v>68</v>
      </c>
      <c r="D10" s="11">
        <f t="shared" si="0"/>
        <v>23.8</v>
      </c>
      <c r="E10" s="11">
        <f t="shared" si="1"/>
        <v>11.2</v>
      </c>
    </row>
    <row r="11" spans="1:5" ht="16.5" x14ac:dyDescent="0.3">
      <c r="A11" s="10" t="s">
        <v>8</v>
      </c>
      <c r="B11" s="10" t="s">
        <v>9</v>
      </c>
      <c r="C11" s="10">
        <v>67</v>
      </c>
      <c r="D11" s="11">
        <f t="shared" si="0"/>
        <v>23.450000000000003</v>
      </c>
      <c r="E11" s="11">
        <f t="shared" si="1"/>
        <v>11.549999999999997</v>
      </c>
    </row>
    <row r="12" spans="1:5" ht="16.5" x14ac:dyDescent="0.3">
      <c r="A12" s="10" t="s">
        <v>9</v>
      </c>
      <c r="B12" s="10" t="s">
        <v>10</v>
      </c>
      <c r="C12" s="10">
        <v>66</v>
      </c>
      <c r="D12" s="11">
        <f t="shared" si="0"/>
        <v>23.1</v>
      </c>
      <c r="E12" s="11">
        <f t="shared" si="1"/>
        <v>11.899999999999999</v>
      </c>
    </row>
    <row r="13" spans="1:5" ht="16.5" x14ac:dyDescent="0.3">
      <c r="A13" s="10" t="s">
        <v>10</v>
      </c>
      <c r="B13" s="10" t="s">
        <v>11</v>
      </c>
      <c r="C13" s="10">
        <v>65</v>
      </c>
      <c r="D13" s="11">
        <f t="shared" si="0"/>
        <v>22.75</v>
      </c>
      <c r="E13" s="11">
        <f t="shared" si="1"/>
        <v>12.25</v>
      </c>
    </row>
    <row r="14" spans="1:5" ht="16.5" x14ac:dyDescent="0.3">
      <c r="A14" s="10" t="s">
        <v>11</v>
      </c>
      <c r="B14" s="10" t="s">
        <v>12</v>
      </c>
      <c r="C14" s="10">
        <v>64</v>
      </c>
      <c r="D14" s="11">
        <f t="shared" si="0"/>
        <v>22.400000000000002</v>
      </c>
      <c r="E14" s="11">
        <f t="shared" si="1"/>
        <v>12.599999999999998</v>
      </c>
    </row>
    <row r="15" spans="1:5" ht="16.5" x14ac:dyDescent="0.3">
      <c r="A15" s="10" t="s">
        <v>12</v>
      </c>
      <c r="B15" s="10" t="s">
        <v>13</v>
      </c>
      <c r="C15" s="10">
        <v>63</v>
      </c>
      <c r="D15" s="11">
        <f t="shared" si="0"/>
        <v>22.05</v>
      </c>
      <c r="E15" s="11">
        <f t="shared" si="1"/>
        <v>12.95</v>
      </c>
    </row>
    <row r="16" spans="1:5" ht="16.5" x14ac:dyDescent="0.3">
      <c r="A16" s="10" t="s">
        <v>13</v>
      </c>
      <c r="B16" s="10" t="s">
        <v>14</v>
      </c>
      <c r="C16" s="10">
        <v>62</v>
      </c>
      <c r="D16" s="11">
        <f t="shared" si="0"/>
        <v>21.7</v>
      </c>
      <c r="E16" s="11">
        <f t="shared" si="1"/>
        <v>13.3</v>
      </c>
    </row>
    <row r="17" spans="1:5" ht="16.5" x14ac:dyDescent="0.3">
      <c r="A17" s="10" t="s">
        <v>14</v>
      </c>
      <c r="B17" s="10" t="s">
        <v>15</v>
      </c>
      <c r="C17" s="10">
        <v>61</v>
      </c>
      <c r="D17" s="11">
        <f t="shared" si="0"/>
        <v>21.349999999999998</v>
      </c>
      <c r="E17" s="11">
        <f t="shared" si="1"/>
        <v>13.650000000000002</v>
      </c>
    </row>
    <row r="18" spans="1:5" ht="16.5" x14ac:dyDescent="0.3">
      <c r="A18" s="10" t="s">
        <v>15</v>
      </c>
      <c r="B18" s="10" t="s">
        <v>16</v>
      </c>
      <c r="C18" s="10">
        <v>60</v>
      </c>
      <c r="D18" s="11">
        <f t="shared" si="0"/>
        <v>21</v>
      </c>
      <c r="E18" s="11">
        <f t="shared" si="1"/>
        <v>14</v>
      </c>
    </row>
    <row r="19" spans="1:5" ht="16.5" x14ac:dyDescent="0.3">
      <c r="A19" s="10" t="s">
        <v>16</v>
      </c>
      <c r="B19" s="10" t="s">
        <v>17</v>
      </c>
      <c r="C19" s="10">
        <v>57</v>
      </c>
      <c r="D19" s="11">
        <f t="shared" si="0"/>
        <v>19.95</v>
      </c>
      <c r="E19" s="11">
        <f t="shared" si="1"/>
        <v>15.05</v>
      </c>
    </row>
    <row r="20" spans="1:5" ht="16.5" x14ac:dyDescent="0.3">
      <c r="A20" s="10" t="s">
        <v>17</v>
      </c>
      <c r="B20" s="10" t="s">
        <v>18</v>
      </c>
      <c r="C20" s="10">
        <v>54</v>
      </c>
      <c r="D20" s="11">
        <f t="shared" si="0"/>
        <v>18.900000000000002</v>
      </c>
      <c r="E20" s="11">
        <f t="shared" si="1"/>
        <v>16.099999999999998</v>
      </c>
    </row>
    <row r="21" spans="1:5" ht="16.5" x14ac:dyDescent="0.3">
      <c r="A21" s="10" t="s">
        <v>18</v>
      </c>
      <c r="B21" s="10" t="s">
        <v>19</v>
      </c>
      <c r="C21" s="10">
        <v>52</v>
      </c>
      <c r="D21" s="11">
        <f t="shared" si="0"/>
        <v>18.2</v>
      </c>
      <c r="E21" s="11">
        <f t="shared" si="1"/>
        <v>16.8</v>
      </c>
    </row>
    <row r="22" spans="1:5" ht="16.5" x14ac:dyDescent="0.3">
      <c r="A22" s="10" t="s">
        <v>19</v>
      </c>
      <c r="B22" s="10" t="s">
        <v>20</v>
      </c>
      <c r="C22" s="10">
        <v>50</v>
      </c>
      <c r="D22" s="11">
        <f t="shared" si="0"/>
        <v>17.5</v>
      </c>
      <c r="E22" s="11">
        <f t="shared" si="1"/>
        <v>17.5</v>
      </c>
    </row>
    <row r="23" spans="1:5" ht="16.5" x14ac:dyDescent="0.3">
      <c r="A23" s="10" t="s">
        <v>20</v>
      </c>
      <c r="B23" s="10" t="s">
        <v>21</v>
      </c>
      <c r="C23" s="10">
        <v>48</v>
      </c>
      <c r="D23" s="11">
        <f t="shared" si="0"/>
        <v>16.8</v>
      </c>
      <c r="E23" s="11">
        <f t="shared" si="1"/>
        <v>18.2</v>
      </c>
    </row>
    <row r="24" spans="1:5" ht="16.5" x14ac:dyDescent="0.3">
      <c r="A24" s="10" t="s">
        <v>21</v>
      </c>
      <c r="B24" s="10" t="s">
        <v>22</v>
      </c>
      <c r="C24" s="10">
        <v>46</v>
      </c>
      <c r="D24" s="11">
        <f t="shared" si="0"/>
        <v>16.100000000000001</v>
      </c>
      <c r="E24" s="11">
        <f t="shared" si="1"/>
        <v>18.899999999999999</v>
      </c>
    </row>
    <row r="25" spans="1:5" ht="16.5" x14ac:dyDescent="0.3">
      <c r="A25" s="10" t="s">
        <v>22</v>
      </c>
      <c r="B25" s="10" t="s">
        <v>23</v>
      </c>
      <c r="C25" s="10">
        <v>44</v>
      </c>
      <c r="D25" s="11">
        <f t="shared" si="0"/>
        <v>15.4</v>
      </c>
      <c r="E25" s="11">
        <f t="shared" si="1"/>
        <v>19.600000000000001</v>
      </c>
    </row>
    <row r="26" spans="1:5" ht="16.5" x14ac:dyDescent="0.3">
      <c r="A26" s="10" t="s">
        <v>23</v>
      </c>
      <c r="B26" s="10" t="s">
        <v>24</v>
      </c>
      <c r="C26" s="10">
        <v>42</v>
      </c>
      <c r="D26" s="11">
        <f t="shared" si="0"/>
        <v>14.7</v>
      </c>
      <c r="E26" s="11">
        <f t="shared" si="1"/>
        <v>20.3</v>
      </c>
    </row>
    <row r="27" spans="1:5" ht="16.5" x14ac:dyDescent="0.3">
      <c r="A27" s="10" t="s">
        <v>24</v>
      </c>
      <c r="B27" s="10" t="s">
        <v>25</v>
      </c>
      <c r="C27" s="10">
        <v>40</v>
      </c>
      <c r="D27" s="11">
        <f t="shared" si="0"/>
        <v>14</v>
      </c>
      <c r="E27" s="11">
        <f t="shared" si="1"/>
        <v>21</v>
      </c>
    </row>
    <row r="28" spans="1:5" ht="16.5" x14ac:dyDescent="0.3">
      <c r="A28" s="10" t="s">
        <v>25</v>
      </c>
      <c r="B28" s="10" t="s">
        <v>26</v>
      </c>
      <c r="C28" s="10">
        <v>38</v>
      </c>
      <c r="D28" s="11">
        <f t="shared" si="0"/>
        <v>13.3</v>
      </c>
      <c r="E28" s="11">
        <f t="shared" si="1"/>
        <v>21.7</v>
      </c>
    </row>
    <row r="29" spans="1:5" ht="16.5" x14ac:dyDescent="0.3">
      <c r="A29" s="10" t="s">
        <v>26</v>
      </c>
      <c r="B29" s="10" t="s">
        <v>27</v>
      </c>
      <c r="C29" s="10">
        <v>36</v>
      </c>
      <c r="D29" s="11">
        <f t="shared" si="0"/>
        <v>12.6</v>
      </c>
      <c r="E29" s="11">
        <f t="shared" si="1"/>
        <v>22.4</v>
      </c>
    </row>
    <row r="30" spans="1:5" ht="16.5" x14ac:dyDescent="0.3">
      <c r="A30" s="10" t="s">
        <v>27</v>
      </c>
      <c r="B30" s="10" t="s">
        <v>28</v>
      </c>
      <c r="C30" s="10">
        <v>34</v>
      </c>
      <c r="D30" s="11">
        <f t="shared" si="0"/>
        <v>11.9</v>
      </c>
      <c r="E30" s="11">
        <f t="shared" si="1"/>
        <v>23.1</v>
      </c>
    </row>
    <row r="31" spans="1:5" ht="16.5" x14ac:dyDescent="0.3">
      <c r="A31" s="10" t="s">
        <v>28</v>
      </c>
      <c r="B31" s="10" t="s">
        <v>29</v>
      </c>
      <c r="C31" s="10">
        <v>32</v>
      </c>
      <c r="D31" s="11">
        <f t="shared" si="0"/>
        <v>11.200000000000001</v>
      </c>
      <c r="E31" s="11">
        <f t="shared" si="1"/>
        <v>23.799999999999997</v>
      </c>
    </row>
    <row r="32" spans="1:5" ht="16.5" x14ac:dyDescent="0.3">
      <c r="A32" s="10" t="s">
        <v>29</v>
      </c>
      <c r="B32" s="10" t="s">
        <v>30</v>
      </c>
      <c r="C32" s="10">
        <v>30</v>
      </c>
      <c r="D32" s="11">
        <f t="shared" si="0"/>
        <v>10.5</v>
      </c>
      <c r="E32" s="11">
        <f t="shared" si="1"/>
        <v>24.5</v>
      </c>
    </row>
    <row r="33" spans="1:5" ht="16.5" x14ac:dyDescent="0.3">
      <c r="A33" s="10" t="s">
        <v>30</v>
      </c>
      <c r="B33" s="10" t="s">
        <v>31</v>
      </c>
      <c r="C33" s="10">
        <v>28</v>
      </c>
      <c r="D33" s="11">
        <f t="shared" si="0"/>
        <v>9.8000000000000007</v>
      </c>
      <c r="E33" s="11">
        <f t="shared" si="1"/>
        <v>25.2</v>
      </c>
    </row>
    <row r="34" spans="1:5" ht="16.5" x14ac:dyDescent="0.3">
      <c r="A34" s="10" t="s">
        <v>31</v>
      </c>
      <c r="B34" s="10" t="s">
        <v>32</v>
      </c>
      <c r="C34" s="10">
        <v>26</v>
      </c>
      <c r="D34" s="11">
        <f t="shared" si="0"/>
        <v>9.1</v>
      </c>
      <c r="E34" s="11">
        <f t="shared" si="1"/>
        <v>25.9</v>
      </c>
    </row>
  </sheetData>
  <mergeCells count="2">
    <mergeCell ref="A1:B1"/>
    <mergeCell ref="D1:E1"/>
  </mergeCells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40$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2012-12-06T18:31:54Z</cp:lastPrinted>
  <dcterms:created xsi:type="dcterms:W3CDTF">2012-12-06T17:13:19Z</dcterms:created>
  <dcterms:modified xsi:type="dcterms:W3CDTF">2012-12-06T22:00:49Z</dcterms:modified>
</cp:coreProperties>
</file>