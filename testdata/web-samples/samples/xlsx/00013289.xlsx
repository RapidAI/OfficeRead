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7" yWindow="136" windowWidth="11832" windowHeight="5122"/>
  </bookViews>
  <sheets>
    <sheet name="ナイロンネット" sheetId="1" r:id="rId1"/>
  </sheets>
  <definedNames>
    <definedName name="_xlnm._FilterDatabase" localSheetId="0" hidden="1">ナイロンネット!$A$1:$F$1</definedName>
  </definedNames>
  <calcPr calcId="125725"/>
</workbook>
</file>

<file path=xl/calcChain.xml><?xml version="1.0" encoding="utf-8"?>
<calcChain xmlns="http://schemas.openxmlformats.org/spreadsheetml/2006/main">
  <c r="A24" i="1"/>
  <c r="E24" s="1"/>
  <c r="A21"/>
  <c r="A20"/>
  <c r="E20" s="1"/>
  <c r="A23"/>
  <c r="A25"/>
  <c r="F25" s="1"/>
  <c r="A33"/>
  <c r="F33" s="1"/>
  <c r="A28"/>
  <c r="E28" s="1"/>
  <c r="A34"/>
  <c r="E34" s="1"/>
  <c r="A31"/>
  <c r="F31" s="1"/>
  <c r="A32"/>
  <c r="E32" s="1"/>
  <c r="A30"/>
  <c r="E30" s="1"/>
  <c r="A29"/>
  <c r="F29" s="1"/>
  <c r="A27"/>
  <c r="F27" s="1"/>
  <c r="A26"/>
  <c r="E26" s="1"/>
  <c r="F23"/>
  <c r="A22"/>
  <c r="F22" s="1"/>
  <c r="F21"/>
  <c r="E27" l="1"/>
  <c r="E23"/>
  <c r="E25"/>
  <c r="E29"/>
  <c r="E31"/>
  <c r="E33"/>
  <c r="E21"/>
  <c r="F34"/>
  <c r="F32"/>
  <c r="F30"/>
  <c r="F28"/>
  <c r="F26"/>
  <c r="F24"/>
  <c r="E22"/>
</calcChain>
</file>

<file path=xl/comments1.xml><?xml version="1.0" encoding="utf-8"?>
<comments xmlns="http://schemas.openxmlformats.org/spreadsheetml/2006/main">
  <authors>
    <author>kazunari</author>
  </authors>
  <commentList>
    <comment ref="C4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長い方の幅
５ｍ以上の数値をご記入ください。
</t>
        </r>
      </text>
    </comment>
    <comment ref="C5" authorId="0">
      <text>
        <r>
          <rPr>
            <sz val="9"/>
            <color indexed="81"/>
            <rFont val="ＭＳ Ｐゴシック"/>
            <family val="3"/>
            <charset val="128"/>
          </rPr>
          <t>長い方の幅
２．０１ｍ以上～５ｍ未満の数値をご記入ください。</t>
        </r>
      </text>
    </comment>
    <comment ref="C6" authorId="0">
      <text>
        <r>
          <rPr>
            <sz val="9"/>
            <color indexed="81"/>
            <rFont val="ＭＳ Ｐゴシック"/>
            <family val="3"/>
            <charset val="128"/>
          </rPr>
          <t>長い方の幅
１．５１ｍ以上～２．０１ｍ以下の数値をご記入ください。</t>
        </r>
      </text>
    </comment>
    <comment ref="C7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長い方の幅
１．０１ｍ以上～１．５ｍ以下の数値をご記入ください。
</t>
        </r>
      </text>
    </comment>
    <comment ref="C8" authorId="0">
      <text>
        <r>
          <rPr>
            <sz val="9"/>
            <color indexed="81"/>
            <rFont val="ＭＳ Ｐゴシック"/>
            <family val="3"/>
            <charset val="128"/>
          </rPr>
          <t>長い方の幅
１ｍ以下の数値をご記入ください。</t>
        </r>
      </text>
    </comment>
    <comment ref="C11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短い方の幅
５ｍ以上の数値をご記入ください。
</t>
        </r>
      </text>
    </comment>
    <comment ref="C12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短い方の幅
２．０１ｍ以上～５ｍ未満の数値をご記入ください。
</t>
        </r>
      </text>
    </comment>
    <comment ref="C13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短い方の幅
１．５１ｍ以上～２．０１ｍ以下の数値をご記入ください。
</t>
        </r>
      </text>
    </comment>
    <comment ref="C14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短い方の幅
１．０１ｍ以上～１．５ｍ以下の数値をご記入ください。
</t>
        </r>
      </text>
    </comment>
    <comment ref="C15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短い方の幅
１ｍ以下の数値をご記入ください。
</t>
        </r>
      </text>
    </comment>
  </commentList>
</comments>
</file>

<file path=xl/sharedStrings.xml><?xml version="1.0" encoding="utf-8"?>
<sst xmlns="http://schemas.openxmlformats.org/spreadsheetml/2006/main" count="59" uniqueCount="58">
  <si>
    <t>ナイロン２３５Ｔ　４８本　２５ｍｍ目　ホワイト</t>
    <rPh sb="11" eb="12">
      <t>ホン</t>
    </rPh>
    <rPh sb="17" eb="18">
      <t>メ</t>
    </rPh>
    <phoneticPr fontId="1"/>
  </si>
  <si>
    <t>平米数</t>
    <rPh sb="0" eb="2">
      <t>ヘイベイ</t>
    </rPh>
    <rPh sb="2" eb="3">
      <t>スウ</t>
    </rPh>
    <phoneticPr fontId="1"/>
  </si>
  <si>
    <t>単価</t>
    <rPh sb="0" eb="2">
      <t>タンカ</t>
    </rPh>
    <phoneticPr fontId="1"/>
  </si>
  <si>
    <t>Ａ－１</t>
    <phoneticPr fontId="1"/>
  </si>
  <si>
    <t>Ｂ－１</t>
    <phoneticPr fontId="1"/>
  </si>
  <si>
    <t>Ａ－２</t>
    <phoneticPr fontId="1"/>
  </si>
  <si>
    <t>Ａ－３</t>
    <phoneticPr fontId="1"/>
  </si>
  <si>
    <t>Ａ－４</t>
    <phoneticPr fontId="1"/>
  </si>
  <si>
    <t>Ａ－５</t>
    <phoneticPr fontId="1"/>
  </si>
  <si>
    <t>Ｂ－２</t>
    <phoneticPr fontId="1"/>
  </si>
  <si>
    <t>Ｂ－３</t>
    <phoneticPr fontId="1"/>
  </si>
  <si>
    <t>Ｂ－４</t>
    <phoneticPr fontId="1"/>
  </si>
  <si>
    <t>Ｂ－５</t>
    <phoneticPr fontId="1"/>
  </si>
  <si>
    <t>　Ａ－１×Ｂ－１</t>
    <phoneticPr fontId="1"/>
  </si>
  <si>
    <t>　Ａ－１×Ｂ－２</t>
    <phoneticPr fontId="1"/>
  </si>
  <si>
    <t>　Ａ－１×Ｂ－３</t>
    <phoneticPr fontId="1"/>
  </si>
  <si>
    <t>　Ａ－１×Ｂ－４</t>
    <phoneticPr fontId="1"/>
  </si>
  <si>
    <t>　Ａ－１×Ｂ－５</t>
    <phoneticPr fontId="1"/>
  </si>
  <si>
    <t>　Ａ－２×Ｂ－２</t>
    <phoneticPr fontId="1"/>
  </si>
  <si>
    <t>　Ａ－２×Ｂ－３</t>
    <phoneticPr fontId="1"/>
  </si>
  <si>
    <t>　Ａ－２×Ｂ－４</t>
    <phoneticPr fontId="1"/>
  </si>
  <si>
    <t>　Ａ－２×Ｂ－５</t>
    <phoneticPr fontId="1"/>
  </si>
  <si>
    <t>　Ａ－３×Ｂ－３</t>
    <phoneticPr fontId="1"/>
  </si>
  <si>
    <t>　Ａ－３×Ｂ－４</t>
    <phoneticPr fontId="1"/>
  </si>
  <si>
    <t>　Ａ－３×Ｂ－５</t>
    <phoneticPr fontId="1"/>
  </si>
  <si>
    <t>　Ａ－４×Ｂ－４</t>
    <phoneticPr fontId="1"/>
  </si>
  <si>
    <t>　Ａ－４×Ｂ－５</t>
    <phoneticPr fontId="1"/>
  </si>
  <si>
    <t>　Ａ－５×Ｂ－５</t>
    <phoneticPr fontId="1"/>
  </si>
  <si>
    <t>長い方の幅　Ａ</t>
    <rPh sb="0" eb="1">
      <t>ナガ</t>
    </rPh>
    <rPh sb="2" eb="3">
      <t>ホウ</t>
    </rPh>
    <rPh sb="4" eb="5">
      <t>ハバ</t>
    </rPh>
    <phoneticPr fontId="1"/>
  </si>
  <si>
    <t>短い方の幅　Ｂ</t>
    <rPh sb="0" eb="1">
      <t>ミジカ</t>
    </rPh>
    <rPh sb="2" eb="3">
      <t>ホウ</t>
    </rPh>
    <rPh sb="4" eb="5">
      <t>ハバ</t>
    </rPh>
    <phoneticPr fontId="1"/>
  </si>
  <si>
    <t>数値</t>
    <rPh sb="0" eb="2">
      <t>スウチ</t>
    </rPh>
    <phoneticPr fontId="1"/>
  </si>
  <si>
    <t>原反繋ぎあり</t>
    <rPh sb="0" eb="2">
      <t>ゲンタン</t>
    </rPh>
    <rPh sb="2" eb="3">
      <t>ツナ</t>
    </rPh>
    <phoneticPr fontId="1"/>
  </si>
  <si>
    <t>原反繋ぎなし</t>
    <rPh sb="2" eb="3">
      <t>ツナ</t>
    </rPh>
    <phoneticPr fontId="1"/>
  </si>
  <si>
    <t>原反繋ぎあり</t>
    <rPh sb="2" eb="3">
      <t>ツナ</t>
    </rPh>
    <phoneticPr fontId="1"/>
  </si>
  <si>
    <t>原反繋ぎなし</t>
    <phoneticPr fontId="1"/>
  </si>
  <si>
    <t>税別　価格／枚</t>
    <rPh sb="0" eb="2">
      <t>ゼイベツ</t>
    </rPh>
    <rPh sb="3" eb="5">
      <t>カカク</t>
    </rPh>
    <rPh sb="6" eb="7">
      <t>マイ</t>
    </rPh>
    <phoneticPr fontId="1"/>
  </si>
  <si>
    <t>　　　※ご記入いただきましたサイズのみ価格</t>
    <rPh sb="5" eb="7">
      <t>キニュウ</t>
    </rPh>
    <rPh sb="19" eb="21">
      <t>カカク</t>
    </rPh>
    <phoneticPr fontId="1"/>
  </si>
  <si>
    <t>　　　　 表示されます。</t>
    <phoneticPr fontId="1"/>
  </si>
  <si>
    <t>　　　※１ｍ幅未満は１ｍとして平米計算を</t>
    <rPh sb="6" eb="7">
      <t>ハバ</t>
    </rPh>
    <rPh sb="7" eb="9">
      <t>ミマン</t>
    </rPh>
    <rPh sb="15" eb="17">
      <t>ヘイベイ</t>
    </rPh>
    <rPh sb="17" eb="19">
      <t>ケイサン</t>
    </rPh>
    <phoneticPr fontId="1"/>
  </si>
  <si>
    <t>　　　　 いたします。</t>
    <phoneticPr fontId="1"/>
  </si>
  <si>
    <t>　　　※数値を長手、短手２箇所以上ご記入の</t>
    <rPh sb="4" eb="6">
      <t>スウチ</t>
    </rPh>
    <rPh sb="7" eb="9">
      <t>ナガテ</t>
    </rPh>
    <rPh sb="10" eb="11">
      <t>ミジカ</t>
    </rPh>
    <rPh sb="11" eb="12">
      <t>テ</t>
    </rPh>
    <rPh sb="13" eb="15">
      <t>カショ</t>
    </rPh>
    <rPh sb="15" eb="17">
      <t>イジョウ</t>
    </rPh>
    <rPh sb="18" eb="20">
      <t>キニュウ</t>
    </rPh>
    <phoneticPr fontId="1"/>
  </si>
  <si>
    <t>　　　 　場合価格欄の反映が２箇所以上になり</t>
    <rPh sb="7" eb="9">
      <t>カカク</t>
    </rPh>
    <rPh sb="9" eb="10">
      <t>ラン</t>
    </rPh>
    <rPh sb="11" eb="13">
      <t>ハンエイ</t>
    </rPh>
    <rPh sb="15" eb="17">
      <t>カショ</t>
    </rPh>
    <rPh sb="17" eb="19">
      <t>イジョウ</t>
    </rPh>
    <phoneticPr fontId="1"/>
  </si>
  <si>
    <t>　　　 　価格欄が見にくくなります。</t>
    <rPh sb="5" eb="7">
      <t>カカク</t>
    </rPh>
    <rPh sb="7" eb="8">
      <t>ラン</t>
    </rPh>
    <rPh sb="9" eb="10">
      <t>ミ</t>
    </rPh>
    <phoneticPr fontId="1"/>
  </si>
  <si>
    <t>　　　※長手幅と短手の幅記入セルに数値を１箇所</t>
    <rPh sb="4" eb="6">
      <t>ナガテ</t>
    </rPh>
    <rPh sb="6" eb="7">
      <t>ハバ</t>
    </rPh>
    <rPh sb="8" eb="9">
      <t>ミジカ</t>
    </rPh>
    <rPh sb="9" eb="10">
      <t>テ</t>
    </rPh>
    <rPh sb="11" eb="12">
      <t>ハバ</t>
    </rPh>
    <rPh sb="12" eb="14">
      <t>キニュウ</t>
    </rPh>
    <rPh sb="17" eb="19">
      <t>スウチ</t>
    </rPh>
    <rPh sb="21" eb="23">
      <t>カショ</t>
    </rPh>
    <phoneticPr fontId="1"/>
  </si>
  <si>
    <t>　　　　 づつお間違えのないようにお願いします。</t>
    <phoneticPr fontId="1"/>
  </si>
  <si>
    <t>　　　※以上はその数値を含みます。未満含みません</t>
    <rPh sb="4" eb="6">
      <t>イジョウ</t>
    </rPh>
    <rPh sb="9" eb="11">
      <t>スウチ</t>
    </rPh>
    <rPh sb="12" eb="13">
      <t>フク</t>
    </rPh>
    <rPh sb="17" eb="19">
      <t>ミマン</t>
    </rPh>
    <rPh sb="19" eb="20">
      <t>フク</t>
    </rPh>
    <phoneticPr fontId="1"/>
  </si>
  <si>
    <t>　※赤枠内のみご記入ください。</t>
    <rPh sb="2" eb="3">
      <t>アカ</t>
    </rPh>
    <rPh sb="3" eb="4">
      <t>ワク</t>
    </rPh>
    <rPh sb="4" eb="5">
      <t>ナイ</t>
    </rPh>
    <rPh sb="8" eb="10">
      <t>キニュウ</t>
    </rPh>
    <phoneticPr fontId="1"/>
  </si>
  <si>
    <t>1.01m以上～1.5m以下</t>
    <rPh sb="12" eb="14">
      <t>イカ</t>
    </rPh>
    <phoneticPr fontId="1"/>
  </si>
  <si>
    <t>1m以下</t>
    <rPh sb="2" eb="4">
      <t>イカ</t>
    </rPh>
    <phoneticPr fontId="1"/>
  </si>
  <si>
    <t>5m以上</t>
  </si>
  <si>
    <t>2.01m以上～5m未満</t>
    <rPh sb="10" eb="12">
      <t>ミマン</t>
    </rPh>
    <phoneticPr fontId="1"/>
  </si>
  <si>
    <t>1.51m以上～2.01m以下</t>
    <rPh sb="14" eb="15">
      <t>シタ</t>
    </rPh>
    <phoneticPr fontId="1"/>
  </si>
  <si>
    <t>5m以上</t>
    <phoneticPr fontId="1"/>
  </si>
  <si>
    <t>2.01m以上～5m未満</t>
    <phoneticPr fontId="1"/>
  </si>
  <si>
    <t>1.51m以上～2.01m以下</t>
    <phoneticPr fontId="1"/>
  </si>
  <si>
    <t>1.01m以上～1.5m以下</t>
    <phoneticPr fontId="1"/>
  </si>
  <si>
    <t>1m以下</t>
    <phoneticPr fontId="1"/>
  </si>
  <si>
    <t>※原反つなぎなし製品は、Ａ+Ｂ＝９．８ｍ以下までです。</t>
    <rPh sb="1" eb="3">
      <t>ゲンタン</t>
    </rPh>
    <rPh sb="8" eb="10">
      <t>セイヒン</t>
    </rPh>
    <rPh sb="20" eb="22">
      <t>イカ</t>
    </rPh>
    <phoneticPr fontId="1"/>
  </si>
</sst>
</file>

<file path=xl/styles.xml><?xml version="1.0" encoding="utf-8"?>
<styleSheet xmlns="http://schemas.openxmlformats.org/spreadsheetml/2006/main">
  <numFmts count="3">
    <numFmt numFmtId="5" formatCode="&quot;¥&quot;#,##0;&quot;¥&quot;\-#,##0"/>
    <numFmt numFmtId="176" formatCode="0.000&quot;平&quot;&quot;米&quot;"/>
    <numFmt numFmtId="177" formatCode="0.00&quot;平&quot;&quot;米&quot;"/>
  </numFmts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00B050"/>
      <name val="ＭＳ Ｐゴシック"/>
      <family val="3"/>
      <charset val="128"/>
      <scheme val="minor"/>
    </font>
    <font>
      <b/>
      <sz val="12"/>
      <color rgb="FF0070C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4"/>
      <color theme="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 diagonalUp="1">
      <left style="thin">
        <color auto="1"/>
      </left>
      <right style="thin">
        <color auto="1"/>
      </right>
      <top/>
      <bottom style="dotted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dashed">
        <color rgb="FFFF0000"/>
      </bottom>
      <diagonal/>
    </border>
    <border>
      <left style="thick">
        <color rgb="FFFF0000"/>
      </left>
      <right style="thick">
        <color rgb="FFFF0000"/>
      </right>
      <top style="dashed">
        <color rgb="FFFF0000"/>
      </top>
      <bottom style="dashed">
        <color rgb="FFFF0000"/>
      </bottom>
      <diagonal/>
    </border>
    <border>
      <left style="thick">
        <color rgb="FFFF0000"/>
      </left>
      <right style="thick">
        <color rgb="FFFF0000"/>
      </right>
      <top style="dashed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0" xfId="0" applyBorder="1">
      <alignment vertical="center"/>
    </xf>
    <xf numFmtId="5" fontId="3" fillId="0" borderId="4" xfId="0" applyNumberFormat="1" applyFont="1" applyBorder="1">
      <alignment vertical="center"/>
    </xf>
    <xf numFmtId="5" fontId="3" fillId="0" borderId="8" xfId="0" applyNumberFormat="1" applyFont="1" applyBorder="1">
      <alignment vertical="center"/>
    </xf>
    <xf numFmtId="5" fontId="3" fillId="0" borderId="5" xfId="0" applyNumberFormat="1" applyFont="1" applyBorder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Fill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2" fillId="0" borderId="0" xfId="0" applyNumberFormat="1" applyFont="1" applyBorder="1" applyAlignment="1">
      <alignment horizontal="right" vertical="center"/>
    </xf>
    <xf numFmtId="177" fontId="2" fillId="0" borderId="2" xfId="0" applyNumberFormat="1" applyFont="1" applyBorder="1" applyAlignment="1">
      <alignment horizontal="right" vertical="center"/>
    </xf>
    <xf numFmtId="177" fontId="2" fillId="0" borderId="3" xfId="0" applyNumberFormat="1" applyFont="1" applyBorder="1" applyAlignment="1">
      <alignment horizontal="right" vertical="center"/>
    </xf>
    <xf numFmtId="0" fontId="0" fillId="0" borderId="25" xfId="0" applyBorder="1" applyProtection="1">
      <alignment vertical="center"/>
      <protection locked="0"/>
    </xf>
    <xf numFmtId="0" fontId="0" fillId="0" borderId="26" xfId="0" applyBorder="1" applyProtection="1">
      <alignment vertical="center"/>
      <protection locked="0"/>
    </xf>
    <xf numFmtId="0" fontId="0" fillId="0" borderId="27" xfId="0" applyBorder="1" applyProtection="1">
      <alignment vertical="center"/>
      <protection locked="0"/>
    </xf>
    <xf numFmtId="0" fontId="0" fillId="0" borderId="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7" xfId="0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left" vertical="center"/>
    </xf>
    <xf numFmtId="0" fontId="6" fillId="0" borderId="1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showGridLines="0" tabSelected="1" workbookViewId="0">
      <selection activeCell="C4" sqref="C4"/>
    </sheetView>
  </sheetViews>
  <sheetFormatPr defaultRowHeight="12.9"/>
  <cols>
    <col min="1" max="1" width="12.5" customWidth="1"/>
    <col min="2" max="2" width="23.375" customWidth="1"/>
    <col min="3" max="6" width="14.875" customWidth="1"/>
    <col min="7" max="8" width="20" customWidth="1"/>
    <col min="9" max="10" width="22.5" customWidth="1"/>
  </cols>
  <sheetData>
    <row r="1" spans="1:6" ht="25.5" customHeight="1">
      <c r="A1" s="42" t="s">
        <v>0</v>
      </c>
      <c r="B1" s="43"/>
      <c r="C1" s="43"/>
      <c r="D1" s="43"/>
      <c r="E1" s="43"/>
      <c r="F1" s="44"/>
    </row>
    <row r="2" spans="1:6" ht="25.5" customHeight="1">
      <c r="A2" s="45" t="s">
        <v>46</v>
      </c>
      <c r="B2" s="46"/>
      <c r="C2" s="46"/>
      <c r="D2" s="46"/>
      <c r="E2" s="46"/>
      <c r="F2" s="47"/>
    </row>
    <row r="3" spans="1:6" ht="14.95" customHeight="1" thickBot="1">
      <c r="A3" s="19"/>
      <c r="B3" s="23" t="s">
        <v>28</v>
      </c>
      <c r="C3" s="27" t="s">
        <v>30</v>
      </c>
      <c r="D3" s="41" t="s">
        <v>43</v>
      </c>
      <c r="E3" s="39"/>
      <c r="F3" s="40"/>
    </row>
    <row r="4" spans="1:6" ht="14.95" customHeight="1" thickTop="1">
      <c r="A4" s="30" t="s">
        <v>3</v>
      </c>
      <c r="B4" s="5" t="s">
        <v>52</v>
      </c>
      <c r="C4" s="36"/>
      <c r="D4" s="39" t="s">
        <v>44</v>
      </c>
      <c r="E4" s="39"/>
      <c r="F4" s="40"/>
    </row>
    <row r="5" spans="1:6" ht="14.95" customHeight="1">
      <c r="A5" s="31" t="s">
        <v>5</v>
      </c>
      <c r="B5" s="1" t="s">
        <v>50</v>
      </c>
      <c r="C5" s="37"/>
      <c r="D5" s="12"/>
      <c r="E5" s="12"/>
      <c r="F5" s="13"/>
    </row>
    <row r="6" spans="1:6" ht="14.95" customHeight="1">
      <c r="A6" s="31" t="s">
        <v>6</v>
      </c>
      <c r="B6" s="1" t="s">
        <v>51</v>
      </c>
      <c r="C6" s="37"/>
      <c r="D6" s="39" t="s">
        <v>38</v>
      </c>
      <c r="E6" s="39"/>
      <c r="F6" s="40"/>
    </row>
    <row r="7" spans="1:6" ht="14.95" customHeight="1">
      <c r="A7" s="31" t="s">
        <v>7</v>
      </c>
      <c r="B7" s="1" t="s">
        <v>47</v>
      </c>
      <c r="C7" s="37"/>
      <c r="D7" s="39" t="s">
        <v>39</v>
      </c>
      <c r="E7" s="39"/>
      <c r="F7" s="40"/>
    </row>
    <row r="8" spans="1:6" ht="14.95" customHeight="1" thickBot="1">
      <c r="A8" s="32" t="s">
        <v>8</v>
      </c>
      <c r="B8" s="10" t="s">
        <v>48</v>
      </c>
      <c r="C8" s="38"/>
      <c r="D8" s="12"/>
      <c r="E8" s="12"/>
      <c r="F8" s="13"/>
    </row>
    <row r="9" spans="1:6" ht="14.95" customHeight="1" thickTop="1">
      <c r="A9" s="25"/>
      <c r="B9" s="11"/>
      <c r="C9" s="29"/>
      <c r="D9" s="39" t="s">
        <v>36</v>
      </c>
      <c r="E9" s="39"/>
      <c r="F9" s="40"/>
    </row>
    <row r="10" spans="1:6" ht="14.95" customHeight="1" thickBot="1">
      <c r="A10" s="8"/>
      <c r="B10" s="24" t="s">
        <v>29</v>
      </c>
      <c r="C10" s="28" t="s">
        <v>30</v>
      </c>
      <c r="D10" s="41" t="s">
        <v>37</v>
      </c>
      <c r="E10" s="39"/>
      <c r="F10" s="40"/>
    </row>
    <row r="11" spans="1:6" ht="14.95" customHeight="1" thickTop="1">
      <c r="A11" s="30" t="s">
        <v>4</v>
      </c>
      <c r="B11" s="5" t="s">
        <v>49</v>
      </c>
      <c r="C11" s="36"/>
      <c r="D11" s="12"/>
      <c r="E11" s="12"/>
      <c r="F11" s="13"/>
    </row>
    <row r="12" spans="1:6" ht="14.95" customHeight="1">
      <c r="A12" s="31" t="s">
        <v>9</v>
      </c>
      <c r="B12" s="1" t="s">
        <v>53</v>
      </c>
      <c r="C12" s="37"/>
      <c r="D12" s="39" t="s">
        <v>40</v>
      </c>
      <c r="E12" s="39"/>
      <c r="F12" s="40"/>
    </row>
    <row r="13" spans="1:6" ht="14.95" customHeight="1">
      <c r="A13" s="31" t="s">
        <v>10</v>
      </c>
      <c r="B13" s="1" t="s">
        <v>54</v>
      </c>
      <c r="C13" s="37"/>
      <c r="D13" s="39" t="s">
        <v>41</v>
      </c>
      <c r="E13" s="39"/>
      <c r="F13" s="40"/>
    </row>
    <row r="14" spans="1:6" ht="14.95" customHeight="1">
      <c r="A14" s="31" t="s">
        <v>11</v>
      </c>
      <c r="B14" s="1" t="s">
        <v>55</v>
      </c>
      <c r="C14" s="37"/>
      <c r="D14" s="39" t="s">
        <v>42</v>
      </c>
      <c r="E14" s="39"/>
      <c r="F14" s="40"/>
    </row>
    <row r="15" spans="1:6" ht="14.95" customHeight="1" thickBot="1">
      <c r="A15" s="32" t="s">
        <v>12</v>
      </c>
      <c r="B15" s="2" t="s">
        <v>56</v>
      </c>
      <c r="C15" s="38"/>
      <c r="D15" s="12"/>
      <c r="E15" s="12"/>
      <c r="F15" s="13"/>
    </row>
    <row r="16" spans="1:6" ht="14.95" customHeight="1" thickTop="1">
      <c r="A16" s="26"/>
      <c r="B16" s="12"/>
      <c r="C16" s="12"/>
      <c r="D16" s="39" t="s">
        <v>45</v>
      </c>
      <c r="E16" s="39"/>
      <c r="F16" s="40"/>
    </row>
    <row r="17" spans="1:6">
      <c r="A17" s="26"/>
      <c r="B17" s="12"/>
      <c r="C17" s="12"/>
      <c r="D17" s="14"/>
      <c r="E17" s="14"/>
      <c r="F17" s="15"/>
    </row>
    <row r="18" spans="1:6">
      <c r="A18" s="50" t="s">
        <v>1</v>
      </c>
      <c r="B18" s="51"/>
      <c r="C18" s="49" t="s">
        <v>2</v>
      </c>
      <c r="D18" s="49"/>
      <c r="E18" s="49" t="s">
        <v>35</v>
      </c>
      <c r="F18" s="49"/>
    </row>
    <row r="19" spans="1:6">
      <c r="A19" s="52"/>
      <c r="B19" s="52"/>
      <c r="C19" s="9" t="s">
        <v>31</v>
      </c>
      <c r="D19" s="9" t="s">
        <v>32</v>
      </c>
      <c r="E19" s="9" t="s">
        <v>33</v>
      </c>
      <c r="F19" s="9" t="s">
        <v>34</v>
      </c>
    </row>
    <row r="20" spans="1:6" ht="14.95">
      <c r="A20" s="34">
        <f>TRUNC(C4*C11,3)</f>
        <v>0</v>
      </c>
      <c r="B20" s="16" t="s">
        <v>13</v>
      </c>
      <c r="C20" s="6">
        <v>700</v>
      </c>
      <c r="D20" s="7"/>
      <c r="E20" s="20">
        <f t="shared" ref="E20:E34" si="0">ROUNDUP(A20*C20,0)</f>
        <v>0</v>
      </c>
      <c r="F20" s="21"/>
    </row>
    <row r="21" spans="1:6" ht="14.95" customHeight="1">
      <c r="A21" s="34">
        <f>TRUNC(C4*C12,3)</f>
        <v>0</v>
      </c>
      <c r="B21" s="17" t="s">
        <v>14</v>
      </c>
      <c r="C21" s="3">
        <v>750</v>
      </c>
      <c r="D21" s="3">
        <v>1500</v>
      </c>
      <c r="E21" s="20">
        <f t="shared" si="0"/>
        <v>0</v>
      </c>
      <c r="F21" s="20">
        <f t="shared" ref="F21:F34" si="1">ROUNDUP(A21*D21,0)</f>
        <v>0</v>
      </c>
    </row>
    <row r="22" spans="1:6" ht="14.95">
      <c r="A22" s="34">
        <f>TRUNC(C4*C13,3)</f>
        <v>0</v>
      </c>
      <c r="B22" s="17" t="s">
        <v>15</v>
      </c>
      <c r="C22" s="3">
        <v>800</v>
      </c>
      <c r="D22" s="3">
        <v>1600</v>
      </c>
      <c r="E22" s="20">
        <f t="shared" si="0"/>
        <v>0</v>
      </c>
      <c r="F22" s="20">
        <f t="shared" si="1"/>
        <v>0</v>
      </c>
    </row>
    <row r="23" spans="1:6" ht="14.95">
      <c r="A23" s="34">
        <f>TRUNC(C4*C14,3)</f>
        <v>0</v>
      </c>
      <c r="B23" s="17" t="s">
        <v>16</v>
      </c>
      <c r="C23" s="3">
        <v>850</v>
      </c>
      <c r="D23" s="3">
        <v>1700</v>
      </c>
      <c r="E23" s="20">
        <f t="shared" si="0"/>
        <v>0</v>
      </c>
      <c r="F23" s="20">
        <f t="shared" si="1"/>
        <v>0</v>
      </c>
    </row>
    <row r="24" spans="1:6" ht="14.95">
      <c r="A24" s="34">
        <f>TRUNC(C4*ROUNDUP(C15,0),3)</f>
        <v>0</v>
      </c>
      <c r="B24" s="17" t="s">
        <v>17</v>
      </c>
      <c r="C24" s="3">
        <v>900</v>
      </c>
      <c r="D24" s="3">
        <v>1800</v>
      </c>
      <c r="E24" s="20">
        <f t="shared" si="0"/>
        <v>0</v>
      </c>
      <c r="F24" s="20">
        <f t="shared" si="1"/>
        <v>0</v>
      </c>
    </row>
    <row r="25" spans="1:6" ht="14.95">
      <c r="A25" s="34">
        <f>TRUNC(C5*C12,3)</f>
        <v>0</v>
      </c>
      <c r="B25" s="17" t="s">
        <v>18</v>
      </c>
      <c r="C25" s="3">
        <v>800</v>
      </c>
      <c r="D25" s="3">
        <v>1600</v>
      </c>
      <c r="E25" s="20">
        <f t="shared" si="0"/>
        <v>0</v>
      </c>
      <c r="F25" s="20">
        <f t="shared" si="1"/>
        <v>0</v>
      </c>
    </row>
    <row r="26" spans="1:6" ht="14.95">
      <c r="A26" s="34">
        <f>TRUNC(C5*C13,3)</f>
        <v>0</v>
      </c>
      <c r="B26" s="17" t="s">
        <v>19</v>
      </c>
      <c r="C26" s="3">
        <v>850</v>
      </c>
      <c r="D26" s="3">
        <v>1700</v>
      </c>
      <c r="E26" s="20">
        <f t="shared" si="0"/>
        <v>0</v>
      </c>
      <c r="F26" s="20">
        <f t="shared" si="1"/>
        <v>0</v>
      </c>
    </row>
    <row r="27" spans="1:6" ht="14.95">
      <c r="A27" s="34">
        <f>TRUNC(C5*C14,3)</f>
        <v>0</v>
      </c>
      <c r="B27" s="17" t="s">
        <v>20</v>
      </c>
      <c r="C27" s="3">
        <v>900</v>
      </c>
      <c r="D27" s="3">
        <v>1800</v>
      </c>
      <c r="E27" s="20">
        <f t="shared" si="0"/>
        <v>0</v>
      </c>
      <c r="F27" s="20">
        <f t="shared" si="1"/>
        <v>0</v>
      </c>
    </row>
    <row r="28" spans="1:6" ht="14.95">
      <c r="A28" s="34">
        <f>TRUNC(C5*ROUNDUP(C15,0),3)</f>
        <v>0</v>
      </c>
      <c r="B28" s="17" t="s">
        <v>21</v>
      </c>
      <c r="C28" s="3">
        <v>950</v>
      </c>
      <c r="D28" s="3">
        <v>1900</v>
      </c>
      <c r="E28" s="20">
        <f t="shared" si="0"/>
        <v>0</v>
      </c>
      <c r="F28" s="20">
        <f t="shared" si="1"/>
        <v>0</v>
      </c>
    </row>
    <row r="29" spans="1:6" ht="14.95">
      <c r="A29" s="34">
        <f>TRUNC(C6*C13,3)</f>
        <v>0</v>
      </c>
      <c r="B29" s="17" t="s">
        <v>22</v>
      </c>
      <c r="C29" s="3">
        <v>900</v>
      </c>
      <c r="D29" s="3">
        <v>1800</v>
      </c>
      <c r="E29" s="20">
        <f t="shared" si="0"/>
        <v>0</v>
      </c>
      <c r="F29" s="20">
        <f t="shared" si="1"/>
        <v>0</v>
      </c>
    </row>
    <row r="30" spans="1:6" ht="14.95">
      <c r="A30" s="34">
        <f>TRUNC(C6*C14,3)</f>
        <v>0</v>
      </c>
      <c r="B30" s="17" t="s">
        <v>23</v>
      </c>
      <c r="C30" s="3">
        <v>950</v>
      </c>
      <c r="D30" s="3">
        <v>1900</v>
      </c>
      <c r="E30" s="20">
        <f t="shared" si="0"/>
        <v>0</v>
      </c>
      <c r="F30" s="20">
        <f t="shared" si="1"/>
        <v>0</v>
      </c>
    </row>
    <row r="31" spans="1:6" ht="14.95">
      <c r="A31" s="34">
        <f>TRUNC(C6*ROUNDUP(C15,0),3)</f>
        <v>0</v>
      </c>
      <c r="B31" s="17" t="s">
        <v>24</v>
      </c>
      <c r="C31" s="3">
        <v>1000</v>
      </c>
      <c r="D31" s="3">
        <v>2000</v>
      </c>
      <c r="E31" s="20">
        <f t="shared" si="0"/>
        <v>0</v>
      </c>
      <c r="F31" s="20">
        <f t="shared" si="1"/>
        <v>0</v>
      </c>
    </row>
    <row r="32" spans="1:6" ht="14.95">
      <c r="A32" s="34">
        <f>TRUNC(C7*C14,3)</f>
        <v>0</v>
      </c>
      <c r="B32" s="17" t="s">
        <v>25</v>
      </c>
      <c r="C32" s="3">
        <v>1000</v>
      </c>
      <c r="D32" s="3">
        <v>2000</v>
      </c>
      <c r="E32" s="20">
        <f t="shared" si="0"/>
        <v>0</v>
      </c>
      <c r="F32" s="20">
        <f t="shared" si="1"/>
        <v>0</v>
      </c>
    </row>
    <row r="33" spans="1:6" ht="14.95">
      <c r="A33" s="34">
        <f>TRUNC(C7*ROUNDUP(C15,0),3)</f>
        <v>0</v>
      </c>
      <c r="B33" s="17" t="s">
        <v>26</v>
      </c>
      <c r="C33" s="3">
        <v>1050</v>
      </c>
      <c r="D33" s="3">
        <v>2100</v>
      </c>
      <c r="E33" s="20">
        <f t="shared" si="0"/>
        <v>0</v>
      </c>
      <c r="F33" s="20">
        <f t="shared" si="1"/>
        <v>0</v>
      </c>
    </row>
    <row r="34" spans="1:6" ht="14.95">
      <c r="A34" s="35">
        <f>TRUNC(ROUNDUP(C8,0)*ROUNDUP(C15,0),3)</f>
        <v>0</v>
      </c>
      <c r="B34" s="18" t="s">
        <v>27</v>
      </c>
      <c r="C34" s="4">
        <v>1100</v>
      </c>
      <c r="D34" s="4">
        <v>2200</v>
      </c>
      <c r="E34" s="22">
        <f t="shared" si="0"/>
        <v>0</v>
      </c>
      <c r="F34" s="22">
        <f t="shared" si="1"/>
        <v>0</v>
      </c>
    </row>
    <row r="36" spans="1:6">
      <c r="A36" s="48" t="s">
        <v>57</v>
      </c>
      <c r="B36" s="48"/>
      <c r="C36" s="48"/>
    </row>
    <row r="37" spans="1:6">
      <c r="A37" s="33"/>
    </row>
  </sheetData>
  <sheetProtection password="CC69" sheet="1" objects="1" scenarios="1" selectLockedCells="1"/>
  <mergeCells count="16">
    <mergeCell ref="A36:C36"/>
    <mergeCell ref="D16:F16"/>
    <mergeCell ref="C18:D18"/>
    <mergeCell ref="E18:F18"/>
    <mergeCell ref="A18:B19"/>
    <mergeCell ref="A1:F1"/>
    <mergeCell ref="D3:F3"/>
    <mergeCell ref="D4:F4"/>
    <mergeCell ref="D6:F6"/>
    <mergeCell ref="D7:F7"/>
    <mergeCell ref="A2:F2"/>
    <mergeCell ref="D9:F9"/>
    <mergeCell ref="D10:F10"/>
    <mergeCell ref="D12:F12"/>
    <mergeCell ref="D13:F13"/>
    <mergeCell ref="D14:F14"/>
  </mergeCells>
  <phoneticPr fontId="1"/>
  <dataValidations xWindow="873" yWindow="305" count="18">
    <dataValidation type="decimal" operator="greaterThanOrEqual" allowBlank="1" showErrorMessage="1" prompt="_x000a_" sqref="C11">
      <formula1>5</formula1>
    </dataValidation>
    <dataValidation type="decimal" allowBlank="1" showErrorMessage="1" prompt="_x000a_２．０１ｍ以上～５ｍ未満の数値をご記入ください。" sqref="C12">
      <formula1>2.001</formula1>
      <formula2>4.999</formula2>
    </dataValidation>
    <dataValidation type="decimal" allowBlank="1" showErrorMessage="1" prompt="_x000a_" sqref="C13">
      <formula1>1.501</formula1>
      <formula2>2</formula2>
    </dataValidation>
    <dataValidation type="decimal" allowBlank="1" showErrorMessage="1" prompt="_x000a_" sqref="C14">
      <formula1>1.001</formula1>
      <formula2>1.501</formula2>
    </dataValidation>
    <dataValidation type="decimal" operator="lessThanOrEqual" allowBlank="1" showErrorMessage="1" sqref="C15">
      <formula1>1</formula1>
    </dataValidation>
    <dataValidation type="list" allowBlank="1" showDropDown="1" showInputMessage="1" showErrorMessage="1" error="書き換えは出来ません。_x000a_" sqref="D3:F15">
      <formula1>"fjhgp;ja"</formula1>
    </dataValidation>
    <dataValidation type="list" allowBlank="1" showDropDown="1" showInputMessage="1" showErrorMessage="1" error="書き換えは出来ません。" sqref="A3:A19 B16:B34 A20:A34 A1:F2">
      <formula1>"fjhgp;ja"</formula1>
    </dataValidation>
    <dataValidation type="list" allowBlank="1" showDropDown="1" showInputMessage="1" showErrorMessage="1" error="書き換えできません。" sqref="C9">
      <formula1>"fjhgp;ja"</formula1>
    </dataValidation>
    <dataValidation type="list" allowBlank="1" showDropDown="1" showInputMessage="1" showErrorMessage="1" error="書き換えは出来ません。" sqref="C16:F17">
      <formula1>"fjhgp;ja"</formula1>
    </dataValidation>
    <dataValidation type="list" allowBlank="1" showDropDown="1" showInputMessage="1" showErrorMessage="1" error="書き換えは出来ません。" sqref="C18:F34">
      <formula1>"fjhgp;ja"</formula1>
    </dataValidation>
    <dataValidation type="list" allowBlank="1" showDropDown="1" showInputMessage="1" showErrorMessage="1" error="書き換えは出来ません。" sqref="B3:B15">
      <formula1>"fjhgp;ja"</formula1>
    </dataValidation>
    <dataValidation allowBlank="1" showDropDown="1" showInputMessage="1" showErrorMessage="1" error="書き換えは出来ません。" sqref="A37"/>
    <dataValidation type="list" allowBlank="1" showDropDown="1" showInputMessage="1" showErrorMessage="1" error="書き換えは出来ません。" sqref="A35:F36">
      <formula1>"fjhgp;ja"</formula1>
    </dataValidation>
    <dataValidation type="decimal" operator="greaterThanOrEqual" allowBlank="1" showErrorMessage="1" prompt="_x000a_" sqref="C4">
      <formula1>5</formula1>
    </dataValidation>
    <dataValidation type="decimal" allowBlank="1" showInputMessage="1" showErrorMessage="1" promptTitle="長い方の幅を記入してください。" sqref="C5">
      <formula1>2.001</formula1>
      <formula2>4.999</formula2>
    </dataValidation>
    <dataValidation type="decimal" allowBlank="1" showErrorMessage="1" prompt="_x000a_" sqref="C6">
      <formula1>1.501</formula1>
      <formula2>2</formula2>
    </dataValidation>
    <dataValidation type="decimal" allowBlank="1" showErrorMessage="1" prompt="_x000a_" sqref="C7">
      <formula1>1.001</formula1>
      <formula2>1.501</formula2>
    </dataValidation>
    <dataValidation type="decimal" operator="lessThanOrEqual" allowBlank="1" showErrorMessage="1" prompt="_x000a_" sqref="C8">
      <formula1>1</formula1>
    </dataValidation>
  </dataValidations>
  <pageMargins left="0.31496062992125984" right="0.31496062992125984" top="0.35433070866141736" bottom="0.35433070866141736" header="0.31496062992125984" footer="0.31496062992125984"/>
  <pageSetup paperSize="9" orientation="portrait" horizontalDpi="2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ナイロンネット</vt:lpstr>
    </vt:vector>
  </TitlesOfParts>
  <Company>FJ-USER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kazunari</dc:creator>
  <cp:lastModifiedBy>kazunari</cp:lastModifiedBy>
  <cp:lastPrinted>2012-08-14T07:40:19Z</cp:lastPrinted>
  <dcterms:created xsi:type="dcterms:W3CDTF">2012-08-14T01:45:25Z</dcterms:created>
  <dcterms:modified xsi:type="dcterms:W3CDTF">2012-12-01T15:56:21Z</dcterms:modified>
</cp:coreProperties>
</file>