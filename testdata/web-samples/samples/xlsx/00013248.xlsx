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9095" windowHeight="8415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M79" i="2"/>
  <c r="W79" s="1"/>
  <c r="L79"/>
  <c r="L78"/>
  <c r="M78" s="1"/>
  <c r="M77"/>
  <c r="W77" s="1"/>
  <c r="L77"/>
  <c r="L73"/>
  <c r="M73" s="1"/>
  <c r="L72"/>
  <c r="M72" s="1"/>
  <c r="L68"/>
  <c r="M68" s="1"/>
  <c r="M67"/>
  <c r="W67" s="1"/>
  <c r="L67"/>
  <c r="L66"/>
  <c r="M66" s="1"/>
  <c r="M65"/>
  <c r="W65" s="1"/>
  <c r="L65"/>
  <c r="L57"/>
  <c r="M57" s="1"/>
  <c r="M56"/>
  <c r="W56" s="1"/>
  <c r="L56"/>
  <c r="L54"/>
  <c r="M54" s="1"/>
  <c r="L53"/>
  <c r="M53" s="1"/>
  <c r="M52"/>
  <c r="W52" s="1"/>
  <c r="L52"/>
  <c r="L51"/>
  <c r="M51" s="1"/>
  <c r="L49"/>
  <c r="M49" s="1"/>
  <c r="M48"/>
  <c r="W48" s="1"/>
  <c r="L48"/>
  <c r="L47"/>
  <c r="M47" s="1"/>
  <c r="M46"/>
  <c r="W46" s="1"/>
  <c r="L46"/>
  <c r="L45"/>
  <c r="M45" s="1"/>
  <c r="M44"/>
  <c r="W44" s="1"/>
  <c r="L44"/>
  <c r="L43"/>
  <c r="M43" s="1"/>
  <c r="L41"/>
  <c r="M41" s="1"/>
  <c r="M40"/>
  <c r="W40" s="1"/>
  <c r="L40"/>
  <c r="L39"/>
  <c r="M39" s="1"/>
  <c r="L37"/>
  <c r="M37" s="1"/>
  <c r="M36"/>
  <c r="W36" s="1"/>
  <c r="L36"/>
  <c r="L35"/>
  <c r="M35" s="1"/>
  <c r="L33"/>
  <c r="M33" s="1"/>
  <c r="M32"/>
  <c r="W32" s="1"/>
  <c r="L32"/>
  <c r="L31"/>
  <c r="M31" s="1"/>
  <c r="L29"/>
  <c r="M29" s="1"/>
  <c r="M28"/>
  <c r="W28" s="1"/>
  <c r="L28"/>
  <c r="L27"/>
  <c r="M27" s="1"/>
  <c r="L25"/>
  <c r="M25" s="1"/>
  <c r="M24"/>
  <c r="W24" s="1"/>
  <c r="L24"/>
  <c r="M22"/>
  <c r="W22" s="1"/>
  <c r="L22"/>
  <c r="L21"/>
  <c r="M21" s="1"/>
  <c r="M20"/>
  <c r="W20" s="1"/>
  <c r="L20"/>
  <c r="L19"/>
  <c r="M19" s="1"/>
  <c r="M18"/>
  <c r="L18"/>
  <c r="L17"/>
  <c r="M17" s="1"/>
  <c r="M16"/>
  <c r="X16" s="1"/>
  <c r="L16"/>
  <c r="L15"/>
  <c r="M15" s="1"/>
  <c r="M14"/>
  <c r="X14" s="1"/>
  <c r="L14"/>
  <c r="L13"/>
  <c r="M13" s="1"/>
  <c r="M11"/>
  <c r="X11" s="1"/>
  <c r="L11"/>
  <c r="L10"/>
  <c r="M10" s="1"/>
  <c r="M8"/>
  <c r="X8" s="1"/>
  <c r="L8"/>
  <c r="L7"/>
  <c r="M7" s="1"/>
  <c r="Q6"/>
  <c r="M6"/>
  <c r="X6" s="1"/>
  <c r="L6"/>
  <c r="L5"/>
  <c r="M5" s="1"/>
  <c r="W10" l="1"/>
  <c r="U10"/>
  <c r="S10"/>
  <c r="Q10"/>
  <c r="X10"/>
  <c r="X9" s="1"/>
  <c r="V10"/>
  <c r="T10"/>
  <c r="R10"/>
  <c r="P10"/>
  <c r="W15"/>
  <c r="U15"/>
  <c r="S15"/>
  <c r="Q15"/>
  <c r="X15"/>
  <c r="V15"/>
  <c r="T15"/>
  <c r="R15"/>
  <c r="P15"/>
  <c r="W5"/>
  <c r="U5"/>
  <c r="S5"/>
  <c r="Q5"/>
  <c r="X5"/>
  <c r="V5"/>
  <c r="R5"/>
  <c r="T5"/>
  <c r="P5"/>
  <c r="W7"/>
  <c r="U7"/>
  <c r="S7"/>
  <c r="Q7"/>
  <c r="V7"/>
  <c r="R7"/>
  <c r="X7"/>
  <c r="T7"/>
  <c r="P7"/>
  <c r="W13"/>
  <c r="U13"/>
  <c r="S13"/>
  <c r="Q13"/>
  <c r="X13"/>
  <c r="X12" s="1"/>
  <c r="V13"/>
  <c r="T13"/>
  <c r="R13"/>
  <c r="P13"/>
  <c r="W17"/>
  <c r="U17"/>
  <c r="S17"/>
  <c r="Q17"/>
  <c r="X17"/>
  <c r="V17"/>
  <c r="T17"/>
  <c r="R17"/>
  <c r="P17"/>
  <c r="W18"/>
  <c r="U18"/>
  <c r="X18"/>
  <c r="V18"/>
  <c r="T18"/>
  <c r="R18"/>
  <c r="P18"/>
  <c r="X21"/>
  <c r="V21"/>
  <c r="T21"/>
  <c r="R21"/>
  <c r="P21"/>
  <c r="W21"/>
  <c r="U21"/>
  <c r="S21"/>
  <c r="Q21"/>
  <c r="X27"/>
  <c r="V27"/>
  <c r="T27"/>
  <c r="R27"/>
  <c r="P27"/>
  <c r="W27"/>
  <c r="U27"/>
  <c r="S27"/>
  <c r="Q27"/>
  <c r="X31"/>
  <c r="V31"/>
  <c r="T31"/>
  <c r="R31"/>
  <c r="P31"/>
  <c r="W31"/>
  <c r="U31"/>
  <c r="S31"/>
  <c r="Q31"/>
  <c r="X35"/>
  <c r="V35"/>
  <c r="T35"/>
  <c r="R35"/>
  <c r="P35"/>
  <c r="W35"/>
  <c r="U35"/>
  <c r="S35"/>
  <c r="Q35"/>
  <c r="X39"/>
  <c r="V39"/>
  <c r="T39"/>
  <c r="R39"/>
  <c r="P39"/>
  <c r="W39"/>
  <c r="U39"/>
  <c r="S39"/>
  <c r="Q39"/>
  <c r="X43"/>
  <c r="V43"/>
  <c r="T43"/>
  <c r="R43"/>
  <c r="P43"/>
  <c r="W43"/>
  <c r="W42" s="1"/>
  <c r="U43"/>
  <c r="S43"/>
  <c r="Q43"/>
  <c r="X47"/>
  <c r="V47"/>
  <c r="T47"/>
  <c r="R47"/>
  <c r="P47"/>
  <c r="W47"/>
  <c r="U47"/>
  <c r="S47"/>
  <c r="Q47"/>
  <c r="X51"/>
  <c r="V51"/>
  <c r="T51"/>
  <c r="R51"/>
  <c r="P51"/>
  <c r="W51"/>
  <c r="U51"/>
  <c r="S51"/>
  <c r="Q51"/>
  <c r="W54"/>
  <c r="U54"/>
  <c r="S54"/>
  <c r="Q54"/>
  <c r="X54"/>
  <c r="V54"/>
  <c r="T54"/>
  <c r="R54"/>
  <c r="P54"/>
  <c r="X66"/>
  <c r="V66"/>
  <c r="T66"/>
  <c r="R66"/>
  <c r="P66"/>
  <c r="W66"/>
  <c r="U66"/>
  <c r="S66"/>
  <c r="Q66"/>
  <c r="X72"/>
  <c r="V72"/>
  <c r="T72"/>
  <c r="R72"/>
  <c r="P72"/>
  <c r="W72"/>
  <c r="U72"/>
  <c r="S72"/>
  <c r="Q72"/>
  <c r="X78"/>
  <c r="V78"/>
  <c r="T78"/>
  <c r="R78"/>
  <c r="P78"/>
  <c r="W78"/>
  <c r="U78"/>
  <c r="S78"/>
  <c r="Q78"/>
  <c r="U6"/>
  <c r="Q8"/>
  <c r="S8"/>
  <c r="U8"/>
  <c r="W8"/>
  <c r="Q11"/>
  <c r="S11"/>
  <c r="U11"/>
  <c r="W11"/>
  <c r="Q14"/>
  <c r="S14"/>
  <c r="U14"/>
  <c r="W14"/>
  <c r="Q16"/>
  <c r="S16"/>
  <c r="U16"/>
  <c r="W16"/>
  <c r="S18"/>
  <c r="X19"/>
  <c r="V19"/>
  <c r="T19"/>
  <c r="R19"/>
  <c r="P19"/>
  <c r="W19"/>
  <c r="U19"/>
  <c r="S19"/>
  <c r="Q19"/>
  <c r="X25"/>
  <c r="V25"/>
  <c r="T25"/>
  <c r="R25"/>
  <c r="P25"/>
  <c r="W25"/>
  <c r="W23" s="1"/>
  <c r="U25"/>
  <c r="S25"/>
  <c r="Q25"/>
  <c r="X29"/>
  <c r="V29"/>
  <c r="T29"/>
  <c r="R29"/>
  <c r="P29"/>
  <c r="W29"/>
  <c r="U29"/>
  <c r="S29"/>
  <c r="Q29"/>
  <c r="X33"/>
  <c r="V33"/>
  <c r="T33"/>
  <c r="R33"/>
  <c r="P33"/>
  <c r="W33"/>
  <c r="U33"/>
  <c r="S33"/>
  <c r="Q33"/>
  <c r="X37"/>
  <c r="V37"/>
  <c r="T37"/>
  <c r="R37"/>
  <c r="P37"/>
  <c r="W37"/>
  <c r="U37"/>
  <c r="S37"/>
  <c r="Q37"/>
  <c r="X41"/>
  <c r="V41"/>
  <c r="T41"/>
  <c r="R41"/>
  <c r="P41"/>
  <c r="W41"/>
  <c r="U41"/>
  <c r="S41"/>
  <c r="Q41"/>
  <c r="X45"/>
  <c r="V45"/>
  <c r="T45"/>
  <c r="R45"/>
  <c r="P45"/>
  <c r="W45"/>
  <c r="U45"/>
  <c r="S45"/>
  <c r="Q45"/>
  <c r="X49"/>
  <c r="V49"/>
  <c r="T49"/>
  <c r="R49"/>
  <c r="P49"/>
  <c r="W49"/>
  <c r="U49"/>
  <c r="S49"/>
  <c r="Q49"/>
  <c r="X53"/>
  <c r="V53"/>
  <c r="T53"/>
  <c r="R53"/>
  <c r="P53"/>
  <c r="W53"/>
  <c r="U53"/>
  <c r="S53"/>
  <c r="Q53"/>
  <c r="X57"/>
  <c r="V57"/>
  <c r="T57"/>
  <c r="R57"/>
  <c r="P57"/>
  <c r="W57"/>
  <c r="W55" s="1"/>
  <c r="U57"/>
  <c r="S57"/>
  <c r="Q57"/>
  <c r="X68"/>
  <c r="V68"/>
  <c r="T68"/>
  <c r="R68"/>
  <c r="P68"/>
  <c r="W68"/>
  <c r="U68"/>
  <c r="S68"/>
  <c r="Q68"/>
  <c r="W73"/>
  <c r="U73"/>
  <c r="S73"/>
  <c r="Q73"/>
  <c r="X73"/>
  <c r="V73"/>
  <c r="T73"/>
  <c r="R73"/>
  <c r="P73"/>
  <c r="S6"/>
  <c r="W6"/>
  <c r="P6"/>
  <c r="R6"/>
  <c r="T6"/>
  <c r="V6"/>
  <c r="P8"/>
  <c r="R8"/>
  <c r="T8"/>
  <c r="V8"/>
  <c r="P11"/>
  <c r="R11"/>
  <c r="T11"/>
  <c r="V11"/>
  <c r="P14"/>
  <c r="R14"/>
  <c r="T14"/>
  <c r="V14"/>
  <c r="P16"/>
  <c r="R16"/>
  <c r="T16"/>
  <c r="V16"/>
  <c r="Q18"/>
  <c r="W64"/>
  <c r="W76"/>
  <c r="P20"/>
  <c r="R20"/>
  <c r="T20"/>
  <c r="V20"/>
  <c r="X20"/>
  <c r="P22"/>
  <c r="R22"/>
  <c r="T22"/>
  <c r="V22"/>
  <c r="X22"/>
  <c r="P24"/>
  <c r="P23" s="1"/>
  <c r="R24"/>
  <c r="R23" s="1"/>
  <c r="T24"/>
  <c r="T23" s="1"/>
  <c r="V24"/>
  <c r="V23" s="1"/>
  <c r="X24"/>
  <c r="X23" s="1"/>
  <c r="P28"/>
  <c r="R28"/>
  <c r="T28"/>
  <c r="V28"/>
  <c r="X28"/>
  <c r="P32"/>
  <c r="R32"/>
  <c r="T32"/>
  <c r="V32"/>
  <c r="X32"/>
  <c r="P36"/>
  <c r="R36"/>
  <c r="T36"/>
  <c r="V36"/>
  <c r="X36"/>
  <c r="P40"/>
  <c r="R40"/>
  <c r="T40"/>
  <c r="V40"/>
  <c r="X40"/>
  <c r="P44"/>
  <c r="R44"/>
  <c r="T44"/>
  <c r="V44"/>
  <c r="X44"/>
  <c r="P46"/>
  <c r="R46"/>
  <c r="T46"/>
  <c r="V46"/>
  <c r="X46"/>
  <c r="P48"/>
  <c r="R48"/>
  <c r="T48"/>
  <c r="V48"/>
  <c r="X48"/>
  <c r="P52"/>
  <c r="R52"/>
  <c r="T52"/>
  <c r="V52"/>
  <c r="X52"/>
  <c r="P56"/>
  <c r="P55" s="1"/>
  <c r="R56"/>
  <c r="R55" s="1"/>
  <c r="T56"/>
  <c r="T55" s="1"/>
  <c r="V56"/>
  <c r="V55" s="1"/>
  <c r="X56"/>
  <c r="X55" s="1"/>
  <c r="P65"/>
  <c r="R65"/>
  <c r="T65"/>
  <c r="V65"/>
  <c r="V64" s="1"/>
  <c r="X65"/>
  <c r="P67"/>
  <c r="R67"/>
  <c r="T67"/>
  <c r="V67"/>
  <c r="X67"/>
  <c r="P77"/>
  <c r="R77"/>
  <c r="T77"/>
  <c r="V77"/>
  <c r="V76" s="1"/>
  <c r="X77"/>
  <c r="P79"/>
  <c r="R79"/>
  <c r="T79"/>
  <c r="V79"/>
  <c r="X79"/>
  <c r="Q20"/>
  <c r="S20"/>
  <c r="U20"/>
  <c r="Q22"/>
  <c r="S22"/>
  <c r="U22"/>
  <c r="Q24"/>
  <c r="Q23" s="1"/>
  <c r="S24"/>
  <c r="S23" s="1"/>
  <c r="U24"/>
  <c r="U23" s="1"/>
  <c r="Q28"/>
  <c r="S28"/>
  <c r="U28"/>
  <c r="Q32"/>
  <c r="S32"/>
  <c r="U32"/>
  <c r="Q36"/>
  <c r="S36"/>
  <c r="U36"/>
  <c r="Q40"/>
  <c r="S40"/>
  <c r="U40"/>
  <c r="Q44"/>
  <c r="S44"/>
  <c r="U44"/>
  <c r="Q46"/>
  <c r="S46"/>
  <c r="U46"/>
  <c r="Q48"/>
  <c r="S48"/>
  <c r="U48"/>
  <c r="Q52"/>
  <c r="S52"/>
  <c r="U52"/>
  <c r="Q56"/>
  <c r="Q55" s="1"/>
  <c r="S56"/>
  <c r="S55" s="1"/>
  <c r="U56"/>
  <c r="U55" s="1"/>
  <c r="Q65"/>
  <c r="S65"/>
  <c r="S64" s="1"/>
  <c r="U65"/>
  <c r="Q67"/>
  <c r="S67"/>
  <c r="U67"/>
  <c r="Q77"/>
  <c r="S77"/>
  <c r="S76" s="1"/>
  <c r="U77"/>
  <c r="Q79"/>
  <c r="S79"/>
  <c r="U79"/>
  <c r="U76" l="1"/>
  <c r="Q76"/>
  <c r="U64"/>
  <c r="X76"/>
  <c r="T76"/>
  <c r="P76"/>
  <c r="X64"/>
  <c r="T64"/>
  <c r="P64"/>
  <c r="S71"/>
  <c r="W71"/>
  <c r="R71"/>
  <c r="V71"/>
  <c r="Q50"/>
  <c r="U50"/>
  <c r="P50"/>
  <c r="T50"/>
  <c r="X50"/>
  <c r="Q42"/>
  <c r="U42"/>
  <c r="P42"/>
  <c r="T42"/>
  <c r="X42"/>
  <c r="S38"/>
  <c r="W38"/>
  <c r="R38"/>
  <c r="V38"/>
  <c r="Q34"/>
  <c r="U34"/>
  <c r="P34"/>
  <c r="T34"/>
  <c r="X34"/>
  <c r="S30"/>
  <c r="W30"/>
  <c r="R30"/>
  <c r="V30"/>
  <c r="Q26"/>
  <c r="U26"/>
  <c r="P26"/>
  <c r="T26"/>
  <c r="X26"/>
  <c r="P12"/>
  <c r="T12"/>
  <c r="S12"/>
  <c r="W12"/>
  <c r="P9"/>
  <c r="T9"/>
  <c r="S9"/>
  <c r="W9"/>
  <c r="R76"/>
  <c r="R64"/>
  <c r="Q71"/>
  <c r="U71"/>
  <c r="P71"/>
  <c r="T71"/>
  <c r="X71"/>
  <c r="S50"/>
  <c r="W50"/>
  <c r="R50"/>
  <c r="V50"/>
  <c r="S42"/>
  <c r="R42"/>
  <c r="V42"/>
  <c r="Q38"/>
  <c r="U38"/>
  <c r="P38"/>
  <c r="T38"/>
  <c r="X38"/>
  <c r="S34"/>
  <c r="W34"/>
  <c r="R34"/>
  <c r="V34"/>
  <c r="Q30"/>
  <c r="U30"/>
  <c r="P30"/>
  <c r="T30"/>
  <c r="X30"/>
  <c r="S26"/>
  <c r="W26"/>
  <c r="R26"/>
  <c r="V26"/>
  <c r="R12"/>
  <c r="V12"/>
  <c r="U12"/>
  <c r="R9"/>
  <c r="V9"/>
  <c r="U9"/>
</calcChain>
</file>

<file path=xl/sharedStrings.xml><?xml version="1.0" encoding="utf-8"?>
<sst xmlns="http://schemas.openxmlformats.org/spreadsheetml/2006/main" count="209" uniqueCount="111">
  <si>
    <t>Partition</t>
  </si>
  <si>
    <t>U2</t>
  </si>
  <si>
    <t>min</t>
  </si>
  <si>
    <t>234,5678</t>
  </si>
  <si>
    <t>345678*</t>
  </si>
  <si>
    <t>234567*</t>
  </si>
  <si>
    <t>1,234,5678</t>
  </si>
  <si>
    <t>12345,6,7 (M2)</t>
  </si>
  <si>
    <t>12345,6 (M1)</t>
  </si>
  <si>
    <t>12345,67*</t>
  </si>
  <si>
    <t>34567,8 (M2)</t>
  </si>
  <si>
    <t>12,34567 (M1)</t>
  </si>
  <si>
    <t>1234,56 (M1)</t>
  </si>
  <si>
    <t>1234,56,78 (M2)</t>
  </si>
  <si>
    <t>123,4,56 (M1)</t>
  </si>
  <si>
    <t>123,4,56,78 (M2)</t>
  </si>
  <si>
    <t>123,56,78 (M3)</t>
  </si>
  <si>
    <t>123,56 &lt; M1</t>
  </si>
  <si>
    <t>1,234,56 (M1)</t>
  </si>
  <si>
    <t>1,234,567 (M1)</t>
  </si>
  <si>
    <t>234,567,8 (M2)</t>
  </si>
  <si>
    <t>1,234,567,8 (M3)</t>
  </si>
  <si>
    <t>1,234,56,78 (M2)</t>
  </si>
  <si>
    <t>234,56,78 (M3)</t>
  </si>
  <si>
    <t>123,456 (M1)</t>
  </si>
  <si>
    <t>123,456,7 (M2)</t>
  </si>
  <si>
    <t>123,456,7,8 (M3)</t>
  </si>
  <si>
    <t>12345,678*</t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</si>
  <si>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*=1|234567|8|9….</t>
    </r>
  </si>
  <si>
    <t>123,456*</t>
  </si>
  <si>
    <t xml:space="preserve">123,456,7 </t>
  </si>
  <si>
    <t>1,234567</t>
  </si>
  <si>
    <t>234567,8</t>
  </si>
  <si>
    <t>2,345678</t>
  </si>
  <si>
    <t>1234,5678*</t>
  </si>
  <si>
    <t>1,23456*</t>
  </si>
  <si>
    <t>23456,7</t>
  </si>
  <si>
    <t>1,23456,7</t>
  </si>
  <si>
    <t>1,2345,67 (M1)</t>
  </si>
  <si>
    <t>2345,67 (M2)</t>
  </si>
  <si>
    <t>1,23,4567 (M1)</t>
  </si>
  <si>
    <t>23,4567 (M3)</t>
  </si>
  <si>
    <t>23,4567,8 (M2)</t>
  </si>
  <si>
    <r>
      <t>U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=U</t>
    </r>
    <r>
      <rPr>
        <vertAlign val="superscript"/>
        <sz val="11"/>
        <color theme="1"/>
        <rFont val="Calibri"/>
        <family val="2"/>
        <scheme val="minor"/>
      </rPr>
      <t>2</t>
    </r>
  </si>
  <si>
    <r>
      <t>U</t>
    </r>
    <r>
      <rPr>
        <vertAlign val="superscript"/>
        <sz val="11"/>
        <color theme="1"/>
        <rFont val="Calibri"/>
        <family val="2"/>
        <scheme val="minor"/>
      </rPr>
      <t>3</t>
    </r>
  </si>
  <si>
    <r>
      <t>U</t>
    </r>
    <r>
      <rPr>
        <vertAlign val="superscript"/>
        <sz val="11"/>
        <color theme="1"/>
        <rFont val="Calibri"/>
        <family val="2"/>
        <scheme val="minor"/>
      </rPr>
      <t>4</t>
    </r>
  </si>
  <si>
    <r>
      <t>U</t>
    </r>
    <r>
      <rPr>
        <vertAlign val="superscript"/>
        <sz val="11"/>
        <color theme="1"/>
        <rFont val="Calibri"/>
        <family val="2"/>
        <scheme val="minor"/>
      </rPr>
      <t>5</t>
    </r>
  </si>
  <si>
    <r>
      <t>U</t>
    </r>
    <r>
      <rPr>
        <b/>
        <vertAlign val="superscript"/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=U</t>
    </r>
    <r>
      <rPr>
        <b/>
        <vertAlign val="superscript"/>
        <sz val="11"/>
        <color theme="1"/>
        <rFont val="Calibri"/>
        <family val="2"/>
        <scheme val="minor"/>
      </rPr>
      <t>m</t>
    </r>
  </si>
  <si>
    <r>
      <t>U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=U</t>
    </r>
    <r>
      <rPr>
        <vertAlign val="superscript"/>
        <sz val="11"/>
        <color theme="1"/>
        <rFont val="Calibri"/>
        <family val="2"/>
        <scheme val="minor"/>
      </rPr>
      <t>8</t>
    </r>
  </si>
  <si>
    <r>
      <t>U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=U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=U</t>
    </r>
    <r>
      <rPr>
        <vertAlign val="superscript"/>
        <sz val="11"/>
        <color theme="1"/>
        <rFont val="Calibri"/>
        <family val="2"/>
        <scheme val="minor"/>
      </rPr>
      <t>11</t>
    </r>
  </si>
  <si>
    <t>Government</t>
  </si>
  <si>
    <t>i=1</t>
  </si>
  <si>
    <t>i=2</t>
  </si>
  <si>
    <t>i=3</t>
  </si>
  <si>
    <t>i=4</t>
  </si>
  <si>
    <t>i=5</t>
  </si>
  <si>
    <t>i=6=m</t>
  </si>
  <si>
    <t>i=7</t>
  </si>
  <si>
    <t>i=8</t>
  </si>
  <si>
    <t>i=9</t>
  </si>
  <si>
    <t>i=10</t>
  </si>
  <si>
    <t>i=11</t>
  </si>
  <si>
    <r>
      <t>x</t>
    </r>
    <r>
      <rPr>
        <vertAlign val="superscript"/>
        <sz val="11"/>
        <color theme="1"/>
        <rFont val="Calibri"/>
        <family val="2"/>
        <scheme val="minor"/>
      </rPr>
      <t>sq</t>
    </r>
    <r>
      <rPr>
        <sz val="11"/>
        <color theme="1"/>
        <rFont val="Calibri"/>
        <family val="2"/>
        <scheme val="minor"/>
      </rPr>
      <t>,x'</t>
    </r>
    <r>
      <rPr>
        <vertAlign val="subscript"/>
        <sz val="11"/>
        <color theme="1"/>
        <rFont val="Calibri"/>
        <family val="2"/>
        <scheme val="minor"/>
      </rPr>
      <t>k</t>
    </r>
  </si>
  <si>
    <t>456789 (M1)</t>
  </si>
  <si>
    <t>3,456789 (M2)</t>
  </si>
  <si>
    <t>2,3,456789 (M3)</t>
  </si>
  <si>
    <t>1,2,3,456789 (M4)</t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</si>
  <si>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=1|2345|678|9|10|11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</si>
  <si>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=1|2345|67|89 10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</si>
  <si>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=12345|67|89 10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</si>
  <si>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=1|2|345678|9|…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</si>
  <si>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Calibri"/>
        <family val="2"/>
        <scheme val="minor"/>
      </rPr>
      <t>=1|2345|6|7|8|9| 10|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</si>
  <si>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=1|23|4567|8|..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</si>
  <si>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Calibri"/>
        <family val="2"/>
        <scheme val="minor"/>
      </rPr>
      <t>=1|23456|7|8|9| 10|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</si>
  <si>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Arial"/>
        <family val="2"/>
      </rPr>
      <t>9</t>
    </r>
    <r>
      <rPr>
        <sz val="11"/>
        <color theme="1"/>
        <rFont val="Calibri"/>
        <family val="2"/>
        <scheme val="minor"/>
      </rPr>
      <t>'=1|2345|6|78</t>
    </r>
  </si>
  <si>
    <t>1,2345,6 (M1)</t>
  </si>
  <si>
    <t>1,2345,6,78 (M2)</t>
  </si>
  <si>
    <t>2345,6,78 (M3)</t>
  </si>
  <si>
    <t>1,2345,678*</t>
  </si>
  <si>
    <t>2345,678*</t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</si>
  <si>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Symbol"/>
        <family val="1"/>
        <charset val="2"/>
      </rPr>
      <t>11</t>
    </r>
    <r>
      <rPr>
        <sz val="11"/>
        <color theme="1"/>
        <rFont val="Calibri"/>
        <family val="2"/>
        <scheme val="minor"/>
      </rPr>
      <t>=123|456|7|8|9…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</si>
  <si>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=12345|6|7|89 10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</si>
  <si>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Calibri"/>
        <family val="2"/>
        <scheme val="minor"/>
      </rPr>
      <t>=123|456|7|89 10 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</si>
  <si>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=12345|678|9|10|11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</si>
  <si>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=123|45678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</si>
  <si>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Symbol"/>
        <family val="1"/>
        <charset val="2"/>
      </rPr>
      <t>16</t>
    </r>
    <r>
      <rPr>
        <sz val="11"/>
        <color theme="1"/>
        <rFont val="Calibri"/>
        <family val="2"/>
        <scheme val="minor"/>
      </rPr>
      <t>=1234|5678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</si>
  <si>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=123|4|56|78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</si>
  <si>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=1234|56|78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</si>
  <si>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'=1|2|3|456789| 10 11</t>
    </r>
  </si>
  <si>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''=12|34567|8|9…</t>
    </r>
  </si>
  <si>
    <t>123,45678*</t>
  </si>
  <si>
    <t>further partitions for reference</t>
  </si>
  <si>
    <t>"inclusion in government of agents further to the right than 8 is objected even by 5 and 6"</t>
  </si>
  <si>
    <t>Details of example 2</t>
  </si>
  <si>
    <t xml:space="preserve">Line 3 and 4: Agents and their ideal points. </t>
  </si>
  <si>
    <t>Line 5 to end:  Manual entry of "1" signifies agent is included in a government</t>
  </si>
  <si>
    <t>Ideal point of critical agent: manual entry</t>
  </si>
  <si>
    <t xml:space="preserve">Expected utilities for each government and partition </t>
  </si>
  <si>
    <t>min-operator for partition pay off if more than one government in G</t>
  </si>
  <si>
    <r>
      <t xml:space="preserve">"partitions which could be reached such as </t>
    </r>
    <r>
      <rPr>
        <i/>
        <sz val="11"/>
        <color theme="1"/>
        <rFont val="Symbol"/>
        <family val="1"/>
        <charset val="2"/>
      </rPr>
      <t>p</t>
    </r>
    <r>
      <rPr>
        <i/>
        <vertAlign val="subscript"/>
        <sz val="11"/>
        <color theme="1"/>
        <rFont val="Calibri"/>
        <family val="2"/>
        <scheme val="minor"/>
      </rPr>
      <t>11</t>
    </r>
    <r>
      <rPr>
        <i/>
        <sz val="11"/>
        <color theme="1"/>
        <rFont val="Calibri"/>
        <family val="2"/>
        <scheme val="minor"/>
      </rPr>
      <t xml:space="preserve"> are unattractive"</t>
    </r>
  </si>
  <si>
    <r>
      <t>"</t>
    </r>
    <r>
      <rPr>
        <i/>
        <sz val="11"/>
        <color theme="1"/>
        <rFont val="Symbol"/>
        <family val="1"/>
        <charset val="2"/>
      </rPr>
      <t>p</t>
    </r>
    <r>
      <rPr>
        <i/>
        <vertAlign val="subscript"/>
        <sz val="11"/>
        <color theme="1"/>
        <rFont val="Calibri"/>
        <family val="2"/>
        <scheme val="minor"/>
      </rPr>
      <t>9</t>
    </r>
    <r>
      <rPr>
        <i/>
        <sz val="11"/>
        <color theme="1"/>
        <rFont val="Calibri"/>
        <family val="2"/>
        <scheme val="minor"/>
      </rPr>
      <t xml:space="preserve">' - resulting in the same pay off as </t>
    </r>
    <r>
      <rPr>
        <i/>
        <sz val="11"/>
        <color theme="1"/>
        <rFont val="Symbol"/>
        <family val="1"/>
        <charset val="2"/>
      </rPr>
      <t>p</t>
    </r>
    <r>
      <rPr>
        <i/>
        <vertAlign val="subscript"/>
        <sz val="11"/>
        <color theme="1"/>
        <rFont val="Calibri"/>
        <family val="2"/>
        <scheme val="minor"/>
      </rPr>
      <t>9</t>
    </r>
    <r>
      <rPr>
        <i/>
        <sz val="11"/>
        <color theme="1"/>
        <rFont val="Calibri"/>
        <family val="2"/>
        <scheme val="minor"/>
      </rPr>
      <t>"</t>
    </r>
  </si>
  <si>
    <t>further explanation of symbols: see display in main text, page 20</t>
  </si>
  <si>
    <r>
      <t>x</t>
    </r>
    <r>
      <rPr>
        <vertAlign val="subscript"/>
        <sz val="11"/>
        <color theme="1"/>
        <rFont val="Calibri"/>
        <family val="2"/>
        <scheme val="minor"/>
      </rPr>
      <t>k=critical</t>
    </r>
  </si>
  <si>
    <r>
      <rPr>
        <i/>
        <sz val="11"/>
        <color theme="1"/>
        <rFont val="Calibri"/>
        <family val="2"/>
        <scheme val="minor"/>
      </rPr>
      <t>M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a potential government, ”∗” signifies uniqueness and ”</t>
    </r>
    <r>
      <rPr>
        <i/>
        <sz val="11"/>
        <color theme="1"/>
        <rFont val="Calibri"/>
        <family val="2"/>
        <scheme val="minor"/>
      </rPr>
      <t>&lt; M</t>
    </r>
    <r>
      <rPr>
        <i/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” domination by </t>
    </r>
    <r>
      <rPr>
        <i/>
        <sz val="11"/>
        <color theme="1"/>
        <rFont val="Calibri"/>
        <family val="2"/>
        <scheme val="minor"/>
      </rPr>
      <t>M</t>
    </r>
    <r>
      <rPr>
        <i/>
        <vertAlign val="sub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 via ⊲.</t>
    </r>
  </si>
  <si>
    <r>
      <t xml:space="preserve"> Parties in </t>
    </r>
    <r>
      <rPr>
        <i/>
        <sz val="11"/>
        <color theme="1"/>
        <rFont val="Calibri"/>
        <family val="2"/>
        <scheme val="minor"/>
      </rPr>
      <t>M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are separated by commas. ”min” signifies taking the minimum over pay offs for different </t>
    </r>
    <r>
      <rPr>
        <i/>
        <sz val="11"/>
        <color theme="1"/>
        <rFont val="Calibri"/>
        <family val="2"/>
        <scheme val="minor"/>
      </rPr>
      <t>M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.</t>
    </r>
  </si>
  <si>
    <r>
      <t>U</t>
    </r>
    <r>
      <rPr>
        <vertAlign val="superscript"/>
        <sz val="11"/>
        <color theme="1"/>
        <rFont val="Calibri"/>
        <family val="2"/>
        <scheme val="minor"/>
      </rPr>
      <t>8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</si>
  <si>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=1|234|5678|..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</si>
  <si>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=1|234|567|8|..</t>
    </r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</si>
  <si>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Arial"/>
        <family val="2"/>
      </rPr>
      <t>9</t>
    </r>
    <r>
      <rPr>
        <sz val="11"/>
        <color theme="1"/>
        <rFont val="Calibri"/>
        <family val="2"/>
        <scheme val="minor"/>
      </rPr>
      <t>=1|234|56|78|..</t>
    </r>
  </si>
  <si>
    <t>please select "Sheet 2" for computations, definitions and further partitions</t>
  </si>
  <si>
    <r>
      <t xml:space="preserve">Table 2: Details of example 2. Pay offs </t>
    </r>
    <r>
      <rPr>
        <b/>
        <i/>
        <sz val="11"/>
        <color theme="1"/>
        <rFont val="Calibri"/>
        <family val="2"/>
        <scheme val="minor"/>
      </rPr>
      <t>U</t>
    </r>
    <r>
      <rPr>
        <b/>
        <i/>
        <vertAlign val="super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for selected partitions. ”|” signifies a party boundary,</t>
    </r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</si>
</sst>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Symbol"/>
      <family val="1"/>
      <charset val="2"/>
    </font>
    <font>
      <b/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Times New Roman"/>
      <family val="1"/>
    </font>
    <font>
      <vertAlign val="subscript"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Symbol"/>
      <family val="1"/>
      <charset val="2"/>
    </font>
    <font>
      <i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ont="1" applyFill="1"/>
    <xf numFmtId="0" fontId="1" fillId="0" borderId="0" xfId="0" applyFont="1" applyFill="1"/>
    <xf numFmtId="49" fontId="1" fillId="0" borderId="0" xfId="0" applyNumberFormat="1" applyFont="1" applyFill="1"/>
    <xf numFmtId="49" fontId="0" fillId="0" borderId="0" xfId="0" applyNumberFormat="1" applyFont="1" applyFill="1"/>
    <xf numFmtId="0" fontId="0" fillId="0" borderId="0" xfId="0" applyFill="1"/>
    <xf numFmtId="49" fontId="0" fillId="0" borderId="0" xfId="0" applyNumberFormat="1" applyFill="1"/>
    <xf numFmtId="0" fontId="6" fillId="0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0" xfId="0" applyFont="1" applyFill="1"/>
  </cellXfs>
  <cellStyles count="1">
    <cellStyle name="Нормален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29"/>
  <sheetViews>
    <sheetView tabSelected="1" topLeftCell="A40" zoomScale="90" zoomScaleNormal="90" workbookViewId="0">
      <selection activeCell="A56" sqref="A56"/>
    </sheetView>
  </sheetViews>
  <sheetFormatPr defaultRowHeight="15"/>
  <cols>
    <col min="1" max="1" width="17.5703125" customWidth="1"/>
    <col min="2" max="2" width="15.28515625" customWidth="1"/>
    <col min="10" max="10" width="0" hidden="1" customWidth="1"/>
    <col min="14" max="14" width="24.7109375" customWidth="1"/>
    <col min="15" max="15" width="15.5703125" customWidth="1"/>
    <col min="17" max="17" width="0" hidden="1" customWidth="1"/>
    <col min="23" max="23" width="0" hidden="1" customWidth="1"/>
    <col min="24" max="24" width="12" customWidth="1"/>
  </cols>
  <sheetData>
    <row r="1" spans="1:26" ht="17.25">
      <c r="A1" s="6" t="s">
        <v>0</v>
      </c>
      <c r="B1" s="6" t="s">
        <v>50</v>
      </c>
      <c r="C1" s="10" t="s">
        <v>43</v>
      </c>
      <c r="D1" s="10" t="s">
        <v>1</v>
      </c>
      <c r="E1" s="10" t="s">
        <v>44</v>
      </c>
      <c r="F1" s="10" t="s">
        <v>45</v>
      </c>
      <c r="G1" s="10" t="s">
        <v>46</v>
      </c>
      <c r="H1" s="11" t="s">
        <v>47</v>
      </c>
      <c r="I1" s="10" t="s">
        <v>48</v>
      </c>
      <c r="J1" s="10" t="s">
        <v>105</v>
      </c>
      <c r="K1" s="10" t="s">
        <v>49</v>
      </c>
    </row>
    <row r="2" spans="1:26">
      <c r="A2" s="6" t="s">
        <v>28</v>
      </c>
      <c r="B2" s="4" t="s">
        <v>5</v>
      </c>
      <c r="C2" s="3">
        <v>-0.12108333333333332</v>
      </c>
      <c r="D2" s="3">
        <v>-0.12108333333333332</v>
      </c>
      <c r="E2" s="3">
        <v>-7.1749999999999994E-2</v>
      </c>
      <c r="F2" s="3">
        <v>-5.3750000000000006E-2</v>
      </c>
      <c r="G2" s="3">
        <v>-5.3750000000000006E-2</v>
      </c>
      <c r="H2" s="3">
        <v>-5.4083333333333344E-2</v>
      </c>
      <c r="I2" s="3">
        <v>-0.10441666666666666</v>
      </c>
      <c r="J2" s="3">
        <v>-0.10441666666666666</v>
      </c>
      <c r="K2" s="3">
        <v>-0.12891666666666668</v>
      </c>
      <c r="L2" s="13"/>
      <c r="P2" s="13"/>
    </row>
    <row r="3" spans="1:26">
      <c r="A3" s="6"/>
      <c r="B3" s="7" t="s">
        <v>31</v>
      </c>
      <c r="C3" s="2">
        <v>-0.11064285714285713</v>
      </c>
      <c r="D3" s="2">
        <v>-0.11064285714285713</v>
      </c>
      <c r="E3" s="2">
        <v>-6.1785714285714284E-2</v>
      </c>
      <c r="F3" s="2">
        <v>-5.4071428571428576E-2</v>
      </c>
      <c r="G3" s="2">
        <v>-6.0500000000000005E-2</v>
      </c>
      <c r="H3" s="3">
        <v>-6.0928571428571436E-2</v>
      </c>
      <c r="I3" s="2">
        <v>-0.11485714285714284</v>
      </c>
      <c r="J3" s="2">
        <v>-0.11485714285714284</v>
      </c>
      <c r="K3" s="2">
        <v>-0.13935714285714285</v>
      </c>
      <c r="P3" s="13"/>
    </row>
    <row r="4" spans="1:26">
      <c r="A4" s="2"/>
      <c r="B4" s="7" t="s">
        <v>32</v>
      </c>
      <c r="C4" s="2">
        <v>-0.20799999999999996</v>
      </c>
      <c r="D4" s="2">
        <v>-0.20799999999999996</v>
      </c>
      <c r="E4" s="2">
        <v>-0.15799999999999995</v>
      </c>
      <c r="F4" s="2">
        <v>-0.10399999999999998</v>
      </c>
      <c r="G4" s="2">
        <v>-5.8999999999999962E-2</v>
      </c>
      <c r="H4" s="3">
        <v>-5.7999999999999954E-2</v>
      </c>
      <c r="I4" s="2">
        <v>-1.7500000000000019E-2</v>
      </c>
      <c r="J4" s="2">
        <v>-1.7500000000000019E-2</v>
      </c>
      <c r="K4" s="2">
        <v>-4.2000000000000051E-2</v>
      </c>
      <c r="L4" s="6"/>
      <c r="M4" s="6"/>
      <c r="N4" s="6"/>
      <c r="O4" s="6"/>
      <c r="P4" s="10"/>
      <c r="Q4" s="10"/>
      <c r="R4" s="10"/>
      <c r="S4" s="10"/>
      <c r="T4" s="10"/>
      <c r="U4" s="11"/>
      <c r="V4" s="10"/>
      <c r="W4" s="10"/>
      <c r="X4" s="10"/>
    </row>
    <row r="5" spans="1:26" ht="18">
      <c r="A5" s="6" t="s">
        <v>69</v>
      </c>
      <c r="B5" s="4" t="s">
        <v>9</v>
      </c>
      <c r="C5" s="3">
        <v>-0.20449999999999996</v>
      </c>
      <c r="D5" s="3">
        <v>-0.20449999999999996</v>
      </c>
      <c r="E5" s="3">
        <v>-0.15449999999999994</v>
      </c>
      <c r="F5" s="3">
        <v>-0.10049999999999995</v>
      </c>
      <c r="G5" s="3">
        <v>-5.5499999999999959E-2</v>
      </c>
      <c r="H5" s="3">
        <v>-5.4499999999999944E-2</v>
      </c>
      <c r="I5" s="3">
        <v>-2.1000000000000026E-2</v>
      </c>
      <c r="J5" s="3">
        <v>-2.1000000000000026E-2</v>
      </c>
      <c r="K5" s="3">
        <v>-4.5500000000000054E-2</v>
      </c>
      <c r="L5" s="6"/>
      <c r="M5" s="6"/>
      <c r="N5" s="6"/>
      <c r="O5" s="4"/>
      <c r="P5" s="3"/>
      <c r="Q5" s="3"/>
      <c r="R5" s="3"/>
      <c r="S5" s="3"/>
      <c r="T5" s="3"/>
      <c r="U5" s="3"/>
      <c r="V5" s="3"/>
      <c r="W5" s="3"/>
      <c r="X5" s="3"/>
    </row>
    <row r="6" spans="1:26" ht="18">
      <c r="A6" s="6" t="s">
        <v>68</v>
      </c>
      <c r="B6" s="4" t="s">
        <v>2</v>
      </c>
      <c r="C6" s="3">
        <v>-0.20508333333333328</v>
      </c>
      <c r="D6" s="3"/>
      <c r="E6" s="3">
        <v>-0.1550833333333333</v>
      </c>
      <c r="F6" s="3">
        <v>-0.1010833333333333</v>
      </c>
      <c r="G6" s="3">
        <v>-5.6083333333333298E-2</v>
      </c>
      <c r="H6" s="3">
        <v>-5.5083333333333283E-2</v>
      </c>
      <c r="I6" s="3">
        <v>-2.1000000000000026E-2</v>
      </c>
      <c r="J6" s="3">
        <v>-2.1000000000000026E-2</v>
      </c>
      <c r="K6" s="3">
        <v>-4.5500000000000054E-2</v>
      </c>
      <c r="L6" s="6"/>
      <c r="M6" s="6"/>
      <c r="N6" s="6"/>
      <c r="O6" s="7"/>
      <c r="P6" s="2"/>
      <c r="Q6" s="2"/>
      <c r="R6" s="2"/>
      <c r="S6" s="2"/>
      <c r="T6" s="2"/>
      <c r="U6" s="3"/>
      <c r="V6" s="2"/>
      <c r="W6" s="2"/>
      <c r="X6" s="2"/>
    </row>
    <row r="7" spans="1:26">
      <c r="A7" s="6"/>
      <c r="B7" s="7" t="s">
        <v>38</v>
      </c>
      <c r="C7" s="2">
        <v>-0.20449999999999996</v>
      </c>
      <c r="D7" s="2">
        <v>-0.20449999999999996</v>
      </c>
      <c r="E7" s="2">
        <v>-0.15449999999999994</v>
      </c>
      <c r="F7" s="2">
        <v>-0.10049999999999995</v>
      </c>
      <c r="G7" s="2">
        <v>-5.5499999999999959E-2</v>
      </c>
      <c r="H7" s="3">
        <v>-5.4499999999999944E-2</v>
      </c>
      <c r="I7" s="2">
        <v>-2.1000000000000026E-2</v>
      </c>
      <c r="J7" s="2">
        <v>-2.1000000000000026E-2</v>
      </c>
      <c r="K7" s="2">
        <v>-4.5500000000000054E-2</v>
      </c>
      <c r="L7" s="6"/>
      <c r="M7" s="2"/>
      <c r="N7" s="2"/>
      <c r="O7" s="7"/>
      <c r="P7" s="2"/>
      <c r="Q7" s="2"/>
      <c r="R7" s="2"/>
      <c r="S7" s="2"/>
      <c r="T7" s="2"/>
      <c r="U7" s="3"/>
      <c r="V7" s="2"/>
      <c r="W7" s="2"/>
      <c r="X7" s="2"/>
    </row>
    <row r="8" spans="1:26">
      <c r="A8" s="6"/>
      <c r="B8" s="7" t="s">
        <v>39</v>
      </c>
      <c r="C8" s="2">
        <v>-0.20508333333333328</v>
      </c>
      <c r="D8" s="2">
        <v>-0.20508333333333328</v>
      </c>
      <c r="E8" s="2">
        <v>-0.1550833333333333</v>
      </c>
      <c r="F8" s="2">
        <v>-0.1010833333333333</v>
      </c>
      <c r="G8" s="2">
        <v>-5.6083333333333298E-2</v>
      </c>
      <c r="H8" s="3">
        <v>-5.5083333333333283E-2</v>
      </c>
      <c r="I8" s="2">
        <v>-2.0416666666666691E-2</v>
      </c>
      <c r="J8" s="2">
        <v>-2.0416666666666691E-2</v>
      </c>
      <c r="K8" s="2">
        <v>-4.4916666666666723E-2</v>
      </c>
      <c r="L8" s="6"/>
      <c r="M8" s="6"/>
      <c r="N8" s="6"/>
      <c r="O8" s="4"/>
      <c r="P8" s="3"/>
      <c r="Q8" s="3"/>
      <c r="R8" s="3"/>
      <c r="S8" s="3"/>
      <c r="T8" s="3"/>
      <c r="U8" s="3"/>
      <c r="V8" s="3"/>
      <c r="W8" s="3"/>
      <c r="X8" s="3"/>
    </row>
    <row r="9" spans="1:26" ht="18">
      <c r="A9" s="6" t="s">
        <v>67</v>
      </c>
      <c r="B9" s="4" t="s">
        <v>2</v>
      </c>
      <c r="C9" s="3">
        <v>-0.20799999999999996</v>
      </c>
      <c r="D9" s="1"/>
      <c r="E9" s="3">
        <v>-0.15799999999999995</v>
      </c>
      <c r="F9" s="3">
        <v>-0.10399999999999998</v>
      </c>
      <c r="G9" s="3">
        <v>-5.8999999999999962E-2</v>
      </c>
      <c r="H9" s="3">
        <v>-5.7999999999999954E-2</v>
      </c>
      <c r="I9" s="3">
        <v>-1.8375000000000023E-2</v>
      </c>
      <c r="J9" s="3">
        <v>-1.8375000000000023E-2</v>
      </c>
      <c r="K9" s="3">
        <v>-4.2875000000000052E-2</v>
      </c>
      <c r="L9" s="6"/>
      <c r="M9" s="6"/>
      <c r="N9" s="6"/>
      <c r="O9" s="4"/>
      <c r="P9" s="3"/>
      <c r="Q9" s="3"/>
      <c r="R9" s="3"/>
      <c r="S9" s="3"/>
      <c r="T9" s="3"/>
      <c r="U9" s="3"/>
      <c r="V9" s="3"/>
      <c r="W9" s="3"/>
      <c r="X9" s="3"/>
    </row>
    <row r="10" spans="1:26">
      <c r="A10" s="6"/>
      <c r="B10" s="5" t="s">
        <v>78</v>
      </c>
      <c r="C10" s="2">
        <v>-0.207125</v>
      </c>
      <c r="D10" s="2">
        <v>-0.207125</v>
      </c>
      <c r="E10" s="2">
        <v>-0.15712499999999996</v>
      </c>
      <c r="F10" s="2">
        <v>-0.10312499999999997</v>
      </c>
      <c r="G10" s="2">
        <v>-5.8124999999999968E-2</v>
      </c>
      <c r="H10" s="3">
        <v>-5.7124999999999954E-2</v>
      </c>
      <c r="I10" s="2">
        <v>-1.8375000000000023E-2</v>
      </c>
      <c r="J10" s="2">
        <v>-1.8375000000000023E-2</v>
      </c>
      <c r="K10" s="2">
        <v>-4.2875000000000052E-2</v>
      </c>
      <c r="L10" s="6"/>
      <c r="M10" s="6"/>
      <c r="N10" s="6"/>
      <c r="O10" s="7"/>
      <c r="P10" s="2"/>
      <c r="Q10" s="2"/>
      <c r="R10" s="2"/>
      <c r="S10" s="2"/>
      <c r="T10" s="2"/>
      <c r="U10" s="3"/>
      <c r="V10" s="2"/>
      <c r="W10" s="2"/>
      <c r="X10" s="2"/>
      <c r="Y10" s="1"/>
      <c r="Z10" s="1"/>
    </row>
    <row r="11" spans="1:26">
      <c r="A11" s="6"/>
      <c r="B11" s="5" t="s">
        <v>79</v>
      </c>
      <c r="C11" s="2">
        <v>-0.20799999999999996</v>
      </c>
      <c r="D11" s="2">
        <v>-0.20799999999999996</v>
      </c>
      <c r="E11" s="2">
        <v>-0.15799999999999995</v>
      </c>
      <c r="F11" s="2">
        <v>-0.10399999999999998</v>
      </c>
      <c r="G11" s="2">
        <v>-5.8999999999999962E-2</v>
      </c>
      <c r="H11" s="3">
        <v>-5.7999999999999954E-2</v>
      </c>
      <c r="I11" s="2">
        <v>-1.7500000000000019E-2</v>
      </c>
      <c r="J11" s="2">
        <v>-1.7500000000000019E-2</v>
      </c>
      <c r="K11" s="2">
        <v>-4.2000000000000051E-2</v>
      </c>
      <c r="L11" s="6"/>
      <c r="M11" s="6"/>
      <c r="N11" s="6"/>
      <c r="O11" s="7"/>
      <c r="P11" s="2"/>
      <c r="Q11" s="2"/>
      <c r="R11" s="2"/>
      <c r="S11" s="2"/>
      <c r="T11" s="2"/>
      <c r="U11" s="3"/>
      <c r="V11" s="2"/>
      <c r="W11" s="2"/>
      <c r="X11" s="2"/>
    </row>
    <row r="12" spans="1:26" ht="16.5">
      <c r="A12" s="6" t="s">
        <v>73</v>
      </c>
      <c r="B12" s="4" t="s">
        <v>35</v>
      </c>
      <c r="C12" s="3">
        <v>-7.5499999999999998E-2</v>
      </c>
      <c r="D12" s="3">
        <v>-7.5499999999999998E-2</v>
      </c>
      <c r="E12" s="3">
        <v>-5.8833333333333335E-2</v>
      </c>
      <c r="F12" s="3">
        <v>-5.8833333333333335E-2</v>
      </c>
      <c r="G12" s="3">
        <v>-7.3833333333333334E-2</v>
      </c>
      <c r="H12" s="3">
        <v>-7.4500000000000011E-2</v>
      </c>
      <c r="I12" s="3">
        <v>-0.15</v>
      </c>
      <c r="J12" s="3">
        <v>-0.15</v>
      </c>
      <c r="K12" s="3">
        <v>-0.17449999999999999</v>
      </c>
      <c r="N12" s="6"/>
      <c r="O12" s="4"/>
      <c r="P12" s="3"/>
      <c r="Q12" s="1"/>
      <c r="R12" s="3"/>
      <c r="S12" s="3"/>
      <c r="T12" s="3"/>
      <c r="U12" s="3"/>
      <c r="V12" s="3"/>
      <c r="W12" s="3"/>
      <c r="X12" s="3"/>
    </row>
    <row r="13" spans="1:26">
      <c r="B13" s="7" t="s">
        <v>36</v>
      </c>
      <c r="C13" s="2">
        <v>-0.20508333333333328</v>
      </c>
      <c r="D13" s="2">
        <v>-0.20508333333333328</v>
      </c>
      <c r="E13" s="2">
        <v>-0.1550833333333333</v>
      </c>
      <c r="F13" s="2">
        <v>-0.1010833333333333</v>
      </c>
      <c r="G13" s="2">
        <v>-5.6083333333333298E-2</v>
      </c>
      <c r="H13" s="3">
        <v>-5.5083333333333283E-2</v>
      </c>
      <c r="I13" s="2">
        <v>-2.0416666666666691E-2</v>
      </c>
      <c r="J13" s="2">
        <v>-2.0416666666666691E-2</v>
      </c>
      <c r="K13" s="2">
        <v>-4.4916666666666723E-2</v>
      </c>
      <c r="L13" s="6"/>
      <c r="M13" s="6"/>
      <c r="N13" s="6"/>
      <c r="O13" s="5"/>
      <c r="P13" s="2"/>
      <c r="Q13" s="2"/>
      <c r="R13" s="2"/>
      <c r="S13" s="2"/>
      <c r="T13" s="2"/>
      <c r="U13" s="3"/>
      <c r="V13" s="2"/>
      <c r="W13" s="2"/>
      <c r="X13" s="2"/>
    </row>
    <row r="14" spans="1:26">
      <c r="B14" s="7" t="s">
        <v>37</v>
      </c>
      <c r="C14" s="2">
        <v>-0.20449999999999996</v>
      </c>
      <c r="D14" s="2">
        <v>-0.20449999999999996</v>
      </c>
      <c r="E14" s="2">
        <v>-0.15449999999999994</v>
      </c>
      <c r="F14" s="2">
        <v>-0.10049999999999995</v>
      </c>
      <c r="G14" s="2">
        <v>-5.5499999999999959E-2</v>
      </c>
      <c r="H14" s="3">
        <v>-5.4499999999999944E-2</v>
      </c>
      <c r="I14" s="2">
        <v>-2.1000000000000026E-2</v>
      </c>
      <c r="J14" s="2">
        <v>-2.1000000000000026E-2</v>
      </c>
      <c r="K14" s="2">
        <v>-4.5500000000000054E-2</v>
      </c>
      <c r="L14" s="6"/>
      <c r="M14" s="6"/>
      <c r="N14" s="6"/>
      <c r="O14" s="5"/>
      <c r="P14" s="2"/>
      <c r="Q14" s="2"/>
      <c r="R14" s="2"/>
      <c r="S14" s="2"/>
      <c r="T14" s="2"/>
      <c r="U14" s="3"/>
      <c r="V14" s="2"/>
      <c r="W14" s="2"/>
      <c r="X14" s="2"/>
    </row>
    <row r="15" spans="1:26" ht="16.5">
      <c r="A15" s="6" t="s">
        <v>71</v>
      </c>
      <c r="B15" s="5" t="s">
        <v>35</v>
      </c>
      <c r="C15" s="2">
        <v>-7.5499999999999998E-2</v>
      </c>
      <c r="D15" s="2">
        <v>-7.5499999999999998E-2</v>
      </c>
      <c r="E15" s="2">
        <v>-5.8833333333333335E-2</v>
      </c>
      <c r="F15" s="2">
        <v>-5.8833333333333335E-2</v>
      </c>
      <c r="G15" s="2">
        <v>-7.3833333333333334E-2</v>
      </c>
      <c r="H15" s="3">
        <v>-7.4500000000000011E-2</v>
      </c>
      <c r="I15" s="2">
        <v>-0.15</v>
      </c>
      <c r="J15" s="2">
        <v>-0.15</v>
      </c>
      <c r="K15" s="2">
        <v>-0.17449999999999999</v>
      </c>
      <c r="L15" s="6"/>
      <c r="M15" s="6"/>
      <c r="N15" s="6"/>
      <c r="O15" s="4"/>
      <c r="P15" s="3"/>
      <c r="Q15" s="3"/>
      <c r="R15" s="3"/>
      <c r="S15" s="3"/>
      <c r="T15" s="3"/>
      <c r="U15" s="3"/>
      <c r="V15" s="3"/>
      <c r="W15" s="3"/>
      <c r="X15" s="3"/>
    </row>
    <row r="16" spans="1:26">
      <c r="B16" s="7" t="s">
        <v>36</v>
      </c>
      <c r="C16" s="2">
        <v>-0.13628571428571426</v>
      </c>
      <c r="D16" s="2">
        <v>-0.13628571428571426</v>
      </c>
      <c r="E16" s="2">
        <v>-8.6285714285714271E-2</v>
      </c>
      <c r="F16" s="2">
        <v>-6.3142857142857139E-2</v>
      </c>
      <c r="G16" s="2">
        <v>-5.671428571428571E-2</v>
      </c>
      <c r="H16" s="3">
        <v>-5.6857142857142856E-2</v>
      </c>
      <c r="I16" s="2">
        <v>-8.9214285714285704E-2</v>
      </c>
      <c r="J16" s="2">
        <v>-8.9214285714285704E-2</v>
      </c>
      <c r="K16" s="2">
        <v>-0.11371428571428573</v>
      </c>
      <c r="L16" s="6"/>
      <c r="M16" s="6"/>
      <c r="O16" s="7"/>
      <c r="P16" s="2"/>
      <c r="Q16" s="2"/>
      <c r="R16" s="2"/>
      <c r="S16" s="2"/>
      <c r="T16" s="2"/>
      <c r="U16" s="3"/>
      <c r="V16" s="2"/>
      <c r="W16" s="2"/>
      <c r="X16" s="2"/>
    </row>
    <row r="17" spans="1:29">
      <c r="B17" s="7" t="s">
        <v>37</v>
      </c>
      <c r="C17" s="2">
        <v>-0.1255</v>
      </c>
      <c r="D17" s="2">
        <v>-0.1255</v>
      </c>
      <c r="E17" s="2">
        <v>-7.5499999999999998E-2</v>
      </c>
      <c r="F17" s="2">
        <v>-6.1999999999999993E-2</v>
      </c>
      <c r="G17" s="2">
        <v>-6.1999999999999993E-2</v>
      </c>
      <c r="H17" s="3">
        <v>-6.225E-2</v>
      </c>
      <c r="I17" s="2">
        <v>-9.9999999999999978E-2</v>
      </c>
      <c r="J17" s="2">
        <v>-9.9999999999999978E-2</v>
      </c>
      <c r="K17" s="2">
        <v>-0.1245</v>
      </c>
      <c r="L17" s="6"/>
      <c r="M17" s="6"/>
      <c r="O17" s="7"/>
      <c r="P17" s="2"/>
      <c r="Q17" s="2"/>
      <c r="R17" s="2"/>
      <c r="S17" s="2"/>
      <c r="T17" s="2"/>
      <c r="U17" s="3"/>
      <c r="V17" s="2"/>
      <c r="W17" s="2"/>
      <c r="X17" s="2"/>
    </row>
    <row r="18" spans="1:29" ht="18">
      <c r="A18" s="6" t="s">
        <v>70</v>
      </c>
      <c r="B18" s="4" t="s">
        <v>4</v>
      </c>
      <c r="C18" s="3">
        <v>-0.15066666666666667</v>
      </c>
      <c r="D18" s="3">
        <v>-0.15066666666666667</v>
      </c>
      <c r="E18" s="3">
        <v>-0.10066666666666665</v>
      </c>
      <c r="F18" s="3">
        <v>-6.4666666666666664E-2</v>
      </c>
      <c r="G18" s="3">
        <v>-4.9666666666666665E-2</v>
      </c>
      <c r="H18" s="3">
        <v>-4.9666666666666665E-2</v>
      </c>
      <c r="I18" s="3">
        <v>-7.4833333333333321E-2</v>
      </c>
      <c r="J18" s="3">
        <v>-7.4833333333333321E-2</v>
      </c>
      <c r="K18" s="3">
        <v>-9.9333333333333357E-2</v>
      </c>
      <c r="L18" s="6"/>
      <c r="M18" s="6"/>
      <c r="N18" s="6"/>
      <c r="O18" s="5"/>
      <c r="P18" s="2"/>
      <c r="Q18" s="2"/>
      <c r="R18" s="2"/>
      <c r="S18" s="2"/>
      <c r="T18" s="2"/>
      <c r="U18" s="3"/>
      <c r="V18" s="2"/>
      <c r="W18" s="2"/>
      <c r="X18" s="2"/>
    </row>
    <row r="19" spans="1:29">
      <c r="A19" s="6"/>
      <c r="B19" s="7" t="s">
        <v>33</v>
      </c>
      <c r="C19" s="2">
        <v>-0.13628571428571426</v>
      </c>
      <c r="D19" s="2">
        <v>-0.13628571428571426</v>
      </c>
      <c r="E19" s="2">
        <v>-8.6285714285714271E-2</v>
      </c>
      <c r="F19" s="2">
        <v>-6.3142857142857139E-2</v>
      </c>
      <c r="G19" s="2">
        <v>-5.671428571428571E-2</v>
      </c>
      <c r="H19" s="3">
        <v>-5.6857142857142856E-2</v>
      </c>
      <c r="I19" s="2">
        <v>-8.9214285714285704E-2</v>
      </c>
      <c r="J19" s="2">
        <v>-8.9214285714285704E-2</v>
      </c>
      <c r="K19" s="2">
        <v>-0.11371428571428573</v>
      </c>
      <c r="L19" s="6"/>
      <c r="M19" s="6"/>
      <c r="O19" s="7"/>
      <c r="P19" s="2"/>
      <c r="Q19" s="2"/>
      <c r="R19" s="2"/>
      <c r="S19" s="2"/>
      <c r="T19" s="2"/>
      <c r="U19" s="3"/>
      <c r="V19" s="2"/>
      <c r="W19" s="2"/>
      <c r="X19" s="2"/>
      <c r="Y19" s="3"/>
      <c r="Z19" s="3"/>
      <c r="AA19" s="1"/>
      <c r="AB19" s="1"/>
      <c r="AC19" s="1"/>
    </row>
    <row r="20" spans="1:29" ht="18">
      <c r="A20" s="6" t="s">
        <v>106</v>
      </c>
      <c r="B20" s="3" t="s">
        <v>2</v>
      </c>
      <c r="C20" s="3">
        <v>-0.20799999999999996</v>
      </c>
      <c r="D20" s="3">
        <v>-0.20799999999999996</v>
      </c>
      <c r="E20" s="3">
        <v>-0.15799999999999995</v>
      </c>
      <c r="F20" s="3">
        <v>-0.10399999999999998</v>
      </c>
      <c r="G20" s="3">
        <v>-5.8999999999999962E-2</v>
      </c>
      <c r="H20" s="3">
        <v>-5.7999999999999954E-2</v>
      </c>
      <c r="I20" s="3">
        <v>-1.8375000000000023E-2</v>
      </c>
      <c r="J20" s="3">
        <v>-1.8375000000000023E-2</v>
      </c>
      <c r="K20" s="3">
        <v>-4.2875000000000052E-2</v>
      </c>
      <c r="L20" s="6"/>
      <c r="M20" s="6"/>
      <c r="O20" s="7"/>
      <c r="P20" s="2"/>
      <c r="Q20" s="2"/>
      <c r="R20" s="2"/>
      <c r="S20" s="2"/>
      <c r="T20" s="2"/>
      <c r="U20" s="3"/>
      <c r="V20" s="2"/>
      <c r="W20" s="2"/>
      <c r="X20" s="2"/>
    </row>
    <row r="21" spans="1:29">
      <c r="B21" s="5" t="s">
        <v>3</v>
      </c>
      <c r="C21" s="2">
        <v>-0.20799999999999996</v>
      </c>
      <c r="D21" s="2">
        <v>-0.20799999999999996</v>
      </c>
      <c r="E21" s="2">
        <v>-0.15799999999999995</v>
      </c>
      <c r="F21" s="2">
        <v>-0.10399999999999998</v>
      </c>
      <c r="G21" s="2">
        <v>-5.8999999999999962E-2</v>
      </c>
      <c r="H21" s="3">
        <v>-5.7999999999999954E-2</v>
      </c>
      <c r="I21" s="2">
        <v>-1.7500000000000019E-2</v>
      </c>
      <c r="J21" s="2">
        <v>-1.7500000000000019E-2</v>
      </c>
      <c r="K21" s="2">
        <v>-4.2000000000000051E-2</v>
      </c>
      <c r="L21" s="6"/>
      <c r="M21" s="6"/>
      <c r="N21" s="6"/>
      <c r="O21" s="4"/>
      <c r="P21" s="3"/>
      <c r="Q21" s="3"/>
      <c r="R21" s="3"/>
      <c r="S21" s="3"/>
      <c r="T21" s="3"/>
      <c r="U21" s="3"/>
      <c r="V21" s="3"/>
      <c r="W21" s="3"/>
      <c r="X21" s="3"/>
    </row>
    <row r="22" spans="1:29">
      <c r="A22" s="6"/>
      <c r="B22" s="5" t="s">
        <v>6</v>
      </c>
      <c r="C22" s="2">
        <v>-0.207125</v>
      </c>
      <c r="D22" s="2">
        <v>-0.207125</v>
      </c>
      <c r="E22" s="2">
        <v>-0.15712499999999996</v>
      </c>
      <c r="F22" s="2">
        <v>-0.10312499999999997</v>
      </c>
      <c r="G22" s="2">
        <v>-5.8124999999999968E-2</v>
      </c>
      <c r="H22" s="3">
        <v>-5.7124999999999954E-2</v>
      </c>
      <c r="I22" s="2">
        <v>-1.8375000000000023E-2</v>
      </c>
      <c r="J22" s="2">
        <v>-1.8375000000000023E-2</v>
      </c>
      <c r="K22" s="2">
        <v>-4.2875000000000052E-2</v>
      </c>
      <c r="L22" s="6"/>
      <c r="M22" s="6"/>
      <c r="N22" s="6"/>
      <c r="O22" s="7"/>
      <c r="P22" s="2"/>
      <c r="Q22" s="2"/>
      <c r="R22" s="2"/>
      <c r="S22" s="2"/>
      <c r="T22" s="2"/>
      <c r="U22" s="3"/>
      <c r="V22" s="2"/>
      <c r="W22" s="2"/>
      <c r="X22" s="2"/>
    </row>
    <row r="23" spans="1:29" ht="18">
      <c r="A23" s="6" t="s">
        <v>107</v>
      </c>
      <c r="B23" s="4" t="s">
        <v>2</v>
      </c>
      <c r="C23" s="3">
        <v>-0.20799999999999996</v>
      </c>
      <c r="D23" s="3">
        <v>-0.20799999999999996</v>
      </c>
      <c r="E23" s="3">
        <v>-0.15799999999999995</v>
      </c>
      <c r="F23" s="3">
        <v>-0.10399999999999998</v>
      </c>
      <c r="G23" s="3">
        <v>-5.9928571428571421E-2</v>
      </c>
      <c r="H23" s="3">
        <v>-6.0357142857142859E-2</v>
      </c>
      <c r="I23" s="3">
        <v>-0.11428571428571427</v>
      </c>
      <c r="J23" s="3">
        <v>-0.11428571428571427</v>
      </c>
      <c r="K23" s="3">
        <v>-0.13878571428571426</v>
      </c>
      <c r="N23" s="6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9">
      <c r="B24" s="5" t="s">
        <v>19</v>
      </c>
      <c r="C24" s="2">
        <v>-0.11121428571428571</v>
      </c>
      <c r="D24" s="2">
        <v>-0.11121428571428571</v>
      </c>
      <c r="E24" s="2">
        <v>-6.1214285714285707E-2</v>
      </c>
      <c r="F24" s="2">
        <v>-5.3499999999999992E-2</v>
      </c>
      <c r="G24" s="2">
        <v>-5.9928571428571421E-2</v>
      </c>
      <c r="H24" s="3">
        <v>-6.0357142857142859E-2</v>
      </c>
      <c r="I24" s="2">
        <v>-0.11428571428571427</v>
      </c>
      <c r="J24" s="2">
        <v>-0.11428571428571427</v>
      </c>
      <c r="K24" s="2">
        <v>-0.13878571428571426</v>
      </c>
      <c r="L24" s="6"/>
      <c r="M24" s="6"/>
      <c r="O24" s="5"/>
      <c r="P24" s="2"/>
      <c r="Q24" s="2"/>
      <c r="R24" s="2"/>
      <c r="S24" s="2"/>
      <c r="T24" s="2"/>
      <c r="U24" s="3"/>
      <c r="V24" s="2"/>
      <c r="W24" s="2"/>
      <c r="X24" s="2"/>
    </row>
    <row r="25" spans="1:29">
      <c r="A25" s="6"/>
      <c r="B25" s="5" t="s">
        <v>20</v>
      </c>
      <c r="C25" s="2">
        <v>-0.20799999999999996</v>
      </c>
      <c r="D25" s="2">
        <v>-0.20799999999999996</v>
      </c>
      <c r="E25" s="2">
        <v>-0.15799999999999995</v>
      </c>
      <c r="F25" s="2">
        <v>-0.10399999999999998</v>
      </c>
      <c r="G25" s="2">
        <v>-5.8999999999999962E-2</v>
      </c>
      <c r="H25" s="3">
        <v>-5.7999999999999954E-2</v>
      </c>
      <c r="I25" s="2">
        <v>-1.7500000000000019E-2</v>
      </c>
      <c r="J25" s="2">
        <v>-1.7500000000000019E-2</v>
      </c>
      <c r="K25" s="2">
        <v>-4.2000000000000051E-2</v>
      </c>
      <c r="L25" s="6"/>
      <c r="M25" s="6"/>
      <c r="N25" s="6"/>
      <c r="O25" s="5"/>
      <c r="P25" s="2"/>
      <c r="Q25" s="2"/>
      <c r="R25" s="2"/>
      <c r="S25" s="2"/>
      <c r="T25" s="2"/>
      <c r="U25" s="3"/>
      <c r="V25" s="2"/>
      <c r="W25" s="2"/>
      <c r="X25" s="2"/>
    </row>
    <row r="26" spans="1:29">
      <c r="A26" s="6"/>
      <c r="B26" s="5" t="s">
        <v>21</v>
      </c>
      <c r="C26" s="2">
        <v>-0.207125</v>
      </c>
      <c r="D26" s="2">
        <v>-0.207125</v>
      </c>
      <c r="E26" s="2">
        <v>-0.15712499999999996</v>
      </c>
      <c r="F26" s="2">
        <v>-0.10312499999999997</v>
      </c>
      <c r="G26" s="2">
        <v>-5.8124999999999968E-2</v>
      </c>
      <c r="H26" s="3">
        <v>-5.7124999999999954E-2</v>
      </c>
      <c r="I26" s="2">
        <v>-1.8375000000000023E-2</v>
      </c>
      <c r="J26" s="2">
        <v>-1.8375000000000023E-2</v>
      </c>
      <c r="K26" s="2">
        <v>-4.2875000000000052E-2</v>
      </c>
      <c r="L26" s="6"/>
      <c r="M26" s="6"/>
      <c r="N26" s="6"/>
      <c r="O26" s="4"/>
      <c r="P26" s="3"/>
      <c r="Q26" s="3"/>
      <c r="R26" s="3"/>
      <c r="S26" s="3"/>
      <c r="T26" s="3"/>
      <c r="U26" s="3"/>
      <c r="V26" s="3"/>
      <c r="W26" s="3"/>
      <c r="X26" s="3"/>
    </row>
    <row r="27" spans="1:29" ht="18.75">
      <c r="A27" s="6" t="s">
        <v>108</v>
      </c>
      <c r="B27" s="4" t="s">
        <v>2</v>
      </c>
      <c r="C27" s="3">
        <v>-0.20916666666666664</v>
      </c>
      <c r="D27" s="3">
        <v>-0.20916666666666664</v>
      </c>
      <c r="E27" s="3">
        <v>-0.15916666666666662</v>
      </c>
      <c r="F27" s="3">
        <v>-0.10516666666666664</v>
      </c>
      <c r="G27" s="3">
        <v>-6.0166666666666639E-2</v>
      </c>
      <c r="H27" s="3">
        <v>-5.9166666666666624E-2</v>
      </c>
      <c r="I27" s="3">
        <v>-0.13333333333333333</v>
      </c>
      <c r="J27" s="3">
        <v>-0.13333333333333333</v>
      </c>
      <c r="K27" s="3">
        <v>-0.15783333333333333</v>
      </c>
      <c r="L27" s="6"/>
      <c r="M27" s="6"/>
      <c r="O27" s="5"/>
      <c r="P27" s="2"/>
      <c r="Q27" s="2"/>
      <c r="R27" s="2"/>
      <c r="S27" s="2"/>
      <c r="T27" s="2"/>
      <c r="U27" s="3"/>
      <c r="V27" s="2"/>
      <c r="W27" s="2"/>
      <c r="X27" s="2"/>
    </row>
    <row r="28" spans="1:29">
      <c r="B28" s="5" t="s">
        <v>18</v>
      </c>
      <c r="C28" s="2">
        <v>-9.2166666666666675E-2</v>
      </c>
      <c r="D28" s="2">
        <v>-9.2166666666666675E-2</v>
      </c>
      <c r="E28" s="2">
        <v>-4.2166666666666665E-2</v>
      </c>
      <c r="F28" s="2">
        <v>-4.2166666666666665E-2</v>
      </c>
      <c r="G28" s="2">
        <v>-5.7166666666666664E-2</v>
      </c>
      <c r="H28" s="3">
        <v>-5.7833333333333341E-2</v>
      </c>
      <c r="I28" s="2">
        <v>-0.13333333333333333</v>
      </c>
      <c r="J28" s="2">
        <v>-0.13333333333333333</v>
      </c>
      <c r="K28" s="2">
        <v>-0.15783333333333333</v>
      </c>
      <c r="L28" s="6"/>
      <c r="M28" s="6"/>
      <c r="N28" s="6"/>
      <c r="O28" s="5"/>
      <c r="P28" s="2"/>
      <c r="Q28" s="2"/>
      <c r="R28" s="2"/>
      <c r="S28" s="2"/>
      <c r="T28" s="2"/>
      <c r="U28" s="3"/>
      <c r="V28" s="2"/>
      <c r="W28" s="2"/>
      <c r="X28" s="2"/>
    </row>
    <row r="29" spans="1:29">
      <c r="A29" s="6"/>
      <c r="B29" s="5" t="s">
        <v>22</v>
      </c>
      <c r="C29" s="2">
        <v>-0.207125</v>
      </c>
      <c r="D29" s="2">
        <v>-0.207125</v>
      </c>
      <c r="E29" s="2">
        <v>-0.15712499999999996</v>
      </c>
      <c r="F29" s="2">
        <v>-0.10312499999999997</v>
      </c>
      <c r="G29" s="2">
        <v>-5.8124999999999968E-2</v>
      </c>
      <c r="H29" s="3">
        <v>-5.7124999999999954E-2</v>
      </c>
      <c r="I29" s="2">
        <v>-1.8375000000000023E-2</v>
      </c>
      <c r="J29" s="2">
        <v>-1.8375000000000023E-2</v>
      </c>
      <c r="K29" s="2">
        <v>-4.2875000000000052E-2</v>
      </c>
      <c r="L29" s="6"/>
      <c r="M29" s="6"/>
      <c r="N29" s="6"/>
      <c r="O29" s="5"/>
      <c r="P29" s="2"/>
      <c r="Q29" s="2"/>
      <c r="R29" s="2"/>
      <c r="S29" s="2"/>
      <c r="T29" s="2"/>
      <c r="U29" s="3"/>
      <c r="V29" s="2"/>
      <c r="W29" s="2"/>
      <c r="X29" s="2"/>
    </row>
    <row r="30" spans="1:29">
      <c r="A30" s="6"/>
      <c r="B30" s="5" t="s">
        <v>23</v>
      </c>
      <c r="C30" s="2">
        <v>-0.20916666666666664</v>
      </c>
      <c r="D30" s="2">
        <v>-0.20916666666666664</v>
      </c>
      <c r="E30" s="2">
        <v>-0.15916666666666662</v>
      </c>
      <c r="F30" s="2">
        <v>-0.10516666666666664</v>
      </c>
      <c r="G30" s="2">
        <v>-6.0166666666666639E-2</v>
      </c>
      <c r="H30" s="3">
        <v>-5.9166666666666624E-2</v>
      </c>
      <c r="I30" s="2">
        <v>-1.6333333333333352E-2</v>
      </c>
      <c r="J30" s="2">
        <v>-1.6333333333333352E-2</v>
      </c>
      <c r="K30" s="2">
        <v>-4.0833333333333381E-2</v>
      </c>
      <c r="L30" s="6"/>
      <c r="M30" s="6"/>
      <c r="N30" s="6"/>
      <c r="O30" s="4"/>
      <c r="P30" s="3"/>
      <c r="Q30" s="3"/>
      <c r="R30" s="3"/>
      <c r="S30" s="3"/>
      <c r="T30" s="3"/>
      <c r="U30" s="3"/>
      <c r="V30" s="3"/>
      <c r="W30" s="3"/>
      <c r="X30" s="3"/>
    </row>
    <row r="31" spans="1:29" ht="18">
      <c r="A31" s="6" t="s">
        <v>72</v>
      </c>
      <c r="B31" s="4" t="s">
        <v>2</v>
      </c>
      <c r="C31" s="3">
        <v>-0.20799999999999996</v>
      </c>
      <c r="D31" s="3">
        <v>-0.20799999999999996</v>
      </c>
      <c r="E31" s="3">
        <v>-0.15799999999999995</v>
      </c>
      <c r="F31" s="3">
        <v>-0.10399999999999998</v>
      </c>
      <c r="G31" s="3">
        <v>-5.9928571428571421E-2</v>
      </c>
      <c r="H31" s="3">
        <v>-6.0357142857142859E-2</v>
      </c>
      <c r="I31" s="3">
        <v>-0.11428571428571427</v>
      </c>
      <c r="J31" s="3">
        <v>-0.11428571428571427</v>
      </c>
      <c r="K31" s="3">
        <v>-0.13878571428571426</v>
      </c>
      <c r="L31" s="6"/>
      <c r="M31" s="6"/>
      <c r="O31" s="5"/>
      <c r="P31" s="2"/>
      <c r="Q31" s="2"/>
      <c r="R31" s="2"/>
      <c r="S31" s="2"/>
      <c r="T31" s="2"/>
      <c r="U31" s="3"/>
      <c r="V31" s="2"/>
      <c r="W31" s="2"/>
      <c r="X31" s="2"/>
    </row>
    <row r="32" spans="1:29">
      <c r="B32" s="7" t="s">
        <v>40</v>
      </c>
      <c r="C32" s="2">
        <v>-0.11121428571428571</v>
      </c>
      <c r="D32" s="2">
        <v>-0.11121428571428571</v>
      </c>
      <c r="E32" s="2">
        <v>-6.1214285714285707E-2</v>
      </c>
      <c r="F32" s="2">
        <v>-5.3499999999999992E-2</v>
      </c>
      <c r="G32" s="2">
        <v>-5.9928571428571421E-2</v>
      </c>
      <c r="H32" s="3">
        <v>-6.0357142857142859E-2</v>
      </c>
      <c r="I32" s="2">
        <v>-0.11428571428571427</v>
      </c>
      <c r="J32" s="2">
        <v>-0.11428571428571427</v>
      </c>
      <c r="K32" s="2">
        <v>-0.13878571428571426</v>
      </c>
      <c r="L32" s="6"/>
      <c r="M32" s="6"/>
      <c r="N32" s="6"/>
      <c r="O32" s="5"/>
      <c r="P32" s="2"/>
      <c r="Q32" s="2"/>
      <c r="R32" s="2"/>
      <c r="S32" s="2"/>
      <c r="T32" s="2"/>
      <c r="U32" s="3"/>
      <c r="V32" s="2"/>
      <c r="W32" s="2"/>
      <c r="X32" s="2"/>
    </row>
    <row r="33" spans="1:24">
      <c r="A33" s="6"/>
      <c r="B33" s="7" t="s">
        <v>42</v>
      </c>
      <c r="C33" s="2">
        <v>-0.20799999999999996</v>
      </c>
      <c r="D33" s="2">
        <v>-0.20799999999999996</v>
      </c>
      <c r="E33" s="2">
        <v>-0.15799999999999995</v>
      </c>
      <c r="F33" s="2">
        <v>-0.10399999999999998</v>
      </c>
      <c r="G33" s="2">
        <v>-5.8999999999999962E-2</v>
      </c>
      <c r="H33" s="3">
        <v>-5.7999999999999954E-2</v>
      </c>
      <c r="I33" s="2">
        <v>-1.7500000000000019E-2</v>
      </c>
      <c r="J33" s="2">
        <v>-1.7500000000000019E-2</v>
      </c>
      <c r="K33" s="2">
        <v>-4.2000000000000051E-2</v>
      </c>
      <c r="L33" s="6"/>
      <c r="M33" s="6"/>
      <c r="N33" s="6"/>
      <c r="O33" s="5"/>
      <c r="P33" s="2"/>
      <c r="Q33" s="2"/>
      <c r="R33" s="2"/>
      <c r="S33" s="2"/>
      <c r="T33" s="2"/>
      <c r="U33" s="3"/>
      <c r="V33" s="2"/>
      <c r="W33" s="2"/>
      <c r="X33" s="2"/>
    </row>
    <row r="34" spans="1:24">
      <c r="B34" s="7" t="s">
        <v>41</v>
      </c>
      <c r="C34" s="2">
        <v>-0.12141666666666666</v>
      </c>
      <c r="D34" s="2">
        <v>-0.12141666666666666</v>
      </c>
      <c r="E34" s="2">
        <v>-7.1416666666666656E-2</v>
      </c>
      <c r="F34" s="2">
        <v>-5.3416666666666668E-2</v>
      </c>
      <c r="G34" s="2">
        <v>-5.3416666666666668E-2</v>
      </c>
      <c r="H34" s="3">
        <v>-5.3750000000000006E-2</v>
      </c>
      <c r="I34" s="2">
        <v>-0.10408333333333332</v>
      </c>
      <c r="J34" s="2">
        <v>-0.10408333333333332</v>
      </c>
      <c r="K34" s="2">
        <v>-0.12858333333333336</v>
      </c>
      <c r="L34" s="6"/>
      <c r="M34" s="6"/>
      <c r="N34" s="6"/>
      <c r="O34" s="4"/>
      <c r="P34" s="3"/>
      <c r="Q34" s="3"/>
      <c r="R34" s="3"/>
      <c r="S34" s="3"/>
      <c r="T34" s="3"/>
      <c r="U34" s="3"/>
      <c r="V34" s="3"/>
      <c r="W34" s="3"/>
      <c r="X34" s="3"/>
    </row>
    <row r="35" spans="1:24" ht="16.5">
      <c r="A35" s="6" t="s">
        <v>80</v>
      </c>
      <c r="B35" s="4" t="s">
        <v>2</v>
      </c>
      <c r="C35" s="3">
        <v>-0.207125</v>
      </c>
      <c r="D35" s="3">
        <v>-0.207125</v>
      </c>
      <c r="E35" s="3">
        <v>-0.15712499999999996</v>
      </c>
      <c r="F35" s="3">
        <v>-0.10312499999999997</v>
      </c>
      <c r="G35" s="3">
        <v>-5.8124999999999968E-2</v>
      </c>
      <c r="H35" s="3">
        <v>-5.8500000000000017E-2</v>
      </c>
      <c r="I35" s="3">
        <v>-0.13400000000000001</v>
      </c>
      <c r="J35" s="3">
        <v>-0.13400000000000001</v>
      </c>
      <c r="K35" s="3">
        <v>-0.1585</v>
      </c>
      <c r="L35" s="6"/>
      <c r="M35" s="6"/>
      <c r="O35" s="7"/>
      <c r="P35" s="2"/>
      <c r="Q35" s="2"/>
      <c r="R35" s="2"/>
      <c r="S35" s="2"/>
      <c r="T35" s="2"/>
      <c r="U35" s="3"/>
      <c r="V35" s="2"/>
      <c r="W35" s="2"/>
      <c r="X35" s="2"/>
    </row>
    <row r="36" spans="1:24">
      <c r="B36" s="5" t="s">
        <v>24</v>
      </c>
      <c r="C36" s="2">
        <v>-9.1499999999999998E-2</v>
      </c>
      <c r="D36" s="2">
        <v>-9.1499999999999998E-2</v>
      </c>
      <c r="E36" s="2">
        <v>-4.2833333333333341E-2</v>
      </c>
      <c r="F36" s="2">
        <v>-4.2833333333333341E-2</v>
      </c>
      <c r="G36" s="8">
        <v>-5.7833333333333341E-2</v>
      </c>
      <c r="H36" s="9">
        <v>-5.8500000000000017E-2</v>
      </c>
      <c r="I36" s="2">
        <v>-0.13400000000000001</v>
      </c>
      <c r="J36" s="2">
        <v>-0.13400000000000001</v>
      </c>
      <c r="K36" s="2">
        <v>-0.1585</v>
      </c>
      <c r="L36" s="6"/>
      <c r="M36" s="6"/>
      <c r="N36" s="6"/>
      <c r="O36" s="7"/>
      <c r="P36" s="2"/>
      <c r="Q36" s="2"/>
      <c r="R36" s="2"/>
      <c r="S36" s="2"/>
      <c r="T36" s="2"/>
      <c r="U36" s="3"/>
      <c r="V36" s="2"/>
      <c r="W36" s="2"/>
      <c r="X36" s="2"/>
    </row>
    <row r="37" spans="1:24">
      <c r="A37" s="6"/>
      <c r="B37" s="5" t="s">
        <v>25</v>
      </c>
      <c r="C37" s="2">
        <v>-0.20449999999999996</v>
      </c>
      <c r="D37" s="2">
        <v>-0.20449999999999996</v>
      </c>
      <c r="E37" s="2">
        <v>-0.15449999999999994</v>
      </c>
      <c r="F37" s="2">
        <v>-0.10049999999999995</v>
      </c>
      <c r="G37" s="2">
        <v>-5.5499999999999959E-2</v>
      </c>
      <c r="H37" s="3">
        <v>-5.4499999999999944E-2</v>
      </c>
      <c r="I37" s="2">
        <v>-2.1000000000000026E-2</v>
      </c>
      <c r="J37" s="2">
        <v>-2.1000000000000026E-2</v>
      </c>
      <c r="K37" s="2">
        <v>-4.5500000000000054E-2</v>
      </c>
      <c r="L37" s="6"/>
      <c r="M37" s="6"/>
      <c r="O37" s="7"/>
      <c r="P37" s="2"/>
      <c r="Q37" s="2"/>
      <c r="R37" s="2"/>
      <c r="S37" s="2"/>
      <c r="T37" s="2"/>
      <c r="U37" s="3"/>
      <c r="V37" s="2"/>
      <c r="W37" s="2"/>
      <c r="X37" s="2"/>
    </row>
    <row r="38" spans="1:24">
      <c r="A38" s="6"/>
      <c r="B38" s="5" t="s">
        <v>26</v>
      </c>
      <c r="C38" s="2">
        <v>-0.207125</v>
      </c>
      <c r="D38" s="2">
        <v>-0.207125</v>
      </c>
      <c r="E38" s="2">
        <v>-0.15712499999999996</v>
      </c>
      <c r="F38" s="2">
        <v>-0.10312499999999997</v>
      </c>
      <c r="G38" s="2">
        <v>-5.8124999999999968E-2</v>
      </c>
      <c r="H38" s="3">
        <v>-5.7124999999999954E-2</v>
      </c>
      <c r="I38" s="2">
        <v>-1.8375000000000023E-2</v>
      </c>
      <c r="J38" s="2">
        <v>-1.8375000000000023E-2</v>
      </c>
      <c r="K38" s="2">
        <v>-4.2875000000000052E-2</v>
      </c>
      <c r="L38" s="6"/>
      <c r="M38" s="6"/>
      <c r="N38" s="6"/>
      <c r="O38" s="4"/>
      <c r="P38" s="3"/>
      <c r="Q38" s="3"/>
      <c r="R38" s="3"/>
      <c r="S38" s="3"/>
      <c r="T38" s="3"/>
      <c r="U38" s="3"/>
      <c r="V38" s="3"/>
      <c r="W38" s="3"/>
      <c r="X38" s="3"/>
    </row>
    <row r="39" spans="1:24" ht="18">
      <c r="A39" s="6" t="s">
        <v>81</v>
      </c>
      <c r="B39" s="4" t="s">
        <v>2</v>
      </c>
      <c r="C39" s="3">
        <v>-0.20799999999999996</v>
      </c>
      <c r="D39" s="3">
        <v>-0.20799999999999996</v>
      </c>
      <c r="E39" s="3">
        <v>-0.15799999999999995</v>
      </c>
      <c r="F39" s="3">
        <v>-0.10399999999999998</v>
      </c>
      <c r="G39" s="3">
        <v>-5.8999999999999962E-2</v>
      </c>
      <c r="H39" s="3">
        <v>-5.7999999999999954E-2</v>
      </c>
      <c r="I39" s="3">
        <v>-0.13333333333333333</v>
      </c>
      <c r="J39" s="3">
        <v>-0.13333333333333333</v>
      </c>
      <c r="K39" s="3">
        <v>-0.15783333333333333</v>
      </c>
      <c r="L39" s="6"/>
      <c r="M39" s="6"/>
      <c r="O39" s="5"/>
      <c r="P39" s="2"/>
      <c r="Q39" s="2"/>
      <c r="R39" s="2"/>
      <c r="S39" s="2"/>
      <c r="T39" s="8"/>
      <c r="U39" s="9"/>
      <c r="V39" s="2"/>
      <c r="W39" s="2"/>
      <c r="X39" s="2"/>
    </row>
    <row r="40" spans="1:24">
      <c r="B40" s="5" t="s">
        <v>8</v>
      </c>
      <c r="C40" s="2">
        <v>-9.2166666666666675E-2</v>
      </c>
      <c r="D40" s="2">
        <v>-9.2166666666666675E-2</v>
      </c>
      <c r="E40" s="2">
        <v>-4.2166666666666665E-2</v>
      </c>
      <c r="F40" s="2">
        <v>-4.2166666666666665E-2</v>
      </c>
      <c r="G40" s="2">
        <v>-5.7166666666666664E-2</v>
      </c>
      <c r="H40" s="3">
        <v>-5.7833333333333341E-2</v>
      </c>
      <c r="I40" s="2">
        <v>-0.13333333333333333</v>
      </c>
      <c r="J40" s="2">
        <v>-0.13333333333333333</v>
      </c>
      <c r="K40" s="2">
        <v>-0.15783333333333333</v>
      </c>
      <c r="L40" s="6"/>
      <c r="M40" s="6"/>
      <c r="N40" s="6"/>
      <c r="O40" s="5"/>
      <c r="P40" s="2"/>
      <c r="Q40" s="2"/>
      <c r="R40" s="2"/>
      <c r="S40" s="2"/>
      <c r="T40" s="2"/>
      <c r="U40" s="3"/>
      <c r="V40" s="2"/>
      <c r="W40" s="2"/>
      <c r="X40" s="2"/>
    </row>
    <row r="41" spans="1:24">
      <c r="A41" s="6"/>
      <c r="B41" s="5" t="s">
        <v>7</v>
      </c>
      <c r="C41" s="2">
        <v>-0.20799999999999996</v>
      </c>
      <c r="D41" s="2">
        <v>-0.20799999999999996</v>
      </c>
      <c r="E41" s="2">
        <v>-0.15799999999999995</v>
      </c>
      <c r="F41" s="2">
        <v>-0.10399999999999998</v>
      </c>
      <c r="G41" s="2">
        <v>-5.8999999999999962E-2</v>
      </c>
      <c r="H41" s="3">
        <v>-5.7999999999999954E-2</v>
      </c>
      <c r="I41" s="2">
        <v>-1.7500000000000019E-2</v>
      </c>
      <c r="J41" s="2">
        <v>-1.7500000000000019E-2</v>
      </c>
      <c r="K41" s="2">
        <v>-4.2000000000000051E-2</v>
      </c>
      <c r="L41" s="6"/>
      <c r="M41" s="6"/>
      <c r="N41" s="6"/>
      <c r="O41" s="5"/>
      <c r="P41" s="2"/>
      <c r="Q41" s="2"/>
      <c r="R41" s="2"/>
      <c r="S41" s="2"/>
      <c r="T41" s="2"/>
      <c r="U41" s="3"/>
      <c r="V41" s="2"/>
      <c r="W41" s="2"/>
      <c r="X41" s="2"/>
    </row>
    <row r="42" spans="1:24" ht="16.5">
      <c r="A42" s="6" t="s">
        <v>82</v>
      </c>
      <c r="B42" s="4" t="s">
        <v>29</v>
      </c>
      <c r="C42" s="3">
        <v>-9.1499999999999998E-2</v>
      </c>
      <c r="D42" s="3">
        <v>-9.1499999999999998E-2</v>
      </c>
      <c r="E42" s="3">
        <v>-4.2833333333333341E-2</v>
      </c>
      <c r="F42" s="3">
        <v>-4.2833333333333341E-2</v>
      </c>
      <c r="G42" s="9">
        <v>-5.7833333333333341E-2</v>
      </c>
      <c r="H42" s="9">
        <v>-5.8500000000000017E-2</v>
      </c>
      <c r="I42" s="3">
        <v>-0.13400000000000001</v>
      </c>
      <c r="J42" s="3">
        <v>-0.13400000000000001</v>
      </c>
      <c r="K42" s="3">
        <v>-0.1585</v>
      </c>
      <c r="L42" s="6"/>
      <c r="M42" s="6"/>
      <c r="N42" s="6"/>
      <c r="O42" s="4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6"/>
      <c r="B43" s="7" t="s">
        <v>30</v>
      </c>
      <c r="C43" s="2">
        <v>-0.20449999999999996</v>
      </c>
      <c r="D43" s="2">
        <v>-0.20449999999999996</v>
      </c>
      <c r="E43" s="2">
        <v>-0.15449999999999994</v>
      </c>
      <c r="F43" s="2">
        <v>-0.10049999999999995</v>
      </c>
      <c r="G43" s="2">
        <v>-5.5499999999999959E-2</v>
      </c>
      <c r="H43" s="3">
        <v>-5.4499999999999944E-2</v>
      </c>
      <c r="I43" s="2">
        <v>-2.1000000000000026E-2</v>
      </c>
      <c r="J43" s="2">
        <v>-2.1000000000000026E-2</v>
      </c>
      <c r="K43" s="2">
        <v>-4.5500000000000054E-2</v>
      </c>
      <c r="L43" s="6"/>
      <c r="M43" s="6"/>
      <c r="O43" s="5"/>
      <c r="P43" s="2"/>
      <c r="Q43" s="2"/>
      <c r="R43" s="2"/>
      <c r="S43" s="2"/>
      <c r="T43" s="2"/>
      <c r="U43" s="3"/>
      <c r="V43" s="2"/>
      <c r="W43" s="2"/>
      <c r="X43" s="2"/>
    </row>
    <row r="44" spans="1:24" ht="18">
      <c r="A44" s="6" t="s">
        <v>83</v>
      </c>
      <c r="B44" s="4" t="s">
        <v>27</v>
      </c>
      <c r="C44" s="3">
        <v>-0.207125</v>
      </c>
      <c r="D44" s="3">
        <v>-0.207125</v>
      </c>
      <c r="E44" s="3">
        <v>-0.15712499999999996</v>
      </c>
      <c r="F44" s="3">
        <v>-0.10312499999999997</v>
      </c>
      <c r="G44" s="3">
        <v>-5.8124999999999968E-2</v>
      </c>
      <c r="H44" s="3">
        <v>-5.7124999999999954E-2</v>
      </c>
      <c r="I44" s="3">
        <v>-1.8375000000000023E-2</v>
      </c>
      <c r="J44" s="3">
        <v>-1.8375000000000023E-2</v>
      </c>
      <c r="K44" s="3">
        <v>-4.2875000000000052E-2</v>
      </c>
      <c r="L44" s="6"/>
      <c r="M44" s="6"/>
      <c r="N44" s="6"/>
      <c r="O44" s="5"/>
      <c r="P44" s="2"/>
      <c r="Q44" s="2"/>
      <c r="R44" s="2"/>
      <c r="S44" s="2"/>
      <c r="T44" s="2"/>
      <c r="U44" s="3"/>
      <c r="V44" s="2"/>
      <c r="W44" s="2"/>
      <c r="X44" s="2"/>
    </row>
    <row r="45" spans="1:24" ht="18">
      <c r="A45" s="6" t="s">
        <v>84</v>
      </c>
      <c r="B45" s="4" t="s">
        <v>90</v>
      </c>
      <c r="C45" s="3">
        <v>-0.1255</v>
      </c>
      <c r="D45" s="3">
        <v>-0.1255</v>
      </c>
      <c r="E45" s="3">
        <v>-7.5499999999999998E-2</v>
      </c>
      <c r="F45" s="3">
        <v>-6.1999999999999993E-2</v>
      </c>
      <c r="G45" s="3">
        <v>-6.1999999999999993E-2</v>
      </c>
      <c r="H45" s="3">
        <v>-6.225E-2</v>
      </c>
      <c r="I45" s="3">
        <v>-9.9999999999999978E-2</v>
      </c>
      <c r="J45" s="3">
        <v>-9.9999999999999978E-2</v>
      </c>
      <c r="K45" s="3">
        <v>-0.1245</v>
      </c>
      <c r="L45" s="6"/>
      <c r="M45" s="6"/>
      <c r="N45" s="6"/>
      <c r="O45" s="4"/>
      <c r="P45" s="3"/>
      <c r="Q45" s="3"/>
      <c r="R45" s="3"/>
      <c r="S45" s="3"/>
      <c r="T45" s="9"/>
      <c r="U45" s="9"/>
      <c r="V45" s="3"/>
      <c r="W45" s="3"/>
      <c r="X45" s="3"/>
    </row>
    <row r="46" spans="1:24" ht="16.5">
      <c r="A46" s="6" t="s">
        <v>85</v>
      </c>
      <c r="B46" s="4" t="s">
        <v>34</v>
      </c>
      <c r="C46" s="9">
        <v>-0.207125</v>
      </c>
      <c r="D46" s="9">
        <v>-0.207125</v>
      </c>
      <c r="E46" s="9">
        <v>-0.15712499999999996</v>
      </c>
      <c r="F46" s="9">
        <v>-0.10312499999999997</v>
      </c>
      <c r="G46" s="9">
        <v>-5.8124999999999968E-2</v>
      </c>
      <c r="H46" s="9">
        <v>-5.7124999999999954E-2</v>
      </c>
      <c r="I46" s="9">
        <v>-1.8375000000000023E-2</v>
      </c>
      <c r="J46" s="9">
        <v>-1.8375000000000023E-2</v>
      </c>
      <c r="K46" s="9">
        <v>-4.2875000000000052E-2</v>
      </c>
      <c r="L46" s="6"/>
      <c r="M46" s="6"/>
      <c r="N46" s="6"/>
      <c r="O46" s="7"/>
      <c r="P46" s="2"/>
      <c r="Q46" s="2"/>
      <c r="R46" s="2"/>
      <c r="S46" s="2"/>
      <c r="T46" s="2"/>
      <c r="U46" s="3"/>
      <c r="V46" s="2"/>
      <c r="W46" s="2"/>
      <c r="X46" s="2"/>
    </row>
    <row r="47" spans="1:24" ht="18">
      <c r="A47" s="6" t="s">
        <v>86</v>
      </c>
      <c r="B47" s="4" t="s">
        <v>2</v>
      </c>
      <c r="C47" s="3">
        <v>-0.20799999999999996</v>
      </c>
      <c r="D47" s="3">
        <v>-0.20799999999999996</v>
      </c>
      <c r="E47" s="3">
        <v>-0.15799999999999995</v>
      </c>
      <c r="F47" s="3">
        <v>-0.10399999999999998</v>
      </c>
      <c r="G47" s="3">
        <v>-5.8999999999999962E-2</v>
      </c>
      <c r="H47" s="3">
        <v>-5.7999999999999954E-2</v>
      </c>
      <c r="I47" s="3">
        <v>-0.13333333333333333</v>
      </c>
      <c r="J47" s="3">
        <v>-0.13333333333333333</v>
      </c>
      <c r="K47" s="3">
        <v>-0.15783333333333333</v>
      </c>
      <c r="L47" s="6"/>
      <c r="M47" s="6"/>
      <c r="N47" s="6"/>
      <c r="O47" s="4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B48" s="5" t="s">
        <v>14</v>
      </c>
      <c r="C48" s="2">
        <v>-9.2166666666666675E-2</v>
      </c>
      <c r="D48" s="2">
        <v>-9.2166666666666675E-2</v>
      </c>
      <c r="E48" s="2">
        <v>-4.2166666666666665E-2</v>
      </c>
      <c r="F48" s="2">
        <v>-4.2166666666666665E-2</v>
      </c>
      <c r="G48" s="2">
        <v>-5.7166666666666664E-2</v>
      </c>
      <c r="H48" s="3">
        <v>-5.7833333333333341E-2</v>
      </c>
      <c r="I48" s="2">
        <v>-0.13333333333333333</v>
      </c>
      <c r="J48" s="2">
        <v>-0.13333333333333333</v>
      </c>
      <c r="K48" s="2">
        <v>-0.15783333333333333</v>
      </c>
      <c r="L48" s="6"/>
      <c r="M48" s="6"/>
      <c r="N48" s="6"/>
      <c r="O48" s="4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6"/>
      <c r="B49" s="5" t="s">
        <v>15</v>
      </c>
      <c r="C49" s="2">
        <v>-0.207125</v>
      </c>
      <c r="D49" s="2">
        <v>-0.207125</v>
      </c>
      <c r="E49" s="2">
        <v>-0.15712499999999996</v>
      </c>
      <c r="F49" s="2">
        <v>-0.10312499999999997</v>
      </c>
      <c r="G49" s="2">
        <v>-5.8124999999999968E-2</v>
      </c>
      <c r="H49" s="3">
        <v>-5.7124999999999954E-2</v>
      </c>
      <c r="I49" s="2">
        <v>-1.8375000000000023E-2</v>
      </c>
      <c r="J49" s="2">
        <v>-1.8375000000000023E-2</v>
      </c>
      <c r="K49" s="2">
        <v>-4.2875000000000052E-2</v>
      </c>
      <c r="L49" s="6"/>
      <c r="M49" s="6"/>
      <c r="N49" s="6"/>
      <c r="O49" s="4"/>
      <c r="P49" s="9"/>
      <c r="Q49" s="9"/>
      <c r="R49" s="9"/>
      <c r="S49" s="9"/>
      <c r="T49" s="9"/>
      <c r="U49" s="9"/>
      <c r="V49" s="9"/>
      <c r="W49" s="9"/>
      <c r="X49" s="9"/>
    </row>
    <row r="50" spans="1:24">
      <c r="A50" s="6"/>
      <c r="B50" s="5" t="s">
        <v>16</v>
      </c>
      <c r="C50" s="2">
        <v>-0.20799999999999996</v>
      </c>
      <c r="D50" s="2">
        <v>-0.20799999999999996</v>
      </c>
      <c r="E50" s="2">
        <v>-0.15799999999999995</v>
      </c>
      <c r="F50" s="2">
        <v>-0.10399999999999998</v>
      </c>
      <c r="G50" s="2">
        <v>-5.8999999999999962E-2</v>
      </c>
      <c r="H50" s="3">
        <v>-5.7999999999999954E-2</v>
      </c>
      <c r="I50" s="2">
        <v>-1.7500000000000019E-2</v>
      </c>
      <c r="J50" s="2">
        <v>-1.7500000000000019E-2</v>
      </c>
      <c r="K50" s="2">
        <v>-4.2000000000000051E-2</v>
      </c>
      <c r="N50" s="6"/>
      <c r="O50" s="4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6"/>
      <c r="B51" s="5" t="s">
        <v>17</v>
      </c>
      <c r="C51" s="2">
        <v>-8.9800000000000005E-2</v>
      </c>
      <c r="D51" s="2">
        <v>-8.9800000000000005E-2</v>
      </c>
      <c r="E51" s="2">
        <v>-3.9799999999999995E-2</v>
      </c>
      <c r="F51" s="2">
        <v>-5.0599999999999992E-2</v>
      </c>
      <c r="G51" s="2">
        <v>-5.9599999999999993E-2</v>
      </c>
      <c r="H51" s="3">
        <v>-6.0200000000000004E-2</v>
      </c>
      <c r="I51" s="2">
        <v>-0.13569999999999999</v>
      </c>
      <c r="J51" s="2">
        <v>-0.13569999999999999</v>
      </c>
      <c r="K51" s="2">
        <v>-0.16019999999999998</v>
      </c>
      <c r="L51" s="6"/>
      <c r="M51" s="6"/>
      <c r="O51" s="5"/>
      <c r="P51" s="2"/>
      <c r="Q51" s="2"/>
      <c r="R51" s="2"/>
      <c r="S51" s="2"/>
      <c r="T51" s="2"/>
      <c r="U51" s="3"/>
      <c r="V51" s="2"/>
      <c r="W51" s="2"/>
      <c r="X51" s="2"/>
    </row>
    <row r="52" spans="1:24" ht="18">
      <c r="A52" s="6" t="s">
        <v>87</v>
      </c>
      <c r="B52" s="4" t="s">
        <v>2</v>
      </c>
      <c r="C52" s="3">
        <v>-0.207125</v>
      </c>
      <c r="D52" s="3">
        <v>-0.207125</v>
      </c>
      <c r="E52" s="3">
        <v>-0.15712499999999996</v>
      </c>
      <c r="F52" s="3">
        <v>-0.10312499999999997</v>
      </c>
      <c r="G52" s="3">
        <v>-5.8124999999999968E-2</v>
      </c>
      <c r="H52" s="3">
        <v>-5.7833333333333341E-2</v>
      </c>
      <c r="I52" s="3">
        <v>-0.13333333333333333</v>
      </c>
      <c r="J52" s="3">
        <v>-0.13333333333333333</v>
      </c>
      <c r="K52" s="3">
        <v>-0.15783333333333333</v>
      </c>
      <c r="L52" s="6"/>
      <c r="M52" s="6"/>
      <c r="N52" s="6"/>
      <c r="O52" s="5"/>
      <c r="P52" s="2"/>
      <c r="Q52" s="2"/>
      <c r="R52" s="2"/>
      <c r="S52" s="2"/>
      <c r="T52" s="2"/>
      <c r="U52" s="3"/>
      <c r="V52" s="2"/>
      <c r="W52" s="2"/>
      <c r="X52" s="2"/>
    </row>
    <row r="53" spans="1:24">
      <c r="B53" s="5" t="s">
        <v>12</v>
      </c>
      <c r="C53" s="2">
        <v>-9.2166666666666675E-2</v>
      </c>
      <c r="D53" s="2">
        <v>-9.2166666666666675E-2</v>
      </c>
      <c r="E53" s="2">
        <v>-4.2166666666666665E-2</v>
      </c>
      <c r="F53" s="2">
        <v>-4.2166666666666665E-2</v>
      </c>
      <c r="G53" s="2">
        <v>-5.7166666666666664E-2</v>
      </c>
      <c r="H53" s="3">
        <v>-5.7833333333333341E-2</v>
      </c>
      <c r="I53" s="2">
        <v>-0.13333333333333333</v>
      </c>
      <c r="J53" s="2">
        <v>-0.13333333333333333</v>
      </c>
      <c r="K53" s="2">
        <v>-0.15783333333333333</v>
      </c>
      <c r="L53" s="6"/>
      <c r="M53" s="6"/>
      <c r="N53" s="6"/>
      <c r="O53" s="5"/>
      <c r="P53" s="2"/>
      <c r="Q53" s="2"/>
      <c r="R53" s="2"/>
      <c r="S53" s="2"/>
      <c r="T53" s="2"/>
      <c r="U53" s="3"/>
      <c r="V53" s="2"/>
      <c r="W53" s="2"/>
      <c r="X53" s="2"/>
    </row>
    <row r="54" spans="1:24">
      <c r="A54" s="6"/>
      <c r="B54" s="5" t="s">
        <v>13</v>
      </c>
      <c r="C54" s="2">
        <v>-0.207125</v>
      </c>
      <c r="D54" s="2">
        <v>-0.207125</v>
      </c>
      <c r="E54" s="2">
        <v>-0.15712499999999996</v>
      </c>
      <c r="F54" s="2">
        <v>-0.10312499999999997</v>
      </c>
      <c r="G54" s="2">
        <v>-5.8124999999999968E-2</v>
      </c>
      <c r="H54" s="3">
        <v>-5.7124999999999954E-2</v>
      </c>
      <c r="I54" s="2">
        <v>-1.8375000000000023E-2</v>
      </c>
      <c r="J54" s="2">
        <v>-1.8375000000000023E-2</v>
      </c>
      <c r="K54" s="2">
        <v>-4.2875000000000052E-2</v>
      </c>
      <c r="L54" s="6"/>
      <c r="M54" s="6"/>
      <c r="N54" s="6"/>
      <c r="O54" s="5"/>
      <c r="P54" s="2"/>
      <c r="Q54" s="2"/>
      <c r="R54" s="2"/>
      <c r="S54" s="2"/>
      <c r="T54" s="2"/>
      <c r="U54" s="3"/>
      <c r="V54" s="2"/>
      <c r="W54" s="2"/>
      <c r="X54" s="2"/>
    </row>
    <row r="55" spans="1:24">
      <c r="N55" s="6"/>
      <c r="O55" s="4"/>
      <c r="P55" s="3"/>
      <c r="Q55" s="3"/>
      <c r="R55" s="3"/>
      <c r="S55" s="3"/>
      <c r="T55" s="3"/>
      <c r="U55" s="3"/>
      <c r="V55" s="3"/>
      <c r="W55" s="3"/>
      <c r="X55" s="3"/>
    </row>
    <row r="56" spans="1:24" ht="17.25">
      <c r="A56" s="1" t="s">
        <v>110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O56" s="5"/>
      <c r="P56" s="2"/>
      <c r="Q56" s="2"/>
      <c r="R56" s="2"/>
      <c r="S56" s="2"/>
      <c r="T56" s="2"/>
      <c r="U56" s="3"/>
      <c r="V56" s="2"/>
      <c r="W56" s="2"/>
      <c r="X56" s="2"/>
    </row>
    <row r="57" spans="1:24" ht="18">
      <c r="A57" s="6" t="s">
        <v>103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5"/>
      <c r="P57" s="2"/>
      <c r="Q57" s="2"/>
      <c r="R57" s="2"/>
      <c r="S57" s="2"/>
      <c r="T57" s="2"/>
      <c r="U57" s="3"/>
      <c r="V57" s="2"/>
      <c r="W57" s="2"/>
      <c r="X57" s="2"/>
    </row>
    <row r="58" spans="1:24" ht="18">
      <c r="A58" t="s">
        <v>104</v>
      </c>
      <c r="U58" s="1"/>
    </row>
    <row r="59" spans="1:24">
      <c r="A59" s="3" t="s">
        <v>109</v>
      </c>
    </row>
    <row r="62" spans="1:24">
      <c r="A62" s="3"/>
      <c r="B62" s="6"/>
      <c r="C62" s="6"/>
      <c r="D62" s="6"/>
      <c r="E62" s="6"/>
      <c r="F62" s="6"/>
      <c r="L62" s="6"/>
      <c r="M62" s="6"/>
      <c r="N62" s="6"/>
      <c r="O62" s="4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13"/>
      <c r="B63" s="6"/>
      <c r="C63" s="6"/>
      <c r="D63" s="6"/>
      <c r="E63" s="6"/>
      <c r="F63" s="6"/>
      <c r="G63" s="6"/>
      <c r="H63" s="6"/>
      <c r="I63" s="6"/>
      <c r="L63" s="6"/>
      <c r="M63" s="6"/>
      <c r="N63" s="6"/>
      <c r="O63" s="7"/>
      <c r="P63" s="2"/>
      <c r="Q63" s="2"/>
      <c r="R63" s="2"/>
      <c r="S63" s="2"/>
      <c r="T63" s="2"/>
      <c r="U63" s="3"/>
      <c r="V63" s="2"/>
      <c r="W63" s="2"/>
      <c r="X63" s="2"/>
    </row>
    <row r="64" spans="1:24">
      <c r="N64" s="6"/>
      <c r="O64" s="4"/>
      <c r="P64" s="3"/>
      <c r="Q64" s="1"/>
      <c r="R64" s="3"/>
      <c r="S64" s="3"/>
      <c r="T64" s="3"/>
      <c r="U64" s="3"/>
      <c r="V64" s="3"/>
      <c r="W64" s="3"/>
      <c r="X64" s="3"/>
    </row>
    <row r="65" spans="1:47">
      <c r="A65" s="6"/>
      <c r="B65" s="6"/>
      <c r="C65" s="6"/>
      <c r="D65" s="6"/>
      <c r="E65" s="6"/>
      <c r="F65" s="6"/>
      <c r="G65" s="6"/>
      <c r="H65" s="6"/>
      <c r="I65" s="6"/>
      <c r="L65" s="6"/>
      <c r="M65" s="6"/>
      <c r="O65" s="7"/>
      <c r="P65" s="2"/>
      <c r="Q65" s="2"/>
      <c r="R65" s="2"/>
      <c r="S65" s="2"/>
      <c r="T65" s="2"/>
      <c r="U65" s="3"/>
      <c r="V65" s="2"/>
      <c r="W65" s="2"/>
      <c r="X65" s="2"/>
    </row>
    <row r="66" spans="1:47">
      <c r="A66" s="6"/>
      <c r="B66" s="6"/>
      <c r="C66" s="6"/>
      <c r="D66" s="6"/>
      <c r="E66" s="6"/>
      <c r="F66" s="6"/>
      <c r="G66" s="6"/>
      <c r="H66" s="6"/>
      <c r="I66" s="6"/>
      <c r="L66" s="6"/>
      <c r="M66" s="6"/>
      <c r="N66" s="6"/>
      <c r="O66" s="7"/>
      <c r="P66" s="2"/>
      <c r="Q66" s="2"/>
      <c r="R66" s="2"/>
      <c r="S66" s="2"/>
      <c r="T66" s="2"/>
      <c r="U66" s="3"/>
      <c r="V66" s="2"/>
      <c r="W66" s="2"/>
      <c r="X66" s="2"/>
    </row>
    <row r="67" spans="1:4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7"/>
      <c r="P67" s="2"/>
      <c r="Q67" s="2"/>
      <c r="R67" s="2"/>
      <c r="S67" s="2"/>
      <c r="T67" s="2"/>
      <c r="U67" s="3"/>
      <c r="V67" s="2"/>
      <c r="W67" s="2"/>
      <c r="X67" s="2"/>
    </row>
    <row r="68" spans="1:47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  <c r="P68" s="2"/>
      <c r="Q68" s="2"/>
      <c r="R68" s="2"/>
      <c r="S68" s="2"/>
      <c r="T68" s="2"/>
      <c r="U68" s="3"/>
      <c r="V68" s="2"/>
      <c r="W68" s="2"/>
      <c r="X68" s="2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4"/>
      <c r="AM68" s="3"/>
      <c r="AN68" s="3"/>
      <c r="AO68" s="3"/>
      <c r="AP68" s="3"/>
      <c r="AQ68" s="3"/>
      <c r="AR68" s="3"/>
      <c r="AS68" s="3"/>
      <c r="AT68" s="3"/>
      <c r="AU68" s="3"/>
    </row>
    <row r="70" spans="1:47">
      <c r="A70" s="14"/>
    </row>
    <row r="71" spans="1:47">
      <c r="N71" s="6"/>
      <c r="O71" s="4"/>
      <c r="P71" s="3"/>
      <c r="Q71" s="3"/>
      <c r="R71" s="3"/>
      <c r="S71" s="3"/>
      <c r="T71" s="3"/>
      <c r="U71" s="3"/>
      <c r="V71" s="3"/>
      <c r="W71" s="3"/>
      <c r="X71" s="3"/>
    </row>
    <row r="72" spans="1:47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O72" s="7"/>
      <c r="P72" s="2"/>
      <c r="Q72" s="2"/>
      <c r="R72" s="2"/>
      <c r="S72" s="2"/>
      <c r="T72" s="2"/>
      <c r="U72" s="3"/>
      <c r="V72" s="2"/>
      <c r="W72" s="2"/>
      <c r="X72" s="2"/>
    </row>
    <row r="73" spans="1:47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  <c r="P73" s="2"/>
      <c r="Q73" s="2"/>
      <c r="R73" s="2"/>
      <c r="S73" s="2"/>
      <c r="T73" s="2"/>
      <c r="U73" s="3"/>
      <c r="V73" s="2"/>
      <c r="W73" s="2"/>
      <c r="X73" s="2"/>
    </row>
    <row r="75" spans="1:47">
      <c r="A75" s="13"/>
    </row>
    <row r="76" spans="1:47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4"/>
      <c r="P76" s="3"/>
      <c r="Q76" s="3"/>
      <c r="R76" s="3"/>
      <c r="S76" s="3"/>
      <c r="T76" s="3"/>
      <c r="U76" s="3"/>
      <c r="V76" s="3"/>
      <c r="W76" s="3"/>
      <c r="X76" s="3"/>
    </row>
    <row r="77" spans="1:4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O77" s="7"/>
      <c r="P77" s="2"/>
      <c r="Q77" s="2"/>
      <c r="R77" s="2"/>
      <c r="S77" s="2"/>
      <c r="T77" s="2"/>
      <c r="U77" s="3"/>
      <c r="V77" s="2"/>
      <c r="W77" s="2"/>
      <c r="X77" s="2"/>
    </row>
    <row r="78" spans="1:47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  <c r="P78" s="2"/>
      <c r="Q78" s="2"/>
      <c r="R78" s="2"/>
      <c r="S78" s="2"/>
      <c r="T78" s="2"/>
      <c r="U78" s="3"/>
      <c r="V78" s="2"/>
      <c r="W78" s="2"/>
      <c r="X78" s="2"/>
    </row>
    <row r="79" spans="1:47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7"/>
      <c r="P79" s="2"/>
      <c r="Q79" s="2"/>
      <c r="R79" s="2"/>
      <c r="S79" s="2"/>
      <c r="T79" s="2"/>
      <c r="U79" s="3"/>
      <c r="V79" s="2"/>
      <c r="W79" s="2"/>
      <c r="X79" s="2"/>
    </row>
    <row r="89" spans="1:2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4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4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4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4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5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4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4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5"/>
      <c r="P99" s="2"/>
      <c r="Q99" s="2"/>
      <c r="R99" s="2"/>
      <c r="S99" s="2"/>
      <c r="T99" s="2"/>
      <c r="U99" s="2"/>
      <c r="V99" s="2"/>
      <c r="W99" s="2"/>
      <c r="X99" s="2"/>
    </row>
    <row r="100" spans="1:2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5"/>
      <c r="P100" s="2"/>
      <c r="Q100" s="2"/>
      <c r="R100" s="2"/>
      <c r="S100" s="2"/>
      <c r="T100" s="2"/>
      <c r="U100" s="2"/>
      <c r="V100" s="2"/>
      <c r="W100" s="2"/>
      <c r="X100" s="2"/>
    </row>
    <row r="101" spans="1:2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4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/>
      <c r="P102" s="2"/>
      <c r="Q102" s="2"/>
      <c r="R102" s="2"/>
      <c r="S102" s="2"/>
      <c r="T102" s="2"/>
      <c r="U102" s="2"/>
      <c r="V102" s="2"/>
      <c r="W102" s="2"/>
      <c r="X102" s="2"/>
    </row>
    <row r="103" spans="1:2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5"/>
      <c r="P103" s="2"/>
      <c r="Q103" s="2"/>
      <c r="R103" s="2"/>
      <c r="S103" s="2"/>
      <c r="T103" s="2"/>
      <c r="U103" s="2"/>
      <c r="V103" s="2"/>
      <c r="W103" s="2"/>
      <c r="X103" s="2"/>
    </row>
    <row r="104" spans="1:2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4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4"/>
      <c r="P109" s="2"/>
      <c r="Q109" s="2"/>
      <c r="R109" s="2"/>
      <c r="S109" s="2"/>
      <c r="T109" s="2"/>
      <c r="U109" s="2"/>
      <c r="V109" s="2"/>
      <c r="W109" s="2"/>
      <c r="X109" s="2"/>
    </row>
    <row r="110" spans="1:2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4"/>
      <c r="P110" s="2"/>
      <c r="Q110" s="2"/>
      <c r="R110" s="2"/>
      <c r="S110" s="2"/>
      <c r="T110" s="2"/>
      <c r="U110" s="2"/>
      <c r="V110" s="2"/>
      <c r="W110" s="2"/>
      <c r="X110" s="2"/>
    </row>
    <row r="111" spans="1:2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4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4"/>
      <c r="P112" s="2"/>
      <c r="Q112" s="2"/>
      <c r="R112" s="2"/>
      <c r="S112" s="2"/>
      <c r="T112" s="2"/>
      <c r="U112" s="2"/>
      <c r="V112" s="2"/>
      <c r="W112" s="2"/>
      <c r="X112" s="2"/>
    </row>
    <row r="113" spans="1:2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4"/>
      <c r="P113" s="2"/>
      <c r="Q113" s="2"/>
      <c r="R113" s="2"/>
      <c r="S113" s="2"/>
      <c r="T113" s="2"/>
      <c r="U113" s="2"/>
      <c r="V113" s="2"/>
      <c r="W113" s="2"/>
      <c r="X113" s="2"/>
    </row>
    <row r="114" spans="1:2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4"/>
      <c r="P114" s="2"/>
      <c r="Q114" s="2"/>
      <c r="R114" s="2"/>
      <c r="S114" s="2"/>
      <c r="T114" s="2"/>
      <c r="U114" s="2"/>
      <c r="V114" s="2"/>
      <c r="W114" s="2"/>
      <c r="X114" s="2"/>
    </row>
    <row r="115" spans="1:2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4"/>
      <c r="P115" s="2"/>
      <c r="Q115" s="2"/>
      <c r="R115" s="2"/>
      <c r="S115" s="2"/>
      <c r="T115" s="2"/>
      <c r="U115" s="2"/>
      <c r="V115" s="2"/>
      <c r="W115" s="2"/>
      <c r="X115" s="2"/>
    </row>
    <row r="116" spans="1:2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4"/>
      <c r="P116" s="2"/>
      <c r="Q116" s="2"/>
      <c r="R116" s="2"/>
      <c r="S116" s="2"/>
      <c r="T116" s="2"/>
      <c r="U116" s="2"/>
      <c r="V116" s="2"/>
      <c r="W116" s="2"/>
      <c r="X116" s="2"/>
    </row>
    <row r="117" spans="1:2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4"/>
      <c r="P117" s="2"/>
      <c r="Q117" s="2"/>
      <c r="R117" s="2"/>
      <c r="S117" s="2"/>
      <c r="T117" s="2"/>
      <c r="U117" s="3"/>
      <c r="V117" s="2"/>
      <c r="W117" s="2"/>
      <c r="X117" s="2"/>
    </row>
    <row r="118" spans="1:2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4"/>
      <c r="P118" s="2"/>
      <c r="Q118" s="2"/>
      <c r="R118" s="2"/>
      <c r="S118" s="2"/>
      <c r="T118" s="2"/>
      <c r="U118" s="3"/>
      <c r="V118" s="2"/>
      <c r="W118" s="2"/>
      <c r="X118" s="2"/>
    </row>
    <row r="119" spans="1:2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4"/>
      <c r="P119" s="2"/>
      <c r="Q119" s="2"/>
      <c r="R119" s="2"/>
      <c r="S119" s="2"/>
      <c r="T119" s="2"/>
      <c r="U119" s="3"/>
      <c r="V119" s="2"/>
      <c r="W119" s="2"/>
      <c r="X119" s="2"/>
    </row>
    <row r="120" spans="1:2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4"/>
      <c r="P120" s="2"/>
      <c r="Q120" s="2"/>
      <c r="R120" s="2"/>
      <c r="S120" s="2"/>
      <c r="T120" s="2"/>
      <c r="U120" s="3"/>
      <c r="V120" s="2"/>
      <c r="W120" s="2"/>
      <c r="X120" s="2"/>
    </row>
    <row r="121" spans="1:2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4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4"/>
      <c r="P122" s="2"/>
      <c r="Q122" s="2"/>
      <c r="R122" s="2"/>
      <c r="S122" s="2"/>
      <c r="T122" s="2"/>
      <c r="U122" s="3"/>
      <c r="V122" s="2"/>
      <c r="W122" s="2"/>
      <c r="X122" s="2"/>
    </row>
    <row r="123" spans="1:2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4"/>
      <c r="P123" s="2"/>
      <c r="Q123" s="2"/>
      <c r="R123" s="2"/>
      <c r="S123" s="2"/>
      <c r="T123" s="2"/>
      <c r="U123" s="3"/>
      <c r="V123" s="2"/>
      <c r="W123" s="2"/>
      <c r="X123" s="2"/>
    </row>
    <row r="124" spans="1: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4"/>
      <c r="P124" s="2"/>
      <c r="Q124" s="2"/>
      <c r="R124" s="2"/>
      <c r="S124" s="2"/>
      <c r="T124" s="2"/>
      <c r="U124" s="3"/>
      <c r="V124" s="2"/>
      <c r="W124" s="2"/>
      <c r="X124" s="2"/>
    </row>
    <row r="125" spans="1:2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4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5"/>
      <c r="P126" s="2"/>
      <c r="Q126" s="2"/>
      <c r="R126" s="2"/>
      <c r="S126" s="2"/>
      <c r="T126" s="2"/>
      <c r="U126" s="2"/>
      <c r="V126" s="2"/>
      <c r="W126" s="2"/>
      <c r="X126" s="2"/>
    </row>
    <row r="127" spans="1:2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/>
      <c r="P127" s="2"/>
      <c r="Q127" s="2"/>
      <c r="R127" s="2"/>
      <c r="S127" s="2"/>
      <c r="T127" s="2"/>
      <c r="U127" s="2"/>
      <c r="V127" s="2"/>
      <c r="W127" s="2"/>
      <c r="X127" s="2"/>
    </row>
    <row r="128" spans="1:2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5"/>
      <c r="P128" s="2"/>
      <c r="Q128" s="2"/>
      <c r="R128" s="2"/>
      <c r="S128" s="2"/>
      <c r="T128" s="2"/>
      <c r="U128" s="2"/>
      <c r="V128" s="2"/>
      <c r="W128" s="2"/>
      <c r="X128" s="2"/>
    </row>
    <row r="129" spans="1:2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4"/>
      <c r="P129" s="3"/>
      <c r="Q129" s="3"/>
      <c r="R129" s="3"/>
      <c r="S129" s="3"/>
      <c r="T129" s="3"/>
      <c r="U129" s="3"/>
      <c r="V129" s="3"/>
      <c r="W129" s="3"/>
      <c r="X129" s="3"/>
    </row>
  </sheetData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9"/>
  <sheetViews>
    <sheetView topLeftCell="C1" zoomScale="80" zoomScaleNormal="80" workbookViewId="0">
      <selection activeCell="N1" sqref="N1"/>
    </sheetView>
  </sheetViews>
  <sheetFormatPr defaultRowHeight="15"/>
  <cols>
    <col min="14" max="14" width="19.7109375" customWidth="1"/>
    <col min="15" max="15" width="15.85546875" customWidth="1"/>
    <col min="23" max="23" width="0" hidden="1" customWidth="1"/>
  </cols>
  <sheetData>
    <row r="1" spans="1:24" ht="17.25">
      <c r="A1" s="12" t="s">
        <v>93</v>
      </c>
      <c r="D1" t="s">
        <v>101</v>
      </c>
    </row>
    <row r="2" spans="1:24">
      <c r="A2" s="13" t="s">
        <v>94</v>
      </c>
      <c r="E2" s="13" t="s">
        <v>95</v>
      </c>
      <c r="L2" s="13" t="s">
        <v>96</v>
      </c>
      <c r="P2" s="13" t="s">
        <v>97</v>
      </c>
    </row>
    <row r="3" spans="1:24" ht="18.7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M3" t="s">
        <v>62</v>
      </c>
      <c r="P3" s="13" t="s">
        <v>98</v>
      </c>
    </row>
    <row r="4" spans="1:24" ht="18.75">
      <c r="A4" s="6">
        <v>35</v>
      </c>
      <c r="B4" s="6">
        <v>35</v>
      </c>
      <c r="C4" s="6">
        <v>40</v>
      </c>
      <c r="D4" s="6">
        <v>45.4</v>
      </c>
      <c r="E4" s="6">
        <v>49.9</v>
      </c>
      <c r="F4" s="6">
        <v>50</v>
      </c>
      <c r="G4" s="6">
        <v>57.55</v>
      </c>
      <c r="H4" s="6">
        <v>57.55</v>
      </c>
      <c r="I4" s="6">
        <v>60</v>
      </c>
      <c r="J4" s="6">
        <v>60</v>
      </c>
      <c r="K4" s="6">
        <v>60</v>
      </c>
      <c r="L4" s="6" t="s">
        <v>102</v>
      </c>
      <c r="M4" s="6">
        <v>60</v>
      </c>
      <c r="N4" s="6" t="s">
        <v>0</v>
      </c>
      <c r="O4" s="6" t="s">
        <v>50</v>
      </c>
      <c r="P4" s="10" t="s">
        <v>43</v>
      </c>
      <c r="Q4" s="10" t="s">
        <v>1</v>
      </c>
      <c r="R4" s="10" t="s">
        <v>44</v>
      </c>
      <c r="S4" s="10" t="s">
        <v>45</v>
      </c>
      <c r="T4" s="10" t="s">
        <v>46</v>
      </c>
      <c r="U4" s="11" t="s">
        <v>47</v>
      </c>
      <c r="V4" s="10" t="s">
        <v>48</v>
      </c>
      <c r="W4" s="10" t="s">
        <v>105</v>
      </c>
      <c r="X4" s="10" t="s">
        <v>49</v>
      </c>
    </row>
    <row r="5" spans="1:24">
      <c r="A5" s="6"/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/>
      <c r="I5" s="6"/>
      <c r="J5" s="6"/>
      <c r="K5" s="6"/>
      <c r="L5" s="6">
        <f>$E$4</f>
        <v>49.9</v>
      </c>
      <c r="M5" s="6">
        <f>2*L5-$M$4</f>
        <v>39.799999999999997</v>
      </c>
      <c r="N5" s="6" t="s">
        <v>28</v>
      </c>
      <c r="O5" s="4" t="s">
        <v>5</v>
      </c>
      <c r="P5" s="3">
        <f t="shared" ref="P5:X8" si="0">(-0.01/($A5+$B5+$C5+$D5+$E5+$F5+$G5+$H5+$I5+$J5+$K5)*($A5*ABS(MAX($A$4,$M5)-A$4)+$B5*ABS(MAX($B$4,$M5)-A$4)+$C5*ABS(MAX($C$4,$M5)-A$4)+$D5*ABS(MAX($D$4,$M5)-A$4)+$E5*ABS(MAX($E$4,$M5)-A$4)+$F5*ABS(MAX($F$4,$M5)-A$4)+$G5*ABS(MAX($G$4,$M5)-A$4)+$H5*ABS(MAX($H$4,$M5)-A$4)+$I5*ABS(MAX($I$4,$M5)-A$4)+$J5*ABS(MAX($J$4,$M5)-A$4)+$K5*ABS(MAX($K$4,$M5)-A$4)))</f>
        <v>-0.12108333333333332</v>
      </c>
      <c r="Q5" s="3">
        <f t="shared" si="0"/>
        <v>-0.12108333333333332</v>
      </c>
      <c r="R5" s="3">
        <f t="shared" si="0"/>
        <v>-7.1749999999999994E-2</v>
      </c>
      <c r="S5" s="3">
        <f t="shared" si="0"/>
        <v>-5.3750000000000006E-2</v>
      </c>
      <c r="T5" s="3">
        <f t="shared" si="0"/>
        <v>-5.3750000000000006E-2</v>
      </c>
      <c r="U5" s="3">
        <f t="shared" si="0"/>
        <v>-5.4083333333333344E-2</v>
      </c>
      <c r="V5" s="3">
        <f t="shared" si="0"/>
        <v>-0.10441666666666666</v>
      </c>
      <c r="W5" s="3">
        <f t="shared" si="0"/>
        <v>-0.10441666666666666</v>
      </c>
      <c r="X5" s="3">
        <f t="shared" si="0"/>
        <v>-0.12891666666666668</v>
      </c>
    </row>
    <row r="6" spans="1:24">
      <c r="A6" s="6">
        <v>1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/>
      <c r="I6" s="6"/>
      <c r="J6" s="6"/>
      <c r="K6" s="6"/>
      <c r="L6" s="6">
        <f>$E$4</f>
        <v>49.9</v>
      </c>
      <c r="M6" s="6">
        <f>2*L6-$M$4</f>
        <v>39.799999999999997</v>
      </c>
      <c r="N6" s="6"/>
      <c r="O6" s="7" t="s">
        <v>31</v>
      </c>
      <c r="P6" s="2">
        <f t="shared" si="0"/>
        <v>-0.11064285714285713</v>
      </c>
      <c r="Q6" s="2">
        <f t="shared" si="0"/>
        <v>-0.11064285714285713</v>
      </c>
      <c r="R6" s="2">
        <f t="shared" si="0"/>
        <v>-6.1785714285714284E-2</v>
      </c>
      <c r="S6" s="2">
        <f t="shared" si="0"/>
        <v>-5.4071428571428576E-2</v>
      </c>
      <c r="T6" s="2">
        <f t="shared" si="0"/>
        <v>-6.0500000000000005E-2</v>
      </c>
      <c r="U6" s="3">
        <f t="shared" si="0"/>
        <v>-6.0928571428571436E-2</v>
      </c>
      <c r="V6" s="2">
        <f t="shared" si="0"/>
        <v>-0.11485714285714284</v>
      </c>
      <c r="W6" s="2">
        <f t="shared" si="0"/>
        <v>-0.11485714285714284</v>
      </c>
      <c r="X6" s="2">
        <f t="shared" si="0"/>
        <v>-0.13935714285714285</v>
      </c>
    </row>
    <row r="7" spans="1:24">
      <c r="A7" s="2"/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/>
      <c r="J7" s="2"/>
      <c r="K7" s="2"/>
      <c r="L7" s="6">
        <f>$G$4</f>
        <v>57.55</v>
      </c>
      <c r="M7" s="2">
        <f>2*L7-$M$4</f>
        <v>55.099999999999994</v>
      </c>
      <c r="N7" s="2"/>
      <c r="O7" s="7" t="s">
        <v>32</v>
      </c>
      <c r="P7" s="2">
        <f t="shared" si="0"/>
        <v>-0.20799999999999996</v>
      </c>
      <c r="Q7" s="2">
        <f t="shared" si="0"/>
        <v>-0.20799999999999996</v>
      </c>
      <c r="R7" s="2">
        <f t="shared" si="0"/>
        <v>-0.15799999999999995</v>
      </c>
      <c r="S7" s="2">
        <f t="shared" si="0"/>
        <v>-0.10399999999999998</v>
      </c>
      <c r="T7" s="2">
        <f t="shared" si="0"/>
        <v>-5.8999999999999962E-2</v>
      </c>
      <c r="U7" s="3">
        <f t="shared" si="0"/>
        <v>-5.7999999999999954E-2</v>
      </c>
      <c r="V7" s="2">
        <f t="shared" si="0"/>
        <v>-1.7500000000000019E-2</v>
      </c>
      <c r="W7" s="2">
        <f t="shared" si="0"/>
        <v>-1.7500000000000019E-2</v>
      </c>
      <c r="X7" s="2">
        <f t="shared" si="0"/>
        <v>-4.2000000000000051E-2</v>
      </c>
    </row>
    <row r="8" spans="1:24" ht="18">
      <c r="A8" s="6">
        <v>1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/>
      <c r="I8" s="6"/>
      <c r="J8" s="6"/>
      <c r="K8" s="6"/>
      <c r="L8" s="6">
        <f>$G$4</f>
        <v>57.55</v>
      </c>
      <c r="M8" s="6">
        <f>2*L8-$M$4</f>
        <v>55.099999999999994</v>
      </c>
      <c r="N8" s="6" t="s">
        <v>69</v>
      </c>
      <c r="O8" s="4" t="s">
        <v>9</v>
      </c>
      <c r="P8" s="3">
        <f t="shared" si="0"/>
        <v>-0.20449999999999996</v>
      </c>
      <c r="Q8" s="3">
        <f t="shared" si="0"/>
        <v>-0.20449999999999996</v>
      </c>
      <c r="R8" s="3">
        <f t="shared" si="0"/>
        <v>-0.15449999999999994</v>
      </c>
      <c r="S8" s="3">
        <f t="shared" si="0"/>
        <v>-0.10049999999999995</v>
      </c>
      <c r="T8" s="3">
        <f t="shared" si="0"/>
        <v>-5.5499999999999959E-2</v>
      </c>
      <c r="U8" s="3">
        <f t="shared" si="0"/>
        <v>-5.4499999999999944E-2</v>
      </c>
      <c r="V8" s="3">
        <f t="shared" si="0"/>
        <v>-2.1000000000000026E-2</v>
      </c>
      <c r="W8" s="3">
        <f t="shared" si="0"/>
        <v>-2.1000000000000026E-2</v>
      </c>
      <c r="X8" s="3">
        <f t="shared" si="0"/>
        <v>-4.5500000000000054E-2</v>
      </c>
    </row>
    <row r="9" spans="1:24" ht="18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 t="s">
        <v>68</v>
      </c>
      <c r="O9" s="4" t="s">
        <v>2</v>
      </c>
      <c r="P9" s="3">
        <f>MIN(P10,P11)</f>
        <v>-0.20508333333333328</v>
      </c>
      <c r="Q9" s="3"/>
      <c r="R9" s="3">
        <f t="shared" ref="R9:X9" si="1">MIN(R10,R11)</f>
        <v>-0.1550833333333333</v>
      </c>
      <c r="S9" s="3">
        <f t="shared" si="1"/>
        <v>-0.1010833333333333</v>
      </c>
      <c r="T9" s="3">
        <f t="shared" si="1"/>
        <v>-5.6083333333333298E-2</v>
      </c>
      <c r="U9" s="3">
        <f t="shared" si="1"/>
        <v>-5.5083333333333283E-2</v>
      </c>
      <c r="V9" s="3">
        <f t="shared" si="1"/>
        <v>-2.1000000000000026E-2</v>
      </c>
      <c r="W9" s="3">
        <f t="shared" si="1"/>
        <v>-2.1000000000000026E-2</v>
      </c>
      <c r="X9" s="3">
        <f t="shared" si="1"/>
        <v>-4.5500000000000054E-2</v>
      </c>
    </row>
    <row r="10" spans="1:24">
      <c r="A10" s="6">
        <v>1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/>
      <c r="I10" s="6"/>
      <c r="J10" s="6"/>
      <c r="K10" s="6"/>
      <c r="L10" s="6">
        <f>$G$4</f>
        <v>57.55</v>
      </c>
      <c r="M10" s="6">
        <f>2*L10-$M$4</f>
        <v>55.099999999999994</v>
      </c>
      <c r="N10" s="6"/>
      <c r="O10" s="7" t="s">
        <v>38</v>
      </c>
      <c r="P10" s="2">
        <f t="shared" ref="P10:X11" si="2">(-0.01/($A10+$B10+$C10+$D10+$E10+$F10+$G10+$H10+$I10+$J10+$K10)*($A10*ABS(MAX($A$4,$M10)-A$4)+$B10*ABS(MAX($B$4,$M10)-A$4)+$C10*ABS(MAX($C$4,$M10)-A$4)+$D10*ABS(MAX($D$4,$M10)-A$4)+$E10*ABS(MAX($E$4,$M10)-A$4)+$F10*ABS(MAX($F$4,$M10)-A$4)+$G10*ABS(MAX($G$4,$M10)-A$4)+$H10*ABS(MAX($H$4,$M10)-A$4)+$I10*ABS(MAX($I$4,$M10)-A$4)+$J10*ABS(MAX($J$4,$M10)-A$4)+$K10*ABS(MAX($K$4,$M10)-A$4)))</f>
        <v>-0.20449999999999996</v>
      </c>
      <c r="Q10" s="2">
        <f t="shared" si="2"/>
        <v>-0.20449999999999996</v>
      </c>
      <c r="R10" s="2">
        <f t="shared" si="2"/>
        <v>-0.15449999999999994</v>
      </c>
      <c r="S10" s="2">
        <f t="shared" si="2"/>
        <v>-0.10049999999999995</v>
      </c>
      <c r="T10" s="2">
        <f t="shared" si="2"/>
        <v>-5.5499999999999959E-2</v>
      </c>
      <c r="U10" s="3">
        <f t="shared" si="2"/>
        <v>-5.4499999999999944E-2</v>
      </c>
      <c r="V10" s="2">
        <f t="shared" si="2"/>
        <v>-2.1000000000000026E-2</v>
      </c>
      <c r="W10" s="2">
        <f t="shared" si="2"/>
        <v>-2.1000000000000026E-2</v>
      </c>
      <c r="X10" s="2">
        <f t="shared" si="2"/>
        <v>-4.5500000000000054E-2</v>
      </c>
    </row>
    <row r="11" spans="1:24">
      <c r="A11" s="6"/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/>
      <c r="I11" s="6"/>
      <c r="J11" s="6"/>
      <c r="K11" s="6"/>
      <c r="L11" s="6">
        <f>$G$4</f>
        <v>57.55</v>
      </c>
      <c r="M11" s="6">
        <f>2*L11-$M$4</f>
        <v>55.099999999999994</v>
      </c>
      <c r="N11" s="6"/>
      <c r="O11" s="7" t="s">
        <v>39</v>
      </c>
      <c r="P11" s="2">
        <f t="shared" si="2"/>
        <v>-0.20508333333333328</v>
      </c>
      <c r="Q11" s="2">
        <f t="shared" si="2"/>
        <v>-0.20508333333333328</v>
      </c>
      <c r="R11" s="2">
        <f t="shared" si="2"/>
        <v>-0.1550833333333333</v>
      </c>
      <c r="S11" s="2">
        <f t="shared" si="2"/>
        <v>-0.1010833333333333</v>
      </c>
      <c r="T11" s="2">
        <f t="shared" si="2"/>
        <v>-5.6083333333333298E-2</v>
      </c>
      <c r="U11" s="3">
        <f t="shared" si="2"/>
        <v>-5.5083333333333283E-2</v>
      </c>
      <c r="V11" s="2">
        <f t="shared" si="2"/>
        <v>-2.0416666666666691E-2</v>
      </c>
      <c r="W11" s="2">
        <f t="shared" si="2"/>
        <v>-2.0416666666666691E-2</v>
      </c>
      <c r="X11" s="2">
        <f t="shared" si="2"/>
        <v>-4.4916666666666723E-2</v>
      </c>
    </row>
    <row r="12" spans="1:24" ht="18">
      <c r="N12" s="6" t="s">
        <v>67</v>
      </c>
      <c r="O12" s="4" t="s">
        <v>2</v>
      </c>
      <c r="P12" s="3">
        <f>MIN(P13,P14)</f>
        <v>-0.20799999999999996</v>
      </c>
      <c r="Q12" s="1"/>
      <c r="R12" s="3">
        <f t="shared" ref="R12:X12" si="3">MIN(R13,R14)</f>
        <v>-0.15799999999999995</v>
      </c>
      <c r="S12" s="3">
        <f t="shared" si="3"/>
        <v>-0.10399999999999998</v>
      </c>
      <c r="T12" s="3">
        <f t="shared" si="3"/>
        <v>-5.8999999999999962E-2</v>
      </c>
      <c r="U12" s="3">
        <f t="shared" si="3"/>
        <v>-5.7999999999999954E-2</v>
      </c>
      <c r="V12" s="3">
        <f t="shared" si="3"/>
        <v>-1.8375000000000023E-2</v>
      </c>
      <c r="W12" s="3">
        <f t="shared" si="3"/>
        <v>-1.8375000000000023E-2</v>
      </c>
      <c r="X12" s="3">
        <f t="shared" si="3"/>
        <v>-4.2875000000000052E-2</v>
      </c>
    </row>
    <row r="13" spans="1:24">
      <c r="A13" s="6">
        <v>1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/>
      <c r="J13" s="6"/>
      <c r="K13" s="6"/>
      <c r="L13" s="6">
        <f>$G$4</f>
        <v>57.55</v>
      </c>
      <c r="M13" s="6">
        <f t="shared" ref="M13:M22" si="4">2*L13-$M$4</f>
        <v>55.099999999999994</v>
      </c>
      <c r="N13" s="6"/>
      <c r="O13" s="5" t="s">
        <v>78</v>
      </c>
      <c r="P13" s="2">
        <f t="shared" ref="P13:X22" si="5">(-0.01/($A13+$B13+$C13+$D13+$E13+$F13+$G13+$H13+$I13+$J13+$K13)*($A13*ABS(MAX($A$4,$M13)-A$4)+$B13*ABS(MAX($B$4,$M13)-A$4)+$C13*ABS(MAX($C$4,$M13)-A$4)+$D13*ABS(MAX($D$4,$M13)-A$4)+$E13*ABS(MAX($E$4,$M13)-A$4)+$F13*ABS(MAX($F$4,$M13)-A$4)+$G13*ABS(MAX($G$4,$M13)-A$4)+$H13*ABS(MAX($H$4,$M13)-A$4)+$I13*ABS(MAX($I$4,$M13)-A$4)+$J13*ABS(MAX($J$4,$M13)-A$4)+$K13*ABS(MAX($K$4,$M13)-A$4)))</f>
        <v>-0.207125</v>
      </c>
      <c r="Q13" s="2">
        <f t="shared" si="5"/>
        <v>-0.207125</v>
      </c>
      <c r="R13" s="2">
        <f t="shared" si="5"/>
        <v>-0.15712499999999996</v>
      </c>
      <c r="S13" s="2">
        <f t="shared" si="5"/>
        <v>-0.10312499999999997</v>
      </c>
      <c r="T13" s="2">
        <f t="shared" si="5"/>
        <v>-5.8124999999999968E-2</v>
      </c>
      <c r="U13" s="3">
        <f t="shared" si="5"/>
        <v>-5.7124999999999954E-2</v>
      </c>
      <c r="V13" s="2">
        <f t="shared" si="5"/>
        <v>-1.8375000000000023E-2</v>
      </c>
      <c r="W13" s="2">
        <f t="shared" si="5"/>
        <v>-1.8375000000000023E-2</v>
      </c>
      <c r="X13" s="2">
        <f t="shared" si="5"/>
        <v>-4.2875000000000052E-2</v>
      </c>
    </row>
    <row r="14" spans="1:24">
      <c r="A14" s="6"/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/>
      <c r="J14" s="6"/>
      <c r="K14" s="6"/>
      <c r="L14" s="6">
        <f>$G$4</f>
        <v>57.55</v>
      </c>
      <c r="M14" s="6">
        <f t="shared" si="4"/>
        <v>55.099999999999994</v>
      </c>
      <c r="N14" s="6"/>
      <c r="O14" s="5" t="s">
        <v>79</v>
      </c>
      <c r="P14" s="2">
        <f t="shared" si="5"/>
        <v>-0.20799999999999996</v>
      </c>
      <c r="Q14" s="2">
        <f t="shared" si="5"/>
        <v>-0.20799999999999996</v>
      </c>
      <c r="R14" s="2">
        <f t="shared" si="5"/>
        <v>-0.15799999999999995</v>
      </c>
      <c r="S14" s="2">
        <f t="shared" si="5"/>
        <v>-0.10399999999999998</v>
      </c>
      <c r="T14" s="2">
        <f t="shared" si="5"/>
        <v>-5.8999999999999962E-2</v>
      </c>
      <c r="U14" s="3">
        <f t="shared" si="5"/>
        <v>-5.7999999999999954E-2</v>
      </c>
      <c r="V14" s="2">
        <f t="shared" si="5"/>
        <v>-1.7500000000000019E-2</v>
      </c>
      <c r="W14" s="2">
        <f t="shared" si="5"/>
        <v>-1.7500000000000019E-2</v>
      </c>
      <c r="X14" s="2">
        <f t="shared" si="5"/>
        <v>-4.2000000000000051E-2</v>
      </c>
    </row>
    <row r="15" spans="1:24" ht="16.5">
      <c r="A15" s="6">
        <v>1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L15" s="6">
        <f>$D$4</f>
        <v>45.4</v>
      </c>
      <c r="M15" s="6">
        <f t="shared" si="4"/>
        <v>30.799999999999997</v>
      </c>
      <c r="N15" s="6" t="s">
        <v>73</v>
      </c>
      <c r="O15" s="4" t="s">
        <v>35</v>
      </c>
      <c r="P15" s="3">
        <f t="shared" si="5"/>
        <v>-7.5499999999999998E-2</v>
      </c>
      <c r="Q15" s="3">
        <f t="shared" si="5"/>
        <v>-7.5499999999999998E-2</v>
      </c>
      <c r="R15" s="3">
        <f t="shared" si="5"/>
        <v>-5.8833333333333335E-2</v>
      </c>
      <c r="S15" s="3">
        <f t="shared" si="5"/>
        <v>-5.8833333333333335E-2</v>
      </c>
      <c r="T15" s="3">
        <f t="shared" si="5"/>
        <v>-7.3833333333333334E-2</v>
      </c>
      <c r="U15" s="3">
        <f t="shared" si="5"/>
        <v>-7.4500000000000011E-2</v>
      </c>
      <c r="V15" s="3">
        <f t="shared" si="5"/>
        <v>-0.15</v>
      </c>
      <c r="W15" s="3">
        <f t="shared" si="5"/>
        <v>-0.15</v>
      </c>
      <c r="X15" s="3">
        <f t="shared" si="5"/>
        <v>-0.17449999999999999</v>
      </c>
    </row>
    <row r="16" spans="1:24">
      <c r="A16" s="6"/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L16" s="6">
        <f>$G$4</f>
        <v>57.55</v>
      </c>
      <c r="M16" s="6">
        <f t="shared" si="4"/>
        <v>55.099999999999994</v>
      </c>
      <c r="O16" s="7" t="s">
        <v>36</v>
      </c>
      <c r="P16" s="2">
        <f t="shared" si="5"/>
        <v>-0.20508333333333328</v>
      </c>
      <c r="Q16" s="2">
        <f t="shared" si="5"/>
        <v>-0.20508333333333328</v>
      </c>
      <c r="R16" s="2">
        <f t="shared" si="5"/>
        <v>-0.1550833333333333</v>
      </c>
      <c r="S16" s="2">
        <f t="shared" si="5"/>
        <v>-0.1010833333333333</v>
      </c>
      <c r="T16" s="2">
        <f t="shared" si="5"/>
        <v>-5.6083333333333298E-2</v>
      </c>
      <c r="U16" s="3">
        <f t="shared" si="5"/>
        <v>-5.5083333333333283E-2</v>
      </c>
      <c r="V16" s="2">
        <f t="shared" si="5"/>
        <v>-2.0416666666666691E-2</v>
      </c>
      <c r="W16" s="2">
        <f t="shared" si="5"/>
        <v>-2.0416666666666691E-2</v>
      </c>
      <c r="X16" s="2">
        <f t="shared" si="5"/>
        <v>-4.4916666666666723E-2</v>
      </c>
    </row>
    <row r="17" spans="1:24">
      <c r="A17" s="6">
        <v>1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L17" s="6">
        <f>$G$4</f>
        <v>57.55</v>
      </c>
      <c r="M17" s="6">
        <f t="shared" si="4"/>
        <v>55.099999999999994</v>
      </c>
      <c r="O17" s="7" t="s">
        <v>37</v>
      </c>
      <c r="P17" s="2">
        <f t="shared" si="5"/>
        <v>-0.20449999999999996</v>
      </c>
      <c r="Q17" s="2">
        <f t="shared" si="5"/>
        <v>-0.20449999999999996</v>
      </c>
      <c r="R17" s="2">
        <f t="shared" si="5"/>
        <v>-0.15449999999999994</v>
      </c>
      <c r="S17" s="2">
        <f t="shared" si="5"/>
        <v>-0.10049999999999995</v>
      </c>
      <c r="T17" s="2">
        <f t="shared" si="5"/>
        <v>-5.5499999999999959E-2</v>
      </c>
      <c r="U17" s="3">
        <f t="shared" si="5"/>
        <v>-5.4499999999999944E-2</v>
      </c>
      <c r="V17" s="2">
        <f t="shared" si="5"/>
        <v>-2.1000000000000026E-2</v>
      </c>
      <c r="W17" s="2">
        <f t="shared" si="5"/>
        <v>-2.1000000000000026E-2</v>
      </c>
      <c r="X17" s="2">
        <f t="shared" si="5"/>
        <v>-4.5500000000000054E-2</v>
      </c>
    </row>
    <row r="18" spans="1:24" ht="16.5">
      <c r="A18" s="6">
        <v>1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L18" s="6">
        <f>$D$4</f>
        <v>45.4</v>
      </c>
      <c r="M18" s="6">
        <f t="shared" si="4"/>
        <v>30.799999999999997</v>
      </c>
      <c r="N18" s="6" t="s">
        <v>71</v>
      </c>
      <c r="O18" s="5" t="s">
        <v>35</v>
      </c>
      <c r="P18" s="2">
        <f t="shared" si="5"/>
        <v>-7.5499999999999998E-2</v>
      </c>
      <c r="Q18" s="2">
        <f t="shared" si="5"/>
        <v>-7.5499999999999998E-2</v>
      </c>
      <c r="R18" s="2">
        <f t="shared" si="5"/>
        <v>-5.8833333333333335E-2</v>
      </c>
      <c r="S18" s="2">
        <f t="shared" si="5"/>
        <v>-5.8833333333333335E-2</v>
      </c>
      <c r="T18" s="2">
        <f t="shared" si="5"/>
        <v>-7.3833333333333334E-2</v>
      </c>
      <c r="U18" s="3">
        <f t="shared" si="5"/>
        <v>-7.4500000000000011E-2</v>
      </c>
      <c r="V18" s="2">
        <f t="shared" si="5"/>
        <v>-0.15</v>
      </c>
      <c r="W18" s="2">
        <f t="shared" si="5"/>
        <v>-0.15</v>
      </c>
      <c r="X18" s="2">
        <f t="shared" si="5"/>
        <v>-0.17449999999999999</v>
      </c>
    </row>
    <row r="19" spans="1:24">
      <c r="A19" s="6"/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L19" s="6">
        <f>$F$4</f>
        <v>50</v>
      </c>
      <c r="M19" s="6">
        <f t="shared" si="4"/>
        <v>40</v>
      </c>
      <c r="O19" s="7" t="s">
        <v>36</v>
      </c>
      <c r="P19" s="2">
        <f t="shared" si="5"/>
        <v>-0.13628571428571426</v>
      </c>
      <c r="Q19" s="2">
        <f t="shared" si="5"/>
        <v>-0.13628571428571426</v>
      </c>
      <c r="R19" s="2">
        <f t="shared" si="5"/>
        <v>-8.6285714285714271E-2</v>
      </c>
      <c r="S19" s="2">
        <f t="shared" si="5"/>
        <v>-6.3142857142857139E-2</v>
      </c>
      <c r="T19" s="2">
        <f t="shared" si="5"/>
        <v>-5.671428571428571E-2</v>
      </c>
      <c r="U19" s="3">
        <f t="shared" si="5"/>
        <v>-5.6857142857142856E-2</v>
      </c>
      <c r="V19" s="2">
        <f t="shared" si="5"/>
        <v>-8.9214285714285704E-2</v>
      </c>
      <c r="W19" s="2">
        <f t="shared" si="5"/>
        <v>-8.9214285714285704E-2</v>
      </c>
      <c r="X19" s="2">
        <f t="shared" si="5"/>
        <v>-0.11371428571428573</v>
      </c>
    </row>
    <row r="20" spans="1:24">
      <c r="A20" s="6">
        <v>1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L20" s="6">
        <f>$F$4</f>
        <v>50</v>
      </c>
      <c r="M20" s="6">
        <f t="shared" si="4"/>
        <v>40</v>
      </c>
      <c r="O20" s="7" t="s">
        <v>37</v>
      </c>
      <c r="P20" s="2">
        <f t="shared" si="5"/>
        <v>-0.1255</v>
      </c>
      <c r="Q20" s="2">
        <f t="shared" si="5"/>
        <v>-0.1255</v>
      </c>
      <c r="R20" s="2">
        <f t="shared" si="5"/>
        <v>-7.5499999999999998E-2</v>
      </c>
      <c r="S20" s="2">
        <f t="shared" si="5"/>
        <v>-6.1999999999999993E-2</v>
      </c>
      <c r="T20" s="2">
        <f t="shared" si="5"/>
        <v>-6.1999999999999993E-2</v>
      </c>
      <c r="U20" s="3">
        <f t="shared" si="5"/>
        <v>-6.225E-2</v>
      </c>
      <c r="V20" s="2">
        <f t="shared" si="5"/>
        <v>-9.9999999999999978E-2</v>
      </c>
      <c r="W20" s="2">
        <f t="shared" si="5"/>
        <v>-9.9999999999999978E-2</v>
      </c>
      <c r="X20" s="2">
        <f t="shared" si="5"/>
        <v>-0.1245</v>
      </c>
    </row>
    <row r="21" spans="1:24" ht="18">
      <c r="A21" s="6"/>
      <c r="B21" s="6"/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/>
      <c r="J21" s="6"/>
      <c r="K21" s="6"/>
      <c r="L21" s="6">
        <f>$F$4</f>
        <v>50</v>
      </c>
      <c r="M21" s="6">
        <f t="shared" si="4"/>
        <v>40</v>
      </c>
      <c r="N21" s="6" t="s">
        <v>70</v>
      </c>
      <c r="O21" s="4" t="s">
        <v>4</v>
      </c>
      <c r="P21" s="3">
        <f t="shared" si="5"/>
        <v>-0.15066666666666667</v>
      </c>
      <c r="Q21" s="3">
        <f t="shared" si="5"/>
        <v>-0.15066666666666667</v>
      </c>
      <c r="R21" s="3">
        <f t="shared" si="5"/>
        <v>-0.10066666666666665</v>
      </c>
      <c r="S21" s="3">
        <f t="shared" si="5"/>
        <v>-6.4666666666666664E-2</v>
      </c>
      <c r="T21" s="3">
        <f t="shared" si="5"/>
        <v>-4.9666666666666665E-2</v>
      </c>
      <c r="U21" s="3">
        <f t="shared" si="5"/>
        <v>-4.9666666666666665E-2</v>
      </c>
      <c r="V21" s="3">
        <f t="shared" si="5"/>
        <v>-7.4833333333333321E-2</v>
      </c>
      <c r="W21" s="3">
        <f t="shared" si="5"/>
        <v>-7.4833333333333321E-2</v>
      </c>
      <c r="X21" s="3">
        <f t="shared" si="5"/>
        <v>-9.9333333333333357E-2</v>
      </c>
    </row>
    <row r="22" spans="1:24">
      <c r="A22" s="6"/>
      <c r="B22" s="6">
        <v>1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/>
      <c r="J22" s="6"/>
      <c r="K22" s="6"/>
      <c r="L22" s="6">
        <f>$F$4</f>
        <v>50</v>
      </c>
      <c r="M22" s="6">
        <f t="shared" si="4"/>
        <v>40</v>
      </c>
      <c r="N22" s="6"/>
      <c r="O22" s="7" t="s">
        <v>33</v>
      </c>
      <c r="P22" s="2">
        <f t="shared" si="5"/>
        <v>-0.13628571428571426</v>
      </c>
      <c r="Q22" s="2">
        <f t="shared" si="5"/>
        <v>-0.13628571428571426</v>
      </c>
      <c r="R22" s="2">
        <f t="shared" si="5"/>
        <v>-8.6285714285714271E-2</v>
      </c>
      <c r="S22" s="2">
        <f t="shared" si="5"/>
        <v>-6.3142857142857139E-2</v>
      </c>
      <c r="T22" s="2">
        <f t="shared" si="5"/>
        <v>-5.671428571428571E-2</v>
      </c>
      <c r="U22" s="3">
        <f t="shared" si="5"/>
        <v>-5.6857142857142856E-2</v>
      </c>
      <c r="V22" s="2">
        <f t="shared" si="5"/>
        <v>-8.9214285714285704E-2</v>
      </c>
      <c r="W22" s="2">
        <f t="shared" si="5"/>
        <v>-8.9214285714285704E-2</v>
      </c>
      <c r="X22" s="2">
        <f t="shared" si="5"/>
        <v>-0.11371428571428573</v>
      </c>
    </row>
    <row r="23" spans="1:24" ht="18">
      <c r="N23" s="6" t="s">
        <v>106</v>
      </c>
      <c r="O23" s="3" t="s">
        <v>2</v>
      </c>
      <c r="P23" s="3">
        <f t="shared" ref="P23:X23" si="6">MIN(P24,P25)</f>
        <v>-0.20799999999999996</v>
      </c>
      <c r="Q23" s="3">
        <f t="shared" si="6"/>
        <v>-0.20799999999999996</v>
      </c>
      <c r="R23" s="3">
        <f t="shared" si="6"/>
        <v>-0.15799999999999995</v>
      </c>
      <c r="S23" s="3">
        <f t="shared" si="6"/>
        <v>-0.10399999999999998</v>
      </c>
      <c r="T23" s="3">
        <f t="shared" si="6"/>
        <v>-5.8999999999999962E-2</v>
      </c>
      <c r="U23" s="3">
        <f t="shared" si="6"/>
        <v>-5.7999999999999954E-2</v>
      </c>
      <c r="V23" s="3">
        <f t="shared" si="6"/>
        <v>-1.8375000000000023E-2</v>
      </c>
      <c r="W23" s="3">
        <f t="shared" si="6"/>
        <v>-1.8375000000000023E-2</v>
      </c>
      <c r="X23" s="3">
        <f t="shared" si="6"/>
        <v>-4.2875000000000052E-2</v>
      </c>
    </row>
    <row r="24" spans="1:24">
      <c r="A24" s="6"/>
      <c r="B24" s="6">
        <v>1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/>
      <c r="J24" s="6"/>
      <c r="K24" s="6"/>
      <c r="L24" s="6">
        <f>$G$4</f>
        <v>57.55</v>
      </c>
      <c r="M24" s="6">
        <f>2*L24-$M$4</f>
        <v>55.099999999999994</v>
      </c>
      <c r="O24" s="5" t="s">
        <v>3</v>
      </c>
      <c r="P24" s="2">
        <f t="shared" ref="P24:X25" si="7">(-0.01/($A24+$B24+$C24+$D24+$E24+$F24+$G24+$H24+$I24+$J24+$K24)*($A24*ABS(MAX($A$4,$M24)-A$4)+$B24*ABS(MAX($B$4,$M24)-A$4)+$C24*ABS(MAX($C$4,$M24)-A$4)+$D24*ABS(MAX($D$4,$M24)-A$4)+$E24*ABS(MAX($E$4,$M24)-A$4)+$F24*ABS(MAX($F$4,$M24)-A$4)+$G24*ABS(MAX($G$4,$M24)-A$4)+$H24*ABS(MAX($H$4,$M24)-A$4)+$I24*ABS(MAX($I$4,$M24)-A$4)+$J24*ABS(MAX($J$4,$M24)-A$4)+$K24*ABS(MAX($K$4,$M24)-A$4)))</f>
        <v>-0.20799999999999996</v>
      </c>
      <c r="Q24" s="2">
        <f t="shared" si="7"/>
        <v>-0.20799999999999996</v>
      </c>
      <c r="R24" s="2">
        <f t="shared" si="7"/>
        <v>-0.15799999999999995</v>
      </c>
      <c r="S24" s="2">
        <f t="shared" si="7"/>
        <v>-0.10399999999999998</v>
      </c>
      <c r="T24" s="2">
        <f t="shared" si="7"/>
        <v>-5.8999999999999962E-2</v>
      </c>
      <c r="U24" s="3">
        <f t="shared" si="7"/>
        <v>-5.7999999999999954E-2</v>
      </c>
      <c r="V24" s="2">
        <f t="shared" si="7"/>
        <v>-1.7500000000000019E-2</v>
      </c>
      <c r="W24" s="2">
        <f t="shared" si="7"/>
        <v>-1.7500000000000019E-2</v>
      </c>
      <c r="X24" s="2">
        <f t="shared" si="7"/>
        <v>-4.2000000000000051E-2</v>
      </c>
    </row>
    <row r="25" spans="1:24">
      <c r="A25" s="6">
        <v>1</v>
      </c>
      <c r="B25" s="6">
        <v>1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/>
      <c r="J25" s="6"/>
      <c r="K25" s="6"/>
      <c r="L25" s="6">
        <f>$G$4</f>
        <v>57.55</v>
      </c>
      <c r="M25" s="6">
        <f>2*L25-$M$4</f>
        <v>55.099999999999994</v>
      </c>
      <c r="N25" s="6"/>
      <c r="O25" s="5" t="s">
        <v>6</v>
      </c>
      <c r="P25" s="2">
        <f t="shared" si="7"/>
        <v>-0.207125</v>
      </c>
      <c r="Q25" s="2">
        <f t="shared" si="7"/>
        <v>-0.207125</v>
      </c>
      <c r="R25" s="2">
        <f t="shared" si="7"/>
        <v>-0.15712499999999996</v>
      </c>
      <c r="S25" s="2">
        <f t="shared" si="7"/>
        <v>-0.10312499999999997</v>
      </c>
      <c r="T25" s="2">
        <f t="shared" si="7"/>
        <v>-5.8124999999999968E-2</v>
      </c>
      <c r="U25" s="3">
        <f t="shared" si="7"/>
        <v>-5.7124999999999954E-2</v>
      </c>
      <c r="V25" s="2">
        <f t="shared" si="7"/>
        <v>-1.8375000000000023E-2</v>
      </c>
      <c r="W25" s="2">
        <f t="shared" si="7"/>
        <v>-1.8375000000000023E-2</v>
      </c>
      <c r="X25" s="2">
        <f t="shared" si="7"/>
        <v>-4.2875000000000052E-2</v>
      </c>
    </row>
    <row r="26" spans="1:24" ht="18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 t="s">
        <v>107</v>
      </c>
      <c r="O26" s="4" t="s">
        <v>2</v>
      </c>
      <c r="P26" s="3">
        <f t="shared" ref="P26:X26" si="8">MIN(P27,P28,P29)</f>
        <v>-0.20799999999999996</v>
      </c>
      <c r="Q26" s="3">
        <f t="shared" si="8"/>
        <v>-0.20799999999999996</v>
      </c>
      <c r="R26" s="3">
        <f t="shared" si="8"/>
        <v>-0.15799999999999995</v>
      </c>
      <c r="S26" s="3">
        <f t="shared" si="8"/>
        <v>-0.10399999999999998</v>
      </c>
      <c r="T26" s="3">
        <f t="shared" si="8"/>
        <v>-5.9928571428571421E-2</v>
      </c>
      <c r="U26" s="3">
        <f t="shared" si="8"/>
        <v>-6.0357142857142859E-2</v>
      </c>
      <c r="V26" s="3">
        <f t="shared" si="8"/>
        <v>-0.11428571428571427</v>
      </c>
      <c r="W26" s="3">
        <f t="shared" si="8"/>
        <v>-0.11428571428571427</v>
      </c>
      <c r="X26" s="3">
        <f t="shared" si="8"/>
        <v>-0.13878571428571426</v>
      </c>
    </row>
    <row r="27" spans="1:24">
      <c r="A27" s="6">
        <v>1</v>
      </c>
      <c r="B27" s="6">
        <v>1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/>
      <c r="I27" s="6"/>
      <c r="J27" s="6"/>
      <c r="K27" s="6"/>
      <c r="L27" s="6">
        <f>$F$4</f>
        <v>50</v>
      </c>
      <c r="M27" s="6">
        <f>2*L27-$M$4</f>
        <v>40</v>
      </c>
      <c r="O27" s="5" t="s">
        <v>19</v>
      </c>
      <c r="P27" s="2">
        <f t="shared" ref="P27:X29" si="9">(-0.01/($A27+$B27+$C27+$D27+$E27+$F27+$G27+$H27+$I27+$J27+$K27)*($A27*ABS(MAX($A$4,$M27)-A$4)+$B27*ABS(MAX($B$4,$M27)-A$4)+$C27*ABS(MAX($C$4,$M27)-A$4)+$D27*ABS(MAX($D$4,$M27)-A$4)+$E27*ABS(MAX($E$4,$M27)-A$4)+$F27*ABS(MAX($F$4,$M27)-A$4)+$G27*ABS(MAX($G$4,$M27)-A$4)+$H27*ABS(MAX($H$4,$M27)-A$4)+$I27*ABS(MAX($I$4,$M27)-A$4)+$J27*ABS(MAX($J$4,$M27)-A$4)+$K27*ABS(MAX($K$4,$M27)-A$4)))</f>
        <v>-0.11121428571428571</v>
      </c>
      <c r="Q27" s="2">
        <f t="shared" si="9"/>
        <v>-0.11121428571428571</v>
      </c>
      <c r="R27" s="2">
        <f t="shared" si="9"/>
        <v>-6.1214285714285707E-2</v>
      </c>
      <c r="S27" s="2">
        <f t="shared" si="9"/>
        <v>-5.3499999999999992E-2</v>
      </c>
      <c r="T27" s="2">
        <f t="shared" si="9"/>
        <v>-5.9928571428571421E-2</v>
      </c>
      <c r="U27" s="3">
        <f t="shared" si="9"/>
        <v>-6.0357142857142859E-2</v>
      </c>
      <c r="V27" s="2">
        <f t="shared" si="9"/>
        <v>-0.11428571428571427</v>
      </c>
      <c r="W27" s="2">
        <f t="shared" si="9"/>
        <v>-0.11428571428571427</v>
      </c>
      <c r="X27" s="2">
        <f t="shared" si="9"/>
        <v>-0.13878571428571426</v>
      </c>
    </row>
    <row r="28" spans="1:24">
      <c r="A28" s="6"/>
      <c r="B28" s="6">
        <v>1</v>
      </c>
      <c r="C28" s="6">
        <v>1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/>
      <c r="J28" s="6"/>
      <c r="K28" s="6"/>
      <c r="L28" s="6">
        <f>$H$4</f>
        <v>57.55</v>
      </c>
      <c r="M28" s="6">
        <f>2*L28-$M$4</f>
        <v>55.099999999999994</v>
      </c>
      <c r="N28" s="6"/>
      <c r="O28" s="5" t="s">
        <v>20</v>
      </c>
      <c r="P28" s="2">
        <f t="shared" si="9"/>
        <v>-0.20799999999999996</v>
      </c>
      <c r="Q28" s="2">
        <f t="shared" si="9"/>
        <v>-0.20799999999999996</v>
      </c>
      <c r="R28" s="2">
        <f t="shared" si="9"/>
        <v>-0.15799999999999995</v>
      </c>
      <c r="S28" s="2">
        <f t="shared" si="9"/>
        <v>-0.10399999999999998</v>
      </c>
      <c r="T28" s="2">
        <f t="shared" si="9"/>
        <v>-5.8999999999999962E-2</v>
      </c>
      <c r="U28" s="3">
        <f t="shared" si="9"/>
        <v>-5.7999999999999954E-2</v>
      </c>
      <c r="V28" s="2">
        <f t="shared" si="9"/>
        <v>-1.7500000000000019E-2</v>
      </c>
      <c r="W28" s="2">
        <f t="shared" si="9"/>
        <v>-1.7500000000000019E-2</v>
      </c>
      <c r="X28" s="2">
        <f t="shared" si="9"/>
        <v>-4.2000000000000051E-2</v>
      </c>
    </row>
    <row r="29" spans="1:24">
      <c r="A29" s="6">
        <v>1</v>
      </c>
      <c r="B29" s="6">
        <v>1</v>
      </c>
      <c r="C29" s="6">
        <v>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/>
      <c r="J29" s="6"/>
      <c r="K29" s="6"/>
      <c r="L29" s="6">
        <f>$H$4</f>
        <v>57.55</v>
      </c>
      <c r="M29" s="6">
        <f>2*L29-$M$4</f>
        <v>55.099999999999994</v>
      </c>
      <c r="N29" s="6"/>
      <c r="O29" s="5" t="s">
        <v>21</v>
      </c>
      <c r="P29" s="2">
        <f t="shared" si="9"/>
        <v>-0.207125</v>
      </c>
      <c r="Q29" s="2">
        <f t="shared" si="9"/>
        <v>-0.207125</v>
      </c>
      <c r="R29" s="2">
        <f t="shared" si="9"/>
        <v>-0.15712499999999996</v>
      </c>
      <c r="S29" s="2">
        <f t="shared" si="9"/>
        <v>-0.10312499999999997</v>
      </c>
      <c r="T29" s="2">
        <f t="shared" si="9"/>
        <v>-5.8124999999999968E-2</v>
      </c>
      <c r="U29" s="3">
        <f t="shared" si="9"/>
        <v>-5.7124999999999954E-2</v>
      </c>
      <c r="V29" s="2">
        <f t="shared" si="9"/>
        <v>-1.8375000000000023E-2</v>
      </c>
      <c r="W29" s="2">
        <f t="shared" si="9"/>
        <v>-1.8375000000000023E-2</v>
      </c>
      <c r="X29" s="2">
        <f t="shared" si="9"/>
        <v>-4.2875000000000052E-2</v>
      </c>
    </row>
    <row r="30" spans="1:24" ht="18.7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 t="s">
        <v>108</v>
      </c>
      <c r="O30" s="4" t="s">
        <v>2</v>
      </c>
      <c r="P30" s="3">
        <f t="shared" ref="P30:X30" si="10">MIN(P31,P32,P33)</f>
        <v>-0.20916666666666664</v>
      </c>
      <c r="Q30" s="3">
        <f t="shared" si="10"/>
        <v>-0.20916666666666664</v>
      </c>
      <c r="R30" s="3">
        <f t="shared" si="10"/>
        <v>-0.15916666666666662</v>
      </c>
      <c r="S30" s="3">
        <f t="shared" si="10"/>
        <v>-0.10516666666666664</v>
      </c>
      <c r="T30" s="3">
        <f t="shared" si="10"/>
        <v>-6.0166666666666639E-2</v>
      </c>
      <c r="U30" s="3">
        <f t="shared" si="10"/>
        <v>-5.9166666666666624E-2</v>
      </c>
      <c r="V30" s="3">
        <f t="shared" si="10"/>
        <v>-0.13333333333333333</v>
      </c>
      <c r="W30" s="3">
        <f t="shared" si="10"/>
        <v>-0.13333333333333333</v>
      </c>
      <c r="X30" s="3">
        <f t="shared" si="10"/>
        <v>-0.15783333333333333</v>
      </c>
    </row>
    <row r="31" spans="1:24">
      <c r="A31" s="6">
        <v>1</v>
      </c>
      <c r="B31" s="6">
        <v>1</v>
      </c>
      <c r="C31" s="6">
        <v>1</v>
      </c>
      <c r="D31" s="6">
        <v>1</v>
      </c>
      <c r="E31" s="6">
        <v>1</v>
      </c>
      <c r="F31" s="6">
        <v>1</v>
      </c>
      <c r="G31" s="6"/>
      <c r="H31" s="6"/>
      <c r="I31" s="6"/>
      <c r="J31" s="6"/>
      <c r="K31" s="6"/>
      <c r="L31" s="6">
        <f>$F$4</f>
        <v>50</v>
      </c>
      <c r="M31" s="6">
        <f>2*L31-$M$4</f>
        <v>40</v>
      </c>
      <c r="O31" s="5" t="s">
        <v>18</v>
      </c>
      <c r="P31" s="2">
        <f t="shared" ref="P31:X33" si="11">(-0.01/($A31+$B31+$C31+$D31+$E31+$F31+$G31+$H31+$I31+$J31+$K31)*($A31*ABS(MAX($A$4,$M31)-A$4)+$B31*ABS(MAX($B$4,$M31)-A$4)+$C31*ABS(MAX($C$4,$M31)-A$4)+$D31*ABS(MAX($D$4,$M31)-A$4)+$E31*ABS(MAX($E$4,$M31)-A$4)+$F31*ABS(MAX($F$4,$M31)-A$4)+$G31*ABS(MAX($G$4,$M31)-A$4)+$H31*ABS(MAX($H$4,$M31)-A$4)+$I31*ABS(MAX($I$4,$M31)-A$4)+$J31*ABS(MAX($J$4,$M31)-A$4)+$K31*ABS(MAX($K$4,$M31)-A$4)))</f>
        <v>-9.2166666666666675E-2</v>
      </c>
      <c r="Q31" s="2">
        <f t="shared" si="11"/>
        <v>-9.2166666666666675E-2</v>
      </c>
      <c r="R31" s="2">
        <f t="shared" si="11"/>
        <v>-4.2166666666666665E-2</v>
      </c>
      <c r="S31" s="2">
        <f t="shared" si="11"/>
        <v>-4.2166666666666665E-2</v>
      </c>
      <c r="T31" s="2">
        <f t="shared" si="11"/>
        <v>-5.7166666666666664E-2</v>
      </c>
      <c r="U31" s="3">
        <f t="shared" si="11"/>
        <v>-5.7833333333333341E-2</v>
      </c>
      <c r="V31" s="2">
        <f t="shared" si="11"/>
        <v>-0.13333333333333333</v>
      </c>
      <c r="W31" s="2">
        <f t="shared" si="11"/>
        <v>-0.13333333333333333</v>
      </c>
      <c r="X31" s="2">
        <f t="shared" si="11"/>
        <v>-0.15783333333333333</v>
      </c>
    </row>
    <row r="32" spans="1:24">
      <c r="A32" s="6">
        <v>1</v>
      </c>
      <c r="B32" s="6">
        <v>1</v>
      </c>
      <c r="C32" s="6">
        <v>1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/>
      <c r="J32" s="6"/>
      <c r="K32" s="6"/>
      <c r="L32" s="6">
        <f>$H$4</f>
        <v>57.55</v>
      </c>
      <c r="M32" s="6">
        <f>2*L32-$M$4</f>
        <v>55.099999999999994</v>
      </c>
      <c r="N32" s="6"/>
      <c r="O32" s="5" t="s">
        <v>22</v>
      </c>
      <c r="P32" s="2">
        <f t="shared" si="11"/>
        <v>-0.207125</v>
      </c>
      <c r="Q32" s="2">
        <f t="shared" si="11"/>
        <v>-0.207125</v>
      </c>
      <c r="R32" s="2">
        <f t="shared" si="11"/>
        <v>-0.15712499999999996</v>
      </c>
      <c r="S32" s="2">
        <f t="shared" si="11"/>
        <v>-0.10312499999999997</v>
      </c>
      <c r="T32" s="2">
        <f t="shared" si="11"/>
        <v>-5.8124999999999968E-2</v>
      </c>
      <c r="U32" s="3">
        <f t="shared" si="11"/>
        <v>-5.7124999999999954E-2</v>
      </c>
      <c r="V32" s="2">
        <f t="shared" si="11"/>
        <v>-1.8375000000000023E-2</v>
      </c>
      <c r="W32" s="2">
        <f t="shared" si="11"/>
        <v>-1.8375000000000023E-2</v>
      </c>
      <c r="X32" s="2">
        <f t="shared" si="11"/>
        <v>-4.2875000000000052E-2</v>
      </c>
    </row>
    <row r="33" spans="1:24">
      <c r="A33" s="6"/>
      <c r="B33" s="6">
        <v>1</v>
      </c>
      <c r="C33" s="6">
        <v>1</v>
      </c>
      <c r="D33" s="6"/>
      <c r="E33" s="6">
        <v>1</v>
      </c>
      <c r="F33" s="6">
        <v>1</v>
      </c>
      <c r="G33" s="6">
        <v>1</v>
      </c>
      <c r="H33" s="6">
        <v>1</v>
      </c>
      <c r="I33" s="6"/>
      <c r="J33" s="6"/>
      <c r="K33" s="6"/>
      <c r="L33" s="6">
        <f>$H$4</f>
        <v>57.55</v>
      </c>
      <c r="M33" s="6">
        <f>2*L33-$M$4</f>
        <v>55.099999999999994</v>
      </c>
      <c r="N33" s="6"/>
      <c r="O33" s="5" t="s">
        <v>23</v>
      </c>
      <c r="P33" s="2">
        <f t="shared" si="11"/>
        <v>-0.20916666666666664</v>
      </c>
      <c r="Q33" s="2">
        <f t="shared" si="11"/>
        <v>-0.20916666666666664</v>
      </c>
      <c r="R33" s="2">
        <f t="shared" si="11"/>
        <v>-0.15916666666666662</v>
      </c>
      <c r="S33" s="2">
        <f t="shared" si="11"/>
        <v>-0.10516666666666664</v>
      </c>
      <c r="T33" s="2">
        <f t="shared" si="11"/>
        <v>-6.0166666666666639E-2</v>
      </c>
      <c r="U33" s="3">
        <f t="shared" si="11"/>
        <v>-5.9166666666666624E-2</v>
      </c>
      <c r="V33" s="2">
        <f t="shared" si="11"/>
        <v>-1.6333333333333352E-2</v>
      </c>
      <c r="W33" s="2">
        <f t="shared" si="11"/>
        <v>-1.6333333333333352E-2</v>
      </c>
      <c r="X33" s="2">
        <f t="shared" si="11"/>
        <v>-4.0833333333333381E-2</v>
      </c>
    </row>
    <row r="34" spans="1:24" ht="1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 t="s">
        <v>72</v>
      </c>
      <c r="O34" s="4" t="s">
        <v>2</v>
      </c>
      <c r="P34" s="3">
        <f>MIN(P35,P36,P37)</f>
        <v>-0.20799999999999996</v>
      </c>
      <c r="Q34" s="3">
        <f t="shared" ref="Q34" si="12">MIN(Q35,Q36)</f>
        <v>-0.20799999999999996</v>
      </c>
      <c r="R34" s="3">
        <f t="shared" ref="R34:X34" si="13">MIN(R35,R36,R37)</f>
        <v>-0.15799999999999995</v>
      </c>
      <c r="S34" s="3">
        <f t="shared" si="13"/>
        <v>-0.10399999999999998</v>
      </c>
      <c r="T34" s="3">
        <f t="shared" si="13"/>
        <v>-5.9928571428571421E-2</v>
      </c>
      <c r="U34" s="3">
        <f t="shared" si="13"/>
        <v>-6.0357142857142859E-2</v>
      </c>
      <c r="V34" s="3">
        <f t="shared" si="13"/>
        <v>-0.11428571428571427</v>
      </c>
      <c r="W34" s="3">
        <f t="shared" si="13"/>
        <v>-0.11428571428571427</v>
      </c>
      <c r="X34" s="3">
        <f t="shared" si="13"/>
        <v>-0.13878571428571426</v>
      </c>
    </row>
    <row r="35" spans="1:24">
      <c r="A35" s="6">
        <v>1</v>
      </c>
      <c r="B35" s="6">
        <v>1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2"/>
      <c r="I35" s="6"/>
      <c r="J35" s="6"/>
      <c r="K35" s="6"/>
      <c r="L35" s="6">
        <f>$F$4</f>
        <v>50</v>
      </c>
      <c r="M35" s="6">
        <f>2*L35-$M$4</f>
        <v>40</v>
      </c>
      <c r="O35" s="7" t="s">
        <v>40</v>
      </c>
      <c r="P35" s="2">
        <f t="shared" ref="P35:X37" si="14">(-0.01/($A35+$B35+$C35+$D35+$E35+$F35+$G35+$H35+$I35+$J35+$K35)*($A35*ABS(MAX($A$4,$M35)-A$4)+$B35*ABS(MAX($B$4,$M35)-A$4)+$C35*ABS(MAX($C$4,$M35)-A$4)+$D35*ABS(MAX($D$4,$M35)-A$4)+$E35*ABS(MAX($E$4,$M35)-A$4)+$F35*ABS(MAX($F$4,$M35)-A$4)+$G35*ABS(MAX($G$4,$M35)-A$4)+$H35*ABS(MAX($H$4,$M35)-A$4)+$I35*ABS(MAX($I$4,$M35)-A$4)+$J35*ABS(MAX($J$4,$M35)-A$4)+$K35*ABS(MAX($K$4,$M35)-A$4)))</f>
        <v>-0.11121428571428571</v>
      </c>
      <c r="Q35" s="2">
        <f t="shared" si="14"/>
        <v>-0.11121428571428571</v>
      </c>
      <c r="R35" s="2">
        <f t="shared" si="14"/>
        <v>-6.1214285714285707E-2</v>
      </c>
      <c r="S35" s="2">
        <f t="shared" si="14"/>
        <v>-5.3499999999999992E-2</v>
      </c>
      <c r="T35" s="2">
        <f t="shared" si="14"/>
        <v>-5.9928571428571421E-2</v>
      </c>
      <c r="U35" s="3">
        <f t="shared" si="14"/>
        <v>-6.0357142857142859E-2</v>
      </c>
      <c r="V35" s="2">
        <f t="shared" si="14"/>
        <v>-0.11428571428571427</v>
      </c>
      <c r="W35" s="2">
        <f t="shared" si="14"/>
        <v>-0.11428571428571427</v>
      </c>
      <c r="X35" s="2">
        <f t="shared" si="14"/>
        <v>-0.13878571428571426</v>
      </c>
    </row>
    <row r="36" spans="1:24">
      <c r="A36" s="6"/>
      <c r="B36" s="6">
        <v>1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/>
      <c r="J36" s="6"/>
      <c r="K36" s="6"/>
      <c r="L36" s="6">
        <f>$G$4</f>
        <v>57.55</v>
      </c>
      <c r="M36" s="6">
        <f>2*L36-$M$4</f>
        <v>55.099999999999994</v>
      </c>
      <c r="N36" s="6"/>
      <c r="O36" s="7" t="s">
        <v>42</v>
      </c>
      <c r="P36" s="2">
        <f t="shared" si="14"/>
        <v>-0.20799999999999996</v>
      </c>
      <c r="Q36" s="2">
        <f t="shared" si="14"/>
        <v>-0.20799999999999996</v>
      </c>
      <c r="R36" s="2">
        <f t="shared" si="14"/>
        <v>-0.15799999999999995</v>
      </c>
      <c r="S36" s="2">
        <f t="shared" si="14"/>
        <v>-0.10399999999999998</v>
      </c>
      <c r="T36" s="2">
        <f t="shared" si="14"/>
        <v>-5.8999999999999962E-2</v>
      </c>
      <c r="U36" s="3">
        <f t="shared" si="14"/>
        <v>-5.7999999999999954E-2</v>
      </c>
      <c r="V36" s="2">
        <f t="shared" si="14"/>
        <v>-1.7500000000000019E-2</v>
      </c>
      <c r="W36" s="2">
        <f t="shared" si="14"/>
        <v>-1.7500000000000019E-2</v>
      </c>
      <c r="X36" s="2">
        <f t="shared" si="14"/>
        <v>-4.2000000000000051E-2</v>
      </c>
    </row>
    <row r="37" spans="1:24">
      <c r="A37" s="6"/>
      <c r="B37" s="6">
        <v>1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2"/>
      <c r="I37" s="6"/>
      <c r="J37" s="6"/>
      <c r="K37" s="6"/>
      <c r="L37" s="6">
        <f>$F$4</f>
        <v>50</v>
      </c>
      <c r="M37" s="6">
        <f>2*L37-$M$4</f>
        <v>40</v>
      </c>
      <c r="O37" s="7" t="s">
        <v>41</v>
      </c>
      <c r="P37" s="2">
        <f t="shared" si="14"/>
        <v>-0.12141666666666666</v>
      </c>
      <c r="Q37" s="2">
        <f t="shared" si="14"/>
        <v>-0.12141666666666666</v>
      </c>
      <c r="R37" s="2">
        <f t="shared" si="14"/>
        <v>-7.1416666666666656E-2</v>
      </c>
      <c r="S37" s="2">
        <f t="shared" si="14"/>
        <v>-5.3416666666666668E-2</v>
      </c>
      <c r="T37" s="2">
        <f t="shared" si="14"/>
        <v>-5.3416666666666668E-2</v>
      </c>
      <c r="U37" s="3">
        <f t="shared" si="14"/>
        <v>-5.3750000000000006E-2</v>
      </c>
      <c r="V37" s="2">
        <f t="shared" si="14"/>
        <v>-0.10408333333333332</v>
      </c>
      <c r="W37" s="2">
        <f t="shared" si="14"/>
        <v>-0.10408333333333332</v>
      </c>
      <c r="X37" s="2">
        <f t="shared" si="14"/>
        <v>-0.12858333333333336</v>
      </c>
    </row>
    <row r="38" spans="1:24" ht="16.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 t="s">
        <v>80</v>
      </c>
      <c r="O38" s="4" t="s">
        <v>2</v>
      </c>
      <c r="P38" s="3">
        <f t="shared" ref="P38:X38" si="15">MIN(P39,P40,P41)</f>
        <v>-0.207125</v>
      </c>
      <c r="Q38" s="3">
        <f t="shared" si="15"/>
        <v>-0.207125</v>
      </c>
      <c r="R38" s="3">
        <f t="shared" si="15"/>
        <v>-0.15712499999999996</v>
      </c>
      <c r="S38" s="3">
        <f t="shared" si="15"/>
        <v>-0.10312499999999997</v>
      </c>
      <c r="T38" s="3">
        <f t="shared" si="15"/>
        <v>-5.8124999999999968E-2</v>
      </c>
      <c r="U38" s="3">
        <f t="shared" si="15"/>
        <v>-5.8500000000000017E-2</v>
      </c>
      <c r="V38" s="3">
        <f t="shared" si="15"/>
        <v>-0.13400000000000001</v>
      </c>
      <c r="W38" s="3">
        <f t="shared" si="15"/>
        <v>-0.13400000000000001</v>
      </c>
      <c r="X38" s="3">
        <f t="shared" si="15"/>
        <v>-0.1585</v>
      </c>
    </row>
    <row r="39" spans="1:24">
      <c r="A39" s="6">
        <v>1</v>
      </c>
      <c r="B39" s="6">
        <v>1</v>
      </c>
      <c r="C39" s="6">
        <v>1</v>
      </c>
      <c r="D39" s="6">
        <v>1</v>
      </c>
      <c r="E39" s="6">
        <v>1</v>
      </c>
      <c r="F39" s="6">
        <v>1</v>
      </c>
      <c r="G39" s="6"/>
      <c r="H39" s="6"/>
      <c r="I39" s="6"/>
      <c r="J39" s="6"/>
      <c r="K39" s="6"/>
      <c r="L39" s="6">
        <f>$E$4</f>
        <v>49.9</v>
      </c>
      <c r="M39" s="6">
        <f>2*L39-$M$4</f>
        <v>39.799999999999997</v>
      </c>
      <c r="O39" s="5" t="s">
        <v>24</v>
      </c>
      <c r="P39" s="2">
        <f t="shared" ref="P39:X41" si="16">(-0.01/($A39+$B39+$C39+$D39+$E39+$F39+$G39+$H39+$I39+$J39+$K39)*($A39*ABS(MAX($A$4,$M39)-A$4)+$B39*ABS(MAX($B$4,$M39)-A$4)+$C39*ABS(MAX($C$4,$M39)-A$4)+$D39*ABS(MAX($D$4,$M39)-A$4)+$E39*ABS(MAX($E$4,$M39)-A$4)+$F39*ABS(MAX($F$4,$M39)-A$4)+$G39*ABS(MAX($G$4,$M39)-A$4)+$H39*ABS(MAX($H$4,$M39)-A$4)+$I39*ABS(MAX($I$4,$M39)-A$4)+$J39*ABS(MAX($J$4,$M39)-A$4)+$K39*ABS(MAX($K$4,$M39)-A$4)))</f>
        <v>-9.1499999999999998E-2</v>
      </c>
      <c r="Q39" s="2">
        <f t="shared" si="16"/>
        <v>-9.1499999999999998E-2</v>
      </c>
      <c r="R39" s="2">
        <f t="shared" si="16"/>
        <v>-4.2833333333333341E-2</v>
      </c>
      <c r="S39" s="2">
        <f t="shared" si="16"/>
        <v>-4.2833333333333341E-2</v>
      </c>
      <c r="T39" s="8">
        <f t="shared" si="16"/>
        <v>-5.7833333333333341E-2</v>
      </c>
      <c r="U39" s="9">
        <f t="shared" si="16"/>
        <v>-5.8500000000000017E-2</v>
      </c>
      <c r="V39" s="2">
        <f t="shared" si="16"/>
        <v>-0.13400000000000001</v>
      </c>
      <c r="W39" s="2">
        <f t="shared" si="16"/>
        <v>-0.13400000000000001</v>
      </c>
      <c r="X39" s="2">
        <f t="shared" si="16"/>
        <v>-0.1585</v>
      </c>
    </row>
    <row r="40" spans="1:24">
      <c r="A40" s="6">
        <v>1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/>
      <c r="I40" s="6"/>
      <c r="J40" s="6"/>
      <c r="K40" s="6"/>
      <c r="L40" s="6">
        <f>$G$4</f>
        <v>57.55</v>
      </c>
      <c r="M40" s="6">
        <f>2*L40-$M$4</f>
        <v>55.099999999999994</v>
      </c>
      <c r="N40" s="6"/>
      <c r="O40" s="5" t="s">
        <v>25</v>
      </c>
      <c r="P40" s="2">
        <f t="shared" si="16"/>
        <v>-0.20449999999999996</v>
      </c>
      <c r="Q40" s="2">
        <f t="shared" si="16"/>
        <v>-0.20449999999999996</v>
      </c>
      <c r="R40" s="2">
        <f t="shared" si="16"/>
        <v>-0.15449999999999994</v>
      </c>
      <c r="S40" s="2">
        <f t="shared" si="16"/>
        <v>-0.10049999999999995</v>
      </c>
      <c r="T40" s="2">
        <f t="shared" si="16"/>
        <v>-5.5499999999999959E-2</v>
      </c>
      <c r="U40" s="3">
        <f t="shared" si="16"/>
        <v>-5.4499999999999944E-2</v>
      </c>
      <c r="V40" s="2">
        <f t="shared" si="16"/>
        <v>-2.1000000000000026E-2</v>
      </c>
      <c r="W40" s="2">
        <f t="shared" si="16"/>
        <v>-2.1000000000000026E-2</v>
      </c>
      <c r="X40" s="2">
        <f t="shared" si="16"/>
        <v>-4.5500000000000054E-2</v>
      </c>
    </row>
    <row r="41" spans="1:24">
      <c r="A41" s="6">
        <v>1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/>
      <c r="J41" s="6"/>
      <c r="K41" s="6"/>
      <c r="L41" s="6">
        <f>$H$4</f>
        <v>57.55</v>
      </c>
      <c r="M41" s="6">
        <f>2*L41-$M$4</f>
        <v>55.099999999999994</v>
      </c>
      <c r="N41" s="6"/>
      <c r="O41" s="5" t="s">
        <v>26</v>
      </c>
      <c r="P41" s="2">
        <f t="shared" si="16"/>
        <v>-0.207125</v>
      </c>
      <c r="Q41" s="2">
        <f t="shared" si="16"/>
        <v>-0.207125</v>
      </c>
      <c r="R41" s="2">
        <f t="shared" si="16"/>
        <v>-0.15712499999999996</v>
      </c>
      <c r="S41" s="2">
        <f t="shared" si="16"/>
        <v>-0.10312499999999997</v>
      </c>
      <c r="T41" s="2">
        <f t="shared" si="16"/>
        <v>-5.8124999999999968E-2</v>
      </c>
      <c r="U41" s="3">
        <f t="shared" si="16"/>
        <v>-5.7124999999999954E-2</v>
      </c>
      <c r="V41" s="2">
        <f t="shared" si="16"/>
        <v>-1.8375000000000023E-2</v>
      </c>
      <c r="W41" s="2">
        <f t="shared" si="16"/>
        <v>-1.8375000000000023E-2</v>
      </c>
      <c r="X41" s="2">
        <f t="shared" si="16"/>
        <v>-4.2875000000000052E-2</v>
      </c>
    </row>
    <row r="42" spans="1:24" ht="1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 t="s">
        <v>81</v>
      </c>
      <c r="O42" s="4" t="s">
        <v>2</v>
      </c>
      <c r="P42" s="3">
        <f t="shared" ref="P42:X42" si="17">MIN(P43,P44)</f>
        <v>-0.20799999999999996</v>
      </c>
      <c r="Q42" s="3">
        <f t="shared" si="17"/>
        <v>-0.20799999999999996</v>
      </c>
      <c r="R42" s="3">
        <f t="shared" si="17"/>
        <v>-0.15799999999999995</v>
      </c>
      <c r="S42" s="3">
        <f t="shared" si="17"/>
        <v>-0.10399999999999998</v>
      </c>
      <c r="T42" s="3">
        <f t="shared" si="17"/>
        <v>-5.8999999999999962E-2</v>
      </c>
      <c r="U42" s="3">
        <f t="shared" si="17"/>
        <v>-5.7999999999999954E-2</v>
      </c>
      <c r="V42" s="3">
        <f t="shared" si="17"/>
        <v>-0.13333333333333333</v>
      </c>
      <c r="W42" s="3">
        <f t="shared" si="17"/>
        <v>-0.13333333333333333</v>
      </c>
      <c r="X42" s="3">
        <f t="shared" si="17"/>
        <v>-0.15783333333333333</v>
      </c>
    </row>
    <row r="43" spans="1:24">
      <c r="A43" s="6">
        <v>1</v>
      </c>
      <c r="B43" s="6">
        <v>1</v>
      </c>
      <c r="C43" s="6">
        <v>1</v>
      </c>
      <c r="D43" s="6">
        <v>1</v>
      </c>
      <c r="E43" s="6">
        <v>1</v>
      </c>
      <c r="F43" s="6">
        <v>1</v>
      </c>
      <c r="G43" s="6"/>
      <c r="H43" s="6"/>
      <c r="I43" s="6"/>
      <c r="J43" s="6"/>
      <c r="K43" s="6"/>
      <c r="L43" s="6">
        <f>$F$4</f>
        <v>50</v>
      </c>
      <c r="M43" s="6">
        <f t="shared" ref="M43:M49" si="18">2*L43-$M$4</f>
        <v>40</v>
      </c>
      <c r="O43" s="5" t="s">
        <v>8</v>
      </c>
      <c r="P43" s="2">
        <f t="shared" ref="P43:X49" si="19">(-0.01/($A43+$B43+$C43+$D43+$E43+$F43+$G43+$H43+$I43+$J43+$K43)*($A43*ABS(MAX($A$4,$M43)-A$4)+$B43*ABS(MAX($B$4,$M43)-A$4)+$C43*ABS(MAX($C$4,$M43)-A$4)+$D43*ABS(MAX($D$4,$M43)-A$4)+$E43*ABS(MAX($E$4,$M43)-A$4)+$F43*ABS(MAX($F$4,$M43)-A$4)+$G43*ABS(MAX($G$4,$M43)-A$4)+$H43*ABS(MAX($H$4,$M43)-A$4)+$I43*ABS(MAX($I$4,$M43)-A$4)+$J43*ABS(MAX($J$4,$M43)-A$4)+$K43*ABS(MAX($K$4,$M43)-A$4)))</f>
        <v>-9.2166666666666675E-2</v>
      </c>
      <c r="Q43" s="2">
        <f t="shared" si="19"/>
        <v>-9.2166666666666675E-2</v>
      </c>
      <c r="R43" s="2">
        <f t="shared" si="19"/>
        <v>-4.2166666666666665E-2</v>
      </c>
      <c r="S43" s="2">
        <f t="shared" si="19"/>
        <v>-4.2166666666666665E-2</v>
      </c>
      <c r="T43" s="2">
        <f t="shared" si="19"/>
        <v>-5.7166666666666664E-2</v>
      </c>
      <c r="U43" s="3">
        <f t="shared" si="19"/>
        <v>-5.7833333333333341E-2</v>
      </c>
      <c r="V43" s="2">
        <f t="shared" si="19"/>
        <v>-0.13333333333333333</v>
      </c>
      <c r="W43" s="2">
        <f t="shared" si="19"/>
        <v>-0.13333333333333333</v>
      </c>
      <c r="X43" s="2">
        <f t="shared" si="19"/>
        <v>-0.15783333333333333</v>
      </c>
    </row>
    <row r="44" spans="1:24">
      <c r="A44" s="6"/>
      <c r="B44" s="6">
        <v>1</v>
      </c>
      <c r="C44" s="6">
        <v>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/>
      <c r="J44" s="6"/>
      <c r="K44" s="6"/>
      <c r="L44" s="6">
        <f>$G$4</f>
        <v>57.55</v>
      </c>
      <c r="M44" s="6">
        <f t="shared" si="18"/>
        <v>55.099999999999994</v>
      </c>
      <c r="N44" s="6"/>
      <c r="O44" s="5" t="s">
        <v>7</v>
      </c>
      <c r="P44" s="2">
        <f t="shared" si="19"/>
        <v>-0.20799999999999996</v>
      </c>
      <c r="Q44" s="2">
        <f t="shared" si="19"/>
        <v>-0.20799999999999996</v>
      </c>
      <c r="R44" s="2">
        <f t="shared" si="19"/>
        <v>-0.15799999999999995</v>
      </c>
      <c r="S44" s="2">
        <f t="shared" si="19"/>
        <v>-0.10399999999999998</v>
      </c>
      <c r="T44" s="2">
        <f t="shared" si="19"/>
        <v>-5.8999999999999962E-2</v>
      </c>
      <c r="U44" s="3">
        <f t="shared" si="19"/>
        <v>-5.7999999999999954E-2</v>
      </c>
      <c r="V44" s="2">
        <f t="shared" si="19"/>
        <v>-1.7500000000000019E-2</v>
      </c>
      <c r="W44" s="2">
        <f t="shared" si="19"/>
        <v>-1.7500000000000019E-2</v>
      </c>
      <c r="X44" s="2">
        <f t="shared" si="19"/>
        <v>-4.2000000000000051E-2</v>
      </c>
    </row>
    <row r="45" spans="1:24" ht="16.5">
      <c r="A45" s="6">
        <v>1</v>
      </c>
      <c r="B45" s="6">
        <v>1</v>
      </c>
      <c r="C45" s="6">
        <v>1</v>
      </c>
      <c r="D45" s="6">
        <v>1</v>
      </c>
      <c r="E45" s="6">
        <v>1</v>
      </c>
      <c r="F45" s="6">
        <v>1</v>
      </c>
      <c r="G45" s="6"/>
      <c r="H45" s="6"/>
      <c r="I45" s="6"/>
      <c r="J45" s="6"/>
      <c r="K45" s="6"/>
      <c r="L45" s="6">
        <f>$E$4</f>
        <v>49.9</v>
      </c>
      <c r="M45" s="6">
        <f t="shared" si="18"/>
        <v>39.799999999999997</v>
      </c>
      <c r="N45" s="6" t="s">
        <v>82</v>
      </c>
      <c r="O45" s="4" t="s">
        <v>29</v>
      </c>
      <c r="P45" s="3">
        <f t="shared" si="19"/>
        <v>-9.1499999999999998E-2</v>
      </c>
      <c r="Q45" s="3">
        <f t="shared" si="19"/>
        <v>-9.1499999999999998E-2</v>
      </c>
      <c r="R45" s="3">
        <f t="shared" si="19"/>
        <v>-4.2833333333333341E-2</v>
      </c>
      <c r="S45" s="3">
        <f t="shared" si="19"/>
        <v>-4.2833333333333341E-2</v>
      </c>
      <c r="T45" s="9">
        <f t="shared" si="19"/>
        <v>-5.7833333333333341E-2</v>
      </c>
      <c r="U45" s="9">
        <f t="shared" si="19"/>
        <v>-5.8500000000000017E-2</v>
      </c>
      <c r="V45" s="3">
        <f t="shared" si="19"/>
        <v>-0.13400000000000001</v>
      </c>
      <c r="W45" s="3">
        <f t="shared" si="19"/>
        <v>-0.13400000000000001</v>
      </c>
      <c r="X45" s="3">
        <f t="shared" si="19"/>
        <v>-0.1585</v>
      </c>
    </row>
    <row r="46" spans="1:24">
      <c r="A46" s="6">
        <v>1</v>
      </c>
      <c r="B46" s="6">
        <v>1</v>
      </c>
      <c r="C46" s="6">
        <v>1</v>
      </c>
      <c r="D46" s="6">
        <v>1</v>
      </c>
      <c r="E46" s="6">
        <v>1</v>
      </c>
      <c r="F46" s="6">
        <v>1</v>
      </c>
      <c r="G46" s="6">
        <v>1</v>
      </c>
      <c r="H46" s="6"/>
      <c r="I46" s="6"/>
      <c r="J46" s="6"/>
      <c r="K46" s="6"/>
      <c r="L46" s="6">
        <f>$G$4</f>
        <v>57.55</v>
      </c>
      <c r="M46" s="6">
        <f t="shared" si="18"/>
        <v>55.099999999999994</v>
      </c>
      <c r="N46" s="6"/>
      <c r="O46" s="7" t="s">
        <v>30</v>
      </c>
      <c r="P46" s="2">
        <f t="shared" si="19"/>
        <v>-0.20449999999999996</v>
      </c>
      <c r="Q46" s="2">
        <f t="shared" si="19"/>
        <v>-0.20449999999999996</v>
      </c>
      <c r="R46" s="2">
        <f t="shared" si="19"/>
        <v>-0.15449999999999994</v>
      </c>
      <c r="S46" s="2">
        <f t="shared" si="19"/>
        <v>-0.10049999999999995</v>
      </c>
      <c r="T46" s="2">
        <f t="shared" si="19"/>
        <v>-5.5499999999999959E-2</v>
      </c>
      <c r="U46" s="3">
        <f t="shared" si="19"/>
        <v>-5.4499999999999944E-2</v>
      </c>
      <c r="V46" s="2">
        <f t="shared" si="19"/>
        <v>-2.1000000000000026E-2</v>
      </c>
      <c r="W46" s="2">
        <f t="shared" si="19"/>
        <v>-2.1000000000000026E-2</v>
      </c>
      <c r="X46" s="2">
        <f t="shared" si="19"/>
        <v>-4.5500000000000054E-2</v>
      </c>
    </row>
    <row r="47" spans="1:24" ht="18">
      <c r="A47" s="6">
        <v>1</v>
      </c>
      <c r="B47" s="6">
        <v>1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/>
      <c r="J47" s="6"/>
      <c r="K47" s="6"/>
      <c r="L47" s="6">
        <f>$G$4</f>
        <v>57.55</v>
      </c>
      <c r="M47" s="6">
        <f t="shared" si="18"/>
        <v>55.099999999999994</v>
      </c>
      <c r="N47" s="6" t="s">
        <v>83</v>
      </c>
      <c r="O47" s="4" t="s">
        <v>27</v>
      </c>
      <c r="P47" s="3">
        <f t="shared" si="19"/>
        <v>-0.207125</v>
      </c>
      <c r="Q47" s="3">
        <f t="shared" si="19"/>
        <v>-0.207125</v>
      </c>
      <c r="R47" s="3">
        <f t="shared" si="19"/>
        <v>-0.15712499999999996</v>
      </c>
      <c r="S47" s="3">
        <f t="shared" si="19"/>
        <v>-0.10312499999999997</v>
      </c>
      <c r="T47" s="3">
        <f t="shared" si="19"/>
        <v>-5.8124999999999968E-2</v>
      </c>
      <c r="U47" s="3">
        <f t="shared" si="19"/>
        <v>-5.7124999999999954E-2</v>
      </c>
      <c r="V47" s="3">
        <f t="shared" si="19"/>
        <v>-1.8375000000000023E-2</v>
      </c>
      <c r="W47" s="3">
        <f t="shared" si="19"/>
        <v>-1.8375000000000023E-2</v>
      </c>
      <c r="X47" s="3">
        <f t="shared" si="19"/>
        <v>-4.2875000000000052E-2</v>
      </c>
    </row>
    <row r="48" spans="1:24" ht="18">
      <c r="A48" s="6">
        <v>1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/>
      <c r="J48" s="6"/>
      <c r="K48" s="6"/>
      <c r="L48" s="6">
        <f>$F$4</f>
        <v>50</v>
      </c>
      <c r="M48" s="6">
        <f t="shared" si="18"/>
        <v>40</v>
      </c>
      <c r="N48" s="6" t="s">
        <v>84</v>
      </c>
      <c r="O48" s="4" t="s">
        <v>90</v>
      </c>
      <c r="P48" s="3">
        <f t="shared" si="19"/>
        <v>-0.1255</v>
      </c>
      <c r="Q48" s="3">
        <f t="shared" si="19"/>
        <v>-0.1255</v>
      </c>
      <c r="R48" s="3">
        <f t="shared" si="19"/>
        <v>-7.5499999999999998E-2</v>
      </c>
      <c r="S48" s="3">
        <f t="shared" si="19"/>
        <v>-6.1999999999999993E-2</v>
      </c>
      <c r="T48" s="3">
        <f t="shared" si="19"/>
        <v>-6.1999999999999993E-2</v>
      </c>
      <c r="U48" s="3">
        <f t="shared" si="19"/>
        <v>-6.225E-2</v>
      </c>
      <c r="V48" s="3">
        <f t="shared" si="19"/>
        <v>-9.9999999999999978E-2</v>
      </c>
      <c r="W48" s="3">
        <f t="shared" si="19"/>
        <v>-9.9999999999999978E-2</v>
      </c>
      <c r="X48" s="3">
        <f t="shared" si="19"/>
        <v>-0.1245</v>
      </c>
    </row>
    <row r="49" spans="1:24" ht="16.5">
      <c r="A49" s="6">
        <v>1</v>
      </c>
      <c r="B49" s="6">
        <v>1</v>
      </c>
      <c r="C49" s="6">
        <v>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/>
      <c r="J49" s="6"/>
      <c r="K49" s="6"/>
      <c r="L49" s="6">
        <f>$G$4</f>
        <v>57.55</v>
      </c>
      <c r="M49" s="6">
        <f t="shared" si="18"/>
        <v>55.099999999999994</v>
      </c>
      <c r="N49" s="6" t="s">
        <v>85</v>
      </c>
      <c r="O49" s="4" t="s">
        <v>34</v>
      </c>
      <c r="P49" s="9">
        <f t="shared" si="19"/>
        <v>-0.207125</v>
      </c>
      <c r="Q49" s="9">
        <f t="shared" si="19"/>
        <v>-0.207125</v>
      </c>
      <c r="R49" s="9">
        <f t="shared" si="19"/>
        <v>-0.15712499999999996</v>
      </c>
      <c r="S49" s="9">
        <f t="shared" si="19"/>
        <v>-0.10312499999999997</v>
      </c>
      <c r="T49" s="9">
        <f t="shared" si="19"/>
        <v>-5.8124999999999968E-2</v>
      </c>
      <c r="U49" s="9">
        <f t="shared" si="19"/>
        <v>-5.7124999999999954E-2</v>
      </c>
      <c r="V49" s="9">
        <f t="shared" si="19"/>
        <v>-1.8375000000000023E-2</v>
      </c>
      <c r="W49" s="9">
        <f t="shared" si="19"/>
        <v>-1.8375000000000023E-2</v>
      </c>
      <c r="X49" s="9">
        <f t="shared" si="19"/>
        <v>-4.2875000000000052E-2</v>
      </c>
    </row>
    <row r="50" spans="1:24" ht="18">
      <c r="N50" s="6" t="s">
        <v>86</v>
      </c>
      <c r="O50" s="4" t="s">
        <v>2</v>
      </c>
      <c r="P50" s="3">
        <f t="shared" ref="P50:X50" si="20">MIN(P51,P52,P53)</f>
        <v>-0.20799999999999996</v>
      </c>
      <c r="Q50" s="3">
        <f t="shared" si="20"/>
        <v>-0.20799999999999996</v>
      </c>
      <c r="R50" s="3">
        <f t="shared" si="20"/>
        <v>-0.15799999999999995</v>
      </c>
      <c r="S50" s="3">
        <f t="shared" si="20"/>
        <v>-0.10399999999999998</v>
      </c>
      <c r="T50" s="3">
        <f t="shared" si="20"/>
        <v>-5.8999999999999962E-2</v>
      </c>
      <c r="U50" s="3">
        <f t="shared" si="20"/>
        <v>-5.7999999999999954E-2</v>
      </c>
      <c r="V50" s="3">
        <f t="shared" si="20"/>
        <v>-0.13333333333333333</v>
      </c>
      <c r="W50" s="3">
        <f t="shared" si="20"/>
        <v>-0.13333333333333333</v>
      </c>
      <c r="X50" s="3">
        <f t="shared" si="20"/>
        <v>-0.15783333333333333</v>
      </c>
    </row>
    <row r="51" spans="1:24">
      <c r="A51" s="6">
        <v>1</v>
      </c>
      <c r="B51" s="6">
        <v>1</v>
      </c>
      <c r="C51" s="6">
        <v>1</v>
      </c>
      <c r="D51" s="6">
        <v>1</v>
      </c>
      <c r="E51" s="6">
        <v>1</v>
      </c>
      <c r="F51" s="6">
        <v>1</v>
      </c>
      <c r="G51" s="6"/>
      <c r="H51" s="6"/>
      <c r="I51" s="6"/>
      <c r="J51" s="6"/>
      <c r="K51" s="6"/>
      <c r="L51" s="6">
        <f>$F$4</f>
        <v>50</v>
      </c>
      <c r="M51" s="6">
        <f>2*L51-$M$4</f>
        <v>40</v>
      </c>
      <c r="O51" s="5" t="s">
        <v>14</v>
      </c>
      <c r="P51" s="2">
        <f t="shared" ref="P51:X54" si="21">(-0.01/($A51+$B51+$C51+$D51+$E51+$F51+$G51+$H51+$I51+$J51+$K51)*($A51*ABS(MAX($A$4,$M51)-A$4)+$B51*ABS(MAX($B$4,$M51)-A$4)+$C51*ABS(MAX($C$4,$M51)-A$4)+$D51*ABS(MAX($D$4,$M51)-A$4)+$E51*ABS(MAX($E$4,$M51)-A$4)+$F51*ABS(MAX($F$4,$M51)-A$4)+$G51*ABS(MAX($G$4,$M51)-A$4)+$H51*ABS(MAX($H$4,$M51)-A$4)+$I51*ABS(MAX($I$4,$M51)-A$4)+$J51*ABS(MAX($J$4,$M51)-A$4)+$K51*ABS(MAX($K$4,$M51)-A$4)))</f>
        <v>-9.2166666666666675E-2</v>
      </c>
      <c r="Q51" s="2">
        <f t="shared" si="21"/>
        <v>-9.2166666666666675E-2</v>
      </c>
      <c r="R51" s="2">
        <f t="shared" si="21"/>
        <v>-4.2166666666666665E-2</v>
      </c>
      <c r="S51" s="2">
        <f t="shared" si="21"/>
        <v>-4.2166666666666665E-2</v>
      </c>
      <c r="T51" s="2">
        <f t="shared" si="21"/>
        <v>-5.7166666666666664E-2</v>
      </c>
      <c r="U51" s="3">
        <f t="shared" si="21"/>
        <v>-5.7833333333333341E-2</v>
      </c>
      <c r="V51" s="2">
        <f t="shared" si="21"/>
        <v>-0.13333333333333333</v>
      </c>
      <c r="W51" s="2">
        <f t="shared" si="21"/>
        <v>-0.13333333333333333</v>
      </c>
      <c r="X51" s="2">
        <f t="shared" si="21"/>
        <v>-0.15783333333333333</v>
      </c>
    </row>
    <row r="52" spans="1:24">
      <c r="A52" s="6">
        <v>1</v>
      </c>
      <c r="B52" s="6">
        <v>1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/>
      <c r="J52" s="6"/>
      <c r="K52" s="6"/>
      <c r="L52" s="6">
        <f>$H$4</f>
        <v>57.55</v>
      </c>
      <c r="M52" s="6">
        <f>2*L52-$M$4</f>
        <v>55.099999999999994</v>
      </c>
      <c r="N52" s="6"/>
      <c r="O52" s="5" t="s">
        <v>15</v>
      </c>
      <c r="P52" s="2">
        <f t="shared" si="21"/>
        <v>-0.207125</v>
      </c>
      <c r="Q52" s="2">
        <f t="shared" si="21"/>
        <v>-0.207125</v>
      </c>
      <c r="R52" s="2">
        <f t="shared" si="21"/>
        <v>-0.15712499999999996</v>
      </c>
      <c r="S52" s="2">
        <f t="shared" si="21"/>
        <v>-0.10312499999999997</v>
      </c>
      <c r="T52" s="2">
        <f t="shared" si="21"/>
        <v>-5.8124999999999968E-2</v>
      </c>
      <c r="U52" s="3">
        <f t="shared" si="21"/>
        <v>-5.7124999999999954E-2</v>
      </c>
      <c r="V52" s="2">
        <f t="shared" si="21"/>
        <v>-1.8375000000000023E-2</v>
      </c>
      <c r="W52" s="2">
        <f t="shared" si="21"/>
        <v>-1.8375000000000023E-2</v>
      </c>
      <c r="X52" s="2">
        <f t="shared" si="21"/>
        <v>-4.2875000000000052E-2</v>
      </c>
    </row>
    <row r="53" spans="1:24">
      <c r="A53" s="6">
        <v>1</v>
      </c>
      <c r="B53" s="6">
        <v>1</v>
      </c>
      <c r="C53" s="6">
        <v>1</v>
      </c>
      <c r="D53" s="6"/>
      <c r="E53" s="6">
        <v>1</v>
      </c>
      <c r="F53" s="6">
        <v>1</v>
      </c>
      <c r="G53" s="6">
        <v>1</v>
      </c>
      <c r="H53" s="6">
        <v>1</v>
      </c>
      <c r="I53" s="6"/>
      <c r="J53" s="6"/>
      <c r="K53" s="6"/>
      <c r="L53" s="6">
        <f>$H$4</f>
        <v>57.55</v>
      </c>
      <c r="M53" s="6">
        <f>2*L53-$M$4</f>
        <v>55.099999999999994</v>
      </c>
      <c r="N53" s="6"/>
      <c r="O53" s="5" t="s">
        <v>16</v>
      </c>
      <c r="P53" s="2">
        <f t="shared" si="21"/>
        <v>-0.20799999999999996</v>
      </c>
      <c r="Q53" s="2">
        <f t="shared" si="21"/>
        <v>-0.20799999999999996</v>
      </c>
      <c r="R53" s="2">
        <f t="shared" si="21"/>
        <v>-0.15799999999999995</v>
      </c>
      <c r="S53" s="2">
        <f t="shared" si="21"/>
        <v>-0.10399999999999998</v>
      </c>
      <c r="T53" s="2">
        <f t="shared" si="21"/>
        <v>-5.8999999999999962E-2</v>
      </c>
      <c r="U53" s="3">
        <f t="shared" si="21"/>
        <v>-5.7999999999999954E-2</v>
      </c>
      <c r="V53" s="2">
        <f t="shared" si="21"/>
        <v>-1.7500000000000019E-2</v>
      </c>
      <c r="W53" s="2">
        <f t="shared" si="21"/>
        <v>-1.7500000000000019E-2</v>
      </c>
      <c r="X53" s="2">
        <f t="shared" si="21"/>
        <v>-4.2000000000000051E-2</v>
      </c>
    </row>
    <row r="54" spans="1:24">
      <c r="A54" s="6">
        <v>1</v>
      </c>
      <c r="B54" s="6">
        <v>1</v>
      </c>
      <c r="C54" s="6">
        <v>1</v>
      </c>
      <c r="D54" s="6"/>
      <c r="E54" s="6">
        <v>1</v>
      </c>
      <c r="F54" s="6">
        <v>1</v>
      </c>
      <c r="G54" s="6"/>
      <c r="H54" s="6"/>
      <c r="I54" s="6"/>
      <c r="J54" s="6"/>
      <c r="K54" s="6"/>
      <c r="L54" s="6">
        <f>$F$4</f>
        <v>50</v>
      </c>
      <c r="M54" s="6">
        <f>2*L54-$M$4</f>
        <v>40</v>
      </c>
      <c r="N54" s="6"/>
      <c r="O54" s="5" t="s">
        <v>17</v>
      </c>
      <c r="P54" s="2">
        <f t="shared" si="21"/>
        <v>-8.9800000000000005E-2</v>
      </c>
      <c r="Q54" s="2">
        <f t="shared" si="21"/>
        <v>-8.9800000000000005E-2</v>
      </c>
      <c r="R54" s="2">
        <f t="shared" si="21"/>
        <v>-3.9799999999999995E-2</v>
      </c>
      <c r="S54" s="2">
        <f t="shared" si="21"/>
        <v>-5.0599999999999992E-2</v>
      </c>
      <c r="T54" s="2">
        <f t="shared" si="21"/>
        <v>-5.9599999999999993E-2</v>
      </c>
      <c r="U54" s="3">
        <f t="shared" si="21"/>
        <v>-6.0200000000000004E-2</v>
      </c>
      <c r="V54" s="2">
        <f t="shared" si="21"/>
        <v>-0.13569999999999999</v>
      </c>
      <c r="W54" s="2">
        <f t="shared" si="21"/>
        <v>-0.13569999999999999</v>
      </c>
      <c r="X54" s="2">
        <f t="shared" si="21"/>
        <v>-0.16019999999999998</v>
      </c>
    </row>
    <row r="55" spans="1:24" ht="18">
      <c r="N55" s="6" t="s">
        <v>87</v>
      </c>
      <c r="O55" s="4" t="s">
        <v>2</v>
      </c>
      <c r="P55" s="3">
        <f t="shared" ref="P55:X55" si="22">MIN(P56,P57)</f>
        <v>-0.207125</v>
      </c>
      <c r="Q55" s="3">
        <f t="shared" si="22"/>
        <v>-0.207125</v>
      </c>
      <c r="R55" s="3">
        <f t="shared" si="22"/>
        <v>-0.15712499999999996</v>
      </c>
      <c r="S55" s="3">
        <f t="shared" si="22"/>
        <v>-0.10312499999999997</v>
      </c>
      <c r="T55" s="3">
        <f t="shared" si="22"/>
        <v>-5.8124999999999968E-2</v>
      </c>
      <c r="U55" s="3">
        <f t="shared" si="22"/>
        <v>-5.7833333333333341E-2</v>
      </c>
      <c r="V55" s="3">
        <f t="shared" si="22"/>
        <v>-0.13333333333333333</v>
      </c>
      <c r="W55" s="3">
        <f t="shared" si="22"/>
        <v>-0.13333333333333333</v>
      </c>
      <c r="X55" s="3">
        <f t="shared" si="22"/>
        <v>-0.15783333333333333</v>
      </c>
    </row>
    <row r="56" spans="1:24">
      <c r="A56" s="6">
        <v>1</v>
      </c>
      <c r="B56" s="6">
        <v>1</v>
      </c>
      <c r="C56" s="6">
        <v>1</v>
      </c>
      <c r="D56" s="6">
        <v>1</v>
      </c>
      <c r="E56" s="6">
        <v>1</v>
      </c>
      <c r="F56" s="6">
        <v>1</v>
      </c>
      <c r="G56" s="6"/>
      <c r="H56" s="6"/>
      <c r="I56" s="6"/>
      <c r="J56" s="6"/>
      <c r="K56" s="6"/>
      <c r="L56" s="6">
        <f>$F$4</f>
        <v>50</v>
      </c>
      <c r="M56" s="6">
        <f>2*L56-$M$4</f>
        <v>40</v>
      </c>
      <c r="O56" s="5" t="s">
        <v>12</v>
      </c>
      <c r="P56" s="2">
        <f t="shared" ref="P56:X57" si="23">(-0.01/($A56+$B56+$C56+$D56+$E56+$F56+$G56+$H56+$I56+$J56+$K56)*($A56*ABS(MAX($A$4,$M56)-A$4)+$B56*ABS(MAX($B$4,$M56)-A$4)+$C56*ABS(MAX($C$4,$M56)-A$4)+$D56*ABS(MAX($D$4,$M56)-A$4)+$E56*ABS(MAX($E$4,$M56)-A$4)+$F56*ABS(MAX($F$4,$M56)-A$4)+$G56*ABS(MAX($G$4,$M56)-A$4)+$H56*ABS(MAX($H$4,$M56)-A$4)+$I56*ABS(MAX($I$4,$M56)-A$4)+$J56*ABS(MAX($J$4,$M56)-A$4)+$K56*ABS(MAX($K$4,$M56)-A$4)))</f>
        <v>-9.2166666666666675E-2</v>
      </c>
      <c r="Q56" s="2">
        <f t="shared" si="23"/>
        <v>-9.2166666666666675E-2</v>
      </c>
      <c r="R56" s="2">
        <f t="shared" si="23"/>
        <v>-4.2166666666666665E-2</v>
      </c>
      <c r="S56" s="2">
        <f t="shared" si="23"/>
        <v>-4.2166666666666665E-2</v>
      </c>
      <c r="T56" s="2">
        <f t="shared" si="23"/>
        <v>-5.7166666666666664E-2</v>
      </c>
      <c r="U56" s="3">
        <f t="shared" si="23"/>
        <v>-5.7833333333333341E-2</v>
      </c>
      <c r="V56" s="2">
        <f t="shared" si="23"/>
        <v>-0.13333333333333333</v>
      </c>
      <c r="W56" s="2">
        <f t="shared" si="23"/>
        <v>-0.13333333333333333</v>
      </c>
      <c r="X56" s="2">
        <f t="shared" si="23"/>
        <v>-0.15783333333333333</v>
      </c>
    </row>
    <row r="57" spans="1:24">
      <c r="A57" s="6">
        <v>1</v>
      </c>
      <c r="B57" s="6">
        <v>1</v>
      </c>
      <c r="C57" s="6">
        <v>1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/>
      <c r="J57" s="6"/>
      <c r="K57" s="6"/>
      <c r="L57" s="6">
        <f>$H$4</f>
        <v>57.55</v>
      </c>
      <c r="M57" s="6">
        <f>2*L57-$M$4</f>
        <v>55.099999999999994</v>
      </c>
      <c r="N57" s="6"/>
      <c r="O57" s="5" t="s">
        <v>13</v>
      </c>
      <c r="P57" s="2">
        <f t="shared" si="23"/>
        <v>-0.207125</v>
      </c>
      <c r="Q57" s="2">
        <f t="shared" si="23"/>
        <v>-0.207125</v>
      </c>
      <c r="R57" s="2">
        <f t="shared" si="23"/>
        <v>-0.15712499999999996</v>
      </c>
      <c r="S57" s="2">
        <f t="shared" si="23"/>
        <v>-0.10312499999999997</v>
      </c>
      <c r="T57" s="2">
        <f t="shared" si="23"/>
        <v>-5.8124999999999968E-2</v>
      </c>
      <c r="U57" s="3">
        <f t="shared" si="23"/>
        <v>-5.7124999999999954E-2</v>
      </c>
      <c r="V57" s="2">
        <f t="shared" si="23"/>
        <v>-1.8375000000000023E-2</v>
      </c>
      <c r="W57" s="2">
        <f t="shared" si="23"/>
        <v>-1.8375000000000023E-2</v>
      </c>
      <c r="X57" s="2">
        <f t="shared" si="23"/>
        <v>-4.2875000000000052E-2</v>
      </c>
    </row>
    <row r="58" spans="1:24">
      <c r="U58" s="1"/>
    </row>
    <row r="62" spans="1:24">
      <c r="A62" s="3" t="s">
        <v>91</v>
      </c>
      <c r="B62" s="6"/>
      <c r="C62" s="6"/>
      <c r="D62" s="6"/>
      <c r="E62" s="6"/>
      <c r="F62" s="6"/>
      <c r="L62" s="6"/>
      <c r="M62" s="6"/>
      <c r="N62" s="6"/>
      <c r="O62" s="4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13" t="s">
        <v>92</v>
      </c>
      <c r="B63" s="6"/>
      <c r="C63" s="6"/>
      <c r="D63" s="6"/>
      <c r="E63" s="6"/>
      <c r="F63" s="6"/>
      <c r="G63" s="6"/>
      <c r="H63" s="6"/>
      <c r="I63" s="6"/>
      <c r="L63" s="6"/>
      <c r="M63" s="6"/>
      <c r="N63" s="6"/>
      <c r="O63" s="7"/>
      <c r="P63" s="2"/>
      <c r="Q63" s="2"/>
      <c r="R63" s="2"/>
      <c r="S63" s="2"/>
      <c r="T63" s="2"/>
      <c r="U63" s="3"/>
      <c r="V63" s="2"/>
      <c r="W63" s="2"/>
      <c r="X63" s="2"/>
    </row>
    <row r="64" spans="1:24">
      <c r="N64" s="6" t="s">
        <v>88</v>
      </c>
      <c r="O64" s="4" t="s">
        <v>2</v>
      </c>
      <c r="P64" s="3">
        <f>MIN(P65,P66,P67,P68)</f>
        <v>-0.21733333333333332</v>
      </c>
      <c r="Q64" s="1"/>
      <c r="R64" s="3">
        <f t="shared" ref="R64:X64" si="24">MIN(R65,R66,R67,R68)</f>
        <v>-0.16733333333333331</v>
      </c>
      <c r="S64" s="3">
        <f t="shared" si="24"/>
        <v>-0.11333333333333331</v>
      </c>
      <c r="T64" s="3">
        <f t="shared" si="24"/>
        <v>-6.8333333333333315E-2</v>
      </c>
      <c r="U64" s="3">
        <f t="shared" si="24"/>
        <v>-6.7333333333333301E-2</v>
      </c>
      <c r="V64" s="3">
        <f t="shared" si="24"/>
        <v>-1.9055555555555579E-2</v>
      </c>
      <c r="W64" s="3">
        <f t="shared" si="24"/>
        <v>-1.9055555555555579E-2</v>
      </c>
      <c r="X64" s="3">
        <f t="shared" si="24"/>
        <v>-3.8111111111111158E-2</v>
      </c>
    </row>
    <row r="65" spans="1:24">
      <c r="A65" s="6"/>
      <c r="B65" s="6"/>
      <c r="C65" s="6"/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L65" s="6">
        <f>$G$4</f>
        <v>57.55</v>
      </c>
      <c r="M65" s="6">
        <f>2*L65-$M$4</f>
        <v>55.099999999999994</v>
      </c>
      <c r="O65" s="7" t="s">
        <v>63</v>
      </c>
      <c r="P65" s="2">
        <f t="shared" ref="P65:X68" si="25">(-0.01/($A65+$B65+$C65+$D65+$E65+$F65+$G65+$H65+$I65+$J65+$K65)*($A65*ABS(MAX($A$4,$M65)-A$4)+$B65*ABS(MAX($B$4,$M65)-A$4)+$C65*ABS(MAX($C$4,$M65)-A$4)+$D65*ABS(MAX($D$4,$M65)-A$4)+$E65*ABS(MAX($E$4,$M65)-A$4)+$F65*ABS(MAX($F$4,$M65)-A$4)+$G65*ABS(MAX($G$4,$M65)-A$4)+$H65*ABS(MAX($H$4,$M65)-A$4)+$I65*ABS(MAX($I$4,$M65)-A$4)+$J65*ABS(MAX($J$4,$M65)-A$4)+$K65*ABS(MAX($K$4,$M65)-A$4)))</f>
        <v>-0.21733333333333332</v>
      </c>
      <c r="Q65" s="2">
        <f t="shared" si="25"/>
        <v>-0.21733333333333332</v>
      </c>
      <c r="R65" s="2">
        <f t="shared" si="25"/>
        <v>-0.16733333333333331</v>
      </c>
      <c r="S65" s="2">
        <f t="shared" si="25"/>
        <v>-0.11333333333333331</v>
      </c>
      <c r="T65" s="2">
        <f t="shared" si="25"/>
        <v>-6.8333333333333315E-2</v>
      </c>
      <c r="U65" s="3">
        <f t="shared" si="25"/>
        <v>-6.7333333333333301E-2</v>
      </c>
      <c r="V65" s="2">
        <f t="shared" si="25"/>
        <v>-1.6333333333333352E-2</v>
      </c>
      <c r="W65" s="2">
        <f t="shared" si="25"/>
        <v>-1.6333333333333352E-2</v>
      </c>
      <c r="X65" s="2">
        <f t="shared" si="25"/>
        <v>-3.2666666666666705E-2</v>
      </c>
    </row>
    <row r="66" spans="1:24">
      <c r="A66" s="6"/>
      <c r="B66" s="6"/>
      <c r="C66" s="6">
        <v>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L66" s="6">
        <f>$G$4</f>
        <v>57.55</v>
      </c>
      <c r="M66" s="6">
        <f>2*L66-$M$4</f>
        <v>55.099999999999994</v>
      </c>
      <c r="N66" s="6"/>
      <c r="O66" s="7" t="s">
        <v>64</v>
      </c>
      <c r="P66" s="2">
        <f t="shared" si="25"/>
        <v>-0.21499999999999997</v>
      </c>
      <c r="Q66" s="2">
        <f t="shared" si="25"/>
        <v>-0.21499999999999997</v>
      </c>
      <c r="R66" s="2">
        <f t="shared" si="25"/>
        <v>-0.16499999999999995</v>
      </c>
      <c r="S66" s="2">
        <f t="shared" si="25"/>
        <v>-0.11099999999999999</v>
      </c>
      <c r="T66" s="2">
        <f t="shared" si="25"/>
        <v>-6.5999999999999975E-2</v>
      </c>
      <c r="U66" s="3">
        <f t="shared" si="25"/>
        <v>-6.4999999999999961E-2</v>
      </c>
      <c r="V66" s="2">
        <f t="shared" si="25"/>
        <v>-1.7500000000000019E-2</v>
      </c>
      <c r="W66" s="2">
        <f t="shared" si="25"/>
        <v>-1.7500000000000019E-2</v>
      </c>
      <c r="X66" s="2">
        <f t="shared" si="25"/>
        <v>-3.5000000000000038E-2</v>
      </c>
    </row>
    <row r="67" spans="1:24">
      <c r="A67" s="6"/>
      <c r="B67" s="6">
        <v>1</v>
      </c>
      <c r="C67" s="6">
        <v>1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/>
      <c r="K67" s="6"/>
      <c r="L67" s="6">
        <f>$G$4</f>
        <v>57.55</v>
      </c>
      <c r="M67" s="6">
        <f>2*L67-$M$4</f>
        <v>55.099999999999994</v>
      </c>
      <c r="N67" s="6"/>
      <c r="O67" s="7" t="s">
        <v>65</v>
      </c>
      <c r="P67" s="2">
        <f t="shared" si="25"/>
        <v>-0.21324999999999997</v>
      </c>
      <c r="Q67" s="2">
        <f t="shared" si="25"/>
        <v>-0.21324999999999997</v>
      </c>
      <c r="R67" s="2">
        <f t="shared" si="25"/>
        <v>-0.16324999999999995</v>
      </c>
      <c r="S67" s="2">
        <f t="shared" si="25"/>
        <v>-0.10924999999999997</v>
      </c>
      <c r="T67" s="2">
        <f t="shared" si="25"/>
        <v>-6.4249999999999974E-2</v>
      </c>
      <c r="U67" s="3">
        <f t="shared" si="25"/>
        <v>-6.3249999999999959E-2</v>
      </c>
      <c r="V67" s="2">
        <f t="shared" si="25"/>
        <v>-1.8375000000000023E-2</v>
      </c>
      <c r="W67" s="2">
        <f t="shared" si="25"/>
        <v>-1.8375000000000023E-2</v>
      </c>
      <c r="X67" s="2">
        <f t="shared" si="25"/>
        <v>-3.6750000000000047E-2</v>
      </c>
    </row>
    <row r="68" spans="1:24">
      <c r="A68" s="6">
        <v>1</v>
      </c>
      <c r="B68" s="6">
        <v>1</v>
      </c>
      <c r="C68" s="6">
        <v>1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/>
      <c r="K68" s="6"/>
      <c r="L68" s="6">
        <f>$G$4</f>
        <v>57.55</v>
      </c>
      <c r="M68" s="6">
        <f>2*L68-$M$4</f>
        <v>55.099999999999994</v>
      </c>
      <c r="N68" s="6"/>
      <c r="O68" s="7" t="s">
        <v>66</v>
      </c>
      <c r="P68" s="2">
        <f t="shared" si="25"/>
        <v>-0.21188888888888888</v>
      </c>
      <c r="Q68" s="2">
        <f t="shared" si="25"/>
        <v>-0.21188888888888888</v>
      </c>
      <c r="R68" s="2">
        <f t="shared" si="25"/>
        <v>-0.16188888888888883</v>
      </c>
      <c r="S68" s="2">
        <f t="shared" si="25"/>
        <v>-0.10788888888888885</v>
      </c>
      <c r="T68" s="2">
        <f t="shared" si="25"/>
        <v>-6.2888888888888855E-2</v>
      </c>
      <c r="U68" s="3">
        <f t="shared" si="25"/>
        <v>-6.1888888888888847E-2</v>
      </c>
      <c r="V68" s="2">
        <f t="shared" si="25"/>
        <v>-1.9055555555555579E-2</v>
      </c>
      <c r="W68" s="2">
        <f t="shared" si="25"/>
        <v>-1.9055555555555579E-2</v>
      </c>
      <c r="X68" s="2">
        <f t="shared" si="25"/>
        <v>-3.8111111111111158E-2</v>
      </c>
    </row>
    <row r="70" spans="1:24" ht="18">
      <c r="A70" s="14" t="s">
        <v>99</v>
      </c>
    </row>
    <row r="71" spans="1:24">
      <c r="N71" s="6" t="s">
        <v>89</v>
      </c>
      <c r="O71" s="4" t="s">
        <v>2</v>
      </c>
      <c r="P71" s="3">
        <f t="shared" ref="P71:X71" si="26">MIN(P72,P73)</f>
        <v>-0.20916666666666664</v>
      </c>
      <c r="Q71" s="3">
        <f t="shared" si="26"/>
        <v>-0.20916666666666664</v>
      </c>
      <c r="R71" s="3">
        <f t="shared" si="26"/>
        <v>-0.15916666666666662</v>
      </c>
      <c r="S71" s="3">
        <f t="shared" si="26"/>
        <v>-0.10516666666666664</v>
      </c>
      <c r="T71" s="3">
        <f t="shared" si="26"/>
        <v>-6.0500000000000005E-2</v>
      </c>
      <c r="U71" s="3">
        <f t="shared" si="26"/>
        <v>-6.0928571428571436E-2</v>
      </c>
      <c r="V71" s="3">
        <f t="shared" si="26"/>
        <v>-0.11485714285714284</v>
      </c>
      <c r="W71" s="3">
        <f t="shared" si="26"/>
        <v>-0.11485714285714284</v>
      </c>
      <c r="X71" s="3">
        <f t="shared" si="26"/>
        <v>-0.13935714285714285</v>
      </c>
    </row>
    <row r="72" spans="1:24">
      <c r="A72" s="6">
        <v>1</v>
      </c>
      <c r="B72" s="6">
        <v>1</v>
      </c>
      <c r="C72" s="6">
        <v>1</v>
      </c>
      <c r="D72" s="6">
        <v>1</v>
      </c>
      <c r="E72" s="6">
        <v>1</v>
      </c>
      <c r="F72" s="6">
        <v>1</v>
      </c>
      <c r="G72" s="6">
        <v>1</v>
      </c>
      <c r="H72" s="6"/>
      <c r="I72" s="6"/>
      <c r="J72" s="6"/>
      <c r="K72" s="6"/>
      <c r="L72" s="6">
        <f>$E$4</f>
        <v>49.9</v>
      </c>
      <c r="M72" s="6">
        <f>2*L72-$M$4</f>
        <v>39.799999999999997</v>
      </c>
      <c r="O72" s="7" t="s">
        <v>11</v>
      </c>
      <c r="P72" s="2">
        <f t="shared" ref="P72:X73" si="27">(-0.01/($A72+$B72+$C72+$D72+$E72+$F72+$G72+$H72+$I72+$J72+$K72)*($A72*ABS(MAX($A$4,$M72)-A$4)+$B72*ABS(MAX($B$4,$M72)-A$4)+$C72*ABS(MAX($C$4,$M72)-A$4)+$D72*ABS(MAX($D$4,$M72)-A$4)+$E72*ABS(MAX($E$4,$M72)-A$4)+$F72*ABS(MAX($F$4,$M72)-A$4)+$G72*ABS(MAX($G$4,$M72)-A$4)+$H72*ABS(MAX($H$4,$M72)-A$4)+$I72*ABS(MAX($I$4,$M72)-A$4)+$J72*ABS(MAX($J$4,$M72)-A$4)+$K72*ABS(MAX($K$4,$M72)-A$4)))</f>
        <v>-0.11064285714285713</v>
      </c>
      <c r="Q72" s="2">
        <f t="shared" si="27"/>
        <v>-0.11064285714285713</v>
      </c>
      <c r="R72" s="2">
        <f t="shared" si="27"/>
        <v>-6.1785714285714284E-2</v>
      </c>
      <c r="S72" s="2">
        <f t="shared" si="27"/>
        <v>-5.4071428571428576E-2</v>
      </c>
      <c r="T72" s="2">
        <f t="shared" si="27"/>
        <v>-6.0500000000000005E-2</v>
      </c>
      <c r="U72" s="3">
        <f t="shared" si="27"/>
        <v>-6.0928571428571436E-2</v>
      </c>
      <c r="V72" s="2">
        <f t="shared" si="27"/>
        <v>-0.11485714285714284</v>
      </c>
      <c r="W72" s="2">
        <f t="shared" si="27"/>
        <v>-0.11485714285714284</v>
      </c>
      <c r="X72" s="2">
        <f t="shared" si="27"/>
        <v>-0.13935714285714285</v>
      </c>
    </row>
    <row r="73" spans="1:24">
      <c r="A73" s="6"/>
      <c r="B73" s="6"/>
      <c r="C73" s="6">
        <v>1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/>
      <c r="J73" s="6"/>
      <c r="K73" s="6"/>
      <c r="L73" s="6">
        <f>$G$4</f>
        <v>57.55</v>
      </c>
      <c r="M73" s="6">
        <f>2*L73-$M$4</f>
        <v>55.099999999999994</v>
      </c>
      <c r="N73" s="6"/>
      <c r="O73" s="7" t="s">
        <v>10</v>
      </c>
      <c r="P73" s="2">
        <f t="shared" si="27"/>
        <v>-0.20916666666666664</v>
      </c>
      <c r="Q73" s="2">
        <f t="shared" si="27"/>
        <v>-0.20916666666666664</v>
      </c>
      <c r="R73" s="2">
        <f t="shared" si="27"/>
        <v>-0.15916666666666662</v>
      </c>
      <c r="S73" s="2">
        <f t="shared" si="27"/>
        <v>-0.10516666666666664</v>
      </c>
      <c r="T73" s="2">
        <f t="shared" si="27"/>
        <v>-6.0166666666666639E-2</v>
      </c>
      <c r="U73" s="3">
        <f t="shared" si="27"/>
        <v>-5.9166666666666624E-2</v>
      </c>
      <c r="V73" s="2">
        <f t="shared" si="27"/>
        <v>-1.6333333333333352E-2</v>
      </c>
      <c r="W73" s="2">
        <f t="shared" si="27"/>
        <v>-1.6333333333333352E-2</v>
      </c>
      <c r="X73" s="2">
        <f t="shared" si="27"/>
        <v>-4.0833333333333381E-2</v>
      </c>
    </row>
    <row r="75" spans="1:24" ht="18">
      <c r="A75" s="13" t="s">
        <v>100</v>
      </c>
    </row>
    <row r="76" spans="1:24" ht="18.7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 t="s">
        <v>74</v>
      </c>
      <c r="O76" s="4" t="s">
        <v>2</v>
      </c>
      <c r="P76" s="3">
        <f t="shared" ref="P76:X76" si="28">MIN(P77,P78,P79)</f>
        <v>-0.20916666666666664</v>
      </c>
      <c r="Q76" s="3">
        <f t="shared" si="28"/>
        <v>-0.20916666666666664</v>
      </c>
      <c r="R76" s="3">
        <f t="shared" si="28"/>
        <v>-0.15916666666666662</v>
      </c>
      <c r="S76" s="3">
        <f t="shared" si="28"/>
        <v>-0.10516666666666664</v>
      </c>
      <c r="T76" s="3">
        <f t="shared" si="28"/>
        <v>-6.0166666666666639E-2</v>
      </c>
      <c r="U76" s="3">
        <f t="shared" si="28"/>
        <v>-5.9166666666666624E-2</v>
      </c>
      <c r="V76" s="3">
        <f t="shared" si="28"/>
        <v>-0.13333333333333333</v>
      </c>
      <c r="W76" s="3">
        <f t="shared" si="28"/>
        <v>-0.13333333333333333</v>
      </c>
      <c r="X76" s="3">
        <f t="shared" si="28"/>
        <v>-0.15783333333333333</v>
      </c>
    </row>
    <row r="77" spans="1:24">
      <c r="A77" s="6">
        <v>1</v>
      </c>
      <c r="B77" s="6">
        <v>1</v>
      </c>
      <c r="C77" s="6">
        <v>1</v>
      </c>
      <c r="D77" s="6">
        <v>1</v>
      </c>
      <c r="E77" s="6">
        <v>1</v>
      </c>
      <c r="F77" s="6">
        <v>1</v>
      </c>
      <c r="G77" s="6"/>
      <c r="H77" s="6"/>
      <c r="I77" s="6"/>
      <c r="J77" s="6"/>
      <c r="K77" s="6"/>
      <c r="L77" s="6">
        <f>$F$4</f>
        <v>50</v>
      </c>
      <c r="M77" s="6">
        <f>2*L77-$M$4</f>
        <v>40</v>
      </c>
      <c r="O77" s="7" t="s">
        <v>75</v>
      </c>
      <c r="P77" s="2">
        <f t="shared" ref="P77:X79" si="29">(-0.01/($A77+$B77+$C77+$D77+$E77+$F77+$G77+$H77+$I77+$J77+$K77)*($A77*ABS(MAX($A$4,$M77)-A$4)+$B77*ABS(MAX($B$4,$M77)-A$4)+$C77*ABS(MAX($C$4,$M77)-A$4)+$D77*ABS(MAX($D$4,$M77)-A$4)+$E77*ABS(MAX($E$4,$M77)-A$4)+$F77*ABS(MAX($F$4,$M77)-A$4)+$G77*ABS(MAX($G$4,$M77)-A$4)+$H77*ABS(MAX($H$4,$M77)-A$4)+$I77*ABS(MAX($I$4,$M77)-A$4)+$J77*ABS(MAX($J$4,$M77)-A$4)+$K77*ABS(MAX($K$4,$M77)-A$4)))</f>
        <v>-9.2166666666666675E-2</v>
      </c>
      <c r="Q77" s="2">
        <f t="shared" si="29"/>
        <v>-9.2166666666666675E-2</v>
      </c>
      <c r="R77" s="2">
        <f t="shared" si="29"/>
        <v>-4.2166666666666665E-2</v>
      </c>
      <c r="S77" s="2">
        <f t="shared" si="29"/>
        <v>-4.2166666666666665E-2</v>
      </c>
      <c r="T77" s="2">
        <f t="shared" si="29"/>
        <v>-5.7166666666666664E-2</v>
      </c>
      <c r="U77" s="3">
        <f t="shared" si="29"/>
        <v>-5.7833333333333341E-2</v>
      </c>
      <c r="V77" s="2">
        <f t="shared" si="29"/>
        <v>-0.13333333333333333</v>
      </c>
      <c r="W77" s="2">
        <f t="shared" si="29"/>
        <v>-0.13333333333333333</v>
      </c>
      <c r="X77" s="2">
        <f t="shared" si="29"/>
        <v>-0.15783333333333333</v>
      </c>
    </row>
    <row r="78" spans="1:24">
      <c r="A78" s="6">
        <v>1</v>
      </c>
      <c r="B78" s="6">
        <v>1</v>
      </c>
      <c r="C78" s="6">
        <v>1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/>
      <c r="J78" s="6"/>
      <c r="K78" s="6"/>
      <c r="L78" s="6">
        <f>$H$4</f>
        <v>57.55</v>
      </c>
      <c r="M78" s="6">
        <f>2*L78-$M$4</f>
        <v>55.099999999999994</v>
      </c>
      <c r="N78" s="6"/>
      <c r="O78" s="7" t="s">
        <v>76</v>
      </c>
      <c r="P78" s="2">
        <f t="shared" si="29"/>
        <v>-0.207125</v>
      </c>
      <c r="Q78" s="2">
        <f t="shared" si="29"/>
        <v>-0.207125</v>
      </c>
      <c r="R78" s="2">
        <f t="shared" si="29"/>
        <v>-0.15712499999999996</v>
      </c>
      <c r="S78" s="2">
        <f t="shared" si="29"/>
        <v>-0.10312499999999997</v>
      </c>
      <c r="T78" s="2">
        <f t="shared" si="29"/>
        <v>-5.8124999999999968E-2</v>
      </c>
      <c r="U78" s="3">
        <f t="shared" si="29"/>
        <v>-5.7124999999999954E-2</v>
      </c>
      <c r="V78" s="2">
        <f t="shared" si="29"/>
        <v>-1.8375000000000023E-2</v>
      </c>
      <c r="W78" s="2">
        <f t="shared" si="29"/>
        <v>-1.8375000000000023E-2</v>
      </c>
      <c r="X78" s="2">
        <f t="shared" si="29"/>
        <v>-4.2875000000000052E-2</v>
      </c>
    </row>
    <row r="79" spans="1:24">
      <c r="A79" s="6"/>
      <c r="B79" s="6">
        <v>1</v>
      </c>
      <c r="C79" s="6">
        <v>1</v>
      </c>
      <c r="D79" s="6"/>
      <c r="E79" s="6">
        <v>1</v>
      </c>
      <c r="F79" s="6">
        <v>1</v>
      </c>
      <c r="G79" s="6">
        <v>1</v>
      </c>
      <c r="H79" s="6">
        <v>1</v>
      </c>
      <c r="I79" s="6"/>
      <c r="J79" s="6"/>
      <c r="K79" s="6"/>
      <c r="L79" s="6">
        <f>$H$4</f>
        <v>57.55</v>
      </c>
      <c r="M79" s="6">
        <f>2*L79-$M$4</f>
        <v>55.099999999999994</v>
      </c>
      <c r="N79" s="6"/>
      <c r="O79" s="7" t="s">
        <v>77</v>
      </c>
      <c r="P79" s="2">
        <f t="shared" si="29"/>
        <v>-0.20916666666666664</v>
      </c>
      <c r="Q79" s="2">
        <f t="shared" si="29"/>
        <v>-0.20916666666666664</v>
      </c>
      <c r="R79" s="2">
        <f t="shared" si="29"/>
        <v>-0.15916666666666662</v>
      </c>
      <c r="S79" s="2">
        <f t="shared" si="29"/>
        <v>-0.10516666666666664</v>
      </c>
      <c r="T79" s="2">
        <f t="shared" si="29"/>
        <v>-6.0166666666666639E-2</v>
      </c>
      <c r="U79" s="3">
        <f t="shared" si="29"/>
        <v>-5.9166666666666624E-2</v>
      </c>
      <c r="V79" s="2">
        <f t="shared" si="29"/>
        <v>-1.6333333333333352E-2</v>
      </c>
      <c r="W79" s="2">
        <f t="shared" si="29"/>
        <v>-1.6333333333333352E-2</v>
      </c>
      <c r="X79" s="2">
        <f t="shared" si="29"/>
        <v>-4.0833333333333381E-2</v>
      </c>
    </row>
  </sheetData>
  <pageMargins left="0.7" right="0.7" top="0.75" bottom="0.75" header="0.3" footer="0.3"/>
  <pageSetup paperSize="9" orientation="portrait" r:id="rId1"/>
  <ignoredErrors>
    <ignoredError sqref="O6:X8 O9:O34" numberStoredAsText="1"/>
    <ignoredError sqref="P9:X34" numberStoredAsText="1" formula="1"/>
    <ignoredError sqref="L15:L37 P38:X56 L45:L5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Gerald Pech</cp:lastModifiedBy>
  <cp:lastPrinted>2011-03-26T09:27:21Z</cp:lastPrinted>
  <dcterms:created xsi:type="dcterms:W3CDTF">2010-08-17T09:17:40Z</dcterms:created>
  <dcterms:modified xsi:type="dcterms:W3CDTF">2011-11-06T09:53:06Z</dcterms:modified>
</cp:coreProperties>
</file>