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60" windowWidth="15315" windowHeight="8505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H113" i="1" l="1"/>
  <c r="D115" i="1"/>
  <c r="D116" i="1"/>
  <c r="C115" i="1"/>
  <c r="B116" i="1"/>
  <c r="B115" i="1"/>
  <c r="G113" i="1"/>
  <c r="C113" i="1"/>
  <c r="D113" i="1"/>
  <c r="E113" i="1"/>
  <c r="B113" i="1"/>
  <c r="D3" i="1"/>
  <c r="E3" i="1"/>
  <c r="D4" i="1"/>
  <c r="E4" i="1"/>
  <c r="D5" i="1"/>
  <c r="E5" i="1"/>
  <c r="D6" i="1"/>
  <c r="E6" i="1"/>
  <c r="D7" i="1"/>
  <c r="E7" i="1"/>
  <c r="D8" i="1"/>
  <c r="E8" i="1"/>
  <c r="D9" i="1"/>
  <c r="E9" i="1"/>
  <c r="D10" i="1"/>
  <c r="E10" i="1"/>
  <c r="D11" i="1"/>
  <c r="E11" i="1"/>
  <c r="D12" i="1"/>
  <c r="E12" i="1"/>
  <c r="D13" i="1"/>
  <c r="E13" i="1"/>
  <c r="D14" i="1"/>
  <c r="E14" i="1"/>
  <c r="D15" i="1"/>
  <c r="E15" i="1"/>
  <c r="D16" i="1"/>
  <c r="E16" i="1"/>
  <c r="D17" i="1"/>
  <c r="E17" i="1"/>
  <c r="D18" i="1"/>
  <c r="E18" i="1"/>
  <c r="D19" i="1"/>
  <c r="E19" i="1"/>
  <c r="D20" i="1"/>
  <c r="E20" i="1"/>
  <c r="D21" i="1"/>
  <c r="E21" i="1"/>
  <c r="D22" i="1"/>
  <c r="E22" i="1"/>
  <c r="D23" i="1"/>
  <c r="E23" i="1"/>
  <c r="D24" i="1"/>
  <c r="E24" i="1"/>
  <c r="D25" i="1"/>
  <c r="E25" i="1"/>
  <c r="D26" i="1"/>
  <c r="E26" i="1"/>
  <c r="D27" i="1"/>
  <c r="E27" i="1"/>
  <c r="D28" i="1"/>
  <c r="E28" i="1"/>
  <c r="D29" i="1"/>
  <c r="E29" i="1"/>
  <c r="D30" i="1"/>
  <c r="E30" i="1"/>
  <c r="D31" i="1"/>
  <c r="E31" i="1"/>
  <c r="D32" i="1"/>
  <c r="E32" i="1"/>
  <c r="D33" i="1"/>
  <c r="E33" i="1"/>
  <c r="D34" i="1"/>
  <c r="E34" i="1"/>
  <c r="D35" i="1"/>
  <c r="E35" i="1"/>
  <c r="D36" i="1"/>
  <c r="E36" i="1"/>
  <c r="D37" i="1"/>
  <c r="E37" i="1"/>
  <c r="D38" i="1"/>
  <c r="E38" i="1"/>
  <c r="D39" i="1"/>
  <c r="E39" i="1"/>
  <c r="D40" i="1"/>
  <c r="E40" i="1"/>
  <c r="D41" i="1"/>
  <c r="E41" i="1"/>
  <c r="D42" i="1"/>
  <c r="E42" i="1"/>
  <c r="D43" i="1"/>
  <c r="E43" i="1"/>
  <c r="D44" i="1"/>
  <c r="E44" i="1"/>
  <c r="D45" i="1"/>
  <c r="E45" i="1"/>
  <c r="D46" i="1"/>
  <c r="E46" i="1"/>
  <c r="D47" i="1"/>
  <c r="E47" i="1"/>
  <c r="D48" i="1"/>
  <c r="E48" i="1"/>
  <c r="D49" i="1"/>
  <c r="E49" i="1"/>
  <c r="D50" i="1"/>
  <c r="E50" i="1"/>
  <c r="D51" i="1"/>
  <c r="E51" i="1"/>
  <c r="D52" i="1"/>
  <c r="E52" i="1"/>
  <c r="D53" i="1"/>
  <c r="E53" i="1"/>
  <c r="D54" i="1"/>
  <c r="E54" i="1"/>
  <c r="D55" i="1"/>
  <c r="E55" i="1"/>
  <c r="D56" i="1"/>
  <c r="E56" i="1"/>
  <c r="D57" i="1"/>
  <c r="E57" i="1"/>
  <c r="D58" i="1"/>
  <c r="E58" i="1"/>
  <c r="D59" i="1"/>
  <c r="E59" i="1"/>
  <c r="D60" i="1"/>
  <c r="E60" i="1"/>
  <c r="D61" i="1"/>
  <c r="E61" i="1"/>
  <c r="D62" i="1"/>
  <c r="E62" i="1"/>
  <c r="D63" i="1"/>
  <c r="E63" i="1"/>
  <c r="D64" i="1"/>
  <c r="E64" i="1"/>
  <c r="D65" i="1"/>
  <c r="E65" i="1"/>
  <c r="D66" i="1"/>
  <c r="E66" i="1"/>
  <c r="D67" i="1"/>
  <c r="E67" i="1"/>
  <c r="D68" i="1"/>
  <c r="E68" i="1"/>
  <c r="D69" i="1"/>
  <c r="E69" i="1"/>
  <c r="D70" i="1"/>
  <c r="E70" i="1"/>
  <c r="D71" i="1"/>
  <c r="E71" i="1"/>
  <c r="D72" i="1"/>
  <c r="E72" i="1"/>
  <c r="D73" i="1"/>
  <c r="E73" i="1"/>
  <c r="D74" i="1"/>
  <c r="E74" i="1"/>
  <c r="D75" i="1"/>
  <c r="E75" i="1"/>
  <c r="D76" i="1"/>
  <c r="E76" i="1"/>
  <c r="D77" i="1"/>
  <c r="E77" i="1"/>
  <c r="D78" i="1"/>
  <c r="E78" i="1"/>
  <c r="D79" i="1"/>
  <c r="E79" i="1"/>
  <c r="D80" i="1"/>
  <c r="E80" i="1"/>
  <c r="D81" i="1"/>
  <c r="E81" i="1"/>
  <c r="D82" i="1"/>
  <c r="E82" i="1"/>
  <c r="D83" i="1"/>
  <c r="E83" i="1"/>
  <c r="D84" i="1"/>
  <c r="E84" i="1"/>
  <c r="D85" i="1"/>
  <c r="E85" i="1"/>
  <c r="D86" i="1"/>
  <c r="E86" i="1"/>
  <c r="D87" i="1"/>
  <c r="E87" i="1"/>
  <c r="D88" i="1"/>
  <c r="E88" i="1"/>
  <c r="D89" i="1"/>
  <c r="E89" i="1"/>
  <c r="D90" i="1"/>
  <c r="E90" i="1"/>
  <c r="D91" i="1"/>
  <c r="E91" i="1"/>
  <c r="D92" i="1"/>
  <c r="E92" i="1"/>
  <c r="D93" i="1"/>
  <c r="E93" i="1"/>
  <c r="D94" i="1"/>
  <c r="E94" i="1"/>
  <c r="D95" i="1"/>
  <c r="E95" i="1"/>
  <c r="D96" i="1"/>
  <c r="E96" i="1"/>
  <c r="D97" i="1"/>
  <c r="E97" i="1"/>
  <c r="D98" i="1"/>
  <c r="E98" i="1"/>
  <c r="D99" i="1"/>
  <c r="E99" i="1"/>
  <c r="D100" i="1"/>
  <c r="E100" i="1"/>
  <c r="D101" i="1"/>
  <c r="E101" i="1"/>
  <c r="D102" i="1"/>
  <c r="E102" i="1"/>
  <c r="D103" i="1"/>
  <c r="E103" i="1"/>
  <c r="D104" i="1"/>
  <c r="E104" i="1"/>
  <c r="D105" i="1"/>
  <c r="E105" i="1"/>
  <c r="D106" i="1"/>
  <c r="E106" i="1"/>
  <c r="D107" i="1"/>
  <c r="E107" i="1"/>
  <c r="D108" i="1"/>
  <c r="E108" i="1"/>
  <c r="D109" i="1"/>
  <c r="E109" i="1"/>
  <c r="D110" i="1"/>
  <c r="E110" i="1"/>
  <c r="D111" i="1"/>
  <c r="E111" i="1"/>
  <c r="E2" i="1"/>
  <c r="D2" i="1"/>
</calcChain>
</file>

<file path=xl/sharedStrings.xml><?xml version="1.0" encoding="utf-8"?>
<sst xmlns="http://schemas.openxmlformats.org/spreadsheetml/2006/main" count="141" uniqueCount="140">
  <si>
    <t>Newsround</t>
  </si>
  <si>
    <t>Newsnight</t>
  </si>
  <si>
    <t>Spooks</t>
  </si>
  <si>
    <t>Adam Adamant</t>
  </si>
  <si>
    <t>Postman Pat</t>
  </si>
  <si>
    <t>Blackadder</t>
  </si>
  <si>
    <t>Hancock</t>
  </si>
  <si>
    <t>Yes Minister</t>
  </si>
  <si>
    <t>Later with Jools Holland</t>
  </si>
  <si>
    <t>Pride and Prejudice</t>
  </si>
  <si>
    <t>Hitchhikers Guide</t>
  </si>
  <si>
    <t>Mr Benn</t>
  </si>
  <si>
    <t>Casualty</t>
  </si>
  <si>
    <t>Horrible Histories</t>
  </si>
  <si>
    <t>Quatermass</t>
  </si>
  <si>
    <t>Two Ronnies</t>
  </si>
  <si>
    <t>The Thick of It</t>
  </si>
  <si>
    <t>Round the Horne</t>
  </si>
  <si>
    <t>The Goon Show</t>
  </si>
  <si>
    <t>Blakes 7</t>
  </si>
  <si>
    <t>Gardners Question Time</t>
  </si>
  <si>
    <t>Last of the Summer Wine</t>
  </si>
  <si>
    <t>Steptoe and Son</t>
  </si>
  <si>
    <t>Clangers</t>
  </si>
  <si>
    <t>The Young Ones</t>
  </si>
  <si>
    <t>Edge of Darkness</t>
  </si>
  <si>
    <t>Tinker Tailor Soldier Spy</t>
  </si>
  <si>
    <t>Letter from America</t>
  </si>
  <si>
    <t>The Mighty Boosh</t>
  </si>
  <si>
    <t>QI</t>
  </si>
  <si>
    <t>Panorama</t>
  </si>
  <si>
    <t>Bagpuss</t>
  </si>
  <si>
    <t>I Claudius</t>
  </si>
  <si>
    <t>Absolutely Fabulous</t>
  </si>
  <si>
    <t>Red Dwarf</t>
  </si>
  <si>
    <t>Our Friends in the North</t>
  </si>
  <si>
    <t>Culture Show</t>
  </si>
  <si>
    <t>Womans Hour</t>
  </si>
  <si>
    <t>Charlie and Lola</t>
  </si>
  <si>
    <t>Alan Partridge</t>
  </si>
  <si>
    <t>Sherlock</t>
  </si>
  <si>
    <t>News at Six O'Clock</t>
  </si>
  <si>
    <t>Live Aid</t>
  </si>
  <si>
    <t>Likely Lads</t>
  </si>
  <si>
    <t>This Life</t>
  </si>
  <si>
    <t>That's Life</t>
  </si>
  <si>
    <t>Life on Earth</t>
  </si>
  <si>
    <t>The Good Life</t>
  </si>
  <si>
    <t>Till Death Us Do Part</t>
  </si>
  <si>
    <t>News Quiz</t>
  </si>
  <si>
    <t>Keeping Up Appearances</t>
  </si>
  <si>
    <t>Outnumbered</t>
  </si>
  <si>
    <t>Miranda</t>
  </si>
  <si>
    <t>Who Do You Think You Are</t>
  </si>
  <si>
    <t>Tripods</t>
  </si>
  <si>
    <t>Fireman Sam</t>
  </si>
  <si>
    <t>The Ascent of Man</t>
  </si>
  <si>
    <t>One Foot in the Grave</t>
  </si>
  <si>
    <t>Antiques Roadshow</t>
  </si>
  <si>
    <t>The League of Gentlemen</t>
  </si>
  <si>
    <t>Have I Got News For You</t>
  </si>
  <si>
    <t>Hairy Bikers</t>
  </si>
  <si>
    <t>Being Human</t>
  </si>
  <si>
    <t>In The Night Garden</t>
  </si>
  <si>
    <t>You and Me</t>
  </si>
  <si>
    <t>Monty Python</t>
  </si>
  <si>
    <t>Doctor Who</t>
  </si>
  <si>
    <t>Top Gear</t>
  </si>
  <si>
    <t>Merlin</t>
  </si>
  <si>
    <t>Ivor the Engine</t>
  </si>
  <si>
    <t>Watchdog</t>
  </si>
  <si>
    <t>Springwatch</t>
  </si>
  <si>
    <t>Blue Peter</t>
  </si>
  <si>
    <t>Swap Shop</t>
  </si>
  <si>
    <t>Top of the Pops</t>
  </si>
  <si>
    <t>Trumpton</t>
  </si>
  <si>
    <t>The Archers</t>
  </si>
  <si>
    <t>TW3</t>
  </si>
  <si>
    <t>Goodies</t>
  </si>
  <si>
    <t>Songs of Praise</t>
  </si>
  <si>
    <t>The World at One</t>
  </si>
  <si>
    <t>The Day Today</t>
  </si>
  <si>
    <t>Sorry I Haven't A Clue</t>
  </si>
  <si>
    <t>Not the Nine O'Clock News</t>
  </si>
  <si>
    <t>Nationwide</t>
  </si>
  <si>
    <t>Mr Men</t>
  </si>
  <si>
    <t>EastEnders</t>
  </si>
  <si>
    <t>Bottom</t>
  </si>
  <si>
    <t>Ripping Yarns</t>
  </si>
  <si>
    <t>Test Match Special</t>
  </si>
  <si>
    <t>Bergerac</t>
  </si>
  <si>
    <t>Perfect Day</t>
  </si>
  <si>
    <t>Radio Active</t>
  </si>
  <si>
    <t>Howards Way</t>
  </si>
  <si>
    <t>Final Score</t>
  </si>
  <si>
    <t>Only Fools and Horses</t>
  </si>
  <si>
    <t>Sky at Night</t>
  </si>
  <si>
    <t>Shooting Stars</t>
  </si>
  <si>
    <t>Teletubbies</t>
  </si>
  <si>
    <t>Life on Mars</t>
  </si>
  <si>
    <t>Jackanory</t>
  </si>
  <si>
    <t>Bit of Fry and Laurie</t>
  </si>
  <si>
    <t>Children in Need</t>
  </si>
  <si>
    <t>The Office</t>
  </si>
  <si>
    <t>The Wombles</t>
  </si>
  <si>
    <t>Bob the Builder</t>
  </si>
  <si>
    <t>Gavin and Stacey</t>
  </si>
  <si>
    <t>Just A Minute</t>
  </si>
  <si>
    <t>Fawlty Towers</t>
  </si>
  <si>
    <t>Z Cars</t>
  </si>
  <si>
    <t>Started</t>
  </si>
  <si>
    <t>Finished</t>
  </si>
  <si>
    <t>Duration</t>
  </si>
  <si>
    <t>Mean year</t>
  </si>
  <si>
    <t>1955 series ignored</t>
  </si>
  <si>
    <t>Includes all shows which they fronted</t>
  </si>
  <si>
    <t>Ignores 2001 revamp and treats as one series</t>
  </si>
  <si>
    <t>Includes pilot</t>
  </si>
  <si>
    <t>Includes In Sickness and in Health</t>
  </si>
  <si>
    <t>Discounts 2007 reunion</t>
  </si>
  <si>
    <t>Includes everything from On the Hour to I'm Alan Partridge</t>
  </si>
  <si>
    <t>Discounts Dave episodes</t>
  </si>
  <si>
    <t>Does not include Smiley's People</t>
  </si>
  <si>
    <t>Finished 2010</t>
  </si>
  <si>
    <t>Does not include The Last Goon Show of All</t>
  </si>
  <si>
    <t>Both radio series, and the tv series</t>
  </si>
  <si>
    <t>1995 version, obviously</t>
  </si>
  <si>
    <t>Includes Yes Prime Minister</t>
  </si>
  <si>
    <t>Includes Hancock's Half Hour on radio</t>
  </si>
  <si>
    <t>Discounts ITV shows, obviously</t>
  </si>
  <si>
    <t>Does not include subsequent compilations and best-of shows</t>
  </si>
  <si>
    <t>Original Arthur Lowe series only</t>
  </si>
  <si>
    <t>Does not include KYTV</t>
  </si>
  <si>
    <t>Includes Grandstand</t>
  </si>
  <si>
    <t>Includes specials</t>
  </si>
  <si>
    <t>Includes all seven series</t>
  </si>
  <si>
    <t>Does not include Ashes to Ashes</t>
  </si>
  <si>
    <t>Includes Cbeebies revival</t>
  </si>
  <si>
    <t>Telethon years only</t>
  </si>
  <si>
    <t>Does not include nineties episodes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</si>
</sst>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1" fontId="0" fillId="0" borderId="0" xfId="0" applyNumberFormat="1"/>
    <xf numFmtId="9" fontId="0" fillId="0" borderId="0" xfId="1" applyFont="1"/>
    <xf numFmtId="0" fontId="0" fillId="0" borderId="0" xfId="0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6"/>
  <sheetViews>
    <sheetView tabSelected="1" topLeftCell="A93" workbookViewId="0">
      <selection activeCell="K107" sqref="K107"/>
    </sheetView>
  </sheetViews>
  <sheetFormatPr defaultRowHeight="15" x14ac:dyDescent="0.25"/>
  <cols>
    <col min="1" max="1" width="25.28515625" bestFit="1" customWidth="1"/>
    <col min="5" max="5" width="9.140625" style="1"/>
    <col min="6" max="6" width="9.140625" style="3"/>
  </cols>
  <sheetData>
    <row r="1" spans="1:7" x14ac:dyDescent="0.25">
      <c r="B1" t="s">
        <v>110</v>
      </c>
      <c r="C1" t="s">
        <v>111</v>
      </c>
      <c r="D1" t="s">
        <v>112</v>
      </c>
      <c r="E1" s="1" t="s">
        <v>113</v>
      </c>
    </row>
    <row r="2" spans="1:7" x14ac:dyDescent="0.25">
      <c r="A2" t="s">
        <v>0</v>
      </c>
      <c r="B2">
        <v>1972</v>
      </c>
      <c r="C2">
        <v>2010</v>
      </c>
      <c r="D2">
        <f>C2-B2+1</f>
        <v>39</v>
      </c>
      <c r="E2" s="1">
        <f>AVERAGE(B2:C2)</f>
        <v>1991</v>
      </c>
    </row>
    <row r="3" spans="1:7" x14ac:dyDescent="0.25">
      <c r="A3" t="s">
        <v>1</v>
      </c>
      <c r="B3">
        <v>1980</v>
      </c>
      <c r="C3">
        <v>2010</v>
      </c>
      <c r="D3">
        <f t="shared" ref="D3:D66" si="0">C3-B3+1</f>
        <v>31</v>
      </c>
      <c r="E3" s="1">
        <f t="shared" ref="E3:E66" si="1">AVERAGE(B3:C3)</f>
        <v>1995</v>
      </c>
    </row>
    <row r="4" spans="1:7" x14ac:dyDescent="0.25">
      <c r="A4" t="s">
        <v>2</v>
      </c>
      <c r="B4">
        <v>2002</v>
      </c>
      <c r="C4">
        <v>2010</v>
      </c>
      <c r="D4">
        <f t="shared" si="0"/>
        <v>9</v>
      </c>
      <c r="E4" s="1">
        <f t="shared" si="1"/>
        <v>2006</v>
      </c>
    </row>
    <row r="5" spans="1:7" x14ac:dyDescent="0.25">
      <c r="A5" t="s">
        <v>3</v>
      </c>
      <c r="B5">
        <v>1966</v>
      </c>
      <c r="C5">
        <v>1967</v>
      </c>
      <c r="D5">
        <f t="shared" si="0"/>
        <v>2</v>
      </c>
      <c r="E5" s="1">
        <f t="shared" si="1"/>
        <v>1966.5</v>
      </c>
    </row>
    <row r="6" spans="1:7" x14ac:dyDescent="0.25">
      <c r="A6" t="s">
        <v>4</v>
      </c>
      <c r="B6">
        <v>1981</v>
      </c>
      <c r="C6">
        <v>2010</v>
      </c>
      <c r="D6">
        <f t="shared" si="0"/>
        <v>30</v>
      </c>
      <c r="E6" s="1">
        <f t="shared" si="1"/>
        <v>1995.5</v>
      </c>
    </row>
    <row r="7" spans="1:7" x14ac:dyDescent="0.25">
      <c r="A7" t="s">
        <v>5</v>
      </c>
      <c r="B7">
        <v>1983</v>
      </c>
      <c r="C7">
        <v>1989</v>
      </c>
      <c r="D7">
        <f t="shared" si="0"/>
        <v>7</v>
      </c>
      <c r="E7" s="1">
        <f t="shared" si="1"/>
        <v>1986</v>
      </c>
    </row>
    <row r="8" spans="1:7" x14ac:dyDescent="0.25">
      <c r="A8" t="s">
        <v>6</v>
      </c>
      <c r="B8">
        <v>1954</v>
      </c>
      <c r="C8">
        <v>1961</v>
      </c>
      <c r="D8">
        <f t="shared" si="0"/>
        <v>8</v>
      </c>
      <c r="E8" s="1">
        <f t="shared" si="1"/>
        <v>1957.5</v>
      </c>
      <c r="G8" t="s">
        <v>128</v>
      </c>
    </row>
    <row r="9" spans="1:7" x14ac:dyDescent="0.25">
      <c r="A9" t="s">
        <v>7</v>
      </c>
      <c r="B9">
        <v>1980</v>
      </c>
      <c r="C9">
        <v>1988</v>
      </c>
      <c r="D9">
        <f t="shared" si="0"/>
        <v>9</v>
      </c>
      <c r="E9" s="1">
        <f t="shared" si="1"/>
        <v>1984</v>
      </c>
      <c r="G9" t="s">
        <v>127</v>
      </c>
    </row>
    <row r="10" spans="1:7" x14ac:dyDescent="0.25">
      <c r="A10" t="s">
        <v>8</v>
      </c>
      <c r="B10">
        <v>1992</v>
      </c>
      <c r="C10">
        <v>2010</v>
      </c>
      <c r="D10">
        <f t="shared" si="0"/>
        <v>19</v>
      </c>
      <c r="E10" s="1">
        <f t="shared" si="1"/>
        <v>2001</v>
      </c>
    </row>
    <row r="11" spans="1:7" x14ac:dyDescent="0.25">
      <c r="A11" t="s">
        <v>9</v>
      </c>
      <c r="B11">
        <v>1995</v>
      </c>
      <c r="C11">
        <v>1995</v>
      </c>
      <c r="D11">
        <f t="shared" si="0"/>
        <v>1</v>
      </c>
      <c r="E11" s="1">
        <f t="shared" si="1"/>
        <v>1995</v>
      </c>
      <c r="G11" t="s">
        <v>126</v>
      </c>
    </row>
    <row r="12" spans="1:7" x14ac:dyDescent="0.25">
      <c r="A12" t="s">
        <v>10</v>
      </c>
      <c r="B12">
        <v>1978</v>
      </c>
      <c r="C12">
        <v>1981</v>
      </c>
      <c r="D12">
        <f t="shared" si="0"/>
        <v>4</v>
      </c>
      <c r="E12" s="1">
        <f t="shared" si="1"/>
        <v>1979.5</v>
      </c>
      <c r="G12" t="s">
        <v>125</v>
      </c>
    </row>
    <row r="13" spans="1:7" x14ac:dyDescent="0.25">
      <c r="A13" t="s">
        <v>11</v>
      </c>
      <c r="B13">
        <v>1971</v>
      </c>
      <c r="C13">
        <v>1972</v>
      </c>
      <c r="D13">
        <f t="shared" si="0"/>
        <v>2</v>
      </c>
      <c r="E13" s="1">
        <f t="shared" si="1"/>
        <v>1971.5</v>
      </c>
    </row>
    <row r="14" spans="1:7" x14ac:dyDescent="0.25">
      <c r="A14" t="s">
        <v>12</v>
      </c>
      <c r="B14">
        <v>1986</v>
      </c>
      <c r="C14">
        <v>2010</v>
      </c>
      <c r="D14">
        <f t="shared" si="0"/>
        <v>25</v>
      </c>
      <c r="E14" s="1">
        <f t="shared" si="1"/>
        <v>1998</v>
      </c>
    </row>
    <row r="15" spans="1:7" x14ac:dyDescent="0.25">
      <c r="A15" t="s">
        <v>13</v>
      </c>
      <c r="B15">
        <v>2001</v>
      </c>
      <c r="C15">
        <v>2002</v>
      </c>
      <c r="D15">
        <f t="shared" si="0"/>
        <v>2</v>
      </c>
      <c r="E15" s="1">
        <f t="shared" si="1"/>
        <v>2001.5</v>
      </c>
    </row>
    <row r="16" spans="1:7" x14ac:dyDescent="0.25">
      <c r="A16" t="s">
        <v>14</v>
      </c>
      <c r="B16">
        <v>1953</v>
      </c>
      <c r="C16">
        <v>1959</v>
      </c>
      <c r="D16">
        <f t="shared" si="0"/>
        <v>7</v>
      </c>
      <c r="E16" s="1">
        <f t="shared" si="1"/>
        <v>1956</v>
      </c>
    </row>
    <row r="17" spans="1:7" x14ac:dyDescent="0.25">
      <c r="A17" t="s">
        <v>15</v>
      </c>
      <c r="B17">
        <v>1971</v>
      </c>
      <c r="C17">
        <v>1987</v>
      </c>
      <c r="D17">
        <f t="shared" si="0"/>
        <v>17</v>
      </c>
      <c r="E17" s="1">
        <f t="shared" si="1"/>
        <v>1979</v>
      </c>
      <c r="G17" t="s">
        <v>130</v>
      </c>
    </row>
    <row r="18" spans="1:7" x14ac:dyDescent="0.25">
      <c r="A18" t="s">
        <v>16</v>
      </c>
      <c r="B18">
        <v>2005</v>
      </c>
      <c r="C18">
        <v>2010</v>
      </c>
      <c r="D18">
        <f t="shared" si="0"/>
        <v>6</v>
      </c>
      <c r="E18" s="1">
        <f t="shared" si="1"/>
        <v>2007.5</v>
      </c>
    </row>
    <row r="19" spans="1:7" x14ac:dyDescent="0.25">
      <c r="A19" t="s">
        <v>17</v>
      </c>
      <c r="B19">
        <v>1965</v>
      </c>
      <c r="C19">
        <v>1968</v>
      </c>
      <c r="D19">
        <f t="shared" si="0"/>
        <v>4</v>
      </c>
      <c r="E19" s="1">
        <f t="shared" si="1"/>
        <v>1966.5</v>
      </c>
    </row>
    <row r="20" spans="1:7" x14ac:dyDescent="0.25">
      <c r="A20" t="s">
        <v>18</v>
      </c>
      <c r="B20">
        <v>1951</v>
      </c>
      <c r="C20">
        <v>1960</v>
      </c>
      <c r="D20">
        <f t="shared" si="0"/>
        <v>10</v>
      </c>
      <c r="E20" s="1">
        <f t="shared" si="1"/>
        <v>1955.5</v>
      </c>
      <c r="G20" t="s">
        <v>124</v>
      </c>
    </row>
    <row r="21" spans="1:7" x14ac:dyDescent="0.25">
      <c r="A21" t="s">
        <v>19</v>
      </c>
      <c r="B21">
        <v>1978</v>
      </c>
      <c r="C21">
        <v>1981</v>
      </c>
      <c r="D21">
        <f t="shared" si="0"/>
        <v>4</v>
      </c>
      <c r="E21" s="1">
        <f t="shared" si="1"/>
        <v>1979.5</v>
      </c>
    </row>
    <row r="22" spans="1:7" x14ac:dyDescent="0.25">
      <c r="A22" t="s">
        <v>20</v>
      </c>
      <c r="B22">
        <v>1947</v>
      </c>
      <c r="C22">
        <v>2010</v>
      </c>
      <c r="D22">
        <f t="shared" si="0"/>
        <v>64</v>
      </c>
      <c r="E22" s="1">
        <f t="shared" si="1"/>
        <v>1978.5</v>
      </c>
    </row>
    <row r="23" spans="1:7" x14ac:dyDescent="0.25">
      <c r="A23" t="s">
        <v>21</v>
      </c>
      <c r="B23">
        <v>1973</v>
      </c>
      <c r="C23">
        <v>2010</v>
      </c>
      <c r="D23">
        <f t="shared" si="0"/>
        <v>38</v>
      </c>
      <c r="E23" s="1">
        <f t="shared" si="1"/>
        <v>1991.5</v>
      </c>
      <c r="G23" t="s">
        <v>123</v>
      </c>
    </row>
    <row r="24" spans="1:7" x14ac:dyDescent="0.25">
      <c r="A24" t="s">
        <v>22</v>
      </c>
      <c r="B24">
        <v>1962</v>
      </c>
      <c r="C24">
        <v>1974</v>
      </c>
      <c r="D24">
        <f t="shared" si="0"/>
        <v>13</v>
      </c>
      <c r="E24" s="1">
        <f t="shared" si="1"/>
        <v>1968</v>
      </c>
    </row>
    <row r="25" spans="1:7" x14ac:dyDescent="0.25">
      <c r="A25" t="s">
        <v>23</v>
      </c>
      <c r="B25">
        <v>1969</v>
      </c>
      <c r="C25">
        <v>1972</v>
      </c>
      <c r="D25">
        <f t="shared" si="0"/>
        <v>4</v>
      </c>
      <c r="E25" s="1">
        <f t="shared" si="1"/>
        <v>1970.5</v>
      </c>
    </row>
    <row r="26" spans="1:7" x14ac:dyDescent="0.25">
      <c r="A26" t="s">
        <v>24</v>
      </c>
      <c r="B26">
        <v>1982</v>
      </c>
      <c r="C26">
        <v>1984</v>
      </c>
      <c r="D26">
        <f t="shared" si="0"/>
        <v>3</v>
      </c>
      <c r="E26" s="1">
        <f t="shared" si="1"/>
        <v>1983</v>
      </c>
    </row>
    <row r="27" spans="1:7" x14ac:dyDescent="0.25">
      <c r="A27" t="s">
        <v>25</v>
      </c>
      <c r="B27">
        <v>1985</v>
      </c>
      <c r="C27">
        <v>1985</v>
      </c>
      <c r="D27">
        <f t="shared" si="0"/>
        <v>1</v>
      </c>
      <c r="E27" s="1">
        <f t="shared" si="1"/>
        <v>1985</v>
      </c>
    </row>
    <row r="28" spans="1:7" x14ac:dyDescent="0.25">
      <c r="A28" t="s">
        <v>26</v>
      </c>
      <c r="B28">
        <v>1979</v>
      </c>
      <c r="C28">
        <v>1979</v>
      </c>
      <c r="D28">
        <f t="shared" si="0"/>
        <v>1</v>
      </c>
      <c r="E28" s="1">
        <f t="shared" si="1"/>
        <v>1979</v>
      </c>
      <c r="G28" t="s">
        <v>122</v>
      </c>
    </row>
    <row r="29" spans="1:7" x14ac:dyDescent="0.25">
      <c r="A29" t="s">
        <v>27</v>
      </c>
      <c r="B29">
        <v>1946</v>
      </c>
      <c r="C29">
        <v>2004</v>
      </c>
      <c r="D29">
        <f t="shared" si="0"/>
        <v>59</v>
      </c>
      <c r="E29" s="1">
        <f t="shared" si="1"/>
        <v>1975</v>
      </c>
    </row>
    <row r="30" spans="1:7" x14ac:dyDescent="0.25">
      <c r="A30" t="s">
        <v>28</v>
      </c>
      <c r="B30">
        <v>2001</v>
      </c>
      <c r="C30">
        <v>2007</v>
      </c>
      <c r="D30">
        <f t="shared" si="0"/>
        <v>7</v>
      </c>
      <c r="E30" s="1">
        <f t="shared" si="1"/>
        <v>2004</v>
      </c>
    </row>
    <row r="31" spans="1:7" x14ac:dyDescent="0.25">
      <c r="A31" t="s">
        <v>29</v>
      </c>
      <c r="B31">
        <v>2003</v>
      </c>
      <c r="C31">
        <v>2010</v>
      </c>
      <c r="D31">
        <f t="shared" si="0"/>
        <v>8</v>
      </c>
      <c r="E31" s="1">
        <f t="shared" si="1"/>
        <v>2006.5</v>
      </c>
    </row>
    <row r="32" spans="1:7" x14ac:dyDescent="0.25">
      <c r="A32" t="s">
        <v>30</v>
      </c>
      <c r="B32">
        <v>1953</v>
      </c>
      <c r="C32">
        <v>2010</v>
      </c>
      <c r="D32">
        <f t="shared" si="0"/>
        <v>58</v>
      </c>
      <c r="E32" s="1">
        <f t="shared" si="1"/>
        <v>1981.5</v>
      </c>
    </row>
    <row r="33" spans="1:7" x14ac:dyDescent="0.25">
      <c r="A33" t="s">
        <v>31</v>
      </c>
      <c r="B33">
        <v>1974</v>
      </c>
      <c r="C33">
        <v>1974</v>
      </c>
      <c r="D33">
        <f t="shared" si="0"/>
        <v>1</v>
      </c>
      <c r="E33" s="1">
        <f t="shared" si="1"/>
        <v>1974</v>
      </c>
    </row>
    <row r="34" spans="1:7" x14ac:dyDescent="0.25">
      <c r="A34" t="s">
        <v>32</v>
      </c>
      <c r="B34">
        <v>1976</v>
      </c>
      <c r="C34">
        <v>1976</v>
      </c>
      <c r="D34">
        <f t="shared" si="0"/>
        <v>1</v>
      </c>
      <c r="E34" s="1">
        <f t="shared" si="1"/>
        <v>1976</v>
      </c>
    </row>
    <row r="35" spans="1:7" x14ac:dyDescent="0.25">
      <c r="A35" t="s">
        <v>33</v>
      </c>
      <c r="B35">
        <v>1992</v>
      </c>
      <c r="C35">
        <v>2004</v>
      </c>
      <c r="D35">
        <f t="shared" si="0"/>
        <v>13</v>
      </c>
      <c r="E35" s="1">
        <f t="shared" si="1"/>
        <v>1998</v>
      </c>
    </row>
    <row r="36" spans="1:7" x14ac:dyDescent="0.25">
      <c r="A36" t="s">
        <v>34</v>
      </c>
      <c r="B36">
        <v>1988</v>
      </c>
      <c r="C36">
        <v>1999</v>
      </c>
      <c r="D36">
        <f t="shared" si="0"/>
        <v>12</v>
      </c>
      <c r="E36" s="1">
        <f t="shared" si="1"/>
        <v>1993.5</v>
      </c>
      <c r="G36" t="s">
        <v>121</v>
      </c>
    </row>
    <row r="37" spans="1:7" x14ac:dyDescent="0.25">
      <c r="A37" t="s">
        <v>35</v>
      </c>
      <c r="B37">
        <v>1996</v>
      </c>
      <c r="C37">
        <v>1996</v>
      </c>
      <c r="D37">
        <f t="shared" si="0"/>
        <v>1</v>
      </c>
      <c r="E37" s="1">
        <f t="shared" si="1"/>
        <v>1996</v>
      </c>
    </row>
    <row r="38" spans="1:7" x14ac:dyDescent="0.25">
      <c r="A38" t="s">
        <v>36</v>
      </c>
      <c r="B38">
        <v>2004</v>
      </c>
      <c r="C38">
        <v>2010</v>
      </c>
      <c r="D38">
        <f t="shared" si="0"/>
        <v>7</v>
      </c>
      <c r="E38" s="1">
        <f t="shared" si="1"/>
        <v>2007</v>
      </c>
    </row>
    <row r="39" spans="1:7" x14ac:dyDescent="0.25">
      <c r="A39" t="s">
        <v>37</v>
      </c>
      <c r="B39">
        <v>1946</v>
      </c>
      <c r="C39">
        <v>2010</v>
      </c>
      <c r="D39">
        <f t="shared" si="0"/>
        <v>65</v>
      </c>
      <c r="E39" s="1">
        <f t="shared" si="1"/>
        <v>1978</v>
      </c>
    </row>
    <row r="40" spans="1:7" x14ac:dyDescent="0.25">
      <c r="A40" t="s">
        <v>38</v>
      </c>
      <c r="B40">
        <v>2005</v>
      </c>
      <c r="C40">
        <v>2008</v>
      </c>
      <c r="D40">
        <f t="shared" si="0"/>
        <v>4</v>
      </c>
      <c r="E40" s="1">
        <f t="shared" si="1"/>
        <v>2006.5</v>
      </c>
    </row>
    <row r="41" spans="1:7" x14ac:dyDescent="0.25">
      <c r="A41" t="s">
        <v>39</v>
      </c>
      <c r="B41">
        <v>1991</v>
      </c>
      <c r="C41">
        <v>2002</v>
      </c>
      <c r="D41">
        <f t="shared" si="0"/>
        <v>12</v>
      </c>
      <c r="E41" s="1">
        <f t="shared" si="1"/>
        <v>1996.5</v>
      </c>
      <c r="G41" t="s">
        <v>120</v>
      </c>
    </row>
    <row r="42" spans="1:7" x14ac:dyDescent="0.25">
      <c r="A42" t="s">
        <v>40</v>
      </c>
      <c r="B42">
        <v>2010</v>
      </c>
      <c r="C42">
        <v>2010</v>
      </c>
      <c r="D42">
        <f t="shared" si="0"/>
        <v>1</v>
      </c>
      <c r="E42" s="1">
        <f t="shared" si="1"/>
        <v>2010</v>
      </c>
    </row>
    <row r="43" spans="1:7" x14ac:dyDescent="0.25">
      <c r="A43" t="s">
        <v>41</v>
      </c>
      <c r="B43">
        <v>1984</v>
      </c>
      <c r="C43">
        <v>2010</v>
      </c>
      <c r="D43">
        <f t="shared" si="0"/>
        <v>27</v>
      </c>
      <c r="E43" s="1">
        <f t="shared" si="1"/>
        <v>1997</v>
      </c>
    </row>
    <row r="44" spans="1:7" x14ac:dyDescent="0.25">
      <c r="A44" t="s">
        <v>42</v>
      </c>
      <c r="B44">
        <v>1985</v>
      </c>
      <c r="C44">
        <v>1985</v>
      </c>
      <c r="D44">
        <f t="shared" si="0"/>
        <v>1</v>
      </c>
      <c r="E44" s="1">
        <f t="shared" si="1"/>
        <v>1985</v>
      </c>
    </row>
    <row r="45" spans="1:7" x14ac:dyDescent="0.25">
      <c r="A45" t="s">
        <v>43</v>
      </c>
      <c r="B45">
        <v>1964</v>
      </c>
      <c r="C45">
        <v>1974</v>
      </c>
      <c r="D45">
        <f t="shared" si="0"/>
        <v>11</v>
      </c>
      <c r="E45" s="1">
        <f t="shared" si="1"/>
        <v>1969</v>
      </c>
    </row>
    <row r="46" spans="1:7" x14ac:dyDescent="0.25">
      <c r="A46" t="s">
        <v>44</v>
      </c>
      <c r="B46">
        <v>1996</v>
      </c>
      <c r="C46">
        <v>1997</v>
      </c>
      <c r="D46">
        <f t="shared" si="0"/>
        <v>2</v>
      </c>
      <c r="E46" s="1">
        <f t="shared" si="1"/>
        <v>1996.5</v>
      </c>
      <c r="G46" t="s">
        <v>119</v>
      </c>
    </row>
    <row r="47" spans="1:7" x14ac:dyDescent="0.25">
      <c r="A47" t="s">
        <v>45</v>
      </c>
      <c r="B47">
        <v>1973</v>
      </c>
      <c r="C47">
        <v>1994</v>
      </c>
      <c r="D47">
        <f t="shared" si="0"/>
        <v>22</v>
      </c>
      <c r="E47" s="1">
        <f t="shared" si="1"/>
        <v>1983.5</v>
      </c>
    </row>
    <row r="48" spans="1:7" x14ac:dyDescent="0.25">
      <c r="A48" t="s">
        <v>46</v>
      </c>
      <c r="B48">
        <v>1979</v>
      </c>
      <c r="C48">
        <v>1979</v>
      </c>
      <c r="D48">
        <f t="shared" si="0"/>
        <v>1</v>
      </c>
      <c r="E48" s="1">
        <f t="shared" si="1"/>
        <v>1979</v>
      </c>
    </row>
    <row r="49" spans="1:7" x14ac:dyDescent="0.25">
      <c r="A49" t="s">
        <v>47</v>
      </c>
      <c r="B49">
        <v>1975</v>
      </c>
      <c r="C49">
        <v>1978</v>
      </c>
      <c r="D49">
        <f t="shared" si="0"/>
        <v>4</v>
      </c>
      <c r="E49" s="1">
        <f t="shared" si="1"/>
        <v>1976.5</v>
      </c>
    </row>
    <row r="50" spans="1:7" x14ac:dyDescent="0.25">
      <c r="A50" t="s">
        <v>48</v>
      </c>
      <c r="B50">
        <v>1965</v>
      </c>
      <c r="C50">
        <v>1992</v>
      </c>
      <c r="D50">
        <f t="shared" si="0"/>
        <v>28</v>
      </c>
      <c r="E50" s="1">
        <f t="shared" si="1"/>
        <v>1978.5</v>
      </c>
      <c r="G50" t="s">
        <v>118</v>
      </c>
    </row>
    <row r="51" spans="1:7" x14ac:dyDescent="0.25">
      <c r="A51" t="s">
        <v>49</v>
      </c>
      <c r="B51">
        <v>1977</v>
      </c>
      <c r="C51">
        <v>2010</v>
      </c>
      <c r="D51">
        <f t="shared" si="0"/>
        <v>34</v>
      </c>
      <c r="E51" s="1">
        <f t="shared" si="1"/>
        <v>1993.5</v>
      </c>
    </row>
    <row r="52" spans="1:7" x14ac:dyDescent="0.25">
      <c r="A52" t="s">
        <v>50</v>
      </c>
      <c r="B52">
        <v>1990</v>
      </c>
      <c r="C52">
        <v>1995</v>
      </c>
      <c r="D52">
        <f t="shared" si="0"/>
        <v>6</v>
      </c>
      <c r="E52" s="1">
        <f t="shared" si="1"/>
        <v>1992.5</v>
      </c>
    </row>
    <row r="53" spans="1:7" x14ac:dyDescent="0.25">
      <c r="A53" t="s">
        <v>51</v>
      </c>
      <c r="B53">
        <v>2007</v>
      </c>
      <c r="C53">
        <v>2010</v>
      </c>
      <c r="D53">
        <f t="shared" si="0"/>
        <v>4</v>
      </c>
      <c r="E53" s="1">
        <f t="shared" si="1"/>
        <v>2008.5</v>
      </c>
    </row>
    <row r="54" spans="1:7" x14ac:dyDescent="0.25">
      <c r="A54" t="s">
        <v>52</v>
      </c>
      <c r="B54">
        <v>2009</v>
      </c>
      <c r="C54">
        <v>2010</v>
      </c>
      <c r="D54">
        <f t="shared" si="0"/>
        <v>2</v>
      </c>
      <c r="E54" s="1">
        <f t="shared" si="1"/>
        <v>2009.5</v>
      </c>
    </row>
    <row r="55" spans="1:7" x14ac:dyDescent="0.25">
      <c r="A55" t="s">
        <v>53</v>
      </c>
      <c r="B55">
        <v>2004</v>
      </c>
      <c r="C55">
        <v>2010</v>
      </c>
      <c r="D55">
        <f t="shared" si="0"/>
        <v>7</v>
      </c>
      <c r="E55" s="1">
        <f t="shared" si="1"/>
        <v>2007</v>
      </c>
    </row>
    <row r="56" spans="1:7" x14ac:dyDescent="0.25">
      <c r="A56" t="s">
        <v>54</v>
      </c>
      <c r="B56">
        <v>1984</v>
      </c>
      <c r="C56">
        <v>1985</v>
      </c>
      <c r="D56">
        <f t="shared" si="0"/>
        <v>2</v>
      </c>
      <c r="E56" s="1">
        <f t="shared" si="1"/>
        <v>1984.5</v>
      </c>
    </row>
    <row r="57" spans="1:7" x14ac:dyDescent="0.25">
      <c r="A57" t="s">
        <v>55</v>
      </c>
      <c r="B57">
        <v>1987</v>
      </c>
      <c r="C57">
        <v>1994</v>
      </c>
      <c r="D57">
        <f t="shared" si="0"/>
        <v>8</v>
      </c>
      <c r="E57" s="1">
        <f t="shared" si="1"/>
        <v>1990.5</v>
      </c>
    </row>
    <row r="58" spans="1:7" x14ac:dyDescent="0.25">
      <c r="A58" t="s">
        <v>56</v>
      </c>
      <c r="B58">
        <v>1973</v>
      </c>
      <c r="C58">
        <v>1973</v>
      </c>
      <c r="D58">
        <f t="shared" si="0"/>
        <v>1</v>
      </c>
      <c r="E58" s="1">
        <f t="shared" si="1"/>
        <v>1973</v>
      </c>
    </row>
    <row r="59" spans="1:7" x14ac:dyDescent="0.25">
      <c r="A59" t="s">
        <v>57</v>
      </c>
      <c r="B59">
        <v>1990</v>
      </c>
      <c r="C59">
        <v>2000</v>
      </c>
      <c r="D59">
        <f t="shared" si="0"/>
        <v>11</v>
      </c>
      <c r="E59" s="1">
        <f t="shared" si="1"/>
        <v>1995</v>
      </c>
    </row>
    <row r="60" spans="1:7" x14ac:dyDescent="0.25">
      <c r="A60" t="s">
        <v>58</v>
      </c>
      <c r="B60">
        <v>1979</v>
      </c>
      <c r="C60">
        <v>2010</v>
      </c>
      <c r="D60">
        <f t="shared" si="0"/>
        <v>32</v>
      </c>
      <c r="E60" s="1">
        <f t="shared" si="1"/>
        <v>1994.5</v>
      </c>
    </row>
    <row r="61" spans="1:7" x14ac:dyDescent="0.25">
      <c r="A61" t="s">
        <v>59</v>
      </c>
      <c r="B61">
        <v>1997</v>
      </c>
      <c r="C61">
        <v>2002</v>
      </c>
      <c r="D61">
        <f t="shared" si="0"/>
        <v>6</v>
      </c>
      <c r="E61" s="1">
        <f t="shared" si="1"/>
        <v>1999.5</v>
      </c>
    </row>
    <row r="62" spans="1:7" x14ac:dyDescent="0.25">
      <c r="A62" t="s">
        <v>61</v>
      </c>
      <c r="B62">
        <v>2004</v>
      </c>
      <c r="C62">
        <v>2010</v>
      </c>
      <c r="D62">
        <f t="shared" si="0"/>
        <v>7</v>
      </c>
      <c r="E62" s="1">
        <f t="shared" si="1"/>
        <v>2007</v>
      </c>
      <c r="G62" t="s">
        <v>115</v>
      </c>
    </row>
    <row r="63" spans="1:7" x14ac:dyDescent="0.25">
      <c r="A63" t="s">
        <v>62</v>
      </c>
      <c r="B63">
        <v>2008</v>
      </c>
      <c r="C63">
        <v>2010</v>
      </c>
      <c r="D63">
        <f t="shared" si="0"/>
        <v>3</v>
      </c>
      <c r="E63" s="1">
        <f t="shared" si="1"/>
        <v>2009</v>
      </c>
      <c r="G63" t="s">
        <v>117</v>
      </c>
    </row>
    <row r="64" spans="1:7" x14ac:dyDescent="0.25">
      <c r="A64" t="s">
        <v>63</v>
      </c>
      <c r="B64">
        <v>2007</v>
      </c>
      <c r="C64">
        <v>2010</v>
      </c>
      <c r="D64">
        <f t="shared" si="0"/>
        <v>4</v>
      </c>
      <c r="E64" s="1">
        <f t="shared" si="1"/>
        <v>2008.5</v>
      </c>
    </row>
    <row r="65" spans="1:7" x14ac:dyDescent="0.25">
      <c r="A65" t="s">
        <v>60</v>
      </c>
      <c r="B65">
        <v>1990</v>
      </c>
      <c r="C65">
        <v>2010</v>
      </c>
      <c r="D65">
        <f t="shared" si="0"/>
        <v>21</v>
      </c>
      <c r="E65" s="1">
        <f t="shared" si="1"/>
        <v>2000</v>
      </c>
    </row>
    <row r="66" spans="1:7" x14ac:dyDescent="0.25">
      <c r="A66" t="s">
        <v>64</v>
      </c>
      <c r="B66">
        <v>1974</v>
      </c>
      <c r="C66">
        <v>1994</v>
      </c>
      <c r="D66">
        <f t="shared" si="0"/>
        <v>21</v>
      </c>
      <c r="E66" s="1">
        <f t="shared" si="1"/>
        <v>1984</v>
      </c>
    </row>
    <row r="67" spans="1:7" x14ac:dyDescent="0.25">
      <c r="A67" t="s">
        <v>65</v>
      </c>
      <c r="B67">
        <v>1969</v>
      </c>
      <c r="C67">
        <v>1974</v>
      </c>
      <c r="D67">
        <f t="shared" ref="D67:D111" si="2">C67-B67+1</f>
        <v>6</v>
      </c>
      <c r="E67" s="1">
        <f t="shared" ref="E67:E111" si="3">AVERAGE(B67:C67)</f>
        <v>1971.5</v>
      </c>
    </row>
    <row r="68" spans="1:7" x14ac:dyDescent="0.25">
      <c r="A68" t="s">
        <v>66</v>
      </c>
      <c r="B68">
        <v>1963</v>
      </c>
      <c r="C68">
        <v>2010</v>
      </c>
      <c r="D68">
        <f t="shared" si="2"/>
        <v>48</v>
      </c>
      <c r="E68" s="1">
        <f t="shared" si="3"/>
        <v>1986.5</v>
      </c>
    </row>
    <row r="69" spans="1:7" x14ac:dyDescent="0.25">
      <c r="A69" t="s">
        <v>67</v>
      </c>
      <c r="B69">
        <v>1977</v>
      </c>
      <c r="C69">
        <v>2010</v>
      </c>
      <c r="D69">
        <f t="shared" si="2"/>
        <v>34</v>
      </c>
      <c r="E69" s="1">
        <f t="shared" si="3"/>
        <v>1993.5</v>
      </c>
      <c r="G69" t="s">
        <v>116</v>
      </c>
    </row>
    <row r="70" spans="1:7" x14ac:dyDescent="0.25">
      <c r="A70" t="s">
        <v>68</v>
      </c>
      <c r="B70">
        <v>2008</v>
      </c>
      <c r="C70">
        <v>2010</v>
      </c>
      <c r="D70">
        <f t="shared" si="2"/>
        <v>3</v>
      </c>
      <c r="E70" s="1">
        <f t="shared" si="3"/>
        <v>2009</v>
      </c>
    </row>
    <row r="71" spans="1:7" x14ac:dyDescent="0.25">
      <c r="A71" t="s">
        <v>69</v>
      </c>
      <c r="B71">
        <v>1975</v>
      </c>
      <c r="C71">
        <v>1977</v>
      </c>
      <c r="D71">
        <f t="shared" si="2"/>
        <v>3</v>
      </c>
      <c r="E71" s="1">
        <f t="shared" si="3"/>
        <v>1976</v>
      </c>
      <c r="G71" t="s">
        <v>114</v>
      </c>
    </row>
    <row r="72" spans="1:7" x14ac:dyDescent="0.25">
      <c r="A72" t="s">
        <v>70</v>
      </c>
      <c r="B72">
        <v>1980</v>
      </c>
      <c r="C72">
        <v>2010</v>
      </c>
      <c r="D72">
        <f t="shared" si="2"/>
        <v>31</v>
      </c>
      <c r="E72" s="1">
        <f t="shared" si="3"/>
        <v>1995</v>
      </c>
    </row>
    <row r="73" spans="1:7" x14ac:dyDescent="0.25">
      <c r="A73" t="s">
        <v>71</v>
      </c>
      <c r="B73">
        <v>2005</v>
      </c>
      <c r="C73">
        <v>2010</v>
      </c>
      <c r="D73">
        <f t="shared" si="2"/>
        <v>6</v>
      </c>
      <c r="E73" s="1">
        <f t="shared" si="3"/>
        <v>2007.5</v>
      </c>
    </row>
    <row r="74" spans="1:7" x14ac:dyDescent="0.25">
      <c r="A74" t="s">
        <v>72</v>
      </c>
      <c r="B74">
        <v>1958</v>
      </c>
      <c r="C74">
        <v>2010</v>
      </c>
      <c r="D74">
        <f t="shared" si="2"/>
        <v>53</v>
      </c>
      <c r="E74" s="1">
        <f t="shared" si="3"/>
        <v>1984</v>
      </c>
    </row>
    <row r="75" spans="1:7" x14ac:dyDescent="0.25">
      <c r="A75" t="s">
        <v>73</v>
      </c>
      <c r="B75">
        <v>1976</v>
      </c>
      <c r="C75">
        <v>1982</v>
      </c>
      <c r="D75">
        <f t="shared" si="2"/>
        <v>7</v>
      </c>
      <c r="E75" s="1">
        <f t="shared" si="3"/>
        <v>1979</v>
      </c>
    </row>
    <row r="76" spans="1:7" x14ac:dyDescent="0.25">
      <c r="A76" t="s">
        <v>74</v>
      </c>
      <c r="B76">
        <v>1964</v>
      </c>
      <c r="C76">
        <v>2006</v>
      </c>
      <c r="D76">
        <f t="shared" si="2"/>
        <v>43</v>
      </c>
      <c r="E76" s="1">
        <f t="shared" si="3"/>
        <v>1985</v>
      </c>
    </row>
    <row r="77" spans="1:7" x14ac:dyDescent="0.25">
      <c r="A77" t="s">
        <v>75</v>
      </c>
      <c r="B77">
        <v>1967</v>
      </c>
      <c r="C77">
        <v>1967</v>
      </c>
      <c r="D77">
        <f t="shared" si="2"/>
        <v>1</v>
      </c>
      <c r="E77" s="1">
        <f t="shared" si="3"/>
        <v>1967</v>
      </c>
    </row>
    <row r="78" spans="1:7" x14ac:dyDescent="0.25">
      <c r="A78" t="s">
        <v>76</v>
      </c>
      <c r="B78">
        <v>1950</v>
      </c>
      <c r="C78">
        <v>2010</v>
      </c>
      <c r="D78">
        <f t="shared" si="2"/>
        <v>61</v>
      </c>
      <c r="E78" s="1">
        <f t="shared" si="3"/>
        <v>1980</v>
      </c>
    </row>
    <row r="79" spans="1:7" x14ac:dyDescent="0.25">
      <c r="A79" t="s">
        <v>77</v>
      </c>
      <c r="B79">
        <v>1962</v>
      </c>
      <c r="C79">
        <v>1963</v>
      </c>
      <c r="D79">
        <f t="shared" si="2"/>
        <v>2</v>
      </c>
      <c r="E79" s="1">
        <f t="shared" si="3"/>
        <v>1962.5</v>
      </c>
    </row>
    <row r="80" spans="1:7" x14ac:dyDescent="0.25">
      <c r="A80" t="s">
        <v>78</v>
      </c>
      <c r="B80">
        <v>1970</v>
      </c>
      <c r="C80">
        <v>1980</v>
      </c>
      <c r="D80">
        <f t="shared" si="2"/>
        <v>11</v>
      </c>
      <c r="E80" s="1">
        <f t="shared" si="3"/>
        <v>1975</v>
      </c>
      <c r="G80" t="s">
        <v>129</v>
      </c>
    </row>
    <row r="81" spans="1:7" x14ac:dyDescent="0.25">
      <c r="A81" t="s">
        <v>79</v>
      </c>
      <c r="B81">
        <v>1961</v>
      </c>
      <c r="C81">
        <v>2010</v>
      </c>
      <c r="D81">
        <f t="shared" si="2"/>
        <v>50</v>
      </c>
      <c r="E81" s="1">
        <f t="shared" si="3"/>
        <v>1985.5</v>
      </c>
    </row>
    <row r="82" spans="1:7" x14ac:dyDescent="0.25">
      <c r="A82" t="s">
        <v>80</v>
      </c>
      <c r="B82">
        <v>1965</v>
      </c>
      <c r="C82">
        <v>2010</v>
      </c>
      <c r="D82">
        <f t="shared" si="2"/>
        <v>46</v>
      </c>
      <c r="E82" s="1">
        <f t="shared" si="3"/>
        <v>1987.5</v>
      </c>
    </row>
    <row r="83" spans="1:7" x14ac:dyDescent="0.25">
      <c r="A83" t="s">
        <v>81</v>
      </c>
      <c r="B83">
        <v>1994</v>
      </c>
      <c r="C83">
        <v>1994</v>
      </c>
      <c r="D83">
        <f t="shared" si="2"/>
        <v>1</v>
      </c>
      <c r="E83" s="1">
        <f t="shared" si="3"/>
        <v>1994</v>
      </c>
    </row>
    <row r="84" spans="1:7" x14ac:dyDescent="0.25">
      <c r="A84" t="s">
        <v>82</v>
      </c>
      <c r="B84">
        <v>1972</v>
      </c>
      <c r="C84">
        <v>2010</v>
      </c>
      <c r="D84">
        <f t="shared" si="2"/>
        <v>39</v>
      </c>
      <c r="E84" s="1">
        <f t="shared" si="3"/>
        <v>1991</v>
      </c>
    </row>
    <row r="85" spans="1:7" x14ac:dyDescent="0.25">
      <c r="A85" t="s">
        <v>83</v>
      </c>
      <c r="B85">
        <v>1979</v>
      </c>
      <c r="C85">
        <v>1982</v>
      </c>
      <c r="D85">
        <f t="shared" si="2"/>
        <v>4</v>
      </c>
      <c r="E85" s="1">
        <f t="shared" si="3"/>
        <v>1980.5</v>
      </c>
    </row>
    <row r="86" spans="1:7" x14ac:dyDescent="0.25">
      <c r="A86" t="s">
        <v>84</v>
      </c>
      <c r="B86">
        <v>1969</v>
      </c>
      <c r="C86">
        <v>1983</v>
      </c>
      <c r="D86">
        <f t="shared" si="2"/>
        <v>15</v>
      </c>
      <c r="E86" s="1">
        <f t="shared" si="3"/>
        <v>1976</v>
      </c>
    </row>
    <row r="87" spans="1:7" x14ac:dyDescent="0.25">
      <c r="A87" t="s">
        <v>85</v>
      </c>
      <c r="B87">
        <v>1975</v>
      </c>
      <c r="C87">
        <v>1975</v>
      </c>
      <c r="D87">
        <f t="shared" si="2"/>
        <v>1</v>
      </c>
      <c r="E87" s="1">
        <f t="shared" si="3"/>
        <v>1975</v>
      </c>
      <c r="G87" t="s">
        <v>131</v>
      </c>
    </row>
    <row r="88" spans="1:7" x14ac:dyDescent="0.25">
      <c r="A88" t="s">
        <v>86</v>
      </c>
      <c r="B88">
        <v>1985</v>
      </c>
      <c r="C88">
        <v>2010</v>
      </c>
      <c r="D88">
        <f t="shared" si="2"/>
        <v>26</v>
      </c>
      <c r="E88" s="1">
        <f t="shared" si="3"/>
        <v>1997.5</v>
      </c>
    </row>
    <row r="89" spans="1:7" x14ac:dyDescent="0.25">
      <c r="A89" t="s">
        <v>87</v>
      </c>
      <c r="B89">
        <v>1991</v>
      </c>
      <c r="C89">
        <v>1995</v>
      </c>
      <c r="D89">
        <f t="shared" si="2"/>
        <v>5</v>
      </c>
      <c r="E89" s="1">
        <f t="shared" si="3"/>
        <v>1993</v>
      </c>
    </row>
    <row r="90" spans="1:7" x14ac:dyDescent="0.25">
      <c r="A90" t="s">
        <v>88</v>
      </c>
      <c r="B90">
        <v>1976</v>
      </c>
      <c r="C90">
        <v>1979</v>
      </c>
      <c r="D90">
        <f t="shared" si="2"/>
        <v>4</v>
      </c>
      <c r="E90" s="1">
        <f t="shared" si="3"/>
        <v>1977.5</v>
      </c>
    </row>
    <row r="91" spans="1:7" x14ac:dyDescent="0.25">
      <c r="A91" t="s">
        <v>89</v>
      </c>
      <c r="B91">
        <v>1957</v>
      </c>
      <c r="C91">
        <v>2010</v>
      </c>
      <c r="D91">
        <f t="shared" si="2"/>
        <v>54</v>
      </c>
      <c r="E91" s="1">
        <f t="shared" si="3"/>
        <v>1983.5</v>
      </c>
    </row>
    <row r="92" spans="1:7" x14ac:dyDescent="0.25">
      <c r="A92" t="s">
        <v>90</v>
      </c>
      <c r="B92">
        <v>1981</v>
      </c>
      <c r="C92">
        <v>1991</v>
      </c>
      <c r="D92">
        <f t="shared" si="2"/>
        <v>11</v>
      </c>
      <c r="E92" s="1">
        <f t="shared" si="3"/>
        <v>1986</v>
      </c>
    </row>
    <row r="93" spans="1:7" x14ac:dyDescent="0.25">
      <c r="A93" t="s">
        <v>91</v>
      </c>
      <c r="B93">
        <v>2005</v>
      </c>
      <c r="C93">
        <v>2006</v>
      </c>
      <c r="D93">
        <f t="shared" si="2"/>
        <v>2</v>
      </c>
      <c r="E93" s="1">
        <f t="shared" si="3"/>
        <v>2005.5</v>
      </c>
    </row>
    <row r="94" spans="1:7" x14ac:dyDescent="0.25">
      <c r="A94" t="s">
        <v>92</v>
      </c>
      <c r="B94">
        <v>1980</v>
      </c>
      <c r="C94">
        <v>1987</v>
      </c>
      <c r="D94">
        <f t="shared" si="2"/>
        <v>8</v>
      </c>
      <c r="E94" s="1">
        <f t="shared" si="3"/>
        <v>1983.5</v>
      </c>
      <c r="G94" t="s">
        <v>132</v>
      </c>
    </row>
    <row r="95" spans="1:7" x14ac:dyDescent="0.25">
      <c r="A95" t="s">
        <v>93</v>
      </c>
      <c r="B95">
        <v>1985</v>
      </c>
      <c r="C95">
        <v>1990</v>
      </c>
      <c r="D95">
        <f t="shared" si="2"/>
        <v>6</v>
      </c>
      <c r="E95" s="1">
        <f t="shared" si="3"/>
        <v>1987.5</v>
      </c>
    </row>
    <row r="96" spans="1:7" x14ac:dyDescent="0.25">
      <c r="A96" t="s">
        <v>94</v>
      </c>
      <c r="B96">
        <v>1958</v>
      </c>
      <c r="C96">
        <v>2010</v>
      </c>
      <c r="D96">
        <f t="shared" si="2"/>
        <v>53</v>
      </c>
      <c r="E96" s="1">
        <f t="shared" si="3"/>
        <v>1984</v>
      </c>
      <c r="G96" t="s">
        <v>133</v>
      </c>
    </row>
    <row r="97" spans="1:7" x14ac:dyDescent="0.25">
      <c r="A97" t="s">
        <v>95</v>
      </c>
      <c r="B97">
        <v>1981</v>
      </c>
      <c r="C97">
        <v>2003</v>
      </c>
      <c r="D97">
        <f t="shared" si="2"/>
        <v>23</v>
      </c>
      <c r="E97" s="1">
        <f t="shared" si="3"/>
        <v>1992</v>
      </c>
      <c r="G97" t="s">
        <v>134</v>
      </c>
    </row>
    <row r="98" spans="1:7" x14ac:dyDescent="0.25">
      <c r="A98" t="s">
        <v>96</v>
      </c>
      <c r="B98">
        <v>1957</v>
      </c>
      <c r="C98">
        <v>2010</v>
      </c>
      <c r="D98">
        <f t="shared" si="2"/>
        <v>54</v>
      </c>
      <c r="E98" s="1">
        <f t="shared" si="3"/>
        <v>1983.5</v>
      </c>
    </row>
    <row r="99" spans="1:7" x14ac:dyDescent="0.25">
      <c r="A99" t="s">
        <v>97</v>
      </c>
      <c r="B99">
        <v>1993</v>
      </c>
      <c r="C99">
        <v>2010</v>
      </c>
      <c r="D99">
        <f t="shared" si="2"/>
        <v>18</v>
      </c>
      <c r="E99" s="1">
        <f t="shared" si="3"/>
        <v>2001.5</v>
      </c>
      <c r="G99" t="s">
        <v>135</v>
      </c>
    </row>
    <row r="100" spans="1:7" x14ac:dyDescent="0.25">
      <c r="A100" t="s">
        <v>98</v>
      </c>
      <c r="B100">
        <v>1997</v>
      </c>
      <c r="C100">
        <v>2001</v>
      </c>
      <c r="D100">
        <f t="shared" si="2"/>
        <v>5</v>
      </c>
      <c r="E100" s="1">
        <f t="shared" si="3"/>
        <v>1999</v>
      </c>
    </row>
    <row r="101" spans="1:7" x14ac:dyDescent="0.25">
      <c r="A101" t="s">
        <v>99</v>
      </c>
      <c r="B101">
        <v>2006</v>
      </c>
      <c r="C101">
        <v>2007</v>
      </c>
      <c r="D101">
        <f t="shared" si="2"/>
        <v>2</v>
      </c>
      <c r="E101" s="1">
        <f t="shared" si="3"/>
        <v>2006.5</v>
      </c>
      <c r="G101" t="s">
        <v>136</v>
      </c>
    </row>
    <row r="102" spans="1:7" x14ac:dyDescent="0.25">
      <c r="A102" t="s">
        <v>100</v>
      </c>
      <c r="B102">
        <v>1965</v>
      </c>
      <c r="C102">
        <v>2010</v>
      </c>
      <c r="D102">
        <f t="shared" si="2"/>
        <v>46</v>
      </c>
      <c r="E102" s="1">
        <f t="shared" si="3"/>
        <v>1987.5</v>
      </c>
      <c r="G102" t="s">
        <v>137</v>
      </c>
    </row>
    <row r="103" spans="1:7" x14ac:dyDescent="0.25">
      <c r="A103" t="s">
        <v>101</v>
      </c>
      <c r="B103">
        <v>1987</v>
      </c>
      <c r="C103">
        <v>1995</v>
      </c>
      <c r="D103">
        <f t="shared" si="2"/>
        <v>9</v>
      </c>
      <c r="E103" s="1">
        <f t="shared" si="3"/>
        <v>1991</v>
      </c>
      <c r="G103" t="s">
        <v>117</v>
      </c>
    </row>
    <row r="104" spans="1:7" x14ac:dyDescent="0.25">
      <c r="A104" t="s">
        <v>102</v>
      </c>
      <c r="B104">
        <v>1980</v>
      </c>
      <c r="C104">
        <v>2010</v>
      </c>
      <c r="D104">
        <f t="shared" si="2"/>
        <v>31</v>
      </c>
      <c r="E104" s="1">
        <f t="shared" si="3"/>
        <v>1995</v>
      </c>
      <c r="G104" t="s">
        <v>138</v>
      </c>
    </row>
    <row r="105" spans="1:7" x14ac:dyDescent="0.25">
      <c r="A105" t="s">
        <v>104</v>
      </c>
      <c r="B105">
        <v>1973</v>
      </c>
      <c r="C105">
        <v>1975</v>
      </c>
      <c r="D105">
        <f t="shared" si="2"/>
        <v>3</v>
      </c>
      <c r="E105" s="1">
        <f t="shared" si="3"/>
        <v>1974</v>
      </c>
      <c r="G105" t="s">
        <v>139</v>
      </c>
    </row>
    <row r="106" spans="1:7" x14ac:dyDescent="0.25">
      <c r="A106" t="s">
        <v>103</v>
      </c>
      <c r="B106">
        <v>2001</v>
      </c>
      <c r="C106">
        <v>2003</v>
      </c>
      <c r="D106">
        <f t="shared" si="2"/>
        <v>3</v>
      </c>
      <c r="E106" s="1">
        <f t="shared" si="3"/>
        <v>2002</v>
      </c>
    </row>
    <row r="107" spans="1:7" x14ac:dyDescent="0.25">
      <c r="A107" t="s">
        <v>105</v>
      </c>
      <c r="B107">
        <v>1999</v>
      </c>
      <c r="C107">
        <v>2010</v>
      </c>
      <c r="D107">
        <f t="shared" si="2"/>
        <v>12</v>
      </c>
      <c r="E107" s="1">
        <f t="shared" si="3"/>
        <v>2004.5</v>
      </c>
    </row>
    <row r="108" spans="1:7" x14ac:dyDescent="0.25">
      <c r="A108" t="s">
        <v>106</v>
      </c>
      <c r="B108">
        <v>2007</v>
      </c>
      <c r="C108">
        <v>2010</v>
      </c>
      <c r="D108">
        <f t="shared" si="2"/>
        <v>4</v>
      </c>
      <c r="E108" s="1">
        <f t="shared" si="3"/>
        <v>2008.5</v>
      </c>
    </row>
    <row r="109" spans="1:7" x14ac:dyDescent="0.25">
      <c r="A109" t="s">
        <v>107</v>
      </c>
      <c r="B109">
        <v>1967</v>
      </c>
      <c r="C109">
        <v>2010</v>
      </c>
      <c r="D109">
        <f t="shared" si="2"/>
        <v>44</v>
      </c>
      <c r="E109" s="1">
        <f t="shared" si="3"/>
        <v>1988.5</v>
      </c>
    </row>
    <row r="110" spans="1:7" x14ac:dyDescent="0.25">
      <c r="A110" t="s">
        <v>108</v>
      </c>
      <c r="B110">
        <v>1975</v>
      </c>
      <c r="C110">
        <v>1979</v>
      </c>
      <c r="D110">
        <f t="shared" si="2"/>
        <v>5</v>
      </c>
      <c r="E110" s="1">
        <f t="shared" si="3"/>
        <v>1977</v>
      </c>
    </row>
    <row r="111" spans="1:7" x14ac:dyDescent="0.25">
      <c r="A111" t="s">
        <v>109</v>
      </c>
      <c r="B111">
        <v>1962</v>
      </c>
      <c r="C111">
        <v>1978</v>
      </c>
      <c r="D111">
        <f t="shared" si="2"/>
        <v>17</v>
      </c>
      <c r="E111" s="1">
        <f t="shared" si="3"/>
        <v>1970</v>
      </c>
    </row>
    <row r="113" spans="2:8" x14ac:dyDescent="0.25">
      <c r="B113" s="1">
        <f>AVERAGE(B2:B111)</f>
        <v>1980.4909090909091</v>
      </c>
      <c r="C113" s="1">
        <f t="shared" ref="C113:E113" si="4">AVERAGE(C2:C111)</f>
        <v>1995.7090909090909</v>
      </c>
      <c r="D113" s="1">
        <f t="shared" si="4"/>
        <v>16.218181818181819</v>
      </c>
      <c r="E113" s="1">
        <f t="shared" si="4"/>
        <v>1988.1</v>
      </c>
      <c r="G113" s="1">
        <f>COUNTIF(C2:C111,2010)</f>
        <v>44</v>
      </c>
      <c r="H113" s="2">
        <f>G113/110</f>
        <v>0.4</v>
      </c>
    </row>
    <row r="114" spans="2:8" x14ac:dyDescent="0.25">
      <c r="F114" s="2"/>
    </row>
    <row r="115" spans="2:8" x14ac:dyDescent="0.25">
      <c r="B115">
        <f>MIN(B2:B111)</f>
        <v>1946</v>
      </c>
      <c r="C115">
        <f>MIN(C2:C111)</f>
        <v>1959</v>
      </c>
      <c r="D115">
        <f>MIN(D2:D111)</f>
        <v>1</v>
      </c>
    </row>
    <row r="116" spans="2:8" x14ac:dyDescent="0.25">
      <c r="B116">
        <f>MAX(B2:B111)</f>
        <v>2010</v>
      </c>
      <c r="D116">
        <f>MAX(D2:D111)</f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Salinsky</dc:creator>
  <cp:lastModifiedBy>Tom Salinsky</cp:lastModifiedBy>
  <dcterms:created xsi:type="dcterms:W3CDTF">2010-10-26T20:53:44Z</dcterms:created>
  <dcterms:modified xsi:type="dcterms:W3CDTF">2010-10-26T22:42:10Z</dcterms:modified>
</cp:coreProperties>
</file>