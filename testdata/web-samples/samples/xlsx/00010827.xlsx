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25" yWindow="2115" windowWidth="19440" windowHeight="10035"/>
  </bookViews>
  <sheets>
    <sheet name="Overview" sheetId="1" r:id="rId1"/>
    <sheet name="Year 1" sheetId="2" r:id="rId2"/>
    <sheet name="Year 2" sheetId="3" r:id="rId3"/>
    <sheet name="Year 3" sheetId="4" r:id="rId4"/>
    <sheet name="Year 4" sheetId="5" r:id="rId5"/>
    <sheet name="Additional Req. &amp; Options" sheetId="6" r:id="rId6"/>
  </sheets>
  <definedNames>
    <definedName name="_xlnm.Print_Area" localSheetId="5">'Additional Req. &amp; Options'!$A$1:$E$26</definedName>
    <definedName name="_xlnm.Print_Area" localSheetId="0">Overview!$A$1:$O$32</definedName>
    <definedName name="_xlnm.Print_Area" localSheetId="1">'Year 1'!$A$2:$J$36</definedName>
    <definedName name="_xlnm.Print_Area" localSheetId="2">'Year 2'!$A$2:$J$37</definedName>
    <definedName name="_xlnm.Print_Area" localSheetId="3">'Year 3'!$A$2:$J$33</definedName>
    <definedName name="_xlnm.Print_Area" localSheetId="4">'Year 4'!$A$2:$J$32</definedName>
  </definedNames>
  <calcPr calcId="145621"/>
</workbook>
</file>

<file path=xl/calcChain.xml><?xml version="1.0" encoding="utf-8"?>
<calcChain xmlns="http://schemas.openxmlformats.org/spreadsheetml/2006/main">
  <c r="J11" i="2" l="1"/>
  <c r="E15" i="3" l="1"/>
  <c r="E17" i="5"/>
  <c r="E18" i="5"/>
  <c r="E26" i="5"/>
  <c r="E16" i="5"/>
  <c r="E15" i="5"/>
  <c r="E14" i="5"/>
  <c r="E13" i="5"/>
  <c r="E17" i="4"/>
  <c r="E16" i="4"/>
  <c r="E15" i="4"/>
  <c r="E14" i="4"/>
  <c r="E21" i="3"/>
  <c r="E19" i="3"/>
  <c r="E24" i="5"/>
  <c r="E23" i="5"/>
  <c r="E29" i="5" s="1"/>
  <c r="E25" i="5"/>
  <c r="E20" i="5"/>
  <c r="E24" i="4"/>
  <c r="E23" i="4"/>
  <c r="E29" i="4" s="1"/>
  <c r="E25" i="4"/>
  <c r="E26" i="4"/>
  <c r="E18" i="3"/>
  <c r="E18" i="2"/>
  <c r="D30" i="2" s="1"/>
  <c r="E19" i="2"/>
  <c r="E27" i="5"/>
  <c r="E28" i="5"/>
  <c r="E10" i="5"/>
  <c r="E11" i="5"/>
  <c r="E12" i="5"/>
  <c r="E19" i="5"/>
  <c r="E9" i="5"/>
  <c r="E28" i="4"/>
  <c r="E27" i="4"/>
  <c r="E10" i="4"/>
  <c r="E11" i="4"/>
  <c r="E21" i="4" s="1"/>
  <c r="E12" i="4"/>
  <c r="E13" i="4"/>
  <c r="E18" i="4"/>
  <c r="E19" i="4"/>
  <c r="E20" i="4"/>
  <c r="E9" i="4"/>
  <c r="E10" i="3"/>
  <c r="E11" i="3"/>
  <c r="E12" i="3"/>
  <c r="E13" i="3"/>
  <c r="E14" i="3"/>
  <c r="E16" i="3"/>
  <c r="E17" i="3"/>
  <c r="E20" i="3"/>
  <c r="E9" i="3"/>
  <c r="E10" i="2"/>
  <c r="E11" i="2"/>
  <c r="E12" i="2"/>
  <c r="E13" i="2"/>
  <c r="E14" i="2"/>
  <c r="E15" i="2"/>
  <c r="E16" i="2"/>
  <c r="E17" i="2"/>
  <c r="E20" i="2"/>
  <c r="E9" i="2"/>
  <c r="D30" i="3"/>
  <c r="D31" i="3"/>
  <c r="E21" i="5"/>
  <c r="E22" i="3"/>
  <c r="E23" i="3" s="1"/>
  <c r="D29" i="2" l="1"/>
  <c r="J9" i="2" s="1"/>
  <c r="E31" i="4"/>
  <c r="E32" i="4" s="1"/>
  <c r="J13" i="2"/>
  <c r="J15" i="2" s="1"/>
  <c r="J13" i="3"/>
  <c r="J16" i="3" s="1"/>
  <c r="J13" i="4"/>
  <c r="J15" i="4" s="1"/>
  <c r="J13" i="5"/>
  <c r="J15" i="5" s="1"/>
  <c r="E31" i="5"/>
  <c r="E32" i="5" s="1"/>
  <c r="E21" i="2"/>
  <c r="E22" i="2" s="1"/>
  <c r="J9" i="5" l="1"/>
  <c r="J17" i="5" s="1"/>
  <c r="J19" i="5" s="1"/>
  <c r="J9" i="4"/>
  <c r="J9" i="3"/>
  <c r="J11" i="3" s="1"/>
  <c r="J17" i="4"/>
  <c r="J19" i="4" s="1"/>
  <c r="J11" i="4"/>
  <c r="J17" i="2"/>
  <c r="J19" i="2" s="1"/>
  <c r="J18" i="3"/>
  <c r="J20" i="3" s="1"/>
  <c r="J11" i="5" l="1"/>
</calcChain>
</file>

<file path=xl/comments1.xml><?xml version="1.0" encoding="utf-8"?>
<comments xmlns="http://schemas.openxmlformats.org/spreadsheetml/2006/main">
  <authors>
    <author>QSB</author>
  </authors>
  <commentList>
    <comment ref="J25" authorId="0">
      <text>
        <r>
          <rPr>
            <b/>
            <sz val="9"/>
            <color indexed="81"/>
            <rFont val="Tahoma"/>
            <family val="2"/>
          </rPr>
          <t xml:space="preserve">Note:
</t>
        </r>
        <r>
          <rPr>
            <sz val="9"/>
            <color indexed="81"/>
            <rFont val="Tahoma"/>
            <family val="2"/>
          </rPr>
          <t xml:space="preserve">ECON 110, 111, 112, and COMM 162 (STAT 263) are the only admission transfer courses that can be counted towards meeting your Commerce units requirement. 
All other admission units count as Arts &amp; Science and thus go towards your Arts &amp; Science units requirement for graduation. </t>
        </r>
      </text>
    </comment>
  </commentList>
</comments>
</file>

<file path=xl/sharedStrings.xml><?xml version="1.0" encoding="utf-8"?>
<sst xmlns="http://schemas.openxmlformats.org/spreadsheetml/2006/main" count="255" uniqueCount="97">
  <si>
    <t>Queen's School of Business</t>
  </si>
  <si>
    <t>Course Code</t>
  </si>
  <si>
    <t>Course Taken? (Y/N)</t>
  </si>
  <si>
    <t>Units Received</t>
  </si>
  <si>
    <t>COMM 103</t>
  </si>
  <si>
    <t>N</t>
  </si>
  <si>
    <t>COMM 111</t>
  </si>
  <si>
    <t>COMM 161</t>
  </si>
  <si>
    <t>COMM 112</t>
  </si>
  <si>
    <t>COMM 131</t>
  </si>
  <si>
    <t>COMM 151</t>
  </si>
  <si>
    <t>COMM 162</t>
  </si>
  <si>
    <t>ECON 110 A</t>
  </si>
  <si>
    <t>ECON 110 B</t>
  </si>
  <si>
    <t>Art-Sci Electives</t>
  </si>
  <si>
    <t>Elective (half year)</t>
  </si>
  <si>
    <t>Total Units Received</t>
  </si>
  <si>
    <t>COMM 104</t>
  </si>
  <si>
    <t>COMM 121</t>
  </si>
  <si>
    <t>COMM 122</t>
  </si>
  <si>
    <t>COMM 132</t>
  </si>
  <si>
    <t>COMM 163</t>
  </si>
  <si>
    <t>COMM 181</t>
  </si>
  <si>
    <t>COMM 190</t>
  </si>
  <si>
    <t>Comm Req.</t>
  </si>
  <si>
    <t>COMM 341</t>
  </si>
  <si>
    <t>Commerce Electives</t>
  </si>
  <si>
    <t>Total Commerce  Units</t>
  </si>
  <si>
    <t>COMM 401</t>
  </si>
  <si>
    <t xml:space="preserve">How many courses do I take in 4th year? </t>
  </si>
  <si>
    <t>International Business Requirement</t>
  </si>
  <si>
    <t>- Must take a 3 unit International Business Course in 3rd or 4th year</t>
  </si>
  <si>
    <t>- Eligible courses include COMM 328, 353, 372, 373, 374, 375, 376, 386, 398</t>
  </si>
  <si>
    <t>- Some courses on exchange may also qualify - check with Exchange Advisor</t>
  </si>
  <si>
    <t>- This 3 unit Int'l Business Course must be included as part of 123 units to graduate</t>
  </si>
  <si>
    <t>Commerce Required Courses</t>
  </si>
  <si>
    <t xml:space="preserve">Total Units Received: </t>
  </si>
  <si>
    <t xml:space="preserve">Total Units to Graduate: </t>
  </si>
  <si>
    <t>Minimum Comm Units Required:</t>
  </si>
  <si>
    <t xml:space="preserve">Minimum A&amp;S Units Required: </t>
  </si>
  <si>
    <t xml:space="preserve">Total Commerce Units Received: </t>
  </si>
  <si>
    <t xml:space="preserve">Total Arts &amp; Science Units Received: </t>
  </si>
  <si>
    <t>Total Arts &amp; Science Units</t>
  </si>
  <si>
    <t>Total Arts &amp; Science  Units</t>
  </si>
  <si>
    <t xml:space="preserve">   -123 units total</t>
  </si>
  <si>
    <t xml:space="preserve">   - 84 Commerce units minimum</t>
  </si>
  <si>
    <t xml:space="preserve">   - 27 Art-Sci units minimum</t>
  </si>
  <si>
    <t>Your Graduation Progress Tab</t>
  </si>
  <si>
    <t>― 33 Units Needed ―</t>
  </si>
  <si>
    <t>― 30 Units Needed ―</t>
  </si>
  <si>
    <t>― 27 Units Needed―</t>
  </si>
  <si>
    <t xml:space="preserve">Commerce Units Remaining: </t>
  </si>
  <si>
    <t xml:space="preserve">Arts &amp; Science Units Remaining: </t>
  </si>
  <si>
    <t>Comm OR Art-Sci Units Remaining:</t>
  </si>
  <si>
    <t>Total Commerce Units</t>
  </si>
  <si>
    <t>Total A&amp;S Units</t>
  </si>
  <si>
    <t xml:space="preserve">1. Browse the tabs at the bottom of the spreadsheet (coloured Gold). </t>
  </si>
  <si>
    <t>INSTRUCTIONS</t>
  </si>
  <si>
    <t xml:space="preserve">2. Fill in a 'Y' for the courses that you have taken. </t>
  </si>
  <si>
    <t>YEAR 1</t>
  </si>
  <si>
    <t>YEAR 2</t>
  </si>
  <si>
    <t>YEAR 3</t>
  </si>
  <si>
    <t>YEAR 4</t>
  </si>
  <si>
    <t>Elective</t>
  </si>
  <si>
    <t xml:space="preserve">As many as necessary for you to meet the </t>
  </si>
  <si>
    <t>graduation requirements of:</t>
  </si>
  <si>
    <t xml:space="preserve">Comm OR Art-Sci Units Remaining: </t>
  </si>
  <si>
    <t>Yearly Units Remaining</t>
  </si>
  <si>
    <r>
      <t xml:space="preserve">You need a </t>
    </r>
    <r>
      <rPr>
        <u/>
        <sz val="12"/>
        <color indexed="8"/>
        <rFont val="Calibri"/>
        <family val="2"/>
      </rPr>
      <t>minimum:</t>
    </r>
  </si>
  <si>
    <r>
      <t xml:space="preserve">The </t>
    </r>
    <r>
      <rPr>
        <u/>
        <sz val="12"/>
        <color indexed="8"/>
        <rFont val="Calibri"/>
        <family val="2"/>
      </rPr>
      <t>maximum</t>
    </r>
    <r>
      <rPr>
        <sz val="12"/>
        <color indexed="8"/>
        <rFont val="Calibri"/>
        <family val="2"/>
      </rPr>
      <t xml:space="preserve"> allocation of units is: </t>
    </r>
  </si>
  <si>
    <t>YOU NEED 123 UNITS TO GRADUATE．</t>
  </si>
  <si>
    <t xml:space="preserve">IMPORTANT NOTE: </t>
  </si>
  <si>
    <t xml:space="preserve">Number of Art-Sci Transfer Units: </t>
  </si>
  <si>
    <t>[Int'l Bus. Course]</t>
  </si>
  <si>
    <t>Do you have any Admission Transfer Units (IB, AP, other)? If yes, please indicate below:</t>
  </si>
  <si>
    <t>4. Look at the "Your Graduation Progress Tab" to determine remaining units needed.</t>
  </si>
  <si>
    <r>
      <t>Elective (</t>
    </r>
    <r>
      <rPr>
        <b/>
        <sz val="11"/>
        <color indexed="8"/>
        <rFont val="Calibri"/>
        <family val="2"/>
      </rPr>
      <t>full year</t>
    </r>
    <r>
      <rPr>
        <sz val="11"/>
        <color theme="1"/>
        <rFont val="Calibri"/>
        <family val="2"/>
        <scheme val="minor"/>
      </rPr>
      <t>)</t>
    </r>
  </si>
  <si>
    <t>Number of Comm Transfer Units:</t>
  </si>
  <si>
    <t xml:space="preserve"> </t>
  </si>
  <si>
    <t>- You can verify your number of completed workshops via the Communications Workshops link on the Commerce Portal</t>
  </si>
  <si>
    <r>
      <t xml:space="preserve">COMM 172 </t>
    </r>
    <r>
      <rPr>
        <b/>
        <sz val="9"/>
        <color indexed="10"/>
        <rFont val="Calibri"/>
        <family val="2"/>
      </rPr>
      <t>OR</t>
    </r>
  </si>
  <si>
    <r>
      <t xml:space="preserve">ECON 212 </t>
    </r>
    <r>
      <rPr>
        <b/>
        <sz val="9"/>
        <color indexed="10"/>
        <rFont val="Calibri"/>
        <family val="2"/>
      </rPr>
      <t>OR</t>
    </r>
    <r>
      <rPr>
        <sz val="9"/>
        <color indexed="10"/>
        <rFont val="Calibri"/>
        <family val="2"/>
      </rPr>
      <t xml:space="preserve"> </t>
    </r>
    <r>
      <rPr>
        <sz val="11"/>
        <color theme="1"/>
        <rFont val="Calibri"/>
        <family val="2"/>
        <scheme val="minor"/>
      </rPr>
      <t>222</t>
    </r>
  </si>
  <si>
    <t>VERSION 1.1</t>
  </si>
  <si>
    <t>Bachelor of Commerce Program Degree - Self Audit Worksheet</t>
  </si>
  <si>
    <t>- To graduate, students must complete the Communications Courses - COMM 103, 104, 341, 401</t>
  </si>
  <si>
    <t xml:space="preserve">Students are strongly encouraged to complete professional development workshops. Students who attend 8 or more by the end of 4th year are eligible to receive an optional certificate of Professional Development. </t>
  </si>
  <si>
    <t>Communications Requirement</t>
  </si>
  <si>
    <t>One half-year course = 3.0 units = 0.5 credit</t>
  </si>
  <si>
    <t xml:space="preserve"> 84.0 Commerce units</t>
  </si>
  <si>
    <t xml:space="preserve"> 27.0 Arts &amp; Science units</t>
  </si>
  <si>
    <t>96.0 Commerce units</t>
  </si>
  <si>
    <t>39.0 Arts &amp; Science Course units</t>
  </si>
  <si>
    <t>Aug 3, 2012</t>
  </si>
  <si>
    <r>
      <t>3. Rename the "Elective" cells with the name of your elective (</t>
    </r>
    <r>
      <rPr>
        <sz val="10"/>
        <color indexed="8"/>
        <rFont val="Calibri"/>
        <family val="2"/>
      </rPr>
      <t>i.e. MATH121, COMM323</t>
    </r>
    <r>
      <rPr>
        <sz val="12"/>
        <color indexed="8"/>
        <rFont val="Calibri"/>
        <family val="2"/>
      </rPr>
      <t>).</t>
    </r>
  </si>
  <si>
    <r>
      <t>Elective (</t>
    </r>
    <r>
      <rPr>
        <sz val="11"/>
        <color indexed="8"/>
        <rFont val="Calibri"/>
        <family val="2"/>
      </rPr>
      <t>full year</t>
    </r>
    <r>
      <rPr>
        <sz val="11"/>
        <color theme="1"/>
        <rFont val="Calibri"/>
        <family val="2"/>
        <scheme val="minor"/>
      </rPr>
      <t>)</t>
    </r>
  </si>
  <si>
    <r>
      <t xml:space="preserve">Elective </t>
    </r>
    <r>
      <rPr>
        <b/>
        <sz val="11"/>
        <color theme="1"/>
        <rFont val="Calibri"/>
        <family val="2"/>
        <scheme val="minor"/>
      </rPr>
      <t>(full</t>
    </r>
    <r>
      <rPr>
        <sz val="11"/>
        <color theme="1"/>
        <rFont val="Calibri"/>
        <family val="2"/>
        <scheme val="minor"/>
      </rPr>
      <t xml:space="preserve"> </t>
    </r>
    <r>
      <rPr>
        <b/>
        <sz val="11"/>
        <color theme="1"/>
        <rFont val="Calibri"/>
        <family val="2"/>
        <scheme val="minor"/>
      </rPr>
      <t>year</t>
    </r>
    <r>
      <rPr>
        <sz val="11"/>
        <color theme="1"/>
        <rFont val="Calibri"/>
        <family val="2"/>
        <scheme val="minor"/>
      </rPr>
      <t>)</t>
    </r>
  </si>
  <si>
    <r>
      <t>Elective (</t>
    </r>
    <r>
      <rPr>
        <b/>
        <sz val="11"/>
        <color indexed="8"/>
        <rFont val="Calibri"/>
        <family val="2"/>
      </rPr>
      <t>full</t>
    </r>
    <r>
      <rPr>
        <sz val="11"/>
        <color theme="1"/>
        <rFont val="Calibri"/>
        <family val="2"/>
        <scheme val="minor"/>
      </rPr>
      <t xml:space="preserve"> </t>
    </r>
    <r>
      <rPr>
        <b/>
        <sz val="11"/>
        <color theme="1"/>
        <rFont val="Calibri"/>
        <family val="2"/>
        <scheme val="minor"/>
      </rPr>
      <t>year</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</si>
</sst>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9">
    <font>
      <sz val="11"/>
      <color theme="1"/>
      <name val="Calibri"/>
      <family val="2"/>
      <scheme val="minor"/>
    </font>
    <font>
      <b/>
      <sz val="11"/>
      <color indexed="8"/>
      <name val="Calibri"/>
      <family val="2"/>
    </font>
    <font>
      <sz val="10"/>
      <name val="Calisto MT"/>
      <family val="1"/>
    </font>
    <font>
      <sz val="11"/>
      <name val="Georgia"/>
      <family val="1"/>
    </font>
    <font>
      <sz val="12"/>
      <color indexed="8"/>
      <name val="Calibri"/>
      <family val="2"/>
    </font>
    <font>
      <u/>
      <sz val="12"/>
      <color indexed="8"/>
      <name val="Calibri"/>
      <family val="2"/>
    </font>
    <font>
      <b/>
      <sz val="10"/>
      <name val="Calisto MT"/>
      <family val="1"/>
    </font>
    <font>
      <b/>
      <sz val="11"/>
      <name val="Georgia"/>
      <family val="1"/>
    </font>
    <font>
      <sz val="9"/>
      <color indexed="81"/>
      <name val="Tahoma"/>
      <family val="2"/>
    </font>
    <font>
      <b/>
      <sz val="9"/>
      <color indexed="81"/>
      <name val="Tahoma"/>
      <family val="2"/>
    </font>
    <font>
      <sz val="10"/>
      <color indexed="8"/>
      <name val="Calibri"/>
      <family val="2"/>
    </font>
    <font>
      <b/>
      <sz val="9"/>
      <color indexed="10"/>
      <name val="Calibri"/>
      <family val="2"/>
    </font>
    <font>
      <sz val="9"/>
      <color indexed="10"/>
      <name val="Calibri"/>
      <family val="2"/>
    </font>
    <font>
      <b/>
      <sz val="11"/>
      <color theme="1"/>
      <name val="Calibri"/>
      <family val="2"/>
      <scheme val="minor"/>
    </font>
    <font>
      <i/>
      <sz val="12"/>
      <color rgb="FF00B050"/>
      <name val="Calibri"/>
      <family val="2"/>
      <scheme val="minor"/>
    </font>
    <font>
      <sz val="14"/>
      <color theme="0"/>
      <name val="Calibri"/>
      <family val="2"/>
      <scheme val="minor"/>
    </font>
    <font>
      <i/>
      <sz val="14"/>
      <color rgb="FFFF0000"/>
      <name val="Calibri"/>
      <family val="2"/>
      <scheme val="minor"/>
    </font>
    <font>
      <b/>
      <u/>
      <sz val="12"/>
      <color theme="1"/>
      <name val="Calibri"/>
      <family val="2"/>
      <scheme val="minor"/>
    </font>
    <font>
      <sz val="10"/>
      <color theme="1"/>
      <name val="Calisto MT"/>
      <family val="1"/>
    </font>
    <font>
      <sz val="11"/>
      <color theme="1"/>
      <name val="Calisto MT"/>
      <family val="1"/>
    </font>
    <font>
      <sz val="10"/>
      <color theme="0"/>
      <name val="Calisto MT"/>
      <family val="1"/>
    </font>
    <font>
      <sz val="11"/>
      <color theme="0"/>
      <name val="Georgia"/>
      <family val="1"/>
    </font>
    <font>
      <b/>
      <sz val="12"/>
      <color theme="1"/>
      <name val="Calibri"/>
      <family val="2"/>
      <scheme val="minor"/>
    </font>
    <font>
      <sz val="12"/>
      <color theme="1"/>
      <name val="Calibri"/>
      <family val="2"/>
      <scheme val="minor"/>
    </font>
    <font>
      <sz val="12"/>
      <color rgb="FFB08200"/>
      <name val="Calisto MT"/>
      <family val="1"/>
    </font>
    <font>
      <sz val="20"/>
      <color theme="1"/>
      <name val="Calisto MT"/>
      <family val="1"/>
    </font>
    <font>
      <sz val="28"/>
      <color theme="1"/>
      <name val="Calisto MT"/>
      <family val="1"/>
    </font>
    <font>
      <b/>
      <sz val="12"/>
      <color rgb="FFFF0000"/>
      <name val="Calibri"/>
      <family val="2"/>
      <scheme val="minor"/>
    </font>
    <font>
      <sz val="12"/>
      <color rgb="FFFF0000"/>
      <name val="Calibri"/>
      <family val="2"/>
      <scheme val="minor"/>
    </font>
    <font>
      <b/>
      <sz val="14"/>
      <color theme="1"/>
      <name val="Calisto MT"/>
      <family val="1"/>
    </font>
    <font>
      <b/>
      <sz val="10"/>
      <color theme="0"/>
      <name val="Calisto MT"/>
      <family val="1"/>
    </font>
    <font>
      <b/>
      <sz val="11"/>
      <color theme="0"/>
      <name val="Georgia"/>
      <family val="1"/>
    </font>
    <font>
      <b/>
      <sz val="11"/>
      <color rgb="FFFF0000"/>
      <name val="Calibri"/>
      <family val="2"/>
      <scheme val="minor"/>
    </font>
    <font>
      <i/>
      <sz val="11"/>
      <color theme="1"/>
      <name val="Calibri"/>
      <family val="2"/>
      <scheme val="minor"/>
    </font>
    <font>
      <sz val="10"/>
      <color theme="1"/>
      <name val="Calibri"/>
      <family val="2"/>
      <scheme val="minor"/>
    </font>
    <font>
      <b/>
      <sz val="12"/>
      <color rgb="FF002060"/>
      <name val="Calisto MT"/>
      <family val="1"/>
    </font>
    <font>
      <b/>
      <sz val="16"/>
      <color theme="0"/>
      <name val="Calibri"/>
      <family val="2"/>
      <scheme val="minor"/>
    </font>
    <font>
      <sz val="28"/>
      <color theme="1"/>
      <name val="q"/>
    </font>
    <font>
      <sz val="11"/>
      <color indexed="8"/>
      <name val="Calibri"/>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rgb="FF002060"/>
        <bgColor indexed="64"/>
      </patternFill>
    </fill>
    <fill>
      <patternFill patternType="solid">
        <fgColor theme="5" tint="0.39997558519241921"/>
        <bgColor indexed="64"/>
      </patternFill>
    </fill>
  </fills>
  <borders count="1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rgb="FF002060"/>
      </bottom>
      <diagonal/>
    </border>
    <border>
      <left/>
      <right style="thin">
        <color indexed="64"/>
      </right>
      <top style="thin">
        <color indexed="64"/>
      </top>
      <bottom style="dotted">
        <color theme="0" tint="-0.14996795556505021"/>
      </bottom>
      <diagonal/>
    </border>
    <border>
      <left/>
      <right/>
      <top style="thin">
        <color indexed="64"/>
      </top>
      <bottom style="dotted">
        <color theme="0" tint="-0.14996795556505021"/>
      </bottom>
      <diagonal/>
    </border>
    <border>
      <left/>
      <right/>
      <top/>
      <bottom style="thin">
        <color theme="0"/>
      </bottom>
      <diagonal/>
    </border>
    <border>
      <left/>
      <right style="thin">
        <color indexed="64"/>
      </right>
      <top style="dotted">
        <color theme="0" tint="-0.14996795556505021"/>
      </top>
      <bottom/>
      <diagonal/>
    </border>
  </borders>
  <cellStyleXfs count="1">
    <xf numFmtId="0" fontId="0" fillId="0" borderId="0"/>
  </cellStyleXfs>
  <cellXfs count="123">
    <xf numFmtId="0" fontId="0" fillId="0" borderId="0" xfId="0"/>
    <xf numFmtId="0" fontId="0" fillId="0" borderId="0" xfId="0"/>
    <xf numFmtId="0" fontId="0" fillId="2" borderId="0" xfId="0" applyFill="1" applyBorder="1"/>
    <xf numFmtId="0" fontId="0" fillId="2" borderId="0" xfId="0" applyFill="1" applyBorder="1" applyAlignment="1">
      <alignment horizontal="center"/>
    </xf>
    <xf numFmtId="0" fontId="0" fillId="2" borderId="0" xfId="0" applyFill="1" applyBorder="1" applyAlignment="1">
      <alignment horizontal="center" vertical="center"/>
    </xf>
    <xf numFmtId="0" fontId="0" fillId="2" borderId="1" xfId="0" applyFill="1" applyBorder="1" applyAlignment="1">
      <alignment horizontal="center" vertical="center"/>
    </xf>
    <xf numFmtId="0" fontId="0" fillId="2" borderId="0" xfId="0" applyFill="1" applyBorder="1"/>
    <xf numFmtId="0" fontId="0" fillId="2" borderId="0" xfId="0" applyFill="1" applyBorder="1" applyAlignment="1">
      <alignment horizontal="center"/>
    </xf>
    <xf numFmtId="0" fontId="0" fillId="2" borderId="0" xfId="0" applyFill="1" applyBorder="1" applyAlignment="1">
      <alignment horizontal="center" vertical="center"/>
    </xf>
    <xf numFmtId="0" fontId="14" fillId="2" borderId="0" xfId="0" applyFont="1" applyFill="1" applyBorder="1"/>
    <xf numFmtId="0" fontId="0" fillId="2" borderId="1" xfId="0" applyFill="1" applyBorder="1" applyAlignment="1">
      <alignment horizontal="center" vertical="center"/>
    </xf>
    <xf numFmtId="0" fontId="0" fillId="2" borderId="1" xfId="0" applyFill="1" applyBorder="1"/>
    <xf numFmtId="0" fontId="0" fillId="0" borderId="0" xfId="0"/>
    <xf numFmtId="0" fontId="0" fillId="2" borderId="0" xfId="0" applyFill="1" applyBorder="1"/>
    <xf numFmtId="0" fontId="0" fillId="2" borderId="0" xfId="0" applyFill="1" applyBorder="1" applyAlignment="1">
      <alignment horizontal="center" vertical="center"/>
    </xf>
    <xf numFmtId="0" fontId="0" fillId="2" borderId="0" xfId="0" applyFill="1" applyBorder="1"/>
    <xf numFmtId="0" fontId="0" fillId="2" borderId="0" xfId="0" applyFill="1" applyBorder="1" applyAlignment="1">
      <alignment horizontal="center"/>
    </xf>
    <xf numFmtId="0" fontId="0" fillId="2" borderId="0" xfId="0" applyFill="1" applyBorder="1" applyAlignment="1">
      <alignment horizontal="center" vertical="center"/>
    </xf>
    <xf numFmtId="0" fontId="13" fillId="3" borderId="0" xfId="0" applyFont="1" applyFill="1" applyBorder="1" applyAlignment="1">
      <alignment horizontal="center"/>
    </xf>
    <xf numFmtId="0" fontId="14" fillId="2" borderId="0" xfId="0" applyFont="1" applyFill="1" applyBorder="1"/>
    <xf numFmtId="0" fontId="0" fillId="2" borderId="1" xfId="0" applyFill="1" applyBorder="1" applyAlignment="1">
      <alignment horizontal="center" vertical="center"/>
    </xf>
    <xf numFmtId="0" fontId="0" fillId="0" borderId="0" xfId="0"/>
    <xf numFmtId="0" fontId="0" fillId="2" borderId="0" xfId="0" applyFill="1" applyBorder="1"/>
    <xf numFmtId="0" fontId="13" fillId="2" borderId="0" xfId="0" applyFont="1" applyFill="1" applyBorder="1" applyAlignment="1">
      <alignment horizontal="center" vertical="center" textRotation="90"/>
    </xf>
    <xf numFmtId="0" fontId="15" fillId="2" borderId="0" xfId="0" applyFont="1" applyFill="1" applyBorder="1" applyAlignment="1"/>
    <xf numFmtId="0" fontId="0" fillId="2" borderId="0" xfId="0" applyFill="1"/>
    <xf numFmtId="0" fontId="16" fillId="2" borderId="0" xfId="0" applyFont="1" applyFill="1" applyBorder="1"/>
    <xf numFmtId="0" fontId="0" fillId="2" borderId="1" xfId="0" applyFill="1" applyBorder="1" applyAlignment="1">
      <alignment horizontal="center" vertical="center"/>
    </xf>
    <xf numFmtId="0" fontId="0" fillId="2" borderId="1" xfId="0" applyFill="1" applyBorder="1"/>
    <xf numFmtId="49" fontId="0" fillId="2" borderId="0" xfId="0" applyNumberFormat="1" applyFill="1" applyBorder="1"/>
    <xf numFmtId="49" fontId="0" fillId="2" borderId="0" xfId="0" applyNumberFormat="1" applyFill="1"/>
    <xf numFmtId="49" fontId="17" fillId="2" borderId="0" xfId="0" applyNumberFormat="1" applyFont="1" applyFill="1"/>
    <xf numFmtId="0" fontId="2" fillId="4" borderId="2" xfId="0" applyFont="1" applyFill="1" applyBorder="1" applyAlignment="1"/>
    <xf numFmtId="0" fontId="18" fillId="4" borderId="2" xfId="0" applyFont="1" applyFill="1" applyBorder="1" applyAlignment="1">
      <alignment wrapText="1"/>
    </xf>
    <xf numFmtId="0" fontId="19" fillId="4" borderId="2" xfId="0" applyFont="1" applyFill="1" applyBorder="1"/>
    <xf numFmtId="0" fontId="20" fillId="5" borderId="2" xfId="0" applyFont="1" applyFill="1" applyBorder="1"/>
    <xf numFmtId="0" fontId="20" fillId="4" borderId="2" xfId="0" applyFont="1" applyFill="1" applyBorder="1"/>
    <xf numFmtId="0" fontId="0" fillId="2" borderId="4" xfId="0" applyFill="1" applyBorder="1"/>
    <xf numFmtId="0" fontId="13" fillId="4" borderId="0" xfId="0" applyFont="1" applyFill="1" applyBorder="1" applyAlignment="1">
      <alignment horizontal="center" vertical="center"/>
    </xf>
    <xf numFmtId="0" fontId="13" fillId="4" borderId="0" xfId="0" applyFont="1" applyFill="1" applyBorder="1" applyAlignment="1">
      <alignment horizontal="left" vertical="center"/>
    </xf>
    <xf numFmtId="0" fontId="0" fillId="2" borderId="5" xfId="0" applyFill="1" applyBorder="1"/>
    <xf numFmtId="0" fontId="13" fillId="2" borderId="4" xfId="0" applyFont="1" applyFill="1" applyBorder="1" applyAlignment="1">
      <alignment horizontal="center" vertical="center" textRotation="90"/>
    </xf>
    <xf numFmtId="0" fontId="13" fillId="4" borderId="4" xfId="0" applyFont="1" applyFill="1" applyBorder="1"/>
    <xf numFmtId="0" fontId="13" fillId="4" borderId="4" xfId="0" applyFont="1" applyFill="1" applyBorder="1" applyAlignment="1">
      <alignment horizontal="center" vertical="center"/>
    </xf>
    <xf numFmtId="0" fontId="13" fillId="4" borderId="4" xfId="0" applyFont="1" applyFill="1" applyBorder="1" applyAlignment="1">
      <alignment horizontal="left" vertical="center"/>
    </xf>
    <xf numFmtId="0" fontId="13" fillId="2" borderId="5" xfId="0" applyFont="1" applyFill="1" applyBorder="1" applyAlignment="1">
      <alignment horizontal="center" vertical="center" textRotation="90"/>
    </xf>
    <xf numFmtId="0" fontId="0" fillId="2" borderId="5" xfId="0" applyFill="1" applyBorder="1" applyAlignment="1">
      <alignment horizontal="center" vertical="center"/>
    </xf>
    <xf numFmtId="0" fontId="0" fillId="3" borderId="0" xfId="0" applyFill="1" applyBorder="1"/>
    <xf numFmtId="0" fontId="22" fillId="3" borderId="0" xfId="0" applyFont="1" applyFill="1" applyBorder="1"/>
    <xf numFmtId="0" fontId="0" fillId="3" borderId="0" xfId="0" applyFill="1"/>
    <xf numFmtId="0" fontId="0" fillId="2" borderId="0" xfId="0" applyFill="1" applyAlignment="1">
      <alignment horizontal="left" indent="2"/>
    </xf>
    <xf numFmtId="0" fontId="13" fillId="2" borderId="1" xfId="0" applyFont="1" applyFill="1" applyBorder="1"/>
    <xf numFmtId="0" fontId="0" fillId="2" borderId="0" xfId="0" applyFont="1" applyFill="1"/>
    <xf numFmtId="0" fontId="0" fillId="2" borderId="6" xfId="0" applyFill="1" applyBorder="1" applyAlignment="1">
      <alignment horizontal="center" vertical="center"/>
    </xf>
    <xf numFmtId="0" fontId="22" fillId="3" borderId="0" xfId="0" applyFont="1" applyFill="1" applyBorder="1" applyAlignment="1">
      <alignment horizontal="center"/>
    </xf>
    <xf numFmtId="0" fontId="23" fillId="2" borderId="0" xfId="0" applyFont="1" applyFill="1"/>
    <xf numFmtId="0" fontId="23" fillId="3" borderId="0" xfId="0" applyFont="1" applyFill="1"/>
    <xf numFmtId="0" fontId="23" fillId="0" borderId="0" xfId="0" applyFont="1"/>
    <xf numFmtId="0" fontId="23" fillId="3" borderId="0" xfId="0" applyFont="1" applyFill="1" applyBorder="1"/>
    <xf numFmtId="0" fontId="24" fillId="2" borderId="0" xfId="0" applyFont="1" applyFill="1" applyBorder="1"/>
    <xf numFmtId="0" fontId="25" fillId="2" borderId="0" xfId="0" applyFont="1" applyFill="1" applyAlignment="1"/>
    <xf numFmtId="0" fontId="26" fillId="2" borderId="0" xfId="0" applyFont="1" applyFill="1" applyAlignment="1"/>
    <xf numFmtId="0" fontId="23" fillId="2" borderId="1" xfId="0" applyFont="1" applyFill="1" applyBorder="1"/>
    <xf numFmtId="0" fontId="23" fillId="2" borderId="0" xfId="0" applyFont="1" applyFill="1" applyAlignment="1">
      <alignment horizontal="left" indent="2"/>
    </xf>
    <xf numFmtId="0" fontId="27" fillId="2" borderId="0" xfId="0" applyFont="1" applyFill="1"/>
    <xf numFmtId="0" fontId="28" fillId="2" borderId="0" xfId="0" applyFont="1" applyFill="1"/>
    <xf numFmtId="0" fontId="0" fillId="2" borderId="0" xfId="0" applyFill="1" applyAlignment="1">
      <alignment horizontal="right"/>
    </xf>
    <xf numFmtId="0" fontId="0" fillId="2" borderId="0" xfId="0" applyFill="1" applyBorder="1" applyAlignment="1">
      <alignment horizontal="right"/>
    </xf>
    <xf numFmtId="0" fontId="0" fillId="0" borderId="0" xfId="0" applyAlignment="1">
      <alignment horizontal="right"/>
    </xf>
    <xf numFmtId="0" fontId="29" fillId="2" borderId="0" xfId="0" applyFont="1" applyFill="1" applyBorder="1"/>
    <xf numFmtId="0" fontId="22" fillId="2" borderId="1" xfId="0" applyFont="1" applyFill="1" applyBorder="1"/>
    <xf numFmtId="0" fontId="0" fillId="2" borderId="1" xfId="0" applyFont="1" applyFill="1" applyBorder="1"/>
    <xf numFmtId="0" fontId="23" fillId="2" borderId="0" xfId="0" applyFont="1" applyFill="1" applyAlignment="1">
      <alignment horizontal="left"/>
    </xf>
    <xf numFmtId="0" fontId="13" fillId="2" borderId="1" xfId="0" applyFont="1" applyFill="1" applyBorder="1" applyAlignment="1">
      <alignment horizontal="center"/>
    </xf>
    <xf numFmtId="0" fontId="2" fillId="4" borderId="2" xfId="0" applyFont="1" applyFill="1" applyBorder="1" applyAlignment="1">
      <alignment horizontal="left"/>
    </xf>
    <xf numFmtId="0" fontId="6" fillId="4" borderId="2" xfId="0" applyFont="1" applyFill="1" applyBorder="1"/>
    <xf numFmtId="0" fontId="30" fillId="5" borderId="6" xfId="0" applyFont="1" applyFill="1" applyBorder="1"/>
    <xf numFmtId="0" fontId="32" fillId="2" borderId="0" xfId="0" applyFont="1" applyFill="1" applyBorder="1"/>
    <xf numFmtId="0" fontId="0" fillId="2" borderId="0" xfId="0" applyFill="1" applyBorder="1" applyAlignment="1">
      <alignment horizontal="left"/>
    </xf>
    <xf numFmtId="0" fontId="22" fillId="2" borderId="0" xfId="0" applyFont="1" applyFill="1" applyBorder="1" applyAlignment="1">
      <alignment horizontal="left"/>
    </xf>
    <xf numFmtId="0" fontId="0" fillId="6" borderId="0" xfId="0" applyFill="1" applyBorder="1" applyAlignment="1">
      <alignment horizontal="center"/>
    </xf>
    <xf numFmtId="0" fontId="33" fillId="6" borderId="0" xfId="0" applyFont="1" applyFill="1" applyBorder="1" applyAlignment="1"/>
    <xf numFmtId="0" fontId="32" fillId="2" borderId="0" xfId="0" applyFont="1" applyFill="1" applyBorder="1" applyAlignment="1">
      <alignment vertical="center"/>
    </xf>
    <xf numFmtId="0" fontId="0" fillId="2" borderId="0" xfId="0" applyFill="1" applyAlignment="1">
      <alignment horizontal="left"/>
    </xf>
    <xf numFmtId="49" fontId="0" fillId="2" borderId="0" xfId="0" applyNumberFormat="1" applyFill="1" applyBorder="1" applyAlignment="1">
      <alignment horizontal="left" indent="2"/>
    </xf>
    <xf numFmtId="0" fontId="0" fillId="2" borderId="10" xfId="0" applyFill="1" applyBorder="1"/>
    <xf numFmtId="0" fontId="0" fillId="2" borderId="10" xfId="0" applyFill="1" applyBorder="1" applyAlignment="1">
      <alignment horizontal="right"/>
    </xf>
    <xf numFmtId="49" fontId="0" fillId="2" borderId="0" xfId="0" applyNumberFormat="1" applyFont="1" applyFill="1"/>
    <xf numFmtId="0" fontId="33" fillId="8" borderId="0" xfId="0" applyFont="1" applyFill="1"/>
    <xf numFmtId="0" fontId="0" fillId="8" borderId="0" xfId="0" applyFill="1" applyAlignment="1">
      <alignment horizontal="center"/>
    </xf>
    <xf numFmtId="0" fontId="13" fillId="2" borderId="11" xfId="0" applyFont="1" applyFill="1" applyBorder="1" applyAlignment="1">
      <alignment horizontal="center" vertical="center" textRotation="90" wrapText="1"/>
    </xf>
    <xf numFmtId="0" fontId="0" fillId="2" borderId="12" xfId="0" applyFill="1" applyBorder="1" applyAlignment="1">
      <alignment horizontal="center" vertical="center"/>
    </xf>
    <xf numFmtId="0" fontId="0" fillId="2" borderId="12" xfId="0" applyFill="1" applyBorder="1"/>
    <xf numFmtId="0" fontId="0" fillId="2" borderId="6" xfId="0" applyFont="1" applyFill="1" applyBorder="1" applyAlignment="1">
      <alignment horizontal="center" vertical="center"/>
    </xf>
    <xf numFmtId="0" fontId="34" fillId="2" borderId="0" xfId="0" applyFont="1" applyFill="1"/>
    <xf numFmtId="0" fontId="25" fillId="2" borderId="0" xfId="0" applyFont="1" applyFill="1" applyAlignment="1">
      <alignment horizontal="center"/>
    </xf>
    <xf numFmtId="0" fontId="37" fillId="2" borderId="0" xfId="0" applyFont="1" applyFill="1" applyAlignment="1">
      <alignment horizontal="center"/>
    </xf>
    <xf numFmtId="0" fontId="0" fillId="2" borderId="0" xfId="0" applyFill="1" applyBorder="1" applyAlignment="1">
      <alignment horizontal="left" wrapText="1"/>
    </xf>
    <xf numFmtId="0" fontId="13" fillId="2" borderId="3" xfId="0" applyFont="1" applyFill="1" applyBorder="1" applyAlignment="1">
      <alignment horizontal="center" vertical="center" textRotation="90" wrapText="1"/>
    </xf>
    <xf numFmtId="0" fontId="13" fillId="2" borderId="7" xfId="0" applyFont="1" applyFill="1" applyBorder="1" applyAlignment="1">
      <alignment horizontal="center" vertical="center" textRotation="90" wrapText="1"/>
    </xf>
    <xf numFmtId="0" fontId="35" fillId="4" borderId="8" xfId="0" applyFont="1" applyFill="1" applyBorder="1" applyAlignment="1">
      <alignment horizontal="center"/>
    </xf>
    <xf numFmtId="0" fontId="35" fillId="4" borderId="9" xfId="0" applyFont="1" applyFill="1" applyBorder="1" applyAlignment="1">
      <alignment horizontal="center"/>
    </xf>
    <xf numFmtId="0" fontId="36" fillId="7" borderId="13" xfId="0" applyFont="1" applyFill="1" applyBorder="1" applyAlignment="1">
      <alignment horizontal="center"/>
    </xf>
    <xf numFmtId="0" fontId="15" fillId="7" borderId="0" xfId="0" applyFont="1" applyFill="1" applyBorder="1" applyAlignment="1">
      <alignment horizontal="center"/>
    </xf>
    <xf numFmtId="0" fontId="13" fillId="2" borderId="14" xfId="0" applyFont="1" applyFill="1" applyBorder="1" applyAlignment="1">
      <alignment horizontal="center" vertical="center" textRotation="90"/>
    </xf>
    <xf numFmtId="0" fontId="13" fillId="2" borderId="3" xfId="0" applyFont="1" applyFill="1" applyBorder="1" applyAlignment="1">
      <alignment horizontal="center" vertical="center" textRotation="90"/>
    </xf>
    <xf numFmtId="0" fontId="13" fillId="2" borderId="7" xfId="0" applyFont="1" applyFill="1" applyBorder="1" applyAlignment="1">
      <alignment horizontal="center" vertical="center" textRotation="90"/>
    </xf>
    <xf numFmtId="49" fontId="0" fillId="2" borderId="0" xfId="0" applyNumberFormat="1" applyFont="1" applyFill="1" applyAlignment="1">
      <alignment horizontal="left" vertical="top" wrapText="1" indent="1"/>
    </xf>
    <xf numFmtId="164" fontId="3" fillId="4" borderId="3" xfId="0" applyNumberFormat="1" applyFont="1" applyFill="1" applyBorder="1" applyAlignment="1">
      <alignment horizontal="center"/>
    </xf>
    <xf numFmtId="164" fontId="21" fillId="5" borderId="3" xfId="0" applyNumberFormat="1" applyFont="1" applyFill="1" applyBorder="1" applyAlignment="1">
      <alignment horizontal="center"/>
    </xf>
    <xf numFmtId="164" fontId="7" fillId="4" borderId="3" xfId="0" applyNumberFormat="1" applyFont="1" applyFill="1" applyBorder="1" applyAlignment="1">
      <alignment horizontal="center"/>
    </xf>
    <xf numFmtId="164" fontId="31" fillId="5" borderId="7" xfId="0" applyNumberFormat="1" applyFont="1" applyFill="1" applyBorder="1" applyAlignment="1">
      <alignment horizontal="center"/>
    </xf>
    <xf numFmtId="164" fontId="0" fillId="2" borderId="0" xfId="0" applyNumberFormat="1" applyFill="1" applyBorder="1" applyAlignment="1">
      <alignment horizontal="center"/>
    </xf>
    <xf numFmtId="164" fontId="0" fillId="2" borderId="1" xfId="0" applyNumberFormat="1" applyFill="1" applyBorder="1" applyAlignment="1">
      <alignment horizontal="center"/>
    </xf>
    <xf numFmtId="164" fontId="13" fillId="3" borderId="0" xfId="0" applyNumberFormat="1" applyFont="1" applyFill="1" applyBorder="1" applyAlignment="1">
      <alignment horizontal="center"/>
    </xf>
    <xf numFmtId="164" fontId="22" fillId="3" borderId="0" xfId="0" applyNumberFormat="1" applyFont="1" applyFill="1" applyBorder="1" applyAlignment="1">
      <alignment horizontal="center"/>
    </xf>
    <xf numFmtId="164" fontId="0" fillId="2" borderId="12" xfId="0" applyNumberFormat="1" applyFill="1" applyBorder="1" applyAlignment="1">
      <alignment horizontal="center" vertical="center"/>
    </xf>
    <xf numFmtId="164" fontId="0" fillId="2" borderId="0" xfId="0" applyNumberFormat="1" applyFill="1" applyBorder="1" applyAlignment="1">
      <alignment horizontal="center" vertical="center"/>
    </xf>
    <xf numFmtId="164" fontId="0" fillId="2" borderId="1" xfId="0" applyNumberFormat="1" applyFill="1" applyBorder="1" applyAlignment="1">
      <alignment horizontal="center" vertical="center"/>
    </xf>
    <xf numFmtId="164" fontId="13" fillId="4" borderId="4" xfId="0" applyNumberFormat="1" applyFont="1" applyFill="1" applyBorder="1" applyAlignment="1">
      <alignment horizontal="center"/>
    </xf>
    <xf numFmtId="164" fontId="0" fillId="2" borderId="5" xfId="0" applyNumberFormat="1" applyFill="1" applyBorder="1"/>
    <xf numFmtId="164" fontId="13" fillId="4" borderId="0" xfId="0" applyNumberFormat="1" applyFont="1" applyFill="1" applyBorder="1" applyAlignment="1">
      <alignment horizontal="center"/>
    </xf>
    <xf numFmtId="164" fontId="0" fillId="2" borderId="5"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200025</xdr:colOff>
      <xdr:row>1</xdr:row>
      <xdr:rowOff>142875</xdr:rowOff>
    </xdr:from>
    <xdr:to>
      <xdr:col>5</xdr:col>
      <xdr:colOff>219075</xdr:colOff>
      <xdr:row>4</xdr:row>
      <xdr:rowOff>95250</xdr:rowOff>
    </xdr:to>
    <xdr:pic>
      <xdr:nvPicPr>
        <xdr:cNvPr id="307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9550" y="333375"/>
          <a:ext cx="123825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2009775</xdr:colOff>
      <xdr:row>1</xdr:row>
      <xdr:rowOff>190500</xdr:rowOff>
    </xdr:from>
    <xdr:to>
      <xdr:col>9</xdr:col>
      <xdr:colOff>581025</xdr:colOff>
      <xdr:row>3</xdr:row>
      <xdr:rowOff>38100</xdr:rowOff>
    </xdr:to>
    <xdr:pic>
      <xdr:nvPicPr>
        <xdr:cNvPr id="2051"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0" y="266700"/>
          <a:ext cx="657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1058</xdr:colOff>
      <xdr:row>19</xdr:row>
      <xdr:rowOff>209550</xdr:rowOff>
    </xdr:from>
    <xdr:to>
      <xdr:col>10</xdr:col>
      <xdr:colOff>48683</xdr:colOff>
      <xdr:row>26</xdr:row>
      <xdr:rowOff>85725</xdr:rowOff>
    </xdr:to>
    <xdr:sp macro="" textlink="">
      <xdr:nvSpPr>
        <xdr:cNvPr id="3" name="Rectangle 2"/>
        <xdr:cNvSpPr/>
      </xdr:nvSpPr>
      <xdr:spPr>
        <a:xfrm>
          <a:off x="6192308" y="3892550"/>
          <a:ext cx="2746375" cy="1283758"/>
        </a:xfrm>
        <a:prstGeom prst="rect">
          <a:avLst/>
        </a:prstGeom>
        <a:noFill/>
        <a:ln w="12700" cmpd="thickThin">
          <a:solidFill>
            <a:srgbClr val="FF0000">
              <a:alpha val="86000"/>
            </a:srgbClr>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2009775</xdr:colOff>
      <xdr:row>1</xdr:row>
      <xdr:rowOff>190500</xdr:rowOff>
    </xdr:from>
    <xdr:to>
      <xdr:col>9</xdr:col>
      <xdr:colOff>581025</xdr:colOff>
      <xdr:row>3</xdr:row>
      <xdr:rowOff>38100</xdr:rowOff>
    </xdr:to>
    <xdr:pic>
      <xdr:nvPicPr>
        <xdr:cNvPr id="409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72450" y="266700"/>
          <a:ext cx="657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2009775</xdr:colOff>
      <xdr:row>1</xdr:row>
      <xdr:rowOff>190500</xdr:rowOff>
    </xdr:from>
    <xdr:to>
      <xdr:col>9</xdr:col>
      <xdr:colOff>581025</xdr:colOff>
      <xdr:row>3</xdr:row>
      <xdr:rowOff>38100</xdr:rowOff>
    </xdr:to>
    <xdr:pic>
      <xdr:nvPicPr>
        <xdr:cNvPr id="5121" name="Picture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266700"/>
          <a:ext cx="657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2009775</xdr:colOff>
      <xdr:row>1</xdr:row>
      <xdr:rowOff>190500</xdr:rowOff>
    </xdr:from>
    <xdr:to>
      <xdr:col>9</xdr:col>
      <xdr:colOff>581025</xdr:colOff>
      <xdr:row>3</xdr:row>
      <xdr:rowOff>38100</xdr:rowOff>
    </xdr:to>
    <xdr:pic>
      <xdr:nvPicPr>
        <xdr:cNvPr id="614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0" y="266700"/>
          <a:ext cx="657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171450</xdr:colOff>
      <xdr:row>20</xdr:row>
      <xdr:rowOff>142874</xdr:rowOff>
    </xdr:from>
    <xdr:to>
      <xdr:col>10</xdr:col>
      <xdr:colOff>28575</xdr:colOff>
      <xdr:row>27</xdr:row>
      <xdr:rowOff>66674</xdr:rowOff>
    </xdr:to>
    <xdr:sp macro="" textlink="">
      <xdr:nvSpPr>
        <xdr:cNvPr id="3" name="Rectangle 2"/>
        <xdr:cNvSpPr/>
      </xdr:nvSpPr>
      <xdr:spPr>
        <a:xfrm>
          <a:off x="6162675" y="4400549"/>
          <a:ext cx="2743200" cy="1285875"/>
        </a:xfrm>
        <a:prstGeom prst="rect">
          <a:avLst/>
        </a:prstGeom>
        <a:noFill/>
        <a:ln w="12700" cmpd="thickThin">
          <a:solidFill>
            <a:srgbClr val="FF0000">
              <a:alpha val="86000"/>
            </a:srgbClr>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O27"/>
  <sheetViews>
    <sheetView tabSelected="1" workbookViewId="0">
      <selection activeCell="F27" sqref="F27"/>
    </sheetView>
  </sheetViews>
  <sheetFormatPr defaultRowHeight="15"/>
  <cols>
    <col min="1" max="1" width="9.140625" style="25" customWidth="1"/>
    <col min="2" max="2" width="11.85546875" style="25" customWidth="1"/>
    <col min="3" max="3" width="36.28515625" style="25" customWidth="1"/>
    <col min="4" max="16384" width="9.140625" style="25"/>
  </cols>
  <sheetData>
    <row r="7" spans="1:15" ht="34.5">
      <c r="A7" s="96" t="s">
        <v>0</v>
      </c>
      <c r="B7" s="96"/>
      <c r="C7" s="96"/>
      <c r="D7" s="96"/>
      <c r="E7" s="96"/>
      <c r="F7" s="96"/>
      <c r="G7" s="96"/>
      <c r="H7" s="96"/>
      <c r="I7" s="96"/>
      <c r="J7" s="96"/>
      <c r="K7" s="96"/>
      <c r="L7" s="96"/>
      <c r="M7" s="61"/>
      <c r="N7" s="61"/>
      <c r="O7" s="61"/>
    </row>
    <row r="8" spans="1:15" ht="25.5">
      <c r="A8" s="95" t="s">
        <v>83</v>
      </c>
      <c r="B8" s="95"/>
      <c r="C8" s="95"/>
      <c r="D8" s="95"/>
      <c r="E8" s="95"/>
      <c r="F8" s="95"/>
      <c r="G8" s="95"/>
      <c r="H8" s="95"/>
      <c r="I8" s="95"/>
      <c r="J8" s="95"/>
      <c r="K8" s="95"/>
      <c r="L8" s="95"/>
      <c r="M8" s="60"/>
      <c r="N8" s="60"/>
      <c r="O8" s="60"/>
    </row>
    <row r="9" spans="1:15">
      <c r="B9" s="28"/>
      <c r="C9" s="28"/>
      <c r="D9" s="28"/>
      <c r="E9" s="28"/>
      <c r="F9" s="28"/>
      <c r="G9" s="28"/>
      <c r="H9" s="28"/>
      <c r="I9" s="28"/>
      <c r="J9" s="28"/>
      <c r="K9" s="28"/>
      <c r="L9" s="28"/>
      <c r="O9" s="22"/>
    </row>
    <row r="12" spans="1:15" ht="15.75">
      <c r="A12" s="55"/>
      <c r="B12" s="52"/>
      <c r="C12" s="64" t="s">
        <v>70</v>
      </c>
      <c r="D12" s="52"/>
      <c r="E12" s="70" t="s">
        <v>57</v>
      </c>
      <c r="F12" s="62"/>
      <c r="G12" s="71"/>
      <c r="H12" s="71"/>
      <c r="I12" s="52"/>
      <c r="J12" s="52"/>
      <c r="K12" s="52"/>
      <c r="L12" s="52"/>
    </row>
    <row r="13" spans="1:15" ht="15.75">
      <c r="A13" s="55"/>
      <c r="B13" s="52"/>
      <c r="C13" s="65" t="s">
        <v>87</v>
      </c>
      <c r="D13" s="52"/>
      <c r="E13" s="55" t="s">
        <v>56</v>
      </c>
      <c r="F13" s="52"/>
      <c r="G13" s="52"/>
      <c r="H13" s="52"/>
      <c r="I13" s="52"/>
      <c r="J13" s="52"/>
      <c r="K13" s="52"/>
      <c r="L13" s="52"/>
    </row>
    <row r="14" spans="1:15" ht="15.75">
      <c r="A14" s="55"/>
      <c r="B14" s="52"/>
      <c r="C14" s="52"/>
      <c r="D14" s="52"/>
      <c r="E14" s="55" t="s">
        <v>58</v>
      </c>
      <c r="F14" s="52"/>
      <c r="G14" s="52"/>
      <c r="H14" s="52"/>
      <c r="I14" s="52"/>
      <c r="J14" s="52"/>
      <c r="K14" s="52"/>
      <c r="L14" s="52"/>
    </row>
    <row r="15" spans="1:15" ht="15.75">
      <c r="A15" s="55"/>
      <c r="B15" s="52"/>
      <c r="C15" s="55" t="s">
        <v>68</v>
      </c>
      <c r="D15" s="52"/>
      <c r="E15" s="55" t="s">
        <v>93</v>
      </c>
      <c r="F15" s="52"/>
      <c r="G15" s="52"/>
      <c r="H15" s="52"/>
      <c r="I15" s="52"/>
      <c r="J15" s="52"/>
      <c r="K15" s="52"/>
      <c r="L15" s="52"/>
    </row>
    <row r="16" spans="1:15" ht="15.75">
      <c r="A16" s="55"/>
      <c r="B16" s="52"/>
      <c r="C16" s="63" t="s">
        <v>88</v>
      </c>
      <c r="D16" s="52"/>
      <c r="E16" s="25" t="s">
        <v>75</v>
      </c>
      <c r="F16" s="52"/>
      <c r="G16" s="52"/>
      <c r="H16" s="52"/>
      <c r="I16" s="55"/>
      <c r="J16" s="52"/>
      <c r="K16" s="52"/>
      <c r="L16" s="52"/>
    </row>
    <row r="17" spans="1:12" ht="15.75">
      <c r="A17" s="55"/>
      <c r="B17" s="52"/>
      <c r="C17" s="63" t="s">
        <v>89</v>
      </c>
      <c r="D17" s="52"/>
      <c r="E17" s="52"/>
      <c r="F17" s="52"/>
      <c r="G17" s="52"/>
      <c r="H17" s="52"/>
      <c r="I17" s="55"/>
      <c r="J17" s="52"/>
      <c r="K17" s="52"/>
      <c r="L17" s="52"/>
    </row>
    <row r="18" spans="1:12" ht="15.75">
      <c r="A18" s="55"/>
      <c r="B18" s="52"/>
      <c r="C18" s="72" t="s">
        <v>69</v>
      </c>
      <c r="D18" s="52"/>
      <c r="E18" s="52"/>
      <c r="F18" s="52"/>
      <c r="G18" s="52"/>
      <c r="H18" s="52"/>
      <c r="I18" s="55"/>
      <c r="J18" s="52"/>
      <c r="K18" s="52"/>
      <c r="L18" s="52"/>
    </row>
    <row r="19" spans="1:12" ht="15.75">
      <c r="A19" s="55"/>
      <c r="B19" s="52"/>
      <c r="C19" s="63" t="s">
        <v>90</v>
      </c>
      <c r="D19" s="52"/>
      <c r="E19" s="52"/>
      <c r="F19" s="52"/>
      <c r="G19" s="52"/>
      <c r="H19" s="52"/>
      <c r="I19" s="52"/>
      <c r="J19" s="52"/>
      <c r="K19" s="52"/>
      <c r="L19" s="52"/>
    </row>
    <row r="20" spans="1:12" ht="15.75">
      <c r="A20" s="55"/>
      <c r="B20" s="52"/>
      <c r="C20" s="63" t="s">
        <v>91</v>
      </c>
      <c r="D20" s="52"/>
      <c r="E20" s="52"/>
      <c r="F20" s="52"/>
      <c r="G20" s="52"/>
      <c r="H20" s="52"/>
      <c r="I20" s="52"/>
      <c r="J20" s="52"/>
      <c r="K20" s="52"/>
      <c r="L20" s="52"/>
    </row>
    <row r="21" spans="1:12">
      <c r="B21" s="52"/>
      <c r="C21" s="52"/>
      <c r="D21" s="52"/>
      <c r="E21" s="52"/>
      <c r="F21" s="52"/>
      <c r="G21" s="52"/>
      <c r="H21" s="52"/>
      <c r="I21" s="52"/>
      <c r="J21" s="52"/>
      <c r="K21" s="52"/>
      <c r="L21" s="52"/>
    </row>
    <row r="22" spans="1:12">
      <c r="B22" s="52"/>
      <c r="C22" s="52"/>
      <c r="D22" s="52"/>
      <c r="E22" s="52"/>
      <c r="F22" s="52"/>
      <c r="G22" s="52"/>
      <c r="H22" s="52"/>
      <c r="I22" s="52"/>
      <c r="J22" s="52"/>
      <c r="K22" s="52"/>
      <c r="L22" s="52"/>
    </row>
    <row r="23" spans="1:12">
      <c r="B23" s="52"/>
      <c r="C23" s="52"/>
      <c r="D23" s="52"/>
      <c r="E23" s="52"/>
      <c r="F23" s="52"/>
      <c r="G23" s="52"/>
      <c r="H23" s="52"/>
      <c r="I23" s="52"/>
      <c r="J23" s="52"/>
      <c r="K23" s="52"/>
      <c r="L23" s="52"/>
    </row>
    <row r="24" spans="1:12">
      <c r="B24" s="52"/>
      <c r="C24" s="52"/>
      <c r="D24" s="52"/>
      <c r="E24" s="52"/>
      <c r="F24" s="52"/>
      <c r="G24" s="52"/>
      <c r="H24" s="52"/>
      <c r="I24" s="52"/>
      <c r="J24" s="52"/>
      <c r="K24" s="52"/>
      <c r="L24" s="52"/>
    </row>
    <row r="25" spans="1:12">
      <c r="B25" s="52"/>
      <c r="C25" s="52"/>
      <c r="D25" s="52"/>
      <c r="E25" s="52"/>
      <c r="F25" s="52"/>
      <c r="G25" s="52"/>
      <c r="H25" s="52"/>
      <c r="I25" s="52"/>
      <c r="J25" s="52"/>
      <c r="K25" s="52"/>
      <c r="L25" s="52"/>
    </row>
    <row r="27" spans="1:12">
      <c r="B27" s="94" t="s">
        <v>82</v>
      </c>
      <c r="C27" s="30" t="s">
        <v>92</v>
      </c>
    </row>
  </sheetData>
  <mergeCells count="2">
    <mergeCell ref="A8:L8"/>
    <mergeCell ref="A7:L7"/>
  </mergeCells>
  <pageMargins left="0.19685039370078741" right="0.23622047244094491" top="0.74803149606299213" bottom="0.74803149606299213" header="0.31496062992125984" footer="0.31496062992125984"/>
  <pageSetup paperSize="5"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DQ668"/>
  <sheetViews>
    <sheetView zoomScale="90" zoomScaleNormal="90" workbookViewId="0">
      <selection activeCell="F41" sqref="F41"/>
    </sheetView>
  </sheetViews>
  <sheetFormatPr defaultRowHeight="15"/>
  <cols>
    <col min="1" max="1" width="9.140625" style="25"/>
    <col min="3" max="4" width="19.42578125" bestFit="1" customWidth="1"/>
    <col min="5" max="5" width="14.42578125" bestFit="1" customWidth="1"/>
    <col min="6" max="7" width="9.140625" style="25"/>
    <col min="8" max="8" width="2.85546875" style="25" customWidth="1"/>
    <col min="9" max="9" width="31.28515625" style="25" customWidth="1"/>
    <col min="10" max="42" width="9.140625" style="25"/>
  </cols>
  <sheetData>
    <row r="1" spans="2:121" s="25" customFormat="1" ht="6" customHeight="1"/>
    <row r="2" spans="2:121" ht="18">
      <c r="B2" s="69" t="s">
        <v>0</v>
      </c>
      <c r="C2" s="22"/>
      <c r="D2" s="22"/>
      <c r="E2" s="22"/>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row>
    <row r="3" spans="2:121" ht="15.75">
      <c r="B3" s="59" t="s">
        <v>83</v>
      </c>
      <c r="C3" s="2"/>
      <c r="D3" s="2"/>
      <c r="E3" s="2"/>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row>
    <row r="4" spans="2:121" ht="6" customHeight="1">
      <c r="B4" s="2"/>
      <c r="C4" s="2"/>
      <c r="D4" s="2"/>
      <c r="E4" s="2"/>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row>
    <row r="5" spans="2:121" ht="21">
      <c r="B5" s="102" t="s">
        <v>59</v>
      </c>
      <c r="C5" s="102"/>
      <c r="D5" s="102"/>
      <c r="E5" s="102"/>
      <c r="F5" s="102"/>
      <c r="G5" s="102"/>
      <c r="H5" s="102"/>
      <c r="I5" s="102"/>
      <c r="J5" s="102"/>
      <c r="K5" s="24"/>
      <c r="L5" s="24"/>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row>
    <row r="6" spans="2:121" ht="18.75">
      <c r="B6" s="103" t="s">
        <v>48</v>
      </c>
      <c r="C6" s="103"/>
      <c r="D6" s="103"/>
      <c r="E6" s="103"/>
      <c r="F6" s="103"/>
      <c r="G6" s="103"/>
      <c r="H6" s="103"/>
      <c r="I6" s="103"/>
      <c r="J6" s="103"/>
      <c r="K6" s="24"/>
      <c r="L6" s="24"/>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row>
    <row r="7" spans="2:121">
      <c r="B7" s="2"/>
      <c r="C7" s="2"/>
      <c r="D7" s="2"/>
      <c r="E7" s="2"/>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row>
    <row r="8" spans="2:121" ht="15.75">
      <c r="B8" s="28"/>
      <c r="C8" s="73" t="s">
        <v>1</v>
      </c>
      <c r="D8" s="51" t="s">
        <v>2</v>
      </c>
      <c r="E8" s="51" t="s">
        <v>3</v>
      </c>
      <c r="F8" s="28"/>
      <c r="I8" s="100" t="s">
        <v>47</v>
      </c>
      <c r="J8" s="10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row>
    <row r="9" spans="2:121">
      <c r="B9" s="98" t="s">
        <v>35</v>
      </c>
      <c r="C9" s="3" t="s">
        <v>4</v>
      </c>
      <c r="D9" s="3" t="s">
        <v>5</v>
      </c>
      <c r="E9" s="112">
        <f>IF(D9="Y",3,0)</f>
        <v>0</v>
      </c>
      <c r="I9" s="32" t="s">
        <v>40</v>
      </c>
      <c r="J9" s="108">
        <f>D29+'Year 2'!D30+'Year 3'!E21+'Year 4'!E21+J25</f>
        <v>0</v>
      </c>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row>
    <row r="10" spans="2:121">
      <c r="B10" s="98"/>
      <c r="C10" s="3" t="s">
        <v>6</v>
      </c>
      <c r="D10" s="3" t="s">
        <v>5</v>
      </c>
      <c r="E10" s="112">
        <f t="shared" ref="E10:E20" si="0">IF(D10="Y",3,0)</f>
        <v>0</v>
      </c>
      <c r="I10" s="33" t="s">
        <v>38</v>
      </c>
      <c r="J10" s="108">
        <v>84</v>
      </c>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row>
    <row r="11" spans="2:121">
      <c r="B11" s="98"/>
      <c r="C11" s="16" t="s">
        <v>8</v>
      </c>
      <c r="D11" s="3" t="s">
        <v>5</v>
      </c>
      <c r="E11" s="112">
        <f t="shared" si="0"/>
        <v>0</v>
      </c>
      <c r="I11" s="35" t="s">
        <v>51</v>
      </c>
      <c r="J11" s="109">
        <f>J10-J9</f>
        <v>84</v>
      </c>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row>
    <row r="12" spans="2:121">
      <c r="B12" s="98"/>
      <c r="C12" s="16" t="s">
        <v>9</v>
      </c>
      <c r="D12" s="3" t="s">
        <v>5</v>
      </c>
      <c r="E12" s="112">
        <f t="shared" si="0"/>
        <v>0</v>
      </c>
      <c r="I12" s="34"/>
      <c r="J12" s="108"/>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row>
    <row r="13" spans="2:121">
      <c r="B13" s="98"/>
      <c r="C13" s="16" t="s">
        <v>10</v>
      </c>
      <c r="D13" s="3" t="s">
        <v>5</v>
      </c>
      <c r="E13" s="112">
        <f t="shared" si="0"/>
        <v>0</v>
      </c>
      <c r="I13" s="32" t="s">
        <v>41</v>
      </c>
      <c r="J13" s="108">
        <f>D30+'Year 2'!D31+'Year 3'!E29+'Year 4'!E29+J26</f>
        <v>0</v>
      </c>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row>
    <row r="14" spans="2:121">
      <c r="B14" s="98"/>
      <c r="C14" s="16" t="s">
        <v>7</v>
      </c>
      <c r="D14" s="3" t="s">
        <v>5</v>
      </c>
      <c r="E14" s="112">
        <f t="shared" si="0"/>
        <v>0</v>
      </c>
      <c r="I14" s="33" t="s">
        <v>39</v>
      </c>
      <c r="J14" s="108">
        <v>27</v>
      </c>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row>
    <row r="15" spans="2:121">
      <c r="B15" s="98"/>
      <c r="C15" s="3" t="s">
        <v>11</v>
      </c>
      <c r="D15" s="3" t="s">
        <v>5</v>
      </c>
      <c r="E15" s="112">
        <f t="shared" si="0"/>
        <v>0</v>
      </c>
      <c r="I15" s="35" t="s">
        <v>52</v>
      </c>
      <c r="J15" s="109">
        <f>J14-J13</f>
        <v>27</v>
      </c>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row>
    <row r="16" spans="2:121">
      <c r="B16" s="98"/>
      <c r="C16" s="3" t="s">
        <v>12</v>
      </c>
      <c r="D16" s="3" t="s">
        <v>5</v>
      </c>
      <c r="E16" s="112">
        <f t="shared" si="0"/>
        <v>0</v>
      </c>
      <c r="I16" s="36"/>
      <c r="J16" s="108"/>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row>
    <row r="17" spans="1:121">
      <c r="B17" s="98"/>
      <c r="C17" s="3" t="s">
        <v>13</v>
      </c>
      <c r="D17" s="3" t="s">
        <v>5</v>
      </c>
      <c r="E17" s="112">
        <f t="shared" si="0"/>
        <v>0</v>
      </c>
      <c r="I17" s="75" t="s">
        <v>36</v>
      </c>
      <c r="J17" s="110">
        <f>J9+J13</f>
        <v>0</v>
      </c>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row>
    <row r="18" spans="1:121" ht="19.5" customHeight="1">
      <c r="B18" s="98" t="s">
        <v>14</v>
      </c>
      <c r="C18" s="17" t="s">
        <v>94</v>
      </c>
      <c r="D18" s="4" t="s">
        <v>5</v>
      </c>
      <c r="E18" s="112">
        <f>IF(D18="Y",6,0)</f>
        <v>0</v>
      </c>
      <c r="I18" s="75" t="s">
        <v>37</v>
      </c>
      <c r="J18" s="110">
        <v>123</v>
      </c>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row>
    <row r="19" spans="1:121" s="21" customFormat="1" ht="19.5" customHeight="1">
      <c r="A19" s="25"/>
      <c r="B19" s="98"/>
      <c r="C19" s="17" t="s">
        <v>15</v>
      </c>
      <c r="D19" s="17" t="s">
        <v>5</v>
      </c>
      <c r="E19" s="112">
        <f t="shared" si="0"/>
        <v>0</v>
      </c>
      <c r="F19" s="25"/>
      <c r="G19" s="25"/>
      <c r="H19" s="25"/>
      <c r="I19" s="76" t="s">
        <v>53</v>
      </c>
      <c r="J19" s="111">
        <f>J18-J17</f>
        <v>123</v>
      </c>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row>
    <row r="20" spans="1:121" ht="19.5" customHeight="1">
      <c r="B20" s="99"/>
      <c r="C20" s="53" t="s">
        <v>15</v>
      </c>
      <c r="D20" s="5" t="s">
        <v>5</v>
      </c>
      <c r="E20" s="113">
        <f t="shared" si="0"/>
        <v>0</v>
      </c>
      <c r="F20" s="28"/>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row>
    <row r="21" spans="1:121" ht="15.75">
      <c r="B21" s="47"/>
      <c r="C21" s="48" t="s">
        <v>16</v>
      </c>
      <c r="D21" s="18"/>
      <c r="E21" s="114">
        <f>SUM(E9:E20)</f>
        <v>0</v>
      </c>
      <c r="F21" s="49"/>
      <c r="I21" s="77" t="s">
        <v>71</v>
      </c>
      <c r="J21" s="22"/>
      <c r="K21" s="2"/>
      <c r="L21" s="2"/>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row>
    <row r="22" spans="1:121" ht="15" customHeight="1">
      <c r="B22" s="2"/>
      <c r="C22" s="2" t="s">
        <v>67</v>
      </c>
      <c r="D22" s="2"/>
      <c r="E22" s="112">
        <f>33-E21</f>
        <v>33</v>
      </c>
      <c r="I22" s="97" t="s">
        <v>74</v>
      </c>
      <c r="J22" s="97"/>
      <c r="K22" s="2"/>
      <c r="L22" s="2"/>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row>
    <row r="23" spans="1:121">
      <c r="B23" s="2"/>
      <c r="C23" s="2"/>
      <c r="D23" s="2"/>
      <c r="E23" s="2"/>
      <c r="F23" s="22"/>
      <c r="I23" s="97"/>
      <c r="J23" s="97"/>
      <c r="K23"/>
      <c r="L23" s="2"/>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row>
    <row r="24" spans="1:121">
      <c r="B24" s="2"/>
      <c r="C24" s="2"/>
      <c r="D24" s="2"/>
      <c r="E24" s="2"/>
      <c r="F24" s="22"/>
      <c r="L24" s="2"/>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row>
    <row r="25" spans="1:121" s="25" customFormat="1" ht="15.75">
      <c r="F25" s="22"/>
      <c r="I25" s="88" t="s">
        <v>77</v>
      </c>
      <c r="J25" s="89">
        <v>0</v>
      </c>
      <c r="K25" s="79"/>
    </row>
    <row r="26" spans="1:121" s="25" customFormat="1">
      <c r="F26" s="22"/>
      <c r="I26" s="81" t="s">
        <v>72</v>
      </c>
      <c r="J26" s="80">
        <v>0</v>
      </c>
    </row>
    <row r="27" spans="1:121" s="25" customFormat="1">
      <c r="F27" s="22"/>
    </row>
    <row r="28" spans="1:121" s="25" customFormat="1">
      <c r="F28" s="22"/>
    </row>
    <row r="29" spans="1:121" s="25" customFormat="1" ht="15" hidden="1" customHeight="1">
      <c r="B29" s="22" t="s">
        <v>54</v>
      </c>
      <c r="C29" s="22"/>
      <c r="D29" s="22">
        <f>SUM(E9:E17)</f>
        <v>0</v>
      </c>
      <c r="E29" s="22"/>
      <c r="F29" s="22"/>
    </row>
    <row r="30" spans="1:121" s="25" customFormat="1" ht="15" hidden="1" customHeight="1">
      <c r="B30" s="22" t="s">
        <v>55</v>
      </c>
      <c r="C30" s="22"/>
      <c r="D30" s="22">
        <f>SUM(E18:E20)</f>
        <v>0</v>
      </c>
      <c r="E30" s="22"/>
      <c r="F30" s="22"/>
    </row>
    <row r="31" spans="1:121" s="25" customFormat="1">
      <c r="B31" s="22"/>
      <c r="C31" s="22"/>
      <c r="D31" s="22"/>
      <c r="E31" s="22"/>
      <c r="F31" s="22"/>
    </row>
    <row r="32" spans="1:121" s="25" customFormat="1">
      <c r="B32" s="22"/>
      <c r="C32" s="22"/>
      <c r="D32" s="22"/>
      <c r="E32" s="22"/>
      <c r="F32" s="22"/>
    </row>
    <row r="33" spans="2:6" s="25" customFormat="1">
      <c r="B33" s="22"/>
      <c r="C33" s="22"/>
      <c r="D33" s="22"/>
      <c r="E33" s="22"/>
      <c r="F33" s="22"/>
    </row>
    <row r="34" spans="2:6" s="25" customFormat="1"/>
    <row r="35" spans="2:6" s="25" customFormat="1"/>
    <row r="36" spans="2:6" s="25" customFormat="1"/>
    <row r="37" spans="2:6" s="25" customFormat="1"/>
    <row r="38" spans="2:6" s="25" customFormat="1"/>
    <row r="39" spans="2:6" s="25" customFormat="1"/>
    <row r="40" spans="2:6" s="25" customFormat="1"/>
    <row r="41" spans="2:6" s="25" customFormat="1"/>
    <row r="42" spans="2:6" s="25" customFormat="1"/>
    <row r="43" spans="2:6" s="25" customFormat="1"/>
    <row r="44" spans="2:6" s="25" customFormat="1"/>
    <row r="45" spans="2:6" s="25" customFormat="1"/>
    <row r="46" spans="2:6" s="25" customFormat="1"/>
    <row r="47" spans="2:6" s="25" customFormat="1"/>
    <row r="48" spans="2:6" s="25" customFormat="1"/>
    <row r="49" s="25" customFormat="1"/>
    <row r="50" s="25" customFormat="1"/>
    <row r="51" s="25" customFormat="1"/>
    <row r="52" s="25" customFormat="1"/>
    <row r="53" s="25" customFormat="1"/>
    <row r="54" s="25" customFormat="1"/>
    <row r="55" s="25" customFormat="1"/>
    <row r="56" s="25" customFormat="1"/>
    <row r="57" s="25" customFormat="1"/>
    <row r="58" s="25" customFormat="1"/>
    <row r="59" s="25" customFormat="1"/>
    <row r="60" s="25" customFormat="1"/>
    <row r="61" s="25" customFormat="1"/>
    <row r="62" s="25" customFormat="1"/>
    <row r="63" s="25" customFormat="1"/>
    <row r="64" s="25" customFormat="1"/>
    <row r="65" s="25" customFormat="1"/>
    <row r="66" s="25" customFormat="1"/>
    <row r="67" s="25" customFormat="1"/>
    <row r="68" s="25" customFormat="1"/>
    <row r="69" s="25" customFormat="1"/>
    <row r="70" s="25" customFormat="1"/>
    <row r="71" s="25" customFormat="1"/>
    <row r="72" s="25" customFormat="1"/>
    <row r="73" s="25" customFormat="1"/>
    <row r="74" s="25" customFormat="1"/>
    <row r="75" s="25" customFormat="1"/>
    <row r="76" s="25" customFormat="1"/>
    <row r="77" s="25" customFormat="1"/>
    <row r="78" s="25" customFormat="1"/>
    <row r="79" s="25" customFormat="1"/>
    <row r="80" s="25" customFormat="1"/>
    <row r="81" s="25" customFormat="1"/>
    <row r="82" s="25" customFormat="1"/>
    <row r="83" s="25" customFormat="1"/>
    <row r="84" s="25" customFormat="1"/>
    <row r="85" s="25" customFormat="1"/>
    <row r="86" s="25" customFormat="1"/>
    <row r="87" s="25" customFormat="1"/>
    <row r="88" s="25" customFormat="1"/>
    <row r="89" s="25" customFormat="1"/>
    <row r="90" s="25" customFormat="1"/>
    <row r="91" s="25" customFormat="1"/>
    <row r="92" s="25" customFormat="1"/>
    <row r="93" s="25" customFormat="1"/>
    <row r="94" s="25" customFormat="1"/>
    <row r="95" s="25" customFormat="1"/>
    <row r="96" s="25" customFormat="1"/>
    <row r="97" s="25" customFormat="1"/>
    <row r="98" s="25" customFormat="1"/>
    <row r="99" s="25" customFormat="1"/>
    <row r="100" s="25" customFormat="1"/>
    <row r="101" s="25" customFormat="1"/>
    <row r="102" s="25" customFormat="1"/>
    <row r="103" s="25" customFormat="1"/>
    <row r="104" s="25" customFormat="1"/>
    <row r="105" s="25" customFormat="1"/>
    <row r="106" s="25" customFormat="1"/>
    <row r="107" s="25" customFormat="1"/>
    <row r="108" s="25" customFormat="1"/>
    <row r="109" s="25" customFormat="1"/>
    <row r="110" s="25" customFormat="1"/>
    <row r="111" s="25" customFormat="1"/>
    <row r="112" s="25" customFormat="1"/>
    <row r="113" s="25" customFormat="1"/>
    <row r="114" s="25" customFormat="1"/>
    <row r="115" s="25" customFormat="1"/>
    <row r="116" s="25" customFormat="1"/>
    <row r="117" s="25" customFormat="1"/>
    <row r="118" s="25" customFormat="1"/>
    <row r="119" s="25" customFormat="1"/>
    <row r="120" s="25" customFormat="1"/>
    <row r="121" s="25" customFormat="1"/>
    <row r="122" s="25" customFormat="1"/>
    <row r="123" s="25" customFormat="1"/>
    <row r="124" s="25" customFormat="1"/>
    <row r="125" s="25" customFormat="1"/>
    <row r="126" s="25" customFormat="1"/>
    <row r="127" s="25" customFormat="1"/>
    <row r="128" s="25" customFormat="1"/>
    <row r="129" s="25" customFormat="1"/>
    <row r="130" s="25" customFormat="1"/>
    <row r="131" s="25" customFormat="1"/>
    <row r="132" s="25" customFormat="1"/>
    <row r="133" s="25" customFormat="1"/>
    <row r="134" s="25" customFormat="1"/>
    <row r="135" s="25" customFormat="1"/>
    <row r="136" s="25" customFormat="1"/>
    <row r="137" s="25" customFormat="1"/>
    <row r="138" s="25" customFormat="1"/>
    <row r="139" s="25" customFormat="1"/>
    <row r="140" s="25" customFormat="1"/>
    <row r="141" s="25" customFormat="1"/>
    <row r="142" s="25" customFormat="1"/>
    <row r="143" s="25" customFormat="1"/>
    <row r="144" s="25" customFormat="1"/>
    <row r="145" s="25" customFormat="1"/>
    <row r="146" s="25" customFormat="1"/>
    <row r="147" s="25" customFormat="1"/>
    <row r="148" s="25" customFormat="1"/>
    <row r="149" s="25" customFormat="1"/>
    <row r="150" s="25" customFormat="1"/>
    <row r="151" s="25" customFormat="1"/>
    <row r="152" s="25" customFormat="1"/>
    <row r="153" s="25" customFormat="1"/>
    <row r="154" s="25" customFormat="1"/>
    <row r="155" s="25" customFormat="1"/>
    <row r="156" s="25" customFormat="1"/>
    <row r="157" s="25" customFormat="1"/>
    <row r="158" s="25" customFormat="1"/>
    <row r="159" s="25" customFormat="1"/>
    <row r="160" s="25" customFormat="1"/>
    <row r="161" s="25" customFormat="1"/>
    <row r="162" s="25" customFormat="1"/>
    <row r="163" s="25" customFormat="1"/>
    <row r="164" s="25" customFormat="1"/>
    <row r="165" s="25" customFormat="1"/>
    <row r="166" s="25" customFormat="1"/>
    <row r="167" s="25" customFormat="1"/>
    <row r="168" s="25" customFormat="1"/>
    <row r="169" s="25" customFormat="1"/>
    <row r="170" s="25" customFormat="1"/>
    <row r="171" s="25" customFormat="1"/>
    <row r="172" s="25" customFormat="1"/>
    <row r="173" s="25" customFormat="1"/>
    <row r="174" s="25" customFormat="1"/>
    <row r="175" s="25" customFormat="1"/>
    <row r="176" s="25" customFormat="1"/>
    <row r="177" s="25" customFormat="1"/>
    <row r="178" s="25" customFormat="1"/>
    <row r="179" s="25" customFormat="1"/>
    <row r="180" s="25" customFormat="1"/>
    <row r="181" s="25" customFormat="1"/>
    <row r="182" s="25" customFormat="1"/>
    <row r="183" s="25" customFormat="1"/>
    <row r="184" s="25" customFormat="1"/>
    <row r="185" s="25" customFormat="1"/>
    <row r="186" s="25" customFormat="1"/>
    <row r="187" s="25" customFormat="1"/>
    <row r="188" s="25" customFormat="1"/>
    <row r="189" s="25" customFormat="1"/>
    <row r="190" s="25" customFormat="1"/>
    <row r="191" s="25" customFormat="1"/>
    <row r="192" s="25" customFormat="1"/>
    <row r="193" s="25" customFormat="1"/>
    <row r="194" s="25" customFormat="1"/>
    <row r="195" s="25" customFormat="1"/>
    <row r="196" s="25" customFormat="1"/>
    <row r="197" s="25" customFormat="1"/>
    <row r="198" s="25" customFormat="1"/>
    <row r="199" s="25" customFormat="1"/>
    <row r="200" s="25" customFormat="1"/>
    <row r="201" s="25" customFormat="1"/>
    <row r="202" s="25" customFormat="1"/>
    <row r="203" s="25" customFormat="1"/>
    <row r="204" s="25" customFormat="1"/>
    <row r="205" s="25" customFormat="1"/>
    <row r="206" s="25" customFormat="1"/>
    <row r="207" s="25" customFormat="1"/>
    <row r="208" s="25" customFormat="1"/>
    <row r="209" s="25" customFormat="1"/>
    <row r="210" s="25" customFormat="1"/>
    <row r="211" s="25" customFormat="1"/>
    <row r="212" s="25" customFormat="1"/>
    <row r="213" s="25" customFormat="1"/>
    <row r="214" s="25" customFormat="1"/>
    <row r="215" s="25" customFormat="1"/>
    <row r="216" s="25" customFormat="1"/>
    <row r="217" s="25" customFormat="1"/>
    <row r="218" s="25" customFormat="1"/>
    <row r="219" s="25" customFormat="1"/>
    <row r="220" s="25" customFormat="1"/>
    <row r="221" s="25" customFormat="1"/>
    <row r="222" s="25" customFormat="1"/>
    <row r="223" s="25" customFormat="1"/>
    <row r="224" s="25" customFormat="1"/>
    <row r="225" s="25" customFormat="1"/>
    <row r="226" s="25" customFormat="1"/>
    <row r="227" s="25" customFormat="1"/>
    <row r="228" s="25" customFormat="1"/>
    <row r="229" s="25" customFormat="1"/>
    <row r="230" s="25" customFormat="1"/>
    <row r="231" s="25" customFormat="1"/>
    <row r="232" s="25" customFormat="1"/>
    <row r="233" s="25" customFormat="1"/>
    <row r="234" s="25" customFormat="1"/>
    <row r="235" s="25" customFormat="1"/>
    <row r="236" s="25" customFormat="1"/>
    <row r="237" s="25" customFormat="1"/>
    <row r="238" s="25" customFormat="1"/>
    <row r="239" s="25" customFormat="1"/>
    <row r="240" s="25" customFormat="1"/>
    <row r="241" s="25" customFormat="1"/>
    <row r="242" s="25" customFormat="1"/>
    <row r="243" s="25" customFormat="1"/>
    <row r="244" s="25" customFormat="1"/>
    <row r="245" s="25" customFormat="1"/>
    <row r="246" s="25" customFormat="1"/>
    <row r="247" s="25" customFormat="1"/>
    <row r="248" s="25" customFormat="1"/>
    <row r="249" s="25" customFormat="1"/>
    <row r="250" s="25" customFormat="1"/>
    <row r="251" s="25" customFormat="1"/>
    <row r="252" s="25" customFormat="1"/>
    <row r="253" s="25" customFormat="1"/>
    <row r="254" s="25" customFormat="1"/>
    <row r="255" s="25" customFormat="1"/>
    <row r="256" s="25" customFormat="1"/>
    <row r="257" s="25" customFormat="1"/>
    <row r="258" s="25" customFormat="1"/>
    <row r="259" s="25" customFormat="1"/>
    <row r="260" s="25" customFormat="1"/>
    <row r="261" s="25" customFormat="1"/>
    <row r="262" s="25" customFormat="1"/>
    <row r="263" s="25" customFormat="1"/>
    <row r="264" s="25" customFormat="1"/>
    <row r="265" s="25" customFormat="1"/>
    <row r="266" s="25" customFormat="1"/>
    <row r="267" s="25" customFormat="1"/>
    <row r="268" s="25" customFormat="1"/>
    <row r="269" s="25" customFormat="1"/>
    <row r="270" s="25" customFormat="1"/>
    <row r="271" s="25" customFormat="1"/>
    <row r="272" s="25" customFormat="1"/>
    <row r="273" s="25" customFormat="1"/>
    <row r="274" s="25" customFormat="1"/>
    <row r="275" s="25" customFormat="1"/>
    <row r="276" s="25" customFormat="1"/>
    <row r="277" s="25" customFormat="1"/>
    <row r="278" s="25" customFormat="1"/>
    <row r="279" s="25" customFormat="1"/>
    <row r="280" s="25" customFormat="1"/>
    <row r="281" s="25" customFormat="1"/>
    <row r="282" s="25" customFormat="1"/>
    <row r="283" s="25" customFormat="1"/>
    <row r="284" s="25" customFormat="1"/>
    <row r="285" s="25" customFormat="1"/>
    <row r="286" s="25" customFormat="1"/>
    <row r="287" s="25" customFormat="1"/>
    <row r="288" s="25" customFormat="1"/>
    <row r="289" s="25" customFormat="1"/>
    <row r="290" s="25" customFormat="1"/>
    <row r="291" s="25" customFormat="1"/>
    <row r="292" s="25" customFormat="1"/>
    <row r="293" s="25" customFormat="1"/>
    <row r="294" s="25" customFormat="1"/>
    <row r="295" s="25" customFormat="1"/>
    <row r="296" s="25" customFormat="1"/>
    <row r="297" s="25" customFormat="1"/>
    <row r="298" s="25" customFormat="1"/>
    <row r="299" s="25" customFormat="1"/>
    <row r="300" s="25" customFormat="1"/>
    <row r="301" s="25" customFormat="1"/>
    <row r="302" s="25" customFormat="1"/>
    <row r="303" s="25" customFormat="1"/>
    <row r="304" s="25" customFormat="1"/>
    <row r="305" s="25" customFormat="1"/>
    <row r="306" s="25" customFormat="1"/>
    <row r="307" s="25" customFormat="1"/>
    <row r="308" s="25" customFormat="1"/>
    <row r="309" s="25" customFormat="1"/>
    <row r="310" s="25" customFormat="1"/>
    <row r="311" s="25" customFormat="1"/>
    <row r="312" s="25" customFormat="1"/>
    <row r="313" s="25" customFormat="1"/>
    <row r="314" s="25" customFormat="1"/>
    <row r="315" s="25" customFormat="1"/>
    <row r="316" s="25" customFormat="1"/>
    <row r="317" s="25" customFormat="1"/>
    <row r="318" s="25" customFormat="1"/>
    <row r="319" s="25" customFormat="1"/>
    <row r="320" s="25" customFormat="1"/>
    <row r="321" s="25" customFormat="1"/>
    <row r="322" s="25" customFormat="1"/>
    <row r="323" s="25" customFormat="1"/>
    <row r="324" s="25" customFormat="1"/>
    <row r="325" s="25" customFormat="1"/>
    <row r="326" s="25" customFormat="1"/>
    <row r="327" s="25" customFormat="1"/>
    <row r="328" s="25" customFormat="1"/>
    <row r="329" s="25" customFormat="1"/>
    <row r="330" s="25" customFormat="1"/>
    <row r="331" s="25" customFormat="1"/>
    <row r="332" s="25" customFormat="1"/>
    <row r="333" s="25" customFormat="1"/>
    <row r="334" s="25" customFormat="1"/>
    <row r="335" s="25" customFormat="1"/>
    <row r="336" s="25" customFormat="1"/>
    <row r="337" s="25" customFormat="1"/>
    <row r="338" s="25" customFormat="1"/>
    <row r="339" s="25" customFormat="1"/>
    <row r="340" s="25" customFormat="1"/>
    <row r="341" s="25" customFormat="1"/>
    <row r="342" s="25" customFormat="1"/>
    <row r="343" s="25" customFormat="1"/>
    <row r="344" s="25" customFormat="1"/>
    <row r="345" s="25" customFormat="1"/>
    <row r="346" s="25" customFormat="1"/>
    <row r="347" s="25" customFormat="1"/>
    <row r="348" s="25" customFormat="1"/>
    <row r="349" s="25" customFormat="1"/>
    <row r="350" s="25" customFormat="1"/>
    <row r="351" s="25" customFormat="1"/>
    <row r="352" s="25" customFormat="1"/>
    <row r="353" s="25" customFormat="1"/>
    <row r="354" s="25" customFormat="1"/>
    <row r="355" s="25" customFormat="1"/>
    <row r="356" s="25" customFormat="1"/>
    <row r="357" s="25" customFormat="1"/>
    <row r="358" s="25" customFormat="1"/>
    <row r="359" s="25" customFormat="1"/>
    <row r="360" s="25" customFormat="1"/>
    <row r="361" s="25" customFormat="1"/>
    <row r="362" s="25" customFormat="1"/>
    <row r="363" s="25" customFormat="1"/>
    <row r="364" s="25" customFormat="1"/>
    <row r="365" s="25" customFormat="1"/>
    <row r="366" s="25" customFormat="1"/>
    <row r="367" s="25" customFormat="1"/>
    <row r="368" s="25" customFormat="1"/>
    <row r="369" s="25" customFormat="1"/>
    <row r="370" s="25" customFormat="1"/>
    <row r="371" s="25" customFormat="1"/>
    <row r="372" s="25" customFormat="1"/>
    <row r="373" s="25" customFormat="1"/>
    <row r="374" s="25" customFormat="1"/>
    <row r="375" s="25" customFormat="1"/>
    <row r="376" s="25" customFormat="1"/>
    <row r="377" s="25" customFormat="1"/>
    <row r="378" s="25" customFormat="1"/>
    <row r="379" s="25" customFormat="1"/>
    <row r="380" s="25" customFormat="1"/>
    <row r="381" s="25" customFormat="1"/>
    <row r="382" s="25" customFormat="1"/>
    <row r="383" s="25" customFormat="1"/>
    <row r="384" s="25" customFormat="1"/>
    <row r="385" s="25" customFormat="1"/>
    <row r="386" s="25" customFormat="1"/>
    <row r="387" s="25" customFormat="1"/>
    <row r="388" s="25" customFormat="1"/>
    <row r="389" s="25" customFormat="1"/>
    <row r="390" s="25" customFormat="1"/>
    <row r="391" s="25" customFormat="1"/>
    <row r="392" s="25" customFormat="1"/>
    <row r="393" s="25" customFormat="1"/>
    <row r="394" s="25" customFormat="1"/>
    <row r="395" s="25" customFormat="1"/>
    <row r="396" s="25" customFormat="1"/>
    <row r="397" s="25" customFormat="1"/>
    <row r="398" s="25" customFormat="1"/>
    <row r="399" s="25" customFormat="1"/>
    <row r="400" s="25" customFormat="1"/>
    <row r="401" s="25" customFormat="1"/>
    <row r="402" s="25" customFormat="1"/>
    <row r="403" s="25" customFormat="1"/>
    <row r="404" s="25" customFormat="1"/>
    <row r="405" s="25" customFormat="1"/>
    <row r="406" s="25" customFormat="1"/>
    <row r="407" s="25" customFormat="1"/>
    <row r="408" s="25" customFormat="1"/>
    <row r="409" s="25" customFormat="1"/>
    <row r="410" s="25" customFormat="1"/>
    <row r="411" s="25" customFormat="1"/>
    <row r="412" s="25" customFormat="1"/>
    <row r="413" s="25" customFormat="1"/>
    <row r="414" s="25" customFormat="1"/>
    <row r="415" s="25" customFormat="1"/>
    <row r="416" s="25" customFormat="1"/>
    <row r="417" s="25" customFormat="1"/>
    <row r="418" s="25" customFormat="1"/>
    <row r="419" s="25" customFormat="1"/>
    <row r="420" s="25" customFormat="1"/>
    <row r="421" s="25" customFormat="1"/>
    <row r="422" s="25" customFormat="1"/>
    <row r="423" s="25" customFormat="1"/>
    <row r="424" s="25" customFormat="1"/>
    <row r="425" s="25" customFormat="1"/>
    <row r="426" s="25" customFormat="1"/>
    <row r="427" s="25" customFormat="1"/>
    <row r="428" s="25" customFormat="1"/>
    <row r="429" s="25" customFormat="1"/>
    <row r="430" s="25" customFormat="1"/>
    <row r="431" s="25" customFormat="1"/>
    <row r="432" s="25" customFormat="1"/>
    <row r="433" s="25" customFormat="1"/>
    <row r="434" s="25" customFormat="1"/>
    <row r="435" s="25" customFormat="1"/>
    <row r="436" s="25" customFormat="1"/>
    <row r="437" s="25" customFormat="1"/>
    <row r="438" s="25" customFormat="1"/>
    <row r="439" s="25" customFormat="1"/>
    <row r="440" s="25" customFormat="1"/>
    <row r="441" s="25" customFormat="1"/>
    <row r="442" s="25" customFormat="1"/>
    <row r="443" s="25" customFormat="1"/>
    <row r="444" s="25" customFormat="1"/>
    <row r="445" s="25" customFormat="1"/>
    <row r="446" s="25" customFormat="1"/>
    <row r="447" s="25" customFormat="1"/>
    <row r="448" s="25" customFormat="1"/>
    <row r="449" s="25" customFormat="1"/>
    <row r="450" s="25" customFormat="1"/>
    <row r="451" s="25" customFormat="1"/>
    <row r="452" s="25" customFormat="1"/>
    <row r="453" s="25" customFormat="1"/>
    <row r="454" s="25" customFormat="1"/>
    <row r="455" s="25" customFormat="1"/>
    <row r="456" s="25" customFormat="1"/>
    <row r="457" s="25" customFormat="1"/>
    <row r="458" s="25" customFormat="1"/>
    <row r="459" s="25" customFormat="1"/>
    <row r="460" s="25" customFormat="1"/>
    <row r="461" s="25" customFormat="1"/>
    <row r="462" s="25" customFormat="1"/>
    <row r="463" s="25" customFormat="1"/>
    <row r="464" s="25" customFormat="1"/>
    <row r="465" s="25" customFormat="1"/>
    <row r="466" s="25" customFormat="1"/>
    <row r="467" s="25" customFormat="1"/>
    <row r="468" s="25" customFormat="1"/>
    <row r="469" s="25" customFormat="1"/>
    <row r="470" s="25" customFormat="1"/>
    <row r="471" s="25" customFormat="1"/>
    <row r="472" s="25" customFormat="1"/>
    <row r="473" s="25" customFormat="1"/>
    <row r="474" s="25" customFormat="1"/>
    <row r="475" s="25" customFormat="1"/>
    <row r="476" s="25" customFormat="1"/>
    <row r="477" s="25" customFormat="1"/>
    <row r="478" s="25" customFormat="1"/>
    <row r="479" s="25" customFormat="1"/>
    <row r="480" s="25" customFormat="1"/>
    <row r="481" s="25" customFormat="1"/>
    <row r="482" s="25" customFormat="1"/>
    <row r="483" s="25" customFormat="1"/>
    <row r="484" s="25" customFormat="1"/>
    <row r="485" s="25" customFormat="1"/>
    <row r="486" s="25" customFormat="1"/>
    <row r="487" s="25" customFormat="1"/>
    <row r="488" s="25" customFormat="1"/>
    <row r="489" s="25" customFormat="1"/>
    <row r="490" s="25" customFormat="1"/>
    <row r="491" s="25" customFormat="1"/>
    <row r="492" s="25" customFormat="1"/>
    <row r="493" s="25" customFormat="1"/>
    <row r="494" s="25" customFormat="1"/>
    <row r="495" s="25" customFormat="1"/>
    <row r="496" s="25" customFormat="1"/>
    <row r="497" s="25" customFormat="1"/>
    <row r="498" s="25" customFormat="1"/>
    <row r="499" s="25" customFormat="1"/>
    <row r="500" s="25" customFormat="1"/>
    <row r="501" s="25" customFormat="1"/>
    <row r="502" s="25" customFormat="1"/>
    <row r="503" s="25" customFormat="1"/>
    <row r="504" s="25" customFormat="1"/>
    <row r="505" s="25" customFormat="1"/>
    <row r="506" s="25" customFormat="1"/>
    <row r="507" s="25" customFormat="1"/>
    <row r="508" s="25" customFormat="1"/>
    <row r="509" s="25" customFormat="1"/>
    <row r="510" s="25" customFormat="1"/>
    <row r="511" s="25" customFormat="1"/>
    <row r="512" s="25" customFormat="1"/>
    <row r="513" s="25" customFormat="1"/>
    <row r="514" s="25" customFormat="1"/>
    <row r="515" s="25" customFormat="1"/>
    <row r="516" s="25" customFormat="1"/>
    <row r="517" s="25" customFormat="1"/>
    <row r="518" s="25" customFormat="1"/>
    <row r="519" s="25" customFormat="1"/>
    <row r="520" s="25" customFormat="1"/>
    <row r="521" s="25" customFormat="1"/>
    <row r="522" s="25" customFormat="1"/>
    <row r="523" s="25" customFormat="1"/>
    <row r="524" s="25" customFormat="1"/>
    <row r="525" s="25" customFormat="1"/>
    <row r="526" s="25" customFormat="1"/>
    <row r="527" s="25" customFormat="1"/>
    <row r="528" s="25" customFormat="1"/>
    <row r="529" s="25" customFormat="1"/>
    <row r="530" s="25" customFormat="1"/>
    <row r="531" s="25" customFormat="1"/>
    <row r="532" s="25" customFormat="1"/>
    <row r="533" s="25" customFormat="1"/>
    <row r="534" s="25" customFormat="1"/>
    <row r="535" s="25" customFormat="1"/>
    <row r="536" s="25" customFormat="1"/>
    <row r="537" s="25" customFormat="1"/>
    <row r="538" s="25" customFormat="1"/>
    <row r="539" s="25" customFormat="1"/>
    <row r="540" s="25" customFormat="1"/>
    <row r="541" s="25" customFormat="1"/>
    <row r="542" s="25" customFormat="1"/>
    <row r="543" s="25" customFormat="1"/>
    <row r="544" s="25" customFormat="1"/>
    <row r="545" spans="2:121" s="25" customFormat="1"/>
    <row r="546" spans="2:121">
      <c r="B546" s="1"/>
      <c r="C546" s="1"/>
      <c r="D546" s="1"/>
      <c r="E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row>
    <row r="547" spans="2:121">
      <c r="B547" s="1"/>
      <c r="C547" s="1"/>
      <c r="D547" s="1"/>
      <c r="E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row>
    <row r="548" spans="2:121">
      <c r="B548" s="1"/>
      <c r="C548" s="1"/>
      <c r="D548" s="1"/>
      <c r="E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row>
    <row r="549" spans="2:121">
      <c r="B549" s="1"/>
      <c r="C549" s="1"/>
      <c r="D549" s="1"/>
      <c r="E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row>
    <row r="550" spans="2:121">
      <c r="B550" s="1"/>
      <c r="C550" s="1"/>
      <c r="D550" s="1"/>
      <c r="E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row>
    <row r="551" spans="2:121">
      <c r="B551" s="1"/>
      <c r="C551" s="1"/>
      <c r="D551" s="1"/>
      <c r="E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row>
    <row r="552" spans="2:121">
      <c r="B552" s="1"/>
      <c r="C552" s="1"/>
      <c r="D552" s="1"/>
      <c r="E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row>
    <row r="553" spans="2:121">
      <c r="B553" s="1"/>
      <c r="C553" s="1"/>
      <c r="D553" s="1"/>
      <c r="E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row>
    <row r="554" spans="2:121">
      <c r="B554" s="1"/>
      <c r="C554" s="1"/>
      <c r="D554" s="1"/>
      <c r="E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row>
    <row r="555" spans="2:121">
      <c r="B555" s="1"/>
      <c r="C555" s="1"/>
      <c r="D555" s="1"/>
      <c r="E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row>
    <row r="556" spans="2:121">
      <c r="B556" s="1"/>
      <c r="C556" s="1"/>
      <c r="D556" s="1"/>
      <c r="E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row>
    <row r="557" spans="2:121">
      <c r="B557" s="1"/>
      <c r="C557" s="1"/>
      <c r="D557" s="1"/>
      <c r="E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row>
    <row r="558" spans="2:121">
      <c r="B558" s="1"/>
      <c r="C558" s="1"/>
      <c r="D558" s="1"/>
      <c r="E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row>
    <row r="559" spans="2:121">
      <c r="B559" s="1"/>
      <c r="C559" s="1"/>
      <c r="D559" s="1"/>
      <c r="E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row>
    <row r="560" spans="2:121">
      <c r="B560" s="1"/>
      <c r="C560" s="1"/>
      <c r="D560" s="1"/>
      <c r="E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row>
    <row r="561" spans="2:121">
      <c r="B561" s="1"/>
      <c r="C561" s="1"/>
      <c r="D561" s="1"/>
      <c r="E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row>
    <row r="562" spans="2:121">
      <c r="B562" s="1"/>
      <c r="C562" s="1"/>
      <c r="D562" s="1"/>
      <c r="E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row>
    <row r="563" spans="2:121">
      <c r="B563" s="1"/>
      <c r="C563" s="1"/>
      <c r="D563" s="1"/>
      <c r="E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row>
    <row r="564" spans="2:121">
      <c r="B564" s="1"/>
      <c r="C564" s="1"/>
      <c r="D564" s="1"/>
      <c r="E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row>
    <row r="565" spans="2:121">
      <c r="B565" s="1"/>
      <c r="C565" s="1"/>
      <c r="D565" s="1"/>
      <c r="E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row>
    <row r="566" spans="2:121">
      <c r="B566" s="1"/>
      <c r="C566" s="1"/>
      <c r="D566" s="1"/>
      <c r="E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row>
    <row r="567" spans="2:121">
      <c r="B567" s="1"/>
      <c r="C567" s="1"/>
      <c r="D567" s="1"/>
      <c r="E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row>
    <row r="568" spans="2:121">
      <c r="B568" s="1"/>
      <c r="C568" s="1"/>
      <c r="D568" s="1"/>
      <c r="E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row>
    <row r="569" spans="2:121">
      <c r="B569" s="1"/>
      <c r="C569" s="1"/>
      <c r="D569" s="1"/>
      <c r="E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row>
    <row r="570" spans="2:121">
      <c r="B570" s="1"/>
      <c r="C570" s="1"/>
      <c r="D570" s="1"/>
      <c r="E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row>
    <row r="571" spans="2:121">
      <c r="B571" s="1"/>
      <c r="C571" s="1"/>
      <c r="D571" s="1"/>
      <c r="E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row>
    <row r="572" spans="2:121">
      <c r="B572" s="1"/>
      <c r="C572" s="1"/>
      <c r="D572" s="1"/>
      <c r="E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row>
    <row r="573" spans="2:121">
      <c r="B573" s="1"/>
      <c r="C573" s="1"/>
      <c r="D573" s="1"/>
      <c r="E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row>
    <row r="574" spans="2:121">
      <c r="B574" s="1"/>
      <c r="C574" s="1"/>
      <c r="D574" s="1"/>
      <c r="E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row>
    <row r="575" spans="2:121">
      <c r="B575" s="1"/>
      <c r="C575" s="1"/>
      <c r="D575" s="1"/>
      <c r="E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row>
    <row r="576" spans="2:121">
      <c r="B576" s="1"/>
      <c r="C576" s="1"/>
      <c r="D576" s="1"/>
      <c r="E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row>
    <row r="577" spans="2:121">
      <c r="B577" s="1"/>
      <c r="C577" s="1"/>
      <c r="D577" s="1"/>
      <c r="E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row>
    <row r="578" spans="2:121">
      <c r="B578" s="1"/>
      <c r="C578" s="1"/>
      <c r="D578" s="1"/>
      <c r="E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row>
    <row r="579" spans="2:121">
      <c r="B579" s="1"/>
      <c r="C579" s="1"/>
      <c r="D579" s="1"/>
      <c r="E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row>
    <row r="580" spans="2:121">
      <c r="B580" s="1"/>
      <c r="C580" s="1"/>
      <c r="D580" s="1"/>
      <c r="E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row>
    <row r="581" spans="2:121">
      <c r="B581" s="1"/>
      <c r="C581" s="1"/>
      <c r="D581" s="1"/>
      <c r="E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row>
    <row r="582" spans="2:121">
      <c r="B582" s="1"/>
      <c r="C582" s="1"/>
      <c r="D582" s="1"/>
      <c r="E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row>
    <row r="583" spans="2:121">
      <c r="B583" s="1"/>
      <c r="C583" s="1"/>
      <c r="D583" s="1"/>
      <c r="E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row>
    <row r="584" spans="2:121">
      <c r="B584" s="1"/>
      <c r="C584" s="1"/>
      <c r="D584" s="1"/>
      <c r="E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row>
    <row r="585" spans="2:121">
      <c r="B585" s="1"/>
      <c r="C585" s="1"/>
      <c r="D585" s="1"/>
      <c r="E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row>
    <row r="586" spans="2:121">
      <c r="B586" s="1"/>
      <c r="C586" s="1"/>
      <c r="D586" s="1"/>
      <c r="E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row>
    <row r="587" spans="2:121">
      <c r="B587" s="1"/>
      <c r="C587" s="1"/>
      <c r="D587" s="1"/>
      <c r="E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row>
    <row r="588" spans="2:121">
      <c r="B588" s="1"/>
      <c r="C588" s="1"/>
      <c r="D588" s="1"/>
      <c r="E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row>
    <row r="589" spans="2:121">
      <c r="B589" s="1"/>
      <c r="C589" s="1"/>
      <c r="D589" s="1"/>
      <c r="E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row>
    <row r="590" spans="2:121">
      <c r="B590" s="1"/>
      <c r="C590" s="1"/>
      <c r="D590" s="1"/>
      <c r="E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row>
    <row r="591" spans="2:121">
      <c r="B591" s="1"/>
      <c r="C591" s="1"/>
      <c r="D591" s="1"/>
      <c r="E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row>
    <row r="592" spans="2:121">
      <c r="B592" s="1"/>
      <c r="C592" s="1"/>
      <c r="D592" s="1"/>
      <c r="E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row>
    <row r="593" spans="2:121">
      <c r="B593" s="1"/>
      <c r="C593" s="1"/>
      <c r="D593" s="1"/>
      <c r="E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row>
    <row r="594" spans="2:121">
      <c r="B594" s="1"/>
      <c r="C594" s="1"/>
      <c r="D594" s="1"/>
      <c r="E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row>
    <row r="595" spans="2:121">
      <c r="B595" s="1"/>
      <c r="C595" s="1"/>
      <c r="D595" s="1"/>
      <c r="E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row>
    <row r="596" spans="2:121">
      <c r="B596" s="1"/>
      <c r="C596" s="1"/>
      <c r="D596" s="1"/>
      <c r="E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row>
    <row r="597" spans="2:121">
      <c r="B597" s="1"/>
      <c r="C597" s="1"/>
      <c r="D597" s="1"/>
      <c r="E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row>
    <row r="598" spans="2:121">
      <c r="B598" s="1"/>
      <c r="C598" s="1"/>
      <c r="D598" s="1"/>
      <c r="E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row>
    <row r="599" spans="2:121">
      <c r="B599" s="1"/>
      <c r="C599" s="1"/>
      <c r="D599" s="1"/>
      <c r="E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row>
    <row r="600" spans="2:121">
      <c r="B600" s="1"/>
      <c r="C600" s="1"/>
      <c r="D600" s="1"/>
      <c r="E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row>
    <row r="601" spans="2:121">
      <c r="B601" s="1"/>
      <c r="C601" s="1"/>
      <c r="D601" s="1"/>
      <c r="E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row>
    <row r="602" spans="2:121">
      <c r="B602" s="1"/>
      <c r="C602" s="1"/>
      <c r="D602" s="1"/>
      <c r="E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row>
    <row r="603" spans="2:121">
      <c r="B603" s="1"/>
      <c r="C603" s="1"/>
      <c r="D603" s="1"/>
      <c r="E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row>
    <row r="604" spans="2:121">
      <c r="B604" s="1"/>
      <c r="C604" s="1"/>
      <c r="D604" s="1"/>
      <c r="E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row>
    <row r="605" spans="2:121">
      <c r="B605" s="1"/>
      <c r="C605" s="1"/>
      <c r="D605" s="1"/>
      <c r="E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row>
    <row r="606" spans="2:121">
      <c r="B606" s="1"/>
      <c r="C606" s="1"/>
      <c r="D606" s="1"/>
      <c r="E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row>
    <row r="607" spans="2:121">
      <c r="B607" s="1"/>
      <c r="C607" s="1"/>
      <c r="D607" s="1"/>
      <c r="E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row>
    <row r="608" spans="2:121">
      <c r="B608" s="1"/>
      <c r="C608" s="1"/>
      <c r="D608" s="1"/>
      <c r="E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row>
    <row r="609" spans="2:121">
      <c r="B609" s="1"/>
      <c r="C609" s="1"/>
      <c r="D609" s="1"/>
      <c r="E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row>
    <row r="610" spans="2:121">
      <c r="B610" s="1"/>
      <c r="C610" s="1"/>
      <c r="D610" s="1"/>
      <c r="E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row>
    <row r="611" spans="2:121">
      <c r="B611" s="1"/>
      <c r="C611" s="1"/>
      <c r="D611" s="1"/>
      <c r="E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row>
    <row r="612" spans="2:121">
      <c r="B612" s="1"/>
      <c r="C612" s="1"/>
      <c r="D612" s="1"/>
      <c r="E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row>
    <row r="613" spans="2:121">
      <c r="B613" s="1"/>
      <c r="C613" s="1"/>
      <c r="D613" s="1"/>
      <c r="E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row>
    <row r="614" spans="2:121">
      <c r="B614" s="1"/>
      <c r="C614" s="1"/>
      <c r="D614" s="1"/>
      <c r="E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row>
    <row r="615" spans="2:121">
      <c r="B615" s="1"/>
      <c r="C615" s="1"/>
      <c r="D615" s="1"/>
      <c r="E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row>
    <row r="616" spans="2:121">
      <c r="B616" s="1"/>
      <c r="C616" s="1"/>
      <c r="D616" s="1"/>
      <c r="E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row>
    <row r="617" spans="2:121">
      <c r="B617" s="1"/>
      <c r="C617" s="1"/>
      <c r="D617" s="1"/>
      <c r="E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row>
    <row r="618" spans="2:121">
      <c r="B618" s="1"/>
      <c r="C618" s="1"/>
      <c r="D618" s="1"/>
      <c r="E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row>
    <row r="619" spans="2:121">
      <c r="B619" s="1"/>
      <c r="C619" s="1"/>
      <c r="D619" s="1"/>
      <c r="E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row>
    <row r="620" spans="2:121">
      <c r="B620" s="1"/>
      <c r="C620" s="1"/>
      <c r="D620" s="1"/>
      <c r="E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row>
    <row r="621" spans="2:121">
      <c r="B621" s="1"/>
      <c r="C621" s="1"/>
      <c r="D621" s="1"/>
      <c r="E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row>
    <row r="622" spans="2:121">
      <c r="B622" s="1"/>
      <c r="C622" s="1"/>
      <c r="D622" s="1"/>
      <c r="E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row>
    <row r="623" spans="2:121">
      <c r="B623" s="1"/>
      <c r="C623" s="1"/>
      <c r="D623" s="1"/>
      <c r="E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row>
    <row r="624" spans="2:121">
      <c r="B624" s="1"/>
      <c r="C624" s="1"/>
      <c r="D624" s="1"/>
      <c r="E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row>
    <row r="625" spans="2:121">
      <c r="B625" s="1"/>
      <c r="C625" s="1"/>
      <c r="D625" s="1"/>
      <c r="E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row>
    <row r="626" spans="2:121">
      <c r="B626" s="1"/>
      <c r="C626" s="1"/>
      <c r="D626" s="1"/>
      <c r="E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row>
    <row r="627" spans="2:121">
      <c r="B627" s="1"/>
      <c r="C627" s="1"/>
      <c r="D627" s="1"/>
      <c r="E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row>
    <row r="628" spans="2:121">
      <c r="B628" s="1"/>
      <c r="C628" s="1"/>
      <c r="D628" s="1"/>
      <c r="E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row>
    <row r="629" spans="2:121">
      <c r="B629" s="1"/>
      <c r="C629" s="1"/>
      <c r="D629" s="1"/>
      <c r="E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row>
    <row r="630" spans="2:121">
      <c r="B630" s="1"/>
      <c r="C630" s="1"/>
      <c r="D630" s="1"/>
      <c r="E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row>
    <row r="631" spans="2:121">
      <c r="B631" s="1"/>
      <c r="C631" s="1"/>
      <c r="D631" s="1"/>
      <c r="E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row>
    <row r="632" spans="2:121">
      <c r="B632" s="1"/>
      <c r="C632" s="1"/>
      <c r="D632" s="1"/>
      <c r="E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row>
    <row r="633" spans="2:121">
      <c r="B633" s="1"/>
      <c r="C633" s="1"/>
      <c r="D633" s="1"/>
      <c r="E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row>
    <row r="634" spans="2:121">
      <c r="B634" s="1"/>
      <c r="C634" s="1"/>
      <c r="D634" s="1"/>
      <c r="E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row>
    <row r="635" spans="2:121">
      <c r="B635" s="1"/>
      <c r="C635" s="1"/>
      <c r="D635" s="1"/>
      <c r="E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row>
    <row r="636" spans="2:121">
      <c r="B636" s="1"/>
      <c r="C636" s="1"/>
      <c r="D636" s="1"/>
      <c r="E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row>
    <row r="637" spans="2:121">
      <c r="B637" s="1"/>
      <c r="C637" s="1"/>
      <c r="D637" s="1"/>
      <c r="E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row>
    <row r="638" spans="2:121">
      <c r="B638" s="1"/>
      <c r="C638" s="1"/>
      <c r="D638" s="1"/>
      <c r="E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row>
    <row r="639" spans="2:121">
      <c r="B639" s="1"/>
      <c r="C639" s="1"/>
      <c r="D639" s="1"/>
      <c r="E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row>
    <row r="640" spans="2:121">
      <c r="B640" s="1"/>
      <c r="C640" s="1"/>
      <c r="D640" s="1"/>
      <c r="E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row>
    <row r="641" spans="2:121">
      <c r="B641" s="1"/>
      <c r="C641" s="1"/>
      <c r="D641" s="1"/>
      <c r="E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row>
    <row r="642" spans="2:121">
      <c r="B642" s="1"/>
      <c r="C642" s="1"/>
      <c r="D642" s="1"/>
      <c r="E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row>
    <row r="643" spans="2:121">
      <c r="B643" s="1"/>
      <c r="C643" s="1"/>
      <c r="D643" s="1"/>
      <c r="E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row>
    <row r="644" spans="2:121">
      <c r="B644" s="1"/>
      <c r="C644" s="1"/>
      <c r="D644" s="1"/>
      <c r="E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row>
    <row r="645" spans="2:121">
      <c r="B645" s="1"/>
      <c r="C645" s="1"/>
      <c r="D645" s="1"/>
      <c r="E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row>
    <row r="646" spans="2:121">
      <c r="B646" s="1"/>
      <c r="C646" s="1"/>
      <c r="D646" s="1"/>
      <c r="E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row>
    <row r="647" spans="2:121">
      <c r="B647" s="1"/>
      <c r="C647" s="1"/>
      <c r="D647" s="1"/>
      <c r="E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row>
    <row r="648" spans="2:121">
      <c r="B648" s="1"/>
      <c r="C648" s="1"/>
      <c r="D648" s="1"/>
      <c r="E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row>
    <row r="649" spans="2:121">
      <c r="B649" s="1"/>
      <c r="C649" s="1"/>
      <c r="D649" s="1"/>
      <c r="E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row>
    <row r="650" spans="2:121">
      <c r="B650" s="1"/>
      <c r="C650" s="1"/>
      <c r="D650" s="1"/>
      <c r="E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row>
    <row r="651" spans="2:121">
      <c r="B651" s="1"/>
      <c r="C651" s="1"/>
      <c r="D651" s="1"/>
      <c r="E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row>
    <row r="652" spans="2:121">
      <c r="B652" s="1"/>
      <c r="C652" s="1"/>
      <c r="D652" s="1"/>
      <c r="E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row>
    <row r="653" spans="2:121">
      <c r="B653" s="1"/>
      <c r="C653" s="1"/>
      <c r="D653" s="1"/>
      <c r="E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row>
    <row r="654" spans="2:121">
      <c r="B654" s="1"/>
      <c r="C654" s="1"/>
      <c r="D654" s="1"/>
      <c r="E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row>
    <row r="655" spans="2:121">
      <c r="B655" s="1"/>
      <c r="C655" s="1"/>
      <c r="D655" s="1"/>
      <c r="E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row>
    <row r="656" spans="2:121">
      <c r="B656" s="1"/>
      <c r="C656" s="1"/>
      <c r="D656" s="1"/>
      <c r="E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row>
    <row r="657" spans="2:121">
      <c r="B657" s="1"/>
      <c r="C657" s="1"/>
      <c r="D657" s="1"/>
      <c r="E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row>
    <row r="658" spans="2:121">
      <c r="B658" s="1"/>
      <c r="C658" s="1"/>
      <c r="D658" s="1"/>
      <c r="E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row>
    <row r="659" spans="2:121">
      <c r="B659" s="1"/>
      <c r="C659" s="1"/>
      <c r="D659" s="1"/>
      <c r="E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row>
    <row r="660" spans="2:121">
      <c r="B660" s="1"/>
      <c r="C660" s="1"/>
      <c r="D660" s="1"/>
      <c r="E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row>
    <row r="661" spans="2:121">
      <c r="B661" s="1"/>
      <c r="C661" s="1"/>
      <c r="D661" s="1"/>
      <c r="E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row>
    <row r="662" spans="2:121">
      <c r="B662" s="1"/>
      <c r="C662" s="1"/>
      <c r="D662" s="1"/>
      <c r="E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row>
    <row r="663" spans="2:121">
      <c r="B663" s="1"/>
      <c r="C663" s="1"/>
      <c r="D663" s="1"/>
      <c r="E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row>
    <row r="664" spans="2:121">
      <c r="B664" s="1"/>
      <c r="C664" s="1"/>
      <c r="D664" s="1"/>
      <c r="E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row>
    <row r="665" spans="2:121">
      <c r="B665" s="1"/>
      <c r="C665" s="1"/>
      <c r="D665" s="1"/>
      <c r="E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row>
    <row r="666" spans="2:121">
      <c r="B666" s="1"/>
      <c r="C666" s="1"/>
      <c r="D666" s="1"/>
      <c r="E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row>
    <row r="667" spans="2:121">
      <c r="B667" s="1"/>
      <c r="C667" s="1"/>
      <c r="D667" s="1"/>
      <c r="E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row>
    <row r="668" spans="2:121">
      <c r="B668" s="1"/>
      <c r="C668" s="1"/>
      <c r="D668" s="1"/>
      <c r="E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row>
  </sheetData>
  <mergeCells count="6">
    <mergeCell ref="I22:J23"/>
    <mergeCell ref="B9:B17"/>
    <mergeCell ref="B18:B20"/>
    <mergeCell ref="I8:J8"/>
    <mergeCell ref="B5:J5"/>
    <mergeCell ref="B6:J6"/>
  </mergeCells>
  <pageMargins left="0.25" right="0.25" top="0.75" bottom="0.75" header="0.3" footer="0.3"/>
  <pageSetup orientation="landscape" horizontalDpi="1200" verticalDpi="1200" r:id="rId1"/>
  <ignoredErrors>
    <ignoredError sqref="E18" 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D816"/>
  <sheetViews>
    <sheetView zoomScale="90" zoomScaleNormal="90" workbookViewId="0">
      <selection activeCell="M38" sqref="M38"/>
    </sheetView>
  </sheetViews>
  <sheetFormatPr defaultRowHeight="15"/>
  <cols>
    <col min="1" max="2" width="9.140625" style="25"/>
    <col min="3" max="4" width="19.42578125" customWidth="1"/>
    <col min="5" max="5" width="14.42578125" bestFit="1" customWidth="1"/>
    <col min="7" max="7" width="9.140625" style="25" customWidth="1"/>
    <col min="8" max="8" width="2.5703125" style="25" customWidth="1"/>
    <col min="9" max="9" width="31.28515625" style="25" customWidth="1"/>
    <col min="10" max="30" width="9.140625" style="25"/>
  </cols>
  <sheetData>
    <row r="1" spans="1:30" s="25" customFormat="1" ht="6" customHeight="1"/>
    <row r="2" spans="1:30" ht="18">
      <c r="B2" s="69" t="s">
        <v>0</v>
      </c>
      <c r="C2" s="6"/>
      <c r="D2" s="6"/>
      <c r="E2" s="6"/>
      <c r="F2" s="6"/>
    </row>
    <row r="3" spans="1:30" ht="15.75" customHeight="1">
      <c r="B3" s="59" t="s">
        <v>83</v>
      </c>
      <c r="C3" s="6"/>
      <c r="D3" s="6"/>
      <c r="E3" s="6"/>
      <c r="F3" s="6"/>
      <c r="H3" s="26"/>
    </row>
    <row r="4" spans="1:30" ht="5.25" customHeight="1">
      <c r="C4" s="6"/>
      <c r="D4" s="6"/>
      <c r="E4" s="6"/>
      <c r="F4" s="6"/>
    </row>
    <row r="5" spans="1:30" ht="21">
      <c r="B5" s="102" t="s">
        <v>60</v>
      </c>
      <c r="C5" s="102"/>
      <c r="D5" s="102"/>
      <c r="E5" s="102"/>
      <c r="F5" s="102"/>
      <c r="G5" s="102"/>
      <c r="H5" s="102"/>
      <c r="I5" s="102"/>
      <c r="J5" s="102"/>
    </row>
    <row r="6" spans="1:30" ht="18.75">
      <c r="B6" s="103" t="s">
        <v>48</v>
      </c>
      <c r="C6" s="103"/>
      <c r="D6" s="103"/>
      <c r="E6" s="103"/>
      <c r="F6" s="103"/>
      <c r="G6" s="103"/>
      <c r="H6" s="103"/>
      <c r="I6" s="103"/>
      <c r="J6" s="103"/>
    </row>
    <row r="7" spans="1:30">
      <c r="C7" s="6"/>
      <c r="D7" s="6"/>
      <c r="E7" s="6"/>
      <c r="F7" s="6"/>
    </row>
    <row r="8" spans="1:30" ht="15.75">
      <c r="B8" s="28"/>
      <c r="C8" s="73" t="s">
        <v>1</v>
      </c>
      <c r="D8" s="51" t="s">
        <v>2</v>
      </c>
      <c r="E8" s="51" t="s">
        <v>3</v>
      </c>
      <c r="F8" s="28"/>
      <c r="I8" s="100" t="s">
        <v>47</v>
      </c>
      <c r="J8" s="101"/>
    </row>
    <row r="9" spans="1:30">
      <c r="B9" s="98" t="s">
        <v>35</v>
      </c>
      <c r="C9" s="7" t="s">
        <v>17</v>
      </c>
      <c r="D9" s="7" t="s">
        <v>5</v>
      </c>
      <c r="E9" s="112">
        <f>IF(D9="Y",3,0)</f>
        <v>0</v>
      </c>
      <c r="F9" s="6"/>
      <c r="I9" s="32" t="s">
        <v>40</v>
      </c>
      <c r="J9" s="108">
        <f>D30+'Year 1'!D29+'Year 3'!E21+'Year 4'!E21+'Year 1'!J25</f>
        <v>0</v>
      </c>
    </row>
    <row r="10" spans="1:30">
      <c r="B10" s="98"/>
      <c r="C10" s="7" t="s">
        <v>18</v>
      </c>
      <c r="D10" s="7" t="s">
        <v>5</v>
      </c>
      <c r="E10" s="112">
        <f t="shared" ref="E10:E21" si="0">IF(D10="Y",3,0)</f>
        <v>0</v>
      </c>
      <c r="F10" s="6"/>
      <c r="I10" s="33" t="s">
        <v>38</v>
      </c>
      <c r="J10" s="108">
        <v>84</v>
      </c>
    </row>
    <row r="11" spans="1:30">
      <c r="B11" s="98"/>
      <c r="C11" s="7" t="s">
        <v>19</v>
      </c>
      <c r="D11" s="7" t="s">
        <v>5</v>
      </c>
      <c r="E11" s="112">
        <f t="shared" si="0"/>
        <v>0</v>
      </c>
      <c r="F11" s="6"/>
      <c r="I11" s="35" t="s">
        <v>51</v>
      </c>
      <c r="J11" s="109">
        <f>J10-J9</f>
        <v>84</v>
      </c>
    </row>
    <row r="12" spans="1:30">
      <c r="B12" s="98"/>
      <c r="C12" s="7" t="s">
        <v>20</v>
      </c>
      <c r="D12" s="7" t="s">
        <v>5</v>
      </c>
      <c r="E12" s="112">
        <f t="shared" si="0"/>
        <v>0</v>
      </c>
      <c r="F12" s="6"/>
      <c r="I12" s="34"/>
      <c r="J12" s="108"/>
    </row>
    <row r="13" spans="1:30">
      <c r="B13" s="98"/>
      <c r="C13" s="7" t="s">
        <v>21</v>
      </c>
      <c r="D13" s="7" t="s">
        <v>5</v>
      </c>
      <c r="E13" s="112">
        <f t="shared" si="0"/>
        <v>0</v>
      </c>
      <c r="F13" s="6"/>
      <c r="I13" s="32" t="s">
        <v>41</v>
      </c>
      <c r="J13" s="108">
        <f>D31+'Year 1'!D30+'Year 3'!E29+'Year 4'!E29+'Year 1'!J26</f>
        <v>0</v>
      </c>
    </row>
    <row r="14" spans="1:30">
      <c r="B14" s="98"/>
      <c r="C14" s="16" t="s">
        <v>80</v>
      </c>
      <c r="D14" s="7" t="s">
        <v>5</v>
      </c>
      <c r="E14" s="112">
        <f t="shared" si="0"/>
        <v>0</v>
      </c>
      <c r="F14" s="6"/>
      <c r="I14" s="33" t="s">
        <v>39</v>
      </c>
      <c r="J14" s="108">
        <v>27</v>
      </c>
    </row>
    <row r="15" spans="1:30" s="21" customFormat="1">
      <c r="A15" s="25"/>
      <c r="B15" s="98"/>
      <c r="C15" s="16" t="s">
        <v>81</v>
      </c>
      <c r="D15" s="16" t="s">
        <v>5</v>
      </c>
      <c r="E15" s="112">
        <f t="shared" si="0"/>
        <v>0</v>
      </c>
      <c r="F15" s="22"/>
      <c r="G15" s="25"/>
      <c r="H15" s="25"/>
      <c r="I15" s="33"/>
      <c r="J15" s="108"/>
      <c r="K15" s="25"/>
      <c r="L15" s="25"/>
      <c r="M15" s="25"/>
      <c r="N15" s="25"/>
      <c r="O15" s="25"/>
      <c r="P15" s="25"/>
      <c r="Q15" s="25"/>
      <c r="R15" s="25"/>
      <c r="S15" s="25"/>
      <c r="T15" s="25"/>
      <c r="U15" s="25"/>
      <c r="V15" s="25"/>
      <c r="W15" s="25"/>
      <c r="X15" s="25"/>
      <c r="Y15" s="25"/>
      <c r="Z15" s="25"/>
      <c r="AA15" s="25"/>
      <c r="AB15" s="25"/>
      <c r="AC15" s="25"/>
      <c r="AD15" s="25"/>
    </row>
    <row r="16" spans="1:30">
      <c r="B16" s="98"/>
      <c r="C16" s="7" t="s">
        <v>22</v>
      </c>
      <c r="D16" s="7" t="s">
        <v>5</v>
      </c>
      <c r="E16" s="112">
        <f t="shared" si="0"/>
        <v>0</v>
      </c>
      <c r="F16" s="6"/>
      <c r="I16" s="35" t="s">
        <v>52</v>
      </c>
      <c r="J16" s="109">
        <f>J14-J13</f>
        <v>27</v>
      </c>
    </row>
    <row r="17" spans="1:30">
      <c r="B17" s="98"/>
      <c r="C17" s="7" t="s">
        <v>23</v>
      </c>
      <c r="D17" s="7" t="s">
        <v>5</v>
      </c>
      <c r="E17" s="112">
        <f t="shared" si="0"/>
        <v>0</v>
      </c>
      <c r="F17" s="6"/>
      <c r="I17" s="36"/>
      <c r="J17" s="108"/>
    </row>
    <row r="18" spans="1:30" ht="15" customHeight="1">
      <c r="B18" s="98" t="s">
        <v>14</v>
      </c>
      <c r="C18" s="17" t="s">
        <v>95</v>
      </c>
      <c r="D18" s="8" t="s">
        <v>5</v>
      </c>
      <c r="E18" s="112">
        <f>IF(D18="Y",6,0)</f>
        <v>0</v>
      </c>
      <c r="F18" s="6"/>
      <c r="I18" s="75" t="s">
        <v>36</v>
      </c>
      <c r="J18" s="110">
        <f>J9+J13</f>
        <v>0</v>
      </c>
    </row>
    <row r="19" spans="1:30" s="21" customFormat="1">
      <c r="A19" s="25"/>
      <c r="B19" s="98"/>
      <c r="C19" s="17" t="s">
        <v>15</v>
      </c>
      <c r="D19" s="17" t="s">
        <v>5</v>
      </c>
      <c r="E19" s="112">
        <f t="shared" si="0"/>
        <v>0</v>
      </c>
      <c r="F19" s="22"/>
      <c r="G19" s="25"/>
      <c r="H19" s="25"/>
      <c r="I19" s="75" t="s">
        <v>37</v>
      </c>
      <c r="J19" s="110">
        <v>123</v>
      </c>
      <c r="K19" s="25"/>
      <c r="L19" s="25"/>
      <c r="M19" s="25"/>
      <c r="N19" s="25"/>
      <c r="O19" s="25"/>
      <c r="P19" s="25"/>
      <c r="Q19" s="25"/>
      <c r="R19" s="25"/>
      <c r="S19" s="25"/>
      <c r="T19" s="25"/>
      <c r="U19" s="25"/>
      <c r="V19" s="25"/>
      <c r="W19" s="25"/>
      <c r="X19" s="25"/>
      <c r="Y19" s="25"/>
      <c r="Z19" s="25"/>
      <c r="AA19" s="25"/>
      <c r="AB19" s="25"/>
      <c r="AC19" s="25"/>
      <c r="AD19" s="25"/>
    </row>
    <row r="20" spans="1:30">
      <c r="B20" s="98"/>
      <c r="C20" s="8" t="s">
        <v>15</v>
      </c>
      <c r="D20" s="8" t="s">
        <v>5</v>
      </c>
      <c r="E20" s="112">
        <f t="shared" si="0"/>
        <v>0</v>
      </c>
      <c r="F20" s="6"/>
      <c r="I20" s="76" t="s">
        <v>53</v>
      </c>
      <c r="J20" s="111">
        <f>J19-J18</f>
        <v>123</v>
      </c>
    </row>
    <row r="21" spans="1:30">
      <c r="B21" s="99"/>
      <c r="C21" s="10" t="s">
        <v>15</v>
      </c>
      <c r="D21" s="10" t="s">
        <v>5</v>
      </c>
      <c r="E21" s="113">
        <f t="shared" si="0"/>
        <v>0</v>
      </c>
      <c r="F21" s="11"/>
    </row>
    <row r="22" spans="1:30" s="25" customFormat="1" ht="15.75">
      <c r="B22" s="49"/>
      <c r="C22" s="48" t="s">
        <v>16</v>
      </c>
      <c r="D22" s="18"/>
      <c r="E22" s="115">
        <f>SUM(E9:E21)</f>
        <v>0</v>
      </c>
      <c r="F22" s="47"/>
    </row>
    <row r="23" spans="1:30">
      <c r="C23" s="22" t="s">
        <v>67</v>
      </c>
      <c r="D23" s="6"/>
      <c r="E23" s="112">
        <f>33-E22</f>
        <v>33</v>
      </c>
      <c r="F23" s="6"/>
    </row>
    <row r="24" spans="1:30" ht="15.75">
      <c r="C24" s="9"/>
      <c r="D24" s="6"/>
      <c r="E24" s="6"/>
      <c r="F24" s="6"/>
    </row>
    <row r="25" spans="1:30">
      <c r="C25" s="6"/>
      <c r="D25" s="6"/>
      <c r="E25" s="6"/>
      <c r="F25" s="6"/>
    </row>
    <row r="26" spans="1:30">
      <c r="C26" s="6"/>
      <c r="D26" s="6"/>
      <c r="E26" s="6"/>
      <c r="F26" s="6"/>
    </row>
    <row r="27" spans="1:30">
      <c r="C27" s="6"/>
      <c r="D27" s="6"/>
      <c r="E27" s="6"/>
      <c r="F27" s="6"/>
    </row>
    <row r="28" spans="1:30" s="25" customFormat="1">
      <c r="C28" s="22"/>
      <c r="D28" s="22"/>
      <c r="E28" s="22"/>
      <c r="F28" s="22"/>
    </row>
    <row r="29" spans="1:30" s="25" customFormat="1">
      <c r="C29" s="22"/>
      <c r="D29" s="22"/>
      <c r="E29" s="22"/>
      <c r="F29" s="22"/>
    </row>
    <row r="30" spans="1:30" s="25" customFormat="1" hidden="1">
      <c r="B30" s="22" t="s">
        <v>54</v>
      </c>
      <c r="C30" s="22"/>
      <c r="D30" s="22">
        <f>SUM(E9:E17)</f>
        <v>0</v>
      </c>
      <c r="E30" s="22"/>
      <c r="F30" s="22"/>
    </row>
    <row r="31" spans="1:30" s="25" customFormat="1" hidden="1">
      <c r="B31" s="22" t="s">
        <v>55</v>
      </c>
      <c r="C31" s="22"/>
      <c r="D31" s="22">
        <f>SUM(E18:E21)</f>
        <v>0</v>
      </c>
      <c r="E31" s="22"/>
      <c r="F31" s="22"/>
    </row>
    <row r="32" spans="1:30" s="25" customFormat="1">
      <c r="C32" s="22"/>
      <c r="D32" s="22"/>
      <c r="E32" s="22"/>
      <c r="F32" s="22"/>
    </row>
    <row r="33" spans="3:6" s="25" customFormat="1">
      <c r="C33" s="22"/>
      <c r="D33" s="22"/>
      <c r="E33" s="22"/>
      <c r="F33" s="22"/>
    </row>
    <row r="34" spans="3:6" s="25" customFormat="1">
      <c r="C34" s="22"/>
      <c r="D34" s="22"/>
      <c r="E34" s="22"/>
      <c r="F34" s="22"/>
    </row>
    <row r="35" spans="3:6" s="25" customFormat="1">
      <c r="C35" s="22"/>
      <c r="D35" s="22"/>
      <c r="E35" s="22"/>
      <c r="F35" s="22"/>
    </row>
    <row r="36" spans="3:6" s="25" customFormat="1">
      <c r="C36" s="22"/>
      <c r="D36" s="22"/>
      <c r="E36" s="22"/>
      <c r="F36" s="22"/>
    </row>
    <row r="37" spans="3:6" s="25" customFormat="1">
      <c r="C37" s="22"/>
      <c r="D37" s="22"/>
      <c r="E37" s="22"/>
      <c r="F37" s="22"/>
    </row>
    <row r="38" spans="3:6" s="25" customFormat="1">
      <c r="C38" s="22"/>
      <c r="D38" s="22"/>
      <c r="E38" s="22"/>
      <c r="F38" s="22"/>
    </row>
    <row r="39" spans="3:6" s="25" customFormat="1">
      <c r="C39" s="22"/>
      <c r="D39" s="22"/>
      <c r="E39" s="22"/>
      <c r="F39" s="22"/>
    </row>
    <row r="40" spans="3:6" s="25" customFormat="1">
      <c r="C40" s="22"/>
      <c r="D40" s="22"/>
      <c r="E40" s="22"/>
      <c r="F40" s="22"/>
    </row>
    <row r="41" spans="3:6" s="25" customFormat="1">
      <c r="C41" s="22"/>
      <c r="D41" s="22"/>
      <c r="E41" s="22"/>
      <c r="F41" s="22"/>
    </row>
    <row r="42" spans="3:6" s="25" customFormat="1">
      <c r="C42" s="22"/>
      <c r="D42" s="22"/>
      <c r="E42" s="22"/>
      <c r="F42" s="22"/>
    </row>
    <row r="43" spans="3:6" s="25" customFormat="1">
      <c r="C43" s="22"/>
      <c r="D43" s="22"/>
      <c r="E43" s="22"/>
      <c r="F43" s="22"/>
    </row>
    <row r="44" spans="3:6" s="25" customFormat="1">
      <c r="C44" s="22"/>
      <c r="D44" s="22"/>
      <c r="E44" s="22"/>
      <c r="F44" s="22"/>
    </row>
    <row r="45" spans="3:6" s="25" customFormat="1">
      <c r="C45" s="22"/>
      <c r="D45" s="22"/>
      <c r="E45" s="22"/>
      <c r="F45" s="22"/>
    </row>
    <row r="46" spans="3:6" s="25" customFormat="1">
      <c r="C46" s="22"/>
      <c r="D46" s="22"/>
      <c r="E46" s="22"/>
      <c r="F46" s="22"/>
    </row>
    <row r="47" spans="3:6" s="25" customFormat="1">
      <c r="C47" s="22"/>
      <c r="D47" s="22"/>
      <c r="E47" s="22"/>
      <c r="F47" s="22"/>
    </row>
    <row r="48" spans="3:6" s="25" customFormat="1">
      <c r="C48" s="22"/>
      <c r="D48" s="22"/>
      <c r="E48" s="22"/>
      <c r="F48" s="22"/>
    </row>
    <row r="49" spans="3:6" s="25" customFormat="1">
      <c r="C49" s="22"/>
      <c r="D49" s="22"/>
      <c r="E49" s="22"/>
      <c r="F49" s="22"/>
    </row>
    <row r="50" spans="3:6" s="25" customFormat="1">
      <c r="C50" s="22"/>
      <c r="D50" s="22"/>
      <c r="E50" s="22"/>
      <c r="F50" s="22"/>
    </row>
    <row r="51" spans="3:6" s="25" customFormat="1"/>
    <row r="52" spans="3:6" s="25" customFormat="1"/>
    <row r="53" spans="3:6" s="25" customFormat="1"/>
    <row r="54" spans="3:6" s="25" customFormat="1"/>
    <row r="55" spans="3:6" s="25" customFormat="1"/>
    <row r="56" spans="3:6" s="25" customFormat="1"/>
    <row r="57" spans="3:6" s="25" customFormat="1"/>
    <row r="58" spans="3:6" s="25" customFormat="1"/>
    <row r="59" spans="3:6" s="25" customFormat="1"/>
    <row r="60" spans="3:6" s="25" customFormat="1"/>
    <row r="61" spans="3:6" s="25" customFormat="1"/>
    <row r="62" spans="3:6" s="25" customFormat="1"/>
    <row r="63" spans="3:6" s="25" customFormat="1"/>
    <row r="64" spans="3:6" s="25" customFormat="1"/>
    <row r="65" s="25" customFormat="1"/>
    <row r="66" s="25" customFormat="1"/>
    <row r="67" s="25" customFormat="1"/>
    <row r="68" s="25" customFormat="1"/>
    <row r="69" s="25" customFormat="1"/>
    <row r="70" s="25" customFormat="1"/>
    <row r="71" s="25" customFormat="1"/>
    <row r="72" s="25" customFormat="1"/>
    <row r="73" s="25" customFormat="1"/>
    <row r="74" s="25" customFormat="1"/>
    <row r="75" s="25" customFormat="1"/>
    <row r="76" s="25" customFormat="1"/>
    <row r="77" s="25" customFormat="1"/>
    <row r="78" s="25" customFormat="1"/>
    <row r="79" s="25" customFormat="1"/>
    <row r="80" s="25" customFormat="1"/>
    <row r="81" s="25" customFormat="1"/>
    <row r="82" s="25" customFormat="1"/>
    <row r="83" s="25" customFormat="1"/>
    <row r="84" s="25" customFormat="1"/>
    <row r="85" s="25" customFormat="1"/>
    <row r="86" s="25" customFormat="1"/>
    <row r="87" s="25" customFormat="1"/>
    <row r="88" s="25" customFormat="1"/>
    <row r="89" s="25" customFormat="1"/>
    <row r="90" s="25" customFormat="1"/>
    <row r="91" s="25" customFormat="1"/>
    <row r="92" s="25" customFormat="1"/>
    <row r="93" s="25" customFormat="1"/>
    <row r="94" s="25" customFormat="1"/>
    <row r="95" s="25" customFormat="1"/>
    <row r="96" s="25" customFormat="1"/>
    <row r="97" s="25" customFormat="1"/>
    <row r="98" s="25" customFormat="1"/>
    <row r="99" s="25" customFormat="1"/>
    <row r="100" s="25" customFormat="1"/>
    <row r="101" s="25" customFormat="1"/>
    <row r="102" s="25" customFormat="1"/>
    <row r="103" s="25" customFormat="1"/>
    <row r="104" s="25" customFormat="1"/>
    <row r="105" s="25" customFormat="1"/>
    <row r="106" s="25" customFormat="1"/>
    <row r="107" s="25" customFormat="1"/>
    <row r="108" s="25" customFormat="1"/>
    <row r="109" s="25" customFormat="1"/>
    <row r="110" s="25" customFormat="1"/>
    <row r="111" s="25" customFormat="1"/>
    <row r="112" s="25" customFormat="1"/>
    <row r="113" s="25" customFormat="1"/>
    <row r="114" s="25" customFormat="1"/>
    <row r="115" s="25" customFormat="1"/>
    <row r="116" s="25" customFormat="1"/>
    <row r="117" s="25" customFormat="1"/>
    <row r="118" s="25" customFormat="1"/>
    <row r="119" s="25" customFormat="1"/>
    <row r="120" s="25" customFormat="1"/>
    <row r="121" s="25" customFormat="1"/>
    <row r="122" s="25" customFormat="1"/>
    <row r="123" s="25" customFormat="1"/>
    <row r="124" s="25" customFormat="1"/>
    <row r="125" s="25" customFormat="1"/>
    <row r="126" s="25" customFormat="1"/>
    <row r="127" s="25" customFormat="1"/>
    <row r="128" s="25" customFormat="1"/>
    <row r="129" s="25" customFormat="1"/>
    <row r="130" s="25" customFormat="1"/>
    <row r="131" s="25" customFormat="1"/>
    <row r="132" s="25" customFormat="1"/>
    <row r="133" s="25" customFormat="1"/>
    <row r="134" s="25" customFormat="1"/>
    <row r="135" s="25" customFormat="1"/>
    <row r="136" s="25" customFormat="1"/>
    <row r="137" s="25" customFormat="1"/>
    <row r="138" s="25" customFormat="1"/>
    <row r="139" s="25" customFormat="1"/>
    <row r="140" s="25" customFormat="1"/>
    <row r="141" s="25" customFormat="1"/>
    <row r="142" s="25" customFormat="1"/>
    <row r="143" s="25" customFormat="1"/>
    <row r="144" s="25" customFormat="1"/>
    <row r="145" s="25" customFormat="1"/>
    <row r="146" s="25" customFormat="1"/>
    <row r="147" s="25" customFormat="1"/>
    <row r="148" s="25" customFormat="1"/>
    <row r="149" s="25" customFormat="1"/>
    <row r="150" s="25" customFormat="1"/>
    <row r="151" s="25" customFormat="1"/>
    <row r="152" s="25" customFormat="1"/>
    <row r="153" s="25" customFormat="1"/>
    <row r="154" s="25" customFormat="1"/>
    <row r="155" s="25" customFormat="1"/>
    <row r="156" s="25" customFormat="1"/>
    <row r="157" s="25" customFormat="1"/>
    <row r="158" s="25" customFormat="1"/>
    <row r="159" s="25" customFormat="1"/>
    <row r="160" s="25" customFormat="1"/>
    <row r="161" s="25" customFormat="1"/>
    <row r="162" s="25" customFormat="1"/>
    <row r="163" s="25" customFormat="1"/>
    <row r="164" s="25" customFormat="1"/>
    <row r="165" s="25" customFormat="1"/>
    <row r="166" s="25" customFormat="1"/>
    <row r="167" s="25" customFormat="1"/>
    <row r="168" s="25" customFormat="1"/>
    <row r="169" s="25" customFormat="1"/>
    <row r="170" s="25" customFormat="1"/>
    <row r="171" s="25" customFormat="1"/>
    <row r="172" s="25" customFormat="1"/>
    <row r="173" s="25" customFormat="1"/>
    <row r="174" s="25" customFormat="1"/>
    <row r="175" s="25" customFormat="1"/>
    <row r="176" s="25" customFormat="1"/>
    <row r="177" s="25" customFormat="1"/>
    <row r="178" s="25" customFormat="1"/>
    <row r="179" s="25" customFormat="1"/>
    <row r="180" s="25" customFormat="1"/>
    <row r="181" s="25" customFormat="1"/>
    <row r="182" s="25" customFormat="1"/>
    <row r="183" s="25" customFormat="1"/>
    <row r="184" s="25" customFormat="1"/>
    <row r="185" s="25" customFormat="1"/>
    <row r="186" s="25" customFormat="1"/>
    <row r="187" s="25" customFormat="1"/>
    <row r="188" s="25" customFormat="1"/>
    <row r="189" s="25" customFormat="1"/>
    <row r="190" s="25" customFormat="1"/>
    <row r="191" s="25" customFormat="1"/>
    <row r="192" s="25" customFormat="1"/>
    <row r="193" s="25" customFormat="1"/>
    <row r="194" s="25" customFormat="1"/>
    <row r="195" s="25" customFormat="1"/>
    <row r="196" s="25" customFormat="1"/>
    <row r="197" s="25" customFormat="1"/>
    <row r="198" s="25" customFormat="1"/>
    <row r="199" s="25" customFormat="1"/>
    <row r="200" s="25" customFormat="1"/>
    <row r="201" s="25" customFormat="1"/>
    <row r="202" s="25" customFormat="1"/>
    <row r="203" s="25" customFormat="1"/>
    <row r="204" s="25" customFormat="1"/>
    <row r="205" s="25" customFormat="1"/>
    <row r="206" s="25" customFormat="1"/>
    <row r="207" s="25" customFormat="1"/>
    <row r="208" s="25" customFormat="1"/>
    <row r="209" s="25" customFormat="1"/>
    <row r="210" s="25" customFormat="1"/>
    <row r="211" s="25" customFormat="1"/>
    <row r="212" s="25" customFormat="1"/>
    <row r="213" s="25" customFormat="1"/>
    <row r="214" s="25" customFormat="1"/>
    <row r="215" s="25" customFormat="1"/>
    <row r="216" s="25" customFormat="1"/>
    <row r="217" s="25" customFormat="1"/>
    <row r="218" s="25" customFormat="1"/>
    <row r="219" s="25" customFormat="1"/>
    <row r="220" s="25" customFormat="1"/>
    <row r="221" s="25" customFormat="1"/>
    <row r="222" s="25" customFormat="1"/>
    <row r="223" s="25" customFormat="1"/>
    <row r="224" s="25" customFormat="1"/>
    <row r="225" s="25" customFormat="1"/>
    <row r="226" s="25" customFormat="1"/>
    <row r="227" s="25" customFormat="1"/>
    <row r="228" s="25" customFormat="1"/>
    <row r="229" s="25" customFormat="1"/>
    <row r="230" s="25" customFormat="1"/>
    <row r="231" s="25" customFormat="1"/>
    <row r="232" s="25" customFormat="1"/>
    <row r="233" s="25" customFormat="1"/>
    <row r="234" s="25" customFormat="1"/>
    <row r="235" s="25" customFormat="1"/>
    <row r="236" s="25" customFormat="1"/>
    <row r="237" s="25" customFormat="1"/>
    <row r="238" s="25" customFormat="1"/>
    <row r="239" s="25" customFormat="1"/>
    <row r="240" s="25" customFormat="1"/>
    <row r="241" s="25" customFormat="1"/>
    <row r="242" s="25" customFormat="1"/>
    <row r="243" s="25" customFormat="1"/>
    <row r="244" s="25" customFormat="1"/>
    <row r="245" s="25" customFormat="1"/>
    <row r="246" s="25" customFormat="1"/>
    <row r="247" s="25" customFormat="1"/>
    <row r="248" s="25" customFormat="1"/>
    <row r="249" s="25" customFormat="1"/>
    <row r="250" s="25" customFormat="1"/>
    <row r="251" s="25" customFormat="1"/>
    <row r="252" s="25" customFormat="1"/>
    <row r="253" s="25" customFormat="1"/>
    <row r="254" s="25" customFormat="1"/>
    <row r="255" s="25" customFormat="1"/>
    <row r="256" s="25" customFormat="1"/>
    <row r="257" s="25" customFormat="1"/>
    <row r="258" s="25" customFormat="1"/>
    <row r="259" s="25" customFormat="1"/>
    <row r="260" s="25" customFormat="1"/>
    <row r="261" s="25" customFormat="1"/>
    <row r="262" s="25" customFormat="1"/>
    <row r="263" s="25" customFormat="1"/>
    <row r="264" s="25" customFormat="1"/>
    <row r="265" s="25" customFormat="1"/>
    <row r="266" s="25" customFormat="1"/>
    <row r="267" s="25" customFormat="1"/>
    <row r="268" s="25" customFormat="1"/>
    <row r="269" s="25" customFormat="1"/>
    <row r="270" s="25" customFormat="1"/>
    <row r="271" s="25" customFormat="1"/>
    <row r="272" s="25" customFormat="1"/>
    <row r="273" s="25" customFormat="1"/>
    <row r="274" s="25" customFormat="1"/>
    <row r="275" s="25" customFormat="1"/>
    <row r="276" s="25" customFormat="1"/>
    <row r="277" s="25" customFormat="1"/>
    <row r="278" s="25" customFormat="1"/>
    <row r="279" s="25" customFormat="1"/>
    <row r="280" s="25" customFormat="1"/>
    <row r="281" s="25" customFormat="1"/>
    <row r="282" s="25" customFormat="1"/>
    <row r="283" s="25" customFormat="1"/>
    <row r="284" s="25" customFormat="1"/>
    <row r="285" s="25" customFormat="1"/>
    <row r="286" s="25" customFormat="1"/>
    <row r="287" s="25" customFormat="1"/>
    <row r="288" s="25" customFormat="1"/>
    <row r="289" s="25" customFormat="1"/>
    <row r="290" s="25" customFormat="1"/>
    <row r="291" s="25" customFormat="1"/>
    <row r="292" s="25" customFormat="1"/>
    <row r="293" s="25" customFormat="1"/>
    <row r="294" s="25" customFormat="1"/>
    <row r="295" s="25" customFormat="1"/>
    <row r="296" s="25" customFormat="1"/>
    <row r="297" s="25" customFormat="1"/>
    <row r="298" s="25" customFormat="1"/>
    <row r="299" s="25" customFormat="1"/>
    <row r="300" s="25" customFormat="1"/>
    <row r="301" s="25" customFormat="1"/>
    <row r="302" s="25" customFormat="1"/>
    <row r="303" s="25" customFormat="1"/>
    <row r="304" s="25" customFormat="1"/>
    <row r="305" s="25" customFormat="1"/>
    <row r="306" s="25" customFormat="1"/>
    <row r="307" s="25" customFormat="1"/>
    <row r="308" s="25" customFormat="1"/>
    <row r="309" s="25" customFormat="1"/>
    <row r="310" s="25" customFormat="1"/>
    <row r="311" s="25" customFormat="1"/>
    <row r="312" s="25" customFormat="1"/>
    <row r="313" s="25" customFormat="1"/>
    <row r="314" s="25" customFormat="1"/>
    <row r="315" s="25" customFormat="1"/>
    <row r="316" s="25" customFormat="1"/>
    <row r="317" s="25" customFormat="1"/>
    <row r="318" s="25" customFormat="1"/>
    <row r="319" s="25" customFormat="1"/>
    <row r="320" s="25" customFormat="1"/>
    <row r="321" s="25" customFormat="1"/>
    <row r="322" s="25" customFormat="1"/>
    <row r="323" s="25" customFormat="1"/>
    <row r="324" s="25" customFormat="1"/>
    <row r="325" s="25" customFormat="1"/>
    <row r="326" s="25" customFormat="1"/>
    <row r="327" s="25" customFormat="1"/>
    <row r="328" s="25" customFormat="1"/>
    <row r="329" s="25" customFormat="1"/>
    <row r="330" s="25" customFormat="1"/>
    <row r="331" s="25" customFormat="1"/>
    <row r="332" s="25" customFormat="1"/>
    <row r="333" s="25" customFormat="1"/>
    <row r="334" s="25" customFormat="1"/>
    <row r="335" s="25" customFormat="1"/>
    <row r="336" s="25" customFormat="1"/>
    <row r="337" s="25" customFormat="1"/>
    <row r="338" s="25" customFormat="1"/>
    <row r="339" s="25" customFormat="1"/>
    <row r="340" s="25" customFormat="1"/>
    <row r="341" s="25" customFormat="1"/>
    <row r="342" s="25" customFormat="1"/>
    <row r="343" s="25" customFormat="1"/>
    <row r="344" s="25" customFormat="1"/>
    <row r="345" s="25" customFormat="1"/>
    <row r="346" s="25" customFormat="1"/>
    <row r="347" s="25" customFormat="1"/>
    <row r="348" s="25" customFormat="1"/>
    <row r="349" s="25" customFormat="1"/>
    <row r="350" s="25" customFormat="1"/>
    <row r="351" s="25" customFormat="1"/>
    <row r="352" s="25" customFormat="1"/>
    <row r="353" s="25" customFormat="1"/>
    <row r="354" s="25" customFormat="1"/>
    <row r="355" s="25" customFormat="1"/>
    <row r="356" s="25" customFormat="1"/>
    <row r="357" s="25" customFormat="1"/>
    <row r="358" s="25" customFormat="1"/>
    <row r="359" s="25" customFormat="1"/>
    <row r="360" s="25" customFormat="1"/>
    <row r="361" s="25" customFormat="1"/>
    <row r="362" s="25" customFormat="1"/>
    <row r="363" s="25" customFormat="1"/>
    <row r="364" s="25" customFormat="1"/>
    <row r="365" s="25" customFormat="1"/>
    <row r="366" s="25" customFormat="1"/>
    <row r="367" s="25" customFormat="1"/>
    <row r="368" s="25" customFormat="1"/>
    <row r="369" s="25" customFormat="1"/>
    <row r="370" s="25" customFormat="1"/>
    <row r="371" s="25" customFormat="1"/>
    <row r="372" s="25" customFormat="1"/>
    <row r="373" s="25" customFormat="1"/>
    <row r="374" s="25" customFormat="1"/>
    <row r="375" s="25" customFormat="1"/>
    <row r="376" s="25" customFormat="1"/>
    <row r="377" s="25" customFormat="1"/>
    <row r="378" s="25" customFormat="1"/>
    <row r="379" s="25" customFormat="1"/>
    <row r="380" s="25" customFormat="1"/>
    <row r="381" s="25" customFormat="1"/>
    <row r="382" s="25" customFormat="1"/>
    <row r="383" s="25" customFormat="1"/>
    <row r="384" s="25" customFormat="1"/>
    <row r="385" s="25" customFormat="1"/>
    <row r="386" s="25" customFormat="1"/>
    <row r="387" s="25" customFormat="1"/>
    <row r="388" s="25" customFormat="1"/>
    <row r="389" s="25" customFormat="1"/>
    <row r="390" s="25" customFormat="1"/>
    <row r="391" s="25" customFormat="1"/>
    <row r="392" s="25" customFormat="1"/>
    <row r="393" s="25" customFormat="1"/>
    <row r="394" s="25" customFormat="1"/>
    <row r="395" s="25" customFormat="1"/>
    <row r="396" s="25" customFormat="1"/>
    <row r="397" s="25" customFormat="1"/>
    <row r="398" s="25" customFormat="1"/>
    <row r="399" s="25" customFormat="1"/>
    <row r="400" s="25" customFormat="1"/>
    <row r="401" s="25" customFormat="1"/>
    <row r="402" s="25" customFormat="1"/>
    <row r="403" s="25" customFormat="1"/>
    <row r="404" s="25" customFormat="1"/>
    <row r="405" s="25" customFormat="1"/>
    <row r="406" s="25" customFormat="1"/>
    <row r="407" s="25" customFormat="1"/>
    <row r="408" s="25" customFormat="1"/>
    <row r="409" s="25" customFormat="1"/>
    <row r="410" s="25" customFormat="1"/>
    <row r="411" s="25" customFormat="1"/>
    <row r="412" s="25" customFormat="1"/>
    <row r="413" s="25" customFormat="1"/>
    <row r="414" s="25" customFormat="1"/>
    <row r="415" s="25" customFormat="1"/>
    <row r="416" s="25" customFormat="1"/>
    <row r="417" s="25" customFormat="1"/>
    <row r="418" s="25" customFormat="1"/>
    <row r="419" s="25" customFormat="1"/>
    <row r="420" s="25" customFormat="1"/>
    <row r="421" s="25" customFormat="1"/>
    <row r="422" s="25" customFormat="1"/>
    <row r="423" s="25" customFormat="1"/>
    <row r="424" s="25" customFormat="1"/>
    <row r="425" s="25" customFormat="1"/>
    <row r="426" s="25" customFormat="1"/>
    <row r="427" s="25" customFormat="1"/>
    <row r="428" s="25" customFormat="1"/>
    <row r="429" s="25" customFormat="1"/>
    <row r="430" s="25" customFormat="1"/>
    <row r="431" s="25" customFormat="1"/>
    <row r="432" s="25" customFormat="1"/>
    <row r="433" s="25" customFormat="1"/>
    <row r="434" s="25" customFormat="1"/>
    <row r="435" s="25" customFormat="1"/>
    <row r="436" s="25" customFormat="1"/>
    <row r="437" s="25" customFormat="1"/>
    <row r="438" s="25" customFormat="1"/>
    <row r="439" s="25" customFormat="1"/>
    <row r="440" s="25" customFormat="1"/>
    <row r="441" s="25" customFormat="1"/>
    <row r="442" s="25" customFormat="1"/>
    <row r="443" s="25" customFormat="1"/>
    <row r="444" s="25" customFormat="1"/>
    <row r="445" s="25" customFormat="1"/>
    <row r="446" s="25" customFormat="1"/>
    <row r="447" s="25" customFormat="1"/>
    <row r="448" s="25" customFormat="1"/>
    <row r="449" s="25" customFormat="1"/>
    <row r="450" s="25" customFormat="1"/>
    <row r="451" s="25" customFormat="1"/>
    <row r="452" s="25" customFormat="1"/>
    <row r="453" s="25" customFormat="1"/>
    <row r="454" s="25" customFormat="1"/>
    <row r="455" s="25" customFormat="1"/>
    <row r="456" s="25" customFormat="1"/>
    <row r="457" s="25" customFormat="1"/>
    <row r="458" s="25" customFormat="1"/>
    <row r="459" s="25" customFormat="1"/>
    <row r="460" s="25" customFormat="1"/>
    <row r="461" s="25" customFormat="1"/>
    <row r="462" s="25" customFormat="1"/>
    <row r="463" s="25" customFormat="1"/>
    <row r="464" s="25" customFormat="1"/>
    <row r="465" s="25" customFormat="1"/>
    <row r="466" s="25" customFormat="1"/>
    <row r="467" s="25" customFormat="1"/>
    <row r="468" s="25" customFormat="1"/>
    <row r="469" s="25" customFormat="1"/>
    <row r="470" s="25" customFormat="1"/>
    <row r="471" s="25" customFormat="1"/>
    <row r="472" s="25" customFormat="1"/>
    <row r="473" s="25" customFormat="1"/>
    <row r="474" s="25" customFormat="1"/>
    <row r="475" s="25" customFormat="1"/>
    <row r="476" s="25" customFormat="1"/>
    <row r="477" s="25" customFormat="1"/>
    <row r="478" s="25" customFormat="1"/>
    <row r="479" s="25" customFormat="1"/>
    <row r="480" s="25" customFormat="1"/>
    <row r="481" s="25" customFormat="1"/>
    <row r="482" s="25" customFormat="1"/>
    <row r="483" s="25" customFormat="1"/>
    <row r="484" s="25" customFormat="1"/>
    <row r="485" s="25" customFormat="1"/>
    <row r="486" s="25" customFormat="1"/>
    <row r="487" s="25" customFormat="1"/>
    <row r="488" s="25" customFormat="1"/>
    <row r="489" s="25" customFormat="1"/>
    <row r="490" s="25" customFormat="1"/>
    <row r="491" s="25" customFormat="1"/>
    <row r="492" s="25" customFormat="1"/>
    <row r="493" s="25" customFormat="1"/>
    <row r="494" s="25" customFormat="1"/>
    <row r="495" s="25" customFormat="1"/>
    <row r="496" s="25" customFormat="1"/>
    <row r="497" s="25" customFormat="1"/>
    <row r="498" s="25" customFormat="1"/>
    <row r="499" s="25" customFormat="1"/>
    <row r="500" s="25" customFormat="1"/>
    <row r="501" s="25" customFormat="1"/>
    <row r="502" s="25" customFormat="1"/>
    <row r="503" s="25" customFormat="1"/>
    <row r="504" s="25" customFormat="1"/>
    <row r="505" s="25" customFormat="1"/>
    <row r="506" s="25" customFormat="1"/>
    <row r="507" s="25" customFormat="1"/>
    <row r="508" s="25" customFormat="1"/>
    <row r="509" s="25" customFormat="1"/>
    <row r="510" s="25" customFormat="1"/>
    <row r="511" s="25" customFormat="1"/>
    <row r="512" s="25" customFormat="1"/>
    <row r="513" s="25" customFormat="1"/>
    <row r="514" s="25" customFormat="1"/>
    <row r="515" s="25" customFormat="1"/>
    <row r="516" s="25" customFormat="1"/>
    <row r="517" s="25" customFormat="1"/>
    <row r="518" s="25" customFormat="1"/>
    <row r="519" s="25" customFormat="1"/>
    <row r="520" s="25" customFormat="1"/>
    <row r="521" s="25" customFormat="1"/>
    <row r="522" s="25" customFormat="1"/>
    <row r="523" s="25" customFormat="1"/>
    <row r="524" s="25" customFormat="1"/>
    <row r="525" s="25" customFormat="1"/>
    <row r="526" s="25" customFormat="1"/>
    <row r="527" s="25" customFormat="1"/>
    <row r="528" s="25" customFormat="1"/>
    <row r="529" s="25" customFormat="1"/>
    <row r="530" s="25" customFormat="1"/>
    <row r="531" s="25" customFormat="1"/>
    <row r="532" s="25" customFormat="1"/>
    <row r="533" s="25" customFormat="1"/>
    <row r="534" s="25" customFormat="1"/>
    <row r="535" s="25" customFormat="1"/>
    <row r="536" s="25" customFormat="1"/>
    <row r="537" s="25" customFormat="1"/>
    <row r="538" s="25" customFormat="1"/>
    <row r="539" s="25" customFormat="1"/>
    <row r="540" s="25" customFormat="1"/>
    <row r="541" s="25" customFormat="1"/>
    <row r="542" s="25" customFormat="1"/>
    <row r="543" s="25" customFormat="1"/>
    <row r="544" s="25" customFormat="1"/>
    <row r="545" s="25" customFormat="1"/>
    <row r="546" s="25" customFormat="1"/>
    <row r="547" s="25" customFormat="1"/>
    <row r="548" s="25" customFormat="1"/>
    <row r="549" s="25" customFormat="1"/>
    <row r="550" s="25" customFormat="1"/>
    <row r="551" s="25" customFormat="1"/>
    <row r="552" s="25" customFormat="1"/>
    <row r="553" s="25" customFormat="1"/>
    <row r="554" s="25" customFormat="1"/>
    <row r="555" s="25" customFormat="1"/>
    <row r="556" s="25" customFormat="1"/>
    <row r="557" s="25" customFormat="1"/>
    <row r="558" s="25" customFormat="1"/>
    <row r="559" s="25" customFormat="1"/>
    <row r="560" s="25" customFormat="1"/>
    <row r="561" s="25" customFormat="1"/>
    <row r="562" s="25" customFormat="1"/>
    <row r="563" s="25" customFormat="1"/>
    <row r="564" s="25" customFormat="1"/>
    <row r="565" s="25" customFormat="1"/>
    <row r="566" s="25" customFormat="1"/>
    <row r="567" s="25" customFormat="1"/>
    <row r="568" s="25" customFormat="1"/>
    <row r="569" s="25" customFormat="1"/>
    <row r="570" s="25" customFormat="1"/>
    <row r="571" s="25" customFormat="1"/>
    <row r="572" s="25" customFormat="1"/>
    <row r="573" s="25" customFormat="1"/>
    <row r="574" s="25" customFormat="1"/>
    <row r="575" s="25" customFormat="1"/>
    <row r="576" s="25" customFormat="1"/>
    <row r="577" s="25" customFormat="1"/>
    <row r="578" s="25" customFormat="1"/>
    <row r="579" s="25" customFormat="1"/>
    <row r="580" s="25" customFormat="1"/>
    <row r="581" s="25" customFormat="1"/>
    <row r="582" s="25" customFormat="1"/>
    <row r="583" s="25" customFormat="1"/>
    <row r="584" s="25" customFormat="1"/>
    <row r="585" s="25" customFormat="1"/>
    <row r="586" s="25" customFormat="1"/>
    <row r="587" s="25" customFormat="1"/>
    <row r="588" s="25" customFormat="1"/>
    <row r="589" s="25" customFormat="1"/>
    <row r="590" s="25" customFormat="1"/>
    <row r="591" s="25" customFormat="1"/>
    <row r="592" s="25" customFormat="1"/>
    <row r="593" s="25" customFormat="1"/>
    <row r="594" s="25" customFormat="1"/>
    <row r="595" s="25" customFormat="1"/>
    <row r="596" s="25" customFormat="1"/>
    <row r="597" s="25" customFormat="1"/>
    <row r="598" s="25" customFormat="1"/>
    <row r="599" s="25" customFormat="1"/>
    <row r="600" s="25" customFormat="1"/>
    <row r="601" s="25" customFormat="1"/>
    <row r="602" s="25" customFormat="1"/>
    <row r="603" s="25" customFormat="1"/>
    <row r="604" s="25" customFormat="1"/>
    <row r="605" s="25" customFormat="1"/>
    <row r="606" s="25" customFormat="1"/>
    <row r="607" s="25" customFormat="1"/>
    <row r="608" s="25" customFormat="1"/>
    <row r="609" s="25" customFormat="1"/>
    <row r="610" s="25" customFormat="1"/>
    <row r="611" s="25" customFormat="1"/>
    <row r="612" s="25" customFormat="1"/>
    <row r="613" s="25" customFormat="1"/>
    <row r="614" s="25" customFormat="1"/>
    <row r="615" s="25" customFormat="1"/>
    <row r="616" s="25" customFormat="1"/>
    <row r="617" s="25" customFormat="1"/>
    <row r="618" s="25" customFormat="1"/>
    <row r="619" s="25" customFormat="1"/>
    <row r="620" s="25" customFormat="1"/>
    <row r="621" s="25" customFormat="1"/>
    <row r="622" s="25" customFormat="1"/>
    <row r="623" s="25" customFormat="1"/>
    <row r="624" s="25" customFormat="1"/>
    <row r="625" s="25" customFormat="1"/>
    <row r="626" s="25" customFormat="1"/>
    <row r="627" s="25" customFormat="1"/>
    <row r="628" s="25" customFormat="1"/>
    <row r="629" s="25" customFormat="1"/>
    <row r="630" s="25" customFormat="1"/>
    <row r="631" s="25" customFormat="1"/>
    <row r="632" s="25" customFormat="1"/>
    <row r="633" s="25" customFormat="1"/>
    <row r="634" s="25" customFormat="1"/>
    <row r="635" s="25" customFormat="1"/>
    <row r="636" s="25" customFormat="1"/>
    <row r="637" s="25" customFormat="1"/>
    <row r="638" s="25" customFormat="1"/>
    <row r="639" s="25" customFormat="1"/>
    <row r="640" s="25" customFormat="1"/>
    <row r="641" s="25" customFormat="1"/>
    <row r="642" s="25" customFormat="1"/>
    <row r="643" s="25" customFormat="1"/>
    <row r="644" s="25" customFormat="1"/>
    <row r="645" s="25" customFormat="1"/>
    <row r="646" s="25" customFormat="1"/>
    <row r="647" s="25" customFormat="1"/>
    <row r="648" s="25" customFormat="1"/>
    <row r="649" s="25" customFormat="1"/>
    <row r="650" s="25" customFormat="1"/>
    <row r="651" s="25" customFormat="1"/>
    <row r="652" s="25" customFormat="1"/>
    <row r="653" s="25" customFormat="1"/>
    <row r="654" s="25" customFormat="1"/>
    <row r="655" s="25" customFormat="1"/>
    <row r="656" s="25" customFormat="1"/>
    <row r="657" s="25" customFormat="1"/>
    <row r="658" s="25" customFormat="1"/>
    <row r="659" s="25" customFormat="1"/>
    <row r="660" s="25" customFormat="1"/>
    <row r="661" s="25" customFormat="1"/>
    <row r="662" s="25" customFormat="1"/>
    <row r="663" s="25" customFormat="1"/>
    <row r="664" s="25" customFormat="1"/>
    <row r="665" s="25" customFormat="1"/>
    <row r="666" s="25" customFormat="1"/>
    <row r="667" s="25" customFormat="1"/>
    <row r="668" s="25" customFormat="1"/>
    <row r="669" s="25" customFormat="1"/>
    <row r="670" s="25" customFormat="1"/>
    <row r="671" s="25" customFormat="1"/>
    <row r="672" s="25" customFormat="1"/>
    <row r="673" s="25" customFormat="1"/>
    <row r="674" s="25" customFormat="1"/>
    <row r="675" s="25" customFormat="1"/>
    <row r="676" s="25" customFormat="1"/>
    <row r="677" s="25" customFormat="1"/>
    <row r="678" s="25" customFormat="1"/>
    <row r="679" s="25" customFormat="1"/>
    <row r="680" s="25" customFormat="1"/>
    <row r="681" s="25" customFormat="1"/>
    <row r="682" s="25" customFormat="1"/>
    <row r="683" s="25" customFormat="1"/>
    <row r="684" s="25" customFormat="1"/>
    <row r="685" s="25" customFormat="1"/>
    <row r="686" s="25" customFormat="1"/>
    <row r="687" s="25" customFormat="1"/>
    <row r="688" s="25" customFormat="1"/>
    <row r="689" s="25" customFormat="1"/>
    <row r="690" s="25" customFormat="1"/>
    <row r="691" s="25" customFormat="1"/>
    <row r="692" s="25" customFormat="1"/>
    <row r="693" s="25" customFormat="1"/>
    <row r="694" s="25" customFormat="1"/>
    <row r="695" s="25" customFormat="1"/>
    <row r="696" s="25" customFormat="1"/>
    <row r="697" s="25" customFormat="1"/>
    <row r="698" s="25" customFormat="1"/>
    <row r="699" s="25" customFormat="1"/>
    <row r="700" s="25" customFormat="1"/>
    <row r="701" s="25" customFormat="1"/>
    <row r="702" s="25" customFormat="1"/>
    <row r="703" s="25" customFormat="1"/>
    <row r="704" s="25" customFormat="1"/>
    <row r="705" s="25" customFormat="1"/>
    <row r="706" s="25" customFormat="1"/>
    <row r="707" s="25" customFormat="1"/>
    <row r="708" s="25" customFormat="1"/>
    <row r="709" s="25" customFormat="1"/>
    <row r="710" s="25" customFormat="1"/>
    <row r="711" s="25" customFormat="1"/>
    <row r="712" s="25" customFormat="1"/>
    <row r="713" s="25" customFormat="1"/>
    <row r="714" s="25" customFormat="1"/>
    <row r="715" s="25" customFormat="1"/>
    <row r="716" s="25" customFormat="1"/>
    <row r="717" s="25" customFormat="1"/>
    <row r="718" s="25" customFormat="1"/>
    <row r="719" s="25" customFormat="1"/>
    <row r="720" s="25" customFormat="1"/>
    <row r="721" s="25" customFormat="1"/>
    <row r="722" s="25" customFormat="1"/>
    <row r="723" s="25" customFormat="1"/>
    <row r="724" s="25" customFormat="1"/>
    <row r="725" s="25" customFormat="1"/>
    <row r="726" s="25" customFormat="1"/>
    <row r="727" s="25" customFormat="1"/>
    <row r="728" s="25" customFormat="1"/>
    <row r="729" s="25" customFormat="1"/>
    <row r="730" s="25" customFormat="1"/>
    <row r="731" s="25" customFormat="1"/>
    <row r="732" s="25" customFormat="1"/>
    <row r="733" s="25" customFormat="1"/>
    <row r="734" s="25" customFormat="1"/>
    <row r="735" s="25" customFormat="1"/>
    <row r="736" s="25" customFormat="1"/>
    <row r="737" s="25" customFormat="1"/>
    <row r="738" s="25" customFormat="1"/>
    <row r="739" s="25" customFormat="1"/>
    <row r="740" s="25" customFormat="1"/>
    <row r="741" s="25" customFormat="1"/>
    <row r="742" s="25" customFormat="1"/>
    <row r="743" s="25" customFormat="1"/>
    <row r="744" s="25" customFormat="1"/>
    <row r="745" s="25" customFormat="1"/>
    <row r="746" s="25" customFormat="1"/>
    <row r="747" s="25" customFormat="1"/>
    <row r="748" s="25" customFormat="1"/>
    <row r="749" s="25" customFormat="1"/>
    <row r="750" s="25" customFormat="1"/>
    <row r="751" s="25" customFormat="1"/>
    <row r="752" s="25" customFormat="1"/>
    <row r="753" s="25" customFormat="1"/>
    <row r="754" s="25" customFormat="1"/>
    <row r="755" s="25" customFormat="1"/>
    <row r="756" s="25" customFormat="1"/>
    <row r="757" s="25" customFormat="1"/>
    <row r="758" s="25" customFormat="1"/>
    <row r="759" s="25" customFormat="1"/>
    <row r="760" s="25" customFormat="1"/>
    <row r="761" s="25" customFormat="1"/>
    <row r="762" s="25" customFormat="1"/>
    <row r="763" s="25" customFormat="1"/>
    <row r="764" s="25" customFormat="1"/>
    <row r="765" s="25" customFormat="1"/>
    <row r="766" s="25" customFormat="1"/>
    <row r="767" s="25" customFormat="1"/>
    <row r="768" s="25" customFormat="1"/>
    <row r="769" s="25" customFormat="1"/>
    <row r="770" s="25" customFormat="1"/>
    <row r="771" s="25" customFormat="1"/>
    <row r="772" s="25" customFormat="1"/>
    <row r="773" s="25" customFormat="1"/>
    <row r="774" s="25" customFormat="1"/>
    <row r="775" s="25" customFormat="1"/>
    <row r="776" s="25" customFormat="1"/>
    <row r="777" s="25" customFormat="1"/>
    <row r="778" s="25" customFormat="1"/>
    <row r="779" s="25" customFormat="1"/>
    <row r="780" s="25" customFormat="1"/>
    <row r="781" s="25" customFormat="1"/>
    <row r="782" s="25" customFormat="1"/>
    <row r="783" s="25" customFormat="1"/>
    <row r="784" s="25" customFormat="1"/>
    <row r="785" s="25" customFormat="1"/>
    <row r="786" s="25" customFormat="1"/>
    <row r="787" s="25" customFormat="1"/>
    <row r="788" s="25" customFormat="1"/>
    <row r="789" s="25" customFormat="1"/>
    <row r="790" s="25" customFormat="1"/>
    <row r="791" s="25" customFormat="1"/>
    <row r="792" s="25" customFormat="1"/>
    <row r="793" s="25" customFormat="1"/>
    <row r="794" s="25" customFormat="1"/>
    <row r="795" s="25" customFormat="1"/>
    <row r="796" s="25" customFormat="1"/>
    <row r="797" s="25" customFormat="1"/>
    <row r="798" s="25" customFormat="1"/>
    <row r="799" s="25" customFormat="1"/>
    <row r="800" s="25" customFormat="1"/>
    <row r="801" s="25" customFormat="1"/>
    <row r="802" s="25" customFormat="1"/>
    <row r="803" s="25" customFormat="1"/>
    <row r="804" s="25" customFormat="1"/>
    <row r="805" s="25" customFormat="1"/>
    <row r="806" s="25" customFormat="1"/>
    <row r="807" s="25" customFormat="1"/>
    <row r="808" s="25" customFormat="1"/>
    <row r="809" s="25" customFormat="1"/>
    <row r="810" s="25" customFormat="1"/>
    <row r="811" s="25" customFormat="1"/>
    <row r="812" s="25" customFormat="1"/>
    <row r="813" s="25" customFormat="1"/>
    <row r="814" s="25" customFormat="1"/>
    <row r="815" s="25" customFormat="1"/>
    <row r="816" s="25" customFormat="1"/>
  </sheetData>
  <mergeCells count="5">
    <mergeCell ref="B18:B21"/>
    <mergeCell ref="B9:B17"/>
    <mergeCell ref="I8:J8"/>
    <mergeCell ref="B5:J5"/>
    <mergeCell ref="B6:J6"/>
  </mergeCells>
  <pageMargins left="0.25" right="0.25" top="0.75" bottom="0.75" header="0.3" footer="0.3"/>
  <pageSetup orientation="landscape" r:id="rId1"/>
  <ignoredErrors>
    <ignoredError sqref="E18"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1484"/>
  <sheetViews>
    <sheetView zoomScale="90" zoomScaleNormal="90" workbookViewId="0">
      <selection activeCell="M29" sqref="M29"/>
    </sheetView>
  </sheetViews>
  <sheetFormatPr defaultRowHeight="15"/>
  <cols>
    <col min="1" max="2" width="9.140625" style="25" customWidth="1"/>
    <col min="3" max="3" width="19.42578125" customWidth="1"/>
    <col min="4" max="4" width="19.42578125" bestFit="1" customWidth="1"/>
    <col min="5" max="5" width="14.42578125" bestFit="1" customWidth="1"/>
    <col min="6" max="7" width="9.140625" style="25"/>
    <col min="8" max="8" width="2.7109375" style="25" customWidth="1"/>
    <col min="9" max="9" width="31.28515625" style="25" customWidth="1"/>
    <col min="10" max="54" width="9.140625" style="25"/>
  </cols>
  <sheetData>
    <row r="1" spans="2:62" s="25" customFormat="1" ht="6" customHeight="1"/>
    <row r="2" spans="2:62" ht="18">
      <c r="B2" s="69" t="s">
        <v>0</v>
      </c>
      <c r="C2" s="13"/>
      <c r="D2" s="13"/>
      <c r="E2" s="13"/>
      <c r="BC2" s="12"/>
      <c r="BD2" s="12"/>
      <c r="BE2" s="12"/>
      <c r="BF2" s="12"/>
      <c r="BG2" s="12"/>
      <c r="BH2" s="12"/>
      <c r="BI2" s="12"/>
      <c r="BJ2" s="12"/>
    </row>
    <row r="3" spans="2:62" ht="15.75">
      <c r="B3" s="59" t="s">
        <v>83</v>
      </c>
      <c r="C3" s="13"/>
      <c r="D3" s="13"/>
      <c r="E3" s="13"/>
      <c r="BC3" s="12"/>
      <c r="BD3" s="12"/>
      <c r="BE3" s="12"/>
      <c r="BF3" s="12"/>
      <c r="BG3" s="12"/>
      <c r="BH3" s="12"/>
      <c r="BI3" s="12"/>
      <c r="BJ3" s="12"/>
    </row>
    <row r="4" spans="2:62" ht="6" customHeight="1">
      <c r="C4" s="13"/>
      <c r="D4" s="13"/>
      <c r="E4" s="13"/>
      <c r="BC4" s="12"/>
      <c r="BD4" s="12"/>
      <c r="BE4" s="12"/>
      <c r="BF4" s="12"/>
      <c r="BG4" s="12"/>
      <c r="BH4" s="12"/>
      <c r="BI4" s="12"/>
      <c r="BJ4" s="12"/>
    </row>
    <row r="5" spans="2:62" ht="21">
      <c r="B5" s="102" t="s">
        <v>61</v>
      </c>
      <c r="C5" s="102"/>
      <c r="D5" s="102"/>
      <c r="E5" s="102"/>
      <c r="F5" s="102"/>
      <c r="G5" s="102"/>
      <c r="H5" s="102"/>
      <c r="I5" s="102"/>
      <c r="J5" s="102"/>
      <c r="BC5" s="12"/>
      <c r="BD5" s="12"/>
      <c r="BE5" s="12"/>
      <c r="BF5" s="12"/>
      <c r="BG5" s="12"/>
      <c r="BH5" s="12"/>
      <c r="BI5" s="12"/>
      <c r="BJ5" s="12"/>
    </row>
    <row r="6" spans="2:62" ht="18.75">
      <c r="B6" s="103" t="s">
        <v>49</v>
      </c>
      <c r="C6" s="103"/>
      <c r="D6" s="103"/>
      <c r="E6" s="103"/>
      <c r="F6" s="103"/>
      <c r="G6" s="103"/>
      <c r="H6" s="103"/>
      <c r="I6" s="103"/>
      <c r="J6" s="103"/>
      <c r="BC6" s="12"/>
      <c r="BD6" s="12"/>
      <c r="BE6" s="12"/>
      <c r="BF6" s="12"/>
      <c r="BG6" s="12"/>
      <c r="BH6" s="12"/>
      <c r="BI6" s="12"/>
      <c r="BJ6" s="12"/>
    </row>
    <row r="7" spans="2:62">
      <c r="C7" s="13"/>
      <c r="D7" s="13"/>
      <c r="E7" s="13"/>
      <c r="BC7" s="12"/>
      <c r="BD7" s="12"/>
      <c r="BE7" s="12"/>
      <c r="BF7" s="12"/>
      <c r="BG7" s="12"/>
      <c r="BH7" s="12"/>
      <c r="BI7" s="12"/>
      <c r="BJ7" s="12"/>
    </row>
    <row r="8" spans="2:62" ht="15.75">
      <c r="B8" s="28"/>
      <c r="C8" s="73" t="s">
        <v>1</v>
      </c>
      <c r="D8" s="51" t="s">
        <v>2</v>
      </c>
      <c r="E8" s="51" t="s">
        <v>3</v>
      </c>
      <c r="F8" s="28"/>
      <c r="I8" s="100" t="s">
        <v>47</v>
      </c>
      <c r="J8" s="101"/>
      <c r="BC8" s="12"/>
      <c r="BD8" s="12"/>
      <c r="BE8" s="12"/>
      <c r="BF8" s="12"/>
      <c r="BG8" s="12"/>
      <c r="BH8" s="12"/>
      <c r="BI8" s="12"/>
      <c r="BJ8" s="12"/>
    </row>
    <row r="9" spans="2:62" ht="35.25">
      <c r="B9" s="90" t="s">
        <v>24</v>
      </c>
      <c r="C9" s="91" t="s">
        <v>25</v>
      </c>
      <c r="D9" s="91" t="s">
        <v>5</v>
      </c>
      <c r="E9" s="116">
        <f>IF(D9="Y",3,0)</f>
        <v>0</v>
      </c>
      <c r="F9" s="92"/>
      <c r="I9" s="32" t="s">
        <v>40</v>
      </c>
      <c r="J9" s="108">
        <f>E21+'Year 2'!D30+'Year 1'!D29+'Year 4'!E21+'Year 1'!J25</f>
        <v>0</v>
      </c>
      <c r="BC9" s="12"/>
      <c r="BD9" s="12"/>
      <c r="BE9" s="12"/>
      <c r="BF9" s="12"/>
      <c r="BG9" s="12"/>
      <c r="BH9" s="12"/>
      <c r="BI9" s="12"/>
      <c r="BJ9" s="12"/>
    </row>
    <row r="10" spans="2:62" ht="15" customHeight="1">
      <c r="B10" s="104" t="s">
        <v>26</v>
      </c>
      <c r="C10" s="17" t="s">
        <v>63</v>
      </c>
      <c r="D10" s="17" t="s">
        <v>5</v>
      </c>
      <c r="E10" s="117">
        <f t="shared" ref="E10:E20" si="0">IF(D10="Y",3,0)</f>
        <v>0</v>
      </c>
      <c r="F10" s="22"/>
      <c r="I10" s="33" t="s">
        <v>38</v>
      </c>
      <c r="J10" s="108">
        <v>84</v>
      </c>
      <c r="BC10" s="12"/>
      <c r="BD10" s="12"/>
      <c r="BE10" s="12"/>
      <c r="BF10" s="12"/>
      <c r="BG10" s="12"/>
      <c r="BH10" s="12"/>
      <c r="BI10" s="12"/>
      <c r="BJ10" s="12"/>
    </row>
    <row r="11" spans="2:62">
      <c r="B11" s="105"/>
      <c r="C11" s="17" t="s">
        <v>63</v>
      </c>
      <c r="D11" s="17" t="s">
        <v>5</v>
      </c>
      <c r="E11" s="117">
        <f t="shared" si="0"/>
        <v>0</v>
      </c>
      <c r="F11" s="22"/>
      <c r="I11" s="35" t="s">
        <v>51</v>
      </c>
      <c r="J11" s="109">
        <f>J10-J9</f>
        <v>84</v>
      </c>
      <c r="BC11" s="12"/>
      <c r="BD11" s="12"/>
      <c r="BE11" s="12"/>
      <c r="BF11" s="12"/>
      <c r="BG11" s="12"/>
      <c r="BH11" s="12"/>
      <c r="BI11" s="12"/>
      <c r="BJ11" s="12"/>
    </row>
    <row r="12" spans="2:62">
      <c r="B12" s="105"/>
      <c r="C12" s="17" t="s">
        <v>63</v>
      </c>
      <c r="D12" s="17" t="s">
        <v>5</v>
      </c>
      <c r="E12" s="117">
        <f t="shared" si="0"/>
        <v>0</v>
      </c>
      <c r="F12" s="22"/>
      <c r="I12" s="34"/>
      <c r="J12" s="108"/>
      <c r="BC12" s="12"/>
      <c r="BD12" s="12"/>
      <c r="BE12" s="12"/>
      <c r="BF12" s="12"/>
      <c r="BG12" s="12"/>
      <c r="BH12" s="12"/>
      <c r="BI12" s="12"/>
      <c r="BJ12" s="12"/>
    </row>
    <row r="13" spans="2:62">
      <c r="B13" s="105"/>
      <c r="C13" s="17" t="s">
        <v>63</v>
      </c>
      <c r="D13" s="17" t="s">
        <v>5</v>
      </c>
      <c r="E13" s="117">
        <f t="shared" si="0"/>
        <v>0</v>
      </c>
      <c r="F13" s="22"/>
      <c r="I13" s="32" t="s">
        <v>41</v>
      </c>
      <c r="J13" s="108">
        <f>E29+'Year 2'!D31+'Year 1'!D30+'Year 4'!E29+'Year 1'!J26</f>
        <v>0</v>
      </c>
      <c r="BC13" s="12"/>
      <c r="BD13" s="12"/>
      <c r="BE13" s="12"/>
      <c r="BF13" s="12"/>
      <c r="BG13" s="12"/>
      <c r="BH13" s="12"/>
      <c r="BI13" s="12"/>
      <c r="BJ13" s="12"/>
    </row>
    <row r="14" spans="2:62">
      <c r="B14" s="105"/>
      <c r="C14" s="17" t="s">
        <v>63</v>
      </c>
      <c r="D14" s="17" t="s">
        <v>5</v>
      </c>
      <c r="E14" s="117">
        <f>IF(D14="Y",3,0)</f>
        <v>0</v>
      </c>
      <c r="F14" s="22"/>
      <c r="I14" s="33" t="s">
        <v>39</v>
      </c>
      <c r="J14" s="108">
        <v>27</v>
      </c>
      <c r="BC14" s="12"/>
      <c r="BD14" s="12"/>
      <c r="BE14" s="12"/>
      <c r="BF14" s="12"/>
      <c r="BG14" s="12"/>
      <c r="BH14" s="12"/>
      <c r="BI14" s="12"/>
      <c r="BJ14" s="12"/>
    </row>
    <row r="15" spans="2:62">
      <c r="B15" s="105"/>
      <c r="C15" s="17" t="s">
        <v>63</v>
      </c>
      <c r="D15" s="17" t="s">
        <v>5</v>
      </c>
      <c r="E15" s="117">
        <f>IF(D15="Y",3,0)</f>
        <v>0</v>
      </c>
      <c r="F15" s="22"/>
      <c r="I15" s="35" t="s">
        <v>52</v>
      </c>
      <c r="J15" s="109">
        <f>J14-J13</f>
        <v>27</v>
      </c>
      <c r="BC15" s="12"/>
      <c r="BD15" s="12"/>
      <c r="BE15" s="12"/>
      <c r="BF15" s="12"/>
      <c r="BG15" s="12"/>
      <c r="BH15" s="12"/>
      <c r="BI15" s="12"/>
      <c r="BJ15" s="12"/>
    </row>
    <row r="16" spans="2:62">
      <c r="B16" s="105"/>
      <c r="C16" s="17" t="s">
        <v>63</v>
      </c>
      <c r="D16" s="17" t="s">
        <v>5</v>
      </c>
      <c r="E16" s="117">
        <f>IF(D16="Y",3,0)</f>
        <v>0</v>
      </c>
      <c r="F16" s="22"/>
      <c r="I16" s="36"/>
      <c r="J16" s="108"/>
      <c r="BC16" s="12"/>
      <c r="BD16" s="12"/>
      <c r="BE16" s="12"/>
      <c r="BF16" s="12"/>
      <c r="BG16" s="12"/>
      <c r="BH16" s="12"/>
      <c r="BI16" s="12"/>
      <c r="BJ16" s="12"/>
    </row>
    <row r="17" spans="1:62">
      <c r="B17" s="105"/>
      <c r="C17" s="17" t="s">
        <v>63</v>
      </c>
      <c r="D17" s="17" t="s">
        <v>5</v>
      </c>
      <c r="E17" s="117">
        <f>IF(D17="Y",3,0)</f>
        <v>0</v>
      </c>
      <c r="F17" s="22"/>
      <c r="I17" s="75" t="s">
        <v>36</v>
      </c>
      <c r="J17" s="110">
        <f>J9+J13</f>
        <v>0</v>
      </c>
      <c r="BC17" s="12"/>
      <c r="BD17" s="12"/>
      <c r="BE17" s="12"/>
      <c r="BF17" s="12"/>
      <c r="BG17" s="12"/>
      <c r="BH17" s="12"/>
      <c r="BI17" s="12"/>
      <c r="BJ17" s="12"/>
    </row>
    <row r="18" spans="1:62">
      <c r="B18" s="105"/>
      <c r="C18" s="17" t="s">
        <v>63</v>
      </c>
      <c r="D18" s="17" t="s">
        <v>5</v>
      </c>
      <c r="E18" s="117">
        <f t="shared" si="0"/>
        <v>0</v>
      </c>
      <c r="F18" s="22"/>
      <c r="I18" s="75" t="s">
        <v>37</v>
      </c>
      <c r="J18" s="110">
        <v>123</v>
      </c>
      <c r="BC18" s="12"/>
      <c r="BD18" s="12"/>
      <c r="BE18" s="12"/>
      <c r="BF18" s="12"/>
      <c r="BG18" s="12"/>
      <c r="BH18" s="12"/>
      <c r="BI18" s="12"/>
      <c r="BJ18" s="12"/>
    </row>
    <row r="19" spans="1:62">
      <c r="B19" s="105"/>
      <c r="C19" s="17" t="s">
        <v>63</v>
      </c>
      <c r="D19" s="17" t="s">
        <v>5</v>
      </c>
      <c r="E19" s="117">
        <f t="shared" si="0"/>
        <v>0</v>
      </c>
      <c r="F19" s="22"/>
      <c r="I19" s="76" t="s">
        <v>66</v>
      </c>
      <c r="J19" s="111">
        <f>J18-J17</f>
        <v>123</v>
      </c>
      <c r="BC19" s="12"/>
      <c r="BD19" s="12"/>
      <c r="BE19" s="12"/>
      <c r="BF19" s="12"/>
      <c r="BG19" s="12"/>
      <c r="BH19" s="12"/>
      <c r="BI19" s="12"/>
      <c r="BJ19" s="12"/>
    </row>
    <row r="20" spans="1:62">
      <c r="B20" s="106"/>
      <c r="C20" s="53" t="s">
        <v>73</v>
      </c>
      <c r="D20" s="27" t="s">
        <v>5</v>
      </c>
      <c r="E20" s="118">
        <f t="shared" si="0"/>
        <v>0</v>
      </c>
      <c r="F20" s="28"/>
      <c r="BC20" s="12"/>
      <c r="BD20" s="12"/>
      <c r="BE20" s="12"/>
      <c r="BF20" s="12"/>
      <c r="BG20" s="12"/>
      <c r="BH20" s="12"/>
      <c r="BI20" s="12"/>
      <c r="BJ20" s="12"/>
    </row>
    <row r="21" spans="1:62">
      <c r="B21" s="37"/>
      <c r="C21" s="44" t="s">
        <v>27</v>
      </c>
      <c r="D21" s="43"/>
      <c r="E21" s="119">
        <f>SUM(E9:E20)</f>
        <v>0</v>
      </c>
      <c r="F21" s="37"/>
      <c r="BC21" s="12"/>
      <c r="BD21" s="12"/>
      <c r="BE21" s="12"/>
      <c r="BF21" s="12"/>
      <c r="BG21" s="12"/>
      <c r="BH21" s="12"/>
      <c r="BI21" s="12"/>
      <c r="BJ21" s="12"/>
    </row>
    <row r="22" spans="1:62" s="21" customFormat="1">
      <c r="A22" s="25"/>
      <c r="B22" s="25"/>
      <c r="C22" s="13"/>
      <c r="D22" s="14"/>
      <c r="E22" s="112"/>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row>
    <row r="23" spans="1:62" s="21" customFormat="1">
      <c r="A23" s="25"/>
      <c r="B23" s="98" t="s">
        <v>14</v>
      </c>
      <c r="C23" s="17" t="s">
        <v>76</v>
      </c>
      <c r="D23" s="17" t="s">
        <v>5</v>
      </c>
      <c r="E23" s="112">
        <f>IF(D23="Y",6,0)</f>
        <v>0</v>
      </c>
      <c r="F23" s="22"/>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row>
    <row r="24" spans="1:62">
      <c r="B24" s="98"/>
      <c r="C24" s="17" t="s">
        <v>76</v>
      </c>
      <c r="D24" s="17" t="s">
        <v>5</v>
      </c>
      <c r="E24" s="112">
        <f>IF(D24="Y",6,0)</f>
        <v>0</v>
      </c>
      <c r="F24" s="22"/>
      <c r="BC24" s="12"/>
      <c r="BD24" s="12"/>
      <c r="BE24" s="12"/>
      <c r="BF24" s="12"/>
      <c r="BG24" s="12"/>
      <c r="BH24" s="12"/>
      <c r="BI24" s="12"/>
      <c r="BJ24" s="12"/>
    </row>
    <row r="25" spans="1:62">
      <c r="B25" s="98"/>
      <c r="C25" s="17" t="s">
        <v>15</v>
      </c>
      <c r="D25" s="17" t="s">
        <v>5</v>
      </c>
      <c r="E25" s="112">
        <f>IF(D25="Y",3,0)</f>
        <v>0</v>
      </c>
      <c r="F25" s="22"/>
      <c r="BC25" s="12"/>
      <c r="BD25" s="12"/>
      <c r="BE25" s="12"/>
      <c r="BF25" s="12"/>
      <c r="BG25" s="12"/>
      <c r="BH25" s="12"/>
      <c r="BI25" s="12"/>
      <c r="BJ25" s="12"/>
    </row>
    <row r="26" spans="1:62">
      <c r="B26" s="98"/>
      <c r="C26" s="17" t="s">
        <v>15</v>
      </c>
      <c r="D26" s="17" t="s">
        <v>5</v>
      </c>
      <c r="E26" s="112">
        <f>IF(D26="Y",3,0)</f>
        <v>0</v>
      </c>
      <c r="F26" s="22"/>
      <c r="BC26" s="12"/>
      <c r="BD26" s="12"/>
      <c r="BE26" s="12"/>
      <c r="BF26" s="12"/>
      <c r="BG26" s="12"/>
      <c r="BH26" s="12"/>
      <c r="BI26" s="12"/>
      <c r="BJ26" s="12"/>
    </row>
    <row r="27" spans="1:62">
      <c r="B27" s="98"/>
      <c r="C27" s="17" t="s">
        <v>15</v>
      </c>
      <c r="D27" s="17" t="s">
        <v>5</v>
      </c>
      <c r="E27" s="112">
        <f>IF(D27="Y",3,0)</f>
        <v>0</v>
      </c>
      <c r="F27" s="22"/>
      <c r="BC27" s="12"/>
      <c r="BD27" s="12"/>
      <c r="BE27" s="12"/>
      <c r="BF27" s="12"/>
      <c r="BG27" s="12"/>
      <c r="BH27" s="12"/>
      <c r="BI27" s="12"/>
      <c r="BJ27" s="12"/>
    </row>
    <row r="28" spans="1:62" s="25" customFormat="1">
      <c r="B28" s="99"/>
      <c r="C28" s="27" t="s">
        <v>15</v>
      </c>
      <c r="D28" s="27" t="s">
        <v>5</v>
      </c>
      <c r="E28" s="113">
        <f>IF(D28="Y",3,0)</f>
        <v>0</v>
      </c>
      <c r="F28" s="28"/>
    </row>
    <row r="29" spans="1:62" s="57" customFormat="1" ht="15.75">
      <c r="A29" s="55"/>
      <c r="B29" s="41"/>
      <c r="C29" s="42" t="s">
        <v>42</v>
      </c>
      <c r="D29" s="43"/>
      <c r="E29" s="119">
        <f>SUM(E23:E28)</f>
        <v>0</v>
      </c>
      <c r="F29" s="37"/>
      <c r="G29" s="55"/>
      <c r="H29" s="55"/>
      <c r="I29" s="25"/>
      <c r="J29" s="2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row>
    <row r="30" spans="1:62" ht="15.75" thickBot="1">
      <c r="B30" s="40"/>
      <c r="C30" s="40"/>
      <c r="D30" s="40"/>
      <c r="E30" s="120"/>
      <c r="F30" s="40"/>
      <c r="BC30" s="12"/>
      <c r="BD30" s="12"/>
      <c r="BE30" s="12"/>
      <c r="BF30" s="12"/>
      <c r="BG30" s="12"/>
      <c r="BH30" s="12"/>
      <c r="BI30" s="12"/>
      <c r="BJ30" s="12"/>
    </row>
    <row r="31" spans="1:62" ht="16.5" thickTop="1">
      <c r="B31" s="56"/>
      <c r="C31" s="48" t="s">
        <v>16</v>
      </c>
      <c r="D31" s="54"/>
      <c r="E31" s="115">
        <f>E21+(SUM(E23:E28))</f>
        <v>0</v>
      </c>
      <c r="F31" s="56"/>
      <c r="BC31" s="12"/>
      <c r="BD31" s="12"/>
      <c r="BE31" s="12"/>
      <c r="BF31" s="12"/>
      <c r="BG31" s="12"/>
      <c r="BH31" s="12"/>
      <c r="BI31" s="12"/>
      <c r="BJ31" s="12"/>
    </row>
    <row r="32" spans="1:62" ht="15.75">
      <c r="C32" s="22" t="s">
        <v>67</v>
      </c>
      <c r="D32" s="13"/>
      <c r="E32" s="112">
        <f>30-E31</f>
        <v>30</v>
      </c>
      <c r="I32" s="55"/>
      <c r="J32" s="55"/>
      <c r="BC32" s="12"/>
      <c r="BD32" s="12"/>
      <c r="BE32" s="12"/>
      <c r="BF32" s="12"/>
      <c r="BG32" s="12"/>
      <c r="BH32" s="12"/>
      <c r="BI32" s="12"/>
      <c r="BJ32" s="12"/>
    </row>
    <row r="33" spans="3:62">
      <c r="C33" s="13"/>
      <c r="D33" s="13"/>
      <c r="E33" s="13"/>
      <c r="BC33" s="12"/>
      <c r="BD33" s="12"/>
      <c r="BE33" s="12"/>
      <c r="BF33" s="12"/>
      <c r="BG33" s="12"/>
      <c r="BH33" s="12"/>
      <c r="BI33" s="12"/>
      <c r="BJ33" s="12"/>
    </row>
    <row r="34" spans="3:62">
      <c r="C34" s="13"/>
      <c r="D34" s="13"/>
      <c r="E34" s="13"/>
      <c r="BC34" s="12"/>
      <c r="BD34" s="12"/>
      <c r="BE34" s="12"/>
      <c r="BF34" s="12"/>
      <c r="BG34" s="12"/>
      <c r="BH34" s="12"/>
      <c r="BI34" s="12"/>
      <c r="BJ34" s="12"/>
    </row>
    <row r="35" spans="3:62">
      <c r="C35" s="13"/>
      <c r="D35" s="13"/>
      <c r="E35" s="13"/>
      <c r="BC35" s="12"/>
      <c r="BD35" s="12"/>
      <c r="BE35" s="12"/>
      <c r="BF35" s="12"/>
      <c r="BG35" s="12"/>
      <c r="BH35" s="12"/>
      <c r="BI35" s="12"/>
      <c r="BJ35" s="12"/>
    </row>
    <row r="36" spans="3:62">
      <c r="C36" s="13"/>
      <c r="D36" s="13"/>
      <c r="E36" s="13"/>
      <c r="BC36" s="12"/>
      <c r="BD36" s="12"/>
      <c r="BE36" s="12"/>
      <c r="BF36" s="12"/>
      <c r="BG36" s="12"/>
      <c r="BH36" s="12"/>
      <c r="BI36" s="12"/>
      <c r="BJ36" s="12"/>
    </row>
    <row r="37" spans="3:62">
      <c r="C37" s="13"/>
      <c r="D37" s="13"/>
      <c r="E37" s="13"/>
      <c r="BC37" s="12"/>
      <c r="BD37" s="12"/>
      <c r="BE37" s="12"/>
      <c r="BF37" s="12"/>
      <c r="BG37" s="12"/>
      <c r="BH37" s="12"/>
      <c r="BI37" s="12"/>
      <c r="BJ37" s="12"/>
    </row>
    <row r="38" spans="3:62">
      <c r="C38" s="22" t="s">
        <v>78</v>
      </c>
      <c r="D38" s="13"/>
      <c r="E38" s="13"/>
      <c r="BC38" s="12"/>
      <c r="BD38" s="12"/>
      <c r="BE38" s="12"/>
      <c r="BF38" s="12"/>
      <c r="BG38" s="12"/>
      <c r="BH38" s="12"/>
      <c r="BI38" s="12"/>
      <c r="BJ38" s="12"/>
    </row>
    <row r="39" spans="3:62">
      <c r="C39" s="13"/>
      <c r="D39" s="13"/>
      <c r="E39" s="13"/>
      <c r="BC39" s="12"/>
      <c r="BD39" s="12"/>
      <c r="BE39" s="12"/>
      <c r="BF39" s="12"/>
      <c r="BG39" s="12"/>
      <c r="BH39" s="12"/>
      <c r="BI39" s="12"/>
      <c r="BJ39" s="12"/>
    </row>
    <row r="40" spans="3:62">
      <c r="C40" s="13"/>
      <c r="D40" s="13"/>
      <c r="E40" s="13"/>
      <c r="BC40" s="12"/>
      <c r="BD40" s="12"/>
      <c r="BE40" s="12"/>
      <c r="BF40" s="12"/>
      <c r="BG40" s="12"/>
      <c r="BH40" s="12"/>
      <c r="BI40" s="12"/>
      <c r="BJ40" s="12"/>
    </row>
    <row r="41" spans="3:62">
      <c r="C41" s="13"/>
      <c r="D41" s="13"/>
      <c r="E41" s="13"/>
      <c r="BC41" s="12"/>
      <c r="BD41" s="12"/>
      <c r="BE41" s="12"/>
      <c r="BF41" s="12"/>
      <c r="BG41" s="12"/>
      <c r="BH41" s="12"/>
      <c r="BI41" s="12"/>
      <c r="BJ41" s="12"/>
    </row>
    <row r="42" spans="3:62">
      <c r="C42" s="13"/>
      <c r="D42" s="13"/>
      <c r="E42" s="13"/>
      <c r="BC42" s="12"/>
      <c r="BD42" s="12"/>
      <c r="BE42" s="12"/>
      <c r="BF42" s="12"/>
      <c r="BG42" s="12"/>
      <c r="BH42" s="12"/>
      <c r="BI42" s="12"/>
      <c r="BJ42" s="12"/>
    </row>
    <row r="43" spans="3:62">
      <c r="C43" s="13"/>
      <c r="D43" s="13"/>
      <c r="E43" s="13"/>
      <c r="BC43" s="12"/>
      <c r="BD43" s="12"/>
      <c r="BE43" s="12"/>
      <c r="BF43" s="12"/>
      <c r="BG43" s="12"/>
      <c r="BH43" s="12"/>
      <c r="BI43" s="12"/>
      <c r="BJ43" s="12"/>
    </row>
    <row r="44" spans="3:62">
      <c r="C44" s="13"/>
      <c r="D44" s="13"/>
      <c r="E44" s="13"/>
      <c r="BC44" s="12"/>
      <c r="BD44" s="12"/>
      <c r="BE44" s="12"/>
      <c r="BF44" s="12"/>
      <c r="BG44" s="12"/>
      <c r="BH44" s="12"/>
      <c r="BI44" s="12"/>
      <c r="BJ44" s="12"/>
    </row>
    <row r="45" spans="3:62">
      <c r="C45" s="13"/>
      <c r="D45" s="13"/>
      <c r="E45" s="13"/>
      <c r="BC45" s="12"/>
      <c r="BD45" s="12"/>
      <c r="BE45" s="12"/>
      <c r="BF45" s="12"/>
      <c r="BG45" s="12"/>
      <c r="BH45" s="12"/>
      <c r="BI45" s="12"/>
      <c r="BJ45" s="12"/>
    </row>
    <row r="46" spans="3:62">
      <c r="C46" s="13"/>
      <c r="D46" s="13"/>
      <c r="E46" s="13"/>
      <c r="BC46" s="12"/>
      <c r="BD46" s="12"/>
      <c r="BE46" s="12"/>
      <c r="BF46" s="12"/>
      <c r="BG46" s="12"/>
      <c r="BH46" s="12"/>
      <c r="BI46" s="12"/>
      <c r="BJ46" s="12"/>
    </row>
    <row r="47" spans="3:62">
      <c r="C47" s="13"/>
      <c r="D47" s="13"/>
      <c r="E47" s="13"/>
      <c r="BC47" s="12"/>
      <c r="BD47" s="12"/>
      <c r="BE47" s="12"/>
      <c r="BF47" s="12"/>
      <c r="BG47" s="12"/>
      <c r="BH47" s="12"/>
      <c r="BI47" s="12"/>
      <c r="BJ47" s="12"/>
    </row>
    <row r="48" spans="3:62" s="25" customFormat="1">
      <c r="C48" s="13"/>
      <c r="D48" s="13"/>
      <c r="E48" s="13"/>
    </row>
    <row r="49" spans="3:5" s="25" customFormat="1">
      <c r="C49" s="13"/>
      <c r="D49" s="13"/>
      <c r="E49" s="13"/>
    </row>
    <row r="50" spans="3:5" s="25" customFormat="1">
      <c r="C50" s="22"/>
      <c r="D50" s="22"/>
      <c r="E50" s="22"/>
    </row>
    <row r="51" spans="3:5" s="25" customFormat="1"/>
    <row r="52" spans="3:5" s="25" customFormat="1"/>
    <row r="53" spans="3:5" s="25" customFormat="1"/>
    <row r="54" spans="3:5" s="25" customFormat="1"/>
    <row r="55" spans="3:5" s="25" customFormat="1"/>
    <row r="56" spans="3:5" s="25" customFormat="1"/>
    <row r="57" spans="3:5" s="25" customFormat="1"/>
    <row r="58" spans="3:5" s="25" customFormat="1"/>
    <row r="59" spans="3:5" s="25" customFormat="1"/>
    <row r="60" spans="3:5" s="25" customFormat="1"/>
    <row r="61" spans="3:5" s="25" customFormat="1"/>
    <row r="62" spans="3:5" s="25" customFormat="1"/>
    <row r="63" spans="3:5" s="25" customFormat="1"/>
    <row r="64" spans="3:5" s="25" customFormat="1"/>
    <row r="65" s="25" customFormat="1"/>
    <row r="66" s="25" customFormat="1"/>
    <row r="67" s="25" customFormat="1"/>
    <row r="68" s="25" customFormat="1"/>
    <row r="69" s="25" customFormat="1"/>
    <row r="70" s="25" customFormat="1"/>
    <row r="71" s="25" customFormat="1"/>
    <row r="72" s="25" customFormat="1"/>
    <row r="73" s="25" customFormat="1"/>
    <row r="74" s="25" customFormat="1"/>
    <row r="75" s="25" customFormat="1"/>
    <row r="76" s="25" customFormat="1"/>
    <row r="77" s="25" customFormat="1"/>
    <row r="78" s="25" customFormat="1"/>
    <row r="79" s="25" customFormat="1"/>
    <row r="80" s="25" customFormat="1"/>
    <row r="81" s="25" customFormat="1"/>
    <row r="82" s="25" customFormat="1"/>
    <row r="83" s="25" customFormat="1"/>
    <row r="84" s="25" customFormat="1"/>
    <row r="85" s="25" customFormat="1"/>
    <row r="86" s="25" customFormat="1"/>
    <row r="87" s="25" customFormat="1"/>
    <row r="88" s="25" customFormat="1"/>
    <row r="89" s="25" customFormat="1"/>
    <row r="90" s="25" customFormat="1"/>
    <row r="91" s="25" customFormat="1"/>
    <row r="92" s="25" customFormat="1"/>
    <row r="93" s="25" customFormat="1"/>
    <row r="94" s="25" customFormat="1"/>
    <row r="95" s="25" customFormat="1"/>
    <row r="96" s="25" customFormat="1"/>
    <row r="97" s="25" customFormat="1"/>
    <row r="98" s="25" customFormat="1"/>
    <row r="99" s="25" customFormat="1"/>
    <row r="100" s="25" customFormat="1"/>
    <row r="101" s="25" customFormat="1"/>
    <row r="102" s="25" customFormat="1"/>
    <row r="103" s="25" customFormat="1"/>
    <row r="104" s="25" customFormat="1"/>
    <row r="105" s="25" customFormat="1"/>
    <row r="106" s="25" customFormat="1"/>
    <row r="107" s="25" customFormat="1"/>
    <row r="108" s="25" customFormat="1"/>
    <row r="109" s="25" customFormat="1"/>
    <row r="110" s="25" customFormat="1"/>
    <row r="111" s="25" customFormat="1"/>
    <row r="112" s="25" customFormat="1"/>
    <row r="113" s="25" customFormat="1"/>
    <row r="114" s="25" customFormat="1"/>
    <row r="115" s="25" customFormat="1"/>
    <row r="116" s="25" customFormat="1"/>
    <row r="117" s="25" customFormat="1"/>
    <row r="118" s="25" customFormat="1"/>
    <row r="119" s="25" customFormat="1"/>
    <row r="120" s="25" customFormat="1"/>
    <row r="121" s="25" customFormat="1"/>
    <row r="122" s="25" customFormat="1"/>
    <row r="123" s="25" customFormat="1"/>
    <row r="124" s="25" customFormat="1"/>
    <row r="125" s="25" customFormat="1"/>
    <row r="126" s="25" customFormat="1"/>
    <row r="127" s="25" customFormat="1"/>
    <row r="128" s="25" customFormat="1"/>
    <row r="129" s="25" customFormat="1"/>
    <row r="130" s="25" customFormat="1"/>
    <row r="131" s="25" customFormat="1"/>
    <row r="132" s="25" customFormat="1"/>
    <row r="133" s="25" customFormat="1"/>
    <row r="134" s="25" customFormat="1"/>
    <row r="135" s="25" customFormat="1"/>
    <row r="136" s="25" customFormat="1"/>
    <row r="137" s="25" customFormat="1"/>
    <row r="138" s="25" customFormat="1"/>
    <row r="139" s="25" customFormat="1"/>
    <row r="140" s="25" customFormat="1"/>
    <row r="141" s="25" customFormat="1"/>
    <row r="142" s="25" customFormat="1"/>
    <row r="143" s="25" customFormat="1"/>
    <row r="144" s="25" customFormat="1"/>
    <row r="145" s="25" customFormat="1"/>
    <row r="146" s="25" customFormat="1"/>
    <row r="147" s="25" customFormat="1"/>
    <row r="148" s="25" customFormat="1"/>
    <row r="149" s="25" customFormat="1"/>
    <row r="150" s="25" customFormat="1"/>
    <row r="151" s="25" customFormat="1"/>
    <row r="152" s="25" customFormat="1"/>
    <row r="153" s="25" customFormat="1"/>
    <row r="154" s="25" customFormat="1"/>
    <row r="155" s="25" customFormat="1"/>
    <row r="156" s="25" customFormat="1"/>
    <row r="157" s="25" customFormat="1"/>
    <row r="158" s="25" customFormat="1"/>
    <row r="159" s="25" customFormat="1"/>
    <row r="160" s="25" customFormat="1"/>
    <row r="161" s="25" customFormat="1"/>
    <row r="162" s="25" customFormat="1"/>
    <row r="163" s="25" customFormat="1"/>
    <row r="164" s="25" customFormat="1"/>
    <row r="165" s="25" customFormat="1"/>
    <row r="166" s="25" customFormat="1"/>
    <row r="167" s="25" customFormat="1"/>
    <row r="168" s="25" customFormat="1"/>
    <row r="169" s="25" customFormat="1"/>
    <row r="170" s="25" customFormat="1"/>
    <row r="171" s="25" customFormat="1"/>
    <row r="172" s="25" customFormat="1"/>
    <row r="173" s="25" customFormat="1"/>
    <row r="174" s="25" customFormat="1"/>
    <row r="175" s="25" customFormat="1"/>
    <row r="176" s="25" customFormat="1"/>
    <row r="177" s="25" customFormat="1"/>
    <row r="178" s="25" customFormat="1"/>
    <row r="179" s="25" customFormat="1"/>
    <row r="180" s="25" customFormat="1"/>
    <row r="181" s="25" customFormat="1"/>
    <row r="182" s="25" customFormat="1"/>
    <row r="183" s="25" customFormat="1"/>
    <row r="184" s="25" customFormat="1"/>
    <row r="185" s="25" customFormat="1"/>
    <row r="186" s="25" customFormat="1"/>
    <row r="187" s="25" customFormat="1"/>
    <row r="188" s="25" customFormat="1"/>
    <row r="189" s="25" customFormat="1"/>
    <row r="190" s="25" customFormat="1"/>
    <row r="191" s="25" customFormat="1"/>
    <row r="192" s="25" customFormat="1"/>
    <row r="193" s="25" customFormat="1"/>
    <row r="194" s="25" customFormat="1"/>
    <row r="195" s="25" customFormat="1"/>
    <row r="196" s="25" customFormat="1"/>
    <row r="197" s="25" customFormat="1"/>
    <row r="198" s="25" customFormat="1"/>
    <row r="199" s="25" customFormat="1"/>
    <row r="200" s="25" customFormat="1"/>
    <row r="201" s="25" customFormat="1"/>
    <row r="202" s="25" customFormat="1"/>
    <row r="203" s="25" customFormat="1"/>
    <row r="204" s="25" customFormat="1"/>
    <row r="205" s="25" customFormat="1"/>
    <row r="206" s="25" customFormat="1"/>
    <row r="207" s="25" customFormat="1"/>
    <row r="208" s="25" customFormat="1"/>
    <row r="209" s="25" customFormat="1"/>
    <row r="210" s="25" customFormat="1"/>
    <row r="211" s="25" customFormat="1"/>
    <row r="212" s="25" customFormat="1"/>
    <row r="213" s="25" customFormat="1"/>
    <row r="214" s="25" customFormat="1"/>
    <row r="215" s="25" customFormat="1"/>
    <row r="216" s="25" customFormat="1"/>
    <row r="217" s="25" customFormat="1"/>
    <row r="218" s="25" customFormat="1"/>
    <row r="219" s="25" customFormat="1"/>
    <row r="220" s="25" customFormat="1"/>
    <row r="221" s="25" customFormat="1"/>
    <row r="222" s="25" customFormat="1"/>
    <row r="223" s="25" customFormat="1"/>
    <row r="224" s="25" customFormat="1"/>
    <row r="225" s="25" customFormat="1"/>
    <row r="226" s="25" customFormat="1"/>
    <row r="227" s="25" customFormat="1"/>
    <row r="228" s="25" customFormat="1"/>
    <row r="229" s="25" customFormat="1"/>
    <row r="230" s="25" customFormat="1"/>
    <row r="231" s="25" customFormat="1"/>
    <row r="232" s="25" customFormat="1"/>
    <row r="233" s="25" customFormat="1"/>
    <row r="234" s="25" customFormat="1"/>
    <row r="235" s="25" customFormat="1"/>
    <row r="236" s="25" customFormat="1"/>
    <row r="237" s="25" customFormat="1"/>
    <row r="238" s="25" customFormat="1"/>
    <row r="239" s="25" customFormat="1"/>
    <row r="240" s="25" customFormat="1"/>
    <row r="241" s="25" customFormat="1"/>
    <row r="242" s="25" customFormat="1"/>
    <row r="243" s="25" customFormat="1"/>
    <row r="244" s="25" customFormat="1"/>
    <row r="245" s="25" customFormat="1"/>
    <row r="246" s="25" customFormat="1"/>
    <row r="247" s="25" customFormat="1"/>
    <row r="248" s="25" customFormat="1"/>
    <row r="249" s="25" customFormat="1"/>
    <row r="250" s="25" customFormat="1"/>
    <row r="251" s="25" customFormat="1"/>
    <row r="252" s="25" customFormat="1"/>
    <row r="253" s="25" customFormat="1"/>
    <row r="254" s="25" customFormat="1"/>
    <row r="255" s="25" customFormat="1"/>
    <row r="256" s="25" customFormat="1"/>
    <row r="257" s="25" customFormat="1"/>
    <row r="258" s="25" customFormat="1"/>
    <row r="259" s="25" customFormat="1"/>
    <row r="260" s="25" customFormat="1"/>
    <row r="261" s="25" customFormat="1"/>
    <row r="262" s="25" customFormat="1"/>
    <row r="263" s="25" customFormat="1"/>
    <row r="264" s="25" customFormat="1"/>
    <row r="265" s="25" customFormat="1"/>
    <row r="266" s="25" customFormat="1"/>
    <row r="267" s="25" customFormat="1"/>
    <row r="268" s="25" customFormat="1"/>
    <row r="269" s="25" customFormat="1"/>
    <row r="270" s="25" customFormat="1"/>
    <row r="271" s="25" customFormat="1"/>
    <row r="272" s="25" customFormat="1"/>
    <row r="273" s="25" customFormat="1"/>
    <row r="274" s="25" customFormat="1"/>
    <row r="275" s="25" customFormat="1"/>
    <row r="276" s="25" customFormat="1"/>
    <row r="277" s="25" customFormat="1"/>
    <row r="278" s="25" customFormat="1"/>
    <row r="279" s="25" customFormat="1"/>
    <row r="280" s="25" customFormat="1"/>
    <row r="281" s="25" customFormat="1"/>
    <row r="282" s="25" customFormat="1"/>
    <row r="283" s="25" customFormat="1"/>
    <row r="284" s="25" customFormat="1"/>
    <row r="285" s="25" customFormat="1"/>
    <row r="286" s="25" customFormat="1"/>
    <row r="287" s="25" customFormat="1"/>
    <row r="288" s="25" customFormat="1"/>
    <row r="289" s="25" customFormat="1"/>
    <row r="290" s="25" customFormat="1"/>
    <row r="291" s="25" customFormat="1"/>
    <row r="292" s="25" customFormat="1"/>
    <row r="293" s="25" customFormat="1"/>
    <row r="294" s="25" customFormat="1"/>
    <row r="295" s="25" customFormat="1"/>
    <row r="296" s="25" customFormat="1"/>
    <row r="297" s="25" customFormat="1"/>
    <row r="298" s="25" customFormat="1"/>
    <row r="299" s="25" customFormat="1"/>
    <row r="300" s="25" customFormat="1"/>
    <row r="301" s="25" customFormat="1"/>
    <row r="302" s="25" customFormat="1"/>
    <row r="303" s="25" customFormat="1"/>
    <row r="304" s="25" customFormat="1"/>
    <row r="305" s="25" customFormat="1"/>
    <row r="306" s="25" customFormat="1"/>
    <row r="307" s="25" customFormat="1"/>
    <row r="308" s="25" customFormat="1"/>
    <row r="309" s="25" customFormat="1"/>
    <row r="310" s="25" customFormat="1"/>
    <row r="311" s="25" customFormat="1"/>
    <row r="312" s="25" customFormat="1"/>
    <row r="313" s="25" customFormat="1"/>
    <row r="314" s="25" customFormat="1"/>
    <row r="315" s="25" customFormat="1"/>
    <row r="316" s="25" customFormat="1"/>
    <row r="317" s="25" customFormat="1"/>
    <row r="318" s="25" customFormat="1"/>
    <row r="319" s="25" customFormat="1"/>
    <row r="320" s="25" customFormat="1"/>
    <row r="321" s="25" customFormat="1"/>
    <row r="322" s="25" customFormat="1"/>
    <row r="323" s="25" customFormat="1"/>
    <row r="324" s="25" customFormat="1"/>
    <row r="325" s="25" customFormat="1"/>
    <row r="326" s="25" customFormat="1"/>
    <row r="327" s="25" customFormat="1"/>
    <row r="328" s="25" customFormat="1"/>
    <row r="329" s="25" customFormat="1"/>
    <row r="330" s="25" customFormat="1"/>
    <row r="331" s="25" customFormat="1"/>
    <row r="332" s="25" customFormat="1"/>
    <row r="333" s="25" customFormat="1"/>
    <row r="334" s="25" customFormat="1"/>
    <row r="335" s="25" customFormat="1"/>
    <row r="336" s="25" customFormat="1"/>
    <row r="337" s="25" customFormat="1"/>
    <row r="338" s="25" customFormat="1"/>
    <row r="339" s="25" customFormat="1"/>
    <row r="340" s="25" customFormat="1"/>
    <row r="341" s="25" customFormat="1"/>
    <row r="342" s="25" customFormat="1"/>
    <row r="343" s="25" customFormat="1"/>
    <row r="344" s="25" customFormat="1"/>
    <row r="345" s="25" customFormat="1"/>
    <row r="346" s="25" customFormat="1"/>
    <row r="347" s="25" customFormat="1"/>
    <row r="348" s="25" customFormat="1"/>
    <row r="349" s="25" customFormat="1"/>
    <row r="350" s="25" customFormat="1"/>
    <row r="351" s="25" customFormat="1"/>
    <row r="352" s="25" customFormat="1"/>
    <row r="353" s="25" customFormat="1"/>
    <row r="354" s="25" customFormat="1"/>
    <row r="355" s="25" customFormat="1"/>
    <row r="356" s="25" customFormat="1"/>
    <row r="357" s="25" customFormat="1"/>
    <row r="358" s="25" customFormat="1"/>
    <row r="359" s="25" customFormat="1"/>
    <row r="360" s="25" customFormat="1"/>
    <row r="361" s="25" customFormat="1"/>
    <row r="362" s="25" customFormat="1"/>
    <row r="363" s="25" customFormat="1"/>
    <row r="364" s="25" customFormat="1"/>
    <row r="365" s="25" customFormat="1"/>
    <row r="366" s="25" customFormat="1"/>
    <row r="367" s="25" customFormat="1"/>
    <row r="368" s="25" customFormat="1"/>
    <row r="369" s="25" customFormat="1"/>
    <row r="370" s="25" customFormat="1"/>
    <row r="371" s="25" customFormat="1"/>
    <row r="372" s="25" customFormat="1"/>
    <row r="373" s="25" customFormat="1"/>
    <row r="374" s="25" customFormat="1"/>
    <row r="375" s="25" customFormat="1"/>
    <row r="376" s="25" customFormat="1"/>
    <row r="377" s="25" customFormat="1"/>
    <row r="378" s="25" customFormat="1"/>
    <row r="379" s="25" customFormat="1"/>
    <row r="380" s="25" customFormat="1"/>
    <row r="381" s="25" customFormat="1"/>
    <row r="382" s="25" customFormat="1"/>
    <row r="383" s="25" customFormat="1"/>
    <row r="384" s="25" customFormat="1"/>
    <row r="385" s="25" customFormat="1"/>
    <row r="386" s="25" customFormat="1"/>
    <row r="387" s="25" customFormat="1"/>
    <row r="388" s="25" customFormat="1"/>
    <row r="389" s="25" customFormat="1"/>
    <row r="390" s="25" customFormat="1"/>
    <row r="391" s="25" customFormat="1"/>
    <row r="392" s="25" customFormat="1"/>
    <row r="393" s="25" customFormat="1"/>
    <row r="394" s="25" customFormat="1"/>
    <row r="395" s="25" customFormat="1"/>
    <row r="396" s="25" customFormat="1"/>
    <row r="397" s="25" customFormat="1"/>
    <row r="398" s="25" customFormat="1"/>
    <row r="399" s="25" customFormat="1"/>
    <row r="400" s="25" customFormat="1"/>
    <row r="401" s="25" customFormat="1"/>
    <row r="402" s="25" customFormat="1"/>
    <row r="403" s="25" customFormat="1"/>
    <row r="404" s="25" customFormat="1"/>
    <row r="405" s="25" customFormat="1"/>
    <row r="406" s="25" customFormat="1"/>
    <row r="407" s="25" customFormat="1"/>
    <row r="408" s="25" customFormat="1"/>
    <row r="409" s="25" customFormat="1"/>
    <row r="410" s="25" customFormat="1"/>
    <row r="411" s="25" customFormat="1"/>
    <row r="412" s="25" customFormat="1"/>
    <row r="413" s="25" customFormat="1"/>
    <row r="414" s="25" customFormat="1"/>
    <row r="415" s="25" customFormat="1"/>
    <row r="416" s="25" customFormat="1"/>
    <row r="417" s="25" customFormat="1"/>
    <row r="418" s="25" customFormat="1"/>
    <row r="419" s="25" customFormat="1"/>
    <row r="420" s="25" customFormat="1"/>
    <row r="421" s="25" customFormat="1"/>
    <row r="422" s="25" customFormat="1"/>
    <row r="423" s="25" customFormat="1"/>
    <row r="424" s="25" customFormat="1"/>
    <row r="425" s="25" customFormat="1"/>
    <row r="426" s="25" customFormat="1"/>
    <row r="427" s="25" customFormat="1"/>
    <row r="428" s="25" customFormat="1"/>
    <row r="429" s="25" customFormat="1"/>
    <row r="430" s="25" customFormat="1"/>
    <row r="431" s="25" customFormat="1"/>
    <row r="432" s="25" customFormat="1"/>
    <row r="433" s="25" customFormat="1"/>
    <row r="434" s="25" customFormat="1"/>
    <row r="435" s="25" customFormat="1"/>
    <row r="436" s="25" customFormat="1"/>
    <row r="437" s="25" customFormat="1"/>
    <row r="438" s="25" customFormat="1"/>
    <row r="439" s="25" customFormat="1"/>
    <row r="440" s="25" customFormat="1"/>
    <row r="441" s="25" customFormat="1"/>
    <row r="442" s="25" customFormat="1"/>
    <row r="443" s="25" customFormat="1"/>
    <row r="444" s="25" customFormat="1"/>
    <row r="445" s="25" customFormat="1"/>
    <row r="446" s="25" customFormat="1"/>
    <row r="447" s="25" customFormat="1"/>
    <row r="448" s="25" customFormat="1"/>
    <row r="449" s="25" customFormat="1"/>
    <row r="450" s="25" customFormat="1"/>
    <row r="451" s="25" customFormat="1"/>
    <row r="452" s="25" customFormat="1"/>
    <row r="453" s="25" customFormat="1"/>
    <row r="454" s="25" customFormat="1"/>
    <row r="455" s="25" customFormat="1"/>
    <row r="456" s="25" customFormat="1"/>
    <row r="457" s="25" customFormat="1"/>
    <row r="458" s="25" customFormat="1"/>
    <row r="459" s="25" customFormat="1"/>
    <row r="460" s="25" customFormat="1"/>
    <row r="461" s="25" customFormat="1"/>
    <row r="462" s="25" customFormat="1"/>
    <row r="463" s="25" customFormat="1"/>
    <row r="464" s="25" customFormat="1"/>
    <row r="465" s="25" customFormat="1"/>
    <row r="466" s="25" customFormat="1"/>
    <row r="467" s="25" customFormat="1"/>
    <row r="468" s="25" customFormat="1"/>
    <row r="469" s="25" customFormat="1"/>
    <row r="470" s="25" customFormat="1"/>
    <row r="471" s="25" customFormat="1"/>
    <row r="472" s="25" customFormat="1"/>
    <row r="473" s="25" customFormat="1"/>
    <row r="474" s="25" customFormat="1"/>
    <row r="475" s="25" customFormat="1"/>
    <row r="476" s="25" customFormat="1"/>
    <row r="477" s="25" customFormat="1"/>
    <row r="478" s="25" customFormat="1"/>
    <row r="479" s="25" customFormat="1"/>
    <row r="480" s="25" customFormat="1"/>
    <row r="481" s="25" customFormat="1"/>
    <row r="482" s="25" customFormat="1"/>
    <row r="483" s="25" customFormat="1"/>
    <row r="484" s="25" customFormat="1"/>
    <row r="485" s="25" customFormat="1"/>
    <row r="486" s="25" customFormat="1"/>
    <row r="487" s="25" customFormat="1"/>
    <row r="488" s="25" customFormat="1"/>
    <row r="489" s="25" customFormat="1"/>
    <row r="490" s="25" customFormat="1"/>
    <row r="491" s="25" customFormat="1"/>
    <row r="492" s="25" customFormat="1"/>
    <row r="493" s="25" customFormat="1"/>
    <row r="494" s="25" customFormat="1"/>
    <row r="495" s="25" customFormat="1"/>
    <row r="496" s="25" customFormat="1"/>
    <row r="497" s="25" customFormat="1"/>
    <row r="498" s="25" customFormat="1"/>
    <row r="499" s="25" customFormat="1"/>
    <row r="500" s="25" customFormat="1"/>
    <row r="501" s="25" customFormat="1"/>
    <row r="502" s="25" customFormat="1"/>
    <row r="503" s="25" customFormat="1"/>
    <row r="504" s="25" customFormat="1"/>
    <row r="505" s="25" customFormat="1"/>
    <row r="506" s="25" customFormat="1"/>
    <row r="507" s="25" customFormat="1"/>
    <row r="508" s="25" customFormat="1"/>
    <row r="509" s="25" customFormat="1"/>
    <row r="510" s="25" customFormat="1"/>
    <row r="511" s="25" customFormat="1"/>
    <row r="512" s="25" customFormat="1"/>
    <row r="513" s="25" customFormat="1"/>
    <row r="514" s="25" customFormat="1"/>
    <row r="515" s="25" customFormat="1"/>
    <row r="516" s="25" customFormat="1"/>
    <row r="517" s="25" customFormat="1"/>
    <row r="518" s="25" customFormat="1"/>
    <row r="519" s="25" customFormat="1"/>
    <row r="520" s="25" customFormat="1"/>
    <row r="521" s="25" customFormat="1"/>
    <row r="522" s="25" customFormat="1"/>
    <row r="523" s="25" customFormat="1"/>
    <row r="524" s="25" customFormat="1"/>
    <row r="525" s="25" customFormat="1"/>
    <row r="526" s="25" customFormat="1"/>
    <row r="527" s="25" customFormat="1"/>
    <row r="528" s="25" customFormat="1"/>
    <row r="529" s="25" customFormat="1"/>
    <row r="530" s="25" customFormat="1"/>
    <row r="531" s="25" customFormat="1"/>
    <row r="532" s="25" customFormat="1"/>
    <row r="533" s="25" customFormat="1"/>
    <row r="534" s="25" customFormat="1"/>
    <row r="535" s="25" customFormat="1"/>
    <row r="536" s="25" customFormat="1"/>
    <row r="537" s="25" customFormat="1"/>
    <row r="538" s="25" customFormat="1"/>
    <row r="539" s="25" customFormat="1"/>
    <row r="540" s="25" customFormat="1"/>
    <row r="541" s="25" customFormat="1"/>
    <row r="542" s="25" customFormat="1"/>
    <row r="543" s="25" customFormat="1"/>
    <row r="544" s="25" customFormat="1"/>
    <row r="545" s="25" customFormat="1"/>
    <row r="546" s="25" customFormat="1"/>
    <row r="547" s="25" customFormat="1"/>
    <row r="548" s="25" customFormat="1"/>
    <row r="549" s="25" customFormat="1"/>
    <row r="550" s="25" customFormat="1"/>
    <row r="551" s="25" customFormat="1"/>
    <row r="552" s="25" customFormat="1"/>
    <row r="553" s="25" customFormat="1"/>
    <row r="554" s="25" customFormat="1"/>
    <row r="555" s="25" customFormat="1"/>
    <row r="556" s="25" customFormat="1"/>
    <row r="557" s="25" customFormat="1"/>
    <row r="558" s="25" customFormat="1"/>
    <row r="559" s="25" customFormat="1"/>
    <row r="560" s="25" customFormat="1"/>
    <row r="561" s="25" customFormat="1"/>
    <row r="562" s="25" customFormat="1"/>
    <row r="563" s="25" customFormat="1"/>
    <row r="564" s="25" customFormat="1"/>
    <row r="565" s="25" customFormat="1"/>
    <row r="566" s="25" customFormat="1"/>
    <row r="567" s="25" customFormat="1"/>
    <row r="568" s="25" customFormat="1"/>
    <row r="569" s="25" customFormat="1"/>
    <row r="570" s="25" customFormat="1"/>
    <row r="571" s="25" customFormat="1"/>
    <row r="572" s="25" customFormat="1"/>
    <row r="573" s="25" customFormat="1"/>
    <row r="574" s="25" customFormat="1"/>
    <row r="575" s="25" customFormat="1"/>
    <row r="576" s="25" customFormat="1"/>
    <row r="577" s="25" customFormat="1"/>
    <row r="578" s="25" customFormat="1"/>
    <row r="579" s="25" customFormat="1"/>
    <row r="580" s="25" customFormat="1"/>
    <row r="581" s="25" customFormat="1"/>
    <row r="582" s="25" customFormat="1"/>
    <row r="583" s="25" customFormat="1"/>
    <row r="584" s="25" customFormat="1"/>
    <row r="585" s="25" customFormat="1"/>
    <row r="586" s="25" customFormat="1"/>
    <row r="587" s="25" customFormat="1"/>
    <row r="588" s="25" customFormat="1"/>
    <row r="589" s="25" customFormat="1"/>
    <row r="590" s="25" customFormat="1"/>
    <row r="591" s="25" customFormat="1"/>
    <row r="592" s="25" customFormat="1"/>
    <row r="593" s="25" customFormat="1"/>
    <row r="594" s="25" customFormat="1"/>
    <row r="595" s="25" customFormat="1"/>
    <row r="596" s="25" customFormat="1"/>
    <row r="597" s="25" customFormat="1"/>
    <row r="598" s="25" customFormat="1"/>
    <row r="599" s="25" customFormat="1"/>
    <row r="600" s="25" customFormat="1"/>
    <row r="601" s="25" customFormat="1"/>
    <row r="602" s="25" customFormat="1"/>
    <row r="603" s="25" customFormat="1"/>
    <row r="604" s="25" customFormat="1"/>
    <row r="605" s="25" customFormat="1"/>
    <row r="606" s="25" customFormat="1"/>
    <row r="607" s="25" customFormat="1"/>
    <row r="608" s="25" customFormat="1"/>
    <row r="609" s="25" customFormat="1"/>
    <row r="610" s="25" customFormat="1"/>
    <row r="611" s="25" customFormat="1"/>
    <row r="612" s="25" customFormat="1"/>
    <row r="613" s="25" customFormat="1"/>
    <row r="614" s="25" customFormat="1"/>
    <row r="615" s="25" customFormat="1"/>
    <row r="616" s="25" customFormat="1"/>
    <row r="617" s="25" customFormat="1"/>
    <row r="618" s="25" customFormat="1"/>
    <row r="619" s="25" customFormat="1"/>
    <row r="620" s="25" customFormat="1"/>
    <row r="621" s="25" customFormat="1"/>
    <row r="622" s="25" customFormat="1"/>
    <row r="623" s="25" customFormat="1"/>
    <row r="624" s="25" customFormat="1"/>
    <row r="625" s="25" customFormat="1"/>
    <row r="626" s="25" customFormat="1"/>
    <row r="627" s="25" customFormat="1"/>
    <row r="628" s="25" customFormat="1"/>
    <row r="629" s="25" customFormat="1"/>
    <row r="630" s="25" customFormat="1"/>
    <row r="631" s="25" customFormat="1"/>
    <row r="632" s="25" customFormat="1"/>
    <row r="633" s="25" customFormat="1"/>
    <row r="634" s="25" customFormat="1"/>
    <row r="635" s="25" customFormat="1"/>
    <row r="636" s="25" customFormat="1"/>
    <row r="637" s="25" customFormat="1"/>
    <row r="638" s="25" customFormat="1"/>
    <row r="639" s="25" customFormat="1"/>
    <row r="640" s="25" customFormat="1"/>
    <row r="641" s="25" customFormat="1"/>
    <row r="642" s="25" customFormat="1"/>
    <row r="643" s="25" customFormat="1"/>
    <row r="644" s="25" customFormat="1"/>
    <row r="645" s="25" customFormat="1"/>
    <row r="646" s="25" customFormat="1"/>
    <row r="647" s="25" customFormat="1"/>
    <row r="648" s="25" customFormat="1"/>
    <row r="649" s="25" customFormat="1"/>
    <row r="650" s="25" customFormat="1"/>
    <row r="651" s="25" customFormat="1"/>
    <row r="652" s="25" customFormat="1"/>
    <row r="653" s="25" customFormat="1"/>
    <row r="654" s="25" customFormat="1"/>
    <row r="655" s="25" customFormat="1"/>
    <row r="656" s="25" customFormat="1"/>
    <row r="657" s="25" customFormat="1"/>
    <row r="658" s="25" customFormat="1"/>
    <row r="659" s="25" customFormat="1"/>
    <row r="660" s="25" customFormat="1"/>
    <row r="661" s="25" customFormat="1"/>
    <row r="662" s="25" customFormat="1"/>
    <row r="663" s="25" customFormat="1"/>
    <row r="664" s="25" customFormat="1"/>
    <row r="665" s="25" customFormat="1"/>
    <row r="666" s="25" customFormat="1"/>
    <row r="667" s="25" customFormat="1"/>
    <row r="668" s="25" customFormat="1"/>
    <row r="669" s="25" customFormat="1"/>
    <row r="670" s="25" customFormat="1"/>
    <row r="671" s="25" customFormat="1"/>
    <row r="672" s="25" customFormat="1"/>
    <row r="673" s="25" customFormat="1"/>
    <row r="674" s="25" customFormat="1"/>
    <row r="675" s="25" customFormat="1"/>
    <row r="676" s="25" customFormat="1"/>
    <row r="677" s="25" customFormat="1"/>
    <row r="678" s="25" customFormat="1"/>
    <row r="679" s="25" customFormat="1"/>
    <row r="680" s="25" customFormat="1"/>
    <row r="681" s="25" customFormat="1"/>
    <row r="682" s="25" customFormat="1"/>
    <row r="683" s="25" customFormat="1"/>
    <row r="684" s="25" customFormat="1"/>
    <row r="685" s="25" customFormat="1"/>
    <row r="686" s="25" customFormat="1"/>
    <row r="687" s="25" customFormat="1"/>
    <row r="688" s="25" customFormat="1"/>
    <row r="689" s="25" customFormat="1"/>
    <row r="690" s="25" customFormat="1"/>
    <row r="691" s="25" customFormat="1"/>
    <row r="692" s="25" customFormat="1"/>
    <row r="693" s="25" customFormat="1"/>
    <row r="694" s="25" customFormat="1"/>
    <row r="695" s="25" customFormat="1"/>
    <row r="696" s="25" customFormat="1"/>
    <row r="697" s="25" customFormat="1"/>
    <row r="698" s="25" customFormat="1"/>
    <row r="699" s="25" customFormat="1"/>
    <row r="700" s="25" customFormat="1"/>
    <row r="701" s="25" customFormat="1"/>
    <row r="702" s="25" customFormat="1"/>
    <row r="703" s="25" customFormat="1"/>
    <row r="704" s="25" customFormat="1"/>
    <row r="705" s="25" customFormat="1"/>
    <row r="706" s="25" customFormat="1"/>
    <row r="707" s="25" customFormat="1"/>
    <row r="708" s="25" customFormat="1"/>
    <row r="709" s="25" customFormat="1"/>
    <row r="710" s="25" customFormat="1"/>
    <row r="711" s="25" customFormat="1"/>
    <row r="712" s="25" customFormat="1"/>
    <row r="713" s="25" customFormat="1"/>
    <row r="714" s="25" customFormat="1"/>
    <row r="715" s="25" customFormat="1"/>
    <row r="716" s="25" customFormat="1"/>
    <row r="717" s="25" customFormat="1"/>
    <row r="718" s="25" customFormat="1"/>
    <row r="719" s="25" customFormat="1"/>
    <row r="720" s="25" customFormat="1"/>
    <row r="721" s="25" customFormat="1"/>
    <row r="722" s="25" customFormat="1"/>
    <row r="723" s="25" customFormat="1"/>
    <row r="724" s="25" customFormat="1"/>
    <row r="725" s="25" customFormat="1"/>
    <row r="726" s="25" customFormat="1"/>
    <row r="727" s="25" customFormat="1"/>
    <row r="728" s="25" customFormat="1"/>
    <row r="729" s="25" customFormat="1"/>
    <row r="730" s="25" customFormat="1"/>
    <row r="731" s="25" customFormat="1"/>
    <row r="732" s="25" customFormat="1"/>
    <row r="733" s="25" customFormat="1"/>
    <row r="734" s="25" customFormat="1"/>
    <row r="735" s="25" customFormat="1"/>
    <row r="736" s="25" customFormat="1"/>
    <row r="737" s="25" customFormat="1"/>
    <row r="738" s="25" customFormat="1"/>
    <row r="739" s="25" customFormat="1"/>
    <row r="740" s="25" customFormat="1"/>
    <row r="741" s="25" customFormat="1"/>
    <row r="742" s="25" customFormat="1"/>
    <row r="743" s="25" customFormat="1"/>
    <row r="744" s="25" customFormat="1"/>
    <row r="745" s="25" customFormat="1"/>
    <row r="746" s="25" customFormat="1"/>
    <row r="747" s="25" customFormat="1"/>
    <row r="748" s="25" customFormat="1"/>
    <row r="749" s="25" customFormat="1"/>
    <row r="750" s="25" customFormat="1"/>
    <row r="751" s="25" customFormat="1"/>
    <row r="752" s="25" customFormat="1"/>
    <row r="753" s="25" customFormat="1"/>
    <row r="754" s="25" customFormat="1"/>
    <row r="755" s="25" customFormat="1"/>
    <row r="756" s="25" customFormat="1"/>
    <row r="757" s="25" customFormat="1"/>
    <row r="758" s="25" customFormat="1"/>
    <row r="759" s="25" customFormat="1"/>
    <row r="760" s="25" customFormat="1"/>
    <row r="761" s="25" customFormat="1"/>
    <row r="762" s="25" customFormat="1"/>
    <row r="763" s="25" customFormat="1"/>
    <row r="764" s="25" customFormat="1"/>
    <row r="765" s="25" customFormat="1"/>
    <row r="766" s="25" customFormat="1"/>
    <row r="767" s="25" customFormat="1"/>
    <row r="768" s="25" customFormat="1"/>
    <row r="769" s="25" customFormat="1"/>
    <row r="770" s="25" customFormat="1"/>
    <row r="771" s="25" customFormat="1"/>
    <row r="772" s="25" customFormat="1"/>
    <row r="773" s="25" customFormat="1"/>
    <row r="774" s="25" customFormat="1"/>
    <row r="775" s="25" customFormat="1"/>
    <row r="776" s="25" customFormat="1"/>
    <row r="777" s="25" customFormat="1"/>
    <row r="778" s="25" customFormat="1"/>
    <row r="779" s="25" customFormat="1"/>
    <row r="780" s="25" customFormat="1"/>
    <row r="781" s="25" customFormat="1"/>
    <row r="782" s="25" customFormat="1"/>
    <row r="783" s="25" customFormat="1"/>
    <row r="784" s="25" customFormat="1"/>
    <row r="785" s="25" customFormat="1"/>
    <row r="786" s="25" customFormat="1"/>
    <row r="787" s="25" customFormat="1"/>
    <row r="788" s="25" customFormat="1"/>
    <row r="789" s="25" customFormat="1"/>
    <row r="790" s="25" customFormat="1"/>
    <row r="791" s="25" customFormat="1"/>
    <row r="792" s="25" customFormat="1"/>
    <row r="793" s="25" customFormat="1"/>
    <row r="794" s="25" customFormat="1"/>
    <row r="795" s="25" customFormat="1"/>
    <row r="796" s="25" customFormat="1"/>
    <row r="797" s="25" customFormat="1"/>
    <row r="798" s="25" customFormat="1"/>
    <row r="799" s="25" customFormat="1"/>
    <row r="800" s="25" customFormat="1"/>
    <row r="801" s="25" customFormat="1"/>
    <row r="802" s="25" customFormat="1"/>
    <row r="803" s="25" customFormat="1"/>
    <row r="804" s="25" customFormat="1"/>
    <row r="805" s="25" customFormat="1"/>
    <row r="806" s="25" customFormat="1"/>
    <row r="807" s="25" customFormat="1"/>
    <row r="808" s="25" customFormat="1"/>
    <row r="809" s="25" customFormat="1"/>
    <row r="810" s="25" customFormat="1"/>
    <row r="811" s="25" customFormat="1"/>
    <row r="812" s="25" customFormat="1"/>
    <row r="813" s="25" customFormat="1"/>
    <row r="814" s="25" customFormat="1"/>
    <row r="815" s="25" customFormat="1"/>
    <row r="816" s="25" customFormat="1"/>
    <row r="817" s="25" customFormat="1"/>
    <row r="818" s="25" customFormat="1"/>
    <row r="819" s="25" customFormat="1"/>
    <row r="820" s="25" customFormat="1"/>
    <row r="821" s="25" customFormat="1"/>
    <row r="822" s="25" customFormat="1"/>
    <row r="823" s="25" customFormat="1"/>
    <row r="824" s="25" customFormat="1"/>
    <row r="825" s="25" customFormat="1"/>
    <row r="826" s="25" customFormat="1"/>
    <row r="827" s="25" customFormat="1"/>
    <row r="828" s="25" customFormat="1"/>
    <row r="829" s="25" customFormat="1"/>
    <row r="830" s="25" customFormat="1"/>
    <row r="831" s="25" customFormat="1"/>
    <row r="832" s="25" customFormat="1"/>
    <row r="833" s="25" customFormat="1"/>
    <row r="834" s="25" customFormat="1"/>
    <row r="835" s="25" customFormat="1"/>
    <row r="836" s="25" customFormat="1"/>
    <row r="837" s="25" customFormat="1"/>
    <row r="838" s="25" customFormat="1"/>
    <row r="839" s="25" customFormat="1"/>
    <row r="840" s="25" customFormat="1"/>
    <row r="841" s="25" customFormat="1"/>
    <row r="842" s="25" customFormat="1"/>
    <row r="843" s="25" customFormat="1"/>
    <row r="844" s="25" customFormat="1"/>
    <row r="845" s="25" customFormat="1"/>
    <row r="846" s="25" customFormat="1"/>
    <row r="847" s="25" customFormat="1"/>
    <row r="848" s="25" customFormat="1"/>
    <row r="849" s="25" customFormat="1"/>
    <row r="850" s="25" customFormat="1"/>
    <row r="851" s="25" customFormat="1"/>
    <row r="852" s="25" customFormat="1"/>
    <row r="853" s="25" customFormat="1"/>
    <row r="854" s="25" customFormat="1"/>
    <row r="855" s="25" customFormat="1"/>
    <row r="856" s="25" customFormat="1"/>
    <row r="857" s="25" customFormat="1"/>
    <row r="858" s="25" customFormat="1"/>
    <row r="859" s="25" customFormat="1"/>
    <row r="860" s="25" customFormat="1"/>
    <row r="861" s="25" customFormat="1"/>
    <row r="862" s="25" customFormat="1"/>
    <row r="863" s="25" customFormat="1"/>
    <row r="864" s="25" customFormat="1"/>
    <row r="865" s="25" customFormat="1"/>
    <row r="866" s="25" customFormat="1"/>
    <row r="867" s="25" customFormat="1"/>
    <row r="868" s="25" customFormat="1"/>
    <row r="869" s="25" customFormat="1"/>
    <row r="870" s="25" customFormat="1"/>
    <row r="871" s="25" customFormat="1"/>
    <row r="872" s="25" customFormat="1"/>
    <row r="873" s="25" customFormat="1"/>
    <row r="874" s="25" customFormat="1"/>
    <row r="875" s="25" customFormat="1"/>
    <row r="876" s="25" customFormat="1"/>
    <row r="877" s="25" customFormat="1"/>
    <row r="878" s="25" customFormat="1"/>
    <row r="879" s="25" customFormat="1"/>
    <row r="880" s="25" customFormat="1"/>
    <row r="881" s="25" customFormat="1"/>
    <row r="882" s="25" customFormat="1"/>
    <row r="883" s="25" customFormat="1"/>
    <row r="884" s="25" customFormat="1"/>
    <row r="885" s="25" customFormat="1"/>
    <row r="886" s="25" customFormat="1"/>
    <row r="887" s="25" customFormat="1"/>
    <row r="888" s="25" customFormat="1"/>
    <row r="889" s="25" customFormat="1"/>
    <row r="890" s="25" customFormat="1"/>
    <row r="891" s="25" customFormat="1"/>
    <row r="892" s="25" customFormat="1"/>
    <row r="893" s="25" customFormat="1"/>
    <row r="894" s="25" customFormat="1"/>
    <row r="895" s="25" customFormat="1"/>
    <row r="896" s="25" customFormat="1"/>
    <row r="897" s="25" customFormat="1"/>
    <row r="898" s="25" customFormat="1"/>
    <row r="899" s="25" customFormat="1"/>
    <row r="900" s="25" customFormat="1"/>
    <row r="901" s="25" customFormat="1"/>
    <row r="902" s="25" customFormat="1"/>
    <row r="903" s="25" customFormat="1"/>
    <row r="904" s="25" customFormat="1"/>
    <row r="905" s="25" customFormat="1"/>
    <row r="906" s="25" customFormat="1"/>
    <row r="907" s="25" customFormat="1"/>
    <row r="908" s="25" customFormat="1"/>
    <row r="909" s="25" customFormat="1"/>
    <row r="910" s="25" customFormat="1"/>
    <row r="911" s="25" customFormat="1"/>
    <row r="912" s="25" customFormat="1"/>
    <row r="913" s="25" customFormat="1"/>
    <row r="914" s="25" customFormat="1"/>
    <row r="915" s="25" customFormat="1"/>
    <row r="916" s="25" customFormat="1"/>
    <row r="917" s="25" customFormat="1"/>
    <row r="918" s="25" customFormat="1"/>
    <row r="919" s="25" customFormat="1"/>
    <row r="920" s="25" customFormat="1"/>
    <row r="921" s="25" customFormat="1"/>
    <row r="922" s="25" customFormat="1"/>
    <row r="923" s="25" customFormat="1"/>
    <row r="924" s="25" customFormat="1"/>
    <row r="925" s="25" customFormat="1"/>
    <row r="926" s="25" customFormat="1"/>
    <row r="927" s="25" customFormat="1"/>
    <row r="928" s="25" customFormat="1"/>
    <row r="929" s="25" customFormat="1"/>
    <row r="930" s="25" customFormat="1"/>
    <row r="931" s="25" customFormat="1"/>
    <row r="932" s="25" customFormat="1"/>
    <row r="933" s="25" customFormat="1"/>
    <row r="934" s="25" customFormat="1"/>
    <row r="935" s="25" customFormat="1"/>
    <row r="936" s="25" customFormat="1"/>
    <row r="937" s="25" customFormat="1"/>
    <row r="938" s="25" customFormat="1"/>
    <row r="939" s="25" customFormat="1"/>
    <row r="940" s="25" customFormat="1"/>
    <row r="941" s="25" customFormat="1"/>
    <row r="942" s="25" customFormat="1"/>
    <row r="943" s="25" customFormat="1"/>
    <row r="944" s="25" customFormat="1"/>
    <row r="945" s="25" customFormat="1"/>
    <row r="946" s="25" customFormat="1"/>
    <row r="947" s="25" customFormat="1"/>
    <row r="948" s="25" customFormat="1"/>
    <row r="949" s="25" customFormat="1"/>
    <row r="950" s="25" customFormat="1"/>
    <row r="951" s="25" customFormat="1"/>
    <row r="952" s="25" customFormat="1"/>
    <row r="953" s="25" customFormat="1"/>
    <row r="954" s="25" customFormat="1"/>
    <row r="955" s="25" customFormat="1"/>
    <row r="956" s="25" customFormat="1"/>
    <row r="957" s="25" customFormat="1"/>
    <row r="958" s="25" customFormat="1"/>
    <row r="959" s="25" customFormat="1"/>
    <row r="960" s="25" customFormat="1"/>
    <row r="961" s="25" customFormat="1"/>
    <row r="962" s="25" customFormat="1"/>
    <row r="963" s="25" customFormat="1"/>
    <row r="964" s="25" customFormat="1"/>
    <row r="965" s="25" customFormat="1"/>
    <row r="966" s="25" customFormat="1"/>
    <row r="967" s="25" customFormat="1"/>
    <row r="968" s="25" customFormat="1"/>
    <row r="969" s="25" customFormat="1"/>
    <row r="970" s="25" customFormat="1"/>
    <row r="971" s="25" customFormat="1"/>
    <row r="972" s="25" customFormat="1"/>
    <row r="973" s="25" customFormat="1"/>
    <row r="974" s="25" customFormat="1"/>
    <row r="975" s="25" customFormat="1"/>
    <row r="976" s="25" customFormat="1"/>
    <row r="977" s="25" customFormat="1"/>
    <row r="978" s="25" customFormat="1"/>
    <row r="979" s="25" customFormat="1"/>
    <row r="980" s="25" customFormat="1"/>
    <row r="981" s="25" customFormat="1"/>
    <row r="982" s="25" customFormat="1"/>
    <row r="983" s="25" customFormat="1"/>
    <row r="984" s="25" customFormat="1"/>
    <row r="985" s="25" customFormat="1"/>
    <row r="986" s="25" customFormat="1"/>
    <row r="987" s="25" customFormat="1"/>
    <row r="988" s="25" customFormat="1"/>
    <row r="989" s="25" customFormat="1"/>
    <row r="990" s="25" customFormat="1"/>
    <row r="991" s="25" customFormat="1"/>
    <row r="992" s="25" customFormat="1"/>
    <row r="993" s="25" customFormat="1"/>
    <row r="994" s="25" customFormat="1"/>
    <row r="995" s="25" customFormat="1"/>
    <row r="996" s="25" customFormat="1"/>
    <row r="997" s="25" customFormat="1"/>
    <row r="998" s="25" customFormat="1"/>
    <row r="999" s="25" customFormat="1"/>
    <row r="1000" s="25" customFormat="1"/>
    <row r="1001" s="25" customFormat="1"/>
    <row r="1002" s="25" customFormat="1"/>
    <row r="1003" s="25" customFormat="1"/>
    <row r="1004" s="25" customFormat="1"/>
    <row r="1005" s="25" customFormat="1"/>
    <row r="1006" s="25" customFormat="1"/>
    <row r="1007" s="25" customFormat="1"/>
    <row r="1008" s="25" customFormat="1"/>
    <row r="1009" s="25" customFormat="1"/>
    <row r="1010" s="25" customFormat="1"/>
    <row r="1011" s="25" customFormat="1"/>
    <row r="1012" s="25" customFormat="1"/>
    <row r="1013" s="25" customFormat="1"/>
    <row r="1014" s="25" customFormat="1"/>
    <row r="1015" s="25" customFormat="1"/>
    <row r="1016" s="25" customFormat="1"/>
    <row r="1017" s="25" customFormat="1"/>
    <row r="1018" s="25" customFormat="1"/>
    <row r="1019" s="25" customFormat="1"/>
    <row r="1020" s="25" customFormat="1"/>
    <row r="1021" s="25" customFormat="1"/>
    <row r="1022" s="25" customFormat="1"/>
    <row r="1023" s="25" customFormat="1"/>
    <row r="1024" s="25" customFormat="1"/>
    <row r="1025" s="25" customFormat="1"/>
    <row r="1026" s="25" customFormat="1"/>
    <row r="1027" s="25" customFormat="1"/>
    <row r="1028" s="25" customFormat="1"/>
    <row r="1029" s="25" customFormat="1"/>
    <row r="1030" s="25" customFormat="1"/>
    <row r="1031" s="25" customFormat="1"/>
    <row r="1032" s="25" customFormat="1"/>
    <row r="1033" s="25" customFormat="1"/>
    <row r="1034" s="25" customFormat="1"/>
    <row r="1035" s="25" customFormat="1"/>
    <row r="1036" s="25" customFormat="1"/>
    <row r="1037" s="25" customFormat="1"/>
    <row r="1038" s="25" customFormat="1"/>
    <row r="1039" s="25" customFormat="1"/>
    <row r="1040" s="25" customFormat="1"/>
    <row r="1041" s="25" customFormat="1"/>
    <row r="1042" s="25" customFormat="1"/>
    <row r="1043" s="25" customFormat="1"/>
    <row r="1044" s="25" customFormat="1"/>
    <row r="1045" s="25" customFormat="1"/>
    <row r="1046" s="25" customFormat="1"/>
    <row r="1047" s="25" customFormat="1"/>
    <row r="1048" s="25" customFormat="1"/>
    <row r="1049" s="25" customFormat="1"/>
    <row r="1050" s="25" customFormat="1"/>
    <row r="1051" s="25" customFormat="1"/>
    <row r="1052" s="25" customFormat="1"/>
    <row r="1053" s="25" customFormat="1"/>
    <row r="1054" s="25" customFormat="1"/>
    <row r="1055" s="25" customFormat="1"/>
    <row r="1056" s="25" customFormat="1"/>
    <row r="1057" s="25" customFormat="1"/>
    <row r="1058" s="25" customFormat="1"/>
    <row r="1059" s="25" customFormat="1"/>
    <row r="1060" s="25" customFormat="1"/>
    <row r="1061" s="25" customFormat="1"/>
    <row r="1062" s="25" customFormat="1"/>
    <row r="1063" s="25" customFormat="1"/>
    <row r="1064" s="25" customFormat="1"/>
    <row r="1065" s="25" customFormat="1"/>
    <row r="1066" s="25" customFormat="1"/>
    <row r="1067" s="25" customFormat="1"/>
    <row r="1068" s="25" customFormat="1"/>
    <row r="1069" s="25" customFormat="1"/>
    <row r="1070" s="25" customFormat="1"/>
    <row r="1071" s="25" customFormat="1"/>
    <row r="1072" s="25" customFormat="1"/>
    <row r="1073" s="25" customFormat="1"/>
    <row r="1074" s="25" customFormat="1"/>
    <row r="1075" s="25" customFormat="1"/>
    <row r="1076" s="25" customFormat="1"/>
    <row r="1077" s="25" customFormat="1"/>
    <row r="1078" s="25" customFormat="1"/>
    <row r="1079" s="25" customFormat="1"/>
    <row r="1080" s="25" customFormat="1"/>
    <row r="1081" s="25" customFormat="1"/>
    <row r="1082" s="25" customFormat="1"/>
    <row r="1083" s="25" customFormat="1"/>
    <row r="1084" s="25" customFormat="1"/>
    <row r="1085" s="25" customFormat="1"/>
    <row r="1086" s="25" customFormat="1"/>
    <row r="1087" s="25" customFormat="1"/>
    <row r="1088" s="25" customFormat="1"/>
    <row r="1089" s="25" customFormat="1"/>
    <row r="1090" s="25" customFormat="1"/>
    <row r="1091" s="25" customFormat="1"/>
    <row r="1092" s="25" customFormat="1"/>
    <row r="1093" s="25" customFormat="1"/>
    <row r="1094" s="25" customFormat="1"/>
    <row r="1095" s="25" customFormat="1"/>
    <row r="1096" s="25" customFormat="1"/>
    <row r="1097" s="25" customFormat="1"/>
    <row r="1098" s="25" customFormat="1"/>
    <row r="1099" s="25" customFormat="1"/>
    <row r="1100" s="25" customFormat="1"/>
    <row r="1101" s="25" customFormat="1"/>
    <row r="1102" s="25" customFormat="1"/>
    <row r="1103" s="25" customFormat="1"/>
    <row r="1104" s="25" customFormat="1"/>
    <row r="1105" s="25" customFormat="1"/>
    <row r="1106" s="25" customFormat="1"/>
    <row r="1107" s="25" customFormat="1"/>
    <row r="1108" s="25" customFormat="1"/>
    <row r="1109" s="25" customFormat="1"/>
    <row r="1110" s="25" customFormat="1"/>
    <row r="1111" s="25" customFormat="1"/>
    <row r="1112" s="25" customFormat="1"/>
    <row r="1113" s="25" customFormat="1"/>
    <row r="1114" s="25" customFormat="1"/>
    <row r="1115" s="25" customFormat="1"/>
    <row r="1116" s="25" customFormat="1"/>
    <row r="1117" s="25" customFormat="1"/>
    <row r="1118" s="25" customFormat="1"/>
    <row r="1119" s="25" customFormat="1"/>
    <row r="1120" s="25" customFormat="1"/>
    <row r="1121" s="25" customFormat="1"/>
    <row r="1122" s="25" customFormat="1"/>
    <row r="1123" s="25" customFormat="1"/>
    <row r="1124" s="25" customFormat="1"/>
    <row r="1125" s="25" customFormat="1"/>
    <row r="1126" s="25" customFormat="1"/>
    <row r="1127" s="25" customFormat="1"/>
    <row r="1128" s="25" customFormat="1"/>
    <row r="1129" s="25" customFormat="1"/>
    <row r="1130" s="25" customFormat="1"/>
    <row r="1131" s="25" customFormat="1"/>
    <row r="1132" s="25" customFormat="1"/>
    <row r="1133" s="25" customFormat="1"/>
    <row r="1134" s="25" customFormat="1"/>
    <row r="1135" s="25" customFormat="1"/>
    <row r="1136" s="25" customFormat="1"/>
    <row r="1137" s="25" customFormat="1"/>
    <row r="1138" s="25" customFormat="1"/>
    <row r="1139" s="25" customFormat="1"/>
    <row r="1140" s="25" customFormat="1"/>
    <row r="1141" s="25" customFormat="1"/>
    <row r="1142" s="25" customFormat="1"/>
    <row r="1143" s="25" customFormat="1"/>
    <row r="1144" s="25" customFormat="1"/>
    <row r="1145" s="25" customFormat="1"/>
    <row r="1146" s="25" customFormat="1"/>
    <row r="1147" s="25" customFormat="1"/>
    <row r="1148" s="25" customFormat="1"/>
    <row r="1149" s="25" customFormat="1"/>
    <row r="1150" s="25" customFormat="1"/>
    <row r="1151" s="25" customFormat="1"/>
    <row r="1152" s="25" customFormat="1"/>
    <row r="1153" s="25" customFormat="1"/>
    <row r="1154" s="25" customFormat="1"/>
    <row r="1155" s="25" customFormat="1"/>
    <row r="1156" s="25" customFormat="1"/>
    <row r="1157" s="25" customFormat="1"/>
    <row r="1158" s="25" customFormat="1"/>
    <row r="1159" s="25" customFormat="1"/>
    <row r="1160" s="25" customFormat="1"/>
    <row r="1161" s="25" customFormat="1"/>
    <row r="1162" s="25" customFormat="1"/>
    <row r="1163" s="25" customFormat="1"/>
    <row r="1164" s="25" customFormat="1"/>
    <row r="1165" s="25" customFormat="1"/>
    <row r="1166" s="25" customFormat="1"/>
    <row r="1167" s="25" customFormat="1"/>
    <row r="1168" s="25" customFormat="1"/>
    <row r="1169" s="25" customFormat="1"/>
    <row r="1170" s="25" customFormat="1"/>
    <row r="1171" s="25" customFormat="1"/>
    <row r="1172" s="25" customFormat="1"/>
    <row r="1173" s="25" customFormat="1"/>
    <row r="1174" s="25" customFormat="1"/>
    <row r="1175" s="25" customFormat="1"/>
    <row r="1176" s="25" customFormat="1"/>
    <row r="1177" s="25" customFormat="1"/>
    <row r="1178" s="25" customFormat="1"/>
    <row r="1179" s="25" customFormat="1"/>
    <row r="1180" s="25" customFormat="1"/>
    <row r="1181" s="25" customFormat="1"/>
    <row r="1182" s="25" customFormat="1"/>
    <row r="1183" s="25" customFormat="1"/>
    <row r="1184" s="25" customFormat="1"/>
    <row r="1185" s="25" customFormat="1"/>
    <row r="1186" s="25" customFormat="1"/>
    <row r="1187" s="25" customFormat="1"/>
    <row r="1188" s="25" customFormat="1"/>
    <row r="1189" s="25" customFormat="1"/>
    <row r="1190" s="25" customFormat="1"/>
    <row r="1191" s="25" customFormat="1"/>
    <row r="1192" s="25" customFormat="1"/>
    <row r="1193" s="25" customFormat="1"/>
    <row r="1194" s="25" customFormat="1"/>
    <row r="1195" s="25" customFormat="1"/>
    <row r="1196" s="25" customFormat="1"/>
    <row r="1197" s="25" customFormat="1"/>
    <row r="1198" s="25" customFormat="1"/>
    <row r="1199" s="25" customFormat="1"/>
    <row r="1200" s="25" customFormat="1"/>
    <row r="1201" s="25" customFormat="1"/>
    <row r="1202" s="25" customFormat="1"/>
    <row r="1203" s="25" customFormat="1"/>
    <row r="1204" s="25" customFormat="1"/>
    <row r="1205" s="25" customFormat="1"/>
    <row r="1206" s="25" customFormat="1"/>
    <row r="1207" s="25" customFormat="1"/>
    <row r="1208" s="25" customFormat="1"/>
    <row r="1209" s="25" customFormat="1"/>
    <row r="1210" s="25" customFormat="1"/>
    <row r="1211" s="25" customFormat="1"/>
    <row r="1212" s="25" customFormat="1"/>
    <row r="1213" s="25" customFormat="1"/>
    <row r="1214" s="25" customFormat="1"/>
    <row r="1215" s="25" customFormat="1"/>
    <row r="1216" s="25" customFormat="1"/>
    <row r="1217" s="25" customFormat="1"/>
    <row r="1218" s="25" customFormat="1"/>
    <row r="1219" s="25" customFormat="1"/>
    <row r="1220" s="25" customFormat="1"/>
    <row r="1221" s="25" customFormat="1"/>
    <row r="1222" s="25" customFormat="1"/>
    <row r="1223" s="25" customFormat="1"/>
    <row r="1224" s="25" customFormat="1"/>
    <row r="1225" s="25" customFormat="1"/>
    <row r="1226" s="25" customFormat="1"/>
    <row r="1227" s="25" customFormat="1"/>
    <row r="1228" s="25" customFormat="1"/>
    <row r="1229" s="25" customFormat="1"/>
    <row r="1230" s="25" customFormat="1"/>
    <row r="1231" s="25" customFormat="1"/>
    <row r="1232" s="25" customFormat="1"/>
    <row r="1233" s="25" customFormat="1"/>
    <row r="1234" s="25" customFormat="1"/>
    <row r="1235" s="25" customFormat="1"/>
    <row r="1236" s="25" customFormat="1"/>
    <row r="1237" s="25" customFormat="1"/>
    <row r="1238" s="25" customFormat="1"/>
    <row r="1239" s="25" customFormat="1"/>
    <row r="1240" s="25" customFormat="1"/>
    <row r="1241" s="25" customFormat="1"/>
    <row r="1242" s="25" customFormat="1"/>
    <row r="1243" s="25" customFormat="1"/>
    <row r="1244" s="25" customFormat="1"/>
    <row r="1245" s="25" customFormat="1"/>
    <row r="1246" s="25" customFormat="1"/>
    <row r="1247" s="25" customFormat="1"/>
    <row r="1248" s="25" customFormat="1"/>
    <row r="1249" s="25" customFormat="1"/>
    <row r="1250" s="25" customFormat="1"/>
    <row r="1251" s="25" customFormat="1"/>
    <row r="1252" s="25" customFormat="1"/>
    <row r="1253" s="25" customFormat="1"/>
    <row r="1254" s="25" customFormat="1"/>
    <row r="1255" s="25" customFormat="1"/>
    <row r="1256" s="25" customFormat="1"/>
    <row r="1257" s="25" customFormat="1"/>
    <row r="1258" s="25" customFormat="1"/>
    <row r="1259" s="25" customFormat="1"/>
    <row r="1260" s="25" customFormat="1"/>
    <row r="1261" s="25" customFormat="1"/>
    <row r="1262" s="25" customFormat="1"/>
    <row r="1263" s="25" customFormat="1"/>
    <row r="1264" s="25" customFormat="1"/>
    <row r="1265" s="25" customFormat="1"/>
    <row r="1266" s="25" customFormat="1"/>
    <row r="1267" s="25" customFormat="1"/>
    <row r="1268" s="25" customFormat="1"/>
    <row r="1269" s="25" customFormat="1"/>
    <row r="1270" s="25" customFormat="1"/>
    <row r="1271" s="25" customFormat="1"/>
    <row r="1272" s="25" customFormat="1"/>
    <row r="1273" s="25" customFormat="1"/>
    <row r="1274" s="25" customFormat="1"/>
    <row r="1275" s="25" customFormat="1"/>
    <row r="1276" s="25" customFormat="1"/>
    <row r="1277" s="25" customFormat="1"/>
    <row r="1278" s="25" customFormat="1"/>
    <row r="1279" s="25" customFormat="1"/>
    <row r="1280" s="25" customFormat="1"/>
    <row r="1281" s="25" customFormat="1"/>
    <row r="1282" s="25" customFormat="1"/>
    <row r="1283" s="25" customFormat="1"/>
    <row r="1284" s="25" customFormat="1"/>
    <row r="1285" s="25" customFormat="1"/>
    <row r="1286" s="25" customFormat="1"/>
    <row r="1287" s="25" customFormat="1"/>
    <row r="1288" s="25" customFormat="1"/>
    <row r="1289" s="25" customFormat="1"/>
    <row r="1290" s="25" customFormat="1"/>
    <row r="1291" s="25" customFormat="1"/>
    <row r="1292" s="25" customFormat="1"/>
    <row r="1293" s="25" customFormat="1"/>
    <row r="1294" s="25" customFormat="1"/>
    <row r="1295" s="25" customFormat="1"/>
    <row r="1296" s="25" customFormat="1"/>
    <row r="1297" s="25" customFormat="1"/>
    <row r="1298" s="25" customFormat="1"/>
    <row r="1299" s="25" customFormat="1"/>
    <row r="1300" s="25" customFormat="1"/>
    <row r="1301" s="25" customFormat="1"/>
    <row r="1302" s="25" customFormat="1"/>
    <row r="1303" s="25" customFormat="1"/>
    <row r="1304" s="25" customFormat="1"/>
    <row r="1305" s="25" customFormat="1"/>
    <row r="1306" s="25" customFormat="1"/>
    <row r="1307" s="25" customFormat="1"/>
    <row r="1308" s="25" customFormat="1"/>
    <row r="1309" s="25" customFormat="1"/>
    <row r="1310" s="25" customFormat="1"/>
    <row r="1311" s="25" customFormat="1"/>
    <row r="1312" s="25" customFormat="1"/>
    <row r="1313" s="25" customFormat="1"/>
    <row r="1314" s="25" customFormat="1"/>
    <row r="1315" s="25" customFormat="1"/>
    <row r="1316" s="25" customFormat="1"/>
    <row r="1317" s="25" customFormat="1"/>
    <row r="1318" s="25" customFormat="1"/>
    <row r="1319" s="25" customFormat="1"/>
    <row r="1320" s="25" customFormat="1"/>
    <row r="1321" s="25" customFormat="1"/>
    <row r="1322" s="25" customFormat="1"/>
    <row r="1323" s="25" customFormat="1"/>
    <row r="1324" s="25" customFormat="1"/>
    <row r="1325" s="25" customFormat="1"/>
    <row r="1326" s="25" customFormat="1"/>
    <row r="1327" s="25" customFormat="1"/>
    <row r="1328" s="25" customFormat="1"/>
    <row r="1329" s="25" customFormat="1"/>
    <row r="1330" s="25" customFormat="1"/>
    <row r="1331" s="25" customFormat="1"/>
    <row r="1332" s="25" customFormat="1"/>
    <row r="1333" s="25" customFormat="1"/>
    <row r="1334" s="25" customFormat="1"/>
    <row r="1335" s="25" customFormat="1"/>
    <row r="1336" s="25" customFormat="1"/>
    <row r="1337" s="25" customFormat="1"/>
    <row r="1338" s="25" customFormat="1"/>
    <row r="1339" s="25" customFormat="1"/>
    <row r="1340" s="25" customFormat="1"/>
    <row r="1341" s="25" customFormat="1"/>
    <row r="1342" s="25" customFormat="1"/>
    <row r="1343" s="25" customFormat="1"/>
    <row r="1344" s="25" customFormat="1"/>
    <row r="1345" s="25" customFormat="1"/>
    <row r="1346" s="25" customFormat="1"/>
    <row r="1347" s="25" customFormat="1"/>
    <row r="1348" s="25" customFormat="1"/>
    <row r="1349" s="25" customFormat="1"/>
    <row r="1350" s="25" customFormat="1"/>
    <row r="1351" s="25" customFormat="1"/>
    <row r="1352" s="25" customFormat="1"/>
    <row r="1353" s="25" customFormat="1"/>
    <row r="1354" s="25" customFormat="1"/>
    <row r="1355" s="25" customFormat="1"/>
    <row r="1356" s="25" customFormat="1"/>
    <row r="1357" s="25" customFormat="1"/>
    <row r="1358" s="25" customFormat="1"/>
    <row r="1359" s="25" customFormat="1"/>
    <row r="1360" s="25" customFormat="1"/>
    <row r="1361" s="25" customFormat="1"/>
    <row r="1362" s="25" customFormat="1"/>
    <row r="1363" s="25" customFormat="1"/>
    <row r="1364" s="25" customFormat="1"/>
    <row r="1365" s="25" customFormat="1"/>
    <row r="1366" s="25" customFormat="1"/>
    <row r="1367" s="25" customFormat="1"/>
    <row r="1368" s="25" customFormat="1"/>
    <row r="1369" s="25" customFormat="1"/>
    <row r="1370" s="25" customFormat="1"/>
    <row r="1371" s="25" customFormat="1"/>
    <row r="1372" s="25" customFormat="1"/>
    <row r="1373" s="25" customFormat="1"/>
    <row r="1374" s="25" customFormat="1"/>
    <row r="1375" s="25" customFormat="1"/>
    <row r="1376" s="25" customFormat="1"/>
    <row r="1377" s="25" customFormat="1"/>
    <row r="1378" s="25" customFormat="1"/>
    <row r="1379" s="25" customFormat="1"/>
    <row r="1380" s="25" customFormat="1"/>
    <row r="1381" s="25" customFormat="1"/>
    <row r="1382" s="25" customFormat="1"/>
    <row r="1383" s="25" customFormat="1"/>
    <row r="1384" s="25" customFormat="1"/>
    <row r="1385" s="25" customFormat="1"/>
    <row r="1386" s="25" customFormat="1"/>
    <row r="1387" s="25" customFormat="1"/>
    <row r="1388" s="25" customFormat="1"/>
    <row r="1389" s="25" customFormat="1"/>
    <row r="1390" s="25" customFormat="1"/>
    <row r="1391" s="25" customFormat="1"/>
    <row r="1392" s="25" customFormat="1"/>
    <row r="1393" s="25" customFormat="1"/>
    <row r="1394" s="25" customFormat="1"/>
    <row r="1395" s="25" customFormat="1"/>
    <row r="1396" s="25" customFormat="1"/>
    <row r="1397" s="25" customFormat="1"/>
    <row r="1398" s="25" customFormat="1"/>
    <row r="1399" s="25" customFormat="1"/>
    <row r="1400" s="25" customFormat="1"/>
    <row r="1401" s="25" customFormat="1"/>
    <row r="1402" s="25" customFormat="1"/>
    <row r="1403" s="25" customFormat="1"/>
    <row r="1404" s="25" customFormat="1"/>
    <row r="1405" s="25" customFormat="1"/>
    <row r="1406" s="25" customFormat="1"/>
    <row r="1407" s="25" customFormat="1"/>
    <row r="1408" s="25" customFormat="1"/>
    <row r="1409" s="25" customFormat="1"/>
    <row r="1410" s="25" customFormat="1"/>
    <row r="1411" s="25" customFormat="1"/>
    <row r="1412" s="25" customFormat="1"/>
    <row r="1413" s="25" customFormat="1"/>
    <row r="1414" s="25" customFormat="1"/>
    <row r="1415" s="25" customFormat="1"/>
    <row r="1416" s="25" customFormat="1"/>
    <row r="1417" s="25" customFormat="1"/>
    <row r="1418" s="25" customFormat="1"/>
    <row r="1419" s="25" customFormat="1"/>
    <row r="1420" s="25" customFormat="1"/>
    <row r="1421" s="25" customFormat="1"/>
    <row r="1422" s="25" customFormat="1"/>
    <row r="1423" s="25" customFormat="1"/>
    <row r="1424" s="25" customFormat="1"/>
    <row r="1425" s="25" customFormat="1"/>
    <row r="1426" s="25" customFormat="1"/>
    <row r="1427" s="25" customFormat="1"/>
    <row r="1428" s="25" customFormat="1"/>
    <row r="1429" s="25" customFormat="1"/>
    <row r="1430" s="25" customFormat="1"/>
    <row r="1431" s="25" customFormat="1"/>
    <row r="1432" s="25" customFormat="1"/>
    <row r="1433" s="25" customFormat="1"/>
    <row r="1434" s="25" customFormat="1"/>
    <row r="1435" s="25" customFormat="1"/>
    <row r="1436" s="25" customFormat="1"/>
    <row r="1437" s="25" customFormat="1"/>
    <row r="1438" s="25" customFormat="1"/>
    <row r="1439" s="25" customFormat="1"/>
    <row r="1440" s="25" customFormat="1"/>
    <row r="1441" s="25" customFormat="1"/>
    <row r="1442" s="25" customFormat="1"/>
    <row r="1443" s="25" customFormat="1"/>
    <row r="1444" s="25" customFormat="1"/>
    <row r="1445" s="25" customFormat="1"/>
    <row r="1446" s="25" customFormat="1"/>
    <row r="1447" s="25" customFormat="1"/>
    <row r="1448" s="25" customFormat="1"/>
    <row r="1449" s="25" customFormat="1"/>
    <row r="1450" s="25" customFormat="1"/>
    <row r="1451" s="25" customFormat="1"/>
    <row r="1452" s="25" customFormat="1"/>
    <row r="1453" s="25" customFormat="1"/>
    <row r="1454" s="25" customFormat="1"/>
    <row r="1455" s="25" customFormat="1"/>
    <row r="1456" s="25" customFormat="1"/>
    <row r="1457" s="25" customFormat="1"/>
    <row r="1458" s="25" customFormat="1"/>
    <row r="1459" s="25" customFormat="1"/>
    <row r="1460" s="25" customFormat="1"/>
    <row r="1461" s="25" customFormat="1"/>
    <row r="1462" s="25" customFormat="1"/>
    <row r="1463" s="25" customFormat="1"/>
    <row r="1464" s="25" customFormat="1"/>
    <row r="1465" s="25" customFormat="1"/>
    <row r="1466" s="25" customFormat="1"/>
    <row r="1467" s="25" customFormat="1"/>
    <row r="1468" s="25" customFormat="1"/>
    <row r="1469" s="25" customFormat="1"/>
    <row r="1470" s="25" customFormat="1"/>
    <row r="1471" s="25" customFormat="1"/>
    <row r="1472" s="25" customFormat="1"/>
    <row r="1473" spans="3:5" s="25" customFormat="1"/>
    <row r="1474" spans="3:5" s="25" customFormat="1"/>
    <row r="1475" spans="3:5" s="25" customFormat="1"/>
    <row r="1476" spans="3:5" s="25" customFormat="1"/>
    <row r="1477" spans="3:5" s="25" customFormat="1"/>
    <row r="1478" spans="3:5" s="25" customFormat="1"/>
    <row r="1479" spans="3:5" s="25" customFormat="1"/>
    <row r="1480" spans="3:5" s="25" customFormat="1"/>
    <row r="1481" spans="3:5" s="25" customFormat="1"/>
    <row r="1482" spans="3:5" s="25" customFormat="1"/>
    <row r="1483" spans="3:5">
      <c r="C1483" s="25"/>
      <c r="D1483" s="25"/>
      <c r="E1483" s="25"/>
    </row>
    <row r="1484" spans="3:5">
      <c r="C1484" s="25"/>
      <c r="D1484" s="25"/>
      <c r="E1484" s="25"/>
    </row>
  </sheetData>
  <mergeCells count="5">
    <mergeCell ref="B23:B28"/>
    <mergeCell ref="I8:J8"/>
    <mergeCell ref="B5:J5"/>
    <mergeCell ref="B6:J6"/>
    <mergeCell ref="B10:B20"/>
  </mergeCells>
  <pageMargins left="0.25" right="0.25" top="0.75" bottom="0.75" header="0.3" footer="0.3"/>
  <pageSetup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E2109"/>
  <sheetViews>
    <sheetView zoomScale="90" zoomScaleNormal="90" workbookViewId="0">
      <selection activeCell="M24" sqref="M24"/>
    </sheetView>
  </sheetViews>
  <sheetFormatPr defaultRowHeight="15"/>
  <cols>
    <col min="1" max="2" width="9.140625" style="25"/>
    <col min="3" max="3" width="19.42578125" customWidth="1"/>
    <col min="4" max="4" width="19.42578125" bestFit="1" customWidth="1"/>
    <col min="5" max="5" width="14.42578125" bestFit="1" customWidth="1"/>
    <col min="6" max="7" width="9.140625" style="25"/>
    <col min="8" max="8" width="2.85546875" style="25" customWidth="1"/>
    <col min="9" max="9" width="31.28515625" style="25" customWidth="1"/>
    <col min="10" max="10" width="9.140625" style="25" customWidth="1"/>
    <col min="11" max="31" width="9.140625" style="25"/>
  </cols>
  <sheetData>
    <row r="1" spans="2:14" s="25" customFormat="1" ht="6" customHeight="1"/>
    <row r="2" spans="2:14" ht="18">
      <c r="B2" s="69" t="s">
        <v>0</v>
      </c>
      <c r="C2" s="15"/>
      <c r="D2" s="15"/>
      <c r="E2" s="15"/>
      <c r="F2" s="22"/>
    </row>
    <row r="3" spans="2:14" ht="15.75">
      <c r="B3" s="59" t="s">
        <v>83</v>
      </c>
      <c r="C3" s="15"/>
      <c r="D3" s="15"/>
      <c r="E3" s="15"/>
      <c r="F3" s="22"/>
    </row>
    <row r="4" spans="2:14" ht="5.25" customHeight="1">
      <c r="C4" s="15"/>
      <c r="D4" s="15"/>
      <c r="E4" s="15"/>
      <c r="F4" s="22"/>
    </row>
    <row r="5" spans="2:14" ht="21">
      <c r="B5" s="102" t="s">
        <v>62</v>
      </c>
      <c r="C5" s="102"/>
      <c r="D5" s="102"/>
      <c r="E5" s="102"/>
      <c r="F5" s="102"/>
      <c r="G5" s="102"/>
      <c r="H5" s="102"/>
      <c r="I5" s="102"/>
      <c r="J5" s="102"/>
    </row>
    <row r="6" spans="2:14" ht="18.75">
      <c r="B6" s="103" t="s">
        <v>50</v>
      </c>
      <c r="C6" s="103"/>
      <c r="D6" s="103"/>
      <c r="E6" s="103"/>
      <c r="F6" s="103"/>
      <c r="G6" s="103"/>
      <c r="H6" s="103"/>
      <c r="I6" s="103"/>
      <c r="J6" s="103"/>
    </row>
    <row r="7" spans="2:14">
      <c r="C7" s="15"/>
      <c r="D7" s="15"/>
      <c r="E7" s="15"/>
      <c r="F7" s="22"/>
    </row>
    <row r="8" spans="2:14" ht="15.75">
      <c r="B8" s="28"/>
      <c r="C8" s="73" t="s">
        <v>1</v>
      </c>
      <c r="D8" s="51" t="s">
        <v>2</v>
      </c>
      <c r="E8" s="51" t="s">
        <v>3</v>
      </c>
      <c r="F8" s="28"/>
      <c r="I8" s="100" t="s">
        <v>47</v>
      </c>
      <c r="J8" s="101"/>
    </row>
    <row r="9" spans="2:14" ht="36" customHeight="1">
      <c r="B9" s="90" t="s">
        <v>24</v>
      </c>
      <c r="C9" s="91" t="s">
        <v>28</v>
      </c>
      <c r="D9" s="91" t="s">
        <v>5</v>
      </c>
      <c r="E9" s="116">
        <f>IF(D9="Y",3,0)</f>
        <v>0</v>
      </c>
      <c r="F9" s="92"/>
      <c r="I9" s="74" t="s">
        <v>40</v>
      </c>
      <c r="J9" s="108">
        <f>E21+'Year 3'!E21+'Year 2'!D30+'Year 1'!D29+'Year 1'!J25</f>
        <v>0</v>
      </c>
    </row>
    <row r="10" spans="2:14" ht="15" customHeight="1">
      <c r="B10" s="104" t="s">
        <v>26</v>
      </c>
      <c r="C10" s="17" t="s">
        <v>63</v>
      </c>
      <c r="D10" s="17" t="s">
        <v>5</v>
      </c>
      <c r="E10" s="117">
        <f t="shared" ref="E10:E20" si="0">IF(D10="Y",3,0)</f>
        <v>0</v>
      </c>
      <c r="F10" s="22"/>
      <c r="I10" s="33" t="s">
        <v>38</v>
      </c>
      <c r="J10" s="108">
        <v>84</v>
      </c>
    </row>
    <row r="11" spans="2:14">
      <c r="B11" s="105"/>
      <c r="C11" s="17" t="s">
        <v>63</v>
      </c>
      <c r="D11" s="17" t="s">
        <v>5</v>
      </c>
      <c r="E11" s="117">
        <f t="shared" si="0"/>
        <v>0</v>
      </c>
      <c r="F11" s="22"/>
      <c r="I11" s="35" t="s">
        <v>51</v>
      </c>
      <c r="J11" s="109">
        <f>J10-J9</f>
        <v>84</v>
      </c>
      <c r="N11" s="22"/>
    </row>
    <row r="12" spans="2:14">
      <c r="B12" s="105"/>
      <c r="C12" s="17" t="s">
        <v>63</v>
      </c>
      <c r="D12" s="17" t="s">
        <v>5</v>
      </c>
      <c r="E12" s="117">
        <f t="shared" si="0"/>
        <v>0</v>
      </c>
      <c r="F12" s="22"/>
      <c r="I12" s="34"/>
      <c r="J12" s="108"/>
    </row>
    <row r="13" spans="2:14">
      <c r="B13" s="105"/>
      <c r="C13" s="17" t="s">
        <v>63</v>
      </c>
      <c r="D13" s="17" t="s">
        <v>5</v>
      </c>
      <c r="E13" s="117">
        <f>IF(D13="Y",3,0)</f>
        <v>0</v>
      </c>
      <c r="F13" s="22"/>
      <c r="I13" s="32" t="s">
        <v>41</v>
      </c>
      <c r="J13" s="108">
        <f>E29+'Year 3'!E29+'Year 2'!D31+'Year 1'!D30+'Year 1'!J26</f>
        <v>0</v>
      </c>
    </row>
    <row r="14" spans="2:14">
      <c r="B14" s="105"/>
      <c r="C14" s="17" t="s">
        <v>63</v>
      </c>
      <c r="D14" s="17" t="s">
        <v>5</v>
      </c>
      <c r="E14" s="117">
        <f>IF(D14="Y",3,0)</f>
        <v>0</v>
      </c>
      <c r="F14" s="22"/>
      <c r="I14" s="33" t="s">
        <v>39</v>
      </c>
      <c r="J14" s="108">
        <v>27</v>
      </c>
    </row>
    <row r="15" spans="2:14">
      <c r="B15" s="105"/>
      <c r="C15" s="17" t="s">
        <v>63</v>
      </c>
      <c r="D15" s="17" t="s">
        <v>5</v>
      </c>
      <c r="E15" s="117">
        <f>IF(D15="Y",3,0)</f>
        <v>0</v>
      </c>
      <c r="F15" s="22"/>
      <c r="I15" s="35" t="s">
        <v>52</v>
      </c>
      <c r="J15" s="109">
        <f>J14-J13</f>
        <v>27</v>
      </c>
    </row>
    <row r="16" spans="2:14">
      <c r="B16" s="105"/>
      <c r="C16" s="17" t="s">
        <v>63</v>
      </c>
      <c r="D16" s="17" t="s">
        <v>5</v>
      </c>
      <c r="E16" s="117">
        <f>IF(D16="Y",3,0)</f>
        <v>0</v>
      </c>
      <c r="F16" s="22"/>
      <c r="I16" s="36"/>
      <c r="J16" s="108"/>
    </row>
    <row r="17" spans="1:31">
      <c r="B17" s="105"/>
      <c r="C17" s="17" t="s">
        <v>63</v>
      </c>
      <c r="D17" s="17" t="s">
        <v>5</v>
      </c>
      <c r="E17" s="117">
        <f t="shared" si="0"/>
        <v>0</v>
      </c>
      <c r="F17" s="22"/>
      <c r="I17" s="75" t="s">
        <v>36</v>
      </c>
      <c r="J17" s="110">
        <f>J9+J13</f>
        <v>0</v>
      </c>
    </row>
    <row r="18" spans="1:31">
      <c r="B18" s="105"/>
      <c r="C18" s="17" t="s">
        <v>63</v>
      </c>
      <c r="D18" s="17" t="s">
        <v>5</v>
      </c>
      <c r="E18" s="117">
        <f t="shared" si="0"/>
        <v>0</v>
      </c>
      <c r="F18" s="22"/>
      <c r="I18" s="75" t="s">
        <v>37</v>
      </c>
      <c r="J18" s="110">
        <v>123</v>
      </c>
    </row>
    <row r="19" spans="1:31">
      <c r="B19" s="105"/>
      <c r="C19" s="17" t="s">
        <v>63</v>
      </c>
      <c r="D19" s="17" t="s">
        <v>5</v>
      </c>
      <c r="E19" s="117">
        <f t="shared" si="0"/>
        <v>0</v>
      </c>
      <c r="F19" s="22"/>
      <c r="I19" s="76" t="s">
        <v>66</v>
      </c>
      <c r="J19" s="111">
        <f>J18-J17</f>
        <v>123</v>
      </c>
    </row>
    <row r="20" spans="1:31">
      <c r="B20" s="106"/>
      <c r="C20" s="93" t="s">
        <v>73</v>
      </c>
      <c r="D20" s="20" t="s">
        <v>5</v>
      </c>
      <c r="E20" s="118">
        <f t="shared" si="0"/>
        <v>0</v>
      </c>
      <c r="F20" s="28"/>
      <c r="I20" s="29"/>
    </row>
    <row r="21" spans="1:31">
      <c r="C21" s="39" t="s">
        <v>27</v>
      </c>
      <c r="D21" s="38"/>
      <c r="E21" s="121">
        <f>SUM(E9:E20)</f>
        <v>0</v>
      </c>
      <c r="F21" s="22"/>
      <c r="I21" s="29"/>
    </row>
    <row r="22" spans="1:31" s="21" customFormat="1">
      <c r="A22" s="25"/>
      <c r="B22" s="25"/>
      <c r="C22" s="15"/>
      <c r="D22" s="17"/>
      <c r="E22" s="112"/>
      <c r="F22" s="22"/>
      <c r="G22" s="25"/>
      <c r="H22" s="25"/>
      <c r="I22" s="82" t="s">
        <v>29</v>
      </c>
      <c r="J22" s="25"/>
      <c r="K22" s="25"/>
      <c r="L22" s="25"/>
      <c r="M22" s="25"/>
      <c r="N22" s="25"/>
      <c r="O22" s="25"/>
      <c r="P22" s="25"/>
      <c r="Q22" s="25"/>
      <c r="R22" s="25"/>
      <c r="S22" s="25"/>
      <c r="T22" s="25"/>
      <c r="U22" s="25"/>
      <c r="V22" s="25"/>
      <c r="W22" s="25"/>
      <c r="X22" s="25"/>
      <c r="Y22" s="25"/>
      <c r="Z22" s="25"/>
      <c r="AA22" s="25"/>
      <c r="AB22" s="25"/>
      <c r="AC22" s="25"/>
      <c r="AD22" s="25"/>
      <c r="AE22" s="25"/>
    </row>
    <row r="23" spans="1:31" s="21" customFormat="1" ht="15" customHeight="1">
      <c r="A23" s="25"/>
      <c r="B23" s="98" t="s">
        <v>14</v>
      </c>
      <c r="C23" s="17" t="s">
        <v>96</v>
      </c>
      <c r="D23" s="17" t="s">
        <v>5</v>
      </c>
      <c r="E23" s="112">
        <f>IF(D23="Y",6,0)</f>
        <v>0</v>
      </c>
      <c r="F23" s="22"/>
      <c r="G23" s="25"/>
      <c r="H23" s="25"/>
      <c r="I23" s="78" t="s">
        <v>64</v>
      </c>
      <c r="J23" s="25"/>
      <c r="K23" s="25"/>
      <c r="L23" s="25"/>
      <c r="M23" s="25"/>
      <c r="N23" s="25"/>
      <c r="O23" s="25"/>
      <c r="P23" s="25"/>
      <c r="Q23" s="25"/>
      <c r="R23" s="25"/>
      <c r="S23" s="25"/>
      <c r="T23" s="25"/>
      <c r="U23" s="25"/>
      <c r="V23" s="25"/>
      <c r="W23" s="25"/>
      <c r="X23" s="25"/>
      <c r="Y23" s="25"/>
      <c r="Z23" s="25"/>
      <c r="AA23" s="25"/>
      <c r="AB23" s="25"/>
      <c r="AC23" s="25"/>
      <c r="AD23" s="25"/>
      <c r="AE23" s="25"/>
    </row>
    <row r="24" spans="1:31">
      <c r="B24" s="98"/>
      <c r="C24" s="17" t="s">
        <v>96</v>
      </c>
      <c r="D24" s="17" t="s">
        <v>5</v>
      </c>
      <c r="E24" s="112">
        <f>IF(D24="Y",6,0)</f>
        <v>0</v>
      </c>
      <c r="F24" s="22"/>
      <c r="I24" s="83" t="s">
        <v>65</v>
      </c>
    </row>
    <row r="25" spans="1:31">
      <c r="B25" s="98"/>
      <c r="C25" s="17" t="s">
        <v>15</v>
      </c>
      <c r="D25" s="17" t="s">
        <v>5</v>
      </c>
      <c r="E25" s="112">
        <f>IF(D25="Y",3,0)</f>
        <v>0</v>
      </c>
      <c r="F25" s="22"/>
      <c r="I25" s="84" t="s">
        <v>44</v>
      </c>
    </row>
    <row r="26" spans="1:31">
      <c r="B26" s="98"/>
      <c r="C26" s="17" t="s">
        <v>15</v>
      </c>
      <c r="D26" s="17" t="s">
        <v>5</v>
      </c>
      <c r="E26" s="112">
        <f>IF(D26="Y",3,0)</f>
        <v>0</v>
      </c>
      <c r="F26" s="22"/>
      <c r="I26" s="84" t="s">
        <v>45</v>
      </c>
    </row>
    <row r="27" spans="1:31">
      <c r="B27" s="98"/>
      <c r="C27" s="17" t="s">
        <v>15</v>
      </c>
      <c r="D27" s="17" t="s">
        <v>5</v>
      </c>
      <c r="E27" s="112">
        <f>IF(D27="Y",3,0)</f>
        <v>0</v>
      </c>
      <c r="F27" s="22"/>
      <c r="I27" s="84" t="s">
        <v>46</v>
      </c>
    </row>
    <row r="28" spans="1:31">
      <c r="B28" s="99"/>
      <c r="C28" s="20" t="s">
        <v>15</v>
      </c>
      <c r="D28" s="20" t="s">
        <v>5</v>
      </c>
      <c r="E28" s="113">
        <f>IF(D28="Y",3,0)</f>
        <v>0</v>
      </c>
      <c r="F28" s="28"/>
      <c r="I28" s="50"/>
    </row>
    <row r="29" spans="1:31" s="57" customFormat="1" ht="15.75">
      <c r="A29" s="55"/>
      <c r="B29" s="23"/>
      <c r="C29" s="39" t="s">
        <v>43</v>
      </c>
      <c r="D29" s="38"/>
      <c r="E29" s="121">
        <f>SUM(E23:E28)</f>
        <v>0</v>
      </c>
      <c r="F29" s="22"/>
      <c r="G29" s="55"/>
      <c r="H29" s="55"/>
      <c r="I29" s="25"/>
      <c r="J29" s="25"/>
      <c r="K29" s="55"/>
      <c r="L29" s="55"/>
      <c r="M29" s="55"/>
      <c r="N29" s="55"/>
      <c r="O29" s="55"/>
      <c r="P29" s="55"/>
      <c r="Q29" s="55"/>
      <c r="R29" s="55"/>
      <c r="S29" s="55"/>
      <c r="T29" s="55"/>
      <c r="U29" s="55"/>
      <c r="V29" s="55"/>
      <c r="W29" s="55"/>
      <c r="X29" s="55"/>
      <c r="Y29" s="55"/>
      <c r="Z29" s="55"/>
      <c r="AA29" s="55"/>
      <c r="AB29" s="55"/>
      <c r="AC29" s="55"/>
      <c r="AD29" s="55"/>
      <c r="AE29" s="55"/>
    </row>
    <row r="30" spans="1:31" ht="16.5" thickBot="1">
      <c r="B30" s="45"/>
      <c r="C30" s="40"/>
      <c r="D30" s="46"/>
      <c r="E30" s="122"/>
      <c r="F30" s="40"/>
      <c r="I30" s="55"/>
      <c r="J30" s="55"/>
    </row>
    <row r="31" spans="1:31" ht="16.5" thickTop="1">
      <c r="B31" s="56"/>
      <c r="C31" s="48" t="s">
        <v>16</v>
      </c>
      <c r="D31" s="54"/>
      <c r="E31" s="115">
        <f>E29+E21</f>
        <v>0</v>
      </c>
      <c r="F31" s="58"/>
    </row>
    <row r="32" spans="1:31">
      <c r="C32" s="22" t="s">
        <v>67</v>
      </c>
      <c r="D32" s="15"/>
      <c r="E32" s="112">
        <f>27-E31</f>
        <v>27</v>
      </c>
      <c r="F32" s="22"/>
    </row>
    <row r="33" spans="3:6" ht="15.75">
      <c r="C33" s="19"/>
      <c r="D33" s="15"/>
      <c r="E33" s="15"/>
      <c r="F33" s="22"/>
    </row>
    <row r="34" spans="3:6">
      <c r="C34" s="15"/>
      <c r="D34" s="15"/>
      <c r="E34" s="15"/>
      <c r="F34" s="22"/>
    </row>
    <row r="35" spans="3:6">
      <c r="C35" s="15"/>
      <c r="D35" s="15"/>
      <c r="E35" s="15"/>
      <c r="F35" s="22"/>
    </row>
    <row r="36" spans="3:6">
      <c r="C36" s="15"/>
      <c r="D36" s="15"/>
      <c r="E36" s="15"/>
      <c r="F36" s="22"/>
    </row>
    <row r="37" spans="3:6">
      <c r="C37" s="15"/>
      <c r="D37" s="15"/>
      <c r="E37" s="15"/>
      <c r="F37" s="22"/>
    </row>
    <row r="38" spans="3:6">
      <c r="C38" s="15"/>
      <c r="D38" s="15"/>
      <c r="E38" s="15"/>
      <c r="F38" s="22"/>
    </row>
    <row r="39" spans="3:6">
      <c r="C39" s="15"/>
      <c r="D39" s="15"/>
      <c r="E39" s="15"/>
      <c r="F39" s="22"/>
    </row>
    <row r="40" spans="3:6">
      <c r="C40" s="15"/>
      <c r="D40" s="15"/>
      <c r="E40" s="15"/>
      <c r="F40" s="22"/>
    </row>
    <row r="41" spans="3:6">
      <c r="C41" s="15"/>
      <c r="D41" s="15"/>
      <c r="E41" s="15"/>
      <c r="F41" s="22"/>
    </row>
    <row r="42" spans="3:6">
      <c r="C42" s="15"/>
      <c r="D42" s="15"/>
      <c r="E42" s="15"/>
      <c r="F42" s="22"/>
    </row>
    <row r="43" spans="3:6">
      <c r="C43" s="15"/>
      <c r="D43" s="15"/>
      <c r="E43" s="15"/>
      <c r="F43" s="22"/>
    </row>
    <row r="44" spans="3:6">
      <c r="C44" s="15"/>
      <c r="D44" s="15"/>
      <c r="E44" s="15"/>
      <c r="F44" s="22"/>
    </row>
    <row r="45" spans="3:6">
      <c r="C45" s="15"/>
      <c r="D45" s="15"/>
      <c r="E45" s="15"/>
      <c r="F45" s="22"/>
    </row>
    <row r="46" spans="3:6">
      <c r="C46" s="15"/>
      <c r="D46" s="15"/>
      <c r="E46" s="15"/>
      <c r="F46" s="22"/>
    </row>
    <row r="47" spans="3:6">
      <c r="C47" s="15"/>
      <c r="D47" s="15"/>
      <c r="E47" s="15"/>
      <c r="F47" s="22"/>
    </row>
    <row r="48" spans="3:6">
      <c r="C48" s="15"/>
      <c r="D48" s="15"/>
      <c r="E48" s="15"/>
      <c r="F48" s="22"/>
    </row>
    <row r="49" spans="3:6" s="25" customFormat="1">
      <c r="C49" s="15"/>
      <c r="D49" s="15"/>
      <c r="E49" s="15"/>
      <c r="F49" s="22"/>
    </row>
    <row r="50" spans="3:6" s="25" customFormat="1">
      <c r="C50" s="15"/>
      <c r="D50" s="15"/>
      <c r="E50" s="15"/>
      <c r="F50" s="22"/>
    </row>
    <row r="51" spans="3:6" s="25" customFormat="1">
      <c r="C51" s="15"/>
      <c r="D51" s="15"/>
      <c r="E51" s="15"/>
      <c r="F51" s="22"/>
    </row>
    <row r="52" spans="3:6" s="25" customFormat="1">
      <c r="C52" s="15"/>
      <c r="D52" s="15"/>
      <c r="E52" s="15"/>
      <c r="F52" s="22"/>
    </row>
    <row r="53" spans="3:6" s="25" customFormat="1"/>
    <row r="54" spans="3:6" s="25" customFormat="1"/>
    <row r="55" spans="3:6" s="25" customFormat="1"/>
    <row r="56" spans="3:6" s="25" customFormat="1"/>
    <row r="57" spans="3:6" s="25" customFormat="1"/>
    <row r="58" spans="3:6" s="25" customFormat="1"/>
    <row r="59" spans="3:6" s="25" customFormat="1"/>
    <row r="60" spans="3:6" s="25" customFormat="1"/>
    <row r="61" spans="3:6" s="25" customFormat="1"/>
    <row r="62" spans="3:6" s="25" customFormat="1"/>
    <row r="63" spans="3:6" s="25" customFormat="1"/>
    <row r="64" spans="3:6" s="25" customFormat="1"/>
    <row r="65" s="25" customFormat="1"/>
    <row r="66" s="25" customFormat="1"/>
    <row r="67" s="25" customFormat="1"/>
    <row r="68" s="25" customFormat="1"/>
    <row r="69" s="25" customFormat="1"/>
    <row r="70" s="25" customFormat="1"/>
    <row r="71" s="25" customFormat="1"/>
    <row r="72" s="25" customFormat="1"/>
    <row r="73" s="25" customFormat="1"/>
    <row r="74" s="25" customFormat="1"/>
    <row r="75" s="25" customFormat="1"/>
    <row r="76" s="25" customFormat="1"/>
    <row r="77" s="25" customFormat="1"/>
    <row r="78" s="25" customFormat="1"/>
    <row r="79" s="25" customFormat="1"/>
    <row r="80" s="25" customFormat="1"/>
    <row r="81" s="25" customFormat="1"/>
    <row r="82" s="25" customFormat="1"/>
    <row r="83" s="25" customFormat="1"/>
    <row r="84" s="25" customFormat="1"/>
    <row r="85" s="25" customFormat="1"/>
    <row r="86" s="25" customFormat="1"/>
    <row r="87" s="25" customFormat="1"/>
    <row r="88" s="25" customFormat="1"/>
    <row r="89" s="25" customFormat="1"/>
    <row r="90" s="25" customFormat="1"/>
    <row r="91" s="25" customFormat="1"/>
    <row r="92" s="25" customFormat="1"/>
    <row r="93" s="25" customFormat="1"/>
    <row r="94" s="25" customFormat="1"/>
    <row r="95" s="25" customFormat="1"/>
    <row r="96" s="25" customFormat="1"/>
    <row r="97" s="25" customFormat="1"/>
    <row r="98" s="25" customFormat="1"/>
    <row r="99" s="25" customFormat="1"/>
    <row r="100" s="25" customFormat="1"/>
    <row r="101" s="25" customFormat="1"/>
    <row r="102" s="25" customFormat="1"/>
    <row r="103" s="25" customFormat="1"/>
    <row r="104" s="25" customFormat="1"/>
    <row r="105" s="25" customFormat="1"/>
    <row r="106" s="25" customFormat="1"/>
    <row r="107" s="25" customFormat="1"/>
    <row r="108" s="25" customFormat="1"/>
    <row r="109" s="25" customFormat="1"/>
    <row r="110" s="25" customFormat="1"/>
    <row r="111" s="25" customFormat="1"/>
    <row r="112" s="25" customFormat="1"/>
    <row r="113" s="25" customFormat="1"/>
    <row r="114" s="25" customFormat="1"/>
    <row r="115" s="25" customFormat="1"/>
    <row r="116" s="25" customFormat="1"/>
    <row r="117" s="25" customFormat="1"/>
    <row r="118" s="25" customFormat="1"/>
    <row r="119" s="25" customFormat="1"/>
    <row r="120" s="25" customFormat="1"/>
    <row r="121" s="25" customFormat="1"/>
    <row r="122" s="25" customFormat="1"/>
    <row r="123" s="25" customFormat="1"/>
    <row r="124" s="25" customFormat="1"/>
    <row r="125" s="25" customFormat="1"/>
    <row r="126" s="25" customFormat="1"/>
    <row r="127" s="25" customFormat="1"/>
    <row r="128" s="25" customFormat="1"/>
    <row r="129" s="25" customFormat="1"/>
    <row r="130" s="25" customFormat="1"/>
    <row r="131" s="25" customFormat="1"/>
    <row r="132" s="25" customFormat="1"/>
    <row r="133" s="25" customFormat="1"/>
    <row r="134" s="25" customFormat="1"/>
    <row r="135" s="25" customFormat="1"/>
    <row r="136" s="25" customFormat="1"/>
    <row r="137" s="25" customFormat="1"/>
    <row r="138" s="25" customFormat="1"/>
    <row r="139" s="25" customFormat="1"/>
    <row r="140" s="25" customFormat="1"/>
    <row r="141" s="25" customFormat="1"/>
    <row r="142" s="25" customFormat="1"/>
    <row r="143" s="25" customFormat="1"/>
    <row r="144" s="25" customFormat="1"/>
    <row r="145" s="25" customFormat="1"/>
    <row r="146" s="25" customFormat="1"/>
    <row r="147" s="25" customFormat="1"/>
    <row r="148" s="25" customFormat="1"/>
    <row r="149" s="25" customFormat="1"/>
    <row r="150" s="25" customFormat="1"/>
    <row r="151" s="25" customFormat="1"/>
    <row r="152" s="25" customFormat="1"/>
    <row r="153" s="25" customFormat="1"/>
    <row r="154" s="25" customFormat="1"/>
    <row r="155" s="25" customFormat="1"/>
    <row r="156" s="25" customFormat="1"/>
    <row r="157" s="25" customFormat="1"/>
    <row r="158" s="25" customFormat="1"/>
    <row r="159" s="25" customFormat="1"/>
    <row r="160" s="25" customFormat="1"/>
    <row r="161" s="25" customFormat="1"/>
    <row r="162" s="25" customFormat="1"/>
    <row r="163" s="25" customFormat="1"/>
    <row r="164" s="25" customFormat="1"/>
    <row r="165" s="25" customFormat="1"/>
    <row r="166" s="25" customFormat="1"/>
    <row r="167" s="25" customFormat="1"/>
    <row r="168" s="25" customFormat="1"/>
    <row r="169" s="25" customFormat="1"/>
    <row r="170" s="25" customFormat="1"/>
    <row r="171" s="25" customFormat="1"/>
    <row r="172" s="25" customFormat="1"/>
    <row r="173" s="25" customFormat="1"/>
    <row r="174" s="25" customFormat="1"/>
    <row r="175" s="25" customFormat="1"/>
    <row r="176" s="25" customFormat="1"/>
    <row r="177" s="25" customFormat="1"/>
    <row r="178" s="25" customFormat="1"/>
    <row r="179" s="25" customFormat="1"/>
    <row r="180" s="25" customFormat="1"/>
    <row r="181" s="25" customFormat="1"/>
    <row r="182" s="25" customFormat="1"/>
    <row r="183" s="25" customFormat="1"/>
    <row r="184" s="25" customFormat="1"/>
    <row r="185" s="25" customFormat="1"/>
    <row r="186" s="25" customFormat="1"/>
    <row r="187" s="25" customFormat="1"/>
    <row r="188" s="25" customFormat="1"/>
    <row r="189" s="25" customFormat="1"/>
    <row r="190" s="25" customFormat="1"/>
    <row r="191" s="25" customFormat="1"/>
    <row r="192" s="25" customFormat="1"/>
    <row r="193" s="25" customFormat="1"/>
    <row r="194" s="25" customFormat="1"/>
    <row r="195" s="25" customFormat="1"/>
    <row r="196" s="25" customFormat="1"/>
    <row r="197" s="25" customFormat="1"/>
    <row r="198" s="25" customFormat="1"/>
    <row r="199" s="25" customFormat="1"/>
    <row r="200" s="25" customFormat="1"/>
    <row r="201" s="25" customFormat="1"/>
    <row r="202" s="25" customFormat="1"/>
    <row r="203" s="25" customFormat="1"/>
    <row r="204" s="25" customFormat="1"/>
    <row r="205" s="25" customFormat="1"/>
    <row r="206" s="25" customFormat="1"/>
    <row r="207" s="25" customFormat="1"/>
    <row r="208" s="25" customFormat="1"/>
    <row r="209" s="25" customFormat="1"/>
    <row r="210" s="25" customFormat="1"/>
    <row r="211" s="25" customFormat="1"/>
    <row r="212" s="25" customFormat="1"/>
    <row r="213" s="25" customFormat="1"/>
    <row r="214" s="25" customFormat="1"/>
    <row r="215" s="25" customFormat="1"/>
    <row r="216" s="25" customFormat="1"/>
    <row r="217" s="25" customFormat="1"/>
    <row r="218" s="25" customFormat="1"/>
    <row r="219" s="25" customFormat="1"/>
    <row r="220" s="25" customFormat="1"/>
    <row r="221" s="25" customFormat="1"/>
    <row r="222" s="25" customFormat="1"/>
    <row r="223" s="25" customFormat="1"/>
    <row r="224" s="25" customFormat="1"/>
    <row r="225" s="25" customFormat="1"/>
    <row r="226" s="25" customFormat="1"/>
    <row r="227" s="25" customFormat="1"/>
    <row r="228" s="25" customFormat="1"/>
    <row r="229" s="25" customFormat="1"/>
    <row r="230" s="25" customFormat="1"/>
    <row r="231" s="25" customFormat="1"/>
    <row r="232" s="25" customFormat="1"/>
    <row r="233" s="25" customFormat="1"/>
    <row r="234" s="25" customFormat="1"/>
    <row r="235" s="25" customFormat="1"/>
    <row r="236" s="25" customFormat="1"/>
    <row r="237" s="25" customFormat="1"/>
    <row r="238" s="25" customFormat="1"/>
    <row r="239" s="25" customFormat="1"/>
    <row r="240" s="25" customFormat="1"/>
    <row r="241" s="25" customFormat="1"/>
    <row r="242" s="25" customFormat="1"/>
    <row r="243" s="25" customFormat="1"/>
    <row r="244" s="25" customFormat="1"/>
    <row r="245" s="25" customFormat="1"/>
    <row r="246" s="25" customFormat="1"/>
    <row r="247" s="25" customFormat="1"/>
    <row r="248" s="25" customFormat="1"/>
    <row r="249" s="25" customFormat="1"/>
    <row r="250" s="25" customFormat="1"/>
    <row r="251" s="25" customFormat="1"/>
    <row r="252" s="25" customFormat="1"/>
    <row r="253" s="25" customFormat="1"/>
    <row r="254" s="25" customFormat="1"/>
    <row r="255" s="25" customFormat="1"/>
    <row r="256" s="25" customFormat="1"/>
    <row r="257" s="25" customFormat="1"/>
    <row r="258" s="25" customFormat="1"/>
    <row r="259" s="25" customFormat="1"/>
    <row r="260" s="25" customFormat="1"/>
    <row r="261" s="25" customFormat="1"/>
    <row r="262" s="25" customFormat="1"/>
    <row r="263" s="25" customFormat="1"/>
    <row r="264" s="25" customFormat="1"/>
    <row r="265" s="25" customFormat="1"/>
    <row r="266" s="25" customFormat="1"/>
    <row r="267" s="25" customFormat="1"/>
    <row r="268" s="25" customFormat="1"/>
    <row r="269" s="25" customFormat="1"/>
    <row r="270" s="25" customFormat="1"/>
    <row r="271" s="25" customFormat="1"/>
    <row r="272" s="25" customFormat="1"/>
    <row r="273" s="25" customFormat="1"/>
    <row r="274" s="25" customFormat="1"/>
    <row r="275" s="25" customFormat="1"/>
    <row r="276" s="25" customFormat="1"/>
    <row r="277" s="25" customFormat="1"/>
    <row r="278" s="25" customFormat="1"/>
    <row r="279" s="25" customFormat="1"/>
    <row r="280" s="25" customFormat="1"/>
    <row r="281" s="25" customFormat="1"/>
    <row r="282" s="25" customFormat="1"/>
    <row r="283" s="25" customFormat="1"/>
    <row r="284" s="25" customFormat="1"/>
    <row r="285" s="25" customFormat="1"/>
    <row r="286" s="25" customFormat="1"/>
    <row r="287" s="25" customFormat="1"/>
    <row r="288" s="25" customFormat="1"/>
    <row r="289" s="25" customFormat="1"/>
    <row r="290" s="25" customFormat="1"/>
    <row r="291" s="25" customFormat="1"/>
    <row r="292" s="25" customFormat="1"/>
    <row r="293" s="25" customFormat="1"/>
    <row r="294" s="25" customFormat="1"/>
    <row r="295" s="25" customFormat="1"/>
    <row r="296" s="25" customFormat="1"/>
    <row r="297" s="25" customFormat="1"/>
    <row r="298" s="25" customFormat="1"/>
    <row r="299" s="25" customFormat="1"/>
    <row r="300" s="25" customFormat="1"/>
    <row r="301" s="25" customFormat="1"/>
    <row r="302" s="25" customFormat="1"/>
    <row r="303" s="25" customFormat="1"/>
    <row r="304" s="25" customFormat="1"/>
    <row r="305" s="25" customFormat="1"/>
    <row r="306" s="25" customFormat="1"/>
    <row r="307" s="25" customFormat="1"/>
    <row r="308" s="25" customFormat="1"/>
    <row r="309" s="25" customFormat="1"/>
    <row r="310" s="25" customFormat="1"/>
    <row r="311" s="25" customFormat="1"/>
    <row r="312" s="25" customFormat="1"/>
    <row r="313" s="25" customFormat="1"/>
    <row r="314" s="25" customFormat="1"/>
    <row r="315" s="25" customFormat="1"/>
    <row r="316" s="25" customFormat="1"/>
    <row r="317" s="25" customFormat="1"/>
    <row r="318" s="25" customFormat="1"/>
    <row r="319" s="25" customFormat="1"/>
    <row r="320" s="25" customFormat="1"/>
    <row r="321" s="25" customFormat="1"/>
    <row r="322" s="25" customFormat="1"/>
    <row r="323" s="25" customFormat="1"/>
    <row r="324" s="25" customFormat="1"/>
    <row r="325" s="25" customFormat="1"/>
    <row r="326" s="25" customFormat="1"/>
    <row r="327" s="25" customFormat="1"/>
    <row r="328" s="25" customFormat="1"/>
    <row r="329" s="25" customFormat="1"/>
    <row r="330" s="25" customFormat="1"/>
    <row r="331" s="25" customFormat="1"/>
    <row r="332" s="25" customFormat="1"/>
    <row r="333" s="25" customFormat="1"/>
    <row r="334" s="25" customFormat="1"/>
    <row r="335" s="25" customFormat="1"/>
    <row r="336" s="25" customFormat="1"/>
    <row r="337" s="25" customFormat="1"/>
    <row r="338" s="25" customFormat="1"/>
    <row r="339" s="25" customFormat="1"/>
    <row r="340" s="25" customFormat="1"/>
    <row r="341" s="25" customFormat="1"/>
    <row r="342" s="25" customFormat="1"/>
    <row r="343" s="25" customFormat="1"/>
    <row r="344" s="25" customFormat="1"/>
    <row r="345" s="25" customFormat="1"/>
    <row r="346" s="25" customFormat="1"/>
    <row r="347" s="25" customFormat="1"/>
    <row r="348" s="25" customFormat="1"/>
    <row r="349" s="25" customFormat="1"/>
    <row r="350" s="25" customFormat="1"/>
    <row r="351" s="25" customFormat="1"/>
    <row r="352" s="25" customFormat="1"/>
    <row r="353" s="25" customFormat="1"/>
    <row r="354" s="25" customFormat="1"/>
    <row r="355" s="25" customFormat="1"/>
    <row r="356" s="25" customFormat="1"/>
    <row r="357" s="25" customFormat="1"/>
    <row r="358" s="25" customFormat="1"/>
    <row r="359" s="25" customFormat="1"/>
    <row r="360" s="25" customFormat="1"/>
    <row r="361" s="25" customFormat="1"/>
    <row r="362" s="25" customFormat="1"/>
    <row r="363" s="25" customFormat="1"/>
    <row r="364" s="25" customFormat="1"/>
    <row r="365" s="25" customFormat="1"/>
    <row r="366" s="25" customFormat="1"/>
    <row r="367" s="25" customFormat="1"/>
    <row r="368" s="25" customFormat="1"/>
    <row r="369" s="25" customFormat="1"/>
    <row r="370" s="25" customFormat="1"/>
    <row r="371" s="25" customFormat="1"/>
    <row r="372" s="25" customFormat="1"/>
    <row r="373" s="25" customFormat="1"/>
    <row r="374" s="25" customFormat="1"/>
    <row r="375" s="25" customFormat="1"/>
    <row r="376" s="25" customFormat="1"/>
    <row r="377" s="25" customFormat="1"/>
    <row r="378" s="25" customFormat="1"/>
    <row r="379" s="25" customFormat="1"/>
    <row r="380" s="25" customFormat="1"/>
    <row r="381" s="25" customFormat="1"/>
    <row r="382" s="25" customFormat="1"/>
    <row r="383" s="25" customFormat="1"/>
    <row r="384" s="25" customFormat="1"/>
    <row r="385" s="25" customFormat="1"/>
    <row r="386" s="25" customFormat="1"/>
    <row r="387" s="25" customFormat="1"/>
    <row r="388" s="25" customFormat="1"/>
    <row r="389" s="25" customFormat="1"/>
    <row r="390" s="25" customFormat="1"/>
    <row r="391" s="25" customFormat="1"/>
    <row r="392" s="25" customFormat="1"/>
    <row r="393" s="25" customFormat="1"/>
    <row r="394" s="25" customFormat="1"/>
    <row r="395" s="25" customFormat="1"/>
    <row r="396" s="25" customFormat="1"/>
    <row r="397" s="25" customFormat="1"/>
    <row r="398" s="25" customFormat="1"/>
    <row r="399" s="25" customFormat="1"/>
    <row r="400" s="25" customFormat="1"/>
    <row r="401" s="25" customFormat="1"/>
    <row r="402" s="25" customFormat="1"/>
    <row r="403" s="25" customFormat="1"/>
    <row r="404" s="25" customFormat="1"/>
    <row r="405" s="25" customFormat="1"/>
    <row r="406" s="25" customFormat="1"/>
    <row r="407" s="25" customFormat="1"/>
    <row r="408" s="25" customFormat="1"/>
    <row r="409" s="25" customFormat="1"/>
    <row r="410" s="25" customFormat="1"/>
    <row r="411" s="25" customFormat="1"/>
    <row r="412" s="25" customFormat="1"/>
    <row r="413" s="25" customFormat="1"/>
    <row r="414" s="25" customFormat="1"/>
    <row r="415" s="25" customFormat="1"/>
    <row r="416" s="25" customFormat="1"/>
    <row r="417" s="25" customFormat="1"/>
    <row r="418" s="25" customFormat="1"/>
    <row r="419" s="25" customFormat="1"/>
    <row r="420" s="25" customFormat="1"/>
    <row r="421" s="25" customFormat="1"/>
    <row r="422" s="25" customFormat="1"/>
    <row r="423" s="25" customFormat="1"/>
    <row r="424" s="25" customFormat="1"/>
    <row r="425" s="25" customFormat="1"/>
    <row r="426" s="25" customFormat="1"/>
    <row r="427" s="25" customFormat="1"/>
    <row r="428" s="25" customFormat="1"/>
    <row r="429" s="25" customFormat="1"/>
    <row r="430" s="25" customFormat="1"/>
    <row r="431" s="25" customFormat="1"/>
    <row r="432" s="25" customFormat="1"/>
    <row r="433" s="25" customFormat="1"/>
    <row r="434" s="25" customFormat="1"/>
    <row r="435" s="25" customFormat="1"/>
    <row r="436" s="25" customFormat="1"/>
    <row r="437" s="25" customFormat="1"/>
    <row r="438" s="25" customFormat="1"/>
    <row r="439" s="25" customFormat="1"/>
    <row r="440" s="25" customFormat="1"/>
    <row r="441" s="25" customFormat="1"/>
    <row r="442" s="25" customFormat="1"/>
    <row r="443" s="25" customFormat="1"/>
    <row r="444" s="25" customFormat="1"/>
    <row r="445" s="25" customFormat="1"/>
    <row r="446" s="25" customFormat="1"/>
    <row r="447" s="25" customFormat="1"/>
    <row r="448" s="25" customFormat="1"/>
    <row r="449" s="25" customFormat="1"/>
    <row r="450" s="25" customFormat="1"/>
    <row r="451" s="25" customFormat="1"/>
    <row r="452" s="25" customFormat="1"/>
    <row r="453" s="25" customFormat="1"/>
    <row r="454" s="25" customFormat="1"/>
    <row r="455" s="25" customFormat="1"/>
    <row r="456" s="25" customFormat="1"/>
    <row r="457" s="25" customFormat="1"/>
    <row r="458" s="25" customFormat="1"/>
    <row r="459" s="25" customFormat="1"/>
    <row r="460" s="25" customFormat="1"/>
    <row r="461" s="25" customFormat="1"/>
    <row r="462" s="25" customFormat="1"/>
    <row r="463" s="25" customFormat="1"/>
    <row r="464" s="25" customFormat="1"/>
    <row r="465" s="25" customFormat="1"/>
    <row r="466" s="25" customFormat="1"/>
    <row r="467" s="25" customFormat="1"/>
    <row r="468" s="25" customFormat="1"/>
    <row r="469" s="25" customFormat="1"/>
    <row r="470" s="25" customFormat="1"/>
    <row r="471" s="25" customFormat="1"/>
    <row r="472" s="25" customFormat="1"/>
    <row r="473" s="25" customFormat="1"/>
    <row r="474" s="25" customFormat="1"/>
    <row r="475" s="25" customFormat="1"/>
    <row r="476" s="25" customFormat="1"/>
    <row r="477" s="25" customFormat="1"/>
    <row r="478" s="25" customFormat="1"/>
    <row r="479" s="25" customFormat="1"/>
    <row r="480" s="25" customFormat="1"/>
    <row r="481" s="25" customFormat="1"/>
    <row r="482" s="25" customFormat="1"/>
    <row r="483" s="25" customFormat="1"/>
    <row r="484" s="25" customFormat="1"/>
    <row r="485" s="25" customFormat="1"/>
    <row r="486" s="25" customFormat="1"/>
    <row r="487" s="25" customFormat="1"/>
    <row r="488" s="25" customFormat="1"/>
    <row r="489" s="25" customFormat="1"/>
    <row r="490" s="25" customFormat="1"/>
    <row r="491" s="25" customFormat="1"/>
    <row r="492" s="25" customFormat="1"/>
    <row r="493" s="25" customFormat="1"/>
    <row r="494" s="25" customFormat="1"/>
    <row r="495" s="25" customFormat="1"/>
    <row r="496" s="25" customFormat="1"/>
    <row r="497" s="25" customFormat="1"/>
    <row r="498" s="25" customFormat="1"/>
    <row r="499" s="25" customFormat="1"/>
    <row r="500" s="25" customFormat="1"/>
    <row r="501" s="25" customFormat="1"/>
    <row r="502" s="25" customFormat="1"/>
    <row r="503" s="25" customFormat="1"/>
    <row r="504" s="25" customFormat="1"/>
    <row r="505" s="25" customFormat="1"/>
    <row r="506" s="25" customFormat="1"/>
    <row r="507" s="25" customFormat="1"/>
    <row r="508" s="25" customFormat="1"/>
    <row r="509" s="25" customFormat="1"/>
    <row r="510" s="25" customFormat="1"/>
    <row r="511" s="25" customFormat="1"/>
    <row r="512" s="25" customFormat="1"/>
    <row r="513" s="25" customFormat="1"/>
    <row r="514" s="25" customFormat="1"/>
    <row r="515" s="25" customFormat="1"/>
    <row r="516" s="25" customFormat="1"/>
    <row r="517" s="25" customFormat="1"/>
    <row r="518" s="25" customFormat="1"/>
    <row r="519" s="25" customFormat="1"/>
    <row r="520" s="25" customFormat="1"/>
    <row r="521" s="25" customFormat="1"/>
    <row r="522" s="25" customFormat="1"/>
    <row r="523" s="25" customFormat="1"/>
    <row r="524" s="25" customFormat="1"/>
    <row r="525" s="25" customFormat="1"/>
    <row r="526" s="25" customFormat="1"/>
    <row r="527" s="25" customFormat="1"/>
    <row r="528" s="25" customFormat="1"/>
    <row r="529" s="25" customFormat="1"/>
    <row r="530" s="25" customFormat="1"/>
    <row r="531" s="25" customFormat="1"/>
    <row r="532" s="25" customFormat="1"/>
    <row r="533" s="25" customFormat="1"/>
    <row r="534" s="25" customFormat="1"/>
    <row r="535" s="25" customFormat="1"/>
    <row r="536" s="25" customFormat="1"/>
    <row r="537" s="25" customFormat="1"/>
    <row r="538" s="25" customFormat="1"/>
    <row r="539" s="25" customFormat="1"/>
    <row r="540" s="25" customFormat="1"/>
    <row r="541" s="25" customFormat="1"/>
    <row r="542" s="25" customFormat="1"/>
    <row r="543" s="25" customFormat="1"/>
    <row r="544" s="25" customFormat="1"/>
    <row r="545" s="25" customFormat="1"/>
    <row r="546" s="25" customFormat="1"/>
    <row r="547" s="25" customFormat="1"/>
    <row r="548" s="25" customFormat="1"/>
    <row r="549" s="25" customFormat="1"/>
    <row r="550" s="25" customFormat="1"/>
    <row r="551" s="25" customFormat="1"/>
    <row r="552" s="25" customFormat="1"/>
    <row r="553" s="25" customFormat="1"/>
    <row r="554" s="25" customFormat="1"/>
    <row r="555" s="25" customFormat="1"/>
    <row r="556" s="25" customFormat="1"/>
    <row r="557" s="25" customFormat="1"/>
    <row r="558" s="25" customFormat="1"/>
    <row r="559" s="25" customFormat="1"/>
    <row r="560" s="25" customFormat="1"/>
    <row r="561" s="25" customFormat="1"/>
    <row r="562" s="25" customFormat="1"/>
    <row r="563" s="25" customFormat="1"/>
    <row r="564" s="25" customFormat="1"/>
    <row r="565" s="25" customFormat="1"/>
    <row r="566" s="25" customFormat="1"/>
    <row r="567" s="25" customFormat="1"/>
    <row r="568" s="25" customFormat="1"/>
    <row r="569" s="25" customFormat="1"/>
    <row r="570" s="25" customFormat="1"/>
    <row r="571" s="25" customFormat="1"/>
    <row r="572" s="25" customFormat="1"/>
    <row r="573" s="25" customFormat="1"/>
    <row r="574" s="25" customFormat="1"/>
    <row r="575" s="25" customFormat="1"/>
    <row r="576" s="25" customFormat="1"/>
    <row r="577" s="25" customFormat="1"/>
    <row r="578" s="25" customFormat="1"/>
    <row r="579" s="25" customFormat="1"/>
    <row r="580" s="25" customFormat="1"/>
    <row r="581" s="25" customFormat="1"/>
    <row r="582" s="25" customFormat="1"/>
    <row r="583" s="25" customFormat="1"/>
    <row r="584" s="25" customFormat="1"/>
    <row r="585" s="25" customFormat="1"/>
    <row r="586" s="25" customFormat="1"/>
    <row r="587" s="25" customFormat="1"/>
    <row r="588" s="25" customFormat="1"/>
    <row r="589" s="25" customFormat="1"/>
    <row r="590" s="25" customFormat="1"/>
    <row r="591" s="25" customFormat="1"/>
    <row r="592" s="25" customFormat="1"/>
    <row r="593" s="25" customFormat="1"/>
    <row r="594" s="25" customFormat="1"/>
    <row r="595" s="25" customFormat="1"/>
    <row r="596" s="25" customFormat="1"/>
    <row r="597" s="25" customFormat="1"/>
    <row r="598" s="25" customFormat="1"/>
    <row r="599" s="25" customFormat="1"/>
    <row r="600" s="25" customFormat="1"/>
    <row r="601" s="25" customFormat="1"/>
    <row r="602" s="25" customFormat="1"/>
    <row r="603" s="25" customFormat="1"/>
    <row r="604" s="25" customFormat="1"/>
    <row r="605" s="25" customFormat="1"/>
    <row r="606" s="25" customFormat="1"/>
    <row r="607" s="25" customFormat="1"/>
    <row r="608" s="25" customFormat="1"/>
    <row r="609" s="25" customFormat="1"/>
    <row r="610" s="25" customFormat="1"/>
    <row r="611" s="25" customFormat="1"/>
    <row r="612" s="25" customFormat="1"/>
    <row r="613" s="25" customFormat="1"/>
    <row r="614" s="25" customFormat="1"/>
    <row r="615" s="25" customFormat="1"/>
    <row r="616" s="25" customFormat="1"/>
    <row r="617" s="25" customFormat="1"/>
    <row r="618" s="25" customFormat="1"/>
    <row r="619" s="25" customFormat="1"/>
    <row r="620" s="25" customFormat="1"/>
    <row r="621" s="25" customFormat="1"/>
    <row r="622" s="25" customFormat="1"/>
    <row r="623" s="25" customFormat="1"/>
    <row r="624" s="25" customFormat="1"/>
    <row r="625" s="25" customFormat="1"/>
    <row r="626" s="25" customFormat="1"/>
    <row r="627" s="25" customFormat="1"/>
    <row r="628" s="25" customFormat="1"/>
    <row r="629" s="25" customFormat="1"/>
    <row r="630" s="25" customFormat="1"/>
    <row r="631" s="25" customFormat="1"/>
    <row r="632" s="25" customFormat="1"/>
    <row r="633" s="25" customFormat="1"/>
    <row r="634" s="25" customFormat="1"/>
    <row r="635" s="25" customFormat="1"/>
    <row r="636" s="25" customFormat="1"/>
    <row r="637" s="25" customFormat="1"/>
    <row r="638" s="25" customFormat="1"/>
    <row r="639" s="25" customFormat="1"/>
    <row r="640" s="25" customFormat="1"/>
    <row r="641" s="25" customFormat="1"/>
    <row r="642" s="25" customFormat="1"/>
    <row r="643" s="25" customFormat="1"/>
    <row r="644" s="25" customFormat="1"/>
    <row r="645" s="25" customFormat="1"/>
    <row r="646" s="25" customFormat="1"/>
    <row r="647" s="25" customFormat="1"/>
    <row r="648" s="25" customFormat="1"/>
    <row r="649" s="25" customFormat="1"/>
    <row r="650" s="25" customFormat="1"/>
    <row r="651" s="25" customFormat="1"/>
    <row r="652" s="25" customFormat="1"/>
    <row r="653" s="25" customFormat="1"/>
    <row r="654" s="25" customFormat="1"/>
    <row r="655" s="25" customFormat="1"/>
    <row r="656" s="25" customFormat="1"/>
    <row r="657" s="25" customFormat="1"/>
    <row r="658" s="25" customFormat="1"/>
    <row r="659" s="25" customFormat="1"/>
    <row r="660" s="25" customFormat="1"/>
    <row r="661" s="25" customFormat="1"/>
    <row r="662" s="25" customFormat="1"/>
    <row r="663" s="25" customFormat="1"/>
    <row r="664" s="25" customFormat="1"/>
    <row r="665" s="25" customFormat="1"/>
    <row r="666" s="25" customFormat="1"/>
    <row r="667" s="25" customFormat="1"/>
    <row r="668" s="25" customFormat="1"/>
    <row r="669" s="25" customFormat="1"/>
    <row r="670" s="25" customFormat="1"/>
    <row r="671" s="25" customFormat="1"/>
    <row r="672" s="25" customFormat="1"/>
    <row r="673" s="25" customFormat="1"/>
    <row r="674" s="25" customFormat="1"/>
    <row r="675" s="25" customFormat="1"/>
    <row r="676" s="25" customFormat="1"/>
    <row r="677" s="25" customFormat="1"/>
    <row r="678" s="25" customFormat="1"/>
    <row r="679" s="25" customFormat="1"/>
    <row r="680" s="25" customFormat="1"/>
    <row r="681" s="25" customFormat="1"/>
    <row r="682" s="25" customFormat="1"/>
    <row r="683" s="25" customFormat="1"/>
    <row r="684" s="25" customFormat="1"/>
    <row r="685" s="25" customFormat="1"/>
    <row r="686" s="25" customFormat="1"/>
    <row r="687" s="25" customFormat="1"/>
    <row r="688" s="25" customFormat="1"/>
    <row r="689" s="25" customFormat="1"/>
    <row r="690" s="25" customFormat="1"/>
    <row r="691" s="25" customFormat="1"/>
    <row r="692" s="25" customFormat="1"/>
    <row r="693" s="25" customFormat="1"/>
    <row r="694" s="25" customFormat="1"/>
    <row r="695" s="25" customFormat="1"/>
    <row r="696" s="25" customFormat="1"/>
    <row r="697" s="25" customFormat="1"/>
    <row r="698" s="25" customFormat="1"/>
    <row r="699" s="25" customFormat="1"/>
    <row r="700" s="25" customFormat="1"/>
    <row r="701" s="25" customFormat="1"/>
    <row r="702" s="25" customFormat="1"/>
    <row r="703" s="25" customFormat="1"/>
    <row r="704" s="25" customFormat="1"/>
    <row r="705" s="25" customFormat="1"/>
    <row r="706" s="25" customFormat="1"/>
    <row r="707" s="25" customFormat="1"/>
    <row r="708" s="25" customFormat="1"/>
    <row r="709" s="25" customFormat="1"/>
    <row r="710" s="25" customFormat="1"/>
    <row r="711" s="25" customFormat="1"/>
    <row r="712" s="25" customFormat="1"/>
    <row r="713" s="25" customFormat="1"/>
    <row r="714" s="25" customFormat="1"/>
    <row r="715" s="25" customFormat="1"/>
    <row r="716" s="25" customFormat="1"/>
    <row r="717" s="25" customFormat="1"/>
    <row r="718" s="25" customFormat="1"/>
    <row r="719" s="25" customFormat="1"/>
    <row r="720" s="25" customFormat="1"/>
    <row r="721" s="25" customFormat="1"/>
    <row r="722" s="25" customFormat="1"/>
    <row r="723" s="25" customFormat="1"/>
    <row r="724" s="25" customFormat="1"/>
    <row r="725" s="25" customFormat="1"/>
    <row r="726" s="25" customFormat="1"/>
    <row r="727" s="25" customFormat="1"/>
    <row r="728" s="25" customFormat="1"/>
    <row r="729" s="25" customFormat="1"/>
    <row r="730" s="25" customFormat="1"/>
    <row r="731" s="25" customFormat="1"/>
    <row r="732" s="25" customFormat="1"/>
    <row r="733" s="25" customFormat="1"/>
    <row r="734" s="25" customFormat="1"/>
    <row r="735" s="25" customFormat="1"/>
    <row r="736" s="25" customFormat="1"/>
    <row r="737" s="25" customFormat="1"/>
    <row r="738" s="25" customFormat="1"/>
    <row r="739" s="25" customFormat="1"/>
    <row r="740" s="25" customFormat="1"/>
    <row r="741" s="25" customFormat="1"/>
    <row r="742" s="25" customFormat="1"/>
    <row r="743" s="25" customFormat="1"/>
    <row r="744" s="25" customFormat="1"/>
    <row r="745" s="25" customFormat="1"/>
    <row r="746" s="25" customFormat="1"/>
    <row r="747" s="25" customFormat="1"/>
    <row r="748" s="25" customFormat="1"/>
    <row r="749" s="25" customFormat="1"/>
    <row r="750" s="25" customFormat="1"/>
    <row r="751" s="25" customFormat="1"/>
    <row r="752" s="25" customFormat="1"/>
    <row r="753" s="25" customFormat="1"/>
    <row r="754" s="25" customFormat="1"/>
    <row r="755" s="25" customFormat="1"/>
    <row r="756" s="25" customFormat="1"/>
    <row r="757" s="25" customFormat="1"/>
    <row r="758" s="25" customFormat="1"/>
    <row r="759" s="25" customFormat="1"/>
    <row r="760" s="25" customFormat="1"/>
    <row r="761" s="25" customFormat="1"/>
    <row r="762" s="25" customFormat="1"/>
    <row r="763" s="25" customFormat="1"/>
    <row r="764" s="25" customFormat="1"/>
    <row r="765" s="25" customFormat="1"/>
    <row r="766" s="25" customFormat="1"/>
    <row r="767" s="25" customFormat="1"/>
    <row r="768" s="25" customFormat="1"/>
    <row r="769" s="25" customFormat="1"/>
    <row r="770" s="25" customFormat="1"/>
    <row r="771" s="25" customFormat="1"/>
    <row r="772" s="25" customFormat="1"/>
    <row r="773" s="25" customFormat="1"/>
    <row r="774" s="25" customFormat="1"/>
    <row r="775" s="25" customFormat="1"/>
    <row r="776" s="25" customFormat="1"/>
    <row r="777" s="25" customFormat="1"/>
    <row r="778" s="25" customFormat="1"/>
    <row r="779" s="25" customFormat="1"/>
    <row r="780" s="25" customFormat="1"/>
    <row r="781" s="25" customFormat="1"/>
    <row r="782" s="25" customFormat="1"/>
    <row r="783" s="25" customFormat="1"/>
    <row r="784" s="25" customFormat="1"/>
    <row r="785" s="25" customFormat="1"/>
    <row r="786" s="25" customFormat="1"/>
    <row r="787" s="25" customFormat="1"/>
    <row r="788" s="25" customFormat="1"/>
    <row r="789" s="25" customFormat="1"/>
    <row r="790" s="25" customFormat="1"/>
    <row r="791" s="25" customFormat="1"/>
    <row r="792" s="25" customFormat="1"/>
    <row r="793" s="25" customFormat="1"/>
    <row r="794" s="25" customFormat="1"/>
    <row r="795" s="25" customFormat="1"/>
    <row r="796" s="25" customFormat="1"/>
    <row r="797" s="25" customFormat="1"/>
    <row r="798" s="25" customFormat="1"/>
    <row r="799" s="25" customFormat="1"/>
    <row r="800" s="25" customFormat="1"/>
    <row r="801" s="25" customFormat="1"/>
    <row r="802" s="25" customFormat="1"/>
    <row r="803" s="25" customFormat="1"/>
    <row r="804" s="25" customFormat="1"/>
    <row r="805" s="25" customFormat="1"/>
    <row r="806" s="25" customFormat="1"/>
    <row r="807" s="25" customFormat="1"/>
    <row r="808" s="25" customFormat="1"/>
    <row r="809" s="25" customFormat="1"/>
    <row r="810" s="25" customFormat="1"/>
    <row r="811" s="25" customFormat="1"/>
    <row r="812" s="25" customFormat="1"/>
    <row r="813" s="25" customFormat="1"/>
    <row r="814" s="25" customFormat="1"/>
    <row r="815" s="25" customFormat="1"/>
    <row r="816" s="25" customFormat="1"/>
    <row r="817" s="25" customFormat="1"/>
    <row r="818" s="25" customFormat="1"/>
    <row r="819" s="25" customFormat="1"/>
    <row r="820" s="25" customFormat="1"/>
    <row r="821" s="25" customFormat="1"/>
    <row r="822" s="25" customFormat="1"/>
    <row r="823" s="25" customFormat="1"/>
    <row r="824" s="25" customFormat="1"/>
    <row r="825" s="25" customFormat="1"/>
    <row r="826" s="25" customFormat="1"/>
    <row r="827" s="25" customFormat="1"/>
    <row r="828" s="25" customFormat="1"/>
    <row r="829" s="25" customFormat="1"/>
    <row r="830" s="25" customFormat="1"/>
    <row r="831" s="25" customFormat="1"/>
    <row r="832" s="25" customFormat="1"/>
    <row r="833" s="25" customFormat="1"/>
    <row r="834" s="25" customFormat="1"/>
    <row r="835" s="25" customFormat="1"/>
    <row r="836" s="25" customFormat="1"/>
    <row r="837" s="25" customFormat="1"/>
    <row r="838" s="25" customFormat="1"/>
    <row r="839" s="25" customFormat="1"/>
    <row r="840" s="25" customFormat="1"/>
    <row r="841" s="25" customFormat="1"/>
    <row r="842" s="25" customFormat="1"/>
    <row r="843" s="25" customFormat="1"/>
    <row r="844" s="25" customFormat="1"/>
    <row r="845" s="25" customFormat="1"/>
    <row r="846" s="25" customFormat="1"/>
    <row r="847" s="25" customFormat="1"/>
    <row r="848" s="25" customFormat="1"/>
    <row r="849" s="25" customFormat="1"/>
    <row r="850" s="25" customFormat="1"/>
    <row r="851" s="25" customFormat="1"/>
    <row r="852" s="25" customFormat="1"/>
    <row r="853" s="25" customFormat="1"/>
    <row r="854" s="25" customFormat="1"/>
    <row r="855" s="25" customFormat="1"/>
    <row r="856" s="25" customFormat="1"/>
    <row r="857" s="25" customFormat="1"/>
    <row r="858" s="25" customFormat="1"/>
    <row r="859" s="25" customFormat="1"/>
    <row r="860" s="25" customFormat="1"/>
    <row r="861" s="25" customFormat="1"/>
    <row r="862" s="25" customFormat="1"/>
    <row r="863" s="25" customFormat="1"/>
    <row r="864" s="25" customFormat="1"/>
    <row r="865" s="25" customFormat="1"/>
    <row r="866" s="25" customFormat="1"/>
    <row r="867" s="25" customFormat="1"/>
    <row r="868" s="25" customFormat="1"/>
    <row r="869" s="25" customFormat="1"/>
    <row r="870" s="25" customFormat="1"/>
    <row r="871" s="25" customFormat="1"/>
    <row r="872" s="25" customFormat="1"/>
    <row r="873" s="25" customFormat="1"/>
    <row r="874" s="25" customFormat="1"/>
    <row r="875" s="25" customFormat="1"/>
    <row r="876" s="25" customFormat="1"/>
    <row r="877" s="25" customFormat="1"/>
    <row r="878" s="25" customFormat="1"/>
    <row r="879" s="25" customFormat="1"/>
    <row r="880" s="25" customFormat="1"/>
    <row r="881" s="25" customFormat="1"/>
    <row r="882" s="25" customFormat="1"/>
    <row r="883" s="25" customFormat="1"/>
    <row r="884" s="25" customFormat="1"/>
    <row r="885" s="25" customFormat="1"/>
    <row r="886" s="25" customFormat="1"/>
    <row r="887" s="25" customFormat="1"/>
    <row r="888" s="25" customFormat="1"/>
    <row r="889" s="25" customFormat="1"/>
    <row r="890" s="25" customFormat="1"/>
    <row r="891" s="25" customFormat="1"/>
    <row r="892" s="25" customFormat="1"/>
    <row r="893" s="25" customFormat="1"/>
    <row r="894" s="25" customFormat="1"/>
    <row r="895" s="25" customFormat="1"/>
    <row r="896" s="25" customFormat="1"/>
    <row r="897" s="25" customFormat="1"/>
    <row r="898" s="25" customFormat="1"/>
    <row r="899" s="25" customFormat="1"/>
    <row r="900" s="25" customFormat="1"/>
    <row r="901" s="25" customFormat="1"/>
    <row r="902" s="25" customFormat="1"/>
    <row r="903" s="25" customFormat="1"/>
    <row r="904" s="25" customFormat="1"/>
    <row r="905" s="25" customFormat="1"/>
    <row r="906" s="25" customFormat="1"/>
    <row r="907" s="25" customFormat="1"/>
    <row r="908" s="25" customFormat="1"/>
    <row r="909" s="25" customFormat="1"/>
    <row r="910" s="25" customFormat="1"/>
    <row r="911" s="25" customFormat="1"/>
    <row r="912" s="25" customFormat="1"/>
    <row r="913" s="25" customFormat="1"/>
    <row r="914" s="25" customFormat="1"/>
    <row r="915" s="25" customFormat="1"/>
    <row r="916" s="25" customFormat="1"/>
    <row r="917" s="25" customFormat="1"/>
    <row r="918" s="25" customFormat="1"/>
    <row r="919" s="25" customFormat="1"/>
    <row r="920" s="25" customFormat="1"/>
    <row r="921" s="25" customFormat="1"/>
    <row r="922" s="25" customFormat="1"/>
    <row r="923" s="25" customFormat="1"/>
    <row r="924" s="25" customFormat="1"/>
    <row r="925" s="25" customFormat="1"/>
    <row r="926" s="25" customFormat="1"/>
    <row r="927" s="25" customFormat="1"/>
    <row r="928" s="25" customFormat="1"/>
    <row r="929" s="25" customFormat="1"/>
    <row r="930" s="25" customFormat="1"/>
    <row r="931" s="25" customFormat="1"/>
    <row r="932" s="25" customFormat="1"/>
    <row r="933" s="25" customFormat="1"/>
    <row r="934" s="25" customFormat="1"/>
    <row r="935" s="25" customFormat="1"/>
    <row r="936" s="25" customFormat="1"/>
    <row r="937" s="25" customFormat="1"/>
    <row r="938" s="25" customFormat="1"/>
    <row r="939" s="25" customFormat="1"/>
    <row r="940" s="25" customFormat="1"/>
    <row r="941" s="25" customFormat="1"/>
    <row r="942" s="25" customFormat="1"/>
    <row r="943" s="25" customFormat="1"/>
    <row r="944" s="25" customFormat="1"/>
    <row r="945" s="25" customFormat="1"/>
    <row r="946" s="25" customFormat="1"/>
    <row r="947" s="25" customFormat="1"/>
    <row r="948" s="25" customFormat="1"/>
    <row r="949" s="25" customFormat="1"/>
    <row r="950" s="25" customFormat="1"/>
    <row r="951" s="25" customFormat="1"/>
    <row r="952" s="25" customFormat="1"/>
    <row r="953" s="25" customFormat="1"/>
    <row r="954" s="25" customFormat="1"/>
    <row r="955" s="25" customFormat="1"/>
    <row r="956" s="25" customFormat="1"/>
    <row r="957" s="25" customFormat="1"/>
    <row r="958" s="25" customFormat="1"/>
    <row r="959" s="25" customFormat="1"/>
    <row r="960" s="25" customFormat="1"/>
    <row r="961" s="25" customFormat="1"/>
    <row r="962" s="25" customFormat="1"/>
    <row r="963" s="25" customFormat="1"/>
    <row r="964" s="25" customFormat="1"/>
    <row r="965" s="25" customFormat="1"/>
    <row r="966" s="25" customFormat="1"/>
    <row r="967" s="25" customFormat="1"/>
    <row r="968" s="25" customFormat="1"/>
    <row r="969" s="25" customFormat="1"/>
    <row r="970" s="25" customFormat="1"/>
    <row r="971" s="25" customFormat="1"/>
    <row r="972" s="25" customFormat="1"/>
    <row r="973" s="25" customFormat="1"/>
    <row r="974" s="25" customFormat="1"/>
    <row r="975" s="25" customFormat="1"/>
    <row r="976" s="25" customFormat="1"/>
    <row r="977" s="25" customFormat="1"/>
    <row r="978" s="25" customFormat="1"/>
    <row r="979" s="25" customFormat="1"/>
    <row r="980" s="25" customFormat="1"/>
    <row r="981" s="25" customFormat="1"/>
    <row r="982" s="25" customFormat="1"/>
    <row r="983" s="25" customFormat="1"/>
    <row r="984" s="25" customFormat="1"/>
    <row r="985" s="25" customFormat="1"/>
    <row r="986" s="25" customFormat="1"/>
    <row r="987" s="25" customFormat="1"/>
    <row r="988" s="25" customFormat="1"/>
    <row r="989" s="25" customFormat="1"/>
    <row r="990" s="25" customFormat="1"/>
    <row r="991" s="25" customFormat="1"/>
    <row r="992" s="25" customFormat="1"/>
    <row r="993" s="25" customFormat="1"/>
    <row r="994" s="25" customFormat="1"/>
    <row r="995" s="25" customFormat="1"/>
    <row r="996" s="25" customFormat="1"/>
    <row r="997" s="25" customFormat="1"/>
    <row r="998" s="25" customFormat="1"/>
    <row r="999" s="25" customFormat="1"/>
    <row r="1000" s="25" customFormat="1"/>
    <row r="1001" s="25" customFormat="1"/>
    <row r="1002" s="25" customFormat="1"/>
    <row r="1003" s="25" customFormat="1"/>
    <row r="1004" s="25" customFormat="1"/>
    <row r="1005" s="25" customFormat="1"/>
    <row r="1006" s="25" customFormat="1"/>
    <row r="1007" s="25" customFormat="1"/>
    <row r="1008" s="25" customFormat="1"/>
    <row r="1009" s="25" customFormat="1"/>
    <row r="1010" s="25" customFormat="1"/>
    <row r="1011" s="25" customFormat="1"/>
    <row r="1012" s="25" customFormat="1"/>
    <row r="1013" s="25" customFormat="1"/>
    <row r="1014" s="25" customFormat="1"/>
    <row r="1015" s="25" customFormat="1"/>
    <row r="1016" s="25" customFormat="1"/>
    <row r="1017" s="25" customFormat="1"/>
    <row r="1018" s="25" customFormat="1"/>
    <row r="1019" s="25" customFormat="1"/>
    <row r="1020" s="25" customFormat="1"/>
    <row r="1021" s="25" customFormat="1"/>
    <row r="1022" s="25" customFormat="1"/>
    <row r="1023" s="25" customFormat="1"/>
    <row r="1024" s="25" customFormat="1"/>
    <row r="1025" s="25" customFormat="1"/>
    <row r="1026" s="25" customFormat="1"/>
    <row r="1027" s="25" customFormat="1"/>
    <row r="1028" s="25" customFormat="1"/>
    <row r="1029" s="25" customFormat="1"/>
    <row r="1030" s="25" customFormat="1"/>
    <row r="1031" s="25" customFormat="1"/>
    <row r="1032" s="25" customFormat="1"/>
    <row r="1033" s="25" customFormat="1"/>
    <row r="1034" s="25" customFormat="1"/>
    <row r="1035" s="25" customFormat="1"/>
    <row r="1036" s="25" customFormat="1"/>
    <row r="1037" s="25" customFormat="1"/>
    <row r="1038" s="25" customFormat="1"/>
    <row r="1039" s="25" customFormat="1"/>
    <row r="1040" s="25" customFormat="1"/>
    <row r="1041" s="25" customFormat="1"/>
    <row r="1042" s="25" customFormat="1"/>
    <row r="1043" s="25" customFormat="1"/>
    <row r="1044" s="25" customFormat="1"/>
    <row r="1045" s="25" customFormat="1"/>
    <row r="1046" s="25" customFormat="1"/>
    <row r="1047" s="25" customFormat="1"/>
    <row r="1048" s="25" customFormat="1"/>
    <row r="1049" s="25" customFormat="1"/>
    <row r="1050" s="25" customFormat="1"/>
    <row r="1051" s="25" customFormat="1"/>
    <row r="1052" s="25" customFormat="1"/>
    <row r="1053" s="25" customFormat="1"/>
    <row r="1054" s="25" customFormat="1"/>
    <row r="1055" s="25" customFormat="1"/>
    <row r="1056" s="25" customFormat="1"/>
    <row r="1057" s="25" customFormat="1"/>
    <row r="1058" s="25" customFormat="1"/>
    <row r="1059" s="25" customFormat="1"/>
    <row r="1060" s="25" customFormat="1"/>
    <row r="1061" s="25" customFormat="1"/>
    <row r="1062" s="25" customFormat="1"/>
    <row r="1063" s="25" customFormat="1"/>
    <row r="1064" s="25" customFormat="1"/>
    <row r="1065" s="25" customFormat="1"/>
    <row r="1066" s="25" customFormat="1"/>
    <row r="1067" s="25" customFormat="1"/>
    <row r="1068" s="25" customFormat="1"/>
    <row r="1069" s="25" customFormat="1"/>
    <row r="1070" s="25" customFormat="1"/>
    <row r="1071" s="25" customFormat="1"/>
    <row r="1072" s="25" customFormat="1"/>
    <row r="1073" s="25" customFormat="1"/>
    <row r="1074" s="25" customFormat="1"/>
    <row r="1075" s="25" customFormat="1"/>
    <row r="1076" s="25" customFormat="1"/>
    <row r="1077" s="25" customFormat="1"/>
    <row r="1078" s="25" customFormat="1"/>
    <row r="1079" s="25" customFormat="1"/>
    <row r="1080" s="25" customFormat="1"/>
    <row r="1081" s="25" customFormat="1"/>
    <row r="1082" s="25" customFormat="1"/>
    <row r="1083" s="25" customFormat="1"/>
    <row r="1084" s="25" customFormat="1"/>
    <row r="1085" s="25" customFormat="1"/>
    <row r="1086" s="25" customFormat="1"/>
    <row r="1087" s="25" customFormat="1"/>
    <row r="1088" s="25" customFormat="1"/>
    <row r="1089" s="25" customFormat="1"/>
    <row r="1090" s="25" customFormat="1"/>
    <row r="1091" s="25" customFormat="1"/>
    <row r="1092" s="25" customFormat="1"/>
    <row r="1093" s="25" customFormat="1"/>
    <row r="1094" s="25" customFormat="1"/>
    <row r="1095" s="25" customFormat="1"/>
    <row r="1096" s="25" customFormat="1"/>
    <row r="1097" s="25" customFormat="1"/>
    <row r="1098" s="25" customFormat="1"/>
    <row r="1099" s="25" customFormat="1"/>
    <row r="1100" s="25" customFormat="1"/>
    <row r="1101" s="25" customFormat="1"/>
    <row r="1102" s="25" customFormat="1"/>
    <row r="1103" s="25" customFormat="1"/>
    <row r="1104" s="25" customFormat="1"/>
    <row r="1105" s="25" customFormat="1"/>
    <row r="1106" s="25" customFormat="1"/>
    <row r="1107" s="25" customFormat="1"/>
    <row r="1108" s="25" customFormat="1"/>
    <row r="1109" s="25" customFormat="1"/>
    <row r="1110" s="25" customFormat="1"/>
    <row r="1111" s="25" customFormat="1"/>
    <row r="1112" s="25" customFormat="1"/>
    <row r="1113" s="25" customFormat="1"/>
    <row r="1114" s="25" customFormat="1"/>
    <row r="1115" s="25" customFormat="1"/>
    <row r="1116" s="25" customFormat="1"/>
    <row r="1117" s="25" customFormat="1"/>
    <row r="1118" s="25" customFormat="1"/>
    <row r="1119" s="25" customFormat="1"/>
    <row r="1120" s="25" customFormat="1"/>
    <row r="1121" s="25" customFormat="1"/>
    <row r="1122" s="25" customFormat="1"/>
    <row r="1123" s="25" customFormat="1"/>
    <row r="1124" s="25" customFormat="1"/>
    <row r="1125" s="25" customFormat="1"/>
    <row r="1126" s="25" customFormat="1"/>
    <row r="1127" s="25" customFormat="1"/>
    <row r="1128" s="25" customFormat="1"/>
    <row r="1129" s="25" customFormat="1"/>
    <row r="1130" s="25" customFormat="1"/>
    <row r="1131" s="25" customFormat="1"/>
    <row r="1132" s="25" customFormat="1"/>
    <row r="1133" s="25" customFormat="1"/>
    <row r="1134" s="25" customFormat="1"/>
    <row r="1135" s="25" customFormat="1"/>
    <row r="1136" s="25" customFormat="1"/>
    <row r="1137" s="25" customFormat="1"/>
    <row r="1138" s="25" customFormat="1"/>
    <row r="1139" s="25" customFormat="1"/>
    <row r="1140" s="25" customFormat="1"/>
    <row r="1141" s="25" customFormat="1"/>
    <row r="1142" s="25" customFormat="1"/>
    <row r="1143" s="25" customFormat="1"/>
    <row r="1144" s="25" customFormat="1"/>
    <row r="1145" s="25" customFormat="1"/>
    <row r="1146" s="25" customFormat="1"/>
    <row r="1147" s="25" customFormat="1"/>
    <row r="1148" s="25" customFormat="1"/>
    <row r="1149" s="25" customFormat="1"/>
    <row r="1150" s="25" customFormat="1"/>
    <row r="1151" s="25" customFormat="1"/>
    <row r="1152" s="25" customFormat="1"/>
    <row r="1153" s="25" customFormat="1"/>
    <row r="1154" s="25" customFormat="1"/>
    <row r="1155" s="25" customFormat="1"/>
    <row r="1156" s="25" customFormat="1"/>
    <row r="1157" s="25" customFormat="1"/>
    <row r="1158" s="25" customFormat="1"/>
    <row r="1159" s="25" customFormat="1"/>
    <row r="1160" s="25" customFormat="1"/>
    <row r="1161" s="25" customFormat="1"/>
    <row r="1162" s="25" customFormat="1"/>
    <row r="1163" s="25" customFormat="1"/>
    <row r="1164" s="25" customFormat="1"/>
    <row r="1165" s="25" customFormat="1"/>
    <row r="1166" s="25" customFormat="1"/>
    <row r="1167" s="25" customFormat="1"/>
    <row r="1168" s="25" customFormat="1"/>
    <row r="1169" s="25" customFormat="1"/>
    <row r="1170" s="25" customFormat="1"/>
    <row r="1171" s="25" customFormat="1"/>
    <row r="1172" s="25" customFormat="1"/>
    <row r="1173" s="25" customFormat="1"/>
    <row r="1174" s="25" customFormat="1"/>
    <row r="1175" s="25" customFormat="1"/>
    <row r="1176" s="25" customFormat="1"/>
    <row r="1177" s="25" customFormat="1"/>
    <row r="1178" s="25" customFormat="1"/>
    <row r="1179" s="25" customFormat="1"/>
    <row r="1180" s="25" customFormat="1"/>
    <row r="1181" s="25" customFormat="1"/>
    <row r="1182" s="25" customFormat="1"/>
    <row r="1183" s="25" customFormat="1"/>
    <row r="1184" s="25" customFormat="1"/>
    <row r="1185" s="25" customFormat="1"/>
    <row r="1186" s="25" customFormat="1"/>
    <row r="1187" s="25" customFormat="1"/>
    <row r="1188" s="25" customFormat="1"/>
    <row r="1189" s="25" customFormat="1"/>
    <row r="1190" s="25" customFormat="1"/>
    <row r="1191" s="25" customFormat="1"/>
    <row r="1192" s="25" customFormat="1"/>
    <row r="1193" s="25" customFormat="1"/>
    <row r="1194" s="25" customFormat="1"/>
    <row r="1195" s="25" customFormat="1"/>
    <row r="1196" s="25" customFormat="1"/>
    <row r="1197" s="25" customFormat="1"/>
    <row r="1198" s="25" customFormat="1"/>
    <row r="1199" s="25" customFormat="1"/>
    <row r="1200" s="25" customFormat="1"/>
    <row r="1201" s="25" customFormat="1"/>
    <row r="1202" s="25" customFormat="1"/>
    <row r="1203" s="25" customFormat="1"/>
    <row r="1204" s="25" customFormat="1"/>
    <row r="1205" s="25" customFormat="1"/>
    <row r="1206" s="25" customFormat="1"/>
    <row r="1207" s="25" customFormat="1"/>
    <row r="1208" s="25" customFormat="1"/>
    <row r="1209" s="25" customFormat="1"/>
    <row r="1210" s="25" customFormat="1"/>
    <row r="1211" s="25" customFormat="1"/>
    <row r="1212" s="25" customFormat="1"/>
    <row r="1213" s="25" customFormat="1"/>
    <row r="1214" s="25" customFormat="1"/>
    <row r="1215" s="25" customFormat="1"/>
    <row r="1216" s="25" customFormat="1"/>
    <row r="1217" s="25" customFormat="1"/>
    <row r="1218" s="25" customFormat="1"/>
    <row r="1219" s="25" customFormat="1"/>
    <row r="1220" s="25" customFormat="1"/>
    <row r="1221" s="25" customFormat="1"/>
    <row r="1222" s="25" customFormat="1"/>
    <row r="1223" s="25" customFormat="1"/>
    <row r="1224" s="25" customFormat="1"/>
    <row r="1225" s="25" customFormat="1"/>
    <row r="1226" s="25" customFormat="1"/>
    <row r="1227" s="25" customFormat="1"/>
    <row r="1228" s="25" customFormat="1"/>
    <row r="1229" s="25" customFormat="1"/>
    <row r="1230" s="25" customFormat="1"/>
    <row r="1231" s="25" customFormat="1"/>
    <row r="1232" s="25" customFormat="1"/>
    <row r="1233" s="25" customFormat="1"/>
    <row r="1234" s="25" customFormat="1"/>
    <row r="1235" s="25" customFormat="1"/>
    <row r="1236" s="25" customFormat="1"/>
    <row r="1237" s="25" customFormat="1"/>
    <row r="1238" s="25" customFormat="1"/>
    <row r="1239" s="25" customFormat="1"/>
    <row r="1240" s="25" customFormat="1"/>
    <row r="1241" s="25" customFormat="1"/>
    <row r="1242" s="25" customFormat="1"/>
    <row r="1243" s="25" customFormat="1"/>
    <row r="1244" s="25" customFormat="1"/>
    <row r="1245" s="25" customFormat="1"/>
    <row r="1246" s="25" customFormat="1"/>
    <row r="1247" s="25" customFormat="1"/>
    <row r="1248" s="25" customFormat="1"/>
    <row r="1249" s="25" customFormat="1"/>
    <row r="1250" s="25" customFormat="1"/>
    <row r="1251" s="25" customFormat="1"/>
    <row r="1252" s="25" customFormat="1"/>
    <row r="1253" s="25" customFormat="1"/>
    <row r="1254" s="25" customFormat="1"/>
    <row r="1255" s="25" customFormat="1"/>
    <row r="1256" s="25" customFormat="1"/>
    <row r="1257" s="25" customFormat="1"/>
    <row r="1258" s="25" customFormat="1"/>
    <row r="1259" s="25" customFormat="1"/>
    <row r="1260" s="25" customFormat="1"/>
    <row r="1261" s="25" customFormat="1"/>
    <row r="1262" s="25" customFormat="1"/>
    <row r="1263" s="25" customFormat="1"/>
    <row r="1264" s="25" customFormat="1"/>
    <row r="1265" s="25" customFormat="1"/>
    <row r="1266" s="25" customFormat="1"/>
    <row r="1267" s="25" customFormat="1"/>
    <row r="1268" s="25" customFormat="1"/>
    <row r="1269" s="25" customFormat="1"/>
    <row r="1270" s="25" customFormat="1"/>
    <row r="1271" s="25" customFormat="1"/>
    <row r="1272" s="25" customFormat="1"/>
    <row r="1273" s="25" customFormat="1"/>
    <row r="1274" s="25" customFormat="1"/>
    <row r="1275" s="25" customFormat="1"/>
    <row r="1276" s="25" customFormat="1"/>
    <row r="1277" s="25" customFormat="1"/>
    <row r="1278" s="25" customFormat="1"/>
    <row r="1279" s="25" customFormat="1"/>
    <row r="1280" s="25" customFormat="1"/>
    <row r="1281" s="25" customFormat="1"/>
    <row r="1282" s="25" customFormat="1"/>
    <row r="1283" s="25" customFormat="1"/>
    <row r="1284" s="25" customFormat="1"/>
    <row r="1285" s="25" customFormat="1"/>
    <row r="1286" s="25" customFormat="1"/>
    <row r="1287" s="25" customFormat="1"/>
    <row r="1288" s="25" customFormat="1"/>
    <row r="1289" s="25" customFormat="1"/>
    <row r="1290" s="25" customFormat="1"/>
    <row r="1291" s="25" customFormat="1"/>
    <row r="1292" s="25" customFormat="1"/>
    <row r="1293" s="25" customFormat="1"/>
    <row r="1294" s="25" customFormat="1"/>
    <row r="1295" s="25" customFormat="1"/>
    <row r="1296" s="25" customFormat="1"/>
    <row r="1297" s="25" customFormat="1"/>
    <row r="1298" s="25" customFormat="1"/>
    <row r="1299" s="25" customFormat="1"/>
    <row r="1300" s="25" customFormat="1"/>
    <row r="1301" s="25" customFormat="1"/>
    <row r="1302" s="25" customFormat="1"/>
    <row r="1303" s="25" customFormat="1"/>
    <row r="1304" s="25" customFormat="1"/>
    <row r="1305" s="25" customFormat="1"/>
    <row r="1306" s="25" customFormat="1"/>
    <row r="1307" s="25" customFormat="1"/>
    <row r="1308" s="25" customFormat="1"/>
    <row r="1309" s="25" customFormat="1"/>
    <row r="1310" s="25" customFormat="1"/>
    <row r="1311" s="25" customFormat="1"/>
    <row r="1312" s="25" customFormat="1"/>
    <row r="1313" s="25" customFormat="1"/>
    <row r="1314" s="25" customFormat="1"/>
    <row r="1315" s="25" customFormat="1"/>
    <row r="1316" s="25" customFormat="1"/>
    <row r="1317" s="25" customFormat="1"/>
    <row r="1318" s="25" customFormat="1"/>
    <row r="1319" s="25" customFormat="1"/>
    <row r="1320" s="25" customFormat="1"/>
    <row r="1321" s="25" customFormat="1"/>
    <row r="1322" s="25" customFormat="1"/>
    <row r="1323" s="25" customFormat="1"/>
    <row r="1324" s="25" customFormat="1"/>
    <row r="1325" s="25" customFormat="1"/>
    <row r="1326" s="25" customFormat="1"/>
    <row r="1327" s="25" customFormat="1"/>
    <row r="1328" s="25" customFormat="1"/>
    <row r="1329" s="25" customFormat="1"/>
    <row r="1330" s="25" customFormat="1"/>
    <row r="1331" s="25" customFormat="1"/>
    <row r="1332" s="25" customFormat="1"/>
    <row r="1333" s="25" customFormat="1"/>
    <row r="1334" s="25" customFormat="1"/>
    <row r="1335" s="25" customFormat="1"/>
    <row r="1336" s="25" customFormat="1"/>
    <row r="1337" s="25" customFormat="1"/>
    <row r="1338" s="25" customFormat="1"/>
    <row r="1339" s="25" customFormat="1"/>
    <row r="1340" s="25" customFormat="1"/>
    <row r="1341" s="25" customFormat="1"/>
    <row r="1342" s="25" customFormat="1"/>
    <row r="1343" s="25" customFormat="1"/>
    <row r="1344" s="25" customFormat="1"/>
    <row r="1345" s="25" customFormat="1"/>
    <row r="1346" s="25" customFormat="1"/>
    <row r="1347" s="25" customFormat="1"/>
    <row r="1348" s="25" customFormat="1"/>
    <row r="1349" s="25" customFormat="1"/>
    <row r="1350" s="25" customFormat="1"/>
    <row r="1351" s="25" customFormat="1"/>
    <row r="1352" s="25" customFormat="1"/>
    <row r="1353" s="25" customFormat="1"/>
    <row r="1354" s="25" customFormat="1"/>
    <row r="1355" s="25" customFormat="1"/>
    <row r="1356" s="25" customFormat="1"/>
    <row r="1357" s="25" customFormat="1"/>
    <row r="1358" s="25" customFormat="1"/>
    <row r="1359" s="25" customFormat="1"/>
    <row r="1360" s="25" customFormat="1"/>
    <row r="1361" s="25" customFormat="1"/>
    <row r="1362" s="25" customFormat="1"/>
    <row r="1363" s="25" customFormat="1"/>
    <row r="1364" s="25" customFormat="1"/>
    <row r="1365" s="25" customFormat="1"/>
    <row r="1366" s="25" customFormat="1"/>
    <row r="1367" s="25" customFormat="1"/>
    <row r="1368" s="25" customFormat="1"/>
    <row r="1369" s="25" customFormat="1"/>
    <row r="1370" s="25" customFormat="1"/>
    <row r="1371" s="25" customFormat="1"/>
    <row r="1372" s="25" customFormat="1"/>
    <row r="1373" s="25" customFormat="1"/>
    <row r="1374" s="25" customFormat="1"/>
    <row r="1375" s="25" customFormat="1"/>
    <row r="1376" s="25" customFormat="1"/>
    <row r="1377" s="25" customFormat="1"/>
    <row r="1378" s="25" customFormat="1"/>
    <row r="1379" s="25" customFormat="1"/>
    <row r="1380" s="25" customFormat="1"/>
    <row r="1381" s="25" customFormat="1"/>
    <row r="1382" s="25" customFormat="1"/>
    <row r="1383" s="25" customFormat="1"/>
    <row r="1384" s="25" customFormat="1"/>
    <row r="1385" s="25" customFormat="1"/>
    <row r="1386" s="25" customFormat="1"/>
    <row r="1387" s="25" customFormat="1"/>
    <row r="1388" s="25" customFormat="1"/>
    <row r="1389" s="25" customFormat="1"/>
    <row r="1390" s="25" customFormat="1"/>
    <row r="1391" s="25" customFormat="1"/>
    <row r="1392" s="25" customFormat="1"/>
    <row r="1393" s="25" customFormat="1"/>
    <row r="1394" s="25" customFormat="1"/>
    <row r="1395" s="25" customFormat="1"/>
    <row r="1396" s="25" customFormat="1"/>
    <row r="1397" s="25" customFormat="1"/>
    <row r="1398" s="25" customFormat="1"/>
    <row r="1399" s="25" customFormat="1"/>
    <row r="1400" s="25" customFormat="1"/>
    <row r="1401" s="25" customFormat="1"/>
    <row r="1402" s="25" customFormat="1"/>
    <row r="1403" s="25" customFormat="1"/>
    <row r="1404" s="25" customFormat="1"/>
    <row r="1405" s="25" customFormat="1"/>
    <row r="1406" s="25" customFormat="1"/>
    <row r="1407" s="25" customFormat="1"/>
    <row r="1408" s="25" customFormat="1"/>
    <row r="1409" s="25" customFormat="1"/>
    <row r="1410" s="25" customFormat="1"/>
    <row r="1411" s="25" customFormat="1"/>
    <row r="1412" s="25" customFormat="1"/>
    <row r="1413" s="25" customFormat="1"/>
    <row r="1414" s="25" customFormat="1"/>
    <row r="1415" s="25" customFormat="1"/>
    <row r="1416" s="25" customFormat="1"/>
    <row r="1417" s="25" customFormat="1"/>
    <row r="1418" s="25" customFormat="1"/>
    <row r="1419" s="25" customFormat="1"/>
    <row r="1420" s="25" customFormat="1"/>
    <row r="1421" s="25" customFormat="1"/>
    <row r="1422" s="25" customFormat="1"/>
    <row r="1423" s="25" customFormat="1"/>
    <row r="1424" s="25" customFormat="1"/>
    <row r="1425" s="25" customFormat="1"/>
    <row r="1426" s="25" customFormat="1"/>
    <row r="1427" s="25" customFormat="1"/>
    <row r="1428" s="25" customFormat="1"/>
    <row r="1429" s="25" customFormat="1"/>
    <row r="1430" s="25" customFormat="1"/>
    <row r="1431" s="25" customFormat="1"/>
    <row r="1432" s="25" customFormat="1"/>
    <row r="1433" s="25" customFormat="1"/>
    <row r="1434" s="25" customFormat="1"/>
    <row r="1435" s="25" customFormat="1"/>
    <row r="1436" s="25" customFormat="1"/>
    <row r="1437" s="25" customFormat="1"/>
    <row r="1438" s="25" customFormat="1"/>
    <row r="1439" s="25" customFormat="1"/>
    <row r="1440" s="25" customFormat="1"/>
    <row r="1441" s="25" customFormat="1"/>
    <row r="1442" s="25" customFormat="1"/>
    <row r="1443" s="25" customFormat="1"/>
    <row r="1444" s="25" customFormat="1"/>
    <row r="1445" s="25" customFormat="1"/>
    <row r="1446" s="25" customFormat="1"/>
    <row r="1447" s="25" customFormat="1"/>
    <row r="1448" s="25" customFormat="1"/>
    <row r="1449" s="25" customFormat="1"/>
    <row r="1450" s="25" customFormat="1"/>
    <row r="1451" s="25" customFormat="1"/>
    <row r="1452" s="25" customFormat="1"/>
    <row r="1453" s="25" customFormat="1"/>
    <row r="1454" s="25" customFormat="1"/>
    <row r="1455" s="25" customFormat="1"/>
    <row r="1456" s="25" customFormat="1"/>
    <row r="1457" s="25" customFormat="1"/>
    <row r="1458" s="25" customFormat="1"/>
    <row r="1459" s="25" customFormat="1"/>
    <row r="1460" s="25" customFormat="1"/>
    <row r="1461" s="25" customFormat="1"/>
    <row r="1462" s="25" customFormat="1"/>
    <row r="1463" s="25" customFormat="1"/>
    <row r="1464" s="25" customFormat="1"/>
    <row r="1465" s="25" customFormat="1"/>
    <row r="1466" s="25" customFormat="1"/>
    <row r="1467" s="25" customFormat="1"/>
    <row r="1468" s="25" customFormat="1"/>
    <row r="1469" s="25" customFormat="1"/>
    <row r="1470" s="25" customFormat="1"/>
    <row r="1471" s="25" customFormat="1"/>
    <row r="1472" s="25" customFormat="1"/>
    <row r="1473" s="25" customFormat="1"/>
    <row r="1474" s="25" customFormat="1"/>
    <row r="1475" s="25" customFormat="1"/>
    <row r="1476" s="25" customFormat="1"/>
    <row r="1477" s="25" customFormat="1"/>
    <row r="1478" s="25" customFormat="1"/>
    <row r="1479" s="25" customFormat="1"/>
    <row r="1480" s="25" customFormat="1"/>
    <row r="1481" s="25" customFormat="1"/>
    <row r="1482" s="25" customFormat="1"/>
    <row r="1483" s="25" customFormat="1"/>
    <row r="1484" s="25" customFormat="1"/>
    <row r="1485" s="25" customFormat="1"/>
    <row r="1486" s="25" customFormat="1"/>
    <row r="1487" s="25" customFormat="1"/>
    <row r="1488" s="25" customFormat="1"/>
    <row r="1489" s="25" customFormat="1"/>
    <row r="1490" s="25" customFormat="1"/>
    <row r="1491" s="25" customFormat="1"/>
    <row r="1492" s="25" customFormat="1"/>
    <row r="1493" s="25" customFormat="1"/>
    <row r="1494" s="25" customFormat="1"/>
    <row r="1495" s="25" customFormat="1"/>
    <row r="1496" s="25" customFormat="1"/>
    <row r="1497" s="25" customFormat="1"/>
    <row r="1498" s="25" customFormat="1"/>
    <row r="1499" s="25" customFormat="1"/>
    <row r="1500" s="25" customFormat="1"/>
    <row r="1501" s="25" customFormat="1"/>
    <row r="1502" s="25" customFormat="1"/>
    <row r="1503" s="25" customFormat="1"/>
    <row r="1504" s="25" customFormat="1"/>
    <row r="1505" s="25" customFormat="1"/>
    <row r="1506" s="25" customFormat="1"/>
    <row r="1507" s="25" customFormat="1"/>
    <row r="1508" s="25" customFormat="1"/>
    <row r="1509" s="25" customFormat="1"/>
    <row r="1510" s="25" customFormat="1"/>
    <row r="1511" s="25" customFormat="1"/>
    <row r="1512" s="25" customFormat="1"/>
    <row r="1513" s="25" customFormat="1"/>
    <row r="1514" s="25" customFormat="1"/>
    <row r="1515" s="25" customFormat="1"/>
    <row r="1516" s="25" customFormat="1"/>
    <row r="1517" s="25" customFormat="1"/>
    <row r="1518" s="25" customFormat="1"/>
    <row r="1519" s="25" customFormat="1"/>
    <row r="1520" s="25" customFormat="1"/>
    <row r="1521" s="25" customFormat="1"/>
    <row r="1522" s="25" customFormat="1"/>
    <row r="1523" s="25" customFormat="1"/>
    <row r="1524" s="25" customFormat="1"/>
    <row r="1525" s="25" customFormat="1"/>
    <row r="1526" s="25" customFormat="1"/>
    <row r="1527" s="25" customFormat="1"/>
    <row r="1528" s="25" customFormat="1"/>
    <row r="1529" s="25" customFormat="1"/>
    <row r="1530" s="25" customFormat="1"/>
    <row r="1531" s="25" customFormat="1"/>
    <row r="1532" s="25" customFormat="1"/>
    <row r="1533" s="25" customFormat="1"/>
    <row r="1534" s="25" customFormat="1"/>
    <row r="1535" s="25" customFormat="1"/>
    <row r="1536" s="25" customFormat="1"/>
    <row r="1537" s="25" customFormat="1"/>
    <row r="1538" s="25" customFormat="1"/>
    <row r="1539" s="25" customFormat="1"/>
    <row r="1540" s="25" customFormat="1"/>
    <row r="1541" s="25" customFormat="1"/>
    <row r="1542" s="25" customFormat="1"/>
    <row r="1543" s="25" customFormat="1"/>
    <row r="1544" s="25" customFormat="1"/>
    <row r="1545" s="25" customFormat="1"/>
    <row r="1546" s="25" customFormat="1"/>
    <row r="1547" s="25" customFormat="1"/>
    <row r="1548" s="25" customFormat="1"/>
    <row r="1549" s="25" customFormat="1"/>
    <row r="1550" s="25" customFormat="1"/>
    <row r="1551" s="25" customFormat="1"/>
    <row r="1552" s="25" customFormat="1"/>
    <row r="1553" s="25" customFormat="1"/>
    <row r="1554" s="25" customFormat="1"/>
    <row r="1555" s="25" customFormat="1"/>
    <row r="1556" s="25" customFormat="1"/>
    <row r="1557" s="25" customFormat="1"/>
    <row r="1558" s="25" customFormat="1"/>
    <row r="1559" s="25" customFormat="1"/>
    <row r="1560" s="25" customFormat="1"/>
    <row r="1561" s="25" customFormat="1"/>
    <row r="1562" s="25" customFormat="1"/>
    <row r="1563" s="25" customFormat="1"/>
    <row r="1564" s="25" customFormat="1"/>
    <row r="1565" s="25" customFormat="1"/>
    <row r="1566" s="25" customFormat="1"/>
    <row r="1567" s="25" customFormat="1"/>
    <row r="1568" s="25" customFormat="1"/>
    <row r="1569" s="25" customFormat="1"/>
    <row r="1570" s="25" customFormat="1"/>
    <row r="1571" s="25" customFormat="1"/>
    <row r="1572" s="25" customFormat="1"/>
    <row r="1573" s="25" customFormat="1"/>
    <row r="1574" s="25" customFormat="1"/>
    <row r="1575" s="25" customFormat="1"/>
    <row r="1576" s="25" customFormat="1"/>
    <row r="1577" s="25" customFormat="1"/>
    <row r="1578" s="25" customFormat="1"/>
    <row r="1579" s="25" customFormat="1"/>
    <row r="1580" s="25" customFormat="1"/>
    <row r="1581" s="25" customFormat="1"/>
    <row r="1582" s="25" customFormat="1"/>
    <row r="1583" s="25" customFormat="1"/>
    <row r="1584" s="25" customFormat="1"/>
    <row r="1585" s="25" customFormat="1"/>
    <row r="1586" s="25" customFormat="1"/>
    <row r="1587" s="25" customFormat="1"/>
    <row r="1588" s="25" customFormat="1"/>
    <row r="1589" s="25" customFormat="1"/>
    <row r="1590" s="25" customFormat="1"/>
    <row r="1591" s="25" customFormat="1"/>
    <row r="1592" s="25" customFormat="1"/>
    <row r="1593" s="25" customFormat="1"/>
    <row r="1594" s="25" customFormat="1"/>
    <row r="1595" s="25" customFormat="1"/>
    <row r="1596" s="25" customFormat="1"/>
    <row r="1597" s="25" customFormat="1"/>
    <row r="1598" s="25" customFormat="1"/>
    <row r="1599" s="25" customFormat="1"/>
    <row r="1600" s="25" customFormat="1"/>
    <row r="1601" s="25" customFormat="1"/>
    <row r="1602" s="25" customFormat="1"/>
    <row r="1603" s="25" customFormat="1"/>
    <row r="1604" s="25" customFormat="1"/>
    <row r="1605" s="25" customFormat="1"/>
    <row r="1606" s="25" customFormat="1"/>
    <row r="1607" s="25" customFormat="1"/>
    <row r="1608" s="25" customFormat="1"/>
    <row r="1609" s="25" customFormat="1"/>
    <row r="1610" s="25" customFormat="1"/>
    <row r="1611" s="25" customFormat="1"/>
    <row r="1612" s="25" customFormat="1"/>
    <row r="1613" s="25" customFormat="1"/>
    <row r="1614" s="25" customFormat="1"/>
    <row r="1615" s="25" customFormat="1"/>
    <row r="1616" s="25" customFormat="1"/>
    <row r="1617" s="25" customFormat="1"/>
    <row r="1618" s="25" customFormat="1"/>
    <row r="1619" s="25" customFormat="1"/>
    <row r="1620" s="25" customFormat="1"/>
    <row r="1621" s="25" customFormat="1"/>
    <row r="1622" s="25" customFormat="1"/>
    <row r="1623" s="25" customFormat="1"/>
    <row r="1624" s="25" customFormat="1"/>
    <row r="1625" s="25" customFormat="1"/>
    <row r="1626" s="25" customFormat="1"/>
    <row r="1627" s="25" customFormat="1"/>
    <row r="1628" s="25" customFormat="1"/>
    <row r="1629" s="25" customFormat="1"/>
    <row r="1630" s="25" customFormat="1"/>
    <row r="1631" s="25" customFormat="1"/>
    <row r="1632" s="25" customFormat="1"/>
    <row r="1633" s="25" customFormat="1"/>
    <row r="1634" s="25" customFormat="1"/>
    <row r="1635" s="25" customFormat="1"/>
    <row r="1636" s="25" customFormat="1"/>
    <row r="1637" s="25" customFormat="1"/>
    <row r="1638" s="25" customFormat="1"/>
    <row r="1639" s="25" customFormat="1"/>
    <row r="1640" s="25" customFormat="1"/>
    <row r="1641" s="25" customFormat="1"/>
    <row r="1642" s="25" customFormat="1"/>
    <row r="1643" s="25" customFormat="1"/>
    <row r="1644" s="25" customFormat="1"/>
    <row r="1645" s="25" customFormat="1"/>
    <row r="1646" s="25" customFormat="1"/>
    <row r="1647" s="25" customFormat="1"/>
    <row r="1648" s="25" customFormat="1"/>
    <row r="1649" s="25" customFormat="1"/>
    <row r="1650" s="25" customFormat="1"/>
    <row r="1651" s="25" customFormat="1"/>
    <row r="1652" s="25" customFormat="1"/>
    <row r="1653" s="25" customFormat="1"/>
    <row r="1654" s="25" customFormat="1"/>
    <row r="1655" s="25" customFormat="1"/>
    <row r="1656" s="25" customFormat="1"/>
    <row r="1657" s="25" customFormat="1"/>
    <row r="1658" s="25" customFormat="1"/>
    <row r="1659" s="25" customFormat="1"/>
    <row r="1660" s="25" customFormat="1"/>
    <row r="1661" s="25" customFormat="1"/>
    <row r="1662" s="25" customFormat="1"/>
    <row r="1663" s="25" customFormat="1"/>
    <row r="1664" s="25" customFormat="1"/>
    <row r="1665" s="25" customFormat="1"/>
    <row r="1666" s="25" customFormat="1"/>
    <row r="1667" s="25" customFormat="1"/>
    <row r="1668" s="25" customFormat="1"/>
    <row r="1669" s="25" customFormat="1"/>
    <row r="1670" s="25" customFormat="1"/>
    <row r="1671" s="25" customFormat="1"/>
    <row r="1672" s="25" customFormat="1"/>
    <row r="1673" s="25" customFormat="1"/>
    <row r="1674" s="25" customFormat="1"/>
    <row r="1675" s="25" customFormat="1"/>
    <row r="1676" s="25" customFormat="1"/>
    <row r="1677" s="25" customFormat="1"/>
    <row r="1678" s="25" customFormat="1"/>
    <row r="1679" s="25" customFormat="1"/>
    <row r="1680" s="25" customFormat="1"/>
    <row r="1681" s="25" customFormat="1"/>
    <row r="1682" s="25" customFormat="1"/>
    <row r="1683" s="25" customFormat="1"/>
    <row r="1684" s="25" customFormat="1"/>
    <row r="1685" s="25" customFormat="1"/>
    <row r="1686" s="25" customFormat="1"/>
    <row r="1687" s="25" customFormat="1"/>
    <row r="1688" s="25" customFormat="1"/>
    <row r="1689" s="25" customFormat="1"/>
    <row r="1690" s="25" customFormat="1"/>
    <row r="1691" s="25" customFormat="1"/>
    <row r="1692" s="25" customFormat="1"/>
    <row r="1693" s="25" customFormat="1"/>
    <row r="1694" s="25" customFormat="1"/>
    <row r="1695" s="25" customFormat="1"/>
    <row r="1696" s="25" customFormat="1"/>
    <row r="1697" s="25" customFormat="1"/>
    <row r="1698" s="25" customFormat="1"/>
    <row r="1699" s="25" customFormat="1"/>
    <row r="1700" s="25" customFormat="1"/>
    <row r="1701" s="25" customFormat="1"/>
    <row r="1702" s="25" customFormat="1"/>
    <row r="1703" s="25" customFormat="1"/>
    <row r="1704" s="25" customFormat="1"/>
    <row r="1705" s="25" customFormat="1"/>
    <row r="1706" s="25" customFormat="1"/>
    <row r="1707" s="25" customFormat="1"/>
    <row r="1708" s="25" customFormat="1"/>
    <row r="1709" s="25" customFormat="1"/>
    <row r="1710" s="25" customFormat="1"/>
    <row r="1711" s="25" customFormat="1"/>
    <row r="1712" s="25" customFormat="1"/>
    <row r="1713" s="25" customFormat="1"/>
    <row r="1714" s="25" customFormat="1"/>
    <row r="1715" s="25" customFormat="1"/>
    <row r="1716" s="25" customFormat="1"/>
    <row r="1717" s="25" customFormat="1"/>
    <row r="1718" s="25" customFormat="1"/>
    <row r="1719" s="25" customFormat="1"/>
    <row r="1720" s="25" customFormat="1"/>
    <row r="1721" s="25" customFormat="1"/>
    <row r="1722" s="25" customFormat="1"/>
    <row r="1723" s="25" customFormat="1"/>
    <row r="1724" s="25" customFormat="1"/>
    <row r="1725" s="25" customFormat="1"/>
    <row r="1726" s="25" customFormat="1"/>
    <row r="1727" s="25" customFormat="1"/>
    <row r="1728" s="25" customFormat="1"/>
    <row r="1729" s="25" customFormat="1"/>
    <row r="1730" s="25" customFormat="1"/>
    <row r="1731" s="25" customFormat="1"/>
    <row r="1732" s="25" customFormat="1"/>
    <row r="1733" s="25" customFormat="1"/>
    <row r="1734" s="25" customFormat="1"/>
    <row r="1735" s="25" customFormat="1"/>
    <row r="1736" s="25" customFormat="1"/>
    <row r="1737" s="25" customFormat="1"/>
    <row r="1738" s="25" customFormat="1"/>
    <row r="1739" s="25" customFormat="1"/>
    <row r="1740" s="25" customFormat="1"/>
    <row r="1741" s="25" customFormat="1"/>
    <row r="1742" s="25" customFormat="1"/>
    <row r="1743" s="25" customFormat="1"/>
    <row r="1744" s="25" customFormat="1"/>
    <row r="1745" s="25" customFormat="1"/>
    <row r="1746" s="25" customFormat="1"/>
    <row r="1747" s="25" customFormat="1"/>
    <row r="1748" s="25" customFormat="1"/>
    <row r="1749" s="25" customFormat="1"/>
    <row r="1750" s="25" customFormat="1"/>
    <row r="1751" s="25" customFormat="1"/>
    <row r="1752" s="25" customFormat="1"/>
    <row r="1753" s="25" customFormat="1"/>
    <row r="1754" s="25" customFormat="1"/>
    <row r="1755" s="25" customFormat="1"/>
    <row r="1756" s="25" customFormat="1"/>
    <row r="1757" s="25" customFormat="1"/>
    <row r="1758" s="25" customFormat="1"/>
    <row r="1759" s="25" customFormat="1"/>
    <row r="1760" s="25" customFormat="1"/>
    <row r="1761" s="25" customFormat="1"/>
    <row r="1762" s="25" customFormat="1"/>
    <row r="1763" s="25" customFormat="1"/>
    <row r="1764" s="25" customFormat="1"/>
    <row r="1765" s="25" customFormat="1"/>
    <row r="1766" s="25" customFormat="1"/>
    <row r="1767" s="25" customFormat="1"/>
    <row r="1768" s="25" customFormat="1"/>
    <row r="1769" s="25" customFormat="1"/>
    <row r="1770" s="25" customFormat="1"/>
    <row r="1771" s="25" customFormat="1"/>
    <row r="1772" s="25" customFormat="1"/>
    <row r="1773" s="25" customFormat="1"/>
    <row r="1774" s="25" customFormat="1"/>
    <row r="1775" s="25" customFormat="1"/>
    <row r="1776" s="25" customFormat="1"/>
    <row r="1777" s="25" customFormat="1"/>
    <row r="1778" s="25" customFormat="1"/>
    <row r="1779" s="25" customFormat="1"/>
    <row r="1780" s="25" customFormat="1"/>
    <row r="1781" s="25" customFormat="1"/>
    <row r="1782" s="25" customFormat="1"/>
    <row r="1783" s="25" customFormat="1"/>
    <row r="1784" s="25" customFormat="1"/>
    <row r="1785" s="25" customFormat="1"/>
    <row r="1786" s="25" customFormat="1"/>
    <row r="1787" s="25" customFormat="1"/>
    <row r="1788" s="25" customFormat="1"/>
    <row r="1789" s="25" customFormat="1"/>
    <row r="1790" s="25" customFormat="1"/>
    <row r="1791" s="25" customFormat="1"/>
    <row r="1792" s="25" customFormat="1"/>
    <row r="1793" s="25" customFormat="1"/>
    <row r="1794" s="25" customFormat="1"/>
    <row r="1795" s="25" customFormat="1"/>
    <row r="1796" s="25" customFormat="1"/>
    <row r="1797" s="25" customFormat="1"/>
    <row r="1798" s="25" customFormat="1"/>
    <row r="1799" s="25" customFormat="1"/>
    <row r="1800" s="25" customFormat="1"/>
    <row r="1801" s="25" customFormat="1"/>
    <row r="1802" s="25" customFormat="1"/>
    <row r="1803" s="25" customFormat="1"/>
    <row r="1804" s="25" customFormat="1"/>
    <row r="1805" s="25" customFormat="1"/>
    <row r="1806" s="25" customFormat="1"/>
    <row r="1807" s="25" customFormat="1"/>
    <row r="1808" s="25" customFormat="1"/>
    <row r="1809" s="25" customFormat="1"/>
    <row r="1810" s="25" customFormat="1"/>
    <row r="1811" s="25" customFormat="1"/>
    <row r="1812" s="25" customFormat="1"/>
    <row r="1813" s="25" customFormat="1"/>
    <row r="1814" s="25" customFormat="1"/>
    <row r="1815" s="25" customFormat="1"/>
    <row r="1816" s="25" customFormat="1"/>
    <row r="1817" s="25" customFormat="1"/>
    <row r="1818" s="25" customFormat="1"/>
    <row r="1819" s="25" customFormat="1"/>
    <row r="1820" s="25" customFormat="1"/>
    <row r="1821" s="25" customFormat="1"/>
    <row r="1822" s="25" customFormat="1"/>
    <row r="1823" s="25" customFormat="1"/>
    <row r="1824" s="25" customFormat="1"/>
    <row r="1825" s="25" customFormat="1"/>
    <row r="1826" s="25" customFormat="1"/>
    <row r="1827" s="25" customFormat="1"/>
    <row r="1828" s="25" customFormat="1"/>
    <row r="1829" s="25" customFormat="1"/>
    <row r="1830" s="25" customFormat="1"/>
    <row r="1831" s="25" customFormat="1"/>
    <row r="1832" s="25" customFormat="1"/>
    <row r="1833" s="25" customFormat="1"/>
    <row r="1834" s="25" customFormat="1"/>
    <row r="1835" s="25" customFormat="1"/>
    <row r="1836" s="25" customFormat="1"/>
    <row r="1837" s="25" customFormat="1"/>
    <row r="1838" s="25" customFormat="1"/>
    <row r="1839" s="25" customFormat="1"/>
    <row r="1840" s="25" customFormat="1"/>
    <row r="1841" s="25" customFormat="1"/>
    <row r="1842" s="25" customFormat="1"/>
    <row r="1843" s="25" customFormat="1"/>
    <row r="1844" s="25" customFormat="1"/>
    <row r="1845" s="25" customFormat="1"/>
    <row r="1846" s="25" customFormat="1"/>
    <row r="1847" s="25" customFormat="1"/>
    <row r="1848" s="25" customFormat="1"/>
    <row r="1849" s="25" customFormat="1"/>
    <row r="1850" s="25" customFormat="1"/>
    <row r="1851" s="25" customFormat="1"/>
    <row r="1852" s="25" customFormat="1"/>
    <row r="1853" s="25" customFormat="1"/>
    <row r="1854" s="25" customFormat="1"/>
    <row r="1855" s="25" customFormat="1"/>
    <row r="1856" s="25" customFormat="1"/>
    <row r="1857" s="25" customFormat="1"/>
    <row r="1858" s="25" customFormat="1"/>
    <row r="1859" s="25" customFormat="1"/>
    <row r="1860" s="25" customFormat="1"/>
    <row r="1861" s="25" customFormat="1"/>
    <row r="1862" s="25" customFormat="1"/>
    <row r="1863" s="25" customFormat="1"/>
    <row r="1864" s="25" customFormat="1"/>
    <row r="1865" s="25" customFormat="1"/>
    <row r="1866" s="25" customFormat="1"/>
    <row r="1867" s="25" customFormat="1"/>
    <row r="1868" s="25" customFormat="1"/>
    <row r="1869" s="25" customFormat="1"/>
    <row r="1870" s="25" customFormat="1"/>
    <row r="1871" s="25" customFormat="1"/>
    <row r="1872" s="25" customFormat="1"/>
    <row r="1873" s="25" customFormat="1"/>
    <row r="1874" s="25" customFormat="1"/>
    <row r="1875" s="25" customFormat="1"/>
    <row r="1876" s="25" customFormat="1"/>
    <row r="1877" s="25" customFormat="1"/>
    <row r="1878" s="25" customFormat="1"/>
    <row r="1879" s="25" customFormat="1"/>
    <row r="1880" s="25" customFormat="1"/>
    <row r="1881" s="25" customFormat="1"/>
    <row r="1882" s="25" customFormat="1"/>
    <row r="1883" s="25" customFormat="1"/>
    <row r="1884" s="25" customFormat="1"/>
    <row r="1885" s="25" customFormat="1"/>
    <row r="1886" s="25" customFormat="1"/>
    <row r="1887" s="25" customFormat="1"/>
    <row r="1888" s="25" customFormat="1"/>
    <row r="1889" s="25" customFormat="1"/>
    <row r="1890" s="25" customFormat="1"/>
    <row r="1891" s="25" customFormat="1"/>
    <row r="1892" s="25" customFormat="1"/>
    <row r="1893" s="25" customFormat="1"/>
    <row r="1894" s="25" customFormat="1"/>
    <row r="1895" s="25" customFormat="1"/>
    <row r="1896" s="25" customFormat="1"/>
    <row r="1897" s="25" customFormat="1"/>
    <row r="1898" s="25" customFormat="1"/>
    <row r="1899" s="25" customFormat="1"/>
    <row r="1900" s="25" customFormat="1"/>
    <row r="1901" s="25" customFormat="1"/>
    <row r="1902" s="25" customFormat="1"/>
    <row r="1903" s="25" customFormat="1"/>
    <row r="1904" s="25" customFormat="1"/>
    <row r="1905" s="25" customFormat="1"/>
    <row r="1906" s="25" customFormat="1"/>
    <row r="1907" s="25" customFormat="1"/>
    <row r="1908" s="25" customFormat="1"/>
    <row r="1909" s="25" customFormat="1"/>
    <row r="1910" s="25" customFormat="1"/>
    <row r="1911" s="25" customFormat="1"/>
    <row r="1912" s="25" customFormat="1"/>
    <row r="1913" s="25" customFormat="1"/>
    <row r="1914" s="25" customFormat="1"/>
    <row r="1915" s="25" customFormat="1"/>
    <row r="1916" s="25" customFormat="1"/>
    <row r="1917" s="25" customFormat="1"/>
    <row r="1918" s="25" customFormat="1"/>
    <row r="1919" s="25" customFormat="1"/>
    <row r="1920" s="25" customFormat="1"/>
    <row r="1921" s="25" customFormat="1"/>
    <row r="1922" s="25" customFormat="1"/>
    <row r="1923" s="25" customFormat="1"/>
    <row r="1924" s="25" customFormat="1"/>
    <row r="1925" s="25" customFormat="1"/>
    <row r="1926" s="25" customFormat="1"/>
    <row r="1927" s="25" customFormat="1"/>
    <row r="1928" s="25" customFormat="1"/>
    <row r="1929" s="25" customFormat="1"/>
    <row r="1930" s="25" customFormat="1"/>
    <row r="1931" s="25" customFormat="1"/>
    <row r="1932" s="25" customFormat="1"/>
    <row r="1933" s="25" customFormat="1"/>
    <row r="1934" s="25" customFormat="1"/>
    <row r="1935" s="25" customFormat="1"/>
    <row r="1936" s="25" customFormat="1"/>
    <row r="1937" s="25" customFormat="1"/>
    <row r="1938" s="25" customFormat="1"/>
    <row r="1939" s="25" customFormat="1"/>
    <row r="1940" s="25" customFormat="1"/>
    <row r="1941" s="25" customFormat="1"/>
    <row r="1942" s="25" customFormat="1"/>
    <row r="1943" s="25" customFormat="1"/>
    <row r="1944" s="25" customFormat="1"/>
    <row r="1945" s="25" customFormat="1"/>
    <row r="1946" s="25" customFormat="1"/>
    <row r="1947" s="25" customFormat="1"/>
    <row r="1948" s="25" customFormat="1"/>
    <row r="1949" s="25" customFormat="1"/>
    <row r="1950" s="25" customFormat="1"/>
    <row r="1951" s="25" customFormat="1"/>
    <row r="1952" s="25" customFormat="1"/>
    <row r="1953" s="25" customFormat="1"/>
    <row r="1954" s="25" customFormat="1"/>
    <row r="1955" s="25" customFormat="1"/>
    <row r="1956" s="25" customFormat="1"/>
    <row r="1957" s="25" customFormat="1"/>
    <row r="1958" s="25" customFormat="1"/>
    <row r="1959" s="25" customFormat="1"/>
    <row r="1960" s="25" customFormat="1"/>
    <row r="1961" s="25" customFormat="1"/>
    <row r="1962" s="25" customFormat="1"/>
    <row r="1963" s="25" customFormat="1"/>
    <row r="1964" s="25" customFormat="1"/>
    <row r="1965" s="25" customFormat="1"/>
    <row r="1966" s="25" customFormat="1"/>
    <row r="1967" s="25" customFormat="1"/>
    <row r="1968" s="25" customFormat="1"/>
    <row r="1969" s="25" customFormat="1"/>
    <row r="1970" s="25" customFormat="1"/>
    <row r="1971" s="25" customFormat="1"/>
    <row r="1972" s="25" customFormat="1"/>
    <row r="1973" s="25" customFormat="1"/>
    <row r="1974" s="25" customFormat="1"/>
    <row r="1975" s="25" customFormat="1"/>
    <row r="1976" s="25" customFormat="1"/>
    <row r="1977" s="25" customFormat="1"/>
    <row r="1978" s="25" customFormat="1"/>
    <row r="1979" s="25" customFormat="1"/>
    <row r="1980" s="25" customFormat="1"/>
    <row r="1981" s="25" customFormat="1"/>
    <row r="1982" s="25" customFormat="1"/>
    <row r="1983" s="25" customFormat="1"/>
    <row r="1984" s="25" customFormat="1"/>
    <row r="1985" s="25" customFormat="1"/>
    <row r="1986" s="25" customFormat="1"/>
    <row r="1987" s="25" customFormat="1"/>
    <row r="1988" s="25" customFormat="1"/>
    <row r="1989" s="25" customFormat="1"/>
    <row r="1990" s="25" customFormat="1"/>
    <row r="1991" s="25" customFormat="1"/>
    <row r="1992" s="25" customFormat="1"/>
    <row r="1993" s="25" customFormat="1"/>
    <row r="1994" s="25" customFormat="1"/>
    <row r="1995" s="25" customFormat="1"/>
    <row r="1996" s="25" customFormat="1"/>
    <row r="1997" s="25" customFormat="1"/>
    <row r="1998" s="25" customFormat="1"/>
    <row r="1999" s="25" customFormat="1"/>
    <row r="2000" s="25" customFormat="1"/>
    <row r="2001" s="25" customFormat="1"/>
    <row r="2002" s="25" customFormat="1"/>
    <row r="2003" s="25" customFormat="1"/>
    <row r="2004" s="25" customFormat="1"/>
    <row r="2005" s="25" customFormat="1"/>
    <row r="2006" s="25" customFormat="1"/>
    <row r="2007" s="25" customFormat="1"/>
    <row r="2008" s="25" customFormat="1"/>
    <row r="2009" s="25" customFormat="1"/>
    <row r="2010" s="25" customFormat="1"/>
    <row r="2011" s="25" customFormat="1"/>
    <row r="2012" s="25" customFormat="1"/>
    <row r="2013" s="25" customFormat="1"/>
    <row r="2014" s="25" customFormat="1"/>
    <row r="2015" s="25" customFormat="1"/>
    <row r="2016" s="25" customFormat="1"/>
    <row r="2017" s="25" customFormat="1"/>
    <row r="2018" s="25" customFormat="1"/>
    <row r="2019" s="25" customFormat="1"/>
    <row r="2020" s="25" customFormat="1"/>
    <row r="2021" s="25" customFormat="1"/>
    <row r="2022" s="25" customFormat="1"/>
    <row r="2023" s="25" customFormat="1"/>
    <row r="2024" s="25" customFormat="1"/>
    <row r="2025" s="25" customFormat="1"/>
    <row r="2026" s="25" customFormat="1"/>
    <row r="2027" s="25" customFormat="1"/>
    <row r="2028" s="25" customFormat="1"/>
    <row r="2029" s="25" customFormat="1"/>
    <row r="2030" s="25" customFormat="1"/>
    <row r="2031" s="25" customFormat="1"/>
    <row r="2032" s="25" customFormat="1"/>
    <row r="2033" s="25" customFormat="1"/>
    <row r="2034" s="25" customFormat="1"/>
    <row r="2035" s="25" customFormat="1"/>
    <row r="2036" s="25" customFormat="1"/>
    <row r="2037" s="25" customFormat="1"/>
    <row r="2038" s="25" customFormat="1"/>
    <row r="2039" s="25" customFormat="1"/>
    <row r="2040" s="25" customFormat="1"/>
    <row r="2041" s="25" customFormat="1"/>
    <row r="2042" s="25" customFormat="1"/>
    <row r="2043" s="25" customFormat="1"/>
    <row r="2044" s="25" customFormat="1"/>
    <row r="2045" s="25" customFormat="1"/>
    <row r="2046" s="25" customFormat="1"/>
    <row r="2047" s="25" customFormat="1"/>
    <row r="2048" s="25" customFormat="1"/>
    <row r="2049" s="25" customFormat="1"/>
    <row r="2050" s="25" customFormat="1"/>
    <row r="2051" s="25" customFormat="1"/>
    <row r="2052" s="25" customFormat="1"/>
    <row r="2053" s="25" customFormat="1"/>
    <row r="2054" s="25" customFormat="1"/>
    <row r="2055" s="25" customFormat="1"/>
    <row r="2056" s="25" customFormat="1"/>
    <row r="2057" s="25" customFormat="1"/>
    <row r="2058" s="25" customFormat="1"/>
    <row r="2059" s="25" customFormat="1"/>
    <row r="2060" s="25" customFormat="1"/>
    <row r="2061" s="25" customFormat="1"/>
    <row r="2062" s="25" customFormat="1"/>
    <row r="2063" s="25" customFormat="1"/>
    <row r="2064" s="25" customFormat="1"/>
    <row r="2065" s="25" customFormat="1"/>
    <row r="2066" s="25" customFormat="1"/>
    <row r="2067" s="25" customFormat="1"/>
    <row r="2068" s="25" customFormat="1"/>
    <row r="2069" s="25" customFormat="1"/>
    <row r="2070" s="25" customFormat="1"/>
    <row r="2071" s="25" customFormat="1"/>
    <row r="2072" s="25" customFormat="1"/>
    <row r="2073" s="25" customFormat="1"/>
    <row r="2074" s="25" customFormat="1"/>
    <row r="2075" s="25" customFormat="1"/>
    <row r="2076" s="25" customFormat="1"/>
    <row r="2077" s="25" customFormat="1"/>
    <row r="2078" s="25" customFormat="1"/>
    <row r="2079" s="25" customFormat="1"/>
    <row r="2080" s="25" customFormat="1"/>
    <row r="2081" s="25" customFormat="1"/>
    <row r="2082" s="25" customFormat="1"/>
    <row r="2083" s="25" customFormat="1"/>
    <row r="2084" s="25" customFormat="1"/>
    <row r="2085" s="25" customFormat="1"/>
    <row r="2086" s="25" customFormat="1"/>
    <row r="2087" s="25" customFormat="1"/>
    <row r="2088" s="25" customFormat="1"/>
    <row r="2089" s="25" customFormat="1"/>
    <row r="2090" s="25" customFormat="1"/>
    <row r="2091" s="25" customFormat="1"/>
    <row r="2092" s="25" customFormat="1"/>
    <row r="2093" s="25" customFormat="1"/>
    <row r="2094" s="25" customFormat="1"/>
    <row r="2095" s="25" customFormat="1"/>
    <row r="2096" s="25" customFormat="1"/>
    <row r="2097" spans="3:5" s="25" customFormat="1"/>
    <row r="2098" spans="3:5" s="25" customFormat="1"/>
    <row r="2099" spans="3:5" s="25" customFormat="1"/>
    <row r="2100" spans="3:5" s="25" customFormat="1"/>
    <row r="2101" spans="3:5" s="25" customFormat="1"/>
    <row r="2102" spans="3:5" s="25" customFormat="1"/>
    <row r="2103" spans="3:5" s="25" customFormat="1"/>
    <row r="2104" spans="3:5" s="25" customFormat="1"/>
    <row r="2105" spans="3:5" s="25" customFormat="1"/>
    <row r="2106" spans="3:5">
      <c r="C2106" s="25"/>
      <c r="D2106" s="25"/>
      <c r="E2106" s="25"/>
    </row>
    <row r="2107" spans="3:5">
      <c r="C2107" s="25"/>
      <c r="D2107" s="25"/>
      <c r="E2107" s="25"/>
    </row>
    <row r="2108" spans="3:5">
      <c r="C2108" s="25"/>
      <c r="D2108" s="25"/>
      <c r="E2108" s="25"/>
    </row>
    <row r="2109" spans="3:5">
      <c r="C2109" s="25"/>
      <c r="D2109" s="25"/>
      <c r="E2109" s="25"/>
    </row>
  </sheetData>
  <mergeCells count="5">
    <mergeCell ref="B10:B20"/>
    <mergeCell ref="B23:B28"/>
    <mergeCell ref="B5:J5"/>
    <mergeCell ref="I8:J8"/>
    <mergeCell ref="B6:J6"/>
  </mergeCells>
  <pageMargins left="0.25" right="0.25" top="0.75" bottom="0.75" header="0.3" footer="0.3"/>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W1634"/>
  <sheetViews>
    <sheetView workbookViewId="0">
      <selection activeCell="D35" sqref="D35"/>
    </sheetView>
  </sheetViews>
  <sheetFormatPr defaultRowHeight="15"/>
  <cols>
    <col min="1" max="1" width="9.140625" style="25"/>
    <col min="2" max="2" width="12.28515625" customWidth="1"/>
    <col min="3" max="3" width="28.85546875" customWidth="1"/>
    <col min="4" max="4" width="4.42578125" style="68" customWidth="1"/>
    <col min="5" max="5" width="74.5703125" customWidth="1"/>
    <col min="6" max="49" width="9.140625" style="25"/>
  </cols>
  <sheetData>
    <row r="1" spans="2:7" s="25" customFormat="1">
      <c r="D1" s="66"/>
    </row>
    <row r="2" spans="2:7" s="25" customFormat="1" ht="18">
      <c r="B2" s="69" t="s">
        <v>0</v>
      </c>
      <c r="C2" s="22"/>
      <c r="D2" s="67"/>
      <c r="E2" s="22"/>
      <c r="F2" s="22"/>
      <c r="G2" s="22"/>
    </row>
    <row r="3" spans="2:7" s="25" customFormat="1" ht="15.75">
      <c r="B3" s="59" t="s">
        <v>83</v>
      </c>
      <c r="C3" s="22"/>
      <c r="D3" s="67"/>
      <c r="E3" s="22"/>
      <c r="F3" s="22"/>
      <c r="G3" s="22"/>
    </row>
    <row r="4" spans="2:7" s="25" customFormat="1" ht="6" customHeight="1" thickBot="1">
      <c r="B4" s="85"/>
      <c r="C4" s="85"/>
      <c r="D4" s="86"/>
      <c r="E4" s="85"/>
    </row>
    <row r="5" spans="2:7" s="25" customFormat="1" ht="6" customHeight="1" thickTop="1">
      <c r="B5" s="22"/>
      <c r="C5" s="22"/>
      <c r="D5" s="67"/>
      <c r="E5" s="22"/>
    </row>
    <row r="6" spans="2:7" s="25" customFormat="1" ht="15.75">
      <c r="B6" s="31" t="s">
        <v>30</v>
      </c>
      <c r="D6" s="66"/>
    </row>
    <row r="7" spans="2:7" s="25" customFormat="1">
      <c r="B7" s="87" t="s">
        <v>31</v>
      </c>
      <c r="D7" s="66"/>
    </row>
    <row r="8" spans="2:7" s="25" customFormat="1">
      <c r="B8" s="87" t="s">
        <v>34</v>
      </c>
      <c r="D8" s="66"/>
    </row>
    <row r="9" spans="2:7" s="25" customFormat="1">
      <c r="B9" s="87" t="s">
        <v>32</v>
      </c>
      <c r="D9" s="66"/>
    </row>
    <row r="10" spans="2:7" s="25" customFormat="1">
      <c r="B10" s="87" t="s">
        <v>33</v>
      </c>
      <c r="D10" s="66"/>
    </row>
    <row r="11" spans="2:7" s="25" customFormat="1">
      <c r="B11" s="87"/>
      <c r="D11" s="66"/>
    </row>
    <row r="12" spans="2:7" s="25" customFormat="1">
      <c r="B12" s="52"/>
      <c r="D12" s="66"/>
    </row>
    <row r="13" spans="2:7" s="25" customFormat="1" ht="15.75">
      <c r="B13" s="31" t="s">
        <v>86</v>
      </c>
      <c r="D13" s="66"/>
    </row>
    <row r="14" spans="2:7" s="25" customFormat="1">
      <c r="B14" s="87" t="s">
        <v>84</v>
      </c>
      <c r="D14" s="66"/>
    </row>
    <row r="15" spans="2:7" s="25" customFormat="1" ht="30" customHeight="1">
      <c r="B15" s="107" t="s">
        <v>85</v>
      </c>
      <c r="C15" s="107"/>
      <c r="D15" s="107"/>
      <c r="E15" s="107"/>
    </row>
    <row r="16" spans="2:7" s="25" customFormat="1">
      <c r="B16" s="30" t="s">
        <v>79</v>
      </c>
      <c r="D16" s="66"/>
    </row>
    <row r="17" spans="2:4" s="25" customFormat="1">
      <c r="B17" s="52"/>
      <c r="D17" s="66"/>
    </row>
    <row r="18" spans="2:4" s="25" customFormat="1">
      <c r="D18" s="66"/>
    </row>
    <row r="19" spans="2:4" s="25" customFormat="1">
      <c r="D19" s="66"/>
    </row>
    <row r="20" spans="2:4" s="25" customFormat="1">
      <c r="D20" s="66"/>
    </row>
    <row r="21" spans="2:4" s="25" customFormat="1">
      <c r="D21" s="66"/>
    </row>
    <row r="22" spans="2:4" s="25" customFormat="1">
      <c r="D22" s="66"/>
    </row>
    <row r="23" spans="2:4" s="25" customFormat="1">
      <c r="D23" s="66"/>
    </row>
    <row r="24" spans="2:4" s="25" customFormat="1">
      <c r="D24" s="66"/>
    </row>
    <row r="25" spans="2:4" s="25" customFormat="1">
      <c r="D25" s="66"/>
    </row>
    <row r="26" spans="2:4" s="25" customFormat="1">
      <c r="D26" s="66"/>
    </row>
    <row r="27" spans="2:4" s="25" customFormat="1">
      <c r="D27" s="66"/>
    </row>
    <row r="28" spans="2:4" s="25" customFormat="1">
      <c r="D28" s="66"/>
    </row>
    <row r="29" spans="2:4" s="25" customFormat="1">
      <c r="D29" s="66"/>
    </row>
    <row r="30" spans="2:4" s="25" customFormat="1">
      <c r="D30" s="66"/>
    </row>
    <row r="31" spans="2:4" s="25" customFormat="1">
      <c r="D31" s="66"/>
    </row>
    <row r="32" spans="2:4" s="25" customFormat="1">
      <c r="D32" s="66"/>
    </row>
    <row r="33" spans="4:4" s="25" customFormat="1">
      <c r="D33" s="66"/>
    </row>
    <row r="34" spans="4:4" s="25" customFormat="1">
      <c r="D34" s="66"/>
    </row>
    <row r="35" spans="4:4" s="25" customFormat="1" ht="409.6">
      <c r="D35" s="66"/>
    </row>
    <row r="36" spans="4:4" s="25" customFormat="1" ht="409.6">
      <c r="D36" s="66"/>
    </row>
    <row r="37" spans="4:4" s="25" customFormat="1" ht="409.6">
      <c r="D37" s="66"/>
    </row>
    <row r="38" spans="4:4" s="25" customFormat="1" ht="409.6">
      <c r="D38" s="66"/>
    </row>
    <row r="39" spans="4:4" s="25" customFormat="1" ht="409.6">
      <c r="D39" s="66"/>
    </row>
    <row r="40" spans="4:4" s="25" customFormat="1">
      <c r="D40" s="66"/>
    </row>
    <row r="41" spans="4:4" s="25" customFormat="1">
      <c r="D41" s="66"/>
    </row>
    <row r="42" spans="4:4" s="25" customFormat="1">
      <c r="D42" s="66"/>
    </row>
    <row r="43" spans="4:4" s="25" customFormat="1">
      <c r="D43" s="66"/>
    </row>
    <row r="44" spans="4:4" s="25" customFormat="1">
      <c r="D44" s="66"/>
    </row>
    <row r="45" spans="4:4" s="25" customFormat="1">
      <c r="D45" s="66"/>
    </row>
    <row r="46" spans="4:4" s="25" customFormat="1">
      <c r="D46" s="66"/>
    </row>
    <row r="47" spans="4:4" s="25" customFormat="1">
      <c r="D47" s="66"/>
    </row>
    <row r="48" spans="4:4" s="25" customFormat="1">
      <c r="D48" s="66"/>
    </row>
    <row r="49" spans="4:4" s="25" customFormat="1">
      <c r="D49" s="66"/>
    </row>
    <row r="50" spans="4:4" s="25" customFormat="1">
      <c r="D50" s="66"/>
    </row>
    <row r="51" spans="4:4" s="25" customFormat="1">
      <c r="D51" s="66"/>
    </row>
    <row r="52" spans="4:4" s="25" customFormat="1">
      <c r="D52" s="66"/>
    </row>
    <row r="53" spans="4:4" s="25" customFormat="1">
      <c r="D53" s="66"/>
    </row>
    <row r="54" spans="4:4" s="25" customFormat="1">
      <c r="D54" s="66"/>
    </row>
    <row r="55" spans="4:4" s="25" customFormat="1">
      <c r="D55" s="66"/>
    </row>
    <row r="56" spans="4:4" s="25" customFormat="1">
      <c r="D56" s="66"/>
    </row>
    <row r="57" spans="4:4" s="25" customFormat="1">
      <c r="D57" s="66"/>
    </row>
    <row r="58" spans="4:4" s="25" customFormat="1">
      <c r="D58" s="66"/>
    </row>
    <row r="59" spans="4:4" s="25" customFormat="1">
      <c r="D59" s="66"/>
    </row>
    <row r="60" spans="4:4" s="25" customFormat="1">
      <c r="D60" s="66"/>
    </row>
    <row r="61" spans="4:4" s="25" customFormat="1">
      <c r="D61" s="66"/>
    </row>
    <row r="62" spans="4:4" s="25" customFormat="1">
      <c r="D62" s="66"/>
    </row>
    <row r="63" spans="4:4" s="25" customFormat="1">
      <c r="D63" s="66"/>
    </row>
    <row r="64" spans="4:4" s="25" customFormat="1">
      <c r="D64" s="66"/>
    </row>
    <row r="65" spans="4:4" s="25" customFormat="1">
      <c r="D65" s="66"/>
    </row>
    <row r="66" spans="4:4" s="25" customFormat="1">
      <c r="D66" s="66"/>
    </row>
    <row r="67" spans="4:4" s="25" customFormat="1">
      <c r="D67" s="66"/>
    </row>
    <row r="68" spans="4:4" s="25" customFormat="1">
      <c r="D68" s="66"/>
    </row>
    <row r="69" spans="4:4" s="25" customFormat="1">
      <c r="D69" s="66"/>
    </row>
    <row r="70" spans="4:4" s="25" customFormat="1">
      <c r="D70" s="66"/>
    </row>
    <row r="71" spans="4:4" s="25" customFormat="1">
      <c r="D71" s="66"/>
    </row>
    <row r="72" spans="4:4" s="25" customFormat="1">
      <c r="D72" s="66"/>
    </row>
    <row r="73" spans="4:4" s="25" customFormat="1">
      <c r="D73" s="66"/>
    </row>
    <row r="74" spans="4:4" s="25" customFormat="1">
      <c r="D74" s="66"/>
    </row>
    <row r="75" spans="4:4" s="25" customFormat="1">
      <c r="D75" s="66"/>
    </row>
    <row r="76" spans="4:4" s="25" customFormat="1">
      <c r="D76" s="66"/>
    </row>
    <row r="77" spans="4:4" s="25" customFormat="1">
      <c r="D77" s="66"/>
    </row>
    <row r="78" spans="4:4" s="25" customFormat="1">
      <c r="D78" s="66"/>
    </row>
    <row r="79" spans="4:4" s="25" customFormat="1">
      <c r="D79" s="66"/>
    </row>
    <row r="80" spans="4:4" s="25" customFormat="1">
      <c r="D80" s="66"/>
    </row>
    <row r="81" spans="4:4" s="25" customFormat="1">
      <c r="D81" s="66"/>
    </row>
    <row r="82" spans="4:4" s="25" customFormat="1">
      <c r="D82" s="66"/>
    </row>
    <row r="83" spans="4:4" s="25" customFormat="1">
      <c r="D83" s="66"/>
    </row>
    <row r="84" spans="4:4" s="25" customFormat="1">
      <c r="D84" s="66"/>
    </row>
    <row r="85" spans="4:4" s="25" customFormat="1">
      <c r="D85" s="66"/>
    </row>
    <row r="86" spans="4:4" s="25" customFormat="1">
      <c r="D86" s="66"/>
    </row>
    <row r="87" spans="4:4" s="25" customFormat="1">
      <c r="D87" s="66"/>
    </row>
    <row r="88" spans="4:4" s="25" customFormat="1">
      <c r="D88" s="66"/>
    </row>
    <row r="89" spans="4:4" s="25" customFormat="1">
      <c r="D89" s="66"/>
    </row>
    <row r="90" spans="4:4" s="25" customFormat="1">
      <c r="D90" s="66"/>
    </row>
    <row r="91" spans="4:4" s="25" customFormat="1">
      <c r="D91" s="66"/>
    </row>
    <row r="92" spans="4:4" s="25" customFormat="1">
      <c r="D92" s="66"/>
    </row>
    <row r="93" spans="4:4" s="25" customFormat="1">
      <c r="D93" s="66"/>
    </row>
    <row r="94" spans="4:4" s="25" customFormat="1">
      <c r="D94" s="66"/>
    </row>
    <row r="95" spans="4:4" s="25" customFormat="1">
      <c r="D95" s="66"/>
    </row>
    <row r="96" spans="4:4" s="25" customFormat="1">
      <c r="D96" s="66"/>
    </row>
    <row r="97" spans="4:4" s="25" customFormat="1">
      <c r="D97" s="66"/>
    </row>
    <row r="98" spans="4:4" s="25" customFormat="1">
      <c r="D98" s="66"/>
    </row>
    <row r="99" spans="4:4" s="25" customFormat="1">
      <c r="D99" s="66"/>
    </row>
    <row r="100" spans="4:4" s="25" customFormat="1">
      <c r="D100" s="66"/>
    </row>
    <row r="101" spans="4:4" s="25" customFormat="1">
      <c r="D101" s="66"/>
    </row>
    <row r="102" spans="4:4" s="25" customFormat="1">
      <c r="D102" s="66"/>
    </row>
    <row r="103" spans="4:4" s="25" customFormat="1">
      <c r="D103" s="66"/>
    </row>
    <row r="104" spans="4:4" s="25" customFormat="1">
      <c r="D104" s="66"/>
    </row>
    <row r="105" spans="4:4" s="25" customFormat="1">
      <c r="D105" s="66"/>
    </row>
    <row r="106" spans="4:4" s="25" customFormat="1">
      <c r="D106" s="66"/>
    </row>
    <row r="107" spans="4:4" s="25" customFormat="1">
      <c r="D107" s="66"/>
    </row>
    <row r="108" spans="4:4" s="25" customFormat="1">
      <c r="D108" s="66"/>
    </row>
    <row r="109" spans="4:4" s="25" customFormat="1">
      <c r="D109" s="66"/>
    </row>
    <row r="110" spans="4:4" s="25" customFormat="1">
      <c r="D110" s="66"/>
    </row>
    <row r="111" spans="4:4" s="25" customFormat="1">
      <c r="D111" s="66"/>
    </row>
    <row r="112" spans="4:4" s="25" customFormat="1">
      <c r="D112" s="66"/>
    </row>
    <row r="113" spans="4:4" s="25" customFormat="1">
      <c r="D113" s="66"/>
    </row>
    <row r="114" spans="4:4" s="25" customFormat="1">
      <c r="D114" s="66"/>
    </row>
    <row r="115" spans="4:4" s="25" customFormat="1">
      <c r="D115" s="66"/>
    </row>
    <row r="116" spans="4:4" s="25" customFormat="1">
      <c r="D116" s="66"/>
    </row>
    <row r="117" spans="4:4" s="25" customFormat="1">
      <c r="D117" s="66"/>
    </row>
    <row r="118" spans="4:4" s="25" customFormat="1">
      <c r="D118" s="66"/>
    </row>
    <row r="119" spans="4:4" s="25" customFormat="1">
      <c r="D119" s="66"/>
    </row>
    <row r="120" spans="4:4" s="25" customFormat="1">
      <c r="D120" s="66"/>
    </row>
    <row r="121" spans="4:4" s="25" customFormat="1">
      <c r="D121" s="66"/>
    </row>
    <row r="122" spans="4:4" s="25" customFormat="1">
      <c r="D122" s="66"/>
    </row>
    <row r="123" spans="4:4" s="25" customFormat="1">
      <c r="D123" s="66"/>
    </row>
    <row r="124" spans="4:4" s="25" customFormat="1">
      <c r="D124" s="66"/>
    </row>
    <row r="125" spans="4:4" s="25" customFormat="1">
      <c r="D125" s="66"/>
    </row>
    <row r="126" spans="4:4" s="25" customFormat="1">
      <c r="D126" s="66"/>
    </row>
    <row r="127" spans="4:4" s="25" customFormat="1">
      <c r="D127" s="66"/>
    </row>
    <row r="128" spans="4:4" s="25" customFormat="1">
      <c r="D128" s="66"/>
    </row>
    <row r="129" spans="4:4" s="25" customFormat="1">
      <c r="D129" s="66"/>
    </row>
    <row r="130" spans="4:4" s="25" customFormat="1">
      <c r="D130" s="66"/>
    </row>
    <row r="131" spans="4:4" s="25" customFormat="1">
      <c r="D131" s="66"/>
    </row>
    <row r="132" spans="4:4" s="25" customFormat="1">
      <c r="D132" s="66"/>
    </row>
    <row r="133" spans="4:4" s="25" customFormat="1">
      <c r="D133" s="66"/>
    </row>
    <row r="134" spans="4:4" s="25" customFormat="1">
      <c r="D134" s="66"/>
    </row>
    <row r="135" spans="4:4" s="25" customFormat="1">
      <c r="D135" s="66"/>
    </row>
    <row r="136" spans="4:4" s="25" customFormat="1">
      <c r="D136" s="66"/>
    </row>
    <row r="137" spans="4:4" s="25" customFormat="1">
      <c r="D137" s="66"/>
    </row>
    <row r="138" spans="4:4" s="25" customFormat="1">
      <c r="D138" s="66"/>
    </row>
    <row r="139" spans="4:4" s="25" customFormat="1">
      <c r="D139" s="66"/>
    </row>
    <row r="140" spans="4:4" s="25" customFormat="1">
      <c r="D140" s="66"/>
    </row>
    <row r="141" spans="4:4" s="25" customFormat="1">
      <c r="D141" s="66"/>
    </row>
    <row r="142" spans="4:4" s="25" customFormat="1">
      <c r="D142" s="66"/>
    </row>
    <row r="143" spans="4:4" s="25" customFormat="1">
      <c r="D143" s="66"/>
    </row>
    <row r="144" spans="4:4" s="25" customFormat="1">
      <c r="D144" s="66"/>
    </row>
    <row r="145" spans="4:4" s="25" customFormat="1">
      <c r="D145" s="66"/>
    </row>
    <row r="146" spans="4:4" s="25" customFormat="1">
      <c r="D146" s="66"/>
    </row>
    <row r="147" spans="4:4" s="25" customFormat="1">
      <c r="D147" s="66"/>
    </row>
    <row r="148" spans="4:4" s="25" customFormat="1">
      <c r="D148" s="66"/>
    </row>
    <row r="149" spans="4:4" s="25" customFormat="1">
      <c r="D149" s="66"/>
    </row>
    <row r="150" spans="4:4" s="25" customFormat="1">
      <c r="D150" s="66"/>
    </row>
    <row r="151" spans="4:4" s="25" customFormat="1">
      <c r="D151" s="66"/>
    </row>
    <row r="152" spans="4:4" s="25" customFormat="1">
      <c r="D152" s="66"/>
    </row>
    <row r="153" spans="4:4" s="25" customFormat="1">
      <c r="D153" s="66"/>
    </row>
    <row r="154" spans="4:4" s="25" customFormat="1">
      <c r="D154" s="66"/>
    </row>
    <row r="155" spans="4:4" s="25" customFormat="1">
      <c r="D155" s="66"/>
    </row>
    <row r="156" spans="4:4" s="25" customFormat="1">
      <c r="D156" s="66"/>
    </row>
    <row r="157" spans="4:4" s="25" customFormat="1">
      <c r="D157" s="66"/>
    </row>
    <row r="158" spans="4:4" s="25" customFormat="1">
      <c r="D158" s="66"/>
    </row>
    <row r="159" spans="4:4" s="25" customFormat="1">
      <c r="D159" s="66"/>
    </row>
    <row r="160" spans="4:4" s="25" customFormat="1">
      <c r="D160" s="66"/>
    </row>
    <row r="161" spans="4:4" s="25" customFormat="1">
      <c r="D161" s="66"/>
    </row>
    <row r="162" spans="4:4" s="25" customFormat="1">
      <c r="D162" s="66"/>
    </row>
    <row r="163" spans="4:4" s="25" customFormat="1">
      <c r="D163" s="66"/>
    </row>
    <row r="164" spans="4:4" s="25" customFormat="1">
      <c r="D164" s="66"/>
    </row>
    <row r="165" spans="4:4" s="25" customFormat="1">
      <c r="D165" s="66"/>
    </row>
    <row r="166" spans="4:4" s="25" customFormat="1">
      <c r="D166" s="66"/>
    </row>
    <row r="167" spans="4:4" s="25" customFormat="1">
      <c r="D167" s="66"/>
    </row>
    <row r="168" spans="4:4" s="25" customFormat="1">
      <c r="D168" s="66"/>
    </row>
    <row r="169" spans="4:4" s="25" customFormat="1">
      <c r="D169" s="66"/>
    </row>
    <row r="170" spans="4:4" s="25" customFormat="1">
      <c r="D170" s="66"/>
    </row>
    <row r="171" spans="4:4" s="25" customFormat="1">
      <c r="D171" s="66"/>
    </row>
    <row r="172" spans="4:4" s="25" customFormat="1">
      <c r="D172" s="66"/>
    </row>
    <row r="173" spans="4:4" s="25" customFormat="1">
      <c r="D173" s="66"/>
    </row>
    <row r="174" spans="4:4" s="25" customFormat="1">
      <c r="D174" s="66"/>
    </row>
    <row r="175" spans="4:4" s="25" customFormat="1">
      <c r="D175" s="66"/>
    </row>
    <row r="176" spans="4:4" s="25" customFormat="1">
      <c r="D176" s="66"/>
    </row>
    <row r="177" spans="4:4" s="25" customFormat="1">
      <c r="D177" s="66"/>
    </row>
    <row r="178" spans="4:4" s="25" customFormat="1">
      <c r="D178" s="66"/>
    </row>
    <row r="179" spans="4:4" s="25" customFormat="1">
      <c r="D179" s="66"/>
    </row>
    <row r="180" spans="4:4" s="25" customFormat="1">
      <c r="D180" s="66"/>
    </row>
    <row r="181" spans="4:4" s="25" customFormat="1">
      <c r="D181" s="66"/>
    </row>
    <row r="182" spans="4:4" s="25" customFormat="1">
      <c r="D182" s="66"/>
    </row>
    <row r="183" spans="4:4" s="25" customFormat="1">
      <c r="D183" s="66"/>
    </row>
    <row r="184" spans="4:4" s="25" customFormat="1">
      <c r="D184" s="66"/>
    </row>
    <row r="185" spans="4:4" s="25" customFormat="1">
      <c r="D185" s="66"/>
    </row>
    <row r="186" spans="4:4" s="25" customFormat="1">
      <c r="D186" s="66"/>
    </row>
    <row r="187" spans="4:4" s="25" customFormat="1">
      <c r="D187" s="66"/>
    </row>
    <row r="188" spans="4:4" s="25" customFormat="1">
      <c r="D188" s="66"/>
    </row>
    <row r="189" spans="4:4" s="25" customFormat="1">
      <c r="D189" s="66"/>
    </row>
    <row r="190" spans="4:4" s="25" customFormat="1">
      <c r="D190" s="66"/>
    </row>
    <row r="191" spans="4:4" s="25" customFormat="1">
      <c r="D191" s="66"/>
    </row>
    <row r="192" spans="4:4" s="25" customFormat="1">
      <c r="D192" s="66"/>
    </row>
    <row r="193" spans="4:4" s="25" customFormat="1">
      <c r="D193" s="66"/>
    </row>
    <row r="194" spans="4:4" s="25" customFormat="1">
      <c r="D194" s="66"/>
    </row>
    <row r="195" spans="4:4" s="25" customFormat="1">
      <c r="D195" s="66"/>
    </row>
    <row r="196" spans="4:4" s="25" customFormat="1">
      <c r="D196" s="66"/>
    </row>
    <row r="197" spans="4:4" s="25" customFormat="1">
      <c r="D197" s="66"/>
    </row>
    <row r="198" spans="4:4" s="25" customFormat="1">
      <c r="D198" s="66"/>
    </row>
    <row r="199" spans="4:4" s="25" customFormat="1">
      <c r="D199" s="66"/>
    </row>
    <row r="200" spans="4:4" s="25" customFormat="1">
      <c r="D200" s="66"/>
    </row>
    <row r="201" spans="4:4" s="25" customFormat="1">
      <c r="D201" s="66"/>
    </row>
    <row r="202" spans="4:4" s="25" customFormat="1">
      <c r="D202" s="66"/>
    </row>
    <row r="203" spans="4:4" s="25" customFormat="1">
      <c r="D203" s="66"/>
    </row>
    <row r="204" spans="4:4" s="25" customFormat="1">
      <c r="D204" s="66"/>
    </row>
    <row r="205" spans="4:4" s="25" customFormat="1">
      <c r="D205" s="66"/>
    </row>
    <row r="206" spans="4:4" s="25" customFormat="1">
      <c r="D206" s="66"/>
    </row>
    <row r="207" spans="4:4" s="25" customFormat="1">
      <c r="D207" s="66"/>
    </row>
    <row r="208" spans="4:4" s="25" customFormat="1">
      <c r="D208" s="66"/>
    </row>
    <row r="209" spans="4:4" s="25" customFormat="1">
      <c r="D209" s="66"/>
    </row>
    <row r="210" spans="4:4" s="25" customFormat="1">
      <c r="D210" s="66"/>
    </row>
    <row r="211" spans="4:4" s="25" customFormat="1">
      <c r="D211" s="66"/>
    </row>
    <row r="212" spans="4:4" s="25" customFormat="1">
      <c r="D212" s="66"/>
    </row>
    <row r="213" spans="4:4" s="25" customFormat="1">
      <c r="D213" s="66"/>
    </row>
    <row r="214" spans="4:4" s="25" customFormat="1">
      <c r="D214" s="66"/>
    </row>
    <row r="215" spans="4:4" s="25" customFormat="1">
      <c r="D215" s="66"/>
    </row>
    <row r="216" spans="4:4" s="25" customFormat="1">
      <c r="D216" s="66"/>
    </row>
    <row r="217" spans="4:4" s="25" customFormat="1">
      <c r="D217" s="66"/>
    </row>
    <row r="218" spans="4:4" s="25" customFormat="1">
      <c r="D218" s="66"/>
    </row>
    <row r="219" spans="4:4" s="25" customFormat="1">
      <c r="D219" s="66"/>
    </row>
    <row r="220" spans="4:4" s="25" customFormat="1">
      <c r="D220" s="66"/>
    </row>
    <row r="221" spans="4:4" s="25" customFormat="1">
      <c r="D221" s="66"/>
    </row>
    <row r="222" spans="4:4" s="25" customFormat="1">
      <c r="D222" s="66"/>
    </row>
    <row r="223" spans="4:4" s="25" customFormat="1">
      <c r="D223" s="66"/>
    </row>
    <row r="224" spans="4:4" s="25" customFormat="1">
      <c r="D224" s="66"/>
    </row>
    <row r="225" spans="4:4" s="25" customFormat="1">
      <c r="D225" s="66"/>
    </row>
    <row r="226" spans="4:4" s="25" customFormat="1">
      <c r="D226" s="66"/>
    </row>
    <row r="227" spans="4:4" s="25" customFormat="1">
      <c r="D227" s="66"/>
    </row>
    <row r="228" spans="4:4" s="25" customFormat="1">
      <c r="D228" s="66"/>
    </row>
    <row r="229" spans="4:4" s="25" customFormat="1">
      <c r="D229" s="66"/>
    </row>
    <row r="230" spans="4:4" s="25" customFormat="1">
      <c r="D230" s="66"/>
    </row>
    <row r="231" spans="4:4" s="25" customFormat="1">
      <c r="D231" s="66"/>
    </row>
    <row r="232" spans="4:4" s="25" customFormat="1">
      <c r="D232" s="66"/>
    </row>
    <row r="233" spans="4:4" s="25" customFormat="1">
      <c r="D233" s="66"/>
    </row>
    <row r="234" spans="4:4" s="25" customFormat="1">
      <c r="D234" s="66"/>
    </row>
    <row r="235" spans="4:4" s="25" customFormat="1">
      <c r="D235" s="66"/>
    </row>
    <row r="236" spans="4:4" s="25" customFormat="1">
      <c r="D236" s="66"/>
    </row>
    <row r="237" spans="4:4" s="25" customFormat="1">
      <c r="D237" s="66"/>
    </row>
    <row r="238" spans="4:4" s="25" customFormat="1">
      <c r="D238" s="66"/>
    </row>
    <row r="239" spans="4:4" s="25" customFormat="1">
      <c r="D239" s="66"/>
    </row>
    <row r="240" spans="4:4" s="25" customFormat="1">
      <c r="D240" s="66"/>
    </row>
    <row r="241" spans="4:4" s="25" customFormat="1">
      <c r="D241" s="66"/>
    </row>
    <row r="242" spans="4:4" s="25" customFormat="1">
      <c r="D242" s="66"/>
    </row>
    <row r="243" spans="4:4" s="25" customFormat="1">
      <c r="D243" s="66"/>
    </row>
    <row r="244" spans="4:4" s="25" customFormat="1">
      <c r="D244" s="66"/>
    </row>
    <row r="245" spans="4:4" s="25" customFormat="1">
      <c r="D245" s="66"/>
    </row>
    <row r="246" spans="4:4" s="25" customFormat="1">
      <c r="D246" s="66"/>
    </row>
    <row r="247" spans="4:4" s="25" customFormat="1">
      <c r="D247" s="66"/>
    </row>
    <row r="248" spans="4:4" s="25" customFormat="1">
      <c r="D248" s="66"/>
    </row>
    <row r="249" spans="4:4" s="25" customFormat="1">
      <c r="D249" s="66"/>
    </row>
    <row r="250" spans="4:4" s="25" customFormat="1">
      <c r="D250" s="66"/>
    </row>
    <row r="251" spans="4:4" s="25" customFormat="1">
      <c r="D251" s="66"/>
    </row>
    <row r="252" spans="4:4" s="25" customFormat="1">
      <c r="D252" s="66"/>
    </row>
    <row r="253" spans="4:4" s="25" customFormat="1">
      <c r="D253" s="66"/>
    </row>
    <row r="254" spans="4:4" s="25" customFormat="1">
      <c r="D254" s="66"/>
    </row>
    <row r="255" spans="4:4" s="25" customFormat="1">
      <c r="D255" s="66"/>
    </row>
    <row r="256" spans="4:4" s="25" customFormat="1">
      <c r="D256" s="66"/>
    </row>
    <row r="257" spans="4:4" s="25" customFormat="1">
      <c r="D257" s="66"/>
    </row>
    <row r="258" spans="4:4" s="25" customFormat="1">
      <c r="D258" s="66"/>
    </row>
    <row r="259" spans="4:4" s="25" customFormat="1">
      <c r="D259" s="66"/>
    </row>
    <row r="260" spans="4:4" s="25" customFormat="1">
      <c r="D260" s="66"/>
    </row>
    <row r="261" spans="4:4" s="25" customFormat="1">
      <c r="D261" s="66"/>
    </row>
    <row r="262" spans="4:4" s="25" customFormat="1">
      <c r="D262" s="66"/>
    </row>
    <row r="263" spans="4:4" s="25" customFormat="1">
      <c r="D263" s="66"/>
    </row>
    <row r="264" spans="4:4" s="25" customFormat="1">
      <c r="D264" s="66"/>
    </row>
    <row r="265" spans="4:4" s="25" customFormat="1">
      <c r="D265" s="66"/>
    </row>
    <row r="266" spans="4:4" s="25" customFormat="1">
      <c r="D266" s="66"/>
    </row>
    <row r="267" spans="4:4" s="25" customFormat="1">
      <c r="D267" s="66"/>
    </row>
    <row r="268" spans="4:4" s="25" customFormat="1">
      <c r="D268" s="66"/>
    </row>
    <row r="269" spans="4:4" s="25" customFormat="1">
      <c r="D269" s="66"/>
    </row>
    <row r="270" spans="4:4" s="25" customFormat="1">
      <c r="D270" s="66"/>
    </row>
    <row r="271" spans="4:4" s="25" customFormat="1">
      <c r="D271" s="66"/>
    </row>
    <row r="272" spans="4:4" s="25" customFormat="1">
      <c r="D272" s="66"/>
    </row>
    <row r="273" spans="4:4" s="25" customFormat="1">
      <c r="D273" s="66"/>
    </row>
    <row r="274" spans="4:4" s="25" customFormat="1">
      <c r="D274" s="66"/>
    </row>
    <row r="275" spans="4:4" s="25" customFormat="1">
      <c r="D275" s="66"/>
    </row>
    <row r="276" spans="4:4" s="25" customFormat="1">
      <c r="D276" s="66"/>
    </row>
    <row r="277" spans="4:4" s="25" customFormat="1">
      <c r="D277" s="66"/>
    </row>
    <row r="278" spans="4:4" s="25" customFormat="1">
      <c r="D278" s="66"/>
    </row>
    <row r="279" spans="4:4" s="25" customFormat="1">
      <c r="D279" s="66"/>
    </row>
    <row r="280" spans="4:4" s="25" customFormat="1">
      <c r="D280" s="66"/>
    </row>
    <row r="281" spans="4:4" s="25" customFormat="1">
      <c r="D281" s="66"/>
    </row>
    <row r="282" spans="4:4" s="25" customFormat="1">
      <c r="D282" s="66"/>
    </row>
    <row r="283" spans="4:4" s="25" customFormat="1">
      <c r="D283" s="66"/>
    </row>
    <row r="284" spans="4:4" s="25" customFormat="1">
      <c r="D284" s="66"/>
    </row>
    <row r="285" spans="4:4" s="25" customFormat="1">
      <c r="D285" s="66"/>
    </row>
    <row r="286" spans="4:4" s="25" customFormat="1">
      <c r="D286" s="66"/>
    </row>
    <row r="287" spans="4:4" s="25" customFormat="1">
      <c r="D287" s="66"/>
    </row>
    <row r="288" spans="4:4" s="25" customFormat="1">
      <c r="D288" s="66"/>
    </row>
    <row r="289" spans="4:4" s="25" customFormat="1">
      <c r="D289" s="66"/>
    </row>
    <row r="290" spans="4:4" s="25" customFormat="1">
      <c r="D290" s="66"/>
    </row>
    <row r="291" spans="4:4" s="25" customFormat="1">
      <c r="D291" s="66"/>
    </row>
    <row r="292" spans="4:4" s="25" customFormat="1">
      <c r="D292" s="66"/>
    </row>
    <row r="293" spans="4:4" s="25" customFormat="1">
      <c r="D293" s="66"/>
    </row>
    <row r="294" spans="4:4" s="25" customFormat="1">
      <c r="D294" s="66"/>
    </row>
    <row r="295" spans="4:4" s="25" customFormat="1">
      <c r="D295" s="66"/>
    </row>
    <row r="296" spans="4:4" s="25" customFormat="1">
      <c r="D296" s="66"/>
    </row>
    <row r="297" spans="4:4" s="25" customFormat="1">
      <c r="D297" s="66"/>
    </row>
    <row r="298" spans="4:4" s="25" customFormat="1">
      <c r="D298" s="66"/>
    </row>
    <row r="299" spans="4:4" s="25" customFormat="1">
      <c r="D299" s="66"/>
    </row>
    <row r="300" spans="4:4" s="25" customFormat="1">
      <c r="D300" s="66"/>
    </row>
    <row r="301" spans="4:4" s="25" customFormat="1">
      <c r="D301" s="66"/>
    </row>
    <row r="302" spans="4:4" s="25" customFormat="1">
      <c r="D302" s="66"/>
    </row>
    <row r="303" spans="4:4" s="25" customFormat="1">
      <c r="D303" s="66"/>
    </row>
    <row r="304" spans="4:4" s="25" customFormat="1">
      <c r="D304" s="66"/>
    </row>
    <row r="305" spans="4:4" s="25" customFormat="1">
      <c r="D305" s="66"/>
    </row>
    <row r="306" spans="4:4" s="25" customFormat="1">
      <c r="D306" s="66"/>
    </row>
    <row r="307" spans="4:4" s="25" customFormat="1">
      <c r="D307" s="66"/>
    </row>
    <row r="308" spans="4:4" s="25" customFormat="1">
      <c r="D308" s="66"/>
    </row>
    <row r="309" spans="4:4" s="25" customFormat="1">
      <c r="D309" s="66"/>
    </row>
    <row r="310" spans="4:4" s="25" customFormat="1">
      <c r="D310" s="66"/>
    </row>
    <row r="311" spans="4:4" s="25" customFormat="1">
      <c r="D311" s="66"/>
    </row>
    <row r="312" spans="4:4" s="25" customFormat="1">
      <c r="D312" s="66"/>
    </row>
    <row r="313" spans="4:4" s="25" customFormat="1">
      <c r="D313" s="66"/>
    </row>
    <row r="314" spans="4:4" s="25" customFormat="1">
      <c r="D314" s="66"/>
    </row>
    <row r="315" spans="4:4" s="25" customFormat="1">
      <c r="D315" s="66"/>
    </row>
    <row r="316" spans="4:4" s="25" customFormat="1">
      <c r="D316" s="66"/>
    </row>
    <row r="317" spans="4:4" s="25" customFormat="1">
      <c r="D317" s="66"/>
    </row>
    <row r="318" spans="4:4" s="25" customFormat="1">
      <c r="D318" s="66"/>
    </row>
    <row r="319" spans="4:4" s="25" customFormat="1">
      <c r="D319" s="66"/>
    </row>
    <row r="320" spans="4:4" s="25" customFormat="1">
      <c r="D320" s="66"/>
    </row>
    <row r="321" spans="4:4" s="25" customFormat="1">
      <c r="D321" s="66"/>
    </row>
    <row r="322" spans="4:4" s="25" customFormat="1">
      <c r="D322" s="66"/>
    </row>
    <row r="323" spans="4:4" s="25" customFormat="1">
      <c r="D323" s="66"/>
    </row>
    <row r="324" spans="4:4" s="25" customFormat="1">
      <c r="D324" s="66"/>
    </row>
    <row r="325" spans="4:4" s="25" customFormat="1">
      <c r="D325" s="66"/>
    </row>
    <row r="326" spans="4:4" s="25" customFormat="1">
      <c r="D326" s="66"/>
    </row>
    <row r="327" spans="4:4" s="25" customFormat="1">
      <c r="D327" s="66"/>
    </row>
    <row r="328" spans="4:4" s="25" customFormat="1">
      <c r="D328" s="66"/>
    </row>
    <row r="329" spans="4:4" s="25" customFormat="1">
      <c r="D329" s="66"/>
    </row>
    <row r="330" spans="4:4" s="25" customFormat="1">
      <c r="D330" s="66"/>
    </row>
    <row r="331" spans="4:4" s="25" customFormat="1">
      <c r="D331" s="66"/>
    </row>
    <row r="332" spans="4:4" s="25" customFormat="1">
      <c r="D332" s="66"/>
    </row>
    <row r="333" spans="4:4" s="25" customFormat="1">
      <c r="D333" s="66"/>
    </row>
    <row r="334" spans="4:4" s="25" customFormat="1">
      <c r="D334" s="66"/>
    </row>
    <row r="335" spans="4:4" s="25" customFormat="1">
      <c r="D335" s="66"/>
    </row>
    <row r="336" spans="4:4" s="25" customFormat="1">
      <c r="D336" s="66"/>
    </row>
    <row r="337" spans="4:4" s="25" customFormat="1">
      <c r="D337" s="66"/>
    </row>
    <row r="338" spans="4:4" s="25" customFormat="1">
      <c r="D338" s="66"/>
    </row>
    <row r="339" spans="4:4" s="25" customFormat="1">
      <c r="D339" s="66"/>
    </row>
    <row r="340" spans="4:4" s="25" customFormat="1">
      <c r="D340" s="66"/>
    </row>
    <row r="341" spans="4:4" s="25" customFormat="1">
      <c r="D341" s="66"/>
    </row>
    <row r="342" spans="4:4" s="25" customFormat="1">
      <c r="D342" s="66"/>
    </row>
    <row r="343" spans="4:4" s="25" customFormat="1">
      <c r="D343" s="66"/>
    </row>
    <row r="344" spans="4:4" s="25" customFormat="1">
      <c r="D344" s="66"/>
    </row>
    <row r="345" spans="4:4" s="25" customFormat="1">
      <c r="D345" s="66"/>
    </row>
    <row r="346" spans="4:4" s="25" customFormat="1">
      <c r="D346" s="66"/>
    </row>
    <row r="347" spans="4:4" s="25" customFormat="1">
      <c r="D347" s="66"/>
    </row>
    <row r="348" spans="4:4" s="25" customFormat="1">
      <c r="D348" s="66"/>
    </row>
    <row r="349" spans="4:4" s="25" customFormat="1">
      <c r="D349" s="66"/>
    </row>
    <row r="350" spans="4:4" s="25" customFormat="1">
      <c r="D350" s="66"/>
    </row>
    <row r="351" spans="4:4" s="25" customFormat="1">
      <c r="D351" s="66"/>
    </row>
    <row r="352" spans="4:4" s="25" customFormat="1">
      <c r="D352" s="66"/>
    </row>
    <row r="353" spans="4:4" s="25" customFormat="1">
      <c r="D353" s="66"/>
    </row>
    <row r="354" spans="4:4" s="25" customFormat="1">
      <c r="D354" s="66"/>
    </row>
    <row r="355" spans="4:4" s="25" customFormat="1">
      <c r="D355" s="66"/>
    </row>
    <row r="356" spans="4:4" s="25" customFormat="1">
      <c r="D356" s="66"/>
    </row>
    <row r="357" spans="4:4" s="25" customFormat="1">
      <c r="D357" s="66"/>
    </row>
    <row r="358" spans="4:4" s="25" customFormat="1">
      <c r="D358" s="66"/>
    </row>
    <row r="359" spans="4:4" s="25" customFormat="1">
      <c r="D359" s="66"/>
    </row>
    <row r="360" spans="4:4" s="25" customFormat="1">
      <c r="D360" s="66"/>
    </row>
    <row r="361" spans="4:4" s="25" customFormat="1">
      <c r="D361" s="66"/>
    </row>
    <row r="362" spans="4:4" s="25" customFormat="1">
      <c r="D362" s="66"/>
    </row>
    <row r="363" spans="4:4" s="25" customFormat="1">
      <c r="D363" s="66"/>
    </row>
    <row r="364" spans="4:4" s="25" customFormat="1">
      <c r="D364" s="66"/>
    </row>
    <row r="365" spans="4:4" s="25" customFormat="1">
      <c r="D365" s="66"/>
    </row>
    <row r="366" spans="4:4" s="25" customFormat="1">
      <c r="D366" s="66"/>
    </row>
    <row r="367" spans="4:4" s="25" customFormat="1">
      <c r="D367" s="66"/>
    </row>
    <row r="368" spans="4:4" s="25" customFormat="1">
      <c r="D368" s="66"/>
    </row>
    <row r="369" spans="4:4" s="25" customFormat="1">
      <c r="D369" s="66"/>
    </row>
    <row r="370" spans="4:4" s="25" customFormat="1">
      <c r="D370" s="66"/>
    </row>
    <row r="371" spans="4:4" s="25" customFormat="1">
      <c r="D371" s="66"/>
    </row>
    <row r="372" spans="4:4" s="25" customFormat="1">
      <c r="D372" s="66"/>
    </row>
    <row r="373" spans="4:4" s="25" customFormat="1">
      <c r="D373" s="66"/>
    </row>
    <row r="374" spans="4:4" s="25" customFormat="1">
      <c r="D374" s="66"/>
    </row>
    <row r="375" spans="4:4" s="25" customFormat="1">
      <c r="D375" s="66"/>
    </row>
    <row r="376" spans="4:4" s="25" customFormat="1">
      <c r="D376" s="66"/>
    </row>
    <row r="377" spans="4:4" s="25" customFormat="1">
      <c r="D377" s="66"/>
    </row>
    <row r="378" spans="4:4" s="25" customFormat="1">
      <c r="D378" s="66"/>
    </row>
    <row r="379" spans="4:4" s="25" customFormat="1">
      <c r="D379" s="66"/>
    </row>
    <row r="380" spans="4:4" s="25" customFormat="1">
      <c r="D380" s="66"/>
    </row>
    <row r="381" spans="4:4" s="25" customFormat="1">
      <c r="D381" s="66"/>
    </row>
    <row r="382" spans="4:4" s="25" customFormat="1">
      <c r="D382" s="66"/>
    </row>
    <row r="383" spans="4:4" s="25" customFormat="1">
      <c r="D383" s="66"/>
    </row>
    <row r="384" spans="4:4" s="25" customFormat="1">
      <c r="D384" s="66"/>
    </row>
    <row r="385" spans="4:4" s="25" customFormat="1">
      <c r="D385" s="66"/>
    </row>
    <row r="386" spans="4:4" s="25" customFormat="1">
      <c r="D386" s="66"/>
    </row>
    <row r="387" spans="4:4" s="25" customFormat="1">
      <c r="D387" s="66"/>
    </row>
    <row r="388" spans="4:4" s="25" customFormat="1">
      <c r="D388" s="66"/>
    </row>
    <row r="389" spans="4:4" s="25" customFormat="1">
      <c r="D389" s="66"/>
    </row>
    <row r="390" spans="4:4" s="25" customFormat="1">
      <c r="D390" s="66"/>
    </row>
    <row r="391" spans="4:4" s="25" customFormat="1">
      <c r="D391" s="66"/>
    </row>
    <row r="392" spans="4:4" s="25" customFormat="1">
      <c r="D392" s="66"/>
    </row>
    <row r="393" spans="4:4" s="25" customFormat="1">
      <c r="D393" s="66"/>
    </row>
    <row r="394" spans="4:4" s="25" customFormat="1">
      <c r="D394" s="66"/>
    </row>
    <row r="395" spans="4:4" s="25" customFormat="1">
      <c r="D395" s="66"/>
    </row>
    <row r="396" spans="4:4" s="25" customFormat="1">
      <c r="D396" s="66"/>
    </row>
    <row r="397" spans="4:4" s="25" customFormat="1">
      <c r="D397" s="66"/>
    </row>
    <row r="398" spans="4:4" s="25" customFormat="1">
      <c r="D398" s="66"/>
    </row>
    <row r="399" spans="4:4" s="25" customFormat="1">
      <c r="D399" s="66"/>
    </row>
    <row r="400" spans="4:4" s="25" customFormat="1">
      <c r="D400" s="66"/>
    </row>
    <row r="401" spans="4:4" s="25" customFormat="1">
      <c r="D401" s="66"/>
    </row>
    <row r="402" spans="4:4" s="25" customFormat="1">
      <c r="D402" s="66"/>
    </row>
    <row r="403" spans="4:4" s="25" customFormat="1">
      <c r="D403" s="66"/>
    </row>
    <row r="404" spans="4:4" s="25" customFormat="1">
      <c r="D404" s="66"/>
    </row>
    <row r="405" spans="4:4" s="25" customFormat="1">
      <c r="D405" s="66"/>
    </row>
    <row r="406" spans="4:4" s="25" customFormat="1">
      <c r="D406" s="66"/>
    </row>
    <row r="407" spans="4:4" s="25" customFormat="1">
      <c r="D407" s="66"/>
    </row>
    <row r="408" spans="4:4" s="25" customFormat="1">
      <c r="D408" s="66"/>
    </row>
    <row r="409" spans="4:4" s="25" customFormat="1">
      <c r="D409" s="66"/>
    </row>
    <row r="410" spans="4:4" s="25" customFormat="1">
      <c r="D410" s="66"/>
    </row>
    <row r="411" spans="4:4" s="25" customFormat="1">
      <c r="D411" s="66"/>
    </row>
    <row r="412" spans="4:4" s="25" customFormat="1">
      <c r="D412" s="66"/>
    </row>
    <row r="413" spans="4:4" s="25" customFormat="1">
      <c r="D413" s="66"/>
    </row>
    <row r="414" spans="4:4" s="25" customFormat="1">
      <c r="D414" s="66"/>
    </row>
    <row r="415" spans="4:4" s="25" customFormat="1">
      <c r="D415" s="66"/>
    </row>
    <row r="416" spans="4:4" s="25" customFormat="1">
      <c r="D416" s="66"/>
    </row>
    <row r="417" spans="4:4" s="25" customFormat="1">
      <c r="D417" s="66"/>
    </row>
    <row r="418" spans="4:4" s="25" customFormat="1">
      <c r="D418" s="66"/>
    </row>
    <row r="419" spans="4:4" s="25" customFormat="1">
      <c r="D419" s="66"/>
    </row>
    <row r="420" spans="4:4" s="25" customFormat="1">
      <c r="D420" s="66"/>
    </row>
    <row r="421" spans="4:4" s="25" customFormat="1">
      <c r="D421" s="66"/>
    </row>
    <row r="422" spans="4:4" s="25" customFormat="1">
      <c r="D422" s="66"/>
    </row>
    <row r="423" spans="4:4" s="25" customFormat="1">
      <c r="D423" s="66"/>
    </row>
    <row r="424" spans="4:4" s="25" customFormat="1">
      <c r="D424" s="66"/>
    </row>
    <row r="425" spans="4:4" s="25" customFormat="1">
      <c r="D425" s="66"/>
    </row>
    <row r="426" spans="4:4" s="25" customFormat="1">
      <c r="D426" s="66"/>
    </row>
    <row r="427" spans="4:4" s="25" customFormat="1">
      <c r="D427" s="66"/>
    </row>
    <row r="428" spans="4:4" s="25" customFormat="1">
      <c r="D428" s="66"/>
    </row>
    <row r="429" spans="4:4" s="25" customFormat="1">
      <c r="D429" s="66"/>
    </row>
    <row r="430" spans="4:4" s="25" customFormat="1">
      <c r="D430" s="66"/>
    </row>
    <row r="431" spans="4:4" s="25" customFormat="1">
      <c r="D431" s="66"/>
    </row>
    <row r="432" spans="4:4" s="25" customFormat="1">
      <c r="D432" s="66"/>
    </row>
    <row r="433" spans="4:4" s="25" customFormat="1">
      <c r="D433" s="66"/>
    </row>
    <row r="434" spans="4:4" s="25" customFormat="1">
      <c r="D434" s="66"/>
    </row>
    <row r="435" spans="4:4" s="25" customFormat="1">
      <c r="D435" s="66"/>
    </row>
    <row r="436" spans="4:4" s="25" customFormat="1">
      <c r="D436" s="66"/>
    </row>
    <row r="437" spans="4:4" s="25" customFormat="1">
      <c r="D437" s="66"/>
    </row>
    <row r="438" spans="4:4" s="25" customFormat="1">
      <c r="D438" s="66"/>
    </row>
    <row r="439" spans="4:4" s="25" customFormat="1">
      <c r="D439" s="66"/>
    </row>
    <row r="440" spans="4:4" s="25" customFormat="1">
      <c r="D440" s="66"/>
    </row>
    <row r="441" spans="4:4" s="25" customFormat="1">
      <c r="D441" s="66"/>
    </row>
    <row r="442" spans="4:4" s="25" customFormat="1">
      <c r="D442" s="66"/>
    </row>
    <row r="443" spans="4:4" s="25" customFormat="1">
      <c r="D443" s="66"/>
    </row>
    <row r="444" spans="4:4" s="25" customFormat="1">
      <c r="D444" s="66"/>
    </row>
    <row r="445" spans="4:4" s="25" customFormat="1">
      <c r="D445" s="66"/>
    </row>
    <row r="446" spans="4:4" s="25" customFormat="1">
      <c r="D446" s="66"/>
    </row>
    <row r="447" spans="4:4" s="25" customFormat="1">
      <c r="D447" s="66"/>
    </row>
    <row r="448" spans="4:4" s="25" customFormat="1">
      <c r="D448" s="66"/>
    </row>
    <row r="449" spans="4:4" s="25" customFormat="1">
      <c r="D449" s="66"/>
    </row>
    <row r="450" spans="4:4" s="25" customFormat="1">
      <c r="D450" s="66"/>
    </row>
    <row r="451" spans="4:4" s="25" customFormat="1">
      <c r="D451" s="66"/>
    </row>
    <row r="452" spans="4:4" s="25" customFormat="1">
      <c r="D452" s="66"/>
    </row>
    <row r="453" spans="4:4" s="25" customFormat="1">
      <c r="D453" s="66"/>
    </row>
    <row r="454" spans="4:4" s="25" customFormat="1">
      <c r="D454" s="66"/>
    </row>
    <row r="455" spans="4:4" s="25" customFormat="1">
      <c r="D455" s="66"/>
    </row>
    <row r="456" spans="4:4" s="25" customFormat="1">
      <c r="D456" s="66"/>
    </row>
    <row r="457" spans="4:4" s="25" customFormat="1">
      <c r="D457" s="66"/>
    </row>
    <row r="458" spans="4:4" s="25" customFormat="1">
      <c r="D458" s="66"/>
    </row>
    <row r="459" spans="4:4" s="25" customFormat="1">
      <c r="D459" s="66"/>
    </row>
    <row r="460" spans="4:4" s="25" customFormat="1">
      <c r="D460" s="66"/>
    </row>
    <row r="461" spans="4:4" s="25" customFormat="1">
      <c r="D461" s="66"/>
    </row>
    <row r="462" spans="4:4" s="25" customFormat="1">
      <c r="D462" s="66"/>
    </row>
    <row r="463" spans="4:4" s="25" customFormat="1">
      <c r="D463" s="66"/>
    </row>
    <row r="464" spans="4:4" s="25" customFormat="1">
      <c r="D464" s="66"/>
    </row>
    <row r="465" spans="4:4" s="25" customFormat="1">
      <c r="D465" s="66"/>
    </row>
    <row r="466" spans="4:4" s="25" customFormat="1">
      <c r="D466" s="66"/>
    </row>
    <row r="467" spans="4:4" s="25" customFormat="1">
      <c r="D467" s="66"/>
    </row>
    <row r="468" spans="4:4" s="25" customFormat="1">
      <c r="D468" s="66"/>
    </row>
    <row r="469" spans="4:4" s="25" customFormat="1">
      <c r="D469" s="66"/>
    </row>
    <row r="470" spans="4:4" s="25" customFormat="1">
      <c r="D470" s="66"/>
    </row>
    <row r="471" spans="4:4" s="25" customFormat="1">
      <c r="D471" s="66"/>
    </row>
    <row r="472" spans="4:4" s="25" customFormat="1">
      <c r="D472" s="66"/>
    </row>
    <row r="473" spans="4:4" s="25" customFormat="1">
      <c r="D473" s="66"/>
    </row>
    <row r="474" spans="4:4" s="25" customFormat="1">
      <c r="D474" s="66"/>
    </row>
    <row r="475" spans="4:4" s="25" customFormat="1">
      <c r="D475" s="66"/>
    </row>
    <row r="476" spans="4:4" s="25" customFormat="1">
      <c r="D476" s="66"/>
    </row>
    <row r="477" spans="4:4" s="25" customFormat="1">
      <c r="D477" s="66"/>
    </row>
    <row r="478" spans="4:4" s="25" customFormat="1">
      <c r="D478" s="66"/>
    </row>
    <row r="479" spans="4:4" s="25" customFormat="1">
      <c r="D479" s="66"/>
    </row>
    <row r="480" spans="4:4" s="25" customFormat="1">
      <c r="D480" s="66"/>
    </row>
    <row r="481" spans="4:4" s="25" customFormat="1">
      <c r="D481" s="66"/>
    </row>
    <row r="482" spans="4:4" s="25" customFormat="1">
      <c r="D482" s="66"/>
    </row>
    <row r="483" spans="4:4" s="25" customFormat="1">
      <c r="D483" s="66"/>
    </row>
    <row r="484" spans="4:4" s="25" customFormat="1">
      <c r="D484" s="66"/>
    </row>
    <row r="485" spans="4:4" s="25" customFormat="1">
      <c r="D485" s="66"/>
    </row>
    <row r="486" spans="4:4" s="25" customFormat="1">
      <c r="D486" s="66"/>
    </row>
    <row r="487" spans="4:4" s="25" customFormat="1">
      <c r="D487" s="66"/>
    </row>
    <row r="488" spans="4:4" s="25" customFormat="1">
      <c r="D488" s="66"/>
    </row>
    <row r="489" spans="4:4" s="25" customFormat="1">
      <c r="D489" s="66"/>
    </row>
    <row r="490" spans="4:4" s="25" customFormat="1">
      <c r="D490" s="66"/>
    </row>
    <row r="491" spans="4:4" s="25" customFormat="1">
      <c r="D491" s="66"/>
    </row>
    <row r="492" spans="4:4" s="25" customFormat="1">
      <c r="D492" s="66"/>
    </row>
    <row r="493" spans="4:4" s="25" customFormat="1">
      <c r="D493" s="66"/>
    </row>
    <row r="494" spans="4:4" s="25" customFormat="1">
      <c r="D494" s="66"/>
    </row>
    <row r="495" spans="4:4" s="25" customFormat="1">
      <c r="D495" s="66"/>
    </row>
    <row r="496" spans="4:4" s="25" customFormat="1">
      <c r="D496" s="66"/>
    </row>
    <row r="497" spans="4:4" s="25" customFormat="1">
      <c r="D497" s="66"/>
    </row>
    <row r="498" spans="4:4" s="25" customFormat="1">
      <c r="D498" s="66"/>
    </row>
    <row r="499" spans="4:4" s="25" customFormat="1">
      <c r="D499" s="66"/>
    </row>
    <row r="500" spans="4:4" s="25" customFormat="1">
      <c r="D500" s="66"/>
    </row>
    <row r="501" spans="4:4" s="25" customFormat="1">
      <c r="D501" s="66"/>
    </row>
    <row r="502" spans="4:4" s="25" customFormat="1">
      <c r="D502" s="66"/>
    </row>
    <row r="503" spans="4:4" s="25" customFormat="1">
      <c r="D503" s="66"/>
    </row>
    <row r="504" spans="4:4" s="25" customFormat="1">
      <c r="D504" s="66"/>
    </row>
    <row r="505" spans="4:4" s="25" customFormat="1">
      <c r="D505" s="66"/>
    </row>
    <row r="506" spans="4:4" s="25" customFormat="1">
      <c r="D506" s="66"/>
    </row>
    <row r="507" spans="4:4" s="25" customFormat="1">
      <c r="D507" s="66"/>
    </row>
    <row r="508" spans="4:4" s="25" customFormat="1">
      <c r="D508" s="66"/>
    </row>
    <row r="509" spans="4:4" s="25" customFormat="1">
      <c r="D509" s="66"/>
    </row>
    <row r="510" spans="4:4" s="25" customFormat="1">
      <c r="D510" s="66"/>
    </row>
    <row r="511" spans="4:4" s="25" customFormat="1">
      <c r="D511" s="66"/>
    </row>
    <row r="512" spans="4:4" s="25" customFormat="1">
      <c r="D512" s="66"/>
    </row>
    <row r="513" spans="4:4" s="25" customFormat="1">
      <c r="D513" s="66"/>
    </row>
    <row r="514" spans="4:4" s="25" customFormat="1">
      <c r="D514" s="66"/>
    </row>
    <row r="515" spans="4:4" s="25" customFormat="1">
      <c r="D515" s="66"/>
    </row>
    <row r="516" spans="4:4" s="25" customFormat="1">
      <c r="D516" s="66"/>
    </row>
    <row r="517" spans="4:4" s="25" customFormat="1">
      <c r="D517" s="66"/>
    </row>
    <row r="518" spans="4:4" s="25" customFormat="1">
      <c r="D518" s="66"/>
    </row>
    <row r="519" spans="4:4" s="25" customFormat="1">
      <c r="D519" s="66"/>
    </row>
    <row r="520" spans="4:4" s="25" customFormat="1">
      <c r="D520" s="66"/>
    </row>
    <row r="521" spans="4:4" s="25" customFormat="1">
      <c r="D521" s="66"/>
    </row>
    <row r="522" spans="4:4" s="25" customFormat="1">
      <c r="D522" s="66"/>
    </row>
    <row r="523" spans="4:4" s="25" customFormat="1">
      <c r="D523" s="66"/>
    </row>
    <row r="524" spans="4:4" s="25" customFormat="1">
      <c r="D524" s="66"/>
    </row>
    <row r="525" spans="4:4" s="25" customFormat="1">
      <c r="D525" s="66"/>
    </row>
    <row r="526" spans="4:4" s="25" customFormat="1">
      <c r="D526" s="66"/>
    </row>
    <row r="527" spans="4:4" s="25" customFormat="1">
      <c r="D527" s="66"/>
    </row>
    <row r="528" spans="4:4" s="25" customFormat="1">
      <c r="D528" s="66"/>
    </row>
    <row r="529" spans="4:4" s="25" customFormat="1">
      <c r="D529" s="66"/>
    </row>
    <row r="530" spans="4:4" s="25" customFormat="1">
      <c r="D530" s="66"/>
    </row>
    <row r="531" spans="4:4" s="25" customFormat="1">
      <c r="D531" s="66"/>
    </row>
    <row r="532" spans="4:4" s="25" customFormat="1">
      <c r="D532" s="66"/>
    </row>
    <row r="533" spans="4:4" s="25" customFormat="1">
      <c r="D533" s="66"/>
    </row>
    <row r="534" spans="4:4" s="25" customFormat="1">
      <c r="D534" s="66"/>
    </row>
    <row r="535" spans="4:4" s="25" customFormat="1">
      <c r="D535" s="66"/>
    </row>
    <row r="536" spans="4:4" s="25" customFormat="1">
      <c r="D536" s="66"/>
    </row>
    <row r="537" spans="4:4" s="25" customFormat="1">
      <c r="D537" s="66"/>
    </row>
    <row r="538" spans="4:4" s="25" customFormat="1">
      <c r="D538" s="66"/>
    </row>
    <row r="539" spans="4:4" s="25" customFormat="1">
      <c r="D539" s="66"/>
    </row>
    <row r="540" spans="4:4" s="25" customFormat="1">
      <c r="D540" s="66"/>
    </row>
    <row r="541" spans="4:4" s="25" customFormat="1">
      <c r="D541" s="66"/>
    </row>
    <row r="542" spans="4:4" s="25" customFormat="1">
      <c r="D542" s="66"/>
    </row>
    <row r="543" spans="4:4" s="25" customFormat="1">
      <c r="D543" s="66"/>
    </row>
    <row r="544" spans="4:4" s="25" customFormat="1">
      <c r="D544" s="66"/>
    </row>
    <row r="545" spans="4:4" s="25" customFormat="1">
      <c r="D545" s="66"/>
    </row>
    <row r="546" spans="4:4" s="25" customFormat="1">
      <c r="D546" s="66"/>
    </row>
    <row r="547" spans="4:4" s="25" customFormat="1">
      <c r="D547" s="66"/>
    </row>
    <row r="548" spans="4:4" s="25" customFormat="1">
      <c r="D548" s="66"/>
    </row>
    <row r="549" spans="4:4" s="25" customFormat="1">
      <c r="D549" s="66"/>
    </row>
    <row r="550" spans="4:4" s="25" customFormat="1">
      <c r="D550" s="66"/>
    </row>
    <row r="551" spans="4:4" s="25" customFormat="1">
      <c r="D551" s="66"/>
    </row>
    <row r="552" spans="4:4" s="25" customFormat="1">
      <c r="D552" s="66"/>
    </row>
    <row r="553" spans="4:4" s="25" customFormat="1">
      <c r="D553" s="66"/>
    </row>
    <row r="554" spans="4:4" s="25" customFormat="1">
      <c r="D554" s="66"/>
    </row>
    <row r="555" spans="4:4" s="25" customFormat="1">
      <c r="D555" s="66"/>
    </row>
    <row r="556" spans="4:4" s="25" customFormat="1">
      <c r="D556" s="66"/>
    </row>
    <row r="557" spans="4:4" s="25" customFormat="1">
      <c r="D557" s="66"/>
    </row>
    <row r="558" spans="4:4" s="25" customFormat="1">
      <c r="D558" s="66"/>
    </row>
    <row r="559" spans="4:4" s="25" customFormat="1">
      <c r="D559" s="66"/>
    </row>
    <row r="560" spans="4:4" s="25" customFormat="1">
      <c r="D560" s="66"/>
    </row>
    <row r="561" spans="4:4" s="25" customFormat="1">
      <c r="D561" s="66"/>
    </row>
    <row r="562" spans="4:4" s="25" customFormat="1">
      <c r="D562" s="66"/>
    </row>
    <row r="563" spans="4:4" s="25" customFormat="1">
      <c r="D563" s="66"/>
    </row>
    <row r="564" spans="4:4" s="25" customFormat="1">
      <c r="D564" s="66"/>
    </row>
    <row r="565" spans="4:4" s="25" customFormat="1">
      <c r="D565" s="66"/>
    </row>
    <row r="566" spans="4:4" s="25" customFormat="1">
      <c r="D566" s="66"/>
    </row>
    <row r="567" spans="4:4" s="25" customFormat="1">
      <c r="D567" s="66"/>
    </row>
    <row r="568" spans="4:4" s="25" customFormat="1">
      <c r="D568" s="66"/>
    </row>
    <row r="569" spans="4:4" s="25" customFormat="1">
      <c r="D569" s="66"/>
    </row>
    <row r="570" spans="4:4" s="25" customFormat="1">
      <c r="D570" s="66"/>
    </row>
    <row r="571" spans="4:4" s="25" customFormat="1">
      <c r="D571" s="66"/>
    </row>
    <row r="572" spans="4:4" s="25" customFormat="1">
      <c r="D572" s="66"/>
    </row>
    <row r="573" spans="4:4" s="25" customFormat="1">
      <c r="D573" s="66"/>
    </row>
    <row r="574" spans="4:4" s="25" customFormat="1">
      <c r="D574" s="66"/>
    </row>
    <row r="575" spans="4:4" s="25" customFormat="1">
      <c r="D575" s="66"/>
    </row>
    <row r="576" spans="4:4" s="25" customFormat="1">
      <c r="D576" s="66"/>
    </row>
    <row r="577" spans="4:4" s="25" customFormat="1">
      <c r="D577" s="66"/>
    </row>
    <row r="578" spans="4:4" s="25" customFormat="1">
      <c r="D578" s="66"/>
    </row>
    <row r="579" spans="4:4" s="25" customFormat="1">
      <c r="D579" s="66"/>
    </row>
    <row r="580" spans="4:4" s="25" customFormat="1">
      <c r="D580" s="66"/>
    </row>
    <row r="581" spans="4:4" s="25" customFormat="1">
      <c r="D581" s="66"/>
    </row>
    <row r="582" spans="4:4" s="25" customFormat="1">
      <c r="D582" s="66"/>
    </row>
    <row r="583" spans="4:4" s="25" customFormat="1">
      <c r="D583" s="66"/>
    </row>
    <row r="584" spans="4:4" s="25" customFormat="1">
      <c r="D584" s="66"/>
    </row>
    <row r="585" spans="4:4" s="25" customFormat="1">
      <c r="D585" s="66"/>
    </row>
    <row r="586" spans="4:4" s="25" customFormat="1">
      <c r="D586" s="66"/>
    </row>
    <row r="587" spans="4:4" s="25" customFormat="1">
      <c r="D587" s="66"/>
    </row>
    <row r="588" spans="4:4" s="25" customFormat="1">
      <c r="D588" s="66"/>
    </row>
    <row r="589" spans="4:4" s="25" customFormat="1">
      <c r="D589" s="66"/>
    </row>
    <row r="590" spans="4:4" s="25" customFormat="1">
      <c r="D590" s="66"/>
    </row>
    <row r="591" spans="4:4" s="25" customFormat="1">
      <c r="D591" s="66"/>
    </row>
    <row r="592" spans="4:4" s="25" customFormat="1">
      <c r="D592" s="66"/>
    </row>
    <row r="593" spans="4:4" s="25" customFormat="1">
      <c r="D593" s="66"/>
    </row>
    <row r="594" spans="4:4" s="25" customFormat="1">
      <c r="D594" s="66"/>
    </row>
    <row r="595" spans="4:4" s="25" customFormat="1">
      <c r="D595" s="66"/>
    </row>
    <row r="596" spans="4:4" s="25" customFormat="1">
      <c r="D596" s="66"/>
    </row>
    <row r="597" spans="4:4" s="25" customFormat="1">
      <c r="D597" s="66"/>
    </row>
    <row r="598" spans="4:4" s="25" customFormat="1">
      <c r="D598" s="66"/>
    </row>
    <row r="599" spans="4:4" s="25" customFormat="1">
      <c r="D599" s="66"/>
    </row>
    <row r="600" spans="4:4" s="25" customFormat="1">
      <c r="D600" s="66"/>
    </row>
    <row r="601" spans="4:4" s="25" customFormat="1">
      <c r="D601" s="66"/>
    </row>
    <row r="602" spans="4:4" s="25" customFormat="1">
      <c r="D602" s="66"/>
    </row>
    <row r="603" spans="4:4" s="25" customFormat="1">
      <c r="D603" s="66"/>
    </row>
    <row r="604" spans="4:4" s="25" customFormat="1">
      <c r="D604" s="66"/>
    </row>
    <row r="605" spans="4:4" s="25" customFormat="1">
      <c r="D605" s="66"/>
    </row>
    <row r="606" spans="4:4" s="25" customFormat="1">
      <c r="D606" s="66"/>
    </row>
    <row r="607" spans="4:4" s="25" customFormat="1">
      <c r="D607" s="66"/>
    </row>
    <row r="608" spans="4:4" s="25" customFormat="1">
      <c r="D608" s="66"/>
    </row>
    <row r="609" spans="4:4" s="25" customFormat="1">
      <c r="D609" s="66"/>
    </row>
    <row r="610" spans="4:4" s="25" customFormat="1">
      <c r="D610" s="66"/>
    </row>
    <row r="611" spans="4:4" s="25" customFormat="1">
      <c r="D611" s="66"/>
    </row>
    <row r="612" spans="4:4" s="25" customFormat="1">
      <c r="D612" s="66"/>
    </row>
    <row r="613" spans="4:4" s="25" customFormat="1">
      <c r="D613" s="66"/>
    </row>
    <row r="614" spans="4:4" s="25" customFormat="1">
      <c r="D614" s="66"/>
    </row>
    <row r="615" spans="4:4" s="25" customFormat="1">
      <c r="D615" s="66"/>
    </row>
    <row r="616" spans="4:4" s="25" customFormat="1">
      <c r="D616" s="66"/>
    </row>
    <row r="617" spans="4:4" s="25" customFormat="1">
      <c r="D617" s="66"/>
    </row>
    <row r="618" spans="4:4" s="25" customFormat="1">
      <c r="D618" s="66"/>
    </row>
    <row r="619" spans="4:4" s="25" customFormat="1">
      <c r="D619" s="66"/>
    </row>
    <row r="620" spans="4:4" s="25" customFormat="1">
      <c r="D620" s="66"/>
    </row>
    <row r="621" spans="4:4" s="25" customFormat="1">
      <c r="D621" s="66"/>
    </row>
    <row r="622" spans="4:4" s="25" customFormat="1">
      <c r="D622" s="66"/>
    </row>
    <row r="623" spans="4:4" s="25" customFormat="1">
      <c r="D623" s="66"/>
    </row>
    <row r="624" spans="4:4" s="25" customFormat="1">
      <c r="D624" s="66"/>
    </row>
    <row r="625" spans="4:4" s="25" customFormat="1">
      <c r="D625" s="66"/>
    </row>
    <row r="626" spans="4:4" s="25" customFormat="1">
      <c r="D626" s="66"/>
    </row>
    <row r="627" spans="4:4" s="25" customFormat="1">
      <c r="D627" s="66"/>
    </row>
    <row r="628" spans="4:4" s="25" customFormat="1">
      <c r="D628" s="66"/>
    </row>
    <row r="629" spans="4:4" s="25" customFormat="1">
      <c r="D629" s="66"/>
    </row>
    <row r="630" spans="4:4" s="25" customFormat="1">
      <c r="D630" s="66"/>
    </row>
    <row r="631" spans="4:4" s="25" customFormat="1">
      <c r="D631" s="66"/>
    </row>
    <row r="632" spans="4:4" s="25" customFormat="1">
      <c r="D632" s="66"/>
    </row>
    <row r="633" spans="4:4" s="25" customFormat="1">
      <c r="D633" s="66"/>
    </row>
    <row r="634" spans="4:4" s="25" customFormat="1">
      <c r="D634" s="66"/>
    </row>
    <row r="635" spans="4:4" s="25" customFormat="1">
      <c r="D635" s="66"/>
    </row>
    <row r="636" spans="4:4" s="25" customFormat="1">
      <c r="D636" s="66"/>
    </row>
    <row r="637" spans="4:4" s="25" customFormat="1">
      <c r="D637" s="66"/>
    </row>
    <row r="638" spans="4:4" s="25" customFormat="1">
      <c r="D638" s="66"/>
    </row>
    <row r="639" spans="4:4" s="25" customFormat="1">
      <c r="D639" s="66"/>
    </row>
    <row r="640" spans="4:4" s="25" customFormat="1">
      <c r="D640" s="66"/>
    </row>
    <row r="641" spans="4:4" s="25" customFormat="1">
      <c r="D641" s="66"/>
    </row>
    <row r="642" spans="4:4" s="25" customFormat="1">
      <c r="D642" s="66"/>
    </row>
    <row r="643" spans="4:4" s="25" customFormat="1">
      <c r="D643" s="66"/>
    </row>
    <row r="644" spans="4:4" s="25" customFormat="1">
      <c r="D644" s="66"/>
    </row>
    <row r="645" spans="4:4" s="25" customFormat="1">
      <c r="D645" s="66"/>
    </row>
    <row r="646" spans="4:4" s="25" customFormat="1">
      <c r="D646" s="66"/>
    </row>
    <row r="647" spans="4:4" s="25" customFormat="1">
      <c r="D647" s="66"/>
    </row>
    <row r="648" spans="4:4" s="25" customFormat="1">
      <c r="D648" s="66"/>
    </row>
    <row r="649" spans="4:4" s="25" customFormat="1">
      <c r="D649" s="66"/>
    </row>
    <row r="650" spans="4:4" s="25" customFormat="1">
      <c r="D650" s="66"/>
    </row>
    <row r="651" spans="4:4" s="25" customFormat="1">
      <c r="D651" s="66"/>
    </row>
    <row r="652" spans="4:4" s="25" customFormat="1">
      <c r="D652" s="66"/>
    </row>
    <row r="653" spans="4:4" s="25" customFormat="1">
      <c r="D653" s="66"/>
    </row>
    <row r="654" spans="4:4" s="25" customFormat="1">
      <c r="D654" s="66"/>
    </row>
    <row r="655" spans="4:4" s="25" customFormat="1">
      <c r="D655" s="66"/>
    </row>
    <row r="656" spans="4:4" s="25" customFormat="1">
      <c r="D656" s="66"/>
    </row>
    <row r="657" spans="4:4" s="25" customFormat="1">
      <c r="D657" s="66"/>
    </row>
    <row r="658" spans="4:4" s="25" customFormat="1">
      <c r="D658" s="66"/>
    </row>
    <row r="659" spans="4:4" s="25" customFormat="1">
      <c r="D659" s="66"/>
    </row>
    <row r="660" spans="4:4" s="25" customFormat="1">
      <c r="D660" s="66"/>
    </row>
    <row r="661" spans="4:4" s="25" customFormat="1">
      <c r="D661" s="66"/>
    </row>
    <row r="662" spans="4:4" s="25" customFormat="1">
      <c r="D662" s="66"/>
    </row>
    <row r="663" spans="4:4" s="25" customFormat="1">
      <c r="D663" s="66"/>
    </row>
    <row r="664" spans="4:4" s="25" customFormat="1">
      <c r="D664" s="66"/>
    </row>
    <row r="665" spans="4:4" s="25" customFormat="1">
      <c r="D665" s="66"/>
    </row>
    <row r="666" spans="4:4" s="25" customFormat="1">
      <c r="D666" s="66"/>
    </row>
    <row r="667" spans="4:4" s="25" customFormat="1">
      <c r="D667" s="66"/>
    </row>
    <row r="668" spans="4:4" s="25" customFormat="1">
      <c r="D668" s="66"/>
    </row>
    <row r="669" spans="4:4" s="25" customFormat="1">
      <c r="D669" s="66"/>
    </row>
    <row r="670" spans="4:4" s="25" customFormat="1">
      <c r="D670" s="66"/>
    </row>
    <row r="671" spans="4:4" s="25" customFormat="1">
      <c r="D671" s="66"/>
    </row>
    <row r="672" spans="4:4" s="25" customFormat="1">
      <c r="D672" s="66"/>
    </row>
    <row r="673" spans="4:4" s="25" customFormat="1">
      <c r="D673" s="66"/>
    </row>
    <row r="674" spans="4:4" s="25" customFormat="1">
      <c r="D674" s="66"/>
    </row>
    <row r="675" spans="4:4" s="25" customFormat="1">
      <c r="D675" s="66"/>
    </row>
    <row r="676" spans="4:4" s="25" customFormat="1">
      <c r="D676" s="66"/>
    </row>
    <row r="677" spans="4:4" s="25" customFormat="1">
      <c r="D677" s="66"/>
    </row>
    <row r="678" spans="4:4" s="25" customFormat="1">
      <c r="D678" s="66"/>
    </row>
    <row r="679" spans="4:4" s="25" customFormat="1">
      <c r="D679" s="66"/>
    </row>
    <row r="680" spans="4:4" s="25" customFormat="1">
      <c r="D680" s="66"/>
    </row>
    <row r="681" spans="4:4" s="25" customFormat="1">
      <c r="D681" s="66"/>
    </row>
    <row r="682" spans="4:4" s="25" customFormat="1">
      <c r="D682" s="66"/>
    </row>
    <row r="683" spans="4:4" s="25" customFormat="1">
      <c r="D683" s="66"/>
    </row>
    <row r="684" spans="4:4" s="25" customFormat="1">
      <c r="D684" s="66"/>
    </row>
    <row r="685" spans="4:4" s="25" customFormat="1">
      <c r="D685" s="66"/>
    </row>
    <row r="686" spans="4:4" s="25" customFormat="1">
      <c r="D686" s="66"/>
    </row>
    <row r="687" spans="4:4" s="25" customFormat="1">
      <c r="D687" s="66"/>
    </row>
    <row r="688" spans="4:4" s="25" customFormat="1">
      <c r="D688" s="66"/>
    </row>
    <row r="689" spans="4:4" s="25" customFormat="1">
      <c r="D689" s="66"/>
    </row>
    <row r="690" spans="4:4" s="25" customFormat="1">
      <c r="D690" s="66"/>
    </row>
    <row r="691" spans="4:4" s="25" customFormat="1">
      <c r="D691" s="66"/>
    </row>
    <row r="692" spans="4:4" s="25" customFormat="1">
      <c r="D692" s="66"/>
    </row>
    <row r="693" spans="4:4" s="25" customFormat="1">
      <c r="D693" s="66"/>
    </row>
    <row r="694" spans="4:4" s="25" customFormat="1">
      <c r="D694" s="66"/>
    </row>
    <row r="695" spans="4:4" s="25" customFormat="1">
      <c r="D695" s="66"/>
    </row>
    <row r="696" spans="4:4" s="25" customFormat="1">
      <c r="D696" s="66"/>
    </row>
    <row r="697" spans="4:4" s="25" customFormat="1">
      <c r="D697" s="66"/>
    </row>
    <row r="698" spans="4:4" s="25" customFormat="1">
      <c r="D698" s="66"/>
    </row>
    <row r="699" spans="4:4" s="25" customFormat="1">
      <c r="D699" s="66"/>
    </row>
    <row r="700" spans="4:4" s="25" customFormat="1">
      <c r="D700" s="66"/>
    </row>
    <row r="701" spans="4:4" s="25" customFormat="1">
      <c r="D701" s="66"/>
    </row>
    <row r="702" spans="4:4" s="25" customFormat="1">
      <c r="D702" s="66"/>
    </row>
    <row r="703" spans="4:4" s="25" customFormat="1">
      <c r="D703" s="66"/>
    </row>
    <row r="704" spans="4:4" s="25" customFormat="1">
      <c r="D704" s="66"/>
    </row>
    <row r="705" spans="4:4" s="25" customFormat="1">
      <c r="D705" s="66"/>
    </row>
    <row r="706" spans="4:4" s="25" customFormat="1">
      <c r="D706" s="66"/>
    </row>
    <row r="707" spans="4:4" s="25" customFormat="1">
      <c r="D707" s="66"/>
    </row>
    <row r="708" spans="4:4" s="25" customFormat="1">
      <c r="D708" s="66"/>
    </row>
    <row r="709" spans="4:4" s="25" customFormat="1">
      <c r="D709" s="66"/>
    </row>
    <row r="710" spans="4:4" s="25" customFormat="1">
      <c r="D710" s="66"/>
    </row>
    <row r="711" spans="4:4" s="25" customFormat="1">
      <c r="D711" s="66"/>
    </row>
    <row r="712" spans="4:4" s="25" customFormat="1">
      <c r="D712" s="66"/>
    </row>
    <row r="713" spans="4:4" s="25" customFormat="1">
      <c r="D713" s="66"/>
    </row>
    <row r="714" spans="4:4" s="25" customFormat="1">
      <c r="D714" s="66"/>
    </row>
    <row r="715" spans="4:4" s="25" customFormat="1">
      <c r="D715" s="66"/>
    </row>
    <row r="716" spans="4:4" s="25" customFormat="1">
      <c r="D716" s="66"/>
    </row>
    <row r="717" spans="4:4" s="25" customFormat="1">
      <c r="D717" s="66"/>
    </row>
    <row r="718" spans="4:4" s="25" customFormat="1">
      <c r="D718" s="66"/>
    </row>
    <row r="719" spans="4:4" s="25" customFormat="1">
      <c r="D719" s="66"/>
    </row>
    <row r="720" spans="4:4" s="25" customFormat="1">
      <c r="D720" s="66"/>
    </row>
    <row r="721" spans="4:4" s="25" customFormat="1">
      <c r="D721" s="66"/>
    </row>
    <row r="722" spans="4:4" s="25" customFormat="1">
      <c r="D722" s="66"/>
    </row>
    <row r="723" spans="4:4" s="25" customFormat="1">
      <c r="D723" s="66"/>
    </row>
    <row r="724" spans="4:4" s="25" customFormat="1">
      <c r="D724" s="66"/>
    </row>
    <row r="725" spans="4:4" s="25" customFormat="1">
      <c r="D725" s="66"/>
    </row>
    <row r="726" spans="4:4" s="25" customFormat="1">
      <c r="D726" s="66"/>
    </row>
    <row r="727" spans="4:4" s="25" customFormat="1">
      <c r="D727" s="66"/>
    </row>
    <row r="728" spans="4:4" s="25" customFormat="1">
      <c r="D728" s="66"/>
    </row>
    <row r="729" spans="4:4" s="25" customFormat="1">
      <c r="D729" s="66"/>
    </row>
    <row r="730" spans="4:4" s="25" customFormat="1">
      <c r="D730" s="66"/>
    </row>
    <row r="731" spans="4:4" s="25" customFormat="1">
      <c r="D731" s="66"/>
    </row>
    <row r="732" spans="4:4" s="25" customFormat="1">
      <c r="D732" s="66"/>
    </row>
    <row r="733" spans="4:4" s="25" customFormat="1">
      <c r="D733" s="66"/>
    </row>
    <row r="734" spans="4:4" s="25" customFormat="1">
      <c r="D734" s="66"/>
    </row>
    <row r="735" spans="4:4" s="25" customFormat="1">
      <c r="D735" s="66"/>
    </row>
    <row r="736" spans="4:4" s="25" customFormat="1">
      <c r="D736" s="66"/>
    </row>
    <row r="737" spans="4:4" s="25" customFormat="1">
      <c r="D737" s="66"/>
    </row>
    <row r="738" spans="4:4" s="25" customFormat="1">
      <c r="D738" s="66"/>
    </row>
    <row r="739" spans="4:4" s="25" customFormat="1">
      <c r="D739" s="66"/>
    </row>
    <row r="740" spans="4:4" s="25" customFormat="1">
      <c r="D740" s="66"/>
    </row>
    <row r="741" spans="4:4" s="25" customFormat="1">
      <c r="D741" s="66"/>
    </row>
    <row r="742" spans="4:4" s="25" customFormat="1">
      <c r="D742" s="66"/>
    </row>
    <row r="743" spans="4:4" s="25" customFormat="1">
      <c r="D743" s="66"/>
    </row>
    <row r="744" spans="4:4" s="25" customFormat="1">
      <c r="D744" s="66"/>
    </row>
    <row r="745" spans="4:4" s="25" customFormat="1">
      <c r="D745" s="66"/>
    </row>
    <row r="746" spans="4:4" s="25" customFormat="1">
      <c r="D746" s="66"/>
    </row>
    <row r="747" spans="4:4" s="25" customFormat="1">
      <c r="D747" s="66"/>
    </row>
    <row r="748" spans="4:4" s="25" customFormat="1">
      <c r="D748" s="66"/>
    </row>
    <row r="749" spans="4:4" s="25" customFormat="1">
      <c r="D749" s="66"/>
    </row>
    <row r="750" spans="4:4" s="25" customFormat="1">
      <c r="D750" s="66"/>
    </row>
    <row r="751" spans="4:4" s="25" customFormat="1">
      <c r="D751" s="66"/>
    </row>
    <row r="752" spans="4:4" s="25" customFormat="1">
      <c r="D752" s="66"/>
    </row>
    <row r="753" spans="4:4" s="25" customFormat="1">
      <c r="D753" s="66"/>
    </row>
    <row r="754" spans="4:4" s="25" customFormat="1">
      <c r="D754" s="66"/>
    </row>
    <row r="755" spans="4:4" s="25" customFormat="1">
      <c r="D755" s="66"/>
    </row>
    <row r="756" spans="4:4" s="25" customFormat="1">
      <c r="D756" s="66"/>
    </row>
    <row r="757" spans="4:4" s="25" customFormat="1">
      <c r="D757" s="66"/>
    </row>
    <row r="758" spans="4:4" s="25" customFormat="1">
      <c r="D758" s="66"/>
    </row>
    <row r="759" spans="4:4" s="25" customFormat="1">
      <c r="D759" s="66"/>
    </row>
    <row r="760" spans="4:4" s="25" customFormat="1">
      <c r="D760" s="66"/>
    </row>
    <row r="761" spans="4:4" s="25" customFormat="1">
      <c r="D761" s="66"/>
    </row>
    <row r="762" spans="4:4" s="25" customFormat="1">
      <c r="D762" s="66"/>
    </row>
    <row r="763" spans="4:4" s="25" customFormat="1">
      <c r="D763" s="66"/>
    </row>
    <row r="764" spans="4:4" s="25" customFormat="1">
      <c r="D764" s="66"/>
    </row>
    <row r="765" spans="4:4" s="25" customFormat="1">
      <c r="D765" s="66"/>
    </row>
    <row r="766" spans="4:4" s="25" customFormat="1">
      <c r="D766" s="66"/>
    </row>
    <row r="767" spans="4:4" s="25" customFormat="1">
      <c r="D767" s="66"/>
    </row>
    <row r="768" spans="4:4" s="25" customFormat="1">
      <c r="D768" s="66"/>
    </row>
    <row r="769" spans="4:4" s="25" customFormat="1">
      <c r="D769" s="66"/>
    </row>
    <row r="770" spans="4:4" s="25" customFormat="1">
      <c r="D770" s="66"/>
    </row>
    <row r="771" spans="4:4" s="25" customFormat="1">
      <c r="D771" s="66"/>
    </row>
    <row r="772" spans="4:4" s="25" customFormat="1">
      <c r="D772" s="66"/>
    </row>
    <row r="773" spans="4:4" s="25" customFormat="1">
      <c r="D773" s="66"/>
    </row>
    <row r="774" spans="4:4" s="25" customFormat="1">
      <c r="D774" s="66"/>
    </row>
    <row r="775" spans="4:4" s="25" customFormat="1">
      <c r="D775" s="66"/>
    </row>
    <row r="776" spans="4:4" s="25" customFormat="1">
      <c r="D776" s="66"/>
    </row>
    <row r="777" spans="4:4" s="25" customFormat="1">
      <c r="D777" s="66"/>
    </row>
    <row r="778" spans="4:4" s="25" customFormat="1">
      <c r="D778" s="66"/>
    </row>
    <row r="779" spans="4:4" s="25" customFormat="1">
      <c r="D779" s="66"/>
    </row>
    <row r="780" spans="4:4" s="25" customFormat="1">
      <c r="D780" s="66"/>
    </row>
    <row r="781" spans="4:4" s="25" customFormat="1">
      <c r="D781" s="66"/>
    </row>
    <row r="782" spans="4:4" s="25" customFormat="1">
      <c r="D782" s="66"/>
    </row>
    <row r="783" spans="4:4" s="25" customFormat="1">
      <c r="D783" s="66"/>
    </row>
    <row r="784" spans="4:4" s="25" customFormat="1">
      <c r="D784" s="66"/>
    </row>
    <row r="785" spans="4:4" s="25" customFormat="1">
      <c r="D785" s="66"/>
    </row>
    <row r="786" spans="4:4" s="25" customFormat="1">
      <c r="D786" s="66"/>
    </row>
    <row r="787" spans="4:4" s="25" customFormat="1">
      <c r="D787" s="66"/>
    </row>
    <row r="788" spans="4:4" s="25" customFormat="1">
      <c r="D788" s="66"/>
    </row>
    <row r="789" spans="4:4" s="25" customFormat="1">
      <c r="D789" s="66"/>
    </row>
    <row r="790" spans="4:4" s="25" customFormat="1">
      <c r="D790" s="66"/>
    </row>
    <row r="791" spans="4:4" s="25" customFormat="1">
      <c r="D791" s="66"/>
    </row>
    <row r="792" spans="4:4" s="25" customFormat="1">
      <c r="D792" s="66"/>
    </row>
    <row r="793" spans="4:4" s="25" customFormat="1">
      <c r="D793" s="66"/>
    </row>
    <row r="794" spans="4:4" s="25" customFormat="1">
      <c r="D794" s="66"/>
    </row>
    <row r="795" spans="4:4" s="25" customFormat="1">
      <c r="D795" s="66"/>
    </row>
    <row r="796" spans="4:4" s="25" customFormat="1">
      <c r="D796" s="66"/>
    </row>
    <row r="797" spans="4:4" s="25" customFormat="1">
      <c r="D797" s="66"/>
    </row>
    <row r="798" spans="4:4" s="25" customFormat="1">
      <c r="D798" s="66"/>
    </row>
    <row r="799" spans="4:4" s="25" customFormat="1">
      <c r="D799" s="66"/>
    </row>
    <row r="800" spans="4:4" s="25" customFormat="1">
      <c r="D800" s="66"/>
    </row>
    <row r="801" spans="4:4" s="25" customFormat="1">
      <c r="D801" s="66"/>
    </row>
    <row r="802" spans="4:4" s="25" customFormat="1">
      <c r="D802" s="66"/>
    </row>
    <row r="803" spans="4:4" s="25" customFormat="1">
      <c r="D803" s="66"/>
    </row>
    <row r="804" spans="4:4" s="25" customFormat="1">
      <c r="D804" s="66"/>
    </row>
    <row r="805" spans="4:4" s="25" customFormat="1">
      <c r="D805" s="66"/>
    </row>
    <row r="806" spans="4:4" s="25" customFormat="1">
      <c r="D806" s="66"/>
    </row>
    <row r="807" spans="4:4" s="25" customFormat="1">
      <c r="D807" s="66"/>
    </row>
    <row r="808" spans="4:4" s="25" customFormat="1">
      <c r="D808" s="66"/>
    </row>
    <row r="809" spans="4:4" s="25" customFormat="1">
      <c r="D809" s="66"/>
    </row>
    <row r="810" spans="4:4" s="25" customFormat="1">
      <c r="D810" s="66"/>
    </row>
    <row r="811" spans="4:4" s="25" customFormat="1">
      <c r="D811" s="66"/>
    </row>
    <row r="812" spans="4:4" s="25" customFormat="1">
      <c r="D812" s="66"/>
    </row>
    <row r="813" spans="4:4" s="25" customFormat="1">
      <c r="D813" s="66"/>
    </row>
    <row r="814" spans="4:4" s="25" customFormat="1">
      <c r="D814" s="66"/>
    </row>
    <row r="815" spans="4:4" s="25" customFormat="1">
      <c r="D815" s="66"/>
    </row>
    <row r="816" spans="4:4" s="25" customFormat="1">
      <c r="D816" s="66"/>
    </row>
    <row r="817" spans="4:4" s="25" customFormat="1">
      <c r="D817" s="66"/>
    </row>
    <row r="818" spans="4:4" s="25" customFormat="1">
      <c r="D818" s="66"/>
    </row>
    <row r="819" spans="4:4" s="25" customFormat="1">
      <c r="D819" s="66"/>
    </row>
    <row r="820" spans="4:4" s="25" customFormat="1">
      <c r="D820" s="66"/>
    </row>
    <row r="821" spans="4:4" s="25" customFormat="1">
      <c r="D821" s="66"/>
    </row>
    <row r="822" spans="4:4" s="25" customFormat="1">
      <c r="D822" s="66"/>
    </row>
    <row r="823" spans="4:4" s="25" customFormat="1">
      <c r="D823" s="66"/>
    </row>
    <row r="824" spans="4:4" s="25" customFormat="1">
      <c r="D824" s="66"/>
    </row>
    <row r="825" spans="4:4" s="25" customFormat="1">
      <c r="D825" s="66"/>
    </row>
    <row r="826" spans="4:4" s="25" customFormat="1">
      <c r="D826" s="66"/>
    </row>
    <row r="827" spans="4:4" s="25" customFormat="1">
      <c r="D827" s="66"/>
    </row>
    <row r="828" spans="4:4" s="25" customFormat="1">
      <c r="D828" s="66"/>
    </row>
    <row r="829" spans="4:4" s="25" customFormat="1">
      <c r="D829" s="66"/>
    </row>
    <row r="830" spans="4:4" s="25" customFormat="1">
      <c r="D830" s="66"/>
    </row>
    <row r="831" spans="4:4" s="25" customFormat="1">
      <c r="D831" s="66"/>
    </row>
    <row r="832" spans="4:4" s="25" customFormat="1">
      <c r="D832" s="66"/>
    </row>
    <row r="833" spans="4:4" s="25" customFormat="1">
      <c r="D833" s="66"/>
    </row>
    <row r="834" spans="4:4" s="25" customFormat="1">
      <c r="D834" s="66"/>
    </row>
    <row r="835" spans="4:4" s="25" customFormat="1">
      <c r="D835" s="66"/>
    </row>
    <row r="836" spans="4:4" s="25" customFormat="1">
      <c r="D836" s="66"/>
    </row>
    <row r="837" spans="4:4" s="25" customFormat="1">
      <c r="D837" s="66"/>
    </row>
    <row r="838" spans="4:4" s="25" customFormat="1">
      <c r="D838" s="66"/>
    </row>
    <row r="839" spans="4:4" s="25" customFormat="1">
      <c r="D839" s="66"/>
    </row>
    <row r="840" spans="4:4" s="25" customFormat="1">
      <c r="D840" s="66"/>
    </row>
    <row r="841" spans="4:4" s="25" customFormat="1">
      <c r="D841" s="66"/>
    </row>
    <row r="842" spans="4:4" s="25" customFormat="1">
      <c r="D842" s="66"/>
    </row>
    <row r="843" spans="4:4" s="25" customFormat="1">
      <c r="D843" s="66"/>
    </row>
    <row r="844" spans="4:4" s="25" customFormat="1">
      <c r="D844" s="66"/>
    </row>
    <row r="845" spans="4:4" s="25" customFormat="1">
      <c r="D845" s="66"/>
    </row>
    <row r="846" spans="4:4" s="25" customFormat="1">
      <c r="D846" s="66"/>
    </row>
    <row r="847" spans="4:4" s="25" customFormat="1">
      <c r="D847" s="66"/>
    </row>
    <row r="848" spans="4:4" s="25" customFormat="1">
      <c r="D848" s="66"/>
    </row>
    <row r="849" spans="4:4" s="25" customFormat="1">
      <c r="D849" s="66"/>
    </row>
    <row r="850" spans="4:4" s="25" customFormat="1">
      <c r="D850" s="66"/>
    </row>
    <row r="851" spans="4:4" s="25" customFormat="1">
      <c r="D851" s="66"/>
    </row>
    <row r="852" spans="4:4" s="25" customFormat="1">
      <c r="D852" s="66"/>
    </row>
    <row r="853" spans="4:4" s="25" customFormat="1">
      <c r="D853" s="66"/>
    </row>
    <row r="854" spans="4:4" s="25" customFormat="1">
      <c r="D854" s="66"/>
    </row>
    <row r="855" spans="4:4" s="25" customFormat="1">
      <c r="D855" s="66"/>
    </row>
    <row r="856" spans="4:4" s="25" customFormat="1">
      <c r="D856" s="66"/>
    </row>
    <row r="857" spans="4:4" s="25" customFormat="1">
      <c r="D857" s="66"/>
    </row>
    <row r="858" spans="4:4" s="25" customFormat="1">
      <c r="D858" s="66"/>
    </row>
    <row r="859" spans="4:4" s="25" customFormat="1">
      <c r="D859" s="66"/>
    </row>
    <row r="860" spans="4:4" s="25" customFormat="1">
      <c r="D860" s="66"/>
    </row>
    <row r="861" spans="4:4" s="25" customFormat="1">
      <c r="D861" s="66"/>
    </row>
    <row r="862" spans="4:4" s="25" customFormat="1">
      <c r="D862" s="66"/>
    </row>
    <row r="863" spans="4:4" s="25" customFormat="1">
      <c r="D863" s="66"/>
    </row>
    <row r="864" spans="4:4" s="25" customFormat="1">
      <c r="D864" s="66"/>
    </row>
    <row r="865" spans="4:4" s="25" customFormat="1">
      <c r="D865" s="66"/>
    </row>
    <row r="866" spans="4:4" s="25" customFormat="1">
      <c r="D866" s="66"/>
    </row>
    <row r="867" spans="4:4" s="25" customFormat="1">
      <c r="D867" s="66"/>
    </row>
    <row r="868" spans="4:4" s="25" customFormat="1">
      <c r="D868" s="66"/>
    </row>
    <row r="869" spans="4:4" s="25" customFormat="1">
      <c r="D869" s="66"/>
    </row>
    <row r="870" spans="4:4" s="25" customFormat="1">
      <c r="D870" s="66"/>
    </row>
    <row r="871" spans="4:4" s="25" customFormat="1">
      <c r="D871" s="66"/>
    </row>
    <row r="872" spans="4:4" s="25" customFormat="1">
      <c r="D872" s="66"/>
    </row>
    <row r="873" spans="4:4" s="25" customFormat="1">
      <c r="D873" s="66"/>
    </row>
    <row r="874" spans="4:4" s="25" customFormat="1">
      <c r="D874" s="66"/>
    </row>
    <row r="875" spans="4:4" s="25" customFormat="1">
      <c r="D875" s="66"/>
    </row>
    <row r="876" spans="4:4" s="25" customFormat="1">
      <c r="D876" s="66"/>
    </row>
    <row r="877" spans="4:4" s="25" customFormat="1">
      <c r="D877" s="66"/>
    </row>
    <row r="878" spans="4:4" s="25" customFormat="1">
      <c r="D878" s="66"/>
    </row>
    <row r="879" spans="4:4" s="25" customFormat="1">
      <c r="D879" s="66"/>
    </row>
    <row r="880" spans="4:4" s="25" customFormat="1">
      <c r="D880" s="66"/>
    </row>
    <row r="881" spans="4:4" s="25" customFormat="1">
      <c r="D881" s="66"/>
    </row>
    <row r="882" spans="4:4" s="25" customFormat="1">
      <c r="D882" s="66"/>
    </row>
    <row r="883" spans="4:4" s="25" customFormat="1">
      <c r="D883" s="66"/>
    </row>
    <row r="884" spans="4:4" s="25" customFormat="1">
      <c r="D884" s="66"/>
    </row>
    <row r="885" spans="4:4" s="25" customFormat="1">
      <c r="D885" s="66"/>
    </row>
    <row r="886" spans="4:4" s="25" customFormat="1">
      <c r="D886" s="66"/>
    </row>
    <row r="887" spans="4:4" s="25" customFormat="1">
      <c r="D887" s="66"/>
    </row>
    <row r="888" spans="4:4" s="25" customFormat="1">
      <c r="D888" s="66"/>
    </row>
    <row r="889" spans="4:4" s="25" customFormat="1">
      <c r="D889" s="66"/>
    </row>
    <row r="890" spans="4:4" s="25" customFormat="1">
      <c r="D890" s="66"/>
    </row>
    <row r="891" spans="4:4" s="25" customFormat="1">
      <c r="D891" s="66"/>
    </row>
    <row r="892" spans="4:4" s="25" customFormat="1">
      <c r="D892" s="66"/>
    </row>
    <row r="893" spans="4:4" s="25" customFormat="1">
      <c r="D893" s="66"/>
    </row>
    <row r="894" spans="4:4" s="25" customFormat="1">
      <c r="D894" s="66"/>
    </row>
    <row r="895" spans="4:4" s="25" customFormat="1">
      <c r="D895" s="66"/>
    </row>
    <row r="896" spans="4:4" s="25" customFormat="1">
      <c r="D896" s="66"/>
    </row>
    <row r="897" spans="4:4" s="25" customFormat="1">
      <c r="D897" s="66"/>
    </row>
    <row r="898" spans="4:4" s="25" customFormat="1">
      <c r="D898" s="66"/>
    </row>
    <row r="899" spans="4:4" s="25" customFormat="1">
      <c r="D899" s="66"/>
    </row>
    <row r="900" spans="4:4" s="25" customFormat="1">
      <c r="D900" s="66"/>
    </row>
    <row r="901" spans="4:4" s="25" customFormat="1">
      <c r="D901" s="66"/>
    </row>
    <row r="902" spans="4:4" s="25" customFormat="1">
      <c r="D902" s="66"/>
    </row>
    <row r="903" spans="4:4" s="25" customFormat="1">
      <c r="D903" s="66"/>
    </row>
    <row r="904" spans="4:4" s="25" customFormat="1">
      <c r="D904" s="66"/>
    </row>
    <row r="905" spans="4:4" s="25" customFormat="1">
      <c r="D905" s="66"/>
    </row>
    <row r="906" spans="4:4" s="25" customFormat="1">
      <c r="D906" s="66"/>
    </row>
    <row r="907" spans="4:4" s="25" customFormat="1">
      <c r="D907" s="66"/>
    </row>
    <row r="908" spans="4:4" s="25" customFormat="1">
      <c r="D908" s="66"/>
    </row>
    <row r="909" spans="4:4" s="25" customFormat="1">
      <c r="D909" s="66"/>
    </row>
    <row r="910" spans="4:4" s="25" customFormat="1">
      <c r="D910" s="66"/>
    </row>
    <row r="911" spans="4:4" s="25" customFormat="1">
      <c r="D911" s="66"/>
    </row>
    <row r="912" spans="4:4" s="25" customFormat="1">
      <c r="D912" s="66"/>
    </row>
    <row r="913" spans="4:4" s="25" customFormat="1">
      <c r="D913" s="66"/>
    </row>
    <row r="914" spans="4:4" s="25" customFormat="1">
      <c r="D914" s="66"/>
    </row>
    <row r="915" spans="4:4" s="25" customFormat="1">
      <c r="D915" s="66"/>
    </row>
    <row r="916" spans="4:4" s="25" customFormat="1">
      <c r="D916" s="66"/>
    </row>
    <row r="917" spans="4:4" s="25" customFormat="1">
      <c r="D917" s="66"/>
    </row>
    <row r="918" spans="4:4" s="25" customFormat="1">
      <c r="D918" s="66"/>
    </row>
    <row r="919" spans="4:4" s="25" customFormat="1">
      <c r="D919" s="66"/>
    </row>
    <row r="920" spans="4:4" s="25" customFormat="1">
      <c r="D920" s="66"/>
    </row>
    <row r="921" spans="4:4" s="25" customFormat="1">
      <c r="D921" s="66"/>
    </row>
    <row r="922" spans="4:4" s="25" customFormat="1">
      <c r="D922" s="66"/>
    </row>
    <row r="923" spans="4:4" s="25" customFormat="1">
      <c r="D923" s="66"/>
    </row>
    <row r="924" spans="4:4" s="25" customFormat="1">
      <c r="D924" s="66"/>
    </row>
    <row r="925" spans="4:4" s="25" customFormat="1">
      <c r="D925" s="66"/>
    </row>
    <row r="926" spans="4:4" s="25" customFormat="1">
      <c r="D926" s="66"/>
    </row>
    <row r="927" spans="4:4" s="25" customFormat="1">
      <c r="D927" s="66"/>
    </row>
    <row r="928" spans="4:4" s="25" customFormat="1">
      <c r="D928" s="66"/>
    </row>
    <row r="929" spans="4:4" s="25" customFormat="1">
      <c r="D929" s="66"/>
    </row>
    <row r="930" spans="4:4" s="25" customFormat="1">
      <c r="D930" s="66"/>
    </row>
    <row r="931" spans="4:4" s="25" customFormat="1">
      <c r="D931" s="66"/>
    </row>
    <row r="932" spans="4:4" s="25" customFormat="1">
      <c r="D932" s="66"/>
    </row>
    <row r="933" spans="4:4" s="25" customFormat="1">
      <c r="D933" s="66"/>
    </row>
    <row r="934" spans="4:4" s="25" customFormat="1">
      <c r="D934" s="66"/>
    </row>
    <row r="935" spans="4:4" s="25" customFormat="1">
      <c r="D935" s="66"/>
    </row>
    <row r="936" spans="4:4" s="25" customFormat="1">
      <c r="D936" s="66"/>
    </row>
    <row r="937" spans="4:4" s="25" customFormat="1">
      <c r="D937" s="66"/>
    </row>
    <row r="938" spans="4:4" s="25" customFormat="1">
      <c r="D938" s="66"/>
    </row>
    <row r="939" spans="4:4" s="25" customFormat="1">
      <c r="D939" s="66"/>
    </row>
    <row r="940" spans="4:4" s="25" customFormat="1">
      <c r="D940" s="66"/>
    </row>
    <row r="941" spans="4:4" s="25" customFormat="1">
      <c r="D941" s="66"/>
    </row>
    <row r="942" spans="4:4" s="25" customFormat="1">
      <c r="D942" s="66"/>
    </row>
    <row r="943" spans="4:4" s="25" customFormat="1">
      <c r="D943" s="66"/>
    </row>
    <row r="944" spans="4:4" s="25" customFormat="1">
      <c r="D944" s="66"/>
    </row>
    <row r="945" spans="4:4" s="25" customFormat="1">
      <c r="D945" s="66"/>
    </row>
    <row r="946" spans="4:4" s="25" customFormat="1">
      <c r="D946" s="66"/>
    </row>
    <row r="947" spans="4:4" s="25" customFormat="1">
      <c r="D947" s="66"/>
    </row>
    <row r="948" spans="4:4" s="25" customFormat="1">
      <c r="D948" s="66"/>
    </row>
    <row r="949" spans="4:4" s="25" customFormat="1">
      <c r="D949" s="66"/>
    </row>
    <row r="950" spans="4:4" s="25" customFormat="1">
      <c r="D950" s="66"/>
    </row>
    <row r="951" spans="4:4" s="25" customFormat="1">
      <c r="D951" s="66"/>
    </row>
    <row r="952" spans="4:4" s="25" customFormat="1">
      <c r="D952" s="66"/>
    </row>
    <row r="953" spans="4:4" s="25" customFormat="1">
      <c r="D953" s="66"/>
    </row>
    <row r="954" spans="4:4" s="25" customFormat="1">
      <c r="D954" s="66"/>
    </row>
    <row r="955" spans="4:4" s="25" customFormat="1">
      <c r="D955" s="66"/>
    </row>
    <row r="956" spans="4:4" s="25" customFormat="1">
      <c r="D956" s="66"/>
    </row>
    <row r="957" spans="4:4" s="25" customFormat="1">
      <c r="D957" s="66"/>
    </row>
    <row r="958" spans="4:4" s="25" customFormat="1">
      <c r="D958" s="66"/>
    </row>
    <row r="959" spans="4:4" s="25" customFormat="1">
      <c r="D959" s="66"/>
    </row>
    <row r="960" spans="4:4" s="25" customFormat="1">
      <c r="D960" s="66"/>
    </row>
    <row r="961" spans="4:4" s="25" customFormat="1">
      <c r="D961" s="66"/>
    </row>
    <row r="962" spans="4:4" s="25" customFormat="1">
      <c r="D962" s="66"/>
    </row>
    <row r="963" spans="4:4" s="25" customFormat="1">
      <c r="D963" s="66"/>
    </row>
    <row r="964" spans="4:4" s="25" customFormat="1">
      <c r="D964" s="66"/>
    </row>
    <row r="965" spans="4:4" s="25" customFormat="1">
      <c r="D965" s="66"/>
    </row>
    <row r="966" spans="4:4" s="25" customFormat="1">
      <c r="D966" s="66"/>
    </row>
    <row r="967" spans="4:4" s="25" customFormat="1">
      <c r="D967" s="66"/>
    </row>
    <row r="968" spans="4:4" s="25" customFormat="1">
      <c r="D968" s="66"/>
    </row>
    <row r="969" spans="4:4" s="25" customFormat="1">
      <c r="D969" s="66"/>
    </row>
    <row r="970" spans="4:4" s="25" customFormat="1">
      <c r="D970" s="66"/>
    </row>
    <row r="971" spans="4:4" s="25" customFormat="1">
      <c r="D971" s="66"/>
    </row>
    <row r="972" spans="4:4" s="25" customFormat="1">
      <c r="D972" s="66"/>
    </row>
    <row r="973" spans="4:4" s="25" customFormat="1">
      <c r="D973" s="66"/>
    </row>
    <row r="974" spans="4:4" s="25" customFormat="1">
      <c r="D974" s="66"/>
    </row>
    <row r="975" spans="4:4" s="25" customFormat="1">
      <c r="D975" s="66"/>
    </row>
    <row r="976" spans="4:4" s="25" customFormat="1">
      <c r="D976" s="66"/>
    </row>
    <row r="977" spans="4:4" s="25" customFormat="1">
      <c r="D977" s="66"/>
    </row>
    <row r="978" spans="4:4" s="25" customFormat="1">
      <c r="D978" s="66"/>
    </row>
    <row r="979" spans="4:4" s="25" customFormat="1">
      <c r="D979" s="66"/>
    </row>
    <row r="980" spans="4:4" s="25" customFormat="1">
      <c r="D980" s="66"/>
    </row>
    <row r="981" spans="4:4" s="25" customFormat="1">
      <c r="D981" s="66"/>
    </row>
    <row r="982" spans="4:4" s="25" customFormat="1">
      <c r="D982" s="66"/>
    </row>
    <row r="983" spans="4:4" s="25" customFormat="1">
      <c r="D983" s="66"/>
    </row>
    <row r="984" spans="4:4" s="25" customFormat="1">
      <c r="D984" s="66"/>
    </row>
    <row r="985" spans="4:4" s="25" customFormat="1">
      <c r="D985" s="66"/>
    </row>
    <row r="986" spans="4:4" s="25" customFormat="1">
      <c r="D986" s="66"/>
    </row>
    <row r="987" spans="4:4" s="25" customFormat="1">
      <c r="D987" s="66"/>
    </row>
    <row r="988" spans="4:4" s="25" customFormat="1">
      <c r="D988" s="66"/>
    </row>
    <row r="989" spans="4:4" s="25" customFormat="1">
      <c r="D989" s="66"/>
    </row>
    <row r="990" spans="4:4" s="25" customFormat="1">
      <c r="D990" s="66"/>
    </row>
    <row r="991" spans="4:4" s="25" customFormat="1">
      <c r="D991" s="66"/>
    </row>
    <row r="992" spans="4:4" s="25" customFormat="1">
      <c r="D992" s="66"/>
    </row>
    <row r="993" spans="4:4" s="25" customFormat="1">
      <c r="D993" s="66"/>
    </row>
    <row r="994" spans="4:4" s="25" customFormat="1">
      <c r="D994" s="66"/>
    </row>
    <row r="995" spans="4:4" s="25" customFormat="1">
      <c r="D995" s="66"/>
    </row>
    <row r="996" spans="4:4" s="25" customFormat="1">
      <c r="D996" s="66"/>
    </row>
    <row r="997" spans="4:4" s="25" customFormat="1">
      <c r="D997" s="66"/>
    </row>
    <row r="998" spans="4:4" s="25" customFormat="1">
      <c r="D998" s="66"/>
    </row>
    <row r="999" spans="4:4" s="25" customFormat="1">
      <c r="D999" s="66"/>
    </row>
    <row r="1000" spans="4:4" s="25" customFormat="1">
      <c r="D1000" s="66"/>
    </row>
    <row r="1001" spans="4:4" s="25" customFormat="1">
      <c r="D1001" s="66"/>
    </row>
    <row r="1002" spans="4:4" s="25" customFormat="1">
      <c r="D1002" s="66"/>
    </row>
    <row r="1003" spans="4:4" s="25" customFormat="1">
      <c r="D1003" s="66"/>
    </row>
    <row r="1004" spans="4:4" s="25" customFormat="1">
      <c r="D1004" s="66"/>
    </row>
    <row r="1005" spans="4:4" s="25" customFormat="1">
      <c r="D1005" s="66"/>
    </row>
    <row r="1006" spans="4:4" s="25" customFormat="1">
      <c r="D1006" s="66"/>
    </row>
    <row r="1007" spans="4:4" s="25" customFormat="1">
      <c r="D1007" s="66"/>
    </row>
    <row r="1008" spans="4:4" s="25" customFormat="1">
      <c r="D1008" s="66"/>
    </row>
    <row r="1009" spans="4:4" s="25" customFormat="1">
      <c r="D1009" s="66"/>
    </row>
    <row r="1010" spans="4:4" s="25" customFormat="1">
      <c r="D1010" s="66"/>
    </row>
    <row r="1011" spans="4:4" s="25" customFormat="1">
      <c r="D1011" s="66"/>
    </row>
    <row r="1012" spans="4:4" s="25" customFormat="1">
      <c r="D1012" s="66"/>
    </row>
    <row r="1013" spans="4:4" s="25" customFormat="1">
      <c r="D1013" s="66"/>
    </row>
    <row r="1014" spans="4:4" s="25" customFormat="1">
      <c r="D1014" s="66"/>
    </row>
    <row r="1015" spans="4:4" s="25" customFormat="1">
      <c r="D1015" s="66"/>
    </row>
    <row r="1016" spans="4:4" s="25" customFormat="1">
      <c r="D1016" s="66"/>
    </row>
    <row r="1017" spans="4:4" s="25" customFormat="1">
      <c r="D1017" s="66"/>
    </row>
    <row r="1018" spans="4:4" s="25" customFormat="1">
      <c r="D1018" s="66"/>
    </row>
    <row r="1019" spans="4:4" s="25" customFormat="1">
      <c r="D1019" s="66"/>
    </row>
    <row r="1020" spans="4:4" s="25" customFormat="1">
      <c r="D1020" s="66"/>
    </row>
    <row r="1021" spans="4:4" s="25" customFormat="1">
      <c r="D1021" s="66"/>
    </row>
    <row r="1022" spans="4:4" s="25" customFormat="1">
      <c r="D1022" s="66"/>
    </row>
    <row r="1023" spans="4:4" s="25" customFormat="1">
      <c r="D1023" s="66"/>
    </row>
    <row r="1024" spans="4:4" s="25" customFormat="1">
      <c r="D1024" s="66"/>
    </row>
    <row r="1025" spans="4:4" s="25" customFormat="1">
      <c r="D1025" s="66"/>
    </row>
    <row r="1026" spans="4:4" s="25" customFormat="1">
      <c r="D1026" s="66"/>
    </row>
    <row r="1027" spans="4:4" s="25" customFormat="1">
      <c r="D1027" s="66"/>
    </row>
    <row r="1028" spans="4:4" s="25" customFormat="1">
      <c r="D1028" s="66"/>
    </row>
    <row r="1029" spans="4:4" s="25" customFormat="1">
      <c r="D1029" s="66"/>
    </row>
    <row r="1030" spans="4:4" s="25" customFormat="1">
      <c r="D1030" s="66"/>
    </row>
    <row r="1031" spans="4:4" s="25" customFormat="1">
      <c r="D1031" s="66"/>
    </row>
    <row r="1032" spans="4:4" s="25" customFormat="1">
      <c r="D1032" s="66"/>
    </row>
    <row r="1033" spans="4:4" s="25" customFormat="1">
      <c r="D1033" s="66"/>
    </row>
    <row r="1034" spans="4:4" s="25" customFormat="1">
      <c r="D1034" s="66"/>
    </row>
    <row r="1035" spans="4:4" s="25" customFormat="1">
      <c r="D1035" s="66"/>
    </row>
    <row r="1036" spans="4:4" s="25" customFormat="1">
      <c r="D1036" s="66"/>
    </row>
    <row r="1037" spans="4:4" s="25" customFormat="1">
      <c r="D1037" s="66"/>
    </row>
    <row r="1038" spans="4:4" s="25" customFormat="1">
      <c r="D1038" s="66"/>
    </row>
    <row r="1039" spans="4:4" s="25" customFormat="1">
      <c r="D1039" s="66"/>
    </row>
    <row r="1040" spans="4:4" s="25" customFormat="1">
      <c r="D1040" s="66"/>
    </row>
    <row r="1041" spans="4:4" s="25" customFormat="1">
      <c r="D1041" s="66"/>
    </row>
    <row r="1042" spans="4:4" s="25" customFormat="1">
      <c r="D1042" s="66"/>
    </row>
    <row r="1043" spans="4:4" s="25" customFormat="1">
      <c r="D1043" s="66"/>
    </row>
    <row r="1044" spans="4:4" s="25" customFormat="1">
      <c r="D1044" s="66"/>
    </row>
    <row r="1045" spans="4:4" s="25" customFormat="1">
      <c r="D1045" s="66"/>
    </row>
    <row r="1046" spans="4:4" s="25" customFormat="1">
      <c r="D1046" s="66"/>
    </row>
    <row r="1047" spans="4:4" s="25" customFormat="1">
      <c r="D1047" s="66"/>
    </row>
    <row r="1048" spans="4:4" s="25" customFormat="1">
      <c r="D1048" s="66"/>
    </row>
    <row r="1049" spans="4:4" s="25" customFormat="1">
      <c r="D1049" s="66"/>
    </row>
    <row r="1050" spans="4:4" s="25" customFormat="1">
      <c r="D1050" s="66"/>
    </row>
    <row r="1051" spans="4:4" s="25" customFormat="1">
      <c r="D1051" s="66"/>
    </row>
    <row r="1052" spans="4:4" s="25" customFormat="1">
      <c r="D1052" s="66"/>
    </row>
    <row r="1053" spans="4:4" s="25" customFormat="1">
      <c r="D1053" s="66"/>
    </row>
    <row r="1054" spans="4:4" s="25" customFormat="1">
      <c r="D1054" s="66"/>
    </row>
    <row r="1055" spans="4:4" s="25" customFormat="1">
      <c r="D1055" s="66"/>
    </row>
    <row r="1056" spans="4:4" s="25" customFormat="1">
      <c r="D1056" s="66"/>
    </row>
    <row r="1057" spans="4:4" s="25" customFormat="1">
      <c r="D1057" s="66"/>
    </row>
    <row r="1058" spans="4:4" s="25" customFormat="1">
      <c r="D1058" s="66"/>
    </row>
    <row r="1059" spans="4:4" s="25" customFormat="1">
      <c r="D1059" s="66"/>
    </row>
    <row r="1060" spans="4:4" s="25" customFormat="1">
      <c r="D1060" s="66"/>
    </row>
    <row r="1061" spans="4:4" s="25" customFormat="1">
      <c r="D1061" s="66"/>
    </row>
    <row r="1062" spans="4:4" s="25" customFormat="1">
      <c r="D1062" s="66"/>
    </row>
    <row r="1063" spans="4:4" s="25" customFormat="1">
      <c r="D1063" s="66"/>
    </row>
    <row r="1064" spans="4:4" s="25" customFormat="1">
      <c r="D1064" s="66"/>
    </row>
    <row r="1065" spans="4:4" s="25" customFormat="1">
      <c r="D1065" s="66"/>
    </row>
    <row r="1066" spans="4:4" s="25" customFormat="1">
      <c r="D1066" s="66"/>
    </row>
    <row r="1067" spans="4:4" s="25" customFormat="1">
      <c r="D1067" s="66"/>
    </row>
    <row r="1068" spans="4:4" s="25" customFormat="1">
      <c r="D1068" s="66"/>
    </row>
    <row r="1069" spans="4:4" s="25" customFormat="1">
      <c r="D1069" s="66"/>
    </row>
    <row r="1070" spans="4:4" s="25" customFormat="1">
      <c r="D1070" s="66"/>
    </row>
    <row r="1071" spans="4:4" s="25" customFormat="1">
      <c r="D1071" s="66"/>
    </row>
    <row r="1072" spans="4:4" s="25" customFormat="1">
      <c r="D1072" s="66"/>
    </row>
    <row r="1073" spans="4:4" s="25" customFormat="1">
      <c r="D1073" s="66"/>
    </row>
    <row r="1074" spans="4:4" s="25" customFormat="1">
      <c r="D1074" s="66"/>
    </row>
    <row r="1075" spans="4:4" s="25" customFormat="1">
      <c r="D1075" s="66"/>
    </row>
    <row r="1076" spans="4:4" s="25" customFormat="1">
      <c r="D1076" s="66"/>
    </row>
    <row r="1077" spans="4:4" s="25" customFormat="1">
      <c r="D1077" s="66"/>
    </row>
    <row r="1078" spans="4:4" s="25" customFormat="1">
      <c r="D1078" s="66"/>
    </row>
    <row r="1079" spans="4:4" s="25" customFormat="1">
      <c r="D1079" s="66"/>
    </row>
    <row r="1080" spans="4:4" s="25" customFormat="1">
      <c r="D1080" s="66"/>
    </row>
    <row r="1081" spans="4:4" s="25" customFormat="1">
      <c r="D1081" s="66"/>
    </row>
    <row r="1082" spans="4:4" s="25" customFormat="1">
      <c r="D1082" s="66"/>
    </row>
    <row r="1083" spans="4:4" s="25" customFormat="1">
      <c r="D1083" s="66"/>
    </row>
    <row r="1084" spans="4:4" s="25" customFormat="1">
      <c r="D1084" s="66"/>
    </row>
    <row r="1085" spans="4:4" s="25" customFormat="1">
      <c r="D1085" s="66"/>
    </row>
    <row r="1086" spans="4:4" s="25" customFormat="1">
      <c r="D1086" s="66"/>
    </row>
    <row r="1087" spans="4:4" s="25" customFormat="1">
      <c r="D1087" s="66"/>
    </row>
    <row r="1088" spans="4:4" s="25" customFormat="1">
      <c r="D1088" s="66"/>
    </row>
    <row r="1089" spans="4:4" s="25" customFormat="1">
      <c r="D1089" s="66"/>
    </row>
    <row r="1090" spans="4:4" s="25" customFormat="1">
      <c r="D1090" s="66"/>
    </row>
    <row r="1091" spans="4:4" s="25" customFormat="1">
      <c r="D1091" s="66"/>
    </row>
    <row r="1092" spans="4:4" s="25" customFormat="1">
      <c r="D1092" s="66"/>
    </row>
    <row r="1093" spans="4:4" s="25" customFormat="1">
      <c r="D1093" s="66"/>
    </row>
    <row r="1094" spans="4:4" s="25" customFormat="1">
      <c r="D1094" s="66"/>
    </row>
    <row r="1095" spans="4:4" s="25" customFormat="1">
      <c r="D1095" s="66"/>
    </row>
    <row r="1096" spans="4:4" s="25" customFormat="1">
      <c r="D1096" s="66"/>
    </row>
    <row r="1097" spans="4:4" s="25" customFormat="1">
      <c r="D1097" s="66"/>
    </row>
    <row r="1098" spans="4:4" s="25" customFormat="1">
      <c r="D1098" s="66"/>
    </row>
    <row r="1099" spans="4:4" s="25" customFormat="1">
      <c r="D1099" s="66"/>
    </row>
    <row r="1100" spans="4:4" s="25" customFormat="1">
      <c r="D1100" s="66"/>
    </row>
    <row r="1101" spans="4:4" s="25" customFormat="1">
      <c r="D1101" s="66"/>
    </row>
    <row r="1102" spans="4:4" s="25" customFormat="1">
      <c r="D1102" s="66"/>
    </row>
    <row r="1103" spans="4:4" s="25" customFormat="1">
      <c r="D1103" s="66"/>
    </row>
    <row r="1104" spans="4:4" s="25" customFormat="1">
      <c r="D1104" s="66"/>
    </row>
    <row r="1105" spans="4:4" s="25" customFormat="1">
      <c r="D1105" s="66"/>
    </row>
    <row r="1106" spans="4:4" s="25" customFormat="1">
      <c r="D1106" s="66"/>
    </row>
    <row r="1107" spans="4:4" s="25" customFormat="1">
      <c r="D1107" s="66"/>
    </row>
    <row r="1108" spans="4:4" s="25" customFormat="1">
      <c r="D1108" s="66"/>
    </row>
    <row r="1109" spans="4:4" s="25" customFormat="1">
      <c r="D1109" s="66"/>
    </row>
    <row r="1110" spans="4:4" s="25" customFormat="1">
      <c r="D1110" s="66"/>
    </row>
    <row r="1111" spans="4:4" s="25" customFormat="1">
      <c r="D1111" s="66"/>
    </row>
    <row r="1112" spans="4:4" s="25" customFormat="1">
      <c r="D1112" s="66"/>
    </row>
    <row r="1113" spans="4:4" s="25" customFormat="1">
      <c r="D1113" s="66"/>
    </row>
    <row r="1114" spans="4:4" s="25" customFormat="1">
      <c r="D1114" s="66"/>
    </row>
    <row r="1115" spans="4:4" s="25" customFormat="1">
      <c r="D1115" s="66"/>
    </row>
    <row r="1116" spans="4:4" s="25" customFormat="1">
      <c r="D1116" s="66"/>
    </row>
    <row r="1117" spans="4:4" s="25" customFormat="1">
      <c r="D1117" s="66"/>
    </row>
    <row r="1118" spans="4:4" s="25" customFormat="1">
      <c r="D1118" s="66"/>
    </row>
    <row r="1119" spans="4:4" s="25" customFormat="1">
      <c r="D1119" s="66"/>
    </row>
    <row r="1120" spans="4:4" s="25" customFormat="1">
      <c r="D1120" s="66"/>
    </row>
    <row r="1121" spans="4:4" s="25" customFormat="1">
      <c r="D1121" s="66"/>
    </row>
    <row r="1122" spans="4:4" s="25" customFormat="1">
      <c r="D1122" s="66"/>
    </row>
    <row r="1123" spans="4:4" s="25" customFormat="1">
      <c r="D1123" s="66"/>
    </row>
    <row r="1124" spans="4:4" s="25" customFormat="1">
      <c r="D1124" s="66"/>
    </row>
    <row r="1125" spans="4:4" s="25" customFormat="1">
      <c r="D1125" s="66"/>
    </row>
    <row r="1126" spans="4:4" s="25" customFormat="1">
      <c r="D1126" s="66"/>
    </row>
    <row r="1127" spans="4:4" s="25" customFormat="1">
      <c r="D1127" s="66"/>
    </row>
    <row r="1128" spans="4:4" s="25" customFormat="1">
      <c r="D1128" s="66"/>
    </row>
    <row r="1129" spans="4:4" s="25" customFormat="1">
      <c r="D1129" s="66"/>
    </row>
    <row r="1130" spans="4:4" s="25" customFormat="1">
      <c r="D1130" s="66"/>
    </row>
    <row r="1131" spans="4:4" s="25" customFormat="1">
      <c r="D1131" s="66"/>
    </row>
    <row r="1132" spans="4:4" s="25" customFormat="1">
      <c r="D1132" s="66"/>
    </row>
    <row r="1133" spans="4:4" s="25" customFormat="1">
      <c r="D1133" s="66"/>
    </row>
    <row r="1134" spans="4:4" s="25" customFormat="1">
      <c r="D1134" s="66"/>
    </row>
    <row r="1135" spans="4:4" s="25" customFormat="1">
      <c r="D1135" s="66"/>
    </row>
    <row r="1136" spans="4:4" s="25" customFormat="1">
      <c r="D1136" s="66"/>
    </row>
    <row r="1137" spans="4:4" s="25" customFormat="1">
      <c r="D1137" s="66"/>
    </row>
    <row r="1138" spans="4:4" s="25" customFormat="1">
      <c r="D1138" s="66"/>
    </row>
    <row r="1139" spans="4:4" s="25" customFormat="1">
      <c r="D1139" s="66"/>
    </row>
    <row r="1140" spans="4:4" s="25" customFormat="1">
      <c r="D1140" s="66"/>
    </row>
    <row r="1141" spans="4:4" s="25" customFormat="1">
      <c r="D1141" s="66"/>
    </row>
    <row r="1142" spans="4:4" s="25" customFormat="1">
      <c r="D1142" s="66"/>
    </row>
    <row r="1143" spans="4:4" s="25" customFormat="1">
      <c r="D1143" s="66"/>
    </row>
    <row r="1144" spans="4:4" s="25" customFormat="1">
      <c r="D1144" s="66"/>
    </row>
    <row r="1145" spans="4:4" s="25" customFormat="1">
      <c r="D1145" s="66"/>
    </row>
    <row r="1146" spans="4:4" s="25" customFormat="1">
      <c r="D1146" s="66"/>
    </row>
    <row r="1147" spans="4:4" s="25" customFormat="1">
      <c r="D1147" s="66"/>
    </row>
    <row r="1148" spans="4:4" s="25" customFormat="1">
      <c r="D1148" s="66"/>
    </row>
    <row r="1149" spans="4:4" s="25" customFormat="1">
      <c r="D1149" s="66"/>
    </row>
    <row r="1150" spans="4:4" s="25" customFormat="1">
      <c r="D1150" s="66"/>
    </row>
    <row r="1151" spans="4:4" s="25" customFormat="1">
      <c r="D1151" s="66"/>
    </row>
    <row r="1152" spans="4:4" s="25" customFormat="1">
      <c r="D1152" s="66"/>
    </row>
    <row r="1153" spans="4:4" s="25" customFormat="1">
      <c r="D1153" s="66"/>
    </row>
    <row r="1154" spans="4:4" s="25" customFormat="1">
      <c r="D1154" s="66"/>
    </row>
    <row r="1155" spans="4:4" s="25" customFormat="1">
      <c r="D1155" s="66"/>
    </row>
    <row r="1156" spans="4:4" s="25" customFormat="1">
      <c r="D1156" s="66"/>
    </row>
    <row r="1157" spans="4:4" s="25" customFormat="1">
      <c r="D1157" s="66"/>
    </row>
    <row r="1158" spans="4:4" s="25" customFormat="1">
      <c r="D1158" s="66"/>
    </row>
    <row r="1159" spans="4:4" s="25" customFormat="1">
      <c r="D1159" s="66"/>
    </row>
    <row r="1160" spans="4:4" s="25" customFormat="1">
      <c r="D1160" s="66"/>
    </row>
    <row r="1161" spans="4:4" s="25" customFormat="1">
      <c r="D1161" s="66"/>
    </row>
    <row r="1162" spans="4:4" s="25" customFormat="1">
      <c r="D1162" s="66"/>
    </row>
    <row r="1163" spans="4:4" s="25" customFormat="1">
      <c r="D1163" s="66"/>
    </row>
    <row r="1164" spans="4:4" s="25" customFormat="1">
      <c r="D1164" s="66"/>
    </row>
    <row r="1165" spans="4:4" s="25" customFormat="1">
      <c r="D1165" s="66"/>
    </row>
    <row r="1166" spans="4:4" s="25" customFormat="1">
      <c r="D1166" s="66"/>
    </row>
    <row r="1167" spans="4:4" s="25" customFormat="1">
      <c r="D1167" s="66"/>
    </row>
    <row r="1168" spans="4:4" s="25" customFormat="1">
      <c r="D1168" s="66"/>
    </row>
    <row r="1169" spans="4:4" s="25" customFormat="1">
      <c r="D1169" s="66"/>
    </row>
    <row r="1170" spans="4:4" s="25" customFormat="1">
      <c r="D1170" s="66"/>
    </row>
    <row r="1171" spans="4:4" s="25" customFormat="1">
      <c r="D1171" s="66"/>
    </row>
    <row r="1172" spans="4:4" s="25" customFormat="1">
      <c r="D1172" s="66"/>
    </row>
    <row r="1173" spans="4:4" s="25" customFormat="1">
      <c r="D1173" s="66"/>
    </row>
    <row r="1174" spans="4:4" s="25" customFormat="1">
      <c r="D1174" s="66"/>
    </row>
    <row r="1175" spans="4:4" s="25" customFormat="1">
      <c r="D1175" s="66"/>
    </row>
    <row r="1176" spans="4:4" s="25" customFormat="1">
      <c r="D1176" s="66"/>
    </row>
    <row r="1177" spans="4:4" s="25" customFormat="1">
      <c r="D1177" s="66"/>
    </row>
    <row r="1178" spans="4:4" s="25" customFormat="1">
      <c r="D1178" s="66"/>
    </row>
    <row r="1179" spans="4:4" s="25" customFormat="1">
      <c r="D1179" s="66"/>
    </row>
    <row r="1180" spans="4:4" s="25" customFormat="1">
      <c r="D1180" s="66"/>
    </row>
    <row r="1181" spans="4:4" s="25" customFormat="1">
      <c r="D1181" s="66"/>
    </row>
    <row r="1182" spans="4:4" s="25" customFormat="1">
      <c r="D1182" s="66"/>
    </row>
    <row r="1183" spans="4:4" s="25" customFormat="1">
      <c r="D1183" s="66"/>
    </row>
    <row r="1184" spans="4:4" s="25" customFormat="1">
      <c r="D1184" s="66"/>
    </row>
    <row r="1185" spans="4:4" s="25" customFormat="1">
      <c r="D1185" s="66"/>
    </row>
    <row r="1186" spans="4:4" s="25" customFormat="1">
      <c r="D1186" s="66"/>
    </row>
    <row r="1187" spans="4:4" s="25" customFormat="1">
      <c r="D1187" s="66"/>
    </row>
    <row r="1188" spans="4:4" s="25" customFormat="1">
      <c r="D1188" s="66"/>
    </row>
    <row r="1189" spans="4:4" s="25" customFormat="1">
      <c r="D1189" s="66"/>
    </row>
    <row r="1190" spans="4:4" s="25" customFormat="1">
      <c r="D1190" s="66"/>
    </row>
    <row r="1191" spans="4:4" s="25" customFormat="1">
      <c r="D1191" s="66"/>
    </row>
    <row r="1192" spans="4:4" s="25" customFormat="1">
      <c r="D1192" s="66"/>
    </row>
    <row r="1193" spans="4:4" s="25" customFormat="1">
      <c r="D1193" s="66"/>
    </row>
    <row r="1194" spans="4:4" s="25" customFormat="1">
      <c r="D1194" s="66"/>
    </row>
    <row r="1195" spans="4:4" s="25" customFormat="1">
      <c r="D1195" s="66"/>
    </row>
    <row r="1196" spans="4:4" s="25" customFormat="1">
      <c r="D1196" s="66"/>
    </row>
    <row r="1197" spans="4:4" s="25" customFormat="1">
      <c r="D1197" s="66"/>
    </row>
    <row r="1198" spans="4:4" s="25" customFormat="1">
      <c r="D1198" s="66"/>
    </row>
    <row r="1199" spans="4:4" s="25" customFormat="1">
      <c r="D1199" s="66"/>
    </row>
    <row r="1200" spans="4:4" s="25" customFormat="1">
      <c r="D1200" s="66"/>
    </row>
    <row r="1201" spans="4:4" s="25" customFormat="1">
      <c r="D1201" s="66"/>
    </row>
    <row r="1202" spans="4:4" s="25" customFormat="1">
      <c r="D1202" s="66"/>
    </row>
    <row r="1203" spans="4:4" s="25" customFormat="1">
      <c r="D1203" s="66"/>
    </row>
    <row r="1204" spans="4:4" s="25" customFormat="1">
      <c r="D1204" s="66"/>
    </row>
    <row r="1205" spans="4:4" s="25" customFormat="1">
      <c r="D1205" s="66"/>
    </row>
    <row r="1206" spans="4:4" s="25" customFormat="1">
      <c r="D1206" s="66"/>
    </row>
    <row r="1207" spans="4:4" s="25" customFormat="1">
      <c r="D1207" s="66"/>
    </row>
    <row r="1208" spans="4:4" s="25" customFormat="1">
      <c r="D1208" s="66"/>
    </row>
    <row r="1209" spans="4:4" s="25" customFormat="1">
      <c r="D1209" s="66"/>
    </row>
    <row r="1210" spans="4:4" s="25" customFormat="1">
      <c r="D1210" s="66"/>
    </row>
    <row r="1211" spans="4:4" s="25" customFormat="1">
      <c r="D1211" s="66"/>
    </row>
    <row r="1212" spans="4:4" s="25" customFormat="1">
      <c r="D1212" s="66"/>
    </row>
    <row r="1213" spans="4:4" s="25" customFormat="1">
      <c r="D1213" s="66"/>
    </row>
    <row r="1214" spans="4:4" s="25" customFormat="1">
      <c r="D1214" s="66"/>
    </row>
    <row r="1215" spans="4:4" s="25" customFormat="1">
      <c r="D1215" s="66"/>
    </row>
    <row r="1216" spans="4:4" s="25" customFormat="1">
      <c r="D1216" s="66"/>
    </row>
    <row r="1217" spans="4:4" s="25" customFormat="1">
      <c r="D1217" s="66"/>
    </row>
    <row r="1218" spans="4:4" s="25" customFormat="1">
      <c r="D1218" s="66"/>
    </row>
    <row r="1219" spans="4:4" s="25" customFormat="1">
      <c r="D1219" s="66"/>
    </row>
    <row r="1220" spans="4:4" s="25" customFormat="1">
      <c r="D1220" s="66"/>
    </row>
    <row r="1221" spans="4:4" s="25" customFormat="1">
      <c r="D1221" s="66"/>
    </row>
    <row r="1222" spans="4:4" s="25" customFormat="1">
      <c r="D1222" s="66"/>
    </row>
    <row r="1223" spans="4:4" s="25" customFormat="1">
      <c r="D1223" s="66"/>
    </row>
    <row r="1224" spans="4:4" s="25" customFormat="1">
      <c r="D1224" s="66"/>
    </row>
    <row r="1225" spans="4:4" s="25" customFormat="1">
      <c r="D1225" s="66"/>
    </row>
    <row r="1226" spans="4:4" s="25" customFormat="1">
      <c r="D1226" s="66"/>
    </row>
    <row r="1227" spans="4:4" s="25" customFormat="1">
      <c r="D1227" s="66"/>
    </row>
    <row r="1228" spans="4:4" s="25" customFormat="1">
      <c r="D1228" s="66"/>
    </row>
    <row r="1229" spans="4:4" s="25" customFormat="1">
      <c r="D1229" s="66"/>
    </row>
    <row r="1230" spans="4:4" s="25" customFormat="1">
      <c r="D1230" s="66"/>
    </row>
    <row r="1231" spans="4:4" s="25" customFormat="1">
      <c r="D1231" s="66"/>
    </row>
    <row r="1232" spans="4:4" s="25" customFormat="1">
      <c r="D1232" s="66"/>
    </row>
    <row r="1233" spans="4:4" s="25" customFormat="1">
      <c r="D1233" s="66"/>
    </row>
    <row r="1234" spans="4:4" s="25" customFormat="1">
      <c r="D1234" s="66"/>
    </row>
    <row r="1235" spans="4:4" s="25" customFormat="1">
      <c r="D1235" s="66"/>
    </row>
    <row r="1236" spans="4:4" s="25" customFormat="1">
      <c r="D1236" s="66"/>
    </row>
    <row r="1237" spans="4:4" s="25" customFormat="1">
      <c r="D1237" s="66"/>
    </row>
    <row r="1238" spans="4:4" s="25" customFormat="1">
      <c r="D1238" s="66"/>
    </row>
    <row r="1239" spans="4:4" s="25" customFormat="1">
      <c r="D1239" s="66"/>
    </row>
    <row r="1240" spans="4:4" s="25" customFormat="1">
      <c r="D1240" s="66"/>
    </row>
    <row r="1241" spans="4:4" s="25" customFormat="1">
      <c r="D1241" s="66"/>
    </row>
    <row r="1242" spans="4:4" s="25" customFormat="1">
      <c r="D1242" s="66"/>
    </row>
    <row r="1243" spans="4:4" s="25" customFormat="1">
      <c r="D1243" s="66"/>
    </row>
    <row r="1244" spans="4:4" s="25" customFormat="1">
      <c r="D1244" s="66"/>
    </row>
    <row r="1245" spans="4:4" s="25" customFormat="1">
      <c r="D1245" s="66"/>
    </row>
    <row r="1246" spans="4:4" s="25" customFormat="1">
      <c r="D1246" s="66"/>
    </row>
    <row r="1247" spans="4:4" s="25" customFormat="1">
      <c r="D1247" s="66"/>
    </row>
    <row r="1248" spans="4:4" s="25" customFormat="1">
      <c r="D1248" s="66"/>
    </row>
    <row r="1249" spans="4:4" s="25" customFormat="1">
      <c r="D1249" s="66"/>
    </row>
    <row r="1250" spans="4:4" s="25" customFormat="1">
      <c r="D1250" s="66"/>
    </row>
    <row r="1251" spans="4:4" s="25" customFormat="1">
      <c r="D1251" s="66"/>
    </row>
    <row r="1252" spans="4:4" s="25" customFormat="1">
      <c r="D1252" s="66"/>
    </row>
    <row r="1253" spans="4:4" s="25" customFormat="1">
      <c r="D1253" s="66"/>
    </row>
    <row r="1254" spans="4:4" s="25" customFormat="1">
      <c r="D1254" s="66"/>
    </row>
    <row r="1255" spans="4:4" s="25" customFormat="1">
      <c r="D1255" s="66"/>
    </row>
    <row r="1256" spans="4:4" s="25" customFormat="1">
      <c r="D1256" s="66"/>
    </row>
    <row r="1257" spans="4:4" s="25" customFormat="1">
      <c r="D1257" s="66"/>
    </row>
    <row r="1258" spans="4:4" s="25" customFormat="1">
      <c r="D1258" s="66"/>
    </row>
    <row r="1259" spans="4:4" s="25" customFormat="1">
      <c r="D1259" s="66"/>
    </row>
    <row r="1260" spans="4:4" s="25" customFormat="1">
      <c r="D1260" s="66"/>
    </row>
    <row r="1261" spans="4:4" s="25" customFormat="1">
      <c r="D1261" s="66"/>
    </row>
    <row r="1262" spans="4:4" s="25" customFormat="1">
      <c r="D1262" s="66"/>
    </row>
    <row r="1263" spans="4:4" s="25" customFormat="1">
      <c r="D1263" s="66"/>
    </row>
    <row r="1264" spans="4:4" s="25" customFormat="1">
      <c r="D1264" s="66"/>
    </row>
    <row r="1265" spans="4:4" s="25" customFormat="1">
      <c r="D1265" s="66"/>
    </row>
    <row r="1266" spans="4:4" s="25" customFormat="1">
      <c r="D1266" s="66"/>
    </row>
    <row r="1267" spans="4:4" s="25" customFormat="1">
      <c r="D1267" s="66"/>
    </row>
    <row r="1268" spans="4:4" s="25" customFormat="1">
      <c r="D1268" s="66"/>
    </row>
    <row r="1269" spans="4:4" s="25" customFormat="1">
      <c r="D1269" s="66"/>
    </row>
    <row r="1270" spans="4:4" s="25" customFormat="1">
      <c r="D1270" s="66"/>
    </row>
    <row r="1271" spans="4:4" s="25" customFormat="1">
      <c r="D1271" s="66"/>
    </row>
    <row r="1272" spans="4:4" s="25" customFormat="1">
      <c r="D1272" s="66"/>
    </row>
    <row r="1273" spans="4:4" s="25" customFormat="1">
      <c r="D1273" s="66"/>
    </row>
    <row r="1274" spans="4:4" s="25" customFormat="1">
      <c r="D1274" s="66"/>
    </row>
    <row r="1275" spans="4:4" s="25" customFormat="1">
      <c r="D1275" s="66"/>
    </row>
    <row r="1276" spans="4:4" s="25" customFormat="1">
      <c r="D1276" s="66"/>
    </row>
    <row r="1277" spans="4:4" s="25" customFormat="1">
      <c r="D1277" s="66"/>
    </row>
    <row r="1278" spans="4:4" s="25" customFormat="1">
      <c r="D1278" s="66"/>
    </row>
    <row r="1279" spans="4:4" s="25" customFormat="1">
      <c r="D1279" s="66"/>
    </row>
    <row r="1280" spans="4:4" s="25" customFormat="1">
      <c r="D1280" s="66"/>
    </row>
    <row r="1281" spans="4:4" s="25" customFormat="1">
      <c r="D1281" s="66"/>
    </row>
    <row r="1282" spans="4:4" s="25" customFormat="1">
      <c r="D1282" s="66"/>
    </row>
    <row r="1283" spans="4:4" s="25" customFormat="1">
      <c r="D1283" s="66"/>
    </row>
    <row r="1284" spans="4:4" s="25" customFormat="1">
      <c r="D1284" s="66"/>
    </row>
    <row r="1285" spans="4:4" s="25" customFormat="1">
      <c r="D1285" s="66"/>
    </row>
    <row r="1286" spans="4:4" s="25" customFormat="1">
      <c r="D1286" s="66"/>
    </row>
    <row r="1287" spans="4:4" s="25" customFormat="1">
      <c r="D1287" s="66"/>
    </row>
    <row r="1288" spans="4:4" s="25" customFormat="1">
      <c r="D1288" s="66"/>
    </row>
    <row r="1289" spans="4:4" s="25" customFormat="1">
      <c r="D1289" s="66"/>
    </row>
    <row r="1290" spans="4:4" s="25" customFormat="1">
      <c r="D1290" s="66"/>
    </row>
    <row r="1291" spans="4:4" s="25" customFormat="1">
      <c r="D1291" s="66"/>
    </row>
    <row r="1292" spans="4:4" s="25" customFormat="1">
      <c r="D1292" s="66"/>
    </row>
    <row r="1293" spans="4:4" s="25" customFormat="1">
      <c r="D1293" s="66"/>
    </row>
    <row r="1294" spans="4:4" s="25" customFormat="1">
      <c r="D1294" s="66"/>
    </row>
    <row r="1295" spans="4:4" s="25" customFormat="1">
      <c r="D1295" s="66"/>
    </row>
    <row r="1296" spans="4:4" s="25" customFormat="1">
      <c r="D1296" s="66"/>
    </row>
    <row r="1297" spans="4:4" s="25" customFormat="1">
      <c r="D1297" s="66"/>
    </row>
    <row r="1298" spans="4:4" s="25" customFormat="1">
      <c r="D1298" s="66"/>
    </row>
    <row r="1299" spans="4:4" s="25" customFormat="1">
      <c r="D1299" s="66"/>
    </row>
    <row r="1300" spans="4:4" s="25" customFormat="1">
      <c r="D1300" s="66"/>
    </row>
    <row r="1301" spans="4:4" s="25" customFormat="1">
      <c r="D1301" s="66"/>
    </row>
    <row r="1302" spans="4:4" s="25" customFormat="1">
      <c r="D1302" s="66"/>
    </row>
    <row r="1303" spans="4:4" s="25" customFormat="1">
      <c r="D1303" s="66"/>
    </row>
    <row r="1304" spans="4:4" s="25" customFormat="1">
      <c r="D1304" s="66"/>
    </row>
    <row r="1305" spans="4:4" s="25" customFormat="1">
      <c r="D1305" s="66"/>
    </row>
    <row r="1306" spans="4:4" s="25" customFormat="1">
      <c r="D1306" s="66"/>
    </row>
    <row r="1307" spans="4:4" s="25" customFormat="1">
      <c r="D1307" s="66"/>
    </row>
    <row r="1308" spans="4:4" s="25" customFormat="1">
      <c r="D1308" s="66"/>
    </row>
    <row r="1309" spans="4:4" s="25" customFormat="1">
      <c r="D1309" s="66"/>
    </row>
    <row r="1310" spans="4:4" s="25" customFormat="1">
      <c r="D1310" s="66"/>
    </row>
    <row r="1311" spans="4:4" s="25" customFormat="1">
      <c r="D1311" s="66"/>
    </row>
    <row r="1312" spans="4:4" s="25" customFormat="1">
      <c r="D1312" s="66"/>
    </row>
    <row r="1313" spans="4:4" s="25" customFormat="1">
      <c r="D1313" s="66"/>
    </row>
    <row r="1314" spans="4:4" s="25" customFormat="1">
      <c r="D1314" s="66"/>
    </row>
    <row r="1315" spans="4:4" s="25" customFormat="1">
      <c r="D1315" s="66"/>
    </row>
    <row r="1316" spans="4:4" s="25" customFormat="1">
      <c r="D1316" s="66"/>
    </row>
    <row r="1317" spans="4:4" s="25" customFormat="1">
      <c r="D1317" s="66"/>
    </row>
    <row r="1318" spans="4:4" s="25" customFormat="1">
      <c r="D1318" s="66"/>
    </row>
    <row r="1319" spans="4:4" s="25" customFormat="1">
      <c r="D1319" s="66"/>
    </row>
    <row r="1320" spans="4:4" s="25" customFormat="1">
      <c r="D1320" s="66"/>
    </row>
    <row r="1321" spans="4:4" s="25" customFormat="1">
      <c r="D1321" s="66"/>
    </row>
    <row r="1322" spans="4:4" s="25" customFormat="1">
      <c r="D1322" s="66"/>
    </row>
    <row r="1323" spans="4:4" s="25" customFormat="1">
      <c r="D1323" s="66"/>
    </row>
    <row r="1324" spans="4:4" s="25" customFormat="1">
      <c r="D1324" s="66"/>
    </row>
    <row r="1325" spans="4:4" s="25" customFormat="1">
      <c r="D1325" s="66"/>
    </row>
    <row r="1326" spans="4:4" s="25" customFormat="1">
      <c r="D1326" s="66"/>
    </row>
    <row r="1327" spans="4:4" s="25" customFormat="1">
      <c r="D1327" s="66"/>
    </row>
    <row r="1328" spans="4:4" s="25" customFormat="1">
      <c r="D1328" s="66"/>
    </row>
    <row r="1329" spans="4:4" s="25" customFormat="1">
      <c r="D1329" s="66"/>
    </row>
    <row r="1330" spans="4:4" s="25" customFormat="1">
      <c r="D1330" s="66"/>
    </row>
    <row r="1331" spans="4:4" s="25" customFormat="1">
      <c r="D1331" s="66"/>
    </row>
    <row r="1332" spans="4:4" s="25" customFormat="1">
      <c r="D1332" s="66"/>
    </row>
    <row r="1333" spans="4:4" s="25" customFormat="1">
      <c r="D1333" s="66"/>
    </row>
    <row r="1334" spans="4:4" s="25" customFormat="1">
      <c r="D1334" s="66"/>
    </row>
    <row r="1335" spans="4:4" s="25" customFormat="1">
      <c r="D1335" s="66"/>
    </row>
    <row r="1336" spans="4:4" s="25" customFormat="1">
      <c r="D1336" s="66"/>
    </row>
    <row r="1337" spans="4:4" s="25" customFormat="1">
      <c r="D1337" s="66"/>
    </row>
    <row r="1338" spans="4:4" s="25" customFormat="1">
      <c r="D1338" s="66"/>
    </row>
    <row r="1339" spans="4:4" s="25" customFormat="1">
      <c r="D1339" s="66"/>
    </row>
    <row r="1340" spans="4:4" s="25" customFormat="1">
      <c r="D1340" s="66"/>
    </row>
    <row r="1341" spans="4:4" s="25" customFormat="1">
      <c r="D1341" s="66"/>
    </row>
    <row r="1342" spans="4:4" s="25" customFormat="1">
      <c r="D1342" s="66"/>
    </row>
    <row r="1343" spans="4:4" s="25" customFormat="1">
      <c r="D1343" s="66"/>
    </row>
    <row r="1344" spans="4:4" s="25" customFormat="1">
      <c r="D1344" s="66"/>
    </row>
    <row r="1345" spans="4:4" s="25" customFormat="1">
      <c r="D1345" s="66"/>
    </row>
    <row r="1346" spans="4:4" s="25" customFormat="1">
      <c r="D1346" s="66"/>
    </row>
    <row r="1347" spans="4:4" s="25" customFormat="1">
      <c r="D1347" s="66"/>
    </row>
    <row r="1348" spans="4:4" s="25" customFormat="1">
      <c r="D1348" s="66"/>
    </row>
    <row r="1349" spans="4:4" s="25" customFormat="1">
      <c r="D1349" s="66"/>
    </row>
    <row r="1350" spans="4:4" s="25" customFormat="1">
      <c r="D1350" s="66"/>
    </row>
    <row r="1351" spans="4:4" s="25" customFormat="1">
      <c r="D1351" s="66"/>
    </row>
    <row r="1352" spans="4:4" s="25" customFormat="1">
      <c r="D1352" s="66"/>
    </row>
    <row r="1353" spans="4:4" s="25" customFormat="1">
      <c r="D1353" s="66"/>
    </row>
    <row r="1354" spans="4:4" s="25" customFormat="1">
      <c r="D1354" s="66"/>
    </row>
    <row r="1355" spans="4:4" s="25" customFormat="1">
      <c r="D1355" s="66"/>
    </row>
    <row r="1356" spans="4:4" s="25" customFormat="1">
      <c r="D1356" s="66"/>
    </row>
    <row r="1357" spans="4:4" s="25" customFormat="1">
      <c r="D1357" s="66"/>
    </row>
    <row r="1358" spans="4:4" s="25" customFormat="1">
      <c r="D1358" s="66"/>
    </row>
    <row r="1359" spans="4:4" s="25" customFormat="1">
      <c r="D1359" s="66"/>
    </row>
    <row r="1360" spans="4:4" s="25" customFormat="1">
      <c r="D1360" s="66"/>
    </row>
    <row r="1361" spans="4:4" s="25" customFormat="1">
      <c r="D1361" s="66"/>
    </row>
    <row r="1362" spans="4:4" s="25" customFormat="1">
      <c r="D1362" s="66"/>
    </row>
    <row r="1363" spans="4:4" s="25" customFormat="1">
      <c r="D1363" s="66"/>
    </row>
    <row r="1364" spans="4:4" s="25" customFormat="1">
      <c r="D1364" s="66"/>
    </row>
    <row r="1365" spans="4:4" s="25" customFormat="1">
      <c r="D1365" s="66"/>
    </row>
    <row r="1366" spans="4:4" s="25" customFormat="1">
      <c r="D1366" s="66"/>
    </row>
    <row r="1367" spans="4:4" s="25" customFormat="1">
      <c r="D1367" s="66"/>
    </row>
    <row r="1368" spans="4:4" s="25" customFormat="1">
      <c r="D1368" s="66"/>
    </row>
    <row r="1369" spans="4:4" s="25" customFormat="1">
      <c r="D1369" s="66"/>
    </row>
    <row r="1370" spans="4:4" s="25" customFormat="1">
      <c r="D1370" s="66"/>
    </row>
    <row r="1371" spans="4:4" s="25" customFormat="1">
      <c r="D1371" s="66"/>
    </row>
    <row r="1372" spans="4:4" s="25" customFormat="1">
      <c r="D1372" s="66"/>
    </row>
    <row r="1373" spans="4:4" s="25" customFormat="1">
      <c r="D1373" s="66"/>
    </row>
    <row r="1374" spans="4:4" s="25" customFormat="1">
      <c r="D1374" s="66"/>
    </row>
    <row r="1375" spans="4:4" s="25" customFormat="1">
      <c r="D1375" s="66"/>
    </row>
    <row r="1376" spans="4:4" s="25" customFormat="1">
      <c r="D1376" s="66"/>
    </row>
    <row r="1377" spans="4:4" s="25" customFormat="1">
      <c r="D1377" s="66"/>
    </row>
    <row r="1378" spans="4:4" s="25" customFormat="1">
      <c r="D1378" s="66"/>
    </row>
    <row r="1379" spans="4:4" s="25" customFormat="1">
      <c r="D1379" s="66"/>
    </row>
    <row r="1380" spans="4:4" s="25" customFormat="1">
      <c r="D1380" s="66"/>
    </row>
    <row r="1381" spans="4:4" s="25" customFormat="1">
      <c r="D1381" s="66"/>
    </row>
    <row r="1382" spans="4:4" s="25" customFormat="1">
      <c r="D1382" s="66"/>
    </row>
    <row r="1383" spans="4:4" s="25" customFormat="1">
      <c r="D1383" s="66"/>
    </row>
    <row r="1384" spans="4:4" s="25" customFormat="1">
      <c r="D1384" s="66"/>
    </row>
    <row r="1385" spans="4:4" s="25" customFormat="1">
      <c r="D1385" s="66"/>
    </row>
    <row r="1386" spans="4:4" s="25" customFormat="1">
      <c r="D1386" s="66"/>
    </row>
    <row r="1387" spans="4:4" s="25" customFormat="1">
      <c r="D1387" s="66"/>
    </row>
    <row r="1388" spans="4:4" s="25" customFormat="1">
      <c r="D1388" s="66"/>
    </row>
    <row r="1389" spans="4:4" s="25" customFormat="1">
      <c r="D1389" s="66"/>
    </row>
    <row r="1390" spans="4:4" s="25" customFormat="1">
      <c r="D1390" s="66"/>
    </row>
    <row r="1391" spans="4:4" s="25" customFormat="1">
      <c r="D1391" s="66"/>
    </row>
    <row r="1392" spans="4:4" s="25" customFormat="1">
      <c r="D1392" s="66"/>
    </row>
    <row r="1393" spans="4:4" s="25" customFormat="1">
      <c r="D1393" s="66"/>
    </row>
    <row r="1394" spans="4:4" s="25" customFormat="1">
      <c r="D1394" s="66"/>
    </row>
    <row r="1395" spans="4:4" s="25" customFormat="1">
      <c r="D1395" s="66"/>
    </row>
    <row r="1396" spans="4:4" s="25" customFormat="1">
      <c r="D1396" s="66"/>
    </row>
    <row r="1397" spans="4:4" s="25" customFormat="1">
      <c r="D1397" s="66"/>
    </row>
    <row r="1398" spans="4:4" s="25" customFormat="1">
      <c r="D1398" s="66"/>
    </row>
    <row r="1399" spans="4:4" s="25" customFormat="1">
      <c r="D1399" s="66"/>
    </row>
    <row r="1400" spans="4:4" s="25" customFormat="1">
      <c r="D1400" s="66"/>
    </row>
    <row r="1401" spans="4:4" s="25" customFormat="1">
      <c r="D1401" s="66"/>
    </row>
    <row r="1402" spans="4:4" s="25" customFormat="1">
      <c r="D1402" s="66"/>
    </row>
    <row r="1403" spans="4:4" s="25" customFormat="1">
      <c r="D1403" s="66"/>
    </row>
    <row r="1404" spans="4:4" s="25" customFormat="1">
      <c r="D1404" s="66"/>
    </row>
    <row r="1405" spans="4:4" s="25" customFormat="1">
      <c r="D1405" s="66"/>
    </row>
    <row r="1406" spans="4:4" s="25" customFormat="1">
      <c r="D1406" s="66"/>
    </row>
    <row r="1407" spans="4:4" s="25" customFormat="1">
      <c r="D1407" s="66"/>
    </row>
    <row r="1408" spans="4:4" s="25" customFormat="1">
      <c r="D1408" s="66"/>
    </row>
    <row r="1409" spans="4:4" s="25" customFormat="1">
      <c r="D1409" s="66"/>
    </row>
    <row r="1410" spans="4:4" s="25" customFormat="1">
      <c r="D1410" s="66"/>
    </row>
    <row r="1411" spans="4:4" s="25" customFormat="1">
      <c r="D1411" s="66"/>
    </row>
    <row r="1412" spans="4:4" s="25" customFormat="1">
      <c r="D1412" s="66"/>
    </row>
    <row r="1413" spans="4:4" s="25" customFormat="1">
      <c r="D1413" s="66"/>
    </row>
    <row r="1414" spans="4:4" s="25" customFormat="1">
      <c r="D1414" s="66"/>
    </row>
    <row r="1415" spans="4:4" s="25" customFormat="1">
      <c r="D1415" s="66"/>
    </row>
    <row r="1416" spans="4:4" s="25" customFormat="1">
      <c r="D1416" s="66"/>
    </row>
    <row r="1417" spans="4:4" s="25" customFormat="1">
      <c r="D1417" s="66"/>
    </row>
    <row r="1418" spans="4:4" s="25" customFormat="1">
      <c r="D1418" s="66"/>
    </row>
    <row r="1419" spans="4:4" s="25" customFormat="1">
      <c r="D1419" s="66"/>
    </row>
    <row r="1420" spans="4:4" s="25" customFormat="1">
      <c r="D1420" s="66"/>
    </row>
    <row r="1421" spans="4:4" s="25" customFormat="1">
      <c r="D1421" s="66"/>
    </row>
    <row r="1422" spans="4:4" s="25" customFormat="1">
      <c r="D1422" s="66"/>
    </row>
    <row r="1423" spans="4:4" s="25" customFormat="1">
      <c r="D1423" s="66"/>
    </row>
    <row r="1424" spans="4:4" s="25" customFormat="1">
      <c r="D1424" s="66"/>
    </row>
    <row r="1425" spans="4:4" s="25" customFormat="1">
      <c r="D1425" s="66"/>
    </row>
    <row r="1426" spans="4:4" s="25" customFormat="1">
      <c r="D1426" s="66"/>
    </row>
    <row r="1427" spans="4:4" s="25" customFormat="1">
      <c r="D1427" s="66"/>
    </row>
    <row r="1428" spans="4:4" s="25" customFormat="1">
      <c r="D1428" s="66"/>
    </row>
    <row r="1429" spans="4:4" s="25" customFormat="1">
      <c r="D1429" s="66"/>
    </row>
    <row r="1430" spans="4:4" s="25" customFormat="1">
      <c r="D1430" s="66"/>
    </row>
    <row r="1431" spans="4:4" s="25" customFormat="1">
      <c r="D1431" s="66"/>
    </row>
    <row r="1432" spans="4:4" s="25" customFormat="1">
      <c r="D1432" s="66"/>
    </row>
    <row r="1433" spans="4:4" s="25" customFormat="1">
      <c r="D1433" s="66"/>
    </row>
    <row r="1434" spans="4:4" s="25" customFormat="1">
      <c r="D1434" s="66"/>
    </row>
    <row r="1435" spans="4:4" s="25" customFormat="1">
      <c r="D1435" s="66"/>
    </row>
    <row r="1436" spans="4:4" s="25" customFormat="1">
      <c r="D1436" s="66"/>
    </row>
    <row r="1437" spans="4:4" s="25" customFormat="1">
      <c r="D1437" s="66"/>
    </row>
    <row r="1438" spans="4:4" s="25" customFormat="1">
      <c r="D1438" s="66"/>
    </row>
    <row r="1439" spans="4:4" s="25" customFormat="1">
      <c r="D1439" s="66"/>
    </row>
    <row r="1440" spans="4:4" s="25" customFormat="1">
      <c r="D1440" s="66"/>
    </row>
    <row r="1441" spans="4:4" s="25" customFormat="1">
      <c r="D1441" s="66"/>
    </row>
    <row r="1442" spans="4:4" s="25" customFormat="1">
      <c r="D1442" s="66"/>
    </row>
    <row r="1443" spans="4:4" s="25" customFormat="1">
      <c r="D1443" s="66"/>
    </row>
    <row r="1444" spans="4:4" s="25" customFormat="1">
      <c r="D1444" s="66"/>
    </row>
    <row r="1445" spans="4:4" s="25" customFormat="1">
      <c r="D1445" s="66"/>
    </row>
    <row r="1446" spans="4:4" s="25" customFormat="1">
      <c r="D1446" s="66"/>
    </row>
    <row r="1447" spans="4:4" s="25" customFormat="1">
      <c r="D1447" s="66"/>
    </row>
    <row r="1448" spans="4:4" s="25" customFormat="1">
      <c r="D1448" s="66"/>
    </row>
    <row r="1449" spans="4:4" s="25" customFormat="1">
      <c r="D1449" s="66"/>
    </row>
    <row r="1450" spans="4:4" s="25" customFormat="1">
      <c r="D1450" s="66"/>
    </row>
    <row r="1451" spans="4:4" s="25" customFormat="1">
      <c r="D1451" s="66"/>
    </row>
    <row r="1452" spans="4:4" s="25" customFormat="1">
      <c r="D1452" s="66"/>
    </row>
    <row r="1453" spans="4:4" s="25" customFormat="1">
      <c r="D1453" s="66"/>
    </row>
    <row r="1454" spans="4:4" s="25" customFormat="1">
      <c r="D1454" s="66"/>
    </row>
    <row r="1455" spans="4:4" s="25" customFormat="1">
      <c r="D1455" s="66"/>
    </row>
    <row r="1456" spans="4:4" s="25" customFormat="1">
      <c r="D1456" s="66"/>
    </row>
    <row r="1457" spans="4:4" s="25" customFormat="1">
      <c r="D1457" s="66"/>
    </row>
    <row r="1458" spans="4:4" s="25" customFormat="1">
      <c r="D1458" s="66"/>
    </row>
    <row r="1459" spans="4:4" s="25" customFormat="1">
      <c r="D1459" s="66"/>
    </row>
    <row r="1460" spans="4:4" s="25" customFormat="1">
      <c r="D1460" s="66"/>
    </row>
    <row r="1461" spans="4:4" s="25" customFormat="1">
      <c r="D1461" s="66"/>
    </row>
    <row r="1462" spans="4:4" s="25" customFormat="1">
      <c r="D1462" s="66"/>
    </row>
    <row r="1463" spans="4:4" s="25" customFormat="1">
      <c r="D1463" s="66"/>
    </row>
    <row r="1464" spans="4:4" s="25" customFormat="1">
      <c r="D1464" s="66"/>
    </row>
    <row r="1465" spans="4:4" s="25" customFormat="1">
      <c r="D1465" s="66"/>
    </row>
    <row r="1466" spans="4:4" s="25" customFormat="1">
      <c r="D1466" s="66"/>
    </row>
    <row r="1467" spans="4:4" s="25" customFormat="1">
      <c r="D1467" s="66"/>
    </row>
    <row r="1468" spans="4:4" s="25" customFormat="1">
      <c r="D1468" s="66"/>
    </row>
    <row r="1469" spans="4:4" s="25" customFormat="1">
      <c r="D1469" s="66"/>
    </row>
    <row r="1470" spans="4:4" s="25" customFormat="1">
      <c r="D1470" s="66"/>
    </row>
    <row r="1471" spans="4:4" s="25" customFormat="1">
      <c r="D1471" s="66"/>
    </row>
    <row r="1472" spans="4:4" s="25" customFormat="1">
      <c r="D1472" s="66"/>
    </row>
    <row r="1473" spans="4:4" s="25" customFormat="1">
      <c r="D1473" s="66"/>
    </row>
    <row r="1474" spans="4:4" s="25" customFormat="1">
      <c r="D1474" s="66"/>
    </row>
    <row r="1475" spans="4:4" s="25" customFormat="1">
      <c r="D1475" s="66"/>
    </row>
    <row r="1476" spans="4:4" s="25" customFormat="1">
      <c r="D1476" s="66"/>
    </row>
    <row r="1477" spans="4:4" s="25" customFormat="1">
      <c r="D1477" s="66"/>
    </row>
    <row r="1478" spans="4:4" s="25" customFormat="1">
      <c r="D1478" s="66"/>
    </row>
    <row r="1479" spans="4:4" s="25" customFormat="1">
      <c r="D1479" s="66"/>
    </row>
    <row r="1480" spans="4:4" s="25" customFormat="1">
      <c r="D1480" s="66"/>
    </row>
    <row r="1481" spans="4:4" s="25" customFormat="1">
      <c r="D1481" s="66"/>
    </row>
    <row r="1482" spans="4:4" s="25" customFormat="1">
      <c r="D1482" s="66"/>
    </row>
    <row r="1483" spans="4:4" s="25" customFormat="1">
      <c r="D1483" s="66"/>
    </row>
    <row r="1484" spans="4:4" s="25" customFormat="1">
      <c r="D1484" s="66"/>
    </row>
    <row r="1485" spans="4:4" s="25" customFormat="1">
      <c r="D1485" s="66"/>
    </row>
    <row r="1486" spans="4:4" s="25" customFormat="1">
      <c r="D1486" s="66"/>
    </row>
    <row r="1487" spans="4:4" s="25" customFormat="1">
      <c r="D1487" s="66"/>
    </row>
    <row r="1488" spans="4:4" s="25" customFormat="1">
      <c r="D1488" s="66"/>
    </row>
    <row r="1489" spans="4:4" s="25" customFormat="1">
      <c r="D1489" s="66"/>
    </row>
    <row r="1490" spans="4:4" s="25" customFormat="1">
      <c r="D1490" s="66"/>
    </row>
    <row r="1491" spans="4:4" s="25" customFormat="1">
      <c r="D1491" s="66"/>
    </row>
    <row r="1492" spans="4:4" s="25" customFormat="1">
      <c r="D1492" s="66"/>
    </row>
    <row r="1493" spans="4:4" s="25" customFormat="1">
      <c r="D1493" s="66"/>
    </row>
    <row r="1494" spans="4:4" s="25" customFormat="1">
      <c r="D1494" s="66"/>
    </row>
    <row r="1495" spans="4:4" s="25" customFormat="1">
      <c r="D1495" s="66"/>
    </row>
    <row r="1496" spans="4:4" s="25" customFormat="1">
      <c r="D1496" s="66"/>
    </row>
    <row r="1497" spans="4:4" s="25" customFormat="1">
      <c r="D1497" s="66"/>
    </row>
    <row r="1498" spans="4:4" s="25" customFormat="1">
      <c r="D1498" s="66"/>
    </row>
    <row r="1499" spans="4:4" s="25" customFormat="1">
      <c r="D1499" s="66"/>
    </row>
    <row r="1500" spans="4:4" s="25" customFormat="1">
      <c r="D1500" s="66"/>
    </row>
    <row r="1501" spans="4:4" s="25" customFormat="1">
      <c r="D1501" s="66"/>
    </row>
    <row r="1502" spans="4:4" s="25" customFormat="1">
      <c r="D1502" s="66"/>
    </row>
    <row r="1503" spans="4:4" s="25" customFormat="1">
      <c r="D1503" s="66"/>
    </row>
    <row r="1504" spans="4:4" s="25" customFormat="1">
      <c r="D1504" s="66"/>
    </row>
    <row r="1505" spans="4:4" s="25" customFormat="1">
      <c r="D1505" s="66"/>
    </row>
    <row r="1506" spans="4:4" s="25" customFormat="1">
      <c r="D1506" s="66"/>
    </row>
    <row r="1507" spans="4:4" s="25" customFormat="1">
      <c r="D1507" s="66"/>
    </row>
    <row r="1508" spans="4:4" s="25" customFormat="1">
      <c r="D1508" s="66"/>
    </row>
    <row r="1509" spans="4:4" s="25" customFormat="1">
      <c r="D1509" s="66"/>
    </row>
    <row r="1510" spans="4:4" s="25" customFormat="1">
      <c r="D1510" s="66"/>
    </row>
    <row r="1511" spans="4:4" s="25" customFormat="1">
      <c r="D1511" s="66"/>
    </row>
    <row r="1512" spans="4:4" s="25" customFormat="1">
      <c r="D1512" s="66"/>
    </row>
    <row r="1513" spans="4:4" s="25" customFormat="1">
      <c r="D1513" s="66"/>
    </row>
    <row r="1514" spans="4:4" s="25" customFormat="1">
      <c r="D1514" s="66"/>
    </row>
    <row r="1515" spans="4:4" s="25" customFormat="1">
      <c r="D1515" s="66"/>
    </row>
    <row r="1516" spans="4:4" s="25" customFormat="1">
      <c r="D1516" s="66"/>
    </row>
    <row r="1517" spans="4:4" s="25" customFormat="1">
      <c r="D1517" s="66"/>
    </row>
    <row r="1518" spans="4:4" s="25" customFormat="1">
      <c r="D1518" s="66"/>
    </row>
    <row r="1519" spans="4:4" s="25" customFormat="1">
      <c r="D1519" s="66"/>
    </row>
    <row r="1520" spans="4:4" s="25" customFormat="1">
      <c r="D1520" s="66"/>
    </row>
    <row r="1521" spans="4:4" s="25" customFormat="1">
      <c r="D1521" s="66"/>
    </row>
    <row r="1522" spans="4:4" s="25" customFormat="1">
      <c r="D1522" s="66"/>
    </row>
    <row r="1523" spans="4:4" s="25" customFormat="1">
      <c r="D1523" s="66"/>
    </row>
    <row r="1524" spans="4:4" s="25" customFormat="1">
      <c r="D1524" s="66"/>
    </row>
    <row r="1525" spans="4:4" s="25" customFormat="1">
      <c r="D1525" s="66"/>
    </row>
    <row r="1526" spans="4:4" s="25" customFormat="1">
      <c r="D1526" s="66"/>
    </row>
    <row r="1527" spans="4:4" s="25" customFormat="1">
      <c r="D1527" s="66"/>
    </row>
    <row r="1528" spans="4:4" s="25" customFormat="1">
      <c r="D1528" s="66"/>
    </row>
    <row r="1529" spans="4:4" s="25" customFormat="1">
      <c r="D1529" s="66"/>
    </row>
    <row r="1530" spans="4:4" s="25" customFormat="1">
      <c r="D1530" s="66"/>
    </row>
    <row r="1531" spans="4:4" s="25" customFormat="1">
      <c r="D1531" s="66"/>
    </row>
    <row r="1532" spans="4:4" s="25" customFormat="1">
      <c r="D1532" s="66"/>
    </row>
    <row r="1533" spans="4:4" s="25" customFormat="1">
      <c r="D1533" s="66"/>
    </row>
    <row r="1534" spans="4:4" s="25" customFormat="1">
      <c r="D1534" s="66"/>
    </row>
    <row r="1535" spans="4:4" s="25" customFormat="1">
      <c r="D1535" s="66"/>
    </row>
    <row r="1536" spans="4:4" s="25" customFormat="1">
      <c r="D1536" s="66"/>
    </row>
    <row r="1537" spans="4:4" s="25" customFormat="1">
      <c r="D1537" s="66"/>
    </row>
    <row r="1538" spans="4:4" s="25" customFormat="1">
      <c r="D1538" s="66"/>
    </row>
    <row r="1539" spans="4:4" s="25" customFormat="1">
      <c r="D1539" s="66"/>
    </row>
    <row r="1540" spans="4:4" s="25" customFormat="1">
      <c r="D1540" s="66"/>
    </row>
    <row r="1541" spans="4:4" s="25" customFormat="1">
      <c r="D1541" s="66"/>
    </row>
    <row r="1542" spans="4:4" s="25" customFormat="1">
      <c r="D1542" s="66"/>
    </row>
    <row r="1543" spans="4:4" s="25" customFormat="1">
      <c r="D1543" s="66"/>
    </row>
    <row r="1544" spans="4:4" s="25" customFormat="1">
      <c r="D1544" s="66"/>
    </row>
    <row r="1545" spans="4:4" s="25" customFormat="1">
      <c r="D1545" s="66"/>
    </row>
    <row r="1546" spans="4:4" s="25" customFormat="1">
      <c r="D1546" s="66"/>
    </row>
    <row r="1547" spans="4:4" s="25" customFormat="1">
      <c r="D1547" s="66"/>
    </row>
    <row r="1548" spans="4:4" s="25" customFormat="1">
      <c r="D1548" s="66"/>
    </row>
    <row r="1549" spans="4:4" s="25" customFormat="1">
      <c r="D1549" s="66"/>
    </row>
    <row r="1550" spans="4:4" s="25" customFormat="1">
      <c r="D1550" s="66"/>
    </row>
    <row r="1551" spans="4:4" s="25" customFormat="1">
      <c r="D1551" s="66"/>
    </row>
    <row r="1552" spans="4:4" s="25" customFormat="1">
      <c r="D1552" s="66"/>
    </row>
    <row r="1553" spans="4:4" s="25" customFormat="1">
      <c r="D1553" s="66"/>
    </row>
    <row r="1554" spans="4:4" s="25" customFormat="1">
      <c r="D1554" s="66"/>
    </row>
    <row r="1555" spans="4:4" s="25" customFormat="1">
      <c r="D1555" s="66"/>
    </row>
    <row r="1556" spans="4:4" s="25" customFormat="1">
      <c r="D1556" s="66"/>
    </row>
    <row r="1557" spans="4:4" s="25" customFormat="1">
      <c r="D1557" s="66"/>
    </row>
    <row r="1558" spans="4:4" s="25" customFormat="1">
      <c r="D1558" s="66"/>
    </row>
    <row r="1559" spans="4:4" s="25" customFormat="1">
      <c r="D1559" s="66"/>
    </row>
    <row r="1560" spans="4:4" s="25" customFormat="1">
      <c r="D1560" s="66"/>
    </row>
    <row r="1561" spans="4:4" s="25" customFormat="1">
      <c r="D1561" s="66"/>
    </row>
    <row r="1562" spans="4:4" s="25" customFormat="1">
      <c r="D1562" s="66"/>
    </row>
    <row r="1563" spans="4:4" s="25" customFormat="1">
      <c r="D1563" s="66"/>
    </row>
    <row r="1564" spans="4:4" s="25" customFormat="1">
      <c r="D1564" s="66"/>
    </row>
    <row r="1565" spans="4:4" s="25" customFormat="1">
      <c r="D1565" s="66"/>
    </row>
    <row r="1566" spans="4:4" s="25" customFormat="1">
      <c r="D1566" s="66"/>
    </row>
    <row r="1567" spans="4:4" s="25" customFormat="1">
      <c r="D1567" s="66"/>
    </row>
    <row r="1568" spans="4:4" s="25" customFormat="1">
      <c r="D1568" s="66"/>
    </row>
    <row r="1569" spans="4:4" s="25" customFormat="1">
      <c r="D1569" s="66"/>
    </row>
    <row r="1570" spans="4:4" s="25" customFormat="1">
      <c r="D1570" s="66"/>
    </row>
    <row r="1571" spans="4:4" s="25" customFormat="1">
      <c r="D1571" s="66"/>
    </row>
    <row r="1572" spans="4:4" s="25" customFormat="1">
      <c r="D1572" s="66"/>
    </row>
    <row r="1573" spans="4:4" s="25" customFormat="1">
      <c r="D1573" s="66"/>
    </row>
    <row r="1574" spans="4:4" s="25" customFormat="1">
      <c r="D1574" s="66"/>
    </row>
    <row r="1575" spans="4:4" s="25" customFormat="1">
      <c r="D1575" s="66"/>
    </row>
    <row r="1576" spans="4:4" s="25" customFormat="1">
      <c r="D1576" s="66"/>
    </row>
    <row r="1577" spans="4:4" s="25" customFormat="1">
      <c r="D1577" s="66"/>
    </row>
    <row r="1578" spans="4:4" s="25" customFormat="1">
      <c r="D1578" s="66"/>
    </row>
    <row r="1579" spans="4:4" s="25" customFormat="1">
      <c r="D1579" s="66"/>
    </row>
    <row r="1580" spans="4:4" s="25" customFormat="1">
      <c r="D1580" s="66"/>
    </row>
    <row r="1581" spans="4:4" s="25" customFormat="1">
      <c r="D1581" s="66"/>
    </row>
    <row r="1582" spans="4:4" s="25" customFormat="1">
      <c r="D1582" s="66"/>
    </row>
    <row r="1583" spans="4:4" s="25" customFormat="1">
      <c r="D1583" s="66"/>
    </row>
    <row r="1584" spans="4:4" s="25" customFormat="1">
      <c r="D1584" s="66"/>
    </row>
    <row r="1585" spans="4:4" s="25" customFormat="1">
      <c r="D1585" s="66"/>
    </row>
    <row r="1586" spans="4:4" s="25" customFormat="1">
      <c r="D1586" s="66"/>
    </row>
    <row r="1587" spans="4:4" s="25" customFormat="1">
      <c r="D1587" s="66"/>
    </row>
    <row r="1588" spans="4:4" s="25" customFormat="1">
      <c r="D1588" s="66"/>
    </row>
    <row r="1589" spans="4:4" s="25" customFormat="1">
      <c r="D1589" s="66"/>
    </row>
    <row r="1590" spans="4:4" s="25" customFormat="1">
      <c r="D1590" s="66"/>
    </row>
    <row r="1591" spans="4:4" s="25" customFormat="1">
      <c r="D1591" s="66"/>
    </row>
    <row r="1592" spans="4:4" s="25" customFormat="1">
      <c r="D1592" s="66"/>
    </row>
    <row r="1593" spans="4:4" s="25" customFormat="1">
      <c r="D1593" s="66"/>
    </row>
    <row r="1594" spans="4:4" s="25" customFormat="1">
      <c r="D1594" s="66"/>
    </row>
    <row r="1595" spans="4:4" s="25" customFormat="1">
      <c r="D1595" s="66"/>
    </row>
    <row r="1596" spans="4:4" s="25" customFormat="1">
      <c r="D1596" s="66"/>
    </row>
    <row r="1597" spans="4:4" s="25" customFormat="1">
      <c r="D1597" s="66"/>
    </row>
    <row r="1598" spans="4:4" s="25" customFormat="1">
      <c r="D1598" s="66"/>
    </row>
    <row r="1599" spans="4:4" s="25" customFormat="1">
      <c r="D1599" s="66"/>
    </row>
    <row r="1600" spans="4:4" s="25" customFormat="1">
      <c r="D1600" s="66"/>
    </row>
    <row r="1601" spans="4:4" s="25" customFormat="1">
      <c r="D1601" s="66"/>
    </row>
    <row r="1602" spans="4:4" s="25" customFormat="1">
      <c r="D1602" s="66"/>
    </row>
    <row r="1603" spans="4:4" s="25" customFormat="1">
      <c r="D1603" s="66"/>
    </row>
    <row r="1604" spans="4:4" s="25" customFormat="1">
      <c r="D1604" s="66"/>
    </row>
    <row r="1605" spans="4:4" s="25" customFormat="1">
      <c r="D1605" s="66"/>
    </row>
    <row r="1606" spans="4:4" s="25" customFormat="1">
      <c r="D1606" s="66"/>
    </row>
    <row r="1607" spans="4:4" s="25" customFormat="1">
      <c r="D1607" s="66"/>
    </row>
    <row r="1608" spans="4:4" s="25" customFormat="1">
      <c r="D1608" s="66"/>
    </row>
    <row r="1609" spans="4:4" s="25" customFormat="1">
      <c r="D1609" s="66"/>
    </row>
    <row r="1610" spans="4:4" s="25" customFormat="1">
      <c r="D1610" s="66"/>
    </row>
    <row r="1611" spans="4:4" s="25" customFormat="1">
      <c r="D1611" s="66"/>
    </row>
    <row r="1612" spans="4:4" s="25" customFormat="1">
      <c r="D1612" s="66"/>
    </row>
    <row r="1613" spans="4:4" s="25" customFormat="1">
      <c r="D1613" s="66"/>
    </row>
    <row r="1614" spans="4:4" s="25" customFormat="1">
      <c r="D1614" s="66"/>
    </row>
    <row r="1615" spans="4:4" s="25" customFormat="1">
      <c r="D1615" s="66"/>
    </row>
    <row r="1616" spans="4:4" s="25" customFormat="1">
      <c r="D1616" s="66"/>
    </row>
    <row r="1617" spans="4:4" s="25" customFormat="1">
      <c r="D1617" s="66"/>
    </row>
    <row r="1618" spans="4:4" s="25" customFormat="1">
      <c r="D1618" s="66"/>
    </row>
    <row r="1619" spans="4:4" s="25" customFormat="1">
      <c r="D1619" s="66"/>
    </row>
    <row r="1620" spans="4:4" s="25" customFormat="1">
      <c r="D1620" s="66"/>
    </row>
    <row r="1621" spans="4:4" s="25" customFormat="1">
      <c r="D1621" s="66"/>
    </row>
    <row r="1622" spans="4:4" s="25" customFormat="1">
      <c r="D1622" s="66"/>
    </row>
    <row r="1623" spans="4:4" s="25" customFormat="1">
      <c r="D1623" s="66"/>
    </row>
    <row r="1624" spans="4:4" s="25" customFormat="1">
      <c r="D1624" s="66"/>
    </row>
    <row r="1625" spans="4:4" s="25" customFormat="1">
      <c r="D1625" s="66"/>
    </row>
    <row r="1626" spans="4:4" s="25" customFormat="1">
      <c r="D1626" s="66"/>
    </row>
    <row r="1627" spans="4:4" s="25" customFormat="1">
      <c r="D1627" s="66"/>
    </row>
    <row r="1628" spans="4:4" s="25" customFormat="1">
      <c r="D1628" s="66"/>
    </row>
    <row r="1629" spans="4:4" s="25" customFormat="1">
      <c r="D1629" s="66"/>
    </row>
    <row r="1630" spans="4:4" s="25" customFormat="1">
      <c r="D1630" s="66"/>
    </row>
    <row r="1631" spans="4:4" s="25" customFormat="1">
      <c r="D1631" s="66"/>
    </row>
    <row r="1632" spans="4:4" s="25" customFormat="1">
      <c r="D1632" s="66"/>
    </row>
    <row r="1633" spans="4:4" s="25" customFormat="1">
      <c r="D1633" s="66"/>
    </row>
    <row r="1634" spans="4:4" s="25" customFormat="1">
      <c r="D1634" s="66"/>
    </row>
  </sheetData>
  <mergeCells count="1">
    <mergeCell ref="B15:E15"/>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Overview</vt:lpstr>
      <vt:lpstr>Year 1</vt:lpstr>
      <vt:lpstr>Year 2</vt:lpstr>
      <vt:lpstr>Year 3</vt:lpstr>
      <vt:lpstr>Year 4</vt:lpstr>
      <vt:lpstr>Additional Req. &amp; Options</vt:lpstr>
      <vt:lpstr>'Additional Req. &amp; Options'!Print_Area</vt:lpstr>
      <vt:lpstr>Overview!Print_Area</vt:lpstr>
      <vt:lpstr>'Year 1'!Print_Area</vt:lpstr>
      <vt:lpstr>'Year 2'!Print_Area</vt:lpstr>
      <vt:lpstr>'Year 3'!Print_Area</vt:lpstr>
      <vt:lpstr>'Year 4'!Print_Area</vt:lpstr>
    </vt:vector>
  </TitlesOfParts>
  <Company>Queen's School of Business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QSBWZ</dc:creator>
  <cp:lastModifiedBy>Windows User</cp:lastModifiedBy>
  <cp:lastPrinted>2011-09-02T14:22:14Z</cp:lastPrinted>
  <dcterms:created xsi:type="dcterms:W3CDTF">2011-08-15T19:50:56Z</dcterms:created>
  <dcterms:modified xsi:type="dcterms:W3CDTF">2012-08-03T14:48:16Z</dcterms:modified>
</cp:coreProperties>
</file>