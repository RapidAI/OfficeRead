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5600" windowHeight="11280"/>
  </bookViews>
  <sheets>
    <sheet name="90-10 2012  FAILURES" sheetId="1" r:id="rId1"/>
  </sheets>
  <definedNames>
    <definedName name="_xlnm.Print_Area" localSheetId="0">'90-10 2012  FAILURES'!$A:$H</definedName>
    <definedName name="_xlnm.Print_Titles" localSheetId="0">'90-10 2012  FAILURES'!#REF!</definedName>
  </definedNames>
  <calcPr calcId="145621"/>
</workbook>
</file>

<file path=xl/calcChain.xml><?xml version="1.0" encoding="utf-8"?>
<calcChain xmlns="http://schemas.openxmlformats.org/spreadsheetml/2006/main">
  <c r="G7" i="1" l="1"/>
  <c r="G8" i="1"/>
  <c r="G9" i="1" l="1"/>
  <c r="G10" i="1"/>
  <c r="G11" i="1"/>
  <c r="G15" i="1"/>
  <c r="G12" i="1"/>
  <c r="G13" i="1"/>
  <c r="G14" i="1"/>
  <c r="G17" i="1"/>
  <c r="G18" i="1"/>
  <c r="G19" i="1"/>
  <c r="G16" i="1"/>
  <c r="G20" i="1"/>
  <c r="G21" i="1"/>
</calcChain>
</file>

<file path=xl/sharedStrings.xml><?xml version="1.0" encoding="utf-8"?>
<sst xmlns="http://schemas.openxmlformats.org/spreadsheetml/2006/main" count="73" uniqueCount="64">
  <si>
    <t>OPE ID</t>
  </si>
  <si>
    <t>Institution Name</t>
  </si>
  <si>
    <t>City</t>
  </si>
  <si>
    <t>State</t>
  </si>
  <si>
    <t>CA</t>
  </si>
  <si>
    <t>FL</t>
  </si>
  <si>
    <t>OH</t>
  </si>
  <si>
    <t>Los Angeles</t>
  </si>
  <si>
    <t>Lincoln College of Technology</t>
  </si>
  <si>
    <t>NY</t>
  </si>
  <si>
    <t>Dayton</t>
  </si>
  <si>
    <t>Hialeah</t>
  </si>
  <si>
    <t>Hempstead</t>
  </si>
  <si>
    <t>Daymar College</t>
  </si>
  <si>
    <t>03911300</t>
  </si>
  <si>
    <t>Total International Career Institute</t>
  </si>
  <si>
    <t>01212800</t>
  </si>
  <si>
    <t>Suburban Technical School</t>
  </si>
  <si>
    <t>02345800</t>
  </si>
  <si>
    <t>Montebello Beauty College</t>
  </si>
  <si>
    <t>Montebello</t>
  </si>
  <si>
    <t>03150500</t>
  </si>
  <si>
    <t>A - Technical College</t>
  </si>
  <si>
    <t>02056800</t>
  </si>
  <si>
    <t>Chillicothe</t>
  </si>
  <si>
    <t>03698400</t>
  </si>
  <si>
    <t>California College of Vocational Careers</t>
  </si>
  <si>
    <t>Bakersfield</t>
  </si>
  <si>
    <t>03007900</t>
  </si>
  <si>
    <t>Gallipolis Career College</t>
  </si>
  <si>
    <t>Gallipolis</t>
  </si>
  <si>
    <t>03552300</t>
  </si>
  <si>
    <t>Leston College</t>
  </si>
  <si>
    <t>Bayamon</t>
  </si>
  <si>
    <t>PR</t>
  </si>
  <si>
    <t>03441400</t>
  </si>
  <si>
    <t>Newbridge College - San Diego East</t>
  </si>
  <si>
    <t>El Cajon</t>
  </si>
  <si>
    <t>04126500</t>
  </si>
  <si>
    <t>Coast Career Institute</t>
  </si>
  <si>
    <t>02272400</t>
  </si>
  <si>
    <t>Eastern College of Health Vocations</t>
  </si>
  <si>
    <t>Little Rock</t>
  </si>
  <si>
    <t>AR</t>
  </si>
  <si>
    <t>04131600</t>
  </si>
  <si>
    <t>Liberty Technical College</t>
  </si>
  <si>
    <t>Cayey</t>
  </si>
  <si>
    <t xml:space="preserve">Attestation percentage </t>
  </si>
  <si>
    <t>Inglewood</t>
  </si>
  <si>
    <t>Chicago</t>
  </si>
  <si>
    <t>IL</t>
  </si>
  <si>
    <t xml:space="preserve">Cash from other sources </t>
  </si>
  <si>
    <t>01093000</t>
  </si>
  <si>
    <t>Percentage cash from other Funds</t>
  </si>
  <si>
    <t>Fiscal Year Ending Date</t>
  </si>
  <si>
    <t>Cash From Title IV Funds</t>
  </si>
  <si>
    <t>04127800</t>
  </si>
  <si>
    <t>02337800</t>
  </si>
  <si>
    <t>U.S. Department of Education</t>
  </si>
  <si>
    <t>Proprietary School 90/10 Revenue Percentages from Financial Statements</t>
  </si>
  <si>
    <r>
      <t xml:space="preserve">with Fiscal Year Ending Dates Between </t>
    </r>
    <r>
      <rPr>
        <b/>
        <u/>
        <sz val="14"/>
        <color indexed="8"/>
        <rFont val="Calibri"/>
        <family val="2"/>
      </rPr>
      <t>7/1/2010 and 6/30/2011</t>
    </r>
  </si>
  <si>
    <t>for Schools Not Meeting the 90/10 rule   source: eZ-Audit as of 6/11/2012      *source: eZ-Audit as of 7/27/2012</t>
  </si>
  <si>
    <t>*Healthy Hair Academy</t>
  </si>
  <si>
    <t>*College Of Office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</si>
</sst>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mm/dd/yyyy"/>
    <numFmt numFmtId="165" formatCode="&quot;$&quot;#,##0"/>
    <numFmt numFmtId="166" formatCode="_(&quot;$&quot;* #,##0_);_(&quot;$&quot;* \(#,##0\);_(&quot;$&quot;* &quot;-&quot;??_);_(@_)"/>
  </numFmts>
  <fonts count="1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indexed="8"/>
      <name val="Calibri"/>
      <family val="2"/>
    </font>
    <font>
      <b/>
      <u/>
      <sz val="14"/>
      <color indexed="8"/>
      <name val="Calibri"/>
      <family val="2"/>
    </font>
    <font>
      <b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3" borderId="0"/>
    <xf numFmtId="0" fontId="5" fillId="3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 applyProtection="1">
      <alignment horizontal="center" vertical="center" wrapText="1"/>
    </xf>
    <xf numFmtId="165" fontId="1" fillId="2" borderId="1" xfId="0" applyNumberFormat="1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right" vertical="center" wrapText="1"/>
    </xf>
    <xf numFmtId="0" fontId="0" fillId="5" borderId="0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4" fillId="0" borderId="0" xfId="0" applyFont="1" applyAlignment="1">
      <alignment wrapText="1"/>
    </xf>
    <xf numFmtId="166" fontId="3" fillId="4" borderId="1" xfId="3" applyNumberFormat="1" applyFont="1" applyFill="1" applyBorder="1" applyAlignment="1" applyProtection="1">
      <alignment horizontal="right" vertical="center" wrapText="1"/>
    </xf>
    <xf numFmtId="0" fontId="6" fillId="0" borderId="1" xfId="2" applyFont="1" applyFill="1" applyBorder="1" applyAlignment="1">
      <alignment vertical="top" wrapText="1"/>
    </xf>
    <xf numFmtId="14" fontId="6" fillId="0" borderId="1" xfId="2" applyNumberFormat="1" applyFont="1" applyFill="1" applyBorder="1" applyAlignment="1">
      <alignment horizontal="center" vertical="center" wrapText="1"/>
    </xf>
    <xf numFmtId="166" fontId="6" fillId="0" borderId="1" xfId="3" applyNumberFormat="1" applyFont="1" applyFill="1" applyBorder="1" applyAlignment="1">
      <alignment horizontal="right" vertical="top" wrapText="1"/>
    </xf>
    <xf numFmtId="166" fontId="3" fillId="0" borderId="1" xfId="3" applyNumberFormat="1" applyFont="1" applyFill="1" applyBorder="1" applyAlignment="1" applyProtection="1">
      <alignment horizontal="right" vertical="center" wrapText="1"/>
    </xf>
    <xf numFmtId="4" fontId="7" fillId="0" borderId="1" xfId="2" applyNumberFormat="1" applyFont="1" applyFill="1" applyBorder="1" applyAlignment="1">
      <alignment horizontal="right" vertical="top" wrapText="1"/>
    </xf>
    <xf numFmtId="0" fontId="0" fillId="0" borderId="1" xfId="0" applyFill="1" applyBorder="1" applyAlignment="1">
      <alignment wrapText="1"/>
    </xf>
    <xf numFmtId="0" fontId="3" fillId="0" borderId="1" xfId="0" applyFont="1" applyFill="1" applyBorder="1" applyAlignment="1" applyProtection="1">
      <alignment vertical="center" wrapText="1"/>
    </xf>
    <xf numFmtId="164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right" vertical="center" wrapText="1"/>
    </xf>
    <xf numFmtId="0" fontId="1" fillId="2" borderId="1" xfId="0" applyFont="1" applyFill="1" applyBorder="1" applyAlignment="1" applyProtection="1">
      <alignment vertical="center" wrapText="1"/>
    </xf>
    <xf numFmtId="49" fontId="3" fillId="4" borderId="1" xfId="0" applyNumberFormat="1" applyFont="1" applyFill="1" applyBorder="1" applyAlignment="1" applyProtection="1">
      <alignment vertical="center" wrapText="1"/>
    </xf>
    <xf numFmtId="49" fontId="3" fillId="0" borderId="1" xfId="0" applyNumberFormat="1" applyFont="1" applyFill="1" applyBorder="1" applyAlignment="1" applyProtection="1">
      <alignment vertical="center" wrapText="1"/>
    </xf>
    <xf numFmtId="0" fontId="6" fillId="0" borderId="1" xfId="2" quotePrefix="1" applyFont="1" applyFill="1" applyBorder="1" applyAlignment="1">
      <alignment horizontal="left" vertical="top" wrapText="1"/>
    </xf>
    <xf numFmtId="0" fontId="8" fillId="0" borderId="0" xfId="0" applyFont="1"/>
    <xf numFmtId="0" fontId="0" fillId="0" borderId="0" xfId="0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1" fillId="7" borderId="8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</cellXfs>
  <cellStyles count="4">
    <cellStyle name="Currency" xfId="3" builtinId="4"/>
    <cellStyle name="Normal" xfId="0" builtinId="0"/>
    <cellStyle name="Normal 2" xfId="1"/>
    <cellStyle name="Normal_Schools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tabSelected="1" zoomScaleNormal="100" workbookViewId="0">
      <selection activeCell="B18" sqref="B18"/>
    </sheetView>
  </sheetViews>
  <sheetFormatPr defaultColWidth="48.42578125" defaultRowHeight="15" x14ac:dyDescent="0.25"/>
  <cols>
    <col min="1" max="1" width="11.5703125" style="1" bestFit="1" customWidth="1"/>
    <col min="2" max="2" width="33.140625" style="1" customWidth="1"/>
    <col min="3" max="3" width="17.5703125" style="1" bestFit="1" customWidth="1"/>
    <col min="4" max="4" width="10" style="1" bestFit="1" customWidth="1"/>
    <col min="5" max="5" width="13.28515625" style="1" bestFit="1" customWidth="1"/>
    <col min="6" max="7" width="15.140625" style="1" customWidth="1"/>
    <col min="8" max="8" width="13.5703125" style="1" customWidth="1"/>
    <col min="9" max="9" width="12.42578125" style="1" customWidth="1"/>
    <col min="10" max="10" width="18.140625" style="1" customWidth="1"/>
    <col min="11" max="11" width="86.85546875" style="1" hidden="1" customWidth="1"/>
    <col min="12" max="16384" width="48.42578125" style="1"/>
  </cols>
  <sheetData>
    <row r="1" spans="1:9" ht="21" x14ac:dyDescent="0.35">
      <c r="A1"/>
      <c r="B1"/>
      <c r="C1" s="26" t="s">
        <v>58</v>
      </c>
      <c r="D1"/>
      <c r="E1"/>
      <c r="F1"/>
      <c r="G1"/>
      <c r="H1" s="27"/>
      <c r="I1" s="27"/>
    </row>
    <row r="2" spans="1:9" s="7" customFormat="1" ht="18.75" x14ac:dyDescent="0.3">
      <c r="A2" s="28" t="s">
        <v>59</v>
      </c>
      <c r="B2" s="29"/>
      <c r="C2" s="29"/>
      <c r="D2" s="29"/>
      <c r="E2" s="29"/>
      <c r="F2" s="29"/>
      <c r="G2" s="29"/>
      <c r="H2" s="29"/>
      <c r="I2" s="30"/>
    </row>
    <row r="3" spans="1:9" s="7" customFormat="1" ht="18.75" x14ac:dyDescent="0.3">
      <c r="A3" s="31" t="s">
        <v>60</v>
      </c>
      <c r="B3" s="32"/>
      <c r="C3" s="32"/>
      <c r="D3" s="32"/>
      <c r="E3" s="32"/>
      <c r="F3" s="32"/>
      <c r="G3" s="32"/>
      <c r="H3" s="32"/>
      <c r="I3" s="33"/>
    </row>
    <row r="4" spans="1:9" s="8" customFormat="1" x14ac:dyDescent="0.25">
      <c r="A4" s="34" t="s">
        <v>61</v>
      </c>
      <c r="B4" s="35"/>
      <c r="C4" s="35"/>
      <c r="D4" s="35"/>
      <c r="E4" s="35"/>
      <c r="F4" s="35"/>
      <c r="G4" s="35"/>
      <c r="H4" s="35"/>
      <c r="I4" s="36"/>
    </row>
    <row r="5" spans="1:9" s="7" customFormat="1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s="7" customFormat="1" ht="38.25" x14ac:dyDescent="0.25">
      <c r="A6" s="22" t="s">
        <v>0</v>
      </c>
      <c r="B6" s="2" t="s">
        <v>1</v>
      </c>
      <c r="C6" s="2" t="s">
        <v>2</v>
      </c>
      <c r="D6" s="2" t="s">
        <v>3</v>
      </c>
      <c r="E6" s="2" t="s">
        <v>54</v>
      </c>
      <c r="F6" s="2" t="s">
        <v>55</v>
      </c>
      <c r="G6" s="2" t="s">
        <v>51</v>
      </c>
      <c r="H6" s="2" t="s">
        <v>47</v>
      </c>
      <c r="I6" s="3" t="s">
        <v>53</v>
      </c>
    </row>
    <row r="7" spans="1:9" s="7" customFormat="1" x14ac:dyDescent="0.25">
      <c r="A7" s="23" t="s">
        <v>14</v>
      </c>
      <c r="B7" s="4" t="s">
        <v>15</v>
      </c>
      <c r="C7" s="4" t="s">
        <v>11</v>
      </c>
      <c r="D7" s="4" t="s">
        <v>5</v>
      </c>
      <c r="E7" s="5">
        <v>40543</v>
      </c>
      <c r="F7" s="12">
        <v>1415829</v>
      </c>
      <c r="G7" s="12">
        <f t="shared" ref="G7:G21" si="0">SUM(F7/H7%*I7%)</f>
        <v>45294.83900928792</v>
      </c>
      <c r="H7" s="6">
        <v>96.9</v>
      </c>
      <c r="I7" s="9">
        <v>3.1</v>
      </c>
    </row>
    <row r="8" spans="1:9" s="7" customFormat="1" x14ac:dyDescent="0.25">
      <c r="A8" s="23" t="s">
        <v>16</v>
      </c>
      <c r="B8" s="4" t="s">
        <v>8</v>
      </c>
      <c r="C8" s="4" t="s">
        <v>10</v>
      </c>
      <c r="D8" s="4" t="s">
        <v>6</v>
      </c>
      <c r="E8" s="5">
        <v>40543</v>
      </c>
      <c r="F8" s="12">
        <v>90402635</v>
      </c>
      <c r="G8" s="12">
        <f t="shared" si="0"/>
        <v>2911397.8241123045</v>
      </c>
      <c r="H8" s="6">
        <v>96.88</v>
      </c>
      <c r="I8" s="9">
        <v>3.12</v>
      </c>
    </row>
    <row r="9" spans="1:9" s="8" customFormat="1" x14ac:dyDescent="0.25">
      <c r="A9" s="23" t="s">
        <v>44</v>
      </c>
      <c r="B9" s="4" t="s">
        <v>45</v>
      </c>
      <c r="C9" s="4" t="s">
        <v>46</v>
      </c>
      <c r="D9" s="4" t="s">
        <v>34</v>
      </c>
      <c r="E9" s="5">
        <v>40724</v>
      </c>
      <c r="F9" s="12">
        <v>871186</v>
      </c>
      <c r="G9" s="12">
        <f t="shared" si="0"/>
        <v>37814.417362270447</v>
      </c>
      <c r="H9" s="6">
        <v>95.84</v>
      </c>
      <c r="I9" s="9">
        <v>4.16</v>
      </c>
    </row>
    <row r="10" spans="1:9" s="8" customFormat="1" x14ac:dyDescent="0.25">
      <c r="A10" s="23" t="s">
        <v>40</v>
      </c>
      <c r="B10" s="4" t="s">
        <v>41</v>
      </c>
      <c r="C10" s="4" t="s">
        <v>42</v>
      </c>
      <c r="D10" s="4" t="s">
        <v>43</v>
      </c>
      <c r="E10" s="5">
        <v>40724</v>
      </c>
      <c r="F10" s="12">
        <v>4613368</v>
      </c>
      <c r="G10" s="12">
        <f t="shared" si="0"/>
        <v>231080.17809513802</v>
      </c>
      <c r="H10" s="6">
        <v>95.23</v>
      </c>
      <c r="I10" s="9">
        <v>4.7699999999999996</v>
      </c>
    </row>
    <row r="11" spans="1:9" s="8" customFormat="1" x14ac:dyDescent="0.25">
      <c r="A11" s="23" t="s">
        <v>38</v>
      </c>
      <c r="B11" s="4" t="s">
        <v>39</v>
      </c>
      <c r="C11" s="4" t="s">
        <v>7</v>
      </c>
      <c r="D11" s="4" t="s">
        <v>4</v>
      </c>
      <c r="E11" s="5">
        <v>40543</v>
      </c>
      <c r="F11" s="12">
        <v>4108258</v>
      </c>
      <c r="G11" s="12">
        <f t="shared" si="0"/>
        <v>229923.62618796196</v>
      </c>
      <c r="H11" s="6">
        <v>94.7</v>
      </c>
      <c r="I11" s="9">
        <v>5.3</v>
      </c>
    </row>
    <row r="12" spans="1:9" s="7" customFormat="1" x14ac:dyDescent="0.25">
      <c r="A12" s="24" t="s">
        <v>52</v>
      </c>
      <c r="B12" s="19" t="s">
        <v>17</v>
      </c>
      <c r="C12" s="19" t="s">
        <v>12</v>
      </c>
      <c r="D12" s="19" t="s">
        <v>9</v>
      </c>
      <c r="E12" s="20">
        <v>40543</v>
      </c>
      <c r="F12" s="16">
        <v>8006079</v>
      </c>
      <c r="G12" s="16">
        <f t="shared" si="0"/>
        <v>542857.46556326735</v>
      </c>
      <c r="H12" s="21">
        <v>93.65</v>
      </c>
      <c r="I12" s="18">
        <v>6.35</v>
      </c>
    </row>
    <row r="13" spans="1:9" s="7" customFormat="1" x14ac:dyDescent="0.25">
      <c r="A13" s="23" t="s">
        <v>18</v>
      </c>
      <c r="B13" s="4" t="s">
        <v>19</v>
      </c>
      <c r="C13" s="4" t="s">
        <v>20</v>
      </c>
      <c r="D13" s="4" t="s">
        <v>4</v>
      </c>
      <c r="E13" s="5">
        <v>40543</v>
      </c>
      <c r="F13" s="12">
        <v>862828</v>
      </c>
      <c r="G13" s="12">
        <f t="shared" si="0"/>
        <v>59292.337715079615</v>
      </c>
      <c r="H13" s="6">
        <v>93.57</v>
      </c>
      <c r="I13" s="9">
        <v>6.43</v>
      </c>
    </row>
    <row r="14" spans="1:9" s="7" customFormat="1" x14ac:dyDescent="0.25">
      <c r="A14" s="23" t="s">
        <v>21</v>
      </c>
      <c r="B14" s="4" t="s">
        <v>22</v>
      </c>
      <c r="C14" s="4" t="s">
        <v>7</v>
      </c>
      <c r="D14" s="4" t="s">
        <v>4</v>
      </c>
      <c r="E14" s="5">
        <v>40543</v>
      </c>
      <c r="F14" s="12">
        <v>515556</v>
      </c>
      <c r="G14" s="12">
        <f t="shared" si="0"/>
        <v>35605.000641436818</v>
      </c>
      <c r="H14" s="6">
        <v>93.54</v>
      </c>
      <c r="I14" s="9">
        <v>6.46</v>
      </c>
    </row>
    <row r="15" spans="1:9" x14ac:dyDescent="0.25">
      <c r="A15" s="25" t="s">
        <v>56</v>
      </c>
      <c r="B15" s="13" t="s">
        <v>62</v>
      </c>
      <c r="C15" s="13" t="s">
        <v>48</v>
      </c>
      <c r="D15" s="13" t="s">
        <v>4</v>
      </c>
      <c r="E15" s="14">
        <v>40543</v>
      </c>
      <c r="F15" s="15">
        <v>1220205</v>
      </c>
      <c r="G15" s="16">
        <f t="shared" si="0"/>
        <v>101793.91657638138</v>
      </c>
      <c r="H15" s="17">
        <v>92.3</v>
      </c>
      <c r="I15" s="18">
        <v>7.7</v>
      </c>
    </row>
    <row r="16" spans="1:9" x14ac:dyDescent="0.25">
      <c r="A16" s="25" t="s">
        <v>57</v>
      </c>
      <c r="B16" s="13" t="s">
        <v>63</v>
      </c>
      <c r="C16" s="13" t="s">
        <v>49</v>
      </c>
      <c r="D16" s="13" t="s">
        <v>50</v>
      </c>
      <c r="E16" s="14">
        <v>40724</v>
      </c>
      <c r="F16" s="15">
        <v>5754631</v>
      </c>
      <c r="G16" s="16">
        <f t="shared" si="0"/>
        <v>503123.45846020005</v>
      </c>
      <c r="H16" s="17">
        <v>91.96</v>
      </c>
      <c r="I16" s="18">
        <v>8.0399999999999991</v>
      </c>
    </row>
    <row r="17" spans="1:9" x14ac:dyDescent="0.25">
      <c r="A17" s="23" t="s">
        <v>23</v>
      </c>
      <c r="B17" s="4" t="s">
        <v>13</v>
      </c>
      <c r="C17" s="4" t="s">
        <v>24</v>
      </c>
      <c r="D17" s="4" t="s">
        <v>6</v>
      </c>
      <c r="E17" s="5">
        <v>40543</v>
      </c>
      <c r="F17" s="12">
        <v>17796083</v>
      </c>
      <c r="G17" s="12">
        <f t="shared" si="0"/>
        <v>1653188.0382513662</v>
      </c>
      <c r="H17" s="6">
        <v>91.5</v>
      </c>
      <c r="I17" s="9">
        <v>8.5</v>
      </c>
    </row>
    <row r="18" spans="1:9" ht="30" x14ac:dyDescent="0.25">
      <c r="A18" s="23" t="s">
        <v>25</v>
      </c>
      <c r="B18" s="4" t="s">
        <v>26</v>
      </c>
      <c r="C18" s="4" t="s">
        <v>27</v>
      </c>
      <c r="D18" s="4" t="s">
        <v>4</v>
      </c>
      <c r="E18" s="5">
        <v>40543</v>
      </c>
      <c r="F18" s="12">
        <v>1733228</v>
      </c>
      <c r="G18" s="12">
        <f t="shared" si="0"/>
        <v>161631.51678145837</v>
      </c>
      <c r="H18" s="6">
        <v>91.47</v>
      </c>
      <c r="I18" s="10">
        <v>8.5299999999999994</v>
      </c>
    </row>
    <row r="19" spans="1:9" x14ac:dyDescent="0.25">
      <c r="A19" s="23" t="s">
        <v>28</v>
      </c>
      <c r="B19" s="4" t="s">
        <v>29</v>
      </c>
      <c r="C19" s="4" t="s">
        <v>30</v>
      </c>
      <c r="D19" s="4" t="s">
        <v>6</v>
      </c>
      <c r="E19" s="5">
        <v>40451</v>
      </c>
      <c r="F19" s="12">
        <v>1886873</v>
      </c>
      <c r="G19" s="12">
        <f t="shared" si="0"/>
        <v>186613.81318681317</v>
      </c>
      <c r="H19" s="6">
        <v>91</v>
      </c>
      <c r="I19" s="9">
        <v>9</v>
      </c>
    </row>
    <row r="20" spans="1:9" x14ac:dyDescent="0.25">
      <c r="A20" s="23" t="s">
        <v>35</v>
      </c>
      <c r="B20" s="4" t="s">
        <v>36</v>
      </c>
      <c r="C20" s="4" t="s">
        <v>37</v>
      </c>
      <c r="D20" s="4" t="s">
        <v>4</v>
      </c>
      <c r="E20" s="5">
        <v>40543</v>
      </c>
      <c r="F20" s="12">
        <v>3755897</v>
      </c>
      <c r="G20" s="12">
        <f t="shared" si="0"/>
        <v>411765.00621393701</v>
      </c>
      <c r="H20" s="6">
        <v>90.12</v>
      </c>
      <c r="I20" s="9">
        <v>9.8800000000000008</v>
      </c>
    </row>
    <row r="21" spans="1:9" x14ac:dyDescent="0.25">
      <c r="A21" s="23" t="s">
        <v>31</v>
      </c>
      <c r="B21" s="4" t="s">
        <v>32</v>
      </c>
      <c r="C21" s="4" t="s">
        <v>33</v>
      </c>
      <c r="D21" s="4" t="s">
        <v>34</v>
      </c>
      <c r="E21" s="5">
        <v>40724</v>
      </c>
      <c r="F21" s="12">
        <v>449860</v>
      </c>
      <c r="G21" s="12">
        <f t="shared" si="0"/>
        <v>49762.390048867172</v>
      </c>
      <c r="H21" s="6">
        <v>90.04</v>
      </c>
      <c r="I21" s="9">
        <v>9.9600000000000009</v>
      </c>
    </row>
    <row r="22" spans="1:9" x14ac:dyDescent="0.25">
      <c r="A22" s="11"/>
    </row>
  </sheetData>
  <sortState ref="A3:I18">
    <sortCondition descending="1" ref="H1"/>
  </sortState>
  <mergeCells count="3">
    <mergeCell ref="A2:I2"/>
    <mergeCell ref="A3:I3"/>
    <mergeCell ref="A4:I4"/>
  </mergeCells>
  <pageMargins left="0" right="0" top="1" bottom="0.75" header="0.3" footer="0.3"/>
  <pageSetup orientation="landscape" r:id="rId1"/>
  <headerFooter>
    <oddHeader xml:space="preserve">&amp;CProprietary 90/10 Attestation Report
Fiscal Year Ending Dates Between 07/01/2010 and 06/30/2011
Data Source: eZ-Audit                                                                       </oddHeader>
    <oddFooter>&amp;L&amp;A&amp;C&amp;P of &amp;N&amp;RED/PC/FSA/TBSSG/DAR-CH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90-10 2012  FAILURES</vt:lpstr>
      <vt:lpstr>'90-10 2012  FAILURES'!Print_Area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Cricket Hosier</dc:creator>
  <cp:lastModifiedBy>Behdad Baniani</cp:lastModifiedBy>
  <cp:lastPrinted>2012-09-12T15:06:52Z</cp:lastPrinted>
  <dcterms:created xsi:type="dcterms:W3CDTF">2012-05-01T20:22:37Z</dcterms:created>
  <dcterms:modified xsi:type="dcterms:W3CDTF">2012-09-18T14:10:48Z</dcterms:modified>
</cp:coreProperties>
</file>