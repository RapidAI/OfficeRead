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15" windowWidth="14715" windowHeight="7425"/>
  </bookViews>
  <sheets>
    <sheet name="priority grp" sheetId="1" r:id="rId1"/>
  </sheets>
  <calcPr calcId="145621"/>
</workbook>
</file>

<file path=xl/calcChain.xml><?xml version="1.0" encoding="utf-8"?>
<calcChain xmlns="http://schemas.openxmlformats.org/spreadsheetml/2006/main">
  <c r="Q16" i="1" l="1"/>
  <c r="Q15" i="1"/>
</calcChain>
</file>

<file path=xl/sharedStrings.xml><?xml version="1.0" encoding="utf-8"?>
<sst xmlns="http://schemas.openxmlformats.org/spreadsheetml/2006/main" count="51" uniqueCount="17">
  <si>
    <t>Fiscal Year</t>
  </si>
  <si>
    <t>Priority Group</t>
  </si>
  <si>
    <t>Non-enrolled Veterans</t>
  </si>
  <si>
    <t>Non-veterans</t>
  </si>
  <si>
    <t>7A</t>
  </si>
  <si>
    <t>7C</t>
  </si>
  <si>
    <t>8A</t>
  </si>
  <si>
    <t>8B</t>
  </si>
  <si>
    <t>8C</t>
  </si>
  <si>
    <t>8D</t>
  </si>
  <si>
    <t>8E</t>
  </si>
  <si>
    <t>8G</t>
  </si>
  <si>
    <t>--</t>
  </si>
  <si>
    <t>Prepared by the National Center for Veterans Analysis and Statistics.</t>
  </si>
  <si>
    <t>Note:  "Patients" do not include: Veterans who have visits with the Readjustment Counceling Service ONLY; state nursing home patients; and CHAMPVA (nonveteran) patients; nor the associated cost.</t>
  </si>
  <si>
    <t>Number of Veteran Patients by Healthcare Priority Group: FY2000 to FY2012</t>
  </si>
  <si>
    <t>Source: Department of Veterans Affairs, Veterans Health Administration, Office of Policy and Planning as of December 11, 2012.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</si>
</sst>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Fill="1" applyBorder="1" applyAlignment="1">
      <alignment vertical="center"/>
    </xf>
    <xf numFmtId="0" fontId="0" fillId="0" borderId="0" xfId="0" applyBorder="1"/>
    <xf numFmtId="0" fontId="2" fillId="2" borderId="1" xfId="0" applyFont="1" applyFill="1" applyBorder="1" applyAlignment="1">
      <alignment horizontal="center"/>
    </xf>
    <xf numFmtId="164" fontId="1" fillId="0" borderId="3" xfId="1" applyNumberFormat="1" applyFont="1" applyFill="1" applyBorder="1" applyAlignment="1">
      <alignment horizontal="right"/>
    </xf>
    <xf numFmtId="164" fontId="1" fillId="0" borderId="0" xfId="1" applyNumberFormat="1" applyFont="1" applyFill="1" applyBorder="1" applyAlignment="1">
      <alignment horizontal="right"/>
    </xf>
    <xf numFmtId="164" fontId="1" fillId="0" borderId="3" xfId="1" quotePrefix="1" applyNumberFormat="1" applyFont="1" applyFill="1" applyBorder="1" applyAlignment="1">
      <alignment horizontal="right"/>
    </xf>
    <xf numFmtId="164" fontId="0" fillId="0" borderId="0" xfId="0" applyNumberFormat="1" applyBorder="1"/>
    <xf numFmtId="164" fontId="1" fillId="0" borderId="3" xfId="1" applyNumberFormat="1" applyFont="1" applyFill="1" applyBorder="1" applyAlignment="1">
      <alignment horizontal="right" wrapText="1"/>
    </xf>
    <xf numFmtId="164" fontId="1" fillId="0" borderId="0" xfId="1" applyNumberFormat="1" applyFont="1" applyFill="1" applyBorder="1" applyAlignment="1">
      <alignment horizontal="right" wrapText="1"/>
    </xf>
    <xf numFmtId="0" fontId="0" fillId="0" borderId="0" xfId="0" applyFill="1" applyBorder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64" fontId="1" fillId="0" borderId="0" xfId="1" quotePrefix="1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164" fontId="1" fillId="0" borderId="4" xfId="1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164" fontId="1" fillId="0" borderId="4" xfId="1" quotePrefix="1" applyNumberFormat="1" applyFont="1" applyFill="1" applyBorder="1" applyAlignment="1">
      <alignment horizontal="right"/>
    </xf>
    <xf numFmtId="0" fontId="2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164" fontId="1" fillId="0" borderId="13" xfId="1" quotePrefix="1" applyNumberFormat="1" applyFont="1" applyFill="1" applyBorder="1" applyAlignment="1">
      <alignment horizontal="right"/>
    </xf>
    <xf numFmtId="164" fontId="1" fillId="0" borderId="14" xfId="1" applyNumberFormat="1" applyFont="1" applyFill="1" applyBorder="1" applyAlignment="1">
      <alignment horizontal="right"/>
    </xf>
    <xf numFmtId="0" fontId="3" fillId="2" borderId="15" xfId="0" applyFont="1" applyFill="1" applyBorder="1" applyAlignment="1">
      <alignment horizontal="center"/>
    </xf>
    <xf numFmtId="164" fontId="1" fillId="3" borderId="13" xfId="1" applyNumberFormat="1" applyFont="1" applyFill="1" applyBorder="1" applyAlignment="1">
      <alignment horizontal="right"/>
    </xf>
    <xf numFmtId="0" fontId="3" fillId="2" borderId="22" xfId="0" applyFont="1" applyFill="1" applyBorder="1" applyAlignment="1">
      <alignment horizontal="center"/>
    </xf>
    <xf numFmtId="164" fontId="1" fillId="0" borderId="13" xfId="1" applyNumberFormat="1" applyFont="1" applyFill="1" applyBorder="1" applyAlignment="1">
      <alignment horizontal="right"/>
    </xf>
    <xf numFmtId="37" fontId="1" fillId="0" borderId="16" xfId="1" applyNumberFormat="1" applyFont="1" applyFill="1" applyBorder="1" applyAlignment="1">
      <alignment horizontal="right"/>
    </xf>
    <xf numFmtId="37" fontId="1" fillId="0" borderId="17" xfId="1" applyNumberFormat="1" applyFont="1" applyFill="1" applyBorder="1" applyAlignment="1">
      <alignment horizontal="right"/>
    </xf>
    <xf numFmtId="37" fontId="1" fillId="0" borderId="21" xfId="1" quotePrefix="1" applyNumberFormat="1" applyFont="1" applyFill="1" applyBorder="1" applyAlignment="1">
      <alignment horizontal="right"/>
    </xf>
    <xf numFmtId="37" fontId="1" fillId="3" borderId="17" xfId="1" applyNumberFormat="1" applyFont="1" applyFill="1" applyBorder="1" applyAlignment="1">
      <alignment horizontal="right"/>
    </xf>
    <xf numFmtId="0" fontId="4" fillId="0" borderId="0" xfId="0" applyFont="1" applyBorder="1" applyAlignment="1">
      <alignment horizontal="left" wrapText="1"/>
    </xf>
    <xf numFmtId="0" fontId="2" fillId="2" borderId="6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19" xfId="0" applyFont="1" applyFill="1" applyBorder="1" applyAlignment="1">
      <alignment horizontal="center" wrapText="1"/>
    </xf>
    <xf numFmtId="0" fontId="2" fillId="2" borderId="20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58"/>
  <sheetViews>
    <sheetView tabSelected="1" zoomScaleNormal="100" workbookViewId="0">
      <selection activeCell="Q19" sqref="Q19"/>
    </sheetView>
  </sheetViews>
  <sheetFormatPr defaultRowHeight="12.75" x14ac:dyDescent="0.2"/>
  <cols>
    <col min="1" max="1" width="3.140625" style="2" customWidth="1"/>
    <col min="2" max="2" width="12.28515625" style="2" customWidth="1"/>
    <col min="3" max="16" width="10.7109375" style="2" customWidth="1"/>
    <col min="17" max="18" width="13.140625" style="2" customWidth="1"/>
    <col min="19" max="19" width="10.28515625" style="2" bestFit="1" customWidth="1"/>
    <col min="20" max="16384" width="9.140625" style="2"/>
  </cols>
  <sheetData>
    <row r="1" spans="2:19" ht="21.75" customHeight="1" thickBot="1" x14ac:dyDescent="0.25">
      <c r="B1" s="1" t="s">
        <v>15</v>
      </c>
    </row>
    <row r="2" spans="2:19" ht="17.25" customHeight="1" x14ac:dyDescent="0.2">
      <c r="B2" s="32" t="s">
        <v>0</v>
      </c>
      <c r="C2" s="34" t="s">
        <v>1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6"/>
      <c r="Q2" s="37" t="s">
        <v>2</v>
      </c>
      <c r="R2" s="39" t="s">
        <v>3</v>
      </c>
    </row>
    <row r="3" spans="2:19" ht="24" customHeight="1" x14ac:dyDescent="0.2">
      <c r="B3" s="33"/>
      <c r="C3" s="3">
        <v>1</v>
      </c>
      <c r="D3" s="15">
        <v>2</v>
      </c>
      <c r="E3" s="3">
        <v>3</v>
      </c>
      <c r="F3" s="15">
        <v>4</v>
      </c>
      <c r="G3" s="3">
        <v>5</v>
      </c>
      <c r="H3" s="15">
        <v>6</v>
      </c>
      <c r="I3" s="3" t="s">
        <v>4</v>
      </c>
      <c r="J3" s="15" t="s">
        <v>5</v>
      </c>
      <c r="K3" s="3" t="s">
        <v>6</v>
      </c>
      <c r="L3" s="15" t="s">
        <v>7</v>
      </c>
      <c r="M3" s="3" t="s">
        <v>8</v>
      </c>
      <c r="N3" s="15" t="s">
        <v>9</v>
      </c>
      <c r="O3" s="3" t="s">
        <v>10</v>
      </c>
      <c r="P3" s="19" t="s">
        <v>11</v>
      </c>
      <c r="Q3" s="38"/>
      <c r="R3" s="40"/>
    </row>
    <row r="4" spans="2:19" ht="18" customHeight="1" x14ac:dyDescent="0.25">
      <c r="B4" s="20">
        <v>2000</v>
      </c>
      <c r="C4" s="4">
        <v>441491</v>
      </c>
      <c r="D4" s="5">
        <v>264535</v>
      </c>
      <c r="E4" s="4">
        <v>434690</v>
      </c>
      <c r="F4" s="5">
        <v>145848</v>
      </c>
      <c r="G4" s="4">
        <v>1397736</v>
      </c>
      <c r="H4" s="5">
        <v>48440</v>
      </c>
      <c r="I4" s="4">
        <v>43626</v>
      </c>
      <c r="J4" s="5">
        <v>530890</v>
      </c>
      <c r="K4" s="6" t="s">
        <v>12</v>
      </c>
      <c r="L4" s="6" t="s">
        <v>12</v>
      </c>
      <c r="M4" s="6" t="s">
        <v>12</v>
      </c>
      <c r="N4" s="6" t="s">
        <v>12</v>
      </c>
      <c r="O4" s="6" t="s">
        <v>12</v>
      </c>
      <c r="P4" s="21" t="s">
        <v>12</v>
      </c>
      <c r="Q4" s="16">
        <v>120669</v>
      </c>
      <c r="R4" s="24">
        <v>312810</v>
      </c>
      <c r="S4" s="7"/>
    </row>
    <row r="5" spans="2:19" ht="18" customHeight="1" x14ac:dyDescent="0.25">
      <c r="B5" s="20">
        <v>2001</v>
      </c>
      <c r="C5" s="4">
        <v>482448</v>
      </c>
      <c r="D5" s="5">
        <v>277036</v>
      </c>
      <c r="E5" s="4">
        <v>478908</v>
      </c>
      <c r="F5" s="5">
        <v>162026</v>
      </c>
      <c r="G5" s="4">
        <v>1512410</v>
      </c>
      <c r="H5" s="5">
        <v>42791</v>
      </c>
      <c r="I5" s="4">
        <v>45183</v>
      </c>
      <c r="J5" s="5">
        <v>782539</v>
      </c>
      <c r="K5" s="6" t="s">
        <v>12</v>
      </c>
      <c r="L5" s="6" t="s">
        <v>12</v>
      </c>
      <c r="M5" s="6" t="s">
        <v>12</v>
      </c>
      <c r="N5" s="6" t="s">
        <v>12</v>
      </c>
      <c r="O5" s="6" t="s">
        <v>12</v>
      </c>
      <c r="P5" s="21" t="s">
        <v>12</v>
      </c>
      <c r="Q5" s="16">
        <v>60491</v>
      </c>
      <c r="R5" s="24">
        <v>305874</v>
      </c>
      <c r="S5" s="7"/>
    </row>
    <row r="6" spans="2:19" ht="18" customHeight="1" x14ac:dyDescent="0.25">
      <c r="B6" s="20">
        <v>2002</v>
      </c>
      <c r="C6" s="8">
        <v>539792</v>
      </c>
      <c r="D6" s="9">
        <v>292323</v>
      </c>
      <c r="E6" s="8">
        <v>500686</v>
      </c>
      <c r="F6" s="9">
        <v>156346</v>
      </c>
      <c r="G6" s="8">
        <v>1542886</v>
      </c>
      <c r="H6" s="9">
        <v>45304</v>
      </c>
      <c r="I6" s="8">
        <v>44838</v>
      </c>
      <c r="J6" s="9">
        <v>1030202</v>
      </c>
      <c r="K6" s="6" t="s">
        <v>12</v>
      </c>
      <c r="L6" s="6" t="s">
        <v>12</v>
      </c>
      <c r="M6" s="6" t="s">
        <v>12</v>
      </c>
      <c r="N6" s="6" t="s">
        <v>12</v>
      </c>
      <c r="O6" s="6" t="s">
        <v>12</v>
      </c>
      <c r="P6" s="21" t="s">
        <v>12</v>
      </c>
      <c r="Q6" s="16">
        <v>93707</v>
      </c>
      <c r="R6" s="24">
        <v>298269</v>
      </c>
      <c r="S6" s="7"/>
    </row>
    <row r="7" spans="2:19" ht="18" customHeight="1" x14ac:dyDescent="0.25">
      <c r="B7" s="20">
        <v>2003</v>
      </c>
      <c r="C7" s="4">
        <v>610692</v>
      </c>
      <c r="D7" s="5">
        <v>306640</v>
      </c>
      <c r="E7" s="4">
        <v>520264</v>
      </c>
      <c r="F7" s="5">
        <v>170869</v>
      </c>
      <c r="G7" s="4">
        <v>1542874</v>
      </c>
      <c r="H7" s="5">
        <v>53924</v>
      </c>
      <c r="I7" s="4">
        <v>4324</v>
      </c>
      <c r="J7" s="5">
        <v>106478</v>
      </c>
      <c r="K7" s="4">
        <v>43387</v>
      </c>
      <c r="L7" s="6" t="s">
        <v>12</v>
      </c>
      <c r="M7" s="4">
        <v>1068497</v>
      </c>
      <c r="N7" s="6" t="s">
        <v>12</v>
      </c>
      <c r="O7" s="4">
        <v>945</v>
      </c>
      <c r="P7" s="22">
        <v>10063</v>
      </c>
      <c r="Q7" s="16">
        <v>66476</v>
      </c>
      <c r="R7" s="24">
        <v>301438</v>
      </c>
      <c r="S7" s="7"/>
    </row>
    <row r="8" spans="2:19" ht="18" customHeight="1" x14ac:dyDescent="0.25">
      <c r="B8" s="20">
        <v>2004</v>
      </c>
      <c r="C8" s="4">
        <v>662952</v>
      </c>
      <c r="D8" s="5">
        <v>313622</v>
      </c>
      <c r="E8" s="4">
        <v>527330</v>
      </c>
      <c r="F8" s="5">
        <v>175953</v>
      </c>
      <c r="G8" s="4">
        <v>1596958</v>
      </c>
      <c r="H8" s="5">
        <v>70967</v>
      </c>
      <c r="I8" s="4">
        <v>4604</v>
      </c>
      <c r="J8" s="5">
        <v>138563</v>
      </c>
      <c r="K8" s="4">
        <v>41550</v>
      </c>
      <c r="L8" s="6" t="s">
        <v>12</v>
      </c>
      <c r="M8" s="4">
        <v>1035910</v>
      </c>
      <c r="N8" s="6" t="s">
        <v>12</v>
      </c>
      <c r="O8" s="4">
        <v>1617</v>
      </c>
      <c r="P8" s="22">
        <v>16907</v>
      </c>
      <c r="Q8" s="16">
        <v>90787</v>
      </c>
      <c r="R8" s="24">
        <v>301431</v>
      </c>
      <c r="S8" s="7"/>
    </row>
    <row r="9" spans="2:19" ht="18" customHeight="1" x14ac:dyDescent="0.25">
      <c r="B9" s="20">
        <v>2005</v>
      </c>
      <c r="C9" s="4">
        <v>720975</v>
      </c>
      <c r="D9" s="5">
        <v>326321</v>
      </c>
      <c r="E9" s="4">
        <v>543246</v>
      </c>
      <c r="F9" s="5">
        <v>178895</v>
      </c>
      <c r="G9" s="4">
        <v>1592261</v>
      </c>
      <c r="H9" s="5">
        <v>99463</v>
      </c>
      <c r="I9" s="4">
        <v>5641</v>
      </c>
      <c r="J9" s="5">
        <v>170328</v>
      </c>
      <c r="K9" s="4">
        <v>40309</v>
      </c>
      <c r="L9" s="6" t="s">
        <v>12</v>
      </c>
      <c r="M9" s="4">
        <v>1033437</v>
      </c>
      <c r="N9" s="6" t="s">
        <v>12</v>
      </c>
      <c r="O9" s="4">
        <v>2021</v>
      </c>
      <c r="P9" s="22">
        <v>14268</v>
      </c>
      <c r="Q9" s="16">
        <v>79180</v>
      </c>
      <c r="R9" s="24">
        <v>445322</v>
      </c>
      <c r="S9" s="7"/>
    </row>
    <row r="10" spans="2:19" ht="18" customHeight="1" x14ac:dyDescent="0.25">
      <c r="B10" s="20">
        <v>2006</v>
      </c>
      <c r="C10" s="4">
        <v>768537</v>
      </c>
      <c r="D10" s="5">
        <v>342023</v>
      </c>
      <c r="E10" s="4">
        <v>568740</v>
      </c>
      <c r="F10" s="5">
        <v>177563</v>
      </c>
      <c r="G10" s="4">
        <v>1575645</v>
      </c>
      <c r="H10" s="5">
        <v>134425</v>
      </c>
      <c r="I10" s="4">
        <v>5948</v>
      </c>
      <c r="J10" s="5">
        <v>162130</v>
      </c>
      <c r="K10" s="4">
        <v>45519</v>
      </c>
      <c r="L10" s="6" t="s">
        <v>12</v>
      </c>
      <c r="M10" s="4">
        <v>1104720</v>
      </c>
      <c r="N10" s="6" t="s">
        <v>12</v>
      </c>
      <c r="O10" s="4">
        <v>2464</v>
      </c>
      <c r="P10" s="22">
        <v>13086</v>
      </c>
      <c r="Q10" s="18" t="s">
        <v>12</v>
      </c>
      <c r="R10" s="24">
        <v>288025</v>
      </c>
      <c r="S10" s="7"/>
    </row>
    <row r="11" spans="2:19" ht="18" customHeight="1" x14ac:dyDescent="0.25">
      <c r="B11" s="20">
        <v>2007</v>
      </c>
      <c r="C11" s="4">
        <v>820691</v>
      </c>
      <c r="D11" s="5">
        <v>358410</v>
      </c>
      <c r="E11" s="4">
        <v>591165</v>
      </c>
      <c r="F11" s="5">
        <v>181776</v>
      </c>
      <c r="G11" s="4">
        <v>1511127</v>
      </c>
      <c r="H11" s="5">
        <v>156048</v>
      </c>
      <c r="I11" s="4">
        <v>5966</v>
      </c>
      <c r="J11" s="5">
        <v>150091</v>
      </c>
      <c r="K11" s="4">
        <v>47420</v>
      </c>
      <c r="L11" s="6" t="s">
        <v>12</v>
      </c>
      <c r="M11" s="4">
        <v>1097428</v>
      </c>
      <c r="N11" s="6" t="s">
        <v>12</v>
      </c>
      <c r="O11" s="4">
        <v>3333</v>
      </c>
      <c r="P11" s="22">
        <v>27046</v>
      </c>
      <c r="Q11" s="18" t="s">
        <v>12</v>
      </c>
      <c r="R11" s="24">
        <v>283225</v>
      </c>
      <c r="S11" s="7"/>
    </row>
    <row r="12" spans="2:19" ht="18" customHeight="1" x14ac:dyDescent="0.25">
      <c r="B12" s="20">
        <v>2008</v>
      </c>
      <c r="C12" s="4">
        <v>888470</v>
      </c>
      <c r="D12" s="5">
        <v>365212</v>
      </c>
      <c r="E12" s="4">
        <v>585032</v>
      </c>
      <c r="F12" s="5">
        <v>185997</v>
      </c>
      <c r="G12" s="4">
        <v>1438971</v>
      </c>
      <c r="H12" s="5">
        <v>199882</v>
      </c>
      <c r="I12" s="4">
        <v>5050</v>
      </c>
      <c r="J12" s="5">
        <v>125902</v>
      </c>
      <c r="K12" s="4">
        <v>51088</v>
      </c>
      <c r="L12" s="6" t="s">
        <v>12</v>
      </c>
      <c r="M12" s="4">
        <v>1123232</v>
      </c>
      <c r="N12" s="6" t="s">
        <v>12</v>
      </c>
      <c r="O12" s="4">
        <v>3355</v>
      </c>
      <c r="P12" s="22">
        <v>26915</v>
      </c>
      <c r="Q12" s="18" t="s">
        <v>12</v>
      </c>
      <c r="R12" s="24">
        <v>300539</v>
      </c>
      <c r="S12" s="7"/>
    </row>
    <row r="13" spans="2:19" ht="18" customHeight="1" x14ac:dyDescent="0.25">
      <c r="B13" s="20">
        <v>2009</v>
      </c>
      <c r="C13" s="4">
        <v>981910</v>
      </c>
      <c r="D13" s="5">
        <v>401033</v>
      </c>
      <c r="E13" s="4">
        <v>640978</v>
      </c>
      <c r="F13" s="5">
        <v>187493</v>
      </c>
      <c r="G13" s="4">
        <v>1410118</v>
      </c>
      <c r="H13" s="5">
        <v>219796</v>
      </c>
      <c r="I13" s="4">
        <v>5249</v>
      </c>
      <c r="J13" s="5">
        <v>117849</v>
      </c>
      <c r="K13" s="4">
        <v>50536</v>
      </c>
      <c r="L13" s="14">
        <v>559</v>
      </c>
      <c r="M13" s="4">
        <v>1085075</v>
      </c>
      <c r="N13" s="14">
        <v>9223</v>
      </c>
      <c r="O13" s="4">
        <v>3937</v>
      </c>
      <c r="P13" s="22">
        <v>25529</v>
      </c>
      <c r="Q13" s="18" t="s">
        <v>12</v>
      </c>
      <c r="R13" s="24">
        <v>308778</v>
      </c>
      <c r="S13" s="7"/>
    </row>
    <row r="14" spans="2:19" ht="18" customHeight="1" x14ac:dyDescent="0.25">
      <c r="B14" s="20">
        <v>2010</v>
      </c>
      <c r="C14" s="4">
        <v>1071400</v>
      </c>
      <c r="D14" s="5">
        <v>425937</v>
      </c>
      <c r="E14" s="4">
        <v>677648</v>
      </c>
      <c r="F14" s="5">
        <v>189428</v>
      </c>
      <c r="G14" s="4">
        <v>1447713</v>
      </c>
      <c r="H14" s="5">
        <v>244504</v>
      </c>
      <c r="I14" s="4">
        <v>5987</v>
      </c>
      <c r="J14" s="5">
        <v>135994</v>
      </c>
      <c r="K14" s="4">
        <v>51609</v>
      </c>
      <c r="L14" s="5">
        <v>240</v>
      </c>
      <c r="M14" s="4">
        <v>1073697</v>
      </c>
      <c r="N14" s="5">
        <v>5889</v>
      </c>
      <c r="O14" s="4">
        <v>4007</v>
      </c>
      <c r="P14" s="22">
        <v>17820</v>
      </c>
      <c r="Q14" s="18" t="s">
        <v>12</v>
      </c>
      <c r="R14" s="24">
        <v>286731</v>
      </c>
      <c r="S14" s="7"/>
    </row>
    <row r="15" spans="2:19" ht="18" customHeight="1" x14ac:dyDescent="0.25">
      <c r="B15" s="25">
        <v>2011</v>
      </c>
      <c r="C15" s="4">
        <v>1179333</v>
      </c>
      <c r="D15" s="4">
        <v>442665</v>
      </c>
      <c r="E15" s="4">
        <v>687284</v>
      </c>
      <c r="F15" s="4">
        <v>191177</v>
      </c>
      <c r="G15" s="4">
        <v>1440438</v>
      </c>
      <c r="H15" s="4">
        <v>266374</v>
      </c>
      <c r="I15" s="4">
        <v>6321</v>
      </c>
      <c r="J15" s="4">
        <v>146632</v>
      </c>
      <c r="K15" s="4">
        <v>50799</v>
      </c>
      <c r="L15" s="4">
        <v>1179</v>
      </c>
      <c r="M15" s="4">
        <v>1034160</v>
      </c>
      <c r="N15" s="4">
        <v>27598</v>
      </c>
      <c r="O15" s="4">
        <v>4363</v>
      </c>
      <c r="P15" s="26">
        <v>21175</v>
      </c>
      <c r="Q15" s="18" t="str">
        <f>Q12</f>
        <v>--</v>
      </c>
      <c r="R15" s="24">
        <v>295667</v>
      </c>
      <c r="S15" s="7"/>
    </row>
    <row r="16" spans="2:19" ht="18" customHeight="1" thickBot="1" x14ac:dyDescent="0.3">
      <c r="B16" s="23">
        <v>2012</v>
      </c>
      <c r="C16" s="27">
        <v>1307750</v>
      </c>
      <c r="D16" s="27">
        <v>456050</v>
      </c>
      <c r="E16" s="27">
        <v>697548</v>
      </c>
      <c r="F16" s="27">
        <v>191521</v>
      </c>
      <c r="G16" s="27">
        <v>1417207</v>
      </c>
      <c r="H16" s="27">
        <v>272043</v>
      </c>
      <c r="I16" s="27">
        <v>5574</v>
      </c>
      <c r="J16" s="27">
        <v>132242</v>
      </c>
      <c r="K16" s="27">
        <v>50315</v>
      </c>
      <c r="L16" s="27">
        <v>1487</v>
      </c>
      <c r="M16" s="27">
        <v>1008326</v>
      </c>
      <c r="N16" s="27">
        <v>35071</v>
      </c>
      <c r="O16" s="27">
        <v>4319</v>
      </c>
      <c r="P16" s="28">
        <v>19376</v>
      </c>
      <c r="Q16" s="29" t="str">
        <f>Q13</f>
        <v>--</v>
      </c>
      <c r="R16" s="30">
        <v>297680</v>
      </c>
      <c r="S16" s="7"/>
    </row>
    <row r="17" spans="2:19" ht="18" customHeight="1" x14ac:dyDescent="0.25">
      <c r="B17" s="17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14"/>
      <c r="R17" s="5"/>
      <c r="S17" s="7"/>
    </row>
    <row r="18" spans="2:19" ht="27.75" customHeight="1" x14ac:dyDescent="0.2">
      <c r="B18" s="31" t="s">
        <v>14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10"/>
      <c r="P18" s="10"/>
      <c r="Q18" s="10"/>
      <c r="R18" s="10"/>
    </row>
    <row r="19" spans="2:19" ht="24" customHeight="1" x14ac:dyDescent="0.2">
      <c r="B19" s="31" t="s">
        <v>16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10"/>
      <c r="P19" s="10"/>
      <c r="Q19" s="10"/>
      <c r="R19" s="10"/>
    </row>
    <row r="20" spans="2:19" ht="15.75" customHeight="1" x14ac:dyDescent="0.2">
      <c r="B20" s="11" t="s">
        <v>13</v>
      </c>
      <c r="C20"/>
      <c r="D20"/>
      <c r="E20"/>
      <c r="F20" s="12"/>
      <c r="G20" s="13"/>
      <c r="H20" s="13"/>
      <c r="I20" s="13"/>
      <c r="J20" s="13"/>
      <c r="K20" s="13"/>
      <c r="L20" s="13"/>
      <c r="M20" s="13"/>
      <c r="N20" s="13"/>
      <c r="O20" s="10"/>
      <c r="P20" s="10"/>
      <c r="Q20" s="10"/>
      <c r="R20" s="10"/>
    </row>
    <row r="21" spans="2:19" x14ac:dyDescent="0.2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2:19" x14ac:dyDescent="0.2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2:19" x14ac:dyDescent="0.2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2:19" x14ac:dyDescent="0.2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2:19" x14ac:dyDescent="0.2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2:19" x14ac:dyDescent="0.2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2:19" x14ac:dyDescent="0.2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2:19" x14ac:dyDescent="0.2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2:19" x14ac:dyDescent="0.2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2:19" x14ac:dyDescent="0.2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2:19" x14ac:dyDescent="0.2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spans="2:19" x14ac:dyDescent="0.2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spans="2:18" x14ac:dyDescent="0.2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spans="2:18" x14ac:dyDescent="0.2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2:18" x14ac:dyDescent="0.2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2:18" x14ac:dyDescent="0.2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2:18" x14ac:dyDescent="0.2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2:18" x14ac:dyDescent="0.2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2:18" x14ac:dyDescent="0.2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2:18" x14ac:dyDescent="0.2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2:18" x14ac:dyDescent="0.2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spans="2:18" x14ac:dyDescent="0.2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2:18" x14ac:dyDescent="0.2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2:18" x14ac:dyDescent="0.2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 spans="2:18" x14ac:dyDescent="0.2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 spans="2:18" x14ac:dyDescent="0.2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2:18" x14ac:dyDescent="0.2"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2:18" x14ac:dyDescent="0.2"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2:18" x14ac:dyDescent="0.2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 spans="2:18" x14ac:dyDescent="0.2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 spans="2:18" x14ac:dyDescent="0.2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2:18" x14ac:dyDescent="0.2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2:18" x14ac:dyDescent="0.2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2:18" x14ac:dyDescent="0.2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2:18" x14ac:dyDescent="0.2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2:18" x14ac:dyDescent="0.2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2:18" x14ac:dyDescent="0.2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2:18" x14ac:dyDescent="0.2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2:18" x14ac:dyDescent="0.2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2:18" x14ac:dyDescent="0.2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2:18" x14ac:dyDescent="0.2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2:18" x14ac:dyDescent="0.2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2:18" x14ac:dyDescent="0.2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2:18" x14ac:dyDescent="0.2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2:18" x14ac:dyDescent="0.2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2:18" x14ac:dyDescent="0.2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2:18" x14ac:dyDescent="0.2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2:18" x14ac:dyDescent="0.2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2:18" x14ac:dyDescent="0.2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2:18" x14ac:dyDescent="0.2"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2:18" x14ac:dyDescent="0.2"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2:18" x14ac:dyDescent="0.2"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2:18" x14ac:dyDescent="0.2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2:18" x14ac:dyDescent="0.2"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2:18" x14ac:dyDescent="0.2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2:18" x14ac:dyDescent="0.2"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2:18" x14ac:dyDescent="0.2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2:18" x14ac:dyDescent="0.2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2:18" x14ac:dyDescent="0.2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2:18" x14ac:dyDescent="0.2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2:18" x14ac:dyDescent="0.2"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2:18" x14ac:dyDescent="0.2"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2:18" x14ac:dyDescent="0.2"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2:18" x14ac:dyDescent="0.2"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2:18" x14ac:dyDescent="0.2"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2:18" x14ac:dyDescent="0.2"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2:18" x14ac:dyDescent="0.2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2:18" x14ac:dyDescent="0.2"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2:18" x14ac:dyDescent="0.2"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2:18" x14ac:dyDescent="0.2"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2:18" x14ac:dyDescent="0.2"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2:18" x14ac:dyDescent="0.2"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2:18" x14ac:dyDescent="0.2"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2:18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2:18" x14ac:dyDescent="0.2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2:18" x14ac:dyDescent="0.2"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2:18" x14ac:dyDescent="0.2"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2:18" x14ac:dyDescent="0.2"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2:18" x14ac:dyDescent="0.2"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2:18" x14ac:dyDescent="0.2"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2:18" x14ac:dyDescent="0.2"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2:18" x14ac:dyDescent="0.2"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2:18" x14ac:dyDescent="0.2"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2:18" x14ac:dyDescent="0.2"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2:18" x14ac:dyDescent="0.2"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2:18" x14ac:dyDescent="0.2"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2:18" x14ac:dyDescent="0.2"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2:18" x14ac:dyDescent="0.2"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2:18" x14ac:dyDescent="0.2"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2:18" x14ac:dyDescent="0.2"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2:18" x14ac:dyDescent="0.2"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2:18" x14ac:dyDescent="0.2"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2:18" x14ac:dyDescent="0.2"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2:18" x14ac:dyDescent="0.2"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2:18" x14ac:dyDescent="0.2"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2:18" x14ac:dyDescent="0.2"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2:18" x14ac:dyDescent="0.2"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2:18" x14ac:dyDescent="0.2"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2:18" x14ac:dyDescent="0.2"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2:18" x14ac:dyDescent="0.2"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2:18" x14ac:dyDescent="0.2"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2:18" x14ac:dyDescent="0.2"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2:18" x14ac:dyDescent="0.2"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2:18" x14ac:dyDescent="0.2"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2:18" x14ac:dyDescent="0.2"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2:18" x14ac:dyDescent="0.2"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2:18" x14ac:dyDescent="0.2"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2:18" x14ac:dyDescent="0.2"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2:18" x14ac:dyDescent="0.2"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2:18" x14ac:dyDescent="0.2"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2:18" x14ac:dyDescent="0.2"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2:18" x14ac:dyDescent="0.2"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2:18" x14ac:dyDescent="0.2"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2:18" x14ac:dyDescent="0.2"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2:18" x14ac:dyDescent="0.2"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2:18" x14ac:dyDescent="0.2"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2:18" x14ac:dyDescent="0.2"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2:18" x14ac:dyDescent="0.2"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2:18" x14ac:dyDescent="0.2"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2:18" x14ac:dyDescent="0.2"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2:18" x14ac:dyDescent="0.2"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2:18" x14ac:dyDescent="0.2"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2:18" x14ac:dyDescent="0.2"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2:18" x14ac:dyDescent="0.2"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2:18" x14ac:dyDescent="0.2"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2:18" x14ac:dyDescent="0.2"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2:18" x14ac:dyDescent="0.2"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2:18" x14ac:dyDescent="0.2"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2:18" x14ac:dyDescent="0.2"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2:18" x14ac:dyDescent="0.2"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2:18" x14ac:dyDescent="0.2"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2:18" x14ac:dyDescent="0.2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2:18" x14ac:dyDescent="0.2"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2:18" x14ac:dyDescent="0.2"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2:18" x14ac:dyDescent="0.2"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2:18" x14ac:dyDescent="0.2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2:18" x14ac:dyDescent="0.2"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2:18" x14ac:dyDescent="0.2"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2:18" x14ac:dyDescent="0.2"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2:18" x14ac:dyDescent="0.2"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2:18" x14ac:dyDescent="0.2"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2:18" x14ac:dyDescent="0.2"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2:18" x14ac:dyDescent="0.2"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2:18" x14ac:dyDescent="0.2"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2:18" x14ac:dyDescent="0.2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2:18" x14ac:dyDescent="0.2"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2:18" x14ac:dyDescent="0.2"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2:18" x14ac:dyDescent="0.2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2:18" x14ac:dyDescent="0.2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2:18" x14ac:dyDescent="0.2"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2:18" x14ac:dyDescent="0.2"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2:18" x14ac:dyDescent="0.2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2:18" x14ac:dyDescent="0.2"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2:18" x14ac:dyDescent="0.2"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2:18" x14ac:dyDescent="0.2"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2:18" x14ac:dyDescent="0.2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2:18" x14ac:dyDescent="0.2"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2:18" x14ac:dyDescent="0.2"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2:18" x14ac:dyDescent="0.2"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2:18" x14ac:dyDescent="0.2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2:18" x14ac:dyDescent="0.2"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2:18" x14ac:dyDescent="0.2"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2:18" x14ac:dyDescent="0.2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2:18" x14ac:dyDescent="0.2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2:18" x14ac:dyDescent="0.2"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2:18" x14ac:dyDescent="0.2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2:18" x14ac:dyDescent="0.2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2:18" x14ac:dyDescent="0.2"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2:18" x14ac:dyDescent="0.2"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2:18" x14ac:dyDescent="0.2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2:18" x14ac:dyDescent="0.2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2:18" x14ac:dyDescent="0.2"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2:18" x14ac:dyDescent="0.2"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2:18" x14ac:dyDescent="0.2"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2:18" x14ac:dyDescent="0.2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2:18" x14ac:dyDescent="0.2"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2:18" x14ac:dyDescent="0.2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2:18" x14ac:dyDescent="0.2"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2:18" x14ac:dyDescent="0.2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2:18" x14ac:dyDescent="0.2"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2:18" x14ac:dyDescent="0.2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2:18" x14ac:dyDescent="0.2"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2:18" x14ac:dyDescent="0.2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2:18" x14ac:dyDescent="0.2"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2:18" x14ac:dyDescent="0.2"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2:18" x14ac:dyDescent="0.2"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2:18" x14ac:dyDescent="0.2"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2:18" x14ac:dyDescent="0.2"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2:18" x14ac:dyDescent="0.2"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2:18" x14ac:dyDescent="0.2"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2:18" x14ac:dyDescent="0.2"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2:18" x14ac:dyDescent="0.2"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2:18" x14ac:dyDescent="0.2"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2:18" x14ac:dyDescent="0.2"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2:18" x14ac:dyDescent="0.2"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2:18" x14ac:dyDescent="0.2"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2:18" x14ac:dyDescent="0.2"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2:18" x14ac:dyDescent="0.2"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2:18" x14ac:dyDescent="0.2"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2:18" x14ac:dyDescent="0.2"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2:18" x14ac:dyDescent="0.2"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2:18" x14ac:dyDescent="0.2"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2:18" x14ac:dyDescent="0.2"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2:18" x14ac:dyDescent="0.2"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2:18" x14ac:dyDescent="0.2"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2:18" x14ac:dyDescent="0.2"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2:18" x14ac:dyDescent="0.2"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2:18" x14ac:dyDescent="0.2"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2:18" x14ac:dyDescent="0.2"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2:18" x14ac:dyDescent="0.2"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2:18" x14ac:dyDescent="0.2"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2:18" x14ac:dyDescent="0.2"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2:18" x14ac:dyDescent="0.2"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2:18" x14ac:dyDescent="0.2"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2:18" x14ac:dyDescent="0.2"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2:18" x14ac:dyDescent="0.2"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2:18" x14ac:dyDescent="0.2"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2:18" x14ac:dyDescent="0.2"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2:18" x14ac:dyDescent="0.2"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2:18" x14ac:dyDescent="0.2"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2:18" x14ac:dyDescent="0.2"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2:18" x14ac:dyDescent="0.2"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2:18" x14ac:dyDescent="0.2"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2:18" x14ac:dyDescent="0.2"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2:18" x14ac:dyDescent="0.2"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2:18" x14ac:dyDescent="0.2"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2:18" x14ac:dyDescent="0.2"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2:18" x14ac:dyDescent="0.2"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2:18" x14ac:dyDescent="0.2"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2:18" x14ac:dyDescent="0.2"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2:18" x14ac:dyDescent="0.2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2:18" x14ac:dyDescent="0.2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2:18" x14ac:dyDescent="0.2"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2:18" x14ac:dyDescent="0.2"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2:18" x14ac:dyDescent="0.2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2:18" x14ac:dyDescent="0.2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2:18" x14ac:dyDescent="0.2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2:18" x14ac:dyDescent="0.2"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</sheetData>
  <mergeCells count="6">
    <mergeCell ref="B19:N19"/>
    <mergeCell ref="B2:B3"/>
    <mergeCell ref="C2:P2"/>
    <mergeCell ref="Q2:Q3"/>
    <mergeCell ref="R2:R3"/>
    <mergeCell ref="B18:N18"/>
  </mergeCells>
  <pageMargins left="0.5" right="0.37" top="0.75" bottom="0.75" header="0.3" footer="0.3"/>
  <pageSetup scale="6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BE6B153A60E24C8AE19B9651CB61DF" ma:contentTypeVersion="0" ma:contentTypeDescription="Create a new document." ma:contentTypeScope="" ma:versionID="bdc5d90816420902188831a18b6ce2df">
  <xsd:schema xmlns:xsd="http://www.w3.org/2001/XMLSchema" xmlns:p="http://schemas.microsoft.com/office/2006/metadata/properties" targetNamespace="http://schemas.microsoft.com/office/2006/metadata/properties" ma:root="true" ma:fieldsID="5004e8152bd2e591ea4e0122bd14ac5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Description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CE9FD190-1831-433F-92E6-163C856150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45AF0-32AF-40CB-BC28-D3BDE5C6EC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207624A3-91B4-46D9-9331-687F5D75C30B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priority grp</vt:lpstr>
    </vt:vector>
  </TitlesOfParts>
  <Company>Department of Veterans Affairs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 Desktop Technologies</dc:creator>
  <cp:lastModifiedBy>Glasgow, Dorothy</cp:lastModifiedBy>
  <cp:lastPrinted>2013-01-02T14:57:50Z</cp:lastPrinted>
  <dcterms:created xsi:type="dcterms:W3CDTF">2010-12-22T13:33:27Z</dcterms:created>
  <dcterms:modified xsi:type="dcterms:W3CDTF">2013-01-30T15:48:09Z</dcterms:modified>
</cp:coreProperties>
</file>