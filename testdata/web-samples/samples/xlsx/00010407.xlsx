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320" windowHeight="9555"/>
  </bookViews>
  <sheets>
    <sheet name="Explication" sheetId="4" r:id="rId1"/>
    <sheet name="Éducatrice" sheetId="6" r:id="rId2"/>
    <sheet name="Éducatrice non-qualifiée" sheetId="5" r:id="rId3"/>
    <sheet name="Responsable alimentation" sheetId="7" r:id="rId4"/>
    <sheet name="Adjointe administrative" sheetId="3" r:id="rId5"/>
    <sheet name="Secrétaire-comptable" sheetId="8" r:id="rId6"/>
    <sheet name="Préposé" sheetId="9" r:id="rId7"/>
    <sheet name="Conseillère pédagogique" sheetId="10" r:id="rId8"/>
    <sheet name="Agente de conformité" sheetId="11" r:id="rId9"/>
    <sheet name="secrétaire-réceptionniste" sheetId="12" r:id="rId10"/>
  </sheets>
  <definedNames>
    <definedName name="a_2010_2011">Éducatrice!$E$6</definedName>
    <definedName name="a_2011_2012">Éducatrice!$I$6</definedName>
    <definedName name="a_2012_2013">Éducatrice!$M$6</definedName>
    <definedName name="Adjointe_administrative">'Adjointe administrative'!$B$2</definedName>
    <definedName name="aug_2009">#REF!</definedName>
    <definedName name="aug_2010">#REF!</definedName>
    <definedName name="augmentatiion_2010">#REF!</definedName>
    <definedName name="augmentation_2011">#REF!</definedName>
    <definedName name="commis">'Secrétaire-comptable'!$B$2</definedName>
    <definedName name="conformité">'Agente de conformité'!$B$1</definedName>
    <definedName name="conseillere">'Conseillère pédagogique'!$B$1</definedName>
    <definedName name="cuisine">'Responsable alimentation'!$D$6:$D$11</definedName>
    <definedName name="educ_non_qual">'Éducatrice non-qualifiée'!$D$6:$D$18</definedName>
    <definedName name="educatrice">Éducatrice!$D$8:$D$17</definedName>
    <definedName name="Éducatrice">Éducatrice!$B$3</definedName>
    <definedName name="Éducatrice_non_qualifiée">'Éducatrice non-qualifiée'!$B$1</definedName>
    <definedName name="explication">Explication!$A$6</definedName>
    <definedName name="pédago">#REF!</definedName>
    <definedName name="préposé">#REF!</definedName>
    <definedName name="préposée">Préposé!$B$2</definedName>
    <definedName name="Responsable_alimentation">'Responsable alimentation'!$B$1</definedName>
    <definedName name="secretaire">'secrétaire-réceptionniste'!$B$2</definedName>
  </definedNames>
  <calcPr calcId="145621"/>
</workbook>
</file>

<file path=xl/calcChain.xml><?xml version="1.0" encoding="utf-8"?>
<calcChain xmlns="http://schemas.openxmlformats.org/spreadsheetml/2006/main">
  <c r="E11" i="12" l="1"/>
  <c r="H11" i="12" s="1"/>
  <c r="E10" i="12"/>
  <c r="H10" i="12" s="1"/>
  <c r="E9" i="12"/>
  <c r="H9" i="12" s="1"/>
  <c r="E8" i="12"/>
  <c r="H8" i="12" s="1"/>
  <c r="E7" i="12"/>
  <c r="H7" i="12" s="1"/>
  <c r="E15" i="11"/>
  <c r="H15" i="11" s="1"/>
  <c r="E14" i="11"/>
  <c r="H14" i="11" s="1"/>
  <c r="E13" i="11"/>
  <c r="H13" i="11" s="1"/>
  <c r="E12" i="11"/>
  <c r="H12" i="11" s="1"/>
  <c r="E11" i="11"/>
  <c r="H11" i="11" s="1"/>
  <c r="E10" i="11"/>
  <c r="H10" i="11" s="1"/>
  <c r="E9" i="11"/>
  <c r="H9" i="11" s="1"/>
  <c r="E8" i="11"/>
  <c r="H8" i="11" s="1"/>
  <c r="E7" i="11"/>
  <c r="H7" i="11" s="1"/>
  <c r="E6" i="11"/>
  <c r="H6" i="11" s="1"/>
  <c r="E15" i="10"/>
  <c r="H15" i="10" s="1"/>
  <c r="E14" i="10"/>
  <c r="H14" i="10" s="1"/>
  <c r="E13" i="10"/>
  <c r="H13" i="10" s="1"/>
  <c r="E12" i="10"/>
  <c r="H12" i="10" s="1"/>
  <c r="E11" i="10"/>
  <c r="H11" i="10" s="1"/>
  <c r="E10" i="10"/>
  <c r="H10" i="10" s="1"/>
  <c r="E9" i="10"/>
  <c r="H9" i="10" s="1"/>
  <c r="E8" i="10"/>
  <c r="H8" i="10" s="1"/>
  <c r="E7" i="10"/>
  <c r="H7" i="10" s="1"/>
  <c r="E6" i="10"/>
  <c r="H6" i="10" s="1"/>
  <c r="E7" i="9"/>
  <c r="H7" i="9" s="1"/>
  <c r="G8" i="9" s="1"/>
  <c r="E12" i="8"/>
  <c r="H12" i="8" s="1"/>
  <c r="E11" i="8"/>
  <c r="H11" i="8" s="1"/>
  <c r="E10" i="8"/>
  <c r="H10" i="8" s="1"/>
  <c r="E9" i="8"/>
  <c r="H9" i="8" s="1"/>
  <c r="E8" i="8"/>
  <c r="H8" i="8" s="1"/>
  <c r="E7" i="8"/>
  <c r="H7" i="8" s="1"/>
  <c r="E16" i="3"/>
  <c r="H16" i="3" s="1"/>
  <c r="E15" i="3"/>
  <c r="H15" i="3" s="1"/>
  <c r="E14" i="3"/>
  <c r="H14" i="3" s="1"/>
  <c r="E13" i="3"/>
  <c r="H13" i="3" s="1"/>
  <c r="E12" i="3"/>
  <c r="H12" i="3" s="1"/>
  <c r="E11" i="3"/>
  <c r="H11" i="3" s="1"/>
  <c r="E10" i="3"/>
  <c r="H10" i="3" s="1"/>
  <c r="E9" i="3"/>
  <c r="H9" i="3" s="1"/>
  <c r="E8" i="3"/>
  <c r="H8" i="3" s="1"/>
  <c r="E7" i="3"/>
  <c r="H7" i="3" s="1"/>
  <c r="E11" i="7"/>
  <c r="H11" i="7" s="1"/>
  <c r="E10" i="7"/>
  <c r="H10" i="7" s="1"/>
  <c r="E9" i="7"/>
  <c r="H9" i="7" s="1"/>
  <c r="E8" i="7"/>
  <c r="H8" i="7" s="1"/>
  <c r="E7" i="7"/>
  <c r="H7" i="7" s="1"/>
  <c r="E6" i="7"/>
  <c r="H6" i="7" s="1"/>
  <c r="E17" i="6"/>
  <c r="E16" i="6"/>
  <c r="H16" i="6" s="1"/>
  <c r="E15" i="6"/>
  <c r="E14" i="6"/>
  <c r="E13" i="6"/>
  <c r="E12" i="6"/>
  <c r="E11" i="6"/>
  <c r="E10" i="6"/>
  <c r="E9" i="6"/>
  <c r="E8" i="6"/>
  <c r="G17" i="3" l="1"/>
  <c r="I14" i="3"/>
  <c r="K14" i="3" s="1"/>
  <c r="G12" i="12"/>
  <c r="I7" i="12"/>
  <c r="K7" i="12" s="1"/>
  <c r="I9" i="12"/>
  <c r="K9" i="12" s="1"/>
  <c r="I11" i="12"/>
  <c r="K11" i="12" s="1"/>
  <c r="I8" i="12"/>
  <c r="K8" i="12" s="1"/>
  <c r="I10" i="12"/>
  <c r="K10" i="12" s="1"/>
  <c r="G16" i="11"/>
  <c r="I7" i="11"/>
  <c r="K7" i="11" s="1"/>
  <c r="I9" i="11"/>
  <c r="K9" i="11" s="1"/>
  <c r="I11" i="11"/>
  <c r="K11" i="11" s="1"/>
  <c r="I13" i="11"/>
  <c r="K13" i="11" s="1"/>
  <c r="I15" i="11"/>
  <c r="K15" i="11" s="1"/>
  <c r="I6" i="11"/>
  <c r="K6" i="11" s="1"/>
  <c r="I8" i="11"/>
  <c r="K8" i="11" s="1"/>
  <c r="I10" i="11"/>
  <c r="K10" i="11" s="1"/>
  <c r="I12" i="11"/>
  <c r="K12" i="11" s="1"/>
  <c r="I14" i="11"/>
  <c r="K14" i="11" s="1"/>
  <c r="G16" i="10"/>
  <c r="I7" i="10"/>
  <c r="K7" i="10" s="1"/>
  <c r="I9" i="10"/>
  <c r="K9" i="10" s="1"/>
  <c r="I11" i="10"/>
  <c r="K11" i="10" s="1"/>
  <c r="I13" i="10"/>
  <c r="K13" i="10" s="1"/>
  <c r="I15" i="10"/>
  <c r="K15" i="10" s="1"/>
  <c r="I6" i="10"/>
  <c r="K6" i="10" s="1"/>
  <c r="I8" i="10"/>
  <c r="K8" i="10" s="1"/>
  <c r="I10" i="10"/>
  <c r="K10" i="10" s="1"/>
  <c r="I12" i="10"/>
  <c r="K12" i="10" s="1"/>
  <c r="I14" i="10"/>
  <c r="K14" i="10" s="1"/>
  <c r="I7" i="9"/>
  <c r="K7" i="9" s="1"/>
  <c r="L8" i="9" s="1"/>
  <c r="G13" i="8"/>
  <c r="I8" i="8"/>
  <c r="K8" i="8" s="1"/>
  <c r="I10" i="8"/>
  <c r="K10" i="8" s="1"/>
  <c r="I12" i="8"/>
  <c r="K12" i="8" s="1"/>
  <c r="I7" i="8"/>
  <c r="K7" i="8" s="1"/>
  <c r="I9" i="8"/>
  <c r="K9" i="8" s="1"/>
  <c r="I11" i="8"/>
  <c r="K11" i="8" s="1"/>
  <c r="I8" i="3"/>
  <c r="K8" i="3" s="1"/>
  <c r="I10" i="3"/>
  <c r="K10" i="3" s="1"/>
  <c r="I12" i="3"/>
  <c r="K12" i="3" s="1"/>
  <c r="I16" i="3"/>
  <c r="K16" i="3" s="1"/>
  <c r="I7" i="3"/>
  <c r="K7" i="3" s="1"/>
  <c r="I9" i="3"/>
  <c r="K9" i="3" s="1"/>
  <c r="I11" i="3"/>
  <c r="K11" i="3" s="1"/>
  <c r="I13" i="3"/>
  <c r="K13" i="3" s="1"/>
  <c r="I15" i="3"/>
  <c r="K15" i="3" s="1"/>
  <c r="G12" i="7"/>
  <c r="I6" i="7"/>
  <c r="K6" i="7" s="1"/>
  <c r="I8" i="7"/>
  <c r="K8" i="7" s="1"/>
  <c r="I10" i="7"/>
  <c r="K10" i="7" s="1"/>
  <c r="I7" i="7"/>
  <c r="K7" i="7" s="1"/>
  <c r="I9" i="7"/>
  <c r="K9" i="7" s="1"/>
  <c r="I11" i="7"/>
  <c r="K11" i="7" s="1"/>
  <c r="I16" i="6"/>
  <c r="K16" i="6" s="1"/>
  <c r="H8" i="6"/>
  <c r="H9" i="6"/>
  <c r="H10" i="6"/>
  <c r="H11" i="6"/>
  <c r="H12" i="6"/>
  <c r="H13" i="6"/>
  <c r="H14" i="6"/>
  <c r="H15" i="6"/>
  <c r="H17" i="6"/>
  <c r="I8" i="6"/>
  <c r="K8" i="6" s="1"/>
  <c r="I9" i="6"/>
  <c r="K9" i="6" s="1"/>
  <c r="I10" i="6"/>
  <c r="K10" i="6" s="1"/>
  <c r="I11" i="6"/>
  <c r="K11" i="6" s="1"/>
  <c r="I12" i="6"/>
  <c r="K12" i="6" s="1"/>
  <c r="I13" i="6"/>
  <c r="K13" i="6" s="1"/>
  <c r="I14" i="6"/>
  <c r="K14" i="6" s="1"/>
  <c r="I15" i="6"/>
  <c r="K15" i="6" s="1"/>
  <c r="I17" i="6"/>
  <c r="K17" i="6" s="1"/>
  <c r="E19" i="5"/>
  <c r="H19" i="5" s="1"/>
  <c r="E18" i="5"/>
  <c r="H18" i="5" s="1"/>
  <c r="E17" i="5"/>
  <c r="H17" i="5" s="1"/>
  <c r="E16" i="5"/>
  <c r="H16" i="5" s="1"/>
  <c r="E15" i="5"/>
  <c r="H15" i="5" s="1"/>
  <c r="E14" i="5"/>
  <c r="H14" i="5" s="1"/>
  <c r="E13" i="5"/>
  <c r="H13" i="5" s="1"/>
  <c r="E12" i="5"/>
  <c r="H12" i="5" s="1"/>
  <c r="E11" i="5"/>
  <c r="H11" i="5" s="1"/>
  <c r="E10" i="5"/>
  <c r="H10" i="5" s="1"/>
  <c r="E9" i="5"/>
  <c r="H9" i="5" s="1"/>
  <c r="E8" i="5"/>
  <c r="H8" i="5" s="1"/>
  <c r="E7" i="5"/>
  <c r="H7" i="5" s="1"/>
  <c r="E6" i="5"/>
  <c r="H6" i="5" s="1"/>
  <c r="M15" i="10" l="1"/>
  <c r="P15" i="10" s="1"/>
  <c r="M13" i="10"/>
  <c r="P13" i="10" s="1"/>
  <c r="M11" i="10"/>
  <c r="P11" i="10" s="1"/>
  <c r="M9" i="10"/>
  <c r="P9" i="10" s="1"/>
  <c r="M7" i="10"/>
  <c r="P7" i="10" s="1"/>
  <c r="M14" i="3"/>
  <c r="P14" i="3" s="1"/>
  <c r="M10" i="12"/>
  <c r="P10" i="12" s="1"/>
  <c r="M11" i="8"/>
  <c r="P11" i="8" s="1"/>
  <c r="M10" i="7"/>
  <c r="P10" i="7" s="1"/>
  <c r="M8" i="7"/>
  <c r="P8" i="7" s="1"/>
  <c r="M6" i="7"/>
  <c r="P6" i="7" s="1"/>
  <c r="M11" i="7"/>
  <c r="P11" i="7" s="1"/>
  <c r="M12" i="3"/>
  <c r="P12" i="3" s="1"/>
  <c r="M10" i="3"/>
  <c r="P10" i="3" s="1"/>
  <c r="M8" i="3"/>
  <c r="P8" i="3" s="1"/>
  <c r="M9" i="3"/>
  <c r="P9" i="3" s="1"/>
  <c r="M12" i="8"/>
  <c r="P12" i="8" s="1"/>
  <c r="M10" i="8"/>
  <c r="P10" i="8" s="1"/>
  <c r="M8" i="8"/>
  <c r="P8" i="8" s="1"/>
  <c r="M10" i="10"/>
  <c r="P10" i="10" s="1"/>
  <c r="M15" i="11"/>
  <c r="P15" i="11" s="1"/>
  <c r="M13" i="11"/>
  <c r="P13" i="11" s="1"/>
  <c r="M11" i="11"/>
  <c r="P11" i="11" s="1"/>
  <c r="M9" i="11"/>
  <c r="P9" i="11" s="1"/>
  <c r="M7" i="11"/>
  <c r="P7" i="11" s="1"/>
  <c r="M10" i="11"/>
  <c r="P10" i="11" s="1"/>
  <c r="L12" i="12"/>
  <c r="M11" i="12"/>
  <c r="P11" i="12" s="1"/>
  <c r="M9" i="12"/>
  <c r="P9" i="12" s="1"/>
  <c r="M7" i="12"/>
  <c r="P7" i="12" s="1"/>
  <c r="M8" i="12"/>
  <c r="P8" i="12" s="1"/>
  <c r="M12" i="11"/>
  <c r="P12" i="11" s="1"/>
  <c r="L16" i="11"/>
  <c r="M8" i="11"/>
  <c r="P8" i="11" s="1"/>
  <c r="M14" i="11"/>
  <c r="P14" i="11" s="1"/>
  <c r="M6" i="11"/>
  <c r="P6" i="11" s="1"/>
  <c r="M12" i="10"/>
  <c r="P12" i="10" s="1"/>
  <c r="L16" i="10"/>
  <c r="M8" i="10"/>
  <c r="P8" i="10" s="1"/>
  <c r="M14" i="10"/>
  <c r="P14" i="10" s="1"/>
  <c r="M6" i="10"/>
  <c r="P6" i="10" s="1"/>
  <c r="M7" i="9"/>
  <c r="P7" i="9" s="1"/>
  <c r="O8" i="9" s="1"/>
  <c r="G10" i="9" s="1"/>
  <c r="M9" i="8"/>
  <c r="P9" i="8" s="1"/>
  <c r="L13" i="8"/>
  <c r="M7" i="8"/>
  <c r="P7" i="8" s="1"/>
  <c r="L17" i="3"/>
  <c r="M11" i="3"/>
  <c r="P11" i="3" s="1"/>
  <c r="M15" i="3"/>
  <c r="P15" i="3" s="1"/>
  <c r="M16" i="3"/>
  <c r="P16" i="3" s="1"/>
  <c r="M7" i="3"/>
  <c r="P7" i="3" s="1"/>
  <c r="M13" i="3"/>
  <c r="P13" i="3" s="1"/>
  <c r="M9" i="7"/>
  <c r="P9" i="7" s="1"/>
  <c r="L12" i="7"/>
  <c r="M7" i="7"/>
  <c r="P7" i="7" s="1"/>
  <c r="M14" i="6"/>
  <c r="P14" i="6" s="1"/>
  <c r="M10" i="6"/>
  <c r="P10" i="6" s="1"/>
  <c r="G20" i="5"/>
  <c r="L18" i="6"/>
  <c r="M16" i="6"/>
  <c r="P16" i="6" s="1"/>
  <c r="M17" i="6"/>
  <c r="P17" i="6" s="1"/>
  <c r="M13" i="6"/>
  <c r="P13" i="6" s="1"/>
  <c r="M9" i="6"/>
  <c r="P9" i="6" s="1"/>
  <c r="M12" i="6"/>
  <c r="P12" i="6" s="1"/>
  <c r="M8" i="6"/>
  <c r="P8" i="6" s="1"/>
  <c r="G18" i="6"/>
  <c r="M15" i="6"/>
  <c r="P15" i="6" s="1"/>
  <c r="M11" i="6"/>
  <c r="P11" i="6" s="1"/>
  <c r="I6" i="5"/>
  <c r="K6" i="5" s="1"/>
  <c r="I8" i="5"/>
  <c r="K8" i="5" s="1"/>
  <c r="I10" i="5"/>
  <c r="K10" i="5" s="1"/>
  <c r="I12" i="5"/>
  <c r="K12" i="5" s="1"/>
  <c r="I14" i="5"/>
  <c r="K14" i="5" s="1"/>
  <c r="I16" i="5"/>
  <c r="K16" i="5" s="1"/>
  <c r="I18" i="5"/>
  <c r="K18" i="5" s="1"/>
  <c r="I7" i="5"/>
  <c r="K7" i="5" s="1"/>
  <c r="I9" i="5"/>
  <c r="K9" i="5" s="1"/>
  <c r="I11" i="5"/>
  <c r="K11" i="5" s="1"/>
  <c r="I13" i="5"/>
  <c r="K13" i="5" s="1"/>
  <c r="I15" i="5"/>
  <c r="K15" i="5" s="1"/>
  <c r="I17" i="5"/>
  <c r="K17" i="5" s="1"/>
  <c r="I19" i="5"/>
  <c r="K19" i="5" s="1"/>
  <c r="O17" i="3" l="1"/>
  <c r="O12" i="12"/>
  <c r="G14" i="12" s="1"/>
  <c r="O13" i="8"/>
  <c r="G15" i="8" s="1"/>
  <c r="O16" i="11"/>
  <c r="G18" i="11" s="1"/>
  <c r="G19" i="3"/>
  <c r="O16" i="10"/>
  <c r="G18" i="10" s="1"/>
  <c r="O12" i="7"/>
  <c r="G14" i="7" s="1"/>
  <c r="O18" i="6"/>
  <c r="G20" i="6" s="1"/>
  <c r="M18" i="5"/>
  <c r="P18" i="5" s="1"/>
  <c r="M16" i="5"/>
  <c r="P16" i="5" s="1"/>
  <c r="M14" i="5"/>
  <c r="P14" i="5" s="1"/>
  <c r="M12" i="5"/>
  <c r="P12" i="5" s="1"/>
  <c r="M10" i="5"/>
  <c r="P10" i="5" s="1"/>
  <c r="M8" i="5"/>
  <c r="P8" i="5" s="1"/>
  <c r="M6" i="5"/>
  <c r="P6" i="5" s="1"/>
  <c r="M19" i="5"/>
  <c r="P19" i="5" s="1"/>
  <c r="M11" i="5"/>
  <c r="P11" i="5" s="1"/>
  <c r="M17" i="5"/>
  <c r="P17" i="5" s="1"/>
  <c r="M9" i="5"/>
  <c r="P9" i="5" s="1"/>
  <c r="L20" i="5"/>
  <c r="M15" i="5"/>
  <c r="P15" i="5" s="1"/>
  <c r="M7" i="5"/>
  <c r="P7" i="5" s="1"/>
  <c r="M13" i="5"/>
  <c r="P13" i="5" s="1"/>
  <c r="O20" i="5" l="1"/>
  <c r="G22" i="5" s="1"/>
</calcChain>
</file>

<file path=xl/sharedStrings.xml><?xml version="1.0" encoding="utf-8"?>
<sst xmlns="http://schemas.openxmlformats.org/spreadsheetml/2006/main" count="305" uniqueCount="67">
  <si>
    <t>Éducatrice</t>
  </si>
  <si>
    <t>Échelon</t>
  </si>
  <si>
    <t>1er avril 2010</t>
  </si>
  <si>
    <t>au</t>
  </si>
  <si>
    <t>31 mars 2011</t>
  </si>
  <si>
    <t>($)</t>
  </si>
  <si>
    <t>Ma rétro</t>
  </si>
  <si>
    <t>2010-2011</t>
  </si>
  <si>
    <t>Taux sans équité</t>
  </si>
  <si>
    <t>Combien d'heure que j'ai travaillé</t>
  </si>
  <si>
    <t>Je vais  recevoir</t>
  </si>
  <si>
    <t>2011-2012</t>
  </si>
  <si>
    <t>2012-2013</t>
  </si>
  <si>
    <t>TOTAL DE MA RÉTRO</t>
  </si>
  <si>
    <t>Éducatrice non-qualifiée</t>
  </si>
  <si>
    <t>à cet échelon</t>
  </si>
  <si>
    <t>Adjointe-Administrative</t>
  </si>
  <si>
    <t>Commis-comptable
Secrétaire-comptable</t>
  </si>
  <si>
    <t>Secrétaire-rceptionniste</t>
  </si>
  <si>
    <t>Conseillère pédagogique</t>
  </si>
  <si>
    <t>Agente de conformité</t>
  </si>
  <si>
    <t>Préposé</t>
  </si>
  <si>
    <t>Sélectionnez votre appellation d'emploi</t>
  </si>
  <si>
    <t>Adjointe-administrative</t>
  </si>
  <si>
    <t>Secrétaire commis comptable</t>
  </si>
  <si>
    <t>Préposée</t>
  </si>
  <si>
    <t>Secrétaire réceptioniste</t>
  </si>
  <si>
    <t>à cet échelon
en 2010</t>
  </si>
  <si>
    <t>à cet échelon
en 2011</t>
  </si>
  <si>
    <t>à cet échelon
en 2012</t>
  </si>
  <si>
    <t>Voici un outil qui vous aidera à calculer votre rétro.</t>
  </si>
  <si>
    <t>Avant de débuter l'exercice vous aurez besoin des informations suivantes:</t>
  </si>
  <si>
    <t>*Votre appellation d'emploi (votre poste)</t>
  </si>
  <si>
    <t>*Le nombre d'heures de travail que vous avez effectuées entre
avril 2010 et avril 2011</t>
  </si>
  <si>
    <t>*Le nombre d'heures de travail que vous avez effectuées entre
avril 2011 et avril 2012</t>
  </si>
  <si>
    <t>*Le nombre d'heures de travail que vous avez effectuées entre
avril 2012 et décembre 2012</t>
  </si>
  <si>
    <t>Si vous êtes à temps plein, multipliez votre nombre
d'heures par  semaines, que vous travaillez X 52</t>
  </si>
  <si>
    <r>
      <t xml:space="preserve">Si vous êtes à temps plein, multipliez votre nombre
d'heures par  semaines, que vous travaillez X </t>
    </r>
    <r>
      <rPr>
        <sz val="11"/>
        <color rgb="FFFF0000"/>
        <rFont val="Calibri"/>
        <family val="2"/>
        <scheme val="minor"/>
      </rPr>
      <t>39</t>
    </r>
  </si>
  <si>
    <t>*Si jamais vous avez changez d'échelon salariale
indiquez le nombre d'heures selon chacun
des échelons</t>
  </si>
  <si>
    <t>Cliquez sur votre appelation d'emploi pour débuter</t>
  </si>
  <si>
    <t>en 2010</t>
  </si>
  <si>
    <t>en 2011</t>
  </si>
  <si>
    <t>en 2012</t>
  </si>
  <si>
    <t>en 2013</t>
  </si>
  <si>
    <t>IL S'AGIT D'UN MONTANT APPROXIMATIF
sans déduction fiscale</t>
  </si>
  <si>
    <t>N'oubliez pas que c'est seulement un montant</t>
  </si>
  <si>
    <t>approximatif, sans déduction fiscale</t>
  </si>
  <si>
    <t>Prendre note:</t>
  </si>
  <si>
    <r>
      <t>*Dans le tableau, identifier votre salaire</t>
    </r>
    <r>
      <rPr>
        <sz val="11"/>
        <color rgb="FF00B0F0"/>
        <rFont val="Calibri"/>
        <family val="2"/>
        <scheme val="minor"/>
      </rPr>
      <t xml:space="preserve"> ( colonne D)</t>
    </r>
  </si>
  <si>
    <t>(Colonne F-J-L)</t>
  </si>
  <si>
    <r>
      <t xml:space="preserve">*Dans chacune des années (cases jaunes), indiquez le nombre d'heures
 que vous avez travaillée pour </t>
    </r>
    <r>
      <rPr>
        <sz val="11"/>
        <color rgb="FF00B0F0"/>
        <rFont val="Calibri"/>
        <family val="2"/>
        <scheme val="minor"/>
      </rPr>
      <t>chacune des années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00B0F0"/>
        <rFont val="Calibri"/>
        <family val="2"/>
        <scheme val="minor"/>
      </rPr>
      <t>(colonne F-J-L )</t>
    </r>
  </si>
  <si>
    <t>Étape 1:</t>
  </si>
  <si>
    <t>Étape 2:</t>
  </si>
  <si>
    <t>Étape 3:</t>
  </si>
  <si>
    <t>Étape 4:</t>
  </si>
  <si>
    <t>Étape 5</t>
  </si>
  <si>
    <t>Étape 6</t>
  </si>
  <si>
    <t>Pour retourner aux explications cliquer ici</t>
  </si>
  <si>
    <t>Pour retourner aux explications  cliquer ici</t>
  </si>
  <si>
    <t>Éducatrice qualifiée</t>
  </si>
  <si>
    <t>Responsable de l'alimentation ou cuisinière</t>
  </si>
  <si>
    <t>Responsable de l'alimentation ou cuisinière
alimentation</t>
  </si>
  <si>
    <t>Du 1er avril 2010
au 31 mars 2011</t>
  </si>
  <si>
    <t>Du 1er avril 2010</t>
  </si>
  <si>
    <t>au 31 mars 2011</t>
  </si>
  <si>
    <t>Du 1er avril 2011
au 31 mars 2012</t>
  </si>
  <si>
    <t>Du 1er avril 2012
au 15 dec.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</si>
</sst>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$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5" fillId="2" borderId="1" xfId="0" applyFont="1" applyFill="1" applyBorder="1"/>
    <xf numFmtId="164" fontId="6" fillId="5" borderId="1" xfId="0" applyNumberFormat="1" applyFont="1" applyFill="1" applyBorder="1"/>
    <xf numFmtId="0" fontId="5" fillId="3" borderId="1" xfId="0" applyFont="1" applyFill="1" applyBorder="1" applyAlignment="1">
      <alignment wrapText="1"/>
    </xf>
    <xf numFmtId="164" fontId="6" fillId="6" borderId="1" xfId="0" applyNumberFormat="1" applyFont="1" applyFill="1" applyBorder="1"/>
    <xf numFmtId="0" fontId="0" fillId="0" borderId="0" xfId="0" applyBorder="1"/>
    <xf numFmtId="0" fontId="0" fillId="0" borderId="1" xfId="0" applyBorder="1"/>
    <xf numFmtId="0" fontId="5" fillId="7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/>
    <xf numFmtId="0" fontId="0" fillId="7" borderId="1" xfId="0" applyFill="1" applyBorder="1"/>
    <xf numFmtId="10" fontId="4" fillId="7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/>
    <xf numFmtId="164" fontId="8" fillId="5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2" fillId="3" borderId="3" xfId="1" applyFill="1" applyBorder="1"/>
    <xf numFmtId="0" fontId="0" fillId="0" borderId="4" xfId="0" applyBorder="1"/>
    <xf numFmtId="0" fontId="0" fillId="0" borderId="5" xfId="0" applyBorder="1"/>
    <xf numFmtId="0" fontId="2" fillId="3" borderId="0" xfId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/>
    <xf numFmtId="0" fontId="4" fillId="8" borderId="1" xfId="0" applyFont="1" applyFill="1" applyBorder="1" applyAlignment="1">
      <alignment horizontal="center" vertical="center" wrapText="1"/>
    </xf>
    <xf numFmtId="0" fontId="0" fillId="7" borderId="0" xfId="0" applyFill="1"/>
    <xf numFmtId="3" fontId="4" fillId="7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/>
    <xf numFmtId="164" fontId="5" fillId="10" borderId="1" xfId="0" applyNumberFormat="1" applyFont="1" applyFill="1" applyBorder="1"/>
    <xf numFmtId="0" fontId="4" fillId="9" borderId="1" xfId="0" applyFont="1" applyFill="1" applyBorder="1" applyAlignment="1">
      <alignment horizontal="center" vertical="center" wrapText="1"/>
    </xf>
    <xf numFmtId="164" fontId="5" fillId="11" borderId="1" xfId="0" applyNumberFormat="1" applyFont="1" applyFill="1" applyBorder="1"/>
    <xf numFmtId="164" fontId="0" fillId="11" borderId="1" xfId="0" applyNumberFormat="1" applyFont="1" applyFill="1" applyBorder="1"/>
    <xf numFmtId="0" fontId="0" fillId="7" borderId="1" xfId="0" applyFont="1" applyFill="1" applyBorder="1"/>
    <xf numFmtId="0" fontId="0" fillId="7" borderId="0" xfId="0" applyFont="1" applyFill="1"/>
    <xf numFmtId="0" fontId="6" fillId="6" borderId="1" xfId="0" applyFont="1" applyFill="1" applyBorder="1"/>
    <xf numFmtId="0" fontId="7" fillId="6" borderId="1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10" fillId="0" borderId="0" xfId="0" applyFont="1"/>
    <xf numFmtId="0" fontId="10" fillId="2" borderId="0" xfId="0" applyFont="1" applyFill="1" applyAlignment="1">
      <alignment horizontal="center"/>
    </xf>
    <xf numFmtId="0" fontId="9" fillId="7" borderId="1" xfId="0" applyFont="1" applyFill="1" applyBorder="1"/>
    <xf numFmtId="0" fontId="4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1" fillId="7" borderId="1" xfId="1" applyFont="1" applyFill="1" applyBorder="1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104775</xdr:rowOff>
    </xdr:from>
    <xdr:to>
      <xdr:col>1</xdr:col>
      <xdr:colOff>571500</xdr:colOff>
      <xdr:row>35</xdr:row>
      <xdr:rowOff>114300</xdr:rowOff>
    </xdr:to>
    <xdr:sp macro="" textlink="">
      <xdr:nvSpPr>
        <xdr:cNvPr id="2" name="Flèche gauche 1"/>
        <xdr:cNvSpPr/>
      </xdr:nvSpPr>
      <xdr:spPr>
        <a:xfrm rot="10800000">
          <a:off x="0" y="8924925"/>
          <a:ext cx="1666875" cy="5810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CA" sz="1100"/>
        </a:p>
      </xdr:txBody>
    </xdr:sp>
    <xdr:clientData/>
  </xdr:twoCellAnchor>
  <xdr:twoCellAnchor>
    <xdr:from>
      <xdr:col>7</xdr:col>
      <xdr:colOff>333374</xdr:colOff>
      <xdr:row>11</xdr:row>
      <xdr:rowOff>295275</xdr:rowOff>
    </xdr:from>
    <xdr:to>
      <xdr:col>8</xdr:col>
      <xdr:colOff>533399</xdr:colOff>
      <xdr:row>11</xdr:row>
      <xdr:rowOff>809625</xdr:rowOff>
    </xdr:to>
    <xdr:sp macro="" textlink="">
      <xdr:nvSpPr>
        <xdr:cNvPr id="4" name="Flèche gauche 3"/>
        <xdr:cNvSpPr/>
      </xdr:nvSpPr>
      <xdr:spPr>
        <a:xfrm flipH="1">
          <a:off x="6000749" y="2571750"/>
          <a:ext cx="962025" cy="514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CA" sz="1100"/>
            <a:t>Colonne F</a:t>
          </a:r>
        </a:p>
      </xdr:txBody>
    </xdr:sp>
    <xdr:clientData/>
  </xdr:twoCellAnchor>
  <xdr:twoCellAnchor>
    <xdr:from>
      <xdr:col>7</xdr:col>
      <xdr:colOff>361948</xdr:colOff>
      <xdr:row>12</xdr:row>
      <xdr:rowOff>180976</xdr:rowOff>
    </xdr:from>
    <xdr:to>
      <xdr:col>8</xdr:col>
      <xdr:colOff>523873</xdr:colOff>
      <xdr:row>13</xdr:row>
      <xdr:rowOff>9525</xdr:rowOff>
    </xdr:to>
    <xdr:sp macro="" textlink="">
      <xdr:nvSpPr>
        <xdr:cNvPr id="7" name="Flèche gauche 6"/>
        <xdr:cNvSpPr/>
      </xdr:nvSpPr>
      <xdr:spPr>
        <a:xfrm flipH="1">
          <a:off x="6029323" y="3305176"/>
          <a:ext cx="923925" cy="581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CA" sz="1100"/>
            <a:t>Colonne J</a:t>
          </a:r>
        </a:p>
      </xdr:txBody>
    </xdr:sp>
    <xdr:clientData/>
  </xdr:twoCellAnchor>
  <xdr:twoCellAnchor>
    <xdr:from>
      <xdr:col>0</xdr:col>
      <xdr:colOff>9525</xdr:colOff>
      <xdr:row>19</xdr:row>
      <xdr:rowOff>600075</xdr:rowOff>
    </xdr:from>
    <xdr:to>
      <xdr:col>0</xdr:col>
      <xdr:colOff>828675</xdr:colOff>
      <xdr:row>20</xdr:row>
      <xdr:rowOff>238125</xdr:rowOff>
    </xdr:to>
    <xdr:sp macro="" textlink="">
      <xdr:nvSpPr>
        <xdr:cNvPr id="9" name="Flèche gauche 8"/>
        <xdr:cNvSpPr/>
      </xdr:nvSpPr>
      <xdr:spPr>
        <a:xfrm flipH="1">
          <a:off x="9525" y="6448425"/>
          <a:ext cx="819150" cy="26670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CA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390525</xdr:colOff>
      <xdr:row>13</xdr:row>
      <xdr:rowOff>114300</xdr:rowOff>
    </xdr:from>
    <xdr:to>
      <xdr:col>8</xdr:col>
      <xdr:colOff>552450</xdr:colOff>
      <xdr:row>13</xdr:row>
      <xdr:rowOff>695324</xdr:rowOff>
    </xdr:to>
    <xdr:sp macro="" textlink="">
      <xdr:nvSpPr>
        <xdr:cNvPr id="10" name="Flèche gauche 9"/>
        <xdr:cNvSpPr/>
      </xdr:nvSpPr>
      <xdr:spPr>
        <a:xfrm flipH="1">
          <a:off x="6057900" y="3990975"/>
          <a:ext cx="923925" cy="581024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CA" sz="1100"/>
            <a:t>Colonne 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tabSelected="1" workbookViewId="0">
      <selection activeCell="A2" sqref="A2"/>
    </sheetView>
  </sheetViews>
  <sheetFormatPr baseColWidth="10" defaultRowHeight="15" x14ac:dyDescent="0.25"/>
  <cols>
    <col min="1" max="1" width="16.42578125" customWidth="1"/>
  </cols>
  <sheetData>
    <row r="2" spans="1:13" x14ac:dyDescent="0.25">
      <c r="B2" s="60" t="s">
        <v>30</v>
      </c>
      <c r="C2" s="60"/>
      <c r="D2" s="60"/>
      <c r="E2" s="60"/>
      <c r="F2" s="60"/>
      <c r="G2" s="60"/>
      <c r="H2" s="60"/>
    </row>
    <row r="3" spans="1:13" x14ac:dyDescent="0.25">
      <c r="B3" s="36"/>
      <c r="C3" s="36"/>
      <c r="D3" s="36"/>
      <c r="E3" s="36"/>
      <c r="F3" s="36"/>
      <c r="G3" s="36"/>
      <c r="H3" s="36"/>
    </row>
    <row r="4" spans="1:13" ht="29.25" customHeight="1" x14ac:dyDescent="0.25">
      <c r="A4" s="55" t="s">
        <v>47</v>
      </c>
      <c r="B4" s="61" t="s">
        <v>44</v>
      </c>
      <c r="C4" s="62"/>
      <c r="D4" s="62"/>
      <c r="E4" s="62"/>
      <c r="F4" s="62"/>
      <c r="G4" s="62"/>
      <c r="H4" s="62"/>
    </row>
    <row r="5" spans="1:13" x14ac:dyDescent="0.25">
      <c r="B5" s="37"/>
      <c r="C5" s="36"/>
      <c r="D5" s="36"/>
      <c r="E5" s="36"/>
      <c r="F5" s="36"/>
      <c r="G5" s="36"/>
      <c r="H5" s="36"/>
    </row>
    <row r="6" spans="1:13" x14ac:dyDescent="0.25">
      <c r="B6" s="60" t="s">
        <v>31</v>
      </c>
      <c r="C6" s="60"/>
      <c r="D6" s="60"/>
      <c r="E6" s="60"/>
      <c r="F6" s="60"/>
      <c r="G6" s="60"/>
      <c r="H6" s="35"/>
    </row>
    <row r="7" spans="1:13" x14ac:dyDescent="0.25">
      <c r="B7" s="35"/>
      <c r="C7" s="35"/>
      <c r="D7" s="35"/>
      <c r="E7" s="35"/>
      <c r="F7" s="35"/>
      <c r="G7" s="35"/>
      <c r="H7" s="35"/>
    </row>
    <row r="8" spans="1:13" x14ac:dyDescent="0.25">
      <c r="B8" s="35"/>
      <c r="C8" s="35"/>
      <c r="D8" s="35"/>
      <c r="E8" s="35"/>
      <c r="F8" s="35"/>
      <c r="G8" s="35"/>
      <c r="H8" s="35"/>
    </row>
    <row r="9" spans="1:13" x14ac:dyDescent="0.25">
      <c r="A9" s="54" t="s">
        <v>51</v>
      </c>
      <c r="B9" s="60" t="s">
        <v>32</v>
      </c>
      <c r="C9" s="60"/>
      <c r="D9" s="60"/>
      <c r="E9" s="60"/>
      <c r="F9" s="60"/>
      <c r="G9" s="60"/>
      <c r="H9" s="35"/>
    </row>
    <row r="10" spans="1:13" x14ac:dyDescent="0.25">
      <c r="B10" s="36"/>
      <c r="C10" s="36"/>
      <c r="D10" s="36"/>
      <c r="E10" s="36"/>
      <c r="F10" s="36"/>
      <c r="G10" s="36"/>
      <c r="H10" s="35"/>
    </row>
    <row r="11" spans="1:13" x14ac:dyDescent="0.25">
      <c r="B11" s="36"/>
      <c r="C11" s="36"/>
      <c r="D11" s="36"/>
      <c r="E11" s="36"/>
      <c r="F11" s="36"/>
      <c r="G11" s="36"/>
      <c r="H11" s="35"/>
    </row>
    <row r="12" spans="1:13" ht="66.75" customHeight="1" x14ac:dyDescent="0.25">
      <c r="A12" s="54" t="s">
        <v>52</v>
      </c>
      <c r="B12" s="63" t="s">
        <v>33</v>
      </c>
      <c r="C12" s="64"/>
      <c r="D12" s="64"/>
      <c r="E12" s="64"/>
      <c r="F12" s="64"/>
      <c r="G12" s="64"/>
      <c r="H12" s="35"/>
      <c r="J12" s="63" t="s">
        <v>36</v>
      </c>
      <c r="K12" s="64"/>
      <c r="L12" s="64"/>
      <c r="M12" s="64"/>
    </row>
    <row r="13" spans="1:13" ht="59.25" customHeight="1" x14ac:dyDescent="0.25">
      <c r="A13" s="54" t="s">
        <v>53</v>
      </c>
      <c r="B13" s="63" t="s">
        <v>34</v>
      </c>
      <c r="C13" s="64"/>
      <c r="D13" s="64"/>
      <c r="E13" s="64"/>
      <c r="F13" s="64"/>
      <c r="G13" s="64"/>
      <c r="H13" s="35"/>
      <c r="J13" s="63" t="s">
        <v>36</v>
      </c>
      <c r="K13" s="64"/>
      <c r="L13" s="64"/>
      <c r="M13" s="64"/>
    </row>
    <row r="14" spans="1:13" ht="61.5" customHeight="1" x14ac:dyDescent="0.25">
      <c r="A14" s="54" t="s">
        <v>54</v>
      </c>
      <c r="B14" s="63" t="s">
        <v>35</v>
      </c>
      <c r="C14" s="64"/>
      <c r="D14" s="64"/>
      <c r="E14" s="64"/>
      <c r="F14" s="64"/>
      <c r="G14" s="64"/>
      <c r="H14" s="35"/>
      <c r="J14" s="63" t="s">
        <v>37</v>
      </c>
      <c r="K14" s="64"/>
      <c r="L14" s="64"/>
      <c r="M14" s="64"/>
    </row>
    <row r="15" spans="1:13" x14ac:dyDescent="0.25">
      <c r="B15" s="35"/>
      <c r="C15" s="35"/>
      <c r="D15" s="35"/>
      <c r="E15" s="35"/>
      <c r="F15" s="35"/>
      <c r="G15" s="35"/>
      <c r="H15" s="35"/>
    </row>
    <row r="16" spans="1:13" x14ac:dyDescent="0.25">
      <c r="A16" s="54" t="s">
        <v>55</v>
      </c>
      <c r="B16" s="64" t="s">
        <v>48</v>
      </c>
      <c r="C16" s="64"/>
      <c r="D16" s="64"/>
      <c r="E16" s="64"/>
      <c r="F16" s="64"/>
      <c r="G16" s="64"/>
      <c r="H16" s="35"/>
    </row>
    <row r="18" spans="1:12" ht="36.75" customHeight="1" x14ac:dyDescent="0.25">
      <c r="A18" s="54" t="s">
        <v>56</v>
      </c>
      <c r="B18" s="68" t="s">
        <v>50</v>
      </c>
      <c r="C18" s="67"/>
      <c r="D18" s="67"/>
      <c r="E18" s="67"/>
      <c r="F18" s="67"/>
      <c r="G18" s="67"/>
      <c r="I18" s="54" t="s">
        <v>49</v>
      </c>
    </row>
    <row r="19" spans="1:12" ht="12" customHeight="1" x14ac:dyDescent="0.25">
      <c r="B19" s="38"/>
      <c r="C19" s="34"/>
      <c r="D19" s="34"/>
      <c r="E19" s="34"/>
      <c r="F19" s="34"/>
      <c r="G19" s="34"/>
    </row>
    <row r="20" spans="1:12" ht="49.5" customHeight="1" x14ac:dyDescent="0.25">
      <c r="B20" s="65" t="s">
        <v>38</v>
      </c>
      <c r="C20" s="66"/>
      <c r="D20" s="66"/>
      <c r="E20" s="66"/>
      <c r="F20" s="66"/>
      <c r="G20" s="66"/>
    </row>
    <row r="21" spans="1:12" ht="19.5" customHeight="1" x14ac:dyDescent="0.25">
      <c r="B21" s="39" t="s">
        <v>39</v>
      </c>
    </row>
    <row r="22" spans="1:12" x14ac:dyDescent="0.25">
      <c r="B22" s="24" t="s">
        <v>22</v>
      </c>
      <c r="C22" s="25"/>
      <c r="D22" s="25"/>
      <c r="E22" s="25"/>
      <c r="F22" s="26" t="s">
        <v>59</v>
      </c>
      <c r="G22" s="25"/>
      <c r="H22" s="27"/>
      <c r="K22" s="39"/>
      <c r="L22" s="39"/>
    </row>
    <row r="23" spans="1:12" x14ac:dyDescent="0.25">
      <c r="B23" s="28"/>
      <c r="C23" s="14"/>
      <c r="D23" s="14"/>
      <c r="E23" s="14"/>
      <c r="F23" s="29" t="s">
        <v>14</v>
      </c>
      <c r="G23" s="14"/>
      <c r="H23" s="30"/>
    </row>
    <row r="24" spans="1:12" x14ac:dyDescent="0.25">
      <c r="B24" s="28"/>
      <c r="C24" s="14"/>
      <c r="D24" s="14"/>
      <c r="E24" s="14"/>
      <c r="F24" s="29" t="s">
        <v>60</v>
      </c>
      <c r="G24" s="14"/>
      <c r="H24" s="30"/>
    </row>
    <row r="25" spans="1:12" x14ac:dyDescent="0.25">
      <c r="B25" s="28"/>
      <c r="C25" s="14"/>
      <c r="D25" s="14"/>
      <c r="E25" s="14"/>
      <c r="F25" s="29" t="s">
        <v>23</v>
      </c>
      <c r="G25" s="14"/>
      <c r="H25" s="30"/>
    </row>
    <row r="26" spans="1:12" x14ac:dyDescent="0.25">
      <c r="B26" s="28"/>
      <c r="C26" s="14"/>
      <c r="D26" s="14"/>
      <c r="E26" s="14"/>
      <c r="F26" s="29" t="s">
        <v>24</v>
      </c>
      <c r="G26" s="14"/>
      <c r="H26" s="30"/>
    </row>
    <row r="27" spans="1:12" x14ac:dyDescent="0.25">
      <c r="B27" s="28"/>
      <c r="C27" s="14"/>
      <c r="D27" s="14"/>
      <c r="E27" s="14"/>
      <c r="F27" s="29" t="s">
        <v>25</v>
      </c>
      <c r="G27" s="14"/>
      <c r="H27" s="30"/>
    </row>
    <row r="28" spans="1:12" x14ac:dyDescent="0.25">
      <c r="B28" s="28"/>
      <c r="C28" s="14"/>
      <c r="D28" s="14"/>
      <c r="E28" s="14"/>
      <c r="F28" s="29" t="s">
        <v>19</v>
      </c>
      <c r="G28" s="14"/>
      <c r="H28" s="30"/>
    </row>
    <row r="29" spans="1:12" x14ac:dyDescent="0.25">
      <c r="B29" s="28"/>
      <c r="C29" s="14"/>
      <c r="D29" s="14"/>
      <c r="E29" s="14"/>
      <c r="F29" s="29" t="s">
        <v>20</v>
      </c>
      <c r="G29" s="14"/>
      <c r="H29" s="30"/>
    </row>
    <row r="30" spans="1:12" x14ac:dyDescent="0.25">
      <c r="B30" s="28"/>
      <c r="C30" s="14"/>
      <c r="D30" s="14"/>
      <c r="E30" s="14"/>
      <c r="F30" s="29" t="s">
        <v>26</v>
      </c>
      <c r="G30" s="14"/>
      <c r="H30" s="30"/>
    </row>
    <row r="31" spans="1:12" x14ac:dyDescent="0.25">
      <c r="B31" s="31"/>
      <c r="C31" s="32"/>
      <c r="D31" s="32"/>
      <c r="E31" s="32"/>
      <c r="F31" s="32"/>
      <c r="G31" s="32"/>
      <c r="H31" s="33"/>
    </row>
    <row r="34" spans="3:6" x14ac:dyDescent="0.25">
      <c r="C34" s="67" t="s">
        <v>45</v>
      </c>
      <c r="D34" s="67"/>
      <c r="E34" s="67"/>
      <c r="F34" s="67"/>
    </row>
    <row r="35" spans="3:6" x14ac:dyDescent="0.25">
      <c r="C35" s="67" t="s">
        <v>46</v>
      </c>
      <c r="D35" s="67"/>
      <c r="E35" s="67"/>
      <c r="F35" s="67"/>
    </row>
  </sheetData>
  <mergeCells count="15">
    <mergeCell ref="B20:G20"/>
    <mergeCell ref="C34:F34"/>
    <mergeCell ref="C35:F35"/>
    <mergeCell ref="J12:M12"/>
    <mergeCell ref="J13:M13"/>
    <mergeCell ref="J14:M14"/>
    <mergeCell ref="B16:G16"/>
    <mergeCell ref="B18:G18"/>
    <mergeCell ref="B13:G13"/>
    <mergeCell ref="B14:G14"/>
    <mergeCell ref="B2:H2"/>
    <mergeCell ref="B4:H4"/>
    <mergeCell ref="B6:G6"/>
    <mergeCell ref="B9:G9"/>
    <mergeCell ref="B12:G12"/>
  </mergeCells>
  <hyperlinks>
    <hyperlink ref="F22" location="Éducatrice" display="Éducatrice formée"/>
    <hyperlink ref="F24" location="Responsable_alimentation" display="Responsable en alimentation"/>
    <hyperlink ref="F23" location="Éducatrice_non_qualifiée" display="Éducatrice non-formée"/>
    <hyperlink ref="F25" location="Adjointe_administrative" display="Adjointe-administrative"/>
    <hyperlink ref="F26" location="commis" display="Secrétaire commis comptable"/>
    <hyperlink ref="F27" location="préposée" display="Préposée"/>
    <hyperlink ref="F28" location="conseillere" display="Conseillère pédagogique"/>
    <hyperlink ref="F29" location="conformité" display="Agente de conformité"/>
    <hyperlink ref="F30" location="secretaire" display="Secrétaire réceptioniste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D8" sqref="D8"/>
    </sheetView>
  </sheetViews>
  <sheetFormatPr baseColWidth="10" defaultRowHeight="15" x14ac:dyDescent="0.25"/>
  <cols>
    <col min="1" max="1" width="11.42578125" style="19"/>
    <col min="2" max="2" width="11.42578125" style="15"/>
    <col min="3" max="3" width="11.42578125" style="19"/>
    <col min="4" max="4" width="11.42578125" style="15"/>
    <col min="5" max="5" width="6.42578125" style="19" customWidth="1"/>
    <col min="6" max="6" width="11.42578125" style="15"/>
    <col min="7" max="7" width="14.28515625" style="15" customWidth="1"/>
    <col min="8" max="8" width="5.42578125" style="19" customWidth="1"/>
    <col min="9" max="9" width="4.7109375" style="19" customWidth="1"/>
    <col min="10" max="10" width="11.42578125" style="15"/>
    <col min="11" max="11" width="5.85546875" style="19" customWidth="1"/>
    <col min="12" max="12" width="11.42578125" style="15"/>
    <col min="13" max="13" width="5.5703125" style="19" customWidth="1"/>
    <col min="14" max="15" width="11.42578125" style="15"/>
    <col min="16" max="16" width="11.42578125" style="19"/>
    <col min="17" max="16384" width="11.42578125" style="15"/>
  </cols>
  <sheetData>
    <row r="1" spans="1:21" x14ac:dyDescent="0.25">
      <c r="B1" s="19"/>
      <c r="D1" s="19"/>
      <c r="F1" s="19"/>
      <c r="G1" s="19"/>
      <c r="J1" s="19"/>
      <c r="L1" s="19"/>
      <c r="N1" s="19"/>
      <c r="O1" s="19"/>
      <c r="Q1" s="19"/>
      <c r="R1" s="19"/>
      <c r="S1" s="19"/>
      <c r="T1" s="19"/>
      <c r="U1" s="19"/>
    </row>
    <row r="2" spans="1:21" x14ac:dyDescent="0.25">
      <c r="B2" s="19"/>
      <c r="D2" s="19"/>
      <c r="F2" s="19"/>
      <c r="G2" s="19"/>
      <c r="J2" s="19"/>
      <c r="L2" s="19"/>
      <c r="N2" s="19"/>
      <c r="O2" s="19"/>
      <c r="Q2" s="19"/>
      <c r="R2" s="19"/>
      <c r="S2" s="19"/>
      <c r="T2" s="19"/>
      <c r="U2" s="19"/>
    </row>
    <row r="3" spans="1:21" ht="21" x14ac:dyDescent="0.35">
      <c r="A3" s="16"/>
      <c r="B3" s="51" t="s">
        <v>0</v>
      </c>
      <c r="C3" s="52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9"/>
      <c r="R3" s="19"/>
      <c r="S3" s="19"/>
      <c r="T3" s="19"/>
      <c r="U3" s="19"/>
    </row>
    <row r="4" spans="1:21" ht="57" x14ac:dyDescent="0.25">
      <c r="A4" s="16"/>
      <c r="B4" s="69" t="s">
        <v>1</v>
      </c>
      <c r="C4" s="17" t="s">
        <v>8</v>
      </c>
      <c r="D4" s="4" t="s">
        <v>2</v>
      </c>
      <c r="E4" s="17" t="s">
        <v>6</v>
      </c>
      <c r="F4" s="4" t="s">
        <v>9</v>
      </c>
      <c r="G4" s="45" t="s">
        <v>10</v>
      </c>
      <c r="H4" s="17"/>
      <c r="I4" s="17" t="s">
        <v>6</v>
      </c>
      <c r="J4" s="4" t="s">
        <v>9</v>
      </c>
      <c r="K4" s="17"/>
      <c r="L4" s="45" t="s">
        <v>10</v>
      </c>
      <c r="M4" s="17" t="s">
        <v>6</v>
      </c>
      <c r="N4" s="4" t="s">
        <v>9</v>
      </c>
      <c r="O4" s="45" t="s">
        <v>10</v>
      </c>
      <c r="P4" s="16"/>
      <c r="Q4" s="19"/>
      <c r="R4" s="19"/>
      <c r="S4" s="19"/>
      <c r="T4" s="19"/>
      <c r="U4" s="19"/>
    </row>
    <row r="5" spans="1:21" ht="60" x14ac:dyDescent="0.25">
      <c r="A5" s="16"/>
      <c r="B5" s="69"/>
      <c r="C5" s="17"/>
      <c r="D5" s="4" t="s">
        <v>3</v>
      </c>
      <c r="E5" s="17" t="s">
        <v>7</v>
      </c>
      <c r="F5" s="40" t="s">
        <v>27</v>
      </c>
      <c r="G5" s="45" t="s">
        <v>62</v>
      </c>
      <c r="H5" s="17"/>
      <c r="I5" s="17" t="s">
        <v>11</v>
      </c>
      <c r="J5" s="40" t="s">
        <v>28</v>
      </c>
      <c r="K5" s="16"/>
      <c r="L5" s="58" t="s">
        <v>65</v>
      </c>
      <c r="M5" s="17" t="s">
        <v>12</v>
      </c>
      <c r="N5" s="40" t="s">
        <v>29</v>
      </c>
      <c r="O5" s="45" t="s">
        <v>66</v>
      </c>
      <c r="P5" s="16"/>
      <c r="Q5" s="19"/>
      <c r="R5" s="19"/>
      <c r="S5" s="19"/>
      <c r="T5" s="19"/>
      <c r="U5" s="19"/>
    </row>
    <row r="6" spans="1:21" ht="28.5" x14ac:dyDescent="0.25">
      <c r="A6" s="16"/>
      <c r="B6" s="69"/>
      <c r="C6" s="17"/>
      <c r="D6" s="4" t="s">
        <v>4</v>
      </c>
      <c r="E6" s="20">
        <v>5.0000000000000001E-3</v>
      </c>
      <c r="F6" s="17"/>
      <c r="G6" s="17"/>
      <c r="H6" s="17"/>
      <c r="I6" s="20">
        <v>7.4999999999999997E-3</v>
      </c>
      <c r="J6" s="17"/>
      <c r="K6" s="16"/>
      <c r="L6" s="16"/>
      <c r="M6" s="20">
        <v>1.4999999999999999E-2</v>
      </c>
      <c r="N6" s="17"/>
      <c r="O6" s="17"/>
      <c r="P6" s="16"/>
      <c r="Q6" s="19"/>
      <c r="R6" s="19"/>
      <c r="S6" s="19"/>
      <c r="T6" s="19"/>
      <c r="U6" s="19"/>
    </row>
    <row r="7" spans="1:21" x14ac:dyDescent="0.25">
      <c r="A7" s="16"/>
      <c r="B7" s="69"/>
      <c r="C7" s="17"/>
      <c r="D7" s="17" t="s">
        <v>5</v>
      </c>
      <c r="E7" s="17"/>
      <c r="F7" s="17"/>
      <c r="G7" s="17"/>
      <c r="H7" s="17"/>
      <c r="I7" s="17"/>
      <c r="J7" s="17"/>
      <c r="K7" s="16"/>
      <c r="L7" s="16"/>
      <c r="M7" s="17"/>
      <c r="N7" s="17"/>
      <c r="O7" s="17"/>
      <c r="P7" s="16"/>
      <c r="Q7" s="19"/>
      <c r="R7" s="19"/>
      <c r="S7" s="19"/>
      <c r="T7" s="19"/>
      <c r="U7" s="19"/>
    </row>
    <row r="8" spans="1:21" x14ac:dyDescent="0.25">
      <c r="A8" s="16"/>
      <c r="B8" s="4">
        <v>10</v>
      </c>
      <c r="C8" s="17">
        <v>21.39</v>
      </c>
      <c r="D8" s="7">
        <v>21.65</v>
      </c>
      <c r="E8" s="21">
        <f t="shared" ref="E8:E17" si="0">+C8*a_2010_2011</f>
        <v>0.10695</v>
      </c>
      <c r="F8" s="8">
        <v>0</v>
      </c>
      <c r="G8" s="42"/>
      <c r="H8" s="21">
        <f t="shared" ref="H8:H17" si="1">+E8*F8</f>
        <v>0</v>
      </c>
      <c r="I8" s="21">
        <f t="shared" ref="I8:I17" si="2">(+C8+E8)*a_2011_2012</f>
        <v>0.161227125</v>
      </c>
      <c r="J8" s="8">
        <v>0</v>
      </c>
      <c r="K8" s="22">
        <f t="shared" ref="K8:K17" si="3">+J8*I8</f>
        <v>0</v>
      </c>
      <c r="L8" s="22"/>
      <c r="M8" s="22">
        <f t="shared" ref="M8:M17" si="4">(+C8+E8+I8)*a_2012_2013</f>
        <v>0.324872656875</v>
      </c>
      <c r="N8" s="10">
        <v>0</v>
      </c>
      <c r="O8" s="16"/>
      <c r="P8" s="22">
        <f t="shared" ref="P8:P17" si="5">+N8*M8</f>
        <v>0</v>
      </c>
      <c r="Q8" s="19"/>
      <c r="R8" s="19"/>
      <c r="S8" s="19"/>
      <c r="T8" s="19"/>
      <c r="U8" s="19"/>
    </row>
    <row r="9" spans="1:21" x14ac:dyDescent="0.25">
      <c r="A9" s="16"/>
      <c r="B9" s="4">
        <v>9</v>
      </c>
      <c r="C9" s="17">
        <v>20.72</v>
      </c>
      <c r="D9" s="7">
        <v>20.98</v>
      </c>
      <c r="E9" s="21">
        <f t="shared" si="0"/>
        <v>0.1036</v>
      </c>
      <c r="F9" s="8">
        <v>0</v>
      </c>
      <c r="G9" s="42"/>
      <c r="H9" s="21">
        <f t="shared" si="1"/>
        <v>0</v>
      </c>
      <c r="I9" s="21">
        <f t="shared" si="2"/>
        <v>0.15617699999999998</v>
      </c>
      <c r="J9" s="8">
        <v>0</v>
      </c>
      <c r="K9" s="22">
        <f t="shared" si="3"/>
        <v>0</v>
      </c>
      <c r="L9" s="22"/>
      <c r="M9" s="22">
        <f t="shared" si="4"/>
        <v>0.31469665499999999</v>
      </c>
      <c r="N9" s="10">
        <v>0</v>
      </c>
      <c r="O9" s="16"/>
      <c r="P9" s="22">
        <f t="shared" si="5"/>
        <v>0</v>
      </c>
      <c r="Q9" s="19"/>
      <c r="R9" s="19"/>
      <c r="S9" s="19"/>
      <c r="T9" s="19"/>
      <c r="U9" s="19"/>
    </row>
    <row r="10" spans="1:21" x14ac:dyDescent="0.25">
      <c r="A10" s="16"/>
      <c r="B10" s="4">
        <v>8</v>
      </c>
      <c r="C10" s="17">
        <v>20.07</v>
      </c>
      <c r="D10" s="7">
        <v>20.32</v>
      </c>
      <c r="E10" s="21">
        <f t="shared" si="0"/>
        <v>0.10035000000000001</v>
      </c>
      <c r="F10" s="8">
        <v>0</v>
      </c>
      <c r="G10" s="42"/>
      <c r="H10" s="21">
        <f t="shared" si="1"/>
        <v>0</v>
      </c>
      <c r="I10" s="21">
        <f t="shared" si="2"/>
        <v>0.151277625</v>
      </c>
      <c r="J10" s="8">
        <v>0</v>
      </c>
      <c r="K10" s="22">
        <f t="shared" si="3"/>
        <v>0</v>
      </c>
      <c r="L10" s="22"/>
      <c r="M10" s="22">
        <f t="shared" si="4"/>
        <v>0.30482441437499996</v>
      </c>
      <c r="N10" s="10">
        <v>0</v>
      </c>
      <c r="O10" s="16"/>
      <c r="P10" s="22">
        <f t="shared" si="5"/>
        <v>0</v>
      </c>
      <c r="Q10" s="19"/>
      <c r="R10" s="19"/>
      <c r="S10" s="19"/>
      <c r="T10" s="19"/>
      <c r="U10" s="19"/>
    </row>
    <row r="11" spans="1:21" x14ac:dyDescent="0.25">
      <c r="A11" s="16"/>
      <c r="B11" s="4">
        <v>7</v>
      </c>
      <c r="C11" s="17">
        <v>19.46</v>
      </c>
      <c r="D11" s="7">
        <v>19.71</v>
      </c>
      <c r="E11" s="21">
        <f t="shared" si="0"/>
        <v>9.7300000000000011E-2</v>
      </c>
      <c r="F11" s="8">
        <v>0</v>
      </c>
      <c r="G11" s="42"/>
      <c r="H11" s="21">
        <f t="shared" si="1"/>
        <v>0</v>
      </c>
      <c r="I11" s="21">
        <f t="shared" si="2"/>
        <v>0.14667975</v>
      </c>
      <c r="J11" s="8">
        <v>0</v>
      </c>
      <c r="K11" s="22">
        <f t="shared" si="3"/>
        <v>0</v>
      </c>
      <c r="L11" s="22"/>
      <c r="M11" s="22">
        <f t="shared" si="4"/>
        <v>0.29555969625</v>
      </c>
      <c r="N11" s="10">
        <v>0</v>
      </c>
      <c r="O11" s="16"/>
      <c r="P11" s="22">
        <f t="shared" si="5"/>
        <v>0</v>
      </c>
      <c r="Q11" s="19"/>
      <c r="R11" s="19"/>
      <c r="S11" s="19"/>
      <c r="T11" s="19"/>
      <c r="U11" s="19"/>
    </row>
    <row r="12" spans="1:21" x14ac:dyDescent="0.25">
      <c r="A12" s="16"/>
      <c r="B12" s="4">
        <v>6</v>
      </c>
      <c r="C12" s="17">
        <v>18.86</v>
      </c>
      <c r="D12" s="7">
        <v>19.100000000000001</v>
      </c>
      <c r="E12" s="21">
        <f t="shared" si="0"/>
        <v>9.4299999999999995E-2</v>
      </c>
      <c r="F12" s="8">
        <v>0</v>
      </c>
      <c r="G12" s="42"/>
      <c r="H12" s="21">
        <f t="shared" si="1"/>
        <v>0</v>
      </c>
      <c r="I12" s="21">
        <f t="shared" si="2"/>
        <v>0.14215724999999999</v>
      </c>
      <c r="J12" s="8">
        <v>0</v>
      </c>
      <c r="K12" s="22">
        <f t="shared" si="3"/>
        <v>0</v>
      </c>
      <c r="L12" s="22"/>
      <c r="M12" s="22">
        <f t="shared" si="4"/>
        <v>0.28644685874999998</v>
      </c>
      <c r="N12" s="10">
        <v>0</v>
      </c>
      <c r="O12" s="16"/>
      <c r="P12" s="22">
        <f t="shared" si="5"/>
        <v>0</v>
      </c>
      <c r="Q12" s="19"/>
      <c r="R12" s="19"/>
      <c r="S12" s="19"/>
      <c r="T12" s="19"/>
      <c r="U12" s="19"/>
    </row>
    <row r="13" spans="1:21" x14ac:dyDescent="0.25">
      <c r="A13" s="16"/>
      <c r="B13" s="4">
        <v>5</v>
      </c>
      <c r="C13" s="17">
        <v>18.27</v>
      </c>
      <c r="D13" s="7">
        <v>18.510000000000002</v>
      </c>
      <c r="E13" s="21">
        <f t="shared" si="0"/>
        <v>9.1350000000000001E-2</v>
      </c>
      <c r="F13" s="8">
        <v>0</v>
      </c>
      <c r="G13" s="42"/>
      <c r="H13" s="21">
        <f t="shared" si="1"/>
        <v>0</v>
      </c>
      <c r="I13" s="21">
        <f t="shared" si="2"/>
        <v>0.13771012499999999</v>
      </c>
      <c r="J13" s="8">
        <v>0</v>
      </c>
      <c r="K13" s="22">
        <f t="shared" si="3"/>
        <v>0</v>
      </c>
      <c r="L13" s="22"/>
      <c r="M13" s="22">
        <f t="shared" si="4"/>
        <v>0.277485901875</v>
      </c>
      <c r="N13" s="10">
        <v>0</v>
      </c>
      <c r="O13" s="16"/>
      <c r="P13" s="22">
        <f t="shared" si="5"/>
        <v>0</v>
      </c>
      <c r="Q13" s="19"/>
      <c r="R13" s="19"/>
      <c r="S13" s="19"/>
      <c r="T13" s="19"/>
      <c r="U13" s="19"/>
    </row>
    <row r="14" spans="1:21" x14ac:dyDescent="0.25">
      <c r="A14" s="16"/>
      <c r="B14" s="4">
        <v>4</v>
      </c>
      <c r="C14" s="17">
        <v>17.71</v>
      </c>
      <c r="D14" s="7">
        <v>17.95</v>
      </c>
      <c r="E14" s="21">
        <f t="shared" si="0"/>
        <v>8.8550000000000004E-2</v>
      </c>
      <c r="F14" s="8">
        <v>0</v>
      </c>
      <c r="G14" s="42"/>
      <c r="H14" s="21">
        <f t="shared" si="1"/>
        <v>0</v>
      </c>
      <c r="I14" s="21">
        <f t="shared" si="2"/>
        <v>0.13348912500000001</v>
      </c>
      <c r="J14" s="8">
        <v>0</v>
      </c>
      <c r="K14" s="22">
        <f t="shared" si="3"/>
        <v>0</v>
      </c>
      <c r="L14" s="22"/>
      <c r="M14" s="22">
        <f t="shared" si="4"/>
        <v>0.26898058687500004</v>
      </c>
      <c r="N14" s="10">
        <v>0</v>
      </c>
      <c r="O14" s="16"/>
      <c r="P14" s="22">
        <f t="shared" si="5"/>
        <v>0</v>
      </c>
      <c r="Q14" s="19"/>
      <c r="R14" s="19"/>
      <c r="S14" s="19"/>
      <c r="T14" s="19"/>
      <c r="U14" s="19"/>
    </row>
    <row r="15" spans="1:21" x14ac:dyDescent="0.25">
      <c r="A15" s="16"/>
      <c r="B15" s="4">
        <v>3</v>
      </c>
      <c r="C15" s="17">
        <v>17.2</v>
      </c>
      <c r="D15" s="7">
        <v>17.39</v>
      </c>
      <c r="E15" s="21">
        <f t="shared" si="0"/>
        <v>8.5999999999999993E-2</v>
      </c>
      <c r="F15" s="8">
        <v>0</v>
      </c>
      <c r="G15" s="42"/>
      <c r="H15" s="21">
        <f t="shared" si="1"/>
        <v>0</v>
      </c>
      <c r="I15" s="21">
        <f t="shared" si="2"/>
        <v>0.12964499999999998</v>
      </c>
      <c r="J15" s="8">
        <v>0</v>
      </c>
      <c r="K15" s="22">
        <f t="shared" si="3"/>
        <v>0</v>
      </c>
      <c r="L15" s="22"/>
      <c r="M15" s="22">
        <f t="shared" si="4"/>
        <v>0.26123467499999997</v>
      </c>
      <c r="N15" s="10">
        <v>0</v>
      </c>
      <c r="O15" s="16"/>
      <c r="P15" s="22">
        <f t="shared" si="5"/>
        <v>0</v>
      </c>
      <c r="Q15" s="19"/>
      <c r="R15" s="19"/>
      <c r="S15" s="19"/>
      <c r="T15" s="19"/>
      <c r="U15" s="19"/>
    </row>
    <row r="16" spans="1:21" x14ac:dyDescent="0.25">
      <c r="A16" s="16"/>
      <c r="B16" s="4">
        <v>2</v>
      </c>
      <c r="C16" s="17">
        <v>16.66</v>
      </c>
      <c r="D16" s="7">
        <v>16.86</v>
      </c>
      <c r="E16" s="21">
        <f t="shared" si="0"/>
        <v>8.3299999999999999E-2</v>
      </c>
      <c r="F16" s="8">
        <v>0</v>
      </c>
      <c r="G16" s="42"/>
      <c r="H16" s="21">
        <f t="shared" si="1"/>
        <v>0</v>
      </c>
      <c r="I16" s="21">
        <f t="shared" si="2"/>
        <v>0.12557475000000001</v>
      </c>
      <c r="J16" s="8">
        <v>0</v>
      </c>
      <c r="K16" s="22">
        <f t="shared" si="3"/>
        <v>0</v>
      </c>
      <c r="L16" s="22"/>
      <c r="M16" s="22">
        <f t="shared" si="4"/>
        <v>0.25303312124999999</v>
      </c>
      <c r="N16" s="10">
        <v>0</v>
      </c>
      <c r="O16" s="16"/>
      <c r="P16" s="22">
        <f t="shared" si="5"/>
        <v>0</v>
      </c>
      <c r="Q16" s="19"/>
      <c r="R16" s="19"/>
      <c r="S16" s="19"/>
      <c r="T16" s="19"/>
      <c r="U16" s="19"/>
    </row>
    <row r="17" spans="1:21" x14ac:dyDescent="0.25">
      <c r="A17" s="16"/>
      <c r="B17" s="4">
        <v>1</v>
      </c>
      <c r="C17" s="17">
        <v>16.14</v>
      </c>
      <c r="D17" s="7">
        <v>16.34</v>
      </c>
      <c r="E17" s="21">
        <f t="shared" si="0"/>
        <v>8.0700000000000008E-2</v>
      </c>
      <c r="F17" s="8">
        <v>0</v>
      </c>
      <c r="G17" s="42"/>
      <c r="H17" s="21">
        <f t="shared" si="1"/>
        <v>0</v>
      </c>
      <c r="I17" s="21">
        <f t="shared" si="2"/>
        <v>0.12165525000000001</v>
      </c>
      <c r="J17" s="8">
        <v>0</v>
      </c>
      <c r="K17" s="22">
        <f t="shared" si="3"/>
        <v>0</v>
      </c>
      <c r="L17" s="22"/>
      <c r="M17" s="22">
        <f t="shared" si="4"/>
        <v>0.24513532874999999</v>
      </c>
      <c r="N17" s="10">
        <v>0</v>
      </c>
      <c r="O17" s="16"/>
      <c r="P17" s="22">
        <f t="shared" si="5"/>
        <v>0</v>
      </c>
      <c r="Q17" s="19"/>
      <c r="R17" s="19"/>
      <c r="S17" s="19"/>
      <c r="T17" s="19"/>
      <c r="U17" s="19"/>
    </row>
    <row r="18" spans="1:21" x14ac:dyDescent="0.25">
      <c r="A18" s="16"/>
      <c r="B18" s="16"/>
      <c r="C18" s="16"/>
      <c r="D18" s="16"/>
      <c r="E18" s="16"/>
      <c r="F18" s="16"/>
      <c r="G18" s="43">
        <f>SUM(H8:H17)</f>
        <v>0</v>
      </c>
      <c r="H18" s="16"/>
      <c r="I18" s="16"/>
      <c r="J18" s="16"/>
      <c r="K18" s="16"/>
      <c r="L18" s="43">
        <f>+SUM(K8:K17)</f>
        <v>0</v>
      </c>
      <c r="M18" s="16"/>
      <c r="N18" s="16"/>
      <c r="O18" s="43">
        <f>+SUM(P8:P17)</f>
        <v>0</v>
      </c>
      <c r="P18" s="16"/>
      <c r="Q18" s="19"/>
      <c r="R18" s="19"/>
      <c r="S18" s="19"/>
      <c r="T18" s="19"/>
      <c r="U18" s="19"/>
    </row>
    <row r="19" spans="1:2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9"/>
      <c r="S19" s="19"/>
      <c r="T19" s="19"/>
      <c r="U19" s="19"/>
    </row>
    <row r="20" spans="1:21" ht="21" x14ac:dyDescent="0.35">
      <c r="A20" s="16"/>
      <c r="B20" s="50" t="s">
        <v>13</v>
      </c>
      <c r="C20" s="50"/>
      <c r="D20" s="18"/>
      <c r="E20" s="18"/>
      <c r="F20" s="18"/>
      <c r="G20" s="23">
        <f>+G18+L18+O18</f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9"/>
      <c r="S20" s="19"/>
      <c r="T20" s="19"/>
      <c r="U20" s="19"/>
    </row>
    <row r="21" spans="1:2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9"/>
      <c r="S21" s="19"/>
      <c r="T21" s="19"/>
      <c r="U21" s="19"/>
    </row>
    <row r="22" spans="1:21" x14ac:dyDescent="0.25">
      <c r="B22" s="19"/>
      <c r="D22" s="19"/>
      <c r="F22" s="19"/>
      <c r="G22" s="19"/>
      <c r="J22" s="19"/>
      <c r="L22" s="19"/>
      <c r="N22" s="19"/>
      <c r="O22" s="19"/>
      <c r="Q22" s="19"/>
      <c r="R22" s="19"/>
      <c r="S22" s="19"/>
      <c r="T22" s="19"/>
      <c r="U22" s="19"/>
    </row>
    <row r="23" spans="1:21" x14ac:dyDescent="0.25">
      <c r="B23" s="19"/>
      <c r="D23" s="19"/>
      <c r="F23" s="19"/>
      <c r="G23" s="19"/>
      <c r="J23" s="19"/>
      <c r="L23" s="19"/>
      <c r="N23" s="19"/>
      <c r="O23" s="19"/>
      <c r="Q23" s="19"/>
      <c r="R23" s="19"/>
      <c r="S23" s="19"/>
      <c r="T23" s="19"/>
      <c r="U23" s="19"/>
    </row>
    <row r="24" spans="1:21" x14ac:dyDescent="0.25">
      <c r="B24" s="19"/>
      <c r="D24" s="19"/>
      <c r="F24" s="19"/>
      <c r="G24" s="19"/>
      <c r="J24" s="19"/>
      <c r="L24" s="19"/>
      <c r="N24" s="19"/>
      <c r="O24" s="19"/>
      <c r="Q24" s="19"/>
      <c r="R24" s="19"/>
      <c r="S24" s="19"/>
      <c r="T24" s="19"/>
      <c r="U24" s="19"/>
    </row>
    <row r="25" spans="1:21" x14ac:dyDescent="0.25">
      <c r="B25" s="59" t="s">
        <v>57</v>
      </c>
      <c r="D25" s="19"/>
      <c r="F25" s="19"/>
      <c r="G25" s="19"/>
      <c r="J25" s="19"/>
      <c r="L25" s="19"/>
      <c r="N25" s="19"/>
      <c r="O25" s="19"/>
      <c r="Q25" s="19"/>
      <c r="R25" s="19"/>
      <c r="S25" s="19"/>
      <c r="T25" s="19"/>
      <c r="U25" s="19"/>
    </row>
    <row r="26" spans="1:21" x14ac:dyDescent="0.25">
      <c r="B26" s="19"/>
      <c r="D26" s="19"/>
      <c r="F26" s="19"/>
      <c r="G26" s="19"/>
      <c r="J26" s="19"/>
      <c r="L26" s="19"/>
      <c r="N26" s="19"/>
      <c r="O26" s="19"/>
      <c r="Q26" s="19"/>
      <c r="R26" s="19"/>
      <c r="S26" s="19"/>
      <c r="T26" s="19"/>
      <c r="U26" s="19"/>
    </row>
    <row r="27" spans="1:21" x14ac:dyDescent="0.25">
      <c r="D27" s="19"/>
      <c r="Q27" s="19"/>
      <c r="R27" s="19"/>
      <c r="S27" s="19"/>
      <c r="T27" s="19"/>
      <c r="U27" s="19"/>
    </row>
  </sheetData>
  <mergeCells count="1">
    <mergeCell ref="B4:B7"/>
  </mergeCells>
  <hyperlinks>
    <hyperlink ref="B25" location="explication" display="Pour retourner aux explications cliquer ici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selection activeCell="B1" sqref="B1"/>
    </sheetView>
  </sheetViews>
  <sheetFormatPr baseColWidth="10" defaultRowHeight="15" x14ac:dyDescent="0.25"/>
  <cols>
    <col min="1" max="1" width="11.42578125" style="16"/>
    <col min="2" max="2" width="11.42578125" style="3"/>
    <col min="3" max="3" width="11.42578125" style="16"/>
    <col min="4" max="4" width="11.42578125" style="3"/>
    <col min="5" max="5" width="4.7109375" style="16" customWidth="1"/>
    <col min="6" max="7" width="11.42578125" style="3"/>
    <col min="8" max="8" width="4.42578125" style="16" customWidth="1"/>
    <col min="9" max="9" width="5.28515625" style="16" customWidth="1"/>
    <col min="10" max="10" width="11.42578125" style="3"/>
    <col min="11" max="11" width="5" style="16" customWidth="1"/>
    <col min="12" max="12" width="11.42578125" style="3"/>
    <col min="13" max="13" width="6.5703125" style="16" customWidth="1"/>
    <col min="14" max="15" width="11.42578125" style="3"/>
    <col min="16" max="16" width="5" style="19" customWidth="1"/>
    <col min="17" max="16384" width="11.42578125" style="3"/>
  </cols>
  <sheetData>
    <row r="1" spans="2:20" x14ac:dyDescent="0.25">
      <c r="B1" s="52" t="s">
        <v>14</v>
      </c>
      <c r="C1" s="52"/>
      <c r="D1" s="16"/>
      <c r="F1" s="16"/>
      <c r="G1" s="16"/>
      <c r="J1" s="16"/>
      <c r="L1" s="16"/>
      <c r="N1" s="16"/>
      <c r="O1" s="16"/>
      <c r="Q1" s="16"/>
      <c r="R1" s="16"/>
      <c r="S1" s="16"/>
      <c r="T1" s="16"/>
    </row>
    <row r="2" spans="2:20" ht="57" x14ac:dyDescent="0.25">
      <c r="B2" s="69" t="s">
        <v>1</v>
      </c>
      <c r="C2" s="17" t="s">
        <v>8</v>
      </c>
      <c r="D2" s="4" t="s">
        <v>2</v>
      </c>
      <c r="E2" s="17" t="s">
        <v>6</v>
      </c>
      <c r="F2" s="4" t="s">
        <v>9</v>
      </c>
      <c r="G2" s="45" t="s">
        <v>10</v>
      </c>
      <c r="H2" s="17"/>
      <c r="I2" s="17" t="s">
        <v>6</v>
      </c>
      <c r="J2" s="4" t="s">
        <v>9</v>
      </c>
      <c r="K2" s="17"/>
      <c r="L2" s="45" t="s">
        <v>10</v>
      </c>
      <c r="M2" s="17" t="s">
        <v>6</v>
      </c>
      <c r="N2" s="4" t="s">
        <v>9</v>
      </c>
      <c r="O2" s="45" t="s">
        <v>10</v>
      </c>
      <c r="Q2" s="16"/>
      <c r="R2" s="16"/>
      <c r="S2" s="16"/>
      <c r="T2" s="16"/>
    </row>
    <row r="3" spans="2:20" ht="60" x14ac:dyDescent="0.25">
      <c r="B3" s="69"/>
      <c r="C3" s="17"/>
      <c r="D3" s="4" t="s">
        <v>3</v>
      </c>
      <c r="E3" s="17" t="s">
        <v>7</v>
      </c>
      <c r="F3" s="4" t="s">
        <v>15</v>
      </c>
      <c r="G3" s="57" t="s">
        <v>63</v>
      </c>
      <c r="H3" s="17"/>
      <c r="I3" s="17" t="s">
        <v>11</v>
      </c>
      <c r="J3" s="4" t="s">
        <v>15</v>
      </c>
      <c r="L3" s="58" t="s">
        <v>65</v>
      </c>
      <c r="M3" s="17" t="s">
        <v>12</v>
      </c>
      <c r="N3" s="4" t="s">
        <v>15</v>
      </c>
      <c r="O3" s="45" t="s">
        <v>66</v>
      </c>
      <c r="P3" s="16"/>
      <c r="Q3" s="16"/>
      <c r="R3" s="16"/>
      <c r="S3" s="16"/>
      <c r="T3" s="16"/>
    </row>
    <row r="4" spans="2:20" ht="28.5" x14ac:dyDescent="0.25">
      <c r="B4" s="69"/>
      <c r="C4" s="17"/>
      <c r="D4" s="4" t="s">
        <v>4</v>
      </c>
      <c r="E4" s="20">
        <v>5.0000000000000001E-3</v>
      </c>
      <c r="F4" s="40" t="s">
        <v>40</v>
      </c>
      <c r="G4" s="57" t="s">
        <v>64</v>
      </c>
      <c r="H4" s="17"/>
      <c r="I4" s="20">
        <v>7.4999999999999997E-3</v>
      </c>
      <c r="J4" s="40" t="s">
        <v>41</v>
      </c>
      <c r="L4" s="16"/>
      <c r="M4" s="20">
        <v>1.4999999999999999E-2</v>
      </c>
      <c r="N4" s="40" t="s">
        <v>42</v>
      </c>
      <c r="O4" s="17"/>
      <c r="P4" s="16"/>
      <c r="Q4" s="16"/>
      <c r="R4" s="16"/>
      <c r="S4" s="16"/>
      <c r="T4" s="16"/>
    </row>
    <row r="5" spans="2:20" x14ac:dyDescent="0.25">
      <c r="B5" s="69"/>
      <c r="C5" s="17"/>
      <c r="D5" s="4" t="s">
        <v>5</v>
      </c>
      <c r="E5" s="17"/>
      <c r="F5" s="17"/>
      <c r="G5" s="17"/>
      <c r="H5" s="17"/>
      <c r="I5" s="17"/>
      <c r="J5" s="17"/>
      <c r="L5" s="16"/>
      <c r="M5" s="17"/>
      <c r="N5" s="17"/>
      <c r="O5" s="17"/>
      <c r="P5" s="16"/>
      <c r="Q5" s="16"/>
      <c r="R5" s="16"/>
      <c r="S5" s="16"/>
      <c r="T5" s="16"/>
    </row>
    <row r="6" spans="2:20" x14ac:dyDescent="0.25">
      <c r="B6" s="4">
        <v>14</v>
      </c>
      <c r="C6" s="17">
        <v>21.39</v>
      </c>
      <c r="D6" s="7">
        <v>21.65</v>
      </c>
      <c r="E6" s="21">
        <f t="shared" ref="E6:E19" si="0">+C6*a_2010_2011</f>
        <v>0.10695</v>
      </c>
      <c r="F6" s="8">
        <v>0</v>
      </c>
      <c r="G6" s="42"/>
      <c r="H6" s="21">
        <f t="shared" ref="H6:H19" si="1">+E6*F6</f>
        <v>0</v>
      </c>
      <c r="I6" s="21">
        <f t="shared" ref="I6:I19" si="2">(+C6+E6)*a_2011_2012</f>
        <v>0.161227125</v>
      </c>
      <c r="J6" s="8">
        <v>0</v>
      </c>
      <c r="K6" s="22">
        <f t="shared" ref="K6:K19" si="3">+J6*I6</f>
        <v>0</v>
      </c>
      <c r="L6" s="22"/>
      <c r="M6" s="22">
        <f t="shared" ref="M6:M19" si="4">(+C6+E6+I6)*a_2012_2013</f>
        <v>0.324872656875</v>
      </c>
      <c r="N6" s="10">
        <v>0</v>
      </c>
      <c r="O6" s="16"/>
      <c r="P6" s="22">
        <f>+N6*M6</f>
        <v>0</v>
      </c>
      <c r="Q6" s="16"/>
      <c r="R6" s="16"/>
      <c r="S6" s="16"/>
      <c r="T6" s="16"/>
    </row>
    <row r="7" spans="2:20" x14ac:dyDescent="0.25">
      <c r="B7" s="4">
        <v>13</v>
      </c>
      <c r="C7" s="17">
        <v>20.72</v>
      </c>
      <c r="D7" s="7">
        <v>20.98</v>
      </c>
      <c r="E7" s="21">
        <f t="shared" si="0"/>
        <v>0.1036</v>
      </c>
      <c r="F7" s="8">
        <v>0</v>
      </c>
      <c r="G7" s="42"/>
      <c r="H7" s="21">
        <f t="shared" si="1"/>
        <v>0</v>
      </c>
      <c r="I7" s="21">
        <f t="shared" si="2"/>
        <v>0.15617699999999998</v>
      </c>
      <c r="J7" s="8">
        <v>0</v>
      </c>
      <c r="K7" s="22">
        <f t="shared" si="3"/>
        <v>0</v>
      </c>
      <c r="L7" s="22"/>
      <c r="M7" s="22">
        <f t="shared" si="4"/>
        <v>0.31469665499999999</v>
      </c>
      <c r="N7" s="10">
        <v>0</v>
      </c>
      <c r="O7" s="16"/>
      <c r="P7" s="22">
        <f t="shared" ref="P7:P19" si="5">+N7*M7</f>
        <v>0</v>
      </c>
      <c r="Q7" s="16"/>
      <c r="R7" s="16"/>
      <c r="S7" s="16"/>
      <c r="T7" s="16"/>
    </row>
    <row r="8" spans="2:20" x14ac:dyDescent="0.25">
      <c r="B8" s="4">
        <v>12</v>
      </c>
      <c r="C8" s="17">
        <v>20.07</v>
      </c>
      <c r="D8" s="7">
        <v>20.32</v>
      </c>
      <c r="E8" s="21">
        <f t="shared" si="0"/>
        <v>0.10035000000000001</v>
      </c>
      <c r="F8" s="8">
        <v>0</v>
      </c>
      <c r="G8" s="42"/>
      <c r="H8" s="21">
        <f t="shared" si="1"/>
        <v>0</v>
      </c>
      <c r="I8" s="21">
        <f t="shared" si="2"/>
        <v>0.151277625</v>
      </c>
      <c r="J8" s="8">
        <v>0</v>
      </c>
      <c r="K8" s="22">
        <f t="shared" si="3"/>
        <v>0</v>
      </c>
      <c r="L8" s="22"/>
      <c r="M8" s="22">
        <f t="shared" si="4"/>
        <v>0.30482441437499996</v>
      </c>
      <c r="N8" s="10">
        <v>0</v>
      </c>
      <c r="O8" s="16"/>
      <c r="P8" s="22">
        <f t="shared" si="5"/>
        <v>0</v>
      </c>
      <c r="Q8" s="16"/>
      <c r="R8" s="16"/>
      <c r="S8" s="16"/>
      <c r="T8" s="16"/>
    </row>
    <row r="9" spans="2:20" x14ac:dyDescent="0.25">
      <c r="B9" s="4">
        <v>11</v>
      </c>
      <c r="C9" s="17">
        <v>19.46</v>
      </c>
      <c r="D9" s="7">
        <v>19.71</v>
      </c>
      <c r="E9" s="21">
        <f t="shared" si="0"/>
        <v>9.7300000000000011E-2</v>
      </c>
      <c r="F9" s="8">
        <v>0</v>
      </c>
      <c r="G9" s="42"/>
      <c r="H9" s="21">
        <f t="shared" si="1"/>
        <v>0</v>
      </c>
      <c r="I9" s="21">
        <f t="shared" si="2"/>
        <v>0.14667975</v>
      </c>
      <c r="J9" s="8">
        <v>0</v>
      </c>
      <c r="K9" s="22">
        <f t="shared" si="3"/>
        <v>0</v>
      </c>
      <c r="L9" s="22"/>
      <c r="M9" s="22">
        <f t="shared" si="4"/>
        <v>0.29555969625</v>
      </c>
      <c r="N9" s="10">
        <v>0</v>
      </c>
      <c r="O9" s="16"/>
      <c r="P9" s="22">
        <f t="shared" si="5"/>
        <v>0</v>
      </c>
      <c r="Q9" s="16"/>
      <c r="R9" s="16"/>
      <c r="S9" s="16"/>
      <c r="T9" s="16"/>
    </row>
    <row r="10" spans="2:20" x14ac:dyDescent="0.25">
      <c r="B10" s="4">
        <v>10</v>
      </c>
      <c r="C10" s="17">
        <v>18.86</v>
      </c>
      <c r="D10" s="7">
        <v>19.100000000000001</v>
      </c>
      <c r="E10" s="21">
        <f t="shared" si="0"/>
        <v>9.4299999999999995E-2</v>
      </c>
      <c r="F10" s="8">
        <v>0</v>
      </c>
      <c r="G10" s="42"/>
      <c r="H10" s="21">
        <f t="shared" si="1"/>
        <v>0</v>
      </c>
      <c r="I10" s="21">
        <f t="shared" si="2"/>
        <v>0.14215724999999999</v>
      </c>
      <c r="J10" s="8">
        <v>0</v>
      </c>
      <c r="K10" s="22">
        <f t="shared" si="3"/>
        <v>0</v>
      </c>
      <c r="L10" s="22"/>
      <c r="M10" s="22">
        <f t="shared" si="4"/>
        <v>0.28644685874999998</v>
      </c>
      <c r="N10" s="10">
        <v>0</v>
      </c>
      <c r="O10" s="16"/>
      <c r="P10" s="22">
        <f t="shared" si="5"/>
        <v>0</v>
      </c>
      <c r="Q10" s="16"/>
      <c r="R10" s="16"/>
      <c r="S10" s="16"/>
      <c r="T10" s="16"/>
    </row>
    <row r="11" spans="2:20" x14ac:dyDescent="0.25">
      <c r="B11" s="4">
        <v>9</v>
      </c>
      <c r="C11" s="17">
        <v>18.27</v>
      </c>
      <c r="D11" s="7">
        <v>18.510000000000002</v>
      </c>
      <c r="E11" s="21">
        <f t="shared" si="0"/>
        <v>9.1350000000000001E-2</v>
      </c>
      <c r="F11" s="8">
        <v>0</v>
      </c>
      <c r="G11" s="42"/>
      <c r="H11" s="21">
        <f t="shared" si="1"/>
        <v>0</v>
      </c>
      <c r="I11" s="21">
        <f t="shared" si="2"/>
        <v>0.13771012499999999</v>
      </c>
      <c r="J11" s="8">
        <v>0</v>
      </c>
      <c r="K11" s="22">
        <f t="shared" si="3"/>
        <v>0</v>
      </c>
      <c r="L11" s="22"/>
      <c r="M11" s="22">
        <f t="shared" si="4"/>
        <v>0.277485901875</v>
      </c>
      <c r="N11" s="10">
        <v>0</v>
      </c>
      <c r="O11" s="16"/>
      <c r="P11" s="22">
        <f t="shared" si="5"/>
        <v>0</v>
      </c>
      <c r="Q11" s="16"/>
      <c r="R11" s="16"/>
      <c r="S11" s="16"/>
      <c r="T11" s="16"/>
    </row>
    <row r="12" spans="2:20" x14ac:dyDescent="0.25">
      <c r="B12" s="4">
        <v>8</v>
      </c>
      <c r="C12" s="17">
        <v>17.71</v>
      </c>
      <c r="D12" s="7">
        <v>17.95</v>
      </c>
      <c r="E12" s="21">
        <f t="shared" si="0"/>
        <v>8.8550000000000004E-2</v>
      </c>
      <c r="F12" s="8">
        <v>0</v>
      </c>
      <c r="G12" s="42"/>
      <c r="H12" s="21">
        <f t="shared" si="1"/>
        <v>0</v>
      </c>
      <c r="I12" s="21">
        <f t="shared" si="2"/>
        <v>0.13348912500000001</v>
      </c>
      <c r="J12" s="8">
        <v>0</v>
      </c>
      <c r="K12" s="22">
        <f t="shared" si="3"/>
        <v>0</v>
      </c>
      <c r="L12" s="22"/>
      <c r="M12" s="22">
        <f t="shared" si="4"/>
        <v>0.26898058687500004</v>
      </c>
      <c r="N12" s="10">
        <v>0</v>
      </c>
      <c r="O12" s="16"/>
      <c r="P12" s="22">
        <f t="shared" si="5"/>
        <v>0</v>
      </c>
      <c r="Q12" s="16"/>
      <c r="R12" s="16"/>
      <c r="S12" s="16"/>
      <c r="T12" s="16"/>
    </row>
    <row r="13" spans="2:20" x14ac:dyDescent="0.25">
      <c r="B13" s="4">
        <v>7</v>
      </c>
      <c r="C13" s="17">
        <v>17.2</v>
      </c>
      <c r="D13" s="7">
        <v>17.39</v>
      </c>
      <c r="E13" s="21">
        <f t="shared" si="0"/>
        <v>8.5999999999999993E-2</v>
      </c>
      <c r="F13" s="8">
        <v>0</v>
      </c>
      <c r="G13" s="42"/>
      <c r="H13" s="21">
        <f t="shared" si="1"/>
        <v>0</v>
      </c>
      <c r="I13" s="21">
        <f t="shared" si="2"/>
        <v>0.12964499999999998</v>
      </c>
      <c r="J13" s="8">
        <v>0</v>
      </c>
      <c r="K13" s="22">
        <f t="shared" si="3"/>
        <v>0</v>
      </c>
      <c r="L13" s="22"/>
      <c r="M13" s="22">
        <f t="shared" si="4"/>
        <v>0.26123467499999997</v>
      </c>
      <c r="N13" s="10">
        <v>0</v>
      </c>
      <c r="O13" s="16"/>
      <c r="P13" s="22">
        <f t="shared" si="5"/>
        <v>0</v>
      </c>
      <c r="Q13" s="16"/>
      <c r="R13" s="16"/>
      <c r="S13" s="16"/>
      <c r="T13" s="16"/>
    </row>
    <row r="14" spans="2:20" x14ac:dyDescent="0.25">
      <c r="B14" s="4">
        <v>6</v>
      </c>
      <c r="C14" s="17">
        <v>16.66</v>
      </c>
      <c r="D14" s="7">
        <v>16.86</v>
      </c>
      <c r="E14" s="21">
        <f t="shared" si="0"/>
        <v>8.3299999999999999E-2</v>
      </c>
      <c r="F14" s="8">
        <v>0</v>
      </c>
      <c r="G14" s="42"/>
      <c r="H14" s="21">
        <f t="shared" si="1"/>
        <v>0</v>
      </c>
      <c r="I14" s="21">
        <f t="shared" si="2"/>
        <v>0.12557475000000001</v>
      </c>
      <c r="J14" s="8">
        <v>0</v>
      </c>
      <c r="K14" s="22">
        <f t="shared" si="3"/>
        <v>0</v>
      </c>
      <c r="L14" s="22"/>
      <c r="M14" s="22">
        <f t="shared" si="4"/>
        <v>0.25303312124999999</v>
      </c>
      <c r="N14" s="10">
        <v>0</v>
      </c>
      <c r="O14" s="16"/>
      <c r="P14" s="22">
        <f t="shared" si="5"/>
        <v>0</v>
      </c>
      <c r="Q14" s="16"/>
      <c r="R14" s="16"/>
      <c r="S14" s="16"/>
      <c r="T14" s="16"/>
    </row>
    <row r="15" spans="2:20" x14ac:dyDescent="0.25">
      <c r="B15" s="4">
        <v>5</v>
      </c>
      <c r="C15" s="17">
        <v>16.14</v>
      </c>
      <c r="D15" s="7">
        <v>16.34</v>
      </c>
      <c r="E15" s="21">
        <f t="shared" si="0"/>
        <v>8.0700000000000008E-2</v>
      </c>
      <c r="F15" s="8">
        <v>0</v>
      </c>
      <c r="G15" s="42"/>
      <c r="H15" s="21">
        <f t="shared" si="1"/>
        <v>0</v>
      </c>
      <c r="I15" s="21">
        <f t="shared" si="2"/>
        <v>0.12165525000000001</v>
      </c>
      <c r="J15" s="8">
        <v>0</v>
      </c>
      <c r="K15" s="22">
        <f t="shared" si="3"/>
        <v>0</v>
      </c>
      <c r="L15" s="22"/>
      <c r="M15" s="22">
        <f t="shared" si="4"/>
        <v>0.24513532874999999</v>
      </c>
      <c r="N15" s="10">
        <v>0</v>
      </c>
      <c r="O15" s="16"/>
      <c r="P15" s="22">
        <f t="shared" si="5"/>
        <v>0</v>
      </c>
      <c r="Q15" s="16"/>
      <c r="R15" s="16"/>
      <c r="S15" s="16"/>
      <c r="T15" s="16"/>
    </row>
    <row r="16" spans="2:20" x14ac:dyDescent="0.25">
      <c r="B16" s="4">
        <v>4</v>
      </c>
      <c r="C16" s="17">
        <v>15.63</v>
      </c>
      <c r="D16" s="7">
        <v>15.83</v>
      </c>
      <c r="E16" s="21">
        <f t="shared" si="0"/>
        <v>7.8150000000000011E-2</v>
      </c>
      <c r="F16" s="8">
        <v>0</v>
      </c>
      <c r="G16" s="42"/>
      <c r="H16" s="21">
        <f t="shared" si="1"/>
        <v>0</v>
      </c>
      <c r="I16" s="21">
        <f t="shared" si="2"/>
        <v>0.117811125</v>
      </c>
      <c r="J16" s="8">
        <v>0</v>
      </c>
      <c r="K16" s="22">
        <f t="shared" si="3"/>
        <v>0</v>
      </c>
      <c r="L16" s="22"/>
      <c r="M16" s="22">
        <f t="shared" si="4"/>
        <v>0.23738941687500001</v>
      </c>
      <c r="N16" s="10">
        <v>0</v>
      </c>
      <c r="O16" s="16"/>
      <c r="P16" s="22">
        <f t="shared" si="5"/>
        <v>0</v>
      </c>
      <c r="Q16" s="16"/>
      <c r="R16" s="16"/>
      <c r="S16" s="16"/>
      <c r="T16" s="16"/>
    </row>
    <row r="17" spans="2:20" x14ac:dyDescent="0.25">
      <c r="B17" s="4">
        <v>3</v>
      </c>
      <c r="C17" s="17">
        <v>15.19</v>
      </c>
      <c r="D17" s="7">
        <v>15.37</v>
      </c>
      <c r="E17" s="21">
        <f t="shared" si="0"/>
        <v>7.5950000000000004E-2</v>
      </c>
      <c r="F17" s="8">
        <v>0</v>
      </c>
      <c r="G17" s="42"/>
      <c r="H17" s="21">
        <f t="shared" si="1"/>
        <v>0</v>
      </c>
      <c r="I17" s="21">
        <f t="shared" si="2"/>
        <v>0.114494625</v>
      </c>
      <c r="J17" s="8">
        <v>0</v>
      </c>
      <c r="K17" s="22">
        <f t="shared" si="3"/>
        <v>0</v>
      </c>
      <c r="L17" s="22"/>
      <c r="M17" s="22">
        <f t="shared" si="4"/>
        <v>0.23070666937500001</v>
      </c>
      <c r="N17" s="10">
        <v>0</v>
      </c>
      <c r="O17" s="16"/>
      <c r="P17" s="22">
        <f t="shared" si="5"/>
        <v>0</v>
      </c>
      <c r="Q17" s="16"/>
      <c r="R17" s="16"/>
      <c r="S17" s="16"/>
      <c r="T17" s="16"/>
    </row>
    <row r="18" spans="2:20" x14ac:dyDescent="0.25">
      <c r="B18" s="4">
        <v>2</v>
      </c>
      <c r="C18" s="17">
        <v>14.72</v>
      </c>
      <c r="D18" s="7">
        <v>14.9</v>
      </c>
      <c r="E18" s="21">
        <f t="shared" si="0"/>
        <v>7.3599999999999999E-2</v>
      </c>
      <c r="F18" s="8">
        <v>0</v>
      </c>
      <c r="G18" s="42"/>
      <c r="H18" s="21">
        <f t="shared" si="1"/>
        <v>0</v>
      </c>
      <c r="I18" s="21">
        <f t="shared" si="2"/>
        <v>0.11095200000000001</v>
      </c>
      <c r="J18" s="8">
        <v>0</v>
      </c>
      <c r="K18" s="22">
        <f t="shared" si="3"/>
        <v>0</v>
      </c>
      <c r="L18" s="22"/>
      <c r="M18" s="22">
        <f t="shared" si="4"/>
        <v>0.22356828000000001</v>
      </c>
      <c r="N18" s="10">
        <v>0</v>
      </c>
      <c r="O18" s="16"/>
      <c r="P18" s="22">
        <f t="shared" si="5"/>
        <v>0</v>
      </c>
      <c r="Q18" s="16"/>
      <c r="R18" s="16"/>
      <c r="S18" s="16"/>
      <c r="T18" s="16"/>
    </row>
    <row r="19" spans="2:20" x14ac:dyDescent="0.25">
      <c r="B19" s="4">
        <v>1</v>
      </c>
      <c r="C19" s="17">
        <v>14.26</v>
      </c>
      <c r="D19" s="7">
        <v>14.43</v>
      </c>
      <c r="E19" s="21">
        <f t="shared" si="0"/>
        <v>7.1300000000000002E-2</v>
      </c>
      <c r="F19" s="8">
        <v>0</v>
      </c>
      <c r="G19" s="42"/>
      <c r="H19" s="21">
        <f t="shared" si="1"/>
        <v>0</v>
      </c>
      <c r="I19" s="21">
        <f t="shared" si="2"/>
        <v>0.10748475</v>
      </c>
      <c r="J19" s="8">
        <v>0</v>
      </c>
      <c r="K19" s="22">
        <f t="shared" si="3"/>
        <v>0</v>
      </c>
      <c r="L19" s="22"/>
      <c r="M19" s="22">
        <f t="shared" si="4"/>
        <v>0.21658177125</v>
      </c>
      <c r="N19" s="10">
        <v>0</v>
      </c>
      <c r="O19" s="16"/>
      <c r="P19" s="22">
        <f t="shared" si="5"/>
        <v>0</v>
      </c>
      <c r="Q19" s="16"/>
      <c r="R19" s="16"/>
      <c r="S19" s="16"/>
      <c r="T19" s="16"/>
    </row>
    <row r="20" spans="2:20" x14ac:dyDescent="0.25">
      <c r="B20" s="16"/>
      <c r="D20" s="16"/>
      <c r="F20" s="16"/>
      <c r="G20" s="43">
        <f>SUM(H6:H19)</f>
        <v>0</v>
      </c>
      <c r="J20" s="16"/>
      <c r="L20" s="43">
        <f>+SUM(K6:K19)</f>
        <v>0</v>
      </c>
      <c r="N20" s="16"/>
      <c r="O20" s="43">
        <f>+SUM(P6:P19)</f>
        <v>0</v>
      </c>
      <c r="P20" s="16"/>
      <c r="Q20" s="16"/>
      <c r="R20" s="16"/>
      <c r="S20" s="16"/>
      <c r="T20" s="16"/>
    </row>
    <row r="21" spans="2:20" x14ac:dyDescent="0.25">
      <c r="B21" s="16"/>
      <c r="D21" s="16"/>
      <c r="F21" s="16"/>
      <c r="G21" s="16"/>
      <c r="J21" s="16"/>
      <c r="L21" s="16"/>
      <c r="N21" s="16"/>
      <c r="O21" s="16"/>
      <c r="P21" s="16"/>
      <c r="Q21" s="16"/>
      <c r="R21" s="16"/>
      <c r="S21" s="16"/>
      <c r="T21" s="16"/>
    </row>
    <row r="22" spans="2:20" x14ac:dyDescent="0.25">
      <c r="B22" s="50" t="s">
        <v>13</v>
      </c>
      <c r="C22" s="50"/>
      <c r="D22" s="18"/>
      <c r="E22" s="18"/>
      <c r="F22" s="18"/>
      <c r="G22" s="11">
        <f>+G20+L20+O20</f>
        <v>0</v>
      </c>
      <c r="J22" s="16"/>
      <c r="L22" s="16"/>
      <c r="N22" s="16"/>
      <c r="O22" s="16"/>
      <c r="Q22" s="16"/>
      <c r="R22" s="16"/>
      <c r="S22" s="16"/>
      <c r="T22" s="16"/>
    </row>
    <row r="23" spans="2:20" x14ac:dyDescent="0.25">
      <c r="B23" s="16"/>
      <c r="D23" s="16"/>
      <c r="F23" s="16"/>
      <c r="G23" s="16"/>
      <c r="J23" s="16"/>
      <c r="L23" s="16"/>
      <c r="N23" s="16"/>
      <c r="O23" s="16"/>
      <c r="Q23" s="16"/>
      <c r="R23" s="16"/>
      <c r="S23" s="16"/>
      <c r="T23" s="16"/>
    </row>
    <row r="24" spans="2:20" x14ac:dyDescent="0.25">
      <c r="B24" s="16"/>
      <c r="D24" s="16"/>
      <c r="F24" s="16"/>
      <c r="G24" s="16"/>
      <c r="J24" s="16"/>
      <c r="L24" s="16"/>
      <c r="N24" s="16"/>
      <c r="O24" s="16"/>
      <c r="Q24" s="16"/>
      <c r="R24" s="16"/>
      <c r="S24" s="16"/>
      <c r="T24" s="16"/>
    </row>
    <row r="25" spans="2:20" x14ac:dyDescent="0.25">
      <c r="B25" s="16"/>
      <c r="D25" s="16"/>
      <c r="F25" s="16"/>
      <c r="G25" s="16"/>
      <c r="J25" s="16"/>
      <c r="L25" s="16"/>
      <c r="N25" s="16"/>
      <c r="O25" s="16"/>
      <c r="Q25" s="16"/>
      <c r="R25" s="16"/>
      <c r="S25" s="16"/>
      <c r="T25" s="16"/>
    </row>
    <row r="26" spans="2:20" x14ac:dyDescent="0.25">
      <c r="B26" s="59" t="s">
        <v>57</v>
      </c>
      <c r="D26" s="16"/>
      <c r="F26" s="16"/>
      <c r="G26" s="16"/>
      <c r="J26" s="16"/>
      <c r="L26" s="16"/>
      <c r="N26" s="16"/>
      <c r="O26" s="16"/>
      <c r="Q26" s="16"/>
      <c r="R26" s="16"/>
      <c r="S26" s="16"/>
      <c r="T26" s="16"/>
    </row>
    <row r="27" spans="2:20" x14ac:dyDescent="0.25">
      <c r="B27" s="16"/>
      <c r="D27" s="16"/>
      <c r="F27" s="16"/>
      <c r="G27" s="16"/>
      <c r="J27" s="16"/>
      <c r="L27" s="16"/>
      <c r="N27" s="16"/>
      <c r="O27" s="16"/>
      <c r="Q27" s="16"/>
      <c r="R27" s="16"/>
      <c r="S27" s="16"/>
      <c r="T27" s="16"/>
    </row>
    <row r="28" spans="2:20" x14ac:dyDescent="0.25">
      <c r="B28" s="16"/>
      <c r="D28" s="16"/>
      <c r="F28" s="16"/>
      <c r="G28" s="16"/>
      <c r="J28" s="16"/>
      <c r="L28" s="16"/>
      <c r="N28" s="16"/>
      <c r="O28" s="16"/>
      <c r="Q28" s="16"/>
      <c r="R28" s="16"/>
      <c r="S28" s="16"/>
      <c r="T28" s="16"/>
    </row>
    <row r="29" spans="2:20" x14ac:dyDescent="0.25">
      <c r="B29" s="16"/>
      <c r="D29" s="16"/>
      <c r="F29" s="16"/>
      <c r="G29" s="16"/>
      <c r="J29" s="16"/>
      <c r="L29" s="16"/>
      <c r="N29" s="16"/>
      <c r="O29" s="16"/>
      <c r="Q29" s="16"/>
      <c r="R29" s="16"/>
      <c r="S29" s="16"/>
      <c r="T29" s="16"/>
    </row>
  </sheetData>
  <mergeCells count="1">
    <mergeCell ref="B2:B5"/>
  </mergeCells>
  <hyperlinks>
    <hyperlink ref="B26" location="explication" display="Pour retourner aux explications cliquer ici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selection activeCell="B1" sqref="B1"/>
    </sheetView>
  </sheetViews>
  <sheetFormatPr baseColWidth="10" defaultRowHeight="15" x14ac:dyDescent="0.25"/>
  <cols>
    <col min="1" max="1" width="11.42578125" style="41"/>
    <col min="2" max="2" width="14.5703125" customWidth="1"/>
    <col min="3" max="3" width="4.28515625" style="41" customWidth="1"/>
    <col min="5" max="5" width="3.5703125" style="41" customWidth="1"/>
    <col min="8" max="8" width="3.28515625" style="41" customWidth="1"/>
    <col min="9" max="9" width="4.28515625" style="41" customWidth="1"/>
    <col min="11" max="11" width="4.7109375" style="41" customWidth="1"/>
    <col min="13" max="13" width="4.5703125" style="41" customWidth="1"/>
    <col min="16" max="16" width="6" style="41" customWidth="1"/>
  </cols>
  <sheetData>
    <row r="1" spans="2:20" ht="54" customHeight="1" x14ac:dyDescent="0.25">
      <c r="B1" s="53" t="s">
        <v>61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41"/>
      <c r="R1" s="41"/>
      <c r="S1" s="41"/>
      <c r="T1" s="41"/>
    </row>
    <row r="2" spans="2:20" ht="85.5" x14ac:dyDescent="0.25">
      <c r="B2" s="69" t="s">
        <v>1</v>
      </c>
      <c r="C2" s="17" t="s">
        <v>8</v>
      </c>
      <c r="D2" s="4" t="s">
        <v>2</v>
      </c>
      <c r="E2" s="17" t="s">
        <v>6</v>
      </c>
      <c r="F2" s="4" t="s">
        <v>9</v>
      </c>
      <c r="G2" s="5" t="s">
        <v>10</v>
      </c>
      <c r="H2" s="17"/>
      <c r="I2" s="17" t="s">
        <v>6</v>
      </c>
      <c r="J2" s="4" t="s">
        <v>9</v>
      </c>
      <c r="K2" s="17"/>
      <c r="L2" s="5" t="s">
        <v>10</v>
      </c>
      <c r="M2" s="17" t="s">
        <v>6</v>
      </c>
      <c r="N2" s="4" t="s">
        <v>9</v>
      </c>
      <c r="O2" s="5" t="s">
        <v>10</v>
      </c>
      <c r="P2" s="16"/>
      <c r="Q2" s="41"/>
      <c r="R2" s="41"/>
      <c r="S2" s="41"/>
      <c r="T2" s="41"/>
    </row>
    <row r="3" spans="2:20" ht="60" x14ac:dyDescent="0.25">
      <c r="B3" s="69"/>
      <c r="C3" s="17"/>
      <c r="D3" s="4" t="s">
        <v>3</v>
      </c>
      <c r="E3" s="17" t="s">
        <v>7</v>
      </c>
      <c r="F3" s="4" t="s">
        <v>15</v>
      </c>
      <c r="G3" s="57" t="s">
        <v>63</v>
      </c>
      <c r="H3" s="17"/>
      <c r="I3" s="17" t="s">
        <v>11</v>
      </c>
      <c r="J3" s="4" t="s">
        <v>15</v>
      </c>
      <c r="K3" s="16"/>
      <c r="L3" s="58" t="s">
        <v>65</v>
      </c>
      <c r="M3" s="17" t="s">
        <v>12</v>
      </c>
      <c r="N3" s="4" t="s">
        <v>15</v>
      </c>
      <c r="O3" s="45" t="s">
        <v>66</v>
      </c>
      <c r="P3" s="16"/>
      <c r="Q3" s="41"/>
      <c r="R3" s="41"/>
      <c r="S3" s="41"/>
      <c r="T3" s="41"/>
    </row>
    <row r="4" spans="2:20" ht="28.5" x14ac:dyDescent="0.25">
      <c r="B4" s="69"/>
      <c r="C4" s="17"/>
      <c r="D4" s="4" t="s">
        <v>4</v>
      </c>
      <c r="E4" s="20">
        <v>5.0000000000000001E-3</v>
      </c>
      <c r="F4" s="40" t="s">
        <v>41</v>
      </c>
      <c r="G4" s="57" t="s">
        <v>64</v>
      </c>
      <c r="H4" s="17"/>
      <c r="I4" s="20">
        <v>7.4999999999999997E-3</v>
      </c>
      <c r="J4" s="40" t="s">
        <v>42</v>
      </c>
      <c r="K4" s="16"/>
      <c r="L4" s="16"/>
      <c r="M4" s="20">
        <v>1.4999999999999999E-2</v>
      </c>
      <c r="N4" s="40" t="s">
        <v>43</v>
      </c>
      <c r="O4" s="17"/>
      <c r="P4" s="16"/>
      <c r="Q4" s="41"/>
      <c r="R4" s="41"/>
      <c r="S4" s="41"/>
      <c r="T4" s="41"/>
    </row>
    <row r="5" spans="2:20" x14ac:dyDescent="0.25">
      <c r="B5" s="69"/>
      <c r="C5" s="17"/>
      <c r="D5" s="4" t="s">
        <v>5</v>
      </c>
      <c r="E5" s="17"/>
      <c r="F5" s="17"/>
      <c r="G5" s="17"/>
      <c r="H5" s="17"/>
      <c r="I5" s="17"/>
      <c r="J5" s="17"/>
      <c r="K5" s="16"/>
      <c r="L5" s="16"/>
      <c r="M5" s="17"/>
      <c r="N5" s="17"/>
      <c r="O5" s="17"/>
      <c r="P5" s="16"/>
      <c r="Q5" s="41"/>
      <c r="R5" s="41"/>
      <c r="S5" s="41"/>
      <c r="T5" s="41"/>
    </row>
    <row r="6" spans="2:20" x14ac:dyDescent="0.25">
      <c r="B6" s="4">
        <v>6</v>
      </c>
      <c r="C6" s="17">
        <v>17.62</v>
      </c>
      <c r="D6" s="7">
        <v>17.78</v>
      </c>
      <c r="E6" s="21">
        <f t="shared" ref="E6:E11" si="0">+C6*a_2010_2011</f>
        <v>8.8100000000000012E-2</v>
      </c>
      <c r="F6" s="8">
        <v>0</v>
      </c>
      <c r="G6" s="42"/>
      <c r="H6" s="21">
        <f t="shared" ref="H6:H11" si="1">+E6*F6</f>
        <v>0</v>
      </c>
      <c r="I6" s="21">
        <f t="shared" ref="I6:I11" si="2">(+C6+E6)*a_2011_2012</f>
        <v>0.13281075000000001</v>
      </c>
      <c r="J6" s="8">
        <v>0</v>
      </c>
      <c r="K6" s="22">
        <f t="shared" ref="K6:K11" si="3">+J6*I6</f>
        <v>0</v>
      </c>
      <c r="L6" s="22"/>
      <c r="M6" s="22">
        <f t="shared" ref="M6:M11" si="4">(+C6+E6+I6)*a_2012_2013</f>
        <v>0.26761366125000002</v>
      </c>
      <c r="N6" s="10">
        <v>0</v>
      </c>
      <c r="O6" s="16"/>
      <c r="P6" s="22">
        <f>+M6*N6</f>
        <v>0</v>
      </c>
      <c r="Q6" s="41"/>
      <c r="R6" s="41"/>
      <c r="S6" s="41"/>
      <c r="T6" s="41"/>
    </row>
    <row r="7" spans="2:20" x14ac:dyDescent="0.25">
      <c r="B7" s="4">
        <v>5</v>
      </c>
      <c r="C7" s="17">
        <v>16.93</v>
      </c>
      <c r="D7" s="7">
        <v>17.100000000000001</v>
      </c>
      <c r="E7" s="21">
        <f t="shared" si="0"/>
        <v>8.4650000000000003E-2</v>
      </c>
      <c r="F7" s="8">
        <v>0</v>
      </c>
      <c r="G7" s="42"/>
      <c r="H7" s="21">
        <f t="shared" si="1"/>
        <v>0</v>
      </c>
      <c r="I7" s="21">
        <f t="shared" si="2"/>
        <v>0.12760987499999998</v>
      </c>
      <c r="J7" s="8">
        <v>0</v>
      </c>
      <c r="K7" s="22">
        <f t="shared" si="3"/>
        <v>0</v>
      </c>
      <c r="L7" s="22"/>
      <c r="M7" s="22">
        <f t="shared" si="4"/>
        <v>0.25713389812499998</v>
      </c>
      <c r="N7" s="10">
        <v>0</v>
      </c>
      <c r="O7" s="16"/>
      <c r="P7" s="22">
        <f t="shared" ref="P7:P11" si="5">+M7*N7</f>
        <v>0</v>
      </c>
      <c r="Q7" s="41"/>
      <c r="R7" s="41"/>
      <c r="S7" s="41"/>
      <c r="T7" s="41"/>
    </row>
    <row r="8" spans="2:20" x14ac:dyDescent="0.25">
      <c r="B8" s="4">
        <v>4</v>
      </c>
      <c r="C8" s="17">
        <v>16.27</v>
      </c>
      <c r="D8" s="7">
        <v>16.420000000000002</v>
      </c>
      <c r="E8" s="21">
        <f t="shared" si="0"/>
        <v>8.1350000000000006E-2</v>
      </c>
      <c r="F8" s="8">
        <v>0</v>
      </c>
      <c r="G8" s="42"/>
      <c r="H8" s="21">
        <f t="shared" si="1"/>
        <v>0</v>
      </c>
      <c r="I8" s="21">
        <f t="shared" si="2"/>
        <v>0.122635125</v>
      </c>
      <c r="J8" s="8">
        <v>0</v>
      </c>
      <c r="K8" s="22">
        <f t="shared" si="3"/>
        <v>0</v>
      </c>
      <c r="L8" s="22"/>
      <c r="M8" s="22">
        <f t="shared" si="4"/>
        <v>0.24710977687499996</v>
      </c>
      <c r="N8" s="10">
        <v>0</v>
      </c>
      <c r="O8" s="16"/>
      <c r="P8" s="22">
        <f t="shared" si="5"/>
        <v>0</v>
      </c>
      <c r="Q8" s="41"/>
      <c r="R8" s="41"/>
      <c r="S8" s="41"/>
      <c r="T8" s="41"/>
    </row>
    <row r="9" spans="2:20" x14ac:dyDescent="0.25">
      <c r="B9" s="4">
        <v>3</v>
      </c>
      <c r="C9" s="17">
        <v>15.64</v>
      </c>
      <c r="D9" s="7">
        <v>15.77</v>
      </c>
      <c r="E9" s="21">
        <f t="shared" si="0"/>
        <v>7.8200000000000006E-2</v>
      </c>
      <c r="F9" s="8">
        <v>0</v>
      </c>
      <c r="G9" s="42"/>
      <c r="H9" s="21">
        <f t="shared" si="1"/>
        <v>0</v>
      </c>
      <c r="I9" s="21">
        <f t="shared" si="2"/>
        <v>0.11788650000000001</v>
      </c>
      <c r="J9" s="8">
        <v>0</v>
      </c>
      <c r="K9" s="22">
        <f t="shared" si="3"/>
        <v>0</v>
      </c>
      <c r="L9" s="22"/>
      <c r="M9" s="22">
        <f t="shared" si="4"/>
        <v>0.2375412975</v>
      </c>
      <c r="N9" s="10">
        <v>0</v>
      </c>
      <c r="O9" s="16"/>
      <c r="P9" s="22">
        <f t="shared" si="5"/>
        <v>0</v>
      </c>
      <c r="Q9" s="41"/>
      <c r="R9" s="41"/>
      <c r="S9" s="41"/>
      <c r="T9" s="41"/>
    </row>
    <row r="10" spans="2:20" x14ac:dyDescent="0.25">
      <c r="B10" s="4">
        <v>2</v>
      </c>
      <c r="C10" s="17">
        <v>15.03</v>
      </c>
      <c r="D10" s="7">
        <v>15.15</v>
      </c>
      <c r="E10" s="21">
        <f t="shared" si="0"/>
        <v>7.5149999999999995E-2</v>
      </c>
      <c r="F10" s="8">
        <v>0</v>
      </c>
      <c r="G10" s="42"/>
      <c r="H10" s="21">
        <f t="shared" si="1"/>
        <v>0</v>
      </c>
      <c r="I10" s="21">
        <f t="shared" si="2"/>
        <v>0.11328862499999999</v>
      </c>
      <c r="J10" s="8">
        <v>0</v>
      </c>
      <c r="K10" s="22">
        <f t="shared" si="3"/>
        <v>0</v>
      </c>
      <c r="L10" s="22"/>
      <c r="M10" s="22">
        <f t="shared" si="4"/>
        <v>0.22827657937499998</v>
      </c>
      <c r="N10" s="10">
        <v>0</v>
      </c>
      <c r="O10" s="16"/>
      <c r="P10" s="22">
        <f t="shared" si="5"/>
        <v>0</v>
      </c>
      <c r="Q10" s="41"/>
      <c r="R10" s="41"/>
      <c r="S10" s="41"/>
      <c r="T10" s="41"/>
    </row>
    <row r="11" spans="2:20" x14ac:dyDescent="0.25">
      <c r="B11" s="4">
        <v>1</v>
      </c>
      <c r="C11" s="17">
        <v>14.41</v>
      </c>
      <c r="D11" s="7">
        <v>14.55</v>
      </c>
      <c r="E11" s="21">
        <f t="shared" si="0"/>
        <v>7.2050000000000003E-2</v>
      </c>
      <c r="F11" s="8">
        <v>0</v>
      </c>
      <c r="G11" s="42"/>
      <c r="H11" s="21">
        <f t="shared" si="1"/>
        <v>0</v>
      </c>
      <c r="I11" s="21">
        <f t="shared" si="2"/>
        <v>0.108615375</v>
      </c>
      <c r="J11" s="8">
        <v>0</v>
      </c>
      <c r="K11" s="22">
        <f t="shared" si="3"/>
        <v>0</v>
      </c>
      <c r="L11" s="22"/>
      <c r="M11" s="22">
        <f t="shared" si="4"/>
        <v>0.21885998062500001</v>
      </c>
      <c r="N11" s="10">
        <v>0</v>
      </c>
      <c r="O11" s="16"/>
      <c r="P11" s="22">
        <f t="shared" si="5"/>
        <v>0</v>
      </c>
      <c r="Q11" s="41"/>
      <c r="R11" s="41"/>
      <c r="S11" s="41"/>
      <c r="T11" s="41"/>
    </row>
    <row r="12" spans="2:20" x14ac:dyDescent="0.25">
      <c r="B12" s="16"/>
      <c r="C12" s="16"/>
      <c r="D12" s="16"/>
      <c r="E12" s="16"/>
      <c r="F12" s="16"/>
      <c r="G12" s="9">
        <f>SUM(H6:H11)</f>
        <v>0</v>
      </c>
      <c r="H12" s="16"/>
      <c r="I12" s="16"/>
      <c r="J12" s="16"/>
      <c r="K12" s="16"/>
      <c r="L12" s="44">
        <f>+SUM(K6:K11)</f>
        <v>0</v>
      </c>
      <c r="M12" s="16"/>
      <c r="N12" s="16"/>
      <c r="O12" s="44">
        <f>+SUM(P6:P11)</f>
        <v>0</v>
      </c>
      <c r="P12" s="16"/>
      <c r="Q12" s="41"/>
      <c r="R12" s="41"/>
      <c r="S12" s="41"/>
      <c r="T12" s="41"/>
    </row>
    <row r="13" spans="2:20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41"/>
      <c r="R13" s="41"/>
      <c r="S13" s="41"/>
      <c r="T13" s="41"/>
    </row>
    <row r="14" spans="2:20" x14ac:dyDescent="0.25">
      <c r="B14" s="50" t="s">
        <v>13</v>
      </c>
      <c r="C14" s="50"/>
      <c r="D14" s="50"/>
      <c r="E14" s="18"/>
      <c r="F14" s="18"/>
      <c r="G14" s="11">
        <f>+G12+L12+O12</f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41"/>
      <c r="R14" s="41"/>
      <c r="S14" s="41"/>
      <c r="T14" s="41"/>
    </row>
    <row r="15" spans="2:20" x14ac:dyDescent="0.25">
      <c r="B15" s="41"/>
      <c r="D15" s="41"/>
      <c r="F15" s="41"/>
      <c r="G15" s="41"/>
      <c r="J15" s="41"/>
      <c r="L15" s="41"/>
      <c r="N15" s="41"/>
      <c r="O15" s="41"/>
      <c r="Q15" s="41"/>
      <c r="R15" s="41"/>
      <c r="S15" s="41"/>
      <c r="T15" s="41"/>
    </row>
    <row r="16" spans="2:20" x14ac:dyDescent="0.25">
      <c r="B16" s="41"/>
      <c r="D16" s="41"/>
      <c r="F16" s="41"/>
      <c r="G16" s="41"/>
      <c r="J16" s="41"/>
      <c r="L16" s="41"/>
      <c r="N16" s="41"/>
      <c r="O16" s="41"/>
      <c r="Q16" s="41"/>
      <c r="R16" s="41"/>
      <c r="S16" s="41"/>
      <c r="T16" s="41"/>
    </row>
    <row r="17" spans="2:20" x14ac:dyDescent="0.25">
      <c r="B17" s="41"/>
      <c r="D17" s="41"/>
      <c r="F17" s="41"/>
      <c r="G17" s="41"/>
      <c r="J17" s="41"/>
      <c r="L17" s="41"/>
      <c r="N17" s="41"/>
      <c r="O17" s="41"/>
      <c r="Q17" s="41"/>
      <c r="R17" s="41"/>
      <c r="S17" s="41"/>
      <c r="T17" s="41"/>
    </row>
    <row r="18" spans="2:20" x14ac:dyDescent="0.25">
      <c r="B18" s="41"/>
      <c r="D18" s="41"/>
      <c r="F18" s="41"/>
      <c r="G18" s="41"/>
      <c r="J18" s="41"/>
      <c r="L18" s="41"/>
      <c r="N18" s="41"/>
      <c r="O18" s="41"/>
      <c r="Q18" s="41"/>
      <c r="R18" s="41"/>
      <c r="S18" s="41"/>
      <c r="T18" s="41"/>
    </row>
    <row r="19" spans="2:20" x14ac:dyDescent="0.25">
      <c r="B19" s="41"/>
      <c r="D19" s="41"/>
      <c r="F19" s="41"/>
      <c r="G19" s="41"/>
      <c r="J19" s="41"/>
      <c r="L19" s="41"/>
      <c r="N19" s="41"/>
      <c r="O19" s="41"/>
      <c r="Q19" s="41"/>
      <c r="R19" s="41"/>
      <c r="S19" s="41"/>
      <c r="T19" s="41"/>
    </row>
    <row r="20" spans="2:20" x14ac:dyDescent="0.25">
      <c r="B20" s="41"/>
      <c r="D20" s="41"/>
      <c r="F20" s="41"/>
      <c r="G20" s="41"/>
      <c r="J20" s="41"/>
      <c r="L20" s="41"/>
      <c r="N20" s="41"/>
      <c r="O20" s="41"/>
      <c r="Q20" s="41"/>
      <c r="R20" s="41"/>
      <c r="S20" s="41"/>
      <c r="T20" s="41"/>
    </row>
    <row r="21" spans="2:20" x14ac:dyDescent="0.25">
      <c r="B21" s="41"/>
      <c r="D21" s="41"/>
      <c r="F21" s="41"/>
      <c r="G21" s="41"/>
      <c r="J21" s="41"/>
      <c r="L21" s="41"/>
      <c r="N21" s="41"/>
      <c r="O21" s="41"/>
      <c r="Q21" s="41"/>
      <c r="R21" s="41"/>
      <c r="S21" s="41"/>
      <c r="T21" s="41"/>
    </row>
    <row r="22" spans="2:20" x14ac:dyDescent="0.25">
      <c r="B22" s="59" t="s">
        <v>57</v>
      </c>
      <c r="D22" s="41"/>
      <c r="F22" s="41"/>
      <c r="G22" s="41"/>
      <c r="J22" s="41"/>
      <c r="L22" s="41"/>
      <c r="N22" s="41"/>
      <c r="O22" s="41"/>
      <c r="Q22" s="41"/>
      <c r="R22" s="41"/>
      <c r="S22" s="41"/>
      <c r="T22" s="41"/>
    </row>
    <row r="23" spans="2:20" x14ac:dyDescent="0.25">
      <c r="B23" s="41"/>
      <c r="D23" s="41"/>
      <c r="F23" s="41"/>
      <c r="G23" s="41"/>
      <c r="J23" s="41"/>
      <c r="L23" s="41"/>
      <c r="N23" s="41"/>
      <c r="O23" s="41"/>
      <c r="Q23" s="41"/>
      <c r="R23" s="41"/>
      <c r="S23" s="41"/>
      <c r="T23" s="41"/>
    </row>
    <row r="24" spans="2:20" x14ac:dyDescent="0.25">
      <c r="B24" s="41"/>
      <c r="D24" s="41"/>
      <c r="F24" s="41"/>
      <c r="G24" s="41"/>
      <c r="J24" s="41"/>
      <c r="L24" s="41"/>
      <c r="N24" s="41"/>
      <c r="O24" s="41"/>
      <c r="Q24" s="41"/>
      <c r="R24" s="41"/>
      <c r="S24" s="41"/>
      <c r="T24" s="41"/>
    </row>
    <row r="25" spans="2:20" x14ac:dyDescent="0.25">
      <c r="B25" s="41"/>
      <c r="D25" s="41"/>
      <c r="F25" s="41"/>
      <c r="G25" s="41"/>
      <c r="J25" s="41"/>
      <c r="L25" s="41"/>
      <c r="N25" s="41"/>
      <c r="O25" s="41"/>
      <c r="Q25" s="41"/>
      <c r="R25" s="41"/>
      <c r="S25" s="41"/>
      <c r="T25" s="41"/>
    </row>
    <row r="26" spans="2:20" x14ac:dyDescent="0.25">
      <c r="B26" s="41"/>
      <c r="D26" s="41"/>
      <c r="F26" s="41"/>
      <c r="G26" s="41"/>
      <c r="J26" s="41"/>
      <c r="L26" s="41"/>
      <c r="N26" s="41"/>
      <c r="O26" s="41"/>
      <c r="Q26" s="41"/>
      <c r="R26" s="41"/>
      <c r="S26" s="41"/>
      <c r="T26" s="41"/>
    </row>
    <row r="27" spans="2:20" x14ac:dyDescent="0.25">
      <c r="B27" s="41"/>
      <c r="D27" s="41"/>
      <c r="F27" s="41"/>
      <c r="G27" s="41"/>
      <c r="J27" s="41"/>
      <c r="L27" s="41"/>
      <c r="N27" s="41"/>
      <c r="O27" s="41"/>
      <c r="Q27" s="41"/>
      <c r="R27" s="41"/>
      <c r="S27" s="41"/>
      <c r="T27" s="41"/>
    </row>
    <row r="28" spans="2:20" x14ac:dyDescent="0.25">
      <c r="B28" s="41"/>
      <c r="D28" s="41"/>
      <c r="F28" s="41"/>
      <c r="G28" s="41"/>
      <c r="J28" s="41"/>
      <c r="L28" s="41"/>
      <c r="N28" s="41"/>
      <c r="O28" s="41"/>
      <c r="Q28" s="41"/>
      <c r="R28" s="41"/>
      <c r="S28" s="41"/>
      <c r="T28" s="41"/>
    </row>
    <row r="29" spans="2:20" x14ac:dyDescent="0.25">
      <c r="B29" s="41"/>
      <c r="D29" s="41"/>
      <c r="F29" s="41"/>
      <c r="G29" s="41"/>
      <c r="J29" s="41"/>
      <c r="L29" s="41"/>
      <c r="N29" s="41"/>
      <c r="O29" s="41"/>
      <c r="Q29" s="41"/>
      <c r="R29" s="41"/>
      <c r="S29" s="41"/>
      <c r="T29" s="41"/>
    </row>
    <row r="30" spans="2:20" x14ac:dyDescent="0.25">
      <c r="B30" s="41"/>
      <c r="D30" s="41"/>
      <c r="F30" s="41"/>
      <c r="G30" s="41"/>
      <c r="J30" s="41"/>
      <c r="L30" s="41"/>
      <c r="N30" s="41"/>
      <c r="O30" s="41"/>
      <c r="Q30" s="41"/>
      <c r="R30" s="41"/>
      <c r="S30" s="41"/>
      <c r="T30" s="41"/>
    </row>
    <row r="31" spans="2:20" x14ac:dyDescent="0.25">
      <c r="B31" s="41"/>
      <c r="D31" s="41"/>
      <c r="F31" s="41"/>
      <c r="G31" s="41"/>
      <c r="J31" s="41"/>
      <c r="L31" s="41"/>
      <c r="N31" s="41"/>
      <c r="O31" s="41"/>
      <c r="Q31" s="41"/>
      <c r="R31" s="41"/>
      <c r="S31" s="41"/>
      <c r="T31" s="41"/>
    </row>
    <row r="32" spans="2:20" x14ac:dyDescent="0.25">
      <c r="B32" s="41"/>
      <c r="D32" s="41"/>
      <c r="F32" s="41"/>
      <c r="G32" s="41"/>
      <c r="J32" s="41"/>
      <c r="L32" s="41"/>
      <c r="N32" s="41"/>
      <c r="O32" s="41"/>
      <c r="Q32" s="41"/>
      <c r="R32" s="41"/>
      <c r="S32" s="41"/>
      <c r="T32" s="41"/>
    </row>
    <row r="33" spans="2:20" x14ac:dyDescent="0.25">
      <c r="B33" s="41"/>
      <c r="D33" s="41"/>
      <c r="F33" s="41"/>
      <c r="G33" s="41"/>
      <c r="J33" s="41"/>
      <c r="L33" s="41"/>
      <c r="N33" s="41"/>
      <c r="O33" s="41"/>
      <c r="Q33" s="41"/>
      <c r="R33" s="41"/>
      <c r="S33" s="41"/>
      <c r="T33" s="41"/>
    </row>
    <row r="34" spans="2:20" x14ac:dyDescent="0.25">
      <c r="B34" s="41"/>
      <c r="D34" s="41"/>
      <c r="F34" s="41"/>
      <c r="G34" s="41"/>
      <c r="J34" s="41"/>
      <c r="L34" s="41"/>
      <c r="N34" s="41"/>
      <c r="O34" s="41"/>
      <c r="Q34" s="41"/>
      <c r="R34" s="41"/>
      <c r="S34" s="41"/>
      <c r="T34" s="41"/>
    </row>
    <row r="35" spans="2:20" x14ac:dyDescent="0.25">
      <c r="B35" s="41"/>
      <c r="D35" s="41"/>
      <c r="F35" s="41"/>
      <c r="G35" s="41"/>
      <c r="J35" s="41"/>
      <c r="L35" s="41"/>
      <c r="N35" s="41"/>
      <c r="O35" s="41"/>
      <c r="Q35" s="41"/>
      <c r="R35" s="41"/>
      <c r="S35" s="41"/>
      <c r="T35" s="41"/>
    </row>
    <row r="36" spans="2:20" x14ac:dyDescent="0.25">
      <c r="B36" s="41"/>
      <c r="D36" s="41"/>
      <c r="F36" s="41"/>
      <c r="G36" s="41"/>
      <c r="J36" s="41"/>
      <c r="L36" s="41"/>
      <c r="N36" s="41"/>
      <c r="O36" s="41"/>
      <c r="Q36" s="41"/>
      <c r="R36" s="41"/>
      <c r="S36" s="41"/>
      <c r="T36" s="41"/>
    </row>
    <row r="37" spans="2:20" x14ac:dyDescent="0.25">
      <c r="B37" s="41"/>
      <c r="D37" s="41"/>
      <c r="F37" s="41"/>
      <c r="G37" s="41"/>
      <c r="J37" s="41"/>
      <c r="L37" s="41"/>
      <c r="N37" s="41"/>
      <c r="O37" s="41"/>
      <c r="Q37" s="41"/>
      <c r="R37" s="41"/>
      <c r="S37" s="41"/>
      <c r="T37" s="41"/>
    </row>
  </sheetData>
  <mergeCells count="1">
    <mergeCell ref="B2:B5"/>
  </mergeCells>
  <hyperlinks>
    <hyperlink ref="B22" location="explication" display="Pour retourner aux explications cliquer ici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>
      <selection activeCell="E2" sqref="E2"/>
    </sheetView>
  </sheetViews>
  <sheetFormatPr baseColWidth="10" defaultRowHeight="15" x14ac:dyDescent="0.25"/>
  <cols>
    <col min="1" max="1" width="11.42578125" style="41"/>
    <col min="3" max="3" width="4.140625" style="41" customWidth="1"/>
    <col min="5" max="5" width="4.140625" style="41" customWidth="1"/>
    <col min="7" max="7" width="12.7109375" customWidth="1"/>
    <col min="8" max="8" width="3.7109375" style="41" customWidth="1"/>
    <col min="9" max="9" width="4.5703125" style="41" customWidth="1"/>
    <col min="11" max="11" width="4.5703125" style="41" customWidth="1"/>
    <col min="13" max="13" width="4" style="41" customWidth="1"/>
    <col min="16" max="16" width="11.42578125" style="41"/>
  </cols>
  <sheetData>
    <row r="1" spans="2:22" s="41" customFormat="1" x14ac:dyDescent="0.25"/>
    <row r="2" spans="2:22" x14ac:dyDescent="0.25">
      <c r="B2" s="52" t="s">
        <v>16</v>
      </c>
      <c r="C2" s="52"/>
      <c r="D2" s="5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41"/>
      <c r="R2" s="41"/>
      <c r="S2" s="41"/>
      <c r="T2" s="41"/>
      <c r="U2" s="41"/>
      <c r="V2" s="41"/>
    </row>
    <row r="3" spans="2:22" ht="99.75" x14ac:dyDescent="0.25">
      <c r="B3" s="69" t="s">
        <v>1</v>
      </c>
      <c r="C3" s="17" t="s">
        <v>8</v>
      </c>
      <c r="D3" s="4" t="s">
        <v>2</v>
      </c>
      <c r="E3" s="17" t="s">
        <v>6</v>
      </c>
      <c r="F3" s="4" t="s">
        <v>9</v>
      </c>
      <c r="G3" s="5" t="s">
        <v>10</v>
      </c>
      <c r="H3" s="17"/>
      <c r="I3" s="17" t="s">
        <v>6</v>
      </c>
      <c r="J3" s="4" t="s">
        <v>9</v>
      </c>
      <c r="K3" s="17"/>
      <c r="L3" s="5" t="s">
        <v>10</v>
      </c>
      <c r="M3" s="17" t="s">
        <v>6</v>
      </c>
      <c r="N3" s="4" t="s">
        <v>9</v>
      </c>
      <c r="O3" s="5" t="s">
        <v>10</v>
      </c>
      <c r="P3" s="16"/>
      <c r="Q3" s="41"/>
      <c r="R3" s="41"/>
      <c r="S3" s="41"/>
      <c r="T3" s="41"/>
      <c r="U3" s="41"/>
      <c r="V3" s="41"/>
    </row>
    <row r="4" spans="2:22" ht="60" x14ac:dyDescent="0.25">
      <c r="B4" s="69"/>
      <c r="C4" s="17"/>
      <c r="D4" s="4" t="s">
        <v>3</v>
      </c>
      <c r="E4" s="17" t="s">
        <v>7</v>
      </c>
      <c r="F4" s="4" t="s">
        <v>15</v>
      </c>
      <c r="G4" s="57" t="s">
        <v>63</v>
      </c>
      <c r="H4" s="17"/>
      <c r="I4" s="17" t="s">
        <v>11</v>
      </c>
      <c r="J4" s="4" t="s">
        <v>15</v>
      </c>
      <c r="K4" s="16"/>
      <c r="L4" s="58" t="s">
        <v>65</v>
      </c>
      <c r="M4" s="17" t="s">
        <v>12</v>
      </c>
      <c r="N4" s="4" t="s">
        <v>15</v>
      </c>
      <c r="O4" s="45" t="s">
        <v>66</v>
      </c>
      <c r="P4" s="16"/>
      <c r="Q4" s="41"/>
      <c r="R4" s="41"/>
      <c r="S4" s="41"/>
      <c r="T4" s="41"/>
      <c r="U4" s="41"/>
      <c r="V4" s="41"/>
    </row>
    <row r="5" spans="2:22" ht="28.5" x14ac:dyDescent="0.25">
      <c r="B5" s="69"/>
      <c r="C5" s="17"/>
      <c r="D5" s="4" t="s">
        <v>4</v>
      </c>
      <c r="E5" s="20">
        <v>5.0000000000000001E-3</v>
      </c>
      <c r="F5" s="40" t="s">
        <v>40</v>
      </c>
      <c r="G5" s="57" t="s">
        <v>64</v>
      </c>
      <c r="H5" s="17"/>
      <c r="I5" s="20">
        <v>7.4999999999999997E-3</v>
      </c>
      <c r="J5" s="40" t="s">
        <v>41</v>
      </c>
      <c r="K5" s="16"/>
      <c r="L5" s="16"/>
      <c r="M5" s="20">
        <v>1.4999999999999999E-2</v>
      </c>
      <c r="N5" s="40" t="s">
        <v>42</v>
      </c>
      <c r="O5" s="17"/>
      <c r="P5" s="16"/>
      <c r="Q5" s="41"/>
      <c r="R5" s="41"/>
      <c r="S5" s="41"/>
      <c r="T5" s="41"/>
      <c r="U5" s="41"/>
      <c r="V5" s="41"/>
    </row>
    <row r="6" spans="2:22" x14ac:dyDescent="0.25">
      <c r="B6" s="69"/>
      <c r="C6" s="17"/>
      <c r="D6" s="4" t="s">
        <v>5</v>
      </c>
      <c r="E6" s="17"/>
      <c r="F6" s="17"/>
      <c r="G6" s="17"/>
      <c r="H6" s="17"/>
      <c r="I6" s="17"/>
      <c r="J6" s="17"/>
      <c r="K6" s="16"/>
      <c r="L6" s="16"/>
      <c r="M6" s="17"/>
      <c r="N6" s="17"/>
      <c r="O6" s="17"/>
      <c r="P6" s="16"/>
      <c r="Q6" s="41"/>
      <c r="R6" s="41"/>
      <c r="S6" s="41"/>
      <c r="T6" s="41"/>
      <c r="U6" s="41"/>
      <c r="V6" s="41"/>
    </row>
    <row r="7" spans="2:22" x14ac:dyDescent="0.25">
      <c r="B7" s="4">
        <v>10</v>
      </c>
      <c r="C7" s="21">
        <v>21.66</v>
      </c>
      <c r="D7" s="7">
        <v>21.65</v>
      </c>
      <c r="E7" s="21">
        <f t="shared" ref="E7:E16" si="0">+C7*a_2010_2011</f>
        <v>0.10830000000000001</v>
      </c>
      <c r="F7" s="8">
        <v>0</v>
      </c>
      <c r="G7" s="42"/>
      <c r="H7" s="21">
        <f t="shared" ref="H7:H16" si="1">+E7*F7</f>
        <v>0</v>
      </c>
      <c r="I7" s="21">
        <f t="shared" ref="I7:I16" si="2">(+C7+E7)*a_2011_2012</f>
        <v>0.16326225</v>
      </c>
      <c r="J7" s="8">
        <v>0</v>
      </c>
      <c r="K7" s="22">
        <f t="shared" ref="K7:K16" si="3">+J7*I7</f>
        <v>0</v>
      </c>
      <c r="L7" s="22"/>
      <c r="M7" s="22">
        <f t="shared" ref="M7:M16" si="4">(+C7+E7+I7)*a_2012_2013</f>
        <v>0.32897343374999999</v>
      </c>
      <c r="N7" s="10">
        <v>0</v>
      </c>
      <c r="O7" s="16"/>
      <c r="P7" s="22">
        <f>+M7*N7</f>
        <v>0</v>
      </c>
      <c r="Q7" s="41"/>
      <c r="R7" s="41"/>
      <c r="S7" s="41"/>
      <c r="T7" s="41"/>
      <c r="U7" s="41"/>
      <c r="V7" s="41"/>
    </row>
    <row r="8" spans="2:22" x14ac:dyDescent="0.25">
      <c r="B8" s="4">
        <v>9</v>
      </c>
      <c r="C8" s="21">
        <v>20.98</v>
      </c>
      <c r="D8" s="7">
        <v>20.97</v>
      </c>
      <c r="E8" s="21">
        <f t="shared" si="0"/>
        <v>0.10490000000000001</v>
      </c>
      <c r="F8" s="8">
        <v>0</v>
      </c>
      <c r="G8" s="42"/>
      <c r="H8" s="21">
        <f t="shared" si="1"/>
        <v>0</v>
      </c>
      <c r="I8" s="21">
        <f t="shared" si="2"/>
        <v>0.15813674999999999</v>
      </c>
      <c r="J8" s="8">
        <v>0</v>
      </c>
      <c r="K8" s="22">
        <f t="shared" si="3"/>
        <v>0</v>
      </c>
      <c r="L8" s="22"/>
      <c r="M8" s="22">
        <f t="shared" si="4"/>
        <v>0.31864555124999999</v>
      </c>
      <c r="N8" s="10">
        <v>0</v>
      </c>
      <c r="O8" s="16"/>
      <c r="P8" s="22">
        <f t="shared" ref="P8:P16" si="5">+M8*N8</f>
        <v>0</v>
      </c>
      <c r="Q8" s="41"/>
      <c r="R8" s="41"/>
      <c r="S8" s="41"/>
      <c r="T8" s="41"/>
      <c r="U8" s="41"/>
      <c r="V8" s="41"/>
    </row>
    <row r="9" spans="2:22" x14ac:dyDescent="0.25">
      <c r="B9" s="4">
        <v>8</v>
      </c>
      <c r="C9" s="21">
        <v>20.32</v>
      </c>
      <c r="D9" s="7">
        <v>20.329999999999998</v>
      </c>
      <c r="E9" s="21">
        <f t="shared" si="0"/>
        <v>0.10160000000000001</v>
      </c>
      <c r="F9" s="8">
        <v>0</v>
      </c>
      <c r="G9" s="42"/>
      <c r="H9" s="21">
        <f t="shared" si="1"/>
        <v>0</v>
      </c>
      <c r="I9" s="21">
        <f t="shared" si="2"/>
        <v>0.15316199999999999</v>
      </c>
      <c r="J9" s="8">
        <v>0</v>
      </c>
      <c r="K9" s="22">
        <f t="shared" si="3"/>
        <v>0</v>
      </c>
      <c r="L9" s="22"/>
      <c r="M9" s="22">
        <f t="shared" si="4"/>
        <v>0.30862142999999997</v>
      </c>
      <c r="N9" s="10">
        <v>0</v>
      </c>
      <c r="O9" s="16"/>
      <c r="P9" s="22">
        <f t="shared" si="5"/>
        <v>0</v>
      </c>
      <c r="Q9" s="41"/>
      <c r="R9" s="41"/>
      <c r="S9" s="41"/>
      <c r="T9" s="41"/>
      <c r="U9" s="41"/>
      <c r="V9" s="41"/>
    </row>
    <row r="10" spans="2:22" x14ac:dyDescent="0.25">
      <c r="B10" s="4">
        <v>7</v>
      </c>
      <c r="C10" s="21">
        <v>19.7</v>
      </c>
      <c r="D10" s="7">
        <v>19.7</v>
      </c>
      <c r="E10" s="21">
        <f t="shared" si="0"/>
        <v>9.8500000000000004E-2</v>
      </c>
      <c r="F10" s="8">
        <v>0</v>
      </c>
      <c r="G10" s="42"/>
      <c r="H10" s="21">
        <f t="shared" si="1"/>
        <v>0</v>
      </c>
      <c r="I10" s="21">
        <f t="shared" si="2"/>
        <v>0.14848875</v>
      </c>
      <c r="J10" s="8">
        <v>0</v>
      </c>
      <c r="K10" s="22">
        <f t="shared" si="3"/>
        <v>0</v>
      </c>
      <c r="L10" s="22"/>
      <c r="M10" s="22">
        <f t="shared" si="4"/>
        <v>0.29920483124999997</v>
      </c>
      <c r="N10" s="10">
        <v>0</v>
      </c>
      <c r="O10" s="16"/>
      <c r="P10" s="22">
        <f t="shared" si="5"/>
        <v>0</v>
      </c>
      <c r="Q10" s="41"/>
      <c r="R10" s="41"/>
      <c r="S10" s="41"/>
      <c r="T10" s="41"/>
      <c r="U10" s="41"/>
      <c r="V10" s="41"/>
    </row>
    <row r="11" spans="2:22" x14ac:dyDescent="0.25">
      <c r="B11" s="4">
        <v>6</v>
      </c>
      <c r="C11" s="21">
        <v>19.100000000000001</v>
      </c>
      <c r="D11" s="7">
        <v>19.09</v>
      </c>
      <c r="E11" s="21">
        <f t="shared" si="0"/>
        <v>9.5500000000000015E-2</v>
      </c>
      <c r="F11" s="8">
        <v>0</v>
      </c>
      <c r="G11" s="42"/>
      <c r="H11" s="21">
        <f t="shared" si="1"/>
        <v>0</v>
      </c>
      <c r="I11" s="21">
        <f t="shared" si="2"/>
        <v>0.14396625000000002</v>
      </c>
      <c r="J11" s="8">
        <v>0</v>
      </c>
      <c r="K11" s="22">
        <f t="shared" si="3"/>
        <v>0</v>
      </c>
      <c r="L11" s="22"/>
      <c r="M11" s="22">
        <f t="shared" si="4"/>
        <v>0.29009199375</v>
      </c>
      <c r="N11" s="10">
        <v>0</v>
      </c>
      <c r="O11" s="16"/>
      <c r="P11" s="22">
        <f t="shared" si="5"/>
        <v>0</v>
      </c>
      <c r="Q11" s="41"/>
      <c r="R11" s="41"/>
      <c r="S11" s="41"/>
      <c r="T11" s="41"/>
      <c r="U11" s="41"/>
      <c r="V11" s="41"/>
    </row>
    <row r="12" spans="2:22" x14ac:dyDescent="0.25">
      <c r="B12" s="4">
        <v>5</v>
      </c>
      <c r="C12" s="21">
        <v>18.489999999999998</v>
      </c>
      <c r="D12" s="7">
        <v>18.489999999999998</v>
      </c>
      <c r="E12" s="21">
        <f t="shared" si="0"/>
        <v>9.2449999999999991E-2</v>
      </c>
      <c r="F12" s="8">
        <v>0</v>
      </c>
      <c r="G12" s="42"/>
      <c r="H12" s="21">
        <f t="shared" si="1"/>
        <v>0</v>
      </c>
      <c r="I12" s="21">
        <f t="shared" si="2"/>
        <v>0.13936837499999999</v>
      </c>
      <c r="J12" s="8">
        <v>0</v>
      </c>
      <c r="K12" s="22">
        <f t="shared" si="3"/>
        <v>0</v>
      </c>
      <c r="L12" s="22"/>
      <c r="M12" s="22">
        <f t="shared" si="4"/>
        <v>0.28082727562499998</v>
      </c>
      <c r="N12" s="10">
        <v>0</v>
      </c>
      <c r="O12" s="16"/>
      <c r="P12" s="22">
        <f t="shared" si="5"/>
        <v>0</v>
      </c>
      <c r="Q12" s="41"/>
      <c r="R12" s="41"/>
      <c r="S12" s="41"/>
      <c r="T12" s="41"/>
      <c r="U12" s="41"/>
      <c r="V12" s="41"/>
    </row>
    <row r="13" spans="2:22" x14ac:dyDescent="0.25">
      <c r="B13" s="4">
        <v>4</v>
      </c>
      <c r="C13" s="21">
        <v>17.93</v>
      </c>
      <c r="D13" s="7">
        <v>17.91</v>
      </c>
      <c r="E13" s="21">
        <f t="shared" si="0"/>
        <v>8.9649999999999994E-2</v>
      </c>
      <c r="F13" s="8">
        <v>0</v>
      </c>
      <c r="G13" s="42"/>
      <c r="H13" s="21">
        <f t="shared" si="1"/>
        <v>0</v>
      </c>
      <c r="I13" s="21">
        <f t="shared" si="2"/>
        <v>0.13514737499999999</v>
      </c>
      <c r="J13" s="8">
        <v>0</v>
      </c>
      <c r="K13" s="22">
        <f t="shared" si="3"/>
        <v>0</v>
      </c>
      <c r="L13" s="22"/>
      <c r="M13" s="22">
        <f t="shared" si="4"/>
        <v>0.27232196062499997</v>
      </c>
      <c r="N13" s="10">
        <v>0</v>
      </c>
      <c r="O13" s="16"/>
      <c r="P13" s="22">
        <f t="shared" si="5"/>
        <v>0</v>
      </c>
      <c r="Q13" s="41"/>
      <c r="R13" s="41"/>
      <c r="S13" s="41"/>
      <c r="T13" s="41"/>
      <c r="U13" s="41"/>
      <c r="V13" s="41"/>
    </row>
    <row r="14" spans="2:22" x14ac:dyDescent="0.25">
      <c r="B14" s="4">
        <v>3</v>
      </c>
      <c r="C14" s="21">
        <v>17.37</v>
      </c>
      <c r="D14" s="7">
        <v>17.36</v>
      </c>
      <c r="E14" s="21">
        <f t="shared" si="0"/>
        <v>8.6850000000000011E-2</v>
      </c>
      <c r="F14" s="8">
        <v>0</v>
      </c>
      <c r="G14" s="42"/>
      <c r="H14" s="21">
        <f t="shared" si="1"/>
        <v>0</v>
      </c>
      <c r="I14" s="21">
        <f t="shared" si="2"/>
        <v>0.13092637499999998</v>
      </c>
      <c r="J14" s="8">
        <v>0</v>
      </c>
      <c r="K14" s="22">
        <f t="shared" si="3"/>
        <v>0</v>
      </c>
      <c r="L14" s="22"/>
      <c r="M14" s="22">
        <f t="shared" si="4"/>
        <v>0.26381664562500001</v>
      </c>
      <c r="N14" s="10">
        <v>0</v>
      </c>
      <c r="O14" s="16"/>
      <c r="P14" s="22">
        <f t="shared" si="5"/>
        <v>0</v>
      </c>
      <c r="Q14" s="41"/>
      <c r="R14" s="41"/>
      <c r="S14" s="41"/>
      <c r="T14" s="41"/>
      <c r="U14" s="41"/>
      <c r="V14" s="41"/>
    </row>
    <row r="15" spans="2:22" x14ac:dyDescent="0.25">
      <c r="B15" s="4">
        <v>2</v>
      </c>
      <c r="C15" s="21">
        <v>16.82</v>
      </c>
      <c r="D15" s="7">
        <v>16.82</v>
      </c>
      <c r="E15" s="21">
        <f t="shared" si="0"/>
        <v>8.4100000000000008E-2</v>
      </c>
      <c r="F15" s="8">
        <v>0</v>
      </c>
      <c r="G15" s="42"/>
      <c r="H15" s="21">
        <f t="shared" si="1"/>
        <v>0</v>
      </c>
      <c r="I15" s="21">
        <f t="shared" si="2"/>
        <v>0.12678075</v>
      </c>
      <c r="J15" s="8">
        <v>0</v>
      </c>
      <c r="K15" s="22">
        <f t="shared" si="3"/>
        <v>0</v>
      </c>
      <c r="L15" s="22"/>
      <c r="M15" s="22">
        <f t="shared" si="4"/>
        <v>0.25546321124999999</v>
      </c>
      <c r="N15" s="10">
        <v>0</v>
      </c>
      <c r="O15" s="16"/>
      <c r="P15" s="22">
        <f t="shared" si="5"/>
        <v>0</v>
      </c>
      <c r="Q15" s="41"/>
      <c r="R15" s="41"/>
      <c r="S15" s="41"/>
      <c r="T15" s="41"/>
      <c r="U15" s="41"/>
      <c r="V15" s="41"/>
    </row>
    <row r="16" spans="2:22" x14ac:dyDescent="0.25">
      <c r="B16" s="4">
        <v>1</v>
      </c>
      <c r="C16" s="21">
        <v>16.309999999999999</v>
      </c>
      <c r="D16" s="7">
        <v>16.3</v>
      </c>
      <c r="E16" s="21">
        <f t="shared" si="0"/>
        <v>8.1549999999999997E-2</v>
      </c>
      <c r="F16" s="8">
        <v>0</v>
      </c>
      <c r="G16" s="42"/>
      <c r="H16" s="21">
        <f t="shared" si="1"/>
        <v>0</v>
      </c>
      <c r="I16" s="21">
        <f t="shared" si="2"/>
        <v>0.12293662499999998</v>
      </c>
      <c r="J16" s="8">
        <v>0</v>
      </c>
      <c r="K16" s="22">
        <f t="shared" si="3"/>
        <v>0</v>
      </c>
      <c r="L16" s="22"/>
      <c r="M16" s="22">
        <f t="shared" si="4"/>
        <v>0.24771729937499998</v>
      </c>
      <c r="N16" s="10">
        <v>0</v>
      </c>
      <c r="O16" s="16"/>
      <c r="P16" s="22">
        <f t="shared" si="5"/>
        <v>0</v>
      </c>
      <c r="Q16" s="41"/>
      <c r="R16" s="41"/>
      <c r="S16" s="41"/>
      <c r="T16" s="41"/>
      <c r="U16" s="41"/>
      <c r="V16" s="41"/>
    </row>
    <row r="17" spans="2:22" x14ac:dyDescent="0.25">
      <c r="B17" s="16"/>
      <c r="C17" s="16"/>
      <c r="D17" s="16"/>
      <c r="E17" s="16"/>
      <c r="F17" s="16"/>
      <c r="G17" s="9">
        <f>SUM(H7:H16)</f>
        <v>0</v>
      </c>
      <c r="H17" s="16"/>
      <c r="I17" s="16"/>
      <c r="J17" s="16"/>
      <c r="K17" s="16"/>
      <c r="L17" s="46">
        <f>+SUM(K7:K16)</f>
        <v>0</v>
      </c>
      <c r="M17" s="16"/>
      <c r="N17" s="16"/>
      <c r="O17" s="46">
        <f>+SUM(P7:P16)</f>
        <v>0</v>
      </c>
      <c r="P17" s="16"/>
      <c r="Q17" s="41"/>
      <c r="R17" s="41"/>
      <c r="S17" s="41"/>
      <c r="T17" s="41"/>
      <c r="U17" s="41"/>
      <c r="V17" s="41"/>
    </row>
    <row r="18" spans="2:22" s="41" customFormat="1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2:22" x14ac:dyDescent="0.25">
      <c r="B19" s="50" t="s">
        <v>13</v>
      </c>
      <c r="C19" s="50"/>
      <c r="D19" s="50"/>
      <c r="E19" s="18"/>
      <c r="F19" s="18"/>
      <c r="G19" s="11">
        <f>+G17+L17+O17</f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41"/>
      <c r="R19" s="41"/>
      <c r="S19" s="41"/>
      <c r="T19" s="41"/>
      <c r="U19" s="41"/>
      <c r="V19" s="41"/>
    </row>
    <row r="20" spans="2:22" x14ac:dyDescent="0.25">
      <c r="B20" s="41"/>
      <c r="D20" s="41"/>
      <c r="F20" s="41"/>
      <c r="G20" s="41"/>
      <c r="J20" s="41"/>
      <c r="L20" s="41"/>
      <c r="N20" s="41"/>
      <c r="O20" s="41"/>
      <c r="Q20" s="41"/>
      <c r="R20" s="41"/>
      <c r="S20" s="41"/>
      <c r="T20" s="41"/>
      <c r="U20" s="41"/>
      <c r="V20" s="41"/>
    </row>
    <row r="21" spans="2:22" x14ac:dyDescent="0.25">
      <c r="B21" s="41"/>
      <c r="D21" s="41"/>
      <c r="F21" s="41"/>
      <c r="G21" s="41"/>
      <c r="J21" s="41"/>
      <c r="L21" s="41"/>
      <c r="N21" s="41"/>
      <c r="O21" s="41"/>
      <c r="Q21" s="41"/>
      <c r="R21" s="41"/>
      <c r="S21" s="41"/>
      <c r="T21" s="41"/>
      <c r="U21" s="41"/>
      <c r="V21" s="41"/>
    </row>
    <row r="22" spans="2:22" x14ac:dyDescent="0.25">
      <c r="B22" s="41"/>
      <c r="D22" s="41"/>
      <c r="F22" s="41"/>
      <c r="G22" s="41"/>
      <c r="J22" s="41"/>
      <c r="L22" s="41"/>
      <c r="N22" s="41"/>
      <c r="O22" s="41"/>
      <c r="Q22" s="41"/>
      <c r="R22" s="41"/>
      <c r="S22" s="41"/>
      <c r="T22" s="41"/>
      <c r="U22" s="41"/>
      <c r="V22" s="41"/>
    </row>
    <row r="23" spans="2:22" x14ac:dyDescent="0.25">
      <c r="B23" s="59" t="s">
        <v>57</v>
      </c>
      <c r="D23" s="41"/>
      <c r="F23" s="41"/>
      <c r="G23" s="41"/>
      <c r="J23" s="41"/>
      <c r="L23" s="41"/>
      <c r="N23" s="41"/>
      <c r="O23" s="41"/>
      <c r="Q23" s="41"/>
      <c r="R23" s="41"/>
      <c r="S23" s="41"/>
      <c r="T23" s="41"/>
      <c r="U23" s="41"/>
      <c r="V23" s="41"/>
    </row>
    <row r="24" spans="2:22" x14ac:dyDescent="0.25">
      <c r="B24" s="41"/>
      <c r="D24" s="41"/>
      <c r="F24" s="41"/>
      <c r="G24" s="41"/>
      <c r="J24" s="41"/>
      <c r="L24" s="41"/>
      <c r="N24" s="41"/>
      <c r="O24" s="41"/>
      <c r="Q24" s="41"/>
      <c r="R24" s="41"/>
      <c r="S24" s="41"/>
      <c r="T24" s="41"/>
      <c r="U24" s="41"/>
      <c r="V24" s="41"/>
    </row>
    <row r="25" spans="2:22" x14ac:dyDescent="0.25">
      <c r="B25" s="41"/>
      <c r="D25" s="41"/>
      <c r="F25" s="41"/>
      <c r="G25" s="41"/>
      <c r="J25" s="41"/>
      <c r="L25" s="41"/>
      <c r="N25" s="41"/>
      <c r="O25" s="41"/>
      <c r="Q25" s="41"/>
      <c r="R25" s="41"/>
      <c r="S25" s="41"/>
      <c r="T25" s="41"/>
      <c r="U25" s="41"/>
      <c r="V25" s="41"/>
    </row>
    <row r="26" spans="2:22" x14ac:dyDescent="0.25">
      <c r="B26" s="41"/>
      <c r="D26" s="41"/>
      <c r="F26" s="41"/>
      <c r="G26" s="41"/>
      <c r="J26" s="41"/>
      <c r="L26" s="41"/>
      <c r="N26" s="41"/>
      <c r="O26" s="41"/>
      <c r="Q26" s="41"/>
      <c r="R26" s="41"/>
      <c r="S26" s="41"/>
      <c r="T26" s="41"/>
      <c r="U26" s="41"/>
      <c r="V26" s="41"/>
    </row>
    <row r="27" spans="2:22" x14ac:dyDescent="0.25">
      <c r="B27" s="41"/>
      <c r="D27" s="41"/>
      <c r="F27" s="41"/>
      <c r="G27" s="41"/>
      <c r="J27" s="41"/>
      <c r="L27" s="41"/>
      <c r="N27" s="41"/>
      <c r="O27" s="41"/>
      <c r="Q27" s="41"/>
      <c r="R27" s="41"/>
      <c r="S27" s="41"/>
      <c r="T27" s="41"/>
      <c r="U27" s="41"/>
      <c r="V27" s="41"/>
    </row>
    <row r="28" spans="2:22" x14ac:dyDescent="0.25">
      <c r="B28" s="41"/>
      <c r="D28" s="41"/>
      <c r="F28" s="41"/>
      <c r="G28" s="41"/>
      <c r="J28" s="41"/>
      <c r="L28" s="41"/>
      <c r="N28" s="41"/>
      <c r="O28" s="41"/>
      <c r="Q28" s="41"/>
      <c r="R28" s="41"/>
      <c r="S28" s="41"/>
      <c r="T28" s="41"/>
      <c r="U28" s="41"/>
      <c r="V28" s="41"/>
    </row>
    <row r="29" spans="2:22" x14ac:dyDescent="0.25">
      <c r="B29" s="41"/>
      <c r="D29" s="41"/>
      <c r="F29" s="41"/>
      <c r="G29" s="41"/>
      <c r="J29" s="41"/>
      <c r="L29" s="41"/>
      <c r="N29" s="41"/>
      <c r="O29" s="41"/>
      <c r="Q29" s="41"/>
      <c r="R29" s="41"/>
      <c r="S29" s="41"/>
      <c r="T29" s="41"/>
      <c r="U29" s="41"/>
      <c r="V29" s="41"/>
    </row>
    <row r="30" spans="2:22" x14ac:dyDescent="0.25">
      <c r="B30" s="41"/>
      <c r="D30" s="41"/>
      <c r="F30" s="41"/>
      <c r="G30" s="41"/>
      <c r="J30" s="41"/>
      <c r="L30" s="41"/>
      <c r="N30" s="41"/>
      <c r="O30" s="41"/>
      <c r="Q30" s="41"/>
      <c r="R30" s="41"/>
      <c r="S30" s="41"/>
      <c r="T30" s="41"/>
      <c r="U30" s="41"/>
      <c r="V30" s="41"/>
    </row>
    <row r="31" spans="2:22" x14ac:dyDescent="0.25">
      <c r="B31" s="41"/>
      <c r="D31" s="41"/>
      <c r="F31" s="41"/>
      <c r="G31" s="41"/>
      <c r="J31" s="41"/>
      <c r="L31" s="41"/>
      <c r="N31" s="41"/>
      <c r="O31" s="41"/>
      <c r="Q31" s="41"/>
      <c r="R31" s="41"/>
      <c r="S31" s="41"/>
      <c r="T31" s="41"/>
      <c r="U31" s="41"/>
      <c r="V31" s="41"/>
    </row>
    <row r="32" spans="2:22" x14ac:dyDescent="0.25">
      <c r="B32" s="41"/>
      <c r="D32" s="41"/>
      <c r="F32" s="41"/>
      <c r="G32" s="41"/>
      <c r="J32" s="41"/>
      <c r="L32" s="41"/>
      <c r="N32" s="41"/>
      <c r="O32" s="41"/>
      <c r="Q32" s="41"/>
      <c r="R32" s="41"/>
      <c r="S32" s="41"/>
      <c r="T32" s="41"/>
      <c r="U32" s="41"/>
      <c r="V32" s="41"/>
    </row>
    <row r="33" spans="2:22" x14ac:dyDescent="0.25">
      <c r="B33" s="41"/>
      <c r="D33" s="41"/>
      <c r="F33" s="41"/>
      <c r="G33" s="41"/>
      <c r="J33" s="41"/>
      <c r="L33" s="41"/>
      <c r="N33" s="41"/>
      <c r="O33" s="41"/>
      <c r="Q33" s="41"/>
      <c r="R33" s="41"/>
      <c r="S33" s="41"/>
      <c r="T33" s="41"/>
      <c r="U33" s="41"/>
      <c r="V33" s="41"/>
    </row>
    <row r="34" spans="2:22" x14ac:dyDescent="0.25">
      <c r="B34" s="41"/>
      <c r="D34" s="41"/>
      <c r="F34" s="41"/>
      <c r="G34" s="41"/>
      <c r="J34" s="41"/>
      <c r="L34" s="41"/>
      <c r="N34" s="41"/>
      <c r="O34" s="41"/>
      <c r="Q34" s="41"/>
      <c r="R34" s="41"/>
      <c r="S34" s="41"/>
      <c r="T34" s="41"/>
      <c r="U34" s="41"/>
      <c r="V34" s="41"/>
    </row>
    <row r="35" spans="2:22" x14ac:dyDescent="0.25">
      <c r="B35" s="41"/>
      <c r="D35" s="41"/>
      <c r="F35" s="41"/>
      <c r="G35" s="41"/>
      <c r="J35" s="41"/>
      <c r="L35" s="41"/>
      <c r="N35" s="41"/>
      <c r="O35" s="41"/>
      <c r="Q35" s="41"/>
      <c r="R35" s="41"/>
      <c r="S35" s="41"/>
      <c r="T35" s="41"/>
      <c r="U35" s="41"/>
      <c r="V35" s="41"/>
    </row>
  </sheetData>
  <mergeCells count="1">
    <mergeCell ref="B3:B6"/>
  </mergeCells>
  <dataValidations count="1">
    <dataValidation type="list" allowBlank="1" showInputMessage="1" showErrorMessage="1" sqref="G3">
      <formula1>#REF!</formula1>
    </dataValidation>
  </dataValidations>
  <hyperlinks>
    <hyperlink ref="B23" location="explication" display="Pour retourner aux explications cliquer ici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Normal="100" workbookViewId="0">
      <selection activeCell="C2" sqref="C2"/>
    </sheetView>
  </sheetViews>
  <sheetFormatPr baseColWidth="10" defaultRowHeight="15" x14ac:dyDescent="0.25"/>
  <cols>
    <col min="1" max="1" width="11.42578125" style="41"/>
    <col min="3" max="3" width="3.28515625" style="41" customWidth="1"/>
    <col min="5" max="5" width="3.7109375" style="41" customWidth="1"/>
    <col min="8" max="8" width="3" customWidth="1"/>
    <col min="9" max="9" width="2.140625" customWidth="1"/>
    <col min="11" max="11" width="3.5703125" style="41" customWidth="1"/>
    <col min="13" max="13" width="3.85546875" style="41" customWidth="1"/>
  </cols>
  <sheetData>
    <row r="1" spans="2:24" s="41" customFormat="1" x14ac:dyDescent="0.25"/>
    <row r="2" spans="2:24" ht="60" x14ac:dyDescent="0.25">
      <c r="B2" s="53" t="s">
        <v>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41"/>
      <c r="R2" s="41"/>
      <c r="S2" s="41"/>
      <c r="T2" s="41"/>
      <c r="U2" s="41"/>
      <c r="V2" s="41"/>
      <c r="W2" s="41"/>
      <c r="X2" s="41"/>
    </row>
    <row r="3" spans="2:24" ht="114" x14ac:dyDescent="0.25">
      <c r="B3" s="69" t="s">
        <v>1</v>
      </c>
      <c r="C3" s="17" t="s">
        <v>8</v>
      </c>
      <c r="D3" s="4" t="s">
        <v>2</v>
      </c>
      <c r="E3" s="17" t="s">
        <v>6</v>
      </c>
      <c r="F3" s="4" t="s">
        <v>9</v>
      </c>
      <c r="G3" s="5" t="s">
        <v>10</v>
      </c>
      <c r="H3" s="17"/>
      <c r="I3" s="17" t="s">
        <v>6</v>
      </c>
      <c r="J3" s="4" t="s">
        <v>9</v>
      </c>
      <c r="K3" s="17"/>
      <c r="L3" s="5" t="s">
        <v>10</v>
      </c>
      <c r="M3" s="17" t="s">
        <v>6</v>
      </c>
      <c r="N3" s="4" t="s">
        <v>9</v>
      </c>
      <c r="O3" s="5" t="s">
        <v>10</v>
      </c>
      <c r="P3" s="16"/>
      <c r="Q3" s="41"/>
      <c r="R3" s="41"/>
      <c r="S3" s="41"/>
      <c r="T3" s="41"/>
      <c r="U3" s="41"/>
      <c r="V3" s="41"/>
      <c r="W3" s="41"/>
      <c r="X3" s="41"/>
    </row>
    <row r="4" spans="2:24" ht="114" x14ac:dyDescent="0.25">
      <c r="B4" s="69"/>
      <c r="C4" s="17"/>
      <c r="D4" s="4" t="s">
        <v>3</v>
      </c>
      <c r="E4" s="17" t="s">
        <v>7</v>
      </c>
      <c r="F4" s="4" t="s">
        <v>15</v>
      </c>
      <c r="G4" s="57" t="s">
        <v>63</v>
      </c>
      <c r="H4" s="17"/>
      <c r="I4" s="17" t="s">
        <v>11</v>
      </c>
      <c r="J4" s="4" t="s">
        <v>15</v>
      </c>
      <c r="K4" s="16"/>
      <c r="L4" s="58" t="s">
        <v>65</v>
      </c>
      <c r="M4" s="17" t="s">
        <v>12</v>
      </c>
      <c r="N4" s="4" t="s">
        <v>15</v>
      </c>
      <c r="O4" s="45" t="s">
        <v>66</v>
      </c>
      <c r="P4" s="16"/>
      <c r="Q4" s="41"/>
      <c r="R4" s="41"/>
      <c r="S4" s="41"/>
      <c r="T4" s="41"/>
      <c r="U4" s="41"/>
      <c r="V4" s="41"/>
      <c r="W4" s="41"/>
      <c r="X4" s="41"/>
    </row>
    <row r="5" spans="2:24" ht="28.5" x14ac:dyDescent="0.25">
      <c r="B5" s="69"/>
      <c r="C5" s="17"/>
      <c r="D5" s="4" t="s">
        <v>4</v>
      </c>
      <c r="E5" s="20">
        <v>5.0000000000000001E-3</v>
      </c>
      <c r="F5" s="40" t="s">
        <v>40</v>
      </c>
      <c r="G5" s="57" t="s">
        <v>64</v>
      </c>
      <c r="H5" s="17"/>
      <c r="I5" s="20">
        <v>7.4999999999999997E-3</v>
      </c>
      <c r="J5" s="40" t="s">
        <v>41</v>
      </c>
      <c r="K5" s="16"/>
      <c r="L5" s="16"/>
      <c r="M5" s="20">
        <v>1.4999999999999999E-2</v>
      </c>
      <c r="N5" s="40" t="s">
        <v>42</v>
      </c>
      <c r="O5" s="17"/>
      <c r="P5" s="16"/>
      <c r="Q5" s="41"/>
      <c r="R5" s="41"/>
      <c r="S5" s="41"/>
      <c r="T5" s="41"/>
      <c r="U5" s="41"/>
      <c r="V5" s="41"/>
      <c r="W5" s="41"/>
      <c r="X5" s="41"/>
    </row>
    <row r="6" spans="2:24" x14ac:dyDescent="0.25">
      <c r="B6" s="69"/>
      <c r="C6" s="17"/>
      <c r="D6" s="4" t="s">
        <v>5</v>
      </c>
      <c r="E6" s="17"/>
      <c r="F6" s="17"/>
      <c r="G6" s="17"/>
      <c r="H6" s="17"/>
      <c r="I6" s="17"/>
      <c r="J6" s="17"/>
      <c r="K6" s="16"/>
      <c r="L6" s="16"/>
      <c r="M6" s="17"/>
      <c r="N6" s="17"/>
      <c r="O6" s="17"/>
      <c r="P6" s="16"/>
      <c r="Q6" s="41"/>
      <c r="R6" s="41"/>
      <c r="S6" s="41"/>
      <c r="T6" s="41"/>
      <c r="U6" s="41"/>
      <c r="V6" s="41"/>
      <c r="W6" s="41"/>
      <c r="X6" s="41"/>
    </row>
    <row r="7" spans="2:24" x14ac:dyDescent="0.25">
      <c r="B7" s="4">
        <v>6</v>
      </c>
      <c r="C7" s="21">
        <v>17.12</v>
      </c>
      <c r="D7" s="7">
        <v>17.7</v>
      </c>
      <c r="E7" s="21">
        <f t="shared" ref="E7:E12" si="0">+C7*a_2010_2011</f>
        <v>8.5600000000000009E-2</v>
      </c>
      <c r="F7" s="8">
        <v>0</v>
      </c>
      <c r="G7" s="42"/>
      <c r="H7" s="21">
        <f t="shared" ref="H7:H12" si="1">+E7*F7</f>
        <v>0</v>
      </c>
      <c r="I7" s="21">
        <f t="shared" ref="I7:I12" si="2">(+C7+E7)*a_2011_2012</f>
        <v>0.12904199999999999</v>
      </c>
      <c r="J7" s="8">
        <v>0</v>
      </c>
      <c r="K7" s="22">
        <f t="shared" ref="K7:K12" si="3">+J7*I7</f>
        <v>0</v>
      </c>
      <c r="L7" s="22"/>
      <c r="M7" s="22">
        <f t="shared" ref="M7:M12" si="4">(+C7+E7+I7)*a_2012_2013</f>
        <v>0.26001962999999995</v>
      </c>
      <c r="N7" s="10">
        <v>0</v>
      </c>
      <c r="O7" s="16"/>
      <c r="P7" s="22">
        <f>+M7*N7</f>
        <v>0</v>
      </c>
      <c r="Q7" s="41"/>
      <c r="R7" s="41"/>
      <c r="S7" s="41"/>
      <c r="T7" s="41"/>
      <c r="U7" s="41"/>
      <c r="V7" s="41"/>
      <c r="W7" s="41"/>
      <c r="X7" s="41"/>
    </row>
    <row r="8" spans="2:24" x14ac:dyDescent="0.25">
      <c r="B8" s="4">
        <v>5</v>
      </c>
      <c r="C8" s="21">
        <v>16.600000000000001</v>
      </c>
      <c r="D8" s="7">
        <v>16.8</v>
      </c>
      <c r="E8" s="21">
        <f t="shared" si="0"/>
        <v>8.3000000000000004E-2</v>
      </c>
      <c r="F8" s="8">
        <v>0</v>
      </c>
      <c r="G8" s="42"/>
      <c r="H8" s="21">
        <f t="shared" si="1"/>
        <v>0</v>
      </c>
      <c r="I8" s="21">
        <f t="shared" si="2"/>
        <v>0.1251225</v>
      </c>
      <c r="J8" s="8">
        <v>0</v>
      </c>
      <c r="K8" s="22">
        <f t="shared" si="3"/>
        <v>0</v>
      </c>
      <c r="L8" s="22"/>
      <c r="M8" s="22">
        <f t="shared" si="4"/>
        <v>0.2521218375</v>
      </c>
      <c r="N8" s="10">
        <v>0</v>
      </c>
      <c r="O8" s="16"/>
      <c r="P8" s="22">
        <f t="shared" ref="P8:P12" si="5">+M8*N8</f>
        <v>0</v>
      </c>
      <c r="Q8" s="41"/>
      <c r="R8" s="41"/>
      <c r="S8" s="41"/>
      <c r="T8" s="41"/>
      <c r="U8" s="41"/>
      <c r="V8" s="41"/>
      <c r="W8" s="41"/>
      <c r="X8" s="41"/>
    </row>
    <row r="9" spans="2:24" x14ac:dyDescent="0.25">
      <c r="B9" s="4">
        <v>4</v>
      </c>
      <c r="C9" s="21">
        <v>16.11</v>
      </c>
      <c r="D9" s="7">
        <v>15.95</v>
      </c>
      <c r="E9" s="21">
        <f t="shared" si="0"/>
        <v>8.0549999999999997E-2</v>
      </c>
      <c r="F9" s="8">
        <v>0</v>
      </c>
      <c r="G9" s="42"/>
      <c r="H9" s="21">
        <f t="shared" si="1"/>
        <v>0</v>
      </c>
      <c r="I9" s="21">
        <f t="shared" si="2"/>
        <v>0.12142912499999998</v>
      </c>
      <c r="J9" s="8">
        <v>0</v>
      </c>
      <c r="K9" s="22">
        <f t="shared" si="3"/>
        <v>0</v>
      </c>
      <c r="L9" s="22"/>
      <c r="M9" s="22">
        <f t="shared" si="4"/>
        <v>0.24467968687499994</v>
      </c>
      <c r="N9" s="10">
        <v>0</v>
      </c>
      <c r="O9" s="16"/>
      <c r="P9" s="22">
        <f t="shared" si="5"/>
        <v>0</v>
      </c>
      <c r="Q9" s="41"/>
      <c r="R9" s="41"/>
      <c r="S9" s="41"/>
      <c r="T9" s="41"/>
      <c r="U9" s="41"/>
      <c r="V9" s="41"/>
      <c r="W9" s="41"/>
      <c r="X9" s="41"/>
    </row>
    <row r="10" spans="2:24" x14ac:dyDescent="0.25">
      <c r="B10" s="4">
        <v>3</v>
      </c>
      <c r="C10" s="21">
        <v>15.66</v>
      </c>
      <c r="D10" s="7">
        <v>15.15</v>
      </c>
      <c r="E10" s="21">
        <f t="shared" si="0"/>
        <v>7.8300000000000008E-2</v>
      </c>
      <c r="F10" s="8">
        <v>0</v>
      </c>
      <c r="G10" s="42"/>
      <c r="H10" s="21">
        <f t="shared" si="1"/>
        <v>0</v>
      </c>
      <c r="I10" s="21">
        <f t="shared" si="2"/>
        <v>0.11803725</v>
      </c>
      <c r="J10" s="8">
        <v>0</v>
      </c>
      <c r="K10" s="22">
        <f t="shared" si="3"/>
        <v>0</v>
      </c>
      <c r="L10" s="22"/>
      <c r="M10" s="22">
        <f t="shared" si="4"/>
        <v>0.23784505875</v>
      </c>
      <c r="N10" s="10">
        <v>0</v>
      </c>
      <c r="O10" s="16"/>
      <c r="P10" s="22">
        <f t="shared" si="5"/>
        <v>0</v>
      </c>
      <c r="Q10" s="41"/>
      <c r="R10" s="41"/>
      <c r="S10" s="41"/>
      <c r="T10" s="41"/>
      <c r="U10" s="41"/>
      <c r="V10" s="41"/>
      <c r="W10" s="41"/>
      <c r="X10" s="41"/>
    </row>
    <row r="11" spans="2:24" x14ac:dyDescent="0.25">
      <c r="B11" s="4">
        <v>2</v>
      </c>
      <c r="C11" s="21">
        <v>15.21</v>
      </c>
      <c r="D11" s="7">
        <v>14.39</v>
      </c>
      <c r="E11" s="21">
        <f t="shared" si="0"/>
        <v>7.6050000000000006E-2</v>
      </c>
      <c r="F11" s="8">
        <v>0</v>
      </c>
      <c r="G11" s="42"/>
      <c r="H11" s="21">
        <f t="shared" si="1"/>
        <v>0</v>
      </c>
      <c r="I11" s="21">
        <f t="shared" si="2"/>
        <v>0.11464537500000001</v>
      </c>
      <c r="J11" s="8">
        <v>0</v>
      </c>
      <c r="K11" s="22">
        <f t="shared" si="3"/>
        <v>0</v>
      </c>
      <c r="L11" s="22"/>
      <c r="M11" s="22">
        <f t="shared" si="4"/>
        <v>0.23101043062500001</v>
      </c>
      <c r="N11" s="10">
        <v>0</v>
      </c>
      <c r="O11" s="16"/>
      <c r="P11" s="22">
        <f t="shared" si="5"/>
        <v>0</v>
      </c>
      <c r="Q11" s="41"/>
      <c r="R11" s="41"/>
      <c r="S11" s="41"/>
      <c r="T11" s="41"/>
      <c r="U11" s="41"/>
      <c r="V11" s="41"/>
      <c r="W11" s="41"/>
      <c r="X11" s="41"/>
    </row>
    <row r="12" spans="2:24" x14ac:dyDescent="0.25">
      <c r="B12" s="4">
        <v>1</v>
      </c>
      <c r="C12" s="21">
        <v>14.74</v>
      </c>
      <c r="D12" s="7">
        <v>13.66</v>
      </c>
      <c r="E12" s="21">
        <f t="shared" si="0"/>
        <v>7.3700000000000002E-2</v>
      </c>
      <c r="F12" s="8">
        <v>0</v>
      </c>
      <c r="G12" s="42"/>
      <c r="H12" s="21">
        <f t="shared" si="1"/>
        <v>0</v>
      </c>
      <c r="I12" s="21">
        <f t="shared" si="2"/>
        <v>0.11110275</v>
      </c>
      <c r="J12" s="8">
        <v>0</v>
      </c>
      <c r="K12" s="22">
        <f t="shared" si="3"/>
        <v>0</v>
      </c>
      <c r="L12" s="22"/>
      <c r="M12" s="22">
        <f t="shared" si="4"/>
        <v>0.22387204125000001</v>
      </c>
      <c r="N12" s="10">
        <v>0</v>
      </c>
      <c r="O12" s="16"/>
      <c r="P12" s="22">
        <f t="shared" si="5"/>
        <v>0</v>
      </c>
      <c r="Q12" s="41"/>
      <c r="R12" s="41"/>
      <c r="S12" s="41"/>
      <c r="T12" s="41"/>
      <c r="U12" s="41"/>
      <c r="V12" s="41"/>
      <c r="W12" s="41"/>
      <c r="X12" s="41"/>
    </row>
    <row r="13" spans="2:24" x14ac:dyDescent="0.25">
      <c r="B13" s="16"/>
      <c r="C13" s="16"/>
      <c r="D13" s="16"/>
      <c r="E13" s="16"/>
      <c r="F13" s="16"/>
      <c r="G13" s="9">
        <f>SUM(H7:H12)</f>
        <v>0</v>
      </c>
      <c r="H13" s="16"/>
      <c r="I13" s="16"/>
      <c r="J13" s="16"/>
      <c r="K13" s="16"/>
      <c r="L13" s="46">
        <f>+SUM(K7:K12)</f>
        <v>0</v>
      </c>
      <c r="M13" s="16"/>
      <c r="N13" s="16"/>
      <c r="O13" s="46">
        <f>+SUM(P7:P12)</f>
        <v>0</v>
      </c>
      <c r="P13" s="16"/>
      <c r="Q13" s="41"/>
      <c r="R13" s="41"/>
      <c r="S13" s="41"/>
      <c r="T13" s="41"/>
      <c r="U13" s="41"/>
      <c r="V13" s="41"/>
      <c r="W13" s="41"/>
      <c r="X13" s="41"/>
    </row>
    <row r="14" spans="2:24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41"/>
      <c r="R14" s="41"/>
      <c r="S14" s="41"/>
      <c r="T14" s="41"/>
      <c r="U14" s="41"/>
      <c r="V14" s="41"/>
      <c r="W14" s="41"/>
      <c r="X14" s="41"/>
    </row>
    <row r="15" spans="2:24" x14ac:dyDescent="0.25">
      <c r="B15" s="50" t="s">
        <v>13</v>
      </c>
      <c r="C15" s="50"/>
      <c r="D15" s="50"/>
      <c r="E15" s="18"/>
      <c r="F15" s="18"/>
      <c r="G15" s="13">
        <f>+G13+L13+O13</f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41"/>
      <c r="R15" s="41"/>
      <c r="S15" s="41"/>
      <c r="T15" s="41"/>
      <c r="U15" s="41"/>
      <c r="V15" s="41"/>
      <c r="W15" s="41"/>
      <c r="X15" s="41"/>
    </row>
    <row r="16" spans="2:24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41"/>
      <c r="R16" s="41"/>
      <c r="S16" s="41"/>
      <c r="T16" s="41"/>
      <c r="U16" s="41"/>
      <c r="V16" s="41"/>
      <c r="W16" s="41"/>
      <c r="X16" s="41"/>
    </row>
    <row r="17" spans="2:24" x14ac:dyDescent="0.25">
      <c r="B17" s="59" t="s">
        <v>57</v>
      </c>
      <c r="D17" s="41"/>
      <c r="F17" s="41"/>
      <c r="G17" s="41"/>
      <c r="H17" s="41"/>
      <c r="I17" s="41"/>
      <c r="J17" s="41"/>
      <c r="L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2:24" x14ac:dyDescent="0.25">
      <c r="B18" s="41"/>
      <c r="D18" s="41"/>
      <c r="F18" s="41"/>
      <c r="G18" s="41"/>
      <c r="H18" s="41"/>
      <c r="I18" s="41"/>
      <c r="J18" s="41"/>
      <c r="L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2:24" x14ac:dyDescent="0.25">
      <c r="B19" s="41"/>
      <c r="D19" s="41"/>
      <c r="F19" s="41"/>
      <c r="G19" s="41"/>
      <c r="H19" s="41"/>
      <c r="I19" s="41"/>
      <c r="J19" s="41"/>
      <c r="L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2:24" x14ac:dyDescent="0.25">
      <c r="B20" s="41"/>
      <c r="D20" s="41"/>
      <c r="F20" s="41"/>
      <c r="G20" s="41"/>
      <c r="H20" s="41"/>
      <c r="I20" s="41"/>
      <c r="J20" s="41"/>
      <c r="L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2:24" x14ac:dyDescent="0.25">
      <c r="B21" s="41"/>
      <c r="D21" s="41"/>
      <c r="F21" s="41"/>
      <c r="G21" s="41"/>
      <c r="H21" s="41"/>
      <c r="I21" s="41"/>
      <c r="J21" s="41"/>
      <c r="L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2:24" x14ac:dyDescent="0.25">
      <c r="B22" s="41"/>
      <c r="D22" s="41"/>
      <c r="F22" s="41"/>
      <c r="G22" s="41"/>
      <c r="H22" s="41"/>
      <c r="I22" s="41"/>
      <c r="J22" s="41"/>
      <c r="L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2:24" x14ac:dyDescent="0.25">
      <c r="B23" s="41"/>
      <c r="D23" s="41"/>
      <c r="F23" s="41"/>
      <c r="G23" s="41"/>
      <c r="H23" s="41"/>
      <c r="I23" s="41"/>
      <c r="J23" s="41"/>
      <c r="L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2:24" x14ac:dyDescent="0.25">
      <c r="B24" s="41"/>
      <c r="D24" s="41"/>
      <c r="F24" s="41"/>
      <c r="G24" s="41"/>
      <c r="H24" s="41"/>
      <c r="I24" s="41"/>
      <c r="J24" s="41"/>
      <c r="L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2:24" x14ac:dyDescent="0.25">
      <c r="B25" s="41"/>
      <c r="D25" s="41"/>
      <c r="F25" s="41"/>
      <c r="G25" s="41"/>
      <c r="H25" s="41"/>
      <c r="I25" s="41"/>
      <c r="J25" s="41"/>
      <c r="L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2:24" x14ac:dyDescent="0.25">
      <c r="B26" s="41"/>
      <c r="D26" s="56"/>
      <c r="F26" s="41"/>
      <c r="G26" s="41"/>
      <c r="H26" s="41"/>
      <c r="I26" s="41"/>
      <c r="J26" s="41"/>
      <c r="L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2:24" x14ac:dyDescent="0.25">
      <c r="B27" s="41"/>
      <c r="D27" s="41"/>
      <c r="F27" s="41"/>
      <c r="G27" s="41"/>
      <c r="H27" s="41"/>
      <c r="I27" s="41"/>
      <c r="J27" s="41"/>
      <c r="L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2:24" x14ac:dyDescent="0.25">
      <c r="B28" s="41"/>
      <c r="D28" s="41"/>
      <c r="F28" s="41"/>
      <c r="G28" s="41"/>
      <c r="H28" s="41"/>
      <c r="I28" s="41"/>
      <c r="J28" s="41"/>
      <c r="L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2:24" x14ac:dyDescent="0.25">
      <c r="B29" s="41"/>
      <c r="D29" s="41"/>
      <c r="F29" s="41"/>
      <c r="G29" s="41"/>
      <c r="H29" s="41"/>
      <c r="I29" s="41"/>
      <c r="J29" s="41"/>
      <c r="L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2:24" x14ac:dyDescent="0.25">
      <c r="B30" s="41"/>
      <c r="D30" s="41"/>
      <c r="F30" s="41"/>
      <c r="G30" s="41"/>
      <c r="H30" s="41"/>
      <c r="I30" s="41"/>
      <c r="J30" s="41"/>
      <c r="L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2:24" x14ac:dyDescent="0.25">
      <c r="B31" s="41"/>
      <c r="D31" s="41"/>
      <c r="F31" s="41"/>
      <c r="G31" s="41"/>
      <c r="H31" s="41"/>
      <c r="I31" s="41"/>
      <c r="J31" s="41"/>
      <c r="L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</sheetData>
  <mergeCells count="1">
    <mergeCell ref="B3:B6"/>
  </mergeCells>
  <hyperlinks>
    <hyperlink ref="B17" location="explication" display="Pour retourner aux explications cliquer ici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zoomScaleNormal="100" workbookViewId="0">
      <selection activeCell="C2" sqref="C2"/>
    </sheetView>
  </sheetViews>
  <sheetFormatPr baseColWidth="10" defaultRowHeight="15" x14ac:dyDescent="0.25"/>
  <cols>
    <col min="1" max="1" width="11.42578125" style="41"/>
    <col min="3" max="3" width="4.140625" style="41" customWidth="1"/>
    <col min="8" max="8" width="2.28515625" style="41" customWidth="1"/>
    <col min="9" max="9" width="2.7109375" style="41" customWidth="1"/>
    <col min="11" max="11" width="3.140625" style="41" customWidth="1"/>
    <col min="13" max="13" width="2" style="41" customWidth="1"/>
    <col min="16" max="20" width="11.42578125" style="41"/>
  </cols>
  <sheetData>
    <row r="1" spans="1:16" s="41" customFormat="1" x14ac:dyDescent="0.25"/>
    <row r="2" spans="1:16" x14ac:dyDescent="0.25">
      <c r="A2" s="16"/>
      <c r="B2" s="53" t="s">
        <v>21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99.75" x14ac:dyDescent="0.25">
      <c r="A3" s="16"/>
      <c r="B3" s="69" t="s">
        <v>1</v>
      </c>
      <c r="C3" s="17" t="s">
        <v>8</v>
      </c>
      <c r="D3" s="4" t="s">
        <v>2</v>
      </c>
      <c r="E3" s="1" t="s">
        <v>6</v>
      </c>
      <c r="F3" s="4" t="s">
        <v>9</v>
      </c>
      <c r="G3" s="5" t="s">
        <v>10</v>
      </c>
      <c r="H3" s="17"/>
      <c r="I3" s="17" t="s">
        <v>6</v>
      </c>
      <c r="J3" s="4" t="s">
        <v>9</v>
      </c>
      <c r="K3" s="17"/>
      <c r="L3" s="5" t="s">
        <v>10</v>
      </c>
      <c r="M3" s="17" t="s">
        <v>6</v>
      </c>
      <c r="N3" s="4" t="s">
        <v>9</v>
      </c>
      <c r="O3" s="5" t="s">
        <v>10</v>
      </c>
      <c r="P3" s="16"/>
    </row>
    <row r="4" spans="1:16" ht="128.25" x14ac:dyDescent="0.25">
      <c r="A4" s="16"/>
      <c r="B4" s="69"/>
      <c r="C4" s="17"/>
      <c r="D4" s="4" t="s">
        <v>3</v>
      </c>
      <c r="E4" s="1" t="s">
        <v>7</v>
      </c>
      <c r="F4" s="4" t="s">
        <v>15</v>
      </c>
      <c r="G4" s="58" t="s">
        <v>62</v>
      </c>
      <c r="H4" s="17"/>
      <c r="I4" s="17" t="s">
        <v>11</v>
      </c>
      <c r="J4" s="4" t="s">
        <v>15</v>
      </c>
      <c r="K4" s="16"/>
      <c r="L4" s="58" t="s">
        <v>65</v>
      </c>
      <c r="M4" s="17" t="s">
        <v>12</v>
      </c>
      <c r="N4" s="4" t="s">
        <v>15</v>
      </c>
      <c r="O4" s="45" t="s">
        <v>66</v>
      </c>
      <c r="P4" s="16"/>
    </row>
    <row r="5" spans="1:16" ht="28.5" x14ac:dyDescent="0.25">
      <c r="A5" s="16"/>
      <c r="B5" s="69"/>
      <c r="C5" s="17"/>
      <c r="D5" s="4" t="s">
        <v>4</v>
      </c>
      <c r="E5" s="6">
        <v>5.0000000000000001E-3</v>
      </c>
      <c r="F5" s="40" t="s">
        <v>40</v>
      </c>
      <c r="G5" s="17"/>
      <c r="H5" s="17"/>
      <c r="I5" s="20">
        <v>7.4999999999999997E-3</v>
      </c>
      <c r="J5" s="40" t="s">
        <v>41</v>
      </c>
      <c r="K5" s="16"/>
      <c r="L5" s="16"/>
      <c r="M5" s="20">
        <v>1.4999999999999999E-2</v>
      </c>
      <c r="N5" s="40" t="s">
        <v>42</v>
      </c>
      <c r="O5" s="17"/>
      <c r="P5" s="16"/>
    </row>
    <row r="6" spans="1:16" x14ac:dyDescent="0.25">
      <c r="A6" s="16"/>
      <c r="B6" s="69"/>
      <c r="C6" s="17"/>
      <c r="D6" s="4" t="s">
        <v>5</v>
      </c>
      <c r="E6" s="17"/>
      <c r="F6" s="17"/>
      <c r="G6" s="17"/>
      <c r="H6" s="17"/>
      <c r="I6" s="17"/>
      <c r="J6" s="17"/>
      <c r="K6" s="16"/>
      <c r="L6" s="16"/>
      <c r="M6" s="17"/>
      <c r="N6" s="17"/>
      <c r="O6" s="17"/>
      <c r="P6" s="16"/>
    </row>
    <row r="7" spans="1:16" x14ac:dyDescent="0.25">
      <c r="A7" s="16"/>
      <c r="B7" s="4">
        <v>1</v>
      </c>
      <c r="C7" s="21">
        <v>13.3</v>
      </c>
      <c r="D7" s="7">
        <v>13.25</v>
      </c>
      <c r="E7" s="2">
        <f>+C7*a_2010_2011</f>
        <v>6.6500000000000004E-2</v>
      </c>
      <c r="F7" s="8">
        <v>0</v>
      </c>
      <c r="G7" s="42"/>
      <c r="H7" s="21">
        <f t="shared" ref="H7" si="0">+E7*F7</f>
        <v>0</v>
      </c>
      <c r="I7" s="21">
        <f>(+C7+E7)*a_2011_2012</f>
        <v>0.10024875</v>
      </c>
      <c r="J7" s="8">
        <v>0</v>
      </c>
      <c r="K7" s="22">
        <f t="shared" ref="K7" si="1">+J7*I7</f>
        <v>0</v>
      </c>
      <c r="L7" s="22"/>
      <c r="M7" s="22">
        <f>(+C7+E7+I7)*a_2012_2013</f>
        <v>0.20200123125</v>
      </c>
      <c r="N7" s="10">
        <v>0</v>
      </c>
      <c r="O7" s="16"/>
      <c r="P7" s="22">
        <f>+M7*N7</f>
        <v>0</v>
      </c>
    </row>
    <row r="8" spans="1:16" x14ac:dyDescent="0.25">
      <c r="A8" s="16"/>
      <c r="B8" s="16"/>
      <c r="C8" s="16"/>
      <c r="D8" s="16"/>
      <c r="E8" s="16"/>
      <c r="F8" s="16"/>
      <c r="G8" s="9">
        <f>SUM(H7:H7)</f>
        <v>0</v>
      </c>
      <c r="H8" s="16"/>
      <c r="I8" s="16"/>
      <c r="J8" s="16"/>
      <c r="K8" s="16"/>
      <c r="L8" s="46">
        <f>+SUM(K7:K7)</f>
        <v>0</v>
      </c>
      <c r="M8" s="16"/>
      <c r="N8" s="16"/>
      <c r="O8" s="47">
        <f>+SUM(P7:P7)</f>
        <v>0</v>
      </c>
      <c r="P8" s="16"/>
    </row>
    <row r="9" spans="1:16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5">
      <c r="A10" s="16"/>
      <c r="B10" s="50" t="s">
        <v>13</v>
      </c>
      <c r="C10" s="50"/>
      <c r="D10" s="50"/>
      <c r="E10" s="18"/>
      <c r="F10" s="18"/>
      <c r="G10" s="13">
        <f>+G8+L8+O8</f>
        <v>0</v>
      </c>
      <c r="H10" s="16"/>
      <c r="I10" s="16"/>
      <c r="J10" s="16"/>
      <c r="K10" s="16"/>
      <c r="L10" s="16"/>
      <c r="M10" s="16"/>
      <c r="N10" s="16"/>
      <c r="O10" s="16"/>
      <c r="P10" s="16"/>
    </row>
    <row r="11" spans="1:16" x14ac:dyDescent="0.25">
      <c r="A11" s="16"/>
      <c r="B11" s="16"/>
      <c r="C11" s="16"/>
      <c r="D11" s="16"/>
      <c r="E11" s="22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25">
      <c r="B12" s="41"/>
      <c r="D12" s="41"/>
      <c r="E12" s="41"/>
      <c r="F12" s="41"/>
      <c r="G12" s="41"/>
      <c r="J12" s="41"/>
      <c r="L12" s="41"/>
      <c r="N12" s="41"/>
      <c r="O12" s="41"/>
    </row>
    <row r="13" spans="1:16" x14ac:dyDescent="0.25">
      <c r="B13" s="41"/>
      <c r="D13" s="41"/>
      <c r="E13" s="41"/>
      <c r="F13" s="41"/>
      <c r="G13" s="41"/>
      <c r="J13" s="41"/>
      <c r="L13" s="41"/>
      <c r="N13" s="41"/>
      <c r="O13" s="41"/>
    </row>
    <row r="14" spans="1:16" x14ac:dyDescent="0.25">
      <c r="B14" s="41"/>
      <c r="D14" s="41"/>
      <c r="E14" s="41"/>
      <c r="F14" s="41"/>
      <c r="G14" s="41"/>
      <c r="J14" s="41"/>
      <c r="L14" s="41"/>
      <c r="N14" s="41"/>
      <c r="O14" s="41"/>
    </row>
    <row r="15" spans="1:16" x14ac:dyDescent="0.25">
      <c r="B15" s="41"/>
      <c r="D15" s="41"/>
      <c r="E15" s="41"/>
      <c r="F15" s="41"/>
      <c r="G15" s="41"/>
      <c r="J15" s="41"/>
      <c r="L15" s="41"/>
      <c r="N15" s="41"/>
      <c r="O15" s="41"/>
    </row>
    <row r="16" spans="1:16" x14ac:dyDescent="0.25">
      <c r="B16" s="41"/>
      <c r="D16" s="41"/>
      <c r="E16" s="41"/>
      <c r="F16" s="41"/>
      <c r="G16" s="41"/>
      <c r="J16" s="41"/>
      <c r="L16" s="41"/>
      <c r="N16" s="41"/>
      <c r="O16" s="41"/>
    </row>
    <row r="17" spans="2:15" x14ac:dyDescent="0.25">
      <c r="B17" s="41"/>
      <c r="D17" s="41"/>
      <c r="E17" s="41"/>
      <c r="F17" s="41"/>
      <c r="G17" s="41"/>
      <c r="J17" s="41"/>
      <c r="L17" s="41"/>
      <c r="N17" s="41"/>
      <c r="O17" s="41"/>
    </row>
    <row r="18" spans="2:15" x14ac:dyDescent="0.25">
      <c r="B18" s="59" t="s">
        <v>57</v>
      </c>
      <c r="D18" s="41"/>
      <c r="E18" s="41"/>
      <c r="F18" s="41"/>
      <c r="G18" s="41"/>
      <c r="J18" s="41"/>
      <c r="L18" s="41"/>
      <c r="N18" s="41"/>
      <c r="O18" s="41"/>
    </row>
    <row r="19" spans="2:15" x14ac:dyDescent="0.25">
      <c r="B19" s="41"/>
      <c r="D19" s="41"/>
      <c r="E19" s="41"/>
      <c r="F19" s="41"/>
      <c r="G19" s="41"/>
      <c r="J19" s="41"/>
      <c r="L19" s="41"/>
      <c r="N19" s="41"/>
      <c r="O19" s="41"/>
    </row>
    <row r="20" spans="2:15" x14ac:dyDescent="0.25">
      <c r="B20" s="41"/>
      <c r="D20" s="41"/>
      <c r="E20" s="41"/>
      <c r="F20" s="41"/>
      <c r="G20" s="41"/>
      <c r="J20" s="41"/>
      <c r="L20" s="41"/>
      <c r="N20" s="41"/>
      <c r="O20" s="41"/>
    </row>
    <row r="21" spans="2:15" x14ac:dyDescent="0.25">
      <c r="B21" s="41"/>
      <c r="D21" s="41"/>
      <c r="E21" s="41"/>
      <c r="F21" s="41"/>
      <c r="G21" s="41"/>
      <c r="J21" s="41"/>
      <c r="L21" s="41"/>
      <c r="N21" s="41"/>
      <c r="O21" s="41"/>
    </row>
    <row r="22" spans="2:15" x14ac:dyDescent="0.25">
      <c r="B22" s="41"/>
      <c r="D22" s="41"/>
      <c r="E22" s="41"/>
      <c r="F22" s="41"/>
      <c r="G22" s="41"/>
      <c r="J22" s="41"/>
      <c r="L22" s="41"/>
      <c r="N22" s="41"/>
      <c r="O22" s="41"/>
    </row>
    <row r="23" spans="2:15" x14ac:dyDescent="0.25">
      <c r="B23" s="41"/>
      <c r="D23" s="41"/>
      <c r="E23" s="41"/>
      <c r="F23" s="41"/>
      <c r="G23" s="41"/>
      <c r="J23" s="41"/>
      <c r="L23" s="41"/>
      <c r="N23" s="41"/>
      <c r="O23" s="41"/>
    </row>
    <row r="24" spans="2:15" x14ac:dyDescent="0.25">
      <c r="B24" s="41"/>
      <c r="D24" s="41"/>
      <c r="E24" s="41"/>
      <c r="F24" s="41"/>
      <c r="G24" s="41"/>
      <c r="J24" s="41"/>
      <c r="L24" s="41"/>
      <c r="N24" s="41"/>
      <c r="O24" s="41"/>
    </row>
    <row r="25" spans="2:15" x14ac:dyDescent="0.25">
      <c r="B25" s="41"/>
      <c r="D25" s="41"/>
      <c r="E25" s="41"/>
      <c r="F25" s="41"/>
      <c r="G25" s="41"/>
      <c r="J25" s="41"/>
      <c r="L25" s="41"/>
      <c r="N25" s="41"/>
      <c r="O25" s="41"/>
    </row>
    <row r="26" spans="2:15" x14ac:dyDescent="0.25">
      <c r="B26" s="41"/>
      <c r="D26" s="41"/>
      <c r="E26" s="41"/>
      <c r="F26" s="41"/>
      <c r="G26" s="41"/>
      <c r="J26" s="41"/>
      <c r="L26" s="41"/>
      <c r="N26" s="41"/>
      <c r="O26" s="41"/>
    </row>
    <row r="27" spans="2:15" x14ac:dyDescent="0.25">
      <c r="B27" s="41"/>
      <c r="D27" s="41"/>
      <c r="E27" s="41"/>
      <c r="F27" s="41"/>
      <c r="G27" s="41"/>
      <c r="J27" s="41"/>
      <c r="L27" s="41"/>
      <c r="N27" s="41"/>
      <c r="O27" s="41"/>
    </row>
    <row r="28" spans="2:15" x14ac:dyDescent="0.25">
      <c r="B28" s="41"/>
      <c r="D28" s="41"/>
      <c r="E28" s="41"/>
      <c r="F28" s="41"/>
      <c r="G28" s="41"/>
      <c r="J28" s="41"/>
      <c r="L28" s="41"/>
      <c r="N28" s="41"/>
      <c r="O28" s="41"/>
    </row>
    <row r="29" spans="2:15" x14ac:dyDescent="0.25">
      <c r="B29" s="41"/>
      <c r="D29" s="41"/>
      <c r="E29" s="41"/>
      <c r="F29" s="41"/>
      <c r="G29" s="41"/>
      <c r="J29" s="41"/>
      <c r="L29" s="41"/>
      <c r="N29" s="41"/>
      <c r="O29" s="41"/>
    </row>
    <row r="30" spans="2:15" x14ac:dyDescent="0.25">
      <c r="B30" s="41"/>
      <c r="D30" s="41"/>
      <c r="E30" s="41"/>
      <c r="F30" s="41"/>
      <c r="G30" s="41"/>
      <c r="J30" s="41"/>
      <c r="L30" s="41"/>
      <c r="N30" s="41"/>
      <c r="O30" s="41"/>
    </row>
    <row r="31" spans="2:15" x14ac:dyDescent="0.25">
      <c r="B31" s="41"/>
      <c r="D31" s="41"/>
      <c r="E31" s="41"/>
      <c r="F31" s="41"/>
      <c r="G31" s="41"/>
      <c r="J31" s="41"/>
      <c r="L31" s="41"/>
      <c r="N31" s="41"/>
      <c r="O31" s="41"/>
    </row>
    <row r="32" spans="2:15" x14ac:dyDescent="0.25">
      <c r="B32" s="41"/>
      <c r="D32" s="41"/>
      <c r="E32" s="41"/>
      <c r="F32" s="41"/>
      <c r="G32" s="41"/>
      <c r="J32" s="41"/>
      <c r="L32" s="41"/>
      <c r="N32" s="41"/>
      <c r="O32" s="41"/>
    </row>
    <row r="33" spans="2:15" x14ac:dyDescent="0.25">
      <c r="B33" s="41"/>
      <c r="D33" s="41"/>
      <c r="E33" s="41"/>
      <c r="F33" s="41"/>
      <c r="G33" s="41"/>
      <c r="J33" s="41"/>
      <c r="L33" s="41"/>
      <c r="N33" s="41"/>
      <c r="O33" s="41"/>
    </row>
    <row r="34" spans="2:15" x14ac:dyDescent="0.25">
      <c r="B34" s="41"/>
      <c r="D34" s="41"/>
      <c r="E34" s="41"/>
      <c r="F34" s="41"/>
      <c r="G34" s="41"/>
      <c r="J34" s="41"/>
      <c r="L34" s="41"/>
      <c r="N34" s="41"/>
      <c r="O34" s="41"/>
    </row>
    <row r="35" spans="2:15" x14ac:dyDescent="0.25">
      <c r="B35" s="41"/>
      <c r="D35" s="41"/>
      <c r="E35" s="41"/>
      <c r="F35" s="41"/>
      <c r="G35" s="41"/>
      <c r="J35" s="41"/>
      <c r="L35" s="41"/>
      <c r="N35" s="41"/>
      <c r="O35" s="41"/>
    </row>
    <row r="36" spans="2:15" x14ac:dyDescent="0.25">
      <c r="B36" s="41"/>
      <c r="D36" s="41"/>
      <c r="E36" s="41"/>
      <c r="F36" s="41"/>
      <c r="G36" s="41"/>
      <c r="J36" s="41"/>
      <c r="L36" s="41"/>
      <c r="N36" s="41"/>
      <c r="O36" s="41"/>
    </row>
    <row r="37" spans="2:15" x14ac:dyDescent="0.25">
      <c r="B37" s="41"/>
      <c r="D37" s="41"/>
      <c r="E37" s="41"/>
      <c r="F37" s="41"/>
      <c r="G37" s="41"/>
      <c r="J37" s="41"/>
      <c r="L37" s="41"/>
      <c r="N37" s="41"/>
      <c r="O37" s="41"/>
    </row>
    <row r="38" spans="2:15" x14ac:dyDescent="0.25">
      <c r="B38" s="41"/>
      <c r="D38" s="41"/>
      <c r="E38" s="41"/>
      <c r="F38" s="41"/>
      <c r="G38" s="41"/>
      <c r="J38" s="41"/>
      <c r="L38" s="41"/>
      <c r="N38" s="41"/>
      <c r="O38" s="41"/>
    </row>
    <row r="39" spans="2:15" x14ac:dyDescent="0.25">
      <c r="B39" s="41"/>
      <c r="D39" s="41"/>
      <c r="E39" s="41"/>
      <c r="F39" s="41"/>
      <c r="G39" s="41"/>
      <c r="J39" s="41"/>
      <c r="L39" s="41"/>
      <c r="N39" s="41"/>
      <c r="O39" s="41"/>
    </row>
  </sheetData>
  <mergeCells count="1">
    <mergeCell ref="B3:B6"/>
  </mergeCells>
  <hyperlinks>
    <hyperlink ref="B18" location="explication" display="Pour retourner aux explications cliquer ici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D1" sqref="D1"/>
    </sheetView>
  </sheetViews>
  <sheetFormatPr baseColWidth="10" defaultRowHeight="15" x14ac:dyDescent="0.25"/>
  <cols>
    <col min="1" max="1" width="11.42578125" style="41"/>
    <col min="3" max="3" width="11.42578125" style="41"/>
    <col min="5" max="5" width="2" style="41" customWidth="1"/>
    <col min="8" max="8" width="2.42578125" style="41" customWidth="1"/>
    <col min="9" max="9" width="3" style="41" customWidth="1"/>
    <col min="11" max="11" width="2.42578125" style="41" customWidth="1"/>
    <col min="13" max="13" width="3.42578125" style="41" customWidth="1"/>
    <col min="16" max="16" width="3.140625" style="41" customWidth="1"/>
    <col min="17" max="21" width="11.42578125" style="41"/>
  </cols>
  <sheetData>
    <row r="1" spans="1:21" x14ac:dyDescent="0.25">
      <c r="A1" s="16"/>
      <c r="B1" s="52" t="s">
        <v>19</v>
      </c>
      <c r="C1" s="52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49"/>
      <c r="S1" s="49"/>
      <c r="T1" s="49"/>
      <c r="U1" s="49"/>
    </row>
    <row r="2" spans="1:21" ht="99.75" x14ac:dyDescent="0.25">
      <c r="A2" s="16"/>
      <c r="B2" s="4" t="s">
        <v>1</v>
      </c>
      <c r="C2" s="17" t="s">
        <v>8</v>
      </c>
      <c r="D2" s="4" t="s">
        <v>2</v>
      </c>
      <c r="E2" s="17" t="s">
        <v>6</v>
      </c>
      <c r="F2" s="4" t="s">
        <v>9</v>
      </c>
      <c r="G2" s="5" t="s">
        <v>10</v>
      </c>
      <c r="H2" s="17"/>
      <c r="I2" s="17" t="s">
        <v>6</v>
      </c>
      <c r="J2" s="4" t="s">
        <v>9</v>
      </c>
      <c r="K2" s="17"/>
      <c r="L2" s="5" t="s">
        <v>10</v>
      </c>
      <c r="M2" s="17" t="s">
        <v>6</v>
      </c>
      <c r="N2" s="4" t="s">
        <v>9</v>
      </c>
      <c r="O2" s="5" t="s">
        <v>10</v>
      </c>
      <c r="P2" s="16"/>
    </row>
    <row r="3" spans="1:21" ht="128.25" x14ac:dyDescent="0.25">
      <c r="A3" s="16"/>
      <c r="B3" s="17"/>
      <c r="C3" s="17"/>
      <c r="D3" s="4" t="s">
        <v>3</v>
      </c>
      <c r="E3" s="17" t="s">
        <v>7</v>
      </c>
      <c r="F3" s="4" t="s">
        <v>15</v>
      </c>
      <c r="G3" s="57" t="s">
        <v>63</v>
      </c>
      <c r="H3" s="17"/>
      <c r="I3" s="17" t="s">
        <v>11</v>
      </c>
      <c r="J3" s="4" t="s">
        <v>15</v>
      </c>
      <c r="K3" s="16"/>
      <c r="L3" s="58" t="s">
        <v>65</v>
      </c>
      <c r="M3" s="17" t="s">
        <v>12</v>
      </c>
      <c r="N3" s="4" t="s">
        <v>15</v>
      </c>
      <c r="O3" s="45" t="s">
        <v>66</v>
      </c>
      <c r="P3" s="16"/>
    </row>
    <row r="4" spans="1:21" ht="28.5" x14ac:dyDescent="0.25">
      <c r="A4" s="16"/>
      <c r="B4" s="17"/>
      <c r="C4" s="17"/>
      <c r="D4" s="4" t="s">
        <v>4</v>
      </c>
      <c r="E4" s="20">
        <v>5.0000000000000001E-3</v>
      </c>
      <c r="F4" s="40" t="s">
        <v>40</v>
      </c>
      <c r="G4" s="57" t="s">
        <v>64</v>
      </c>
      <c r="H4" s="17"/>
      <c r="I4" s="20">
        <v>7.4999999999999997E-3</v>
      </c>
      <c r="J4" s="40" t="s">
        <v>41</v>
      </c>
      <c r="K4" s="16"/>
      <c r="L4" s="16"/>
      <c r="M4" s="20">
        <v>1.4999999999999999E-2</v>
      </c>
      <c r="N4" s="40" t="s">
        <v>42</v>
      </c>
      <c r="O4" s="17"/>
      <c r="P4" s="16"/>
    </row>
    <row r="5" spans="1:21" x14ac:dyDescent="0.25">
      <c r="A5" s="16"/>
      <c r="B5" s="17"/>
      <c r="C5" s="17"/>
      <c r="D5" s="4" t="s">
        <v>5</v>
      </c>
      <c r="E5" s="17"/>
      <c r="F5" s="17"/>
      <c r="G5" s="17"/>
      <c r="H5" s="17"/>
      <c r="I5" s="17"/>
      <c r="J5" s="17"/>
      <c r="K5" s="16"/>
      <c r="L5" s="16"/>
      <c r="M5" s="17"/>
      <c r="N5" s="17"/>
      <c r="O5" s="17"/>
      <c r="P5" s="16"/>
    </row>
    <row r="6" spans="1:21" x14ac:dyDescent="0.25">
      <c r="A6" s="16"/>
      <c r="B6" s="4">
        <v>10</v>
      </c>
      <c r="C6" s="21">
        <v>22.63</v>
      </c>
      <c r="D6" s="7">
        <v>22.95</v>
      </c>
      <c r="E6" s="21">
        <f t="shared" ref="E6:E15" si="0">+C6*a_2010_2011</f>
        <v>0.11315</v>
      </c>
      <c r="F6" s="8">
        <v>0</v>
      </c>
      <c r="G6" s="42"/>
      <c r="H6" s="21">
        <f>+E6*F6</f>
        <v>0</v>
      </c>
      <c r="I6" s="21">
        <f t="shared" ref="I6:I15" si="1">(+C6+E6)*a_2011_2012</f>
        <v>0.17057362500000001</v>
      </c>
      <c r="J6" s="8">
        <v>0</v>
      </c>
      <c r="K6" s="22">
        <f>+J6*I6</f>
        <v>0</v>
      </c>
      <c r="L6" s="22"/>
      <c r="M6" s="22">
        <f t="shared" ref="M6:M15" si="2">(+C6+E6+I6)*a_2012_2013</f>
        <v>0.34370585437499995</v>
      </c>
      <c r="N6" s="10">
        <v>0</v>
      </c>
      <c r="O6" s="16"/>
      <c r="P6" s="22">
        <f>+M6*N6</f>
        <v>0</v>
      </c>
    </row>
    <row r="7" spans="1:21" x14ac:dyDescent="0.25">
      <c r="A7" s="16"/>
      <c r="B7" s="4">
        <v>9</v>
      </c>
      <c r="C7" s="21">
        <v>22.32</v>
      </c>
      <c r="D7" s="7">
        <v>22.64</v>
      </c>
      <c r="E7" s="21">
        <f t="shared" si="0"/>
        <v>0.1116</v>
      </c>
      <c r="F7" s="8">
        <v>0</v>
      </c>
      <c r="G7" s="42"/>
      <c r="H7" s="21">
        <f t="shared" ref="H7:H15" si="3">+E7*F7</f>
        <v>0</v>
      </c>
      <c r="I7" s="21">
        <f t="shared" si="1"/>
        <v>0.168237</v>
      </c>
      <c r="J7" s="8">
        <v>0</v>
      </c>
      <c r="K7" s="22">
        <f t="shared" ref="K7:K15" si="4">+J7*I7</f>
        <v>0</v>
      </c>
      <c r="L7" s="22"/>
      <c r="M7" s="22">
        <f t="shared" si="2"/>
        <v>0.33899755500000001</v>
      </c>
      <c r="N7" s="10">
        <v>0</v>
      </c>
      <c r="O7" s="16"/>
      <c r="P7" s="22">
        <f t="shared" ref="P7:P15" si="5">+M7*N7</f>
        <v>0</v>
      </c>
    </row>
    <row r="8" spans="1:21" x14ac:dyDescent="0.25">
      <c r="A8" s="16"/>
      <c r="B8" s="4">
        <v>8</v>
      </c>
      <c r="C8" s="21">
        <v>22.01</v>
      </c>
      <c r="D8" s="7">
        <v>22.34</v>
      </c>
      <c r="E8" s="21">
        <f t="shared" si="0"/>
        <v>0.11005000000000001</v>
      </c>
      <c r="F8" s="8">
        <v>0</v>
      </c>
      <c r="G8" s="42"/>
      <c r="H8" s="21">
        <f t="shared" si="3"/>
        <v>0</v>
      </c>
      <c r="I8" s="21">
        <f t="shared" si="1"/>
        <v>0.16590037500000002</v>
      </c>
      <c r="J8" s="8">
        <v>0</v>
      </c>
      <c r="K8" s="22">
        <f t="shared" si="4"/>
        <v>0</v>
      </c>
      <c r="L8" s="22"/>
      <c r="M8" s="22">
        <f t="shared" si="2"/>
        <v>0.334289255625</v>
      </c>
      <c r="N8" s="10">
        <v>0</v>
      </c>
      <c r="O8" s="16"/>
      <c r="P8" s="22">
        <f t="shared" si="5"/>
        <v>0</v>
      </c>
    </row>
    <row r="9" spans="1:21" x14ac:dyDescent="0.25">
      <c r="A9" s="16"/>
      <c r="B9" s="4">
        <v>7</v>
      </c>
      <c r="C9" s="21">
        <v>21.4</v>
      </c>
      <c r="D9" s="7">
        <v>21.71</v>
      </c>
      <c r="E9" s="21">
        <f t="shared" si="0"/>
        <v>0.107</v>
      </c>
      <c r="F9" s="8">
        <v>0</v>
      </c>
      <c r="G9" s="42"/>
      <c r="H9" s="21">
        <f t="shared" si="3"/>
        <v>0</v>
      </c>
      <c r="I9" s="21">
        <f t="shared" si="1"/>
        <v>0.16130249999999999</v>
      </c>
      <c r="J9" s="8">
        <v>0</v>
      </c>
      <c r="K9" s="22">
        <f t="shared" si="4"/>
        <v>0</v>
      </c>
      <c r="L9" s="22"/>
      <c r="M9" s="22">
        <f t="shared" si="2"/>
        <v>0.32502453749999999</v>
      </c>
      <c r="N9" s="10">
        <v>0</v>
      </c>
      <c r="O9" s="16"/>
      <c r="P9" s="22">
        <f t="shared" si="5"/>
        <v>0</v>
      </c>
    </row>
    <row r="10" spans="1:21" x14ac:dyDescent="0.25">
      <c r="A10" s="16"/>
      <c r="B10" s="4">
        <v>6</v>
      </c>
      <c r="C10" s="21">
        <v>20.8</v>
      </c>
      <c r="D10" s="7">
        <v>21.1</v>
      </c>
      <c r="E10" s="21">
        <f t="shared" si="0"/>
        <v>0.10400000000000001</v>
      </c>
      <c r="F10" s="8">
        <v>0</v>
      </c>
      <c r="G10" s="42"/>
      <c r="H10" s="21">
        <f t="shared" si="3"/>
        <v>0</v>
      </c>
      <c r="I10" s="21">
        <f t="shared" si="1"/>
        <v>0.15678</v>
      </c>
      <c r="J10" s="8">
        <v>0</v>
      </c>
      <c r="K10" s="22">
        <f t="shared" si="4"/>
        <v>0</v>
      </c>
      <c r="L10" s="22"/>
      <c r="M10" s="22">
        <f t="shared" si="2"/>
        <v>0.31591170000000002</v>
      </c>
      <c r="N10" s="10">
        <v>0</v>
      </c>
      <c r="O10" s="16"/>
      <c r="P10" s="22">
        <f t="shared" si="5"/>
        <v>0</v>
      </c>
    </row>
    <row r="11" spans="1:21" x14ac:dyDescent="0.25">
      <c r="A11" s="16"/>
      <c r="B11" s="4">
        <v>5</v>
      </c>
      <c r="C11" s="21">
        <v>20.23</v>
      </c>
      <c r="D11" s="7">
        <v>20.51</v>
      </c>
      <c r="E11" s="21">
        <f t="shared" si="0"/>
        <v>0.10115</v>
      </c>
      <c r="F11" s="8">
        <v>0</v>
      </c>
      <c r="G11" s="42"/>
      <c r="H11" s="21">
        <f t="shared" si="3"/>
        <v>0</v>
      </c>
      <c r="I11" s="21">
        <f t="shared" si="1"/>
        <v>0.15248362500000001</v>
      </c>
      <c r="J11" s="8">
        <v>0</v>
      </c>
      <c r="K11" s="22">
        <f t="shared" si="4"/>
        <v>0</v>
      </c>
      <c r="L11" s="22"/>
      <c r="M11" s="22">
        <f t="shared" si="2"/>
        <v>0.30725450437499996</v>
      </c>
      <c r="N11" s="10">
        <v>0</v>
      </c>
      <c r="O11" s="16"/>
      <c r="P11" s="22">
        <f t="shared" si="5"/>
        <v>0</v>
      </c>
    </row>
    <row r="12" spans="1:21" x14ac:dyDescent="0.25">
      <c r="A12" s="16"/>
      <c r="B12" s="4">
        <v>4</v>
      </c>
      <c r="C12" s="21">
        <v>19.68</v>
      </c>
      <c r="D12" s="7">
        <v>19.95</v>
      </c>
      <c r="E12" s="21">
        <f t="shared" si="0"/>
        <v>9.8400000000000001E-2</v>
      </c>
      <c r="F12" s="8">
        <v>0</v>
      </c>
      <c r="G12" s="42"/>
      <c r="H12" s="21">
        <f t="shared" si="3"/>
        <v>0</v>
      </c>
      <c r="I12" s="21">
        <f t="shared" si="1"/>
        <v>0.148338</v>
      </c>
      <c r="J12" s="8">
        <v>0</v>
      </c>
      <c r="K12" s="22">
        <f t="shared" si="4"/>
        <v>0</v>
      </c>
      <c r="L12" s="22"/>
      <c r="M12" s="22">
        <f t="shared" si="2"/>
        <v>0.29890106999999999</v>
      </c>
      <c r="N12" s="10">
        <v>0</v>
      </c>
      <c r="O12" s="16"/>
      <c r="P12" s="22">
        <f t="shared" si="5"/>
        <v>0</v>
      </c>
    </row>
    <row r="13" spans="1:21" x14ac:dyDescent="0.25">
      <c r="A13" s="16"/>
      <c r="B13" s="4">
        <v>3</v>
      </c>
      <c r="C13" s="21">
        <v>19.14</v>
      </c>
      <c r="D13" s="7">
        <v>19.39</v>
      </c>
      <c r="E13" s="21">
        <f t="shared" si="0"/>
        <v>9.5700000000000007E-2</v>
      </c>
      <c r="F13" s="8">
        <v>0</v>
      </c>
      <c r="G13" s="42"/>
      <c r="H13" s="21">
        <f t="shared" si="3"/>
        <v>0</v>
      </c>
      <c r="I13" s="21">
        <f t="shared" si="1"/>
        <v>0.14426775</v>
      </c>
      <c r="J13" s="8">
        <v>0</v>
      </c>
      <c r="K13" s="22">
        <f t="shared" si="4"/>
        <v>0</v>
      </c>
      <c r="L13" s="22"/>
      <c r="M13" s="22">
        <f t="shared" si="2"/>
        <v>0.29069951625000001</v>
      </c>
      <c r="N13" s="10">
        <v>0</v>
      </c>
      <c r="O13" s="16"/>
      <c r="P13" s="22">
        <f t="shared" si="5"/>
        <v>0</v>
      </c>
    </row>
    <row r="14" spans="1:21" x14ac:dyDescent="0.25">
      <c r="A14" s="16"/>
      <c r="B14" s="4">
        <v>2</v>
      </c>
      <c r="C14" s="21">
        <v>18.600000000000001</v>
      </c>
      <c r="D14" s="7">
        <v>18.850000000000001</v>
      </c>
      <c r="E14" s="21">
        <f t="shared" si="0"/>
        <v>9.3000000000000013E-2</v>
      </c>
      <c r="F14" s="8">
        <v>0</v>
      </c>
      <c r="G14" s="42"/>
      <c r="H14" s="21">
        <f t="shared" si="3"/>
        <v>0</v>
      </c>
      <c r="I14" s="21">
        <f t="shared" si="1"/>
        <v>0.1401975</v>
      </c>
      <c r="J14" s="8">
        <v>0</v>
      </c>
      <c r="K14" s="22">
        <f t="shared" si="4"/>
        <v>0</v>
      </c>
      <c r="L14" s="22"/>
      <c r="M14" s="22">
        <f t="shared" si="2"/>
        <v>0.28249796249999998</v>
      </c>
      <c r="N14" s="10">
        <v>0</v>
      </c>
      <c r="O14" s="16"/>
      <c r="P14" s="22">
        <f t="shared" si="5"/>
        <v>0</v>
      </c>
    </row>
    <row r="15" spans="1:21" x14ac:dyDescent="0.25">
      <c r="A15" s="16"/>
      <c r="B15" s="4">
        <v>1</v>
      </c>
      <c r="C15" s="21">
        <v>18.079999999999998</v>
      </c>
      <c r="D15" s="7">
        <v>18.329999999999998</v>
      </c>
      <c r="E15" s="21">
        <f t="shared" si="0"/>
        <v>9.0399999999999994E-2</v>
      </c>
      <c r="F15" s="8">
        <v>0</v>
      </c>
      <c r="G15" s="42"/>
      <c r="H15" s="21">
        <f t="shared" si="3"/>
        <v>0</v>
      </c>
      <c r="I15" s="21">
        <f t="shared" si="1"/>
        <v>0.13627799999999998</v>
      </c>
      <c r="J15" s="8">
        <v>0</v>
      </c>
      <c r="K15" s="22">
        <f t="shared" si="4"/>
        <v>0</v>
      </c>
      <c r="L15" s="22"/>
      <c r="M15" s="22">
        <f t="shared" si="2"/>
        <v>0.27460016999999998</v>
      </c>
      <c r="N15" s="10">
        <v>0</v>
      </c>
      <c r="O15" s="16"/>
      <c r="P15" s="22">
        <f t="shared" si="5"/>
        <v>0</v>
      </c>
    </row>
    <row r="16" spans="1:21" x14ac:dyDescent="0.25">
      <c r="A16" s="16"/>
      <c r="B16" s="16"/>
      <c r="C16" s="16"/>
      <c r="D16" s="16"/>
      <c r="E16" s="16"/>
      <c r="F16" s="16"/>
      <c r="G16" s="9">
        <f>SUM(H6:H15)</f>
        <v>0</v>
      </c>
      <c r="H16" s="16"/>
      <c r="I16" s="16"/>
      <c r="J16" s="16"/>
      <c r="K16" s="16"/>
      <c r="L16" s="46">
        <f>+SUM(K6:K15)</f>
        <v>0</v>
      </c>
      <c r="M16" s="16"/>
      <c r="N16" s="16"/>
      <c r="O16" s="46">
        <f>+SUM(P6:P15)</f>
        <v>0</v>
      </c>
      <c r="P16" s="16"/>
    </row>
    <row r="17" spans="1:16" x14ac:dyDescent="0.25">
      <c r="A17" s="16"/>
      <c r="B17" s="16"/>
      <c r="C17" s="16"/>
      <c r="D17" s="16"/>
      <c r="E17" s="16"/>
      <c r="F17" s="16"/>
      <c r="G17" s="22"/>
      <c r="H17" s="16"/>
      <c r="I17" s="16"/>
      <c r="J17" s="16"/>
      <c r="K17" s="16"/>
      <c r="L17" s="22"/>
      <c r="M17" s="16"/>
      <c r="N17" s="16"/>
      <c r="O17" s="22"/>
      <c r="P17" s="16"/>
    </row>
    <row r="18" spans="1:16" x14ac:dyDescent="0.25">
      <c r="A18" s="56"/>
      <c r="B18" s="18"/>
      <c r="C18" s="50" t="s">
        <v>13</v>
      </c>
      <c r="D18" s="50"/>
      <c r="E18" s="18"/>
      <c r="F18" s="18"/>
      <c r="G18" s="13">
        <f>+G16+L16+O16</f>
        <v>0</v>
      </c>
      <c r="H18" s="16"/>
      <c r="I18" s="16"/>
      <c r="J18" s="16"/>
      <c r="K18" s="16"/>
      <c r="L18" s="16"/>
      <c r="M18" s="16"/>
      <c r="N18" s="16"/>
      <c r="O18" s="16"/>
      <c r="P18" s="16"/>
    </row>
    <row r="19" spans="1:16" x14ac:dyDescent="0.25">
      <c r="B19" s="41"/>
      <c r="D19" s="41"/>
      <c r="F19" s="41"/>
      <c r="G19" s="41"/>
      <c r="J19" s="41"/>
      <c r="L19" s="41"/>
      <c r="N19" s="41"/>
      <c r="O19" s="41"/>
    </row>
    <row r="20" spans="1:16" x14ac:dyDescent="0.25">
      <c r="A20" s="59" t="s">
        <v>58</v>
      </c>
      <c r="B20" s="41"/>
      <c r="D20" s="41"/>
      <c r="F20" s="41"/>
      <c r="G20" s="41"/>
      <c r="J20" s="41"/>
      <c r="L20" s="41"/>
      <c r="N20" s="41"/>
      <c r="O20" s="41"/>
    </row>
    <row r="21" spans="1:16" x14ac:dyDescent="0.25">
      <c r="B21" s="41"/>
      <c r="D21" s="41"/>
      <c r="F21" s="41"/>
      <c r="G21" s="41"/>
      <c r="J21" s="41"/>
      <c r="L21" s="41"/>
      <c r="N21" s="41"/>
      <c r="O21" s="41"/>
    </row>
    <row r="22" spans="1:16" x14ac:dyDescent="0.25">
      <c r="B22" s="41"/>
      <c r="D22" s="41"/>
      <c r="F22" s="41"/>
      <c r="G22" s="41"/>
      <c r="J22" s="41"/>
      <c r="L22" s="41"/>
      <c r="N22" s="41"/>
      <c r="O22" s="41"/>
    </row>
    <row r="23" spans="1:16" x14ac:dyDescent="0.25">
      <c r="B23" s="41"/>
      <c r="D23" s="41"/>
      <c r="F23" s="41"/>
      <c r="G23" s="41"/>
      <c r="J23" s="41"/>
      <c r="L23" s="41"/>
      <c r="N23" s="41"/>
      <c r="O23" s="41"/>
    </row>
    <row r="24" spans="1:16" x14ac:dyDescent="0.25">
      <c r="B24" s="41"/>
      <c r="D24" s="41"/>
      <c r="F24" s="41"/>
      <c r="G24" s="41"/>
      <c r="J24" s="41"/>
      <c r="L24" s="41"/>
      <c r="N24" s="41"/>
      <c r="O24" s="41"/>
    </row>
    <row r="25" spans="1:16" x14ac:dyDescent="0.25">
      <c r="B25" s="41"/>
      <c r="D25" s="41"/>
      <c r="F25" s="41"/>
      <c r="G25" s="41"/>
      <c r="J25" s="41"/>
      <c r="L25" s="41"/>
      <c r="N25" s="41"/>
      <c r="O25" s="41"/>
    </row>
    <row r="26" spans="1:16" x14ac:dyDescent="0.25">
      <c r="B26" s="41"/>
      <c r="D26" s="41"/>
      <c r="F26" s="41"/>
      <c r="G26" s="41"/>
      <c r="J26" s="41"/>
      <c r="L26" s="41"/>
      <c r="N26" s="41"/>
      <c r="O26" s="41"/>
    </row>
    <row r="27" spans="1:16" x14ac:dyDescent="0.25">
      <c r="B27" s="41"/>
      <c r="D27" s="41"/>
      <c r="F27" s="41"/>
      <c r="G27" s="41"/>
      <c r="J27" s="41"/>
      <c r="L27" s="41"/>
      <c r="N27" s="41"/>
      <c r="O27" s="41"/>
    </row>
    <row r="28" spans="1:16" x14ac:dyDescent="0.25">
      <c r="B28" s="41"/>
      <c r="D28" s="41"/>
      <c r="F28" s="41"/>
      <c r="G28" s="41"/>
      <c r="J28" s="41"/>
      <c r="L28" s="41"/>
      <c r="N28" s="41"/>
      <c r="O28" s="41"/>
    </row>
    <row r="29" spans="1:16" x14ac:dyDescent="0.25">
      <c r="B29" s="41"/>
      <c r="D29" s="41"/>
      <c r="F29" s="41"/>
      <c r="G29" s="41"/>
      <c r="J29" s="41"/>
      <c r="L29" s="41"/>
      <c r="N29" s="41"/>
      <c r="O29" s="41"/>
    </row>
    <row r="30" spans="1:16" x14ac:dyDescent="0.25">
      <c r="B30" s="41"/>
      <c r="D30" s="41"/>
      <c r="F30" s="41"/>
      <c r="G30" s="41"/>
      <c r="J30" s="41"/>
      <c r="L30" s="41"/>
      <c r="N30" s="41"/>
      <c r="O30" s="41"/>
    </row>
    <row r="31" spans="1:16" x14ac:dyDescent="0.25">
      <c r="B31" s="41"/>
      <c r="D31" s="41"/>
      <c r="F31" s="41"/>
      <c r="G31" s="41"/>
      <c r="J31" s="41"/>
      <c r="L31" s="41"/>
      <c r="N31" s="41"/>
      <c r="O31" s="41"/>
    </row>
    <row r="32" spans="1:16" x14ac:dyDescent="0.25">
      <c r="B32" s="41"/>
      <c r="D32" s="41"/>
      <c r="F32" s="41"/>
      <c r="G32" s="41"/>
      <c r="J32" s="41"/>
      <c r="L32" s="41"/>
      <c r="N32" s="41"/>
      <c r="O32" s="41"/>
    </row>
  </sheetData>
  <hyperlinks>
    <hyperlink ref="A20" location="explication" display="Pour retourner aux explications  cliquer ici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selection activeCell="D1" sqref="D1"/>
    </sheetView>
  </sheetViews>
  <sheetFormatPr baseColWidth="10" defaultRowHeight="15" x14ac:dyDescent="0.25"/>
  <cols>
    <col min="1" max="1" width="11.42578125" style="41"/>
    <col min="3" max="3" width="11.42578125" style="41"/>
    <col min="5" max="5" width="2.85546875" style="41" customWidth="1"/>
    <col min="8" max="9" width="2.5703125" style="41" customWidth="1"/>
    <col min="11" max="11" width="2.7109375" style="41" customWidth="1"/>
    <col min="13" max="13" width="2.85546875" style="41" customWidth="1"/>
    <col min="16" max="24" width="11.42578125" style="41"/>
  </cols>
  <sheetData>
    <row r="1" spans="1:16" s="41" customFormat="1" x14ac:dyDescent="0.25">
      <c r="A1" s="16"/>
      <c r="B1" s="52" t="s">
        <v>20</v>
      </c>
      <c r="C1" s="52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85.5" x14ac:dyDescent="0.25">
      <c r="A2" s="16"/>
      <c r="B2" s="4" t="s">
        <v>1</v>
      </c>
      <c r="C2" s="17" t="s">
        <v>8</v>
      </c>
      <c r="D2" s="4" t="s">
        <v>2</v>
      </c>
      <c r="E2" s="17" t="s">
        <v>6</v>
      </c>
      <c r="F2" s="4" t="s">
        <v>9</v>
      </c>
      <c r="G2" s="5" t="s">
        <v>10</v>
      </c>
      <c r="H2" s="17"/>
      <c r="I2" s="17" t="s">
        <v>6</v>
      </c>
      <c r="J2" s="4" t="s">
        <v>9</v>
      </c>
      <c r="K2" s="17"/>
      <c r="L2" s="5" t="s">
        <v>10</v>
      </c>
      <c r="M2" s="17" t="s">
        <v>6</v>
      </c>
      <c r="N2" s="4" t="s">
        <v>9</v>
      </c>
      <c r="O2" s="5" t="s">
        <v>10</v>
      </c>
      <c r="P2" s="16"/>
    </row>
    <row r="3" spans="1:16" ht="114" x14ac:dyDescent="0.25">
      <c r="A3" s="16"/>
      <c r="B3" s="17"/>
      <c r="C3" s="17"/>
      <c r="D3" s="4" t="s">
        <v>3</v>
      </c>
      <c r="E3" s="17" t="s">
        <v>7</v>
      </c>
      <c r="F3" s="4" t="s">
        <v>15</v>
      </c>
      <c r="G3" s="57" t="s">
        <v>63</v>
      </c>
      <c r="H3" s="17"/>
      <c r="I3" s="17" t="s">
        <v>11</v>
      </c>
      <c r="J3" s="4" t="s">
        <v>15</v>
      </c>
      <c r="K3" s="16"/>
      <c r="L3" s="58" t="s">
        <v>65</v>
      </c>
      <c r="M3" s="17" t="s">
        <v>12</v>
      </c>
      <c r="N3" s="4" t="s">
        <v>15</v>
      </c>
      <c r="O3" s="45" t="s">
        <v>66</v>
      </c>
      <c r="P3" s="16"/>
    </row>
    <row r="4" spans="1:16" ht="28.5" x14ac:dyDescent="0.25">
      <c r="A4" s="16"/>
      <c r="B4" s="17"/>
      <c r="C4" s="17"/>
      <c r="D4" s="4" t="s">
        <v>4</v>
      </c>
      <c r="E4" s="20">
        <v>5.0000000000000001E-3</v>
      </c>
      <c r="F4" s="40" t="s">
        <v>40</v>
      </c>
      <c r="G4" s="57" t="s">
        <v>64</v>
      </c>
      <c r="H4" s="17"/>
      <c r="I4" s="20">
        <v>7.4999999999999997E-3</v>
      </c>
      <c r="J4" s="40" t="s">
        <v>41</v>
      </c>
      <c r="K4" s="16"/>
      <c r="L4" s="16"/>
      <c r="M4" s="20">
        <v>1.4999999999999999E-2</v>
      </c>
      <c r="N4" s="40" t="s">
        <v>42</v>
      </c>
      <c r="O4" s="17"/>
      <c r="P4" s="16"/>
    </row>
    <row r="5" spans="1:16" x14ac:dyDescent="0.25">
      <c r="A5" s="16"/>
      <c r="B5" s="17"/>
      <c r="C5" s="17"/>
      <c r="D5" s="4" t="s">
        <v>5</v>
      </c>
      <c r="E5" s="17"/>
      <c r="F5" s="17"/>
      <c r="G5" s="17"/>
      <c r="H5" s="17"/>
      <c r="I5" s="17"/>
      <c r="J5" s="17"/>
      <c r="K5" s="16"/>
      <c r="L5" s="16"/>
      <c r="M5" s="17"/>
      <c r="N5" s="17"/>
      <c r="O5" s="17"/>
      <c r="P5" s="16"/>
    </row>
    <row r="6" spans="1:16" x14ac:dyDescent="0.25">
      <c r="A6" s="16"/>
      <c r="B6" s="4">
        <v>10</v>
      </c>
      <c r="C6" s="21">
        <v>20.14</v>
      </c>
      <c r="D6" s="7">
        <v>20.36</v>
      </c>
      <c r="E6" s="21">
        <f t="shared" ref="E6:E15" si="0">+C6*a_2010_2011</f>
        <v>0.10070000000000001</v>
      </c>
      <c r="F6" s="8">
        <v>0</v>
      </c>
      <c r="G6" s="42"/>
      <c r="H6" s="21">
        <f t="shared" ref="H6:H15" si="1">+E6*F6</f>
        <v>0</v>
      </c>
      <c r="I6" s="21">
        <f t="shared" ref="I6:I15" si="2">(+C6+E6)*a_2011_2012</f>
        <v>0.15180525</v>
      </c>
      <c r="J6" s="8">
        <v>1</v>
      </c>
      <c r="K6" s="22">
        <f t="shared" ref="K6:K15" si="3">+J6*I6</f>
        <v>0.15180525</v>
      </c>
      <c r="L6" s="22"/>
      <c r="M6" s="22">
        <f t="shared" ref="M6:M15" si="4">(+C6+E6+I6)*a_2012_2013</f>
        <v>0.30588757875</v>
      </c>
      <c r="N6" s="10">
        <v>1</v>
      </c>
      <c r="O6" s="16"/>
      <c r="P6" s="22">
        <f>+M6*N6</f>
        <v>0.30588757875</v>
      </c>
    </row>
    <row r="7" spans="1:16" x14ac:dyDescent="0.25">
      <c r="A7" s="16"/>
      <c r="B7" s="4">
        <v>9</v>
      </c>
      <c r="C7" s="21">
        <v>19.66</v>
      </c>
      <c r="D7" s="7">
        <v>19.88</v>
      </c>
      <c r="E7" s="21">
        <f t="shared" si="0"/>
        <v>9.8299999999999998E-2</v>
      </c>
      <c r="F7" s="8">
        <v>0</v>
      </c>
      <c r="G7" s="42"/>
      <c r="H7" s="21">
        <f t="shared" si="1"/>
        <v>0</v>
      </c>
      <c r="I7" s="21">
        <f t="shared" si="2"/>
        <v>0.14818724999999999</v>
      </c>
      <c r="J7" s="8">
        <v>0</v>
      </c>
      <c r="K7" s="22">
        <f t="shared" si="3"/>
        <v>0</v>
      </c>
      <c r="L7" s="22"/>
      <c r="M7" s="22">
        <f t="shared" si="4"/>
        <v>0.29859730874999996</v>
      </c>
      <c r="N7" s="10">
        <v>0</v>
      </c>
      <c r="O7" s="16"/>
      <c r="P7" s="22">
        <f t="shared" ref="P7:P15" si="5">+M7*N7</f>
        <v>0</v>
      </c>
    </row>
    <row r="8" spans="1:16" x14ac:dyDescent="0.25">
      <c r="A8" s="16"/>
      <c r="B8" s="4">
        <v>8</v>
      </c>
      <c r="C8" s="21">
        <v>19.18</v>
      </c>
      <c r="D8" s="7">
        <v>19.399999999999999</v>
      </c>
      <c r="E8" s="21">
        <f t="shared" si="0"/>
        <v>9.5899999999999999E-2</v>
      </c>
      <c r="F8" s="8">
        <v>0</v>
      </c>
      <c r="G8" s="42"/>
      <c r="H8" s="21">
        <f t="shared" si="1"/>
        <v>0</v>
      </c>
      <c r="I8" s="21">
        <f t="shared" si="2"/>
        <v>0.14456924999999998</v>
      </c>
      <c r="J8" s="8">
        <v>0</v>
      </c>
      <c r="K8" s="22">
        <f t="shared" si="3"/>
        <v>0</v>
      </c>
      <c r="L8" s="22"/>
      <c r="M8" s="22">
        <f t="shared" si="4"/>
        <v>0.29130703874999997</v>
      </c>
      <c r="N8" s="10">
        <v>0</v>
      </c>
      <c r="O8" s="16"/>
      <c r="P8" s="22">
        <f t="shared" si="5"/>
        <v>0</v>
      </c>
    </row>
    <row r="9" spans="1:16" x14ac:dyDescent="0.25">
      <c r="A9" s="16"/>
      <c r="B9" s="4">
        <v>7</v>
      </c>
      <c r="C9" s="21">
        <v>18.72</v>
      </c>
      <c r="D9" s="7">
        <v>18.93</v>
      </c>
      <c r="E9" s="21">
        <f t="shared" si="0"/>
        <v>9.3600000000000003E-2</v>
      </c>
      <c r="F9" s="8">
        <v>0</v>
      </c>
      <c r="G9" s="42"/>
      <c r="H9" s="21">
        <f t="shared" si="1"/>
        <v>0</v>
      </c>
      <c r="I9" s="21">
        <f t="shared" si="2"/>
        <v>0.14110199999999998</v>
      </c>
      <c r="J9" s="8">
        <v>0</v>
      </c>
      <c r="K9" s="22">
        <f t="shared" si="3"/>
        <v>0</v>
      </c>
      <c r="L9" s="22"/>
      <c r="M9" s="22">
        <f t="shared" si="4"/>
        <v>0.28432052999999996</v>
      </c>
      <c r="N9" s="10">
        <v>0</v>
      </c>
      <c r="O9" s="16"/>
      <c r="P9" s="22">
        <f t="shared" si="5"/>
        <v>0</v>
      </c>
    </row>
    <row r="10" spans="1:16" x14ac:dyDescent="0.25">
      <c r="A10" s="16"/>
      <c r="B10" s="4">
        <v>6</v>
      </c>
      <c r="C10" s="21">
        <v>18.28</v>
      </c>
      <c r="D10" s="7">
        <v>18.489999999999998</v>
      </c>
      <c r="E10" s="21">
        <f t="shared" si="0"/>
        <v>9.1400000000000009E-2</v>
      </c>
      <c r="F10" s="8">
        <v>0</v>
      </c>
      <c r="G10" s="42"/>
      <c r="H10" s="21">
        <f t="shared" si="1"/>
        <v>0</v>
      </c>
      <c r="I10" s="21">
        <f t="shared" si="2"/>
        <v>0.13778550000000001</v>
      </c>
      <c r="J10" s="8">
        <v>0</v>
      </c>
      <c r="K10" s="22">
        <f t="shared" si="3"/>
        <v>0</v>
      </c>
      <c r="L10" s="22"/>
      <c r="M10" s="22">
        <f t="shared" si="4"/>
        <v>0.27763778249999999</v>
      </c>
      <c r="N10" s="10">
        <v>0</v>
      </c>
      <c r="O10" s="16"/>
      <c r="P10" s="22">
        <f t="shared" si="5"/>
        <v>0</v>
      </c>
    </row>
    <row r="11" spans="1:16" x14ac:dyDescent="0.25">
      <c r="A11" s="16"/>
      <c r="B11" s="4">
        <v>5</v>
      </c>
      <c r="C11" s="21">
        <v>17.82</v>
      </c>
      <c r="D11" s="7">
        <v>18.03</v>
      </c>
      <c r="E11" s="21">
        <f t="shared" si="0"/>
        <v>8.9099999999999999E-2</v>
      </c>
      <c r="F11" s="8">
        <v>0</v>
      </c>
      <c r="G11" s="42"/>
      <c r="H11" s="21">
        <f t="shared" si="1"/>
        <v>0</v>
      </c>
      <c r="I11" s="21">
        <f t="shared" si="2"/>
        <v>0.13431824999999997</v>
      </c>
      <c r="J11" s="8">
        <v>0</v>
      </c>
      <c r="K11" s="22">
        <f t="shared" si="3"/>
        <v>0</v>
      </c>
      <c r="L11" s="22"/>
      <c r="M11" s="22">
        <f t="shared" si="4"/>
        <v>0.27065127374999998</v>
      </c>
      <c r="N11" s="10">
        <v>0</v>
      </c>
      <c r="O11" s="16"/>
      <c r="P11" s="22">
        <f t="shared" si="5"/>
        <v>0</v>
      </c>
    </row>
    <row r="12" spans="1:16" x14ac:dyDescent="0.25">
      <c r="A12" s="16"/>
      <c r="B12" s="4">
        <v>4</v>
      </c>
      <c r="C12" s="21">
        <v>17.43</v>
      </c>
      <c r="D12" s="7">
        <v>17.62</v>
      </c>
      <c r="E12" s="21">
        <f t="shared" si="0"/>
        <v>8.7150000000000005E-2</v>
      </c>
      <c r="F12" s="8">
        <v>0</v>
      </c>
      <c r="G12" s="42"/>
      <c r="H12" s="21">
        <f t="shared" si="1"/>
        <v>0</v>
      </c>
      <c r="I12" s="21">
        <f t="shared" si="2"/>
        <v>0.131378625</v>
      </c>
      <c r="J12" s="8">
        <v>0</v>
      </c>
      <c r="K12" s="22">
        <f t="shared" si="3"/>
        <v>0</v>
      </c>
      <c r="L12" s="22"/>
      <c r="M12" s="22">
        <f t="shared" si="4"/>
        <v>0.264727929375</v>
      </c>
      <c r="N12" s="10">
        <v>0</v>
      </c>
      <c r="O12" s="16"/>
      <c r="P12" s="22">
        <f t="shared" si="5"/>
        <v>0</v>
      </c>
    </row>
    <row r="13" spans="1:16" x14ac:dyDescent="0.25">
      <c r="A13" s="16"/>
      <c r="B13" s="4">
        <v>3</v>
      </c>
      <c r="C13" s="21">
        <v>16.98</v>
      </c>
      <c r="D13" s="7">
        <v>17.190000000000001</v>
      </c>
      <c r="E13" s="21">
        <f t="shared" si="0"/>
        <v>8.4900000000000003E-2</v>
      </c>
      <c r="F13" s="8">
        <v>0</v>
      </c>
      <c r="G13" s="42"/>
      <c r="H13" s="21">
        <f t="shared" si="1"/>
        <v>0</v>
      </c>
      <c r="I13" s="21">
        <f t="shared" si="2"/>
        <v>0.12798675000000001</v>
      </c>
      <c r="J13" s="8">
        <v>0</v>
      </c>
      <c r="K13" s="22">
        <f t="shared" si="3"/>
        <v>0</v>
      </c>
      <c r="L13" s="22"/>
      <c r="M13" s="22">
        <f t="shared" si="4"/>
        <v>0.25789330125000004</v>
      </c>
      <c r="N13" s="10">
        <v>0</v>
      </c>
      <c r="O13" s="16"/>
      <c r="P13" s="22">
        <f t="shared" si="5"/>
        <v>0</v>
      </c>
    </row>
    <row r="14" spans="1:16" x14ac:dyDescent="0.25">
      <c r="A14" s="16"/>
      <c r="B14" s="4">
        <v>2</v>
      </c>
      <c r="C14" s="21">
        <v>16.579999999999998</v>
      </c>
      <c r="D14" s="7">
        <v>16.78</v>
      </c>
      <c r="E14" s="21">
        <f t="shared" si="0"/>
        <v>8.2899999999999988E-2</v>
      </c>
      <c r="F14" s="8">
        <v>0</v>
      </c>
      <c r="G14" s="42"/>
      <c r="H14" s="21">
        <f t="shared" si="1"/>
        <v>0</v>
      </c>
      <c r="I14" s="21">
        <f t="shared" si="2"/>
        <v>0.12497174999999998</v>
      </c>
      <c r="J14" s="8">
        <v>0</v>
      </c>
      <c r="K14" s="22">
        <f t="shared" si="3"/>
        <v>0</v>
      </c>
      <c r="L14" s="22"/>
      <c r="M14" s="22">
        <f t="shared" si="4"/>
        <v>0.25181807624999997</v>
      </c>
      <c r="N14" s="10">
        <v>0</v>
      </c>
      <c r="O14" s="16"/>
      <c r="P14" s="22">
        <f t="shared" si="5"/>
        <v>0</v>
      </c>
    </row>
    <row r="15" spans="1:16" x14ac:dyDescent="0.25">
      <c r="A15" s="16"/>
      <c r="B15" s="4">
        <v>1</v>
      </c>
      <c r="C15" s="21">
        <v>16.190000000000001</v>
      </c>
      <c r="D15" s="7">
        <v>16.37</v>
      </c>
      <c r="E15" s="21">
        <f t="shared" si="0"/>
        <v>8.0950000000000008E-2</v>
      </c>
      <c r="F15" s="8">
        <v>0</v>
      </c>
      <c r="G15" s="42"/>
      <c r="H15" s="21">
        <f t="shared" si="1"/>
        <v>0</v>
      </c>
      <c r="I15" s="21">
        <f t="shared" si="2"/>
        <v>0.12203212500000002</v>
      </c>
      <c r="J15" s="8">
        <v>0</v>
      </c>
      <c r="K15" s="22">
        <f t="shared" si="3"/>
        <v>0</v>
      </c>
      <c r="L15" s="22"/>
      <c r="M15" s="22">
        <f t="shared" si="4"/>
        <v>0.24589473187500005</v>
      </c>
      <c r="N15" s="10">
        <v>0</v>
      </c>
      <c r="O15" s="16"/>
      <c r="P15" s="22">
        <f t="shared" si="5"/>
        <v>0</v>
      </c>
    </row>
    <row r="16" spans="1:16" x14ac:dyDescent="0.25">
      <c r="A16" s="16"/>
      <c r="B16" s="16"/>
      <c r="C16" s="16"/>
      <c r="D16" s="16"/>
      <c r="E16" s="16"/>
      <c r="F16" s="16"/>
      <c r="G16" s="9">
        <f>SUM(H6:H15)</f>
        <v>0</v>
      </c>
      <c r="H16" s="16"/>
      <c r="I16" s="16"/>
      <c r="J16" s="16"/>
      <c r="K16" s="16"/>
      <c r="L16" s="46">
        <f>+SUM(K6:K15)</f>
        <v>0.15180525</v>
      </c>
      <c r="M16" s="16"/>
      <c r="N16" s="16"/>
      <c r="O16" s="46">
        <f>+SUM(P6:P15)</f>
        <v>0.30588757875</v>
      </c>
      <c r="P16" s="16"/>
    </row>
    <row r="17" spans="1:16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x14ac:dyDescent="0.25">
      <c r="A18" s="16"/>
      <c r="B18" s="50" t="s">
        <v>13</v>
      </c>
      <c r="C18" s="50"/>
      <c r="D18" s="18"/>
      <c r="E18" s="18"/>
      <c r="F18" s="18"/>
      <c r="G18" s="13">
        <f>+G16+L16+O16</f>
        <v>0.45769282875</v>
      </c>
      <c r="H18" s="16"/>
      <c r="I18" s="16"/>
      <c r="J18" s="16"/>
      <c r="K18" s="16"/>
      <c r="L18" s="16"/>
      <c r="M18" s="16"/>
      <c r="N18" s="16"/>
      <c r="O18" s="16"/>
      <c r="P18" s="16"/>
    </row>
    <row r="19" spans="1:1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16" x14ac:dyDescent="0.25">
      <c r="B20" s="59" t="s">
        <v>57</v>
      </c>
      <c r="D20" s="41"/>
      <c r="F20" s="41"/>
      <c r="G20" s="41"/>
      <c r="J20" s="41"/>
      <c r="L20" s="41"/>
      <c r="N20" s="41"/>
      <c r="O20" s="41"/>
    </row>
    <row r="21" spans="1:16" x14ac:dyDescent="0.25">
      <c r="B21" s="41"/>
      <c r="D21" s="41"/>
      <c r="F21" s="41"/>
      <c r="G21" s="41"/>
      <c r="J21" s="41"/>
      <c r="L21" s="41"/>
      <c r="N21" s="41"/>
      <c r="O21" s="41"/>
    </row>
    <row r="22" spans="1:16" x14ac:dyDescent="0.25">
      <c r="B22" s="41"/>
      <c r="D22" s="41"/>
      <c r="F22" s="41"/>
      <c r="G22" s="41"/>
      <c r="J22" s="41"/>
      <c r="L22" s="41"/>
      <c r="N22" s="41"/>
      <c r="O22" s="41"/>
    </row>
    <row r="23" spans="1:16" x14ac:dyDescent="0.25">
      <c r="B23" s="41"/>
      <c r="D23" s="41"/>
      <c r="F23" s="41"/>
      <c r="G23" s="41"/>
      <c r="J23" s="41"/>
      <c r="L23" s="41"/>
      <c r="N23" s="41"/>
      <c r="O23" s="41"/>
    </row>
    <row r="24" spans="1:16" x14ac:dyDescent="0.25">
      <c r="B24" s="41"/>
      <c r="D24" s="41"/>
      <c r="F24" s="41"/>
      <c r="G24" s="41"/>
      <c r="J24" s="41"/>
      <c r="L24" s="41"/>
      <c r="N24" s="41"/>
      <c r="O24" s="41"/>
    </row>
    <row r="25" spans="1:16" x14ac:dyDescent="0.25">
      <c r="B25" s="41"/>
      <c r="D25" s="41"/>
      <c r="F25" s="41"/>
      <c r="G25" s="41"/>
      <c r="J25" s="41"/>
      <c r="L25" s="41"/>
      <c r="N25" s="41"/>
      <c r="O25" s="41"/>
    </row>
    <row r="26" spans="1:16" x14ac:dyDescent="0.25">
      <c r="B26" s="41"/>
      <c r="D26" s="41"/>
      <c r="F26" s="41"/>
      <c r="G26" s="41"/>
      <c r="J26" s="41"/>
      <c r="L26" s="41"/>
      <c r="N26" s="41"/>
      <c r="O26" s="41"/>
    </row>
    <row r="27" spans="1:16" x14ac:dyDescent="0.25">
      <c r="B27" s="41"/>
      <c r="D27" s="41"/>
      <c r="F27" s="41"/>
      <c r="G27" s="41"/>
      <c r="J27" s="41"/>
      <c r="L27" s="41"/>
      <c r="N27" s="41"/>
      <c r="O27" s="41"/>
    </row>
  </sheetData>
  <hyperlinks>
    <hyperlink ref="B20" location="explication" display="Pour retourner aux explications cliquer ici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Normal="100" workbookViewId="0">
      <selection activeCell="D2" sqref="D2"/>
    </sheetView>
  </sheetViews>
  <sheetFormatPr baseColWidth="10" defaultRowHeight="15" x14ac:dyDescent="0.25"/>
  <cols>
    <col min="1" max="1" width="11.42578125" style="41"/>
    <col min="2" max="2" width="13.42578125" customWidth="1"/>
    <col min="3" max="3" width="2.42578125" style="41" customWidth="1"/>
    <col min="4" max="4" width="11.42578125" style="41"/>
    <col min="5" max="5" width="3" style="41" customWidth="1"/>
    <col min="8" max="8" width="1.85546875" style="41" customWidth="1"/>
    <col min="9" max="9" width="3.28515625" style="41" customWidth="1"/>
    <col min="11" max="11" width="3.28515625" style="41" customWidth="1"/>
    <col min="13" max="13" width="4.42578125" style="41" customWidth="1"/>
    <col min="16" max="22" width="11.42578125" style="41"/>
  </cols>
  <sheetData>
    <row r="1" spans="1:16" s="41" customForma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0" x14ac:dyDescent="0.25">
      <c r="A2" s="16"/>
      <c r="B2" s="12" t="s">
        <v>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85.25" x14ac:dyDescent="0.25">
      <c r="A3" s="16"/>
      <c r="B3" s="69" t="s">
        <v>1</v>
      </c>
      <c r="C3" s="17" t="s">
        <v>8</v>
      </c>
      <c r="D3" s="1" t="s">
        <v>2</v>
      </c>
      <c r="E3" s="17" t="s">
        <v>6</v>
      </c>
      <c r="F3" s="4" t="s">
        <v>9</v>
      </c>
      <c r="G3" s="5" t="s">
        <v>10</v>
      </c>
      <c r="H3" s="17"/>
      <c r="I3" s="17" t="s">
        <v>6</v>
      </c>
      <c r="J3" s="4" t="s">
        <v>9</v>
      </c>
      <c r="K3" s="17"/>
      <c r="L3" s="5" t="s">
        <v>10</v>
      </c>
      <c r="M3" s="17" t="s">
        <v>6</v>
      </c>
      <c r="N3" s="4" t="s">
        <v>9</v>
      </c>
      <c r="O3" s="5" t="s">
        <v>10</v>
      </c>
      <c r="P3" s="16"/>
    </row>
    <row r="4" spans="1:16" ht="114" x14ac:dyDescent="0.25">
      <c r="A4" s="16"/>
      <c r="B4" s="69"/>
      <c r="C4" s="17"/>
      <c r="D4" s="1" t="s">
        <v>3</v>
      </c>
      <c r="E4" s="17" t="s">
        <v>7</v>
      </c>
      <c r="F4" s="4" t="s">
        <v>15</v>
      </c>
      <c r="G4" s="57" t="s">
        <v>63</v>
      </c>
      <c r="H4" s="17"/>
      <c r="I4" s="17" t="s">
        <v>11</v>
      </c>
      <c r="J4" s="4" t="s">
        <v>15</v>
      </c>
      <c r="K4" s="16"/>
      <c r="L4" s="58" t="s">
        <v>65</v>
      </c>
      <c r="M4" s="17" t="s">
        <v>12</v>
      </c>
      <c r="N4" s="4" t="s">
        <v>15</v>
      </c>
      <c r="O4" s="45" t="s">
        <v>66</v>
      </c>
      <c r="P4" s="16"/>
    </row>
    <row r="5" spans="1:16" ht="28.5" x14ac:dyDescent="0.25">
      <c r="A5" s="16"/>
      <c r="B5" s="69"/>
      <c r="C5" s="17"/>
      <c r="D5" s="1" t="s">
        <v>4</v>
      </c>
      <c r="E5" s="20">
        <v>5.0000000000000001E-3</v>
      </c>
      <c r="F5" s="1">
        <v>2010</v>
      </c>
      <c r="G5" s="57" t="s">
        <v>64</v>
      </c>
      <c r="H5" s="17"/>
      <c r="I5" s="20">
        <v>7.4999999999999997E-3</v>
      </c>
      <c r="J5" s="1">
        <v>2011</v>
      </c>
      <c r="K5" s="16"/>
      <c r="L5" s="16"/>
      <c r="M5" s="20">
        <v>1.4999999999999999E-2</v>
      </c>
      <c r="N5" s="1">
        <v>2012</v>
      </c>
      <c r="O5" s="17"/>
      <c r="P5" s="16"/>
    </row>
    <row r="6" spans="1:16" x14ac:dyDescent="0.25">
      <c r="A6" s="16"/>
      <c r="B6" s="69"/>
      <c r="C6" s="17"/>
      <c r="D6" s="1" t="s">
        <v>5</v>
      </c>
      <c r="E6" s="17"/>
      <c r="F6" s="17"/>
      <c r="G6" s="17"/>
      <c r="H6" s="17"/>
      <c r="I6" s="17"/>
      <c r="J6" s="17"/>
      <c r="K6" s="16"/>
      <c r="L6" s="16"/>
      <c r="M6" s="17"/>
      <c r="N6" s="17"/>
      <c r="O6" s="17"/>
      <c r="P6" s="16"/>
    </row>
    <row r="7" spans="1:16" x14ac:dyDescent="0.25">
      <c r="A7" s="16"/>
      <c r="B7" s="4">
        <v>5</v>
      </c>
      <c r="C7" s="21">
        <v>15.75</v>
      </c>
      <c r="D7" s="2">
        <v>15.83</v>
      </c>
      <c r="E7" s="21">
        <f>+C7*a_2010_2011</f>
        <v>7.8750000000000001E-2</v>
      </c>
      <c r="F7" s="8">
        <v>0</v>
      </c>
      <c r="G7" s="42"/>
      <c r="H7" s="21">
        <f>+E7*F7</f>
        <v>0</v>
      </c>
      <c r="I7" s="21">
        <f>(+C7+E7)*a_2011_2012</f>
        <v>0.11871562499999999</v>
      </c>
      <c r="J7" s="8">
        <v>0</v>
      </c>
      <c r="K7" s="22">
        <f>+J7*I7</f>
        <v>0</v>
      </c>
      <c r="L7" s="22"/>
      <c r="M7" s="22">
        <f>(+C7+E7+I7)*a_2012_2013</f>
        <v>0.23921198437499999</v>
      </c>
      <c r="N7" s="10">
        <v>0</v>
      </c>
      <c r="O7" s="16"/>
      <c r="P7" s="22">
        <f>+M7*N7</f>
        <v>0</v>
      </c>
    </row>
    <row r="8" spans="1:16" x14ac:dyDescent="0.25">
      <c r="A8" s="16"/>
      <c r="B8" s="4">
        <v>4</v>
      </c>
      <c r="C8" s="21">
        <v>15.09</v>
      </c>
      <c r="D8" s="2">
        <v>15.17</v>
      </c>
      <c r="E8" s="21">
        <f>+C8*a_2010_2011</f>
        <v>7.5450000000000003E-2</v>
      </c>
      <c r="F8" s="8">
        <v>0</v>
      </c>
      <c r="G8" s="42"/>
      <c r="H8" s="21">
        <f>+E8*F8</f>
        <v>0</v>
      </c>
      <c r="I8" s="21">
        <f>(+C8+E8)*a_2011_2012</f>
        <v>0.11374087499999999</v>
      </c>
      <c r="J8" s="8">
        <v>0</v>
      </c>
      <c r="K8" s="22">
        <f>+J8*I8</f>
        <v>0</v>
      </c>
      <c r="L8" s="22"/>
      <c r="M8" s="22">
        <f>(+C8+E8+I8)*a_2012_2013</f>
        <v>0.22918786312499997</v>
      </c>
      <c r="N8" s="10">
        <v>0</v>
      </c>
      <c r="O8" s="16"/>
      <c r="P8" s="22">
        <f t="shared" ref="P8:P11" si="0">+M8*N8</f>
        <v>0</v>
      </c>
    </row>
    <row r="9" spans="1:16" x14ac:dyDescent="0.25">
      <c r="A9" s="16"/>
      <c r="B9" s="4">
        <v>3</v>
      </c>
      <c r="C9" s="21">
        <v>14.47</v>
      </c>
      <c r="D9" s="2">
        <v>14.54</v>
      </c>
      <c r="E9" s="21">
        <f>+C9*a_2010_2011</f>
        <v>7.2350000000000012E-2</v>
      </c>
      <c r="F9" s="8">
        <v>0</v>
      </c>
      <c r="G9" s="42"/>
      <c r="H9" s="21">
        <f>+E9*F9</f>
        <v>0</v>
      </c>
      <c r="I9" s="21">
        <f>(+C9+E9)*a_2011_2012</f>
        <v>0.109067625</v>
      </c>
      <c r="J9" s="8">
        <v>0</v>
      </c>
      <c r="K9" s="22">
        <f>+J9*I9</f>
        <v>0</v>
      </c>
      <c r="L9" s="22"/>
      <c r="M9" s="22">
        <f>(+C9+E9+I9)*a_2012_2013</f>
        <v>0.219771264375</v>
      </c>
      <c r="N9" s="10">
        <v>0</v>
      </c>
      <c r="O9" s="16"/>
      <c r="P9" s="22">
        <f t="shared" si="0"/>
        <v>0</v>
      </c>
    </row>
    <row r="10" spans="1:16" x14ac:dyDescent="0.25">
      <c r="A10" s="16"/>
      <c r="B10" s="4">
        <v>2</v>
      </c>
      <c r="C10" s="21">
        <v>13.83</v>
      </c>
      <c r="D10" s="2">
        <v>13.91</v>
      </c>
      <c r="E10" s="21">
        <f>+C10*a_2010_2011</f>
        <v>6.9150000000000003E-2</v>
      </c>
      <c r="F10" s="8">
        <v>0</v>
      </c>
      <c r="G10" s="42"/>
      <c r="H10" s="21">
        <f>+E10*F10</f>
        <v>0</v>
      </c>
      <c r="I10" s="21">
        <f>(+C10+E10)*a_2011_2012</f>
        <v>0.10424362500000001</v>
      </c>
      <c r="J10" s="8">
        <v>0</v>
      </c>
      <c r="K10" s="22">
        <f>+J10*I10</f>
        <v>0</v>
      </c>
      <c r="L10" s="22"/>
      <c r="M10" s="22">
        <f>(+C10+E10+I10)*a_2012_2013</f>
        <v>0.21005090437500001</v>
      </c>
      <c r="N10" s="10">
        <v>0</v>
      </c>
      <c r="O10" s="16"/>
      <c r="P10" s="22">
        <f t="shared" si="0"/>
        <v>0</v>
      </c>
    </row>
    <row r="11" spans="1:16" x14ac:dyDescent="0.25">
      <c r="A11" s="16"/>
      <c r="B11" s="4">
        <v>1</v>
      </c>
      <c r="C11" s="21">
        <v>13.26</v>
      </c>
      <c r="D11" s="2">
        <v>13.33</v>
      </c>
      <c r="E11" s="21">
        <f>+C11*a_2010_2011</f>
        <v>6.6299999999999998E-2</v>
      </c>
      <c r="F11" s="8">
        <v>0</v>
      </c>
      <c r="G11" s="42"/>
      <c r="H11" s="21">
        <f>+E11*F11</f>
        <v>0</v>
      </c>
      <c r="I11" s="21">
        <f>(+C11+E11)*a_2011_2012</f>
        <v>9.9947250000000001E-2</v>
      </c>
      <c r="J11" s="8">
        <v>0</v>
      </c>
      <c r="K11" s="22">
        <f>+J11*I11</f>
        <v>0</v>
      </c>
      <c r="L11" s="22"/>
      <c r="M11" s="22">
        <f>(+C11+E11+I11)*a_2012_2013</f>
        <v>0.20139370874999998</v>
      </c>
      <c r="N11" s="10">
        <v>0</v>
      </c>
      <c r="O11" s="16"/>
      <c r="P11" s="22">
        <f t="shared" si="0"/>
        <v>0</v>
      </c>
    </row>
    <row r="12" spans="1:16" x14ac:dyDescent="0.25">
      <c r="A12" s="16"/>
      <c r="B12" s="16"/>
      <c r="C12" s="16"/>
      <c r="D12" s="16"/>
      <c r="E12" s="16"/>
      <c r="F12" s="16"/>
      <c r="G12" s="9">
        <f>SUM(H7:H11)</f>
        <v>0</v>
      </c>
      <c r="H12" s="16"/>
      <c r="I12" s="16"/>
      <c r="J12" s="16"/>
      <c r="K12" s="16"/>
      <c r="L12" s="47">
        <f>+SUM(K7:K11)</f>
        <v>0</v>
      </c>
      <c r="M12" s="16"/>
      <c r="N12" s="16"/>
      <c r="O12" s="46">
        <f>+SUM(P7:P11)</f>
        <v>0</v>
      </c>
      <c r="P12" s="16"/>
    </row>
    <row r="13" spans="1:16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x14ac:dyDescent="0.25">
      <c r="A14" s="16"/>
      <c r="B14" s="50" t="s">
        <v>13</v>
      </c>
      <c r="C14" s="50"/>
      <c r="D14" s="50"/>
      <c r="E14" s="18"/>
      <c r="F14" s="18"/>
      <c r="G14" s="13">
        <f>+G12+L12+O12</f>
        <v>0</v>
      </c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25">
      <c r="B16" s="59" t="s">
        <v>57</v>
      </c>
      <c r="F16" s="41"/>
      <c r="G16" s="41"/>
      <c r="J16" s="41"/>
      <c r="L16" s="41"/>
      <c r="N16" s="41"/>
      <c r="O16" s="41"/>
    </row>
    <row r="17" spans="2:15" x14ac:dyDescent="0.25">
      <c r="B17" s="41"/>
      <c r="F17" s="41"/>
      <c r="G17" s="41"/>
      <c r="J17" s="41"/>
      <c r="L17" s="41"/>
      <c r="N17" s="41"/>
      <c r="O17" s="41"/>
    </row>
    <row r="18" spans="2:15" x14ac:dyDescent="0.25">
      <c r="B18" s="41"/>
      <c r="F18" s="41"/>
      <c r="G18" s="41"/>
      <c r="J18" s="41"/>
      <c r="L18" s="41"/>
      <c r="N18" s="41"/>
      <c r="O18" s="41"/>
    </row>
    <row r="19" spans="2:15" x14ac:dyDescent="0.25">
      <c r="B19" s="41"/>
      <c r="F19" s="41"/>
      <c r="G19" s="41"/>
      <c r="J19" s="41"/>
      <c r="L19" s="41"/>
      <c r="N19" s="41"/>
      <c r="O19" s="41"/>
    </row>
    <row r="20" spans="2:15" x14ac:dyDescent="0.25">
      <c r="B20" s="41"/>
      <c r="F20" s="41"/>
      <c r="G20" s="41"/>
      <c r="J20" s="41"/>
      <c r="L20" s="41"/>
      <c r="N20" s="41"/>
      <c r="O20" s="41"/>
    </row>
    <row r="21" spans="2:15" x14ac:dyDescent="0.25">
      <c r="B21" s="41"/>
      <c r="F21" s="41"/>
      <c r="G21" s="41"/>
      <c r="J21" s="41"/>
      <c r="L21" s="41"/>
      <c r="N21" s="41"/>
      <c r="O21" s="41"/>
    </row>
    <row r="22" spans="2:15" x14ac:dyDescent="0.25">
      <c r="B22" s="41"/>
      <c r="F22" s="41"/>
      <c r="G22" s="41"/>
      <c r="J22" s="41"/>
      <c r="L22" s="41"/>
      <c r="N22" s="41"/>
      <c r="O22" s="41"/>
    </row>
    <row r="23" spans="2:15" x14ac:dyDescent="0.25">
      <c r="B23" s="41"/>
      <c r="F23" s="41"/>
      <c r="G23" s="41"/>
      <c r="J23" s="41"/>
      <c r="L23" s="41"/>
      <c r="N23" s="41"/>
      <c r="O23" s="41"/>
    </row>
    <row r="24" spans="2:15" x14ac:dyDescent="0.25">
      <c r="B24" s="41"/>
      <c r="F24" s="41"/>
      <c r="G24" s="41"/>
      <c r="J24" s="41"/>
      <c r="L24" s="41"/>
      <c r="N24" s="41"/>
      <c r="O24" s="41"/>
    </row>
    <row r="25" spans="2:15" x14ac:dyDescent="0.25">
      <c r="B25" s="41"/>
      <c r="F25" s="41"/>
      <c r="G25" s="41"/>
      <c r="J25" s="41"/>
      <c r="L25" s="41"/>
      <c r="N25" s="41"/>
      <c r="O25" s="41"/>
    </row>
    <row r="26" spans="2:15" x14ac:dyDescent="0.25">
      <c r="B26" s="41"/>
      <c r="F26" s="41"/>
      <c r="G26" s="41"/>
      <c r="J26" s="41"/>
      <c r="L26" s="41"/>
      <c r="N26" s="41"/>
      <c r="O26" s="41"/>
    </row>
    <row r="27" spans="2:15" x14ac:dyDescent="0.25">
      <c r="B27" s="41"/>
      <c r="F27" s="41"/>
      <c r="G27" s="41"/>
      <c r="J27" s="41"/>
      <c r="L27" s="41"/>
      <c r="N27" s="41"/>
      <c r="O27" s="41"/>
    </row>
    <row r="28" spans="2:15" x14ac:dyDescent="0.25">
      <c r="B28" s="41"/>
      <c r="F28" s="41"/>
      <c r="G28" s="41"/>
      <c r="J28" s="41"/>
      <c r="L28" s="41"/>
      <c r="N28" s="41"/>
      <c r="O28" s="41"/>
    </row>
    <row r="29" spans="2:15" x14ac:dyDescent="0.25">
      <c r="B29" s="41"/>
      <c r="F29" s="41"/>
      <c r="G29" s="41"/>
      <c r="J29" s="41"/>
      <c r="L29" s="41"/>
      <c r="N29" s="41"/>
      <c r="O29" s="41"/>
    </row>
    <row r="30" spans="2:15" x14ac:dyDescent="0.25">
      <c r="F30" s="41"/>
      <c r="G30" s="41"/>
      <c r="J30" s="41"/>
      <c r="L30" s="41"/>
    </row>
    <row r="31" spans="2:15" x14ac:dyDescent="0.25">
      <c r="F31" s="41"/>
      <c r="G31" s="41"/>
      <c r="J31" s="41"/>
      <c r="L31" s="41"/>
    </row>
  </sheetData>
  <mergeCells count="1">
    <mergeCell ref="B3:B6"/>
  </mergeCells>
  <hyperlinks>
    <hyperlink ref="B16" location="explication" display="Pour retourner aux explications cliquer ici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16</vt:i4>
      </vt:variant>
    </vt:vector>
  </HeadingPairs>
  <TitlesOfParts>
    <vt:vector size="26" baseType="lpstr">
      <vt:lpstr>Explication</vt:lpstr>
      <vt:lpstr>Éducatrice</vt:lpstr>
      <vt:lpstr>Éducatrice non-qualifiée</vt:lpstr>
      <vt:lpstr>Responsable alimentation</vt:lpstr>
      <vt:lpstr>Adjointe administrative</vt:lpstr>
      <vt:lpstr>Secrétaire-comptable</vt:lpstr>
      <vt:lpstr>Préposé</vt:lpstr>
      <vt:lpstr>Conseillère pédagogique</vt:lpstr>
      <vt:lpstr>Agente de conformité</vt:lpstr>
      <vt:lpstr>secrétaire-réceptionniste</vt:lpstr>
      <vt:lpstr>a_2010_2011</vt:lpstr>
      <vt:lpstr>a_2011_2012</vt:lpstr>
      <vt:lpstr>a_2012_2013</vt:lpstr>
      <vt:lpstr>Adjointe_administrative</vt:lpstr>
      <vt:lpstr>commis</vt:lpstr>
      <vt:lpstr>conformité</vt:lpstr>
      <vt:lpstr>conseillere</vt:lpstr>
      <vt:lpstr>cuisine</vt:lpstr>
      <vt:lpstr>educ_non_qual</vt:lpstr>
      <vt:lpstr>educatrice</vt:lpstr>
      <vt:lpstr>Éducatrice</vt:lpstr>
      <vt:lpstr>Éducatrice_non_qualifiée</vt:lpstr>
      <vt:lpstr>explication</vt:lpstr>
      <vt:lpstr>préposée</vt:lpstr>
      <vt:lpstr>Responsable_alimentation</vt:lpstr>
      <vt:lpstr>secretaire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</dc:creator>
  <cp:lastModifiedBy>Arianne</cp:lastModifiedBy>
  <cp:lastPrinted>2012-10-11T14:38:02Z</cp:lastPrinted>
  <dcterms:created xsi:type="dcterms:W3CDTF">2012-10-10T19:37:48Z</dcterms:created>
  <dcterms:modified xsi:type="dcterms:W3CDTF">2012-10-31T15:17:41Z</dcterms:modified>
</cp:coreProperties>
</file>