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129" i="1" l="1"/>
  <c r="F129" i="1"/>
  <c r="G129" i="1"/>
  <c r="G127" i="1"/>
  <c r="G122" i="1"/>
  <c r="G117" i="1"/>
  <c r="G112" i="1"/>
  <c r="G107" i="1"/>
  <c r="G102" i="1"/>
  <c r="G97" i="1"/>
  <c r="G92" i="1"/>
  <c r="G87" i="1"/>
  <c r="G82" i="1"/>
  <c r="G77" i="1"/>
  <c r="G72" i="1"/>
  <c r="G67" i="1"/>
  <c r="G62" i="1"/>
  <c r="G57" i="1"/>
  <c r="G52" i="1"/>
  <c r="G47" i="1"/>
  <c r="G42" i="1"/>
  <c r="G37" i="1"/>
  <c r="G32" i="1"/>
  <c r="G27" i="1"/>
  <c r="G22" i="1"/>
  <c r="G17" i="1"/>
  <c r="G12" i="1"/>
  <c r="G7" i="1"/>
  <c r="F127" i="1"/>
  <c r="F125" i="1"/>
  <c r="F122" i="1"/>
  <c r="F120" i="1"/>
  <c r="F117" i="1"/>
  <c r="F115" i="1"/>
  <c r="F112" i="1"/>
  <c r="F110" i="1"/>
  <c r="F107" i="1"/>
  <c r="F105" i="1"/>
  <c r="F102" i="1"/>
  <c r="F100" i="1"/>
  <c r="F97" i="1"/>
  <c r="F95" i="1"/>
  <c r="F92" i="1"/>
  <c r="F90" i="1"/>
  <c r="F87" i="1"/>
  <c r="F85" i="1"/>
  <c r="F82" i="1"/>
  <c r="F80" i="1"/>
  <c r="F77" i="1"/>
  <c r="F75" i="1"/>
  <c r="F72" i="1"/>
  <c r="F70" i="1"/>
  <c r="F67" i="1"/>
  <c r="F65" i="1"/>
  <c r="F62" i="1"/>
  <c r="F60" i="1"/>
  <c r="F57" i="1"/>
  <c r="F55" i="1"/>
  <c r="F52" i="1"/>
  <c r="F50" i="1"/>
  <c r="F47" i="1"/>
  <c r="F45" i="1"/>
  <c r="F42" i="1"/>
  <c r="F40" i="1"/>
  <c r="F37" i="1"/>
  <c r="F35" i="1"/>
  <c r="F32" i="1"/>
  <c r="F30" i="1"/>
  <c r="F27" i="1"/>
  <c r="F25" i="1"/>
  <c r="F22" i="1"/>
  <c r="F20" i="1"/>
  <c r="F17" i="1"/>
  <c r="F15" i="1"/>
  <c r="F12" i="1"/>
  <c r="F10" i="1"/>
  <c r="F7" i="1"/>
  <c r="F5" i="1"/>
  <c r="D127" i="1"/>
  <c r="C127" i="1"/>
  <c r="B127" i="1"/>
  <c r="C122" i="1"/>
  <c r="B122" i="1"/>
  <c r="D126" i="1"/>
  <c r="C126" i="1"/>
  <c r="B126" i="1"/>
  <c r="C117" i="1"/>
  <c r="B117" i="1"/>
  <c r="C121" i="1"/>
  <c r="B121" i="1"/>
  <c r="C116" i="1"/>
  <c r="B116" i="1"/>
  <c r="D112" i="1"/>
  <c r="C112" i="1"/>
  <c r="B112" i="1"/>
  <c r="D111" i="1"/>
  <c r="C111" i="1"/>
  <c r="B111" i="1"/>
  <c r="C107" i="1"/>
  <c r="B107" i="1"/>
  <c r="C106" i="1"/>
  <c r="B106" i="1"/>
  <c r="C102" i="1"/>
  <c r="B102" i="1"/>
  <c r="C101" i="1"/>
  <c r="B101" i="1"/>
  <c r="C97" i="1"/>
  <c r="B97" i="1"/>
  <c r="C96" i="1"/>
  <c r="B96" i="1"/>
  <c r="D92" i="1"/>
  <c r="C92" i="1"/>
  <c r="B92" i="1"/>
  <c r="B91" i="1"/>
  <c r="D91" i="1"/>
  <c r="C91" i="1"/>
  <c r="D87" i="1"/>
  <c r="C87" i="1"/>
  <c r="B87" i="1"/>
  <c r="D86" i="1"/>
  <c r="C86" i="1"/>
  <c r="B86" i="1"/>
  <c r="C82" i="1"/>
  <c r="B82" i="1"/>
  <c r="C81" i="1"/>
  <c r="B81" i="1"/>
  <c r="D77" i="1"/>
  <c r="C77" i="1"/>
  <c r="B77" i="1"/>
  <c r="D76" i="1"/>
  <c r="C76" i="1"/>
  <c r="B76" i="1"/>
  <c r="C72" i="1"/>
  <c r="B72" i="1"/>
  <c r="C71" i="1"/>
  <c r="B71" i="1"/>
  <c r="D67" i="1"/>
  <c r="C67" i="1"/>
  <c r="B67" i="1"/>
  <c r="D66" i="1"/>
  <c r="C66" i="1"/>
  <c r="B66" i="1"/>
  <c r="D62" i="1"/>
  <c r="C62" i="1"/>
  <c r="B62" i="1"/>
  <c r="D57" i="1"/>
  <c r="C57" i="1"/>
  <c r="B57" i="1"/>
  <c r="D61" i="1"/>
  <c r="C61" i="1"/>
  <c r="B61" i="1"/>
  <c r="D56" i="1"/>
  <c r="C56" i="1"/>
  <c r="B56" i="1"/>
  <c r="C52" i="1"/>
  <c r="B52" i="1"/>
  <c r="C51" i="1"/>
  <c r="B51" i="1"/>
  <c r="E47" i="1"/>
  <c r="D47" i="1"/>
  <c r="C47" i="1"/>
  <c r="B47" i="1"/>
  <c r="E46" i="1"/>
  <c r="D46" i="1"/>
  <c r="C46" i="1"/>
  <c r="B46" i="1"/>
  <c r="D42" i="1"/>
  <c r="C42" i="1"/>
  <c r="B42" i="1"/>
  <c r="D41" i="1"/>
  <c r="C41" i="1"/>
  <c r="B41" i="1"/>
  <c r="C37" i="1"/>
  <c r="B37" i="1"/>
  <c r="C36" i="1"/>
  <c r="B36" i="1"/>
  <c r="E32" i="1"/>
  <c r="D32" i="1"/>
  <c r="C32" i="1"/>
  <c r="B32" i="1"/>
  <c r="C27" i="1"/>
  <c r="B27" i="1"/>
  <c r="E22" i="1"/>
  <c r="D22" i="1"/>
  <c r="C22" i="1"/>
  <c r="B22" i="1"/>
  <c r="D17" i="1"/>
  <c r="C17" i="1"/>
  <c r="B17" i="1"/>
  <c r="C12" i="1"/>
  <c r="B12" i="1"/>
  <c r="C7" i="1"/>
  <c r="B7" i="1"/>
  <c r="E31" i="1"/>
  <c r="D31" i="1"/>
  <c r="C31" i="1"/>
  <c r="B31" i="1"/>
  <c r="C26" i="1"/>
  <c r="B26" i="1"/>
  <c r="E21" i="1"/>
  <c r="D21" i="1"/>
  <c r="C21" i="1"/>
  <c r="B21" i="1"/>
  <c r="D16" i="1"/>
  <c r="C16" i="1"/>
  <c r="B16" i="1"/>
  <c r="C11" i="1"/>
  <c r="B11" i="1"/>
  <c r="C6" i="1"/>
  <c r="B6" i="1"/>
</calcChain>
</file>

<file path=xl/sharedStrings.xml><?xml version="1.0" encoding="utf-8"?>
<sst xmlns="http://schemas.openxmlformats.org/spreadsheetml/2006/main" count="203" uniqueCount="106">
  <si>
    <t>District</t>
  </si>
  <si>
    <t>Candidate 1</t>
  </si>
  <si>
    <t>Candidate 2</t>
  </si>
  <si>
    <t>Candidate 3</t>
  </si>
  <si>
    <t>Candidate 4</t>
  </si>
  <si>
    <t>Peak</t>
  </si>
  <si>
    <t>Tanya Chan</t>
  </si>
  <si>
    <t>Joseph Chan Ho Lim</t>
  </si>
  <si>
    <t>Exit Poll</t>
  </si>
  <si>
    <t>Poll%</t>
  </si>
  <si>
    <t>Vote#</t>
  </si>
  <si>
    <t>Vote%</t>
  </si>
  <si>
    <t>Kwun Long</t>
  </si>
  <si>
    <t>Ip Kwok Him</t>
  </si>
  <si>
    <t>Leung Kwok Hung</t>
  </si>
  <si>
    <t>Sheung Wan</t>
  </si>
  <si>
    <t>Yim Tat Ming</t>
  </si>
  <si>
    <t>Chan Yin Ho</t>
  </si>
  <si>
    <t>Kam Nai Wai</t>
  </si>
  <si>
    <t>Tai Hang</t>
  </si>
  <si>
    <t>Richard Shum</t>
  </si>
  <si>
    <t>Wong Chor Fung</t>
  </si>
  <si>
    <t>Christopher Lau</t>
  </si>
  <si>
    <t>Sin Chung Kai</t>
  </si>
  <si>
    <t>Broadwood</t>
  </si>
  <si>
    <t>Pamela Pack Wan Kam</t>
  </si>
  <si>
    <t>Michael Mak Kwok Fung</t>
  </si>
  <si>
    <t>South Horizons West</t>
  </si>
  <si>
    <t>Anthony Lam Yue Yeung</t>
  </si>
  <si>
    <t>Sze Chun Fai</t>
  </si>
  <si>
    <t>Kwai Sze Kit</t>
  </si>
  <si>
    <t>Fung Wai Kwong</t>
  </si>
  <si>
    <t>Poll#</t>
  </si>
  <si>
    <t>Bays Area</t>
  </si>
  <si>
    <t>Fergus Fung Se Goun</t>
  </si>
  <si>
    <t>Albert Lai Kwok Tak</t>
  </si>
  <si>
    <t>Olympic</t>
  </si>
  <si>
    <t>Chu King Leung</t>
  </si>
  <si>
    <t>James To Kun Sun</t>
  </si>
  <si>
    <t>Vincent Lau Kai Kit</t>
  </si>
  <si>
    <t>Lai Kok</t>
  </si>
  <si>
    <t>Frederick Fung Kin Kee</t>
  </si>
  <si>
    <t>Chiu Chik Tung</t>
  </si>
  <si>
    <t>Chung Wing Yuen</t>
  </si>
  <si>
    <t>Fan Kwok Fai</t>
  </si>
  <si>
    <t>To Kwa Wan North</t>
  </si>
  <si>
    <t>Starry Lee Wai King</t>
  </si>
  <si>
    <t>Cody Wong Tze Hei</t>
  </si>
  <si>
    <t>Whampoa East</t>
  </si>
  <si>
    <t>Leung Mei Fun</t>
  </si>
  <si>
    <t>Helena Wong Pik Wan</t>
  </si>
  <si>
    <t>Jeff Au Yeung Ying Kit</t>
  </si>
  <si>
    <t>Lung Sheung</t>
  </si>
  <si>
    <t>Chan Yuen Han</t>
  </si>
  <si>
    <t>Lam Wai Kei</t>
  </si>
  <si>
    <t>Edward Yum Liang Hsien</t>
  </si>
  <si>
    <t>Chuk Yuen North</t>
  </si>
  <si>
    <t>Chan Ka Wai</t>
  </si>
  <si>
    <t>Roy Ting Chi Wai</t>
  </si>
  <si>
    <t>Andrew To Kwan Hang</t>
  </si>
  <si>
    <t>Discovery Park</t>
  </si>
  <si>
    <t>Louis Wong Yui Tak</t>
  </si>
  <si>
    <t>Michael Tien Puk Sun</t>
  </si>
  <si>
    <t>Albert Chan Wai Yip</t>
  </si>
  <si>
    <t>Albert Ho Chun Yan</t>
  </si>
  <si>
    <t>Shum Kam Tim</t>
  </si>
  <si>
    <t>Lok Tsui</t>
  </si>
  <si>
    <t>Fu Yan</t>
  </si>
  <si>
    <t>Lee Cheuk Yan</t>
  </si>
  <si>
    <t>Lau Kwai Yung</t>
  </si>
  <si>
    <t>Pat Heung North</t>
  </si>
  <si>
    <t>Ronnie Tang Yung Yiu</t>
  </si>
  <si>
    <t>Eddie Chu Hoi Dick</t>
  </si>
  <si>
    <t>Tang Kwai Yau</t>
  </si>
  <si>
    <t>Choi Yuen</t>
  </si>
  <si>
    <t>So Sai Chi</t>
  </si>
  <si>
    <t>Au Wai Kong</t>
  </si>
  <si>
    <t>Wong Sing Chi</t>
  </si>
  <si>
    <t>Po Nga</t>
  </si>
  <si>
    <t>Wong Yung Kan</t>
  </si>
  <si>
    <t>Kenneth Cheung Kam Hung</t>
  </si>
  <si>
    <t>City One</t>
  </si>
  <si>
    <t>Ronny Tong Ka Wah</t>
  </si>
  <si>
    <t>Wong Ka Wing</t>
  </si>
  <si>
    <t>Tin Sum</t>
  </si>
  <si>
    <t>Lau Kong Wah</t>
  </si>
  <si>
    <t>Suen Tsan Pui</t>
  </si>
  <si>
    <t>Fo Tan</t>
  </si>
  <si>
    <t>Scarlett Pong Oi Lan</t>
  </si>
  <si>
    <t>Chan Tak Cheung</t>
  </si>
  <si>
    <t>Porinda Liu Huan Yee</t>
  </si>
  <si>
    <t>Ma On Shan Town Centre</t>
  </si>
  <si>
    <t>Richard Tsoi Yiu Cheong</t>
  </si>
  <si>
    <t>Alvin Lee Chin Wing</t>
  </si>
  <si>
    <t>Kwai Fong</t>
  </si>
  <si>
    <t>Leung Yiu Chung</t>
  </si>
  <si>
    <t>Eddie Chan Wing Lai</t>
  </si>
  <si>
    <t>Lai Wah</t>
  </si>
  <si>
    <t>Raymong Chan Chi Chuen</t>
  </si>
  <si>
    <t>Lee Wing Tat</t>
  </si>
  <si>
    <t>Chu Lai Ling</t>
  </si>
  <si>
    <t>Total</t>
  </si>
  <si>
    <t>Row</t>
  </si>
  <si>
    <t>Response %</t>
  </si>
  <si>
    <t>Poll</t>
  </si>
  <si>
    <t>Attempts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</si>
</sst>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164" fontId="0" fillId="0" borderId="0" xfId="0" applyNumberFormat="1"/>
    <xf numFmtId="3" fontId="0" fillId="0" borderId="0" xfId="0" applyNumberForma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right"/>
    </xf>
    <xf numFmtId="3" fontId="0" fillId="0" borderId="0" xfId="0" applyNumberFormat="1" applyBorder="1"/>
    <xf numFmtId="3" fontId="0" fillId="0" borderId="5" xfId="0" applyNumberFormat="1" applyBorder="1"/>
    <xf numFmtId="164" fontId="0" fillId="0" borderId="0" xfId="0" applyNumberFormat="1" applyBorder="1"/>
    <xf numFmtId="164" fontId="0" fillId="2" borderId="0" xfId="0" applyNumberFormat="1" applyFill="1" applyBorder="1"/>
    <xf numFmtId="0" fontId="0" fillId="0" borderId="0" xfId="0" applyBorder="1"/>
    <xf numFmtId="0" fontId="0" fillId="0" borderId="5" xfId="0" applyBorder="1"/>
    <xf numFmtId="1" fontId="0" fillId="0" borderId="0" xfId="0" applyNumberFormat="1" applyBorder="1"/>
    <xf numFmtId="0" fontId="0" fillId="0" borderId="6" xfId="0" applyBorder="1" applyAlignment="1">
      <alignment horizontal="right"/>
    </xf>
    <xf numFmtId="164" fontId="0" fillId="0" borderId="7" xfId="0" applyNumberFormat="1" applyBorder="1"/>
    <xf numFmtId="164" fontId="0" fillId="2" borderId="7" xfId="0" applyNumberFormat="1" applyFill="1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 applyAlignment="1">
      <alignment horizontal="left"/>
    </xf>
    <xf numFmtId="164" fontId="0" fillId="0" borderId="5" xfId="0" applyNumberFormat="1" applyBorder="1"/>
    <xf numFmtId="1" fontId="0" fillId="0" borderId="5" xfId="0" applyNumberFormat="1" applyBorder="1"/>
    <xf numFmtId="164" fontId="0" fillId="0" borderId="8" xfId="0" applyNumberFormat="1" applyBorder="1"/>
    <xf numFmtId="0" fontId="3" fillId="0" borderId="1" xfId="0" applyFont="1" applyBorder="1" applyAlignment="1">
      <alignment horizontal="right"/>
    </xf>
    <xf numFmtId="164" fontId="0" fillId="3" borderId="0" xfId="0" applyNumberFormat="1" applyFill="1" applyBorder="1"/>
    <xf numFmtId="3" fontId="0" fillId="3" borderId="0" xfId="0" applyNumberFormat="1" applyFill="1" applyBorder="1"/>
    <xf numFmtId="164" fontId="0" fillId="3" borderId="7" xfId="0" applyNumberFormat="1" applyFill="1" applyBorder="1"/>
    <xf numFmtId="164" fontId="0" fillId="0" borderId="0" xfId="0" applyNumberFormat="1" applyFill="1" applyBorder="1"/>
    <xf numFmtId="0" fontId="0" fillId="0" borderId="4" xfId="0" applyFill="1" applyBorder="1" applyAlignment="1">
      <alignment horizontal="right"/>
    </xf>
    <xf numFmtId="0" fontId="3" fillId="0" borderId="1" xfId="0" applyFont="1" applyFill="1" applyBorder="1" applyAlignment="1">
      <alignment horizontal="left"/>
    </xf>
    <xf numFmtId="3" fontId="0" fillId="0" borderId="0" xfId="0" applyNumberFormat="1" applyFill="1" applyBorder="1"/>
    <xf numFmtId="164" fontId="0" fillId="0" borderId="7" xfId="0" applyNumberFormat="1" applyFill="1" applyBorder="1"/>
    <xf numFmtId="3" fontId="0" fillId="2" borderId="0" xfId="0" applyNumberFormat="1" applyFill="1" applyBorder="1"/>
    <xf numFmtId="164" fontId="0" fillId="0" borderId="5" xfId="0" applyNumberFormat="1" applyFill="1" applyBorder="1"/>
    <xf numFmtId="3" fontId="0" fillId="0" borderId="5" xfId="0" applyNumberFormat="1" applyFill="1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9"/>
  <sheetViews>
    <sheetView tabSelected="1" topLeftCell="A19" workbookViewId="0">
      <selection activeCell="D6" sqref="D6"/>
    </sheetView>
  </sheetViews>
  <sheetFormatPr defaultRowHeight="15" x14ac:dyDescent="0.25"/>
  <cols>
    <col min="1" max="1" width="19.42578125" customWidth="1"/>
    <col min="2" max="2" width="17.7109375" customWidth="1"/>
    <col min="3" max="3" width="20.28515625" customWidth="1"/>
    <col min="4" max="4" width="19.5703125" customWidth="1"/>
    <col min="5" max="5" width="18.140625" customWidth="1"/>
  </cols>
  <sheetData>
    <row r="2" spans="1:8" x14ac:dyDescent="0.25">
      <c r="F2" t="s">
        <v>102</v>
      </c>
      <c r="G2" t="s">
        <v>104</v>
      </c>
      <c r="H2" t="s">
        <v>8</v>
      </c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101</v>
      </c>
      <c r="G3" s="1" t="s">
        <v>105</v>
      </c>
      <c r="H3" s="1" t="s">
        <v>103</v>
      </c>
    </row>
    <row r="4" spans="1:8" x14ac:dyDescent="0.25">
      <c r="A4" s="4" t="s">
        <v>5</v>
      </c>
      <c r="B4" s="36" t="s">
        <v>6</v>
      </c>
      <c r="C4" s="36" t="s">
        <v>7</v>
      </c>
      <c r="D4" s="36"/>
      <c r="E4" s="37"/>
    </row>
    <row r="5" spans="1:8" x14ac:dyDescent="0.25">
      <c r="A5" s="7" t="s">
        <v>10</v>
      </c>
      <c r="B5" s="8">
        <v>820</v>
      </c>
      <c r="C5" s="8">
        <v>1505</v>
      </c>
      <c r="D5" s="8"/>
      <c r="E5" s="9"/>
      <c r="F5" s="3">
        <f>SUM(B5:E5)</f>
        <v>2325</v>
      </c>
      <c r="G5" s="3"/>
    </row>
    <row r="6" spans="1:8" x14ac:dyDescent="0.25">
      <c r="A6" s="7" t="s">
        <v>11</v>
      </c>
      <c r="B6" s="10">
        <f>B5/SUM($B5:$E5)</f>
        <v>0.35268817204301073</v>
      </c>
      <c r="C6" s="11">
        <f>C5/SUM($B5:$E5)</f>
        <v>0.64731182795698927</v>
      </c>
      <c r="D6" s="12"/>
      <c r="E6" s="13"/>
    </row>
    <row r="7" spans="1:8" x14ac:dyDescent="0.25">
      <c r="A7" s="7" t="s">
        <v>32</v>
      </c>
      <c r="B7" s="14">
        <f>B8*355</f>
        <v>139.87</v>
      </c>
      <c r="C7" s="14">
        <f>C8*355</f>
        <v>215.13</v>
      </c>
      <c r="D7" s="12"/>
      <c r="E7" s="13"/>
      <c r="F7" s="3">
        <f>SUM(B7:E7)</f>
        <v>355</v>
      </c>
      <c r="G7" s="3">
        <f>F7/H7</f>
        <v>1023.0547550432277</v>
      </c>
      <c r="H7" s="2">
        <v>0.34699999999999998</v>
      </c>
    </row>
    <row r="8" spans="1:8" x14ac:dyDescent="0.25">
      <c r="A8" s="15" t="s">
        <v>9</v>
      </c>
      <c r="B8" s="16">
        <v>0.39400000000000002</v>
      </c>
      <c r="C8" s="17">
        <v>0.60599999999999998</v>
      </c>
      <c r="D8" s="18"/>
      <c r="E8" s="19"/>
      <c r="H8" s="2"/>
    </row>
    <row r="9" spans="1:8" x14ac:dyDescent="0.25">
      <c r="A9" s="20" t="s">
        <v>12</v>
      </c>
      <c r="B9" s="38" t="s">
        <v>13</v>
      </c>
      <c r="C9" s="38" t="s">
        <v>14</v>
      </c>
      <c r="D9" s="5"/>
      <c r="E9" s="6"/>
      <c r="H9" s="2"/>
    </row>
    <row r="10" spans="1:8" x14ac:dyDescent="0.25">
      <c r="A10" s="7" t="s">
        <v>10</v>
      </c>
      <c r="B10" s="8">
        <v>2723</v>
      </c>
      <c r="C10" s="8">
        <v>973</v>
      </c>
      <c r="D10" s="8"/>
      <c r="E10" s="9"/>
      <c r="F10" s="3">
        <f>SUM(B10:E10)</f>
        <v>3696</v>
      </c>
      <c r="G10" s="3"/>
      <c r="H10" s="2"/>
    </row>
    <row r="11" spans="1:8" x14ac:dyDescent="0.25">
      <c r="A11" s="7" t="s">
        <v>11</v>
      </c>
      <c r="B11" s="11">
        <f>B10/SUM($B10:$E10)</f>
        <v>0.7367424242424242</v>
      </c>
      <c r="C11" s="10">
        <f>C10/SUM($B10:$E10)</f>
        <v>0.26325757575757575</v>
      </c>
      <c r="D11" s="12"/>
      <c r="E11" s="13"/>
      <c r="H11" s="2"/>
    </row>
    <row r="12" spans="1:8" x14ac:dyDescent="0.25">
      <c r="A12" s="7" t="s">
        <v>32</v>
      </c>
      <c r="B12" s="14">
        <f>B13*211</f>
        <v>172.59799999999998</v>
      </c>
      <c r="C12" s="14">
        <f>C13*211</f>
        <v>38.402000000000001</v>
      </c>
      <c r="D12" s="12"/>
      <c r="E12" s="13"/>
      <c r="F12" s="3">
        <f>SUM(B12:E12)</f>
        <v>211</v>
      </c>
      <c r="G12" s="3">
        <f>F12/H12</f>
        <v>626.11275964391689</v>
      </c>
      <c r="H12" s="2">
        <v>0.33700000000000002</v>
      </c>
    </row>
    <row r="13" spans="1:8" x14ac:dyDescent="0.25">
      <c r="A13" s="15" t="s">
        <v>9</v>
      </c>
      <c r="B13" s="17">
        <v>0.81799999999999995</v>
      </c>
      <c r="C13" s="16">
        <v>0.182</v>
      </c>
      <c r="D13" s="18"/>
      <c r="E13" s="19"/>
      <c r="H13" s="2"/>
    </row>
    <row r="14" spans="1:8" x14ac:dyDescent="0.25">
      <c r="A14" s="20" t="s">
        <v>15</v>
      </c>
      <c r="B14" s="36" t="s">
        <v>16</v>
      </c>
      <c r="C14" s="36" t="s">
        <v>17</v>
      </c>
      <c r="D14" s="36" t="s">
        <v>18</v>
      </c>
      <c r="E14" s="6"/>
      <c r="H14" s="2"/>
    </row>
    <row r="15" spans="1:8" x14ac:dyDescent="0.25">
      <c r="A15" s="7" t="s">
        <v>10</v>
      </c>
      <c r="B15" s="8">
        <v>270</v>
      </c>
      <c r="C15" s="8">
        <v>910</v>
      </c>
      <c r="D15" s="8">
        <v>1450</v>
      </c>
      <c r="E15" s="9"/>
      <c r="F15" s="3">
        <f>SUM(B15:E15)</f>
        <v>2630</v>
      </c>
      <c r="G15" s="3"/>
      <c r="H15" s="2"/>
    </row>
    <row r="16" spans="1:8" x14ac:dyDescent="0.25">
      <c r="A16" s="7" t="s">
        <v>11</v>
      </c>
      <c r="B16" s="10">
        <f>B15/SUM($B15:$E15)</f>
        <v>0.10266159695817491</v>
      </c>
      <c r="C16" s="10">
        <f>C15/SUM($B15:$E15)</f>
        <v>0.34600760456273766</v>
      </c>
      <c r="D16" s="11">
        <f>D15/SUM($B15:$E15)</f>
        <v>0.5513307984790875</v>
      </c>
      <c r="E16" s="21"/>
      <c r="H16" s="2"/>
    </row>
    <row r="17" spans="1:8" x14ac:dyDescent="0.25">
      <c r="A17" s="7" t="s">
        <v>32</v>
      </c>
      <c r="B17" s="14">
        <f>B18*172</f>
        <v>21.155999999999999</v>
      </c>
      <c r="C17" s="14">
        <f>C18*172</f>
        <v>46.096000000000004</v>
      </c>
      <c r="D17" s="14">
        <f>D18*172</f>
        <v>104.74799999999999</v>
      </c>
      <c r="E17" s="13"/>
      <c r="F17" s="3">
        <f>SUM(B17:E17)</f>
        <v>172</v>
      </c>
      <c r="G17" s="3">
        <f>F17/H17</f>
        <v>1398.3739837398375</v>
      </c>
      <c r="H17" s="2">
        <v>0.123</v>
      </c>
    </row>
    <row r="18" spans="1:8" x14ac:dyDescent="0.25">
      <c r="A18" s="15" t="s">
        <v>9</v>
      </c>
      <c r="B18" s="16">
        <v>0.123</v>
      </c>
      <c r="C18" s="16">
        <v>0.26800000000000002</v>
      </c>
      <c r="D18" s="17">
        <v>0.60899999999999999</v>
      </c>
      <c r="E18" s="19"/>
      <c r="H18" s="2"/>
    </row>
    <row r="19" spans="1:8" x14ac:dyDescent="0.25">
      <c r="A19" s="20" t="s">
        <v>19</v>
      </c>
      <c r="B19" s="36" t="s">
        <v>20</v>
      </c>
      <c r="C19" s="36" t="s">
        <v>21</v>
      </c>
      <c r="D19" s="36" t="s">
        <v>22</v>
      </c>
      <c r="E19" s="37" t="s">
        <v>23</v>
      </c>
      <c r="H19" s="2"/>
    </row>
    <row r="20" spans="1:8" x14ac:dyDescent="0.25">
      <c r="A20" s="7" t="s">
        <v>10</v>
      </c>
      <c r="B20" s="8">
        <v>43</v>
      </c>
      <c r="C20" s="8">
        <v>1266</v>
      </c>
      <c r="D20" s="8">
        <v>151</v>
      </c>
      <c r="E20" s="9">
        <v>965</v>
      </c>
      <c r="F20" s="3">
        <f>SUM(B20:E20)</f>
        <v>2425</v>
      </c>
      <c r="G20" s="3"/>
      <c r="H20" s="2"/>
    </row>
    <row r="21" spans="1:8" x14ac:dyDescent="0.25">
      <c r="A21" s="7" t="s">
        <v>11</v>
      </c>
      <c r="B21" s="10">
        <f>B20/SUM($B20:$E20)</f>
        <v>1.7731958762886597E-2</v>
      </c>
      <c r="C21" s="11">
        <f>C20/SUM($B20:$E20)</f>
        <v>0.5220618556701031</v>
      </c>
      <c r="D21" s="10">
        <f>D20/SUM($B20:$E20)</f>
        <v>6.2268041237113401E-2</v>
      </c>
      <c r="E21" s="21">
        <f>E20/SUM($B20:$E20)</f>
        <v>0.39793814432989688</v>
      </c>
      <c r="H21" s="2"/>
    </row>
    <row r="22" spans="1:8" x14ac:dyDescent="0.25">
      <c r="A22" s="7" t="s">
        <v>32</v>
      </c>
      <c r="B22" s="14">
        <f>B23*403</f>
        <v>7.657</v>
      </c>
      <c r="C22" s="14">
        <f>C23*403</f>
        <v>191.828</v>
      </c>
      <c r="D22" s="14">
        <f>D23*403</f>
        <v>21.358999999999998</v>
      </c>
      <c r="E22" s="22">
        <f>E23*403</f>
        <v>182.559</v>
      </c>
      <c r="F22" s="3">
        <f>SUM(B22:E22)</f>
        <v>403.40300000000002</v>
      </c>
      <c r="G22" s="3">
        <f>F22/H22</f>
        <v>562.62622036262212</v>
      </c>
      <c r="H22" s="2">
        <v>0.71699999999999997</v>
      </c>
    </row>
    <row r="23" spans="1:8" x14ac:dyDescent="0.25">
      <c r="A23" s="15" t="s">
        <v>9</v>
      </c>
      <c r="B23" s="16">
        <v>1.9E-2</v>
      </c>
      <c r="C23" s="17">
        <v>0.47599999999999998</v>
      </c>
      <c r="D23" s="16">
        <v>5.2999999999999999E-2</v>
      </c>
      <c r="E23" s="23">
        <v>0.45300000000000001</v>
      </c>
      <c r="H23" s="2"/>
    </row>
    <row r="24" spans="1:8" x14ac:dyDescent="0.25">
      <c r="A24" s="20" t="s">
        <v>24</v>
      </c>
      <c r="B24" s="36" t="s">
        <v>25</v>
      </c>
      <c r="C24" s="36" t="s">
        <v>26</v>
      </c>
      <c r="D24" s="5"/>
      <c r="E24" s="6"/>
      <c r="H24" s="2"/>
    </row>
    <row r="25" spans="1:8" x14ac:dyDescent="0.25">
      <c r="A25" s="7" t="s">
        <v>10</v>
      </c>
      <c r="B25" s="8">
        <v>1262</v>
      </c>
      <c r="C25" s="8">
        <v>742</v>
      </c>
      <c r="D25" s="8"/>
      <c r="E25" s="9"/>
      <c r="F25" s="3">
        <f>SUM(B25:E25)</f>
        <v>2004</v>
      </c>
      <c r="G25" s="3"/>
      <c r="H25" s="2"/>
    </row>
    <row r="26" spans="1:8" x14ac:dyDescent="0.25">
      <c r="A26" s="7" t="s">
        <v>11</v>
      </c>
      <c r="B26" s="11">
        <f>B25/SUM($B25:$E25)</f>
        <v>0.62974051896207583</v>
      </c>
      <c r="C26" s="10">
        <f>C25/SUM($B25:$E25)</f>
        <v>0.37025948103792417</v>
      </c>
      <c r="D26" s="10"/>
      <c r="E26" s="21"/>
      <c r="H26" s="2"/>
    </row>
    <row r="27" spans="1:8" x14ac:dyDescent="0.25">
      <c r="A27" s="7" t="s">
        <v>32</v>
      </c>
      <c r="B27" s="8">
        <f>B28*220</f>
        <v>148.72</v>
      </c>
      <c r="C27" s="8">
        <f>C28*220</f>
        <v>71.28</v>
      </c>
      <c r="D27" s="10"/>
      <c r="E27" s="21"/>
      <c r="F27" s="3">
        <f>SUM(B27:E27)</f>
        <v>220</v>
      </c>
      <c r="G27" s="3">
        <f>F27/H27</f>
        <v>580.47493403693932</v>
      </c>
      <c r="H27" s="2">
        <v>0.379</v>
      </c>
    </row>
    <row r="28" spans="1:8" x14ac:dyDescent="0.25">
      <c r="A28" s="15" t="s">
        <v>9</v>
      </c>
      <c r="B28" s="17">
        <v>0.67600000000000005</v>
      </c>
      <c r="C28" s="16">
        <v>0.32400000000000001</v>
      </c>
      <c r="D28" s="16"/>
      <c r="E28" s="23"/>
      <c r="H28" s="2"/>
    </row>
    <row r="29" spans="1:8" x14ac:dyDescent="0.25">
      <c r="A29" s="24" t="s">
        <v>27</v>
      </c>
      <c r="B29" s="36" t="s">
        <v>31</v>
      </c>
      <c r="C29" s="36" t="s">
        <v>28</v>
      </c>
      <c r="D29" s="36" t="s">
        <v>29</v>
      </c>
      <c r="E29" s="37" t="s">
        <v>30</v>
      </c>
      <c r="H29" s="2"/>
    </row>
    <row r="30" spans="1:8" x14ac:dyDescent="0.25">
      <c r="A30" s="7" t="s">
        <v>10</v>
      </c>
      <c r="B30" s="8">
        <v>1906</v>
      </c>
      <c r="C30" s="8">
        <v>182</v>
      </c>
      <c r="D30" s="8">
        <v>1894</v>
      </c>
      <c r="E30" s="9">
        <v>42</v>
      </c>
      <c r="F30" s="3">
        <f>SUM(B30:E30)</f>
        <v>4024</v>
      </c>
      <c r="G30" s="3"/>
      <c r="H30" s="2"/>
    </row>
    <row r="31" spans="1:8" x14ac:dyDescent="0.25">
      <c r="A31" s="7" t="s">
        <v>11</v>
      </c>
      <c r="B31" s="11">
        <f>B30/SUM($B30:$E30)</f>
        <v>0.47365805168986086</v>
      </c>
      <c r="C31" s="25">
        <f>C30/SUM($B30:$E30)</f>
        <v>4.5228628230616304E-2</v>
      </c>
      <c r="D31" s="10">
        <f>D30/SUM($B30:$E30)</f>
        <v>0.47067594433399601</v>
      </c>
      <c r="E31" s="21">
        <f>E30/SUM($B30:$E30)</f>
        <v>1.0437375745526839E-2</v>
      </c>
      <c r="H31" s="2"/>
    </row>
    <row r="32" spans="1:8" x14ac:dyDescent="0.25">
      <c r="A32" s="7" t="s">
        <v>32</v>
      </c>
      <c r="B32" s="8">
        <f>B33*294</f>
        <v>106.72199999999999</v>
      </c>
      <c r="C32" s="26">
        <f>C33*294</f>
        <v>9.9960000000000004</v>
      </c>
      <c r="D32" s="8">
        <f>D33*294</f>
        <v>169.34399999999999</v>
      </c>
      <c r="E32" s="8">
        <f>E33*294</f>
        <v>7.9379999999999997</v>
      </c>
      <c r="F32" s="3">
        <f>SUM(B32:E32)</f>
        <v>294</v>
      </c>
      <c r="G32" s="3">
        <f>F32/H32</f>
        <v>671.23287671232879</v>
      </c>
      <c r="H32" s="2">
        <v>0.438</v>
      </c>
    </row>
    <row r="33" spans="1:8" x14ac:dyDescent="0.25">
      <c r="A33" s="15" t="s">
        <v>9</v>
      </c>
      <c r="B33" s="16">
        <v>0.36299999999999999</v>
      </c>
      <c r="C33" s="27">
        <v>3.4000000000000002E-2</v>
      </c>
      <c r="D33" s="17">
        <v>0.57599999999999996</v>
      </c>
      <c r="E33" s="23">
        <v>2.7E-2</v>
      </c>
      <c r="H33" s="2"/>
    </row>
    <row r="34" spans="1:8" x14ac:dyDescent="0.25">
      <c r="A34" s="30" t="s">
        <v>33</v>
      </c>
      <c r="B34" s="38" t="s">
        <v>34</v>
      </c>
      <c r="C34" s="38" t="s">
        <v>35</v>
      </c>
      <c r="D34" s="5"/>
      <c r="E34" s="6"/>
      <c r="H34" s="2"/>
    </row>
    <row r="35" spans="1:8" x14ac:dyDescent="0.25">
      <c r="A35" s="7" t="s">
        <v>10</v>
      </c>
      <c r="B35" s="31">
        <v>970</v>
      </c>
      <c r="C35" s="31">
        <v>309</v>
      </c>
      <c r="D35" s="31"/>
      <c r="E35" s="9"/>
      <c r="F35" s="3">
        <f>SUM(B35:E35)</f>
        <v>1279</v>
      </c>
      <c r="G35" s="3"/>
      <c r="H35" s="2"/>
    </row>
    <row r="36" spans="1:8" x14ac:dyDescent="0.25">
      <c r="A36" s="7" t="s">
        <v>11</v>
      </c>
      <c r="B36" s="11">
        <f>B35/SUM($B35:$E35)</f>
        <v>0.7584050039093041</v>
      </c>
      <c r="C36" s="28">
        <f>C35/SUM($B35:$E35)</f>
        <v>0.24159499609069585</v>
      </c>
      <c r="D36" s="28"/>
      <c r="E36" s="21"/>
      <c r="H36" s="2"/>
    </row>
    <row r="37" spans="1:8" x14ac:dyDescent="0.25">
      <c r="A37" s="7" t="s">
        <v>32</v>
      </c>
      <c r="B37" s="31">
        <f>B38*269</f>
        <v>227.036</v>
      </c>
      <c r="C37" s="31">
        <f>C38*269</f>
        <v>41.963999999999999</v>
      </c>
      <c r="D37" s="31"/>
      <c r="E37" s="9"/>
      <c r="F37" s="3">
        <f>SUM(B37:E37)</f>
        <v>269</v>
      </c>
      <c r="G37" s="3">
        <f>F37/H37</f>
        <v>964.15770609318986</v>
      </c>
      <c r="H37" s="2">
        <v>0.27900000000000003</v>
      </c>
    </row>
    <row r="38" spans="1:8" x14ac:dyDescent="0.25">
      <c r="A38" s="15" t="s">
        <v>9</v>
      </c>
      <c r="B38" s="17">
        <v>0.84399999999999997</v>
      </c>
      <c r="C38" s="32">
        <v>0.156</v>
      </c>
      <c r="D38" s="32"/>
      <c r="E38" s="23"/>
      <c r="H38" s="2"/>
    </row>
    <row r="39" spans="1:8" x14ac:dyDescent="0.25">
      <c r="A39" s="30" t="s">
        <v>36</v>
      </c>
      <c r="B39" s="36" t="s">
        <v>37</v>
      </c>
      <c r="C39" s="36" t="s">
        <v>38</v>
      </c>
      <c r="D39" s="36" t="s">
        <v>39</v>
      </c>
      <c r="E39" s="6"/>
      <c r="H39" s="2"/>
    </row>
    <row r="40" spans="1:8" x14ac:dyDescent="0.25">
      <c r="A40" s="7" t="s">
        <v>10</v>
      </c>
      <c r="B40" s="31">
        <v>101</v>
      </c>
      <c r="C40" s="31">
        <v>1012</v>
      </c>
      <c r="D40" s="31">
        <v>886</v>
      </c>
      <c r="E40" s="9"/>
      <c r="F40" s="3">
        <f>SUM(B40:E40)</f>
        <v>1999</v>
      </c>
      <c r="G40" s="3"/>
      <c r="H40" s="2"/>
    </row>
    <row r="41" spans="1:8" x14ac:dyDescent="0.25">
      <c r="A41" s="7" t="s">
        <v>11</v>
      </c>
      <c r="B41" s="28">
        <f>B40/SUM($B40:$E40)</f>
        <v>5.0525262631315661E-2</v>
      </c>
      <c r="C41" s="11">
        <f>C40/SUM($B40:$E40)</f>
        <v>0.50625312656328159</v>
      </c>
      <c r="D41" s="28">
        <f>D40/SUM($B40:$E40)</f>
        <v>0.44322161080540268</v>
      </c>
      <c r="E41" s="21"/>
      <c r="H41" s="2"/>
    </row>
    <row r="42" spans="1:8" x14ac:dyDescent="0.25">
      <c r="A42" s="7" t="s">
        <v>32</v>
      </c>
      <c r="B42" s="31">
        <f>B43*307</f>
        <v>15.350000000000001</v>
      </c>
      <c r="C42" s="31">
        <f>C43*307</f>
        <v>113.59</v>
      </c>
      <c r="D42" s="31">
        <f>D43*307</f>
        <v>178.05999999999997</v>
      </c>
      <c r="E42" s="9"/>
      <c r="F42" s="3">
        <f>SUM(B42:E42)</f>
        <v>307</v>
      </c>
      <c r="G42" s="3">
        <f>F42/H42</f>
        <v>1258.1967213114754</v>
      </c>
      <c r="H42" s="2">
        <v>0.24399999999999999</v>
      </c>
    </row>
    <row r="43" spans="1:8" x14ac:dyDescent="0.25">
      <c r="A43" s="15" t="s">
        <v>9</v>
      </c>
      <c r="B43" s="32">
        <v>0.05</v>
      </c>
      <c r="C43" s="32">
        <v>0.37</v>
      </c>
      <c r="D43" s="17">
        <v>0.57999999999999996</v>
      </c>
      <c r="E43" s="23"/>
      <c r="H43" s="2"/>
    </row>
    <row r="44" spans="1:8" x14ac:dyDescent="0.25">
      <c r="A44" s="30" t="s">
        <v>40</v>
      </c>
      <c r="B44" s="36" t="s">
        <v>41</v>
      </c>
      <c r="C44" s="36" t="s">
        <v>42</v>
      </c>
      <c r="D44" s="36" t="s">
        <v>43</v>
      </c>
      <c r="E44" s="37" t="s">
        <v>44</v>
      </c>
      <c r="H44" s="2"/>
    </row>
    <row r="45" spans="1:8" x14ac:dyDescent="0.25">
      <c r="A45" s="7" t="s">
        <v>10</v>
      </c>
      <c r="B45" s="33">
        <v>2528</v>
      </c>
      <c r="C45" s="31">
        <v>239</v>
      </c>
      <c r="D45" s="31">
        <v>75</v>
      </c>
      <c r="E45" s="9">
        <v>2015</v>
      </c>
      <c r="F45" s="3">
        <f>SUM(B45:E45)</f>
        <v>4857</v>
      </c>
      <c r="G45" s="3"/>
      <c r="H45" s="2"/>
    </row>
    <row r="46" spans="1:8" x14ac:dyDescent="0.25">
      <c r="A46" s="7" t="s">
        <v>11</v>
      </c>
      <c r="B46" s="28">
        <f>B45/SUM($B45:$E45)</f>
        <v>0.5204858966440189</v>
      </c>
      <c r="C46" s="28">
        <f>C45/SUM($B45:$E45)</f>
        <v>4.9207329627341978E-2</v>
      </c>
      <c r="D46" s="28">
        <f>D45/SUM($B45:$E45)</f>
        <v>1.5441630636195183E-2</v>
      </c>
      <c r="E46" s="34">
        <f>E45/SUM($B45:$E45)</f>
        <v>0.41486514309244388</v>
      </c>
      <c r="H46" s="2"/>
    </row>
    <row r="47" spans="1:8" x14ac:dyDescent="0.25">
      <c r="A47" s="7" t="s">
        <v>32</v>
      </c>
      <c r="B47" s="31">
        <f>B48*569</f>
        <v>281.08600000000001</v>
      </c>
      <c r="C47" s="31">
        <f>C48*569</f>
        <v>20.483999999999998</v>
      </c>
      <c r="D47" s="31">
        <f>D48*569</f>
        <v>11.949000000000002</v>
      </c>
      <c r="E47" s="35">
        <f>E48*569</f>
        <v>255.48099999999999</v>
      </c>
      <c r="F47" s="3">
        <f>SUM(B47:E47)</f>
        <v>569</v>
      </c>
      <c r="G47" s="3">
        <f>F47/H47</f>
        <v>1197.8947368421054</v>
      </c>
      <c r="H47" s="2">
        <v>0.47499999999999998</v>
      </c>
    </row>
    <row r="48" spans="1:8" x14ac:dyDescent="0.25">
      <c r="A48" s="15" t="s">
        <v>9</v>
      </c>
      <c r="B48" s="17">
        <v>0.49399999999999999</v>
      </c>
      <c r="C48" s="32">
        <v>3.5999999999999997E-2</v>
      </c>
      <c r="D48" s="32">
        <v>2.1000000000000001E-2</v>
      </c>
      <c r="E48" s="23">
        <v>0.44900000000000001</v>
      </c>
      <c r="H48" s="2"/>
    </row>
    <row r="49" spans="1:8" x14ac:dyDescent="0.25">
      <c r="A49" s="30" t="s">
        <v>45</v>
      </c>
      <c r="B49" s="36" t="s">
        <v>46</v>
      </c>
      <c r="C49" s="36" t="s">
        <v>47</v>
      </c>
      <c r="D49" s="5"/>
      <c r="E49" s="6"/>
      <c r="H49" s="2"/>
    </row>
    <row r="50" spans="1:8" x14ac:dyDescent="0.25">
      <c r="A50" s="7" t="s">
        <v>10</v>
      </c>
      <c r="B50" s="31">
        <v>1534</v>
      </c>
      <c r="C50" s="31">
        <v>322</v>
      </c>
      <c r="D50" s="31"/>
      <c r="E50" s="9"/>
      <c r="F50" s="3">
        <f>SUM(B50:E50)</f>
        <v>1856</v>
      </c>
      <c r="G50" s="3"/>
      <c r="H50" s="2"/>
    </row>
    <row r="51" spans="1:8" x14ac:dyDescent="0.25">
      <c r="A51" s="7" t="s">
        <v>11</v>
      </c>
      <c r="B51" s="11">
        <f>B50/SUM($B50:$E50)</f>
        <v>0.82650862068965514</v>
      </c>
      <c r="C51" s="28">
        <f>C50/SUM($B50:$E50)</f>
        <v>0.17349137931034483</v>
      </c>
      <c r="D51" s="28"/>
      <c r="E51" s="34"/>
      <c r="H51" s="2"/>
    </row>
    <row r="52" spans="1:8" x14ac:dyDescent="0.25">
      <c r="A52" s="7" t="s">
        <v>32</v>
      </c>
      <c r="B52" s="31">
        <f>B53*336</f>
        <v>290.30399999999997</v>
      </c>
      <c r="C52" s="31">
        <f>C53*336</f>
        <v>45.696000000000005</v>
      </c>
      <c r="D52" s="31"/>
      <c r="E52" s="35"/>
      <c r="F52" s="3">
        <f>SUM(B52:E52)</f>
        <v>336</v>
      </c>
      <c r="G52" s="3">
        <f>F52/H52</f>
        <v>738.46153846153845</v>
      </c>
      <c r="H52" s="2">
        <v>0.45500000000000002</v>
      </c>
    </row>
    <row r="53" spans="1:8" x14ac:dyDescent="0.25">
      <c r="A53" s="15" t="s">
        <v>9</v>
      </c>
      <c r="B53" s="17">
        <v>0.86399999999999999</v>
      </c>
      <c r="C53" s="32">
        <v>0.13600000000000001</v>
      </c>
      <c r="D53" s="32"/>
      <c r="E53" s="23"/>
      <c r="H53" s="2"/>
    </row>
    <row r="54" spans="1:8" x14ac:dyDescent="0.25">
      <c r="A54" s="30" t="s">
        <v>48</v>
      </c>
      <c r="B54" s="36" t="s">
        <v>49</v>
      </c>
      <c r="C54" s="36" t="s">
        <v>50</v>
      </c>
      <c r="D54" s="36" t="s">
        <v>51</v>
      </c>
      <c r="E54" s="6"/>
      <c r="H54" s="2"/>
    </row>
    <row r="55" spans="1:8" x14ac:dyDescent="0.25">
      <c r="A55" s="7" t="s">
        <v>10</v>
      </c>
      <c r="B55" s="31">
        <v>2236</v>
      </c>
      <c r="C55" s="31">
        <v>1513</v>
      </c>
      <c r="D55" s="31">
        <v>371</v>
      </c>
      <c r="E55" s="9"/>
      <c r="F55" s="3">
        <f>SUM(B55:E55)</f>
        <v>4120</v>
      </c>
      <c r="G55" s="3"/>
      <c r="H55" s="2"/>
    </row>
    <row r="56" spans="1:8" x14ac:dyDescent="0.25">
      <c r="A56" s="7" t="s">
        <v>11</v>
      </c>
      <c r="B56" s="11">
        <f>B55/SUM($B55:$E55)</f>
        <v>0.5427184466019418</v>
      </c>
      <c r="C56" s="28">
        <f>C55/SUM($B55:$E55)</f>
        <v>0.36723300970873785</v>
      </c>
      <c r="D56" s="28">
        <f>D55/SUM($B55:$E55)</f>
        <v>9.0048543689320387E-2</v>
      </c>
      <c r="E56" s="34"/>
      <c r="H56" s="2"/>
    </row>
    <row r="57" spans="1:8" x14ac:dyDescent="0.25">
      <c r="A57" s="7" t="s">
        <v>32</v>
      </c>
      <c r="B57" s="31">
        <f>B58*691</f>
        <v>436.02100000000002</v>
      </c>
      <c r="C57" s="31">
        <f>C58*691</f>
        <v>193.48000000000002</v>
      </c>
      <c r="D57" s="31">
        <f>D58*691</f>
        <v>61.498999999999995</v>
      </c>
      <c r="E57" s="35"/>
      <c r="F57" s="3">
        <f>SUM(B57:E57)</f>
        <v>691</v>
      </c>
      <c r="G57" s="3">
        <f>F57/H57</f>
        <v>1837.7659574468084</v>
      </c>
      <c r="H57" s="2">
        <v>0.376</v>
      </c>
    </row>
    <row r="58" spans="1:8" x14ac:dyDescent="0.25">
      <c r="A58" s="15" t="s">
        <v>9</v>
      </c>
      <c r="B58" s="17">
        <v>0.63100000000000001</v>
      </c>
      <c r="C58" s="32">
        <v>0.28000000000000003</v>
      </c>
      <c r="D58" s="32">
        <v>8.8999999999999996E-2</v>
      </c>
      <c r="E58" s="23"/>
      <c r="H58" s="2"/>
    </row>
    <row r="59" spans="1:8" x14ac:dyDescent="0.25">
      <c r="A59" s="30" t="s">
        <v>52</v>
      </c>
      <c r="B59" s="36" t="s">
        <v>53</v>
      </c>
      <c r="C59" s="36" t="s">
        <v>54</v>
      </c>
      <c r="D59" s="36" t="s">
        <v>55</v>
      </c>
      <c r="E59" s="6"/>
      <c r="H59" s="2"/>
    </row>
    <row r="60" spans="1:8" x14ac:dyDescent="0.25">
      <c r="A60" s="7" t="s">
        <v>10</v>
      </c>
      <c r="B60" s="31">
        <v>3456</v>
      </c>
      <c r="C60" s="31">
        <v>1039</v>
      </c>
      <c r="D60" s="31">
        <v>441</v>
      </c>
      <c r="E60" s="9"/>
      <c r="F60" s="3">
        <f>SUM(B60:E60)</f>
        <v>4936</v>
      </c>
      <c r="G60" s="3"/>
      <c r="H60" s="2"/>
    </row>
    <row r="61" spans="1:8" x14ac:dyDescent="0.25">
      <c r="A61" s="7" t="s">
        <v>11</v>
      </c>
      <c r="B61" s="11">
        <f>B60/SUM($B60:$E60)</f>
        <v>0.70016207455429502</v>
      </c>
      <c r="C61" s="28">
        <f>C60/SUM($B60:$E60)</f>
        <v>0.21049432739059967</v>
      </c>
      <c r="D61" s="28">
        <f>D60/SUM($B60:$E60)</f>
        <v>8.9343598055105347E-2</v>
      </c>
      <c r="E61" s="34"/>
      <c r="H61" s="2"/>
    </row>
    <row r="62" spans="1:8" x14ac:dyDescent="0.25">
      <c r="A62" s="7" t="s">
        <v>32</v>
      </c>
      <c r="B62" s="31">
        <f>B63*863</f>
        <v>582.52500000000009</v>
      </c>
      <c r="C62" s="31">
        <f>C63*863</f>
        <v>166.559</v>
      </c>
      <c r="D62" s="31">
        <f>D63*863</f>
        <v>113.91600000000001</v>
      </c>
      <c r="E62" s="35"/>
      <c r="F62" s="3">
        <f>SUM(B62:E62)</f>
        <v>863.00000000000011</v>
      </c>
      <c r="G62" s="3">
        <f>F62/H62</f>
        <v>1475.2136752136755</v>
      </c>
      <c r="H62" s="2">
        <v>0.58499999999999996</v>
      </c>
    </row>
    <row r="63" spans="1:8" x14ac:dyDescent="0.25">
      <c r="A63" s="15" t="s">
        <v>9</v>
      </c>
      <c r="B63" s="17">
        <v>0.67500000000000004</v>
      </c>
      <c r="C63" s="32">
        <v>0.193</v>
      </c>
      <c r="D63" s="32">
        <v>0.13200000000000001</v>
      </c>
      <c r="E63" s="23"/>
      <c r="H63" s="2"/>
    </row>
    <row r="64" spans="1:8" x14ac:dyDescent="0.25">
      <c r="A64" s="30" t="s">
        <v>56</v>
      </c>
      <c r="B64" s="36" t="s">
        <v>57</v>
      </c>
      <c r="C64" s="36" t="s">
        <v>58</v>
      </c>
      <c r="D64" s="36" t="s">
        <v>59</v>
      </c>
      <c r="E64" s="6"/>
      <c r="H64" s="2"/>
    </row>
    <row r="65" spans="1:8" x14ac:dyDescent="0.25">
      <c r="A65" s="7" t="s">
        <v>10</v>
      </c>
      <c r="B65" s="31">
        <v>507</v>
      </c>
      <c r="C65" s="31">
        <v>2754</v>
      </c>
      <c r="D65" s="31">
        <v>1660</v>
      </c>
      <c r="E65" s="9"/>
      <c r="F65" s="3">
        <f>SUM(B65:E65)</f>
        <v>4921</v>
      </c>
      <c r="G65" s="3"/>
      <c r="H65" s="2"/>
    </row>
    <row r="66" spans="1:8" x14ac:dyDescent="0.25">
      <c r="A66" s="7" t="s">
        <v>11</v>
      </c>
      <c r="B66" s="28">
        <f>B65/SUM($B65:$E65)</f>
        <v>0.10302783986994514</v>
      </c>
      <c r="C66" s="11">
        <f>C65/SUM($B65:$E65)</f>
        <v>0.55964234911603328</v>
      </c>
      <c r="D66" s="28">
        <f>D65/SUM($B65:$E65)</f>
        <v>0.33732981101402154</v>
      </c>
      <c r="E66" s="34"/>
      <c r="H66" s="2"/>
    </row>
    <row r="67" spans="1:8" x14ac:dyDescent="0.25">
      <c r="A67" s="7" t="s">
        <v>32</v>
      </c>
      <c r="B67" s="31">
        <f>B68*617</f>
        <v>70.338000000000008</v>
      </c>
      <c r="C67" s="31">
        <f>C68*617</f>
        <v>360.94499999999999</v>
      </c>
      <c r="D67" s="31">
        <f>D68*617</f>
        <v>185.71699999999998</v>
      </c>
      <c r="E67" s="35"/>
      <c r="F67" s="3">
        <f>SUM(B67:E67)</f>
        <v>617</v>
      </c>
      <c r="G67" s="3">
        <f>F67/H67</f>
        <v>2319.5488721804509</v>
      </c>
      <c r="H67" s="2">
        <v>0.26600000000000001</v>
      </c>
    </row>
    <row r="68" spans="1:8" x14ac:dyDescent="0.25">
      <c r="A68" s="15" t="s">
        <v>9</v>
      </c>
      <c r="B68" s="32">
        <v>0.114</v>
      </c>
      <c r="C68" s="17">
        <v>0.58499999999999996</v>
      </c>
      <c r="D68" s="32">
        <v>0.30099999999999999</v>
      </c>
      <c r="E68" s="23"/>
      <c r="H68" s="2"/>
    </row>
    <row r="69" spans="1:8" x14ac:dyDescent="0.25">
      <c r="A69" s="30" t="s">
        <v>60</v>
      </c>
      <c r="B69" s="36" t="s">
        <v>61</v>
      </c>
      <c r="C69" s="36" t="s">
        <v>62</v>
      </c>
      <c r="D69" s="5"/>
      <c r="E69" s="6"/>
      <c r="H69" s="2"/>
    </row>
    <row r="70" spans="1:8" x14ac:dyDescent="0.25">
      <c r="A70" s="7" t="s">
        <v>10</v>
      </c>
      <c r="B70" s="31">
        <v>2002</v>
      </c>
      <c r="C70" s="31">
        <v>2256</v>
      </c>
      <c r="D70" s="31"/>
      <c r="E70" s="9"/>
      <c r="F70" s="3">
        <f>SUM(B70:E70)</f>
        <v>4258</v>
      </c>
      <c r="G70" s="3"/>
      <c r="H70" s="2"/>
    </row>
    <row r="71" spans="1:8" x14ac:dyDescent="0.25">
      <c r="A71" s="7" t="s">
        <v>11</v>
      </c>
      <c r="B71" s="28">
        <f>B70/SUM($B70:$E70)</f>
        <v>0.47017379051197744</v>
      </c>
      <c r="C71" s="11">
        <f>C70/SUM($B70:$E70)</f>
        <v>0.5298262094880225</v>
      </c>
      <c r="D71" s="28"/>
      <c r="E71" s="34"/>
      <c r="H71" s="2"/>
    </row>
    <row r="72" spans="1:8" x14ac:dyDescent="0.25">
      <c r="A72" s="7" t="s">
        <v>32</v>
      </c>
      <c r="B72" s="31">
        <f>B73*758</f>
        <v>313.81200000000001</v>
      </c>
      <c r="C72" s="31">
        <f>C73*758</f>
        <v>444.18799999999999</v>
      </c>
      <c r="D72" s="31"/>
      <c r="E72" s="35"/>
      <c r="F72" s="3">
        <f>SUM(B72:E72)</f>
        <v>758</v>
      </c>
      <c r="G72" s="3">
        <f>F72/H72</f>
        <v>2032.1715817694369</v>
      </c>
      <c r="H72" s="2">
        <v>0.373</v>
      </c>
    </row>
    <row r="73" spans="1:8" x14ac:dyDescent="0.25">
      <c r="A73" s="15" t="s">
        <v>9</v>
      </c>
      <c r="B73" s="32">
        <v>0.41399999999999998</v>
      </c>
      <c r="C73" s="17">
        <v>0.58599999999999997</v>
      </c>
      <c r="D73" s="32"/>
      <c r="E73" s="23"/>
      <c r="H73" s="2"/>
    </row>
    <row r="74" spans="1:8" x14ac:dyDescent="0.25">
      <c r="A74" s="30" t="s">
        <v>66</v>
      </c>
      <c r="B74" s="36" t="s">
        <v>63</v>
      </c>
      <c r="C74" s="36" t="s">
        <v>64</v>
      </c>
      <c r="D74" s="36" t="s">
        <v>65</v>
      </c>
      <c r="E74" s="6"/>
      <c r="H74" s="2"/>
    </row>
    <row r="75" spans="1:8" x14ac:dyDescent="0.25">
      <c r="A75" s="7" t="s">
        <v>10</v>
      </c>
      <c r="B75" s="31">
        <v>303</v>
      </c>
      <c r="C75" s="31">
        <v>1876</v>
      </c>
      <c r="D75" s="31">
        <v>1477</v>
      </c>
      <c r="E75" s="9"/>
      <c r="F75" s="3">
        <f>SUM(B75:E75)</f>
        <v>3656</v>
      </c>
      <c r="G75" s="3"/>
      <c r="H75" s="2"/>
    </row>
    <row r="76" spans="1:8" x14ac:dyDescent="0.25">
      <c r="A76" s="7" t="s">
        <v>11</v>
      </c>
      <c r="B76" s="28">
        <f>B75/SUM($B75:$E75)</f>
        <v>8.2877461706783367E-2</v>
      </c>
      <c r="C76" s="11">
        <f>C75/SUM($B75:$E75)</f>
        <v>0.51312910284463897</v>
      </c>
      <c r="D76" s="28">
        <f>D75/SUM($B75:$E75)</f>
        <v>0.40399343544857769</v>
      </c>
      <c r="E76" s="34"/>
      <c r="H76" s="2"/>
    </row>
    <row r="77" spans="1:8" x14ac:dyDescent="0.25">
      <c r="A77" s="7" t="s">
        <v>32</v>
      </c>
      <c r="B77" s="31">
        <f>B78*399</f>
        <v>33.516000000000005</v>
      </c>
      <c r="C77" s="31">
        <f>C78*399</f>
        <v>200.697</v>
      </c>
      <c r="D77" s="31">
        <f>D78*399</f>
        <v>164.78699999999998</v>
      </c>
      <c r="E77" s="35"/>
      <c r="F77" s="3">
        <f>SUM(B77:E77)</f>
        <v>399</v>
      </c>
      <c r="G77" s="3">
        <f>F77/H77</f>
        <v>973.17073170731715</v>
      </c>
      <c r="H77" s="2">
        <v>0.41</v>
      </c>
    </row>
    <row r="78" spans="1:8" x14ac:dyDescent="0.25">
      <c r="A78" s="15" t="s">
        <v>9</v>
      </c>
      <c r="B78" s="32">
        <v>8.4000000000000005E-2</v>
      </c>
      <c r="C78" s="17">
        <v>0.503</v>
      </c>
      <c r="D78" s="32">
        <v>0.41299999999999998</v>
      </c>
      <c r="E78" s="23"/>
      <c r="H78" s="2"/>
    </row>
    <row r="79" spans="1:8" x14ac:dyDescent="0.25">
      <c r="A79" s="30" t="s">
        <v>67</v>
      </c>
      <c r="B79" s="36" t="s">
        <v>68</v>
      </c>
      <c r="C79" s="36" t="s">
        <v>69</v>
      </c>
      <c r="D79" s="5"/>
      <c r="E79" s="6"/>
      <c r="H79" s="2"/>
    </row>
    <row r="80" spans="1:8" x14ac:dyDescent="0.25">
      <c r="A80" s="7" t="s">
        <v>10</v>
      </c>
      <c r="B80" s="31">
        <v>1700</v>
      </c>
      <c r="C80" s="31">
        <v>1838</v>
      </c>
      <c r="D80" s="31"/>
      <c r="E80" s="9"/>
      <c r="F80" s="3">
        <f>SUM(B80:E80)</f>
        <v>3538</v>
      </c>
      <c r="G80" s="3"/>
      <c r="H80" s="2"/>
    </row>
    <row r="81" spans="1:8" x14ac:dyDescent="0.25">
      <c r="A81" s="7" t="s">
        <v>11</v>
      </c>
      <c r="B81" s="28">
        <f>B80/SUM($B80:$E80)</f>
        <v>0.48049745618993783</v>
      </c>
      <c r="C81" s="11">
        <f>C80/SUM($B80:$E80)</f>
        <v>0.51950254381006222</v>
      </c>
      <c r="D81" s="28"/>
      <c r="E81" s="34"/>
      <c r="H81" s="2"/>
    </row>
    <row r="82" spans="1:8" x14ac:dyDescent="0.25">
      <c r="A82" s="7" t="s">
        <v>32</v>
      </c>
      <c r="B82" s="31">
        <f>B83*1008</f>
        <v>529.20000000000005</v>
      </c>
      <c r="C82" s="31">
        <f>C83*1008</f>
        <v>478.79999999999995</v>
      </c>
      <c r="D82" s="31"/>
      <c r="E82" s="35"/>
      <c r="F82" s="3">
        <f>SUM(B82:E82)</f>
        <v>1008</v>
      </c>
      <c r="G82" s="3">
        <f>F82/H82</f>
        <v>1390.344827586207</v>
      </c>
      <c r="H82" s="2">
        <v>0.72499999999999998</v>
      </c>
    </row>
    <row r="83" spans="1:8" x14ac:dyDescent="0.25">
      <c r="A83" s="15" t="s">
        <v>9</v>
      </c>
      <c r="B83" s="17">
        <v>0.52500000000000002</v>
      </c>
      <c r="C83" s="32">
        <v>0.47499999999999998</v>
      </c>
      <c r="D83" s="32"/>
      <c r="E83" s="23"/>
      <c r="H83" s="2"/>
    </row>
    <row r="84" spans="1:8" x14ac:dyDescent="0.25">
      <c r="A84" s="30" t="s">
        <v>70</v>
      </c>
      <c r="B84" s="36" t="s">
        <v>71</v>
      </c>
      <c r="C84" s="36" t="s">
        <v>72</v>
      </c>
      <c r="D84" s="36" t="s">
        <v>73</v>
      </c>
      <c r="E84" s="6"/>
      <c r="H84" s="2"/>
    </row>
    <row r="85" spans="1:8" x14ac:dyDescent="0.25">
      <c r="A85" s="7" t="s">
        <v>10</v>
      </c>
      <c r="B85" s="31">
        <v>1350</v>
      </c>
      <c r="C85" s="31">
        <v>283</v>
      </c>
      <c r="D85" s="31">
        <v>1439</v>
      </c>
      <c r="E85" s="9"/>
      <c r="F85" s="3">
        <f>SUM(B85:E85)</f>
        <v>3072</v>
      </c>
      <c r="G85" s="3"/>
      <c r="H85" s="2"/>
    </row>
    <row r="86" spans="1:8" x14ac:dyDescent="0.25">
      <c r="A86" s="7" t="s">
        <v>11</v>
      </c>
      <c r="B86" s="28">
        <f>B85/SUM($B85:$E85)</f>
        <v>0.439453125</v>
      </c>
      <c r="C86" s="28">
        <f>C85/SUM($B85:$E85)</f>
        <v>9.2122395833333329E-2</v>
      </c>
      <c r="D86" s="11">
        <f>D85/SUM($B85:$E85)</f>
        <v>0.46842447916666669</v>
      </c>
      <c r="E86" s="34"/>
      <c r="H86" s="2"/>
    </row>
    <row r="87" spans="1:8" x14ac:dyDescent="0.25">
      <c r="A87" s="7" t="s">
        <v>32</v>
      </c>
      <c r="B87" s="31">
        <f>B88*68</f>
        <v>19.515999999999998</v>
      </c>
      <c r="C87" s="31">
        <f>C88*68</f>
        <v>12.512</v>
      </c>
      <c r="D87" s="31">
        <f>D88*68</f>
        <v>35.972000000000001</v>
      </c>
      <c r="E87" s="35"/>
      <c r="F87" s="3">
        <f>SUM(B87:E87)</f>
        <v>68</v>
      </c>
      <c r="G87" s="3">
        <f>F87/H87</f>
        <v>612.61261261261257</v>
      </c>
      <c r="H87" s="2">
        <v>0.111</v>
      </c>
    </row>
    <row r="88" spans="1:8" x14ac:dyDescent="0.25">
      <c r="A88" s="15" t="s">
        <v>9</v>
      </c>
      <c r="B88" s="32">
        <v>0.28699999999999998</v>
      </c>
      <c r="C88" s="32">
        <v>0.184</v>
      </c>
      <c r="D88" s="17">
        <v>0.52900000000000003</v>
      </c>
      <c r="E88" s="23"/>
      <c r="H88" s="2"/>
    </row>
    <row r="89" spans="1:8" x14ac:dyDescent="0.25">
      <c r="A89" s="30" t="s">
        <v>74</v>
      </c>
      <c r="B89" s="36" t="s">
        <v>75</v>
      </c>
      <c r="C89" s="36" t="s">
        <v>76</v>
      </c>
      <c r="D89" s="36" t="s">
        <v>77</v>
      </c>
      <c r="E89" s="6"/>
      <c r="H89" s="2"/>
    </row>
    <row r="90" spans="1:8" x14ac:dyDescent="0.25">
      <c r="A90" s="7" t="s">
        <v>10</v>
      </c>
      <c r="B90" s="31">
        <v>2773</v>
      </c>
      <c r="C90" s="31">
        <v>349</v>
      </c>
      <c r="D90" s="31">
        <v>1673</v>
      </c>
      <c r="E90" s="9"/>
      <c r="F90" s="3">
        <f>SUM(B90:E90)</f>
        <v>4795</v>
      </c>
      <c r="G90" s="3"/>
      <c r="H90" s="2"/>
    </row>
    <row r="91" spans="1:8" x14ac:dyDescent="0.25">
      <c r="A91" s="7" t="s">
        <v>11</v>
      </c>
      <c r="B91" s="11">
        <f>B90/SUM($B90:$E90)</f>
        <v>0.578310740354536</v>
      </c>
      <c r="C91" s="28">
        <f>C90/SUM($B90:$E90)</f>
        <v>7.278415015641293E-2</v>
      </c>
      <c r="D91" s="28">
        <f>D90/SUM($B90:$E90)</f>
        <v>0.34890510948905107</v>
      </c>
      <c r="E91" s="34"/>
      <c r="H91" s="2"/>
    </row>
    <row r="92" spans="1:8" x14ac:dyDescent="0.25">
      <c r="A92" s="7" t="s">
        <v>32</v>
      </c>
      <c r="B92" s="31">
        <f>B93*800</f>
        <v>480</v>
      </c>
      <c r="C92" s="31">
        <f>C93*800</f>
        <v>57.599999999999994</v>
      </c>
      <c r="D92" s="31">
        <f>D93*800</f>
        <v>261.60000000000002</v>
      </c>
      <c r="E92" s="35"/>
      <c r="F92" s="3">
        <f>SUM(B92:E92)</f>
        <v>799.2</v>
      </c>
      <c r="G92" s="3">
        <f>F92/H92</f>
        <v>2429.1793313069911</v>
      </c>
      <c r="H92" s="2">
        <v>0.32900000000000001</v>
      </c>
    </row>
    <row r="93" spans="1:8" x14ac:dyDescent="0.25">
      <c r="A93" s="15" t="s">
        <v>9</v>
      </c>
      <c r="B93" s="17">
        <v>0.6</v>
      </c>
      <c r="C93" s="32">
        <v>7.1999999999999995E-2</v>
      </c>
      <c r="D93" s="32">
        <v>0.32700000000000001</v>
      </c>
      <c r="E93" s="23"/>
      <c r="H93" s="2"/>
    </row>
    <row r="94" spans="1:8" x14ac:dyDescent="0.25">
      <c r="A94" s="30" t="s">
        <v>78</v>
      </c>
      <c r="B94" s="36" t="s">
        <v>79</v>
      </c>
      <c r="C94" s="36" t="s">
        <v>80</v>
      </c>
      <c r="D94" s="5"/>
      <c r="E94" s="6"/>
      <c r="H94" s="2"/>
    </row>
    <row r="95" spans="1:8" x14ac:dyDescent="0.25">
      <c r="A95" s="7" t="s">
        <v>10</v>
      </c>
      <c r="B95" s="31">
        <v>2417</v>
      </c>
      <c r="C95" s="31">
        <v>1196</v>
      </c>
      <c r="D95" s="31"/>
      <c r="E95" s="9"/>
      <c r="F95" s="3">
        <f>SUM(B95:E95)</f>
        <v>3613</v>
      </c>
      <c r="G95" s="3"/>
      <c r="H95" s="2"/>
    </row>
    <row r="96" spans="1:8" x14ac:dyDescent="0.25">
      <c r="A96" s="7" t="s">
        <v>11</v>
      </c>
      <c r="B96" s="11">
        <f>B95/SUM($B95:$E95)</f>
        <v>0.66897315250484357</v>
      </c>
      <c r="C96" s="28">
        <f>C95/SUM($B95:$E95)</f>
        <v>0.33102684749515637</v>
      </c>
      <c r="D96" s="28"/>
      <c r="E96" s="34"/>
      <c r="H96" s="2"/>
    </row>
    <row r="97" spans="1:8" x14ac:dyDescent="0.25">
      <c r="A97" s="7" t="s">
        <v>32</v>
      </c>
      <c r="B97" s="31">
        <f>B98*454</f>
        <v>337.322</v>
      </c>
      <c r="C97" s="31">
        <f>C98*454</f>
        <v>116.678</v>
      </c>
      <c r="D97" s="31"/>
      <c r="E97" s="35"/>
      <c r="F97" s="3">
        <f>SUM(B97:E97)</f>
        <v>454</v>
      </c>
      <c r="G97" s="3">
        <f>F97/H97</f>
        <v>489.7518878101402</v>
      </c>
      <c r="H97" s="2">
        <v>0.92700000000000005</v>
      </c>
    </row>
    <row r="98" spans="1:8" x14ac:dyDescent="0.25">
      <c r="A98" s="15" t="s">
        <v>9</v>
      </c>
      <c r="B98" s="17">
        <v>0.74299999999999999</v>
      </c>
      <c r="C98" s="32">
        <v>0.25700000000000001</v>
      </c>
      <c r="D98" s="32"/>
      <c r="E98" s="23"/>
      <c r="H98" s="2"/>
    </row>
    <row r="99" spans="1:8" x14ac:dyDescent="0.25">
      <c r="A99" s="30" t="s">
        <v>81</v>
      </c>
      <c r="B99" s="36" t="s">
        <v>82</v>
      </c>
      <c r="C99" s="36" t="s">
        <v>83</v>
      </c>
      <c r="D99" s="5"/>
      <c r="E99" s="6"/>
      <c r="H99" s="2"/>
    </row>
    <row r="100" spans="1:8" x14ac:dyDescent="0.25">
      <c r="A100" s="7" t="s">
        <v>10</v>
      </c>
      <c r="B100" s="31">
        <v>1582</v>
      </c>
      <c r="C100" s="31">
        <v>3060</v>
      </c>
      <c r="D100" s="31"/>
      <c r="E100" s="9"/>
      <c r="F100" s="3">
        <f>SUM(B100:E100)</f>
        <v>4642</v>
      </c>
      <c r="G100" s="3"/>
      <c r="H100" s="2"/>
    </row>
    <row r="101" spans="1:8" x14ac:dyDescent="0.25">
      <c r="A101" s="7" t="s">
        <v>11</v>
      </c>
      <c r="B101" s="28">
        <f>B100/SUM($B100:$E100)</f>
        <v>0.34080137871607064</v>
      </c>
      <c r="C101" s="11">
        <f>C100/SUM($B100:$E100)</f>
        <v>0.65919862128392936</v>
      </c>
      <c r="D101" s="28"/>
      <c r="E101" s="34"/>
      <c r="H101" s="2"/>
    </row>
    <row r="102" spans="1:8" x14ac:dyDescent="0.25">
      <c r="A102" s="7" t="s">
        <v>32</v>
      </c>
      <c r="B102" s="31">
        <f>B103*656</f>
        <v>186.95999999999998</v>
      </c>
      <c r="C102" s="31">
        <f>C103*656</f>
        <v>469.03999999999996</v>
      </c>
      <c r="D102" s="31"/>
      <c r="E102" s="35"/>
      <c r="F102" s="3">
        <f>SUM(B102:E102)</f>
        <v>656</v>
      </c>
      <c r="G102" s="3">
        <f>F102/H102</f>
        <v>1635.9102244389026</v>
      </c>
      <c r="H102" s="2">
        <v>0.40100000000000002</v>
      </c>
    </row>
    <row r="103" spans="1:8" x14ac:dyDescent="0.25">
      <c r="A103" s="15" t="s">
        <v>9</v>
      </c>
      <c r="B103" s="32">
        <v>0.28499999999999998</v>
      </c>
      <c r="C103" s="17">
        <v>0.71499999999999997</v>
      </c>
      <c r="D103" s="32"/>
      <c r="E103" s="23"/>
      <c r="H103" s="2"/>
    </row>
    <row r="104" spans="1:8" x14ac:dyDescent="0.25">
      <c r="A104" s="30" t="s">
        <v>84</v>
      </c>
      <c r="B104" s="36" t="s">
        <v>85</v>
      </c>
      <c r="C104" s="36" t="s">
        <v>86</v>
      </c>
      <c r="D104" s="5"/>
      <c r="E104" s="6"/>
      <c r="H104" s="2"/>
    </row>
    <row r="105" spans="1:8" x14ac:dyDescent="0.25">
      <c r="A105" s="7" t="s">
        <v>10</v>
      </c>
      <c r="B105" s="31">
        <v>1612</v>
      </c>
      <c r="C105" s="31">
        <v>521</v>
      </c>
      <c r="D105" s="31"/>
      <c r="E105" s="9"/>
      <c r="F105" s="3">
        <f>SUM(B105:E105)</f>
        <v>2133</v>
      </c>
      <c r="G105" s="3"/>
      <c r="H105" s="2"/>
    </row>
    <row r="106" spans="1:8" x14ac:dyDescent="0.25">
      <c r="A106" s="7" t="s">
        <v>11</v>
      </c>
      <c r="B106" s="11">
        <f>B105/SUM($B105:$E105)</f>
        <v>0.75574308485700892</v>
      </c>
      <c r="C106" s="28">
        <f>C105/SUM($B105:$E105)</f>
        <v>0.24425691514299108</v>
      </c>
      <c r="D106" s="28"/>
      <c r="E106" s="34"/>
      <c r="H106" s="2"/>
    </row>
    <row r="107" spans="1:8" x14ac:dyDescent="0.25">
      <c r="A107" s="7" t="s">
        <v>32</v>
      </c>
      <c r="B107" s="31">
        <f>B108*447</f>
        <v>356.70600000000002</v>
      </c>
      <c r="C107" s="31">
        <f>C108*447</f>
        <v>90.294000000000011</v>
      </c>
      <c r="D107" s="31"/>
      <c r="E107" s="35"/>
      <c r="F107" s="3">
        <f>SUM(B107:E107)</f>
        <v>447</v>
      </c>
      <c r="G107" s="3">
        <f>F107/H107</f>
        <v>1164.0625</v>
      </c>
      <c r="H107" s="2">
        <v>0.38400000000000001</v>
      </c>
    </row>
    <row r="108" spans="1:8" x14ac:dyDescent="0.25">
      <c r="A108" s="15" t="s">
        <v>9</v>
      </c>
      <c r="B108" s="17">
        <v>0.79800000000000004</v>
      </c>
      <c r="C108" s="32">
        <v>0.20200000000000001</v>
      </c>
      <c r="D108" s="32"/>
      <c r="E108" s="23"/>
      <c r="H108" s="2"/>
    </row>
    <row r="109" spans="1:8" x14ac:dyDescent="0.25">
      <c r="A109" s="30" t="s">
        <v>87</v>
      </c>
      <c r="B109" s="36" t="s">
        <v>88</v>
      </c>
      <c r="C109" s="36" t="s">
        <v>89</v>
      </c>
      <c r="D109" s="36" t="s">
        <v>90</v>
      </c>
      <c r="E109" s="6"/>
      <c r="H109" s="2"/>
    </row>
    <row r="110" spans="1:8" x14ac:dyDescent="0.25">
      <c r="A110" s="7" t="s">
        <v>10</v>
      </c>
      <c r="B110" s="31">
        <v>1640</v>
      </c>
      <c r="C110" s="31">
        <v>522</v>
      </c>
      <c r="D110" s="31">
        <v>295</v>
      </c>
      <c r="E110" s="9"/>
      <c r="F110" s="3">
        <f>SUM(B110:E110)</f>
        <v>2457</v>
      </c>
      <c r="G110" s="3"/>
      <c r="H110" s="2"/>
    </row>
    <row r="111" spans="1:8" x14ac:dyDescent="0.25">
      <c r="A111" s="7" t="s">
        <v>11</v>
      </c>
      <c r="B111" s="11">
        <f>B110/SUM($B110:$E110)</f>
        <v>0.66748066748066748</v>
      </c>
      <c r="C111" s="28">
        <f>C110/SUM($B110:$E110)</f>
        <v>0.21245421245421245</v>
      </c>
      <c r="D111" s="28">
        <f>D110/SUM($B110:$E110)</f>
        <v>0.12006512006512006</v>
      </c>
      <c r="E111" s="34"/>
      <c r="H111" s="2"/>
    </row>
    <row r="112" spans="1:8" x14ac:dyDescent="0.25">
      <c r="A112" s="7" t="s">
        <v>32</v>
      </c>
      <c r="B112" s="31">
        <f>B113*637</f>
        <v>472.654</v>
      </c>
      <c r="C112" s="31">
        <f>C113*637</f>
        <v>93.638999999999996</v>
      </c>
      <c r="D112" s="31">
        <f>D113*637</f>
        <v>71.344000000000008</v>
      </c>
      <c r="E112" s="35"/>
      <c r="F112" s="3">
        <f>SUM(B112:E112)</f>
        <v>637.63700000000006</v>
      </c>
      <c r="G112" s="3">
        <f>F112/H112</f>
        <v>1380.1666666666667</v>
      </c>
      <c r="H112" s="2">
        <v>0.46200000000000002</v>
      </c>
    </row>
    <row r="113" spans="1:8" x14ac:dyDescent="0.25">
      <c r="A113" s="15" t="s">
        <v>9</v>
      </c>
      <c r="B113" s="17">
        <v>0.74199999999999999</v>
      </c>
      <c r="C113" s="32">
        <v>0.14699999999999999</v>
      </c>
      <c r="D113" s="32">
        <v>0.112</v>
      </c>
      <c r="E113" s="23"/>
      <c r="H113" s="2"/>
    </row>
    <row r="114" spans="1:8" x14ac:dyDescent="0.25">
      <c r="A114" s="30" t="s">
        <v>91</v>
      </c>
      <c r="B114" s="36" t="s">
        <v>92</v>
      </c>
      <c r="C114" s="36" t="s">
        <v>93</v>
      </c>
      <c r="D114" s="5"/>
      <c r="E114" s="6"/>
      <c r="H114" s="2"/>
    </row>
    <row r="115" spans="1:8" x14ac:dyDescent="0.25">
      <c r="A115" s="7" t="s">
        <v>10</v>
      </c>
      <c r="B115" s="31">
        <v>1421</v>
      </c>
      <c r="C115" s="31">
        <v>2180</v>
      </c>
      <c r="D115" s="31"/>
      <c r="E115" s="9"/>
      <c r="F115" s="3">
        <f>SUM(B115:E115)</f>
        <v>3601</v>
      </c>
      <c r="G115" s="3"/>
      <c r="H115" s="2"/>
    </row>
    <row r="116" spans="1:8" x14ac:dyDescent="0.25">
      <c r="A116" s="7" t="s">
        <v>11</v>
      </c>
      <c r="B116" s="28">
        <f>B115/SUM($B115:$E115)</f>
        <v>0.39461260760899752</v>
      </c>
      <c r="C116" s="11">
        <f>C115/SUM($B115:$E115)</f>
        <v>0.60538739239100248</v>
      </c>
      <c r="D116" s="28"/>
      <c r="E116" s="34"/>
      <c r="H116" s="2"/>
    </row>
    <row r="117" spans="1:8" x14ac:dyDescent="0.25">
      <c r="A117" s="7" t="s">
        <v>32</v>
      </c>
      <c r="B117" s="31">
        <f>B118*812</f>
        <v>254.96799999999999</v>
      </c>
      <c r="C117" s="31">
        <f>C118*812</f>
        <v>557.84400000000005</v>
      </c>
      <c r="D117" s="31"/>
      <c r="E117" s="35"/>
      <c r="F117" s="3">
        <f>SUM(B117:E117)</f>
        <v>812.81200000000001</v>
      </c>
      <c r="G117" s="3">
        <f>F117/H117</f>
        <v>2026.9625935162094</v>
      </c>
      <c r="H117" s="2">
        <v>0.40100000000000002</v>
      </c>
    </row>
    <row r="118" spans="1:8" x14ac:dyDescent="0.25">
      <c r="A118" s="15" t="s">
        <v>9</v>
      </c>
      <c r="B118" s="32">
        <v>0.314</v>
      </c>
      <c r="C118" s="17">
        <v>0.68700000000000006</v>
      </c>
      <c r="D118" s="32"/>
      <c r="E118" s="23"/>
      <c r="H118" s="2"/>
    </row>
    <row r="119" spans="1:8" x14ac:dyDescent="0.25">
      <c r="A119" s="30" t="s">
        <v>94</v>
      </c>
      <c r="B119" s="36" t="s">
        <v>95</v>
      </c>
      <c r="C119" s="36" t="s">
        <v>96</v>
      </c>
      <c r="D119" s="5"/>
      <c r="E119" s="6"/>
      <c r="H119" s="2"/>
    </row>
    <row r="120" spans="1:8" x14ac:dyDescent="0.25">
      <c r="A120" s="7" t="s">
        <v>10</v>
      </c>
      <c r="B120" s="31">
        <v>3944</v>
      </c>
      <c r="C120" s="31">
        <v>387</v>
      </c>
      <c r="D120" s="31"/>
      <c r="E120" s="13"/>
      <c r="F120" s="3">
        <f>SUM(B120:E120)</f>
        <v>4331</v>
      </c>
      <c r="G120" s="3"/>
      <c r="H120" s="2"/>
    </row>
    <row r="121" spans="1:8" x14ac:dyDescent="0.25">
      <c r="A121" s="7" t="s">
        <v>11</v>
      </c>
      <c r="B121" s="11">
        <f>B120/SUM($B120:$E120)</f>
        <v>0.91064419302701449</v>
      </c>
      <c r="C121" s="28">
        <f>C120/SUM($B120:$E120)</f>
        <v>8.9355806972985452E-2</v>
      </c>
      <c r="D121" s="28"/>
      <c r="E121" s="13"/>
      <c r="H121" s="2"/>
    </row>
    <row r="122" spans="1:8" x14ac:dyDescent="0.25">
      <c r="A122" s="7" t="s">
        <v>32</v>
      </c>
      <c r="B122" s="31">
        <f>B123*585</f>
        <v>532.93500000000006</v>
      </c>
      <c r="C122" s="31">
        <f>C123*585</f>
        <v>52.064999999999998</v>
      </c>
      <c r="D122" s="31"/>
      <c r="E122" s="13"/>
      <c r="F122" s="3">
        <f>SUM(B122:E122)</f>
        <v>585</v>
      </c>
      <c r="G122" s="3">
        <f>F122/H122</f>
        <v>1186.6125760649088</v>
      </c>
      <c r="H122" s="2">
        <v>0.49299999999999999</v>
      </c>
    </row>
    <row r="123" spans="1:8" x14ac:dyDescent="0.25">
      <c r="A123" s="15" t="s">
        <v>9</v>
      </c>
      <c r="B123" s="17">
        <v>0.91100000000000003</v>
      </c>
      <c r="C123" s="32">
        <v>8.8999999999999996E-2</v>
      </c>
      <c r="D123" s="32"/>
      <c r="E123" s="19"/>
      <c r="H123" s="2"/>
    </row>
    <row r="124" spans="1:8" x14ac:dyDescent="0.25">
      <c r="A124" s="30" t="s">
        <v>97</v>
      </c>
      <c r="B124" s="36" t="s">
        <v>98</v>
      </c>
      <c r="C124" s="36" t="s">
        <v>99</v>
      </c>
      <c r="D124" s="36" t="s">
        <v>100</v>
      </c>
      <c r="E124" s="6"/>
      <c r="H124" s="2"/>
    </row>
    <row r="125" spans="1:8" x14ac:dyDescent="0.25">
      <c r="A125" s="7" t="s">
        <v>10</v>
      </c>
      <c r="B125" s="31">
        <v>333</v>
      </c>
      <c r="C125" s="31">
        <v>1582</v>
      </c>
      <c r="D125" s="31">
        <v>1923</v>
      </c>
      <c r="E125" s="9"/>
      <c r="F125" s="3">
        <f>SUM(B125:E125)</f>
        <v>3838</v>
      </c>
      <c r="G125" s="3"/>
      <c r="H125" s="2"/>
    </row>
    <row r="126" spans="1:8" x14ac:dyDescent="0.25">
      <c r="A126" s="7" t="s">
        <v>11</v>
      </c>
      <c r="B126" s="28">
        <f>B125/SUM($B125:$E125)</f>
        <v>8.6763939551849925E-2</v>
      </c>
      <c r="C126" s="28">
        <f>C125/SUM($B125:$E125)</f>
        <v>0.41219385096404376</v>
      </c>
      <c r="D126" s="11">
        <f>D125/SUM($B125:$E125)</f>
        <v>0.50104220948410627</v>
      </c>
      <c r="E126" s="34"/>
      <c r="H126" s="2"/>
    </row>
    <row r="127" spans="1:8" x14ac:dyDescent="0.25">
      <c r="A127" s="7" t="s">
        <v>32</v>
      </c>
      <c r="B127" s="31">
        <f>B128*240</f>
        <v>27.6</v>
      </c>
      <c r="C127" s="31">
        <f>C128*240</f>
        <v>69.599999999999994</v>
      </c>
      <c r="D127" s="31">
        <f>D128*240</f>
        <v>142.56</v>
      </c>
      <c r="E127" s="35"/>
      <c r="F127" s="3">
        <f>SUM(B127:E127)</f>
        <v>239.76</v>
      </c>
      <c r="G127" s="3">
        <f>F127/H127</f>
        <v>801.87290969899664</v>
      </c>
      <c r="H127" s="2">
        <v>0.29899999999999999</v>
      </c>
    </row>
    <row r="128" spans="1:8" x14ac:dyDescent="0.25">
      <c r="A128" s="15" t="s">
        <v>9</v>
      </c>
      <c r="B128" s="32">
        <v>0.115</v>
      </c>
      <c r="C128" s="32">
        <v>0.28999999999999998</v>
      </c>
      <c r="D128" s="17">
        <v>0.59399999999999997</v>
      </c>
      <c r="E128" s="23"/>
    </row>
    <row r="129" spans="1:8" x14ac:dyDescent="0.25">
      <c r="A129" s="29" t="s">
        <v>101</v>
      </c>
      <c r="F129" s="3">
        <f>SUM(F7,F12,F17,F22,F27,F32,F37,F42,F47,F52,F57,F62,F67,F72,F77,F82,F87,F92,F97,F102,F107,F112,F117,F122,F127)</f>
        <v>12171.812000000002</v>
      </c>
      <c r="G129" s="3">
        <f>SUM(G5:G127)</f>
        <v>30775.9331802665</v>
      </c>
      <c r="H129" s="2">
        <f>F129/G129</f>
        <v>0.3954977393765774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</dc:creator>
  <cp:lastModifiedBy>Roland</cp:lastModifiedBy>
  <dcterms:created xsi:type="dcterms:W3CDTF">2011-11-09T02:48:50Z</dcterms:created>
  <dcterms:modified xsi:type="dcterms:W3CDTF">2011-11-09T06:58:12Z</dcterms:modified>
</cp:coreProperties>
</file>